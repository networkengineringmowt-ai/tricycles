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6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7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WARD CONSUTANCY\Desktop\EDMP\MCC DATA\"/>
    </mc:Choice>
  </mc:AlternateContent>
  <bookViews>
    <workbookView xWindow="0" yWindow="0" windowWidth="15600" windowHeight="10920" tabRatio="940"/>
  </bookViews>
  <sheets>
    <sheet name="29.07 ClockTower-Nsambya" sheetId="93" r:id="rId1"/>
    <sheet name="29.07 Nsambya-ClockTower" sheetId="94" r:id="rId2"/>
    <sheet name="30.07 ClockTower-Nsambya" sheetId="95" r:id="rId3"/>
    <sheet name="30.07 Nsambya-ClockTower" sheetId="96" r:id="rId4"/>
    <sheet name="31.07 ClockTower-Nsambya" sheetId="97" r:id="rId5"/>
    <sheet name="31.07 Nsambya-ClockTower" sheetId="98" r:id="rId6"/>
    <sheet name="01.08 ClockTower-Nsambya-24h" sheetId="101" r:id="rId7"/>
    <sheet name="01.08 Nsambya-ClockTower-24h" sheetId="109" r:id="rId8"/>
    <sheet name="02.08 ClockTower-Nsambya" sheetId="99" r:id="rId9"/>
    <sheet name="02.08 Nsambya-ClockTower" sheetId="100" r:id="rId10"/>
    <sheet name="03.08 ClockTower-Nsambya-24h" sheetId="105" r:id="rId11"/>
    <sheet name="03.08 Nsambya-ClockTower-24h" sheetId="110" r:id="rId12"/>
    <sheet name="04.08 ClockTower-Nsambya" sheetId="103" r:id="rId13"/>
    <sheet name="04.08 Nsambya-ClockTower" sheetId="104" r:id="rId14"/>
    <sheet name="Avg Week ClockTower-Nsambya" sheetId="107" r:id="rId15"/>
    <sheet name="Avg Week Nsambya-ClockTower" sheetId="108" r:id="rId16"/>
    <sheet name="Avg Week Nsambya-ClockTowe-2Dir" sheetId="111" r:id="rId17"/>
  </sheets>
  <definedNames>
    <definedName name="_xlnm.Print_Area" localSheetId="6">'01.08 ClockTower-Nsambya-24h'!$A$1:$AF$108</definedName>
    <definedName name="_xlnm.Print_Area" localSheetId="7">'01.08 Nsambya-ClockTower-24h'!$A$1:$AF$108</definedName>
    <definedName name="_xlnm.Print_Area" localSheetId="8">'02.08 ClockTower-Nsambya'!$A$1:$AF$60</definedName>
    <definedName name="_xlnm.Print_Area" localSheetId="9">'02.08 Nsambya-ClockTower'!$A$1:$AF$60</definedName>
    <definedName name="_xlnm.Print_Area" localSheetId="10">'03.08 ClockTower-Nsambya-24h'!$A$1:$AF$108</definedName>
    <definedName name="_xlnm.Print_Area" localSheetId="11">'03.08 Nsambya-ClockTower-24h'!$A$1:$AF$108</definedName>
    <definedName name="_xlnm.Print_Area" localSheetId="12">'04.08 ClockTower-Nsambya'!$A$1:$AF$60</definedName>
    <definedName name="_xlnm.Print_Area" localSheetId="13">'04.08 Nsambya-ClockTower'!$A$1:$AF$60</definedName>
    <definedName name="_xlnm.Print_Area" localSheetId="0">'29.07 ClockTower-Nsambya'!$A$1:$AF$60</definedName>
    <definedName name="_xlnm.Print_Area" localSheetId="1">'29.07 Nsambya-ClockTower'!$A$1:$AF$60</definedName>
    <definedName name="_xlnm.Print_Area" localSheetId="2">'30.07 ClockTower-Nsambya'!$A$1:$AF$60</definedName>
    <definedName name="_xlnm.Print_Area" localSheetId="3">'30.07 Nsambya-ClockTower'!$A$1:$AF$60</definedName>
    <definedName name="_xlnm.Print_Area" localSheetId="4">'31.07 ClockTower-Nsambya'!$A$1:$AF$60</definedName>
    <definedName name="_xlnm.Print_Area" localSheetId="5">'31.07 Nsambya-ClockTower'!$A$1:$AF$60</definedName>
    <definedName name="_xlnm.Print_Area" localSheetId="14">'Avg Week ClockTower-Nsambya'!$A$1:$AF$60</definedName>
    <definedName name="_xlnm.Print_Area" localSheetId="16">'Avg Week Nsambya-ClockTowe-2Dir'!$A$1:$AF$60</definedName>
    <definedName name="_xlnm.Print_Area" localSheetId="15">'Avg Week Nsambya-ClockTower'!$A$1:$AF$60</definedName>
    <definedName name="_xlnm.Print_Titles" localSheetId="6">'01.08 ClockTower-Nsambya-24h'!$1:$8</definedName>
    <definedName name="_xlnm.Print_Titles" localSheetId="7">'01.08 Nsambya-ClockTower-24h'!$1:$8</definedName>
    <definedName name="_xlnm.Print_Titles" localSheetId="8">'02.08 ClockTower-Nsambya'!$1:$8</definedName>
    <definedName name="_xlnm.Print_Titles" localSheetId="9">'02.08 Nsambya-ClockTower'!$1:$8</definedName>
    <definedName name="_xlnm.Print_Titles" localSheetId="10">'03.08 ClockTower-Nsambya-24h'!$1:$8</definedName>
    <definedName name="_xlnm.Print_Titles" localSheetId="11">'03.08 Nsambya-ClockTower-24h'!$1:$8</definedName>
    <definedName name="_xlnm.Print_Titles" localSheetId="12">'04.08 ClockTower-Nsambya'!$1:$8</definedName>
    <definedName name="_xlnm.Print_Titles" localSheetId="13">'04.08 Nsambya-ClockTower'!$1:$8</definedName>
    <definedName name="_xlnm.Print_Titles" localSheetId="0">'29.07 ClockTower-Nsambya'!$1:$8</definedName>
    <definedName name="_xlnm.Print_Titles" localSheetId="1">'29.07 Nsambya-ClockTower'!$1:$8</definedName>
    <definedName name="_xlnm.Print_Titles" localSheetId="2">'30.07 ClockTower-Nsambya'!$1:$8</definedName>
    <definedName name="_xlnm.Print_Titles" localSheetId="3">'30.07 Nsambya-ClockTower'!$1:$8</definedName>
    <definedName name="_xlnm.Print_Titles" localSheetId="4">'31.07 ClockTower-Nsambya'!$1:$8</definedName>
    <definedName name="_xlnm.Print_Titles" localSheetId="5">'31.07 Nsambya-ClockTower'!$1:$8</definedName>
    <definedName name="_xlnm.Print_Titles" localSheetId="14">'Avg Week ClockTower-Nsambya'!$1:$8</definedName>
    <definedName name="_xlnm.Print_Titles" localSheetId="16">'Avg Week Nsambya-ClockTowe-2Dir'!$1:$8</definedName>
    <definedName name="_xlnm.Print_Titles" localSheetId="15">'Avg Week Nsambya-ClockTower'!$1:$8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" i="100" l="1"/>
  <c r="K5" i="105"/>
  <c r="K5" i="99"/>
  <c r="K5" i="101"/>
  <c r="K5" i="109"/>
  <c r="K5" i="98"/>
  <c r="K6" i="96"/>
  <c r="K5" i="96"/>
  <c r="I106" i="105" l="1"/>
  <c r="J106" i="105"/>
  <c r="K106" i="105"/>
  <c r="L106" i="105"/>
  <c r="O84" i="101" l="1"/>
  <c r="P84" i="101"/>
  <c r="O63" i="101"/>
  <c r="O26" i="95" l="1"/>
  <c r="P26" i="95"/>
  <c r="C3" i="94" l="1"/>
  <c r="K6" i="98" l="1"/>
  <c r="K6" i="99" s="1"/>
  <c r="K6" i="100" s="1"/>
  <c r="K6" i="101" s="1"/>
  <c r="K6" i="109" s="1"/>
  <c r="K6" i="105" s="1"/>
  <c r="K6" i="110" s="1"/>
  <c r="K6" i="103" s="1"/>
  <c r="K5" i="100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G5" i="96"/>
  <c r="K6" i="95"/>
  <c r="K5" i="95"/>
  <c r="G5" i="95"/>
  <c r="K6" i="94"/>
  <c r="G5" i="94"/>
  <c r="G6" i="104"/>
  <c r="G6" i="108" s="1"/>
  <c r="G6" i="11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7" l="1"/>
  <c r="K6" i="104"/>
  <c r="K6" i="108" s="1"/>
  <c r="K6" i="111" s="1"/>
  <c r="K5" i="104"/>
  <c r="K5" i="108" s="1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X39" i="105" s="1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39" i="101" l="1"/>
  <c r="AA26" i="95"/>
  <c r="T26" i="95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D26" i="97" l="1"/>
  <c r="AF33" i="101"/>
  <c r="AF32" i="101"/>
  <c r="S26" i="9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24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G58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H5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K58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22" i="108" s="1"/>
  <c r="P13" i="108"/>
  <c r="O12" i="108"/>
  <c r="P11" i="108"/>
  <c r="AC10" i="108"/>
  <c r="P10" i="108"/>
  <c r="AF10" i="108" s="1"/>
  <c r="O52" i="108"/>
  <c r="P47" i="108"/>
  <c r="P26" i="108"/>
  <c r="U24" i="94"/>
  <c r="AC26" i="94"/>
  <c r="O51" i="108"/>
  <c r="O47" i="108"/>
  <c r="O26" i="108"/>
  <c r="D58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L58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N58" i="108"/>
  <c r="J58" i="108"/>
  <c r="F58" i="108"/>
  <c r="AB11" i="108"/>
  <c r="O41" i="108"/>
  <c r="O33" i="108"/>
  <c r="O25" i="108"/>
  <c r="V15" i="108"/>
  <c r="O23" i="108"/>
  <c r="O19" i="108"/>
  <c r="O15" i="108"/>
  <c r="C58" i="108"/>
  <c r="M58" i="108"/>
  <c r="I58" i="108"/>
  <c r="E58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C58" i="107"/>
  <c r="AC10" i="107"/>
  <c r="K58" i="107"/>
  <c r="I58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27" i="107" s="1"/>
  <c r="Z19" i="107"/>
  <c r="V19" i="107"/>
  <c r="V27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N58" i="107"/>
  <c r="AB10" i="107"/>
  <c r="L58" i="107"/>
  <c r="J58" i="107"/>
  <c r="Z10" i="107"/>
  <c r="X10" i="107"/>
  <c r="H58" i="107"/>
  <c r="F58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24" i="107" s="1"/>
  <c r="S19" i="107"/>
  <c r="S24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M58" i="107"/>
  <c r="E58" i="107"/>
  <c r="AB38" i="105"/>
  <c r="T38" i="105"/>
  <c r="AD10" i="107"/>
  <c r="V10" i="107"/>
  <c r="D58" i="107"/>
  <c r="AA10" i="107"/>
  <c r="G58" i="107"/>
  <c r="P10" i="107"/>
  <c r="S10" i="107"/>
  <c r="O10" i="107"/>
  <c r="X35" i="105"/>
  <c r="U27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T11" i="111" l="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24" i="108"/>
  <c r="AB12" i="111"/>
  <c r="S18" i="111"/>
  <c r="Y14" i="111"/>
  <c r="S15" i="111"/>
  <c r="W17" i="111"/>
  <c r="W18" i="111"/>
  <c r="Y19" i="111"/>
  <c r="O52" i="111"/>
  <c r="AC20" i="111"/>
  <c r="AA21" i="111"/>
  <c r="D58" i="111"/>
  <c r="L58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24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27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24" i="108"/>
  <c r="AD25" i="108"/>
  <c r="P10" i="111"/>
  <c r="X19" i="111"/>
  <c r="W10" i="111"/>
  <c r="O22" i="111"/>
  <c r="P31" i="111"/>
  <c r="W16" i="111"/>
  <c r="V10" i="111"/>
  <c r="N58" i="111"/>
  <c r="T10" i="111"/>
  <c r="AB10" i="111"/>
  <c r="J58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27" i="108"/>
  <c r="Z27" i="108"/>
  <c r="O34" i="111"/>
  <c r="M58" i="111"/>
  <c r="P17" i="111"/>
  <c r="O21" i="111"/>
  <c r="O37" i="111"/>
  <c r="P41" i="111"/>
  <c r="O42" i="111"/>
  <c r="U20" i="111"/>
  <c r="P53" i="111"/>
  <c r="H58" i="111"/>
  <c r="X10" i="111"/>
  <c r="T27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F58" i="111"/>
  <c r="O10" i="111"/>
  <c r="C108" i="110"/>
  <c r="E58" i="111"/>
  <c r="P15" i="111"/>
  <c r="O28" i="111"/>
  <c r="O35" i="111"/>
  <c r="O25" i="111"/>
  <c r="O44" i="111"/>
  <c r="O54" i="111"/>
  <c r="AD10" i="111"/>
  <c r="P36" i="111"/>
  <c r="O57" i="111"/>
  <c r="X24" i="108"/>
  <c r="V22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C58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I58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27" i="108"/>
  <c r="T24" i="108"/>
  <c r="AB27" i="108"/>
  <c r="V25" i="108"/>
  <c r="T22" i="108"/>
  <c r="F108" i="110"/>
  <c r="G58" i="111"/>
  <c r="AA10" i="111"/>
  <c r="K58" i="111"/>
  <c r="H108" i="110"/>
  <c r="N108" i="110"/>
  <c r="X22" i="108"/>
  <c r="AE39" i="110"/>
  <c r="W42" i="110"/>
  <c r="Z22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26" i="108"/>
  <c r="AE20" i="107"/>
  <c r="T27" i="107"/>
  <c r="AB27" i="107"/>
  <c r="Z25" i="108"/>
  <c r="Z26" i="108"/>
  <c r="AF11" i="108"/>
  <c r="AC24" i="108"/>
  <c r="Y27" i="108"/>
  <c r="AF21" i="108"/>
  <c r="AC22" i="108"/>
  <c r="AE10" i="108"/>
  <c r="AF19" i="108"/>
  <c r="U27" i="108"/>
  <c r="W24" i="108"/>
  <c r="T26" i="108"/>
  <c r="Y25" i="108"/>
  <c r="AD22" i="107"/>
  <c r="S26" i="107"/>
  <c r="AC22" i="107"/>
  <c r="V22" i="107"/>
  <c r="AD28" i="108"/>
  <c r="AA27" i="108"/>
  <c r="AA23" i="108"/>
  <c r="T23" i="108"/>
  <c r="AB23" i="108"/>
  <c r="AE12" i="108"/>
  <c r="X26" i="108"/>
  <c r="AC25" i="108"/>
  <c r="X28" i="108"/>
  <c r="AE18" i="108"/>
  <c r="S25" i="108"/>
  <c r="AE19" i="108"/>
  <c r="W27" i="108"/>
  <c r="AD26" i="107"/>
  <c r="X23" i="108"/>
  <c r="AF20" i="108"/>
  <c r="AE17" i="108"/>
  <c r="AC28" i="108"/>
  <c r="AA28" i="108"/>
  <c r="AE14" i="108"/>
  <c r="AF14" i="108"/>
  <c r="AE15" i="108"/>
  <c r="V26" i="108"/>
  <c r="AF17" i="108"/>
  <c r="S23" i="108"/>
  <c r="Y24" i="108"/>
  <c r="AC27" i="108"/>
  <c r="AE20" i="108"/>
  <c r="AE13" i="108"/>
  <c r="O58" i="108"/>
  <c r="H60" i="108" s="1"/>
  <c r="U24" i="108"/>
  <c r="V24" i="107"/>
  <c r="AD25" i="107"/>
  <c r="AD23" i="107"/>
  <c r="P58" i="107"/>
  <c r="C59" i="107" s="1"/>
  <c r="V25" i="107"/>
  <c r="Y25" i="107"/>
  <c r="W22" i="107"/>
  <c r="U28" i="108"/>
  <c r="AF12" i="108"/>
  <c r="AF18" i="108"/>
  <c r="AA26" i="108"/>
  <c r="AE11" i="108"/>
  <c r="AD24" i="107"/>
  <c r="Y22" i="107"/>
  <c r="Z28" i="107"/>
  <c r="AB23" i="107"/>
  <c r="Z24" i="107"/>
  <c r="AD22" i="108"/>
  <c r="U25" i="108"/>
  <c r="AB26" i="108"/>
  <c r="AB28" i="108"/>
  <c r="S26" i="108"/>
  <c r="S28" i="108"/>
  <c r="AA22" i="108"/>
  <c r="Y28" i="108"/>
  <c r="V23" i="108"/>
  <c r="AD23" i="108"/>
  <c r="AF13" i="108"/>
  <c r="AF15" i="108"/>
  <c r="AE16" i="108"/>
  <c r="Z28" i="108"/>
  <c r="F107" i="105"/>
  <c r="AE12" i="107"/>
  <c r="AE16" i="107"/>
  <c r="AF18" i="107"/>
  <c r="S27" i="108"/>
  <c r="S24" i="108"/>
  <c r="W26" i="108"/>
  <c r="W23" i="108"/>
  <c r="P58" i="108"/>
  <c r="H59" i="108" s="1"/>
  <c r="V28" i="108"/>
  <c r="Z23" i="108"/>
  <c r="U22" i="108"/>
  <c r="T28" i="108"/>
  <c r="S22" i="108"/>
  <c r="AF16" i="108"/>
  <c r="AA25" i="108"/>
  <c r="AA24" i="108"/>
  <c r="AB22" i="108"/>
  <c r="AB25" i="108"/>
  <c r="W28" i="108"/>
  <c r="W25" i="108"/>
  <c r="W22" i="108"/>
  <c r="Y26" i="108"/>
  <c r="Y23" i="108"/>
  <c r="T25" i="108"/>
  <c r="X25" i="108"/>
  <c r="Y28" i="107"/>
  <c r="AE14" i="107"/>
  <c r="AE18" i="107"/>
  <c r="T26" i="107"/>
  <c r="V26" i="107"/>
  <c r="X24" i="107"/>
  <c r="U25" i="107"/>
  <c r="U26" i="108"/>
  <c r="U23" i="108"/>
  <c r="AC26" i="108"/>
  <c r="AC23" i="108"/>
  <c r="X23" i="107"/>
  <c r="T24" i="107"/>
  <c r="AB24" i="107"/>
  <c r="AC28" i="107"/>
  <c r="E107" i="105"/>
  <c r="V28" i="107"/>
  <c r="Z25" i="107"/>
  <c r="AE10" i="107"/>
  <c r="AF10" i="107"/>
  <c r="AC26" i="107"/>
  <c r="D107" i="105"/>
  <c r="C107" i="105"/>
  <c r="Z22" i="107"/>
  <c r="AE15" i="107"/>
  <c r="S23" i="107"/>
  <c r="U28" i="107"/>
  <c r="AC25" i="107"/>
  <c r="U23" i="107"/>
  <c r="Y23" i="107"/>
  <c r="AC23" i="107"/>
  <c r="AE19" i="107"/>
  <c r="AE21" i="107"/>
  <c r="X28" i="107"/>
  <c r="AB28" i="107"/>
  <c r="X26" i="107"/>
  <c r="Z23" i="107"/>
  <c r="AF35" i="105"/>
  <c r="AE17" i="107"/>
  <c r="AE13" i="107"/>
  <c r="AF15" i="107"/>
  <c r="O58" i="107"/>
  <c r="H60" i="107" s="1"/>
  <c r="T28" i="107"/>
  <c r="AE11" i="107"/>
  <c r="V23" i="107"/>
  <c r="AD28" i="107"/>
  <c r="AB26" i="107"/>
  <c r="X27" i="107"/>
  <c r="Z27" i="107"/>
  <c r="W28" i="107"/>
  <c r="D108" i="105"/>
  <c r="F108" i="105"/>
  <c r="C108" i="105"/>
  <c r="E108" i="105"/>
  <c r="U22" i="107"/>
  <c r="T23" i="107"/>
  <c r="Z26" i="107"/>
  <c r="U26" i="107"/>
  <c r="Y26" i="107"/>
  <c r="W25" i="107"/>
  <c r="AF16" i="107"/>
  <c r="AF14" i="107"/>
  <c r="W26" i="107"/>
  <c r="W23" i="107"/>
  <c r="AA23" i="107"/>
  <c r="AA26" i="107"/>
  <c r="Y27" i="107"/>
  <c r="Y24" i="107"/>
  <c r="AC27" i="107"/>
  <c r="AC24" i="107"/>
  <c r="AF19" i="107"/>
  <c r="AF21" i="107"/>
  <c r="T25" i="107"/>
  <c r="T22" i="107"/>
  <c r="AF13" i="107"/>
  <c r="AF17" i="107"/>
  <c r="W27" i="107"/>
  <c r="W24" i="107"/>
  <c r="AA24" i="107"/>
  <c r="AA27" i="107"/>
  <c r="S27" i="107"/>
  <c r="AF20" i="107"/>
  <c r="X25" i="107"/>
  <c r="X22" i="107"/>
  <c r="AB22" i="107"/>
  <c r="AB25" i="107"/>
  <c r="AF11" i="107"/>
  <c r="AF12" i="107"/>
  <c r="AA28" i="107"/>
  <c r="AA25" i="107"/>
  <c r="AA22" i="107"/>
  <c r="S25" i="107"/>
  <c r="S28" i="107"/>
  <c r="S22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D25" i="111" l="1"/>
  <c r="X22" i="111"/>
  <c r="AD27" i="111"/>
  <c r="T22" i="111"/>
  <c r="W25" i="111"/>
  <c r="X24" i="111"/>
  <c r="Z27" i="111"/>
  <c r="AD26" i="111"/>
  <c r="V28" i="111"/>
  <c r="AA23" i="111"/>
  <c r="AF12" i="111"/>
  <c r="S22" i="111"/>
  <c r="T27" i="111"/>
  <c r="AC22" i="111"/>
  <c r="AD22" i="111"/>
  <c r="T25" i="111"/>
  <c r="AE15" i="111"/>
  <c r="AF19" i="111"/>
  <c r="AE12" i="111"/>
  <c r="AA24" i="111"/>
  <c r="AF14" i="111"/>
  <c r="AE14" i="111"/>
  <c r="AF11" i="111"/>
  <c r="AE18" i="111"/>
  <c r="Z25" i="111"/>
  <c r="T26" i="111"/>
  <c r="AF10" i="111"/>
  <c r="AF22" i="111" s="1"/>
  <c r="W24" i="111"/>
  <c r="Y28" i="111"/>
  <c r="U24" i="111"/>
  <c r="Z24" i="111"/>
  <c r="V23" i="111"/>
  <c r="AB28" i="111"/>
  <c r="X27" i="111"/>
  <c r="S25" i="111"/>
  <c r="AB24" i="111"/>
  <c r="AE20" i="111"/>
  <c r="AE10" i="111"/>
  <c r="X23" i="111"/>
  <c r="S28" i="111"/>
  <c r="Z26" i="111"/>
  <c r="AE13" i="111"/>
  <c r="V22" i="111"/>
  <c r="W23" i="111"/>
  <c r="AC23" i="111"/>
  <c r="AB26" i="111"/>
  <c r="W28" i="111"/>
  <c r="V27" i="111"/>
  <c r="AD28" i="111"/>
  <c r="X28" i="111"/>
  <c r="V26" i="111"/>
  <c r="AB27" i="111"/>
  <c r="AB25" i="111"/>
  <c r="W22" i="111"/>
  <c r="AF15" i="111"/>
  <c r="AF13" i="111"/>
  <c r="AE21" i="111"/>
  <c r="W26" i="111"/>
  <c r="X26" i="111"/>
  <c r="AF20" i="111"/>
  <c r="S24" i="111"/>
  <c r="AE11" i="111"/>
  <c r="U27" i="111"/>
  <c r="Z23" i="111"/>
  <c r="Z28" i="111"/>
  <c r="V25" i="111"/>
  <c r="T24" i="111"/>
  <c r="T28" i="111"/>
  <c r="AB23" i="111"/>
  <c r="AA26" i="111"/>
  <c r="V24" i="111"/>
  <c r="AD23" i="111"/>
  <c r="X25" i="111"/>
  <c r="AC27" i="111"/>
  <c r="Y27" i="111"/>
  <c r="U23" i="111"/>
  <c r="AD24" i="111"/>
  <c r="AE19" i="111"/>
  <c r="U28" i="111"/>
  <c r="Z22" i="111"/>
  <c r="T23" i="111"/>
  <c r="AB22" i="111"/>
  <c r="U22" i="111"/>
  <c r="AF17" i="111"/>
  <c r="AC24" i="111"/>
  <c r="Y24" i="111"/>
  <c r="U25" i="111"/>
  <c r="AA27" i="111"/>
  <c r="S27" i="111"/>
  <c r="S26" i="111"/>
  <c r="Y26" i="111"/>
  <c r="AF16" i="111"/>
  <c r="O58" i="111"/>
  <c r="K60" i="111" s="1"/>
  <c r="P58" i="111"/>
  <c r="N59" i="111" s="1"/>
  <c r="AF21" i="111"/>
  <c r="W27" i="111"/>
  <c r="AE17" i="111"/>
  <c r="AC26" i="111"/>
  <c r="U26" i="111"/>
  <c r="AC28" i="111"/>
  <c r="Y25" i="111"/>
  <c r="AE16" i="111"/>
  <c r="Y23" i="111"/>
  <c r="S23" i="111"/>
  <c r="AF18" i="111"/>
  <c r="Y22" i="111"/>
  <c r="AC25" i="111"/>
  <c r="AA25" i="111"/>
  <c r="AA28" i="111"/>
  <c r="AA22" i="111"/>
  <c r="M59" i="107"/>
  <c r="AF27" i="108"/>
  <c r="F60" i="107"/>
  <c r="J59" i="108"/>
  <c r="AF42" i="110"/>
  <c r="AE42" i="110"/>
  <c r="AE42" i="109"/>
  <c r="AF42" i="109"/>
  <c r="K59" i="107"/>
  <c r="C60" i="107"/>
  <c r="L59" i="108"/>
  <c r="G59" i="108"/>
  <c r="L59" i="107"/>
  <c r="G60" i="108"/>
  <c r="AE27" i="108"/>
  <c r="AE25" i="108"/>
  <c r="F60" i="108"/>
  <c r="AE24" i="108"/>
  <c r="AF24" i="108"/>
  <c r="AF22" i="108"/>
  <c r="C60" i="108"/>
  <c r="K60" i="108"/>
  <c r="N60" i="108"/>
  <c r="AF28" i="108"/>
  <c r="K60" i="107"/>
  <c r="L60" i="108"/>
  <c r="D60" i="108"/>
  <c r="I60" i="108"/>
  <c r="E60" i="108"/>
  <c r="J60" i="108"/>
  <c r="AF25" i="108"/>
  <c r="AE26" i="108"/>
  <c r="AE27" i="107"/>
  <c r="AF23" i="108"/>
  <c r="AE23" i="108"/>
  <c r="D59" i="107"/>
  <c r="G59" i="107"/>
  <c r="J59" i="107"/>
  <c r="N60" i="107"/>
  <c r="G60" i="107"/>
  <c r="D59" i="108"/>
  <c r="M59" i="108"/>
  <c r="K59" i="108"/>
  <c r="L60" i="107"/>
  <c r="AE28" i="108"/>
  <c r="AF28" i="107"/>
  <c r="F59" i="107"/>
  <c r="I59" i="107"/>
  <c r="E59" i="107"/>
  <c r="N59" i="107"/>
  <c r="C59" i="108"/>
  <c r="AE22" i="108"/>
  <c r="N59" i="108"/>
  <c r="F59" i="108"/>
  <c r="I59" i="108"/>
  <c r="E59" i="108"/>
  <c r="H59" i="107"/>
  <c r="AF26" i="108"/>
  <c r="AE25" i="107"/>
  <c r="AE23" i="107"/>
  <c r="AF22" i="107"/>
  <c r="AE28" i="107"/>
  <c r="AE26" i="107"/>
  <c r="AE24" i="107"/>
  <c r="AE22" i="107"/>
  <c r="D60" i="107"/>
  <c r="J60" i="107"/>
  <c r="I60" i="107"/>
  <c r="E60" i="107"/>
  <c r="AF25" i="107"/>
  <c r="AF23" i="107"/>
  <c r="AF26" i="107"/>
  <c r="AF24" i="107"/>
  <c r="AF27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25" i="111" l="1"/>
  <c r="K59" i="111"/>
  <c r="E60" i="111"/>
  <c r="AE22" i="111"/>
  <c r="F60" i="111"/>
  <c r="AE27" i="111"/>
  <c r="AE25" i="111"/>
  <c r="H59" i="111"/>
  <c r="F59" i="111"/>
  <c r="E59" i="111"/>
  <c r="C59" i="111"/>
  <c r="I59" i="111"/>
  <c r="AE28" i="111"/>
  <c r="AF28" i="111"/>
  <c r="N60" i="111"/>
  <c r="H60" i="111"/>
  <c r="C60" i="111"/>
  <c r="AE23" i="111"/>
  <c r="AE24" i="111"/>
  <c r="AF24" i="111"/>
  <c r="M59" i="111"/>
  <c r="D59" i="111"/>
  <c r="L59" i="111"/>
  <c r="G59" i="111"/>
  <c r="J59" i="111"/>
  <c r="AF26" i="111"/>
  <c r="AF27" i="111"/>
  <c r="AE26" i="111"/>
  <c r="J60" i="111"/>
  <c r="I60" i="111"/>
  <c r="D60" i="111"/>
  <c r="L60" i="111"/>
  <c r="G60" i="111"/>
  <c r="AF23" i="111"/>
</calcChain>
</file>

<file path=xl/sharedStrings.xml><?xml version="1.0" encoding="utf-8"?>
<sst xmlns="http://schemas.openxmlformats.org/spreadsheetml/2006/main" count="2140" uniqueCount="178">
  <si>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</si>
  <si>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</si>
  <si>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</si>
  <si>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</si>
  <si>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</si>
  <si>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</si>
  <si>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</si>
  <si>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</si>
  <si>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</si>
  <si>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</si>
  <si>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</si>
  <si>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</si>
  <si>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</si>
  <si>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</si>
  <si>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</si>
  <si>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</si>
  <si>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</si>
  <si>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</si>
  <si>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</si>
  <si>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</si>
  <si>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</si>
  <si>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</si>
  <si>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</si>
  <si>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</si>
  <si>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</si>
  <si>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</si>
  <si>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</si>
  <si>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</si>
  <si>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</si>
  <si>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</si>
  <si>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</si>
  <si>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</si>
  <si>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</si>
  <si>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</si>
  <si>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</si>
  <si>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</si>
  <si>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</si>
  <si>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</si>
  <si>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</si>
  <si>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</si>
  <si>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</si>
  <si>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</si>
  <si>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</si>
  <si>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</si>
  <si>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</si>
  <si>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</si>
  <si>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</si>
  <si>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</si>
  <si>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</si>
  <si>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</si>
  <si>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</si>
  <si>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</si>
  <si>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</si>
  <si>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</si>
  <si>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</si>
  <si>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</si>
  <si>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</si>
  <si>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</si>
  <si>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</si>
  <si>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</si>
  <si>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</si>
  <si>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</si>
  <si>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</si>
  <si>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</si>
  <si>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</si>
  <si>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</si>
  <si>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</si>
  <si>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</si>
  <si>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</si>
  <si>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</si>
  <si>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</si>
  <si>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</si>
  <si>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</si>
  <si>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</si>
  <si>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</si>
  <si>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</si>
  <si>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</si>
  <si>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</si>
  <si>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</si>
  <si>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</si>
  <si>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</si>
  <si>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</si>
  <si>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</si>
  <si>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</si>
  <si>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</si>
  <si>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</si>
  <si>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</si>
  <si>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</si>
  <si>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</si>
  <si>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</si>
  <si>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</si>
  <si>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</si>
  <si>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</si>
  <si>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</si>
  <si>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</si>
  <si>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</si>
  <si>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</si>
  <si>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</si>
  <si>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</si>
  <si>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</si>
  <si>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</si>
  <si>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</si>
  <si>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</si>
  <si>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</si>
  <si>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</si>
  <si>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</si>
  <si>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</si>
  <si>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</si>
  <si>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</si>
  <si>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</si>
  <si>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</si>
  <si>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</si>
  <si>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</si>
  <si>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</si>
  <si>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</si>
  <si>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</si>
  <si>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</si>
  <si>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</si>
  <si>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</si>
  <si>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</si>
  <si>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</si>
  <si>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</si>
  <si>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</si>
  <si>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</si>
  <si>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</si>
  <si>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</si>
  <si>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</si>
  <si>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</si>
  <si>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</si>
  <si>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</si>
  <si>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</si>
  <si>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</si>
  <si>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</si>
  <si>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</si>
  <si>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</si>
  <si>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</si>
  <si>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</si>
  <si>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</si>
  <si>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</si>
  <si>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</si>
  <si>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</si>
  <si>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</si>
  <si>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</si>
  <si>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</si>
  <si>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</si>
  <si>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</si>
  <si>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</si>
  <si>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</si>
  <si>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</si>
  <si>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</si>
  <si>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</si>
  <si>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</si>
  <si>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</si>
  <si>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</si>
  <si>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</si>
  <si>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</si>
  <si>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</si>
  <si>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</si>
  <si>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</si>
  <si>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</si>
  <si>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</si>
  <si>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</si>
  <si>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</si>
  <si>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C1 - STN50 - NSAMBYA ROAD</t>
  </si>
  <si>
    <t>Clock Tower</t>
  </si>
  <si>
    <t>Nsambya</t>
  </si>
  <si>
    <t>Gapco</t>
  </si>
  <si>
    <t>Adong Agnes</t>
  </si>
  <si>
    <t>Felix</t>
  </si>
  <si>
    <t>29.07.19</t>
  </si>
  <si>
    <t>Kizito Godfrey</t>
  </si>
  <si>
    <t>ClockTower</t>
  </si>
  <si>
    <t>30.07.19</t>
  </si>
  <si>
    <t>31.07.19</t>
  </si>
  <si>
    <t>01.08.19</t>
  </si>
  <si>
    <t>02.08.19</t>
  </si>
  <si>
    <t>03.08.19</t>
  </si>
  <si>
    <t>04.08.19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</si>
</sst>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ClockTower-Nsambya'!$AE$9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ClockTower-Nsambya'!$AE$10:$AE$21</c:f>
              <c:numCache>
                <c:formatCode>0</c:formatCode>
                <c:ptCount val="12"/>
                <c:pt idx="0">
                  <c:v>559</c:v>
                </c:pt>
                <c:pt idx="1">
                  <c:v>471</c:v>
                </c:pt>
                <c:pt idx="2">
                  <c:v>433</c:v>
                </c:pt>
                <c:pt idx="3">
                  <c:v>390</c:v>
                </c:pt>
                <c:pt idx="4">
                  <c:v>460</c:v>
                </c:pt>
                <c:pt idx="5">
                  <c:v>814</c:v>
                </c:pt>
                <c:pt idx="6">
                  <c:v>1006</c:v>
                </c:pt>
                <c:pt idx="7">
                  <c:v>976</c:v>
                </c:pt>
                <c:pt idx="8">
                  <c:v>704</c:v>
                </c:pt>
                <c:pt idx="9">
                  <c:v>691</c:v>
                </c:pt>
                <c:pt idx="10">
                  <c:v>922</c:v>
                </c:pt>
                <c:pt idx="11">
                  <c:v>570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ClockTower-Nsambya'!$AF$9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ClockTower-Nsambya'!$AF$10:$AF$21</c:f>
              <c:numCache>
                <c:formatCode>0</c:formatCode>
                <c:ptCount val="12"/>
                <c:pt idx="0">
                  <c:v>3446</c:v>
                </c:pt>
                <c:pt idx="1">
                  <c:v>2475</c:v>
                </c:pt>
                <c:pt idx="2">
                  <c:v>1549</c:v>
                </c:pt>
                <c:pt idx="3">
                  <c:v>1206</c:v>
                </c:pt>
                <c:pt idx="4">
                  <c:v>1740</c:v>
                </c:pt>
                <c:pt idx="5">
                  <c:v>2596</c:v>
                </c:pt>
                <c:pt idx="6">
                  <c:v>2904</c:v>
                </c:pt>
                <c:pt idx="7">
                  <c:v>2928</c:v>
                </c:pt>
                <c:pt idx="8">
                  <c:v>2233</c:v>
                </c:pt>
                <c:pt idx="9">
                  <c:v>2245</c:v>
                </c:pt>
                <c:pt idx="10">
                  <c:v>2515</c:v>
                </c:pt>
                <c:pt idx="11">
                  <c:v>2574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95800"/>
        <c:axId val="205820152"/>
      </c:lineChart>
      <c:catAx>
        <c:axId val="205495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820152"/>
        <c:crosses val="autoZero"/>
        <c:auto val="1"/>
        <c:lblAlgn val="ctr"/>
        <c:lblOffset val="100"/>
        <c:noMultiLvlLbl val="0"/>
      </c:catAx>
      <c:valAx>
        <c:axId val="2058201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49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966C-49DF-A540-BEECCA775C95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ClockTower-Nsambya'!$C$59:$N$59</c:f>
              <c:numCache>
                <c:formatCode>0.0%</c:formatCode>
                <c:ptCount val="12"/>
                <c:pt idx="0">
                  <c:v>0.11439231283657739</c:v>
                </c:pt>
                <c:pt idx="1">
                  <c:v>4.6742458906761465E-2</c:v>
                </c:pt>
                <c:pt idx="2">
                  <c:v>1.9640280173172361E-2</c:v>
                </c:pt>
                <c:pt idx="3">
                  <c:v>6.8846573510260106E-2</c:v>
                </c:pt>
                <c:pt idx="4">
                  <c:v>2.0414628136989194E-3</c:v>
                </c:pt>
                <c:pt idx="5">
                  <c:v>3.5197634718946884E-4</c:v>
                </c:pt>
                <c:pt idx="6">
                  <c:v>1.1509626553095632E-2</c:v>
                </c:pt>
                <c:pt idx="7">
                  <c:v>8.3066417936714654E-3</c:v>
                </c:pt>
                <c:pt idx="8">
                  <c:v>4.5052972440252012E-3</c:v>
                </c:pt>
                <c:pt idx="9">
                  <c:v>4.8924712259336171E-3</c:v>
                </c:pt>
                <c:pt idx="10">
                  <c:v>0.71855971278730069</c:v>
                </c:pt>
                <c:pt idx="11">
                  <c:v>2.1118580831368133E-4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EE16-490A-B833-4EE796B330D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ClockTower-Nsambya'!$C$60:$N$60</c:f>
              <c:numCache>
                <c:formatCode>0.00%</c:formatCode>
                <c:ptCount val="12"/>
                <c:pt idx="0">
                  <c:v>0.40645322661330663</c:v>
                </c:pt>
                <c:pt idx="1">
                  <c:v>0.16608304152076039</c:v>
                </c:pt>
                <c:pt idx="2">
                  <c:v>6.9784892446223115E-2</c:v>
                </c:pt>
                <c:pt idx="3">
                  <c:v>0.24462231115557778</c:v>
                </c:pt>
                <c:pt idx="4">
                  <c:v>7.2536268134067031E-3</c:v>
                </c:pt>
                <c:pt idx="5">
                  <c:v>1.2506253126563281E-3</c:v>
                </c:pt>
                <c:pt idx="6">
                  <c:v>4.089544772386193E-2</c:v>
                </c:pt>
                <c:pt idx="7">
                  <c:v>2.9514757378689346E-2</c:v>
                </c:pt>
                <c:pt idx="8">
                  <c:v>1.6008004002000999E-2</c:v>
                </c:pt>
                <c:pt idx="9">
                  <c:v>1.738369184592296E-2</c:v>
                </c:pt>
                <c:pt idx="11">
                  <c:v>7.503751875937969E-4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Nsambya-ClockTower'!$AE$9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Nsambya-ClockTower'!$AE$10:$AE$21</c:f>
              <c:numCache>
                <c:formatCode>0</c:formatCode>
                <c:ptCount val="12"/>
                <c:pt idx="0">
                  <c:v>1311</c:v>
                </c:pt>
                <c:pt idx="1">
                  <c:v>1368</c:v>
                </c:pt>
                <c:pt idx="2">
                  <c:v>1134</c:v>
                </c:pt>
                <c:pt idx="3">
                  <c:v>1349</c:v>
                </c:pt>
                <c:pt idx="4">
                  <c:v>1212</c:v>
                </c:pt>
                <c:pt idx="5">
                  <c:v>1216</c:v>
                </c:pt>
                <c:pt idx="6">
                  <c:v>1178</c:v>
                </c:pt>
                <c:pt idx="7">
                  <c:v>1303</c:v>
                </c:pt>
                <c:pt idx="8">
                  <c:v>1165</c:v>
                </c:pt>
                <c:pt idx="9">
                  <c:v>1082</c:v>
                </c:pt>
                <c:pt idx="10">
                  <c:v>1117</c:v>
                </c:pt>
                <c:pt idx="11">
                  <c:v>1182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Nsambya-ClockTower'!$AF$9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Nsambya-ClockTower'!$AF$10:$AF$21</c:f>
              <c:numCache>
                <c:formatCode>0</c:formatCode>
                <c:ptCount val="12"/>
                <c:pt idx="0">
                  <c:v>2571</c:v>
                </c:pt>
                <c:pt idx="1">
                  <c:v>3083</c:v>
                </c:pt>
                <c:pt idx="2">
                  <c:v>2394</c:v>
                </c:pt>
                <c:pt idx="3">
                  <c:v>2599</c:v>
                </c:pt>
                <c:pt idx="4">
                  <c:v>2592</c:v>
                </c:pt>
                <c:pt idx="5">
                  <c:v>3033</c:v>
                </c:pt>
                <c:pt idx="6">
                  <c:v>2647</c:v>
                </c:pt>
                <c:pt idx="7">
                  <c:v>2750</c:v>
                </c:pt>
                <c:pt idx="8">
                  <c:v>2924</c:v>
                </c:pt>
                <c:pt idx="9">
                  <c:v>2834</c:v>
                </c:pt>
                <c:pt idx="10">
                  <c:v>2775</c:v>
                </c:pt>
                <c:pt idx="11">
                  <c:v>2722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14984"/>
        <c:axId val="206075056"/>
      </c:lineChart>
      <c:catAx>
        <c:axId val="1701149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5056"/>
        <c:crosses val="autoZero"/>
        <c:auto val="1"/>
        <c:lblAlgn val="ctr"/>
        <c:lblOffset val="100"/>
        <c:noMultiLvlLbl val="0"/>
      </c:catAx>
      <c:valAx>
        <c:axId val="206075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11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E8B9-4D32-9FA4-C5B7B71D021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Nsambya-ClockTower'!$C$59:$N$59</c:f>
              <c:numCache>
                <c:formatCode>0.0%</c:formatCode>
                <c:ptCount val="12"/>
                <c:pt idx="0">
                  <c:v>9.9653748025756286E-2</c:v>
                </c:pt>
                <c:pt idx="1">
                  <c:v>1.7859312355728345E-2</c:v>
                </c:pt>
                <c:pt idx="2">
                  <c:v>1.4822014336046654E-2</c:v>
                </c:pt>
                <c:pt idx="3">
                  <c:v>0.27429838415745356</c:v>
                </c:pt>
                <c:pt idx="4">
                  <c:v>2.7943141781071558E-3</c:v>
                </c:pt>
                <c:pt idx="5">
                  <c:v>3.6447576236180293E-4</c:v>
                </c:pt>
                <c:pt idx="6">
                  <c:v>1.3698214068764427E-2</c:v>
                </c:pt>
                <c:pt idx="7">
                  <c:v>9.0207751184546228E-3</c:v>
                </c:pt>
                <c:pt idx="8">
                  <c:v>5.1026606730652409E-3</c:v>
                </c:pt>
                <c:pt idx="9">
                  <c:v>6.2264609403474671E-3</c:v>
                </c:pt>
                <c:pt idx="10">
                  <c:v>0.55603814846312716</c:v>
                </c:pt>
                <c:pt idx="11">
                  <c:v>1.2149192078726765E-4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Nsambya-ClockTower'!$S$9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Nsambya-ClockTower'!$S$10:$S$21</c:f>
              <c:numCache>
                <c:formatCode>0</c:formatCode>
                <c:ptCount val="12"/>
                <c:pt idx="0">
                  <c:v>321</c:v>
                </c:pt>
                <c:pt idx="1">
                  <c:v>380</c:v>
                </c:pt>
                <c:pt idx="2">
                  <c:v>227</c:v>
                </c:pt>
                <c:pt idx="3">
                  <c:v>266</c:v>
                </c:pt>
                <c:pt idx="4">
                  <c:v>299</c:v>
                </c:pt>
                <c:pt idx="5">
                  <c:v>279</c:v>
                </c:pt>
                <c:pt idx="6">
                  <c:v>260</c:v>
                </c:pt>
                <c:pt idx="7">
                  <c:v>288</c:v>
                </c:pt>
                <c:pt idx="8">
                  <c:v>242</c:v>
                </c:pt>
                <c:pt idx="9">
                  <c:v>209</c:v>
                </c:pt>
                <c:pt idx="10">
                  <c:v>241</c:v>
                </c:pt>
                <c:pt idx="11">
                  <c:v>269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Nsambya-ClockTower'!$T$9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Nsambya-ClockTower'!$T$10:$T$21</c:f>
              <c:numCache>
                <c:formatCode>0</c:formatCode>
                <c:ptCount val="12"/>
                <c:pt idx="0">
                  <c:v>43</c:v>
                </c:pt>
                <c:pt idx="1">
                  <c:v>26</c:v>
                </c:pt>
                <c:pt idx="2">
                  <c:v>43</c:v>
                </c:pt>
                <c:pt idx="3">
                  <c:v>37</c:v>
                </c:pt>
                <c:pt idx="4">
                  <c:v>55</c:v>
                </c:pt>
                <c:pt idx="5">
                  <c:v>80</c:v>
                </c:pt>
                <c:pt idx="6">
                  <c:v>47</c:v>
                </c:pt>
                <c:pt idx="7">
                  <c:v>110</c:v>
                </c:pt>
                <c:pt idx="8">
                  <c:v>47</c:v>
                </c:pt>
                <c:pt idx="9">
                  <c:v>37</c:v>
                </c:pt>
                <c:pt idx="10">
                  <c:v>44</c:v>
                </c:pt>
                <c:pt idx="11">
                  <c:v>19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Nsambya-ClockTower'!$U$9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Nsambya-ClockTower'!$U$10:$U$21</c:f>
              <c:numCache>
                <c:formatCode>0</c:formatCode>
                <c:ptCount val="12"/>
                <c:pt idx="0">
                  <c:v>38</c:v>
                </c:pt>
                <c:pt idx="1">
                  <c:v>32</c:v>
                </c:pt>
                <c:pt idx="2">
                  <c:v>40</c:v>
                </c:pt>
                <c:pt idx="3">
                  <c:v>41</c:v>
                </c:pt>
                <c:pt idx="4">
                  <c:v>30</c:v>
                </c:pt>
                <c:pt idx="5">
                  <c:v>63</c:v>
                </c:pt>
                <c:pt idx="6">
                  <c:v>37</c:v>
                </c:pt>
                <c:pt idx="7">
                  <c:v>42</c:v>
                </c:pt>
                <c:pt idx="8">
                  <c:v>49</c:v>
                </c:pt>
                <c:pt idx="9">
                  <c:v>52</c:v>
                </c:pt>
                <c:pt idx="10">
                  <c:v>32</c:v>
                </c:pt>
                <c:pt idx="11">
                  <c:v>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Nsambya-ClockTower'!$V$9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Nsambya-ClockTower'!$V$10:$V$21</c:f>
              <c:numCache>
                <c:formatCode>0</c:formatCode>
                <c:ptCount val="12"/>
                <c:pt idx="0">
                  <c:v>886</c:v>
                </c:pt>
                <c:pt idx="1">
                  <c:v>880</c:v>
                </c:pt>
                <c:pt idx="2">
                  <c:v>765</c:v>
                </c:pt>
                <c:pt idx="3">
                  <c:v>945</c:v>
                </c:pt>
                <c:pt idx="4">
                  <c:v>745</c:v>
                </c:pt>
                <c:pt idx="5">
                  <c:v>710</c:v>
                </c:pt>
                <c:pt idx="6">
                  <c:v>710</c:v>
                </c:pt>
                <c:pt idx="7">
                  <c:v>775</c:v>
                </c:pt>
                <c:pt idx="8">
                  <c:v>635</c:v>
                </c:pt>
                <c:pt idx="9">
                  <c:v>690</c:v>
                </c:pt>
                <c:pt idx="10">
                  <c:v>710</c:v>
                </c:pt>
                <c:pt idx="11">
                  <c:v>580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Nsambya-ClockTower'!$W$9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Nsambya-ClockTower'!$W$10:$W$21</c:f>
              <c:numCache>
                <c:formatCode>0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7</c:v>
                </c:pt>
                <c:pt idx="10">
                  <c:v>6</c:v>
                </c:pt>
                <c:pt idx="11">
                  <c:v>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Nsambya-ClockTower'!$X$9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Nsambya-ClockTower'!$X$10:$X$21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Nsambya-ClockTower'!$Y$9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Nsambya-ClockTower'!$Y$10:$Y$21</c:f>
              <c:numCache>
                <c:formatCode>0</c:formatCode>
                <c:ptCount val="12"/>
                <c:pt idx="0">
                  <c:v>16</c:v>
                </c:pt>
                <c:pt idx="1">
                  <c:v>17</c:v>
                </c:pt>
                <c:pt idx="2">
                  <c:v>25</c:v>
                </c:pt>
                <c:pt idx="3">
                  <c:v>24</c:v>
                </c:pt>
                <c:pt idx="4">
                  <c:v>39</c:v>
                </c:pt>
                <c:pt idx="5">
                  <c:v>28</c:v>
                </c:pt>
                <c:pt idx="6">
                  <c:v>60</c:v>
                </c:pt>
                <c:pt idx="7">
                  <c:v>32</c:v>
                </c:pt>
                <c:pt idx="8">
                  <c:v>102</c:v>
                </c:pt>
                <c:pt idx="9">
                  <c:v>33</c:v>
                </c:pt>
                <c:pt idx="10">
                  <c:v>29</c:v>
                </c:pt>
                <c:pt idx="11">
                  <c:v>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Nsambya-ClockTower'!$Z$9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Nsambya-ClockTower'!$Z$10:$Z$21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15</c:v>
                </c:pt>
                <c:pt idx="4">
                  <c:v>25</c:v>
                </c:pt>
                <c:pt idx="5">
                  <c:v>22</c:v>
                </c:pt>
                <c:pt idx="6">
                  <c:v>23</c:v>
                </c:pt>
                <c:pt idx="7">
                  <c:v>17</c:v>
                </c:pt>
                <c:pt idx="8">
                  <c:v>49</c:v>
                </c:pt>
                <c:pt idx="9">
                  <c:v>29</c:v>
                </c:pt>
                <c:pt idx="10">
                  <c:v>22</c:v>
                </c:pt>
                <c:pt idx="11">
                  <c:v>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Nsambya-ClockTower'!$AA$9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  <c:pt idx="4">
                  <c:v>4</c:v>
                </c:pt>
                <c:pt idx="5">
                  <c:v>9</c:v>
                </c:pt>
                <c:pt idx="6">
                  <c:v>15</c:v>
                </c:pt>
                <c:pt idx="7">
                  <c:v>12</c:v>
                </c:pt>
                <c:pt idx="8">
                  <c:v>24</c:v>
                </c:pt>
                <c:pt idx="9">
                  <c:v>11</c:v>
                </c:pt>
                <c:pt idx="10">
                  <c:v>11</c:v>
                </c:pt>
                <c:pt idx="11">
                  <c:v>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Nsambya-ClockTower'!$AB$9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Nsambya-ClockTower'!$AB$10:$AB$21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11</c:v>
                </c:pt>
                <c:pt idx="3">
                  <c:v>13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21</c:v>
                </c:pt>
                <c:pt idx="8">
                  <c:v>13</c:v>
                </c:pt>
                <c:pt idx="9">
                  <c:v>14</c:v>
                </c:pt>
                <c:pt idx="10">
                  <c:v>22</c:v>
                </c:pt>
                <c:pt idx="11">
                  <c:v>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Nsambya-ClockTower'!$AC$9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Nsambya-ClockTower'!$AC$10:$AC$21</c:f>
              <c:numCache>
                <c:formatCode>0</c:formatCode>
                <c:ptCount val="12"/>
                <c:pt idx="0">
                  <c:v>1260</c:v>
                </c:pt>
                <c:pt idx="1">
                  <c:v>1715</c:v>
                </c:pt>
                <c:pt idx="2">
                  <c:v>1260</c:v>
                </c:pt>
                <c:pt idx="3">
                  <c:v>1250</c:v>
                </c:pt>
                <c:pt idx="4">
                  <c:v>1380</c:v>
                </c:pt>
                <c:pt idx="5">
                  <c:v>1817</c:v>
                </c:pt>
                <c:pt idx="6">
                  <c:v>1469</c:v>
                </c:pt>
                <c:pt idx="7">
                  <c:v>1447</c:v>
                </c:pt>
                <c:pt idx="8">
                  <c:v>1759</c:v>
                </c:pt>
                <c:pt idx="9">
                  <c:v>1752</c:v>
                </c:pt>
                <c:pt idx="10">
                  <c:v>1658</c:v>
                </c:pt>
                <c:pt idx="11">
                  <c:v>1540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Nsambya-ClockTower'!$AD$9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Nsambya-ClockTower'!$AD$10:$AD$21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72312"/>
        <c:axId val="206072704"/>
      </c:lineChart>
      <c:catAx>
        <c:axId val="20607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2704"/>
        <c:crosses val="autoZero"/>
        <c:auto val="1"/>
        <c:lblAlgn val="ctr"/>
        <c:lblOffset val="100"/>
        <c:noMultiLvlLbl val="0"/>
      </c:catAx>
      <c:valAx>
        <c:axId val="2060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4F2F-4319-A1B1-A94A163849D9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Nsambya-ClockTower'!$C$60:$N$60</c:f>
              <c:numCache>
                <c:formatCode>0.00%</c:formatCode>
                <c:ptCount val="12"/>
                <c:pt idx="0">
                  <c:v>0.22446466443182594</c:v>
                </c:pt>
                <c:pt idx="1">
                  <c:v>4.0227132790586304E-2</c:v>
                </c:pt>
                <c:pt idx="2">
                  <c:v>3.3385783676541013E-2</c:v>
                </c:pt>
                <c:pt idx="3">
                  <c:v>0.6178422384894301</c:v>
                </c:pt>
                <c:pt idx="4">
                  <c:v>6.2940411849216667E-3</c:v>
                </c:pt>
                <c:pt idx="5">
                  <c:v>8.2096189368543473E-4</c:v>
                </c:pt>
                <c:pt idx="6">
                  <c:v>3.0854484504344255E-2</c:v>
                </c:pt>
                <c:pt idx="7">
                  <c:v>2.0318806868714512E-2</c:v>
                </c:pt>
                <c:pt idx="8">
                  <c:v>1.1493466511596087E-2</c:v>
                </c:pt>
                <c:pt idx="9">
                  <c:v>1.4024765683792843E-2</c:v>
                </c:pt>
                <c:pt idx="11">
                  <c:v>2.7365396456181161E-4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ClockTower-Nsambya'!$AE$9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ClockTower-Nsambya'!$AE$10:$AE$21</c:f>
              <c:numCache>
                <c:formatCode>0</c:formatCode>
                <c:ptCount val="12"/>
                <c:pt idx="0">
                  <c:v>616</c:v>
                </c:pt>
                <c:pt idx="1">
                  <c:v>463</c:v>
                </c:pt>
                <c:pt idx="2">
                  <c:v>386</c:v>
                </c:pt>
                <c:pt idx="3">
                  <c:v>471</c:v>
                </c:pt>
                <c:pt idx="4">
                  <c:v>480</c:v>
                </c:pt>
                <c:pt idx="5">
                  <c:v>486</c:v>
                </c:pt>
                <c:pt idx="6">
                  <c:v>439</c:v>
                </c:pt>
                <c:pt idx="7">
                  <c:v>543</c:v>
                </c:pt>
                <c:pt idx="8">
                  <c:v>556</c:v>
                </c:pt>
                <c:pt idx="9">
                  <c:v>854</c:v>
                </c:pt>
                <c:pt idx="10">
                  <c:v>657</c:v>
                </c:pt>
                <c:pt idx="11">
                  <c:v>632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ClockTower-Nsambya'!$AF$9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ClockTower-Nsambya'!$AF$10:$AF$21</c:f>
              <c:numCache>
                <c:formatCode>0</c:formatCode>
                <c:ptCount val="12"/>
                <c:pt idx="0">
                  <c:v>2985</c:v>
                </c:pt>
                <c:pt idx="1">
                  <c:v>1837</c:v>
                </c:pt>
                <c:pt idx="2">
                  <c:v>1768</c:v>
                </c:pt>
                <c:pt idx="3">
                  <c:v>1371</c:v>
                </c:pt>
                <c:pt idx="4">
                  <c:v>1794</c:v>
                </c:pt>
                <c:pt idx="5">
                  <c:v>1405</c:v>
                </c:pt>
                <c:pt idx="6">
                  <c:v>1137</c:v>
                </c:pt>
                <c:pt idx="7">
                  <c:v>1731</c:v>
                </c:pt>
                <c:pt idx="8">
                  <c:v>2341</c:v>
                </c:pt>
                <c:pt idx="9">
                  <c:v>4157</c:v>
                </c:pt>
                <c:pt idx="10">
                  <c:v>3442</c:v>
                </c:pt>
                <c:pt idx="11">
                  <c:v>3523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74664"/>
        <c:axId val="206071920"/>
      </c:lineChart>
      <c:catAx>
        <c:axId val="206074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1920"/>
        <c:crosses val="autoZero"/>
        <c:auto val="1"/>
        <c:lblAlgn val="ctr"/>
        <c:lblOffset val="100"/>
        <c:noMultiLvlLbl val="0"/>
      </c:catAx>
      <c:valAx>
        <c:axId val="206071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4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F5BA-447C-A3CB-236E1F2B31F3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ClockTower-Nsambya'!$C$59:$N$59</c:f>
              <c:numCache>
                <c:formatCode>0.0%</c:formatCode>
                <c:ptCount val="12"/>
                <c:pt idx="0">
                  <c:v>8.861081808591903E-2</c:v>
                </c:pt>
                <c:pt idx="1">
                  <c:v>3.2519733731039252E-2</c:v>
                </c:pt>
                <c:pt idx="2">
                  <c:v>1.7824015132225091E-2</c:v>
                </c:pt>
                <c:pt idx="3">
                  <c:v>6.1583791058892001E-2</c:v>
                </c:pt>
                <c:pt idx="4">
                  <c:v>2.546287876032156E-3</c:v>
                </c:pt>
                <c:pt idx="5">
                  <c:v>4.3650649303408391E-4</c:v>
                </c:pt>
                <c:pt idx="6">
                  <c:v>1.9024407988068821E-2</c:v>
                </c:pt>
                <c:pt idx="7">
                  <c:v>7.8934924156996832E-3</c:v>
                </c:pt>
                <c:pt idx="8">
                  <c:v>2.4735367938598088E-3</c:v>
                </c:pt>
                <c:pt idx="9">
                  <c:v>6.4020952311665633E-3</c:v>
                </c:pt>
                <c:pt idx="10">
                  <c:v>0.76053981302971885</c:v>
                </c:pt>
                <c:pt idx="11">
                  <c:v>1.4550216434469464E-4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ClockTower-Nsambya'!$S$9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ClockTower-Nsambya'!$S$10:$S$21</c:f>
              <c:numCache>
                <c:formatCode>0</c:formatCode>
                <c:ptCount val="12"/>
                <c:pt idx="0">
                  <c:v>229</c:v>
                </c:pt>
                <c:pt idx="1">
                  <c:v>144</c:v>
                </c:pt>
                <c:pt idx="2">
                  <c:v>112</c:v>
                </c:pt>
                <c:pt idx="3">
                  <c:v>174</c:v>
                </c:pt>
                <c:pt idx="4">
                  <c:v>196</c:v>
                </c:pt>
                <c:pt idx="5">
                  <c:v>188</c:v>
                </c:pt>
                <c:pt idx="6">
                  <c:v>170</c:v>
                </c:pt>
                <c:pt idx="7">
                  <c:v>240</c:v>
                </c:pt>
                <c:pt idx="8">
                  <c:v>242</c:v>
                </c:pt>
                <c:pt idx="9">
                  <c:v>235</c:v>
                </c:pt>
                <c:pt idx="10">
                  <c:v>331</c:v>
                </c:pt>
                <c:pt idx="11">
                  <c:v>175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ClockTower-Nsambya'!$T$9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ClockTower-Nsambya'!$T$10:$T$21</c:f>
              <c:numCache>
                <c:formatCode>0</c:formatCode>
                <c:ptCount val="12"/>
                <c:pt idx="0">
                  <c:v>45</c:v>
                </c:pt>
                <c:pt idx="1">
                  <c:v>40</c:v>
                </c:pt>
                <c:pt idx="2">
                  <c:v>27</c:v>
                </c:pt>
                <c:pt idx="3">
                  <c:v>22</c:v>
                </c:pt>
                <c:pt idx="4">
                  <c:v>28</c:v>
                </c:pt>
                <c:pt idx="5">
                  <c:v>37</c:v>
                </c:pt>
                <c:pt idx="6">
                  <c:v>61</c:v>
                </c:pt>
                <c:pt idx="7">
                  <c:v>47</c:v>
                </c:pt>
                <c:pt idx="8">
                  <c:v>52</c:v>
                </c:pt>
                <c:pt idx="9">
                  <c:v>230</c:v>
                </c:pt>
                <c:pt idx="10">
                  <c:v>140</c:v>
                </c:pt>
                <c:pt idx="11">
                  <c:v>165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ClockTower-Nsambya'!$U$9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ClockTower-Nsambya'!$U$10:$U$21</c:f>
              <c:numCache>
                <c:formatCode>0</c:formatCode>
                <c:ptCount val="12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16</c:v>
                </c:pt>
                <c:pt idx="4">
                  <c:v>22</c:v>
                </c:pt>
                <c:pt idx="5">
                  <c:v>31</c:v>
                </c:pt>
                <c:pt idx="6">
                  <c:v>28</c:v>
                </c:pt>
                <c:pt idx="7">
                  <c:v>35</c:v>
                </c:pt>
                <c:pt idx="8">
                  <c:v>33</c:v>
                </c:pt>
                <c:pt idx="9">
                  <c:v>103</c:v>
                </c:pt>
                <c:pt idx="10">
                  <c:v>44</c:v>
                </c:pt>
                <c:pt idx="11">
                  <c:v>117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ClockTower-Nsambya'!$V$9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ClockTower-Nsambya'!$V$10:$V$21</c:f>
              <c:numCache>
                <c:formatCode>0</c:formatCode>
                <c:ptCount val="12"/>
                <c:pt idx="0">
                  <c:v>250</c:v>
                </c:pt>
                <c:pt idx="1">
                  <c:v>198</c:v>
                </c:pt>
                <c:pt idx="2">
                  <c:v>159</c:v>
                </c:pt>
                <c:pt idx="3">
                  <c:v>146</c:v>
                </c:pt>
                <c:pt idx="4">
                  <c:v>151</c:v>
                </c:pt>
                <c:pt idx="5">
                  <c:v>146</c:v>
                </c:pt>
                <c:pt idx="6">
                  <c:v>115</c:v>
                </c:pt>
                <c:pt idx="7">
                  <c:v>109</c:v>
                </c:pt>
                <c:pt idx="8">
                  <c:v>129</c:v>
                </c:pt>
                <c:pt idx="9">
                  <c:v>119</c:v>
                </c:pt>
                <c:pt idx="10">
                  <c:v>102</c:v>
                </c:pt>
                <c:pt idx="11">
                  <c:v>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ClockTower-Nsambya'!$W$9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ClockTower-Nsambya'!$W$10:$W$21</c:f>
              <c:numCache>
                <c:formatCode>0</c:formatCode>
                <c:ptCount val="12"/>
                <c:pt idx="0">
                  <c:v>29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6</c:v>
                </c:pt>
                <c:pt idx="10">
                  <c:v>10</c:v>
                </c:pt>
                <c:pt idx="11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ClockTower-Nsambya'!$X$9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ClockTower-Nsambya'!$X$10:$X$21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ClockTower-Nsambya'!$Y$9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ClockTower-Nsambya'!$Y$10:$Y$21</c:f>
              <c:numCache>
                <c:formatCode>0</c:formatCode>
                <c:ptCount val="12"/>
                <c:pt idx="0">
                  <c:v>12</c:v>
                </c:pt>
                <c:pt idx="1">
                  <c:v>23</c:v>
                </c:pt>
                <c:pt idx="2">
                  <c:v>28</c:v>
                </c:pt>
                <c:pt idx="3">
                  <c:v>73</c:v>
                </c:pt>
                <c:pt idx="4">
                  <c:v>25</c:v>
                </c:pt>
                <c:pt idx="5">
                  <c:v>36</c:v>
                </c:pt>
                <c:pt idx="6">
                  <c:v>9</c:v>
                </c:pt>
                <c:pt idx="7">
                  <c:v>60</c:v>
                </c:pt>
                <c:pt idx="8">
                  <c:v>55</c:v>
                </c:pt>
                <c:pt idx="9">
                  <c:v>120</c:v>
                </c:pt>
                <c:pt idx="10">
                  <c:v>0</c:v>
                </c:pt>
                <c:pt idx="11">
                  <c:v>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ClockTower-Nsambya'!$Z$9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ClockTower-Nsambya'!$Z$10:$Z$21</c:f>
              <c:numCache>
                <c:formatCode>0</c:formatCode>
                <c:ptCount val="12"/>
                <c:pt idx="0">
                  <c:v>8</c:v>
                </c:pt>
                <c:pt idx="1">
                  <c:v>17</c:v>
                </c:pt>
                <c:pt idx="2">
                  <c:v>12</c:v>
                </c:pt>
                <c:pt idx="3">
                  <c:v>14</c:v>
                </c:pt>
                <c:pt idx="4">
                  <c:v>27</c:v>
                </c:pt>
                <c:pt idx="5">
                  <c:v>25</c:v>
                </c:pt>
                <c:pt idx="6">
                  <c:v>26</c:v>
                </c:pt>
                <c:pt idx="7">
                  <c:v>28</c:v>
                </c:pt>
                <c:pt idx="8">
                  <c:v>19</c:v>
                </c:pt>
                <c:pt idx="9">
                  <c:v>16</c:v>
                </c:pt>
                <c:pt idx="10">
                  <c:v>13</c:v>
                </c:pt>
                <c:pt idx="11">
                  <c:v>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ClockTower-Nsambya'!$AA$9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ClockTower-Nsambya'!$AA$10:$AA$21</c:f>
              <c:numCache>
                <c:formatCode>0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9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ClockTower-Nsambya'!$AB$9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ClockTower-Nsambya'!$AB$10:$AB$21</c:f>
              <c:numCache>
                <c:formatCode>0</c:formatCode>
                <c:ptCount val="12"/>
                <c:pt idx="0">
                  <c:v>6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  <c:pt idx="4">
                  <c:v>23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18</c:v>
                </c:pt>
                <c:pt idx="9">
                  <c:v>22</c:v>
                </c:pt>
                <c:pt idx="10">
                  <c:v>13</c:v>
                </c:pt>
                <c:pt idx="11">
                  <c:v>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ClockTower-Nsambya'!$AC$9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ClockTower-Nsambya'!$AC$10:$AC$21</c:f>
              <c:numCache>
                <c:formatCode>0</c:formatCode>
                <c:ptCount val="12"/>
                <c:pt idx="0">
                  <c:v>2369</c:v>
                </c:pt>
                <c:pt idx="1">
                  <c:v>1374</c:v>
                </c:pt>
                <c:pt idx="2">
                  <c:v>1382</c:v>
                </c:pt>
                <c:pt idx="3">
                  <c:v>900</c:v>
                </c:pt>
                <c:pt idx="4">
                  <c:v>1314</c:v>
                </c:pt>
                <c:pt idx="5">
                  <c:v>919</c:v>
                </c:pt>
                <c:pt idx="6">
                  <c:v>698</c:v>
                </c:pt>
                <c:pt idx="7">
                  <c:v>1188</c:v>
                </c:pt>
                <c:pt idx="8">
                  <c:v>1785</c:v>
                </c:pt>
                <c:pt idx="9">
                  <c:v>3303</c:v>
                </c:pt>
                <c:pt idx="10">
                  <c:v>2785</c:v>
                </c:pt>
                <c:pt idx="11">
                  <c:v>2891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ClockTower-Nsambya'!$AD$9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ClockTower-Nsambya'!$AD$10:$AD$21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77016"/>
        <c:axId val="206075840"/>
      </c:lineChart>
      <c:catAx>
        <c:axId val="20607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5840"/>
        <c:crosses val="autoZero"/>
        <c:auto val="1"/>
        <c:lblAlgn val="ctr"/>
        <c:lblOffset val="100"/>
        <c:noMultiLvlLbl val="0"/>
      </c:catAx>
      <c:valAx>
        <c:axId val="2060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CB73-46DF-8DE2-8B27C2F90D1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ClockTower-Nsambya'!$C$60:$N$60</c:f>
              <c:numCache>
                <c:formatCode>0.00%</c:formatCode>
                <c:ptCount val="12"/>
                <c:pt idx="0">
                  <c:v>0.37004405286343611</c:v>
                </c:pt>
                <c:pt idx="1">
                  <c:v>0.13580434452377335</c:v>
                </c:pt>
                <c:pt idx="2">
                  <c:v>7.4434148564484284E-2</c:v>
                </c:pt>
                <c:pt idx="3">
                  <c:v>0.25717757861157525</c:v>
                </c:pt>
                <c:pt idx="4">
                  <c:v>1.0633449794926326E-2</c:v>
                </c:pt>
                <c:pt idx="5">
                  <c:v>1.8228771077016558E-3</c:v>
                </c:pt>
                <c:pt idx="6">
                  <c:v>7.9447060610663825E-2</c:v>
                </c:pt>
                <c:pt idx="7">
                  <c:v>3.2963694364271608E-2</c:v>
                </c:pt>
                <c:pt idx="8">
                  <c:v>1.0329636943642716E-2</c:v>
                </c:pt>
                <c:pt idx="9">
                  <c:v>2.673553091295762E-2</c:v>
                </c:pt>
                <c:pt idx="11">
                  <c:v>6.0762570256721858E-4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Nsambya-ClockTower'!$AE$9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Nsambya-ClockTower'!$AE$10:$AE$21</c:f>
              <c:numCache>
                <c:formatCode>0</c:formatCode>
                <c:ptCount val="12"/>
                <c:pt idx="0">
                  <c:v>1030</c:v>
                </c:pt>
                <c:pt idx="1">
                  <c:v>782</c:v>
                </c:pt>
                <c:pt idx="2">
                  <c:v>950</c:v>
                </c:pt>
                <c:pt idx="3">
                  <c:v>735</c:v>
                </c:pt>
                <c:pt idx="4">
                  <c:v>1141</c:v>
                </c:pt>
                <c:pt idx="5">
                  <c:v>877</c:v>
                </c:pt>
                <c:pt idx="6">
                  <c:v>966</c:v>
                </c:pt>
                <c:pt idx="7">
                  <c:v>1041</c:v>
                </c:pt>
                <c:pt idx="8">
                  <c:v>1062</c:v>
                </c:pt>
                <c:pt idx="9">
                  <c:v>1047</c:v>
                </c:pt>
                <c:pt idx="10">
                  <c:v>912</c:v>
                </c:pt>
                <c:pt idx="11">
                  <c:v>764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Nsambya-ClockTower'!$AF$9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Nsambya-ClockTower'!$AF$10:$AF$21</c:f>
              <c:numCache>
                <c:formatCode>0</c:formatCode>
                <c:ptCount val="12"/>
                <c:pt idx="0">
                  <c:v>2515</c:v>
                </c:pt>
                <c:pt idx="1">
                  <c:v>2775</c:v>
                </c:pt>
                <c:pt idx="2">
                  <c:v>2702</c:v>
                </c:pt>
                <c:pt idx="3">
                  <c:v>2610</c:v>
                </c:pt>
                <c:pt idx="4">
                  <c:v>2338</c:v>
                </c:pt>
                <c:pt idx="5">
                  <c:v>2683</c:v>
                </c:pt>
                <c:pt idx="6">
                  <c:v>2656</c:v>
                </c:pt>
                <c:pt idx="7">
                  <c:v>2560</c:v>
                </c:pt>
                <c:pt idx="8">
                  <c:v>2135</c:v>
                </c:pt>
                <c:pt idx="9">
                  <c:v>2489</c:v>
                </c:pt>
                <c:pt idx="10">
                  <c:v>2894</c:v>
                </c:pt>
                <c:pt idx="11">
                  <c:v>2644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77408"/>
        <c:axId val="206078976"/>
      </c:lineChart>
      <c:catAx>
        <c:axId val="2060774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8976"/>
        <c:crosses val="autoZero"/>
        <c:auto val="1"/>
        <c:lblAlgn val="ctr"/>
        <c:lblOffset val="100"/>
        <c:noMultiLvlLbl val="0"/>
      </c:catAx>
      <c:valAx>
        <c:axId val="206078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7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CAD9-43D2-B994-F66788B4CE1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Nsambya-ClockTower'!$C$59:$N$59</c:f>
              <c:numCache>
                <c:formatCode>0.0%</c:formatCode>
                <c:ptCount val="12"/>
                <c:pt idx="0">
                  <c:v>0.13625366923647625</c:v>
                </c:pt>
                <c:pt idx="1">
                  <c:v>2.2386374633076352E-2</c:v>
                </c:pt>
                <c:pt idx="2">
                  <c:v>1.8225218541337376E-2</c:v>
                </c:pt>
                <c:pt idx="3">
                  <c:v>0.13376987839101964</c:v>
                </c:pt>
                <c:pt idx="4">
                  <c:v>2.1934776297538789E-3</c:v>
                </c:pt>
                <c:pt idx="5">
                  <c:v>4.5159833553756328E-4</c:v>
                </c:pt>
                <c:pt idx="6">
                  <c:v>1.6225283055385311E-2</c:v>
                </c:pt>
                <c:pt idx="7">
                  <c:v>8.1932840876100775E-3</c:v>
                </c:pt>
                <c:pt idx="8">
                  <c:v>4.7095254991774459E-3</c:v>
                </c:pt>
                <c:pt idx="9">
                  <c:v>2.1967033321505756E-2</c:v>
                </c:pt>
                <c:pt idx="10">
                  <c:v>0.63526983000548365</c:v>
                </c:pt>
                <c:pt idx="11">
                  <c:v>3.5482726363665688E-4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Nsambya-ClockTower'!$S$9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Nsambya-ClockTower'!$S$10:$S$21</c:f>
              <c:numCache>
                <c:formatCode>0</c:formatCode>
                <c:ptCount val="12"/>
                <c:pt idx="0">
                  <c:v>448</c:v>
                </c:pt>
                <c:pt idx="1">
                  <c:v>399</c:v>
                </c:pt>
                <c:pt idx="2">
                  <c:v>410</c:v>
                </c:pt>
                <c:pt idx="3">
                  <c:v>308</c:v>
                </c:pt>
                <c:pt idx="4">
                  <c:v>245</c:v>
                </c:pt>
                <c:pt idx="5">
                  <c:v>275</c:v>
                </c:pt>
                <c:pt idx="6">
                  <c:v>413</c:v>
                </c:pt>
                <c:pt idx="7">
                  <c:v>438</c:v>
                </c:pt>
                <c:pt idx="8">
                  <c:v>390</c:v>
                </c:pt>
                <c:pt idx="9">
                  <c:v>265</c:v>
                </c:pt>
                <c:pt idx="10">
                  <c:v>345</c:v>
                </c:pt>
                <c:pt idx="11">
                  <c:v>288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Nsambya-ClockTower'!$T$9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Nsambya-ClockTower'!$T$10:$T$21</c:f>
              <c:numCache>
                <c:formatCode>0</c:formatCode>
                <c:ptCount val="12"/>
                <c:pt idx="0">
                  <c:v>55</c:v>
                </c:pt>
                <c:pt idx="1">
                  <c:v>52</c:v>
                </c:pt>
                <c:pt idx="2">
                  <c:v>97</c:v>
                </c:pt>
                <c:pt idx="3">
                  <c:v>56</c:v>
                </c:pt>
                <c:pt idx="4">
                  <c:v>81</c:v>
                </c:pt>
                <c:pt idx="5">
                  <c:v>81</c:v>
                </c:pt>
                <c:pt idx="6">
                  <c:v>46</c:v>
                </c:pt>
                <c:pt idx="7">
                  <c:v>70</c:v>
                </c:pt>
                <c:pt idx="8">
                  <c:v>34</c:v>
                </c:pt>
                <c:pt idx="9">
                  <c:v>63</c:v>
                </c:pt>
                <c:pt idx="10">
                  <c:v>30</c:v>
                </c:pt>
                <c:pt idx="11">
                  <c:v>29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Nsambya-ClockTower'!$U$9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Nsambya-ClockTower'!$U$10:$U$21</c:f>
              <c:numCache>
                <c:formatCode>0</c:formatCode>
                <c:ptCount val="12"/>
                <c:pt idx="0">
                  <c:v>24</c:v>
                </c:pt>
                <c:pt idx="1">
                  <c:v>37</c:v>
                </c:pt>
                <c:pt idx="2">
                  <c:v>58</c:v>
                </c:pt>
                <c:pt idx="3">
                  <c:v>41</c:v>
                </c:pt>
                <c:pt idx="4">
                  <c:v>29</c:v>
                </c:pt>
                <c:pt idx="5">
                  <c:v>36</c:v>
                </c:pt>
                <c:pt idx="6">
                  <c:v>41</c:v>
                </c:pt>
                <c:pt idx="7">
                  <c:v>62</c:v>
                </c:pt>
                <c:pt idx="8">
                  <c:v>29</c:v>
                </c:pt>
                <c:pt idx="9">
                  <c:v>32</c:v>
                </c:pt>
                <c:pt idx="10">
                  <c:v>72</c:v>
                </c:pt>
                <c:pt idx="11">
                  <c:v>104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Nsambya-ClockTower'!$V$9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Nsambya-ClockTower'!$V$10:$V$21</c:f>
              <c:numCache>
                <c:formatCode>0</c:formatCode>
                <c:ptCount val="12"/>
                <c:pt idx="0">
                  <c:v>461</c:v>
                </c:pt>
                <c:pt idx="1">
                  <c:v>245</c:v>
                </c:pt>
                <c:pt idx="2">
                  <c:v>322</c:v>
                </c:pt>
                <c:pt idx="3">
                  <c:v>253</c:v>
                </c:pt>
                <c:pt idx="4">
                  <c:v>285</c:v>
                </c:pt>
                <c:pt idx="5">
                  <c:v>372</c:v>
                </c:pt>
                <c:pt idx="6">
                  <c:v>354</c:v>
                </c:pt>
                <c:pt idx="7">
                  <c:v>356</c:v>
                </c:pt>
                <c:pt idx="8">
                  <c:v>380</c:v>
                </c:pt>
                <c:pt idx="9">
                  <c:v>563</c:v>
                </c:pt>
                <c:pt idx="10">
                  <c:v>345</c:v>
                </c:pt>
                <c:pt idx="11">
                  <c:v>211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Nsambya-ClockTower'!$W$9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Nsambya-ClockTower'!$W$10:$W$21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Nsambya-ClockTower'!$X$9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Nsambya-ClockTower'!$X$10:$X$21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Nsambya-ClockTower'!$Y$9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Nsambya-ClockTower'!$Y$10:$Y$21</c:f>
              <c:numCache>
                <c:formatCode>0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22</c:v>
                </c:pt>
                <c:pt idx="3">
                  <c:v>31</c:v>
                </c:pt>
                <c:pt idx="4">
                  <c:v>22</c:v>
                </c:pt>
                <c:pt idx="5">
                  <c:v>30</c:v>
                </c:pt>
                <c:pt idx="6">
                  <c:v>46</c:v>
                </c:pt>
                <c:pt idx="7">
                  <c:v>40</c:v>
                </c:pt>
                <c:pt idx="8">
                  <c:v>165</c:v>
                </c:pt>
                <c:pt idx="9">
                  <c:v>45</c:v>
                </c:pt>
                <c:pt idx="10">
                  <c:v>45</c:v>
                </c:pt>
                <c:pt idx="11">
                  <c:v>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Nsambya-ClockTower'!$Z$9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Nsambya-ClockTower'!$Z$10:$Z$21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17</c:v>
                </c:pt>
                <c:pt idx="3">
                  <c:v>21</c:v>
                </c:pt>
                <c:pt idx="4">
                  <c:v>26</c:v>
                </c:pt>
                <c:pt idx="5">
                  <c:v>24</c:v>
                </c:pt>
                <c:pt idx="6">
                  <c:v>16</c:v>
                </c:pt>
                <c:pt idx="7">
                  <c:v>28</c:v>
                </c:pt>
                <c:pt idx="8">
                  <c:v>22</c:v>
                </c:pt>
                <c:pt idx="9">
                  <c:v>34</c:v>
                </c:pt>
                <c:pt idx="10">
                  <c:v>28</c:v>
                </c:pt>
                <c:pt idx="11">
                  <c:v>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Nsambya-ClockTower'!$AA$9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Nsambya-ClockTower'!$AA$10:$AA$21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5</c:v>
                </c:pt>
                <c:pt idx="4">
                  <c:v>15</c:v>
                </c:pt>
                <c:pt idx="5">
                  <c:v>17</c:v>
                </c:pt>
                <c:pt idx="6">
                  <c:v>17</c:v>
                </c:pt>
                <c:pt idx="7">
                  <c:v>14</c:v>
                </c:pt>
                <c:pt idx="8">
                  <c:v>14</c:v>
                </c:pt>
                <c:pt idx="9">
                  <c:v>10</c:v>
                </c:pt>
                <c:pt idx="10">
                  <c:v>8</c:v>
                </c:pt>
                <c:pt idx="11">
                  <c:v>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Nsambya-ClockTower'!$AB$9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Nsambya-ClockTower'!$AB$10:$AB$21</c:f>
              <c:numCache>
                <c:formatCode>0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10</c:v>
                </c:pt>
                <c:pt idx="3">
                  <c:v>13</c:v>
                </c:pt>
                <c:pt idx="4">
                  <c:v>431</c:v>
                </c:pt>
                <c:pt idx="5">
                  <c:v>35</c:v>
                </c:pt>
                <c:pt idx="6">
                  <c:v>22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32</c:v>
                </c:pt>
                <c:pt idx="11">
                  <c:v>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Nsambya-ClockTower'!$AC$9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Nsambya-ClockTower'!$AC$10:$AC$21</c:f>
              <c:numCache>
                <c:formatCode>0</c:formatCode>
                <c:ptCount val="12"/>
                <c:pt idx="0">
                  <c:v>1485</c:v>
                </c:pt>
                <c:pt idx="1">
                  <c:v>1993</c:v>
                </c:pt>
                <c:pt idx="2">
                  <c:v>1752</c:v>
                </c:pt>
                <c:pt idx="3">
                  <c:v>1875</c:v>
                </c:pt>
                <c:pt idx="4">
                  <c:v>1197</c:v>
                </c:pt>
                <c:pt idx="5">
                  <c:v>1806</c:v>
                </c:pt>
                <c:pt idx="6">
                  <c:v>1690</c:v>
                </c:pt>
                <c:pt idx="7">
                  <c:v>1519</c:v>
                </c:pt>
                <c:pt idx="8">
                  <c:v>1073</c:v>
                </c:pt>
                <c:pt idx="9">
                  <c:v>1442</c:v>
                </c:pt>
                <c:pt idx="10">
                  <c:v>1982</c:v>
                </c:pt>
                <c:pt idx="11">
                  <c:v>1880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Nsambya-ClockTower'!$AD$9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Nsambya-ClockTower'!$AD$10:$AD$21</c:f>
              <c:numCache>
                <c:formatCode>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86952"/>
        <c:axId val="206792832"/>
      </c:lineChart>
      <c:catAx>
        <c:axId val="20678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92832"/>
        <c:crosses val="autoZero"/>
        <c:auto val="1"/>
        <c:lblAlgn val="ctr"/>
        <c:lblOffset val="100"/>
        <c:noMultiLvlLbl val="0"/>
      </c:catAx>
      <c:valAx>
        <c:axId val="206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8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C496-4C9C-BA89-19C872160E0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Nsambya-ClockTower'!$C$60:$N$60</c:f>
              <c:numCache>
                <c:formatCode>0.00%</c:formatCode>
                <c:ptCount val="12"/>
                <c:pt idx="0">
                  <c:v>0.37357389227911914</c:v>
                </c:pt>
                <c:pt idx="1">
                  <c:v>6.1377907490934816E-2</c:v>
                </c:pt>
                <c:pt idx="2">
                  <c:v>4.9969045723887856E-2</c:v>
                </c:pt>
                <c:pt idx="3">
                  <c:v>0.36676395153444769</c:v>
                </c:pt>
                <c:pt idx="4">
                  <c:v>6.0139736446449101E-3</c:v>
                </c:pt>
                <c:pt idx="5">
                  <c:v>1.2381710444857169E-3</c:v>
                </c:pt>
                <c:pt idx="6">
                  <c:v>4.4485716812593966E-2</c:v>
                </c:pt>
                <c:pt idx="7">
                  <c:v>2.2463960378526576E-2</c:v>
                </c:pt>
                <c:pt idx="8">
                  <c:v>1.291235517820819E-2</c:v>
                </c:pt>
                <c:pt idx="9">
                  <c:v>6.0228177235340942E-2</c:v>
                </c:pt>
                <c:pt idx="11">
                  <c:v>9.7284867781020608E-4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ClockTower-Nsambya'!$AE$9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ClockTower-Nsambya'!$AE$10:$AE$21</c:f>
              <c:numCache>
                <c:formatCode>0</c:formatCode>
                <c:ptCount val="12"/>
                <c:pt idx="0">
                  <c:v>806</c:v>
                </c:pt>
                <c:pt idx="1">
                  <c:v>930</c:v>
                </c:pt>
                <c:pt idx="2">
                  <c:v>1010</c:v>
                </c:pt>
                <c:pt idx="3">
                  <c:v>1007</c:v>
                </c:pt>
                <c:pt idx="4">
                  <c:v>1005</c:v>
                </c:pt>
                <c:pt idx="5">
                  <c:v>1040</c:v>
                </c:pt>
                <c:pt idx="6">
                  <c:v>1046</c:v>
                </c:pt>
                <c:pt idx="7">
                  <c:v>1038</c:v>
                </c:pt>
                <c:pt idx="8">
                  <c:v>1096</c:v>
                </c:pt>
                <c:pt idx="9">
                  <c:v>1028</c:v>
                </c:pt>
                <c:pt idx="10">
                  <c:v>850</c:v>
                </c:pt>
                <c:pt idx="11">
                  <c:v>563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ClockTower-Nsambya'!$AF$9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ClockTower-Nsambya'!$AF$10:$AF$21</c:f>
              <c:numCache>
                <c:formatCode>0</c:formatCode>
                <c:ptCount val="12"/>
                <c:pt idx="0">
                  <c:v>2223</c:v>
                </c:pt>
                <c:pt idx="1">
                  <c:v>2563</c:v>
                </c:pt>
                <c:pt idx="2">
                  <c:v>3255</c:v>
                </c:pt>
                <c:pt idx="3">
                  <c:v>3027</c:v>
                </c:pt>
                <c:pt idx="4">
                  <c:v>3065</c:v>
                </c:pt>
                <c:pt idx="5">
                  <c:v>3005</c:v>
                </c:pt>
                <c:pt idx="6">
                  <c:v>3132</c:v>
                </c:pt>
                <c:pt idx="7">
                  <c:v>3313</c:v>
                </c:pt>
                <c:pt idx="8">
                  <c:v>3297</c:v>
                </c:pt>
                <c:pt idx="9">
                  <c:v>2777</c:v>
                </c:pt>
                <c:pt idx="10">
                  <c:v>2569</c:v>
                </c:pt>
                <c:pt idx="11">
                  <c:v>2693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91656"/>
        <c:axId val="206793224"/>
      </c:lineChart>
      <c:catAx>
        <c:axId val="206791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93224"/>
        <c:crosses val="autoZero"/>
        <c:auto val="1"/>
        <c:lblAlgn val="ctr"/>
        <c:lblOffset val="100"/>
        <c:noMultiLvlLbl val="0"/>
      </c:catAx>
      <c:valAx>
        <c:axId val="206793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9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7B3F-4B31-952A-3E8EFBAD12A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ClockTower-Nsambya'!$C$59:$N$59</c:f>
              <c:numCache>
                <c:formatCode>0.0%</c:formatCode>
                <c:ptCount val="12"/>
                <c:pt idx="0">
                  <c:v>0.13519860248002519</c:v>
                </c:pt>
                <c:pt idx="1">
                  <c:v>1.9674102923909618E-2</c:v>
                </c:pt>
                <c:pt idx="2">
                  <c:v>1.7841289842206249E-2</c:v>
                </c:pt>
                <c:pt idx="3">
                  <c:v>0.11916148801512071</c:v>
                </c:pt>
                <c:pt idx="4">
                  <c:v>2.4628425785389045E-3</c:v>
                </c:pt>
                <c:pt idx="5">
                  <c:v>4.5820327042584265E-4</c:v>
                </c:pt>
                <c:pt idx="6">
                  <c:v>1.2085111257481601E-2</c:v>
                </c:pt>
                <c:pt idx="7">
                  <c:v>8.3908473896732432E-3</c:v>
                </c:pt>
                <c:pt idx="8">
                  <c:v>5.6129900627165724E-3</c:v>
                </c:pt>
                <c:pt idx="9">
                  <c:v>5.5557146539133425E-3</c:v>
                </c:pt>
                <c:pt idx="10">
                  <c:v>0.67298605343795637</c:v>
                </c:pt>
                <c:pt idx="11">
                  <c:v>5.7275408803230332E-4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ClockTower-Nsambya'!$S$9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ClockTower-Nsambya'!$S$10:$S$21</c:f>
              <c:numCache>
                <c:formatCode>0</c:formatCode>
                <c:ptCount val="12"/>
                <c:pt idx="0">
                  <c:v>402</c:v>
                </c:pt>
                <c:pt idx="1">
                  <c:v>485</c:v>
                </c:pt>
                <c:pt idx="2">
                  <c:v>450</c:v>
                </c:pt>
                <c:pt idx="3">
                  <c:v>356</c:v>
                </c:pt>
                <c:pt idx="4">
                  <c:v>380</c:v>
                </c:pt>
                <c:pt idx="5">
                  <c:v>414</c:v>
                </c:pt>
                <c:pt idx="6">
                  <c:v>405</c:v>
                </c:pt>
                <c:pt idx="7">
                  <c:v>430</c:v>
                </c:pt>
                <c:pt idx="8">
                  <c:v>378</c:v>
                </c:pt>
                <c:pt idx="9">
                  <c:v>393</c:v>
                </c:pt>
                <c:pt idx="10">
                  <c:v>380</c:v>
                </c:pt>
                <c:pt idx="11">
                  <c:v>248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ClockTower-Nsambya'!$T$9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ClockTower-Nsambya'!$T$10:$T$21</c:f>
              <c:numCache>
                <c:formatCode>0</c:formatCode>
                <c:ptCount val="12"/>
                <c:pt idx="0">
                  <c:v>49</c:v>
                </c:pt>
                <c:pt idx="1">
                  <c:v>62</c:v>
                </c:pt>
                <c:pt idx="2">
                  <c:v>42</c:v>
                </c:pt>
                <c:pt idx="3">
                  <c:v>57</c:v>
                </c:pt>
                <c:pt idx="4">
                  <c:v>62</c:v>
                </c:pt>
                <c:pt idx="5">
                  <c:v>39</c:v>
                </c:pt>
                <c:pt idx="6">
                  <c:v>61</c:v>
                </c:pt>
                <c:pt idx="7">
                  <c:v>62</c:v>
                </c:pt>
                <c:pt idx="8">
                  <c:v>95</c:v>
                </c:pt>
                <c:pt idx="9">
                  <c:v>66</c:v>
                </c:pt>
                <c:pt idx="10">
                  <c:v>47</c:v>
                </c:pt>
                <c:pt idx="11">
                  <c:v>45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ClockTower-Nsambya'!$U$9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ClockTower-Nsambya'!$U$10:$U$21</c:f>
              <c:numCache>
                <c:formatCode>0</c:formatCode>
                <c:ptCount val="12"/>
                <c:pt idx="0">
                  <c:v>42</c:v>
                </c:pt>
                <c:pt idx="1">
                  <c:v>51</c:v>
                </c:pt>
                <c:pt idx="2">
                  <c:v>48</c:v>
                </c:pt>
                <c:pt idx="3">
                  <c:v>47</c:v>
                </c:pt>
                <c:pt idx="4">
                  <c:v>52</c:v>
                </c:pt>
                <c:pt idx="5">
                  <c:v>36</c:v>
                </c:pt>
                <c:pt idx="6">
                  <c:v>69</c:v>
                </c:pt>
                <c:pt idx="7">
                  <c:v>57</c:v>
                </c:pt>
                <c:pt idx="8">
                  <c:v>67</c:v>
                </c:pt>
                <c:pt idx="9">
                  <c:v>59</c:v>
                </c:pt>
                <c:pt idx="10">
                  <c:v>62</c:v>
                </c:pt>
                <c:pt idx="11">
                  <c:v>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ClockTower-Nsambya'!$V$9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ClockTower-Nsambya'!$V$10:$V$21</c:f>
              <c:numCache>
                <c:formatCode>0</c:formatCode>
                <c:ptCount val="12"/>
                <c:pt idx="0">
                  <c:v>236</c:v>
                </c:pt>
                <c:pt idx="1">
                  <c:v>273</c:v>
                </c:pt>
                <c:pt idx="2">
                  <c:v>396</c:v>
                </c:pt>
                <c:pt idx="3">
                  <c:v>449</c:v>
                </c:pt>
                <c:pt idx="4">
                  <c:v>402</c:v>
                </c:pt>
                <c:pt idx="5">
                  <c:v>435</c:v>
                </c:pt>
                <c:pt idx="6">
                  <c:v>360</c:v>
                </c:pt>
                <c:pt idx="7">
                  <c:v>343</c:v>
                </c:pt>
                <c:pt idx="8">
                  <c:v>424</c:v>
                </c:pt>
                <c:pt idx="9">
                  <c:v>390</c:v>
                </c:pt>
                <c:pt idx="10">
                  <c:v>281</c:v>
                </c:pt>
                <c:pt idx="11">
                  <c:v>172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ClockTower-Nsambya'!$W$9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ClockTower-Nsambya'!$W$10:$W$21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14</c:v>
                </c:pt>
                <c:pt idx="7">
                  <c:v>13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ClockTower-Nsambya'!$X$9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ClockTower-Nsambya'!$Y$9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ClockTower-Nsambya'!$Y$10:$Y$21</c:f>
              <c:numCache>
                <c:formatCode>0</c:formatCode>
                <c:ptCount val="12"/>
                <c:pt idx="0">
                  <c:v>31</c:v>
                </c:pt>
                <c:pt idx="1">
                  <c:v>25</c:v>
                </c:pt>
                <c:pt idx="2">
                  <c:v>31</c:v>
                </c:pt>
                <c:pt idx="3">
                  <c:v>36</c:v>
                </c:pt>
                <c:pt idx="4">
                  <c:v>39</c:v>
                </c:pt>
                <c:pt idx="5">
                  <c:v>32</c:v>
                </c:pt>
                <c:pt idx="6">
                  <c:v>47</c:v>
                </c:pt>
                <c:pt idx="7">
                  <c:v>47</c:v>
                </c:pt>
                <c:pt idx="8">
                  <c:v>52</c:v>
                </c:pt>
                <c:pt idx="9">
                  <c:v>30</c:v>
                </c:pt>
                <c:pt idx="10">
                  <c:v>34</c:v>
                </c:pt>
                <c:pt idx="11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ClockTower-Nsambya'!$Z$9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ClockTower-Nsambya'!$Z$10:$Z$21</c:f>
              <c:numCache>
                <c:formatCode>0</c:formatCode>
                <c:ptCount val="12"/>
                <c:pt idx="0">
                  <c:v>14</c:v>
                </c:pt>
                <c:pt idx="1">
                  <c:v>9</c:v>
                </c:pt>
                <c:pt idx="2">
                  <c:v>16</c:v>
                </c:pt>
                <c:pt idx="3">
                  <c:v>23</c:v>
                </c:pt>
                <c:pt idx="4">
                  <c:v>24</c:v>
                </c:pt>
                <c:pt idx="5">
                  <c:v>32</c:v>
                </c:pt>
                <c:pt idx="6">
                  <c:v>39</c:v>
                </c:pt>
                <c:pt idx="7">
                  <c:v>33</c:v>
                </c:pt>
                <c:pt idx="8">
                  <c:v>29</c:v>
                </c:pt>
                <c:pt idx="9">
                  <c:v>31</c:v>
                </c:pt>
                <c:pt idx="10">
                  <c:v>20</c:v>
                </c:pt>
                <c:pt idx="11">
                  <c:v>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ClockTower-Nsambya'!$AA$9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ClockTower-Nsambya'!$AA$10:$AA$21</c:f>
              <c:numCache>
                <c:formatCode>0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7</c:v>
                </c:pt>
                <c:pt idx="3">
                  <c:v>10</c:v>
                </c:pt>
                <c:pt idx="4">
                  <c:v>15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29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ClockTower-Nsambya'!$AB$9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ClockTower-Nsambya'!$AB$10:$AB$21</c:f>
              <c:numCache>
                <c:formatCode>0</c:formatCode>
                <c:ptCount val="12"/>
                <c:pt idx="0">
                  <c:v>14</c:v>
                </c:pt>
                <c:pt idx="1">
                  <c:v>6</c:v>
                </c:pt>
                <c:pt idx="2">
                  <c:v>6</c:v>
                </c:pt>
                <c:pt idx="3">
                  <c:v>19</c:v>
                </c:pt>
                <c:pt idx="4">
                  <c:v>23</c:v>
                </c:pt>
                <c:pt idx="5">
                  <c:v>19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24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ClockTower-Nsambya'!$AC$9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ClockTower-Nsambya'!$AC$10:$AC$21</c:f>
              <c:numCache>
                <c:formatCode>0</c:formatCode>
                <c:ptCount val="12"/>
                <c:pt idx="0">
                  <c:v>1417</c:v>
                </c:pt>
                <c:pt idx="1">
                  <c:v>1633</c:v>
                </c:pt>
                <c:pt idx="2">
                  <c:v>2245</c:v>
                </c:pt>
                <c:pt idx="3">
                  <c:v>2020</c:v>
                </c:pt>
                <c:pt idx="4">
                  <c:v>2060</c:v>
                </c:pt>
                <c:pt idx="5">
                  <c:v>1965</c:v>
                </c:pt>
                <c:pt idx="6">
                  <c:v>2086</c:v>
                </c:pt>
                <c:pt idx="7">
                  <c:v>2275</c:v>
                </c:pt>
                <c:pt idx="8">
                  <c:v>2201</c:v>
                </c:pt>
                <c:pt idx="9">
                  <c:v>1749</c:v>
                </c:pt>
                <c:pt idx="10">
                  <c:v>1719</c:v>
                </c:pt>
                <c:pt idx="11">
                  <c:v>2130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ClockTower-Nsambya'!$AD$9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ClockTower-Nsambya'!$AD$10:$AD$21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7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90872"/>
        <c:axId val="206787344"/>
      </c:lineChart>
      <c:catAx>
        <c:axId val="20679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87344"/>
        <c:crosses val="autoZero"/>
        <c:auto val="1"/>
        <c:lblAlgn val="ctr"/>
        <c:lblOffset val="100"/>
        <c:noMultiLvlLbl val="0"/>
      </c:catAx>
      <c:valAx>
        <c:axId val="2067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9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D13E-4D2A-8551-63DD0883CC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ClockTower-Nsambya'!$C$60:$N$60</c:f>
              <c:numCache>
                <c:formatCode>0.00%</c:formatCode>
                <c:ptCount val="12"/>
                <c:pt idx="0">
                  <c:v>0.41343375076626676</c:v>
                </c:pt>
                <c:pt idx="1">
                  <c:v>6.016288641737455E-2</c:v>
                </c:pt>
                <c:pt idx="2">
                  <c:v>5.4558192486207198E-2</c:v>
                </c:pt>
                <c:pt idx="3">
                  <c:v>0.36439267886855242</c:v>
                </c:pt>
                <c:pt idx="4">
                  <c:v>7.5313074700061305E-3</c:v>
                </c:pt>
                <c:pt idx="5">
                  <c:v>1.4011734827918381E-3</c:v>
                </c:pt>
                <c:pt idx="6">
                  <c:v>3.6955950608634734E-2</c:v>
                </c:pt>
                <c:pt idx="7">
                  <c:v>2.5658989403625536E-2</c:v>
                </c:pt>
                <c:pt idx="8">
                  <c:v>1.7164375164200017E-2</c:v>
                </c:pt>
                <c:pt idx="9">
                  <c:v>1.6989228478851037E-2</c:v>
                </c:pt>
                <c:pt idx="11">
                  <c:v>1.7514668534897976E-3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Nsambya-ClockTower'!$AE$9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Nsambya-ClockTower'!$AE$10:$AE$21</c:f>
              <c:numCache>
                <c:formatCode>0</c:formatCode>
                <c:ptCount val="12"/>
                <c:pt idx="0">
                  <c:v>515</c:v>
                </c:pt>
                <c:pt idx="1">
                  <c:v>352</c:v>
                </c:pt>
                <c:pt idx="2">
                  <c:v>517</c:v>
                </c:pt>
                <c:pt idx="3">
                  <c:v>384</c:v>
                </c:pt>
                <c:pt idx="4">
                  <c:v>492</c:v>
                </c:pt>
                <c:pt idx="5">
                  <c:v>409</c:v>
                </c:pt>
                <c:pt idx="6">
                  <c:v>444</c:v>
                </c:pt>
                <c:pt idx="7">
                  <c:v>622</c:v>
                </c:pt>
                <c:pt idx="8">
                  <c:v>555</c:v>
                </c:pt>
                <c:pt idx="9">
                  <c:v>748</c:v>
                </c:pt>
                <c:pt idx="10">
                  <c:v>623</c:v>
                </c:pt>
                <c:pt idx="11">
                  <c:v>547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Nsambya-ClockTower'!$AF$9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Nsambya-ClockTower'!$AF$10:$AF$21</c:f>
              <c:numCache>
                <c:formatCode>0</c:formatCode>
                <c:ptCount val="12"/>
                <c:pt idx="0">
                  <c:v>2715</c:v>
                </c:pt>
                <c:pt idx="1">
                  <c:v>2379</c:v>
                </c:pt>
                <c:pt idx="2">
                  <c:v>3107</c:v>
                </c:pt>
                <c:pt idx="3">
                  <c:v>3217</c:v>
                </c:pt>
                <c:pt idx="4">
                  <c:v>3110</c:v>
                </c:pt>
                <c:pt idx="5">
                  <c:v>2109</c:v>
                </c:pt>
                <c:pt idx="6">
                  <c:v>1628</c:v>
                </c:pt>
                <c:pt idx="7">
                  <c:v>1841</c:v>
                </c:pt>
                <c:pt idx="8">
                  <c:v>1776</c:v>
                </c:pt>
                <c:pt idx="9">
                  <c:v>1936</c:v>
                </c:pt>
                <c:pt idx="10">
                  <c:v>2496</c:v>
                </c:pt>
                <c:pt idx="11">
                  <c:v>2402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88912"/>
        <c:axId val="206789304"/>
      </c:lineChart>
      <c:catAx>
        <c:axId val="206788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89304"/>
        <c:crosses val="autoZero"/>
        <c:auto val="1"/>
        <c:lblAlgn val="ctr"/>
        <c:lblOffset val="100"/>
        <c:noMultiLvlLbl val="0"/>
      </c:catAx>
      <c:valAx>
        <c:axId val="206789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5161-4E7D-9CEC-CABF73E743E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Nsambya-ClockTower'!$C$59:$N$59</c:f>
              <c:numCache>
                <c:formatCode>0.0%</c:formatCode>
                <c:ptCount val="12"/>
                <c:pt idx="0">
                  <c:v>7.7831174258253241E-2</c:v>
                </c:pt>
                <c:pt idx="1">
                  <c:v>3.4440729906672241E-2</c:v>
                </c:pt>
                <c:pt idx="2">
                  <c:v>1.4939406602590891E-2</c:v>
                </c:pt>
                <c:pt idx="3">
                  <c:v>6.1986349073687143E-2</c:v>
                </c:pt>
                <c:pt idx="4">
                  <c:v>2.2983702465524448E-3</c:v>
                </c:pt>
                <c:pt idx="5">
                  <c:v>3.4823791614430977E-4</c:v>
                </c:pt>
                <c:pt idx="6">
                  <c:v>8.2532386126201417E-3</c:v>
                </c:pt>
                <c:pt idx="7">
                  <c:v>6.6861679899707484E-3</c:v>
                </c:pt>
                <c:pt idx="8">
                  <c:v>4.457445326647165E-3</c:v>
                </c:pt>
                <c:pt idx="9">
                  <c:v>4.7708594511770442E-3</c:v>
                </c:pt>
                <c:pt idx="10">
                  <c:v>0.78381390165761244</c:v>
                </c:pt>
                <c:pt idx="11">
                  <c:v>1.7411895807215488E-4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6E42-4CDD-86E3-A4C2F2E44AF9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Nsambya-ClockTower'!$C$60:$N$60</c:f>
              <c:numCache>
                <c:formatCode>0.00%</c:formatCode>
                <c:ptCount val="12"/>
                <c:pt idx="0">
                  <c:v>0.36001932989690721</c:v>
                </c:pt>
                <c:pt idx="1">
                  <c:v>0.15931056701030927</c:v>
                </c:pt>
                <c:pt idx="2">
                  <c:v>6.9104381443298973E-2</c:v>
                </c:pt>
                <c:pt idx="3">
                  <c:v>0.28672680412371132</c:v>
                </c:pt>
                <c:pt idx="4">
                  <c:v>1.0631443298969073E-2</c:v>
                </c:pt>
                <c:pt idx="5">
                  <c:v>1.6108247422680412E-3</c:v>
                </c:pt>
                <c:pt idx="6">
                  <c:v>3.817654639175258E-2</c:v>
                </c:pt>
                <c:pt idx="7">
                  <c:v>3.0927835051546393E-2</c:v>
                </c:pt>
                <c:pt idx="8">
                  <c:v>2.0618556701030927E-2</c:v>
                </c:pt>
                <c:pt idx="9">
                  <c:v>2.2068298969072166E-2</c:v>
                </c:pt>
                <c:pt idx="11">
                  <c:v>8.0541237113402058E-4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ClockTower-Nsambya-24h'!$AE$9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ClockTower-Nsambya-24h'!$R$10:$R$33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ClockTower-Nsambya-24h'!$AE$10:$AE$33</c:f>
              <c:numCache>
                <c:formatCode>0</c:formatCode>
                <c:ptCount val="24"/>
                <c:pt idx="0">
                  <c:v>560</c:v>
                </c:pt>
                <c:pt idx="1">
                  <c:v>421</c:v>
                </c:pt>
                <c:pt idx="2">
                  <c:v>447</c:v>
                </c:pt>
                <c:pt idx="3">
                  <c:v>447</c:v>
                </c:pt>
                <c:pt idx="4">
                  <c:v>571</c:v>
                </c:pt>
                <c:pt idx="5">
                  <c:v>682</c:v>
                </c:pt>
                <c:pt idx="6">
                  <c:v>673</c:v>
                </c:pt>
                <c:pt idx="7">
                  <c:v>510</c:v>
                </c:pt>
                <c:pt idx="8">
                  <c:v>824</c:v>
                </c:pt>
                <c:pt idx="9">
                  <c:v>649</c:v>
                </c:pt>
                <c:pt idx="10">
                  <c:v>739</c:v>
                </c:pt>
                <c:pt idx="11">
                  <c:v>599</c:v>
                </c:pt>
                <c:pt idx="12">
                  <c:v>502</c:v>
                </c:pt>
                <c:pt idx="13">
                  <c:v>499</c:v>
                </c:pt>
                <c:pt idx="14">
                  <c:v>385</c:v>
                </c:pt>
                <c:pt idx="15">
                  <c:v>333</c:v>
                </c:pt>
                <c:pt idx="16">
                  <c:v>188</c:v>
                </c:pt>
                <c:pt idx="17">
                  <c:v>117</c:v>
                </c:pt>
                <c:pt idx="18">
                  <c:v>47</c:v>
                </c:pt>
                <c:pt idx="19">
                  <c:v>58</c:v>
                </c:pt>
                <c:pt idx="20">
                  <c:v>49</c:v>
                </c:pt>
                <c:pt idx="21">
                  <c:v>50</c:v>
                </c:pt>
                <c:pt idx="22">
                  <c:v>119</c:v>
                </c:pt>
                <c:pt idx="23">
                  <c:v>439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ClockTower-Nsambya-24h'!$AF$9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ClockTower-Nsambya-24h'!$R$10:$R$33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ClockTower-Nsambya-24h'!$AF$10:$AF$33</c:f>
              <c:numCache>
                <c:formatCode>0</c:formatCode>
                <c:ptCount val="24"/>
                <c:pt idx="0">
                  <c:v>4061</c:v>
                </c:pt>
                <c:pt idx="1">
                  <c:v>2763</c:v>
                </c:pt>
                <c:pt idx="2">
                  <c:v>2438</c:v>
                </c:pt>
                <c:pt idx="3">
                  <c:v>1849</c:v>
                </c:pt>
                <c:pt idx="4">
                  <c:v>2108</c:v>
                </c:pt>
                <c:pt idx="5">
                  <c:v>1622</c:v>
                </c:pt>
                <c:pt idx="6">
                  <c:v>1481</c:v>
                </c:pt>
                <c:pt idx="7">
                  <c:v>1528</c:v>
                </c:pt>
                <c:pt idx="8">
                  <c:v>1636</c:v>
                </c:pt>
                <c:pt idx="9">
                  <c:v>2323</c:v>
                </c:pt>
                <c:pt idx="10">
                  <c:v>2376</c:v>
                </c:pt>
                <c:pt idx="11">
                  <c:v>2906</c:v>
                </c:pt>
                <c:pt idx="12">
                  <c:v>3582</c:v>
                </c:pt>
                <c:pt idx="13">
                  <c:v>2450</c:v>
                </c:pt>
                <c:pt idx="14">
                  <c:v>2279</c:v>
                </c:pt>
                <c:pt idx="15">
                  <c:v>1280</c:v>
                </c:pt>
                <c:pt idx="16">
                  <c:v>1055</c:v>
                </c:pt>
                <c:pt idx="17">
                  <c:v>407</c:v>
                </c:pt>
                <c:pt idx="18">
                  <c:v>271</c:v>
                </c:pt>
                <c:pt idx="19">
                  <c:v>155</c:v>
                </c:pt>
                <c:pt idx="20">
                  <c:v>93</c:v>
                </c:pt>
                <c:pt idx="21">
                  <c:v>127</c:v>
                </c:pt>
                <c:pt idx="22">
                  <c:v>467</c:v>
                </c:pt>
                <c:pt idx="23">
                  <c:v>1252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03808"/>
        <c:axId val="214208904"/>
      </c:lineChart>
      <c:catAx>
        <c:axId val="214203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208904"/>
        <c:crosses val="autoZero"/>
        <c:auto val="1"/>
        <c:lblAlgn val="ctr"/>
        <c:lblOffset val="100"/>
        <c:noMultiLvlLbl val="0"/>
      </c:catAx>
      <c:valAx>
        <c:axId val="214208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20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543B-4B95-BFC1-AB46B6A1DAB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'01.08 ClockTower-Nsambya-24h'!$C$9:$N$9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ClockTower-Nsambya-24h'!$C$107:$N$107</c:f>
              <c:numCache>
                <c:formatCode>0.0%</c:formatCode>
                <c:ptCount val="12"/>
                <c:pt idx="0">
                  <c:v>9.2374534054160809E-2</c:v>
                </c:pt>
                <c:pt idx="1">
                  <c:v>3.8411217260361896E-2</c:v>
                </c:pt>
                <c:pt idx="2">
                  <c:v>2.2439457898244836E-2</c:v>
                </c:pt>
                <c:pt idx="3">
                  <c:v>6.3664864597990575E-2</c:v>
                </c:pt>
                <c:pt idx="4">
                  <c:v>2.0736132711249352E-3</c:v>
                </c:pt>
                <c:pt idx="5">
                  <c:v>7.6526204053420225E-4</c:v>
                </c:pt>
                <c:pt idx="6">
                  <c:v>1.0096521760596411E-2</c:v>
                </c:pt>
                <c:pt idx="7">
                  <c:v>6.8379866202572265E-3</c:v>
                </c:pt>
                <c:pt idx="8">
                  <c:v>3.9744254363227923E-3</c:v>
                </c:pt>
                <c:pt idx="9">
                  <c:v>3.6288232244686366E-3</c:v>
                </c:pt>
                <c:pt idx="10">
                  <c:v>0.75541237749635881</c:v>
                </c:pt>
                <c:pt idx="11">
                  <c:v>3.2091633957885904E-4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4889-4F07-A028-107AA614C72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ClockTower-Nsambya-24h'!$C$9:$N$9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ClockTower-Nsambya-24h'!$C$108:$N$108</c:f>
              <c:numCache>
                <c:formatCode>0.00%</c:formatCode>
                <c:ptCount val="12"/>
                <c:pt idx="0">
                  <c:v>0.37767460637868389</c:v>
                </c:pt>
                <c:pt idx="1">
                  <c:v>0.15704481227291078</c:v>
                </c:pt>
                <c:pt idx="2">
                  <c:v>9.1744045215987086E-2</c:v>
                </c:pt>
                <c:pt idx="3">
                  <c:v>0.26029471134436821</c:v>
                </c:pt>
                <c:pt idx="4">
                  <c:v>8.4779975777149776E-3</c:v>
                </c:pt>
                <c:pt idx="5">
                  <c:v>3.1287848203471942E-3</c:v>
                </c:pt>
                <c:pt idx="6">
                  <c:v>4.1279773920064593E-2</c:v>
                </c:pt>
                <c:pt idx="7">
                  <c:v>2.7957206297941059E-2</c:v>
                </c:pt>
                <c:pt idx="8">
                  <c:v>1.6249495357287039E-2</c:v>
                </c:pt>
                <c:pt idx="9">
                  <c:v>1.4836495761001212E-2</c:v>
                </c:pt>
                <c:pt idx="11">
                  <c:v>1.3120710536939847E-3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Nsambya-ClockTower-24h'!$AE$9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Nsambya-ClockTower-24h'!$R$10:$R$33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Nsambya-ClockTower-24h'!$AE$10:$AE$33</c:f>
              <c:numCache>
                <c:formatCode>0</c:formatCode>
                <c:ptCount val="24"/>
                <c:pt idx="0">
                  <c:v>647</c:v>
                </c:pt>
                <c:pt idx="1">
                  <c:v>989</c:v>
                </c:pt>
                <c:pt idx="2">
                  <c:v>2300</c:v>
                </c:pt>
                <c:pt idx="3">
                  <c:v>1141</c:v>
                </c:pt>
                <c:pt idx="4">
                  <c:v>1080</c:v>
                </c:pt>
                <c:pt idx="5">
                  <c:v>927</c:v>
                </c:pt>
                <c:pt idx="6">
                  <c:v>1015</c:v>
                </c:pt>
                <c:pt idx="7">
                  <c:v>1057</c:v>
                </c:pt>
                <c:pt idx="8">
                  <c:v>1084</c:v>
                </c:pt>
                <c:pt idx="9">
                  <c:v>909</c:v>
                </c:pt>
                <c:pt idx="10">
                  <c:v>636</c:v>
                </c:pt>
                <c:pt idx="11">
                  <c:v>815</c:v>
                </c:pt>
                <c:pt idx="12">
                  <c:v>572</c:v>
                </c:pt>
                <c:pt idx="13">
                  <c:v>442</c:v>
                </c:pt>
                <c:pt idx="14">
                  <c:v>580</c:v>
                </c:pt>
                <c:pt idx="15">
                  <c:v>440</c:v>
                </c:pt>
                <c:pt idx="16">
                  <c:v>344</c:v>
                </c:pt>
                <c:pt idx="17">
                  <c:v>231</c:v>
                </c:pt>
                <c:pt idx="18">
                  <c:v>102</c:v>
                </c:pt>
                <c:pt idx="19">
                  <c:v>54</c:v>
                </c:pt>
                <c:pt idx="20">
                  <c:v>70</c:v>
                </c:pt>
                <c:pt idx="21">
                  <c:v>91</c:v>
                </c:pt>
                <c:pt idx="22">
                  <c:v>194</c:v>
                </c:pt>
                <c:pt idx="23">
                  <c:v>538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Nsambya-ClockTower-24h'!$AF$9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Nsambya-ClockTower-24h'!$R$10:$R$33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Nsambya-ClockTower-24h'!$AF$10:$AF$33</c:f>
              <c:numCache>
                <c:formatCode>0</c:formatCode>
                <c:ptCount val="24"/>
                <c:pt idx="0">
                  <c:v>2450</c:v>
                </c:pt>
                <c:pt idx="1">
                  <c:v>3422</c:v>
                </c:pt>
                <c:pt idx="2">
                  <c:v>4664</c:v>
                </c:pt>
                <c:pt idx="3">
                  <c:v>3096</c:v>
                </c:pt>
                <c:pt idx="4">
                  <c:v>2793</c:v>
                </c:pt>
                <c:pt idx="5">
                  <c:v>2596</c:v>
                </c:pt>
                <c:pt idx="6">
                  <c:v>2842</c:v>
                </c:pt>
                <c:pt idx="7">
                  <c:v>2803</c:v>
                </c:pt>
                <c:pt idx="8">
                  <c:v>3096</c:v>
                </c:pt>
                <c:pt idx="9">
                  <c:v>3106</c:v>
                </c:pt>
                <c:pt idx="10">
                  <c:v>3181</c:v>
                </c:pt>
                <c:pt idx="11">
                  <c:v>3634</c:v>
                </c:pt>
                <c:pt idx="12">
                  <c:v>2250</c:v>
                </c:pt>
                <c:pt idx="13">
                  <c:v>1652</c:v>
                </c:pt>
                <c:pt idx="14">
                  <c:v>1300</c:v>
                </c:pt>
                <c:pt idx="15">
                  <c:v>926</c:v>
                </c:pt>
                <c:pt idx="16">
                  <c:v>732</c:v>
                </c:pt>
                <c:pt idx="17">
                  <c:v>476</c:v>
                </c:pt>
                <c:pt idx="18">
                  <c:v>211</c:v>
                </c:pt>
                <c:pt idx="19">
                  <c:v>101</c:v>
                </c:pt>
                <c:pt idx="20">
                  <c:v>119</c:v>
                </c:pt>
                <c:pt idx="21">
                  <c:v>113</c:v>
                </c:pt>
                <c:pt idx="22">
                  <c:v>267</c:v>
                </c:pt>
                <c:pt idx="23">
                  <c:v>906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05768"/>
        <c:axId val="214206160"/>
      </c:lineChart>
      <c:catAx>
        <c:axId val="214205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206160"/>
        <c:crosses val="autoZero"/>
        <c:auto val="1"/>
        <c:lblAlgn val="ctr"/>
        <c:lblOffset val="100"/>
        <c:noMultiLvlLbl val="0"/>
      </c:catAx>
      <c:valAx>
        <c:axId val="214206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20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B533-467E-9052-E80B684A022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Nsambya-ClockTower-24h'!$C$9:$N$9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Nsambya-ClockTower-24h'!$C$107:$N$107</c:f>
              <c:numCache>
                <c:formatCode>0.0%</c:formatCode>
                <c:ptCount val="12"/>
                <c:pt idx="0">
                  <c:v>0.12356641561109209</c:v>
                </c:pt>
                <c:pt idx="1">
                  <c:v>4.3884799726121193E-2</c:v>
                </c:pt>
                <c:pt idx="2">
                  <c:v>1.8294248545018828E-2</c:v>
                </c:pt>
                <c:pt idx="3">
                  <c:v>0.12850907223553579</c:v>
                </c:pt>
                <c:pt idx="4">
                  <c:v>3.9156110920917494E-3</c:v>
                </c:pt>
                <c:pt idx="5">
                  <c:v>7.060938034919548E-4</c:v>
                </c:pt>
                <c:pt idx="6">
                  <c:v>1.1982197877439232E-2</c:v>
                </c:pt>
                <c:pt idx="7">
                  <c:v>7.3390961999315303E-3</c:v>
                </c:pt>
                <c:pt idx="8">
                  <c:v>3.8300239643957548E-3</c:v>
                </c:pt>
                <c:pt idx="9">
                  <c:v>5.5417665183156457E-3</c:v>
                </c:pt>
                <c:pt idx="10">
                  <c:v>0.65213111947963032</c:v>
                </c:pt>
                <c:pt idx="11">
                  <c:v>2.9955494693598085E-4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5529-4064-B18B-726F86F6119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Nsambya-ClockTower-24h'!$C$9:$N$9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Nsambya-ClockTower-24h'!$C$108:$N$108</c:f>
              <c:numCache>
                <c:formatCode>0.00%</c:formatCode>
                <c:ptCount val="12"/>
                <c:pt idx="0">
                  <c:v>0.35520974289580515</c:v>
                </c:pt>
                <c:pt idx="1">
                  <c:v>0.12615327838602533</c:v>
                </c:pt>
                <c:pt idx="2">
                  <c:v>5.2589494402755566E-2</c:v>
                </c:pt>
                <c:pt idx="3">
                  <c:v>0.36941813261163736</c:v>
                </c:pt>
                <c:pt idx="4">
                  <c:v>1.1255997047607331E-2</c:v>
                </c:pt>
                <c:pt idx="5">
                  <c:v>2.0297699594046007E-3</c:v>
                </c:pt>
                <c:pt idx="6">
                  <c:v>3.4444581129290198E-2</c:v>
                </c:pt>
                <c:pt idx="7">
                  <c:v>2.1097305941690243E-2</c:v>
                </c:pt>
                <c:pt idx="8">
                  <c:v>1.1009964325255259E-2</c:v>
                </c:pt>
                <c:pt idx="9">
                  <c:v>1.5930618772296717E-2</c:v>
                </c:pt>
                <c:pt idx="11">
                  <c:v>8.6111452823225488E-4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ClockTower-Nsambya'!$AE$9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ClockTower-Nsambya'!$AE$10:$AE$21</c:f>
              <c:numCache>
                <c:formatCode>0</c:formatCode>
                <c:ptCount val="12"/>
                <c:pt idx="0">
                  <c:v>675</c:v>
                </c:pt>
                <c:pt idx="1">
                  <c:v>684</c:v>
                </c:pt>
                <c:pt idx="2">
                  <c:v>726</c:v>
                </c:pt>
                <c:pt idx="3">
                  <c:v>659</c:v>
                </c:pt>
                <c:pt idx="4">
                  <c:v>375</c:v>
                </c:pt>
                <c:pt idx="5">
                  <c:v>462</c:v>
                </c:pt>
                <c:pt idx="6">
                  <c:v>474</c:v>
                </c:pt>
                <c:pt idx="7">
                  <c:v>528</c:v>
                </c:pt>
                <c:pt idx="8">
                  <c:v>610</c:v>
                </c:pt>
                <c:pt idx="9">
                  <c:v>583</c:v>
                </c:pt>
                <c:pt idx="10">
                  <c:v>603</c:v>
                </c:pt>
                <c:pt idx="11">
                  <c:v>570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ClockTower-Nsambya'!$AF$9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ClockTower-Nsambya'!$AF$10:$AF$21</c:f>
              <c:numCache>
                <c:formatCode>0</c:formatCode>
                <c:ptCount val="12"/>
                <c:pt idx="0">
                  <c:v>2579</c:v>
                </c:pt>
                <c:pt idx="1">
                  <c:v>2747</c:v>
                </c:pt>
                <c:pt idx="2">
                  <c:v>2496</c:v>
                </c:pt>
                <c:pt idx="3">
                  <c:v>2061</c:v>
                </c:pt>
                <c:pt idx="4">
                  <c:v>2209</c:v>
                </c:pt>
                <c:pt idx="5">
                  <c:v>1756</c:v>
                </c:pt>
                <c:pt idx="6">
                  <c:v>1773</c:v>
                </c:pt>
                <c:pt idx="7">
                  <c:v>1730</c:v>
                </c:pt>
                <c:pt idx="8">
                  <c:v>2109</c:v>
                </c:pt>
                <c:pt idx="9">
                  <c:v>1627</c:v>
                </c:pt>
                <c:pt idx="10">
                  <c:v>2164</c:v>
                </c:pt>
                <c:pt idx="11">
                  <c:v>2426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07336"/>
        <c:axId val="214207728"/>
      </c:lineChart>
      <c:catAx>
        <c:axId val="214207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207728"/>
        <c:crosses val="autoZero"/>
        <c:auto val="1"/>
        <c:lblAlgn val="ctr"/>
        <c:lblOffset val="100"/>
        <c:noMultiLvlLbl val="0"/>
      </c:catAx>
      <c:valAx>
        <c:axId val="214207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20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4385-42DE-9260-DCACDBA6D289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ClockTower-Nsambya'!$C$59:$N$59</c:f>
              <c:numCache>
                <c:formatCode>0.0%</c:formatCode>
                <c:ptCount val="12"/>
                <c:pt idx="0">
                  <c:v>9.7012890914047592E-2</c:v>
                </c:pt>
                <c:pt idx="1">
                  <c:v>3.2285703158468668E-2</c:v>
                </c:pt>
                <c:pt idx="2">
                  <c:v>1.2501460450987266E-2</c:v>
                </c:pt>
                <c:pt idx="3">
                  <c:v>0.10036219184484169</c:v>
                </c:pt>
                <c:pt idx="4">
                  <c:v>2.4925030182653737E-3</c:v>
                </c:pt>
                <c:pt idx="5">
                  <c:v>3.505082369435682E-4</c:v>
                </c:pt>
                <c:pt idx="6">
                  <c:v>8.5290337656268259E-3</c:v>
                </c:pt>
                <c:pt idx="7">
                  <c:v>7.4385636951357246E-3</c:v>
                </c:pt>
                <c:pt idx="8">
                  <c:v>5.0628967558515401E-3</c:v>
                </c:pt>
                <c:pt idx="9">
                  <c:v>4.3618802819644044E-3</c:v>
                </c:pt>
                <c:pt idx="10">
                  <c:v>0.72936869571990492</c:v>
                </c:pt>
                <c:pt idx="11">
                  <c:v>2.3367215796237878E-4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ClockTower-Nsambya'!$S$9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ClockTower-Nsambya'!$S$10:$S$21</c:f>
              <c:numCache>
                <c:formatCode>0</c:formatCode>
                <c:ptCount val="12"/>
                <c:pt idx="0">
                  <c:v>215</c:v>
                </c:pt>
                <c:pt idx="1">
                  <c:v>176</c:v>
                </c:pt>
                <c:pt idx="2">
                  <c:v>211</c:v>
                </c:pt>
                <c:pt idx="3">
                  <c:v>222</c:v>
                </c:pt>
                <c:pt idx="4">
                  <c:v>120</c:v>
                </c:pt>
                <c:pt idx="5">
                  <c:v>144</c:v>
                </c:pt>
                <c:pt idx="6">
                  <c:v>148</c:v>
                </c:pt>
                <c:pt idx="7">
                  <c:v>225</c:v>
                </c:pt>
                <c:pt idx="8">
                  <c:v>280</c:v>
                </c:pt>
                <c:pt idx="9">
                  <c:v>239</c:v>
                </c:pt>
                <c:pt idx="10">
                  <c:v>290</c:v>
                </c:pt>
                <c:pt idx="11">
                  <c:v>221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ClockTower-Nsambya'!$T$9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ClockTower-Nsambya'!$T$10:$T$21</c:f>
              <c:numCache>
                <c:formatCode>0</c:formatCode>
                <c:ptCount val="12"/>
                <c:pt idx="0">
                  <c:v>30</c:v>
                </c:pt>
                <c:pt idx="1">
                  <c:v>17</c:v>
                </c:pt>
                <c:pt idx="2">
                  <c:v>28</c:v>
                </c:pt>
                <c:pt idx="3">
                  <c:v>26</c:v>
                </c:pt>
                <c:pt idx="4">
                  <c:v>63</c:v>
                </c:pt>
                <c:pt idx="5">
                  <c:v>70</c:v>
                </c:pt>
                <c:pt idx="6">
                  <c:v>78</c:v>
                </c:pt>
                <c:pt idx="7">
                  <c:v>88</c:v>
                </c:pt>
                <c:pt idx="8">
                  <c:v>70</c:v>
                </c:pt>
                <c:pt idx="9">
                  <c:v>112</c:v>
                </c:pt>
                <c:pt idx="10">
                  <c:v>107</c:v>
                </c:pt>
                <c:pt idx="11">
                  <c:v>140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ClockTower-Nsambya'!$U$9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ClockTower-Nsambya'!$U$10:$U$21</c:f>
              <c:numCache>
                <c:formatCode>0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14</c:v>
                </c:pt>
                <c:pt idx="3">
                  <c:v>23</c:v>
                </c:pt>
                <c:pt idx="4">
                  <c:v>20</c:v>
                </c:pt>
                <c:pt idx="5">
                  <c:v>24</c:v>
                </c:pt>
                <c:pt idx="6">
                  <c:v>41</c:v>
                </c:pt>
                <c:pt idx="7">
                  <c:v>41</c:v>
                </c:pt>
                <c:pt idx="8">
                  <c:v>35</c:v>
                </c:pt>
                <c:pt idx="9">
                  <c:v>33</c:v>
                </c:pt>
                <c:pt idx="10">
                  <c:v>36</c:v>
                </c:pt>
                <c:pt idx="11">
                  <c:v>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ClockTower-Nsambya'!$V$9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ClockTower-Nsambya'!$V$10:$V$21</c:f>
              <c:numCache>
                <c:formatCode>0</c:formatCode>
                <c:ptCount val="12"/>
                <c:pt idx="0">
                  <c:v>377</c:v>
                </c:pt>
                <c:pt idx="1">
                  <c:v>417</c:v>
                </c:pt>
                <c:pt idx="2">
                  <c:v>399</c:v>
                </c:pt>
                <c:pt idx="3">
                  <c:v>309</c:v>
                </c:pt>
                <c:pt idx="4">
                  <c:v>138</c:v>
                </c:pt>
                <c:pt idx="5">
                  <c:v>169</c:v>
                </c:pt>
                <c:pt idx="6">
                  <c:v>150</c:v>
                </c:pt>
                <c:pt idx="7">
                  <c:v>116</c:v>
                </c:pt>
                <c:pt idx="8">
                  <c:v>138</c:v>
                </c:pt>
                <c:pt idx="9">
                  <c:v>124</c:v>
                </c:pt>
                <c:pt idx="10">
                  <c:v>103</c:v>
                </c:pt>
                <c:pt idx="11">
                  <c:v>137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ClockTower-Nsambya'!$W$9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ClockTower-Nsambya'!$W$10:$W$21</c:f>
              <c:numCache>
                <c:formatCode>0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ClockTower-Nsambya'!$X$9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ClockTower-Nsambya'!$Y$9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ClockTower-Nsambya'!$Y$10:$Y$21</c:f>
              <c:numCache>
                <c:formatCode>0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17</c:v>
                </c:pt>
                <c:pt idx="3">
                  <c:v>25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19</c:v>
                </c:pt>
                <c:pt idx="8">
                  <c:v>35</c:v>
                </c:pt>
                <c:pt idx="9">
                  <c:v>22</c:v>
                </c:pt>
                <c:pt idx="10">
                  <c:v>22</c:v>
                </c:pt>
                <c:pt idx="11">
                  <c:v>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ClockTower-Nsambya'!$Z$9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ClockTower-Nsambya'!$Z$10:$Z$21</c:f>
              <c:numCache>
                <c:formatCode>0</c:formatCode>
                <c:ptCount val="12"/>
                <c:pt idx="0">
                  <c:v>8</c:v>
                </c:pt>
                <c:pt idx="1">
                  <c:v>17</c:v>
                </c:pt>
                <c:pt idx="2">
                  <c:v>21</c:v>
                </c:pt>
                <c:pt idx="3">
                  <c:v>21</c:v>
                </c:pt>
                <c:pt idx="4">
                  <c:v>10</c:v>
                </c:pt>
                <c:pt idx="5">
                  <c:v>14</c:v>
                </c:pt>
                <c:pt idx="6">
                  <c:v>11</c:v>
                </c:pt>
                <c:pt idx="7">
                  <c:v>14</c:v>
                </c:pt>
                <c:pt idx="8">
                  <c:v>27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ClockTower-Nsambya'!$AA$9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ClockTower-Nsambya'!$AA$10:$AA$21</c:f>
              <c:numCache>
                <c:formatCode>0</c:formatCode>
                <c:ptCount val="12"/>
                <c:pt idx="0">
                  <c:v>4</c:v>
                </c:pt>
                <c:pt idx="1">
                  <c:v>12</c:v>
                </c:pt>
                <c:pt idx="2">
                  <c:v>12</c:v>
                </c:pt>
                <c:pt idx="3">
                  <c:v>17</c:v>
                </c:pt>
                <c:pt idx="4">
                  <c:v>6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16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ClockTower-Nsambya'!$AB$9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ClockTower-Nsambya'!$AB$10:$AB$21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3</c:v>
                </c:pt>
                <c:pt idx="5">
                  <c:v>13</c:v>
                </c:pt>
                <c:pt idx="6">
                  <c:v>12</c:v>
                </c:pt>
                <c:pt idx="7">
                  <c:v>15</c:v>
                </c:pt>
                <c:pt idx="8">
                  <c:v>10</c:v>
                </c:pt>
                <c:pt idx="9">
                  <c:v>10</c:v>
                </c:pt>
                <c:pt idx="10">
                  <c:v>13</c:v>
                </c:pt>
                <c:pt idx="11">
                  <c:v>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ClockTower-Nsambya'!$AC$9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ClockTower-Nsambya'!$AC$10:$AC$21</c:f>
              <c:numCache>
                <c:formatCode>0</c:formatCode>
                <c:ptCount val="12"/>
                <c:pt idx="0">
                  <c:v>1904</c:v>
                </c:pt>
                <c:pt idx="1">
                  <c:v>2063</c:v>
                </c:pt>
                <c:pt idx="2">
                  <c:v>1770</c:v>
                </c:pt>
                <c:pt idx="3">
                  <c:v>1402</c:v>
                </c:pt>
                <c:pt idx="4">
                  <c:v>1834</c:v>
                </c:pt>
                <c:pt idx="5">
                  <c:v>1294</c:v>
                </c:pt>
                <c:pt idx="6">
                  <c:v>1299</c:v>
                </c:pt>
                <c:pt idx="7">
                  <c:v>1202</c:v>
                </c:pt>
                <c:pt idx="8">
                  <c:v>1499</c:v>
                </c:pt>
                <c:pt idx="9">
                  <c:v>1044</c:v>
                </c:pt>
                <c:pt idx="10">
                  <c:v>1561</c:v>
                </c:pt>
                <c:pt idx="11">
                  <c:v>1856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ClockTower-Nsambya'!$AD$9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ClockTower-Nsambya'!$AD$10:$AD$21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70800"/>
        <c:axId val="205371584"/>
      </c:lineChart>
      <c:catAx>
        <c:axId val="20537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71584"/>
        <c:crosses val="autoZero"/>
        <c:auto val="1"/>
        <c:lblAlgn val="ctr"/>
        <c:lblOffset val="100"/>
        <c:noMultiLvlLbl val="0"/>
      </c:catAx>
      <c:valAx>
        <c:axId val="2053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7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F7C5-4DCE-BEC7-0690C330694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ClockTower-Nsambya'!$C$60:$N$60</c:f>
              <c:numCache>
                <c:formatCode>0.00%</c:formatCode>
                <c:ptCount val="12"/>
                <c:pt idx="0">
                  <c:v>0.35846884443804866</c:v>
                </c:pt>
                <c:pt idx="1">
                  <c:v>0.11929774068211253</c:v>
                </c:pt>
                <c:pt idx="2">
                  <c:v>4.6193696934810763E-2</c:v>
                </c:pt>
                <c:pt idx="3">
                  <c:v>0.37084472585983597</c:v>
                </c:pt>
                <c:pt idx="4">
                  <c:v>9.2099582673766008E-3</c:v>
                </c:pt>
                <c:pt idx="5">
                  <c:v>1.2951503813498344E-3</c:v>
                </c:pt>
                <c:pt idx="6">
                  <c:v>3.1515325946179305E-2</c:v>
                </c:pt>
                <c:pt idx="7">
                  <c:v>2.7485969204202043E-2</c:v>
                </c:pt>
                <c:pt idx="8">
                  <c:v>1.870772773060872E-2</c:v>
                </c:pt>
                <c:pt idx="9">
                  <c:v>1.6117426967909052E-2</c:v>
                </c:pt>
                <c:pt idx="11">
                  <c:v>8.6343358756655632E-4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Nsambya-ClockTower'!$AE$9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Nsambya-ClockTower'!$AE$10:$AE$21</c:f>
              <c:numCache>
                <c:formatCode>0</c:formatCode>
                <c:ptCount val="12"/>
                <c:pt idx="0">
                  <c:v>1031</c:v>
                </c:pt>
                <c:pt idx="1">
                  <c:v>1179</c:v>
                </c:pt>
                <c:pt idx="2">
                  <c:v>1046</c:v>
                </c:pt>
                <c:pt idx="3">
                  <c:v>1015</c:v>
                </c:pt>
                <c:pt idx="4">
                  <c:v>913</c:v>
                </c:pt>
                <c:pt idx="5">
                  <c:v>902</c:v>
                </c:pt>
                <c:pt idx="6">
                  <c:v>1375</c:v>
                </c:pt>
                <c:pt idx="7">
                  <c:v>1058</c:v>
                </c:pt>
                <c:pt idx="8">
                  <c:v>902</c:v>
                </c:pt>
                <c:pt idx="9">
                  <c:v>921</c:v>
                </c:pt>
                <c:pt idx="10">
                  <c:v>1052</c:v>
                </c:pt>
                <c:pt idx="11">
                  <c:v>866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Nsambya-ClockTower'!$AF$9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Nsambya-ClockTower'!$AF$10:$AF$21</c:f>
              <c:numCache>
                <c:formatCode>0</c:formatCode>
                <c:ptCount val="12"/>
                <c:pt idx="0">
                  <c:v>3359</c:v>
                </c:pt>
                <c:pt idx="1">
                  <c:v>4309</c:v>
                </c:pt>
                <c:pt idx="2">
                  <c:v>3743</c:v>
                </c:pt>
                <c:pt idx="3">
                  <c:v>3460</c:v>
                </c:pt>
                <c:pt idx="4">
                  <c:v>3380</c:v>
                </c:pt>
                <c:pt idx="5">
                  <c:v>3251</c:v>
                </c:pt>
                <c:pt idx="6">
                  <c:v>3444</c:v>
                </c:pt>
                <c:pt idx="7">
                  <c:v>3204</c:v>
                </c:pt>
                <c:pt idx="8">
                  <c:v>3194</c:v>
                </c:pt>
                <c:pt idx="9">
                  <c:v>3065</c:v>
                </c:pt>
                <c:pt idx="10">
                  <c:v>3484</c:v>
                </c:pt>
                <c:pt idx="11">
                  <c:v>3335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68448"/>
        <c:axId val="205370016"/>
      </c:lineChart>
      <c:catAx>
        <c:axId val="2053684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70016"/>
        <c:crosses val="autoZero"/>
        <c:auto val="1"/>
        <c:lblAlgn val="ctr"/>
        <c:lblOffset val="100"/>
        <c:noMultiLvlLbl val="0"/>
      </c:catAx>
      <c:valAx>
        <c:axId val="205370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6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5838-4AD2-B02D-63FE1AB93A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Nsambya-ClockTower'!$C$59:$N$59</c:f>
              <c:numCache>
                <c:formatCode>0.0%</c:formatCode>
                <c:ptCount val="12"/>
                <c:pt idx="0">
                  <c:v>9.2291646453866311E-2</c:v>
                </c:pt>
                <c:pt idx="1">
                  <c:v>2.4667701562045213E-2</c:v>
                </c:pt>
                <c:pt idx="2">
                  <c:v>1.8288541767730669E-2</c:v>
                </c:pt>
                <c:pt idx="3">
                  <c:v>0.12280488988066363</c:v>
                </c:pt>
                <c:pt idx="4">
                  <c:v>4.1961773551954986E-3</c:v>
                </c:pt>
                <c:pt idx="5">
                  <c:v>1.212768021732803E-3</c:v>
                </c:pt>
                <c:pt idx="6">
                  <c:v>8.9502280003880864E-3</c:v>
                </c:pt>
                <c:pt idx="7">
                  <c:v>7.1795866886581938E-3</c:v>
                </c:pt>
                <c:pt idx="8">
                  <c:v>5.4817114582322692E-3</c:v>
                </c:pt>
                <c:pt idx="9">
                  <c:v>4.2689434364994666E-3</c:v>
                </c:pt>
                <c:pt idx="10">
                  <c:v>0.71036674104977204</c:v>
                </c:pt>
                <c:pt idx="11">
                  <c:v>2.9106432521587268E-4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Nsambya-ClockTower'!$S$9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Nsambya-ClockTower'!$S$10:$S$21</c:f>
              <c:numCache>
                <c:formatCode>0</c:formatCode>
                <c:ptCount val="12"/>
                <c:pt idx="0">
                  <c:v>360</c:v>
                </c:pt>
                <c:pt idx="1">
                  <c:v>420</c:v>
                </c:pt>
                <c:pt idx="2">
                  <c:v>236</c:v>
                </c:pt>
                <c:pt idx="3">
                  <c:v>308</c:v>
                </c:pt>
                <c:pt idx="4">
                  <c:v>253</c:v>
                </c:pt>
                <c:pt idx="5">
                  <c:v>275</c:v>
                </c:pt>
                <c:pt idx="6">
                  <c:v>325</c:v>
                </c:pt>
                <c:pt idx="7">
                  <c:v>376</c:v>
                </c:pt>
                <c:pt idx="8">
                  <c:v>319</c:v>
                </c:pt>
                <c:pt idx="9">
                  <c:v>271</c:v>
                </c:pt>
                <c:pt idx="10">
                  <c:v>396</c:v>
                </c:pt>
                <c:pt idx="11">
                  <c:v>266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Nsambya-ClockTower'!$T$9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Nsambya-ClockTower'!$T$10:$T$21</c:f>
              <c:numCache>
                <c:formatCode>0</c:formatCode>
                <c:ptCount val="12"/>
                <c:pt idx="0">
                  <c:v>113</c:v>
                </c:pt>
                <c:pt idx="1">
                  <c:v>147</c:v>
                </c:pt>
                <c:pt idx="2">
                  <c:v>143</c:v>
                </c:pt>
                <c:pt idx="3">
                  <c:v>99</c:v>
                </c:pt>
                <c:pt idx="4">
                  <c:v>81</c:v>
                </c:pt>
                <c:pt idx="5">
                  <c:v>96</c:v>
                </c:pt>
                <c:pt idx="6">
                  <c:v>93</c:v>
                </c:pt>
                <c:pt idx="7">
                  <c:v>74</c:v>
                </c:pt>
                <c:pt idx="8">
                  <c:v>50</c:v>
                </c:pt>
                <c:pt idx="9">
                  <c:v>41</c:v>
                </c:pt>
                <c:pt idx="10">
                  <c:v>52</c:v>
                </c:pt>
                <c:pt idx="11">
                  <c:v>28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Nsambya-ClockTower'!$U$9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Nsambya-ClockTower'!$U$10:$U$21</c:f>
              <c:numCache>
                <c:formatCode>0</c:formatCode>
                <c:ptCount val="12"/>
                <c:pt idx="0">
                  <c:v>28</c:v>
                </c:pt>
                <c:pt idx="1">
                  <c:v>42</c:v>
                </c:pt>
                <c:pt idx="2">
                  <c:v>80</c:v>
                </c:pt>
                <c:pt idx="3">
                  <c:v>71</c:v>
                </c:pt>
                <c:pt idx="4">
                  <c:v>90</c:v>
                </c:pt>
                <c:pt idx="5">
                  <c:v>76</c:v>
                </c:pt>
                <c:pt idx="6">
                  <c:v>72</c:v>
                </c:pt>
                <c:pt idx="7">
                  <c:v>86</c:v>
                </c:pt>
                <c:pt idx="8">
                  <c:v>70</c:v>
                </c:pt>
                <c:pt idx="9">
                  <c:v>48</c:v>
                </c:pt>
                <c:pt idx="10">
                  <c:v>43</c:v>
                </c:pt>
                <c:pt idx="11">
                  <c:v>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Nsambya-ClockTower'!$V$9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Nsambya-ClockTower'!$V$10:$V$21</c:f>
              <c:numCache>
                <c:formatCode>0</c:formatCode>
                <c:ptCount val="12"/>
                <c:pt idx="0">
                  <c:v>495</c:v>
                </c:pt>
                <c:pt idx="1">
                  <c:v>445</c:v>
                </c:pt>
                <c:pt idx="2">
                  <c:v>462</c:v>
                </c:pt>
                <c:pt idx="3">
                  <c:v>470</c:v>
                </c:pt>
                <c:pt idx="4">
                  <c:v>400</c:v>
                </c:pt>
                <c:pt idx="5">
                  <c:v>376</c:v>
                </c:pt>
                <c:pt idx="6">
                  <c:v>440</c:v>
                </c:pt>
                <c:pt idx="7">
                  <c:v>403</c:v>
                </c:pt>
                <c:pt idx="8">
                  <c:v>366</c:v>
                </c:pt>
                <c:pt idx="9">
                  <c:v>376</c:v>
                </c:pt>
                <c:pt idx="10">
                  <c:v>440</c:v>
                </c:pt>
                <c:pt idx="11">
                  <c:v>390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Nsambya-ClockTower'!$W$9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Nsambya-ClockTower'!$W$10:$W$21</c:f>
              <c:numCache>
                <c:formatCode>0</c:formatCode>
                <c:ptCount val="12"/>
                <c:pt idx="0">
                  <c:v>5</c:v>
                </c:pt>
                <c:pt idx="1">
                  <c:v>36</c:v>
                </c:pt>
                <c:pt idx="2">
                  <c:v>22</c:v>
                </c:pt>
                <c:pt idx="3">
                  <c:v>10</c:v>
                </c:pt>
                <c:pt idx="4">
                  <c:v>12</c:v>
                </c:pt>
                <c:pt idx="5">
                  <c:v>5</c:v>
                </c:pt>
                <c:pt idx="6">
                  <c:v>29</c:v>
                </c:pt>
                <c:pt idx="7">
                  <c:v>15</c:v>
                </c:pt>
                <c:pt idx="8">
                  <c:v>4</c:v>
                </c:pt>
                <c:pt idx="9">
                  <c:v>18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Nsambya-ClockTower'!$X$9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Nsambya-ClockTower'!$X$10:$X$21</c:f>
              <c:numCache>
                <c:formatCode>0</c:formatCode>
                <c:ptCount val="12"/>
                <c:pt idx="0">
                  <c:v>2</c:v>
                </c:pt>
                <c:pt idx="1">
                  <c:v>17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Nsambya-ClockTower'!$Y$9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Nsambya-ClockTower'!$Y$10:$Y$21</c:f>
              <c:numCache>
                <c:formatCode>0</c:formatCode>
                <c:ptCount val="12"/>
                <c:pt idx="0">
                  <c:v>11</c:v>
                </c:pt>
                <c:pt idx="1">
                  <c:v>29</c:v>
                </c:pt>
                <c:pt idx="2">
                  <c:v>26</c:v>
                </c:pt>
                <c:pt idx="3">
                  <c:v>18</c:v>
                </c:pt>
                <c:pt idx="4">
                  <c:v>16</c:v>
                </c:pt>
                <c:pt idx="5">
                  <c:v>21</c:v>
                </c:pt>
                <c:pt idx="6">
                  <c:v>43</c:v>
                </c:pt>
                <c:pt idx="7">
                  <c:v>27</c:v>
                </c:pt>
                <c:pt idx="8">
                  <c:v>17</c:v>
                </c:pt>
                <c:pt idx="9">
                  <c:v>88</c:v>
                </c:pt>
                <c:pt idx="10">
                  <c:v>47</c:v>
                </c:pt>
                <c:pt idx="11">
                  <c:v>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Nsambya-ClockTower'!$Z$9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Nsambya-ClockTower'!$Z$10:$Z$21</c:f>
              <c:numCache>
                <c:formatCode>0</c:formatCode>
                <c:ptCount val="12"/>
                <c:pt idx="0">
                  <c:v>6</c:v>
                </c:pt>
                <c:pt idx="1">
                  <c:v>13</c:v>
                </c:pt>
                <c:pt idx="2">
                  <c:v>29</c:v>
                </c:pt>
                <c:pt idx="3">
                  <c:v>20</c:v>
                </c:pt>
                <c:pt idx="4">
                  <c:v>11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34</c:v>
                </c:pt>
                <c:pt idx="9">
                  <c:v>36</c:v>
                </c:pt>
                <c:pt idx="10">
                  <c:v>31</c:v>
                </c:pt>
                <c:pt idx="11">
                  <c:v>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Nsambya-ClockTower'!$AA$9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Nsambya-ClockTower'!$AA$10:$AA$21</c:f>
              <c:numCache>
                <c:formatCode>0</c:formatCode>
                <c:ptCount val="12"/>
                <c:pt idx="0">
                  <c:v>5</c:v>
                </c:pt>
                <c:pt idx="1">
                  <c:v>20</c:v>
                </c:pt>
                <c:pt idx="2">
                  <c:v>26</c:v>
                </c:pt>
                <c:pt idx="3">
                  <c:v>6</c:v>
                </c:pt>
                <c:pt idx="4">
                  <c:v>17</c:v>
                </c:pt>
                <c:pt idx="5">
                  <c:v>14</c:v>
                </c:pt>
                <c:pt idx="6">
                  <c:v>14</c:v>
                </c:pt>
                <c:pt idx="7">
                  <c:v>37</c:v>
                </c:pt>
                <c:pt idx="8">
                  <c:v>27</c:v>
                </c:pt>
                <c:pt idx="9">
                  <c:v>25</c:v>
                </c:pt>
                <c:pt idx="10">
                  <c:v>12</c:v>
                </c:pt>
                <c:pt idx="11">
                  <c:v>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Nsambya-ClockTower'!$AB$9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Nsambya-ClockTower'!$AB$10:$AB$21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15</c:v>
                </c:pt>
                <c:pt idx="3">
                  <c:v>8</c:v>
                </c:pt>
                <c:pt idx="4">
                  <c:v>26</c:v>
                </c:pt>
                <c:pt idx="5">
                  <c:v>17</c:v>
                </c:pt>
                <c:pt idx="6">
                  <c:v>18</c:v>
                </c:pt>
                <c:pt idx="7">
                  <c:v>11</c:v>
                </c:pt>
                <c:pt idx="8">
                  <c:v>8</c:v>
                </c:pt>
                <c:pt idx="9">
                  <c:v>14</c:v>
                </c:pt>
                <c:pt idx="10">
                  <c:v>19</c:v>
                </c:pt>
                <c:pt idx="11">
                  <c:v>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Nsambya-ClockTower'!$AC$9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Nsambya-ClockTower'!$AC$10:$AC$21</c:f>
              <c:numCache>
                <c:formatCode>0</c:formatCode>
                <c:ptCount val="12"/>
                <c:pt idx="0">
                  <c:v>2328</c:v>
                </c:pt>
                <c:pt idx="1">
                  <c:v>3130</c:v>
                </c:pt>
                <c:pt idx="2">
                  <c:v>2697</c:v>
                </c:pt>
                <c:pt idx="3">
                  <c:v>2445</c:v>
                </c:pt>
                <c:pt idx="4">
                  <c:v>2467</c:v>
                </c:pt>
                <c:pt idx="5">
                  <c:v>2349</c:v>
                </c:pt>
                <c:pt idx="6">
                  <c:v>2388</c:v>
                </c:pt>
                <c:pt idx="7">
                  <c:v>2146</c:v>
                </c:pt>
                <c:pt idx="8">
                  <c:v>2292</c:v>
                </c:pt>
                <c:pt idx="9">
                  <c:v>2144</c:v>
                </c:pt>
                <c:pt idx="10">
                  <c:v>2432</c:v>
                </c:pt>
                <c:pt idx="11">
                  <c:v>2469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Nsambya-ClockTower'!$AD$9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Nsambya-ClockTower'!$AD$10:$AD$21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66488"/>
        <c:axId val="205372368"/>
      </c:lineChart>
      <c:catAx>
        <c:axId val="20536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72368"/>
        <c:crosses val="autoZero"/>
        <c:auto val="1"/>
        <c:lblAlgn val="ctr"/>
        <c:lblOffset val="100"/>
        <c:noMultiLvlLbl val="0"/>
      </c:catAx>
      <c:valAx>
        <c:axId val="20537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6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5B51-4D84-891B-06C3FCEF433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Nsambya-ClockTower'!$C$60:$N$60</c:f>
              <c:numCache>
                <c:formatCode>0.00%</c:formatCode>
                <c:ptCount val="12"/>
                <c:pt idx="0">
                  <c:v>0.31035889070146822</c:v>
                </c:pt>
                <c:pt idx="1">
                  <c:v>8.2952691680261009E-2</c:v>
                </c:pt>
                <c:pt idx="2">
                  <c:v>6.1500815660685153E-2</c:v>
                </c:pt>
                <c:pt idx="3">
                  <c:v>0.4129690048939641</c:v>
                </c:pt>
                <c:pt idx="4">
                  <c:v>1.4110929853181077E-2</c:v>
                </c:pt>
                <c:pt idx="5">
                  <c:v>4.0783034257748773E-3</c:v>
                </c:pt>
                <c:pt idx="6">
                  <c:v>3.0097879282218597E-2</c:v>
                </c:pt>
                <c:pt idx="7">
                  <c:v>2.4143556280587276E-2</c:v>
                </c:pt>
                <c:pt idx="8">
                  <c:v>1.8433931484502446E-2</c:v>
                </c:pt>
                <c:pt idx="9">
                  <c:v>1.435562805872757E-2</c:v>
                </c:pt>
                <c:pt idx="11">
                  <c:v>9.7879282218597059E-4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ClockTower-Nsambya-24h'!$AE$9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ClockTower-Nsambya-24h'!$R$10:$R$33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ClockTower-Nsambya-24h'!$AE$10:$AE$33</c:f>
              <c:numCache>
                <c:formatCode>0</c:formatCode>
                <c:ptCount val="24"/>
                <c:pt idx="0">
                  <c:v>360</c:v>
                </c:pt>
                <c:pt idx="1">
                  <c:v>457</c:v>
                </c:pt>
                <c:pt idx="2">
                  <c:v>351</c:v>
                </c:pt>
                <c:pt idx="3">
                  <c:v>395</c:v>
                </c:pt>
                <c:pt idx="4">
                  <c:v>305</c:v>
                </c:pt>
                <c:pt idx="5">
                  <c:v>507</c:v>
                </c:pt>
                <c:pt idx="6">
                  <c:v>377</c:v>
                </c:pt>
                <c:pt idx="7">
                  <c:v>444</c:v>
                </c:pt>
                <c:pt idx="8">
                  <c:v>479</c:v>
                </c:pt>
                <c:pt idx="9">
                  <c:v>484</c:v>
                </c:pt>
                <c:pt idx="10">
                  <c:v>481</c:v>
                </c:pt>
                <c:pt idx="11">
                  <c:v>497</c:v>
                </c:pt>
                <c:pt idx="12">
                  <c:v>558</c:v>
                </c:pt>
                <c:pt idx="13">
                  <c:v>496</c:v>
                </c:pt>
                <c:pt idx="14">
                  <c:v>452</c:v>
                </c:pt>
                <c:pt idx="15">
                  <c:v>261</c:v>
                </c:pt>
                <c:pt idx="16">
                  <c:v>314</c:v>
                </c:pt>
                <c:pt idx="17">
                  <c:v>217</c:v>
                </c:pt>
                <c:pt idx="18">
                  <c:v>105</c:v>
                </c:pt>
                <c:pt idx="19">
                  <c:v>56</c:v>
                </c:pt>
                <c:pt idx="20">
                  <c:v>50</c:v>
                </c:pt>
                <c:pt idx="21">
                  <c:v>59</c:v>
                </c:pt>
                <c:pt idx="22">
                  <c:v>97</c:v>
                </c:pt>
                <c:pt idx="23">
                  <c:v>134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ClockTower-Nsambya-24h'!$AF$9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ClockTower-Nsambya-24h'!$R$10:$R$33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ClockTower-Nsambya-24h'!$AF$10:$AF$33</c:f>
              <c:numCache>
                <c:formatCode>0</c:formatCode>
                <c:ptCount val="24"/>
                <c:pt idx="0">
                  <c:v>1707</c:v>
                </c:pt>
                <c:pt idx="1">
                  <c:v>1845</c:v>
                </c:pt>
                <c:pt idx="2">
                  <c:v>1986</c:v>
                </c:pt>
                <c:pt idx="3">
                  <c:v>1390</c:v>
                </c:pt>
                <c:pt idx="4">
                  <c:v>1517</c:v>
                </c:pt>
                <c:pt idx="5">
                  <c:v>1659</c:v>
                </c:pt>
                <c:pt idx="6">
                  <c:v>1865</c:v>
                </c:pt>
                <c:pt idx="7">
                  <c:v>2077</c:v>
                </c:pt>
                <c:pt idx="8">
                  <c:v>2040</c:v>
                </c:pt>
                <c:pt idx="9">
                  <c:v>1682</c:v>
                </c:pt>
                <c:pt idx="10">
                  <c:v>1869</c:v>
                </c:pt>
                <c:pt idx="11">
                  <c:v>2073</c:v>
                </c:pt>
                <c:pt idx="12">
                  <c:v>1856</c:v>
                </c:pt>
                <c:pt idx="13">
                  <c:v>1516</c:v>
                </c:pt>
                <c:pt idx="14">
                  <c:v>1370</c:v>
                </c:pt>
                <c:pt idx="15">
                  <c:v>852</c:v>
                </c:pt>
                <c:pt idx="16">
                  <c:v>620</c:v>
                </c:pt>
                <c:pt idx="17">
                  <c:v>424</c:v>
                </c:pt>
                <c:pt idx="18">
                  <c:v>191</c:v>
                </c:pt>
                <c:pt idx="19">
                  <c:v>76</c:v>
                </c:pt>
                <c:pt idx="20">
                  <c:v>70</c:v>
                </c:pt>
                <c:pt idx="21">
                  <c:v>118</c:v>
                </c:pt>
                <c:pt idx="22">
                  <c:v>224</c:v>
                </c:pt>
                <c:pt idx="23">
                  <c:v>346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66096"/>
        <c:axId val="205368840"/>
      </c:lineChart>
      <c:catAx>
        <c:axId val="205366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68840"/>
        <c:crosses val="autoZero"/>
        <c:auto val="1"/>
        <c:lblAlgn val="ctr"/>
        <c:lblOffset val="100"/>
        <c:noMultiLvlLbl val="0"/>
      </c:catAx>
      <c:valAx>
        <c:axId val="205368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6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CC19-40B6-88F6-F149CBCFBC0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'03.08 ClockTower-Nsambya-24h'!$C$9:$N$9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ClockTower-Nsambya-24h'!$C$107:$N$107</c:f>
              <c:numCache>
                <c:formatCode>0.0%</c:formatCode>
                <c:ptCount val="12"/>
                <c:pt idx="0">
                  <c:v>9.8321587852789979E-2</c:v>
                </c:pt>
                <c:pt idx="1">
                  <c:v>3.9934633847410889E-2</c:v>
                </c:pt>
                <c:pt idx="2">
                  <c:v>1.7022435570081366E-2</c:v>
                </c:pt>
                <c:pt idx="3">
                  <c:v>8.4056786845061793E-2</c:v>
                </c:pt>
                <c:pt idx="4">
                  <c:v>9.1921152078439387E-4</c:v>
                </c:pt>
                <c:pt idx="5">
                  <c:v>4.085384536819528E-4</c:v>
                </c:pt>
                <c:pt idx="6">
                  <c:v>1.0247506213188984E-2</c:v>
                </c:pt>
                <c:pt idx="7">
                  <c:v>7.9324549756579175E-3</c:v>
                </c:pt>
                <c:pt idx="8">
                  <c:v>6.2642562897899431E-3</c:v>
                </c:pt>
                <c:pt idx="9">
                  <c:v>4.9365063153235965E-3</c:v>
                </c:pt>
                <c:pt idx="10">
                  <c:v>0.72981990263166852</c:v>
                </c:pt>
                <c:pt idx="11">
                  <c:v>1.3617948456065093E-4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6F34-448D-935B-A3D0702D3518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ClockTower-Nsambya-24h'!$C$9:$N$9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ClockTower-Nsambya-24h'!$C$108:$N$108</c:f>
              <c:numCache>
                <c:formatCode>0.00%</c:formatCode>
                <c:ptCount val="12"/>
                <c:pt idx="0">
                  <c:v>0.36391129032258063</c:v>
                </c:pt>
                <c:pt idx="1">
                  <c:v>0.14780745967741934</c:v>
                </c:pt>
                <c:pt idx="2">
                  <c:v>6.3004032258064516E-2</c:v>
                </c:pt>
                <c:pt idx="3">
                  <c:v>0.31111391129032256</c:v>
                </c:pt>
                <c:pt idx="4">
                  <c:v>3.4022177419354839E-3</c:v>
                </c:pt>
                <c:pt idx="5">
                  <c:v>1.5120967741935483E-3</c:v>
                </c:pt>
                <c:pt idx="6">
                  <c:v>3.7928427419354836E-2</c:v>
                </c:pt>
                <c:pt idx="7">
                  <c:v>2.9359879032258066E-2</c:v>
                </c:pt>
                <c:pt idx="8">
                  <c:v>2.3185483870967742E-2</c:v>
                </c:pt>
                <c:pt idx="9">
                  <c:v>1.8271169354838711E-2</c:v>
                </c:pt>
                <c:pt idx="11">
                  <c:v>5.0403225806451612E-4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Nsambya-ClockTower-24h'!$AE$9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Nsambya-ClockTower-24h'!$R$10:$R$33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Nsambya-ClockTower-24h'!$AE$10:$AE$33</c:f>
              <c:numCache>
                <c:formatCode>0</c:formatCode>
                <c:ptCount val="24"/>
                <c:pt idx="0">
                  <c:v>1046</c:v>
                </c:pt>
                <c:pt idx="1">
                  <c:v>834</c:v>
                </c:pt>
                <c:pt idx="2">
                  <c:v>589</c:v>
                </c:pt>
                <c:pt idx="3">
                  <c:v>794</c:v>
                </c:pt>
                <c:pt idx="4">
                  <c:v>658</c:v>
                </c:pt>
                <c:pt idx="5">
                  <c:v>954</c:v>
                </c:pt>
                <c:pt idx="6">
                  <c:v>832</c:v>
                </c:pt>
                <c:pt idx="7">
                  <c:v>811</c:v>
                </c:pt>
                <c:pt idx="8">
                  <c:v>768</c:v>
                </c:pt>
                <c:pt idx="9">
                  <c:v>727</c:v>
                </c:pt>
                <c:pt idx="10">
                  <c:v>811</c:v>
                </c:pt>
                <c:pt idx="11">
                  <c:v>658</c:v>
                </c:pt>
                <c:pt idx="12">
                  <c:v>482</c:v>
                </c:pt>
                <c:pt idx="13">
                  <c:v>512</c:v>
                </c:pt>
                <c:pt idx="14">
                  <c:v>509</c:v>
                </c:pt>
                <c:pt idx="15">
                  <c:v>451</c:v>
                </c:pt>
                <c:pt idx="16">
                  <c:v>408</c:v>
                </c:pt>
                <c:pt idx="17">
                  <c:v>332</c:v>
                </c:pt>
                <c:pt idx="18">
                  <c:v>165</c:v>
                </c:pt>
                <c:pt idx="19">
                  <c:v>65</c:v>
                </c:pt>
                <c:pt idx="20">
                  <c:v>105</c:v>
                </c:pt>
                <c:pt idx="21">
                  <c:v>147</c:v>
                </c:pt>
                <c:pt idx="22">
                  <c:v>222</c:v>
                </c:pt>
                <c:pt idx="23">
                  <c:v>253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Nsambya-ClockTower-24h'!$AF$9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Nsambya-ClockTower-24h'!$R$10:$R$33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Nsambya-ClockTower-24h'!$AF$10:$AF$33</c:f>
              <c:numCache>
                <c:formatCode>0</c:formatCode>
                <c:ptCount val="24"/>
                <c:pt idx="0">
                  <c:v>2665</c:v>
                </c:pt>
                <c:pt idx="1">
                  <c:v>2371</c:v>
                </c:pt>
                <c:pt idx="2">
                  <c:v>2339</c:v>
                </c:pt>
                <c:pt idx="3">
                  <c:v>2024</c:v>
                </c:pt>
                <c:pt idx="4">
                  <c:v>1858</c:v>
                </c:pt>
                <c:pt idx="5">
                  <c:v>2470</c:v>
                </c:pt>
                <c:pt idx="6">
                  <c:v>2563</c:v>
                </c:pt>
                <c:pt idx="7">
                  <c:v>2465</c:v>
                </c:pt>
                <c:pt idx="8">
                  <c:v>2527</c:v>
                </c:pt>
                <c:pt idx="9">
                  <c:v>2721</c:v>
                </c:pt>
                <c:pt idx="10">
                  <c:v>2636</c:v>
                </c:pt>
                <c:pt idx="11">
                  <c:v>2931</c:v>
                </c:pt>
                <c:pt idx="12">
                  <c:v>1837</c:v>
                </c:pt>
                <c:pt idx="13">
                  <c:v>1334</c:v>
                </c:pt>
                <c:pt idx="14">
                  <c:v>1361</c:v>
                </c:pt>
                <c:pt idx="15">
                  <c:v>1182</c:v>
                </c:pt>
                <c:pt idx="16">
                  <c:v>835</c:v>
                </c:pt>
                <c:pt idx="17">
                  <c:v>724</c:v>
                </c:pt>
                <c:pt idx="18">
                  <c:v>485</c:v>
                </c:pt>
                <c:pt idx="19">
                  <c:v>105</c:v>
                </c:pt>
                <c:pt idx="20">
                  <c:v>116</c:v>
                </c:pt>
                <c:pt idx="21">
                  <c:v>234</c:v>
                </c:pt>
                <c:pt idx="22">
                  <c:v>346</c:v>
                </c:pt>
                <c:pt idx="23">
                  <c:v>696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50216"/>
        <c:axId val="214652176"/>
      </c:lineChart>
      <c:catAx>
        <c:axId val="214650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652176"/>
        <c:crosses val="autoZero"/>
        <c:auto val="1"/>
        <c:lblAlgn val="ctr"/>
        <c:lblOffset val="100"/>
        <c:noMultiLvlLbl val="0"/>
      </c:catAx>
      <c:valAx>
        <c:axId val="21465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65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4CC2-41FB-AB6C-D0315A687D35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'03.08 Nsambya-ClockTower-24h'!$C$9:$N$9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Nsambya-ClockTower-24h'!$C$107:$N$107</c:f>
              <c:numCache>
                <c:formatCode>0.0%</c:formatCode>
                <c:ptCount val="12"/>
                <c:pt idx="0">
                  <c:v>0.13419188667095944</c:v>
                </c:pt>
                <c:pt idx="1">
                  <c:v>2.9954925949774631E-2</c:v>
                </c:pt>
                <c:pt idx="2">
                  <c:v>2.0502253702511269E-2</c:v>
                </c:pt>
                <c:pt idx="3">
                  <c:v>0.11781068898905345</c:v>
                </c:pt>
                <c:pt idx="4">
                  <c:v>2.0605280103026401E-3</c:v>
                </c:pt>
                <c:pt idx="5">
                  <c:v>1.8029620090148101E-4</c:v>
                </c:pt>
                <c:pt idx="6">
                  <c:v>1.2852543464262718E-2</c:v>
                </c:pt>
                <c:pt idx="7">
                  <c:v>7.443657437218287E-3</c:v>
                </c:pt>
                <c:pt idx="8">
                  <c:v>6.0785576303927884E-3</c:v>
                </c:pt>
                <c:pt idx="9">
                  <c:v>6.9800386349001932E-3</c:v>
                </c:pt>
                <c:pt idx="10">
                  <c:v>0.66173857050869289</c:v>
                </c:pt>
                <c:pt idx="11">
                  <c:v>2.0605280103026401E-4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477A-4202-BB82-6DE350EE31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Nsambya-ClockTower-24h'!$C$9:$N$9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Nsambya-ClockTower-24h'!$C$108:$N$108</c:f>
              <c:numCache>
                <c:formatCode>0.00%</c:formatCode>
                <c:ptCount val="12"/>
                <c:pt idx="0">
                  <c:v>0.39671057641056878</c:v>
                </c:pt>
                <c:pt idx="1">
                  <c:v>8.8555547095103937E-2</c:v>
                </c:pt>
                <c:pt idx="2">
                  <c:v>6.061067539785274E-2</c:v>
                </c:pt>
                <c:pt idx="3">
                  <c:v>0.34828295134394271</c:v>
                </c:pt>
                <c:pt idx="4">
                  <c:v>6.0915251656133403E-3</c:v>
                </c:pt>
                <c:pt idx="5">
                  <c:v>5.3300845199116733E-4</c:v>
                </c:pt>
                <c:pt idx="6">
                  <c:v>3.799588822051321E-2</c:v>
                </c:pt>
                <c:pt idx="7">
                  <c:v>2.2005634660778192E-2</c:v>
                </c:pt>
                <c:pt idx="8">
                  <c:v>1.7969999238559353E-2</c:v>
                </c:pt>
                <c:pt idx="9">
                  <c:v>2.0635041498515191E-2</c:v>
                </c:pt>
                <c:pt idx="11">
                  <c:v>6.0915251656133403E-4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ClockTower-Nsambya'!$AE$9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ClockTower-Nsambya'!$AE$10:$AE$21</c:f>
              <c:numCache>
                <c:formatCode>0</c:formatCode>
                <c:ptCount val="12"/>
                <c:pt idx="0">
                  <c:v>775</c:v>
                </c:pt>
                <c:pt idx="1">
                  <c:v>872</c:v>
                </c:pt>
                <c:pt idx="2">
                  <c:v>479</c:v>
                </c:pt>
                <c:pt idx="3">
                  <c:v>627</c:v>
                </c:pt>
                <c:pt idx="4">
                  <c:v>733</c:v>
                </c:pt>
                <c:pt idx="5">
                  <c:v>851</c:v>
                </c:pt>
                <c:pt idx="6">
                  <c:v>896</c:v>
                </c:pt>
                <c:pt idx="7">
                  <c:v>696</c:v>
                </c:pt>
                <c:pt idx="8">
                  <c:v>848</c:v>
                </c:pt>
                <c:pt idx="9">
                  <c:v>919</c:v>
                </c:pt>
                <c:pt idx="10">
                  <c:v>805</c:v>
                </c:pt>
                <c:pt idx="11">
                  <c:v>808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ClockTower-Nsambya'!$AF$9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ClockTower-Nsambya'!$AF$10:$AF$21</c:f>
              <c:numCache>
                <c:formatCode>0</c:formatCode>
                <c:ptCount val="12"/>
                <c:pt idx="0">
                  <c:v>1500</c:v>
                </c:pt>
                <c:pt idx="1">
                  <c:v>1719</c:v>
                </c:pt>
                <c:pt idx="2">
                  <c:v>1475</c:v>
                </c:pt>
                <c:pt idx="3">
                  <c:v>1472</c:v>
                </c:pt>
                <c:pt idx="4">
                  <c:v>1518</c:v>
                </c:pt>
                <c:pt idx="5">
                  <c:v>1582</c:v>
                </c:pt>
                <c:pt idx="6">
                  <c:v>2063</c:v>
                </c:pt>
                <c:pt idx="7">
                  <c:v>1361</c:v>
                </c:pt>
                <c:pt idx="8">
                  <c:v>1724</c:v>
                </c:pt>
                <c:pt idx="9">
                  <c:v>1674</c:v>
                </c:pt>
                <c:pt idx="10">
                  <c:v>1510</c:v>
                </c:pt>
                <c:pt idx="11">
                  <c:v>1483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070736"/>
        <c:axId val="217071128"/>
      </c:lineChart>
      <c:catAx>
        <c:axId val="217070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1128"/>
        <c:crosses val="autoZero"/>
        <c:auto val="1"/>
        <c:lblAlgn val="ctr"/>
        <c:lblOffset val="100"/>
        <c:noMultiLvlLbl val="0"/>
      </c:catAx>
      <c:valAx>
        <c:axId val="217071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C085-4D7B-92D4-0FE0B8706BF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ClockTower-Nsambya'!$C$59:$N$59</c:f>
              <c:numCache>
                <c:formatCode>0.0%</c:formatCode>
                <c:ptCount val="12"/>
                <c:pt idx="0">
                  <c:v>0.12373565326764845</c:v>
                </c:pt>
                <c:pt idx="1">
                  <c:v>5.01021959016823E-2</c:v>
                </c:pt>
                <c:pt idx="2">
                  <c:v>2.0543996645878099E-2</c:v>
                </c:pt>
                <c:pt idx="3">
                  <c:v>0.25444159111157694</c:v>
                </c:pt>
                <c:pt idx="4">
                  <c:v>7.5467742780776685E-3</c:v>
                </c:pt>
                <c:pt idx="5">
                  <c:v>3.9830197578743249E-3</c:v>
                </c:pt>
                <c:pt idx="6">
                  <c:v>8.9093863005083596E-3</c:v>
                </c:pt>
                <c:pt idx="7">
                  <c:v>6.498611183900215E-3</c:v>
                </c:pt>
                <c:pt idx="8">
                  <c:v>4.6119176143807981E-3</c:v>
                </c:pt>
                <c:pt idx="9">
                  <c:v>6.2889785650647239E-3</c:v>
                </c:pt>
                <c:pt idx="10">
                  <c:v>0.51213248781510401</c:v>
                </c:pt>
                <c:pt idx="11">
                  <c:v>1.2053875583040721E-3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ClockTower-Nsambya'!$S$9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ClockTower-Nsambya'!$S$10:$S$21</c:f>
              <c:numCache>
                <c:formatCode>0</c:formatCode>
                <c:ptCount val="12"/>
                <c:pt idx="0">
                  <c:v>59</c:v>
                </c:pt>
                <c:pt idx="1">
                  <c:v>94</c:v>
                </c:pt>
                <c:pt idx="2">
                  <c:v>129</c:v>
                </c:pt>
                <c:pt idx="3">
                  <c:v>180</c:v>
                </c:pt>
                <c:pt idx="4">
                  <c:v>248</c:v>
                </c:pt>
                <c:pt idx="5">
                  <c:v>225</c:v>
                </c:pt>
                <c:pt idx="6">
                  <c:v>210</c:v>
                </c:pt>
                <c:pt idx="7">
                  <c:v>246</c:v>
                </c:pt>
                <c:pt idx="8">
                  <c:v>310</c:v>
                </c:pt>
                <c:pt idx="9">
                  <c:v>350</c:v>
                </c:pt>
                <c:pt idx="10">
                  <c:v>148</c:v>
                </c:pt>
                <c:pt idx="11">
                  <c:v>162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ClockTower-Nsambya'!$T$9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ClockTower-Nsambya'!$T$10:$T$21</c:f>
              <c:numCache>
                <c:formatCode>0</c:formatCode>
                <c:ptCount val="12"/>
                <c:pt idx="0">
                  <c:v>24</c:v>
                </c:pt>
                <c:pt idx="1">
                  <c:v>35</c:v>
                </c:pt>
                <c:pt idx="2">
                  <c:v>54</c:v>
                </c:pt>
                <c:pt idx="3">
                  <c:v>36</c:v>
                </c:pt>
                <c:pt idx="4">
                  <c:v>85</c:v>
                </c:pt>
                <c:pt idx="5">
                  <c:v>128</c:v>
                </c:pt>
                <c:pt idx="6">
                  <c:v>126</c:v>
                </c:pt>
                <c:pt idx="7">
                  <c:v>74</c:v>
                </c:pt>
                <c:pt idx="8">
                  <c:v>104</c:v>
                </c:pt>
                <c:pt idx="9">
                  <c:v>147</c:v>
                </c:pt>
                <c:pt idx="10">
                  <c:v>67</c:v>
                </c:pt>
                <c:pt idx="11">
                  <c:v>76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ClockTower-Nsambya'!$U$9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ClockTower-Nsambya'!$U$10:$U$21</c:f>
              <c:numCache>
                <c:formatCode>0</c:formatCode>
                <c:ptCount val="12"/>
                <c:pt idx="0">
                  <c:v>8</c:v>
                </c:pt>
                <c:pt idx="1">
                  <c:v>17</c:v>
                </c:pt>
                <c:pt idx="2">
                  <c:v>19</c:v>
                </c:pt>
                <c:pt idx="3">
                  <c:v>24</c:v>
                </c:pt>
                <c:pt idx="4">
                  <c:v>36</c:v>
                </c:pt>
                <c:pt idx="5">
                  <c:v>61</c:v>
                </c:pt>
                <c:pt idx="6">
                  <c:v>55</c:v>
                </c:pt>
                <c:pt idx="7">
                  <c:v>25</c:v>
                </c:pt>
                <c:pt idx="8">
                  <c:v>62</c:v>
                </c:pt>
                <c:pt idx="9">
                  <c:v>45</c:v>
                </c:pt>
                <c:pt idx="10">
                  <c:v>14</c:v>
                </c:pt>
                <c:pt idx="11">
                  <c:v>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ClockTower-Nsambya'!$V$9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ClockTower-Nsambya'!$V$10:$V$21</c:f>
              <c:numCache>
                <c:formatCode>0</c:formatCode>
                <c:ptCount val="12"/>
                <c:pt idx="0">
                  <c:v>553</c:v>
                </c:pt>
                <c:pt idx="1">
                  <c:v>663</c:v>
                </c:pt>
                <c:pt idx="2">
                  <c:v>206</c:v>
                </c:pt>
                <c:pt idx="3">
                  <c:v>324</c:v>
                </c:pt>
                <c:pt idx="4">
                  <c:v>310</c:v>
                </c:pt>
                <c:pt idx="5">
                  <c:v>379</c:v>
                </c:pt>
                <c:pt idx="6">
                  <c:v>463</c:v>
                </c:pt>
                <c:pt idx="7">
                  <c:v>307</c:v>
                </c:pt>
                <c:pt idx="8">
                  <c:v>305</c:v>
                </c:pt>
                <c:pt idx="9">
                  <c:v>316</c:v>
                </c:pt>
                <c:pt idx="10">
                  <c:v>537</c:v>
                </c:pt>
                <c:pt idx="11">
                  <c:v>492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ClockTower-Nsambya'!$W$9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ClockTower-Nsambya'!$W$10:$W$21</c:f>
              <c:numCache>
                <c:formatCode>0</c:formatCode>
                <c:ptCount val="12"/>
                <c:pt idx="0">
                  <c:v>17</c:v>
                </c:pt>
                <c:pt idx="1">
                  <c:v>15</c:v>
                </c:pt>
                <c:pt idx="2">
                  <c:v>19</c:v>
                </c:pt>
                <c:pt idx="3">
                  <c:v>14</c:v>
                </c:pt>
                <c:pt idx="4">
                  <c:v>6</c:v>
                </c:pt>
                <c:pt idx="5">
                  <c:v>11</c:v>
                </c:pt>
                <c:pt idx="6">
                  <c:v>1</c:v>
                </c:pt>
                <c:pt idx="7">
                  <c:v>7</c:v>
                </c:pt>
                <c:pt idx="8">
                  <c:v>20</c:v>
                </c:pt>
                <c:pt idx="9">
                  <c:v>16</c:v>
                </c:pt>
                <c:pt idx="10">
                  <c:v>7</c:v>
                </c:pt>
                <c:pt idx="11">
                  <c:v>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ClockTower-Nsambya'!$X$9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ClockTower-Nsambya'!$X$10:$X$21</c:f>
              <c:numCache>
                <c:formatCode>0</c:formatCode>
                <c:ptCount val="12"/>
                <c:pt idx="0">
                  <c:v>23</c:v>
                </c:pt>
                <c:pt idx="1">
                  <c:v>17</c:v>
                </c:pt>
                <c:pt idx="2">
                  <c:v>9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ClockTower-Nsambya'!$Y$9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ClockTower-Nsambya'!$Y$10:$Y$21</c:f>
              <c:numCache>
                <c:formatCode>0</c:formatCode>
                <c:ptCount val="12"/>
                <c:pt idx="0">
                  <c:v>41</c:v>
                </c:pt>
                <c:pt idx="1">
                  <c:v>11</c:v>
                </c:pt>
                <c:pt idx="2">
                  <c:v>18</c:v>
                </c:pt>
                <c:pt idx="3">
                  <c:v>12</c:v>
                </c:pt>
                <c:pt idx="4">
                  <c:v>14</c:v>
                </c:pt>
                <c:pt idx="5">
                  <c:v>12</c:v>
                </c:pt>
                <c:pt idx="6">
                  <c:v>8</c:v>
                </c:pt>
                <c:pt idx="7">
                  <c:v>5</c:v>
                </c:pt>
                <c:pt idx="8">
                  <c:v>12</c:v>
                </c:pt>
                <c:pt idx="9">
                  <c:v>11</c:v>
                </c:pt>
                <c:pt idx="10">
                  <c:v>8</c:v>
                </c:pt>
                <c:pt idx="11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ClockTower-Nsambya'!$Z$9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ClockTower-Nsambya'!$Z$10:$Z$21</c:f>
              <c:numCache>
                <c:formatCode>0</c:formatCode>
                <c:ptCount val="12"/>
                <c:pt idx="0">
                  <c:v>27</c:v>
                </c:pt>
                <c:pt idx="1">
                  <c:v>7</c:v>
                </c:pt>
                <c:pt idx="2">
                  <c:v>4</c:v>
                </c:pt>
                <c:pt idx="3">
                  <c:v>19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5</c:v>
                </c:pt>
                <c:pt idx="8">
                  <c:v>18</c:v>
                </c:pt>
                <c:pt idx="9">
                  <c:v>6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ClockTower-Nsambya'!$AA$9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ClockTower-Nsambya'!$AA$10:$AA$21</c:f>
              <c:numCache>
                <c:formatCode>0</c:formatCode>
                <c:ptCount val="12"/>
                <c:pt idx="0">
                  <c:v>11</c:v>
                </c:pt>
                <c:pt idx="1">
                  <c:v>7</c:v>
                </c:pt>
                <c:pt idx="2">
                  <c:v>8</c:v>
                </c:pt>
                <c:pt idx="3">
                  <c:v>3</c:v>
                </c:pt>
                <c:pt idx="4">
                  <c:v>10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13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ClockTower-Nsambya'!$AB$9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ClockTower-Nsambya'!$AB$10:$AB$21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13</c:v>
                </c:pt>
                <c:pt idx="5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8</c:v>
                </c:pt>
                <c:pt idx="9">
                  <c:v>7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ClockTower-Nsambya'!$AC$9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ClockTower-Nsambya'!$AC$10:$AC$21</c:f>
              <c:numCache>
                <c:formatCode>0</c:formatCode>
                <c:ptCount val="12"/>
                <c:pt idx="0">
                  <c:v>725</c:v>
                </c:pt>
                <c:pt idx="1">
                  <c:v>847</c:v>
                </c:pt>
                <c:pt idx="2">
                  <c:v>996</c:v>
                </c:pt>
                <c:pt idx="3">
                  <c:v>845</c:v>
                </c:pt>
                <c:pt idx="4">
                  <c:v>785</c:v>
                </c:pt>
                <c:pt idx="5">
                  <c:v>731</c:v>
                </c:pt>
                <c:pt idx="6">
                  <c:v>1167</c:v>
                </c:pt>
                <c:pt idx="7">
                  <c:v>665</c:v>
                </c:pt>
                <c:pt idx="8">
                  <c:v>876</c:v>
                </c:pt>
                <c:pt idx="9">
                  <c:v>755</c:v>
                </c:pt>
                <c:pt idx="10">
                  <c:v>705</c:v>
                </c:pt>
                <c:pt idx="11">
                  <c:v>675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ClockTower-Nsambya'!$AD$9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ClockTower-Nsambya'!$AD$10:$AD$21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073872"/>
        <c:axId val="217070344"/>
      </c:lineChart>
      <c:catAx>
        <c:axId val="2170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0344"/>
        <c:crosses val="autoZero"/>
        <c:auto val="1"/>
        <c:lblAlgn val="ctr"/>
        <c:lblOffset val="100"/>
        <c:noMultiLvlLbl val="0"/>
      </c:catAx>
      <c:valAx>
        <c:axId val="21707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DC12-4217-8AB6-47C18865D9D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ClockTower-Nsambya'!$C$60:$N$60</c:f>
              <c:numCache>
                <c:formatCode>0.00%</c:formatCode>
                <c:ptCount val="12"/>
                <c:pt idx="0">
                  <c:v>0.25362552368675473</c:v>
                </c:pt>
                <c:pt idx="1">
                  <c:v>0.10269631539370502</c:v>
                </c:pt>
                <c:pt idx="2">
                  <c:v>4.2109786228381137E-2</c:v>
                </c:pt>
                <c:pt idx="3">
                  <c:v>0.52153829627242454</c:v>
                </c:pt>
                <c:pt idx="4">
                  <c:v>1.5468901063486949E-2</c:v>
                </c:pt>
                <c:pt idx="5">
                  <c:v>8.1641422279514451E-3</c:v>
                </c:pt>
                <c:pt idx="6">
                  <c:v>1.8261897088838758E-2</c:v>
                </c:pt>
                <c:pt idx="7">
                  <c:v>1.3320442582447094E-2</c:v>
                </c:pt>
                <c:pt idx="8">
                  <c:v>9.4532173165753578E-3</c:v>
                </c:pt>
                <c:pt idx="9">
                  <c:v>1.2890750886239123E-2</c:v>
                </c:pt>
                <c:pt idx="11">
                  <c:v>2.4707272531958322E-3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Nsambya-ClockTower'!$AE$9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Nsambya-ClockTower'!$AE$10:$AE$21</c:f>
              <c:numCache>
                <c:formatCode>0</c:formatCode>
                <c:ptCount val="12"/>
                <c:pt idx="0">
                  <c:v>448</c:v>
                </c:pt>
                <c:pt idx="1">
                  <c:v>594</c:v>
                </c:pt>
                <c:pt idx="2">
                  <c:v>532</c:v>
                </c:pt>
                <c:pt idx="3">
                  <c:v>613</c:v>
                </c:pt>
                <c:pt idx="4">
                  <c:v>966</c:v>
                </c:pt>
                <c:pt idx="5">
                  <c:v>625</c:v>
                </c:pt>
                <c:pt idx="6">
                  <c:v>746</c:v>
                </c:pt>
                <c:pt idx="7">
                  <c:v>753</c:v>
                </c:pt>
                <c:pt idx="8">
                  <c:v>375</c:v>
                </c:pt>
                <c:pt idx="9">
                  <c:v>564</c:v>
                </c:pt>
                <c:pt idx="10">
                  <c:v>526</c:v>
                </c:pt>
                <c:pt idx="11">
                  <c:v>560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Nsambya-ClockTower'!$AF$9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Nsambya-ClockTower'!$AF$10:$AF$21</c:f>
              <c:numCache>
                <c:formatCode>0</c:formatCode>
                <c:ptCount val="12"/>
                <c:pt idx="0">
                  <c:v>1182</c:v>
                </c:pt>
                <c:pt idx="1">
                  <c:v>1641</c:v>
                </c:pt>
                <c:pt idx="2">
                  <c:v>1273</c:v>
                </c:pt>
                <c:pt idx="3">
                  <c:v>1250</c:v>
                </c:pt>
                <c:pt idx="4">
                  <c:v>1887</c:v>
                </c:pt>
                <c:pt idx="5">
                  <c:v>1148</c:v>
                </c:pt>
                <c:pt idx="6">
                  <c:v>1568</c:v>
                </c:pt>
                <c:pt idx="7">
                  <c:v>1817</c:v>
                </c:pt>
                <c:pt idx="8">
                  <c:v>1122</c:v>
                </c:pt>
                <c:pt idx="9">
                  <c:v>1390</c:v>
                </c:pt>
                <c:pt idx="10">
                  <c:v>1433</c:v>
                </c:pt>
                <c:pt idx="11">
                  <c:v>1305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073480"/>
        <c:axId val="217071520"/>
      </c:lineChart>
      <c:catAx>
        <c:axId val="217073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1520"/>
        <c:crosses val="autoZero"/>
        <c:auto val="1"/>
        <c:lblAlgn val="ctr"/>
        <c:lblOffset val="100"/>
        <c:noMultiLvlLbl val="0"/>
      </c:catAx>
      <c:valAx>
        <c:axId val="217071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A85F-4049-90B5-622F08A1EAA3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Nsambya-ClockTower'!$C$59:$N$59</c:f>
              <c:numCache>
                <c:formatCode>0.0%</c:formatCode>
                <c:ptCount val="12"/>
                <c:pt idx="0">
                  <c:v>0.11512693935119887</c:v>
                </c:pt>
                <c:pt idx="1">
                  <c:v>3.5554771979313587E-2</c:v>
                </c:pt>
                <c:pt idx="2">
                  <c:v>2.8561354019746122E-2</c:v>
                </c:pt>
                <c:pt idx="3">
                  <c:v>0.21573812881993418</c:v>
                </c:pt>
                <c:pt idx="4">
                  <c:v>2.9384109073812884E-3</c:v>
                </c:pt>
                <c:pt idx="5">
                  <c:v>5.2891396332863192E-4</c:v>
                </c:pt>
                <c:pt idx="6">
                  <c:v>1.2870239774330043E-2</c:v>
                </c:pt>
                <c:pt idx="7">
                  <c:v>6.8171133051245884E-3</c:v>
                </c:pt>
                <c:pt idx="8">
                  <c:v>4.818993888105313E-3</c:v>
                </c:pt>
                <c:pt idx="9">
                  <c:v>5.8768218147625768E-3</c:v>
                </c:pt>
                <c:pt idx="10">
                  <c:v>0.57087447108603662</c:v>
                </c:pt>
                <c:pt idx="11">
                  <c:v>2.938410907381288E-4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Nsambya-ClockTower'!$S$9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Nsambya-ClockTower'!$S$10:$S$21</c:f>
              <c:numCache>
                <c:formatCode>0</c:formatCode>
                <c:ptCount val="12"/>
                <c:pt idx="0">
                  <c:v>129</c:v>
                </c:pt>
                <c:pt idx="1">
                  <c:v>197</c:v>
                </c:pt>
                <c:pt idx="2">
                  <c:v>99</c:v>
                </c:pt>
                <c:pt idx="3">
                  <c:v>99</c:v>
                </c:pt>
                <c:pt idx="4">
                  <c:v>232</c:v>
                </c:pt>
                <c:pt idx="5">
                  <c:v>80</c:v>
                </c:pt>
                <c:pt idx="6">
                  <c:v>210</c:v>
                </c:pt>
                <c:pt idx="7">
                  <c:v>284</c:v>
                </c:pt>
                <c:pt idx="8">
                  <c:v>85</c:v>
                </c:pt>
                <c:pt idx="9">
                  <c:v>168</c:v>
                </c:pt>
                <c:pt idx="10">
                  <c:v>188</c:v>
                </c:pt>
                <c:pt idx="11">
                  <c:v>188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Nsambya-ClockTower'!$T$9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Nsambya-ClockTower'!$T$10:$T$21</c:f>
              <c:numCache>
                <c:formatCode>0</c:formatCode>
                <c:ptCount val="12"/>
                <c:pt idx="0">
                  <c:v>37</c:v>
                </c:pt>
                <c:pt idx="1">
                  <c:v>39</c:v>
                </c:pt>
                <c:pt idx="2">
                  <c:v>46</c:v>
                </c:pt>
                <c:pt idx="3">
                  <c:v>58</c:v>
                </c:pt>
                <c:pt idx="4">
                  <c:v>67</c:v>
                </c:pt>
                <c:pt idx="5">
                  <c:v>66</c:v>
                </c:pt>
                <c:pt idx="6">
                  <c:v>55</c:v>
                </c:pt>
                <c:pt idx="7">
                  <c:v>63</c:v>
                </c:pt>
                <c:pt idx="8">
                  <c:v>37</c:v>
                </c:pt>
                <c:pt idx="9">
                  <c:v>54</c:v>
                </c:pt>
                <c:pt idx="10">
                  <c:v>41</c:v>
                </c:pt>
                <c:pt idx="11">
                  <c:v>42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Nsambya-ClockTower'!$U$9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Nsambya-ClockTower'!$U$10:$U$21</c:f>
              <c:numCache>
                <c:formatCode>0</c:formatCode>
                <c:ptCount val="12"/>
                <c:pt idx="0">
                  <c:v>21</c:v>
                </c:pt>
                <c:pt idx="1">
                  <c:v>25</c:v>
                </c:pt>
                <c:pt idx="2">
                  <c:v>35</c:v>
                </c:pt>
                <c:pt idx="3">
                  <c:v>38</c:v>
                </c:pt>
                <c:pt idx="4">
                  <c:v>43</c:v>
                </c:pt>
                <c:pt idx="5">
                  <c:v>40</c:v>
                </c:pt>
                <c:pt idx="6">
                  <c:v>55</c:v>
                </c:pt>
                <c:pt idx="7">
                  <c:v>49</c:v>
                </c:pt>
                <c:pt idx="8">
                  <c:v>34</c:v>
                </c:pt>
                <c:pt idx="9">
                  <c:v>40</c:v>
                </c:pt>
                <c:pt idx="10">
                  <c:v>54</c:v>
                </c:pt>
                <c:pt idx="11">
                  <c:v>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Nsambya-ClockTower'!$V$9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Nsambya-ClockTower'!$V$10:$V$21</c:f>
              <c:numCache>
                <c:formatCode>0</c:formatCode>
                <c:ptCount val="12"/>
                <c:pt idx="0">
                  <c:v>227</c:v>
                </c:pt>
                <c:pt idx="1">
                  <c:v>282</c:v>
                </c:pt>
                <c:pt idx="2">
                  <c:v>315</c:v>
                </c:pt>
                <c:pt idx="3">
                  <c:v>366</c:v>
                </c:pt>
                <c:pt idx="4">
                  <c:v>575</c:v>
                </c:pt>
                <c:pt idx="5">
                  <c:v>376</c:v>
                </c:pt>
                <c:pt idx="6">
                  <c:v>384</c:v>
                </c:pt>
                <c:pt idx="7">
                  <c:v>321</c:v>
                </c:pt>
                <c:pt idx="8">
                  <c:v>195</c:v>
                </c:pt>
                <c:pt idx="9">
                  <c:v>237</c:v>
                </c:pt>
                <c:pt idx="10">
                  <c:v>185</c:v>
                </c:pt>
                <c:pt idx="11">
                  <c:v>208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Nsambya-ClockTower'!$W$9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Nsambya-ClockTower'!$W$10:$W$21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Nsambya-ClockTower'!$X$9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Nsambya-ClockTower'!$Y$9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Nsambya-ClockTower'!$Y$10:$Y$21</c:f>
              <c:numCache>
                <c:formatCode>0</c:formatCode>
                <c:ptCount val="12"/>
                <c:pt idx="0">
                  <c:v>12</c:v>
                </c:pt>
                <c:pt idx="1">
                  <c:v>17</c:v>
                </c:pt>
                <c:pt idx="2">
                  <c:v>14</c:v>
                </c:pt>
                <c:pt idx="3">
                  <c:v>22</c:v>
                </c:pt>
                <c:pt idx="4">
                  <c:v>19</c:v>
                </c:pt>
                <c:pt idx="5">
                  <c:v>17</c:v>
                </c:pt>
                <c:pt idx="6">
                  <c:v>12</c:v>
                </c:pt>
                <c:pt idx="7">
                  <c:v>21</c:v>
                </c:pt>
                <c:pt idx="8">
                  <c:v>8</c:v>
                </c:pt>
                <c:pt idx="9">
                  <c:v>29</c:v>
                </c:pt>
                <c:pt idx="10">
                  <c:v>20</c:v>
                </c:pt>
                <c:pt idx="11">
                  <c:v>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Nsambya-ClockTower'!$Z$9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Nsambya-ClockTower'!$Z$10:$Z$21</c:f>
              <c:numCache>
                <c:formatCode>0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14</c:v>
                </c:pt>
                <c:pt idx="3">
                  <c:v>5</c:v>
                </c:pt>
                <c:pt idx="4">
                  <c:v>6</c:v>
                </c:pt>
                <c:pt idx="5">
                  <c:v>15</c:v>
                </c:pt>
                <c:pt idx="6">
                  <c:v>10</c:v>
                </c:pt>
                <c:pt idx="7">
                  <c:v>3</c:v>
                </c:pt>
                <c:pt idx="8">
                  <c:v>7</c:v>
                </c:pt>
                <c:pt idx="9">
                  <c:v>16</c:v>
                </c:pt>
                <c:pt idx="10">
                  <c:v>9</c:v>
                </c:pt>
                <c:pt idx="11">
                  <c:v>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Nsambya-ClockTower'!$AA$9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Nsambya-ClockTower'!$AA$10:$AA$21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10</c:v>
                </c:pt>
                <c:pt idx="5">
                  <c:v>14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7</c:v>
                </c:pt>
                <c:pt idx="10">
                  <c:v>12</c:v>
                </c:pt>
                <c:pt idx="11">
                  <c:v>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Nsambya-ClockTower'!$AB$9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Nsambya-ClockTower'!$AB$10:$AB$21</c:f>
              <c:numCache>
                <c:formatCode>0</c:formatCode>
                <c:ptCount val="12"/>
                <c:pt idx="0">
                  <c:v>4</c:v>
                </c:pt>
                <c:pt idx="1">
                  <c:v>12</c:v>
                </c:pt>
                <c:pt idx="2">
                  <c:v>3</c:v>
                </c:pt>
                <c:pt idx="3">
                  <c:v>11</c:v>
                </c:pt>
                <c:pt idx="4">
                  <c:v>9</c:v>
                </c:pt>
                <c:pt idx="5">
                  <c:v>12</c:v>
                </c:pt>
                <c:pt idx="6">
                  <c:v>9</c:v>
                </c:pt>
                <c:pt idx="7">
                  <c:v>3</c:v>
                </c:pt>
                <c:pt idx="8">
                  <c:v>4</c:v>
                </c:pt>
                <c:pt idx="9">
                  <c:v>9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Nsambya-ClockTower'!$AC$9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Nsambya-ClockTower'!$AC$10:$AC$21</c:f>
              <c:numCache>
                <c:formatCode>0</c:formatCode>
                <c:ptCount val="12"/>
                <c:pt idx="0">
                  <c:v>734</c:v>
                </c:pt>
                <c:pt idx="1">
                  <c:v>1047</c:v>
                </c:pt>
                <c:pt idx="2">
                  <c:v>741</c:v>
                </c:pt>
                <c:pt idx="3">
                  <c:v>637</c:v>
                </c:pt>
                <c:pt idx="4">
                  <c:v>921</c:v>
                </c:pt>
                <c:pt idx="5">
                  <c:v>523</c:v>
                </c:pt>
                <c:pt idx="6">
                  <c:v>822</c:v>
                </c:pt>
                <c:pt idx="7">
                  <c:v>1064</c:v>
                </c:pt>
                <c:pt idx="8">
                  <c:v>747</c:v>
                </c:pt>
                <c:pt idx="9">
                  <c:v>826</c:v>
                </c:pt>
                <c:pt idx="10">
                  <c:v>907</c:v>
                </c:pt>
                <c:pt idx="11">
                  <c:v>745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Nsambya-ClockTower'!$AD$9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Nsambya-ClockTower'!$AD$10:$AD$21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071912"/>
        <c:axId val="217072304"/>
      </c:lineChart>
      <c:catAx>
        <c:axId val="21707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2304"/>
        <c:crosses val="autoZero"/>
        <c:auto val="1"/>
        <c:lblAlgn val="ctr"/>
        <c:lblOffset val="100"/>
        <c:noMultiLvlLbl val="0"/>
      </c:catAx>
      <c:valAx>
        <c:axId val="2170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ACB0-4F20-A91A-776340154943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Nsambya-ClockTower'!$C$60:$N$60</c:f>
              <c:numCache>
                <c:formatCode>0.00%</c:formatCode>
                <c:ptCount val="12"/>
                <c:pt idx="0">
                  <c:v>0.2682826622843057</c:v>
                </c:pt>
                <c:pt idx="1">
                  <c:v>8.285401259928786E-2</c:v>
                </c:pt>
                <c:pt idx="2">
                  <c:v>6.6557107641741983E-2</c:v>
                </c:pt>
                <c:pt idx="3">
                  <c:v>0.50273897562311698</c:v>
                </c:pt>
                <c:pt idx="4">
                  <c:v>6.8474390577923858E-3</c:v>
                </c:pt>
                <c:pt idx="5">
                  <c:v>1.2325390304026294E-3</c:v>
                </c:pt>
                <c:pt idx="6">
                  <c:v>2.9991783073130648E-2</c:v>
                </c:pt>
                <c:pt idx="7">
                  <c:v>1.5886058614078335E-2</c:v>
                </c:pt>
                <c:pt idx="8">
                  <c:v>1.1229800054779512E-2</c:v>
                </c:pt>
                <c:pt idx="9">
                  <c:v>1.3694878115584772E-2</c:v>
                </c:pt>
                <c:pt idx="11">
                  <c:v>6.8474390577923853E-4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ClockTower-Nsambya'!$AE$9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ClockTower-Nsambya'!$AE$10:$AE$21</c:f>
              <c:numCache>
                <c:formatCode>0</c:formatCode>
                <c:ptCount val="12"/>
                <c:pt idx="0">
                  <c:v>621.57142857142856</c:v>
                </c:pt>
                <c:pt idx="1">
                  <c:v>613.99999999999989</c:v>
                </c:pt>
                <c:pt idx="2">
                  <c:v>547.42857142857133</c:v>
                </c:pt>
                <c:pt idx="3">
                  <c:v>570.85714285714289</c:v>
                </c:pt>
                <c:pt idx="4">
                  <c:v>561.28571428571433</c:v>
                </c:pt>
                <c:pt idx="5">
                  <c:v>691.71428571428578</c:v>
                </c:pt>
                <c:pt idx="6">
                  <c:v>701.57142857142867</c:v>
                </c:pt>
                <c:pt idx="7">
                  <c:v>676.42857142857144</c:v>
                </c:pt>
                <c:pt idx="8">
                  <c:v>731</c:v>
                </c:pt>
                <c:pt idx="9">
                  <c:v>744</c:v>
                </c:pt>
                <c:pt idx="10">
                  <c:v>722.42857142857133</c:v>
                </c:pt>
                <c:pt idx="11">
                  <c:v>605.57142857142856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ClockTower-Nsambya'!$AF$9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ClockTower-Nsambya'!$AF$10:$AF$21</c:f>
              <c:numCache>
                <c:formatCode>0</c:formatCode>
                <c:ptCount val="12"/>
                <c:pt idx="0">
                  <c:v>2643</c:v>
                </c:pt>
                <c:pt idx="1">
                  <c:v>2278.4285714285716</c:v>
                </c:pt>
                <c:pt idx="2">
                  <c:v>2138.1428571428569</c:v>
                </c:pt>
                <c:pt idx="3">
                  <c:v>1768</c:v>
                </c:pt>
                <c:pt idx="4">
                  <c:v>1993</c:v>
                </c:pt>
                <c:pt idx="5">
                  <c:v>1946.4285714285716</c:v>
                </c:pt>
                <c:pt idx="6">
                  <c:v>2050.7142857142858</c:v>
                </c:pt>
                <c:pt idx="7">
                  <c:v>2095.4285714285716</c:v>
                </c:pt>
                <c:pt idx="8">
                  <c:v>2197.1428571428569</c:v>
                </c:pt>
                <c:pt idx="9">
                  <c:v>2355</c:v>
                </c:pt>
                <c:pt idx="10">
                  <c:v>2349.2857142857142</c:v>
                </c:pt>
                <c:pt idx="11">
                  <c:v>2525.4285714285716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074264"/>
        <c:axId val="217075048"/>
      </c:lineChart>
      <c:catAx>
        <c:axId val="217074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5048"/>
        <c:crosses val="autoZero"/>
        <c:auto val="1"/>
        <c:lblAlgn val="ctr"/>
        <c:lblOffset val="100"/>
        <c:noMultiLvlLbl val="0"/>
      </c:catAx>
      <c:valAx>
        <c:axId val="217075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07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15E7-413A-BC41-2C6194EF8EC3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ClockTower-Nsambya'!$C$59:$N$59</c:f>
              <c:numCache>
                <c:formatCode>0.0%</c:formatCode>
                <c:ptCount val="12"/>
                <c:pt idx="0">
                  <c:v>0.10399717973749865</c:v>
                </c:pt>
                <c:pt idx="1">
                  <c:v>3.6516975810825476E-2</c:v>
                </c:pt>
                <c:pt idx="2">
                  <c:v>1.8461872220414371E-2</c:v>
                </c:pt>
                <c:pt idx="3">
                  <c:v>0.10303178218895763</c:v>
                </c:pt>
                <c:pt idx="4">
                  <c:v>2.7389087753552453E-3</c:v>
                </c:pt>
                <c:pt idx="5">
                  <c:v>8.3523158694001555E-4</c:v>
                </c:pt>
                <c:pt idx="6">
                  <c:v>1.1834255342228012E-2</c:v>
                </c:pt>
                <c:pt idx="7">
                  <c:v>7.9292764941967693E-3</c:v>
                </c:pt>
                <c:pt idx="8">
                  <c:v>4.6425859637704743E-3</c:v>
                </c:pt>
                <c:pt idx="9">
                  <c:v>5.3042629352424361E-3</c:v>
                </c:pt>
                <c:pt idx="10">
                  <c:v>0.70433344180496826</c:v>
                </c:pt>
                <c:pt idx="11">
                  <c:v>3.7422713960299402E-4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ClockTower-Nsambya'!$S$9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ClockTower-Nsambya'!$S$10:$S$21</c:f>
              <c:numCache>
                <c:formatCode>0</c:formatCode>
                <c:ptCount val="12"/>
                <c:pt idx="0">
                  <c:v>199.28571428571428</c:v>
                </c:pt>
                <c:pt idx="1">
                  <c:v>186.57142857142856</c:v>
                </c:pt>
                <c:pt idx="2">
                  <c:v>177.42857142857144</c:v>
                </c:pt>
                <c:pt idx="3">
                  <c:v>186.57142857142856</c:v>
                </c:pt>
                <c:pt idx="4">
                  <c:v>200</c:v>
                </c:pt>
                <c:pt idx="5">
                  <c:v>232.14285714285717</c:v>
                </c:pt>
                <c:pt idx="6">
                  <c:v>236.71428571428572</c:v>
                </c:pt>
                <c:pt idx="7">
                  <c:v>280.42857142857144</c:v>
                </c:pt>
                <c:pt idx="8">
                  <c:v>288.85714285714289</c:v>
                </c:pt>
                <c:pt idx="9">
                  <c:v>258.28571428571433</c:v>
                </c:pt>
                <c:pt idx="10">
                  <c:v>295</c:v>
                </c:pt>
                <c:pt idx="11">
                  <c:v>198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668-4FCD-A619-4501F07B66D1}"/>
            </c:ext>
          </c:extLst>
        </c:ser>
        <c:ser>
          <c:idx val="1"/>
          <c:order val="1"/>
          <c:tx>
            <c:strRef>
              <c:f>'Avg Week ClockTower-Nsambya'!$T$9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ClockTower-Nsambya'!$R$10:$R$21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ClockTower-Nsambya'!$T$10:$T$21</c:f>
              <c:numCache>
                <c:formatCode>0</c:formatCode>
                <c:ptCount val="12"/>
                <c:pt idx="0">
                  <c:v>37</c:v>
                </c:pt>
                <c:pt idx="1">
                  <c:v>37.428571428571431</c:v>
                </c:pt>
                <c:pt idx="2">
                  <c:v>38.428571428571431</c:v>
                </c:pt>
                <c:pt idx="3">
                  <c:v>35.285714285714285</c:v>
                </c:pt>
                <c:pt idx="4">
                  <c:v>64.714285714285722</c:v>
                </c:pt>
                <c:pt idx="5">
                  <c:v>101.28571428571429</c:v>
                </c:pt>
                <c:pt idx="6">
                  <c:v>110.14285714285714</c:v>
                </c:pt>
                <c:pt idx="7">
                  <c:v>78.142857142857139</c:v>
                </c:pt>
                <c:pt idx="8">
                  <c:v>97.142857142857153</c:v>
                </c:pt>
                <c:pt idx="9">
                  <c:v>140.28571428571428</c:v>
                </c:pt>
                <c:pt idx="10">
                  <c:v>118</c:v>
                </c:pt>
                <c:pt idx="11">
                  <c:v>104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668-4FCD-A619-4501F07B66D1}"/>
            </c:ext>
          </c:extLst>
        </c:ser>
        <c:ser>
          <c:idx val="2"/>
          <c:order val="2"/>
          <c:tx>
            <c:strRef>
              <c:f>'Avg Week ClockTower-Nsambya'!$U$9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ClockTower-Nsambya'!$U$10:$U$21</c:f>
              <c:numCache>
                <c:formatCode>0</c:formatCode>
                <c:ptCount val="12"/>
                <c:pt idx="0">
                  <c:v>19.428571428571427</c:v>
                </c:pt>
                <c:pt idx="1">
                  <c:v>20.142857142857146</c:v>
                </c:pt>
                <c:pt idx="2">
                  <c:v>22</c:v>
                </c:pt>
                <c:pt idx="3">
                  <c:v>27</c:v>
                </c:pt>
                <c:pt idx="4">
                  <c:v>33.714285714285715</c:v>
                </c:pt>
                <c:pt idx="5">
                  <c:v>56.142857142857139</c:v>
                </c:pt>
                <c:pt idx="6">
                  <c:v>59.285714285714292</c:v>
                </c:pt>
                <c:pt idx="7">
                  <c:v>45.714285714285715</c:v>
                </c:pt>
                <c:pt idx="8">
                  <c:v>51.857142857142847</c:v>
                </c:pt>
                <c:pt idx="9">
                  <c:v>58.428571428571431</c:v>
                </c:pt>
                <c:pt idx="10">
                  <c:v>43.428571428571431</c:v>
                </c:pt>
                <c:pt idx="11">
                  <c:v>49.142857142857139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668-4FCD-A619-4501F07B66D1}"/>
            </c:ext>
          </c:extLst>
        </c:ser>
        <c:ser>
          <c:idx val="3"/>
          <c:order val="3"/>
          <c:tx>
            <c:strRef>
              <c:f>'Avg Week ClockTower-Nsambya'!$V$9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ClockTower-Nsambya'!$V$10:$V$21</c:f>
              <c:numCache>
                <c:formatCode>0</c:formatCode>
                <c:ptCount val="12"/>
                <c:pt idx="0">
                  <c:v>302.71428571428572</c:v>
                </c:pt>
                <c:pt idx="1">
                  <c:v>313</c:v>
                </c:pt>
                <c:pt idx="2">
                  <c:v>238.42857142857142</c:v>
                </c:pt>
                <c:pt idx="3">
                  <c:v>242</c:v>
                </c:pt>
                <c:pt idx="4">
                  <c:v>195.42857142857144</c:v>
                </c:pt>
                <c:pt idx="5">
                  <c:v>227.14285714285717</c:v>
                </c:pt>
                <c:pt idx="6">
                  <c:v>212.71428571428572</c:v>
                </c:pt>
                <c:pt idx="7">
                  <c:v>181.85714285714289</c:v>
                </c:pt>
                <c:pt idx="8">
                  <c:v>204.57142857142856</c:v>
                </c:pt>
                <c:pt idx="9">
                  <c:v>195.28571428571428</c:v>
                </c:pt>
                <c:pt idx="10">
                  <c:v>207.85714285714286</c:v>
                </c:pt>
                <c:pt idx="11">
                  <c:v>192.85714285714283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668-4FCD-A619-4501F07B66D1}"/>
            </c:ext>
          </c:extLst>
        </c:ser>
        <c:ser>
          <c:idx val="4"/>
          <c:order val="4"/>
          <c:tx>
            <c:strRef>
              <c:f>'Avg Week ClockTower-Nsambya'!$W$9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ClockTower-Nsambya'!$W$10:$W$21</c:f>
              <c:numCache>
                <c:formatCode>0</c:formatCode>
                <c:ptCount val="12"/>
                <c:pt idx="0">
                  <c:v>12.285714285714285</c:v>
                </c:pt>
                <c:pt idx="1">
                  <c:v>7.8571428571428559</c:v>
                </c:pt>
                <c:pt idx="2">
                  <c:v>8.2857142857142847</c:v>
                </c:pt>
                <c:pt idx="3">
                  <c:v>6.1428571428571432</c:v>
                </c:pt>
                <c:pt idx="4">
                  <c:v>3.5714285714285712</c:v>
                </c:pt>
                <c:pt idx="5">
                  <c:v>3.4285714285714288</c:v>
                </c:pt>
                <c:pt idx="6">
                  <c:v>3.8571428571428572</c:v>
                </c:pt>
                <c:pt idx="7">
                  <c:v>4</c:v>
                </c:pt>
                <c:pt idx="8">
                  <c:v>4.5714285714285712</c:v>
                </c:pt>
                <c:pt idx="9">
                  <c:v>6.7142857142857144</c:v>
                </c:pt>
                <c:pt idx="10">
                  <c:v>6.4285714285714288</c:v>
                </c:pt>
                <c:pt idx="11">
                  <c:v>5.0000000000000009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2668-4FCD-A619-4501F07B66D1}"/>
            </c:ext>
          </c:extLst>
        </c:ser>
        <c:ser>
          <c:idx val="5"/>
          <c:order val="5"/>
          <c:tx>
            <c:strRef>
              <c:f>'Avg Week ClockTower-Nsambya'!$X$9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ClockTower-Nsambya'!$X$10:$X$21</c:f>
              <c:numCache>
                <c:formatCode>0</c:formatCode>
                <c:ptCount val="12"/>
                <c:pt idx="0">
                  <c:v>5.1428571428571432</c:v>
                </c:pt>
                <c:pt idx="1">
                  <c:v>3.1428571428571428</c:v>
                </c:pt>
                <c:pt idx="2">
                  <c:v>2.2857142857142856</c:v>
                </c:pt>
                <c:pt idx="3">
                  <c:v>0.8571428571428571</c:v>
                </c:pt>
                <c:pt idx="4">
                  <c:v>0.71428571428571419</c:v>
                </c:pt>
                <c:pt idx="5">
                  <c:v>1.5714285714285714</c:v>
                </c:pt>
                <c:pt idx="6">
                  <c:v>1.5714285714285712</c:v>
                </c:pt>
                <c:pt idx="7">
                  <c:v>0.14285714285714285</c:v>
                </c:pt>
                <c:pt idx="8">
                  <c:v>1.7142857142857142</c:v>
                </c:pt>
                <c:pt idx="9">
                  <c:v>2.4285714285714284</c:v>
                </c:pt>
                <c:pt idx="10">
                  <c:v>0.2857142857142857</c:v>
                </c:pt>
                <c:pt idx="11">
                  <c:v>2.1428571428571428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2668-4FCD-A619-4501F07B66D1}"/>
            </c:ext>
          </c:extLst>
        </c:ser>
        <c:ser>
          <c:idx val="6"/>
          <c:order val="6"/>
          <c:tx>
            <c:strRef>
              <c:f>'Avg Week ClockTower-Nsambya'!$Y$9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ClockTower-Nsambya'!$Y$10:$Y$21</c:f>
              <c:numCache>
                <c:formatCode>0</c:formatCode>
                <c:ptCount val="12"/>
                <c:pt idx="0">
                  <c:v>17.142857142857142</c:v>
                </c:pt>
                <c:pt idx="1">
                  <c:v>14.714285714285714</c:v>
                </c:pt>
                <c:pt idx="2">
                  <c:v>24</c:v>
                </c:pt>
                <c:pt idx="3">
                  <c:v>31</c:v>
                </c:pt>
                <c:pt idx="4">
                  <c:v>20.857142857142854</c:v>
                </c:pt>
                <c:pt idx="5">
                  <c:v>25.571428571428573</c:v>
                </c:pt>
                <c:pt idx="6">
                  <c:v>26.571428571428577</c:v>
                </c:pt>
                <c:pt idx="7">
                  <c:v>35</c:v>
                </c:pt>
                <c:pt idx="8">
                  <c:v>33.142857142857146</c:v>
                </c:pt>
                <c:pt idx="9">
                  <c:v>38.571428571428569</c:v>
                </c:pt>
                <c:pt idx="10">
                  <c:v>18.428571428571431</c:v>
                </c:pt>
                <c:pt idx="11">
                  <c:v>26.714285714285715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2668-4FCD-A619-4501F07B66D1}"/>
            </c:ext>
          </c:extLst>
        </c:ser>
        <c:ser>
          <c:idx val="7"/>
          <c:order val="7"/>
          <c:tx>
            <c:strRef>
              <c:f>'Avg Week ClockTower-Nsambya'!$Z$9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ClockTower-Nsambya'!$Z$10:$Z$21</c:f>
              <c:numCache>
                <c:formatCode>0</c:formatCode>
                <c:ptCount val="12"/>
                <c:pt idx="0">
                  <c:v>11.571428571428571</c:v>
                </c:pt>
                <c:pt idx="1">
                  <c:v>12.999999999999998</c:v>
                </c:pt>
                <c:pt idx="2">
                  <c:v>16.857142857142858</c:v>
                </c:pt>
                <c:pt idx="3">
                  <c:v>18.285714285714285</c:v>
                </c:pt>
                <c:pt idx="4">
                  <c:v>19.857142857142858</c:v>
                </c:pt>
                <c:pt idx="5">
                  <c:v>18.142857142857142</c:v>
                </c:pt>
                <c:pt idx="6">
                  <c:v>21</c:v>
                </c:pt>
                <c:pt idx="7">
                  <c:v>20.714285714285715</c:v>
                </c:pt>
                <c:pt idx="8">
                  <c:v>24.142857142857142</c:v>
                </c:pt>
                <c:pt idx="9">
                  <c:v>16.857142857142858</c:v>
                </c:pt>
                <c:pt idx="10">
                  <c:v>14.428571428571429</c:v>
                </c:pt>
                <c:pt idx="11">
                  <c:v>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2668-4FCD-A619-4501F07B66D1}"/>
            </c:ext>
          </c:extLst>
        </c:ser>
        <c:ser>
          <c:idx val="8"/>
          <c:order val="8"/>
          <c:tx>
            <c:strRef>
              <c:f>'Avg Week ClockTower-Nsambya'!$AA$9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ClockTower-Nsambya'!$AA$10:$AA$21</c:f>
              <c:numCache>
                <c:formatCode>0</c:formatCode>
                <c:ptCount val="12"/>
                <c:pt idx="0">
                  <c:v>8.4285714285714288</c:v>
                </c:pt>
                <c:pt idx="1">
                  <c:v>9.4285714285714288</c:v>
                </c:pt>
                <c:pt idx="2">
                  <c:v>9.4285714285714288</c:v>
                </c:pt>
                <c:pt idx="3">
                  <c:v>10.285714285714285</c:v>
                </c:pt>
                <c:pt idx="4">
                  <c:v>9.2857142857142865</c:v>
                </c:pt>
                <c:pt idx="5">
                  <c:v>12.428571428571429</c:v>
                </c:pt>
                <c:pt idx="6">
                  <c:v>13.714285714285714</c:v>
                </c:pt>
                <c:pt idx="7">
                  <c:v>11.142857142857142</c:v>
                </c:pt>
                <c:pt idx="8">
                  <c:v>11</c:v>
                </c:pt>
                <c:pt idx="9">
                  <c:v>13.428571428571429</c:v>
                </c:pt>
                <c:pt idx="10">
                  <c:v>7.8571428571428577</c:v>
                </c:pt>
                <c:pt idx="11">
                  <c:v>5.8571428571428568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2668-4FCD-A619-4501F07B66D1}"/>
            </c:ext>
          </c:extLst>
        </c:ser>
        <c:ser>
          <c:idx val="9"/>
          <c:order val="9"/>
          <c:tx>
            <c:strRef>
              <c:f>'Avg Week ClockTower-Nsambya'!$AB$9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ClockTower-Nsambya'!$AB$10:$AB$21</c:f>
              <c:numCache>
                <c:formatCode>0</c:formatCode>
                <c:ptCount val="12"/>
                <c:pt idx="0">
                  <c:v>7.5714285714285712</c:v>
                </c:pt>
                <c:pt idx="1">
                  <c:v>7.8571428571428568</c:v>
                </c:pt>
                <c:pt idx="2">
                  <c:v>8.4285714285714288</c:v>
                </c:pt>
                <c:pt idx="3">
                  <c:v>13.285714285714285</c:v>
                </c:pt>
                <c:pt idx="4">
                  <c:v>12.714285714285715</c:v>
                </c:pt>
                <c:pt idx="5">
                  <c:v>13.428571428571429</c:v>
                </c:pt>
                <c:pt idx="6">
                  <c:v>15.285714285714285</c:v>
                </c:pt>
                <c:pt idx="7">
                  <c:v>17.142857142857142</c:v>
                </c:pt>
                <c:pt idx="8">
                  <c:v>13.714285714285715</c:v>
                </c:pt>
                <c:pt idx="9">
                  <c:v>13.142857142857144</c:v>
                </c:pt>
                <c:pt idx="10">
                  <c:v>10.428571428571429</c:v>
                </c:pt>
                <c:pt idx="11">
                  <c:v>6.7142857142857135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2668-4FCD-A619-4501F07B66D1}"/>
            </c:ext>
          </c:extLst>
        </c:ser>
        <c:ser>
          <c:idx val="10"/>
          <c:order val="10"/>
          <c:tx>
            <c:strRef>
              <c:f>'Avg Week ClockTower-Nsambya'!$AC$9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ClockTower-Nsambya'!$AC$10:$AC$21</c:f>
              <c:numCache>
                <c:formatCode>0</c:formatCode>
                <c:ptCount val="12"/>
                <c:pt idx="0">
                  <c:v>2021.4285714285716</c:v>
                </c:pt>
                <c:pt idx="1">
                  <c:v>1664.4285714285713</c:v>
                </c:pt>
                <c:pt idx="2">
                  <c:v>1590.7142857142856</c:v>
                </c:pt>
                <c:pt idx="3">
                  <c:v>1197.1428571428571</c:v>
                </c:pt>
                <c:pt idx="4">
                  <c:v>1431.7142857142858</c:v>
                </c:pt>
                <c:pt idx="5">
                  <c:v>1254.7142857142858</c:v>
                </c:pt>
                <c:pt idx="6">
                  <c:v>1349.1428571428571</c:v>
                </c:pt>
                <c:pt idx="7">
                  <c:v>1419</c:v>
                </c:pt>
                <c:pt idx="8">
                  <c:v>1466.1428571428571</c:v>
                </c:pt>
                <c:pt idx="9">
                  <c:v>1611</c:v>
                </c:pt>
                <c:pt idx="10">
                  <c:v>1626.8571428571427</c:v>
                </c:pt>
                <c:pt idx="11">
                  <c:v>1919.8571428571431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2668-4FCD-A619-4501F07B66D1}"/>
            </c:ext>
          </c:extLst>
        </c:ser>
        <c:ser>
          <c:idx val="11"/>
          <c:order val="11"/>
          <c:tx>
            <c:strRef>
              <c:f>'Avg Week ClockTower-Nsambya'!$AD$9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ClockTower-Nsambya'!$AD$10:$AD$21</c:f>
              <c:numCache>
                <c:formatCode>0</c:formatCode>
                <c:ptCount val="12"/>
                <c:pt idx="0">
                  <c:v>1</c:v>
                </c:pt>
                <c:pt idx="1">
                  <c:v>0.8571428571428571</c:v>
                </c:pt>
                <c:pt idx="2">
                  <c:v>1.857142857142857</c:v>
                </c:pt>
                <c:pt idx="3">
                  <c:v>0.14285714285714285</c:v>
                </c:pt>
                <c:pt idx="4">
                  <c:v>0.42857142857142855</c:v>
                </c:pt>
                <c:pt idx="5">
                  <c:v>0.42857142857142855</c:v>
                </c:pt>
                <c:pt idx="6">
                  <c:v>0.71428571428571419</c:v>
                </c:pt>
                <c:pt idx="7">
                  <c:v>2.1428571428571428</c:v>
                </c:pt>
                <c:pt idx="8">
                  <c:v>0.2857142857142857</c:v>
                </c:pt>
                <c:pt idx="9">
                  <c:v>0.5714285714285714</c:v>
                </c:pt>
                <c:pt idx="10">
                  <c:v>0.2857142857142857</c:v>
                </c:pt>
                <c:pt idx="11">
                  <c:v>1.1428571428571428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2668-4FCD-A619-4501F07B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687648"/>
        <c:axId val="218686472"/>
      </c:lineChart>
      <c:catAx>
        <c:axId val="21868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86472"/>
        <c:crosses val="autoZero"/>
        <c:auto val="1"/>
        <c:lblAlgn val="ctr"/>
        <c:lblOffset val="100"/>
        <c:noMultiLvlLbl val="0"/>
      </c:catAx>
      <c:valAx>
        <c:axId val="21868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8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D80A-4F64-9F70-B5B6C796803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ClockTower-Nsambya'!$C$9:$N$9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ClockTower-Nsambya'!$C$60:$N$60</c:f>
              <c:numCache>
                <c:formatCode>0.00%</c:formatCode>
                <c:ptCount val="12"/>
                <c:pt idx="0">
                  <c:v>0.35173805374667516</c:v>
                </c:pt>
                <c:pt idx="1">
                  <c:v>0.12350729157112719</c:v>
                </c:pt>
                <c:pt idx="2">
                  <c:v>6.2441529854168586E-2</c:v>
                </c:pt>
                <c:pt idx="3">
                  <c:v>0.34847289736769699</c:v>
                </c:pt>
                <c:pt idx="4">
                  <c:v>9.2635054572136107E-3</c:v>
                </c:pt>
                <c:pt idx="5">
                  <c:v>2.8249105750710818E-3</c:v>
                </c:pt>
                <c:pt idx="6">
                  <c:v>4.0025681005227916E-2</c:v>
                </c:pt>
                <c:pt idx="7">
                  <c:v>2.6818306888012469E-2</c:v>
                </c:pt>
                <c:pt idx="8">
                  <c:v>1.5702100339356137E-2</c:v>
                </c:pt>
                <c:pt idx="9">
                  <c:v>1.7940016509217647E-2</c:v>
                </c:pt>
                <c:pt idx="11">
                  <c:v>1.265706686233147E-3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Nsambya-ClockTower'!$AE$9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Nsambya-ClockTower'!$AE$10:$AE$21</c:f>
              <c:numCache>
                <c:formatCode>0</c:formatCode>
                <c:ptCount val="12"/>
                <c:pt idx="0">
                  <c:v>861.14285714285711</c:v>
                </c:pt>
                <c:pt idx="1">
                  <c:v>871.14285714285711</c:v>
                </c:pt>
                <c:pt idx="2">
                  <c:v>1009.7142857142859</c:v>
                </c:pt>
                <c:pt idx="3">
                  <c:v>861.57142857142844</c:v>
                </c:pt>
                <c:pt idx="4">
                  <c:v>923.14285714285711</c:v>
                </c:pt>
                <c:pt idx="5">
                  <c:v>844.28571428571422</c:v>
                </c:pt>
                <c:pt idx="6">
                  <c:v>891</c:v>
                </c:pt>
                <c:pt idx="7">
                  <c:v>949.28571428571445</c:v>
                </c:pt>
                <c:pt idx="8">
                  <c:v>844.42857142857133</c:v>
                </c:pt>
                <c:pt idx="9">
                  <c:v>856.85714285714266</c:v>
                </c:pt>
                <c:pt idx="10">
                  <c:v>811</c:v>
                </c:pt>
                <c:pt idx="11">
                  <c:v>770.28571428571422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Nsambya-ClockTower'!$AF$9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Nsambya-ClockTower'!$AF$10:$AF$21</c:f>
              <c:numCache>
                <c:formatCode>0</c:formatCode>
                <c:ptCount val="12"/>
                <c:pt idx="0">
                  <c:v>2493.8571428571427</c:v>
                </c:pt>
                <c:pt idx="1">
                  <c:v>2854.2857142857142</c:v>
                </c:pt>
                <c:pt idx="2">
                  <c:v>2888.8571428571427</c:v>
                </c:pt>
                <c:pt idx="3">
                  <c:v>2608</c:v>
                </c:pt>
                <c:pt idx="4">
                  <c:v>2565.4285714285716</c:v>
                </c:pt>
                <c:pt idx="5">
                  <c:v>2470</c:v>
                </c:pt>
                <c:pt idx="6">
                  <c:v>2478.2857142857138</c:v>
                </c:pt>
                <c:pt idx="7">
                  <c:v>2491.4285714285716</c:v>
                </c:pt>
                <c:pt idx="8">
                  <c:v>2396.2857142857147</c:v>
                </c:pt>
                <c:pt idx="9">
                  <c:v>2505.8571428571427</c:v>
                </c:pt>
                <c:pt idx="10">
                  <c:v>2699.8571428571427</c:v>
                </c:pt>
                <c:pt idx="11">
                  <c:v>2710.4285714285716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688432"/>
        <c:axId val="218690784"/>
      </c:lineChart>
      <c:catAx>
        <c:axId val="218688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90784"/>
        <c:crosses val="autoZero"/>
        <c:auto val="1"/>
        <c:lblAlgn val="ctr"/>
        <c:lblOffset val="100"/>
        <c:noMultiLvlLbl val="0"/>
      </c:catAx>
      <c:valAx>
        <c:axId val="218690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8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3B84-4A7D-9CBD-0C2ADBE1B04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Nsambya-ClockTower'!$C$59:$N$59</c:f>
              <c:numCache>
                <c:formatCode>0.0%</c:formatCode>
                <c:ptCount val="12"/>
                <c:pt idx="0">
                  <c:v>0.10558912248209848</c:v>
                </c:pt>
                <c:pt idx="1">
                  <c:v>3.0178144110608873E-2</c:v>
                </c:pt>
                <c:pt idx="2">
                  <c:v>1.8740430369765932E-2</c:v>
                </c:pt>
                <c:pt idx="3">
                  <c:v>0.14676030769512874</c:v>
                </c:pt>
                <c:pt idx="4">
                  <c:v>2.7505524026075236E-3</c:v>
                </c:pt>
                <c:pt idx="5">
                  <c:v>5.409419725128133E-4</c:v>
                </c:pt>
                <c:pt idx="6">
                  <c:v>1.1882386379264502E-2</c:v>
                </c:pt>
                <c:pt idx="7">
                  <c:v>7.6236144092271868E-3</c:v>
                </c:pt>
                <c:pt idx="8">
                  <c:v>4.6759390844327902E-3</c:v>
                </c:pt>
                <c:pt idx="9">
                  <c:v>7.7473892673445262E-3</c:v>
                </c:pt>
                <c:pt idx="10">
                  <c:v>0.66325445360276547</c:v>
                </c:pt>
                <c:pt idx="11">
                  <c:v>2.5671822424336895E-4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Nsambya-ClockTower'!$S$9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Nsambya-ClockTower'!$S$10:$S$21</c:f>
              <c:numCache>
                <c:formatCode>0</c:formatCode>
                <c:ptCount val="12"/>
                <c:pt idx="0">
                  <c:v>286.71428571428572</c:v>
                </c:pt>
                <c:pt idx="1">
                  <c:v>328.71428571428572</c:v>
                </c:pt>
                <c:pt idx="2">
                  <c:v>254</c:v>
                </c:pt>
                <c:pt idx="3">
                  <c:v>251.71428571428572</c:v>
                </c:pt>
                <c:pt idx="4">
                  <c:v>247.42857142857142</c:v>
                </c:pt>
                <c:pt idx="5">
                  <c:v>247.42857142857144</c:v>
                </c:pt>
                <c:pt idx="6">
                  <c:v>271.71428571428567</c:v>
                </c:pt>
                <c:pt idx="7">
                  <c:v>312.28571428571428</c:v>
                </c:pt>
                <c:pt idx="8">
                  <c:v>274</c:v>
                </c:pt>
                <c:pt idx="9">
                  <c:v>255.71428571428572</c:v>
                </c:pt>
                <c:pt idx="10">
                  <c:v>284.42857142857139</c:v>
                </c:pt>
                <c:pt idx="11">
                  <c:v>276.28571428571428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AB2-4E89-BB96-27269775CB4B}"/>
            </c:ext>
          </c:extLst>
        </c:ser>
        <c:ser>
          <c:idx val="1"/>
          <c:order val="1"/>
          <c:tx>
            <c:strRef>
              <c:f>'Avg Week Nsambya-ClockTower'!$T$9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Nsambya-ClockTower'!$R$10:$R$21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Nsambya-ClockTower'!$T$10:$T$21</c:f>
              <c:numCache>
                <c:formatCode>0</c:formatCode>
                <c:ptCount val="12"/>
                <c:pt idx="0">
                  <c:v>55.571428571428569</c:v>
                </c:pt>
                <c:pt idx="1">
                  <c:v>55.571428571428569</c:v>
                </c:pt>
                <c:pt idx="2">
                  <c:v>231.42857142857142</c:v>
                </c:pt>
                <c:pt idx="3">
                  <c:v>55.857142857142861</c:v>
                </c:pt>
                <c:pt idx="4">
                  <c:v>69.714285714285708</c:v>
                </c:pt>
                <c:pt idx="5">
                  <c:v>79</c:v>
                </c:pt>
                <c:pt idx="6">
                  <c:v>65.571428571428584</c:v>
                </c:pt>
                <c:pt idx="7">
                  <c:v>84.571428571428584</c:v>
                </c:pt>
                <c:pt idx="8">
                  <c:v>71.571428571428569</c:v>
                </c:pt>
                <c:pt idx="9">
                  <c:v>65.857142857142861</c:v>
                </c:pt>
                <c:pt idx="10">
                  <c:v>60.285714285714278</c:v>
                </c:pt>
                <c:pt idx="11">
                  <c:v>45.428571428571431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AB2-4E89-BB96-27269775CB4B}"/>
            </c:ext>
          </c:extLst>
        </c:ser>
        <c:ser>
          <c:idx val="2"/>
          <c:order val="2"/>
          <c:tx>
            <c:strRef>
              <c:f>'Avg Week Nsambya-ClockTower'!$U$9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Nsambya-ClockTower'!$U$10:$U$21</c:f>
              <c:numCache>
                <c:formatCode>0</c:formatCode>
                <c:ptCount val="12"/>
                <c:pt idx="0">
                  <c:v>30.571428571428569</c:v>
                </c:pt>
                <c:pt idx="1">
                  <c:v>32.714285714285715</c:v>
                </c:pt>
                <c:pt idx="2">
                  <c:v>56.142857142857139</c:v>
                </c:pt>
                <c:pt idx="3">
                  <c:v>42.142857142857139</c:v>
                </c:pt>
                <c:pt idx="4">
                  <c:v>44.714285714285715</c:v>
                </c:pt>
                <c:pt idx="5">
                  <c:v>50.142857142857139</c:v>
                </c:pt>
                <c:pt idx="6">
                  <c:v>53.428571428571423</c:v>
                </c:pt>
                <c:pt idx="7">
                  <c:v>65.714285714285708</c:v>
                </c:pt>
                <c:pt idx="8">
                  <c:v>50</c:v>
                </c:pt>
                <c:pt idx="9">
                  <c:v>59.285714285714278</c:v>
                </c:pt>
                <c:pt idx="10">
                  <c:v>47.714285714285715</c:v>
                </c:pt>
                <c:pt idx="11">
                  <c:v>51.428571428571431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AB2-4E89-BB96-27269775CB4B}"/>
            </c:ext>
          </c:extLst>
        </c:ser>
        <c:ser>
          <c:idx val="3"/>
          <c:order val="3"/>
          <c:tx>
            <c:strRef>
              <c:f>'Avg Week Nsambya-ClockTower'!$V$9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Nsambya-ClockTower'!$V$10:$V$21</c:f>
              <c:numCache>
                <c:formatCode>0</c:formatCode>
                <c:ptCount val="12"/>
                <c:pt idx="0">
                  <c:v>443</c:v>
                </c:pt>
                <c:pt idx="1">
                  <c:v>391.85714285714283</c:v>
                </c:pt>
                <c:pt idx="2">
                  <c:v>390.28571428571428</c:v>
                </c:pt>
                <c:pt idx="3">
                  <c:v>436</c:v>
                </c:pt>
                <c:pt idx="4">
                  <c:v>416.42857142857144</c:v>
                </c:pt>
                <c:pt idx="5">
                  <c:v>381</c:v>
                </c:pt>
                <c:pt idx="6">
                  <c:v>400.71428571428572</c:v>
                </c:pt>
                <c:pt idx="7">
                  <c:v>393.42857142857144</c:v>
                </c:pt>
                <c:pt idx="8">
                  <c:v>333.14285714285717</c:v>
                </c:pt>
                <c:pt idx="9">
                  <c:v>377.28571428571433</c:v>
                </c:pt>
                <c:pt idx="10">
                  <c:v>332.71428571428572</c:v>
                </c:pt>
                <c:pt idx="11">
                  <c:v>277.57142857142856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AB2-4E89-BB96-27269775CB4B}"/>
            </c:ext>
          </c:extLst>
        </c:ser>
        <c:ser>
          <c:idx val="4"/>
          <c:order val="4"/>
          <c:tx>
            <c:strRef>
              <c:f>'Avg Week Nsambya-ClockTower'!$W$9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Nsambya-ClockTower'!$W$10:$W$21</c:f>
              <c:numCache>
                <c:formatCode>0</c:formatCode>
                <c:ptCount val="12"/>
                <c:pt idx="0">
                  <c:v>5.8571428571428577</c:v>
                </c:pt>
                <c:pt idx="1">
                  <c:v>11.142857142857142</c:v>
                </c:pt>
                <c:pt idx="2">
                  <c:v>7.4285714285714288</c:v>
                </c:pt>
                <c:pt idx="3">
                  <c:v>6.4285714285714288</c:v>
                </c:pt>
                <c:pt idx="4">
                  <c:v>5.5714285714285712</c:v>
                </c:pt>
                <c:pt idx="5">
                  <c:v>5.8571428571428577</c:v>
                </c:pt>
                <c:pt idx="6">
                  <c:v>9</c:v>
                </c:pt>
                <c:pt idx="7">
                  <c:v>7.5714285714285712</c:v>
                </c:pt>
                <c:pt idx="8">
                  <c:v>3.4285714285714288</c:v>
                </c:pt>
                <c:pt idx="9">
                  <c:v>7.5714285714285712</c:v>
                </c:pt>
                <c:pt idx="10">
                  <c:v>6.7142857142857135</c:v>
                </c:pt>
                <c:pt idx="11">
                  <c:v>9.1428571428571423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7AB2-4E89-BB96-27269775CB4B}"/>
            </c:ext>
          </c:extLst>
        </c:ser>
        <c:ser>
          <c:idx val="5"/>
          <c:order val="5"/>
          <c:tx>
            <c:strRef>
              <c:f>'Avg Week Nsambya-ClockTower'!$X$9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Nsambya-ClockTower'!$X$10:$X$21</c:f>
              <c:numCache>
                <c:formatCode>0</c:formatCode>
                <c:ptCount val="12"/>
                <c:pt idx="0">
                  <c:v>1.1428571428571428</c:v>
                </c:pt>
                <c:pt idx="1">
                  <c:v>3.4285714285714288</c:v>
                </c:pt>
                <c:pt idx="2">
                  <c:v>1</c:v>
                </c:pt>
                <c:pt idx="3">
                  <c:v>1</c:v>
                </c:pt>
                <c:pt idx="4">
                  <c:v>1.5714285714285714</c:v>
                </c:pt>
                <c:pt idx="5">
                  <c:v>1.857142857142857</c:v>
                </c:pt>
                <c:pt idx="6">
                  <c:v>0.71428571428571419</c:v>
                </c:pt>
                <c:pt idx="7">
                  <c:v>1.2857142857142856</c:v>
                </c:pt>
                <c:pt idx="8">
                  <c:v>1</c:v>
                </c:pt>
                <c:pt idx="9">
                  <c:v>1.1428571428571428</c:v>
                </c:pt>
                <c:pt idx="10">
                  <c:v>0.85714285714285698</c:v>
                </c:pt>
                <c:pt idx="11">
                  <c:v>1.8571428571428572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AB2-4E89-BB96-27269775CB4B}"/>
            </c:ext>
          </c:extLst>
        </c:ser>
        <c:ser>
          <c:idx val="6"/>
          <c:order val="6"/>
          <c:tx>
            <c:strRef>
              <c:f>'Avg Week Nsambya-ClockTower'!$Y$9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Nsambya-ClockTower'!$Y$10:$Y$21</c:f>
              <c:numCache>
                <c:formatCode>0</c:formatCode>
                <c:ptCount val="12"/>
                <c:pt idx="0">
                  <c:v>15.714285714285714</c:v>
                </c:pt>
                <c:pt idx="1">
                  <c:v>18.142857142857142</c:v>
                </c:pt>
                <c:pt idx="2">
                  <c:v>25.571428571428569</c:v>
                </c:pt>
                <c:pt idx="3">
                  <c:v>29</c:v>
                </c:pt>
                <c:pt idx="4">
                  <c:v>30.714285714285715</c:v>
                </c:pt>
                <c:pt idx="5">
                  <c:v>29.714285714285715</c:v>
                </c:pt>
                <c:pt idx="6">
                  <c:v>36.142857142857146</c:v>
                </c:pt>
                <c:pt idx="7">
                  <c:v>32.571428571428569</c:v>
                </c:pt>
                <c:pt idx="8">
                  <c:v>53</c:v>
                </c:pt>
                <c:pt idx="9">
                  <c:v>38.714285714285708</c:v>
                </c:pt>
                <c:pt idx="10">
                  <c:v>30</c:v>
                </c:pt>
                <c:pt idx="11">
                  <c:v>30.999999999999996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7AB2-4E89-BB96-27269775CB4B}"/>
            </c:ext>
          </c:extLst>
        </c:ser>
        <c:ser>
          <c:idx val="7"/>
          <c:order val="7"/>
          <c:tx>
            <c:strRef>
              <c:f>'Avg Week Nsambya-ClockTower'!$Z$9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Nsambya-ClockTower'!$Z$10:$Z$21</c:f>
              <c:numCache>
                <c:formatCode>0</c:formatCode>
                <c:ptCount val="12"/>
                <c:pt idx="0">
                  <c:v>7</c:v>
                </c:pt>
                <c:pt idx="1">
                  <c:v>10.142857142857142</c:v>
                </c:pt>
                <c:pt idx="2">
                  <c:v>19.714285714285715</c:v>
                </c:pt>
                <c:pt idx="3">
                  <c:v>18.285714285714285</c:v>
                </c:pt>
                <c:pt idx="4">
                  <c:v>21.142857142857142</c:v>
                </c:pt>
                <c:pt idx="5">
                  <c:v>20</c:v>
                </c:pt>
                <c:pt idx="6">
                  <c:v>19.428571428571431</c:v>
                </c:pt>
                <c:pt idx="7">
                  <c:v>19.714285714285715</c:v>
                </c:pt>
                <c:pt idx="8">
                  <c:v>27.000000000000004</c:v>
                </c:pt>
                <c:pt idx="9">
                  <c:v>24</c:v>
                </c:pt>
                <c:pt idx="10">
                  <c:v>19.857142857142858</c:v>
                </c:pt>
                <c:pt idx="11">
                  <c:v>31.285714285714285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7AB2-4E89-BB96-27269775CB4B}"/>
            </c:ext>
          </c:extLst>
        </c:ser>
        <c:ser>
          <c:idx val="8"/>
          <c:order val="8"/>
          <c:tx>
            <c:strRef>
              <c:f>'Avg Week Nsambya-ClockTower'!$AA$9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Nsambya-ClockTower'!$AA$10:$AA$21</c:f>
              <c:numCache>
                <c:formatCode>0</c:formatCode>
                <c:ptCount val="12"/>
                <c:pt idx="0">
                  <c:v>6.5714285714285712</c:v>
                </c:pt>
                <c:pt idx="1">
                  <c:v>8.428571428571427</c:v>
                </c:pt>
                <c:pt idx="2">
                  <c:v>12.142857142857144</c:v>
                </c:pt>
                <c:pt idx="3">
                  <c:v>8.2857142857142847</c:v>
                </c:pt>
                <c:pt idx="4">
                  <c:v>12</c:v>
                </c:pt>
                <c:pt idx="5">
                  <c:v>11.142857142857142</c:v>
                </c:pt>
                <c:pt idx="6">
                  <c:v>14.285714285714285</c:v>
                </c:pt>
                <c:pt idx="7">
                  <c:v>14.857142857142856</c:v>
                </c:pt>
                <c:pt idx="8">
                  <c:v>15.285714285714285</c:v>
                </c:pt>
                <c:pt idx="9">
                  <c:v>11.857142857142858</c:v>
                </c:pt>
                <c:pt idx="10">
                  <c:v>10.285714285714286</c:v>
                </c:pt>
                <c:pt idx="11">
                  <c:v>20.571428571428569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7AB2-4E89-BB96-27269775CB4B}"/>
            </c:ext>
          </c:extLst>
        </c:ser>
        <c:ser>
          <c:idx val="9"/>
          <c:order val="9"/>
          <c:tx>
            <c:strRef>
              <c:f>'Avg Week Nsambya-ClockTower'!$AB$9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Nsambya-ClockTower'!$AB$10:$AB$21</c:f>
              <c:numCache>
                <c:formatCode>0</c:formatCode>
                <c:ptCount val="12"/>
                <c:pt idx="0">
                  <c:v>7.8571428571428559</c:v>
                </c:pt>
                <c:pt idx="1">
                  <c:v>10.285714285714285</c:v>
                </c:pt>
                <c:pt idx="2">
                  <c:v>11.428571428571429</c:v>
                </c:pt>
                <c:pt idx="3">
                  <c:v>12.285714285714285</c:v>
                </c:pt>
                <c:pt idx="4">
                  <c:v>73.142857142857153</c:v>
                </c:pt>
                <c:pt idx="5">
                  <c:v>17.285714285714285</c:v>
                </c:pt>
                <c:pt idx="6">
                  <c:v>19.285714285714285</c:v>
                </c:pt>
                <c:pt idx="7">
                  <c:v>16.714285714285715</c:v>
                </c:pt>
                <c:pt idx="8">
                  <c:v>15.285714285714285</c:v>
                </c:pt>
                <c:pt idx="9">
                  <c:v>14.714285714285712</c:v>
                </c:pt>
                <c:pt idx="10">
                  <c:v>17.857142857142858</c:v>
                </c:pt>
                <c:pt idx="11">
                  <c:v>25.285714285714285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7AB2-4E89-BB96-27269775CB4B}"/>
            </c:ext>
          </c:extLst>
        </c:ser>
        <c:ser>
          <c:idx val="10"/>
          <c:order val="10"/>
          <c:tx>
            <c:strRef>
              <c:f>'Avg Week Nsambya-ClockTower'!$AC$9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Nsambya-ClockTower'!$AC$10:$AC$21</c:f>
              <c:numCache>
                <c:formatCode>0</c:formatCode>
                <c:ptCount val="12"/>
                <c:pt idx="0">
                  <c:v>1632.7142857142858</c:v>
                </c:pt>
                <c:pt idx="1">
                  <c:v>1983.1428571428569</c:v>
                </c:pt>
                <c:pt idx="2">
                  <c:v>1879.1428571428569</c:v>
                </c:pt>
                <c:pt idx="3">
                  <c:v>1746.4285714285713</c:v>
                </c:pt>
                <c:pt idx="4">
                  <c:v>1642.2857142857142</c:v>
                </c:pt>
                <c:pt idx="5">
                  <c:v>1625.7142857142856</c:v>
                </c:pt>
                <c:pt idx="6">
                  <c:v>1587.2857142857144</c:v>
                </c:pt>
                <c:pt idx="7">
                  <c:v>1542.1428571428569</c:v>
                </c:pt>
                <c:pt idx="8">
                  <c:v>1551.8571428571429</c:v>
                </c:pt>
                <c:pt idx="9">
                  <c:v>1649</c:v>
                </c:pt>
                <c:pt idx="10">
                  <c:v>1888.8571428571427</c:v>
                </c:pt>
                <c:pt idx="11">
                  <c:v>1940.1428571428571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7AB2-4E89-BB96-27269775CB4B}"/>
            </c:ext>
          </c:extLst>
        </c:ser>
        <c:ser>
          <c:idx val="11"/>
          <c:order val="11"/>
          <c:tx>
            <c:strRef>
              <c:f>'Avg Week Nsambya-ClockTower'!$AD$9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Nsambya-ClockTower'!$AD$10:$AD$21</c:f>
              <c:numCache>
                <c:formatCode>0</c:formatCode>
                <c:ptCount val="12"/>
                <c:pt idx="0">
                  <c:v>1.1428571428571428</c:v>
                </c:pt>
                <c:pt idx="1">
                  <c:v>0.71428571428571419</c:v>
                </c:pt>
                <c:pt idx="2">
                  <c:v>0.5714285714285714</c:v>
                </c:pt>
                <c:pt idx="3">
                  <c:v>0.5714285714285714</c:v>
                </c:pt>
                <c:pt idx="4">
                  <c:v>0.71428571428571419</c:v>
                </c:pt>
                <c:pt idx="5">
                  <c:v>0.85714285714285698</c:v>
                </c:pt>
                <c:pt idx="6">
                  <c:v>0.71428571428571419</c:v>
                </c:pt>
                <c:pt idx="7">
                  <c:v>0.5714285714285714</c:v>
                </c:pt>
                <c:pt idx="8">
                  <c:v>0.71428571428571419</c:v>
                </c:pt>
                <c:pt idx="9">
                  <c:v>0.71428571428571419</c:v>
                </c:pt>
                <c:pt idx="10">
                  <c:v>0.2857142857142857</c:v>
                </c:pt>
                <c:pt idx="11">
                  <c:v>0.42857142857142855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7AB2-4E89-BB96-27269775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689608"/>
        <c:axId val="218690000"/>
      </c:lineChart>
      <c:catAx>
        <c:axId val="218689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90000"/>
        <c:crosses val="autoZero"/>
        <c:auto val="1"/>
        <c:lblAlgn val="ctr"/>
        <c:lblOffset val="100"/>
        <c:noMultiLvlLbl val="0"/>
      </c:catAx>
      <c:valAx>
        <c:axId val="2186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8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8B8A-48E6-9C2F-F83D2727468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Nsambya-ClockTower'!$C$9:$N$9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Nsambya-ClockTower'!$C$60:$N$60</c:f>
              <c:numCache>
                <c:formatCode>0.00%</c:formatCode>
                <c:ptCount val="12"/>
                <c:pt idx="0">
                  <c:v>0.31355759151612494</c:v>
                </c:pt>
                <c:pt idx="1">
                  <c:v>8.9617054875641478E-2</c:v>
                </c:pt>
                <c:pt idx="2">
                  <c:v>5.5651605701294626E-2</c:v>
                </c:pt>
                <c:pt idx="3">
                  <c:v>0.43581959513729096</c:v>
                </c:pt>
                <c:pt idx="4">
                  <c:v>8.168043889622497E-3</c:v>
                </c:pt>
                <c:pt idx="5">
                  <c:v>1.6063819649590921E-3</c:v>
                </c:pt>
                <c:pt idx="6">
                  <c:v>3.5285949603169185E-2</c:v>
                </c:pt>
                <c:pt idx="7">
                  <c:v>2.2639094980737025E-2</c:v>
                </c:pt>
                <c:pt idx="8">
                  <c:v>1.3885674612358246E-2</c:v>
                </c:pt>
                <c:pt idx="9">
                  <c:v>2.3006656955770036E-2</c:v>
                </c:pt>
                <c:pt idx="11">
                  <c:v>7.6235076303143336E-4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Nsambya-ClockTowe-2Dir'!$AE$9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Nsambya-ClockTowe-2Dir'!$R$10:$R$21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Nsambya-ClockTowe-2Dir'!$AE$10:$AE$21</c:f>
              <c:numCache>
                <c:formatCode>0</c:formatCode>
                <c:ptCount val="12"/>
                <c:pt idx="0">
                  <c:v>1482.7142857142858</c:v>
                </c:pt>
                <c:pt idx="1">
                  <c:v>1485.1428571428571</c:v>
                </c:pt>
                <c:pt idx="2">
                  <c:v>1557.1428571428571</c:v>
                </c:pt>
                <c:pt idx="3">
                  <c:v>1432.4285714285716</c:v>
                </c:pt>
                <c:pt idx="4">
                  <c:v>1484.4285714285716</c:v>
                </c:pt>
                <c:pt idx="5">
                  <c:v>1535.9999999999998</c:v>
                </c:pt>
                <c:pt idx="6">
                  <c:v>1592.5714285714287</c:v>
                </c:pt>
                <c:pt idx="7">
                  <c:v>1625.7142857142858</c:v>
                </c:pt>
                <c:pt idx="8">
                  <c:v>1575.4285714285716</c:v>
                </c:pt>
                <c:pt idx="9">
                  <c:v>1600.8571428571427</c:v>
                </c:pt>
                <c:pt idx="10">
                  <c:v>1533.4285714285713</c:v>
                </c:pt>
                <c:pt idx="11">
                  <c:v>1375.8571428571427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Nsambya-ClockTowe-2Dir'!$AF$9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Nsambya-ClockTowe-2Dir'!$R$10:$R$21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Nsambya-ClockTowe-2Dir'!$AF$10:$AF$21</c:f>
              <c:numCache>
                <c:formatCode>0</c:formatCode>
                <c:ptCount val="12"/>
                <c:pt idx="0">
                  <c:v>5136.8571428571431</c:v>
                </c:pt>
                <c:pt idx="1">
                  <c:v>5132.7142857142862</c:v>
                </c:pt>
                <c:pt idx="2">
                  <c:v>5027</c:v>
                </c:pt>
                <c:pt idx="3">
                  <c:v>4376</c:v>
                </c:pt>
                <c:pt idx="4">
                  <c:v>4558.4285714285716</c:v>
                </c:pt>
                <c:pt idx="5">
                  <c:v>4416.4285714285716</c:v>
                </c:pt>
                <c:pt idx="6">
                  <c:v>4529</c:v>
                </c:pt>
                <c:pt idx="7">
                  <c:v>4586.8571428571431</c:v>
                </c:pt>
                <c:pt idx="8">
                  <c:v>4593.4285714285716</c:v>
                </c:pt>
                <c:pt idx="9">
                  <c:v>4860.8571428571422</c:v>
                </c:pt>
                <c:pt idx="10">
                  <c:v>5049.1428571428569</c:v>
                </c:pt>
                <c:pt idx="11">
                  <c:v>5235.8571428571422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692744"/>
        <c:axId val="218693136"/>
      </c:lineChart>
      <c:catAx>
        <c:axId val="2186927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93136"/>
        <c:crosses val="autoZero"/>
        <c:auto val="1"/>
        <c:lblAlgn val="ctr"/>
        <c:lblOffset val="100"/>
        <c:noMultiLvlLbl val="0"/>
      </c:catAx>
      <c:valAx>
        <c:axId val="218693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9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D9B1-462A-9165-7345BB810963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Nsambya-ClockTowe-2Dir'!$C$9:$N$9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Nsambya-ClockTowe-2Dir'!$C$59:$N$59</c:f>
              <c:numCache>
                <c:formatCode>0.0%</c:formatCode>
                <c:ptCount val="12"/>
                <c:pt idx="0">
                  <c:v>0.10485990688615168</c:v>
                </c:pt>
                <c:pt idx="1">
                  <c:v>3.308175038134941E-2</c:v>
                </c:pt>
                <c:pt idx="2">
                  <c:v>1.8612832221167754E-2</c:v>
                </c:pt>
                <c:pt idx="3">
                  <c:v>0.12672973630992898</c:v>
                </c:pt>
                <c:pt idx="4">
                  <c:v>2.7452188473558957E-3</c:v>
                </c:pt>
                <c:pt idx="5">
                  <c:v>6.7574617781068194E-4</c:v>
                </c:pt>
                <c:pt idx="6">
                  <c:v>1.1860339164956601E-2</c:v>
                </c:pt>
                <c:pt idx="7">
                  <c:v>7.7636279619793403E-3</c:v>
                </c:pt>
                <c:pt idx="8">
                  <c:v>4.660661138135438E-3</c:v>
                </c:pt>
                <c:pt idx="9">
                  <c:v>6.628275008819481E-3</c:v>
                </c:pt>
                <c:pt idx="10">
                  <c:v>0.68207136078386588</c:v>
                </c:pt>
                <c:pt idx="11">
                  <c:v>3.105451184791737E-4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Nsambya-ClockTowe-2Dir'!$S$9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Nsambya-ClockTowe-2Dir'!$R$10:$R$21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Nsambya-ClockTowe-2Dir'!$S$10:$S$21</c:f>
              <c:numCache>
                <c:formatCode>0</c:formatCode>
                <c:ptCount val="12"/>
                <c:pt idx="0">
                  <c:v>486</c:v>
                </c:pt>
                <c:pt idx="1">
                  <c:v>515.28571428571433</c:v>
                </c:pt>
                <c:pt idx="2">
                  <c:v>431.42857142857144</c:v>
                </c:pt>
                <c:pt idx="3">
                  <c:v>438.28571428571428</c:v>
                </c:pt>
                <c:pt idx="4">
                  <c:v>447.42857142857144</c:v>
                </c:pt>
                <c:pt idx="5">
                  <c:v>479.57142857142856</c:v>
                </c:pt>
                <c:pt idx="6">
                  <c:v>508.42857142857133</c:v>
                </c:pt>
                <c:pt idx="7">
                  <c:v>592.71428571428578</c:v>
                </c:pt>
                <c:pt idx="8">
                  <c:v>562.85714285714289</c:v>
                </c:pt>
                <c:pt idx="9">
                  <c:v>514.00000000000011</c:v>
                </c:pt>
                <c:pt idx="10">
                  <c:v>579.42857142857133</c:v>
                </c:pt>
                <c:pt idx="11">
                  <c:v>474.28571428571428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6E8-49CE-9A67-22D6951BE8EE}"/>
            </c:ext>
          </c:extLst>
        </c:ser>
        <c:ser>
          <c:idx val="1"/>
          <c:order val="1"/>
          <c:tx>
            <c:strRef>
              <c:f>'Avg Week Nsambya-ClockTowe-2Dir'!$T$9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Nsambya-ClockTowe-2Dir'!$R$10:$R$21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Nsambya-ClockTowe-2Dir'!$T$10:$T$21</c:f>
              <c:numCache>
                <c:formatCode>0</c:formatCode>
                <c:ptCount val="12"/>
                <c:pt idx="0">
                  <c:v>92.571428571428584</c:v>
                </c:pt>
                <c:pt idx="1">
                  <c:v>93</c:v>
                </c:pt>
                <c:pt idx="2">
                  <c:v>269.85714285714283</c:v>
                </c:pt>
                <c:pt idx="3">
                  <c:v>91.142857142857139</c:v>
                </c:pt>
                <c:pt idx="4">
                  <c:v>134.42857142857144</c:v>
                </c:pt>
                <c:pt idx="5">
                  <c:v>180.28571428571428</c:v>
                </c:pt>
                <c:pt idx="6">
                  <c:v>175.71428571428572</c:v>
                </c:pt>
                <c:pt idx="7">
                  <c:v>162.71428571428572</c:v>
                </c:pt>
                <c:pt idx="8">
                  <c:v>168.71428571428572</c:v>
                </c:pt>
                <c:pt idx="9">
                  <c:v>206.14285714285717</c:v>
                </c:pt>
                <c:pt idx="10">
                  <c:v>178.28571428571428</c:v>
                </c:pt>
                <c:pt idx="11">
                  <c:v>149.42857142857142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6E8-49CE-9A67-22D6951BE8EE}"/>
            </c:ext>
          </c:extLst>
        </c:ser>
        <c:ser>
          <c:idx val="2"/>
          <c:order val="2"/>
          <c:tx>
            <c:strRef>
              <c:f>'Avg Week Nsambya-ClockTowe-2Dir'!$U$9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Nsambya-ClockTowe-2Dir'!$U$10:$U$21</c:f>
              <c:numCache>
                <c:formatCode>0</c:formatCode>
                <c:ptCount val="12"/>
                <c:pt idx="0">
                  <c:v>50</c:v>
                </c:pt>
                <c:pt idx="1">
                  <c:v>52.857142857142854</c:v>
                </c:pt>
                <c:pt idx="2">
                  <c:v>78.142857142857139</c:v>
                </c:pt>
                <c:pt idx="3">
                  <c:v>69.142857142857153</c:v>
                </c:pt>
                <c:pt idx="4">
                  <c:v>78.428571428571431</c:v>
                </c:pt>
                <c:pt idx="5">
                  <c:v>106.28571428571429</c:v>
                </c:pt>
                <c:pt idx="6">
                  <c:v>112.71428571428572</c:v>
                </c:pt>
                <c:pt idx="7">
                  <c:v>111.42857142857143</c:v>
                </c:pt>
                <c:pt idx="8">
                  <c:v>101.85714285714285</c:v>
                </c:pt>
                <c:pt idx="9">
                  <c:v>117.71428571428572</c:v>
                </c:pt>
                <c:pt idx="10">
                  <c:v>91.142857142857139</c:v>
                </c:pt>
                <c:pt idx="11">
                  <c:v>100.57142857142857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E8-49CE-9A67-22D6951BE8EE}"/>
            </c:ext>
          </c:extLst>
        </c:ser>
        <c:ser>
          <c:idx val="3"/>
          <c:order val="3"/>
          <c:tx>
            <c:strRef>
              <c:f>'Avg Week Nsambya-ClockTowe-2Dir'!$V$9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Nsambya-ClockTowe-2Dir'!$V$10:$V$21</c:f>
              <c:numCache>
                <c:formatCode>0</c:formatCode>
                <c:ptCount val="12"/>
                <c:pt idx="0">
                  <c:v>745.71428571428567</c:v>
                </c:pt>
                <c:pt idx="1">
                  <c:v>704.85714285714289</c:v>
                </c:pt>
                <c:pt idx="2">
                  <c:v>628.71428571428578</c:v>
                </c:pt>
                <c:pt idx="3">
                  <c:v>678</c:v>
                </c:pt>
                <c:pt idx="4">
                  <c:v>611.85714285714289</c:v>
                </c:pt>
                <c:pt idx="5">
                  <c:v>608.14285714285722</c:v>
                </c:pt>
                <c:pt idx="6">
                  <c:v>613.42857142857144</c:v>
                </c:pt>
                <c:pt idx="7">
                  <c:v>575.28571428571422</c:v>
                </c:pt>
                <c:pt idx="8">
                  <c:v>537.71428571428578</c:v>
                </c:pt>
                <c:pt idx="9">
                  <c:v>572.57142857142856</c:v>
                </c:pt>
                <c:pt idx="10">
                  <c:v>540.57142857142856</c:v>
                </c:pt>
                <c:pt idx="11">
                  <c:v>470.42857142857144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6E8-49CE-9A67-22D6951BE8EE}"/>
            </c:ext>
          </c:extLst>
        </c:ser>
        <c:ser>
          <c:idx val="4"/>
          <c:order val="4"/>
          <c:tx>
            <c:strRef>
              <c:f>'Avg Week Nsambya-ClockTowe-2Dir'!$W$9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Nsambya-ClockTowe-2Dir'!$W$10:$W$21</c:f>
              <c:numCache>
                <c:formatCode>0</c:formatCode>
                <c:ptCount val="12"/>
                <c:pt idx="0">
                  <c:v>18.142857142857142</c:v>
                </c:pt>
                <c:pt idx="1">
                  <c:v>19</c:v>
                </c:pt>
                <c:pt idx="2">
                  <c:v>15.714285714285712</c:v>
                </c:pt>
                <c:pt idx="3">
                  <c:v>12.571428571428573</c:v>
                </c:pt>
                <c:pt idx="4">
                  <c:v>9.1428571428571423</c:v>
                </c:pt>
                <c:pt idx="5">
                  <c:v>9.2857142857142847</c:v>
                </c:pt>
                <c:pt idx="6">
                  <c:v>12.857142857142858</c:v>
                </c:pt>
                <c:pt idx="7">
                  <c:v>11.571428571428571</c:v>
                </c:pt>
                <c:pt idx="8">
                  <c:v>8</c:v>
                </c:pt>
                <c:pt idx="9">
                  <c:v>14.285714285714286</c:v>
                </c:pt>
                <c:pt idx="10">
                  <c:v>13.142857142857142</c:v>
                </c:pt>
                <c:pt idx="11">
                  <c:v>14.142857142857142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D6E8-49CE-9A67-22D6951BE8EE}"/>
            </c:ext>
          </c:extLst>
        </c:ser>
        <c:ser>
          <c:idx val="5"/>
          <c:order val="5"/>
          <c:tx>
            <c:strRef>
              <c:f>'Avg Week Nsambya-ClockTowe-2Dir'!$X$9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Nsambya-ClockTowe-2Dir'!$X$10:$X$21</c:f>
              <c:numCache>
                <c:formatCode>0</c:formatCode>
                <c:ptCount val="12"/>
                <c:pt idx="0">
                  <c:v>6.2857142857142865</c:v>
                </c:pt>
                <c:pt idx="1">
                  <c:v>6.5714285714285712</c:v>
                </c:pt>
                <c:pt idx="2">
                  <c:v>3.2857142857142856</c:v>
                </c:pt>
                <c:pt idx="3">
                  <c:v>1.8571428571428572</c:v>
                </c:pt>
                <c:pt idx="4">
                  <c:v>2.2857142857142856</c:v>
                </c:pt>
                <c:pt idx="5">
                  <c:v>3.4285714285714279</c:v>
                </c:pt>
                <c:pt idx="6">
                  <c:v>2.2857142857142856</c:v>
                </c:pt>
                <c:pt idx="7">
                  <c:v>1.4285714285714284</c:v>
                </c:pt>
                <c:pt idx="8">
                  <c:v>2.7142857142857144</c:v>
                </c:pt>
                <c:pt idx="9">
                  <c:v>3.5714285714285712</c:v>
                </c:pt>
                <c:pt idx="10">
                  <c:v>1.1428571428571428</c:v>
                </c:pt>
                <c:pt idx="11">
                  <c:v>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D6E8-49CE-9A67-22D6951BE8EE}"/>
            </c:ext>
          </c:extLst>
        </c:ser>
        <c:ser>
          <c:idx val="6"/>
          <c:order val="6"/>
          <c:tx>
            <c:strRef>
              <c:f>'Avg Week Nsambya-ClockTowe-2Dir'!$Y$9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Nsambya-ClockTowe-2Dir'!$Y$10:$Y$21</c:f>
              <c:numCache>
                <c:formatCode>0</c:formatCode>
                <c:ptCount val="12"/>
                <c:pt idx="0">
                  <c:v>32.857142857142861</c:v>
                </c:pt>
                <c:pt idx="1">
                  <c:v>32.857142857142861</c:v>
                </c:pt>
                <c:pt idx="2">
                  <c:v>49.571428571428569</c:v>
                </c:pt>
                <c:pt idx="3">
                  <c:v>60</c:v>
                </c:pt>
                <c:pt idx="4">
                  <c:v>51.571428571428569</c:v>
                </c:pt>
                <c:pt idx="5">
                  <c:v>55.285714285714278</c:v>
                </c:pt>
                <c:pt idx="6">
                  <c:v>62.714285714285708</c:v>
                </c:pt>
                <c:pt idx="7">
                  <c:v>67.571428571428569</c:v>
                </c:pt>
                <c:pt idx="8">
                  <c:v>86.142857142857139</c:v>
                </c:pt>
                <c:pt idx="9">
                  <c:v>77.285714285714292</c:v>
                </c:pt>
                <c:pt idx="10">
                  <c:v>48.428571428571431</c:v>
                </c:pt>
                <c:pt idx="11">
                  <c:v>57.714285714285722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D6E8-49CE-9A67-22D6951BE8EE}"/>
            </c:ext>
          </c:extLst>
        </c:ser>
        <c:ser>
          <c:idx val="7"/>
          <c:order val="7"/>
          <c:tx>
            <c:strRef>
              <c:f>'Avg Week Nsambya-ClockTowe-2Dir'!$Z$9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Nsambya-ClockTowe-2Dir'!$Z$10:$Z$21</c:f>
              <c:numCache>
                <c:formatCode>0</c:formatCode>
                <c:ptCount val="12"/>
                <c:pt idx="0">
                  <c:v>18.571428571428569</c:v>
                </c:pt>
                <c:pt idx="1">
                  <c:v>23.142857142857142</c:v>
                </c:pt>
                <c:pt idx="2">
                  <c:v>36.571428571428569</c:v>
                </c:pt>
                <c:pt idx="3">
                  <c:v>36.571428571428569</c:v>
                </c:pt>
                <c:pt idx="4">
                  <c:v>41</c:v>
                </c:pt>
                <c:pt idx="5">
                  <c:v>38.142857142857146</c:v>
                </c:pt>
                <c:pt idx="6">
                  <c:v>40.428571428571431</c:v>
                </c:pt>
                <c:pt idx="7">
                  <c:v>40.428571428571431</c:v>
                </c:pt>
                <c:pt idx="8">
                  <c:v>51.142857142857146</c:v>
                </c:pt>
                <c:pt idx="9">
                  <c:v>40.857142857142861</c:v>
                </c:pt>
                <c:pt idx="10">
                  <c:v>34.285714285714285</c:v>
                </c:pt>
                <c:pt idx="11">
                  <c:v>45.285714285714292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D6E8-49CE-9A67-22D6951BE8EE}"/>
            </c:ext>
          </c:extLst>
        </c:ser>
        <c:ser>
          <c:idx val="8"/>
          <c:order val="8"/>
          <c:tx>
            <c:strRef>
              <c:f>'Avg Week Nsambya-ClockTowe-2Dir'!$AA$9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Nsambya-ClockTowe-2Dir'!$AA$10:$AA$21</c:f>
              <c:numCache>
                <c:formatCode>0</c:formatCode>
                <c:ptCount val="12"/>
                <c:pt idx="0">
                  <c:v>15.000000000000002</c:v>
                </c:pt>
                <c:pt idx="1">
                  <c:v>17.857142857142854</c:v>
                </c:pt>
                <c:pt idx="2">
                  <c:v>21.571428571428569</c:v>
                </c:pt>
                <c:pt idx="3">
                  <c:v>18.571428571428573</c:v>
                </c:pt>
                <c:pt idx="4">
                  <c:v>21.285714285714285</c:v>
                </c:pt>
                <c:pt idx="5">
                  <c:v>23.571428571428573</c:v>
                </c:pt>
                <c:pt idx="6">
                  <c:v>28</c:v>
                </c:pt>
                <c:pt idx="7">
                  <c:v>26</c:v>
                </c:pt>
                <c:pt idx="8">
                  <c:v>26.285714285714288</c:v>
                </c:pt>
                <c:pt idx="9">
                  <c:v>25.285714285714285</c:v>
                </c:pt>
                <c:pt idx="10">
                  <c:v>18.142857142857146</c:v>
                </c:pt>
                <c:pt idx="11">
                  <c:v>26.428571428571427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D6E8-49CE-9A67-22D6951BE8EE}"/>
            </c:ext>
          </c:extLst>
        </c:ser>
        <c:ser>
          <c:idx val="9"/>
          <c:order val="9"/>
          <c:tx>
            <c:strRef>
              <c:f>'Avg Week Nsambya-ClockTowe-2Dir'!$AB$9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Nsambya-ClockTowe-2Dir'!$AB$10:$AB$21</c:f>
              <c:numCache>
                <c:formatCode>0</c:formatCode>
                <c:ptCount val="12"/>
                <c:pt idx="0">
                  <c:v>15.428571428571429</c:v>
                </c:pt>
                <c:pt idx="1">
                  <c:v>18.142857142857142</c:v>
                </c:pt>
                <c:pt idx="2">
                  <c:v>19.857142857142854</c:v>
                </c:pt>
                <c:pt idx="3">
                  <c:v>25.571428571428573</c:v>
                </c:pt>
                <c:pt idx="4">
                  <c:v>85.857142857142861</c:v>
                </c:pt>
                <c:pt idx="5">
                  <c:v>30.714285714285715</c:v>
                </c:pt>
                <c:pt idx="6">
                  <c:v>34.571428571428577</c:v>
                </c:pt>
                <c:pt idx="7">
                  <c:v>33.857142857142861</c:v>
                </c:pt>
                <c:pt idx="8">
                  <c:v>29</c:v>
                </c:pt>
                <c:pt idx="9">
                  <c:v>27.857142857142858</c:v>
                </c:pt>
                <c:pt idx="10">
                  <c:v>28.285714285714285</c:v>
                </c:pt>
                <c:pt idx="11">
                  <c:v>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D6E8-49CE-9A67-22D6951BE8EE}"/>
            </c:ext>
          </c:extLst>
        </c:ser>
        <c:ser>
          <c:idx val="10"/>
          <c:order val="10"/>
          <c:tx>
            <c:strRef>
              <c:f>'Avg Week Nsambya-ClockTowe-2Dir'!$AC$9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Nsambya-ClockTowe-2Dir'!$AC$10:$AC$21</c:f>
              <c:numCache>
                <c:formatCode>0</c:formatCode>
                <c:ptCount val="12"/>
                <c:pt idx="0">
                  <c:v>3654.1428571428569</c:v>
                </c:pt>
                <c:pt idx="1">
                  <c:v>3647.5714285714284</c:v>
                </c:pt>
                <c:pt idx="2">
                  <c:v>3469.8571428571431</c:v>
                </c:pt>
                <c:pt idx="3">
                  <c:v>2943.5714285714284</c:v>
                </c:pt>
                <c:pt idx="4">
                  <c:v>3074</c:v>
                </c:pt>
                <c:pt idx="5">
                  <c:v>2880.4285714285716</c:v>
                </c:pt>
                <c:pt idx="6">
                  <c:v>2936.4285714285716</c:v>
                </c:pt>
                <c:pt idx="7">
                  <c:v>2961.1428571428569</c:v>
                </c:pt>
                <c:pt idx="8">
                  <c:v>3018</c:v>
                </c:pt>
                <c:pt idx="9">
                  <c:v>3260</c:v>
                </c:pt>
                <c:pt idx="10">
                  <c:v>3515.7142857142853</c:v>
                </c:pt>
                <c:pt idx="11">
                  <c:v>3859.9999999999995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D6E8-49CE-9A67-22D6951BE8EE}"/>
            </c:ext>
          </c:extLst>
        </c:ser>
        <c:ser>
          <c:idx val="11"/>
          <c:order val="11"/>
          <c:tx>
            <c:strRef>
              <c:f>'Avg Week Nsambya-ClockTowe-2Dir'!$AD$9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Nsambya-ClockTowe-2Dir'!$AD$10:$AD$21</c:f>
              <c:numCache>
                <c:formatCode>0</c:formatCode>
                <c:ptCount val="12"/>
                <c:pt idx="0">
                  <c:v>2.1428571428571428</c:v>
                </c:pt>
                <c:pt idx="1">
                  <c:v>1.5714285714285714</c:v>
                </c:pt>
                <c:pt idx="2">
                  <c:v>2.4285714285714288</c:v>
                </c:pt>
                <c:pt idx="3">
                  <c:v>0.71428571428571419</c:v>
                </c:pt>
                <c:pt idx="4">
                  <c:v>1.1428571428571428</c:v>
                </c:pt>
                <c:pt idx="5">
                  <c:v>1.2857142857142856</c:v>
                </c:pt>
                <c:pt idx="6">
                  <c:v>1.4285714285714284</c:v>
                </c:pt>
                <c:pt idx="7">
                  <c:v>2.714285714285714</c:v>
                </c:pt>
                <c:pt idx="8">
                  <c:v>0.99999999999999989</c:v>
                </c:pt>
                <c:pt idx="9">
                  <c:v>1.2857142857142856</c:v>
                </c:pt>
                <c:pt idx="10">
                  <c:v>0.5714285714285714</c:v>
                </c:pt>
                <c:pt idx="11">
                  <c:v>1.5714285714285712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D6E8-49CE-9A67-22D6951B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311688"/>
        <c:axId val="219312864"/>
      </c:lineChart>
      <c:catAx>
        <c:axId val="21931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12864"/>
        <c:crosses val="autoZero"/>
        <c:auto val="1"/>
        <c:lblAlgn val="ctr"/>
        <c:lblOffset val="100"/>
        <c:noMultiLvlLbl val="0"/>
      </c:catAx>
      <c:valAx>
        <c:axId val="2193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1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0EAD-440A-938B-73199DDCAD0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Nsambya-ClockTowe-2Dir'!$C$9:$N$9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Nsambya-ClockTowe-2Dir'!$C$60:$N$60</c:f>
              <c:numCache>
                <c:formatCode>0.00%</c:formatCode>
                <c:ptCount val="12"/>
                <c:pt idx="0">
                  <c:v>0.32982214859500514</c:v>
                </c:pt>
                <c:pt idx="1">
                  <c:v>0.10405401181508454</c:v>
                </c:pt>
                <c:pt idx="2">
                  <c:v>5.8544056512362087E-2</c:v>
                </c:pt>
                <c:pt idx="3">
                  <c:v>0.39861063357609461</c:v>
                </c:pt>
                <c:pt idx="4">
                  <c:v>8.6347013409183281E-3</c:v>
                </c:pt>
                <c:pt idx="5">
                  <c:v>2.1254649454568188E-3</c:v>
                </c:pt>
                <c:pt idx="6">
                  <c:v>3.7305035476510491E-2</c:v>
                </c:pt>
                <c:pt idx="7">
                  <c:v>2.4419404244678519E-2</c:v>
                </c:pt>
                <c:pt idx="8">
                  <c:v>1.4659456756165411E-2</c:v>
                </c:pt>
                <c:pt idx="9">
                  <c:v>2.0848310567936731E-2</c:v>
                </c:pt>
                <c:pt idx="11">
                  <c:v>9.7677616978714111E-4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4.xml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20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62.xml"/><Relationship Id="rId1" Type="http://schemas.openxmlformats.org/officeDocument/2006/relationships/chart" Target="../charts/chart5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70528A59-0010-4D7E-82B3-4199F0C17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BB52FC5F-8151-4468-9056-5691CAE9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xmlns="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D8F92F88-806A-4199-BEC1-803EE1E41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tabSelected="1"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1" t="s">
        <v>96</v>
      </c>
      <c r="C3" s="56" t="s">
        <v>163</v>
      </c>
      <c r="D3" s="56"/>
      <c r="E3" s="56"/>
      <c r="F3" s="56"/>
      <c r="G3" s="56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51" t="s">
        <v>166</v>
      </c>
      <c r="H5" s="52"/>
      <c r="I5" s="14"/>
      <c r="J5" s="2" t="s">
        <v>5</v>
      </c>
      <c r="K5" s="51" t="s">
        <v>167</v>
      </c>
      <c r="L5" s="52"/>
      <c r="M5" s="10"/>
      <c r="N5" s="10"/>
      <c r="O5" s="3"/>
      <c r="P5" s="3"/>
    </row>
    <row r="6" spans="2:32" ht="23.25" customHeight="1" x14ac:dyDescent="0.25">
      <c r="C6" s="2" t="s">
        <v>4</v>
      </c>
      <c r="D6" s="51" t="s">
        <v>164</v>
      </c>
      <c r="E6" s="52"/>
      <c r="F6" s="2" t="s">
        <v>2</v>
      </c>
      <c r="G6" s="51" t="s">
        <v>165</v>
      </c>
      <c r="H6" s="52"/>
      <c r="J6" s="2" t="s">
        <v>21</v>
      </c>
      <c r="K6" s="51" t="s">
        <v>168</v>
      </c>
      <c r="L6" s="5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60</v>
      </c>
      <c r="D10" s="50">
        <v>11</v>
      </c>
      <c r="E10" s="50">
        <v>5</v>
      </c>
      <c r="F10" s="50">
        <v>55</v>
      </c>
      <c r="G10" s="50">
        <v>7</v>
      </c>
      <c r="H10" s="50">
        <v>0</v>
      </c>
      <c r="I10" s="50">
        <v>2</v>
      </c>
      <c r="J10" s="50">
        <v>2</v>
      </c>
      <c r="K10" s="50">
        <v>0</v>
      </c>
      <c r="L10" s="50">
        <v>3</v>
      </c>
      <c r="M10" s="50">
        <v>633</v>
      </c>
      <c r="N10" s="50">
        <v>0</v>
      </c>
      <c r="O10" s="15">
        <f t="shared" ref="O10:O57" si="0">SUM(C10:L10,N10)</f>
        <v>145</v>
      </c>
      <c r="P10" s="15">
        <f t="shared" ref="P10:P57" si="1">SUM(C10:N10)</f>
        <v>778</v>
      </c>
      <c r="R10" s="1" t="s">
        <v>6</v>
      </c>
      <c r="S10" s="17">
        <f t="shared" ref="S10:AF10" si="2">SUM(C10:C13)</f>
        <v>209</v>
      </c>
      <c r="T10" s="17">
        <f t="shared" si="2"/>
        <v>34</v>
      </c>
      <c r="U10" s="17">
        <f t="shared" si="2"/>
        <v>21</v>
      </c>
      <c r="V10" s="17">
        <f t="shared" si="2"/>
        <v>248</v>
      </c>
      <c r="W10" s="17">
        <f t="shared" si="2"/>
        <v>11</v>
      </c>
      <c r="X10" s="17">
        <f t="shared" si="2"/>
        <v>0</v>
      </c>
      <c r="Y10" s="17">
        <f t="shared" si="2"/>
        <v>10</v>
      </c>
      <c r="Z10" s="17">
        <f t="shared" si="2"/>
        <v>7</v>
      </c>
      <c r="AA10" s="17">
        <f t="shared" si="2"/>
        <v>11</v>
      </c>
      <c r="AB10" s="17">
        <f t="shared" si="2"/>
        <v>6</v>
      </c>
      <c r="AC10" s="17">
        <f t="shared" si="2"/>
        <v>2887</v>
      </c>
      <c r="AD10" s="17">
        <f t="shared" si="2"/>
        <v>2</v>
      </c>
      <c r="AE10" s="31">
        <f t="shared" si="2"/>
        <v>559</v>
      </c>
      <c r="AF10" s="31">
        <f t="shared" si="2"/>
        <v>3446</v>
      </c>
    </row>
    <row r="11" spans="2:32" s="6" customFormat="1" ht="23.1" customHeight="1" x14ac:dyDescent="0.25">
      <c r="B11" s="23" t="s">
        <v>38</v>
      </c>
      <c r="C11" s="50">
        <v>45</v>
      </c>
      <c r="D11" s="50">
        <v>2</v>
      </c>
      <c r="E11" s="50">
        <v>2</v>
      </c>
      <c r="F11" s="50">
        <v>73</v>
      </c>
      <c r="G11" s="50">
        <v>1</v>
      </c>
      <c r="H11" s="50">
        <v>0</v>
      </c>
      <c r="I11" s="50">
        <v>3</v>
      </c>
      <c r="J11" s="50">
        <v>1</v>
      </c>
      <c r="K11" s="50">
        <v>4</v>
      </c>
      <c r="L11" s="50">
        <v>2</v>
      </c>
      <c r="M11" s="50">
        <v>656</v>
      </c>
      <c r="N11" s="50">
        <v>1</v>
      </c>
      <c r="O11" s="15">
        <f t="shared" si="0"/>
        <v>134</v>
      </c>
      <c r="P11" s="15">
        <f t="shared" si="1"/>
        <v>790</v>
      </c>
      <c r="R11" s="1" t="s">
        <v>7</v>
      </c>
      <c r="S11" s="17">
        <f t="shared" ref="S11:AF11" si="3">SUM(C14:C17)</f>
        <v>161</v>
      </c>
      <c r="T11" s="17">
        <f t="shared" si="3"/>
        <v>38</v>
      </c>
      <c r="U11" s="17">
        <f t="shared" si="3"/>
        <v>7</v>
      </c>
      <c r="V11" s="17">
        <f t="shared" si="3"/>
        <v>195</v>
      </c>
      <c r="W11" s="17">
        <f t="shared" si="3"/>
        <v>11</v>
      </c>
      <c r="X11" s="17">
        <f t="shared" si="3"/>
        <v>1</v>
      </c>
      <c r="Y11" s="17">
        <f t="shared" si="3"/>
        <v>17</v>
      </c>
      <c r="Z11" s="17">
        <f t="shared" si="3"/>
        <v>18</v>
      </c>
      <c r="AA11" s="17">
        <f t="shared" si="3"/>
        <v>9</v>
      </c>
      <c r="AB11" s="17">
        <f t="shared" si="3"/>
        <v>13</v>
      </c>
      <c r="AC11" s="17">
        <f t="shared" si="3"/>
        <v>2004</v>
      </c>
      <c r="AD11" s="17">
        <f t="shared" si="3"/>
        <v>1</v>
      </c>
      <c r="AE11" s="31">
        <f t="shared" si="3"/>
        <v>471</v>
      </c>
      <c r="AF11" s="31">
        <f t="shared" si="3"/>
        <v>2475</v>
      </c>
    </row>
    <row r="12" spans="2:32" ht="23.1" customHeight="1" x14ac:dyDescent="0.25">
      <c r="B12" s="23" t="s">
        <v>39</v>
      </c>
      <c r="C12" s="50">
        <v>74</v>
      </c>
      <c r="D12" s="50">
        <v>13</v>
      </c>
      <c r="E12" s="50">
        <v>7</v>
      </c>
      <c r="F12" s="50">
        <v>62</v>
      </c>
      <c r="G12" s="50">
        <v>2</v>
      </c>
      <c r="H12" s="50">
        <v>0</v>
      </c>
      <c r="I12" s="50">
        <v>2</v>
      </c>
      <c r="J12" s="50">
        <v>2</v>
      </c>
      <c r="K12" s="50">
        <v>5</v>
      </c>
      <c r="L12" s="50">
        <v>1</v>
      </c>
      <c r="M12" s="50">
        <v>702</v>
      </c>
      <c r="N12" s="50">
        <v>1</v>
      </c>
      <c r="O12" s="15">
        <f t="shared" si="0"/>
        <v>169</v>
      </c>
      <c r="P12" s="15">
        <f t="shared" si="1"/>
        <v>871</v>
      </c>
      <c r="R12" s="1" t="s">
        <v>8</v>
      </c>
      <c r="S12" s="17">
        <f t="shared" ref="S12:AF12" si="4">SUM(C18:C21)</f>
        <v>105</v>
      </c>
      <c r="T12" s="17">
        <f t="shared" si="4"/>
        <v>20</v>
      </c>
      <c r="U12" s="17">
        <f t="shared" si="4"/>
        <v>14</v>
      </c>
      <c r="V12" s="17">
        <f t="shared" si="4"/>
        <v>213</v>
      </c>
      <c r="W12" s="17">
        <f t="shared" si="4"/>
        <v>8</v>
      </c>
      <c r="X12" s="17">
        <f t="shared" si="4"/>
        <v>0</v>
      </c>
      <c r="Y12" s="17">
        <f t="shared" si="4"/>
        <v>31</v>
      </c>
      <c r="Z12" s="17">
        <f t="shared" si="4"/>
        <v>23</v>
      </c>
      <c r="AA12" s="17">
        <f t="shared" si="4"/>
        <v>11</v>
      </c>
      <c r="AB12" s="17">
        <f t="shared" si="4"/>
        <v>8</v>
      </c>
      <c r="AC12" s="17">
        <f t="shared" si="4"/>
        <v>1116</v>
      </c>
      <c r="AD12" s="17">
        <f t="shared" si="4"/>
        <v>0</v>
      </c>
      <c r="AE12" s="31">
        <f t="shared" si="4"/>
        <v>433</v>
      </c>
      <c r="AF12" s="31">
        <f t="shared" si="4"/>
        <v>1549</v>
      </c>
    </row>
    <row r="13" spans="2:32" ht="23.1" customHeight="1" x14ac:dyDescent="0.25">
      <c r="B13" s="23" t="s">
        <v>40</v>
      </c>
      <c r="C13" s="50">
        <v>30</v>
      </c>
      <c r="D13" s="50">
        <v>8</v>
      </c>
      <c r="E13" s="50">
        <v>7</v>
      </c>
      <c r="F13" s="50">
        <v>58</v>
      </c>
      <c r="G13" s="50">
        <v>1</v>
      </c>
      <c r="H13" s="50">
        <v>0</v>
      </c>
      <c r="I13" s="50">
        <v>3</v>
      </c>
      <c r="J13" s="50">
        <v>2</v>
      </c>
      <c r="K13" s="50">
        <v>2</v>
      </c>
      <c r="L13" s="50">
        <v>0</v>
      </c>
      <c r="M13" s="50">
        <v>896</v>
      </c>
      <c r="N13" s="50">
        <v>0</v>
      </c>
      <c r="O13" s="15">
        <f t="shared" si="0"/>
        <v>111</v>
      </c>
      <c r="P13" s="15">
        <f t="shared" si="1"/>
        <v>1007</v>
      </c>
      <c r="R13" s="1" t="s">
        <v>9</v>
      </c>
      <c r="S13" s="17">
        <f t="shared" ref="S13:AF13" si="5">SUM(C22:C25)</f>
        <v>145</v>
      </c>
      <c r="T13" s="17">
        <f t="shared" si="5"/>
        <v>18</v>
      </c>
      <c r="U13" s="17">
        <f t="shared" si="5"/>
        <v>10</v>
      </c>
      <c r="V13" s="17">
        <f t="shared" si="5"/>
        <v>155</v>
      </c>
      <c r="W13" s="17">
        <f t="shared" si="5"/>
        <v>6</v>
      </c>
      <c r="X13" s="17">
        <f t="shared" si="5"/>
        <v>0</v>
      </c>
      <c r="Y13" s="17">
        <f t="shared" si="5"/>
        <v>11</v>
      </c>
      <c r="Z13" s="17">
        <f t="shared" si="5"/>
        <v>20</v>
      </c>
      <c r="AA13" s="17">
        <f t="shared" si="5"/>
        <v>13</v>
      </c>
      <c r="AB13" s="17">
        <f t="shared" si="5"/>
        <v>12</v>
      </c>
      <c r="AC13" s="17">
        <f t="shared" si="5"/>
        <v>816</v>
      </c>
      <c r="AD13" s="17">
        <f t="shared" si="5"/>
        <v>0</v>
      </c>
      <c r="AE13" s="31">
        <f t="shared" si="5"/>
        <v>390</v>
      </c>
      <c r="AF13" s="31">
        <f t="shared" si="5"/>
        <v>1206</v>
      </c>
    </row>
    <row r="14" spans="2:32" ht="23.1" customHeight="1" x14ac:dyDescent="0.25">
      <c r="B14" s="23" t="s">
        <v>41</v>
      </c>
      <c r="C14" s="50">
        <v>36</v>
      </c>
      <c r="D14" s="50">
        <v>6</v>
      </c>
      <c r="E14" s="50">
        <v>2</v>
      </c>
      <c r="F14" s="50">
        <v>52</v>
      </c>
      <c r="G14" s="50">
        <v>4</v>
      </c>
      <c r="H14" s="50">
        <v>0</v>
      </c>
      <c r="I14" s="50">
        <v>6</v>
      </c>
      <c r="J14" s="50">
        <v>5</v>
      </c>
      <c r="K14" s="50">
        <v>4</v>
      </c>
      <c r="L14" s="50">
        <v>4</v>
      </c>
      <c r="M14" s="50">
        <v>842</v>
      </c>
      <c r="N14" s="50">
        <v>1</v>
      </c>
      <c r="O14" s="15">
        <f t="shared" si="0"/>
        <v>120</v>
      </c>
      <c r="P14" s="15">
        <f t="shared" si="1"/>
        <v>962</v>
      </c>
      <c r="R14" s="1" t="s">
        <v>10</v>
      </c>
      <c r="S14" s="17">
        <f t="shared" ref="S14:AF14" si="6">SUM(C26:C29)</f>
        <v>150</v>
      </c>
      <c r="T14" s="17">
        <f t="shared" si="6"/>
        <v>60</v>
      </c>
      <c r="U14" s="17">
        <f t="shared" si="6"/>
        <v>25</v>
      </c>
      <c r="V14" s="17">
        <f t="shared" si="6"/>
        <v>144</v>
      </c>
      <c r="W14" s="17">
        <f t="shared" si="6"/>
        <v>3</v>
      </c>
      <c r="X14" s="17">
        <f t="shared" si="6"/>
        <v>0</v>
      </c>
      <c r="Y14" s="17">
        <f t="shared" si="6"/>
        <v>28</v>
      </c>
      <c r="Z14" s="17">
        <f t="shared" si="6"/>
        <v>29</v>
      </c>
      <c r="AA14" s="17">
        <f t="shared" si="6"/>
        <v>9</v>
      </c>
      <c r="AB14" s="17">
        <f t="shared" si="6"/>
        <v>12</v>
      </c>
      <c r="AC14" s="17">
        <f t="shared" si="6"/>
        <v>1280</v>
      </c>
      <c r="AD14" s="17">
        <f t="shared" si="6"/>
        <v>0</v>
      </c>
      <c r="AE14" s="31">
        <f t="shared" si="6"/>
        <v>460</v>
      </c>
      <c r="AF14" s="31">
        <f t="shared" si="6"/>
        <v>1740</v>
      </c>
    </row>
    <row r="15" spans="2:32" ht="23.1" customHeight="1" x14ac:dyDescent="0.25">
      <c r="B15" s="23" t="s">
        <v>42</v>
      </c>
      <c r="C15" s="50">
        <v>27</v>
      </c>
      <c r="D15" s="50">
        <v>10</v>
      </c>
      <c r="E15" s="50">
        <v>1</v>
      </c>
      <c r="F15" s="50">
        <v>42</v>
      </c>
      <c r="G15" s="50">
        <v>2</v>
      </c>
      <c r="H15" s="50">
        <v>0</v>
      </c>
      <c r="I15" s="50">
        <v>3</v>
      </c>
      <c r="J15" s="50">
        <v>5</v>
      </c>
      <c r="K15" s="50">
        <v>1</v>
      </c>
      <c r="L15" s="50">
        <v>6</v>
      </c>
      <c r="M15" s="50">
        <v>569</v>
      </c>
      <c r="N15" s="50">
        <v>0</v>
      </c>
      <c r="O15" s="15">
        <f t="shared" si="0"/>
        <v>97</v>
      </c>
      <c r="P15" s="15">
        <f t="shared" si="1"/>
        <v>666</v>
      </c>
      <c r="R15" s="1" t="s">
        <v>11</v>
      </c>
      <c r="S15" s="17">
        <f t="shared" ref="S15:AF15" si="7">SUM(C30:C33)</f>
        <v>292</v>
      </c>
      <c r="T15" s="17">
        <f t="shared" si="7"/>
        <v>166</v>
      </c>
      <c r="U15" s="17">
        <f t="shared" si="7"/>
        <v>104</v>
      </c>
      <c r="V15" s="17">
        <f t="shared" si="7"/>
        <v>175</v>
      </c>
      <c r="W15" s="17">
        <f t="shared" si="7"/>
        <v>2</v>
      </c>
      <c r="X15" s="17">
        <f t="shared" si="7"/>
        <v>1</v>
      </c>
      <c r="Y15" s="17">
        <f t="shared" si="7"/>
        <v>35</v>
      </c>
      <c r="Z15" s="17">
        <f t="shared" si="7"/>
        <v>13</v>
      </c>
      <c r="AA15" s="17">
        <f t="shared" si="7"/>
        <v>15</v>
      </c>
      <c r="AB15" s="17">
        <f t="shared" si="7"/>
        <v>10</v>
      </c>
      <c r="AC15" s="17">
        <f t="shared" si="7"/>
        <v>1782</v>
      </c>
      <c r="AD15" s="17">
        <f t="shared" si="7"/>
        <v>1</v>
      </c>
      <c r="AE15" s="31">
        <f t="shared" si="7"/>
        <v>814</v>
      </c>
      <c r="AF15" s="31">
        <f t="shared" si="7"/>
        <v>2596</v>
      </c>
    </row>
    <row r="16" spans="2:32" ht="23.1" customHeight="1" x14ac:dyDescent="0.25">
      <c r="B16" s="23" t="s">
        <v>43</v>
      </c>
      <c r="C16" s="50">
        <v>72</v>
      </c>
      <c r="D16" s="50">
        <v>16</v>
      </c>
      <c r="E16" s="50">
        <v>4</v>
      </c>
      <c r="F16" s="50">
        <v>57</v>
      </c>
      <c r="G16" s="50">
        <v>3</v>
      </c>
      <c r="H16" s="50">
        <v>0</v>
      </c>
      <c r="I16" s="50">
        <v>3</v>
      </c>
      <c r="J16" s="50">
        <v>4</v>
      </c>
      <c r="K16" s="50">
        <v>2</v>
      </c>
      <c r="L16" s="50">
        <v>1</v>
      </c>
      <c r="M16" s="50">
        <v>300</v>
      </c>
      <c r="N16" s="50">
        <v>0</v>
      </c>
      <c r="O16" s="15">
        <f t="shared" si="0"/>
        <v>162</v>
      </c>
      <c r="P16" s="15">
        <f t="shared" si="1"/>
        <v>462</v>
      </c>
      <c r="R16" s="1" t="s">
        <v>12</v>
      </c>
      <c r="S16" s="17">
        <f t="shared" ref="S16:AF16" si="8">SUM(C34:C37)</f>
        <v>375</v>
      </c>
      <c r="T16" s="17">
        <f t="shared" si="8"/>
        <v>287</v>
      </c>
      <c r="U16" s="17">
        <f t="shared" si="8"/>
        <v>113</v>
      </c>
      <c r="V16" s="17">
        <f t="shared" si="8"/>
        <v>134</v>
      </c>
      <c r="W16" s="17">
        <f t="shared" si="8"/>
        <v>3</v>
      </c>
      <c r="X16" s="17">
        <f t="shared" si="8"/>
        <v>3</v>
      </c>
      <c r="Y16" s="17">
        <f t="shared" si="8"/>
        <v>32</v>
      </c>
      <c r="Z16" s="17">
        <f t="shared" si="8"/>
        <v>22</v>
      </c>
      <c r="AA16" s="17">
        <f t="shared" si="8"/>
        <v>16</v>
      </c>
      <c r="AB16" s="17">
        <f t="shared" si="8"/>
        <v>21</v>
      </c>
      <c r="AC16" s="17">
        <f t="shared" si="8"/>
        <v>1898</v>
      </c>
      <c r="AD16" s="17">
        <f t="shared" si="8"/>
        <v>0</v>
      </c>
      <c r="AE16" s="31">
        <f t="shared" si="8"/>
        <v>1006</v>
      </c>
      <c r="AF16" s="31">
        <f t="shared" si="8"/>
        <v>2904</v>
      </c>
    </row>
    <row r="17" spans="2:32" ht="23.1" customHeight="1" x14ac:dyDescent="0.25">
      <c r="B17" s="23" t="s">
        <v>44</v>
      </c>
      <c r="C17" s="50">
        <v>26</v>
      </c>
      <c r="D17" s="50">
        <v>6</v>
      </c>
      <c r="E17" s="50">
        <v>0</v>
      </c>
      <c r="F17" s="50">
        <v>44</v>
      </c>
      <c r="G17" s="50">
        <v>2</v>
      </c>
      <c r="H17" s="50">
        <v>1</v>
      </c>
      <c r="I17" s="50">
        <v>5</v>
      </c>
      <c r="J17" s="50">
        <v>4</v>
      </c>
      <c r="K17" s="50">
        <v>2</v>
      </c>
      <c r="L17" s="50">
        <v>2</v>
      </c>
      <c r="M17" s="50">
        <v>293</v>
      </c>
      <c r="N17" s="50">
        <v>0</v>
      </c>
      <c r="O17" s="15">
        <f t="shared" si="0"/>
        <v>92</v>
      </c>
      <c r="P17" s="15">
        <f t="shared" si="1"/>
        <v>385</v>
      </c>
      <c r="R17" s="1" t="s">
        <v>13</v>
      </c>
      <c r="S17" s="17">
        <f t="shared" ref="S17:AF17" si="9">SUM(C38:C41)</f>
        <v>494</v>
      </c>
      <c r="T17" s="17">
        <f t="shared" si="9"/>
        <v>146</v>
      </c>
      <c r="U17" s="17">
        <f t="shared" si="9"/>
        <v>78</v>
      </c>
      <c r="V17" s="17">
        <f t="shared" si="9"/>
        <v>158</v>
      </c>
      <c r="W17" s="17">
        <f t="shared" si="9"/>
        <v>1</v>
      </c>
      <c r="X17" s="17">
        <f t="shared" si="9"/>
        <v>0</v>
      </c>
      <c r="Y17" s="17">
        <f t="shared" si="9"/>
        <v>46</v>
      </c>
      <c r="Z17" s="17">
        <f t="shared" si="9"/>
        <v>21</v>
      </c>
      <c r="AA17" s="17">
        <f t="shared" si="9"/>
        <v>11</v>
      </c>
      <c r="AB17" s="17">
        <f t="shared" si="9"/>
        <v>20</v>
      </c>
      <c r="AC17" s="17">
        <f t="shared" si="9"/>
        <v>1952</v>
      </c>
      <c r="AD17" s="17">
        <f t="shared" si="9"/>
        <v>1</v>
      </c>
      <c r="AE17" s="31">
        <f t="shared" si="9"/>
        <v>976</v>
      </c>
      <c r="AF17" s="31">
        <f t="shared" si="9"/>
        <v>2928</v>
      </c>
    </row>
    <row r="18" spans="2:32" ht="23.1" customHeight="1" x14ac:dyDescent="0.25">
      <c r="B18" s="23" t="s">
        <v>45</v>
      </c>
      <c r="C18" s="50">
        <v>35</v>
      </c>
      <c r="D18" s="50">
        <v>7</v>
      </c>
      <c r="E18" s="50">
        <v>5</v>
      </c>
      <c r="F18" s="50">
        <v>42</v>
      </c>
      <c r="G18" s="50">
        <v>2</v>
      </c>
      <c r="H18" s="50">
        <v>0</v>
      </c>
      <c r="I18" s="50">
        <v>7</v>
      </c>
      <c r="J18" s="50">
        <v>4</v>
      </c>
      <c r="K18" s="50">
        <v>2</v>
      </c>
      <c r="L18" s="50">
        <v>2</v>
      </c>
      <c r="M18" s="50">
        <v>199</v>
      </c>
      <c r="N18" s="50">
        <v>0</v>
      </c>
      <c r="O18" s="15">
        <f t="shared" si="0"/>
        <v>106</v>
      </c>
      <c r="P18" s="15">
        <f t="shared" si="1"/>
        <v>305</v>
      </c>
      <c r="R18" s="1" t="s">
        <v>14</v>
      </c>
      <c r="S18" s="17">
        <f t="shared" ref="S18:AF18" si="10">SUM(C42:C45)</f>
        <v>339</v>
      </c>
      <c r="T18" s="17">
        <f t="shared" si="10"/>
        <v>101</v>
      </c>
      <c r="U18" s="17">
        <f t="shared" si="10"/>
        <v>49</v>
      </c>
      <c r="V18" s="17">
        <f t="shared" si="10"/>
        <v>142</v>
      </c>
      <c r="W18" s="17">
        <f t="shared" si="10"/>
        <v>2</v>
      </c>
      <c r="X18" s="17">
        <f t="shared" si="10"/>
        <v>1</v>
      </c>
      <c r="Y18" s="17">
        <f t="shared" si="10"/>
        <v>20</v>
      </c>
      <c r="Z18" s="17">
        <f t="shared" si="10"/>
        <v>29</v>
      </c>
      <c r="AA18" s="17">
        <f t="shared" si="10"/>
        <v>9</v>
      </c>
      <c r="AB18" s="17">
        <f t="shared" si="10"/>
        <v>11</v>
      </c>
      <c r="AC18" s="17">
        <f t="shared" si="10"/>
        <v>1529</v>
      </c>
      <c r="AD18" s="17">
        <f t="shared" si="10"/>
        <v>1</v>
      </c>
      <c r="AE18" s="31">
        <f t="shared" si="10"/>
        <v>704</v>
      </c>
      <c r="AF18" s="31">
        <f t="shared" si="10"/>
        <v>2233</v>
      </c>
    </row>
    <row r="19" spans="2:32" ht="23.1" customHeight="1" x14ac:dyDescent="0.25">
      <c r="B19" s="23" t="s">
        <v>46</v>
      </c>
      <c r="C19" s="50">
        <v>17</v>
      </c>
      <c r="D19" s="50">
        <v>1</v>
      </c>
      <c r="E19" s="50">
        <v>2</v>
      </c>
      <c r="F19" s="50">
        <v>80</v>
      </c>
      <c r="G19" s="50">
        <v>5</v>
      </c>
      <c r="H19" s="50">
        <v>0</v>
      </c>
      <c r="I19" s="50">
        <v>2</v>
      </c>
      <c r="J19" s="50">
        <v>3</v>
      </c>
      <c r="K19" s="50">
        <v>5</v>
      </c>
      <c r="L19" s="50">
        <v>2</v>
      </c>
      <c r="M19" s="50">
        <v>158</v>
      </c>
      <c r="N19" s="50">
        <v>0</v>
      </c>
      <c r="O19" s="15">
        <f t="shared" si="0"/>
        <v>117</v>
      </c>
      <c r="P19" s="15">
        <f t="shared" si="1"/>
        <v>275</v>
      </c>
      <c r="R19" s="1" t="s">
        <v>15</v>
      </c>
      <c r="S19" s="17">
        <f t="shared" ref="S19:AF19" si="11">SUM(C46:C49)</f>
        <v>269</v>
      </c>
      <c r="T19" s="17">
        <f t="shared" si="11"/>
        <v>181</v>
      </c>
      <c r="U19" s="17">
        <f t="shared" si="11"/>
        <v>55</v>
      </c>
      <c r="V19" s="17">
        <f t="shared" si="11"/>
        <v>103</v>
      </c>
      <c r="W19" s="17">
        <f t="shared" si="11"/>
        <v>4</v>
      </c>
      <c r="X19" s="17">
        <f t="shared" si="11"/>
        <v>4</v>
      </c>
      <c r="Y19" s="17">
        <f t="shared" si="11"/>
        <v>38</v>
      </c>
      <c r="Z19" s="17">
        <f t="shared" si="11"/>
        <v>19</v>
      </c>
      <c r="AA19" s="17">
        <f t="shared" si="11"/>
        <v>6</v>
      </c>
      <c r="AB19" s="17">
        <f t="shared" si="11"/>
        <v>12</v>
      </c>
      <c r="AC19" s="17">
        <f t="shared" si="11"/>
        <v>1554</v>
      </c>
      <c r="AD19" s="17">
        <f t="shared" si="11"/>
        <v>0</v>
      </c>
      <c r="AE19" s="31">
        <f t="shared" si="11"/>
        <v>691</v>
      </c>
      <c r="AF19" s="31">
        <f t="shared" si="11"/>
        <v>2245</v>
      </c>
    </row>
    <row r="20" spans="2:32" ht="23.1" customHeight="1" x14ac:dyDescent="0.25">
      <c r="B20" s="23" t="s">
        <v>47</v>
      </c>
      <c r="C20" s="50">
        <v>38</v>
      </c>
      <c r="D20" s="50">
        <v>8</v>
      </c>
      <c r="E20" s="50">
        <v>4</v>
      </c>
      <c r="F20" s="50">
        <v>62</v>
      </c>
      <c r="G20" s="50">
        <v>1</v>
      </c>
      <c r="H20" s="50">
        <v>0</v>
      </c>
      <c r="I20" s="50">
        <v>20</v>
      </c>
      <c r="J20" s="50">
        <v>8</v>
      </c>
      <c r="K20" s="50">
        <v>3</v>
      </c>
      <c r="L20" s="50">
        <v>4</v>
      </c>
      <c r="M20" s="50">
        <v>408</v>
      </c>
      <c r="N20" s="50">
        <v>0</v>
      </c>
      <c r="O20" s="15">
        <f t="shared" si="0"/>
        <v>148</v>
      </c>
      <c r="P20" s="15">
        <f t="shared" si="1"/>
        <v>556</v>
      </c>
      <c r="R20" s="1" t="s">
        <v>16</v>
      </c>
      <c r="S20" s="17">
        <f t="shared" ref="S20:AF20" si="12">SUM(C50:C53)</f>
        <v>449</v>
      </c>
      <c r="T20" s="17">
        <f t="shared" si="12"/>
        <v>210</v>
      </c>
      <c r="U20" s="17">
        <f t="shared" si="12"/>
        <v>41</v>
      </c>
      <c r="V20" s="17">
        <f t="shared" si="12"/>
        <v>165</v>
      </c>
      <c r="W20" s="17">
        <f t="shared" si="12"/>
        <v>4</v>
      </c>
      <c r="X20" s="17">
        <f t="shared" si="12"/>
        <v>0</v>
      </c>
      <c r="Y20" s="17">
        <f t="shared" si="12"/>
        <v>27</v>
      </c>
      <c r="Z20" s="17">
        <f t="shared" si="12"/>
        <v>13</v>
      </c>
      <c r="AA20" s="17">
        <f t="shared" si="12"/>
        <v>7</v>
      </c>
      <c r="AB20" s="17">
        <f t="shared" si="12"/>
        <v>6</v>
      </c>
      <c r="AC20" s="17">
        <f t="shared" si="12"/>
        <v>1593</v>
      </c>
      <c r="AD20" s="17">
        <f t="shared" si="12"/>
        <v>0</v>
      </c>
      <c r="AE20" s="31">
        <f t="shared" si="12"/>
        <v>922</v>
      </c>
      <c r="AF20" s="31">
        <f t="shared" si="12"/>
        <v>2515</v>
      </c>
    </row>
    <row r="21" spans="2:32" ht="23.1" customHeight="1" x14ac:dyDescent="0.25">
      <c r="B21" s="23" t="s">
        <v>48</v>
      </c>
      <c r="C21" s="50">
        <v>15</v>
      </c>
      <c r="D21" s="50">
        <v>4</v>
      </c>
      <c r="E21" s="50">
        <v>3</v>
      </c>
      <c r="F21" s="50">
        <v>29</v>
      </c>
      <c r="G21" s="50">
        <v>0</v>
      </c>
      <c r="H21" s="50">
        <v>0</v>
      </c>
      <c r="I21" s="50">
        <v>2</v>
      </c>
      <c r="J21" s="50">
        <v>8</v>
      </c>
      <c r="K21" s="50">
        <v>1</v>
      </c>
      <c r="L21" s="50">
        <v>0</v>
      </c>
      <c r="M21" s="50">
        <v>351</v>
      </c>
      <c r="N21" s="50">
        <v>0</v>
      </c>
      <c r="O21" s="15">
        <f t="shared" si="0"/>
        <v>62</v>
      </c>
      <c r="P21" s="15">
        <f t="shared" si="1"/>
        <v>413</v>
      </c>
      <c r="R21" s="36" t="s">
        <v>20</v>
      </c>
      <c r="S21" s="34">
        <f t="shared" ref="S21:AF21" si="13">SUM(C54:C57)</f>
        <v>262</v>
      </c>
      <c r="T21" s="17">
        <f t="shared" si="13"/>
        <v>67</v>
      </c>
      <c r="U21" s="17">
        <f t="shared" si="13"/>
        <v>41</v>
      </c>
      <c r="V21" s="17">
        <f t="shared" si="13"/>
        <v>124</v>
      </c>
      <c r="W21" s="17">
        <f t="shared" si="13"/>
        <v>3</v>
      </c>
      <c r="X21" s="17">
        <f t="shared" si="13"/>
        <v>0</v>
      </c>
      <c r="Y21" s="17">
        <f t="shared" si="13"/>
        <v>32</v>
      </c>
      <c r="Z21" s="17">
        <f t="shared" si="13"/>
        <v>22</v>
      </c>
      <c r="AA21" s="17">
        <f t="shared" si="13"/>
        <v>11</v>
      </c>
      <c r="AB21" s="17">
        <f t="shared" si="13"/>
        <v>8</v>
      </c>
      <c r="AC21" s="17">
        <f t="shared" si="13"/>
        <v>2004</v>
      </c>
      <c r="AD21" s="17">
        <f t="shared" si="13"/>
        <v>0</v>
      </c>
      <c r="AE21" s="31">
        <f t="shared" si="13"/>
        <v>570</v>
      </c>
      <c r="AF21" s="31">
        <f t="shared" si="13"/>
        <v>2574</v>
      </c>
    </row>
    <row r="22" spans="2:32" ht="23.1" customHeight="1" x14ac:dyDescent="0.25">
      <c r="B22" s="23" t="s">
        <v>49</v>
      </c>
      <c r="C22" s="50">
        <v>21</v>
      </c>
      <c r="D22" s="50">
        <v>5</v>
      </c>
      <c r="E22" s="50">
        <v>3</v>
      </c>
      <c r="F22" s="50">
        <v>19</v>
      </c>
      <c r="G22" s="50">
        <v>0</v>
      </c>
      <c r="H22" s="50">
        <v>0</v>
      </c>
      <c r="I22" s="50">
        <v>0</v>
      </c>
      <c r="J22" s="50">
        <v>7</v>
      </c>
      <c r="K22" s="50">
        <v>2</v>
      </c>
      <c r="L22" s="50">
        <v>1</v>
      </c>
      <c r="M22" s="50">
        <v>289</v>
      </c>
      <c r="N22" s="50">
        <v>0</v>
      </c>
      <c r="O22" s="15">
        <f t="shared" si="0"/>
        <v>58</v>
      </c>
      <c r="P22" s="15">
        <f t="shared" si="1"/>
        <v>347</v>
      </c>
      <c r="R22" s="38" t="s">
        <v>90</v>
      </c>
      <c r="S22" s="39">
        <f>MAX(S10:S12)</f>
        <v>209</v>
      </c>
      <c r="T22" s="39">
        <f t="shared" ref="T22:AF22" si="14">MAX(T10:T12)</f>
        <v>38</v>
      </c>
      <c r="U22" s="39">
        <f t="shared" si="14"/>
        <v>21</v>
      </c>
      <c r="V22" s="39">
        <f t="shared" si="14"/>
        <v>248</v>
      </c>
      <c r="W22" s="39">
        <f t="shared" si="14"/>
        <v>11</v>
      </c>
      <c r="X22" s="39">
        <f t="shared" si="14"/>
        <v>1</v>
      </c>
      <c r="Y22" s="39">
        <f t="shared" si="14"/>
        <v>31</v>
      </c>
      <c r="Z22" s="39">
        <f t="shared" si="14"/>
        <v>23</v>
      </c>
      <c r="AA22" s="39">
        <f t="shared" si="14"/>
        <v>11</v>
      </c>
      <c r="AB22" s="39">
        <f t="shared" si="14"/>
        <v>13</v>
      </c>
      <c r="AC22" s="39">
        <f t="shared" si="14"/>
        <v>2887</v>
      </c>
      <c r="AD22" s="39">
        <f t="shared" si="14"/>
        <v>2</v>
      </c>
      <c r="AE22" s="40">
        <f t="shared" si="14"/>
        <v>559</v>
      </c>
      <c r="AF22" s="40">
        <f t="shared" si="14"/>
        <v>3446</v>
      </c>
    </row>
    <row r="23" spans="2:32" ht="23.1" customHeight="1" x14ac:dyDescent="0.25">
      <c r="B23" s="23" t="s">
        <v>50</v>
      </c>
      <c r="C23" s="50">
        <v>37</v>
      </c>
      <c r="D23" s="50">
        <v>0</v>
      </c>
      <c r="E23" s="50">
        <v>3</v>
      </c>
      <c r="F23" s="50">
        <v>41</v>
      </c>
      <c r="G23" s="50">
        <v>1</v>
      </c>
      <c r="H23" s="50">
        <v>0</v>
      </c>
      <c r="I23" s="50">
        <v>6</v>
      </c>
      <c r="J23" s="50">
        <v>6</v>
      </c>
      <c r="K23" s="50">
        <v>4</v>
      </c>
      <c r="L23" s="50">
        <v>4</v>
      </c>
      <c r="M23" s="50">
        <v>192</v>
      </c>
      <c r="N23" s="50">
        <v>0</v>
      </c>
      <c r="O23" s="15">
        <f t="shared" si="0"/>
        <v>102</v>
      </c>
      <c r="P23" s="15">
        <f t="shared" si="1"/>
        <v>294</v>
      </c>
      <c r="R23" s="38" t="s">
        <v>91</v>
      </c>
      <c r="S23" s="39">
        <f>MAX(S13:S18)</f>
        <v>494</v>
      </c>
      <c r="T23" s="39">
        <f t="shared" ref="T23:AF23" si="15">MAX(T13:T18)</f>
        <v>287</v>
      </c>
      <c r="U23" s="39">
        <f t="shared" si="15"/>
        <v>113</v>
      </c>
      <c r="V23" s="39">
        <f t="shared" si="15"/>
        <v>175</v>
      </c>
      <c r="W23" s="39">
        <f t="shared" si="15"/>
        <v>6</v>
      </c>
      <c r="X23" s="39">
        <f t="shared" si="15"/>
        <v>3</v>
      </c>
      <c r="Y23" s="39">
        <f t="shared" si="15"/>
        <v>46</v>
      </c>
      <c r="Z23" s="39">
        <f t="shared" si="15"/>
        <v>29</v>
      </c>
      <c r="AA23" s="39">
        <f t="shared" si="15"/>
        <v>16</v>
      </c>
      <c r="AB23" s="39">
        <f t="shared" si="15"/>
        <v>21</v>
      </c>
      <c r="AC23" s="39">
        <f t="shared" si="15"/>
        <v>1952</v>
      </c>
      <c r="AD23" s="39">
        <f t="shared" si="15"/>
        <v>1</v>
      </c>
      <c r="AE23" s="40">
        <f t="shared" si="15"/>
        <v>1006</v>
      </c>
      <c r="AF23" s="40">
        <f t="shared" si="15"/>
        <v>2928</v>
      </c>
    </row>
    <row r="24" spans="2:32" ht="23.1" customHeight="1" x14ac:dyDescent="0.25">
      <c r="B24" s="23" t="s">
        <v>51</v>
      </c>
      <c r="C24" s="50">
        <v>52</v>
      </c>
      <c r="D24" s="50">
        <v>3</v>
      </c>
      <c r="E24" s="50">
        <v>4</v>
      </c>
      <c r="F24" s="50">
        <v>73</v>
      </c>
      <c r="G24" s="50">
        <v>3</v>
      </c>
      <c r="H24" s="50">
        <v>0</v>
      </c>
      <c r="I24" s="50">
        <v>4</v>
      </c>
      <c r="J24" s="50">
        <v>4</v>
      </c>
      <c r="K24" s="50">
        <v>2</v>
      </c>
      <c r="L24" s="50">
        <v>3</v>
      </c>
      <c r="M24" s="50">
        <v>179</v>
      </c>
      <c r="N24" s="50">
        <v>0</v>
      </c>
      <c r="O24" s="15">
        <f t="shared" si="0"/>
        <v>148</v>
      </c>
      <c r="P24" s="15">
        <f t="shared" si="1"/>
        <v>327</v>
      </c>
      <c r="R24" s="38" t="s">
        <v>92</v>
      </c>
      <c r="S24" s="39">
        <f>MAX(S19:S21)</f>
        <v>449</v>
      </c>
      <c r="T24" s="39">
        <f t="shared" ref="T24:AF24" si="16">MAX(T19:T21)</f>
        <v>210</v>
      </c>
      <c r="U24" s="39">
        <f t="shared" si="16"/>
        <v>55</v>
      </c>
      <c r="V24" s="39">
        <f t="shared" si="16"/>
        <v>165</v>
      </c>
      <c r="W24" s="39">
        <f t="shared" si="16"/>
        <v>4</v>
      </c>
      <c r="X24" s="39">
        <f t="shared" si="16"/>
        <v>4</v>
      </c>
      <c r="Y24" s="39">
        <f t="shared" si="16"/>
        <v>38</v>
      </c>
      <c r="Z24" s="39">
        <f t="shared" si="16"/>
        <v>22</v>
      </c>
      <c r="AA24" s="39">
        <f t="shared" si="16"/>
        <v>11</v>
      </c>
      <c r="AB24" s="39">
        <f t="shared" si="16"/>
        <v>12</v>
      </c>
      <c r="AC24" s="39">
        <f t="shared" si="16"/>
        <v>2004</v>
      </c>
      <c r="AD24" s="39">
        <f t="shared" si="16"/>
        <v>0</v>
      </c>
      <c r="AE24" s="40">
        <f t="shared" si="16"/>
        <v>922</v>
      </c>
      <c r="AF24" s="40">
        <f t="shared" si="16"/>
        <v>2574</v>
      </c>
    </row>
    <row r="25" spans="2:32" ht="23.1" customHeight="1" x14ac:dyDescent="0.25">
      <c r="B25" s="23" t="s">
        <v>52</v>
      </c>
      <c r="C25" s="50">
        <v>35</v>
      </c>
      <c r="D25" s="50">
        <v>10</v>
      </c>
      <c r="E25" s="50">
        <v>0</v>
      </c>
      <c r="F25" s="50">
        <v>22</v>
      </c>
      <c r="G25" s="50">
        <v>2</v>
      </c>
      <c r="H25" s="50">
        <v>0</v>
      </c>
      <c r="I25" s="50">
        <v>1</v>
      </c>
      <c r="J25" s="50">
        <v>3</v>
      </c>
      <c r="K25" s="50">
        <v>5</v>
      </c>
      <c r="L25" s="50">
        <v>4</v>
      </c>
      <c r="M25" s="50">
        <v>156</v>
      </c>
      <c r="N25" s="50">
        <v>0</v>
      </c>
      <c r="O25" s="15">
        <f t="shared" si="0"/>
        <v>82</v>
      </c>
      <c r="P25" s="15">
        <f t="shared" si="1"/>
        <v>238</v>
      </c>
      <c r="R25" s="37" t="s">
        <v>85</v>
      </c>
      <c r="S25" s="35">
        <f t="shared" ref="S25:AF25" si="17">SUM(S10:S12)</f>
        <v>475</v>
      </c>
      <c r="T25" s="16">
        <f t="shared" si="17"/>
        <v>92</v>
      </c>
      <c r="U25" s="16">
        <f t="shared" si="17"/>
        <v>42</v>
      </c>
      <c r="V25" s="16">
        <f t="shared" si="17"/>
        <v>656</v>
      </c>
      <c r="W25" s="16">
        <f t="shared" si="17"/>
        <v>30</v>
      </c>
      <c r="X25" s="16">
        <f t="shared" si="17"/>
        <v>1</v>
      </c>
      <c r="Y25" s="16">
        <f t="shared" si="17"/>
        <v>58</v>
      </c>
      <c r="Z25" s="16">
        <f t="shared" si="17"/>
        <v>48</v>
      </c>
      <c r="AA25" s="16">
        <f t="shared" si="17"/>
        <v>31</v>
      </c>
      <c r="AB25" s="16">
        <f t="shared" si="17"/>
        <v>27</v>
      </c>
      <c r="AC25" s="16">
        <f t="shared" si="17"/>
        <v>6007</v>
      </c>
      <c r="AD25" s="16">
        <f t="shared" si="17"/>
        <v>3</v>
      </c>
      <c r="AE25" s="32">
        <f t="shared" si="17"/>
        <v>1463</v>
      </c>
      <c r="AF25" s="32">
        <f t="shared" si="17"/>
        <v>7470</v>
      </c>
    </row>
    <row r="26" spans="2:32" ht="23.1" customHeight="1" x14ac:dyDescent="0.25">
      <c r="B26" s="23" t="s">
        <v>53</v>
      </c>
      <c r="C26" s="50">
        <v>31</v>
      </c>
      <c r="D26" s="50">
        <v>10</v>
      </c>
      <c r="E26" s="50">
        <v>3</v>
      </c>
      <c r="F26" s="50">
        <v>52</v>
      </c>
      <c r="G26" s="50">
        <v>1</v>
      </c>
      <c r="H26" s="50">
        <v>0</v>
      </c>
      <c r="I26" s="50">
        <v>7</v>
      </c>
      <c r="J26" s="50">
        <v>4</v>
      </c>
      <c r="K26" s="50">
        <v>1</v>
      </c>
      <c r="L26" s="50">
        <v>2</v>
      </c>
      <c r="M26" s="50">
        <v>250</v>
      </c>
      <c r="N26" s="50">
        <v>0</v>
      </c>
      <c r="O26" s="15">
        <f t="shared" si="0"/>
        <v>111</v>
      </c>
      <c r="P26" s="15">
        <f t="shared" si="1"/>
        <v>361</v>
      </c>
      <c r="R26" s="28" t="s">
        <v>86</v>
      </c>
      <c r="S26" s="16">
        <f t="shared" ref="S26:AF26" si="18">SUM(S13:S18)</f>
        <v>1795</v>
      </c>
      <c r="T26" s="16">
        <f t="shared" si="18"/>
        <v>778</v>
      </c>
      <c r="U26" s="16">
        <f t="shared" si="18"/>
        <v>379</v>
      </c>
      <c r="V26" s="16">
        <f t="shared" si="18"/>
        <v>908</v>
      </c>
      <c r="W26" s="16">
        <f t="shared" si="18"/>
        <v>17</v>
      </c>
      <c r="X26" s="16">
        <f t="shared" si="18"/>
        <v>5</v>
      </c>
      <c r="Y26" s="16">
        <f t="shared" si="18"/>
        <v>172</v>
      </c>
      <c r="Z26" s="16">
        <f t="shared" si="18"/>
        <v>134</v>
      </c>
      <c r="AA26" s="16">
        <f t="shared" si="18"/>
        <v>73</v>
      </c>
      <c r="AB26" s="16">
        <f t="shared" si="18"/>
        <v>86</v>
      </c>
      <c r="AC26" s="16">
        <f t="shared" si="18"/>
        <v>9257</v>
      </c>
      <c r="AD26" s="16">
        <f t="shared" si="18"/>
        <v>3</v>
      </c>
      <c r="AE26" s="32">
        <f t="shared" si="18"/>
        <v>4350</v>
      </c>
      <c r="AF26" s="32">
        <f t="shared" si="18"/>
        <v>13607</v>
      </c>
    </row>
    <row r="27" spans="2:32" ht="23.1" customHeight="1" x14ac:dyDescent="0.25">
      <c r="B27" s="23" t="s">
        <v>54</v>
      </c>
      <c r="C27" s="50">
        <v>45</v>
      </c>
      <c r="D27" s="50">
        <v>15</v>
      </c>
      <c r="E27" s="50">
        <v>6</v>
      </c>
      <c r="F27" s="50">
        <v>39</v>
      </c>
      <c r="G27" s="50">
        <v>0</v>
      </c>
      <c r="H27" s="50">
        <v>0</v>
      </c>
      <c r="I27" s="50">
        <v>8</v>
      </c>
      <c r="J27" s="50">
        <v>9</v>
      </c>
      <c r="K27" s="50">
        <v>6</v>
      </c>
      <c r="L27" s="50">
        <v>2</v>
      </c>
      <c r="M27" s="50">
        <v>250</v>
      </c>
      <c r="N27" s="50">
        <v>0</v>
      </c>
      <c r="O27" s="15">
        <f t="shared" si="0"/>
        <v>130</v>
      </c>
      <c r="P27" s="15">
        <f t="shared" si="1"/>
        <v>380</v>
      </c>
      <c r="R27" s="29" t="s">
        <v>87</v>
      </c>
      <c r="S27" s="16">
        <f t="shared" ref="S27:AF27" si="19">SUM(S19:S21)</f>
        <v>980</v>
      </c>
      <c r="T27" s="16">
        <f t="shared" si="19"/>
        <v>458</v>
      </c>
      <c r="U27" s="16">
        <f t="shared" si="19"/>
        <v>137</v>
      </c>
      <c r="V27" s="16">
        <f t="shared" si="19"/>
        <v>392</v>
      </c>
      <c r="W27" s="16">
        <f t="shared" si="19"/>
        <v>11</v>
      </c>
      <c r="X27" s="16">
        <f t="shared" si="19"/>
        <v>4</v>
      </c>
      <c r="Y27" s="16">
        <f t="shared" si="19"/>
        <v>97</v>
      </c>
      <c r="Z27" s="16">
        <f t="shared" si="19"/>
        <v>54</v>
      </c>
      <c r="AA27" s="16">
        <f t="shared" si="19"/>
        <v>24</v>
      </c>
      <c r="AB27" s="16">
        <f t="shared" si="19"/>
        <v>26</v>
      </c>
      <c r="AC27" s="16">
        <f t="shared" si="19"/>
        <v>5151</v>
      </c>
      <c r="AD27" s="16">
        <f t="shared" si="19"/>
        <v>0</v>
      </c>
      <c r="AE27" s="32">
        <f t="shared" si="19"/>
        <v>2183</v>
      </c>
      <c r="AF27" s="32">
        <f t="shared" si="19"/>
        <v>7334</v>
      </c>
    </row>
    <row r="28" spans="2:32" ht="23.1" customHeight="1" x14ac:dyDescent="0.25">
      <c r="B28" s="23" t="s">
        <v>55</v>
      </c>
      <c r="C28" s="50">
        <v>22</v>
      </c>
      <c r="D28" s="50">
        <v>20</v>
      </c>
      <c r="E28" s="50">
        <v>6</v>
      </c>
      <c r="F28" s="50">
        <v>30</v>
      </c>
      <c r="G28" s="50">
        <v>0</v>
      </c>
      <c r="H28" s="50">
        <v>0</v>
      </c>
      <c r="I28" s="50">
        <v>5</v>
      </c>
      <c r="J28" s="50">
        <v>8</v>
      </c>
      <c r="K28" s="50">
        <v>1</v>
      </c>
      <c r="L28" s="50">
        <v>3</v>
      </c>
      <c r="M28" s="50">
        <v>350</v>
      </c>
      <c r="N28" s="50">
        <v>0</v>
      </c>
      <c r="O28" s="15">
        <f t="shared" si="0"/>
        <v>95</v>
      </c>
      <c r="P28" s="15">
        <f t="shared" si="1"/>
        <v>445</v>
      </c>
      <c r="R28" s="5" t="s">
        <v>17</v>
      </c>
      <c r="S28" s="16">
        <f t="shared" ref="S28:AF28" si="20">SUM(S10:S21)</f>
        <v>3250</v>
      </c>
      <c r="T28" s="16">
        <f t="shared" si="20"/>
        <v>1328</v>
      </c>
      <c r="U28" s="16">
        <f t="shared" si="20"/>
        <v>558</v>
      </c>
      <c r="V28" s="16">
        <f t="shared" si="20"/>
        <v>1956</v>
      </c>
      <c r="W28" s="16">
        <f t="shared" si="20"/>
        <v>58</v>
      </c>
      <c r="X28" s="16">
        <f t="shared" si="20"/>
        <v>10</v>
      </c>
      <c r="Y28" s="16">
        <f t="shared" si="20"/>
        <v>327</v>
      </c>
      <c r="Z28" s="16">
        <f t="shared" si="20"/>
        <v>236</v>
      </c>
      <c r="AA28" s="16">
        <f t="shared" si="20"/>
        <v>128</v>
      </c>
      <c r="AB28" s="16">
        <f t="shared" si="20"/>
        <v>139</v>
      </c>
      <c r="AC28" s="16">
        <f t="shared" si="20"/>
        <v>20415</v>
      </c>
      <c r="AD28" s="16">
        <f t="shared" si="20"/>
        <v>6</v>
      </c>
      <c r="AE28" s="32">
        <f t="shared" si="20"/>
        <v>7996</v>
      </c>
      <c r="AF28" s="32">
        <f t="shared" si="20"/>
        <v>28411</v>
      </c>
    </row>
    <row r="29" spans="2:32" ht="23.1" customHeight="1" x14ac:dyDescent="0.25">
      <c r="B29" s="23" t="s">
        <v>56</v>
      </c>
      <c r="C29" s="50">
        <v>52</v>
      </c>
      <c r="D29" s="50">
        <v>15</v>
      </c>
      <c r="E29" s="50">
        <v>10</v>
      </c>
      <c r="F29" s="50">
        <v>23</v>
      </c>
      <c r="G29" s="50">
        <v>2</v>
      </c>
      <c r="H29" s="50">
        <v>0</v>
      </c>
      <c r="I29" s="50">
        <v>8</v>
      </c>
      <c r="J29" s="50">
        <v>8</v>
      </c>
      <c r="K29" s="50">
        <v>1</v>
      </c>
      <c r="L29" s="50">
        <v>5</v>
      </c>
      <c r="M29" s="50">
        <v>430</v>
      </c>
      <c r="N29" s="50">
        <v>0</v>
      </c>
      <c r="O29" s="15">
        <f t="shared" si="0"/>
        <v>124</v>
      </c>
      <c r="P29" s="15">
        <f t="shared" si="1"/>
        <v>554</v>
      </c>
      <c r="R29"/>
      <c r="S29" s="20"/>
      <c r="T29" s="19"/>
    </row>
    <row r="30" spans="2:32" ht="23.1" customHeight="1" x14ac:dyDescent="0.25">
      <c r="B30" s="23" t="s">
        <v>57</v>
      </c>
      <c r="C30" s="50">
        <v>65</v>
      </c>
      <c r="D30" s="50">
        <v>45</v>
      </c>
      <c r="E30" s="50">
        <v>16</v>
      </c>
      <c r="F30" s="50">
        <v>52</v>
      </c>
      <c r="G30" s="50">
        <v>2</v>
      </c>
      <c r="H30" s="50">
        <v>0</v>
      </c>
      <c r="I30" s="50">
        <v>15</v>
      </c>
      <c r="J30" s="50">
        <v>3</v>
      </c>
      <c r="K30" s="50">
        <v>5</v>
      </c>
      <c r="L30" s="50">
        <v>2</v>
      </c>
      <c r="M30" s="50">
        <v>245</v>
      </c>
      <c r="N30" s="50">
        <v>0</v>
      </c>
      <c r="O30" s="15">
        <f t="shared" si="0"/>
        <v>205</v>
      </c>
      <c r="P30" s="15">
        <f t="shared" si="1"/>
        <v>450</v>
      </c>
    </row>
    <row r="31" spans="2:32" ht="23.1" customHeight="1" x14ac:dyDescent="0.25">
      <c r="B31" s="24" t="s">
        <v>58</v>
      </c>
      <c r="C31" s="50">
        <v>49</v>
      </c>
      <c r="D31" s="50">
        <v>51</v>
      </c>
      <c r="E31" s="50">
        <v>22</v>
      </c>
      <c r="F31" s="50">
        <v>55</v>
      </c>
      <c r="G31" s="50">
        <v>0</v>
      </c>
      <c r="H31" s="50">
        <v>1</v>
      </c>
      <c r="I31" s="50">
        <v>10</v>
      </c>
      <c r="J31" s="50">
        <v>1</v>
      </c>
      <c r="K31" s="50">
        <v>4</v>
      </c>
      <c r="L31" s="50">
        <v>2</v>
      </c>
      <c r="M31" s="50">
        <v>665</v>
      </c>
      <c r="N31" s="50">
        <v>1</v>
      </c>
      <c r="O31" s="15">
        <f t="shared" si="0"/>
        <v>196</v>
      </c>
      <c r="P31" s="15">
        <f t="shared" si="1"/>
        <v>861</v>
      </c>
    </row>
    <row r="32" spans="2:32" ht="23.1" customHeight="1" x14ac:dyDescent="0.25">
      <c r="B32" s="24" t="s">
        <v>59</v>
      </c>
      <c r="C32" s="50">
        <v>75</v>
      </c>
      <c r="D32" s="50">
        <v>46</v>
      </c>
      <c r="E32" s="50">
        <v>38</v>
      </c>
      <c r="F32" s="50">
        <v>28</v>
      </c>
      <c r="G32" s="50">
        <v>0</v>
      </c>
      <c r="H32" s="50">
        <v>0</v>
      </c>
      <c r="I32" s="50">
        <v>2</v>
      </c>
      <c r="J32" s="50">
        <v>2</v>
      </c>
      <c r="K32" s="50">
        <v>1</v>
      </c>
      <c r="L32" s="50">
        <v>1</v>
      </c>
      <c r="M32" s="50">
        <v>425</v>
      </c>
      <c r="N32" s="50">
        <v>0</v>
      </c>
      <c r="O32" s="15">
        <f t="shared" si="0"/>
        <v>193</v>
      </c>
      <c r="P32" s="15">
        <f t="shared" si="1"/>
        <v>618</v>
      </c>
    </row>
    <row r="33" spans="2:20" ht="23.1" customHeight="1" x14ac:dyDescent="0.25">
      <c r="B33" s="23" t="s">
        <v>60</v>
      </c>
      <c r="C33" s="50">
        <v>103</v>
      </c>
      <c r="D33" s="50">
        <v>24</v>
      </c>
      <c r="E33" s="50">
        <v>28</v>
      </c>
      <c r="F33" s="50">
        <v>40</v>
      </c>
      <c r="G33" s="50">
        <v>0</v>
      </c>
      <c r="H33" s="50">
        <v>0</v>
      </c>
      <c r="I33" s="50">
        <v>8</v>
      </c>
      <c r="J33" s="50">
        <v>7</v>
      </c>
      <c r="K33" s="50">
        <v>5</v>
      </c>
      <c r="L33" s="50">
        <v>5</v>
      </c>
      <c r="M33" s="50">
        <v>447</v>
      </c>
      <c r="N33" s="50">
        <v>0</v>
      </c>
      <c r="O33" s="15">
        <f t="shared" si="0"/>
        <v>220</v>
      </c>
      <c r="P33" s="15">
        <f t="shared" si="1"/>
        <v>667</v>
      </c>
    </row>
    <row r="34" spans="2:20" ht="23.1" customHeight="1" x14ac:dyDescent="0.25">
      <c r="B34" s="24" t="s">
        <v>61</v>
      </c>
      <c r="C34" s="50">
        <v>93</v>
      </c>
      <c r="D34" s="50">
        <v>57</v>
      </c>
      <c r="E34" s="50">
        <v>30</v>
      </c>
      <c r="F34" s="50">
        <v>37</v>
      </c>
      <c r="G34" s="50">
        <v>1</v>
      </c>
      <c r="H34" s="50">
        <v>1</v>
      </c>
      <c r="I34" s="50">
        <v>8</v>
      </c>
      <c r="J34" s="50">
        <v>7</v>
      </c>
      <c r="K34" s="50">
        <v>7</v>
      </c>
      <c r="L34" s="50">
        <v>5</v>
      </c>
      <c r="M34" s="50">
        <v>595</v>
      </c>
      <c r="N34" s="50">
        <v>0</v>
      </c>
      <c r="O34" s="15">
        <f t="shared" si="0"/>
        <v>246</v>
      </c>
      <c r="P34" s="15">
        <f t="shared" si="1"/>
        <v>841</v>
      </c>
    </row>
    <row r="35" spans="2:20" ht="23.1" customHeight="1" x14ac:dyDescent="0.25">
      <c r="B35" s="24" t="s">
        <v>62</v>
      </c>
      <c r="C35" s="50">
        <v>150</v>
      </c>
      <c r="D35" s="50">
        <v>100</v>
      </c>
      <c r="E35" s="50">
        <v>38</v>
      </c>
      <c r="F35" s="50">
        <v>43</v>
      </c>
      <c r="G35" s="50">
        <v>0</v>
      </c>
      <c r="H35" s="50">
        <v>0</v>
      </c>
      <c r="I35" s="50">
        <v>3</v>
      </c>
      <c r="J35" s="50">
        <v>4</v>
      </c>
      <c r="K35" s="50">
        <v>2</v>
      </c>
      <c r="L35" s="50">
        <v>3</v>
      </c>
      <c r="M35" s="50">
        <v>382</v>
      </c>
      <c r="N35" s="50">
        <v>0</v>
      </c>
      <c r="O35" s="15">
        <f t="shared" si="0"/>
        <v>343</v>
      </c>
      <c r="P35" s="15">
        <f t="shared" si="1"/>
        <v>725</v>
      </c>
    </row>
    <row r="36" spans="2:20" ht="23.1" customHeight="1" x14ac:dyDescent="0.25">
      <c r="B36" s="24" t="s">
        <v>63</v>
      </c>
      <c r="C36" s="50">
        <v>85</v>
      </c>
      <c r="D36" s="50">
        <v>95</v>
      </c>
      <c r="E36" s="50">
        <v>20</v>
      </c>
      <c r="F36" s="50">
        <v>25</v>
      </c>
      <c r="G36" s="50">
        <v>1</v>
      </c>
      <c r="H36" s="50">
        <v>2</v>
      </c>
      <c r="I36" s="50">
        <v>10</v>
      </c>
      <c r="J36" s="50">
        <v>3</v>
      </c>
      <c r="K36" s="50">
        <v>1</v>
      </c>
      <c r="L36" s="50">
        <v>7</v>
      </c>
      <c r="M36" s="50">
        <v>402</v>
      </c>
      <c r="N36" s="50">
        <v>0</v>
      </c>
      <c r="O36" s="15">
        <f t="shared" si="0"/>
        <v>249</v>
      </c>
      <c r="P36" s="15">
        <f t="shared" si="1"/>
        <v>651</v>
      </c>
    </row>
    <row r="37" spans="2:20" ht="23.1" customHeight="1" x14ac:dyDescent="0.25">
      <c r="B37" s="23" t="s">
        <v>64</v>
      </c>
      <c r="C37" s="50">
        <v>47</v>
      </c>
      <c r="D37" s="50">
        <v>35</v>
      </c>
      <c r="E37" s="50">
        <v>25</v>
      </c>
      <c r="F37" s="50">
        <v>29</v>
      </c>
      <c r="G37" s="50">
        <v>1</v>
      </c>
      <c r="H37" s="50">
        <v>0</v>
      </c>
      <c r="I37" s="50">
        <v>11</v>
      </c>
      <c r="J37" s="50">
        <v>8</v>
      </c>
      <c r="K37" s="50">
        <v>6</v>
      </c>
      <c r="L37" s="50">
        <v>6</v>
      </c>
      <c r="M37" s="50">
        <v>519</v>
      </c>
      <c r="N37" s="50">
        <v>0</v>
      </c>
      <c r="O37" s="15">
        <f t="shared" si="0"/>
        <v>168</v>
      </c>
      <c r="P37" s="15">
        <f t="shared" si="1"/>
        <v>687</v>
      </c>
    </row>
    <row r="38" spans="2:20" ht="23.1" customHeight="1" x14ac:dyDescent="0.25">
      <c r="B38" s="24" t="s">
        <v>65</v>
      </c>
      <c r="C38" s="50">
        <v>120</v>
      </c>
      <c r="D38" s="50">
        <v>55</v>
      </c>
      <c r="E38" s="50">
        <v>27</v>
      </c>
      <c r="F38" s="50">
        <v>38</v>
      </c>
      <c r="G38" s="50">
        <v>1</v>
      </c>
      <c r="H38" s="50">
        <v>0</v>
      </c>
      <c r="I38" s="50">
        <v>7</v>
      </c>
      <c r="J38" s="50">
        <v>4</v>
      </c>
      <c r="K38" s="50">
        <v>3</v>
      </c>
      <c r="L38" s="50">
        <v>4</v>
      </c>
      <c r="M38" s="50">
        <v>612</v>
      </c>
      <c r="N38" s="50">
        <v>0</v>
      </c>
      <c r="O38" s="15">
        <f t="shared" si="0"/>
        <v>259</v>
      </c>
      <c r="P38" s="15">
        <f t="shared" si="1"/>
        <v>871</v>
      </c>
    </row>
    <row r="39" spans="2:20" ht="23.1" customHeight="1" x14ac:dyDescent="0.25">
      <c r="B39" s="24" t="s">
        <v>66</v>
      </c>
      <c r="C39" s="50">
        <v>183</v>
      </c>
      <c r="D39" s="50">
        <v>45</v>
      </c>
      <c r="E39" s="50">
        <v>31</v>
      </c>
      <c r="F39" s="50">
        <v>41</v>
      </c>
      <c r="G39" s="50">
        <v>0</v>
      </c>
      <c r="H39" s="50">
        <v>0</v>
      </c>
      <c r="I39" s="50">
        <v>21</v>
      </c>
      <c r="J39" s="50">
        <v>6</v>
      </c>
      <c r="K39" s="50">
        <v>3</v>
      </c>
      <c r="L39" s="50">
        <v>5</v>
      </c>
      <c r="M39" s="50">
        <v>481</v>
      </c>
      <c r="N39" s="50">
        <v>0</v>
      </c>
      <c r="O39" s="15">
        <f t="shared" si="0"/>
        <v>335</v>
      </c>
      <c r="P39" s="15">
        <f t="shared" si="1"/>
        <v>816</v>
      </c>
    </row>
    <row r="40" spans="2:20" ht="23.1" customHeight="1" x14ac:dyDescent="0.25">
      <c r="B40" s="24" t="s">
        <v>67</v>
      </c>
      <c r="C40" s="50">
        <v>85</v>
      </c>
      <c r="D40" s="50">
        <v>30</v>
      </c>
      <c r="E40" s="50">
        <v>11</v>
      </c>
      <c r="F40" s="50">
        <v>43</v>
      </c>
      <c r="G40" s="50">
        <v>0</v>
      </c>
      <c r="H40" s="50">
        <v>0</v>
      </c>
      <c r="I40" s="50">
        <v>13</v>
      </c>
      <c r="J40" s="50">
        <v>7</v>
      </c>
      <c r="K40" s="50">
        <v>2</v>
      </c>
      <c r="L40" s="50">
        <v>4</v>
      </c>
      <c r="M40" s="50">
        <v>547</v>
      </c>
      <c r="N40" s="50">
        <v>0</v>
      </c>
      <c r="O40" s="15">
        <f t="shared" si="0"/>
        <v>195</v>
      </c>
      <c r="P40" s="15">
        <f t="shared" si="1"/>
        <v>742</v>
      </c>
    </row>
    <row r="41" spans="2:20" ht="23.1" customHeight="1" x14ac:dyDescent="0.25">
      <c r="B41" s="23" t="s">
        <v>68</v>
      </c>
      <c r="C41" s="50">
        <v>106</v>
      </c>
      <c r="D41" s="50">
        <v>16</v>
      </c>
      <c r="E41" s="50">
        <v>9</v>
      </c>
      <c r="F41" s="50">
        <v>36</v>
      </c>
      <c r="G41" s="50">
        <v>0</v>
      </c>
      <c r="H41" s="50">
        <v>0</v>
      </c>
      <c r="I41" s="50">
        <v>5</v>
      </c>
      <c r="J41" s="50">
        <v>4</v>
      </c>
      <c r="K41" s="50">
        <v>3</v>
      </c>
      <c r="L41" s="50">
        <v>7</v>
      </c>
      <c r="M41" s="50">
        <v>312</v>
      </c>
      <c r="N41" s="50">
        <v>1</v>
      </c>
      <c r="O41" s="15">
        <f t="shared" si="0"/>
        <v>187</v>
      </c>
      <c r="P41" s="15">
        <f t="shared" si="1"/>
        <v>499</v>
      </c>
    </row>
    <row r="42" spans="2:20" ht="23.1" customHeight="1" x14ac:dyDescent="0.25">
      <c r="B42" s="24" t="s">
        <v>69</v>
      </c>
      <c r="C42" s="50">
        <v>91</v>
      </c>
      <c r="D42" s="50">
        <v>30</v>
      </c>
      <c r="E42" s="50">
        <v>16</v>
      </c>
      <c r="F42" s="50">
        <v>33</v>
      </c>
      <c r="G42" s="50">
        <v>2</v>
      </c>
      <c r="H42" s="50">
        <v>0</v>
      </c>
      <c r="I42" s="50">
        <v>8</v>
      </c>
      <c r="J42" s="50">
        <v>10</v>
      </c>
      <c r="K42" s="50">
        <v>2</v>
      </c>
      <c r="L42" s="50">
        <v>4</v>
      </c>
      <c r="M42" s="50">
        <v>563</v>
      </c>
      <c r="N42" s="50">
        <v>0</v>
      </c>
      <c r="O42" s="15">
        <f t="shared" si="0"/>
        <v>196</v>
      </c>
      <c r="P42" s="15">
        <f t="shared" si="1"/>
        <v>759</v>
      </c>
    </row>
    <row r="43" spans="2:20" ht="23.1" customHeight="1" x14ac:dyDescent="0.25">
      <c r="B43" s="23" t="s">
        <v>70</v>
      </c>
      <c r="C43" s="50">
        <v>50</v>
      </c>
      <c r="D43" s="50">
        <v>23</v>
      </c>
      <c r="E43" s="50">
        <v>6</v>
      </c>
      <c r="F43" s="50">
        <v>40</v>
      </c>
      <c r="G43" s="50">
        <v>0</v>
      </c>
      <c r="H43" s="50">
        <v>0</v>
      </c>
      <c r="I43" s="50">
        <v>6</v>
      </c>
      <c r="J43" s="50">
        <v>6</v>
      </c>
      <c r="K43" s="50">
        <v>2</v>
      </c>
      <c r="L43" s="50">
        <v>2</v>
      </c>
      <c r="M43" s="50">
        <v>376</v>
      </c>
      <c r="N43" s="50">
        <v>0</v>
      </c>
      <c r="O43" s="15">
        <f t="shared" si="0"/>
        <v>135</v>
      </c>
      <c r="P43" s="15">
        <f t="shared" si="1"/>
        <v>511</v>
      </c>
    </row>
    <row r="44" spans="2:20" ht="23.1" customHeight="1" x14ac:dyDescent="0.25">
      <c r="B44" s="25" t="s">
        <v>71</v>
      </c>
      <c r="C44" s="50">
        <v>65</v>
      </c>
      <c r="D44" s="50">
        <v>26</v>
      </c>
      <c r="E44" s="50">
        <v>15</v>
      </c>
      <c r="F44" s="50">
        <v>40</v>
      </c>
      <c r="G44" s="50">
        <v>0</v>
      </c>
      <c r="H44" s="50">
        <v>0</v>
      </c>
      <c r="I44" s="50">
        <v>4</v>
      </c>
      <c r="J44" s="50">
        <v>8</v>
      </c>
      <c r="K44" s="50">
        <v>2</v>
      </c>
      <c r="L44" s="50">
        <v>3</v>
      </c>
      <c r="M44" s="50">
        <v>322</v>
      </c>
      <c r="N44" s="50">
        <v>0</v>
      </c>
      <c r="O44" s="15">
        <f t="shared" si="0"/>
        <v>163</v>
      </c>
      <c r="P44" s="15">
        <f t="shared" si="1"/>
        <v>485</v>
      </c>
    </row>
    <row r="45" spans="2:20" ht="23.1" customHeight="1" x14ac:dyDescent="0.25">
      <c r="B45" s="23" t="s">
        <v>72</v>
      </c>
      <c r="C45" s="50">
        <v>133</v>
      </c>
      <c r="D45" s="50">
        <v>22</v>
      </c>
      <c r="E45" s="50">
        <v>12</v>
      </c>
      <c r="F45" s="50">
        <v>29</v>
      </c>
      <c r="G45" s="50">
        <v>0</v>
      </c>
      <c r="H45" s="50">
        <v>1</v>
      </c>
      <c r="I45" s="50">
        <v>2</v>
      </c>
      <c r="J45" s="50">
        <v>5</v>
      </c>
      <c r="K45" s="50">
        <v>3</v>
      </c>
      <c r="L45" s="50">
        <v>2</v>
      </c>
      <c r="M45" s="50">
        <v>268</v>
      </c>
      <c r="N45" s="50">
        <v>1</v>
      </c>
      <c r="O45" s="15">
        <f t="shared" si="0"/>
        <v>210</v>
      </c>
      <c r="P45" s="15">
        <f t="shared" si="1"/>
        <v>478</v>
      </c>
    </row>
    <row r="46" spans="2:20" ht="23.1" customHeight="1" x14ac:dyDescent="0.25">
      <c r="B46" s="24" t="s">
        <v>73</v>
      </c>
      <c r="C46" s="50">
        <v>51</v>
      </c>
      <c r="D46" s="50">
        <v>20</v>
      </c>
      <c r="E46" s="50">
        <v>7</v>
      </c>
      <c r="F46" s="50">
        <v>37</v>
      </c>
      <c r="G46" s="50">
        <v>1</v>
      </c>
      <c r="H46" s="50">
        <v>0</v>
      </c>
      <c r="I46" s="50">
        <v>13</v>
      </c>
      <c r="J46" s="50">
        <v>8</v>
      </c>
      <c r="K46" s="50">
        <v>4</v>
      </c>
      <c r="L46" s="50">
        <v>1</v>
      </c>
      <c r="M46" s="50">
        <v>338</v>
      </c>
      <c r="N46" s="50">
        <v>0</v>
      </c>
      <c r="O46" s="15">
        <f t="shared" si="0"/>
        <v>142</v>
      </c>
      <c r="P46" s="15">
        <f t="shared" si="1"/>
        <v>480</v>
      </c>
      <c r="R46" s="8"/>
      <c r="T46"/>
    </row>
    <row r="47" spans="2:20" ht="23.1" customHeight="1" x14ac:dyDescent="0.25">
      <c r="B47" s="24" t="s">
        <v>74</v>
      </c>
      <c r="C47" s="50">
        <v>55</v>
      </c>
      <c r="D47" s="50">
        <v>65</v>
      </c>
      <c r="E47" s="50">
        <v>21</v>
      </c>
      <c r="F47" s="50">
        <v>26</v>
      </c>
      <c r="G47" s="50">
        <v>0</v>
      </c>
      <c r="H47" s="50">
        <v>0</v>
      </c>
      <c r="I47" s="50">
        <v>13</v>
      </c>
      <c r="J47" s="50">
        <v>4</v>
      </c>
      <c r="K47" s="50">
        <v>0</v>
      </c>
      <c r="L47" s="50">
        <v>0</v>
      </c>
      <c r="M47" s="50">
        <v>377</v>
      </c>
      <c r="N47" s="50">
        <v>0</v>
      </c>
      <c r="O47" s="15">
        <f t="shared" si="0"/>
        <v>184</v>
      </c>
      <c r="P47" s="15">
        <f t="shared" si="1"/>
        <v>561</v>
      </c>
      <c r="R47" s="8"/>
      <c r="T47"/>
    </row>
    <row r="48" spans="2:20" ht="23.1" customHeight="1" x14ac:dyDescent="0.25">
      <c r="B48" s="24" t="s">
        <v>75</v>
      </c>
      <c r="C48" s="50">
        <v>58</v>
      </c>
      <c r="D48" s="50">
        <v>41</v>
      </c>
      <c r="E48" s="50">
        <v>6</v>
      </c>
      <c r="F48" s="50">
        <v>15</v>
      </c>
      <c r="G48" s="50">
        <v>1</v>
      </c>
      <c r="H48" s="50">
        <v>4</v>
      </c>
      <c r="I48" s="50">
        <v>3</v>
      </c>
      <c r="J48" s="50">
        <v>7</v>
      </c>
      <c r="K48" s="50">
        <v>1</v>
      </c>
      <c r="L48" s="50">
        <v>8</v>
      </c>
      <c r="M48" s="50">
        <v>392</v>
      </c>
      <c r="N48" s="50">
        <v>0</v>
      </c>
      <c r="O48" s="15">
        <f t="shared" si="0"/>
        <v>144</v>
      </c>
      <c r="P48" s="15">
        <f t="shared" si="1"/>
        <v>536</v>
      </c>
      <c r="R48" s="8"/>
      <c r="T48"/>
    </row>
    <row r="49" spans="2:20" ht="23.1" customHeight="1" x14ac:dyDescent="0.25">
      <c r="B49" s="23" t="s">
        <v>76</v>
      </c>
      <c r="C49" s="50">
        <v>105</v>
      </c>
      <c r="D49" s="50">
        <v>55</v>
      </c>
      <c r="E49" s="50">
        <v>21</v>
      </c>
      <c r="F49" s="50">
        <v>25</v>
      </c>
      <c r="G49" s="50">
        <v>2</v>
      </c>
      <c r="H49" s="50">
        <v>0</v>
      </c>
      <c r="I49" s="50">
        <v>9</v>
      </c>
      <c r="J49" s="50">
        <v>0</v>
      </c>
      <c r="K49" s="50">
        <v>1</v>
      </c>
      <c r="L49" s="50">
        <v>3</v>
      </c>
      <c r="M49" s="50">
        <v>447</v>
      </c>
      <c r="N49" s="50">
        <v>0</v>
      </c>
      <c r="O49" s="15">
        <f t="shared" si="0"/>
        <v>221</v>
      </c>
      <c r="P49" s="15">
        <f t="shared" si="1"/>
        <v>668</v>
      </c>
      <c r="R49" s="8"/>
      <c r="T49"/>
    </row>
    <row r="50" spans="2:20" ht="23.1" customHeight="1" x14ac:dyDescent="0.25">
      <c r="B50" s="24" t="s">
        <v>77</v>
      </c>
      <c r="C50" s="50">
        <v>75</v>
      </c>
      <c r="D50" s="50">
        <v>50</v>
      </c>
      <c r="E50" s="50">
        <v>15</v>
      </c>
      <c r="F50" s="50">
        <v>53</v>
      </c>
      <c r="G50" s="50">
        <v>3</v>
      </c>
      <c r="H50" s="50">
        <v>0</v>
      </c>
      <c r="I50" s="50">
        <v>3</v>
      </c>
      <c r="J50" s="50">
        <v>3</v>
      </c>
      <c r="K50" s="50">
        <v>1</v>
      </c>
      <c r="L50" s="50">
        <v>1</v>
      </c>
      <c r="M50" s="50">
        <v>181</v>
      </c>
      <c r="N50" s="50">
        <v>0</v>
      </c>
      <c r="O50" s="15">
        <f t="shared" si="0"/>
        <v>204</v>
      </c>
      <c r="P50" s="15">
        <f t="shared" si="1"/>
        <v>385</v>
      </c>
      <c r="R50" s="8"/>
      <c r="T50"/>
    </row>
    <row r="51" spans="2:20" ht="23.1" customHeight="1" x14ac:dyDescent="0.25">
      <c r="B51" s="24" t="s">
        <v>78</v>
      </c>
      <c r="C51" s="50">
        <v>155</v>
      </c>
      <c r="D51" s="50">
        <v>62</v>
      </c>
      <c r="E51" s="50">
        <v>12</v>
      </c>
      <c r="F51" s="50">
        <v>26</v>
      </c>
      <c r="G51" s="50">
        <v>1</v>
      </c>
      <c r="H51" s="50">
        <v>0</v>
      </c>
      <c r="I51" s="50">
        <v>9</v>
      </c>
      <c r="J51" s="50">
        <v>3</v>
      </c>
      <c r="K51" s="50">
        <v>4</v>
      </c>
      <c r="L51" s="50">
        <v>2</v>
      </c>
      <c r="M51" s="50">
        <v>506</v>
      </c>
      <c r="N51" s="50">
        <v>0</v>
      </c>
      <c r="O51" s="15">
        <f t="shared" si="0"/>
        <v>274</v>
      </c>
      <c r="P51" s="15">
        <f t="shared" si="1"/>
        <v>780</v>
      </c>
      <c r="R51" s="8"/>
      <c r="T51"/>
    </row>
    <row r="52" spans="2:20" ht="23.1" customHeight="1" x14ac:dyDescent="0.25">
      <c r="B52" s="24" t="s">
        <v>79</v>
      </c>
      <c r="C52" s="50">
        <v>143</v>
      </c>
      <c r="D52" s="50">
        <v>38</v>
      </c>
      <c r="E52" s="50">
        <v>6</v>
      </c>
      <c r="F52" s="50">
        <v>57</v>
      </c>
      <c r="G52" s="50">
        <v>0</v>
      </c>
      <c r="H52" s="50">
        <v>0</v>
      </c>
      <c r="I52" s="50">
        <v>9</v>
      </c>
      <c r="J52" s="50">
        <v>6</v>
      </c>
      <c r="K52" s="50">
        <v>0</v>
      </c>
      <c r="L52" s="50">
        <v>2</v>
      </c>
      <c r="M52" s="50">
        <v>225</v>
      </c>
      <c r="N52" s="50">
        <v>0</v>
      </c>
      <c r="O52" s="15">
        <f t="shared" si="0"/>
        <v>261</v>
      </c>
      <c r="P52" s="15">
        <f t="shared" si="1"/>
        <v>486</v>
      </c>
      <c r="R52" s="8"/>
      <c r="T52"/>
    </row>
    <row r="53" spans="2:20" ht="23.1" customHeight="1" x14ac:dyDescent="0.25">
      <c r="B53" s="23" t="s">
        <v>80</v>
      </c>
      <c r="C53" s="50">
        <v>76</v>
      </c>
      <c r="D53" s="50">
        <v>60</v>
      </c>
      <c r="E53" s="50">
        <v>8</v>
      </c>
      <c r="F53" s="50">
        <v>29</v>
      </c>
      <c r="G53" s="50">
        <v>0</v>
      </c>
      <c r="H53" s="50">
        <v>0</v>
      </c>
      <c r="I53" s="50">
        <v>6</v>
      </c>
      <c r="J53" s="50">
        <v>1</v>
      </c>
      <c r="K53" s="50">
        <v>2</v>
      </c>
      <c r="L53" s="50">
        <v>1</v>
      </c>
      <c r="M53" s="50">
        <v>681</v>
      </c>
      <c r="N53" s="50">
        <v>0</v>
      </c>
      <c r="O53" s="15">
        <f t="shared" si="0"/>
        <v>183</v>
      </c>
      <c r="P53" s="15">
        <f t="shared" si="1"/>
        <v>864</v>
      </c>
      <c r="R53" s="8"/>
      <c r="T53"/>
    </row>
    <row r="54" spans="2:20" ht="23.1" customHeight="1" x14ac:dyDescent="0.25">
      <c r="B54" s="23" t="s">
        <v>81</v>
      </c>
      <c r="C54" s="50">
        <v>115</v>
      </c>
      <c r="D54" s="50">
        <v>20</v>
      </c>
      <c r="E54" s="50">
        <v>9</v>
      </c>
      <c r="F54" s="50">
        <v>35</v>
      </c>
      <c r="G54" s="50">
        <v>0</v>
      </c>
      <c r="H54" s="50">
        <v>0</v>
      </c>
      <c r="I54" s="50">
        <v>14</v>
      </c>
      <c r="J54" s="50">
        <v>13</v>
      </c>
      <c r="K54" s="50">
        <v>3</v>
      </c>
      <c r="L54" s="50">
        <v>4</v>
      </c>
      <c r="M54" s="50">
        <v>502</v>
      </c>
      <c r="N54" s="50">
        <v>0</v>
      </c>
      <c r="O54" s="15">
        <f t="shared" si="0"/>
        <v>213</v>
      </c>
      <c r="P54" s="15">
        <f t="shared" si="1"/>
        <v>715</v>
      </c>
      <c r="R54" s="8"/>
      <c r="T54"/>
    </row>
    <row r="55" spans="2:20" ht="23.1" customHeight="1" x14ac:dyDescent="0.25">
      <c r="B55" s="23" t="s">
        <v>82</v>
      </c>
      <c r="C55" s="50">
        <v>48</v>
      </c>
      <c r="D55" s="50">
        <v>8</v>
      </c>
      <c r="E55" s="50">
        <v>11</v>
      </c>
      <c r="F55" s="50">
        <v>21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2</v>
      </c>
      <c r="M55" s="50">
        <v>611</v>
      </c>
      <c r="N55" s="50">
        <v>0</v>
      </c>
      <c r="O55" s="15">
        <f t="shared" si="0"/>
        <v>93</v>
      </c>
      <c r="P55" s="15">
        <f t="shared" si="1"/>
        <v>704</v>
      </c>
      <c r="R55" s="8"/>
      <c r="T55"/>
    </row>
    <row r="56" spans="2:20" ht="23.1" customHeight="1" x14ac:dyDescent="0.25">
      <c r="B56" s="23" t="s">
        <v>83</v>
      </c>
      <c r="C56" s="50">
        <v>61</v>
      </c>
      <c r="D56" s="50">
        <v>23</v>
      </c>
      <c r="E56" s="50">
        <v>13</v>
      </c>
      <c r="F56" s="50">
        <v>16</v>
      </c>
      <c r="G56" s="50">
        <v>2</v>
      </c>
      <c r="H56" s="50">
        <v>0</v>
      </c>
      <c r="I56" s="50">
        <v>9</v>
      </c>
      <c r="J56" s="50">
        <v>3</v>
      </c>
      <c r="K56" s="50">
        <v>5</v>
      </c>
      <c r="L56" s="50">
        <v>2</v>
      </c>
      <c r="M56" s="50">
        <v>409</v>
      </c>
      <c r="N56" s="50">
        <v>0</v>
      </c>
      <c r="O56" s="15">
        <f t="shared" si="0"/>
        <v>134</v>
      </c>
      <c r="P56" s="15">
        <f t="shared" si="1"/>
        <v>543</v>
      </c>
      <c r="R56" s="8"/>
      <c r="T56"/>
    </row>
    <row r="57" spans="2:20" ht="23.1" customHeight="1" x14ac:dyDescent="0.25">
      <c r="B57" s="23" t="s">
        <v>84</v>
      </c>
      <c r="C57" s="50">
        <v>38</v>
      </c>
      <c r="D57" s="50">
        <v>16</v>
      </c>
      <c r="E57" s="50">
        <v>8</v>
      </c>
      <c r="F57" s="50">
        <v>52</v>
      </c>
      <c r="G57" s="50">
        <v>0</v>
      </c>
      <c r="H57" s="50">
        <v>0</v>
      </c>
      <c r="I57" s="50">
        <v>7</v>
      </c>
      <c r="J57" s="50">
        <v>6</v>
      </c>
      <c r="K57" s="50">
        <v>3</v>
      </c>
      <c r="L57" s="50">
        <v>0</v>
      </c>
      <c r="M57" s="50">
        <v>482</v>
      </c>
      <c r="N57" s="50">
        <v>0</v>
      </c>
      <c r="O57" s="15">
        <f t="shared" si="0"/>
        <v>130</v>
      </c>
      <c r="P57" s="15">
        <f t="shared" si="1"/>
        <v>612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3250</v>
      </c>
      <c r="D58" s="16">
        <f t="shared" si="21"/>
        <v>1328</v>
      </c>
      <c r="E58" s="16">
        <f t="shared" si="21"/>
        <v>558</v>
      </c>
      <c r="F58" s="16">
        <f t="shared" si="21"/>
        <v>1956</v>
      </c>
      <c r="G58" s="16">
        <f t="shared" si="21"/>
        <v>58</v>
      </c>
      <c r="H58" s="16">
        <f t="shared" si="21"/>
        <v>10</v>
      </c>
      <c r="I58" s="16">
        <f t="shared" si="21"/>
        <v>327</v>
      </c>
      <c r="J58" s="16">
        <f t="shared" si="21"/>
        <v>236</v>
      </c>
      <c r="K58" s="16">
        <f t="shared" si="21"/>
        <v>128</v>
      </c>
      <c r="L58" s="16">
        <f t="shared" si="21"/>
        <v>139</v>
      </c>
      <c r="M58" s="16">
        <f t="shared" si="21"/>
        <v>20415</v>
      </c>
      <c r="N58" s="16">
        <f t="shared" si="21"/>
        <v>6</v>
      </c>
      <c r="O58" s="16">
        <f t="shared" si="21"/>
        <v>7996</v>
      </c>
      <c r="P58" s="16">
        <f t="shared" si="21"/>
        <v>28411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0.11439231283657739</v>
      </c>
      <c r="D59" s="43">
        <f t="shared" si="22"/>
        <v>4.6742458906761465E-2</v>
      </c>
      <c r="E59" s="43">
        <f t="shared" si="22"/>
        <v>1.9640280173172361E-2</v>
      </c>
      <c r="F59" s="43">
        <f t="shared" si="22"/>
        <v>6.8846573510260106E-2</v>
      </c>
      <c r="G59" s="43">
        <f t="shared" si="22"/>
        <v>2.0414628136989194E-3</v>
      </c>
      <c r="H59" s="43">
        <f t="shared" si="22"/>
        <v>3.5197634718946884E-4</v>
      </c>
      <c r="I59" s="43">
        <f t="shared" si="22"/>
        <v>1.1509626553095632E-2</v>
      </c>
      <c r="J59" s="43">
        <f t="shared" si="22"/>
        <v>8.3066417936714654E-3</v>
      </c>
      <c r="K59" s="43">
        <f t="shared" si="22"/>
        <v>4.5052972440252012E-3</v>
      </c>
      <c r="L59" s="43">
        <f t="shared" si="22"/>
        <v>4.8924712259336171E-3</v>
      </c>
      <c r="M59" s="43">
        <f t="shared" si="22"/>
        <v>0.71855971278730069</v>
      </c>
      <c r="N59" s="43">
        <f t="shared" si="22"/>
        <v>2.1118580831368133E-4</v>
      </c>
      <c r="R59" s="8"/>
      <c r="T59"/>
    </row>
    <row r="60" spans="2:20" ht="23.1" customHeight="1" x14ac:dyDescent="0.25">
      <c r="B60" s="42" t="s">
        <v>94</v>
      </c>
      <c r="C60" s="44">
        <f>C58/$O$58</f>
        <v>0.40645322661330663</v>
      </c>
      <c r="D60" s="44">
        <f t="shared" ref="D60:N60" si="23">D58/$O$58</f>
        <v>0.16608304152076039</v>
      </c>
      <c r="E60" s="44">
        <f t="shared" si="23"/>
        <v>6.9784892446223115E-2</v>
      </c>
      <c r="F60" s="44">
        <f t="shared" si="23"/>
        <v>0.24462231115557778</v>
      </c>
      <c r="G60" s="44">
        <f t="shared" si="23"/>
        <v>7.2536268134067031E-3</v>
      </c>
      <c r="H60" s="44">
        <f t="shared" si="23"/>
        <v>1.2506253126563281E-3</v>
      </c>
      <c r="I60" s="44">
        <f t="shared" si="23"/>
        <v>4.089544772386193E-2</v>
      </c>
      <c r="J60" s="44">
        <f t="shared" si="23"/>
        <v>2.9514757378689346E-2</v>
      </c>
      <c r="K60" s="44">
        <f t="shared" si="23"/>
        <v>1.6008004002000999E-2</v>
      </c>
      <c r="L60" s="44">
        <f t="shared" si="23"/>
        <v>1.738369184592296E-2</v>
      </c>
      <c r="M60" s="44"/>
      <c r="N60" s="44">
        <f t="shared" si="23"/>
        <v>7.503751875937969E-4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ClockTower-Nsambya'!D5</f>
        <v>29.07.19</v>
      </c>
      <c r="E5" s="3"/>
      <c r="F5" s="41" t="s">
        <v>1</v>
      </c>
      <c r="G5" s="57" t="str">
        <f>'29.07 ClockTower-Nsambya'!G5:H5</f>
        <v>Gapco</v>
      </c>
      <c r="H5" s="58"/>
      <c r="I5" s="14"/>
      <c r="J5" s="2" t="s">
        <v>5</v>
      </c>
      <c r="K5" s="57" t="s">
        <v>170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1" t="s">
        <v>165</v>
      </c>
      <c r="E6" s="52"/>
      <c r="F6" s="2" t="s">
        <v>2</v>
      </c>
      <c r="G6" s="51" t="s">
        <v>171</v>
      </c>
      <c r="H6" s="52"/>
      <c r="J6" s="2" t="s">
        <v>21</v>
      </c>
      <c r="K6" s="57" t="str">
        <f>'29.07 ClockTower-Nsambya'!K6:L6</f>
        <v>Felix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98</v>
      </c>
      <c r="D10" s="50">
        <v>10</v>
      </c>
      <c r="E10" s="50">
        <v>14</v>
      </c>
      <c r="F10" s="50">
        <v>195</v>
      </c>
      <c r="G10" s="50">
        <v>1</v>
      </c>
      <c r="H10" s="50">
        <v>0</v>
      </c>
      <c r="I10" s="50">
        <v>4</v>
      </c>
      <c r="J10" s="50">
        <v>1</v>
      </c>
      <c r="K10" s="50">
        <v>0</v>
      </c>
      <c r="L10" s="50">
        <v>1</v>
      </c>
      <c r="M10" s="50">
        <v>260</v>
      </c>
      <c r="N10" s="50">
        <v>0</v>
      </c>
      <c r="O10" s="15">
        <f t="shared" ref="O10:O57" si="0">SUM(C10:L10,N10)</f>
        <v>324</v>
      </c>
      <c r="P10" s="15">
        <f t="shared" ref="P10:P57" si="1">SUM(C10:N10)</f>
        <v>584</v>
      </c>
      <c r="R10" s="1" t="s">
        <v>6</v>
      </c>
      <c r="S10" s="17">
        <f t="shared" ref="S10:AF10" si="2">SUM(C10:C13)</f>
        <v>321</v>
      </c>
      <c r="T10" s="17">
        <f t="shared" si="2"/>
        <v>43</v>
      </c>
      <c r="U10" s="17">
        <f t="shared" si="2"/>
        <v>38</v>
      </c>
      <c r="V10" s="17">
        <f t="shared" si="2"/>
        <v>886</v>
      </c>
      <c r="W10" s="17">
        <f t="shared" si="2"/>
        <v>2</v>
      </c>
      <c r="X10" s="17">
        <f t="shared" si="2"/>
        <v>0</v>
      </c>
      <c r="Y10" s="17">
        <f t="shared" si="2"/>
        <v>16</v>
      </c>
      <c r="Z10" s="17">
        <f t="shared" si="2"/>
        <v>2</v>
      </c>
      <c r="AA10" s="17">
        <f t="shared" si="2"/>
        <v>0</v>
      </c>
      <c r="AB10" s="17">
        <f t="shared" si="2"/>
        <v>3</v>
      </c>
      <c r="AC10" s="17">
        <f t="shared" si="2"/>
        <v>1260</v>
      </c>
      <c r="AD10" s="17">
        <f t="shared" si="2"/>
        <v>0</v>
      </c>
      <c r="AE10" s="31">
        <f t="shared" si="2"/>
        <v>1311</v>
      </c>
      <c r="AF10" s="31">
        <f t="shared" si="2"/>
        <v>2571</v>
      </c>
    </row>
    <row r="11" spans="2:32" s="6" customFormat="1" ht="23.1" customHeight="1" x14ac:dyDescent="0.25">
      <c r="B11" s="23" t="s">
        <v>38</v>
      </c>
      <c r="C11" s="50">
        <v>75</v>
      </c>
      <c r="D11" s="50">
        <v>19</v>
      </c>
      <c r="E11" s="50">
        <v>8</v>
      </c>
      <c r="F11" s="50">
        <v>196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1</v>
      </c>
      <c r="M11" s="50">
        <v>305</v>
      </c>
      <c r="N11" s="50">
        <v>0</v>
      </c>
      <c r="O11" s="15">
        <f t="shared" si="0"/>
        <v>303</v>
      </c>
      <c r="P11" s="15">
        <f t="shared" si="1"/>
        <v>608</v>
      </c>
      <c r="R11" s="1" t="s">
        <v>7</v>
      </c>
      <c r="S11" s="17">
        <f t="shared" ref="S11:AF11" si="3">SUM(C14:C17)</f>
        <v>380</v>
      </c>
      <c r="T11" s="17">
        <f t="shared" si="3"/>
        <v>26</v>
      </c>
      <c r="U11" s="17">
        <f t="shared" si="3"/>
        <v>32</v>
      </c>
      <c r="V11" s="17">
        <f t="shared" si="3"/>
        <v>880</v>
      </c>
      <c r="W11" s="17">
        <f t="shared" si="3"/>
        <v>12</v>
      </c>
      <c r="X11" s="17">
        <f t="shared" si="3"/>
        <v>4</v>
      </c>
      <c r="Y11" s="17">
        <f t="shared" si="3"/>
        <v>17</v>
      </c>
      <c r="Z11" s="17">
        <f t="shared" si="3"/>
        <v>6</v>
      </c>
      <c r="AA11" s="17">
        <f t="shared" si="3"/>
        <v>3</v>
      </c>
      <c r="AB11" s="17">
        <f t="shared" si="3"/>
        <v>8</v>
      </c>
      <c r="AC11" s="17">
        <f t="shared" si="3"/>
        <v>1715</v>
      </c>
      <c r="AD11" s="17">
        <f t="shared" si="3"/>
        <v>0</v>
      </c>
      <c r="AE11" s="31">
        <f t="shared" si="3"/>
        <v>1368</v>
      </c>
      <c r="AF11" s="31">
        <f t="shared" si="3"/>
        <v>3083</v>
      </c>
    </row>
    <row r="12" spans="2:32" ht="23.1" customHeight="1" x14ac:dyDescent="0.25">
      <c r="B12" s="23" t="s">
        <v>39</v>
      </c>
      <c r="C12" s="50">
        <v>107</v>
      </c>
      <c r="D12" s="50">
        <v>13</v>
      </c>
      <c r="E12" s="50">
        <v>8</v>
      </c>
      <c r="F12" s="50">
        <v>250</v>
      </c>
      <c r="G12" s="50">
        <v>1</v>
      </c>
      <c r="H12" s="50">
        <v>0</v>
      </c>
      <c r="I12" s="50">
        <v>6</v>
      </c>
      <c r="J12" s="50">
        <v>1</v>
      </c>
      <c r="K12" s="50">
        <v>0</v>
      </c>
      <c r="L12" s="50">
        <v>0</v>
      </c>
      <c r="M12" s="50">
        <v>335</v>
      </c>
      <c r="N12" s="50">
        <v>0</v>
      </c>
      <c r="O12" s="15">
        <f t="shared" si="0"/>
        <v>386</v>
      </c>
      <c r="P12" s="15">
        <f t="shared" si="1"/>
        <v>721</v>
      </c>
      <c r="R12" s="1" t="s">
        <v>8</v>
      </c>
      <c r="S12" s="17">
        <f t="shared" ref="S12:AF12" si="4">SUM(C18:C21)</f>
        <v>227</v>
      </c>
      <c r="T12" s="17">
        <f t="shared" si="4"/>
        <v>43</v>
      </c>
      <c r="U12" s="17">
        <f t="shared" si="4"/>
        <v>40</v>
      </c>
      <c r="V12" s="17">
        <f t="shared" si="4"/>
        <v>765</v>
      </c>
      <c r="W12" s="17">
        <f t="shared" si="4"/>
        <v>3</v>
      </c>
      <c r="X12" s="17">
        <f t="shared" si="4"/>
        <v>1</v>
      </c>
      <c r="Y12" s="17">
        <f t="shared" si="4"/>
        <v>25</v>
      </c>
      <c r="Z12" s="17">
        <f t="shared" si="4"/>
        <v>11</v>
      </c>
      <c r="AA12" s="17">
        <f t="shared" si="4"/>
        <v>8</v>
      </c>
      <c r="AB12" s="17">
        <f t="shared" si="4"/>
        <v>11</v>
      </c>
      <c r="AC12" s="17">
        <f t="shared" si="4"/>
        <v>1260</v>
      </c>
      <c r="AD12" s="17">
        <f t="shared" si="4"/>
        <v>0</v>
      </c>
      <c r="AE12" s="31">
        <f t="shared" si="4"/>
        <v>1134</v>
      </c>
      <c r="AF12" s="31">
        <f t="shared" si="4"/>
        <v>2394</v>
      </c>
    </row>
    <row r="13" spans="2:32" ht="23.1" customHeight="1" x14ac:dyDescent="0.25">
      <c r="B13" s="23" t="s">
        <v>40</v>
      </c>
      <c r="C13" s="50">
        <v>41</v>
      </c>
      <c r="D13" s="50">
        <v>1</v>
      </c>
      <c r="E13" s="50">
        <v>8</v>
      </c>
      <c r="F13" s="50">
        <v>245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1</v>
      </c>
      <c r="M13" s="50">
        <v>360</v>
      </c>
      <c r="N13" s="50">
        <v>0</v>
      </c>
      <c r="O13" s="15">
        <f t="shared" si="0"/>
        <v>298</v>
      </c>
      <c r="P13" s="15">
        <f t="shared" si="1"/>
        <v>658</v>
      </c>
      <c r="R13" s="1" t="s">
        <v>9</v>
      </c>
      <c r="S13" s="17">
        <f t="shared" ref="S13:AF13" si="5">SUM(C22:C25)</f>
        <v>266</v>
      </c>
      <c r="T13" s="17">
        <f t="shared" si="5"/>
        <v>37</v>
      </c>
      <c r="U13" s="17">
        <f t="shared" si="5"/>
        <v>41</v>
      </c>
      <c r="V13" s="17">
        <f t="shared" si="5"/>
        <v>945</v>
      </c>
      <c r="W13" s="17">
        <f t="shared" si="5"/>
        <v>3</v>
      </c>
      <c r="X13" s="17">
        <f t="shared" si="5"/>
        <v>1</v>
      </c>
      <c r="Y13" s="17">
        <f t="shared" si="5"/>
        <v>24</v>
      </c>
      <c r="Z13" s="17">
        <f t="shared" si="5"/>
        <v>15</v>
      </c>
      <c r="AA13" s="17">
        <f t="shared" si="5"/>
        <v>4</v>
      </c>
      <c r="AB13" s="17">
        <f t="shared" si="5"/>
        <v>13</v>
      </c>
      <c r="AC13" s="17">
        <f t="shared" si="5"/>
        <v>1250</v>
      </c>
      <c r="AD13" s="17">
        <f t="shared" si="5"/>
        <v>0</v>
      </c>
      <c r="AE13" s="31">
        <f t="shared" si="5"/>
        <v>1349</v>
      </c>
      <c r="AF13" s="31">
        <f t="shared" si="5"/>
        <v>2599</v>
      </c>
    </row>
    <row r="14" spans="2:32" ht="23.1" customHeight="1" x14ac:dyDescent="0.25">
      <c r="B14" s="23" t="s">
        <v>41</v>
      </c>
      <c r="C14" s="50">
        <v>92</v>
      </c>
      <c r="D14" s="50">
        <v>6</v>
      </c>
      <c r="E14" s="50">
        <v>12</v>
      </c>
      <c r="F14" s="50">
        <v>250</v>
      </c>
      <c r="G14" s="50">
        <v>2</v>
      </c>
      <c r="H14" s="50">
        <v>1</v>
      </c>
      <c r="I14" s="50">
        <v>4</v>
      </c>
      <c r="J14" s="50">
        <v>3</v>
      </c>
      <c r="K14" s="50">
        <v>0</v>
      </c>
      <c r="L14" s="50">
        <v>1</v>
      </c>
      <c r="M14" s="50">
        <v>390</v>
      </c>
      <c r="N14" s="50">
        <v>0</v>
      </c>
      <c r="O14" s="15">
        <f t="shared" si="0"/>
        <v>371</v>
      </c>
      <c r="P14" s="15">
        <f t="shared" si="1"/>
        <v>761</v>
      </c>
      <c r="R14" s="1" t="s">
        <v>10</v>
      </c>
      <c r="S14" s="17">
        <f t="shared" ref="S14:AF14" si="6">SUM(C26:C29)</f>
        <v>299</v>
      </c>
      <c r="T14" s="17">
        <f t="shared" si="6"/>
        <v>55</v>
      </c>
      <c r="U14" s="17">
        <f t="shared" si="6"/>
        <v>30</v>
      </c>
      <c r="V14" s="17">
        <f t="shared" si="6"/>
        <v>745</v>
      </c>
      <c r="W14" s="17">
        <f t="shared" si="6"/>
        <v>3</v>
      </c>
      <c r="X14" s="17">
        <f t="shared" si="6"/>
        <v>1</v>
      </c>
      <c r="Y14" s="17">
        <f t="shared" si="6"/>
        <v>39</v>
      </c>
      <c r="Z14" s="17">
        <f t="shared" si="6"/>
        <v>25</v>
      </c>
      <c r="AA14" s="17">
        <f t="shared" si="6"/>
        <v>4</v>
      </c>
      <c r="AB14" s="17">
        <f t="shared" si="6"/>
        <v>10</v>
      </c>
      <c r="AC14" s="17">
        <f t="shared" si="6"/>
        <v>1380</v>
      </c>
      <c r="AD14" s="17">
        <f t="shared" si="6"/>
        <v>1</v>
      </c>
      <c r="AE14" s="31">
        <f t="shared" si="6"/>
        <v>1212</v>
      </c>
      <c r="AF14" s="31">
        <f t="shared" si="6"/>
        <v>2592</v>
      </c>
    </row>
    <row r="15" spans="2:32" ht="23.1" customHeight="1" x14ac:dyDescent="0.25">
      <c r="B15" s="23" t="s">
        <v>42</v>
      </c>
      <c r="C15" s="50">
        <v>104</v>
      </c>
      <c r="D15" s="50">
        <v>9</v>
      </c>
      <c r="E15" s="50">
        <v>8</v>
      </c>
      <c r="F15" s="50">
        <v>220</v>
      </c>
      <c r="G15" s="50">
        <v>3</v>
      </c>
      <c r="H15" s="50">
        <v>0</v>
      </c>
      <c r="I15" s="50">
        <v>2</v>
      </c>
      <c r="J15" s="50">
        <v>1</v>
      </c>
      <c r="K15" s="50">
        <v>0</v>
      </c>
      <c r="L15" s="50">
        <v>3</v>
      </c>
      <c r="M15" s="50">
        <v>445</v>
      </c>
      <c r="N15" s="50">
        <v>0</v>
      </c>
      <c r="O15" s="15">
        <f t="shared" si="0"/>
        <v>350</v>
      </c>
      <c r="P15" s="15">
        <f t="shared" si="1"/>
        <v>795</v>
      </c>
      <c r="R15" s="1" t="s">
        <v>11</v>
      </c>
      <c r="S15" s="17">
        <f t="shared" ref="S15:AF15" si="7">SUM(C30:C33)</f>
        <v>279</v>
      </c>
      <c r="T15" s="17">
        <f t="shared" si="7"/>
        <v>80</v>
      </c>
      <c r="U15" s="17">
        <f t="shared" si="7"/>
        <v>63</v>
      </c>
      <c r="V15" s="17">
        <f t="shared" si="7"/>
        <v>710</v>
      </c>
      <c r="W15" s="17">
        <f t="shared" si="7"/>
        <v>5</v>
      </c>
      <c r="X15" s="17">
        <f t="shared" si="7"/>
        <v>2</v>
      </c>
      <c r="Y15" s="17">
        <f t="shared" si="7"/>
        <v>28</v>
      </c>
      <c r="Z15" s="17">
        <f t="shared" si="7"/>
        <v>22</v>
      </c>
      <c r="AA15" s="17">
        <f t="shared" si="7"/>
        <v>9</v>
      </c>
      <c r="AB15" s="17">
        <f t="shared" si="7"/>
        <v>15</v>
      </c>
      <c r="AC15" s="17">
        <f t="shared" si="7"/>
        <v>1817</v>
      </c>
      <c r="AD15" s="17">
        <f t="shared" si="7"/>
        <v>3</v>
      </c>
      <c r="AE15" s="31">
        <f t="shared" si="7"/>
        <v>1216</v>
      </c>
      <c r="AF15" s="31">
        <f t="shared" si="7"/>
        <v>3033</v>
      </c>
    </row>
    <row r="16" spans="2:32" ht="23.1" customHeight="1" x14ac:dyDescent="0.25">
      <c r="B16" s="23" t="s">
        <v>43</v>
      </c>
      <c r="C16" s="50">
        <v>75</v>
      </c>
      <c r="D16" s="50">
        <v>6</v>
      </c>
      <c r="E16" s="50">
        <v>4</v>
      </c>
      <c r="F16" s="50">
        <v>200</v>
      </c>
      <c r="G16" s="50">
        <v>5</v>
      </c>
      <c r="H16" s="50">
        <v>1</v>
      </c>
      <c r="I16" s="50">
        <v>6</v>
      </c>
      <c r="J16" s="50">
        <v>2</v>
      </c>
      <c r="K16" s="50">
        <v>1</v>
      </c>
      <c r="L16" s="50">
        <v>2</v>
      </c>
      <c r="M16" s="50">
        <v>375</v>
      </c>
      <c r="N16" s="50">
        <v>0</v>
      </c>
      <c r="O16" s="15">
        <f t="shared" si="0"/>
        <v>302</v>
      </c>
      <c r="P16" s="15">
        <f t="shared" si="1"/>
        <v>677</v>
      </c>
      <c r="R16" s="1" t="s">
        <v>12</v>
      </c>
      <c r="S16" s="17">
        <f t="shared" ref="S16:AF16" si="8">SUM(C34:C37)</f>
        <v>260</v>
      </c>
      <c r="T16" s="17">
        <f t="shared" si="8"/>
        <v>47</v>
      </c>
      <c r="U16" s="17">
        <f t="shared" si="8"/>
        <v>37</v>
      </c>
      <c r="V16" s="17">
        <f t="shared" si="8"/>
        <v>710</v>
      </c>
      <c r="W16" s="17">
        <f t="shared" si="8"/>
        <v>5</v>
      </c>
      <c r="X16" s="17">
        <f t="shared" si="8"/>
        <v>1</v>
      </c>
      <c r="Y16" s="17">
        <f t="shared" si="8"/>
        <v>60</v>
      </c>
      <c r="Z16" s="17">
        <f t="shared" si="8"/>
        <v>23</v>
      </c>
      <c r="AA16" s="17">
        <f t="shared" si="8"/>
        <v>15</v>
      </c>
      <c r="AB16" s="17">
        <f t="shared" si="8"/>
        <v>20</v>
      </c>
      <c r="AC16" s="17">
        <f t="shared" si="8"/>
        <v>1469</v>
      </c>
      <c r="AD16" s="17">
        <f t="shared" si="8"/>
        <v>0</v>
      </c>
      <c r="AE16" s="31">
        <f t="shared" si="8"/>
        <v>1178</v>
      </c>
      <c r="AF16" s="31">
        <f t="shared" si="8"/>
        <v>2647</v>
      </c>
    </row>
    <row r="17" spans="2:32" ht="23.1" customHeight="1" x14ac:dyDescent="0.25">
      <c r="B17" s="23" t="s">
        <v>44</v>
      </c>
      <c r="C17" s="50">
        <v>109</v>
      </c>
      <c r="D17" s="50">
        <v>5</v>
      </c>
      <c r="E17" s="50">
        <v>8</v>
      </c>
      <c r="F17" s="50">
        <v>210</v>
      </c>
      <c r="G17" s="50">
        <v>2</v>
      </c>
      <c r="H17" s="50">
        <v>2</v>
      </c>
      <c r="I17" s="50">
        <v>5</v>
      </c>
      <c r="J17" s="50">
        <v>0</v>
      </c>
      <c r="K17" s="50">
        <v>2</v>
      </c>
      <c r="L17" s="50">
        <v>2</v>
      </c>
      <c r="M17" s="50">
        <v>505</v>
      </c>
      <c r="N17" s="50">
        <v>0</v>
      </c>
      <c r="O17" s="15">
        <f t="shared" si="0"/>
        <v>345</v>
      </c>
      <c r="P17" s="15">
        <f t="shared" si="1"/>
        <v>850</v>
      </c>
      <c r="R17" s="1" t="s">
        <v>13</v>
      </c>
      <c r="S17" s="17">
        <f t="shared" ref="S17:AF17" si="9">SUM(C38:C41)</f>
        <v>288</v>
      </c>
      <c r="T17" s="17">
        <f t="shared" si="9"/>
        <v>110</v>
      </c>
      <c r="U17" s="17">
        <f t="shared" si="9"/>
        <v>42</v>
      </c>
      <c r="V17" s="17">
        <f t="shared" si="9"/>
        <v>775</v>
      </c>
      <c r="W17" s="17">
        <f t="shared" si="9"/>
        <v>6</v>
      </c>
      <c r="X17" s="17">
        <f t="shared" si="9"/>
        <v>0</v>
      </c>
      <c r="Y17" s="17">
        <f t="shared" si="9"/>
        <v>32</v>
      </c>
      <c r="Z17" s="17">
        <f t="shared" si="9"/>
        <v>17</v>
      </c>
      <c r="AA17" s="17">
        <f t="shared" si="9"/>
        <v>12</v>
      </c>
      <c r="AB17" s="17">
        <f t="shared" si="9"/>
        <v>21</v>
      </c>
      <c r="AC17" s="17">
        <f t="shared" si="9"/>
        <v>1447</v>
      </c>
      <c r="AD17" s="17">
        <f t="shared" si="9"/>
        <v>0</v>
      </c>
      <c r="AE17" s="31">
        <f t="shared" si="9"/>
        <v>1303</v>
      </c>
      <c r="AF17" s="31">
        <f t="shared" si="9"/>
        <v>2750</v>
      </c>
    </row>
    <row r="18" spans="2:32" ht="23.1" customHeight="1" x14ac:dyDescent="0.25">
      <c r="B18" s="23" t="s">
        <v>45</v>
      </c>
      <c r="C18" s="50">
        <v>47</v>
      </c>
      <c r="D18" s="50">
        <v>14</v>
      </c>
      <c r="E18" s="50">
        <v>7</v>
      </c>
      <c r="F18" s="50">
        <v>190</v>
      </c>
      <c r="G18" s="50">
        <v>0</v>
      </c>
      <c r="H18" s="50">
        <v>1</v>
      </c>
      <c r="I18" s="50">
        <v>6</v>
      </c>
      <c r="J18" s="50">
        <v>3</v>
      </c>
      <c r="K18" s="50">
        <v>4</v>
      </c>
      <c r="L18" s="50">
        <v>1</v>
      </c>
      <c r="M18" s="50">
        <v>360</v>
      </c>
      <c r="N18" s="50">
        <v>0</v>
      </c>
      <c r="O18" s="15">
        <f t="shared" si="0"/>
        <v>273</v>
      </c>
      <c r="P18" s="15">
        <f t="shared" si="1"/>
        <v>633</v>
      </c>
      <c r="R18" s="1" t="s">
        <v>14</v>
      </c>
      <c r="S18" s="17">
        <f t="shared" ref="S18:AF18" si="10">SUM(C42:C45)</f>
        <v>242</v>
      </c>
      <c r="T18" s="17">
        <f t="shared" si="10"/>
        <v>47</v>
      </c>
      <c r="U18" s="17">
        <f t="shared" si="10"/>
        <v>49</v>
      </c>
      <c r="V18" s="17">
        <f t="shared" si="10"/>
        <v>635</v>
      </c>
      <c r="W18" s="17">
        <f t="shared" si="10"/>
        <v>4</v>
      </c>
      <c r="X18" s="17">
        <f t="shared" si="10"/>
        <v>0</v>
      </c>
      <c r="Y18" s="17">
        <f t="shared" si="10"/>
        <v>102</v>
      </c>
      <c r="Z18" s="17">
        <f t="shared" si="10"/>
        <v>49</v>
      </c>
      <c r="AA18" s="17">
        <f t="shared" si="10"/>
        <v>24</v>
      </c>
      <c r="AB18" s="17">
        <f t="shared" si="10"/>
        <v>13</v>
      </c>
      <c r="AC18" s="17">
        <f t="shared" si="10"/>
        <v>1759</v>
      </c>
      <c r="AD18" s="17">
        <f t="shared" si="10"/>
        <v>0</v>
      </c>
      <c r="AE18" s="31">
        <f t="shared" si="10"/>
        <v>1165</v>
      </c>
      <c r="AF18" s="31">
        <f t="shared" si="10"/>
        <v>2924</v>
      </c>
    </row>
    <row r="19" spans="2:32" ht="23.1" customHeight="1" x14ac:dyDescent="0.25">
      <c r="B19" s="23" t="s">
        <v>46</v>
      </c>
      <c r="C19" s="50">
        <v>100</v>
      </c>
      <c r="D19" s="50">
        <v>13</v>
      </c>
      <c r="E19" s="50">
        <v>13</v>
      </c>
      <c r="F19" s="50">
        <v>220</v>
      </c>
      <c r="G19" s="50">
        <v>0</v>
      </c>
      <c r="H19" s="50">
        <v>0</v>
      </c>
      <c r="I19" s="50">
        <v>2</v>
      </c>
      <c r="J19" s="50">
        <v>1</v>
      </c>
      <c r="K19" s="50">
        <v>2</v>
      </c>
      <c r="L19" s="50">
        <v>1</v>
      </c>
      <c r="M19" s="50">
        <v>315</v>
      </c>
      <c r="N19" s="50">
        <v>0</v>
      </c>
      <c r="O19" s="15">
        <f t="shared" si="0"/>
        <v>352</v>
      </c>
      <c r="P19" s="15">
        <f t="shared" si="1"/>
        <v>667</v>
      </c>
      <c r="R19" s="1" t="s">
        <v>15</v>
      </c>
      <c r="S19" s="17">
        <f t="shared" ref="S19:AF19" si="11">SUM(C46:C49)</f>
        <v>209</v>
      </c>
      <c r="T19" s="17">
        <f t="shared" si="11"/>
        <v>37</v>
      </c>
      <c r="U19" s="17">
        <f t="shared" si="11"/>
        <v>52</v>
      </c>
      <c r="V19" s="17">
        <f t="shared" si="11"/>
        <v>690</v>
      </c>
      <c r="W19" s="17">
        <f t="shared" si="11"/>
        <v>7</v>
      </c>
      <c r="X19" s="17">
        <f t="shared" si="11"/>
        <v>0</v>
      </c>
      <c r="Y19" s="17">
        <f t="shared" si="11"/>
        <v>33</v>
      </c>
      <c r="Z19" s="17">
        <f t="shared" si="11"/>
        <v>29</v>
      </c>
      <c r="AA19" s="17">
        <f t="shared" si="11"/>
        <v>11</v>
      </c>
      <c r="AB19" s="17">
        <f t="shared" si="11"/>
        <v>14</v>
      </c>
      <c r="AC19" s="17">
        <f t="shared" si="11"/>
        <v>1752</v>
      </c>
      <c r="AD19" s="17">
        <f t="shared" si="11"/>
        <v>0</v>
      </c>
      <c r="AE19" s="31">
        <f t="shared" si="11"/>
        <v>1082</v>
      </c>
      <c r="AF19" s="31">
        <f t="shared" si="11"/>
        <v>2834</v>
      </c>
    </row>
    <row r="20" spans="2:32" ht="23.1" customHeight="1" x14ac:dyDescent="0.25">
      <c r="B20" s="23" t="s">
        <v>47</v>
      </c>
      <c r="C20" s="50">
        <v>45</v>
      </c>
      <c r="D20" s="50">
        <v>9</v>
      </c>
      <c r="E20" s="50">
        <v>10</v>
      </c>
      <c r="F20" s="50">
        <v>185</v>
      </c>
      <c r="G20" s="50">
        <v>1</v>
      </c>
      <c r="H20" s="50">
        <v>0</v>
      </c>
      <c r="I20" s="50">
        <v>11</v>
      </c>
      <c r="J20" s="50">
        <v>3</v>
      </c>
      <c r="K20" s="50">
        <v>1</v>
      </c>
      <c r="L20" s="50">
        <v>3</v>
      </c>
      <c r="M20" s="50">
        <v>280</v>
      </c>
      <c r="N20" s="50">
        <v>0</v>
      </c>
      <c r="O20" s="15">
        <f t="shared" si="0"/>
        <v>268</v>
      </c>
      <c r="P20" s="15">
        <f t="shared" si="1"/>
        <v>548</v>
      </c>
      <c r="R20" s="1" t="s">
        <v>16</v>
      </c>
      <c r="S20" s="17">
        <f t="shared" ref="S20:AF20" si="12">SUM(C50:C53)</f>
        <v>241</v>
      </c>
      <c r="T20" s="17">
        <f t="shared" si="12"/>
        <v>44</v>
      </c>
      <c r="U20" s="17">
        <f t="shared" si="12"/>
        <v>32</v>
      </c>
      <c r="V20" s="17">
        <f t="shared" si="12"/>
        <v>710</v>
      </c>
      <c r="W20" s="17">
        <f t="shared" si="12"/>
        <v>6</v>
      </c>
      <c r="X20" s="17">
        <f t="shared" si="12"/>
        <v>0</v>
      </c>
      <c r="Y20" s="17">
        <f t="shared" si="12"/>
        <v>29</v>
      </c>
      <c r="Z20" s="17">
        <f t="shared" si="12"/>
        <v>22</v>
      </c>
      <c r="AA20" s="17">
        <f t="shared" si="12"/>
        <v>11</v>
      </c>
      <c r="AB20" s="17">
        <f t="shared" si="12"/>
        <v>22</v>
      </c>
      <c r="AC20" s="17">
        <f t="shared" si="12"/>
        <v>1658</v>
      </c>
      <c r="AD20" s="17">
        <f t="shared" si="12"/>
        <v>0</v>
      </c>
      <c r="AE20" s="31">
        <f t="shared" si="12"/>
        <v>1117</v>
      </c>
      <c r="AF20" s="31">
        <f t="shared" si="12"/>
        <v>2775</v>
      </c>
    </row>
    <row r="21" spans="2:32" ht="23.1" customHeight="1" x14ac:dyDescent="0.25">
      <c r="B21" s="23" t="s">
        <v>48</v>
      </c>
      <c r="C21" s="50">
        <v>35</v>
      </c>
      <c r="D21" s="50">
        <v>7</v>
      </c>
      <c r="E21" s="50">
        <v>10</v>
      </c>
      <c r="F21" s="50">
        <v>170</v>
      </c>
      <c r="G21" s="50">
        <v>2</v>
      </c>
      <c r="H21" s="50">
        <v>0</v>
      </c>
      <c r="I21" s="50">
        <v>6</v>
      </c>
      <c r="J21" s="50">
        <v>4</v>
      </c>
      <c r="K21" s="50">
        <v>1</v>
      </c>
      <c r="L21" s="50">
        <v>6</v>
      </c>
      <c r="M21" s="50">
        <v>305</v>
      </c>
      <c r="N21" s="50">
        <v>0</v>
      </c>
      <c r="O21" s="15">
        <f t="shared" si="0"/>
        <v>241</v>
      </c>
      <c r="P21" s="15">
        <f t="shared" si="1"/>
        <v>546</v>
      </c>
      <c r="R21" s="36" t="s">
        <v>20</v>
      </c>
      <c r="S21" s="34">
        <f t="shared" ref="S21:AF21" si="13">SUM(C54:C57)</f>
        <v>269</v>
      </c>
      <c r="T21" s="17">
        <f t="shared" si="13"/>
        <v>19</v>
      </c>
      <c r="U21" s="17">
        <f t="shared" si="13"/>
        <v>32</v>
      </c>
      <c r="V21" s="17">
        <f t="shared" si="13"/>
        <v>580</v>
      </c>
      <c r="W21" s="17">
        <f t="shared" si="13"/>
        <v>36</v>
      </c>
      <c r="X21" s="17">
        <f t="shared" si="13"/>
        <v>2</v>
      </c>
      <c r="Y21" s="17">
        <f t="shared" si="13"/>
        <v>46</v>
      </c>
      <c r="Z21" s="17">
        <f t="shared" si="13"/>
        <v>76</v>
      </c>
      <c r="AA21" s="17">
        <f t="shared" si="13"/>
        <v>67</v>
      </c>
      <c r="AB21" s="17">
        <f t="shared" si="13"/>
        <v>55</v>
      </c>
      <c r="AC21" s="17">
        <f t="shared" si="13"/>
        <v>1540</v>
      </c>
      <c r="AD21" s="17">
        <f t="shared" si="13"/>
        <v>0</v>
      </c>
      <c r="AE21" s="31">
        <f t="shared" si="13"/>
        <v>1182</v>
      </c>
      <c r="AF21" s="31">
        <f t="shared" si="13"/>
        <v>2722</v>
      </c>
    </row>
    <row r="22" spans="2:32" ht="23.1" customHeight="1" x14ac:dyDescent="0.25">
      <c r="B22" s="23" t="s">
        <v>49</v>
      </c>
      <c r="C22" s="50">
        <v>44</v>
      </c>
      <c r="D22" s="50">
        <v>12</v>
      </c>
      <c r="E22" s="50">
        <v>9</v>
      </c>
      <c r="F22" s="50">
        <v>200</v>
      </c>
      <c r="G22" s="50">
        <v>3</v>
      </c>
      <c r="H22" s="50">
        <v>0</v>
      </c>
      <c r="I22" s="50">
        <v>6</v>
      </c>
      <c r="J22" s="50">
        <v>3</v>
      </c>
      <c r="K22" s="50">
        <v>2</v>
      </c>
      <c r="L22" s="50">
        <v>3</v>
      </c>
      <c r="M22" s="50">
        <v>300</v>
      </c>
      <c r="N22" s="50">
        <v>0</v>
      </c>
      <c r="O22" s="15">
        <f t="shared" si="0"/>
        <v>282</v>
      </c>
      <c r="P22" s="15">
        <f t="shared" si="1"/>
        <v>582</v>
      </c>
      <c r="R22" s="38" t="s">
        <v>90</v>
      </c>
      <c r="S22" s="39">
        <f>MAX(S10:S12)</f>
        <v>380</v>
      </c>
      <c r="T22" s="39">
        <f t="shared" ref="T22:AF22" si="14">MAX(T10:T12)</f>
        <v>43</v>
      </c>
      <c r="U22" s="39">
        <f t="shared" si="14"/>
        <v>40</v>
      </c>
      <c r="V22" s="39">
        <f t="shared" si="14"/>
        <v>886</v>
      </c>
      <c r="W22" s="39">
        <f t="shared" si="14"/>
        <v>12</v>
      </c>
      <c r="X22" s="39">
        <f t="shared" si="14"/>
        <v>4</v>
      </c>
      <c r="Y22" s="39">
        <f t="shared" si="14"/>
        <v>25</v>
      </c>
      <c r="Z22" s="39">
        <f t="shared" si="14"/>
        <v>11</v>
      </c>
      <c r="AA22" s="39">
        <f t="shared" si="14"/>
        <v>8</v>
      </c>
      <c r="AB22" s="39">
        <f t="shared" si="14"/>
        <v>11</v>
      </c>
      <c r="AC22" s="39">
        <f t="shared" si="14"/>
        <v>1715</v>
      </c>
      <c r="AD22" s="39">
        <f t="shared" si="14"/>
        <v>0</v>
      </c>
      <c r="AE22" s="40">
        <f t="shared" si="14"/>
        <v>1368</v>
      </c>
      <c r="AF22" s="40">
        <f t="shared" si="14"/>
        <v>3083</v>
      </c>
    </row>
    <row r="23" spans="2:32" ht="23.1" customHeight="1" x14ac:dyDescent="0.25">
      <c r="B23" s="23" t="s">
        <v>50</v>
      </c>
      <c r="C23" s="50">
        <v>72</v>
      </c>
      <c r="D23" s="50">
        <v>7</v>
      </c>
      <c r="E23" s="50">
        <v>12</v>
      </c>
      <c r="F23" s="50">
        <v>190</v>
      </c>
      <c r="G23" s="50">
        <v>0</v>
      </c>
      <c r="H23" s="50">
        <v>0</v>
      </c>
      <c r="I23" s="50">
        <v>12</v>
      </c>
      <c r="J23" s="50">
        <v>7</v>
      </c>
      <c r="K23" s="50">
        <v>2</v>
      </c>
      <c r="L23" s="50">
        <v>6</v>
      </c>
      <c r="M23" s="50">
        <v>310</v>
      </c>
      <c r="N23" s="50">
        <v>0</v>
      </c>
      <c r="O23" s="15">
        <f t="shared" si="0"/>
        <v>308</v>
      </c>
      <c r="P23" s="15">
        <f t="shared" si="1"/>
        <v>618</v>
      </c>
      <c r="R23" s="38" t="s">
        <v>91</v>
      </c>
      <c r="S23" s="39">
        <f>MAX(S13:S18)</f>
        <v>299</v>
      </c>
      <c r="T23" s="39">
        <f t="shared" ref="T23:AF23" si="15">MAX(T13:T18)</f>
        <v>110</v>
      </c>
      <c r="U23" s="39">
        <f t="shared" si="15"/>
        <v>63</v>
      </c>
      <c r="V23" s="39">
        <f t="shared" si="15"/>
        <v>945</v>
      </c>
      <c r="W23" s="39">
        <f t="shared" si="15"/>
        <v>6</v>
      </c>
      <c r="X23" s="39">
        <f t="shared" si="15"/>
        <v>2</v>
      </c>
      <c r="Y23" s="39">
        <f t="shared" si="15"/>
        <v>102</v>
      </c>
      <c r="Z23" s="39">
        <f t="shared" si="15"/>
        <v>49</v>
      </c>
      <c r="AA23" s="39">
        <f t="shared" si="15"/>
        <v>24</v>
      </c>
      <c r="AB23" s="39">
        <f t="shared" si="15"/>
        <v>21</v>
      </c>
      <c r="AC23" s="39">
        <f t="shared" si="15"/>
        <v>1817</v>
      </c>
      <c r="AD23" s="39">
        <f t="shared" si="15"/>
        <v>3</v>
      </c>
      <c r="AE23" s="40">
        <f t="shared" si="15"/>
        <v>1349</v>
      </c>
      <c r="AF23" s="40">
        <f t="shared" si="15"/>
        <v>3033</v>
      </c>
    </row>
    <row r="24" spans="2:32" ht="23.1" customHeight="1" x14ac:dyDescent="0.25">
      <c r="B24" s="23" t="s">
        <v>51</v>
      </c>
      <c r="C24" s="50">
        <v>65</v>
      </c>
      <c r="D24" s="50">
        <v>8</v>
      </c>
      <c r="E24" s="50">
        <v>10</v>
      </c>
      <c r="F24" s="50">
        <v>215</v>
      </c>
      <c r="G24" s="50">
        <v>0</v>
      </c>
      <c r="H24" s="50">
        <v>1</v>
      </c>
      <c r="I24" s="50">
        <v>4</v>
      </c>
      <c r="J24" s="50">
        <v>4</v>
      </c>
      <c r="K24" s="50">
        <v>0</v>
      </c>
      <c r="L24" s="50">
        <v>2</v>
      </c>
      <c r="M24" s="50">
        <v>330</v>
      </c>
      <c r="N24" s="50">
        <v>0</v>
      </c>
      <c r="O24" s="15">
        <f t="shared" si="0"/>
        <v>309</v>
      </c>
      <c r="P24" s="15">
        <f t="shared" si="1"/>
        <v>639</v>
      </c>
      <c r="R24" s="38" t="s">
        <v>92</v>
      </c>
      <c r="S24" s="39">
        <f>MAX(S19:S21)</f>
        <v>269</v>
      </c>
      <c r="T24" s="39">
        <f t="shared" ref="T24:AF24" si="16">MAX(T19:T21)</f>
        <v>44</v>
      </c>
      <c r="U24" s="39">
        <f t="shared" si="16"/>
        <v>52</v>
      </c>
      <c r="V24" s="39">
        <f t="shared" si="16"/>
        <v>710</v>
      </c>
      <c r="W24" s="39">
        <f t="shared" si="16"/>
        <v>36</v>
      </c>
      <c r="X24" s="39">
        <f t="shared" si="16"/>
        <v>2</v>
      </c>
      <c r="Y24" s="39">
        <f t="shared" si="16"/>
        <v>46</v>
      </c>
      <c r="Z24" s="39">
        <f t="shared" si="16"/>
        <v>76</v>
      </c>
      <c r="AA24" s="39">
        <f t="shared" si="16"/>
        <v>67</v>
      </c>
      <c r="AB24" s="39">
        <f t="shared" si="16"/>
        <v>55</v>
      </c>
      <c r="AC24" s="39">
        <f t="shared" si="16"/>
        <v>1752</v>
      </c>
      <c r="AD24" s="39">
        <f t="shared" si="16"/>
        <v>0</v>
      </c>
      <c r="AE24" s="40">
        <f t="shared" si="16"/>
        <v>1182</v>
      </c>
      <c r="AF24" s="40">
        <f t="shared" si="16"/>
        <v>2834</v>
      </c>
    </row>
    <row r="25" spans="2:32" ht="23.1" customHeight="1" x14ac:dyDescent="0.25">
      <c r="B25" s="23" t="s">
        <v>52</v>
      </c>
      <c r="C25" s="50">
        <v>85</v>
      </c>
      <c r="D25" s="50">
        <v>10</v>
      </c>
      <c r="E25" s="50">
        <v>10</v>
      </c>
      <c r="F25" s="50">
        <v>340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2</v>
      </c>
      <c r="M25" s="50">
        <v>310</v>
      </c>
      <c r="N25" s="50">
        <v>0</v>
      </c>
      <c r="O25" s="15">
        <f t="shared" si="0"/>
        <v>450</v>
      </c>
      <c r="P25" s="15">
        <f t="shared" si="1"/>
        <v>760</v>
      </c>
      <c r="R25" s="37" t="s">
        <v>85</v>
      </c>
      <c r="S25" s="35">
        <f t="shared" ref="S25:AF25" si="17">SUM(S10:S12)</f>
        <v>928</v>
      </c>
      <c r="T25" s="16">
        <f t="shared" si="17"/>
        <v>112</v>
      </c>
      <c r="U25" s="16">
        <f t="shared" si="17"/>
        <v>110</v>
      </c>
      <c r="V25" s="16">
        <f t="shared" si="17"/>
        <v>2531</v>
      </c>
      <c r="W25" s="16">
        <f t="shared" si="17"/>
        <v>17</v>
      </c>
      <c r="X25" s="16">
        <f t="shared" si="17"/>
        <v>5</v>
      </c>
      <c r="Y25" s="16">
        <f t="shared" si="17"/>
        <v>58</v>
      </c>
      <c r="Z25" s="16">
        <f t="shared" si="17"/>
        <v>19</v>
      </c>
      <c r="AA25" s="16">
        <f t="shared" si="17"/>
        <v>11</v>
      </c>
      <c r="AB25" s="16">
        <f t="shared" si="17"/>
        <v>22</v>
      </c>
      <c r="AC25" s="16">
        <f t="shared" si="17"/>
        <v>4235</v>
      </c>
      <c r="AD25" s="16">
        <f t="shared" si="17"/>
        <v>0</v>
      </c>
      <c r="AE25" s="32">
        <f t="shared" si="17"/>
        <v>3813</v>
      </c>
      <c r="AF25" s="32">
        <f t="shared" si="17"/>
        <v>8048</v>
      </c>
    </row>
    <row r="26" spans="2:32" ht="23.1" customHeight="1" x14ac:dyDescent="0.25">
      <c r="B26" s="23" t="s">
        <v>53</v>
      </c>
      <c r="C26" s="50">
        <v>70</v>
      </c>
      <c r="D26" s="50">
        <v>12</v>
      </c>
      <c r="E26" s="50">
        <v>9</v>
      </c>
      <c r="F26" s="50">
        <v>200</v>
      </c>
      <c r="G26" s="50">
        <v>1</v>
      </c>
      <c r="H26" s="50">
        <v>0</v>
      </c>
      <c r="I26" s="50">
        <v>13</v>
      </c>
      <c r="J26" s="50">
        <v>5</v>
      </c>
      <c r="K26" s="50">
        <v>2</v>
      </c>
      <c r="L26" s="50">
        <v>5</v>
      </c>
      <c r="M26" s="50">
        <v>355</v>
      </c>
      <c r="N26" s="50">
        <v>0</v>
      </c>
      <c r="O26" s="15">
        <f t="shared" si="0"/>
        <v>317</v>
      </c>
      <c r="P26" s="15">
        <f t="shared" si="1"/>
        <v>672</v>
      </c>
      <c r="R26" s="28" t="s">
        <v>86</v>
      </c>
      <c r="S26" s="16">
        <f t="shared" ref="S26:AF26" si="18">SUM(S13:S18)</f>
        <v>1634</v>
      </c>
      <c r="T26" s="16">
        <f t="shared" si="18"/>
        <v>376</v>
      </c>
      <c r="U26" s="16">
        <f t="shared" si="18"/>
        <v>262</v>
      </c>
      <c r="V26" s="16">
        <f t="shared" si="18"/>
        <v>4520</v>
      </c>
      <c r="W26" s="16">
        <f t="shared" si="18"/>
        <v>26</v>
      </c>
      <c r="X26" s="16">
        <f t="shared" si="18"/>
        <v>5</v>
      </c>
      <c r="Y26" s="16">
        <f t="shared" si="18"/>
        <v>285</v>
      </c>
      <c r="Z26" s="16">
        <f t="shared" si="18"/>
        <v>151</v>
      </c>
      <c r="AA26" s="16">
        <f t="shared" si="18"/>
        <v>68</v>
      </c>
      <c r="AB26" s="16">
        <f t="shared" si="18"/>
        <v>92</v>
      </c>
      <c r="AC26" s="16">
        <f t="shared" si="18"/>
        <v>9122</v>
      </c>
      <c r="AD26" s="16">
        <f t="shared" si="18"/>
        <v>4</v>
      </c>
      <c r="AE26" s="32">
        <f t="shared" si="18"/>
        <v>7423</v>
      </c>
      <c r="AF26" s="32">
        <f t="shared" si="18"/>
        <v>16545</v>
      </c>
    </row>
    <row r="27" spans="2:32" ht="23.1" customHeight="1" x14ac:dyDescent="0.25">
      <c r="B27" s="23" t="s">
        <v>54</v>
      </c>
      <c r="C27" s="50">
        <v>46</v>
      </c>
      <c r="D27" s="50">
        <v>8</v>
      </c>
      <c r="E27" s="50">
        <v>6</v>
      </c>
      <c r="F27" s="50">
        <v>170</v>
      </c>
      <c r="G27" s="50">
        <v>2</v>
      </c>
      <c r="H27" s="50">
        <v>1</v>
      </c>
      <c r="I27" s="50">
        <v>15</v>
      </c>
      <c r="J27" s="50">
        <v>8</v>
      </c>
      <c r="K27" s="50">
        <v>1</v>
      </c>
      <c r="L27" s="50">
        <v>2</v>
      </c>
      <c r="M27" s="50">
        <v>335</v>
      </c>
      <c r="N27" s="50">
        <v>0</v>
      </c>
      <c r="O27" s="15">
        <f t="shared" si="0"/>
        <v>259</v>
      </c>
      <c r="P27" s="15">
        <f t="shared" si="1"/>
        <v>594</v>
      </c>
      <c r="R27" s="29" t="s">
        <v>87</v>
      </c>
      <c r="S27" s="16">
        <f t="shared" ref="S27:AF27" si="19">SUM(S19:S21)</f>
        <v>719</v>
      </c>
      <c r="T27" s="16">
        <f t="shared" si="19"/>
        <v>100</v>
      </c>
      <c r="U27" s="16">
        <f t="shared" si="19"/>
        <v>116</v>
      </c>
      <c r="V27" s="16">
        <f t="shared" si="19"/>
        <v>1980</v>
      </c>
      <c r="W27" s="16">
        <f t="shared" si="19"/>
        <v>49</v>
      </c>
      <c r="X27" s="16">
        <f t="shared" si="19"/>
        <v>2</v>
      </c>
      <c r="Y27" s="16">
        <f t="shared" si="19"/>
        <v>108</v>
      </c>
      <c r="Z27" s="16">
        <f t="shared" si="19"/>
        <v>127</v>
      </c>
      <c r="AA27" s="16">
        <f t="shared" si="19"/>
        <v>89</v>
      </c>
      <c r="AB27" s="16">
        <f t="shared" si="19"/>
        <v>91</v>
      </c>
      <c r="AC27" s="16">
        <f t="shared" si="19"/>
        <v>4950</v>
      </c>
      <c r="AD27" s="16">
        <f t="shared" si="19"/>
        <v>0</v>
      </c>
      <c r="AE27" s="32">
        <f t="shared" si="19"/>
        <v>3381</v>
      </c>
      <c r="AF27" s="32">
        <f t="shared" si="19"/>
        <v>8331</v>
      </c>
    </row>
    <row r="28" spans="2:32" ht="23.1" customHeight="1" x14ac:dyDescent="0.25">
      <c r="B28" s="23" t="s">
        <v>55</v>
      </c>
      <c r="C28" s="50">
        <v>58</v>
      </c>
      <c r="D28" s="50">
        <v>10</v>
      </c>
      <c r="E28" s="50">
        <v>8</v>
      </c>
      <c r="F28" s="50">
        <v>220</v>
      </c>
      <c r="G28" s="50">
        <v>0</v>
      </c>
      <c r="H28" s="50">
        <v>0</v>
      </c>
      <c r="I28" s="50">
        <v>4</v>
      </c>
      <c r="J28" s="50">
        <v>4</v>
      </c>
      <c r="K28" s="50">
        <v>1</v>
      </c>
      <c r="L28" s="50">
        <v>1</v>
      </c>
      <c r="M28" s="50">
        <v>285</v>
      </c>
      <c r="N28" s="50">
        <v>0</v>
      </c>
      <c r="O28" s="15">
        <f t="shared" si="0"/>
        <v>306</v>
      </c>
      <c r="P28" s="15">
        <f t="shared" si="1"/>
        <v>591</v>
      </c>
      <c r="R28" s="5" t="s">
        <v>17</v>
      </c>
      <c r="S28" s="16">
        <f t="shared" ref="S28:AF28" si="20">SUM(S10:S21)</f>
        <v>3281</v>
      </c>
      <c r="T28" s="16">
        <f t="shared" si="20"/>
        <v>588</v>
      </c>
      <c r="U28" s="16">
        <f t="shared" si="20"/>
        <v>488</v>
      </c>
      <c r="V28" s="16">
        <f t="shared" si="20"/>
        <v>9031</v>
      </c>
      <c r="W28" s="16">
        <f t="shared" si="20"/>
        <v>92</v>
      </c>
      <c r="X28" s="16">
        <f t="shared" si="20"/>
        <v>12</v>
      </c>
      <c r="Y28" s="16">
        <f t="shared" si="20"/>
        <v>451</v>
      </c>
      <c r="Z28" s="16">
        <f t="shared" si="20"/>
        <v>297</v>
      </c>
      <c r="AA28" s="16">
        <f t="shared" si="20"/>
        <v>168</v>
      </c>
      <c r="AB28" s="16">
        <f t="shared" si="20"/>
        <v>205</v>
      </c>
      <c r="AC28" s="16">
        <f t="shared" si="20"/>
        <v>18307</v>
      </c>
      <c r="AD28" s="16">
        <f t="shared" si="20"/>
        <v>4</v>
      </c>
      <c r="AE28" s="32">
        <f t="shared" si="20"/>
        <v>14617</v>
      </c>
      <c r="AF28" s="32">
        <f t="shared" si="20"/>
        <v>32924</v>
      </c>
    </row>
    <row r="29" spans="2:32" ht="23.1" customHeight="1" x14ac:dyDescent="0.25">
      <c r="B29" s="23" t="s">
        <v>56</v>
      </c>
      <c r="C29" s="50">
        <v>125</v>
      </c>
      <c r="D29" s="50">
        <v>25</v>
      </c>
      <c r="E29" s="50">
        <v>7</v>
      </c>
      <c r="F29" s="50">
        <v>155</v>
      </c>
      <c r="G29" s="50">
        <v>0</v>
      </c>
      <c r="H29" s="50">
        <v>0</v>
      </c>
      <c r="I29" s="50">
        <v>7</v>
      </c>
      <c r="J29" s="50">
        <v>8</v>
      </c>
      <c r="K29" s="50">
        <v>0</v>
      </c>
      <c r="L29" s="50">
        <v>2</v>
      </c>
      <c r="M29" s="50">
        <v>405</v>
      </c>
      <c r="N29" s="50">
        <v>1</v>
      </c>
      <c r="O29" s="15">
        <f t="shared" si="0"/>
        <v>330</v>
      </c>
      <c r="P29" s="15">
        <f t="shared" si="1"/>
        <v>735</v>
      </c>
      <c r="R29"/>
      <c r="S29" s="20"/>
      <c r="T29" s="19"/>
    </row>
    <row r="30" spans="2:32" ht="23.1" customHeight="1" x14ac:dyDescent="0.25">
      <c r="B30" s="23" t="s">
        <v>57</v>
      </c>
      <c r="C30" s="50">
        <v>105</v>
      </c>
      <c r="D30" s="50">
        <v>45</v>
      </c>
      <c r="E30" s="50">
        <v>30</v>
      </c>
      <c r="F30" s="50">
        <v>200</v>
      </c>
      <c r="G30" s="50">
        <v>1</v>
      </c>
      <c r="H30" s="50">
        <v>0</v>
      </c>
      <c r="I30" s="50">
        <v>7</v>
      </c>
      <c r="J30" s="50">
        <v>5</v>
      </c>
      <c r="K30" s="50">
        <v>1</v>
      </c>
      <c r="L30" s="50">
        <v>6</v>
      </c>
      <c r="M30" s="50">
        <v>395</v>
      </c>
      <c r="N30" s="50">
        <v>1</v>
      </c>
      <c r="O30" s="15">
        <f t="shared" si="0"/>
        <v>401</v>
      </c>
      <c r="P30" s="15">
        <f t="shared" si="1"/>
        <v>796</v>
      </c>
    </row>
    <row r="31" spans="2:32" ht="23.1" customHeight="1" x14ac:dyDescent="0.25">
      <c r="B31" s="24" t="s">
        <v>58</v>
      </c>
      <c r="C31" s="50">
        <v>35</v>
      </c>
      <c r="D31" s="50">
        <v>17</v>
      </c>
      <c r="E31" s="50">
        <v>11</v>
      </c>
      <c r="F31" s="50">
        <v>170</v>
      </c>
      <c r="G31" s="50">
        <v>2</v>
      </c>
      <c r="H31" s="50">
        <v>1</v>
      </c>
      <c r="I31" s="50">
        <v>5</v>
      </c>
      <c r="J31" s="50">
        <v>3</v>
      </c>
      <c r="K31" s="50">
        <v>2</v>
      </c>
      <c r="L31" s="50">
        <v>5</v>
      </c>
      <c r="M31" s="50">
        <v>437</v>
      </c>
      <c r="N31" s="50">
        <v>2</v>
      </c>
      <c r="O31" s="15">
        <f t="shared" si="0"/>
        <v>253</v>
      </c>
      <c r="P31" s="15">
        <f t="shared" si="1"/>
        <v>690</v>
      </c>
    </row>
    <row r="32" spans="2:32" ht="23.1" customHeight="1" x14ac:dyDescent="0.25">
      <c r="B32" s="24" t="s">
        <v>59</v>
      </c>
      <c r="C32" s="50">
        <v>70</v>
      </c>
      <c r="D32" s="50">
        <v>15</v>
      </c>
      <c r="E32" s="50">
        <v>11</v>
      </c>
      <c r="F32" s="50">
        <v>190</v>
      </c>
      <c r="G32" s="50">
        <v>2</v>
      </c>
      <c r="H32" s="50">
        <v>0</v>
      </c>
      <c r="I32" s="50">
        <v>6</v>
      </c>
      <c r="J32" s="50">
        <v>9</v>
      </c>
      <c r="K32" s="50">
        <v>5</v>
      </c>
      <c r="L32" s="50">
        <v>2</v>
      </c>
      <c r="M32" s="50">
        <v>479</v>
      </c>
      <c r="N32" s="50">
        <v>0</v>
      </c>
      <c r="O32" s="15">
        <f t="shared" si="0"/>
        <v>310</v>
      </c>
      <c r="P32" s="15">
        <f t="shared" si="1"/>
        <v>789</v>
      </c>
    </row>
    <row r="33" spans="2:20" ht="23.1" customHeight="1" x14ac:dyDescent="0.25">
      <c r="B33" s="23" t="s">
        <v>60</v>
      </c>
      <c r="C33" s="50">
        <v>69</v>
      </c>
      <c r="D33" s="50">
        <v>3</v>
      </c>
      <c r="E33" s="50">
        <v>11</v>
      </c>
      <c r="F33" s="50">
        <v>150</v>
      </c>
      <c r="G33" s="50">
        <v>0</v>
      </c>
      <c r="H33" s="50">
        <v>1</v>
      </c>
      <c r="I33" s="50">
        <v>10</v>
      </c>
      <c r="J33" s="50">
        <v>5</v>
      </c>
      <c r="K33" s="50">
        <v>1</v>
      </c>
      <c r="L33" s="50">
        <v>2</v>
      </c>
      <c r="M33" s="50">
        <v>506</v>
      </c>
      <c r="N33" s="50">
        <v>0</v>
      </c>
      <c r="O33" s="15">
        <f t="shared" si="0"/>
        <v>252</v>
      </c>
      <c r="P33" s="15">
        <f t="shared" si="1"/>
        <v>758</v>
      </c>
    </row>
    <row r="34" spans="2:20" ht="23.1" customHeight="1" x14ac:dyDescent="0.25">
      <c r="B34" s="24" t="s">
        <v>61</v>
      </c>
      <c r="C34" s="50">
        <v>75</v>
      </c>
      <c r="D34" s="50">
        <v>13</v>
      </c>
      <c r="E34" s="50">
        <v>8</v>
      </c>
      <c r="F34" s="50">
        <v>190</v>
      </c>
      <c r="G34" s="50">
        <v>1</v>
      </c>
      <c r="H34" s="50">
        <v>0</v>
      </c>
      <c r="I34" s="50">
        <v>15</v>
      </c>
      <c r="J34" s="50">
        <v>7</v>
      </c>
      <c r="K34" s="50">
        <v>9</v>
      </c>
      <c r="L34" s="50">
        <v>5</v>
      </c>
      <c r="M34" s="50">
        <v>445</v>
      </c>
      <c r="N34" s="50">
        <v>0</v>
      </c>
      <c r="O34" s="15">
        <f t="shared" si="0"/>
        <v>323</v>
      </c>
      <c r="P34" s="15">
        <f t="shared" si="1"/>
        <v>768</v>
      </c>
    </row>
    <row r="35" spans="2:20" ht="23.1" customHeight="1" x14ac:dyDescent="0.25">
      <c r="B35" s="24" t="s">
        <v>62</v>
      </c>
      <c r="C35" s="50">
        <v>84</v>
      </c>
      <c r="D35" s="50">
        <v>7</v>
      </c>
      <c r="E35" s="50">
        <v>9</v>
      </c>
      <c r="F35" s="50">
        <v>165</v>
      </c>
      <c r="G35" s="50">
        <v>2</v>
      </c>
      <c r="H35" s="50">
        <v>1</v>
      </c>
      <c r="I35" s="50">
        <v>8</v>
      </c>
      <c r="J35" s="50">
        <v>7</v>
      </c>
      <c r="K35" s="50">
        <v>1</v>
      </c>
      <c r="L35" s="50">
        <v>8</v>
      </c>
      <c r="M35" s="50">
        <v>352</v>
      </c>
      <c r="N35" s="50">
        <v>0</v>
      </c>
      <c r="O35" s="15">
        <f t="shared" si="0"/>
        <v>292</v>
      </c>
      <c r="P35" s="15">
        <f t="shared" si="1"/>
        <v>644</v>
      </c>
    </row>
    <row r="36" spans="2:20" ht="23.1" customHeight="1" x14ac:dyDescent="0.25">
      <c r="B36" s="24" t="s">
        <v>63</v>
      </c>
      <c r="C36" s="50">
        <v>55</v>
      </c>
      <c r="D36" s="50">
        <v>9</v>
      </c>
      <c r="E36" s="50">
        <v>8</v>
      </c>
      <c r="F36" s="50">
        <v>145</v>
      </c>
      <c r="G36" s="50">
        <v>1</v>
      </c>
      <c r="H36" s="50">
        <v>0</v>
      </c>
      <c r="I36" s="50">
        <v>11</v>
      </c>
      <c r="J36" s="50">
        <v>5</v>
      </c>
      <c r="K36" s="50">
        <v>3</v>
      </c>
      <c r="L36" s="50">
        <v>4</v>
      </c>
      <c r="M36" s="50">
        <v>328</v>
      </c>
      <c r="N36" s="50">
        <v>0</v>
      </c>
      <c r="O36" s="15">
        <f t="shared" si="0"/>
        <v>241</v>
      </c>
      <c r="P36" s="15">
        <f t="shared" si="1"/>
        <v>569</v>
      </c>
    </row>
    <row r="37" spans="2:20" ht="23.1" customHeight="1" x14ac:dyDescent="0.25">
      <c r="B37" s="23" t="s">
        <v>64</v>
      </c>
      <c r="C37" s="50">
        <v>46</v>
      </c>
      <c r="D37" s="50">
        <v>18</v>
      </c>
      <c r="E37" s="50">
        <v>12</v>
      </c>
      <c r="F37" s="50">
        <v>210</v>
      </c>
      <c r="G37" s="50">
        <v>1</v>
      </c>
      <c r="H37" s="50">
        <v>0</v>
      </c>
      <c r="I37" s="50">
        <v>26</v>
      </c>
      <c r="J37" s="50">
        <v>4</v>
      </c>
      <c r="K37" s="50">
        <v>2</v>
      </c>
      <c r="L37" s="50">
        <v>3</v>
      </c>
      <c r="M37" s="50">
        <v>344</v>
      </c>
      <c r="N37" s="50">
        <v>0</v>
      </c>
      <c r="O37" s="15">
        <f t="shared" si="0"/>
        <v>322</v>
      </c>
      <c r="P37" s="15">
        <f t="shared" si="1"/>
        <v>666</v>
      </c>
    </row>
    <row r="38" spans="2:20" ht="23.1" customHeight="1" x14ac:dyDescent="0.25">
      <c r="B38" s="24" t="s">
        <v>65</v>
      </c>
      <c r="C38" s="50">
        <v>65</v>
      </c>
      <c r="D38" s="50">
        <v>23</v>
      </c>
      <c r="E38" s="50">
        <v>10</v>
      </c>
      <c r="F38" s="50">
        <v>170</v>
      </c>
      <c r="G38" s="50">
        <v>3</v>
      </c>
      <c r="H38" s="50">
        <v>0</v>
      </c>
      <c r="I38" s="50">
        <v>6</v>
      </c>
      <c r="J38" s="50">
        <v>3</v>
      </c>
      <c r="K38" s="50">
        <v>3</v>
      </c>
      <c r="L38" s="50">
        <v>5</v>
      </c>
      <c r="M38" s="50">
        <v>360</v>
      </c>
      <c r="N38" s="50">
        <v>0</v>
      </c>
      <c r="O38" s="15">
        <f t="shared" si="0"/>
        <v>288</v>
      </c>
      <c r="P38" s="15">
        <f t="shared" si="1"/>
        <v>648</v>
      </c>
    </row>
    <row r="39" spans="2:20" ht="23.1" customHeight="1" x14ac:dyDescent="0.25">
      <c r="B39" s="24" t="s">
        <v>66</v>
      </c>
      <c r="C39" s="50">
        <v>90</v>
      </c>
      <c r="D39" s="50">
        <v>38</v>
      </c>
      <c r="E39" s="50">
        <v>13</v>
      </c>
      <c r="F39" s="50">
        <v>165</v>
      </c>
      <c r="G39" s="50">
        <v>0</v>
      </c>
      <c r="H39" s="50">
        <v>0</v>
      </c>
      <c r="I39" s="50">
        <v>7</v>
      </c>
      <c r="J39" s="50">
        <v>2</v>
      </c>
      <c r="K39" s="50">
        <v>4</v>
      </c>
      <c r="L39" s="50">
        <v>6</v>
      </c>
      <c r="M39" s="50">
        <v>364</v>
      </c>
      <c r="N39" s="50">
        <v>0</v>
      </c>
      <c r="O39" s="15">
        <f t="shared" si="0"/>
        <v>325</v>
      </c>
      <c r="P39" s="15">
        <f t="shared" si="1"/>
        <v>689</v>
      </c>
    </row>
    <row r="40" spans="2:20" ht="23.1" customHeight="1" x14ac:dyDescent="0.25">
      <c r="B40" s="24" t="s">
        <v>67</v>
      </c>
      <c r="C40" s="50">
        <v>60</v>
      </c>
      <c r="D40" s="50">
        <v>17</v>
      </c>
      <c r="E40" s="50">
        <v>7</v>
      </c>
      <c r="F40" s="50">
        <v>190</v>
      </c>
      <c r="G40" s="50">
        <v>1</v>
      </c>
      <c r="H40" s="50">
        <v>0</v>
      </c>
      <c r="I40" s="50">
        <v>11</v>
      </c>
      <c r="J40" s="50">
        <v>3</v>
      </c>
      <c r="K40" s="50">
        <v>4</v>
      </c>
      <c r="L40" s="50">
        <v>7</v>
      </c>
      <c r="M40" s="50">
        <v>339</v>
      </c>
      <c r="N40" s="50">
        <v>0</v>
      </c>
      <c r="O40" s="15">
        <f t="shared" si="0"/>
        <v>300</v>
      </c>
      <c r="P40" s="15">
        <f t="shared" si="1"/>
        <v>639</v>
      </c>
    </row>
    <row r="41" spans="2:20" ht="23.1" customHeight="1" x14ac:dyDescent="0.25">
      <c r="B41" s="23" t="s">
        <v>68</v>
      </c>
      <c r="C41" s="50">
        <v>73</v>
      </c>
      <c r="D41" s="50">
        <v>32</v>
      </c>
      <c r="E41" s="50">
        <v>12</v>
      </c>
      <c r="F41" s="50">
        <v>250</v>
      </c>
      <c r="G41" s="50">
        <v>2</v>
      </c>
      <c r="H41" s="50">
        <v>0</v>
      </c>
      <c r="I41" s="50">
        <v>8</v>
      </c>
      <c r="J41" s="50">
        <v>9</v>
      </c>
      <c r="K41" s="50">
        <v>1</v>
      </c>
      <c r="L41" s="50">
        <v>3</v>
      </c>
      <c r="M41" s="50">
        <v>384</v>
      </c>
      <c r="N41" s="50">
        <v>0</v>
      </c>
      <c r="O41" s="15">
        <f t="shared" si="0"/>
        <v>390</v>
      </c>
      <c r="P41" s="15">
        <f t="shared" si="1"/>
        <v>774</v>
      </c>
    </row>
    <row r="42" spans="2:20" ht="23.1" customHeight="1" x14ac:dyDescent="0.25">
      <c r="B42" s="24" t="s">
        <v>69</v>
      </c>
      <c r="C42" s="50">
        <v>60</v>
      </c>
      <c r="D42" s="50">
        <v>11</v>
      </c>
      <c r="E42" s="50">
        <v>13</v>
      </c>
      <c r="F42" s="50">
        <v>115</v>
      </c>
      <c r="G42" s="50">
        <v>1</v>
      </c>
      <c r="H42" s="50">
        <v>0</v>
      </c>
      <c r="I42" s="50">
        <v>50</v>
      </c>
      <c r="J42" s="50">
        <v>15</v>
      </c>
      <c r="K42" s="50">
        <v>4</v>
      </c>
      <c r="L42" s="50">
        <v>2</v>
      </c>
      <c r="M42" s="50">
        <v>412</v>
      </c>
      <c r="N42" s="50">
        <v>0</v>
      </c>
      <c r="O42" s="15">
        <f t="shared" si="0"/>
        <v>271</v>
      </c>
      <c r="P42" s="15">
        <f t="shared" si="1"/>
        <v>683</v>
      </c>
    </row>
    <row r="43" spans="2:20" ht="23.1" customHeight="1" x14ac:dyDescent="0.25">
      <c r="B43" s="23" t="s">
        <v>70</v>
      </c>
      <c r="C43" s="50">
        <v>72</v>
      </c>
      <c r="D43" s="50">
        <v>10</v>
      </c>
      <c r="E43" s="50">
        <v>15</v>
      </c>
      <c r="F43" s="50">
        <v>170</v>
      </c>
      <c r="G43" s="50">
        <v>1</v>
      </c>
      <c r="H43" s="50">
        <v>0</v>
      </c>
      <c r="I43" s="50">
        <v>12</v>
      </c>
      <c r="J43" s="50">
        <v>7</v>
      </c>
      <c r="K43" s="50">
        <v>2</v>
      </c>
      <c r="L43" s="50">
        <v>2</v>
      </c>
      <c r="M43" s="50">
        <v>455</v>
      </c>
      <c r="N43" s="50">
        <v>0</v>
      </c>
      <c r="O43" s="15">
        <f t="shared" si="0"/>
        <v>291</v>
      </c>
      <c r="P43" s="15">
        <f t="shared" si="1"/>
        <v>746</v>
      </c>
    </row>
    <row r="44" spans="2:20" ht="23.1" customHeight="1" x14ac:dyDescent="0.25">
      <c r="B44" s="25" t="s">
        <v>71</v>
      </c>
      <c r="C44" s="50">
        <v>75</v>
      </c>
      <c r="D44" s="50">
        <v>11</v>
      </c>
      <c r="E44" s="50">
        <v>8</v>
      </c>
      <c r="F44" s="50">
        <v>145</v>
      </c>
      <c r="G44" s="50">
        <v>1</v>
      </c>
      <c r="H44" s="50">
        <v>0</v>
      </c>
      <c r="I44" s="50">
        <v>25</v>
      </c>
      <c r="J44" s="50">
        <v>14</v>
      </c>
      <c r="K44" s="50">
        <v>10</v>
      </c>
      <c r="L44" s="50">
        <v>3</v>
      </c>
      <c r="M44" s="50">
        <v>466</v>
      </c>
      <c r="N44" s="50">
        <v>0</v>
      </c>
      <c r="O44" s="15">
        <f t="shared" si="0"/>
        <v>292</v>
      </c>
      <c r="P44" s="15">
        <f t="shared" si="1"/>
        <v>758</v>
      </c>
    </row>
    <row r="45" spans="2:20" ht="23.1" customHeight="1" x14ac:dyDescent="0.25">
      <c r="B45" s="23" t="s">
        <v>72</v>
      </c>
      <c r="C45" s="50">
        <v>35</v>
      </c>
      <c r="D45" s="50">
        <v>15</v>
      </c>
      <c r="E45" s="50">
        <v>13</v>
      </c>
      <c r="F45" s="50">
        <v>205</v>
      </c>
      <c r="G45" s="50">
        <v>1</v>
      </c>
      <c r="H45" s="50">
        <v>0</v>
      </c>
      <c r="I45" s="50">
        <v>15</v>
      </c>
      <c r="J45" s="50">
        <v>13</v>
      </c>
      <c r="K45" s="50">
        <v>8</v>
      </c>
      <c r="L45" s="50">
        <v>6</v>
      </c>
      <c r="M45" s="50">
        <v>426</v>
      </c>
      <c r="N45" s="50">
        <v>0</v>
      </c>
      <c r="O45" s="15">
        <f t="shared" si="0"/>
        <v>311</v>
      </c>
      <c r="P45" s="15">
        <f t="shared" si="1"/>
        <v>737</v>
      </c>
    </row>
    <row r="46" spans="2:20" ht="23.1" customHeight="1" x14ac:dyDescent="0.25">
      <c r="B46" s="24" t="s">
        <v>73</v>
      </c>
      <c r="C46" s="50">
        <v>43</v>
      </c>
      <c r="D46" s="50">
        <v>8</v>
      </c>
      <c r="E46" s="50">
        <v>10</v>
      </c>
      <c r="F46" s="50">
        <v>150</v>
      </c>
      <c r="G46" s="50">
        <v>3</v>
      </c>
      <c r="H46" s="50">
        <v>0</v>
      </c>
      <c r="I46" s="50">
        <v>18</v>
      </c>
      <c r="J46" s="50">
        <v>12</v>
      </c>
      <c r="K46" s="50">
        <v>8</v>
      </c>
      <c r="L46" s="50">
        <v>4</v>
      </c>
      <c r="M46" s="50">
        <v>472</v>
      </c>
      <c r="N46" s="50">
        <v>0</v>
      </c>
      <c r="O46" s="15">
        <f t="shared" si="0"/>
        <v>256</v>
      </c>
      <c r="P46" s="15">
        <f t="shared" si="1"/>
        <v>728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10</v>
      </c>
      <c r="E47" s="50">
        <v>21</v>
      </c>
      <c r="F47" s="50">
        <v>180</v>
      </c>
      <c r="G47" s="50">
        <v>1</v>
      </c>
      <c r="H47" s="50">
        <v>0</v>
      </c>
      <c r="I47" s="50">
        <v>7</v>
      </c>
      <c r="J47" s="50">
        <v>6</v>
      </c>
      <c r="K47" s="50">
        <v>0</v>
      </c>
      <c r="L47" s="50">
        <v>4</v>
      </c>
      <c r="M47" s="50">
        <v>457</v>
      </c>
      <c r="N47" s="50">
        <v>0</v>
      </c>
      <c r="O47" s="15">
        <f t="shared" si="0"/>
        <v>289</v>
      </c>
      <c r="P47" s="15">
        <f t="shared" si="1"/>
        <v>746</v>
      </c>
      <c r="R47" s="8"/>
      <c r="T47"/>
    </row>
    <row r="48" spans="2:20" ht="23.1" customHeight="1" x14ac:dyDescent="0.25">
      <c r="B48" s="24" t="s">
        <v>75</v>
      </c>
      <c r="C48" s="50">
        <v>51</v>
      </c>
      <c r="D48" s="50">
        <v>12</v>
      </c>
      <c r="E48" s="50">
        <v>12</v>
      </c>
      <c r="F48" s="50">
        <v>155</v>
      </c>
      <c r="G48" s="50">
        <v>2</v>
      </c>
      <c r="H48" s="50">
        <v>0</v>
      </c>
      <c r="I48" s="50">
        <v>8</v>
      </c>
      <c r="J48" s="50">
        <v>4</v>
      </c>
      <c r="K48" s="50">
        <v>2</v>
      </c>
      <c r="L48" s="50">
        <v>4</v>
      </c>
      <c r="M48" s="50">
        <v>380</v>
      </c>
      <c r="N48" s="50">
        <v>0</v>
      </c>
      <c r="O48" s="15">
        <f t="shared" si="0"/>
        <v>250</v>
      </c>
      <c r="P48" s="15">
        <f t="shared" si="1"/>
        <v>630</v>
      </c>
      <c r="R48" s="8"/>
      <c r="T48"/>
    </row>
    <row r="49" spans="2:20" ht="23.1" customHeight="1" x14ac:dyDescent="0.25">
      <c r="B49" s="23" t="s">
        <v>76</v>
      </c>
      <c r="C49" s="50">
        <v>55</v>
      </c>
      <c r="D49" s="50">
        <v>7</v>
      </c>
      <c r="E49" s="50">
        <v>9</v>
      </c>
      <c r="F49" s="50">
        <v>205</v>
      </c>
      <c r="G49" s="50">
        <v>1</v>
      </c>
      <c r="H49" s="50">
        <v>0</v>
      </c>
      <c r="I49" s="50">
        <v>0</v>
      </c>
      <c r="J49" s="50">
        <v>7</v>
      </c>
      <c r="K49" s="50">
        <v>1</v>
      </c>
      <c r="L49" s="50">
        <v>2</v>
      </c>
      <c r="M49" s="50">
        <v>443</v>
      </c>
      <c r="N49" s="50">
        <v>0</v>
      </c>
      <c r="O49" s="15">
        <f t="shared" si="0"/>
        <v>287</v>
      </c>
      <c r="P49" s="15">
        <f t="shared" si="1"/>
        <v>730</v>
      </c>
      <c r="R49" s="8"/>
      <c r="T49"/>
    </row>
    <row r="50" spans="2:20" ht="23.1" customHeight="1" x14ac:dyDescent="0.25">
      <c r="B50" s="24" t="s">
        <v>77</v>
      </c>
      <c r="C50" s="50">
        <v>125</v>
      </c>
      <c r="D50" s="50">
        <v>11</v>
      </c>
      <c r="E50" s="50">
        <v>6</v>
      </c>
      <c r="F50" s="50">
        <v>140</v>
      </c>
      <c r="G50" s="50">
        <v>3</v>
      </c>
      <c r="H50" s="50">
        <v>0</v>
      </c>
      <c r="I50" s="50">
        <v>11</v>
      </c>
      <c r="J50" s="50">
        <v>10</v>
      </c>
      <c r="K50" s="50">
        <v>2</v>
      </c>
      <c r="L50" s="50">
        <v>7</v>
      </c>
      <c r="M50" s="50">
        <v>435</v>
      </c>
      <c r="N50" s="50">
        <v>0</v>
      </c>
      <c r="O50" s="15">
        <f t="shared" si="0"/>
        <v>315</v>
      </c>
      <c r="P50" s="15">
        <f t="shared" si="1"/>
        <v>750</v>
      </c>
      <c r="R50" s="8"/>
      <c r="T50"/>
    </row>
    <row r="51" spans="2:20" ht="23.1" customHeight="1" x14ac:dyDescent="0.25">
      <c r="B51" s="24" t="s">
        <v>78</v>
      </c>
      <c r="C51" s="50">
        <v>56</v>
      </c>
      <c r="D51" s="50">
        <v>13</v>
      </c>
      <c r="E51" s="50">
        <v>9</v>
      </c>
      <c r="F51" s="50">
        <v>155</v>
      </c>
      <c r="G51" s="50">
        <v>1</v>
      </c>
      <c r="H51" s="50">
        <v>0</v>
      </c>
      <c r="I51" s="50">
        <v>9</v>
      </c>
      <c r="J51" s="50">
        <v>6</v>
      </c>
      <c r="K51" s="50">
        <v>2</v>
      </c>
      <c r="L51" s="50">
        <v>9</v>
      </c>
      <c r="M51" s="50">
        <v>363</v>
      </c>
      <c r="N51" s="50">
        <v>0</v>
      </c>
      <c r="O51" s="15">
        <f t="shared" si="0"/>
        <v>260</v>
      </c>
      <c r="P51" s="15">
        <f t="shared" si="1"/>
        <v>623</v>
      </c>
      <c r="R51" s="8"/>
      <c r="T51"/>
    </row>
    <row r="52" spans="2:20" ht="23.1" customHeight="1" x14ac:dyDescent="0.25">
      <c r="B52" s="24" t="s">
        <v>79</v>
      </c>
      <c r="C52" s="50">
        <v>36</v>
      </c>
      <c r="D52" s="50">
        <v>13</v>
      </c>
      <c r="E52" s="50">
        <v>12</v>
      </c>
      <c r="F52" s="50">
        <v>200</v>
      </c>
      <c r="G52" s="50">
        <v>0</v>
      </c>
      <c r="H52" s="50">
        <v>0</v>
      </c>
      <c r="I52" s="50">
        <v>3</v>
      </c>
      <c r="J52" s="50">
        <v>2</v>
      </c>
      <c r="K52" s="50">
        <v>2</v>
      </c>
      <c r="L52" s="50">
        <v>2</v>
      </c>
      <c r="M52" s="50">
        <v>395</v>
      </c>
      <c r="N52" s="50">
        <v>0</v>
      </c>
      <c r="O52" s="15">
        <f t="shared" si="0"/>
        <v>270</v>
      </c>
      <c r="P52" s="15">
        <f t="shared" si="1"/>
        <v>665</v>
      </c>
      <c r="R52" s="8"/>
      <c r="T52"/>
    </row>
    <row r="53" spans="2:20" ht="23.1" customHeight="1" x14ac:dyDescent="0.25">
      <c r="B53" s="23" t="s">
        <v>80</v>
      </c>
      <c r="C53" s="50">
        <v>24</v>
      </c>
      <c r="D53" s="50">
        <v>7</v>
      </c>
      <c r="E53" s="50">
        <v>5</v>
      </c>
      <c r="F53" s="50">
        <v>215</v>
      </c>
      <c r="G53" s="50">
        <v>2</v>
      </c>
      <c r="H53" s="50">
        <v>0</v>
      </c>
      <c r="I53" s="50">
        <v>6</v>
      </c>
      <c r="J53" s="50">
        <v>4</v>
      </c>
      <c r="K53" s="50">
        <v>5</v>
      </c>
      <c r="L53" s="50">
        <v>4</v>
      </c>
      <c r="M53" s="50">
        <v>465</v>
      </c>
      <c r="N53" s="50">
        <v>0</v>
      </c>
      <c r="O53" s="15">
        <f t="shared" si="0"/>
        <v>272</v>
      </c>
      <c r="P53" s="15">
        <f t="shared" si="1"/>
        <v>737</v>
      </c>
      <c r="R53" s="8"/>
      <c r="T53"/>
    </row>
    <row r="54" spans="2:20" ht="23.1" customHeight="1" x14ac:dyDescent="0.25">
      <c r="B54" s="23" t="s">
        <v>81</v>
      </c>
      <c r="C54" s="50">
        <v>24</v>
      </c>
      <c r="D54" s="50">
        <v>2</v>
      </c>
      <c r="E54" s="50">
        <v>8</v>
      </c>
      <c r="F54" s="50">
        <v>175</v>
      </c>
      <c r="G54" s="50">
        <v>1</v>
      </c>
      <c r="H54" s="50">
        <v>1</v>
      </c>
      <c r="I54" s="50">
        <v>11</v>
      </c>
      <c r="J54" s="50">
        <v>30</v>
      </c>
      <c r="K54" s="50">
        <v>3</v>
      </c>
      <c r="L54" s="50">
        <v>3</v>
      </c>
      <c r="M54" s="50">
        <v>407</v>
      </c>
      <c r="N54" s="50">
        <v>0</v>
      </c>
      <c r="O54" s="15">
        <f t="shared" si="0"/>
        <v>258</v>
      </c>
      <c r="P54" s="15">
        <f t="shared" si="1"/>
        <v>665</v>
      </c>
      <c r="R54" s="8"/>
      <c r="T54"/>
    </row>
    <row r="55" spans="2:20" ht="23.1" customHeight="1" x14ac:dyDescent="0.25">
      <c r="B55" s="23" t="s">
        <v>82</v>
      </c>
      <c r="C55" s="50">
        <v>65</v>
      </c>
      <c r="D55" s="50">
        <v>7</v>
      </c>
      <c r="E55" s="50">
        <v>14</v>
      </c>
      <c r="F55" s="50">
        <v>115</v>
      </c>
      <c r="G55" s="50">
        <v>1</v>
      </c>
      <c r="H55" s="50">
        <v>0</v>
      </c>
      <c r="I55" s="50">
        <v>7</v>
      </c>
      <c r="J55" s="50">
        <v>5</v>
      </c>
      <c r="K55" s="50">
        <v>3</v>
      </c>
      <c r="L55" s="50">
        <v>2</v>
      </c>
      <c r="M55" s="50">
        <v>341</v>
      </c>
      <c r="N55" s="50">
        <v>0</v>
      </c>
      <c r="O55" s="15">
        <f t="shared" si="0"/>
        <v>219</v>
      </c>
      <c r="P55" s="15">
        <f t="shared" si="1"/>
        <v>560</v>
      </c>
      <c r="R55" s="8"/>
      <c r="T55"/>
    </row>
    <row r="56" spans="2:20" ht="23.1" customHeight="1" x14ac:dyDescent="0.25">
      <c r="B56" s="23" t="s">
        <v>83</v>
      </c>
      <c r="C56" s="50">
        <v>105</v>
      </c>
      <c r="D56" s="50">
        <v>4</v>
      </c>
      <c r="E56" s="50">
        <v>2</v>
      </c>
      <c r="F56" s="50">
        <v>155</v>
      </c>
      <c r="G56" s="50">
        <v>4</v>
      </c>
      <c r="H56" s="50">
        <v>0</v>
      </c>
      <c r="I56" s="50">
        <v>12</v>
      </c>
      <c r="J56" s="50">
        <v>15</v>
      </c>
      <c r="K56" s="50">
        <v>11</v>
      </c>
      <c r="L56" s="50">
        <v>25</v>
      </c>
      <c r="M56" s="50">
        <v>383</v>
      </c>
      <c r="N56" s="50">
        <v>0</v>
      </c>
      <c r="O56" s="15">
        <f t="shared" si="0"/>
        <v>333</v>
      </c>
      <c r="P56" s="15">
        <f t="shared" si="1"/>
        <v>716</v>
      </c>
      <c r="R56" s="8"/>
      <c r="T56"/>
    </row>
    <row r="57" spans="2:20" ht="23.1" customHeight="1" x14ac:dyDescent="0.25">
      <c r="B57" s="23" t="s">
        <v>84</v>
      </c>
      <c r="C57" s="50">
        <v>75</v>
      </c>
      <c r="D57" s="50">
        <v>6</v>
      </c>
      <c r="E57" s="50">
        <v>8</v>
      </c>
      <c r="F57" s="50">
        <v>135</v>
      </c>
      <c r="G57" s="50">
        <v>30</v>
      </c>
      <c r="H57" s="50">
        <v>1</v>
      </c>
      <c r="I57" s="50">
        <v>16</v>
      </c>
      <c r="J57" s="50">
        <v>26</v>
      </c>
      <c r="K57" s="50">
        <v>50</v>
      </c>
      <c r="L57" s="50">
        <v>25</v>
      </c>
      <c r="M57" s="50">
        <v>409</v>
      </c>
      <c r="N57" s="50">
        <v>0</v>
      </c>
      <c r="O57" s="15">
        <f t="shared" si="0"/>
        <v>372</v>
      </c>
      <c r="P57" s="15">
        <f t="shared" si="1"/>
        <v>781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3281</v>
      </c>
      <c r="D58" s="16">
        <f t="shared" si="21"/>
        <v>588</v>
      </c>
      <c r="E58" s="16">
        <f t="shared" si="21"/>
        <v>488</v>
      </c>
      <c r="F58" s="16">
        <f t="shared" si="21"/>
        <v>9031</v>
      </c>
      <c r="G58" s="16">
        <f t="shared" si="21"/>
        <v>92</v>
      </c>
      <c r="H58" s="16">
        <f t="shared" si="21"/>
        <v>12</v>
      </c>
      <c r="I58" s="16">
        <f t="shared" si="21"/>
        <v>451</v>
      </c>
      <c r="J58" s="16">
        <f t="shared" si="21"/>
        <v>297</v>
      </c>
      <c r="K58" s="16">
        <f t="shared" si="21"/>
        <v>168</v>
      </c>
      <c r="L58" s="16">
        <f t="shared" si="21"/>
        <v>205</v>
      </c>
      <c r="M58" s="16">
        <f t="shared" si="21"/>
        <v>18307</v>
      </c>
      <c r="N58" s="16">
        <f t="shared" si="21"/>
        <v>4</v>
      </c>
      <c r="O58" s="16">
        <f t="shared" si="21"/>
        <v>14617</v>
      </c>
      <c r="P58" s="16">
        <f t="shared" si="21"/>
        <v>32924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9.9653748025756286E-2</v>
      </c>
      <c r="D59" s="43">
        <f t="shared" si="22"/>
        <v>1.7859312355728345E-2</v>
      </c>
      <c r="E59" s="43">
        <f t="shared" si="22"/>
        <v>1.4822014336046654E-2</v>
      </c>
      <c r="F59" s="43">
        <f t="shared" si="22"/>
        <v>0.27429838415745356</v>
      </c>
      <c r="G59" s="43">
        <f t="shared" si="22"/>
        <v>2.7943141781071558E-3</v>
      </c>
      <c r="H59" s="43">
        <f t="shared" si="22"/>
        <v>3.6447576236180293E-4</v>
      </c>
      <c r="I59" s="43">
        <f t="shared" si="22"/>
        <v>1.3698214068764427E-2</v>
      </c>
      <c r="J59" s="43">
        <f t="shared" si="22"/>
        <v>9.0207751184546228E-3</v>
      </c>
      <c r="K59" s="43">
        <f t="shared" si="22"/>
        <v>5.1026606730652409E-3</v>
      </c>
      <c r="L59" s="43">
        <f t="shared" si="22"/>
        <v>6.2264609403474671E-3</v>
      </c>
      <c r="M59" s="43">
        <f t="shared" si="22"/>
        <v>0.55603814846312716</v>
      </c>
      <c r="N59" s="43">
        <f t="shared" si="22"/>
        <v>1.2149192078726765E-4</v>
      </c>
      <c r="R59" s="8"/>
      <c r="T59"/>
    </row>
    <row r="60" spans="2:20" ht="23.1" customHeight="1" x14ac:dyDescent="0.25">
      <c r="B60" s="42" t="s">
        <v>94</v>
      </c>
      <c r="C60" s="44">
        <f>C58/$O$58</f>
        <v>0.22446466443182594</v>
      </c>
      <c r="D60" s="44">
        <f t="shared" ref="D60:N60" si="23">D58/$O$58</f>
        <v>4.0227132790586304E-2</v>
      </c>
      <c r="E60" s="44">
        <f t="shared" si="23"/>
        <v>3.3385783676541013E-2</v>
      </c>
      <c r="F60" s="44">
        <f t="shared" si="23"/>
        <v>0.6178422384894301</v>
      </c>
      <c r="G60" s="44">
        <f t="shared" si="23"/>
        <v>6.2940411849216667E-3</v>
      </c>
      <c r="H60" s="44">
        <f t="shared" si="23"/>
        <v>8.2096189368543473E-4</v>
      </c>
      <c r="I60" s="44">
        <f t="shared" si="23"/>
        <v>3.0854484504344255E-2</v>
      </c>
      <c r="J60" s="44">
        <f t="shared" si="23"/>
        <v>2.0318806868714512E-2</v>
      </c>
      <c r="K60" s="44">
        <f t="shared" si="23"/>
        <v>1.1493466511596087E-2</v>
      </c>
      <c r="L60" s="44">
        <f t="shared" si="23"/>
        <v>1.4024765683792843E-2</v>
      </c>
      <c r="M60" s="44"/>
      <c r="N60" s="44">
        <f t="shared" si="23"/>
        <v>2.7365396456181161E-4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0" t="str">
        <f>'29.07 ClockTower-Nsambya'!G5:H5</f>
        <v>Gapco</v>
      </c>
      <c r="H5" s="61"/>
      <c r="I5" s="14"/>
      <c r="J5" s="2" t="s">
        <v>5</v>
      </c>
      <c r="K5" s="60" t="str">
        <f>'29.07 ClockTower-Nsambya'!K5:L5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ClockTower-Nsambya'!D6:E6</f>
        <v>Clock Tower</v>
      </c>
      <c r="E6" s="61"/>
      <c r="F6" s="2" t="s">
        <v>2</v>
      </c>
      <c r="G6" s="60" t="str">
        <f>'29.07 ClockTower-Nsambya'!G6:H6</f>
        <v>Nsambya</v>
      </c>
      <c r="H6" s="61"/>
      <c r="J6" s="2" t="s">
        <v>21</v>
      </c>
      <c r="K6" s="60" t="str">
        <f>'29.07 ClockTower-Nsambya'!K6:L6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68</v>
      </c>
      <c r="D10" s="50">
        <v>13</v>
      </c>
      <c r="E10" s="50">
        <v>4</v>
      </c>
      <c r="F10" s="50">
        <v>76</v>
      </c>
      <c r="G10" s="50">
        <v>3</v>
      </c>
      <c r="H10" s="50">
        <v>1</v>
      </c>
      <c r="I10" s="50">
        <v>2</v>
      </c>
      <c r="J10" s="50">
        <v>2</v>
      </c>
      <c r="K10" s="50">
        <v>3</v>
      </c>
      <c r="L10" s="50">
        <v>2</v>
      </c>
      <c r="M10" s="50">
        <v>671</v>
      </c>
      <c r="N10" s="50">
        <v>0</v>
      </c>
      <c r="O10" s="15">
        <f t="shared" ref="O10:O57" si="0">SUM(C10:L10,N10)</f>
        <v>174</v>
      </c>
      <c r="P10" s="15">
        <f t="shared" ref="P10:P57" si="1">SUM(C10:N10)</f>
        <v>845</v>
      </c>
      <c r="R10" s="1" t="s">
        <v>6</v>
      </c>
      <c r="S10" s="17">
        <f t="shared" ref="S10:AF10" si="2">SUM(C10:C13)</f>
        <v>229</v>
      </c>
      <c r="T10" s="17">
        <f t="shared" si="2"/>
        <v>45</v>
      </c>
      <c r="U10" s="17">
        <f t="shared" si="2"/>
        <v>23</v>
      </c>
      <c r="V10" s="17">
        <f t="shared" si="2"/>
        <v>250</v>
      </c>
      <c r="W10" s="17">
        <f t="shared" si="2"/>
        <v>29</v>
      </c>
      <c r="X10" s="17">
        <f t="shared" si="2"/>
        <v>5</v>
      </c>
      <c r="Y10" s="17">
        <f t="shared" si="2"/>
        <v>12</v>
      </c>
      <c r="Z10" s="17">
        <f t="shared" si="2"/>
        <v>8</v>
      </c>
      <c r="AA10" s="17">
        <f t="shared" si="2"/>
        <v>9</v>
      </c>
      <c r="AB10" s="17">
        <f t="shared" si="2"/>
        <v>6</v>
      </c>
      <c r="AC10" s="17">
        <f t="shared" si="2"/>
        <v>2369</v>
      </c>
      <c r="AD10" s="17">
        <f t="shared" si="2"/>
        <v>0</v>
      </c>
      <c r="AE10" s="31">
        <f t="shared" si="2"/>
        <v>616</v>
      </c>
      <c r="AF10" s="31">
        <f t="shared" si="2"/>
        <v>2985</v>
      </c>
    </row>
    <row r="11" spans="2:32" s="6" customFormat="1" ht="23.1" customHeight="1" x14ac:dyDescent="0.25">
      <c r="B11" s="23" t="s">
        <v>38</v>
      </c>
      <c r="C11" s="50">
        <v>64</v>
      </c>
      <c r="D11" s="50">
        <v>13</v>
      </c>
      <c r="E11" s="50">
        <v>6</v>
      </c>
      <c r="F11" s="50">
        <v>44</v>
      </c>
      <c r="G11" s="50">
        <v>1</v>
      </c>
      <c r="H11" s="50">
        <v>1</v>
      </c>
      <c r="I11" s="50">
        <v>1</v>
      </c>
      <c r="J11" s="50">
        <v>1</v>
      </c>
      <c r="K11" s="50">
        <v>3</v>
      </c>
      <c r="L11" s="50">
        <v>3</v>
      </c>
      <c r="M11" s="50">
        <v>501</v>
      </c>
      <c r="N11" s="50">
        <v>0</v>
      </c>
      <c r="O11" s="15">
        <f t="shared" si="0"/>
        <v>137</v>
      </c>
      <c r="P11" s="15">
        <f t="shared" si="1"/>
        <v>638</v>
      </c>
      <c r="R11" s="1" t="s">
        <v>7</v>
      </c>
      <c r="S11" s="17">
        <f t="shared" ref="S11:AF11" si="3">SUM(C14:C17)</f>
        <v>144</v>
      </c>
      <c r="T11" s="17">
        <f t="shared" si="3"/>
        <v>40</v>
      </c>
      <c r="U11" s="17">
        <f t="shared" si="3"/>
        <v>15</v>
      </c>
      <c r="V11" s="17">
        <f t="shared" si="3"/>
        <v>198</v>
      </c>
      <c r="W11" s="17">
        <f t="shared" si="3"/>
        <v>3</v>
      </c>
      <c r="X11" s="17">
        <f t="shared" si="3"/>
        <v>0</v>
      </c>
      <c r="Y11" s="17">
        <f t="shared" si="3"/>
        <v>23</v>
      </c>
      <c r="Z11" s="17">
        <f t="shared" si="3"/>
        <v>17</v>
      </c>
      <c r="AA11" s="17">
        <f t="shared" si="3"/>
        <v>7</v>
      </c>
      <c r="AB11" s="17">
        <f t="shared" si="3"/>
        <v>14</v>
      </c>
      <c r="AC11" s="17">
        <f t="shared" si="3"/>
        <v>1374</v>
      </c>
      <c r="AD11" s="17">
        <f t="shared" si="3"/>
        <v>2</v>
      </c>
      <c r="AE11" s="31">
        <f t="shared" si="3"/>
        <v>463</v>
      </c>
      <c r="AF11" s="31">
        <f t="shared" si="3"/>
        <v>1837</v>
      </c>
    </row>
    <row r="12" spans="2:32" ht="23.1" customHeight="1" x14ac:dyDescent="0.25">
      <c r="B12" s="23" t="s">
        <v>39</v>
      </c>
      <c r="C12" s="50">
        <v>49</v>
      </c>
      <c r="D12" s="50">
        <v>6</v>
      </c>
      <c r="E12" s="50">
        <v>6</v>
      </c>
      <c r="F12" s="50">
        <v>70</v>
      </c>
      <c r="G12" s="50">
        <v>22</v>
      </c>
      <c r="H12" s="50">
        <v>3</v>
      </c>
      <c r="I12" s="50">
        <v>4</v>
      </c>
      <c r="J12" s="50">
        <v>3</v>
      </c>
      <c r="K12" s="50">
        <v>3</v>
      </c>
      <c r="L12" s="50">
        <v>1</v>
      </c>
      <c r="M12" s="50">
        <v>613</v>
      </c>
      <c r="N12" s="50">
        <v>0</v>
      </c>
      <c r="O12" s="15">
        <f t="shared" si="0"/>
        <v>167</v>
      </c>
      <c r="P12" s="15">
        <f t="shared" si="1"/>
        <v>780</v>
      </c>
      <c r="R12" s="1" t="s">
        <v>8</v>
      </c>
      <c r="S12" s="17">
        <f t="shared" ref="S12:AF12" si="4">SUM(C18:C21)</f>
        <v>112</v>
      </c>
      <c r="T12" s="17">
        <f t="shared" si="4"/>
        <v>27</v>
      </c>
      <c r="U12" s="17">
        <f t="shared" si="4"/>
        <v>23</v>
      </c>
      <c r="V12" s="17">
        <f t="shared" si="4"/>
        <v>159</v>
      </c>
      <c r="W12" s="17">
        <f t="shared" si="4"/>
        <v>6</v>
      </c>
      <c r="X12" s="17">
        <f t="shared" si="4"/>
        <v>1</v>
      </c>
      <c r="Y12" s="17">
        <f t="shared" si="4"/>
        <v>28</v>
      </c>
      <c r="Z12" s="17">
        <f t="shared" si="4"/>
        <v>12</v>
      </c>
      <c r="AA12" s="17">
        <f t="shared" si="4"/>
        <v>5</v>
      </c>
      <c r="AB12" s="17">
        <f t="shared" si="4"/>
        <v>12</v>
      </c>
      <c r="AC12" s="17">
        <f t="shared" si="4"/>
        <v>1382</v>
      </c>
      <c r="AD12" s="17">
        <f t="shared" si="4"/>
        <v>1</v>
      </c>
      <c r="AE12" s="31">
        <f t="shared" si="4"/>
        <v>386</v>
      </c>
      <c r="AF12" s="31">
        <f t="shared" si="4"/>
        <v>1768</v>
      </c>
    </row>
    <row r="13" spans="2:32" ht="23.1" customHeight="1" x14ac:dyDescent="0.25">
      <c r="B13" s="23" t="s">
        <v>40</v>
      </c>
      <c r="C13" s="50">
        <v>48</v>
      </c>
      <c r="D13" s="50">
        <v>13</v>
      </c>
      <c r="E13" s="50">
        <v>7</v>
      </c>
      <c r="F13" s="50">
        <v>60</v>
      </c>
      <c r="G13" s="50">
        <v>3</v>
      </c>
      <c r="H13" s="50">
        <v>0</v>
      </c>
      <c r="I13" s="50">
        <v>5</v>
      </c>
      <c r="J13" s="50">
        <v>2</v>
      </c>
      <c r="K13" s="50">
        <v>0</v>
      </c>
      <c r="L13" s="50">
        <v>0</v>
      </c>
      <c r="M13" s="50">
        <v>584</v>
      </c>
      <c r="N13" s="50">
        <v>0</v>
      </c>
      <c r="O13" s="15">
        <f t="shared" si="0"/>
        <v>138</v>
      </c>
      <c r="P13" s="15">
        <f t="shared" si="1"/>
        <v>722</v>
      </c>
      <c r="R13" s="1" t="s">
        <v>9</v>
      </c>
      <c r="S13" s="17">
        <f t="shared" ref="S13:AF13" si="5">SUM(C22:C25)</f>
        <v>174</v>
      </c>
      <c r="T13" s="17">
        <f t="shared" si="5"/>
        <v>22</v>
      </c>
      <c r="U13" s="17">
        <f t="shared" si="5"/>
        <v>16</v>
      </c>
      <c r="V13" s="17">
        <f t="shared" si="5"/>
        <v>146</v>
      </c>
      <c r="W13" s="17">
        <f t="shared" si="5"/>
        <v>6</v>
      </c>
      <c r="X13" s="17">
        <f t="shared" si="5"/>
        <v>0</v>
      </c>
      <c r="Y13" s="17">
        <f t="shared" si="5"/>
        <v>73</v>
      </c>
      <c r="Z13" s="17">
        <f t="shared" si="5"/>
        <v>14</v>
      </c>
      <c r="AA13" s="17">
        <f t="shared" si="5"/>
        <v>6</v>
      </c>
      <c r="AB13" s="17">
        <f t="shared" si="5"/>
        <v>14</v>
      </c>
      <c r="AC13" s="17">
        <f t="shared" si="5"/>
        <v>900</v>
      </c>
      <c r="AD13" s="17">
        <f t="shared" si="5"/>
        <v>0</v>
      </c>
      <c r="AE13" s="31">
        <f t="shared" si="5"/>
        <v>471</v>
      </c>
      <c r="AF13" s="31">
        <f t="shared" si="5"/>
        <v>1371</v>
      </c>
    </row>
    <row r="14" spans="2:32" ht="23.1" customHeight="1" x14ac:dyDescent="0.25">
      <c r="B14" s="23" t="s">
        <v>41</v>
      </c>
      <c r="C14" s="50">
        <v>57</v>
      </c>
      <c r="D14" s="50">
        <v>12</v>
      </c>
      <c r="E14" s="50">
        <v>6</v>
      </c>
      <c r="F14" s="50">
        <v>46</v>
      </c>
      <c r="G14" s="50">
        <v>1</v>
      </c>
      <c r="H14" s="50">
        <v>0</v>
      </c>
      <c r="I14" s="50">
        <v>5</v>
      </c>
      <c r="J14" s="50">
        <v>5</v>
      </c>
      <c r="K14" s="50">
        <v>2</v>
      </c>
      <c r="L14" s="50">
        <v>1</v>
      </c>
      <c r="M14" s="50">
        <v>412</v>
      </c>
      <c r="N14" s="50">
        <v>1</v>
      </c>
      <c r="O14" s="15">
        <f t="shared" si="0"/>
        <v>136</v>
      </c>
      <c r="P14" s="15">
        <f t="shared" si="1"/>
        <v>548</v>
      </c>
      <c r="R14" s="1" t="s">
        <v>10</v>
      </c>
      <c r="S14" s="17">
        <f t="shared" ref="S14:AF14" si="6">SUM(C26:C29)</f>
        <v>196</v>
      </c>
      <c r="T14" s="17">
        <f t="shared" si="6"/>
        <v>28</v>
      </c>
      <c r="U14" s="17">
        <f t="shared" si="6"/>
        <v>22</v>
      </c>
      <c r="V14" s="17">
        <f t="shared" si="6"/>
        <v>151</v>
      </c>
      <c r="W14" s="17">
        <f t="shared" si="6"/>
        <v>2</v>
      </c>
      <c r="X14" s="17">
        <f t="shared" si="6"/>
        <v>1</v>
      </c>
      <c r="Y14" s="17">
        <f t="shared" si="6"/>
        <v>25</v>
      </c>
      <c r="Z14" s="17">
        <f t="shared" si="6"/>
        <v>27</v>
      </c>
      <c r="AA14" s="17">
        <f t="shared" si="6"/>
        <v>4</v>
      </c>
      <c r="AB14" s="17">
        <f t="shared" si="6"/>
        <v>23</v>
      </c>
      <c r="AC14" s="17">
        <f t="shared" si="6"/>
        <v>1314</v>
      </c>
      <c r="AD14" s="17">
        <f t="shared" si="6"/>
        <v>1</v>
      </c>
      <c r="AE14" s="31">
        <f t="shared" si="6"/>
        <v>480</v>
      </c>
      <c r="AF14" s="31">
        <f t="shared" si="6"/>
        <v>1794</v>
      </c>
    </row>
    <row r="15" spans="2:32" ht="23.1" customHeight="1" x14ac:dyDescent="0.25">
      <c r="B15" s="23" t="s">
        <v>42</v>
      </c>
      <c r="C15" s="50">
        <v>39</v>
      </c>
      <c r="D15" s="50">
        <v>8</v>
      </c>
      <c r="E15" s="50">
        <v>3</v>
      </c>
      <c r="F15" s="50">
        <v>60</v>
      </c>
      <c r="G15" s="50">
        <v>0</v>
      </c>
      <c r="H15" s="50">
        <v>0</v>
      </c>
      <c r="I15" s="50">
        <v>4</v>
      </c>
      <c r="J15" s="50">
        <v>4</v>
      </c>
      <c r="K15" s="50">
        <v>1</v>
      </c>
      <c r="L15" s="50">
        <v>10</v>
      </c>
      <c r="M15" s="50">
        <v>406</v>
      </c>
      <c r="N15" s="50">
        <v>0</v>
      </c>
      <c r="O15" s="15">
        <f t="shared" si="0"/>
        <v>129</v>
      </c>
      <c r="P15" s="15">
        <f t="shared" si="1"/>
        <v>535</v>
      </c>
      <c r="R15" s="1" t="s">
        <v>11</v>
      </c>
      <c r="S15" s="17">
        <f t="shared" ref="S15:AF15" si="7">SUM(C30:C33)</f>
        <v>188</v>
      </c>
      <c r="T15" s="17">
        <f t="shared" si="7"/>
        <v>37</v>
      </c>
      <c r="U15" s="17">
        <f t="shared" si="7"/>
        <v>31</v>
      </c>
      <c r="V15" s="17">
        <f t="shared" si="7"/>
        <v>146</v>
      </c>
      <c r="W15" s="17">
        <f t="shared" si="7"/>
        <v>0</v>
      </c>
      <c r="X15" s="17">
        <f t="shared" si="7"/>
        <v>1</v>
      </c>
      <c r="Y15" s="17">
        <f t="shared" si="7"/>
        <v>36</v>
      </c>
      <c r="Z15" s="17">
        <f t="shared" si="7"/>
        <v>25</v>
      </c>
      <c r="AA15" s="17">
        <f t="shared" si="7"/>
        <v>8</v>
      </c>
      <c r="AB15" s="17">
        <f t="shared" si="7"/>
        <v>14</v>
      </c>
      <c r="AC15" s="17">
        <f t="shared" si="7"/>
        <v>919</v>
      </c>
      <c r="AD15" s="17">
        <f t="shared" si="7"/>
        <v>0</v>
      </c>
      <c r="AE15" s="31">
        <f t="shared" si="7"/>
        <v>486</v>
      </c>
      <c r="AF15" s="31">
        <f t="shared" si="7"/>
        <v>1405</v>
      </c>
    </row>
    <row r="16" spans="2:32" ht="23.1" customHeight="1" x14ac:dyDescent="0.25">
      <c r="B16" s="23" t="s">
        <v>43</v>
      </c>
      <c r="C16" s="50">
        <v>36</v>
      </c>
      <c r="D16" s="50">
        <v>12</v>
      </c>
      <c r="E16" s="50">
        <v>4</v>
      </c>
      <c r="F16" s="50">
        <v>52</v>
      </c>
      <c r="G16" s="50">
        <v>1</v>
      </c>
      <c r="H16" s="50">
        <v>0</v>
      </c>
      <c r="I16" s="50">
        <v>4</v>
      </c>
      <c r="J16" s="50">
        <v>5</v>
      </c>
      <c r="K16" s="50">
        <v>2</v>
      </c>
      <c r="L16" s="50">
        <v>2</v>
      </c>
      <c r="M16" s="50">
        <v>249</v>
      </c>
      <c r="N16" s="50">
        <v>1</v>
      </c>
      <c r="O16" s="15">
        <f t="shared" si="0"/>
        <v>119</v>
      </c>
      <c r="P16" s="15">
        <f t="shared" si="1"/>
        <v>368</v>
      </c>
      <c r="R16" s="1" t="s">
        <v>12</v>
      </c>
      <c r="S16" s="17">
        <f t="shared" ref="S16:AF16" si="8">SUM(C34:C37)</f>
        <v>170</v>
      </c>
      <c r="T16" s="17">
        <f t="shared" si="8"/>
        <v>61</v>
      </c>
      <c r="U16" s="17">
        <f t="shared" si="8"/>
        <v>28</v>
      </c>
      <c r="V16" s="17">
        <f t="shared" si="8"/>
        <v>115</v>
      </c>
      <c r="W16" s="17">
        <f t="shared" si="8"/>
        <v>3</v>
      </c>
      <c r="X16" s="17">
        <f t="shared" si="8"/>
        <v>1</v>
      </c>
      <c r="Y16" s="17">
        <f t="shared" si="8"/>
        <v>9</v>
      </c>
      <c r="Z16" s="17">
        <f t="shared" si="8"/>
        <v>26</v>
      </c>
      <c r="AA16" s="17">
        <f t="shared" si="8"/>
        <v>9</v>
      </c>
      <c r="AB16" s="17">
        <f t="shared" si="8"/>
        <v>17</v>
      </c>
      <c r="AC16" s="17">
        <f t="shared" si="8"/>
        <v>698</v>
      </c>
      <c r="AD16" s="17">
        <f t="shared" si="8"/>
        <v>0</v>
      </c>
      <c r="AE16" s="31">
        <f t="shared" si="8"/>
        <v>439</v>
      </c>
      <c r="AF16" s="31">
        <f t="shared" si="8"/>
        <v>1137</v>
      </c>
    </row>
    <row r="17" spans="2:32" ht="23.1" customHeight="1" x14ac:dyDescent="0.25">
      <c r="B17" s="23" t="s">
        <v>44</v>
      </c>
      <c r="C17" s="50">
        <v>12</v>
      </c>
      <c r="D17" s="50">
        <v>8</v>
      </c>
      <c r="E17" s="50">
        <v>2</v>
      </c>
      <c r="F17" s="50">
        <v>40</v>
      </c>
      <c r="G17" s="50">
        <v>1</v>
      </c>
      <c r="H17" s="50">
        <v>0</v>
      </c>
      <c r="I17" s="50">
        <v>10</v>
      </c>
      <c r="J17" s="50">
        <v>3</v>
      </c>
      <c r="K17" s="50">
        <v>2</v>
      </c>
      <c r="L17" s="50">
        <v>1</v>
      </c>
      <c r="M17" s="50">
        <v>307</v>
      </c>
      <c r="N17" s="50">
        <v>0</v>
      </c>
      <c r="O17" s="15">
        <f t="shared" si="0"/>
        <v>79</v>
      </c>
      <c r="P17" s="15">
        <f t="shared" si="1"/>
        <v>386</v>
      </c>
      <c r="R17" s="1" t="s">
        <v>13</v>
      </c>
      <c r="S17" s="17">
        <f t="shared" ref="S17:AF17" si="9">SUM(C38:C41)</f>
        <v>240</v>
      </c>
      <c r="T17" s="17">
        <f t="shared" si="9"/>
        <v>47</v>
      </c>
      <c r="U17" s="17">
        <f t="shared" si="9"/>
        <v>35</v>
      </c>
      <c r="V17" s="17">
        <f t="shared" si="9"/>
        <v>109</v>
      </c>
      <c r="W17" s="17">
        <f t="shared" si="9"/>
        <v>4</v>
      </c>
      <c r="X17" s="17">
        <f t="shared" si="9"/>
        <v>0</v>
      </c>
      <c r="Y17" s="17">
        <f t="shared" si="9"/>
        <v>60</v>
      </c>
      <c r="Z17" s="17">
        <f t="shared" si="9"/>
        <v>28</v>
      </c>
      <c r="AA17" s="17">
        <f t="shared" si="9"/>
        <v>4</v>
      </c>
      <c r="AB17" s="17">
        <f t="shared" si="9"/>
        <v>16</v>
      </c>
      <c r="AC17" s="17">
        <f t="shared" si="9"/>
        <v>1188</v>
      </c>
      <c r="AD17" s="17">
        <f t="shared" si="9"/>
        <v>0</v>
      </c>
      <c r="AE17" s="31">
        <f t="shared" si="9"/>
        <v>543</v>
      </c>
      <c r="AF17" s="31">
        <f t="shared" si="9"/>
        <v>1731</v>
      </c>
    </row>
    <row r="18" spans="2:32" ht="23.1" customHeight="1" x14ac:dyDescent="0.25">
      <c r="B18" s="23" t="s">
        <v>45</v>
      </c>
      <c r="C18" s="50">
        <v>22</v>
      </c>
      <c r="D18" s="50">
        <v>10</v>
      </c>
      <c r="E18" s="50">
        <v>4</v>
      </c>
      <c r="F18" s="50">
        <v>38</v>
      </c>
      <c r="G18" s="50">
        <v>2</v>
      </c>
      <c r="H18" s="50">
        <v>0</v>
      </c>
      <c r="I18" s="50">
        <v>2</v>
      </c>
      <c r="J18" s="50">
        <v>2</v>
      </c>
      <c r="K18" s="50">
        <v>3</v>
      </c>
      <c r="L18" s="50">
        <v>4</v>
      </c>
      <c r="M18" s="50">
        <v>496</v>
      </c>
      <c r="N18" s="50">
        <v>0</v>
      </c>
      <c r="O18" s="15">
        <f t="shared" si="0"/>
        <v>87</v>
      </c>
      <c r="P18" s="15">
        <f t="shared" si="1"/>
        <v>583</v>
      </c>
      <c r="R18" s="1" t="s">
        <v>14</v>
      </c>
      <c r="S18" s="17">
        <f t="shared" ref="S18:AF18" si="10">SUM(C42:C45)</f>
        <v>242</v>
      </c>
      <c r="T18" s="17">
        <f t="shared" si="10"/>
        <v>52</v>
      </c>
      <c r="U18" s="17">
        <f t="shared" si="10"/>
        <v>33</v>
      </c>
      <c r="V18" s="17">
        <f t="shared" si="10"/>
        <v>129</v>
      </c>
      <c r="W18" s="17">
        <f t="shared" si="10"/>
        <v>0</v>
      </c>
      <c r="X18" s="17">
        <f t="shared" si="10"/>
        <v>2</v>
      </c>
      <c r="Y18" s="17">
        <f t="shared" si="10"/>
        <v>55</v>
      </c>
      <c r="Z18" s="17">
        <f t="shared" si="10"/>
        <v>19</v>
      </c>
      <c r="AA18" s="17">
        <f t="shared" si="10"/>
        <v>6</v>
      </c>
      <c r="AB18" s="17">
        <f t="shared" si="10"/>
        <v>18</v>
      </c>
      <c r="AC18" s="17">
        <f t="shared" si="10"/>
        <v>1785</v>
      </c>
      <c r="AD18" s="17">
        <f t="shared" si="10"/>
        <v>0</v>
      </c>
      <c r="AE18" s="31">
        <f t="shared" si="10"/>
        <v>556</v>
      </c>
      <c r="AF18" s="31">
        <f t="shared" si="10"/>
        <v>2341</v>
      </c>
    </row>
    <row r="19" spans="2:32" ht="23.1" customHeight="1" x14ac:dyDescent="0.25">
      <c r="B19" s="23" t="s">
        <v>46</v>
      </c>
      <c r="C19" s="50">
        <v>33</v>
      </c>
      <c r="D19" s="50">
        <v>7</v>
      </c>
      <c r="E19" s="50">
        <v>8</v>
      </c>
      <c r="F19" s="50">
        <v>33</v>
      </c>
      <c r="G19" s="50">
        <v>0</v>
      </c>
      <c r="H19" s="50">
        <v>0</v>
      </c>
      <c r="I19" s="50">
        <v>5</v>
      </c>
      <c r="J19" s="50">
        <v>3</v>
      </c>
      <c r="K19" s="50">
        <v>1</v>
      </c>
      <c r="L19" s="50">
        <v>1</v>
      </c>
      <c r="M19" s="50">
        <v>368</v>
      </c>
      <c r="N19" s="50">
        <v>0</v>
      </c>
      <c r="O19" s="15">
        <f t="shared" si="0"/>
        <v>91</v>
      </c>
      <c r="P19" s="15">
        <f t="shared" si="1"/>
        <v>459</v>
      </c>
      <c r="R19" s="1" t="s">
        <v>15</v>
      </c>
      <c r="S19" s="17">
        <f t="shared" ref="S19:AF19" si="11">SUM(C46:C49)</f>
        <v>235</v>
      </c>
      <c r="T19" s="17">
        <f t="shared" si="11"/>
        <v>230</v>
      </c>
      <c r="U19" s="17">
        <f t="shared" si="11"/>
        <v>103</v>
      </c>
      <c r="V19" s="17">
        <f t="shared" si="11"/>
        <v>119</v>
      </c>
      <c r="W19" s="17">
        <f t="shared" si="11"/>
        <v>6</v>
      </c>
      <c r="X19" s="17">
        <f t="shared" si="11"/>
        <v>0</v>
      </c>
      <c r="Y19" s="17">
        <f t="shared" si="11"/>
        <v>120</v>
      </c>
      <c r="Z19" s="17">
        <f t="shared" si="11"/>
        <v>16</v>
      </c>
      <c r="AA19" s="17">
        <f t="shared" si="11"/>
        <v>3</v>
      </c>
      <c r="AB19" s="17">
        <f t="shared" si="11"/>
        <v>22</v>
      </c>
      <c r="AC19" s="17">
        <f t="shared" si="11"/>
        <v>3303</v>
      </c>
      <c r="AD19" s="17">
        <f t="shared" si="11"/>
        <v>0</v>
      </c>
      <c r="AE19" s="31">
        <f t="shared" si="11"/>
        <v>854</v>
      </c>
      <c r="AF19" s="31">
        <f t="shared" si="11"/>
        <v>4157</v>
      </c>
    </row>
    <row r="20" spans="2:32" ht="23.1" customHeight="1" x14ac:dyDescent="0.25">
      <c r="B20" s="23" t="s">
        <v>47</v>
      </c>
      <c r="C20" s="50">
        <v>27</v>
      </c>
      <c r="D20" s="50">
        <v>2</v>
      </c>
      <c r="E20" s="50">
        <v>1</v>
      </c>
      <c r="F20" s="50">
        <v>37</v>
      </c>
      <c r="G20" s="50">
        <v>1</v>
      </c>
      <c r="H20" s="50">
        <v>0</v>
      </c>
      <c r="I20" s="50">
        <v>6</v>
      </c>
      <c r="J20" s="50">
        <v>6</v>
      </c>
      <c r="K20" s="50">
        <v>0</v>
      </c>
      <c r="L20" s="50">
        <v>5</v>
      </c>
      <c r="M20" s="50">
        <v>350</v>
      </c>
      <c r="N20" s="50">
        <v>0</v>
      </c>
      <c r="O20" s="15">
        <f t="shared" si="0"/>
        <v>85</v>
      </c>
      <c r="P20" s="15">
        <f t="shared" si="1"/>
        <v>435</v>
      </c>
      <c r="R20" s="1" t="s">
        <v>16</v>
      </c>
      <c r="S20" s="17">
        <f t="shared" ref="S20:AF20" si="12">SUM(C50:C53)</f>
        <v>331</v>
      </c>
      <c r="T20" s="17">
        <f t="shared" si="12"/>
        <v>140</v>
      </c>
      <c r="U20" s="17">
        <f t="shared" si="12"/>
        <v>44</v>
      </c>
      <c r="V20" s="17">
        <f t="shared" si="12"/>
        <v>102</v>
      </c>
      <c r="W20" s="17">
        <f t="shared" si="12"/>
        <v>10</v>
      </c>
      <c r="X20" s="17">
        <f t="shared" si="12"/>
        <v>0</v>
      </c>
      <c r="Y20" s="17">
        <f t="shared" si="12"/>
        <v>0</v>
      </c>
      <c r="Z20" s="17">
        <f t="shared" si="12"/>
        <v>13</v>
      </c>
      <c r="AA20" s="17">
        <f t="shared" si="12"/>
        <v>4</v>
      </c>
      <c r="AB20" s="17">
        <f t="shared" si="12"/>
        <v>13</v>
      </c>
      <c r="AC20" s="17">
        <f t="shared" si="12"/>
        <v>2785</v>
      </c>
      <c r="AD20" s="17">
        <f t="shared" si="12"/>
        <v>0</v>
      </c>
      <c r="AE20" s="31">
        <f t="shared" si="12"/>
        <v>657</v>
      </c>
      <c r="AF20" s="31">
        <f t="shared" si="12"/>
        <v>3442</v>
      </c>
    </row>
    <row r="21" spans="2:32" ht="23.1" customHeight="1" x14ac:dyDescent="0.25">
      <c r="B21" s="23" t="s">
        <v>48</v>
      </c>
      <c r="C21" s="50">
        <v>30</v>
      </c>
      <c r="D21" s="50">
        <v>8</v>
      </c>
      <c r="E21" s="50">
        <v>10</v>
      </c>
      <c r="F21" s="50">
        <v>51</v>
      </c>
      <c r="G21" s="50">
        <v>3</v>
      </c>
      <c r="H21" s="50">
        <v>1</v>
      </c>
      <c r="I21" s="50">
        <v>15</v>
      </c>
      <c r="J21" s="50">
        <v>1</v>
      </c>
      <c r="K21" s="50">
        <v>1</v>
      </c>
      <c r="L21" s="50">
        <v>2</v>
      </c>
      <c r="M21" s="50">
        <v>168</v>
      </c>
      <c r="N21" s="50">
        <v>1</v>
      </c>
      <c r="O21" s="15">
        <f t="shared" si="0"/>
        <v>123</v>
      </c>
      <c r="P21" s="15">
        <f t="shared" si="1"/>
        <v>291</v>
      </c>
      <c r="R21" s="36" t="s">
        <v>20</v>
      </c>
      <c r="S21" s="34">
        <f t="shared" ref="S21:AF21" si="13">SUM(C54:C57)</f>
        <v>175</v>
      </c>
      <c r="T21" s="17">
        <f t="shared" si="13"/>
        <v>165</v>
      </c>
      <c r="U21" s="17">
        <f t="shared" si="13"/>
        <v>117</v>
      </c>
      <c r="V21" s="17">
        <f t="shared" si="13"/>
        <v>69</v>
      </c>
      <c r="W21" s="17">
        <f t="shared" si="13"/>
        <v>1</v>
      </c>
      <c r="X21" s="17">
        <f t="shared" si="13"/>
        <v>1</v>
      </c>
      <c r="Y21" s="17">
        <f t="shared" si="13"/>
        <v>82</v>
      </c>
      <c r="Z21" s="17">
        <f t="shared" si="13"/>
        <v>12</v>
      </c>
      <c r="AA21" s="17">
        <f t="shared" si="13"/>
        <v>3</v>
      </c>
      <c r="AB21" s="17">
        <f t="shared" si="13"/>
        <v>7</v>
      </c>
      <c r="AC21" s="17">
        <f t="shared" si="13"/>
        <v>2891</v>
      </c>
      <c r="AD21" s="17">
        <f t="shared" si="13"/>
        <v>0</v>
      </c>
      <c r="AE21" s="31">
        <f t="shared" si="13"/>
        <v>632</v>
      </c>
      <c r="AF21" s="31">
        <f t="shared" si="13"/>
        <v>3523</v>
      </c>
    </row>
    <row r="22" spans="2:32" ht="23.1" customHeight="1" x14ac:dyDescent="0.25">
      <c r="B22" s="23" t="s">
        <v>49</v>
      </c>
      <c r="C22" s="50">
        <v>21</v>
      </c>
      <c r="D22" s="50">
        <v>3</v>
      </c>
      <c r="E22" s="50">
        <v>2</v>
      </c>
      <c r="F22" s="50">
        <v>27</v>
      </c>
      <c r="G22" s="50">
        <v>0</v>
      </c>
      <c r="H22" s="50">
        <v>0</v>
      </c>
      <c r="I22" s="50">
        <v>8</v>
      </c>
      <c r="J22" s="50">
        <v>3</v>
      </c>
      <c r="K22" s="50">
        <v>1</v>
      </c>
      <c r="L22" s="50">
        <v>5</v>
      </c>
      <c r="M22" s="50">
        <v>248</v>
      </c>
      <c r="N22" s="50">
        <v>0</v>
      </c>
      <c r="O22" s="15">
        <f t="shared" si="0"/>
        <v>70</v>
      </c>
      <c r="P22" s="15">
        <f t="shared" si="1"/>
        <v>318</v>
      </c>
      <c r="R22" s="38" t="s">
        <v>90</v>
      </c>
      <c r="S22" s="39">
        <f>MAX(S10:S12)</f>
        <v>229</v>
      </c>
      <c r="T22" s="39">
        <f t="shared" ref="T22:AF22" si="14">MAX(T10:T12)</f>
        <v>45</v>
      </c>
      <c r="U22" s="39">
        <f t="shared" si="14"/>
        <v>23</v>
      </c>
      <c r="V22" s="39">
        <f t="shared" si="14"/>
        <v>250</v>
      </c>
      <c r="W22" s="39">
        <f t="shared" si="14"/>
        <v>29</v>
      </c>
      <c r="X22" s="39">
        <f t="shared" si="14"/>
        <v>5</v>
      </c>
      <c r="Y22" s="39">
        <f t="shared" si="14"/>
        <v>28</v>
      </c>
      <c r="Z22" s="39">
        <f t="shared" si="14"/>
        <v>17</v>
      </c>
      <c r="AA22" s="39">
        <f t="shared" si="14"/>
        <v>9</v>
      </c>
      <c r="AB22" s="39">
        <f t="shared" si="14"/>
        <v>14</v>
      </c>
      <c r="AC22" s="39">
        <f t="shared" si="14"/>
        <v>2369</v>
      </c>
      <c r="AD22" s="39">
        <f t="shared" si="14"/>
        <v>2</v>
      </c>
      <c r="AE22" s="40">
        <f t="shared" si="14"/>
        <v>616</v>
      </c>
      <c r="AF22" s="40">
        <f t="shared" si="14"/>
        <v>2985</v>
      </c>
    </row>
    <row r="23" spans="2:32" ht="23.1" customHeight="1" x14ac:dyDescent="0.25">
      <c r="B23" s="23" t="s">
        <v>50</v>
      </c>
      <c r="C23" s="50">
        <v>38</v>
      </c>
      <c r="D23" s="50">
        <v>7</v>
      </c>
      <c r="E23" s="50">
        <v>3</v>
      </c>
      <c r="F23" s="50">
        <v>33</v>
      </c>
      <c r="G23" s="50">
        <v>2</v>
      </c>
      <c r="H23" s="50">
        <v>0</v>
      </c>
      <c r="I23" s="50">
        <v>9</v>
      </c>
      <c r="J23" s="50">
        <v>2</v>
      </c>
      <c r="K23" s="50">
        <v>0</v>
      </c>
      <c r="L23" s="50">
        <v>2</v>
      </c>
      <c r="M23" s="50">
        <v>145</v>
      </c>
      <c r="N23" s="50">
        <v>0</v>
      </c>
      <c r="O23" s="15">
        <f t="shared" si="0"/>
        <v>96</v>
      </c>
      <c r="P23" s="15">
        <f t="shared" si="1"/>
        <v>241</v>
      </c>
      <c r="R23" s="38" t="s">
        <v>91</v>
      </c>
      <c r="S23" s="39">
        <f>MAX(S13:S18)</f>
        <v>242</v>
      </c>
      <c r="T23" s="39">
        <f t="shared" ref="T23:AF23" si="15">MAX(T13:T18)</f>
        <v>61</v>
      </c>
      <c r="U23" s="39">
        <f t="shared" si="15"/>
        <v>35</v>
      </c>
      <c r="V23" s="39">
        <f t="shared" si="15"/>
        <v>151</v>
      </c>
      <c r="W23" s="39">
        <f t="shared" si="15"/>
        <v>6</v>
      </c>
      <c r="X23" s="39">
        <f t="shared" si="15"/>
        <v>2</v>
      </c>
      <c r="Y23" s="39">
        <f t="shared" si="15"/>
        <v>73</v>
      </c>
      <c r="Z23" s="39">
        <f t="shared" si="15"/>
        <v>28</v>
      </c>
      <c r="AA23" s="39">
        <f t="shared" si="15"/>
        <v>9</v>
      </c>
      <c r="AB23" s="39">
        <f t="shared" si="15"/>
        <v>23</v>
      </c>
      <c r="AC23" s="39">
        <f t="shared" si="15"/>
        <v>1785</v>
      </c>
      <c r="AD23" s="39">
        <f t="shared" si="15"/>
        <v>1</v>
      </c>
      <c r="AE23" s="40">
        <f t="shared" si="15"/>
        <v>556</v>
      </c>
      <c r="AF23" s="40">
        <f t="shared" si="15"/>
        <v>2341</v>
      </c>
    </row>
    <row r="24" spans="2:32" ht="23.1" customHeight="1" x14ac:dyDescent="0.25">
      <c r="B24" s="23" t="s">
        <v>51</v>
      </c>
      <c r="C24" s="50">
        <v>59</v>
      </c>
      <c r="D24" s="50">
        <v>3</v>
      </c>
      <c r="E24" s="50">
        <v>2</v>
      </c>
      <c r="F24" s="50">
        <v>42</v>
      </c>
      <c r="G24" s="50">
        <v>0</v>
      </c>
      <c r="H24" s="50">
        <v>0</v>
      </c>
      <c r="I24" s="50">
        <v>10</v>
      </c>
      <c r="J24" s="50">
        <v>2</v>
      </c>
      <c r="K24" s="50">
        <v>3</v>
      </c>
      <c r="L24" s="50">
        <v>3</v>
      </c>
      <c r="M24" s="50">
        <v>206</v>
      </c>
      <c r="N24" s="50">
        <v>0</v>
      </c>
      <c r="O24" s="15">
        <f t="shared" si="0"/>
        <v>124</v>
      </c>
      <c r="P24" s="15">
        <f t="shared" si="1"/>
        <v>330</v>
      </c>
      <c r="R24" s="38" t="s">
        <v>92</v>
      </c>
      <c r="S24" s="39">
        <f>MAX(S19:S21)</f>
        <v>331</v>
      </c>
      <c r="T24" s="39">
        <f t="shared" ref="T24:AF24" si="16">MAX(T19:T21)</f>
        <v>230</v>
      </c>
      <c r="U24" s="39">
        <f t="shared" si="16"/>
        <v>117</v>
      </c>
      <c r="V24" s="39">
        <f t="shared" si="16"/>
        <v>119</v>
      </c>
      <c r="W24" s="39">
        <f t="shared" si="16"/>
        <v>10</v>
      </c>
      <c r="X24" s="39">
        <f t="shared" si="16"/>
        <v>1</v>
      </c>
      <c r="Y24" s="39">
        <f t="shared" si="16"/>
        <v>120</v>
      </c>
      <c r="Z24" s="39">
        <f t="shared" si="16"/>
        <v>16</v>
      </c>
      <c r="AA24" s="39">
        <f t="shared" si="16"/>
        <v>4</v>
      </c>
      <c r="AB24" s="39">
        <f t="shared" si="16"/>
        <v>22</v>
      </c>
      <c r="AC24" s="39">
        <f t="shared" si="16"/>
        <v>3303</v>
      </c>
      <c r="AD24" s="39">
        <f t="shared" si="16"/>
        <v>0</v>
      </c>
      <c r="AE24" s="40">
        <f t="shared" si="16"/>
        <v>854</v>
      </c>
      <c r="AF24" s="40">
        <f t="shared" si="16"/>
        <v>4157</v>
      </c>
    </row>
    <row r="25" spans="2:32" ht="23.1" customHeight="1" x14ac:dyDescent="0.25">
      <c r="B25" s="23" t="s">
        <v>52</v>
      </c>
      <c r="C25" s="50">
        <v>56</v>
      </c>
      <c r="D25" s="50">
        <v>9</v>
      </c>
      <c r="E25" s="50">
        <v>9</v>
      </c>
      <c r="F25" s="50">
        <v>44</v>
      </c>
      <c r="G25" s="50">
        <v>4</v>
      </c>
      <c r="H25" s="50">
        <v>0</v>
      </c>
      <c r="I25" s="50">
        <v>46</v>
      </c>
      <c r="J25" s="50">
        <v>7</v>
      </c>
      <c r="K25" s="50">
        <v>2</v>
      </c>
      <c r="L25" s="50">
        <v>4</v>
      </c>
      <c r="M25" s="50">
        <v>301</v>
      </c>
      <c r="N25" s="50">
        <v>0</v>
      </c>
      <c r="O25" s="15">
        <f t="shared" si="0"/>
        <v>181</v>
      </c>
      <c r="P25" s="15">
        <f t="shared" si="1"/>
        <v>482</v>
      </c>
      <c r="R25" s="37" t="s">
        <v>85</v>
      </c>
      <c r="S25" s="35">
        <f t="shared" ref="S25:AF25" si="17">SUM(S10:S12)</f>
        <v>485</v>
      </c>
      <c r="T25" s="16">
        <f t="shared" si="17"/>
        <v>112</v>
      </c>
      <c r="U25" s="16">
        <f t="shared" si="17"/>
        <v>61</v>
      </c>
      <c r="V25" s="16">
        <f t="shared" si="17"/>
        <v>607</v>
      </c>
      <c r="W25" s="16">
        <f t="shared" si="17"/>
        <v>38</v>
      </c>
      <c r="X25" s="16">
        <f t="shared" si="17"/>
        <v>6</v>
      </c>
      <c r="Y25" s="16">
        <f t="shared" si="17"/>
        <v>63</v>
      </c>
      <c r="Z25" s="16">
        <f t="shared" si="17"/>
        <v>37</v>
      </c>
      <c r="AA25" s="16">
        <f t="shared" si="17"/>
        <v>21</v>
      </c>
      <c r="AB25" s="16">
        <f t="shared" si="17"/>
        <v>32</v>
      </c>
      <c r="AC25" s="16">
        <f t="shared" si="17"/>
        <v>5125</v>
      </c>
      <c r="AD25" s="16">
        <f t="shared" si="17"/>
        <v>3</v>
      </c>
      <c r="AE25" s="32">
        <f t="shared" si="17"/>
        <v>1465</v>
      </c>
      <c r="AF25" s="32">
        <f t="shared" si="17"/>
        <v>6590</v>
      </c>
    </row>
    <row r="26" spans="2:32" ht="23.1" customHeight="1" x14ac:dyDescent="0.25">
      <c r="B26" s="23" t="s">
        <v>53</v>
      </c>
      <c r="C26" s="50">
        <v>59</v>
      </c>
      <c r="D26" s="50">
        <v>7</v>
      </c>
      <c r="E26" s="50">
        <v>9</v>
      </c>
      <c r="F26" s="50">
        <v>46</v>
      </c>
      <c r="G26" s="50">
        <v>0</v>
      </c>
      <c r="H26" s="50">
        <v>0</v>
      </c>
      <c r="I26" s="50">
        <v>14</v>
      </c>
      <c r="J26" s="50">
        <v>6</v>
      </c>
      <c r="K26" s="50">
        <v>3</v>
      </c>
      <c r="L26" s="50">
        <v>11</v>
      </c>
      <c r="M26" s="50">
        <v>402</v>
      </c>
      <c r="N26" s="50">
        <v>1</v>
      </c>
      <c r="O26" s="15">
        <f t="shared" si="0"/>
        <v>156</v>
      </c>
      <c r="P26" s="15">
        <f t="shared" si="1"/>
        <v>558</v>
      </c>
      <c r="R26" s="28" t="s">
        <v>86</v>
      </c>
      <c r="S26" s="16">
        <f t="shared" ref="S26:AF26" si="18">SUM(S13:S18)</f>
        <v>1210</v>
      </c>
      <c r="T26" s="16">
        <f t="shared" si="18"/>
        <v>247</v>
      </c>
      <c r="U26" s="16">
        <f t="shared" si="18"/>
        <v>165</v>
      </c>
      <c r="V26" s="16">
        <f t="shared" si="18"/>
        <v>796</v>
      </c>
      <c r="W26" s="16">
        <f t="shared" si="18"/>
        <v>15</v>
      </c>
      <c r="X26" s="16">
        <f t="shared" si="18"/>
        <v>5</v>
      </c>
      <c r="Y26" s="16">
        <f t="shared" si="18"/>
        <v>258</v>
      </c>
      <c r="Z26" s="16">
        <f t="shared" si="18"/>
        <v>139</v>
      </c>
      <c r="AA26" s="16">
        <f t="shared" si="18"/>
        <v>37</v>
      </c>
      <c r="AB26" s="16">
        <f t="shared" si="18"/>
        <v>102</v>
      </c>
      <c r="AC26" s="16">
        <f t="shared" si="18"/>
        <v>6804</v>
      </c>
      <c r="AD26" s="16">
        <f t="shared" si="18"/>
        <v>1</v>
      </c>
      <c r="AE26" s="32">
        <f t="shared" si="18"/>
        <v>2975</v>
      </c>
      <c r="AF26" s="32">
        <f t="shared" si="18"/>
        <v>9779</v>
      </c>
    </row>
    <row r="27" spans="2:32" ht="23.1" customHeight="1" x14ac:dyDescent="0.25">
      <c r="B27" s="23" t="s">
        <v>54</v>
      </c>
      <c r="C27" s="50">
        <v>47</v>
      </c>
      <c r="D27" s="50">
        <v>6</v>
      </c>
      <c r="E27" s="50">
        <v>4</v>
      </c>
      <c r="F27" s="50">
        <v>24</v>
      </c>
      <c r="G27" s="50">
        <v>0</v>
      </c>
      <c r="H27" s="50">
        <v>0</v>
      </c>
      <c r="I27" s="50">
        <v>2</v>
      </c>
      <c r="J27" s="50">
        <v>6</v>
      </c>
      <c r="K27" s="50">
        <v>0</v>
      </c>
      <c r="L27" s="50">
        <v>2</v>
      </c>
      <c r="M27" s="50">
        <v>363</v>
      </c>
      <c r="N27" s="50">
        <v>0</v>
      </c>
      <c r="O27" s="15">
        <f t="shared" si="0"/>
        <v>91</v>
      </c>
      <c r="P27" s="15">
        <f t="shared" si="1"/>
        <v>454</v>
      </c>
      <c r="R27" s="29" t="s">
        <v>87</v>
      </c>
      <c r="S27" s="16">
        <f t="shared" ref="S27:AF27" si="19">SUM(S19:S21)</f>
        <v>741</v>
      </c>
      <c r="T27" s="16">
        <f t="shared" si="19"/>
        <v>535</v>
      </c>
      <c r="U27" s="16">
        <f t="shared" si="19"/>
        <v>264</v>
      </c>
      <c r="V27" s="16">
        <f t="shared" si="19"/>
        <v>290</v>
      </c>
      <c r="W27" s="16">
        <f t="shared" si="19"/>
        <v>17</v>
      </c>
      <c r="X27" s="16">
        <f t="shared" si="19"/>
        <v>1</v>
      </c>
      <c r="Y27" s="16">
        <f t="shared" si="19"/>
        <v>202</v>
      </c>
      <c r="Z27" s="16">
        <f t="shared" si="19"/>
        <v>41</v>
      </c>
      <c r="AA27" s="16">
        <f t="shared" si="19"/>
        <v>10</v>
      </c>
      <c r="AB27" s="16">
        <f t="shared" si="19"/>
        <v>42</v>
      </c>
      <c r="AC27" s="16">
        <f t="shared" si="19"/>
        <v>8979</v>
      </c>
      <c r="AD27" s="16">
        <f t="shared" si="19"/>
        <v>0</v>
      </c>
      <c r="AE27" s="32">
        <f t="shared" si="19"/>
        <v>2143</v>
      </c>
      <c r="AF27" s="32">
        <f t="shared" si="19"/>
        <v>11122</v>
      </c>
    </row>
    <row r="28" spans="2:32" ht="23.1" customHeight="1" x14ac:dyDescent="0.25">
      <c r="B28" s="23" t="s">
        <v>55</v>
      </c>
      <c r="C28" s="50">
        <v>48</v>
      </c>
      <c r="D28" s="50">
        <v>8</v>
      </c>
      <c r="E28" s="50">
        <v>8</v>
      </c>
      <c r="F28" s="50">
        <v>54</v>
      </c>
      <c r="G28" s="50">
        <v>1</v>
      </c>
      <c r="H28" s="50">
        <v>0</v>
      </c>
      <c r="I28" s="50">
        <v>2</v>
      </c>
      <c r="J28" s="50">
        <v>9</v>
      </c>
      <c r="K28" s="50">
        <v>0</v>
      </c>
      <c r="L28" s="50">
        <v>7</v>
      </c>
      <c r="M28" s="50">
        <v>299</v>
      </c>
      <c r="N28" s="50">
        <v>0</v>
      </c>
      <c r="O28" s="15">
        <f t="shared" si="0"/>
        <v>137</v>
      </c>
      <c r="P28" s="15">
        <f t="shared" si="1"/>
        <v>436</v>
      </c>
      <c r="R28" s="5" t="s">
        <v>17</v>
      </c>
      <c r="S28" s="16">
        <f t="shared" ref="S28:AF28" si="20">SUM(S10:S21)</f>
        <v>2436</v>
      </c>
      <c r="T28" s="16">
        <f t="shared" si="20"/>
        <v>894</v>
      </c>
      <c r="U28" s="16">
        <f t="shared" si="20"/>
        <v>490</v>
      </c>
      <c r="V28" s="16">
        <f t="shared" si="20"/>
        <v>1693</v>
      </c>
      <c r="W28" s="16">
        <f t="shared" si="20"/>
        <v>70</v>
      </c>
      <c r="X28" s="16">
        <f t="shared" si="20"/>
        <v>12</v>
      </c>
      <c r="Y28" s="16">
        <f t="shared" si="20"/>
        <v>523</v>
      </c>
      <c r="Z28" s="16">
        <f t="shared" si="20"/>
        <v>217</v>
      </c>
      <c r="AA28" s="16">
        <f t="shared" si="20"/>
        <v>68</v>
      </c>
      <c r="AB28" s="16">
        <f t="shared" si="20"/>
        <v>176</v>
      </c>
      <c r="AC28" s="16">
        <f t="shared" si="20"/>
        <v>20908</v>
      </c>
      <c r="AD28" s="16">
        <f t="shared" si="20"/>
        <v>4</v>
      </c>
      <c r="AE28" s="32">
        <f t="shared" si="20"/>
        <v>6583</v>
      </c>
      <c r="AF28" s="32">
        <f t="shared" si="20"/>
        <v>27491</v>
      </c>
    </row>
    <row r="29" spans="2:32" ht="23.1" customHeight="1" x14ac:dyDescent="0.25">
      <c r="B29" s="23" t="s">
        <v>56</v>
      </c>
      <c r="C29" s="50">
        <v>42</v>
      </c>
      <c r="D29" s="50">
        <v>7</v>
      </c>
      <c r="E29" s="50">
        <v>1</v>
      </c>
      <c r="F29" s="50">
        <v>27</v>
      </c>
      <c r="G29" s="50">
        <v>1</v>
      </c>
      <c r="H29" s="50">
        <v>1</v>
      </c>
      <c r="I29" s="50">
        <v>7</v>
      </c>
      <c r="J29" s="50">
        <v>6</v>
      </c>
      <c r="K29" s="50">
        <v>1</v>
      </c>
      <c r="L29" s="50">
        <v>3</v>
      </c>
      <c r="M29" s="50">
        <v>250</v>
      </c>
      <c r="N29" s="50">
        <v>0</v>
      </c>
      <c r="O29" s="15">
        <f t="shared" si="0"/>
        <v>96</v>
      </c>
      <c r="P29" s="15">
        <f t="shared" si="1"/>
        <v>346</v>
      </c>
      <c r="R29"/>
      <c r="S29" s="20"/>
      <c r="T29" s="19"/>
    </row>
    <row r="30" spans="2:32" ht="23.1" customHeight="1" x14ac:dyDescent="0.25">
      <c r="B30" s="23" t="s">
        <v>57</v>
      </c>
      <c r="C30" s="50">
        <v>46</v>
      </c>
      <c r="D30" s="50">
        <v>7</v>
      </c>
      <c r="E30" s="50">
        <v>5</v>
      </c>
      <c r="F30" s="50">
        <v>41</v>
      </c>
      <c r="G30" s="50">
        <v>0</v>
      </c>
      <c r="H30" s="50">
        <v>0</v>
      </c>
      <c r="I30" s="50">
        <v>8</v>
      </c>
      <c r="J30" s="50">
        <v>5</v>
      </c>
      <c r="K30" s="50">
        <v>1</v>
      </c>
      <c r="L30" s="50">
        <v>1</v>
      </c>
      <c r="M30" s="50">
        <v>252</v>
      </c>
      <c r="N30" s="50">
        <v>0</v>
      </c>
      <c r="O30" s="15">
        <f t="shared" si="0"/>
        <v>114</v>
      </c>
      <c r="P30" s="15">
        <f t="shared" si="1"/>
        <v>366</v>
      </c>
    </row>
    <row r="31" spans="2:32" ht="23.1" customHeight="1" x14ac:dyDescent="0.25">
      <c r="B31" s="24" t="s">
        <v>58</v>
      </c>
      <c r="C31" s="50">
        <v>58</v>
      </c>
      <c r="D31" s="50">
        <v>8</v>
      </c>
      <c r="E31" s="50">
        <v>11</v>
      </c>
      <c r="F31" s="50">
        <v>37</v>
      </c>
      <c r="G31" s="50">
        <v>0</v>
      </c>
      <c r="H31" s="50">
        <v>1</v>
      </c>
      <c r="I31" s="50">
        <v>12</v>
      </c>
      <c r="J31" s="50">
        <v>8</v>
      </c>
      <c r="K31" s="50">
        <v>2</v>
      </c>
      <c r="L31" s="50">
        <v>7</v>
      </c>
      <c r="M31" s="50">
        <v>266</v>
      </c>
      <c r="N31" s="50">
        <v>0</v>
      </c>
      <c r="O31" s="15">
        <f t="shared" si="0"/>
        <v>144</v>
      </c>
      <c r="P31" s="15">
        <f t="shared" si="1"/>
        <v>410</v>
      </c>
    </row>
    <row r="32" spans="2:32" ht="23.1" customHeight="1" x14ac:dyDescent="0.25">
      <c r="B32" s="24" t="s">
        <v>59</v>
      </c>
      <c r="C32" s="50">
        <v>33</v>
      </c>
      <c r="D32" s="50">
        <v>13</v>
      </c>
      <c r="E32" s="50">
        <v>7</v>
      </c>
      <c r="F32" s="50">
        <v>50</v>
      </c>
      <c r="G32" s="50">
        <v>0</v>
      </c>
      <c r="H32" s="50">
        <v>0</v>
      </c>
      <c r="I32" s="50">
        <v>7</v>
      </c>
      <c r="J32" s="50">
        <v>7</v>
      </c>
      <c r="K32" s="50">
        <v>3</v>
      </c>
      <c r="L32" s="50">
        <v>1</v>
      </c>
      <c r="M32" s="50">
        <v>137</v>
      </c>
      <c r="N32" s="50">
        <v>0</v>
      </c>
      <c r="O32" s="15">
        <f t="shared" si="0"/>
        <v>121</v>
      </c>
      <c r="P32" s="15">
        <f t="shared" si="1"/>
        <v>258</v>
      </c>
    </row>
    <row r="33" spans="2:20" ht="23.1" customHeight="1" x14ac:dyDescent="0.25">
      <c r="B33" s="23" t="s">
        <v>60</v>
      </c>
      <c r="C33" s="50">
        <v>51</v>
      </c>
      <c r="D33" s="50">
        <v>9</v>
      </c>
      <c r="E33" s="50">
        <v>8</v>
      </c>
      <c r="F33" s="50">
        <v>18</v>
      </c>
      <c r="G33" s="50">
        <v>0</v>
      </c>
      <c r="H33" s="50">
        <v>0</v>
      </c>
      <c r="I33" s="50">
        <v>9</v>
      </c>
      <c r="J33" s="50">
        <v>5</v>
      </c>
      <c r="K33" s="50">
        <v>2</v>
      </c>
      <c r="L33" s="50">
        <v>5</v>
      </c>
      <c r="M33" s="50">
        <v>264</v>
      </c>
      <c r="N33" s="50">
        <v>0</v>
      </c>
      <c r="O33" s="15">
        <f t="shared" si="0"/>
        <v>107</v>
      </c>
      <c r="P33" s="15">
        <f t="shared" si="1"/>
        <v>371</v>
      </c>
    </row>
    <row r="34" spans="2:20" ht="23.1" customHeight="1" x14ac:dyDescent="0.25">
      <c r="B34" s="24" t="s">
        <v>61</v>
      </c>
      <c r="C34" s="50">
        <v>36</v>
      </c>
      <c r="D34" s="50">
        <v>22</v>
      </c>
      <c r="E34" s="50">
        <v>9</v>
      </c>
      <c r="F34" s="50">
        <v>38</v>
      </c>
      <c r="G34" s="50">
        <v>0</v>
      </c>
      <c r="H34" s="50">
        <v>0</v>
      </c>
      <c r="I34" s="50">
        <v>9</v>
      </c>
      <c r="J34" s="50">
        <v>3</v>
      </c>
      <c r="K34" s="50">
        <v>2</v>
      </c>
      <c r="L34" s="50">
        <v>3</v>
      </c>
      <c r="M34" s="50">
        <v>244</v>
      </c>
      <c r="N34" s="50">
        <v>0</v>
      </c>
      <c r="O34" s="15">
        <f t="shared" si="0"/>
        <v>122</v>
      </c>
      <c r="P34" s="15">
        <f t="shared" si="1"/>
        <v>366</v>
      </c>
    </row>
    <row r="35" spans="2:20" ht="23.1" customHeight="1" x14ac:dyDescent="0.25">
      <c r="B35" s="24" t="s">
        <v>62</v>
      </c>
      <c r="C35" s="50">
        <v>60</v>
      </c>
      <c r="D35" s="50">
        <v>17</v>
      </c>
      <c r="E35" s="50">
        <v>6</v>
      </c>
      <c r="F35" s="50">
        <v>24</v>
      </c>
      <c r="G35" s="50">
        <v>0</v>
      </c>
      <c r="H35" s="50">
        <v>0</v>
      </c>
      <c r="I35" s="50">
        <v>0</v>
      </c>
      <c r="J35" s="50">
        <v>3</v>
      </c>
      <c r="K35" s="50">
        <v>2</v>
      </c>
      <c r="L35" s="50">
        <v>5</v>
      </c>
      <c r="M35" s="50">
        <v>121</v>
      </c>
      <c r="N35" s="50">
        <v>0</v>
      </c>
      <c r="O35" s="15">
        <f t="shared" si="0"/>
        <v>117</v>
      </c>
      <c r="P35" s="15">
        <f t="shared" si="1"/>
        <v>238</v>
      </c>
    </row>
    <row r="36" spans="2:20" ht="23.1" customHeight="1" x14ac:dyDescent="0.25">
      <c r="B36" s="24" t="s">
        <v>63</v>
      </c>
      <c r="C36" s="50">
        <v>36</v>
      </c>
      <c r="D36" s="50">
        <v>6</v>
      </c>
      <c r="E36" s="50">
        <v>7</v>
      </c>
      <c r="F36" s="50">
        <v>24</v>
      </c>
      <c r="G36" s="50">
        <v>0</v>
      </c>
      <c r="H36" s="50">
        <v>0</v>
      </c>
      <c r="I36" s="50">
        <v>0</v>
      </c>
      <c r="J36" s="50">
        <v>9</v>
      </c>
      <c r="K36" s="50">
        <v>2</v>
      </c>
      <c r="L36" s="50">
        <v>4</v>
      </c>
      <c r="M36" s="50">
        <v>215</v>
      </c>
      <c r="N36" s="50">
        <v>0</v>
      </c>
      <c r="O36" s="15">
        <f t="shared" si="0"/>
        <v>88</v>
      </c>
      <c r="P36" s="15">
        <f t="shared" si="1"/>
        <v>303</v>
      </c>
    </row>
    <row r="37" spans="2:20" ht="23.1" customHeight="1" x14ac:dyDescent="0.25">
      <c r="B37" s="23" t="s">
        <v>64</v>
      </c>
      <c r="C37" s="50">
        <v>38</v>
      </c>
      <c r="D37" s="50">
        <v>16</v>
      </c>
      <c r="E37" s="50">
        <v>6</v>
      </c>
      <c r="F37" s="50">
        <v>29</v>
      </c>
      <c r="G37" s="50">
        <v>3</v>
      </c>
      <c r="H37" s="50">
        <v>1</v>
      </c>
      <c r="I37" s="50">
        <v>0</v>
      </c>
      <c r="J37" s="50">
        <v>11</v>
      </c>
      <c r="K37" s="50">
        <v>3</v>
      </c>
      <c r="L37" s="50">
        <v>5</v>
      </c>
      <c r="M37" s="50">
        <v>118</v>
      </c>
      <c r="N37" s="50">
        <v>0</v>
      </c>
      <c r="O37" s="15">
        <f t="shared" si="0"/>
        <v>112</v>
      </c>
      <c r="P37" s="15">
        <f t="shared" si="1"/>
        <v>230</v>
      </c>
    </row>
    <row r="38" spans="2:20" ht="23.1" customHeight="1" x14ac:dyDescent="0.25">
      <c r="B38" s="24" t="s">
        <v>65</v>
      </c>
      <c r="C38" s="50">
        <v>60</v>
      </c>
      <c r="D38" s="50">
        <v>8</v>
      </c>
      <c r="E38" s="50">
        <v>8</v>
      </c>
      <c r="F38" s="50">
        <v>24</v>
      </c>
      <c r="G38" s="50">
        <v>1</v>
      </c>
      <c r="H38" s="50">
        <v>0</v>
      </c>
      <c r="I38" s="50">
        <v>22</v>
      </c>
      <c r="J38" s="50">
        <v>4</v>
      </c>
      <c r="K38" s="50">
        <v>1</v>
      </c>
      <c r="L38" s="50">
        <v>4</v>
      </c>
      <c r="M38" s="50">
        <v>152</v>
      </c>
      <c r="N38" s="50">
        <v>0</v>
      </c>
      <c r="O38" s="15">
        <f t="shared" si="0"/>
        <v>132</v>
      </c>
      <c r="P38" s="15">
        <f t="shared" si="1"/>
        <v>284</v>
      </c>
    </row>
    <row r="39" spans="2:20" ht="23.1" customHeight="1" x14ac:dyDescent="0.25">
      <c r="B39" s="24" t="s">
        <v>66</v>
      </c>
      <c r="C39" s="50">
        <v>35</v>
      </c>
      <c r="D39" s="50">
        <v>16</v>
      </c>
      <c r="E39" s="50">
        <v>9</v>
      </c>
      <c r="F39" s="50">
        <v>17</v>
      </c>
      <c r="G39" s="50">
        <v>0</v>
      </c>
      <c r="H39" s="50">
        <v>0</v>
      </c>
      <c r="I39" s="50">
        <v>14</v>
      </c>
      <c r="J39" s="50">
        <v>9</v>
      </c>
      <c r="K39" s="50">
        <v>1</v>
      </c>
      <c r="L39" s="50">
        <v>6</v>
      </c>
      <c r="M39" s="50">
        <v>407</v>
      </c>
      <c r="N39" s="50">
        <v>0</v>
      </c>
      <c r="O39" s="15">
        <f t="shared" si="0"/>
        <v>107</v>
      </c>
      <c r="P39" s="15">
        <f t="shared" si="1"/>
        <v>514</v>
      </c>
    </row>
    <row r="40" spans="2:20" ht="23.1" customHeight="1" x14ac:dyDescent="0.25">
      <c r="B40" s="24" t="s">
        <v>67</v>
      </c>
      <c r="C40" s="50">
        <v>90</v>
      </c>
      <c r="D40" s="50">
        <v>12</v>
      </c>
      <c r="E40" s="50">
        <v>11</v>
      </c>
      <c r="F40" s="50">
        <v>30</v>
      </c>
      <c r="G40" s="50">
        <v>1</v>
      </c>
      <c r="H40" s="50">
        <v>0</v>
      </c>
      <c r="I40" s="50">
        <v>13</v>
      </c>
      <c r="J40" s="50">
        <v>6</v>
      </c>
      <c r="K40" s="50">
        <v>1</v>
      </c>
      <c r="L40" s="50">
        <v>4</v>
      </c>
      <c r="M40" s="50">
        <v>305</v>
      </c>
      <c r="N40" s="50">
        <v>0</v>
      </c>
      <c r="O40" s="15">
        <f t="shared" si="0"/>
        <v>168</v>
      </c>
      <c r="P40" s="15">
        <f t="shared" si="1"/>
        <v>473</v>
      </c>
    </row>
    <row r="41" spans="2:20" ht="23.1" customHeight="1" x14ac:dyDescent="0.25">
      <c r="B41" s="23" t="s">
        <v>68</v>
      </c>
      <c r="C41" s="50">
        <v>55</v>
      </c>
      <c r="D41" s="50">
        <v>11</v>
      </c>
      <c r="E41" s="50">
        <v>7</v>
      </c>
      <c r="F41" s="50">
        <v>38</v>
      </c>
      <c r="G41" s="50">
        <v>2</v>
      </c>
      <c r="H41" s="50">
        <v>0</v>
      </c>
      <c r="I41" s="50">
        <v>11</v>
      </c>
      <c r="J41" s="50">
        <v>9</v>
      </c>
      <c r="K41" s="50">
        <v>1</v>
      </c>
      <c r="L41" s="50">
        <v>2</v>
      </c>
      <c r="M41" s="50">
        <v>324</v>
      </c>
      <c r="N41" s="50">
        <v>0</v>
      </c>
      <c r="O41" s="15">
        <f t="shared" si="0"/>
        <v>136</v>
      </c>
      <c r="P41" s="15">
        <f t="shared" si="1"/>
        <v>460</v>
      </c>
    </row>
    <row r="42" spans="2:20" ht="23.1" customHeight="1" x14ac:dyDescent="0.25">
      <c r="B42" s="24" t="s">
        <v>69</v>
      </c>
      <c r="C42" s="50">
        <v>40</v>
      </c>
      <c r="D42" s="50">
        <v>7</v>
      </c>
      <c r="E42" s="50">
        <v>8</v>
      </c>
      <c r="F42" s="50">
        <v>37</v>
      </c>
      <c r="G42" s="50">
        <v>0</v>
      </c>
      <c r="H42" s="50">
        <v>0</v>
      </c>
      <c r="I42" s="50">
        <v>13</v>
      </c>
      <c r="J42" s="50">
        <v>1</v>
      </c>
      <c r="K42" s="50">
        <v>1</v>
      </c>
      <c r="L42" s="50">
        <v>5</v>
      </c>
      <c r="M42" s="50">
        <v>172</v>
      </c>
      <c r="N42" s="50">
        <v>0</v>
      </c>
      <c r="O42" s="15">
        <f t="shared" si="0"/>
        <v>112</v>
      </c>
      <c r="P42" s="15">
        <f t="shared" si="1"/>
        <v>284</v>
      </c>
    </row>
    <row r="43" spans="2:20" ht="23.1" customHeight="1" x14ac:dyDescent="0.25">
      <c r="B43" s="23" t="s">
        <v>70</v>
      </c>
      <c r="C43" s="50">
        <v>65</v>
      </c>
      <c r="D43" s="50">
        <v>21</v>
      </c>
      <c r="E43" s="50">
        <v>9</v>
      </c>
      <c r="F43" s="50">
        <v>34</v>
      </c>
      <c r="G43" s="50">
        <v>0</v>
      </c>
      <c r="H43" s="50">
        <v>0</v>
      </c>
      <c r="I43" s="50">
        <v>13</v>
      </c>
      <c r="J43" s="50">
        <v>4</v>
      </c>
      <c r="K43" s="50">
        <v>3</v>
      </c>
      <c r="L43" s="50">
        <v>4</v>
      </c>
      <c r="M43" s="50">
        <v>180</v>
      </c>
      <c r="N43" s="50">
        <v>0</v>
      </c>
      <c r="O43" s="15">
        <f t="shared" si="0"/>
        <v>153</v>
      </c>
      <c r="P43" s="15">
        <f t="shared" si="1"/>
        <v>333</v>
      </c>
    </row>
    <row r="44" spans="2:20" ht="23.1" customHeight="1" x14ac:dyDescent="0.25">
      <c r="B44" s="25" t="s">
        <v>71</v>
      </c>
      <c r="C44" s="50">
        <v>63</v>
      </c>
      <c r="D44" s="50">
        <v>17</v>
      </c>
      <c r="E44" s="50">
        <v>6</v>
      </c>
      <c r="F44" s="50">
        <v>31</v>
      </c>
      <c r="G44" s="50">
        <v>0</v>
      </c>
      <c r="H44" s="50">
        <v>1</v>
      </c>
      <c r="I44" s="50">
        <v>18</v>
      </c>
      <c r="J44" s="50">
        <v>6</v>
      </c>
      <c r="K44" s="50">
        <v>2</v>
      </c>
      <c r="L44" s="50">
        <v>1</v>
      </c>
      <c r="M44" s="50">
        <v>783</v>
      </c>
      <c r="N44" s="50">
        <v>0</v>
      </c>
      <c r="O44" s="15">
        <f t="shared" si="0"/>
        <v>145</v>
      </c>
      <c r="P44" s="15">
        <f t="shared" si="1"/>
        <v>928</v>
      </c>
    </row>
    <row r="45" spans="2:20" ht="23.1" customHeight="1" x14ac:dyDescent="0.25">
      <c r="B45" s="23" t="s">
        <v>72</v>
      </c>
      <c r="C45" s="50">
        <v>74</v>
      </c>
      <c r="D45" s="50">
        <v>7</v>
      </c>
      <c r="E45" s="50">
        <v>10</v>
      </c>
      <c r="F45" s="50">
        <v>27</v>
      </c>
      <c r="G45" s="50">
        <v>0</v>
      </c>
      <c r="H45" s="50">
        <v>1</v>
      </c>
      <c r="I45" s="50">
        <v>11</v>
      </c>
      <c r="J45" s="50">
        <v>8</v>
      </c>
      <c r="K45" s="50">
        <v>0</v>
      </c>
      <c r="L45" s="50">
        <v>8</v>
      </c>
      <c r="M45" s="50">
        <v>650</v>
      </c>
      <c r="N45" s="50">
        <v>0</v>
      </c>
      <c r="O45" s="15">
        <f t="shared" si="0"/>
        <v>146</v>
      </c>
      <c r="P45" s="15">
        <f t="shared" si="1"/>
        <v>796</v>
      </c>
    </row>
    <row r="46" spans="2:20" ht="23.1" customHeight="1" x14ac:dyDescent="0.25">
      <c r="B46" s="24" t="s">
        <v>73</v>
      </c>
      <c r="C46" s="50">
        <v>90</v>
      </c>
      <c r="D46" s="50">
        <v>80</v>
      </c>
      <c r="E46" s="50">
        <v>15</v>
      </c>
      <c r="F46" s="50">
        <v>25</v>
      </c>
      <c r="G46" s="50">
        <v>1</v>
      </c>
      <c r="H46" s="50">
        <v>0</v>
      </c>
      <c r="I46" s="50">
        <v>15</v>
      </c>
      <c r="J46" s="50">
        <v>3</v>
      </c>
      <c r="K46" s="50">
        <v>1</v>
      </c>
      <c r="L46" s="50">
        <v>10</v>
      </c>
      <c r="M46" s="50">
        <v>805</v>
      </c>
      <c r="N46" s="50">
        <v>0</v>
      </c>
      <c r="O46" s="15">
        <f t="shared" si="0"/>
        <v>240</v>
      </c>
      <c r="P46" s="15">
        <f t="shared" si="1"/>
        <v>1045</v>
      </c>
      <c r="R46" s="8"/>
      <c r="T46"/>
    </row>
    <row r="47" spans="2:20" ht="23.1" customHeight="1" x14ac:dyDescent="0.25">
      <c r="B47" s="24" t="s">
        <v>74</v>
      </c>
      <c r="C47" s="50">
        <v>55</v>
      </c>
      <c r="D47" s="50">
        <v>45</v>
      </c>
      <c r="E47" s="50">
        <v>40</v>
      </c>
      <c r="F47" s="50">
        <v>36</v>
      </c>
      <c r="G47" s="50">
        <v>1</v>
      </c>
      <c r="H47" s="50">
        <v>0</v>
      </c>
      <c r="I47" s="50">
        <v>40</v>
      </c>
      <c r="J47" s="50">
        <v>5</v>
      </c>
      <c r="K47" s="50">
        <v>1</v>
      </c>
      <c r="L47" s="50">
        <v>4</v>
      </c>
      <c r="M47" s="50">
        <v>838</v>
      </c>
      <c r="N47" s="50">
        <v>0</v>
      </c>
      <c r="O47" s="15">
        <f t="shared" si="0"/>
        <v>227</v>
      </c>
      <c r="P47" s="15">
        <f t="shared" si="1"/>
        <v>1065</v>
      </c>
      <c r="R47" s="8"/>
      <c r="T47"/>
    </row>
    <row r="48" spans="2:20" ht="23.1" customHeight="1" x14ac:dyDescent="0.25">
      <c r="B48" s="24" t="s">
        <v>75</v>
      </c>
      <c r="C48" s="50">
        <v>30</v>
      </c>
      <c r="D48" s="50">
        <v>35</v>
      </c>
      <c r="E48" s="50">
        <v>18</v>
      </c>
      <c r="F48" s="50">
        <v>31</v>
      </c>
      <c r="G48" s="50">
        <v>0</v>
      </c>
      <c r="H48" s="50">
        <v>0</v>
      </c>
      <c r="I48" s="50">
        <v>30</v>
      </c>
      <c r="J48" s="50">
        <v>4</v>
      </c>
      <c r="K48" s="50">
        <v>0</v>
      </c>
      <c r="L48" s="50">
        <v>3</v>
      </c>
      <c r="M48" s="50">
        <v>859</v>
      </c>
      <c r="N48" s="50">
        <v>0</v>
      </c>
      <c r="O48" s="15">
        <f t="shared" si="0"/>
        <v>151</v>
      </c>
      <c r="P48" s="15">
        <f t="shared" si="1"/>
        <v>1010</v>
      </c>
      <c r="R48" s="8"/>
      <c r="T48"/>
    </row>
    <row r="49" spans="2:20" ht="23.1" customHeight="1" x14ac:dyDescent="0.25">
      <c r="B49" s="23" t="s">
        <v>76</v>
      </c>
      <c r="C49" s="50">
        <v>60</v>
      </c>
      <c r="D49" s="50">
        <v>70</v>
      </c>
      <c r="E49" s="50">
        <v>30</v>
      </c>
      <c r="F49" s="50">
        <v>27</v>
      </c>
      <c r="G49" s="50">
        <v>4</v>
      </c>
      <c r="H49" s="50">
        <v>0</v>
      </c>
      <c r="I49" s="50">
        <v>35</v>
      </c>
      <c r="J49" s="50">
        <v>4</v>
      </c>
      <c r="K49" s="50">
        <v>1</v>
      </c>
      <c r="L49" s="50">
        <v>5</v>
      </c>
      <c r="M49" s="50">
        <v>801</v>
      </c>
      <c r="N49" s="50">
        <v>0</v>
      </c>
      <c r="O49" s="15">
        <f t="shared" si="0"/>
        <v>236</v>
      </c>
      <c r="P49" s="15">
        <f t="shared" si="1"/>
        <v>1037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25</v>
      </c>
      <c r="E50" s="50">
        <v>10</v>
      </c>
      <c r="F50" s="50">
        <v>41</v>
      </c>
      <c r="G50" s="50">
        <v>2</v>
      </c>
      <c r="H50" s="50">
        <v>0</v>
      </c>
      <c r="I50" s="50">
        <v>0</v>
      </c>
      <c r="J50" s="50">
        <v>3</v>
      </c>
      <c r="K50" s="50">
        <v>1</v>
      </c>
      <c r="L50" s="50">
        <v>4</v>
      </c>
      <c r="M50" s="50">
        <v>1005</v>
      </c>
      <c r="N50" s="50">
        <v>0</v>
      </c>
      <c r="O50" s="15">
        <f t="shared" si="0"/>
        <v>131</v>
      </c>
      <c r="P50" s="15">
        <f t="shared" si="1"/>
        <v>1136</v>
      </c>
      <c r="R50" s="8"/>
      <c r="T50"/>
    </row>
    <row r="51" spans="2:20" ht="23.1" customHeight="1" x14ac:dyDescent="0.25">
      <c r="B51" s="24" t="s">
        <v>78</v>
      </c>
      <c r="C51" s="50">
        <v>75</v>
      </c>
      <c r="D51" s="50">
        <v>30</v>
      </c>
      <c r="E51" s="50">
        <v>8</v>
      </c>
      <c r="F51" s="50">
        <v>29</v>
      </c>
      <c r="G51" s="50">
        <v>3</v>
      </c>
      <c r="H51" s="50">
        <v>0</v>
      </c>
      <c r="I51" s="50">
        <v>0</v>
      </c>
      <c r="J51" s="50">
        <v>6</v>
      </c>
      <c r="K51" s="50">
        <v>0</v>
      </c>
      <c r="L51" s="50">
        <v>2</v>
      </c>
      <c r="M51" s="50">
        <v>603</v>
      </c>
      <c r="N51" s="50">
        <v>0</v>
      </c>
      <c r="O51" s="15">
        <f t="shared" si="0"/>
        <v>153</v>
      </c>
      <c r="P51" s="15">
        <f t="shared" si="1"/>
        <v>756</v>
      </c>
      <c r="R51" s="8"/>
      <c r="T51"/>
    </row>
    <row r="52" spans="2:20" ht="23.1" customHeight="1" x14ac:dyDescent="0.25">
      <c r="B52" s="24" t="s">
        <v>79</v>
      </c>
      <c r="C52" s="50">
        <v>121</v>
      </c>
      <c r="D52" s="50">
        <v>40</v>
      </c>
      <c r="E52" s="50">
        <v>11</v>
      </c>
      <c r="F52" s="50">
        <v>28</v>
      </c>
      <c r="G52" s="50">
        <v>2</v>
      </c>
      <c r="H52" s="50">
        <v>0</v>
      </c>
      <c r="I52" s="50">
        <v>0</v>
      </c>
      <c r="J52" s="50">
        <v>2</v>
      </c>
      <c r="K52" s="50">
        <v>0</v>
      </c>
      <c r="L52" s="50">
        <v>1</v>
      </c>
      <c r="M52" s="50">
        <v>400</v>
      </c>
      <c r="N52" s="50">
        <v>0</v>
      </c>
      <c r="O52" s="15">
        <f t="shared" si="0"/>
        <v>205</v>
      </c>
      <c r="P52" s="15">
        <f t="shared" si="1"/>
        <v>605</v>
      </c>
      <c r="R52" s="8"/>
      <c r="T52"/>
    </row>
    <row r="53" spans="2:20" ht="23.1" customHeight="1" x14ac:dyDescent="0.25">
      <c r="B53" s="23" t="s">
        <v>80</v>
      </c>
      <c r="C53" s="50">
        <v>90</v>
      </c>
      <c r="D53" s="50">
        <v>45</v>
      </c>
      <c r="E53" s="50">
        <v>15</v>
      </c>
      <c r="F53" s="50">
        <v>4</v>
      </c>
      <c r="G53" s="50">
        <v>3</v>
      </c>
      <c r="H53" s="50">
        <v>0</v>
      </c>
      <c r="I53" s="50">
        <v>0</v>
      </c>
      <c r="J53" s="50">
        <v>2</v>
      </c>
      <c r="K53" s="50">
        <v>3</v>
      </c>
      <c r="L53" s="50">
        <v>6</v>
      </c>
      <c r="M53" s="50">
        <v>777</v>
      </c>
      <c r="N53" s="50">
        <v>0</v>
      </c>
      <c r="O53" s="15">
        <f t="shared" si="0"/>
        <v>168</v>
      </c>
      <c r="P53" s="15">
        <f t="shared" si="1"/>
        <v>945</v>
      </c>
      <c r="R53" s="8"/>
      <c r="T53"/>
    </row>
    <row r="54" spans="2:20" ht="23.1" customHeight="1" x14ac:dyDescent="0.25">
      <c r="B54" s="23" t="s">
        <v>81</v>
      </c>
      <c r="C54" s="50">
        <v>60</v>
      </c>
      <c r="D54" s="50">
        <v>45</v>
      </c>
      <c r="E54" s="50">
        <v>35</v>
      </c>
      <c r="F54" s="50">
        <v>40</v>
      </c>
      <c r="G54" s="50">
        <v>0</v>
      </c>
      <c r="H54" s="50">
        <v>0</v>
      </c>
      <c r="I54" s="50">
        <v>25</v>
      </c>
      <c r="J54" s="50">
        <v>1</v>
      </c>
      <c r="K54" s="50">
        <v>0</v>
      </c>
      <c r="L54" s="50">
        <v>1</v>
      </c>
      <c r="M54" s="50">
        <v>913</v>
      </c>
      <c r="N54" s="50">
        <v>0</v>
      </c>
      <c r="O54" s="15">
        <f t="shared" si="0"/>
        <v>207</v>
      </c>
      <c r="P54" s="15">
        <f t="shared" si="1"/>
        <v>1120</v>
      </c>
      <c r="R54" s="8"/>
      <c r="T54"/>
    </row>
    <row r="55" spans="2:20" ht="23.1" customHeight="1" x14ac:dyDescent="0.25">
      <c r="B55" s="23" t="s">
        <v>82</v>
      </c>
      <c r="C55" s="50">
        <v>40</v>
      </c>
      <c r="D55" s="50">
        <v>30</v>
      </c>
      <c r="E55" s="50">
        <v>32</v>
      </c>
      <c r="F55" s="50">
        <v>4</v>
      </c>
      <c r="G55" s="50">
        <v>1</v>
      </c>
      <c r="H55" s="50">
        <v>0</v>
      </c>
      <c r="I55" s="50">
        <v>20</v>
      </c>
      <c r="J55" s="50">
        <v>5</v>
      </c>
      <c r="K55" s="50">
        <v>1</v>
      </c>
      <c r="L55" s="50">
        <v>3</v>
      </c>
      <c r="M55" s="50">
        <v>956</v>
      </c>
      <c r="N55" s="50">
        <v>0</v>
      </c>
      <c r="O55" s="15">
        <f t="shared" si="0"/>
        <v>136</v>
      </c>
      <c r="P55" s="15">
        <f t="shared" si="1"/>
        <v>1092</v>
      </c>
      <c r="R55" s="8"/>
      <c r="T55"/>
    </row>
    <row r="56" spans="2:20" ht="23.1" customHeight="1" x14ac:dyDescent="0.25">
      <c r="B56" s="23" t="s">
        <v>83</v>
      </c>
      <c r="C56" s="50">
        <v>40</v>
      </c>
      <c r="D56" s="50">
        <v>50</v>
      </c>
      <c r="E56" s="50">
        <v>30</v>
      </c>
      <c r="F56" s="50">
        <v>20</v>
      </c>
      <c r="G56" s="50">
        <v>0</v>
      </c>
      <c r="H56" s="50">
        <v>0</v>
      </c>
      <c r="I56" s="50">
        <v>22</v>
      </c>
      <c r="J56" s="50">
        <v>2</v>
      </c>
      <c r="K56" s="50">
        <v>0</v>
      </c>
      <c r="L56" s="50">
        <v>1</v>
      </c>
      <c r="M56" s="50">
        <v>522</v>
      </c>
      <c r="N56" s="50">
        <v>0</v>
      </c>
      <c r="O56" s="15">
        <f t="shared" si="0"/>
        <v>165</v>
      </c>
      <c r="P56" s="15">
        <f t="shared" si="1"/>
        <v>687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40</v>
      </c>
      <c r="E57" s="50">
        <v>20</v>
      </c>
      <c r="F57" s="50">
        <v>5</v>
      </c>
      <c r="G57" s="50">
        <v>0</v>
      </c>
      <c r="H57" s="50">
        <v>1</v>
      </c>
      <c r="I57" s="50">
        <v>15</v>
      </c>
      <c r="J57" s="50">
        <v>4</v>
      </c>
      <c r="K57" s="50">
        <v>2</v>
      </c>
      <c r="L57" s="50">
        <v>2</v>
      </c>
      <c r="M57" s="50">
        <v>500</v>
      </c>
      <c r="N57" s="50">
        <v>0</v>
      </c>
      <c r="O57" s="15">
        <f t="shared" si="0"/>
        <v>124</v>
      </c>
      <c r="P57" s="15">
        <f t="shared" si="1"/>
        <v>624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2436</v>
      </c>
      <c r="D58" s="16">
        <f t="shared" si="21"/>
        <v>894</v>
      </c>
      <c r="E58" s="16">
        <f t="shared" si="21"/>
        <v>490</v>
      </c>
      <c r="F58" s="16">
        <f t="shared" si="21"/>
        <v>1693</v>
      </c>
      <c r="G58" s="16">
        <f t="shared" si="21"/>
        <v>70</v>
      </c>
      <c r="H58" s="16">
        <f t="shared" si="21"/>
        <v>12</v>
      </c>
      <c r="I58" s="16">
        <f t="shared" si="21"/>
        <v>523</v>
      </c>
      <c r="J58" s="16">
        <f t="shared" si="21"/>
        <v>217</v>
      </c>
      <c r="K58" s="16">
        <f t="shared" si="21"/>
        <v>68</v>
      </c>
      <c r="L58" s="16">
        <f t="shared" si="21"/>
        <v>176</v>
      </c>
      <c r="M58" s="16">
        <f t="shared" si="21"/>
        <v>20908</v>
      </c>
      <c r="N58" s="16">
        <f t="shared" si="21"/>
        <v>4</v>
      </c>
      <c r="O58" s="16">
        <f t="shared" si="21"/>
        <v>6583</v>
      </c>
      <c r="P58" s="16">
        <f t="shared" si="21"/>
        <v>27491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8.861081808591903E-2</v>
      </c>
      <c r="D59" s="43">
        <f t="shared" si="22"/>
        <v>3.2519733731039252E-2</v>
      </c>
      <c r="E59" s="43">
        <f t="shared" si="22"/>
        <v>1.7824015132225091E-2</v>
      </c>
      <c r="F59" s="43">
        <f t="shared" si="22"/>
        <v>6.1583791058892001E-2</v>
      </c>
      <c r="G59" s="43">
        <f t="shared" si="22"/>
        <v>2.546287876032156E-3</v>
      </c>
      <c r="H59" s="43">
        <f t="shared" si="22"/>
        <v>4.3650649303408391E-4</v>
      </c>
      <c r="I59" s="43">
        <f t="shared" si="22"/>
        <v>1.9024407988068821E-2</v>
      </c>
      <c r="J59" s="43">
        <f t="shared" si="22"/>
        <v>7.8934924156996832E-3</v>
      </c>
      <c r="K59" s="43">
        <f t="shared" si="22"/>
        <v>2.4735367938598088E-3</v>
      </c>
      <c r="L59" s="43">
        <f t="shared" si="22"/>
        <v>6.4020952311665633E-3</v>
      </c>
      <c r="M59" s="43">
        <f t="shared" si="22"/>
        <v>0.76053981302971885</v>
      </c>
      <c r="N59" s="43">
        <f t="shared" si="22"/>
        <v>1.4550216434469464E-4</v>
      </c>
      <c r="R59" s="8"/>
      <c r="T59"/>
    </row>
    <row r="60" spans="2:20" ht="23.1" customHeight="1" x14ac:dyDescent="0.25">
      <c r="B60" s="42" t="s">
        <v>94</v>
      </c>
      <c r="C60" s="44">
        <f>C58/$O$58</f>
        <v>0.37004405286343611</v>
      </c>
      <c r="D60" s="44">
        <f t="shared" ref="D60:N60" si="23">D58/$O$58</f>
        <v>0.13580434452377335</v>
      </c>
      <c r="E60" s="44">
        <f t="shared" si="23"/>
        <v>7.4434148564484284E-2</v>
      </c>
      <c r="F60" s="44">
        <f t="shared" si="23"/>
        <v>0.25717757861157525</v>
      </c>
      <c r="G60" s="44">
        <f t="shared" si="23"/>
        <v>1.0633449794926326E-2</v>
      </c>
      <c r="H60" s="44">
        <f t="shared" si="23"/>
        <v>1.8228771077016558E-3</v>
      </c>
      <c r="I60" s="44">
        <f t="shared" si="23"/>
        <v>7.9447060610663825E-2</v>
      </c>
      <c r="J60" s="44">
        <f t="shared" si="23"/>
        <v>3.2963694364271608E-2</v>
      </c>
      <c r="K60" s="44">
        <f t="shared" si="23"/>
        <v>1.0329636943642716E-2</v>
      </c>
      <c r="L60" s="44">
        <f t="shared" si="23"/>
        <v>2.673553091295762E-2</v>
      </c>
      <c r="M60" s="44"/>
      <c r="N60" s="44">
        <f t="shared" si="23"/>
        <v>6.0762570256721858E-4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Nsambya-ClockTower'!C3:G3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ClockTower-Nsambya'!D5</f>
        <v>30.07.19</v>
      </c>
      <c r="E5" s="3"/>
      <c r="F5" s="41" t="s">
        <v>1</v>
      </c>
      <c r="G5" s="60" t="str">
        <f>'29.07 ClockTower-Nsambya'!G5:H5</f>
        <v>Gapco</v>
      </c>
      <c r="H5" s="61"/>
      <c r="I5" s="14"/>
      <c r="J5" s="2" t="s">
        <v>5</v>
      </c>
      <c r="K5" s="60" t="str">
        <f>'29.07 Nsambya-ClockTower'!K5:L5</f>
        <v>Kizito Godfrey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Nsambya-ClockTower'!D6:E6</f>
        <v>Nsambya</v>
      </c>
      <c r="E6" s="61"/>
      <c r="F6" s="2" t="s">
        <v>2</v>
      </c>
      <c r="G6" s="60" t="str">
        <f>'29.07 Nsambya-ClockTower'!G6:H6</f>
        <v>ClockTower</v>
      </c>
      <c r="H6" s="61"/>
      <c r="J6" s="2" t="s">
        <v>21</v>
      </c>
      <c r="K6" s="60" t="str">
        <f>'29.07 ClockTower-Nsambya'!K6:L6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93</v>
      </c>
      <c r="D10" s="50">
        <v>15</v>
      </c>
      <c r="E10" s="50">
        <v>7</v>
      </c>
      <c r="F10" s="50">
        <v>80</v>
      </c>
      <c r="G10" s="50">
        <v>1</v>
      </c>
      <c r="H10" s="50">
        <v>2</v>
      </c>
      <c r="I10" s="50">
        <v>2</v>
      </c>
      <c r="J10" s="50">
        <v>1</v>
      </c>
      <c r="K10" s="50">
        <v>2</v>
      </c>
      <c r="L10" s="50">
        <v>7</v>
      </c>
      <c r="M10" s="50">
        <v>310</v>
      </c>
      <c r="N10" s="50">
        <v>1</v>
      </c>
      <c r="O10" s="15">
        <f t="shared" ref="O10:O57" si="0">SUM(C10:L10,N10)</f>
        <v>211</v>
      </c>
      <c r="P10" s="15">
        <f t="shared" ref="P10:P57" si="1">SUM(C10:N10)</f>
        <v>521</v>
      </c>
      <c r="R10" s="1" t="s">
        <v>6</v>
      </c>
      <c r="S10" s="17">
        <f t="shared" ref="S10:AF10" si="2">SUM(C10:C13)</f>
        <v>448</v>
      </c>
      <c r="T10" s="17">
        <f t="shared" si="2"/>
        <v>55</v>
      </c>
      <c r="U10" s="17">
        <f t="shared" si="2"/>
        <v>24</v>
      </c>
      <c r="V10" s="17">
        <f t="shared" si="2"/>
        <v>461</v>
      </c>
      <c r="W10" s="17">
        <f t="shared" si="2"/>
        <v>3</v>
      </c>
      <c r="X10" s="17">
        <f t="shared" si="2"/>
        <v>2</v>
      </c>
      <c r="Y10" s="17">
        <f t="shared" si="2"/>
        <v>10</v>
      </c>
      <c r="Z10" s="17">
        <f t="shared" si="2"/>
        <v>5</v>
      </c>
      <c r="AA10" s="17">
        <f t="shared" si="2"/>
        <v>7</v>
      </c>
      <c r="AB10" s="17">
        <f t="shared" si="2"/>
        <v>9</v>
      </c>
      <c r="AC10" s="17">
        <f t="shared" si="2"/>
        <v>1485</v>
      </c>
      <c r="AD10" s="17">
        <f t="shared" si="2"/>
        <v>6</v>
      </c>
      <c r="AE10" s="31">
        <f t="shared" si="2"/>
        <v>1030</v>
      </c>
      <c r="AF10" s="31">
        <f t="shared" si="2"/>
        <v>2515</v>
      </c>
    </row>
    <row r="11" spans="2:32" s="6" customFormat="1" ht="23.1" customHeight="1" x14ac:dyDescent="0.25">
      <c r="B11" s="23" t="s">
        <v>38</v>
      </c>
      <c r="C11" s="50">
        <v>70</v>
      </c>
      <c r="D11" s="50">
        <v>20</v>
      </c>
      <c r="E11" s="50">
        <v>8</v>
      </c>
      <c r="F11" s="50">
        <v>130</v>
      </c>
      <c r="G11" s="50">
        <v>0</v>
      </c>
      <c r="H11" s="50">
        <v>0</v>
      </c>
      <c r="I11" s="50">
        <v>2</v>
      </c>
      <c r="J11" s="50">
        <v>1</v>
      </c>
      <c r="K11" s="50">
        <v>3</v>
      </c>
      <c r="L11" s="50">
        <v>0</v>
      </c>
      <c r="M11" s="50">
        <v>335</v>
      </c>
      <c r="N11" s="50">
        <v>1</v>
      </c>
      <c r="O11" s="15">
        <f t="shared" si="0"/>
        <v>235</v>
      </c>
      <c r="P11" s="15">
        <f t="shared" si="1"/>
        <v>570</v>
      </c>
      <c r="R11" s="1" t="s">
        <v>7</v>
      </c>
      <c r="S11" s="17">
        <f t="shared" ref="S11:AF11" si="3">SUM(C14:C17)</f>
        <v>399</v>
      </c>
      <c r="T11" s="17">
        <f t="shared" si="3"/>
        <v>52</v>
      </c>
      <c r="U11" s="17">
        <f t="shared" si="3"/>
        <v>37</v>
      </c>
      <c r="V11" s="17">
        <f t="shared" si="3"/>
        <v>245</v>
      </c>
      <c r="W11" s="17">
        <f t="shared" si="3"/>
        <v>7</v>
      </c>
      <c r="X11" s="17">
        <f t="shared" si="3"/>
        <v>2</v>
      </c>
      <c r="Y11" s="17">
        <f t="shared" si="3"/>
        <v>11</v>
      </c>
      <c r="Z11" s="17">
        <f t="shared" si="3"/>
        <v>7</v>
      </c>
      <c r="AA11" s="17">
        <f t="shared" si="3"/>
        <v>8</v>
      </c>
      <c r="AB11" s="17">
        <f t="shared" si="3"/>
        <v>13</v>
      </c>
      <c r="AC11" s="17">
        <f t="shared" si="3"/>
        <v>1993</v>
      </c>
      <c r="AD11" s="17">
        <f t="shared" si="3"/>
        <v>1</v>
      </c>
      <c r="AE11" s="31">
        <f t="shared" si="3"/>
        <v>782</v>
      </c>
      <c r="AF11" s="31">
        <f t="shared" si="3"/>
        <v>2775</v>
      </c>
    </row>
    <row r="12" spans="2:32" ht="23.1" customHeight="1" x14ac:dyDescent="0.25">
      <c r="B12" s="23" t="s">
        <v>39</v>
      </c>
      <c r="C12" s="50">
        <v>130</v>
      </c>
      <c r="D12" s="50">
        <v>7</v>
      </c>
      <c r="E12" s="50">
        <v>6</v>
      </c>
      <c r="F12" s="50">
        <v>136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375</v>
      </c>
      <c r="N12" s="50">
        <v>0</v>
      </c>
      <c r="O12" s="15">
        <f t="shared" si="0"/>
        <v>282</v>
      </c>
      <c r="P12" s="15">
        <f t="shared" si="1"/>
        <v>657</v>
      </c>
      <c r="R12" s="1" t="s">
        <v>8</v>
      </c>
      <c r="S12" s="17">
        <f t="shared" ref="S12:AF12" si="4">SUM(C18:C21)</f>
        <v>410</v>
      </c>
      <c r="T12" s="17">
        <f t="shared" si="4"/>
        <v>97</v>
      </c>
      <c r="U12" s="17">
        <f t="shared" si="4"/>
        <v>58</v>
      </c>
      <c r="V12" s="17">
        <f t="shared" si="4"/>
        <v>322</v>
      </c>
      <c r="W12" s="17">
        <f t="shared" si="4"/>
        <v>4</v>
      </c>
      <c r="X12" s="17">
        <f t="shared" si="4"/>
        <v>1</v>
      </c>
      <c r="Y12" s="17">
        <f t="shared" si="4"/>
        <v>22</v>
      </c>
      <c r="Z12" s="17">
        <f t="shared" si="4"/>
        <v>17</v>
      </c>
      <c r="AA12" s="17">
        <f t="shared" si="4"/>
        <v>9</v>
      </c>
      <c r="AB12" s="17">
        <f t="shared" si="4"/>
        <v>10</v>
      </c>
      <c r="AC12" s="17">
        <f t="shared" si="4"/>
        <v>1752</v>
      </c>
      <c r="AD12" s="17">
        <f t="shared" si="4"/>
        <v>0</v>
      </c>
      <c r="AE12" s="31">
        <f t="shared" si="4"/>
        <v>950</v>
      </c>
      <c r="AF12" s="31">
        <f t="shared" si="4"/>
        <v>2702</v>
      </c>
    </row>
    <row r="13" spans="2:32" ht="23.1" customHeight="1" x14ac:dyDescent="0.25">
      <c r="B13" s="23" t="s">
        <v>40</v>
      </c>
      <c r="C13" s="50">
        <v>155</v>
      </c>
      <c r="D13" s="50">
        <v>13</v>
      </c>
      <c r="E13" s="50">
        <v>3</v>
      </c>
      <c r="F13" s="50">
        <v>115</v>
      </c>
      <c r="G13" s="50">
        <v>2</v>
      </c>
      <c r="H13" s="50">
        <v>0</v>
      </c>
      <c r="I13" s="50">
        <v>3</v>
      </c>
      <c r="J13" s="50">
        <v>3</v>
      </c>
      <c r="K13" s="50">
        <v>2</v>
      </c>
      <c r="L13" s="50">
        <v>2</v>
      </c>
      <c r="M13" s="50">
        <v>465</v>
      </c>
      <c r="N13" s="50">
        <v>4</v>
      </c>
      <c r="O13" s="15">
        <f t="shared" si="0"/>
        <v>302</v>
      </c>
      <c r="P13" s="15">
        <f t="shared" si="1"/>
        <v>767</v>
      </c>
      <c r="R13" s="1" t="s">
        <v>9</v>
      </c>
      <c r="S13" s="17">
        <f t="shared" ref="S13:AF13" si="5">SUM(C22:C25)</f>
        <v>308</v>
      </c>
      <c r="T13" s="17">
        <f t="shared" si="5"/>
        <v>56</v>
      </c>
      <c r="U13" s="17">
        <f t="shared" si="5"/>
        <v>41</v>
      </c>
      <c r="V13" s="17">
        <f t="shared" si="5"/>
        <v>253</v>
      </c>
      <c r="W13" s="17">
        <f t="shared" si="5"/>
        <v>5</v>
      </c>
      <c r="X13" s="17">
        <f t="shared" si="5"/>
        <v>0</v>
      </c>
      <c r="Y13" s="17">
        <f t="shared" si="5"/>
        <v>31</v>
      </c>
      <c r="Z13" s="17">
        <f t="shared" si="5"/>
        <v>21</v>
      </c>
      <c r="AA13" s="17">
        <f t="shared" si="5"/>
        <v>5</v>
      </c>
      <c r="AB13" s="17">
        <f t="shared" si="5"/>
        <v>13</v>
      </c>
      <c r="AC13" s="17">
        <f t="shared" si="5"/>
        <v>1875</v>
      </c>
      <c r="AD13" s="17">
        <f t="shared" si="5"/>
        <v>2</v>
      </c>
      <c r="AE13" s="31">
        <f t="shared" si="5"/>
        <v>735</v>
      </c>
      <c r="AF13" s="31">
        <f t="shared" si="5"/>
        <v>2610</v>
      </c>
    </row>
    <row r="14" spans="2:32" ht="23.1" customHeight="1" x14ac:dyDescent="0.25">
      <c r="B14" s="23" t="s">
        <v>41</v>
      </c>
      <c r="C14" s="50">
        <v>100</v>
      </c>
      <c r="D14" s="50">
        <v>13</v>
      </c>
      <c r="E14" s="50">
        <v>9</v>
      </c>
      <c r="F14" s="50">
        <v>95</v>
      </c>
      <c r="G14" s="50">
        <v>1</v>
      </c>
      <c r="H14" s="50">
        <v>0</v>
      </c>
      <c r="I14" s="50">
        <v>3</v>
      </c>
      <c r="J14" s="50">
        <v>1</v>
      </c>
      <c r="K14" s="50">
        <v>1</v>
      </c>
      <c r="L14" s="50">
        <v>2</v>
      </c>
      <c r="M14" s="50">
        <v>503</v>
      </c>
      <c r="N14" s="50">
        <v>0</v>
      </c>
      <c r="O14" s="15">
        <f t="shared" si="0"/>
        <v>225</v>
      </c>
      <c r="P14" s="15">
        <f t="shared" si="1"/>
        <v>728</v>
      </c>
      <c r="R14" s="1" t="s">
        <v>10</v>
      </c>
      <c r="S14" s="17">
        <f t="shared" ref="S14:AF14" si="6">SUM(C26:C29)</f>
        <v>245</v>
      </c>
      <c r="T14" s="17">
        <f t="shared" si="6"/>
        <v>81</v>
      </c>
      <c r="U14" s="17">
        <f t="shared" si="6"/>
        <v>29</v>
      </c>
      <c r="V14" s="17">
        <f t="shared" si="6"/>
        <v>285</v>
      </c>
      <c r="W14" s="17">
        <f t="shared" si="6"/>
        <v>7</v>
      </c>
      <c r="X14" s="17">
        <f t="shared" si="6"/>
        <v>0</v>
      </c>
      <c r="Y14" s="17">
        <f t="shared" si="6"/>
        <v>22</v>
      </c>
      <c r="Z14" s="17">
        <f t="shared" si="6"/>
        <v>26</v>
      </c>
      <c r="AA14" s="17">
        <f t="shared" si="6"/>
        <v>15</v>
      </c>
      <c r="AB14" s="17">
        <f t="shared" si="6"/>
        <v>431</v>
      </c>
      <c r="AC14" s="17">
        <f t="shared" si="6"/>
        <v>1197</v>
      </c>
      <c r="AD14" s="17">
        <f t="shared" si="6"/>
        <v>0</v>
      </c>
      <c r="AE14" s="31">
        <f t="shared" si="6"/>
        <v>1141</v>
      </c>
      <c r="AF14" s="31">
        <f t="shared" si="6"/>
        <v>2338</v>
      </c>
    </row>
    <row r="15" spans="2:32" ht="23.1" customHeight="1" x14ac:dyDescent="0.25">
      <c r="B15" s="23" t="s">
        <v>42</v>
      </c>
      <c r="C15" s="50">
        <v>135</v>
      </c>
      <c r="D15" s="50">
        <v>8</v>
      </c>
      <c r="E15" s="50">
        <v>11</v>
      </c>
      <c r="F15" s="50">
        <v>40</v>
      </c>
      <c r="G15" s="50">
        <v>1</v>
      </c>
      <c r="H15" s="50">
        <v>0</v>
      </c>
      <c r="I15" s="50">
        <v>3</v>
      </c>
      <c r="J15" s="50">
        <v>1</v>
      </c>
      <c r="K15" s="50">
        <v>2</v>
      </c>
      <c r="L15" s="50">
        <v>7</v>
      </c>
      <c r="M15" s="50">
        <v>468</v>
      </c>
      <c r="N15" s="50">
        <v>0</v>
      </c>
      <c r="O15" s="15">
        <f t="shared" si="0"/>
        <v>208</v>
      </c>
      <c r="P15" s="15">
        <f t="shared" si="1"/>
        <v>676</v>
      </c>
      <c r="R15" s="1" t="s">
        <v>11</v>
      </c>
      <c r="S15" s="17">
        <f t="shared" ref="S15:AF15" si="7">SUM(C30:C33)</f>
        <v>275</v>
      </c>
      <c r="T15" s="17">
        <f t="shared" si="7"/>
        <v>81</v>
      </c>
      <c r="U15" s="17">
        <f t="shared" si="7"/>
        <v>36</v>
      </c>
      <c r="V15" s="17">
        <f t="shared" si="7"/>
        <v>372</v>
      </c>
      <c r="W15" s="17">
        <f t="shared" si="7"/>
        <v>6</v>
      </c>
      <c r="X15" s="17">
        <f t="shared" si="7"/>
        <v>1</v>
      </c>
      <c r="Y15" s="17">
        <f t="shared" si="7"/>
        <v>30</v>
      </c>
      <c r="Z15" s="17">
        <f t="shared" si="7"/>
        <v>24</v>
      </c>
      <c r="AA15" s="17">
        <f t="shared" si="7"/>
        <v>17</v>
      </c>
      <c r="AB15" s="17">
        <f t="shared" si="7"/>
        <v>35</v>
      </c>
      <c r="AC15" s="17">
        <f t="shared" si="7"/>
        <v>1806</v>
      </c>
      <c r="AD15" s="17">
        <f t="shared" si="7"/>
        <v>0</v>
      </c>
      <c r="AE15" s="31">
        <f t="shared" si="7"/>
        <v>877</v>
      </c>
      <c r="AF15" s="31">
        <f t="shared" si="7"/>
        <v>2683</v>
      </c>
    </row>
    <row r="16" spans="2:32" ht="23.1" customHeight="1" x14ac:dyDescent="0.25">
      <c r="B16" s="23" t="s">
        <v>43</v>
      </c>
      <c r="C16" s="50">
        <v>90</v>
      </c>
      <c r="D16" s="50">
        <v>15</v>
      </c>
      <c r="E16" s="50">
        <v>8</v>
      </c>
      <c r="F16" s="50">
        <v>65</v>
      </c>
      <c r="G16" s="50">
        <v>1</v>
      </c>
      <c r="H16" s="50">
        <v>1</v>
      </c>
      <c r="I16" s="50">
        <v>4</v>
      </c>
      <c r="J16" s="50">
        <v>2</v>
      </c>
      <c r="K16" s="50">
        <v>2</v>
      </c>
      <c r="L16" s="50">
        <v>4</v>
      </c>
      <c r="M16" s="50">
        <v>497</v>
      </c>
      <c r="N16" s="50">
        <v>1</v>
      </c>
      <c r="O16" s="15">
        <f t="shared" si="0"/>
        <v>193</v>
      </c>
      <c r="P16" s="15">
        <f t="shared" si="1"/>
        <v>690</v>
      </c>
      <c r="R16" s="1" t="s">
        <v>12</v>
      </c>
      <c r="S16" s="17">
        <f t="shared" ref="S16:AF16" si="8">SUM(C34:C37)</f>
        <v>413</v>
      </c>
      <c r="T16" s="17">
        <f t="shared" si="8"/>
        <v>46</v>
      </c>
      <c r="U16" s="17">
        <f t="shared" si="8"/>
        <v>41</v>
      </c>
      <c r="V16" s="17">
        <f t="shared" si="8"/>
        <v>354</v>
      </c>
      <c r="W16" s="17">
        <f t="shared" si="8"/>
        <v>10</v>
      </c>
      <c r="X16" s="17">
        <f t="shared" si="8"/>
        <v>0</v>
      </c>
      <c r="Y16" s="17">
        <f t="shared" si="8"/>
        <v>46</v>
      </c>
      <c r="Z16" s="17">
        <f t="shared" si="8"/>
        <v>16</v>
      </c>
      <c r="AA16" s="17">
        <f t="shared" si="8"/>
        <v>17</v>
      </c>
      <c r="AB16" s="17">
        <f t="shared" si="8"/>
        <v>22</v>
      </c>
      <c r="AC16" s="17">
        <f t="shared" si="8"/>
        <v>1690</v>
      </c>
      <c r="AD16" s="17">
        <f t="shared" si="8"/>
        <v>1</v>
      </c>
      <c r="AE16" s="31">
        <f t="shared" si="8"/>
        <v>966</v>
      </c>
      <c r="AF16" s="31">
        <f t="shared" si="8"/>
        <v>2656</v>
      </c>
    </row>
    <row r="17" spans="2:32" ht="23.1" customHeight="1" x14ac:dyDescent="0.25">
      <c r="B17" s="23" t="s">
        <v>44</v>
      </c>
      <c r="C17" s="50">
        <v>74</v>
      </c>
      <c r="D17" s="50">
        <v>16</v>
      </c>
      <c r="E17" s="50">
        <v>9</v>
      </c>
      <c r="F17" s="50">
        <v>45</v>
      </c>
      <c r="G17" s="50">
        <v>4</v>
      </c>
      <c r="H17" s="50">
        <v>1</v>
      </c>
      <c r="I17" s="50">
        <v>1</v>
      </c>
      <c r="J17" s="50">
        <v>3</v>
      </c>
      <c r="K17" s="50">
        <v>3</v>
      </c>
      <c r="L17" s="50">
        <v>0</v>
      </c>
      <c r="M17" s="50">
        <v>525</v>
      </c>
      <c r="N17" s="50">
        <v>0</v>
      </c>
      <c r="O17" s="15">
        <f t="shared" si="0"/>
        <v>156</v>
      </c>
      <c r="P17" s="15">
        <f t="shared" si="1"/>
        <v>681</v>
      </c>
      <c r="R17" s="1" t="s">
        <v>13</v>
      </c>
      <c r="S17" s="17">
        <f t="shared" ref="S17:AF17" si="9">SUM(C38:C41)</f>
        <v>438</v>
      </c>
      <c r="T17" s="17">
        <f t="shared" si="9"/>
        <v>70</v>
      </c>
      <c r="U17" s="17">
        <f t="shared" si="9"/>
        <v>62</v>
      </c>
      <c r="V17" s="17">
        <f t="shared" si="9"/>
        <v>356</v>
      </c>
      <c r="W17" s="17">
        <f t="shared" si="9"/>
        <v>5</v>
      </c>
      <c r="X17" s="17">
        <f t="shared" si="9"/>
        <v>4</v>
      </c>
      <c r="Y17" s="17">
        <f t="shared" si="9"/>
        <v>40</v>
      </c>
      <c r="Z17" s="17">
        <f t="shared" si="9"/>
        <v>28</v>
      </c>
      <c r="AA17" s="17">
        <f t="shared" si="9"/>
        <v>14</v>
      </c>
      <c r="AB17" s="17">
        <f t="shared" si="9"/>
        <v>24</v>
      </c>
      <c r="AC17" s="17">
        <f t="shared" si="9"/>
        <v>1519</v>
      </c>
      <c r="AD17" s="17">
        <f t="shared" si="9"/>
        <v>0</v>
      </c>
      <c r="AE17" s="31">
        <f t="shared" si="9"/>
        <v>1041</v>
      </c>
      <c r="AF17" s="31">
        <f t="shared" si="9"/>
        <v>2560</v>
      </c>
    </row>
    <row r="18" spans="2:32" ht="23.1" customHeight="1" x14ac:dyDescent="0.25">
      <c r="B18" s="23" t="s">
        <v>45</v>
      </c>
      <c r="C18" s="50">
        <v>165</v>
      </c>
      <c r="D18" s="50">
        <v>39</v>
      </c>
      <c r="E18" s="50">
        <v>22</v>
      </c>
      <c r="F18" s="50">
        <v>55</v>
      </c>
      <c r="G18" s="50">
        <v>0</v>
      </c>
      <c r="H18" s="50">
        <v>0</v>
      </c>
      <c r="I18" s="50">
        <v>8</v>
      </c>
      <c r="J18" s="50">
        <v>3</v>
      </c>
      <c r="K18" s="50">
        <v>3</v>
      </c>
      <c r="L18" s="50">
        <v>2</v>
      </c>
      <c r="M18" s="50">
        <v>402</v>
      </c>
      <c r="N18" s="50">
        <v>0</v>
      </c>
      <c r="O18" s="15">
        <f t="shared" si="0"/>
        <v>297</v>
      </c>
      <c r="P18" s="15">
        <f t="shared" si="1"/>
        <v>699</v>
      </c>
      <c r="R18" s="1" t="s">
        <v>14</v>
      </c>
      <c r="S18" s="17">
        <f t="shared" ref="S18:AF18" si="10">SUM(C42:C45)</f>
        <v>390</v>
      </c>
      <c r="T18" s="17">
        <f t="shared" si="10"/>
        <v>34</v>
      </c>
      <c r="U18" s="17">
        <f t="shared" si="10"/>
        <v>29</v>
      </c>
      <c r="V18" s="17">
        <f t="shared" si="10"/>
        <v>380</v>
      </c>
      <c r="W18" s="17">
        <f t="shared" si="10"/>
        <v>3</v>
      </c>
      <c r="X18" s="17">
        <f t="shared" si="10"/>
        <v>0</v>
      </c>
      <c r="Y18" s="17">
        <f t="shared" si="10"/>
        <v>165</v>
      </c>
      <c r="Z18" s="17">
        <f t="shared" si="10"/>
        <v>22</v>
      </c>
      <c r="AA18" s="17">
        <f t="shared" si="10"/>
        <v>14</v>
      </c>
      <c r="AB18" s="17">
        <f t="shared" si="10"/>
        <v>25</v>
      </c>
      <c r="AC18" s="17">
        <f t="shared" si="10"/>
        <v>1073</v>
      </c>
      <c r="AD18" s="17">
        <f t="shared" si="10"/>
        <v>0</v>
      </c>
      <c r="AE18" s="31">
        <f t="shared" si="10"/>
        <v>1062</v>
      </c>
      <c r="AF18" s="31">
        <f t="shared" si="10"/>
        <v>2135</v>
      </c>
    </row>
    <row r="19" spans="2:32" ht="23.1" customHeight="1" x14ac:dyDescent="0.25">
      <c r="B19" s="23" t="s">
        <v>46</v>
      </c>
      <c r="C19" s="50">
        <v>75</v>
      </c>
      <c r="D19" s="50">
        <v>28</v>
      </c>
      <c r="E19" s="50">
        <v>17</v>
      </c>
      <c r="F19" s="50">
        <v>65</v>
      </c>
      <c r="G19" s="50">
        <v>2</v>
      </c>
      <c r="H19" s="50">
        <v>0</v>
      </c>
      <c r="I19" s="50">
        <v>3</v>
      </c>
      <c r="J19" s="50">
        <v>6</v>
      </c>
      <c r="K19" s="50">
        <v>4</v>
      </c>
      <c r="L19" s="50">
        <v>3</v>
      </c>
      <c r="M19" s="50">
        <v>445</v>
      </c>
      <c r="N19" s="50">
        <v>0</v>
      </c>
      <c r="O19" s="15">
        <f t="shared" si="0"/>
        <v>203</v>
      </c>
      <c r="P19" s="15">
        <f t="shared" si="1"/>
        <v>648</v>
      </c>
      <c r="R19" s="1" t="s">
        <v>15</v>
      </c>
      <c r="S19" s="17">
        <f t="shared" ref="S19:AF19" si="11">SUM(C46:C49)</f>
        <v>265</v>
      </c>
      <c r="T19" s="17">
        <f t="shared" si="11"/>
        <v>63</v>
      </c>
      <c r="U19" s="17">
        <f t="shared" si="11"/>
        <v>32</v>
      </c>
      <c r="V19" s="17">
        <f t="shared" si="11"/>
        <v>563</v>
      </c>
      <c r="W19" s="17">
        <f t="shared" si="11"/>
        <v>8</v>
      </c>
      <c r="X19" s="17">
        <f t="shared" si="11"/>
        <v>0</v>
      </c>
      <c r="Y19" s="17">
        <f t="shared" si="11"/>
        <v>45</v>
      </c>
      <c r="Z19" s="17">
        <f t="shared" si="11"/>
        <v>34</v>
      </c>
      <c r="AA19" s="17">
        <f t="shared" si="11"/>
        <v>10</v>
      </c>
      <c r="AB19" s="17">
        <f t="shared" si="11"/>
        <v>26</v>
      </c>
      <c r="AC19" s="17">
        <f t="shared" si="11"/>
        <v>1442</v>
      </c>
      <c r="AD19" s="17">
        <f t="shared" si="11"/>
        <v>1</v>
      </c>
      <c r="AE19" s="31">
        <f t="shared" si="11"/>
        <v>1047</v>
      </c>
      <c r="AF19" s="31">
        <f t="shared" si="11"/>
        <v>2489</v>
      </c>
    </row>
    <row r="20" spans="2:32" ht="23.1" customHeight="1" x14ac:dyDescent="0.25">
      <c r="B20" s="23" t="s">
        <v>47</v>
      </c>
      <c r="C20" s="50">
        <v>75</v>
      </c>
      <c r="D20" s="50">
        <v>15</v>
      </c>
      <c r="E20" s="50">
        <v>10</v>
      </c>
      <c r="F20" s="50">
        <v>120</v>
      </c>
      <c r="G20" s="50">
        <v>0</v>
      </c>
      <c r="H20" s="50">
        <v>0</v>
      </c>
      <c r="I20" s="50">
        <v>4</v>
      </c>
      <c r="J20" s="50">
        <v>4</v>
      </c>
      <c r="K20" s="50">
        <v>2</v>
      </c>
      <c r="L20" s="50">
        <v>3</v>
      </c>
      <c r="M20" s="50">
        <v>490</v>
      </c>
      <c r="N20" s="50">
        <v>0</v>
      </c>
      <c r="O20" s="15">
        <f t="shared" si="0"/>
        <v>233</v>
      </c>
      <c r="P20" s="15">
        <f t="shared" si="1"/>
        <v>723</v>
      </c>
      <c r="R20" s="1" t="s">
        <v>16</v>
      </c>
      <c r="S20" s="17">
        <f t="shared" ref="S20:AF20" si="12">SUM(C50:C53)</f>
        <v>345</v>
      </c>
      <c r="T20" s="17">
        <f t="shared" si="12"/>
        <v>30</v>
      </c>
      <c r="U20" s="17">
        <f t="shared" si="12"/>
        <v>72</v>
      </c>
      <c r="V20" s="17">
        <f t="shared" si="12"/>
        <v>345</v>
      </c>
      <c r="W20" s="17">
        <f t="shared" si="12"/>
        <v>5</v>
      </c>
      <c r="X20" s="17">
        <f t="shared" si="12"/>
        <v>2</v>
      </c>
      <c r="Y20" s="17">
        <f t="shared" si="12"/>
        <v>45</v>
      </c>
      <c r="Z20" s="17">
        <f t="shared" si="12"/>
        <v>28</v>
      </c>
      <c r="AA20" s="17">
        <f t="shared" si="12"/>
        <v>8</v>
      </c>
      <c r="AB20" s="17">
        <f t="shared" si="12"/>
        <v>32</v>
      </c>
      <c r="AC20" s="17">
        <f t="shared" si="12"/>
        <v>1982</v>
      </c>
      <c r="AD20" s="17">
        <f t="shared" si="12"/>
        <v>0</v>
      </c>
      <c r="AE20" s="31">
        <f t="shared" si="12"/>
        <v>912</v>
      </c>
      <c r="AF20" s="31">
        <f t="shared" si="12"/>
        <v>2894</v>
      </c>
    </row>
    <row r="21" spans="2:32" ht="23.1" customHeight="1" x14ac:dyDescent="0.25">
      <c r="B21" s="23" t="s">
        <v>48</v>
      </c>
      <c r="C21" s="50">
        <v>95</v>
      </c>
      <c r="D21" s="50">
        <v>15</v>
      </c>
      <c r="E21" s="50">
        <v>9</v>
      </c>
      <c r="F21" s="50">
        <v>82</v>
      </c>
      <c r="G21" s="50">
        <v>2</v>
      </c>
      <c r="H21" s="50">
        <v>1</v>
      </c>
      <c r="I21" s="50">
        <v>7</v>
      </c>
      <c r="J21" s="50">
        <v>4</v>
      </c>
      <c r="K21" s="50">
        <v>0</v>
      </c>
      <c r="L21" s="50">
        <v>2</v>
      </c>
      <c r="M21" s="50">
        <v>415</v>
      </c>
      <c r="N21" s="50">
        <v>0</v>
      </c>
      <c r="O21" s="15">
        <f t="shared" si="0"/>
        <v>217</v>
      </c>
      <c r="P21" s="15">
        <f t="shared" si="1"/>
        <v>632</v>
      </c>
      <c r="R21" s="36" t="s">
        <v>20</v>
      </c>
      <c r="S21" s="34">
        <f t="shared" ref="S21:AF21" si="13">SUM(C54:C57)</f>
        <v>288</v>
      </c>
      <c r="T21" s="17">
        <f t="shared" si="13"/>
        <v>29</v>
      </c>
      <c r="U21" s="17">
        <f t="shared" si="13"/>
        <v>104</v>
      </c>
      <c r="V21" s="17">
        <f t="shared" si="13"/>
        <v>211</v>
      </c>
      <c r="W21" s="17">
        <f t="shared" si="13"/>
        <v>5</v>
      </c>
      <c r="X21" s="17">
        <f t="shared" si="13"/>
        <v>2</v>
      </c>
      <c r="Y21" s="17">
        <f t="shared" si="13"/>
        <v>36</v>
      </c>
      <c r="Z21" s="17">
        <f t="shared" si="13"/>
        <v>26</v>
      </c>
      <c r="AA21" s="17">
        <f t="shared" si="13"/>
        <v>22</v>
      </c>
      <c r="AB21" s="17">
        <f t="shared" si="13"/>
        <v>41</v>
      </c>
      <c r="AC21" s="17">
        <f t="shared" si="13"/>
        <v>1880</v>
      </c>
      <c r="AD21" s="17">
        <f t="shared" si="13"/>
        <v>0</v>
      </c>
      <c r="AE21" s="31">
        <f t="shared" si="13"/>
        <v>764</v>
      </c>
      <c r="AF21" s="31">
        <f t="shared" si="13"/>
        <v>2644</v>
      </c>
    </row>
    <row r="22" spans="2:32" ht="23.1" customHeight="1" x14ac:dyDescent="0.25">
      <c r="B22" s="23" t="s">
        <v>49</v>
      </c>
      <c r="C22" s="50">
        <v>72</v>
      </c>
      <c r="D22" s="50">
        <v>7</v>
      </c>
      <c r="E22" s="50">
        <v>12</v>
      </c>
      <c r="F22" s="50">
        <v>65</v>
      </c>
      <c r="G22" s="50">
        <v>0</v>
      </c>
      <c r="H22" s="50">
        <v>0</v>
      </c>
      <c r="I22" s="50">
        <v>9</v>
      </c>
      <c r="J22" s="50">
        <v>3</v>
      </c>
      <c r="K22" s="50">
        <v>1</v>
      </c>
      <c r="L22" s="50">
        <v>3</v>
      </c>
      <c r="M22" s="50">
        <v>535</v>
      </c>
      <c r="N22" s="50">
        <v>0</v>
      </c>
      <c r="O22" s="15">
        <f t="shared" si="0"/>
        <v>172</v>
      </c>
      <c r="P22" s="15">
        <f t="shared" si="1"/>
        <v>707</v>
      </c>
      <c r="R22" s="38" t="s">
        <v>90</v>
      </c>
      <c r="S22" s="39">
        <f>MAX(S10:S12)</f>
        <v>448</v>
      </c>
      <c r="T22" s="39">
        <f t="shared" ref="T22:AF22" si="14">MAX(T10:T12)</f>
        <v>97</v>
      </c>
      <c r="U22" s="39">
        <f t="shared" si="14"/>
        <v>58</v>
      </c>
      <c r="V22" s="39">
        <f t="shared" si="14"/>
        <v>461</v>
      </c>
      <c r="W22" s="39">
        <f t="shared" si="14"/>
        <v>7</v>
      </c>
      <c r="X22" s="39">
        <f t="shared" si="14"/>
        <v>2</v>
      </c>
      <c r="Y22" s="39">
        <f t="shared" si="14"/>
        <v>22</v>
      </c>
      <c r="Z22" s="39">
        <f t="shared" si="14"/>
        <v>17</v>
      </c>
      <c r="AA22" s="39">
        <f t="shared" si="14"/>
        <v>9</v>
      </c>
      <c r="AB22" s="39">
        <f t="shared" si="14"/>
        <v>13</v>
      </c>
      <c r="AC22" s="39">
        <f t="shared" si="14"/>
        <v>1993</v>
      </c>
      <c r="AD22" s="39">
        <f t="shared" si="14"/>
        <v>6</v>
      </c>
      <c r="AE22" s="40">
        <f t="shared" si="14"/>
        <v>1030</v>
      </c>
      <c r="AF22" s="40">
        <f t="shared" si="14"/>
        <v>2775</v>
      </c>
    </row>
    <row r="23" spans="2:32" ht="23.1" customHeight="1" x14ac:dyDescent="0.25">
      <c r="B23" s="23" t="s">
        <v>50</v>
      </c>
      <c r="C23" s="50">
        <v>56</v>
      </c>
      <c r="D23" s="50">
        <v>21</v>
      </c>
      <c r="E23" s="50">
        <v>9</v>
      </c>
      <c r="F23" s="50">
        <v>90</v>
      </c>
      <c r="G23" s="50">
        <v>2</v>
      </c>
      <c r="H23" s="50">
        <v>0</v>
      </c>
      <c r="I23" s="50">
        <v>8</v>
      </c>
      <c r="J23" s="50">
        <v>7</v>
      </c>
      <c r="K23" s="50">
        <v>3</v>
      </c>
      <c r="L23" s="50">
        <v>2</v>
      </c>
      <c r="M23" s="50">
        <v>467</v>
      </c>
      <c r="N23" s="50">
        <v>1</v>
      </c>
      <c r="O23" s="15">
        <f t="shared" si="0"/>
        <v>199</v>
      </c>
      <c r="P23" s="15">
        <f t="shared" si="1"/>
        <v>666</v>
      </c>
      <c r="R23" s="38" t="s">
        <v>91</v>
      </c>
      <c r="S23" s="39">
        <f>MAX(S13:S18)</f>
        <v>438</v>
      </c>
      <c r="T23" s="39">
        <f t="shared" ref="T23:AF23" si="15">MAX(T13:T18)</f>
        <v>81</v>
      </c>
      <c r="U23" s="39">
        <f t="shared" si="15"/>
        <v>62</v>
      </c>
      <c r="V23" s="39">
        <f t="shared" si="15"/>
        <v>380</v>
      </c>
      <c r="W23" s="39">
        <f t="shared" si="15"/>
        <v>10</v>
      </c>
      <c r="X23" s="39">
        <f t="shared" si="15"/>
        <v>4</v>
      </c>
      <c r="Y23" s="39">
        <f t="shared" si="15"/>
        <v>165</v>
      </c>
      <c r="Z23" s="39">
        <f t="shared" si="15"/>
        <v>28</v>
      </c>
      <c r="AA23" s="39">
        <f t="shared" si="15"/>
        <v>17</v>
      </c>
      <c r="AB23" s="39">
        <f t="shared" si="15"/>
        <v>431</v>
      </c>
      <c r="AC23" s="39">
        <f t="shared" si="15"/>
        <v>1875</v>
      </c>
      <c r="AD23" s="39">
        <f t="shared" si="15"/>
        <v>2</v>
      </c>
      <c r="AE23" s="40">
        <f t="shared" si="15"/>
        <v>1141</v>
      </c>
      <c r="AF23" s="40">
        <f t="shared" si="15"/>
        <v>2683</v>
      </c>
    </row>
    <row r="24" spans="2:32" ht="23.1" customHeight="1" x14ac:dyDescent="0.25">
      <c r="B24" s="23" t="s">
        <v>51</v>
      </c>
      <c r="C24" s="50">
        <v>80</v>
      </c>
      <c r="D24" s="50">
        <v>15</v>
      </c>
      <c r="E24" s="50">
        <v>12</v>
      </c>
      <c r="F24" s="50">
        <v>80</v>
      </c>
      <c r="G24" s="50">
        <v>2</v>
      </c>
      <c r="H24" s="50">
        <v>0</v>
      </c>
      <c r="I24" s="50">
        <v>8</v>
      </c>
      <c r="J24" s="50">
        <v>6</v>
      </c>
      <c r="K24" s="50">
        <v>1</v>
      </c>
      <c r="L24" s="50">
        <v>6</v>
      </c>
      <c r="M24" s="50">
        <v>463</v>
      </c>
      <c r="N24" s="50">
        <v>1</v>
      </c>
      <c r="O24" s="15">
        <f t="shared" si="0"/>
        <v>211</v>
      </c>
      <c r="P24" s="15">
        <f t="shared" si="1"/>
        <v>674</v>
      </c>
      <c r="R24" s="38" t="s">
        <v>92</v>
      </c>
      <c r="S24" s="39">
        <f>MAX(S19:S21)</f>
        <v>345</v>
      </c>
      <c r="T24" s="39">
        <f t="shared" ref="T24:AF24" si="16">MAX(T19:T21)</f>
        <v>63</v>
      </c>
      <c r="U24" s="39">
        <f t="shared" si="16"/>
        <v>104</v>
      </c>
      <c r="V24" s="39">
        <f t="shared" si="16"/>
        <v>563</v>
      </c>
      <c r="W24" s="39">
        <f t="shared" si="16"/>
        <v>8</v>
      </c>
      <c r="X24" s="39">
        <f t="shared" si="16"/>
        <v>2</v>
      </c>
      <c r="Y24" s="39">
        <f t="shared" si="16"/>
        <v>45</v>
      </c>
      <c r="Z24" s="39">
        <f t="shared" si="16"/>
        <v>34</v>
      </c>
      <c r="AA24" s="39">
        <f t="shared" si="16"/>
        <v>22</v>
      </c>
      <c r="AB24" s="39">
        <f t="shared" si="16"/>
        <v>41</v>
      </c>
      <c r="AC24" s="39">
        <f t="shared" si="16"/>
        <v>1982</v>
      </c>
      <c r="AD24" s="39">
        <f t="shared" si="16"/>
        <v>1</v>
      </c>
      <c r="AE24" s="40">
        <f t="shared" si="16"/>
        <v>1047</v>
      </c>
      <c r="AF24" s="40">
        <f t="shared" si="16"/>
        <v>2894</v>
      </c>
    </row>
    <row r="25" spans="2:32" ht="23.1" customHeight="1" x14ac:dyDescent="0.25">
      <c r="B25" s="23" t="s">
        <v>52</v>
      </c>
      <c r="C25" s="50">
        <v>100</v>
      </c>
      <c r="D25" s="50">
        <v>13</v>
      </c>
      <c r="E25" s="50">
        <v>8</v>
      </c>
      <c r="F25" s="50">
        <v>18</v>
      </c>
      <c r="G25" s="50">
        <v>1</v>
      </c>
      <c r="H25" s="50">
        <v>0</v>
      </c>
      <c r="I25" s="50">
        <v>6</v>
      </c>
      <c r="J25" s="50">
        <v>5</v>
      </c>
      <c r="K25" s="50">
        <v>0</v>
      </c>
      <c r="L25" s="50">
        <v>2</v>
      </c>
      <c r="M25" s="50">
        <v>410</v>
      </c>
      <c r="N25" s="50">
        <v>0</v>
      </c>
      <c r="O25" s="15">
        <f t="shared" si="0"/>
        <v>153</v>
      </c>
      <c r="P25" s="15">
        <f t="shared" si="1"/>
        <v>563</v>
      </c>
      <c r="R25" s="37" t="s">
        <v>85</v>
      </c>
      <c r="S25" s="35">
        <f t="shared" ref="S25:AF25" si="17">SUM(S10:S12)</f>
        <v>1257</v>
      </c>
      <c r="T25" s="16">
        <f t="shared" si="17"/>
        <v>204</v>
      </c>
      <c r="U25" s="16">
        <f t="shared" si="17"/>
        <v>119</v>
      </c>
      <c r="V25" s="16">
        <f t="shared" si="17"/>
        <v>1028</v>
      </c>
      <c r="W25" s="16">
        <f t="shared" si="17"/>
        <v>14</v>
      </c>
      <c r="X25" s="16">
        <f t="shared" si="17"/>
        <v>5</v>
      </c>
      <c r="Y25" s="16">
        <f t="shared" si="17"/>
        <v>43</v>
      </c>
      <c r="Z25" s="16">
        <f t="shared" si="17"/>
        <v>29</v>
      </c>
      <c r="AA25" s="16">
        <f t="shared" si="17"/>
        <v>24</v>
      </c>
      <c r="AB25" s="16">
        <f t="shared" si="17"/>
        <v>32</v>
      </c>
      <c r="AC25" s="16">
        <f t="shared" si="17"/>
        <v>5230</v>
      </c>
      <c r="AD25" s="16">
        <f t="shared" si="17"/>
        <v>7</v>
      </c>
      <c r="AE25" s="32">
        <f t="shared" si="17"/>
        <v>2762</v>
      </c>
      <c r="AF25" s="32">
        <f t="shared" si="17"/>
        <v>7992</v>
      </c>
    </row>
    <row r="26" spans="2:32" ht="23.1" customHeight="1" x14ac:dyDescent="0.25">
      <c r="B26" s="23" t="s">
        <v>53</v>
      </c>
      <c r="C26" s="50">
        <v>35</v>
      </c>
      <c r="D26" s="50">
        <v>12</v>
      </c>
      <c r="E26" s="50">
        <v>7</v>
      </c>
      <c r="F26" s="50">
        <v>70</v>
      </c>
      <c r="G26" s="50">
        <v>3</v>
      </c>
      <c r="H26" s="50">
        <v>0</v>
      </c>
      <c r="I26" s="50">
        <v>6</v>
      </c>
      <c r="J26" s="50">
        <v>5</v>
      </c>
      <c r="K26" s="50">
        <v>3</v>
      </c>
      <c r="L26" s="50">
        <v>417</v>
      </c>
      <c r="M26" s="50">
        <v>0</v>
      </c>
      <c r="N26" s="50">
        <v>0</v>
      </c>
      <c r="O26" s="15">
        <f t="shared" si="0"/>
        <v>558</v>
      </c>
      <c r="P26" s="15">
        <f t="shared" si="1"/>
        <v>558</v>
      </c>
      <c r="R26" s="28" t="s">
        <v>86</v>
      </c>
      <c r="S26" s="16">
        <f t="shared" ref="S26:AF26" si="18">SUM(S13:S18)</f>
        <v>2069</v>
      </c>
      <c r="T26" s="16">
        <f t="shared" si="18"/>
        <v>368</v>
      </c>
      <c r="U26" s="16">
        <f t="shared" si="18"/>
        <v>238</v>
      </c>
      <c r="V26" s="16">
        <f t="shared" si="18"/>
        <v>2000</v>
      </c>
      <c r="W26" s="16">
        <f t="shared" si="18"/>
        <v>36</v>
      </c>
      <c r="X26" s="16">
        <f t="shared" si="18"/>
        <v>5</v>
      </c>
      <c r="Y26" s="16">
        <f t="shared" si="18"/>
        <v>334</v>
      </c>
      <c r="Z26" s="16">
        <f t="shared" si="18"/>
        <v>137</v>
      </c>
      <c r="AA26" s="16">
        <f t="shared" si="18"/>
        <v>82</v>
      </c>
      <c r="AB26" s="16">
        <f t="shared" si="18"/>
        <v>550</v>
      </c>
      <c r="AC26" s="16">
        <f t="shared" si="18"/>
        <v>9160</v>
      </c>
      <c r="AD26" s="16">
        <f t="shared" si="18"/>
        <v>3</v>
      </c>
      <c r="AE26" s="32">
        <f t="shared" si="18"/>
        <v>5822</v>
      </c>
      <c r="AF26" s="32">
        <f t="shared" si="18"/>
        <v>14982</v>
      </c>
    </row>
    <row r="27" spans="2:32" ht="23.1" customHeight="1" x14ac:dyDescent="0.25">
      <c r="B27" s="23" t="s">
        <v>54</v>
      </c>
      <c r="C27" s="50">
        <v>45</v>
      </c>
      <c r="D27" s="50">
        <v>24</v>
      </c>
      <c r="E27" s="50">
        <v>9</v>
      </c>
      <c r="F27" s="50">
        <v>85</v>
      </c>
      <c r="G27" s="50">
        <v>1</v>
      </c>
      <c r="H27" s="50">
        <v>0</v>
      </c>
      <c r="I27" s="50">
        <v>4</v>
      </c>
      <c r="J27" s="50">
        <v>6</v>
      </c>
      <c r="K27" s="50">
        <v>7</v>
      </c>
      <c r="L27" s="50">
        <v>6</v>
      </c>
      <c r="M27" s="50">
        <v>391</v>
      </c>
      <c r="N27" s="50">
        <v>0</v>
      </c>
      <c r="O27" s="15">
        <f t="shared" si="0"/>
        <v>187</v>
      </c>
      <c r="P27" s="15">
        <f t="shared" si="1"/>
        <v>578</v>
      </c>
      <c r="R27" s="29" t="s">
        <v>87</v>
      </c>
      <c r="S27" s="16">
        <f t="shared" ref="S27:AF27" si="19">SUM(S19:S21)</f>
        <v>898</v>
      </c>
      <c r="T27" s="16">
        <f t="shared" si="19"/>
        <v>122</v>
      </c>
      <c r="U27" s="16">
        <f t="shared" si="19"/>
        <v>208</v>
      </c>
      <c r="V27" s="16">
        <f t="shared" si="19"/>
        <v>1119</v>
      </c>
      <c r="W27" s="16">
        <f t="shared" si="19"/>
        <v>18</v>
      </c>
      <c r="X27" s="16">
        <f t="shared" si="19"/>
        <v>4</v>
      </c>
      <c r="Y27" s="16">
        <f t="shared" si="19"/>
        <v>126</v>
      </c>
      <c r="Z27" s="16">
        <f t="shared" si="19"/>
        <v>88</v>
      </c>
      <c r="AA27" s="16">
        <f t="shared" si="19"/>
        <v>40</v>
      </c>
      <c r="AB27" s="16">
        <f t="shared" si="19"/>
        <v>99</v>
      </c>
      <c r="AC27" s="16">
        <f t="shared" si="19"/>
        <v>5304</v>
      </c>
      <c r="AD27" s="16">
        <f t="shared" si="19"/>
        <v>1</v>
      </c>
      <c r="AE27" s="32">
        <f t="shared" si="19"/>
        <v>2723</v>
      </c>
      <c r="AF27" s="32">
        <f t="shared" si="19"/>
        <v>8027</v>
      </c>
    </row>
    <row r="28" spans="2:32" ht="23.1" customHeight="1" x14ac:dyDescent="0.25">
      <c r="B28" s="23" t="s">
        <v>55</v>
      </c>
      <c r="C28" s="50">
        <v>60</v>
      </c>
      <c r="D28" s="50">
        <v>20</v>
      </c>
      <c r="E28" s="50">
        <v>7</v>
      </c>
      <c r="F28" s="50">
        <v>80</v>
      </c>
      <c r="G28" s="50">
        <v>2</v>
      </c>
      <c r="H28" s="50">
        <v>0</v>
      </c>
      <c r="I28" s="50">
        <v>7</v>
      </c>
      <c r="J28" s="50">
        <v>4</v>
      </c>
      <c r="K28" s="50">
        <v>5</v>
      </c>
      <c r="L28" s="50">
        <v>4</v>
      </c>
      <c r="M28" s="50">
        <v>405</v>
      </c>
      <c r="N28" s="50">
        <v>0</v>
      </c>
      <c r="O28" s="15">
        <f t="shared" si="0"/>
        <v>189</v>
      </c>
      <c r="P28" s="15">
        <f t="shared" si="1"/>
        <v>594</v>
      </c>
      <c r="R28" s="5" t="s">
        <v>17</v>
      </c>
      <c r="S28" s="16">
        <f t="shared" ref="S28:AF28" si="20">SUM(S10:S21)</f>
        <v>4224</v>
      </c>
      <c r="T28" s="16">
        <f t="shared" si="20"/>
        <v>694</v>
      </c>
      <c r="U28" s="16">
        <f t="shared" si="20"/>
        <v>565</v>
      </c>
      <c r="V28" s="16">
        <f t="shared" si="20"/>
        <v>4147</v>
      </c>
      <c r="W28" s="16">
        <f t="shared" si="20"/>
        <v>68</v>
      </c>
      <c r="X28" s="16">
        <f t="shared" si="20"/>
        <v>14</v>
      </c>
      <c r="Y28" s="16">
        <f t="shared" si="20"/>
        <v>503</v>
      </c>
      <c r="Z28" s="16">
        <f t="shared" si="20"/>
        <v>254</v>
      </c>
      <c r="AA28" s="16">
        <f t="shared" si="20"/>
        <v>146</v>
      </c>
      <c r="AB28" s="16">
        <f t="shared" si="20"/>
        <v>681</v>
      </c>
      <c r="AC28" s="16">
        <f t="shared" si="20"/>
        <v>19694</v>
      </c>
      <c r="AD28" s="16">
        <f t="shared" si="20"/>
        <v>11</v>
      </c>
      <c r="AE28" s="32">
        <f t="shared" si="20"/>
        <v>11307</v>
      </c>
      <c r="AF28" s="32">
        <f t="shared" si="20"/>
        <v>31001</v>
      </c>
    </row>
    <row r="29" spans="2:32" ht="23.1" customHeight="1" x14ac:dyDescent="0.25">
      <c r="B29" s="23" t="s">
        <v>56</v>
      </c>
      <c r="C29" s="50">
        <v>105</v>
      </c>
      <c r="D29" s="50">
        <v>25</v>
      </c>
      <c r="E29" s="50">
        <v>6</v>
      </c>
      <c r="F29" s="50">
        <v>50</v>
      </c>
      <c r="G29" s="50">
        <v>1</v>
      </c>
      <c r="H29" s="50">
        <v>0</v>
      </c>
      <c r="I29" s="50">
        <v>5</v>
      </c>
      <c r="J29" s="50">
        <v>11</v>
      </c>
      <c r="K29" s="50">
        <v>0</v>
      </c>
      <c r="L29" s="50">
        <v>4</v>
      </c>
      <c r="M29" s="50">
        <v>401</v>
      </c>
      <c r="N29" s="50">
        <v>0</v>
      </c>
      <c r="O29" s="15">
        <f t="shared" si="0"/>
        <v>207</v>
      </c>
      <c r="P29" s="15">
        <f t="shared" si="1"/>
        <v>608</v>
      </c>
      <c r="R29"/>
      <c r="S29" s="20"/>
      <c r="T29" s="19"/>
    </row>
    <row r="30" spans="2:32" ht="23.1" customHeight="1" x14ac:dyDescent="0.25">
      <c r="B30" s="23" t="s">
        <v>57</v>
      </c>
      <c r="C30" s="50">
        <v>46</v>
      </c>
      <c r="D30" s="50">
        <v>18</v>
      </c>
      <c r="E30" s="50">
        <v>5</v>
      </c>
      <c r="F30" s="50">
        <v>90</v>
      </c>
      <c r="G30" s="50">
        <v>2</v>
      </c>
      <c r="H30" s="50">
        <v>1</v>
      </c>
      <c r="I30" s="50">
        <v>3</v>
      </c>
      <c r="J30" s="50">
        <v>6</v>
      </c>
      <c r="K30" s="50">
        <v>4</v>
      </c>
      <c r="L30" s="50">
        <v>9</v>
      </c>
      <c r="M30" s="50">
        <v>472</v>
      </c>
      <c r="N30" s="50">
        <v>0</v>
      </c>
      <c r="O30" s="15">
        <f t="shared" si="0"/>
        <v>184</v>
      </c>
      <c r="P30" s="15">
        <f t="shared" si="1"/>
        <v>656</v>
      </c>
    </row>
    <row r="31" spans="2:32" ht="23.1" customHeight="1" x14ac:dyDescent="0.25">
      <c r="B31" s="24" t="s">
        <v>58</v>
      </c>
      <c r="C31" s="50">
        <v>93</v>
      </c>
      <c r="D31" s="50">
        <v>13</v>
      </c>
      <c r="E31" s="50">
        <v>14</v>
      </c>
      <c r="F31" s="50">
        <v>95</v>
      </c>
      <c r="G31" s="50">
        <v>2</v>
      </c>
      <c r="H31" s="50">
        <v>0</v>
      </c>
      <c r="I31" s="50">
        <v>12</v>
      </c>
      <c r="J31" s="50">
        <v>3</v>
      </c>
      <c r="K31" s="50">
        <v>2</v>
      </c>
      <c r="L31" s="50">
        <v>7</v>
      </c>
      <c r="M31" s="50">
        <v>445</v>
      </c>
      <c r="N31" s="50">
        <v>0</v>
      </c>
      <c r="O31" s="15">
        <f t="shared" si="0"/>
        <v>241</v>
      </c>
      <c r="P31" s="15">
        <f t="shared" si="1"/>
        <v>686</v>
      </c>
    </row>
    <row r="32" spans="2:32" ht="23.1" customHeight="1" x14ac:dyDescent="0.25">
      <c r="B32" s="24" t="s">
        <v>59</v>
      </c>
      <c r="C32" s="50">
        <v>75</v>
      </c>
      <c r="D32" s="50">
        <v>41</v>
      </c>
      <c r="E32" s="50">
        <v>9</v>
      </c>
      <c r="F32" s="50">
        <v>97</v>
      </c>
      <c r="G32" s="50">
        <v>1</v>
      </c>
      <c r="H32" s="50">
        <v>0</v>
      </c>
      <c r="I32" s="50">
        <v>7</v>
      </c>
      <c r="J32" s="50">
        <v>8</v>
      </c>
      <c r="K32" s="50">
        <v>5</v>
      </c>
      <c r="L32" s="50">
        <v>11</v>
      </c>
      <c r="M32" s="50">
        <v>435</v>
      </c>
      <c r="N32" s="50">
        <v>0</v>
      </c>
      <c r="O32" s="15">
        <f t="shared" si="0"/>
        <v>254</v>
      </c>
      <c r="P32" s="15">
        <f t="shared" si="1"/>
        <v>689</v>
      </c>
    </row>
    <row r="33" spans="2:20" ht="23.1" customHeight="1" x14ac:dyDescent="0.25">
      <c r="B33" s="23" t="s">
        <v>60</v>
      </c>
      <c r="C33" s="50">
        <v>61</v>
      </c>
      <c r="D33" s="50">
        <v>9</v>
      </c>
      <c r="E33" s="50">
        <v>8</v>
      </c>
      <c r="F33" s="50">
        <v>90</v>
      </c>
      <c r="G33" s="50">
        <v>1</v>
      </c>
      <c r="H33" s="50">
        <v>0</v>
      </c>
      <c r="I33" s="50">
        <v>8</v>
      </c>
      <c r="J33" s="50">
        <v>7</v>
      </c>
      <c r="K33" s="50">
        <v>6</v>
      </c>
      <c r="L33" s="50">
        <v>8</v>
      </c>
      <c r="M33" s="50">
        <v>454</v>
      </c>
      <c r="N33" s="50">
        <v>0</v>
      </c>
      <c r="O33" s="15">
        <f t="shared" si="0"/>
        <v>198</v>
      </c>
      <c r="P33" s="15">
        <f t="shared" si="1"/>
        <v>652</v>
      </c>
    </row>
    <row r="34" spans="2:20" ht="23.1" customHeight="1" x14ac:dyDescent="0.25">
      <c r="B34" s="24" t="s">
        <v>61</v>
      </c>
      <c r="C34" s="50">
        <v>121</v>
      </c>
      <c r="D34" s="50">
        <v>20</v>
      </c>
      <c r="E34" s="50">
        <v>11</v>
      </c>
      <c r="F34" s="50">
        <v>59</v>
      </c>
      <c r="G34" s="50">
        <v>1</v>
      </c>
      <c r="H34" s="50">
        <v>0</v>
      </c>
      <c r="I34" s="50">
        <v>8</v>
      </c>
      <c r="J34" s="50">
        <v>9</v>
      </c>
      <c r="K34" s="50">
        <v>2</v>
      </c>
      <c r="L34" s="50">
        <v>5</v>
      </c>
      <c r="M34" s="50">
        <v>420</v>
      </c>
      <c r="N34" s="50">
        <v>0</v>
      </c>
      <c r="O34" s="15">
        <f t="shared" si="0"/>
        <v>236</v>
      </c>
      <c r="P34" s="15">
        <f t="shared" si="1"/>
        <v>656</v>
      </c>
    </row>
    <row r="35" spans="2:20" ht="23.1" customHeight="1" x14ac:dyDescent="0.25">
      <c r="B35" s="24" t="s">
        <v>62</v>
      </c>
      <c r="C35" s="50">
        <v>50</v>
      </c>
      <c r="D35" s="50">
        <v>12</v>
      </c>
      <c r="E35" s="50">
        <v>10</v>
      </c>
      <c r="F35" s="50">
        <v>105</v>
      </c>
      <c r="G35" s="50">
        <v>3</v>
      </c>
      <c r="H35" s="50">
        <v>0</v>
      </c>
      <c r="I35" s="50">
        <v>10</v>
      </c>
      <c r="J35" s="50">
        <v>2</v>
      </c>
      <c r="K35" s="50">
        <v>1</v>
      </c>
      <c r="L35" s="50">
        <v>5</v>
      </c>
      <c r="M35" s="50">
        <v>449</v>
      </c>
      <c r="N35" s="50">
        <v>1</v>
      </c>
      <c r="O35" s="15">
        <f t="shared" si="0"/>
        <v>199</v>
      </c>
      <c r="P35" s="15">
        <f t="shared" si="1"/>
        <v>648</v>
      </c>
    </row>
    <row r="36" spans="2:20" ht="23.1" customHeight="1" x14ac:dyDescent="0.25">
      <c r="B36" s="24" t="s">
        <v>63</v>
      </c>
      <c r="C36" s="50">
        <v>90</v>
      </c>
      <c r="D36" s="50">
        <v>10</v>
      </c>
      <c r="E36" s="50">
        <v>12</v>
      </c>
      <c r="F36" s="50">
        <v>110</v>
      </c>
      <c r="G36" s="50">
        <v>4</v>
      </c>
      <c r="H36" s="50">
        <v>0</v>
      </c>
      <c r="I36" s="50">
        <v>16</v>
      </c>
      <c r="J36" s="50">
        <v>0</v>
      </c>
      <c r="K36" s="50">
        <v>6</v>
      </c>
      <c r="L36" s="50">
        <v>7</v>
      </c>
      <c r="M36" s="50">
        <v>386</v>
      </c>
      <c r="N36" s="50">
        <v>0</v>
      </c>
      <c r="O36" s="15">
        <f t="shared" si="0"/>
        <v>255</v>
      </c>
      <c r="P36" s="15">
        <f t="shared" si="1"/>
        <v>641</v>
      </c>
    </row>
    <row r="37" spans="2:20" ht="23.1" customHeight="1" x14ac:dyDescent="0.25">
      <c r="B37" s="23" t="s">
        <v>64</v>
      </c>
      <c r="C37" s="50">
        <v>152</v>
      </c>
      <c r="D37" s="50">
        <v>4</v>
      </c>
      <c r="E37" s="50">
        <v>8</v>
      </c>
      <c r="F37" s="50">
        <v>80</v>
      </c>
      <c r="G37" s="50">
        <v>2</v>
      </c>
      <c r="H37" s="50">
        <v>0</v>
      </c>
      <c r="I37" s="50">
        <v>12</v>
      </c>
      <c r="J37" s="50">
        <v>5</v>
      </c>
      <c r="K37" s="50">
        <v>8</v>
      </c>
      <c r="L37" s="50">
        <v>5</v>
      </c>
      <c r="M37" s="50">
        <v>435</v>
      </c>
      <c r="N37" s="50">
        <v>0</v>
      </c>
      <c r="O37" s="15">
        <f t="shared" si="0"/>
        <v>276</v>
      </c>
      <c r="P37" s="15">
        <f t="shared" si="1"/>
        <v>711</v>
      </c>
    </row>
    <row r="38" spans="2:20" ht="23.1" customHeight="1" x14ac:dyDescent="0.25">
      <c r="B38" s="24" t="s">
        <v>65</v>
      </c>
      <c r="C38" s="50">
        <v>175</v>
      </c>
      <c r="D38" s="50">
        <v>10</v>
      </c>
      <c r="E38" s="50">
        <v>17</v>
      </c>
      <c r="F38" s="50">
        <v>71</v>
      </c>
      <c r="G38" s="50">
        <v>1</v>
      </c>
      <c r="H38" s="50">
        <v>0</v>
      </c>
      <c r="I38" s="50">
        <v>6</v>
      </c>
      <c r="J38" s="50">
        <v>7</v>
      </c>
      <c r="K38" s="50">
        <v>3</v>
      </c>
      <c r="L38" s="50">
        <v>9</v>
      </c>
      <c r="M38" s="50">
        <v>444</v>
      </c>
      <c r="N38" s="50">
        <v>0</v>
      </c>
      <c r="O38" s="15">
        <f t="shared" si="0"/>
        <v>299</v>
      </c>
      <c r="P38" s="15">
        <f t="shared" si="1"/>
        <v>743</v>
      </c>
    </row>
    <row r="39" spans="2:20" ht="23.1" customHeight="1" x14ac:dyDescent="0.25">
      <c r="B39" s="24" t="s">
        <v>66</v>
      </c>
      <c r="C39" s="50">
        <v>75</v>
      </c>
      <c r="D39" s="50">
        <v>5</v>
      </c>
      <c r="E39" s="50">
        <v>17</v>
      </c>
      <c r="F39" s="50">
        <v>110</v>
      </c>
      <c r="G39" s="50">
        <v>3</v>
      </c>
      <c r="H39" s="50">
        <v>3</v>
      </c>
      <c r="I39" s="50">
        <v>16</v>
      </c>
      <c r="J39" s="50">
        <v>8</v>
      </c>
      <c r="K39" s="50">
        <v>5</v>
      </c>
      <c r="L39" s="50">
        <v>4</v>
      </c>
      <c r="M39" s="50">
        <v>380</v>
      </c>
      <c r="N39" s="50">
        <v>0</v>
      </c>
      <c r="O39" s="15">
        <f t="shared" si="0"/>
        <v>246</v>
      </c>
      <c r="P39" s="15">
        <f t="shared" si="1"/>
        <v>626</v>
      </c>
    </row>
    <row r="40" spans="2:20" ht="23.1" customHeight="1" x14ac:dyDescent="0.25">
      <c r="B40" s="24" t="s">
        <v>67</v>
      </c>
      <c r="C40" s="50">
        <v>83</v>
      </c>
      <c r="D40" s="50">
        <v>11</v>
      </c>
      <c r="E40" s="50">
        <v>12</v>
      </c>
      <c r="F40" s="50">
        <v>95</v>
      </c>
      <c r="G40" s="50">
        <v>1</v>
      </c>
      <c r="H40" s="50">
        <v>0</v>
      </c>
      <c r="I40" s="50">
        <v>10</v>
      </c>
      <c r="J40" s="50">
        <v>6</v>
      </c>
      <c r="K40" s="50">
        <v>4</v>
      </c>
      <c r="L40" s="50">
        <v>8</v>
      </c>
      <c r="M40" s="50">
        <v>355</v>
      </c>
      <c r="N40" s="50">
        <v>0</v>
      </c>
      <c r="O40" s="15">
        <f t="shared" si="0"/>
        <v>230</v>
      </c>
      <c r="P40" s="15">
        <f t="shared" si="1"/>
        <v>585</v>
      </c>
    </row>
    <row r="41" spans="2:20" ht="23.1" customHeight="1" x14ac:dyDescent="0.25">
      <c r="B41" s="23" t="s">
        <v>68</v>
      </c>
      <c r="C41" s="50">
        <v>105</v>
      </c>
      <c r="D41" s="50">
        <v>44</v>
      </c>
      <c r="E41" s="50">
        <v>16</v>
      </c>
      <c r="F41" s="50">
        <v>80</v>
      </c>
      <c r="G41" s="50">
        <v>0</v>
      </c>
      <c r="H41" s="50">
        <v>1</v>
      </c>
      <c r="I41" s="50">
        <v>8</v>
      </c>
      <c r="J41" s="50">
        <v>7</v>
      </c>
      <c r="K41" s="50">
        <v>2</v>
      </c>
      <c r="L41" s="50">
        <v>3</v>
      </c>
      <c r="M41" s="50">
        <v>340</v>
      </c>
      <c r="N41" s="50">
        <v>0</v>
      </c>
      <c r="O41" s="15">
        <f t="shared" si="0"/>
        <v>266</v>
      </c>
      <c r="P41" s="15">
        <f t="shared" si="1"/>
        <v>606</v>
      </c>
    </row>
    <row r="42" spans="2:20" ht="23.1" customHeight="1" x14ac:dyDescent="0.25">
      <c r="B42" s="24" t="s">
        <v>69</v>
      </c>
      <c r="C42" s="50">
        <v>110</v>
      </c>
      <c r="D42" s="50">
        <v>8</v>
      </c>
      <c r="E42" s="50">
        <v>6</v>
      </c>
      <c r="F42" s="50">
        <v>90</v>
      </c>
      <c r="G42" s="50">
        <v>1</v>
      </c>
      <c r="H42" s="50">
        <v>0</v>
      </c>
      <c r="I42" s="50">
        <v>131</v>
      </c>
      <c r="J42" s="50">
        <v>4</v>
      </c>
      <c r="K42" s="50">
        <v>4</v>
      </c>
      <c r="L42" s="50">
        <v>9</v>
      </c>
      <c r="M42" s="50">
        <v>395</v>
      </c>
      <c r="N42" s="50">
        <v>0</v>
      </c>
      <c r="O42" s="15">
        <f t="shared" si="0"/>
        <v>363</v>
      </c>
      <c r="P42" s="15">
        <f t="shared" si="1"/>
        <v>758</v>
      </c>
    </row>
    <row r="43" spans="2:20" ht="23.1" customHeight="1" x14ac:dyDescent="0.25">
      <c r="B43" s="23" t="s">
        <v>70</v>
      </c>
      <c r="C43" s="50">
        <v>80</v>
      </c>
      <c r="D43" s="50">
        <v>10</v>
      </c>
      <c r="E43" s="50">
        <v>8</v>
      </c>
      <c r="F43" s="50">
        <v>65</v>
      </c>
      <c r="G43" s="50">
        <v>1</v>
      </c>
      <c r="H43" s="50">
        <v>0</v>
      </c>
      <c r="I43" s="50">
        <v>9</v>
      </c>
      <c r="J43" s="50">
        <v>8</v>
      </c>
      <c r="K43" s="50">
        <v>3</v>
      </c>
      <c r="L43" s="50">
        <v>3</v>
      </c>
      <c r="M43" s="50">
        <v>198</v>
      </c>
      <c r="N43" s="50">
        <v>0</v>
      </c>
      <c r="O43" s="15">
        <f t="shared" si="0"/>
        <v>187</v>
      </c>
      <c r="P43" s="15">
        <f t="shared" si="1"/>
        <v>385</v>
      </c>
    </row>
    <row r="44" spans="2:20" ht="23.1" customHeight="1" x14ac:dyDescent="0.25">
      <c r="B44" s="25" t="s">
        <v>71</v>
      </c>
      <c r="C44" s="50">
        <v>95</v>
      </c>
      <c r="D44" s="50">
        <v>7</v>
      </c>
      <c r="E44" s="50">
        <v>8</v>
      </c>
      <c r="F44" s="50">
        <v>105</v>
      </c>
      <c r="G44" s="50">
        <v>1</v>
      </c>
      <c r="H44" s="50">
        <v>0</v>
      </c>
      <c r="I44" s="50">
        <v>19</v>
      </c>
      <c r="J44" s="50">
        <v>8</v>
      </c>
      <c r="K44" s="50">
        <v>3</v>
      </c>
      <c r="L44" s="50">
        <v>8</v>
      </c>
      <c r="M44" s="50">
        <v>205</v>
      </c>
      <c r="N44" s="50">
        <v>0</v>
      </c>
      <c r="O44" s="15">
        <f t="shared" si="0"/>
        <v>254</v>
      </c>
      <c r="P44" s="15">
        <f t="shared" si="1"/>
        <v>459</v>
      </c>
    </row>
    <row r="45" spans="2:20" ht="23.1" customHeight="1" x14ac:dyDescent="0.25">
      <c r="B45" s="23" t="s">
        <v>72</v>
      </c>
      <c r="C45" s="50">
        <v>105</v>
      </c>
      <c r="D45" s="50">
        <v>9</v>
      </c>
      <c r="E45" s="50">
        <v>7</v>
      </c>
      <c r="F45" s="50">
        <v>120</v>
      </c>
      <c r="G45" s="50">
        <v>0</v>
      </c>
      <c r="H45" s="50">
        <v>0</v>
      </c>
      <c r="I45" s="50">
        <v>6</v>
      </c>
      <c r="J45" s="50">
        <v>2</v>
      </c>
      <c r="K45" s="50">
        <v>4</v>
      </c>
      <c r="L45" s="50">
        <v>5</v>
      </c>
      <c r="M45" s="50">
        <v>275</v>
      </c>
      <c r="N45" s="50">
        <v>0</v>
      </c>
      <c r="O45" s="15">
        <f t="shared" si="0"/>
        <v>258</v>
      </c>
      <c r="P45" s="15">
        <f t="shared" si="1"/>
        <v>533</v>
      </c>
    </row>
    <row r="46" spans="2:20" ht="23.1" customHeight="1" x14ac:dyDescent="0.25">
      <c r="B46" s="24" t="s">
        <v>73</v>
      </c>
      <c r="C46" s="50">
        <v>75</v>
      </c>
      <c r="D46" s="50">
        <v>17</v>
      </c>
      <c r="E46" s="50">
        <v>11</v>
      </c>
      <c r="F46" s="50">
        <v>180</v>
      </c>
      <c r="G46" s="50">
        <v>4</v>
      </c>
      <c r="H46" s="50">
        <v>0</v>
      </c>
      <c r="I46" s="50">
        <v>6</v>
      </c>
      <c r="J46" s="50">
        <v>7</v>
      </c>
      <c r="K46" s="50">
        <v>4</v>
      </c>
      <c r="L46" s="50">
        <v>5</v>
      </c>
      <c r="M46" s="50">
        <v>292</v>
      </c>
      <c r="N46" s="50">
        <v>0</v>
      </c>
      <c r="O46" s="15">
        <f t="shared" si="0"/>
        <v>309</v>
      </c>
      <c r="P46" s="15">
        <f t="shared" si="1"/>
        <v>601</v>
      </c>
      <c r="R46" s="8"/>
      <c r="T46"/>
    </row>
    <row r="47" spans="2:20" ht="23.1" customHeight="1" x14ac:dyDescent="0.25">
      <c r="B47" s="24" t="s">
        <v>74</v>
      </c>
      <c r="C47" s="50">
        <v>105</v>
      </c>
      <c r="D47" s="50">
        <v>20</v>
      </c>
      <c r="E47" s="50">
        <v>6</v>
      </c>
      <c r="F47" s="50">
        <v>118</v>
      </c>
      <c r="G47" s="50">
        <v>1</v>
      </c>
      <c r="H47" s="50">
        <v>0</v>
      </c>
      <c r="I47" s="50">
        <v>9</v>
      </c>
      <c r="J47" s="50">
        <v>10</v>
      </c>
      <c r="K47" s="50">
        <v>3</v>
      </c>
      <c r="L47" s="50">
        <v>6</v>
      </c>
      <c r="M47" s="50">
        <v>335</v>
      </c>
      <c r="N47" s="50">
        <v>0</v>
      </c>
      <c r="O47" s="15">
        <f t="shared" si="0"/>
        <v>278</v>
      </c>
      <c r="P47" s="15">
        <f t="shared" si="1"/>
        <v>613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18</v>
      </c>
      <c r="E48" s="50">
        <v>11</v>
      </c>
      <c r="F48" s="50">
        <v>120</v>
      </c>
      <c r="G48" s="50">
        <v>3</v>
      </c>
      <c r="H48" s="50">
        <v>0</v>
      </c>
      <c r="I48" s="50">
        <v>15</v>
      </c>
      <c r="J48" s="50">
        <v>13</v>
      </c>
      <c r="K48" s="50">
        <v>2</v>
      </c>
      <c r="L48" s="50">
        <v>4</v>
      </c>
      <c r="M48" s="50">
        <v>412</v>
      </c>
      <c r="N48" s="50">
        <v>1</v>
      </c>
      <c r="O48" s="15">
        <f t="shared" si="0"/>
        <v>237</v>
      </c>
      <c r="P48" s="15">
        <f t="shared" si="1"/>
        <v>649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8</v>
      </c>
      <c r="E49" s="50">
        <v>4</v>
      </c>
      <c r="F49" s="50">
        <v>145</v>
      </c>
      <c r="G49" s="50">
        <v>0</v>
      </c>
      <c r="H49" s="50">
        <v>0</v>
      </c>
      <c r="I49" s="50">
        <v>15</v>
      </c>
      <c r="J49" s="50">
        <v>4</v>
      </c>
      <c r="K49" s="50">
        <v>1</v>
      </c>
      <c r="L49" s="50">
        <v>11</v>
      </c>
      <c r="M49" s="50">
        <v>403</v>
      </c>
      <c r="N49" s="50">
        <v>0</v>
      </c>
      <c r="O49" s="15">
        <f t="shared" si="0"/>
        <v>223</v>
      </c>
      <c r="P49" s="15">
        <f t="shared" si="1"/>
        <v>626</v>
      </c>
      <c r="R49" s="8"/>
      <c r="T49"/>
    </row>
    <row r="50" spans="2:20" ht="23.1" customHeight="1" x14ac:dyDescent="0.25">
      <c r="B50" s="24" t="s">
        <v>77</v>
      </c>
      <c r="C50" s="50">
        <v>75</v>
      </c>
      <c r="D50" s="50">
        <v>8</v>
      </c>
      <c r="E50" s="50">
        <v>13</v>
      </c>
      <c r="F50" s="50">
        <v>120</v>
      </c>
      <c r="G50" s="50">
        <v>2</v>
      </c>
      <c r="H50" s="50">
        <v>2</v>
      </c>
      <c r="I50" s="50">
        <v>12</v>
      </c>
      <c r="J50" s="50">
        <v>7</v>
      </c>
      <c r="K50" s="50">
        <v>0</v>
      </c>
      <c r="L50" s="50">
        <v>6</v>
      </c>
      <c r="M50" s="50">
        <v>465</v>
      </c>
      <c r="N50" s="50">
        <v>0</v>
      </c>
      <c r="O50" s="15">
        <f t="shared" si="0"/>
        <v>245</v>
      </c>
      <c r="P50" s="15">
        <f t="shared" si="1"/>
        <v>710</v>
      </c>
      <c r="R50" s="8"/>
      <c r="T50"/>
    </row>
    <row r="51" spans="2:20" ht="23.1" customHeight="1" x14ac:dyDescent="0.25">
      <c r="B51" s="24" t="s">
        <v>78</v>
      </c>
      <c r="C51" s="50">
        <v>90</v>
      </c>
      <c r="D51" s="50">
        <v>7</v>
      </c>
      <c r="E51" s="50">
        <v>8</v>
      </c>
      <c r="F51" s="50">
        <v>95</v>
      </c>
      <c r="G51" s="50">
        <v>1</v>
      </c>
      <c r="H51" s="50">
        <v>0</v>
      </c>
      <c r="I51" s="50">
        <v>12</v>
      </c>
      <c r="J51" s="50">
        <v>12</v>
      </c>
      <c r="K51" s="50">
        <v>4</v>
      </c>
      <c r="L51" s="50">
        <v>14</v>
      </c>
      <c r="M51" s="50">
        <v>505</v>
      </c>
      <c r="N51" s="50">
        <v>0</v>
      </c>
      <c r="O51" s="15">
        <f t="shared" si="0"/>
        <v>243</v>
      </c>
      <c r="P51" s="15">
        <f t="shared" si="1"/>
        <v>748</v>
      </c>
      <c r="R51" s="8"/>
      <c r="T51"/>
    </row>
    <row r="52" spans="2:20" ht="23.1" customHeight="1" x14ac:dyDescent="0.25">
      <c r="B52" s="24" t="s">
        <v>79</v>
      </c>
      <c r="C52" s="50">
        <v>115</v>
      </c>
      <c r="D52" s="50">
        <v>4</v>
      </c>
      <c r="E52" s="50">
        <v>13</v>
      </c>
      <c r="F52" s="50">
        <v>45</v>
      </c>
      <c r="G52" s="50">
        <v>0</v>
      </c>
      <c r="H52" s="50">
        <v>0</v>
      </c>
      <c r="I52" s="50">
        <v>9</v>
      </c>
      <c r="J52" s="50">
        <v>3</v>
      </c>
      <c r="K52" s="50">
        <v>0</v>
      </c>
      <c r="L52" s="50">
        <v>5</v>
      </c>
      <c r="M52" s="50">
        <v>484</v>
      </c>
      <c r="N52" s="50">
        <v>0</v>
      </c>
      <c r="O52" s="15">
        <f t="shared" si="0"/>
        <v>194</v>
      </c>
      <c r="P52" s="15">
        <f t="shared" si="1"/>
        <v>678</v>
      </c>
      <c r="R52" s="8"/>
      <c r="T52"/>
    </row>
    <row r="53" spans="2:20" ht="23.1" customHeight="1" x14ac:dyDescent="0.25">
      <c r="B53" s="23" t="s">
        <v>80</v>
      </c>
      <c r="C53" s="50">
        <v>65</v>
      </c>
      <c r="D53" s="50">
        <v>11</v>
      </c>
      <c r="E53" s="50">
        <v>38</v>
      </c>
      <c r="F53" s="50">
        <v>85</v>
      </c>
      <c r="G53" s="50">
        <v>2</v>
      </c>
      <c r="H53" s="50">
        <v>0</v>
      </c>
      <c r="I53" s="50">
        <v>12</v>
      </c>
      <c r="J53" s="50">
        <v>6</v>
      </c>
      <c r="K53" s="50">
        <v>4</v>
      </c>
      <c r="L53" s="50">
        <v>7</v>
      </c>
      <c r="M53" s="50">
        <v>528</v>
      </c>
      <c r="N53" s="50">
        <v>0</v>
      </c>
      <c r="O53" s="15">
        <f t="shared" si="0"/>
        <v>230</v>
      </c>
      <c r="P53" s="15">
        <f t="shared" si="1"/>
        <v>758</v>
      </c>
      <c r="R53" s="8"/>
      <c r="T53"/>
    </row>
    <row r="54" spans="2:20" ht="23.1" customHeight="1" x14ac:dyDescent="0.25">
      <c r="B54" s="23" t="s">
        <v>81</v>
      </c>
      <c r="C54" s="50">
        <v>80</v>
      </c>
      <c r="D54" s="50">
        <v>6</v>
      </c>
      <c r="E54" s="50">
        <v>8</v>
      </c>
      <c r="F54" s="50">
        <v>85</v>
      </c>
      <c r="G54" s="50">
        <v>1</v>
      </c>
      <c r="H54" s="50">
        <v>0</v>
      </c>
      <c r="I54" s="50">
        <v>11</v>
      </c>
      <c r="J54" s="50">
        <v>6</v>
      </c>
      <c r="K54" s="50">
        <v>4</v>
      </c>
      <c r="L54" s="50">
        <v>13</v>
      </c>
      <c r="M54" s="50">
        <v>495</v>
      </c>
      <c r="N54" s="50">
        <v>0</v>
      </c>
      <c r="O54" s="15">
        <f t="shared" si="0"/>
        <v>214</v>
      </c>
      <c r="P54" s="15">
        <f t="shared" si="1"/>
        <v>709</v>
      </c>
      <c r="R54" s="8"/>
      <c r="T54"/>
    </row>
    <row r="55" spans="2:20" ht="23.1" customHeight="1" x14ac:dyDescent="0.25">
      <c r="B55" s="23" t="s">
        <v>82</v>
      </c>
      <c r="C55" s="50">
        <v>85</v>
      </c>
      <c r="D55" s="50">
        <v>8</v>
      </c>
      <c r="E55" s="50">
        <v>75</v>
      </c>
      <c r="F55" s="50">
        <v>65</v>
      </c>
      <c r="G55" s="50">
        <v>2</v>
      </c>
      <c r="H55" s="50">
        <v>0</v>
      </c>
      <c r="I55" s="50">
        <v>11</v>
      </c>
      <c r="J55" s="50">
        <v>7</v>
      </c>
      <c r="K55" s="50">
        <v>5</v>
      </c>
      <c r="L55" s="50">
        <v>10</v>
      </c>
      <c r="M55" s="50">
        <v>487</v>
      </c>
      <c r="N55" s="50">
        <v>0</v>
      </c>
      <c r="O55" s="15">
        <f t="shared" si="0"/>
        <v>268</v>
      </c>
      <c r="P55" s="15">
        <f t="shared" si="1"/>
        <v>755</v>
      </c>
      <c r="R55" s="8"/>
      <c r="T55"/>
    </row>
    <row r="56" spans="2:20" ht="23.1" customHeight="1" x14ac:dyDescent="0.25">
      <c r="B56" s="23" t="s">
        <v>83</v>
      </c>
      <c r="C56" s="50">
        <v>73</v>
      </c>
      <c r="D56" s="50">
        <v>6</v>
      </c>
      <c r="E56" s="50">
        <v>13</v>
      </c>
      <c r="F56" s="50">
        <v>26</v>
      </c>
      <c r="G56" s="50">
        <v>1</v>
      </c>
      <c r="H56" s="50">
        <v>0</v>
      </c>
      <c r="I56" s="50">
        <v>8</v>
      </c>
      <c r="J56" s="50">
        <v>6</v>
      </c>
      <c r="K56" s="50">
        <v>4</v>
      </c>
      <c r="L56" s="50">
        <v>6</v>
      </c>
      <c r="M56" s="50">
        <v>435</v>
      </c>
      <c r="N56" s="50">
        <v>0</v>
      </c>
      <c r="O56" s="15">
        <f t="shared" si="0"/>
        <v>143</v>
      </c>
      <c r="P56" s="15">
        <f t="shared" si="1"/>
        <v>578</v>
      </c>
      <c r="R56" s="8"/>
      <c r="T56"/>
    </row>
    <row r="57" spans="2:20" ht="23.1" customHeight="1" x14ac:dyDescent="0.25">
      <c r="B57" s="23" t="s">
        <v>84</v>
      </c>
      <c r="C57" s="50">
        <v>50</v>
      </c>
      <c r="D57" s="50">
        <v>9</v>
      </c>
      <c r="E57" s="50">
        <v>8</v>
      </c>
      <c r="F57" s="50">
        <v>35</v>
      </c>
      <c r="G57" s="50">
        <v>1</v>
      </c>
      <c r="H57" s="50">
        <v>2</v>
      </c>
      <c r="I57" s="50">
        <v>6</v>
      </c>
      <c r="J57" s="50">
        <v>7</v>
      </c>
      <c r="K57" s="50">
        <v>9</v>
      </c>
      <c r="L57" s="50">
        <v>12</v>
      </c>
      <c r="M57" s="50">
        <v>463</v>
      </c>
      <c r="N57" s="50">
        <v>0</v>
      </c>
      <c r="O57" s="15">
        <f t="shared" si="0"/>
        <v>139</v>
      </c>
      <c r="P57" s="15">
        <f t="shared" si="1"/>
        <v>602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4224</v>
      </c>
      <c r="D58" s="16">
        <f t="shared" si="21"/>
        <v>694</v>
      </c>
      <c r="E58" s="16">
        <f t="shared" si="21"/>
        <v>565</v>
      </c>
      <c r="F58" s="16">
        <f t="shared" si="21"/>
        <v>4147</v>
      </c>
      <c r="G58" s="16">
        <f t="shared" si="21"/>
        <v>68</v>
      </c>
      <c r="H58" s="16">
        <f t="shared" si="21"/>
        <v>14</v>
      </c>
      <c r="I58" s="16">
        <f t="shared" si="21"/>
        <v>503</v>
      </c>
      <c r="J58" s="16">
        <f t="shared" si="21"/>
        <v>254</v>
      </c>
      <c r="K58" s="16">
        <f t="shared" si="21"/>
        <v>146</v>
      </c>
      <c r="L58" s="16">
        <f t="shared" si="21"/>
        <v>681</v>
      </c>
      <c r="M58" s="16">
        <f t="shared" si="21"/>
        <v>19694</v>
      </c>
      <c r="N58" s="16">
        <f t="shared" si="21"/>
        <v>11</v>
      </c>
      <c r="O58" s="16">
        <f t="shared" si="21"/>
        <v>11307</v>
      </c>
      <c r="P58" s="16">
        <f t="shared" si="21"/>
        <v>31001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0.13625366923647625</v>
      </c>
      <c r="D59" s="43">
        <f t="shared" si="22"/>
        <v>2.2386374633076352E-2</v>
      </c>
      <c r="E59" s="43">
        <f t="shared" si="22"/>
        <v>1.8225218541337376E-2</v>
      </c>
      <c r="F59" s="43">
        <f t="shared" si="22"/>
        <v>0.13376987839101964</v>
      </c>
      <c r="G59" s="43">
        <f t="shared" si="22"/>
        <v>2.1934776297538789E-3</v>
      </c>
      <c r="H59" s="43">
        <f t="shared" si="22"/>
        <v>4.5159833553756328E-4</v>
      </c>
      <c r="I59" s="43">
        <f t="shared" si="22"/>
        <v>1.6225283055385311E-2</v>
      </c>
      <c r="J59" s="43">
        <f t="shared" si="22"/>
        <v>8.1932840876100775E-3</v>
      </c>
      <c r="K59" s="43">
        <f t="shared" si="22"/>
        <v>4.7095254991774459E-3</v>
      </c>
      <c r="L59" s="43">
        <f t="shared" si="22"/>
        <v>2.1967033321505756E-2</v>
      </c>
      <c r="M59" s="43">
        <f t="shared" si="22"/>
        <v>0.63526983000548365</v>
      </c>
      <c r="N59" s="43">
        <f t="shared" si="22"/>
        <v>3.5482726363665688E-4</v>
      </c>
      <c r="R59" s="8"/>
      <c r="T59"/>
    </row>
    <row r="60" spans="2:20" ht="23.1" customHeight="1" x14ac:dyDescent="0.25">
      <c r="B60" s="42" t="s">
        <v>94</v>
      </c>
      <c r="C60" s="44">
        <f>C58/$O$58</f>
        <v>0.37357389227911914</v>
      </c>
      <c r="D60" s="44">
        <f t="shared" ref="D60:N60" si="23">D58/$O$58</f>
        <v>6.1377907490934816E-2</v>
      </c>
      <c r="E60" s="44">
        <f t="shared" si="23"/>
        <v>4.9969045723887856E-2</v>
      </c>
      <c r="F60" s="44">
        <f t="shared" si="23"/>
        <v>0.36676395153444769</v>
      </c>
      <c r="G60" s="44">
        <f t="shared" si="23"/>
        <v>6.0139736446449101E-3</v>
      </c>
      <c r="H60" s="44">
        <f t="shared" si="23"/>
        <v>1.2381710444857169E-3</v>
      </c>
      <c r="I60" s="44">
        <f t="shared" si="23"/>
        <v>4.4485716812593966E-2</v>
      </c>
      <c r="J60" s="44">
        <f t="shared" si="23"/>
        <v>2.2463960378526576E-2</v>
      </c>
      <c r="K60" s="44">
        <f t="shared" si="23"/>
        <v>1.291235517820819E-2</v>
      </c>
      <c r="L60" s="44">
        <f t="shared" si="23"/>
        <v>6.0228177235340942E-2</v>
      </c>
      <c r="M60" s="44"/>
      <c r="N60" s="44">
        <f t="shared" si="23"/>
        <v>9.7284867781020608E-4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0" t="str">
        <f>'29.07 ClockTower-Nsambya'!G5:H5</f>
        <v>Gapco</v>
      </c>
      <c r="H5" s="61"/>
      <c r="I5" s="14"/>
      <c r="J5" s="2" t="s">
        <v>5</v>
      </c>
      <c r="K5" s="60" t="str">
        <f>'29.07 ClockTower-Nsambya'!K5:L5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ClockTower-Nsambya'!D6:E6</f>
        <v>Clock Tower</v>
      </c>
      <c r="E6" s="61"/>
      <c r="F6" s="2" t="s">
        <v>2</v>
      </c>
      <c r="G6" s="60" t="str">
        <f>'29.07 ClockTower-Nsambya'!G6:H6</f>
        <v>Nsambya</v>
      </c>
      <c r="H6" s="61"/>
      <c r="J6" s="2" t="s">
        <v>21</v>
      </c>
      <c r="K6" s="60" t="str">
        <f>'29.07 ClockTower-Nsambya'!K6:L6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90</v>
      </c>
      <c r="D10" s="50">
        <v>9</v>
      </c>
      <c r="E10" s="50">
        <v>8</v>
      </c>
      <c r="F10" s="50">
        <v>60</v>
      </c>
      <c r="G10" s="50">
        <v>1</v>
      </c>
      <c r="H10" s="50">
        <v>1</v>
      </c>
      <c r="I10" s="50">
        <v>5</v>
      </c>
      <c r="J10" s="50">
        <v>6</v>
      </c>
      <c r="K10" s="50">
        <v>3</v>
      </c>
      <c r="L10" s="50">
        <v>5</v>
      </c>
      <c r="M10" s="50">
        <v>298</v>
      </c>
      <c r="N10" s="50">
        <v>0</v>
      </c>
      <c r="O10" s="15">
        <f t="shared" ref="O10:O57" si="0">SUM(C10:L10,N10)</f>
        <v>188</v>
      </c>
      <c r="P10" s="15">
        <f t="shared" ref="P10:P57" si="1">SUM(C10:N10)</f>
        <v>486</v>
      </c>
      <c r="R10" s="1" t="s">
        <v>6</v>
      </c>
      <c r="S10" s="17">
        <f t="shared" ref="S10:AF10" si="2">SUM(C10:C13)</f>
        <v>402</v>
      </c>
      <c r="T10" s="17">
        <f t="shared" si="2"/>
        <v>49</v>
      </c>
      <c r="U10" s="17">
        <f t="shared" si="2"/>
        <v>42</v>
      </c>
      <c r="V10" s="17">
        <f t="shared" si="2"/>
        <v>236</v>
      </c>
      <c r="W10" s="17">
        <f t="shared" si="2"/>
        <v>5</v>
      </c>
      <c r="X10" s="17">
        <f t="shared" si="2"/>
        <v>2</v>
      </c>
      <c r="Y10" s="17">
        <f t="shared" si="2"/>
        <v>31</v>
      </c>
      <c r="Z10" s="17">
        <f t="shared" si="2"/>
        <v>14</v>
      </c>
      <c r="AA10" s="17">
        <f t="shared" si="2"/>
        <v>10</v>
      </c>
      <c r="AB10" s="17">
        <f t="shared" si="2"/>
        <v>14</v>
      </c>
      <c r="AC10" s="17">
        <f t="shared" si="2"/>
        <v>1417</v>
      </c>
      <c r="AD10" s="17">
        <f t="shared" si="2"/>
        <v>1</v>
      </c>
      <c r="AE10" s="31">
        <f t="shared" si="2"/>
        <v>806</v>
      </c>
      <c r="AF10" s="31">
        <f t="shared" si="2"/>
        <v>2223</v>
      </c>
    </row>
    <row r="11" spans="2:32" s="6" customFormat="1" ht="23.1" customHeight="1" x14ac:dyDescent="0.25">
      <c r="B11" s="23" t="s">
        <v>38</v>
      </c>
      <c r="C11" s="50">
        <v>75</v>
      </c>
      <c r="D11" s="50">
        <v>8</v>
      </c>
      <c r="E11" s="50">
        <v>13</v>
      </c>
      <c r="F11" s="50">
        <v>55</v>
      </c>
      <c r="G11" s="50">
        <v>2</v>
      </c>
      <c r="H11" s="50">
        <v>0</v>
      </c>
      <c r="I11" s="50">
        <v>9</v>
      </c>
      <c r="J11" s="50">
        <v>3</v>
      </c>
      <c r="K11" s="50">
        <v>2</v>
      </c>
      <c r="L11" s="50">
        <v>6</v>
      </c>
      <c r="M11" s="50">
        <v>315</v>
      </c>
      <c r="N11" s="50">
        <v>0</v>
      </c>
      <c r="O11" s="15">
        <f t="shared" si="0"/>
        <v>173</v>
      </c>
      <c r="P11" s="15">
        <f t="shared" si="1"/>
        <v>488</v>
      </c>
      <c r="R11" s="1" t="s">
        <v>7</v>
      </c>
      <c r="S11" s="17">
        <f t="shared" ref="S11:AF11" si="3">SUM(C14:C17)</f>
        <v>485</v>
      </c>
      <c r="T11" s="17">
        <f t="shared" si="3"/>
        <v>62</v>
      </c>
      <c r="U11" s="17">
        <f t="shared" si="3"/>
        <v>51</v>
      </c>
      <c r="V11" s="17">
        <f t="shared" si="3"/>
        <v>273</v>
      </c>
      <c r="W11" s="17">
        <f t="shared" si="3"/>
        <v>2</v>
      </c>
      <c r="X11" s="17">
        <f t="shared" si="3"/>
        <v>1</v>
      </c>
      <c r="Y11" s="17">
        <f t="shared" si="3"/>
        <v>25</v>
      </c>
      <c r="Z11" s="17">
        <f t="shared" si="3"/>
        <v>9</v>
      </c>
      <c r="AA11" s="17">
        <f t="shared" si="3"/>
        <v>15</v>
      </c>
      <c r="AB11" s="17">
        <f t="shared" si="3"/>
        <v>6</v>
      </c>
      <c r="AC11" s="17">
        <f t="shared" si="3"/>
        <v>1633</v>
      </c>
      <c r="AD11" s="17">
        <f t="shared" si="3"/>
        <v>1</v>
      </c>
      <c r="AE11" s="31">
        <f t="shared" si="3"/>
        <v>930</v>
      </c>
      <c r="AF11" s="31">
        <f t="shared" si="3"/>
        <v>2563</v>
      </c>
    </row>
    <row r="12" spans="2:32" ht="23.1" customHeight="1" x14ac:dyDescent="0.25">
      <c r="B12" s="23" t="s">
        <v>39</v>
      </c>
      <c r="C12" s="50">
        <v>110</v>
      </c>
      <c r="D12" s="50">
        <v>15</v>
      </c>
      <c r="E12" s="50">
        <v>15</v>
      </c>
      <c r="F12" s="50">
        <v>56</v>
      </c>
      <c r="G12" s="50">
        <v>2</v>
      </c>
      <c r="H12" s="50">
        <v>0</v>
      </c>
      <c r="I12" s="50">
        <v>4</v>
      </c>
      <c r="J12" s="50">
        <v>3</v>
      </c>
      <c r="K12" s="50">
        <v>4</v>
      </c>
      <c r="L12" s="50">
        <v>1</v>
      </c>
      <c r="M12" s="50">
        <v>388</v>
      </c>
      <c r="N12" s="50">
        <v>1</v>
      </c>
      <c r="O12" s="15">
        <f t="shared" si="0"/>
        <v>211</v>
      </c>
      <c r="P12" s="15">
        <f t="shared" si="1"/>
        <v>599</v>
      </c>
      <c r="R12" s="1" t="s">
        <v>8</v>
      </c>
      <c r="S12" s="17">
        <f t="shared" ref="S12:AF12" si="4">SUM(C18:C21)</f>
        <v>450</v>
      </c>
      <c r="T12" s="17">
        <f t="shared" si="4"/>
        <v>42</v>
      </c>
      <c r="U12" s="17">
        <f t="shared" si="4"/>
        <v>48</v>
      </c>
      <c r="V12" s="17">
        <f t="shared" si="4"/>
        <v>396</v>
      </c>
      <c r="W12" s="17">
        <f t="shared" si="4"/>
        <v>9</v>
      </c>
      <c r="X12" s="17">
        <f t="shared" si="4"/>
        <v>2</v>
      </c>
      <c r="Y12" s="17">
        <f t="shared" si="4"/>
        <v>31</v>
      </c>
      <c r="Z12" s="17">
        <f t="shared" si="4"/>
        <v>16</v>
      </c>
      <c r="AA12" s="17">
        <f t="shared" si="4"/>
        <v>7</v>
      </c>
      <c r="AB12" s="17">
        <f t="shared" si="4"/>
        <v>6</v>
      </c>
      <c r="AC12" s="17">
        <f t="shared" si="4"/>
        <v>2245</v>
      </c>
      <c r="AD12" s="17">
        <f t="shared" si="4"/>
        <v>3</v>
      </c>
      <c r="AE12" s="31">
        <f t="shared" si="4"/>
        <v>1010</v>
      </c>
      <c r="AF12" s="31">
        <f t="shared" si="4"/>
        <v>3255</v>
      </c>
    </row>
    <row r="13" spans="2:32" ht="23.1" customHeight="1" x14ac:dyDescent="0.25">
      <c r="B13" s="23" t="s">
        <v>40</v>
      </c>
      <c r="C13" s="50">
        <v>127</v>
      </c>
      <c r="D13" s="50">
        <v>17</v>
      </c>
      <c r="E13" s="50">
        <v>6</v>
      </c>
      <c r="F13" s="50">
        <v>65</v>
      </c>
      <c r="G13" s="50">
        <v>0</v>
      </c>
      <c r="H13" s="50">
        <v>1</v>
      </c>
      <c r="I13" s="50">
        <v>13</v>
      </c>
      <c r="J13" s="50">
        <v>2</v>
      </c>
      <c r="K13" s="50">
        <v>1</v>
      </c>
      <c r="L13" s="50">
        <v>2</v>
      </c>
      <c r="M13" s="50">
        <v>416</v>
      </c>
      <c r="N13" s="50">
        <v>0</v>
      </c>
      <c r="O13" s="15">
        <f t="shared" si="0"/>
        <v>234</v>
      </c>
      <c r="P13" s="15">
        <f t="shared" si="1"/>
        <v>650</v>
      </c>
      <c r="R13" s="1" t="s">
        <v>9</v>
      </c>
      <c r="S13" s="17">
        <f t="shared" ref="S13:AF13" si="5">SUM(C22:C25)</f>
        <v>356</v>
      </c>
      <c r="T13" s="17">
        <f t="shared" si="5"/>
        <v>57</v>
      </c>
      <c r="U13" s="17">
        <f t="shared" si="5"/>
        <v>47</v>
      </c>
      <c r="V13" s="17">
        <f t="shared" si="5"/>
        <v>449</v>
      </c>
      <c r="W13" s="17">
        <f t="shared" si="5"/>
        <v>8</v>
      </c>
      <c r="X13" s="17">
        <f t="shared" si="5"/>
        <v>2</v>
      </c>
      <c r="Y13" s="17">
        <f t="shared" si="5"/>
        <v>36</v>
      </c>
      <c r="Z13" s="17">
        <f t="shared" si="5"/>
        <v>23</v>
      </c>
      <c r="AA13" s="17">
        <f t="shared" si="5"/>
        <v>10</v>
      </c>
      <c r="AB13" s="17">
        <f t="shared" si="5"/>
        <v>19</v>
      </c>
      <c r="AC13" s="17">
        <f t="shared" si="5"/>
        <v>2020</v>
      </c>
      <c r="AD13" s="17">
        <f t="shared" si="5"/>
        <v>0</v>
      </c>
      <c r="AE13" s="31">
        <f t="shared" si="5"/>
        <v>1007</v>
      </c>
      <c r="AF13" s="31">
        <f t="shared" si="5"/>
        <v>3027</v>
      </c>
    </row>
    <row r="14" spans="2:32" ht="23.1" customHeight="1" x14ac:dyDescent="0.25">
      <c r="B14" s="23" t="s">
        <v>41</v>
      </c>
      <c r="C14" s="50">
        <v>140</v>
      </c>
      <c r="D14" s="50">
        <v>21</v>
      </c>
      <c r="E14" s="50">
        <v>11</v>
      </c>
      <c r="F14" s="50">
        <v>70</v>
      </c>
      <c r="G14" s="50">
        <v>1</v>
      </c>
      <c r="H14" s="50">
        <v>0</v>
      </c>
      <c r="I14" s="50">
        <v>8</v>
      </c>
      <c r="J14" s="50">
        <v>3</v>
      </c>
      <c r="K14" s="50">
        <v>8</v>
      </c>
      <c r="L14" s="50">
        <v>1</v>
      </c>
      <c r="M14" s="50">
        <v>406</v>
      </c>
      <c r="N14" s="50">
        <v>0</v>
      </c>
      <c r="O14" s="15">
        <f t="shared" si="0"/>
        <v>263</v>
      </c>
      <c r="P14" s="15">
        <f t="shared" si="1"/>
        <v>669</v>
      </c>
      <c r="R14" s="1" t="s">
        <v>10</v>
      </c>
      <c r="S14" s="17">
        <f t="shared" ref="S14:AF14" si="6">SUM(C26:C29)</f>
        <v>380</v>
      </c>
      <c r="T14" s="17">
        <f t="shared" si="6"/>
        <v>62</v>
      </c>
      <c r="U14" s="17">
        <f t="shared" si="6"/>
        <v>52</v>
      </c>
      <c r="V14" s="17">
        <f t="shared" si="6"/>
        <v>402</v>
      </c>
      <c r="W14" s="17">
        <f t="shared" si="6"/>
        <v>7</v>
      </c>
      <c r="X14" s="17">
        <f t="shared" si="6"/>
        <v>1</v>
      </c>
      <c r="Y14" s="17">
        <f t="shared" si="6"/>
        <v>39</v>
      </c>
      <c r="Z14" s="17">
        <f t="shared" si="6"/>
        <v>24</v>
      </c>
      <c r="AA14" s="17">
        <f t="shared" si="6"/>
        <v>15</v>
      </c>
      <c r="AB14" s="17">
        <f t="shared" si="6"/>
        <v>23</v>
      </c>
      <c r="AC14" s="17">
        <f t="shared" si="6"/>
        <v>2060</v>
      </c>
      <c r="AD14" s="17">
        <f t="shared" si="6"/>
        <v>0</v>
      </c>
      <c r="AE14" s="31">
        <f t="shared" si="6"/>
        <v>1005</v>
      </c>
      <c r="AF14" s="31">
        <f t="shared" si="6"/>
        <v>3065</v>
      </c>
    </row>
    <row r="15" spans="2:32" ht="23.1" customHeight="1" x14ac:dyDescent="0.25">
      <c r="B15" s="23" t="s">
        <v>42</v>
      </c>
      <c r="C15" s="50">
        <v>90</v>
      </c>
      <c r="D15" s="50">
        <v>7</v>
      </c>
      <c r="E15" s="50">
        <v>12</v>
      </c>
      <c r="F15" s="50">
        <v>66</v>
      </c>
      <c r="G15" s="50">
        <v>0</v>
      </c>
      <c r="H15" s="50">
        <v>0</v>
      </c>
      <c r="I15" s="50">
        <v>7</v>
      </c>
      <c r="J15" s="50">
        <v>2</v>
      </c>
      <c r="K15" s="50">
        <v>3</v>
      </c>
      <c r="L15" s="50">
        <v>2</v>
      </c>
      <c r="M15" s="50">
        <v>387</v>
      </c>
      <c r="N15" s="50">
        <v>0</v>
      </c>
      <c r="O15" s="15">
        <f t="shared" si="0"/>
        <v>189</v>
      </c>
      <c r="P15" s="15">
        <f t="shared" si="1"/>
        <v>576</v>
      </c>
      <c r="R15" s="1" t="s">
        <v>11</v>
      </c>
      <c r="S15" s="17">
        <f t="shared" ref="S15:AF15" si="7">SUM(C30:C33)</f>
        <v>414</v>
      </c>
      <c r="T15" s="17">
        <f t="shared" si="7"/>
        <v>39</v>
      </c>
      <c r="U15" s="17">
        <f t="shared" si="7"/>
        <v>36</v>
      </c>
      <c r="V15" s="17">
        <f t="shared" si="7"/>
        <v>435</v>
      </c>
      <c r="W15" s="17">
        <f t="shared" si="7"/>
        <v>8</v>
      </c>
      <c r="X15" s="17">
        <f t="shared" si="7"/>
        <v>3</v>
      </c>
      <c r="Y15" s="17">
        <f t="shared" si="7"/>
        <v>32</v>
      </c>
      <c r="Z15" s="17">
        <f t="shared" si="7"/>
        <v>32</v>
      </c>
      <c r="AA15" s="17">
        <f t="shared" si="7"/>
        <v>22</v>
      </c>
      <c r="AB15" s="17">
        <f t="shared" si="7"/>
        <v>19</v>
      </c>
      <c r="AC15" s="17">
        <f t="shared" si="7"/>
        <v>1965</v>
      </c>
      <c r="AD15" s="17">
        <f t="shared" si="7"/>
        <v>0</v>
      </c>
      <c r="AE15" s="31">
        <f t="shared" si="7"/>
        <v>1040</v>
      </c>
      <c r="AF15" s="31">
        <f t="shared" si="7"/>
        <v>3005</v>
      </c>
    </row>
    <row r="16" spans="2:32" ht="23.1" customHeight="1" x14ac:dyDescent="0.25">
      <c r="B16" s="23" t="s">
        <v>43</v>
      </c>
      <c r="C16" s="50">
        <v>105</v>
      </c>
      <c r="D16" s="50">
        <v>23</v>
      </c>
      <c r="E16" s="50">
        <v>16</v>
      </c>
      <c r="F16" s="50">
        <v>60</v>
      </c>
      <c r="G16" s="50">
        <v>1</v>
      </c>
      <c r="H16" s="50">
        <v>0</v>
      </c>
      <c r="I16" s="50">
        <v>5</v>
      </c>
      <c r="J16" s="50">
        <v>2</v>
      </c>
      <c r="K16" s="50">
        <v>4</v>
      </c>
      <c r="L16" s="50">
        <v>2</v>
      </c>
      <c r="M16" s="50">
        <v>418</v>
      </c>
      <c r="N16" s="50">
        <v>1</v>
      </c>
      <c r="O16" s="15">
        <f t="shared" si="0"/>
        <v>219</v>
      </c>
      <c r="P16" s="15">
        <f t="shared" si="1"/>
        <v>637</v>
      </c>
      <c r="R16" s="1" t="s">
        <v>12</v>
      </c>
      <c r="S16" s="17">
        <f t="shared" ref="S16:AF16" si="8">SUM(C34:C37)</f>
        <v>405</v>
      </c>
      <c r="T16" s="17">
        <f t="shared" si="8"/>
        <v>61</v>
      </c>
      <c r="U16" s="17">
        <f t="shared" si="8"/>
        <v>69</v>
      </c>
      <c r="V16" s="17">
        <f t="shared" si="8"/>
        <v>360</v>
      </c>
      <c r="W16" s="17">
        <f t="shared" si="8"/>
        <v>14</v>
      </c>
      <c r="X16" s="17">
        <f t="shared" si="8"/>
        <v>3</v>
      </c>
      <c r="Y16" s="17">
        <f t="shared" si="8"/>
        <v>47</v>
      </c>
      <c r="Z16" s="17">
        <f t="shared" si="8"/>
        <v>39</v>
      </c>
      <c r="AA16" s="17">
        <f t="shared" si="8"/>
        <v>24</v>
      </c>
      <c r="AB16" s="17">
        <f t="shared" si="8"/>
        <v>21</v>
      </c>
      <c r="AC16" s="17">
        <f t="shared" si="8"/>
        <v>2086</v>
      </c>
      <c r="AD16" s="17">
        <f t="shared" si="8"/>
        <v>3</v>
      </c>
      <c r="AE16" s="31">
        <f t="shared" si="8"/>
        <v>1046</v>
      </c>
      <c r="AF16" s="31">
        <f t="shared" si="8"/>
        <v>3132</v>
      </c>
    </row>
    <row r="17" spans="2:32" ht="23.1" customHeight="1" x14ac:dyDescent="0.25">
      <c r="B17" s="23" t="s">
        <v>44</v>
      </c>
      <c r="C17" s="50">
        <v>150</v>
      </c>
      <c r="D17" s="50">
        <v>11</v>
      </c>
      <c r="E17" s="50">
        <v>12</v>
      </c>
      <c r="F17" s="50">
        <v>77</v>
      </c>
      <c r="G17" s="50">
        <v>0</v>
      </c>
      <c r="H17" s="50">
        <v>1</v>
      </c>
      <c r="I17" s="50">
        <v>5</v>
      </c>
      <c r="J17" s="50">
        <v>2</v>
      </c>
      <c r="K17" s="50">
        <v>0</v>
      </c>
      <c r="L17" s="50">
        <v>1</v>
      </c>
      <c r="M17" s="50">
        <v>422</v>
      </c>
      <c r="N17" s="50">
        <v>0</v>
      </c>
      <c r="O17" s="15">
        <f t="shared" si="0"/>
        <v>259</v>
      </c>
      <c r="P17" s="15">
        <f t="shared" si="1"/>
        <v>681</v>
      </c>
      <c r="R17" s="1" t="s">
        <v>13</v>
      </c>
      <c r="S17" s="17">
        <f t="shared" ref="S17:AF17" si="9">SUM(C38:C41)</f>
        <v>430</v>
      </c>
      <c r="T17" s="17">
        <f t="shared" si="9"/>
        <v>62</v>
      </c>
      <c r="U17" s="17">
        <f t="shared" si="9"/>
        <v>57</v>
      </c>
      <c r="V17" s="17">
        <f t="shared" si="9"/>
        <v>343</v>
      </c>
      <c r="W17" s="17">
        <f t="shared" si="9"/>
        <v>13</v>
      </c>
      <c r="X17" s="17">
        <f t="shared" si="9"/>
        <v>0</v>
      </c>
      <c r="Y17" s="17">
        <f t="shared" si="9"/>
        <v>47</v>
      </c>
      <c r="Z17" s="17">
        <f t="shared" si="9"/>
        <v>33</v>
      </c>
      <c r="AA17" s="17">
        <f t="shared" si="9"/>
        <v>24</v>
      </c>
      <c r="AB17" s="17">
        <f t="shared" si="9"/>
        <v>22</v>
      </c>
      <c r="AC17" s="17">
        <f t="shared" si="9"/>
        <v>2275</v>
      </c>
      <c r="AD17" s="17">
        <f t="shared" si="9"/>
        <v>7</v>
      </c>
      <c r="AE17" s="31">
        <f t="shared" si="9"/>
        <v>1038</v>
      </c>
      <c r="AF17" s="31">
        <f t="shared" si="9"/>
        <v>3313</v>
      </c>
    </row>
    <row r="18" spans="2:32" ht="23.1" customHeight="1" x14ac:dyDescent="0.25">
      <c r="B18" s="23" t="s">
        <v>45</v>
      </c>
      <c r="C18" s="50">
        <v>115</v>
      </c>
      <c r="D18" s="50">
        <v>12</v>
      </c>
      <c r="E18" s="50">
        <v>6</v>
      </c>
      <c r="F18" s="50">
        <v>100</v>
      </c>
      <c r="G18" s="50">
        <v>3</v>
      </c>
      <c r="H18" s="50">
        <v>1</v>
      </c>
      <c r="I18" s="50">
        <v>9</v>
      </c>
      <c r="J18" s="50">
        <v>8</v>
      </c>
      <c r="K18" s="50">
        <v>0</v>
      </c>
      <c r="L18" s="50">
        <v>0</v>
      </c>
      <c r="M18" s="50">
        <v>685</v>
      </c>
      <c r="N18" s="50">
        <v>1</v>
      </c>
      <c r="O18" s="15">
        <f t="shared" si="0"/>
        <v>255</v>
      </c>
      <c r="P18" s="15">
        <f t="shared" si="1"/>
        <v>940</v>
      </c>
      <c r="R18" s="1" t="s">
        <v>14</v>
      </c>
      <c r="S18" s="17">
        <f t="shared" ref="S18:AF18" si="10">SUM(C42:C45)</f>
        <v>378</v>
      </c>
      <c r="T18" s="17">
        <f t="shared" si="10"/>
        <v>95</v>
      </c>
      <c r="U18" s="17">
        <f t="shared" si="10"/>
        <v>67</v>
      </c>
      <c r="V18" s="17">
        <f t="shared" si="10"/>
        <v>424</v>
      </c>
      <c r="W18" s="17">
        <f t="shared" si="10"/>
        <v>7</v>
      </c>
      <c r="X18" s="17">
        <f t="shared" si="10"/>
        <v>0</v>
      </c>
      <c r="Y18" s="17">
        <f t="shared" si="10"/>
        <v>52</v>
      </c>
      <c r="Z18" s="17">
        <f t="shared" si="10"/>
        <v>29</v>
      </c>
      <c r="AA18" s="17">
        <f t="shared" si="10"/>
        <v>24</v>
      </c>
      <c r="AB18" s="17">
        <f t="shared" si="10"/>
        <v>20</v>
      </c>
      <c r="AC18" s="17">
        <f t="shared" si="10"/>
        <v>2201</v>
      </c>
      <c r="AD18" s="17">
        <f t="shared" si="10"/>
        <v>0</v>
      </c>
      <c r="AE18" s="31">
        <f t="shared" si="10"/>
        <v>1096</v>
      </c>
      <c r="AF18" s="31">
        <f t="shared" si="10"/>
        <v>3297</v>
      </c>
    </row>
    <row r="19" spans="2:32" ht="23.1" customHeight="1" x14ac:dyDescent="0.25">
      <c r="B19" s="23" t="s">
        <v>46</v>
      </c>
      <c r="C19" s="50">
        <v>170</v>
      </c>
      <c r="D19" s="50">
        <v>12</v>
      </c>
      <c r="E19" s="50">
        <v>23</v>
      </c>
      <c r="F19" s="50">
        <v>80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3</v>
      </c>
      <c r="M19" s="50">
        <v>625</v>
      </c>
      <c r="N19" s="50">
        <v>0</v>
      </c>
      <c r="O19" s="15">
        <f t="shared" si="0"/>
        <v>291</v>
      </c>
      <c r="P19" s="15">
        <f t="shared" si="1"/>
        <v>916</v>
      </c>
      <c r="R19" s="1" t="s">
        <v>15</v>
      </c>
      <c r="S19" s="17">
        <f t="shared" ref="S19:AF19" si="11">SUM(C46:C49)</f>
        <v>393</v>
      </c>
      <c r="T19" s="17">
        <f t="shared" si="11"/>
        <v>66</v>
      </c>
      <c r="U19" s="17">
        <f t="shared" si="11"/>
        <v>59</v>
      </c>
      <c r="V19" s="17">
        <f t="shared" si="11"/>
        <v>390</v>
      </c>
      <c r="W19" s="17">
        <f t="shared" si="11"/>
        <v>4</v>
      </c>
      <c r="X19" s="17">
        <f t="shared" si="11"/>
        <v>0</v>
      </c>
      <c r="Y19" s="17">
        <f t="shared" si="11"/>
        <v>30</v>
      </c>
      <c r="Z19" s="17">
        <f t="shared" si="11"/>
        <v>31</v>
      </c>
      <c r="AA19" s="17">
        <f t="shared" si="11"/>
        <v>29</v>
      </c>
      <c r="AB19" s="17">
        <f t="shared" si="11"/>
        <v>24</v>
      </c>
      <c r="AC19" s="17">
        <f t="shared" si="11"/>
        <v>1749</v>
      </c>
      <c r="AD19" s="17">
        <f t="shared" si="11"/>
        <v>2</v>
      </c>
      <c r="AE19" s="31">
        <f t="shared" si="11"/>
        <v>1028</v>
      </c>
      <c r="AF19" s="31">
        <f t="shared" si="11"/>
        <v>2777</v>
      </c>
    </row>
    <row r="20" spans="2:32" ht="23.1" customHeight="1" x14ac:dyDescent="0.25">
      <c r="B20" s="23" t="s">
        <v>47</v>
      </c>
      <c r="C20" s="50">
        <v>105</v>
      </c>
      <c r="D20" s="50">
        <v>8</v>
      </c>
      <c r="E20" s="50">
        <v>12</v>
      </c>
      <c r="F20" s="50">
        <v>106</v>
      </c>
      <c r="G20" s="50">
        <v>6</v>
      </c>
      <c r="H20" s="50">
        <v>1</v>
      </c>
      <c r="I20" s="50">
        <v>17</v>
      </c>
      <c r="J20" s="50">
        <v>3</v>
      </c>
      <c r="K20" s="50">
        <v>2</v>
      </c>
      <c r="L20" s="50">
        <v>1</v>
      </c>
      <c r="M20" s="50">
        <v>510</v>
      </c>
      <c r="N20" s="50">
        <v>1</v>
      </c>
      <c r="O20" s="15">
        <f t="shared" si="0"/>
        <v>262</v>
      </c>
      <c r="P20" s="15">
        <f t="shared" si="1"/>
        <v>772</v>
      </c>
      <c r="R20" s="1" t="s">
        <v>16</v>
      </c>
      <c r="S20" s="17">
        <f t="shared" ref="S20:AF20" si="12">SUM(C50:C53)</f>
        <v>380</v>
      </c>
      <c r="T20" s="17">
        <f t="shared" si="12"/>
        <v>47</v>
      </c>
      <c r="U20" s="17">
        <f t="shared" si="12"/>
        <v>62</v>
      </c>
      <c r="V20" s="17">
        <f t="shared" si="12"/>
        <v>281</v>
      </c>
      <c r="W20" s="17">
        <f t="shared" si="12"/>
        <v>4</v>
      </c>
      <c r="X20" s="17">
        <f t="shared" si="12"/>
        <v>0</v>
      </c>
      <c r="Y20" s="17">
        <f t="shared" si="12"/>
        <v>34</v>
      </c>
      <c r="Z20" s="17">
        <f t="shared" si="12"/>
        <v>20</v>
      </c>
      <c r="AA20" s="17">
        <f t="shared" si="12"/>
        <v>10</v>
      </c>
      <c r="AB20" s="17">
        <f t="shared" si="12"/>
        <v>12</v>
      </c>
      <c r="AC20" s="17">
        <f t="shared" si="12"/>
        <v>1719</v>
      </c>
      <c r="AD20" s="17">
        <f t="shared" si="12"/>
        <v>0</v>
      </c>
      <c r="AE20" s="31">
        <f t="shared" si="12"/>
        <v>850</v>
      </c>
      <c r="AF20" s="31">
        <f t="shared" si="12"/>
        <v>2569</v>
      </c>
    </row>
    <row r="21" spans="2:32" ht="23.1" customHeight="1" x14ac:dyDescent="0.25">
      <c r="B21" s="23" t="s">
        <v>48</v>
      </c>
      <c r="C21" s="50">
        <v>60</v>
      </c>
      <c r="D21" s="50">
        <v>10</v>
      </c>
      <c r="E21" s="50">
        <v>7</v>
      </c>
      <c r="F21" s="50">
        <v>110</v>
      </c>
      <c r="G21" s="50">
        <v>0</v>
      </c>
      <c r="H21" s="50">
        <v>0</v>
      </c>
      <c r="I21" s="50">
        <v>3</v>
      </c>
      <c r="J21" s="50">
        <v>4</v>
      </c>
      <c r="K21" s="50">
        <v>5</v>
      </c>
      <c r="L21" s="50">
        <v>2</v>
      </c>
      <c r="M21" s="50">
        <v>425</v>
      </c>
      <c r="N21" s="50">
        <v>1</v>
      </c>
      <c r="O21" s="15">
        <f t="shared" si="0"/>
        <v>202</v>
      </c>
      <c r="P21" s="15">
        <f t="shared" si="1"/>
        <v>627</v>
      </c>
      <c r="R21" s="36" t="s">
        <v>20</v>
      </c>
      <c r="S21" s="34">
        <f t="shared" ref="S21:AF21" si="13">SUM(C54:C57)</f>
        <v>248</v>
      </c>
      <c r="T21" s="17">
        <f t="shared" si="13"/>
        <v>45</v>
      </c>
      <c r="U21" s="17">
        <f t="shared" si="13"/>
        <v>33</v>
      </c>
      <c r="V21" s="17">
        <f t="shared" si="13"/>
        <v>172</v>
      </c>
      <c r="W21" s="17">
        <f t="shared" si="13"/>
        <v>5</v>
      </c>
      <c r="X21" s="17">
        <f t="shared" si="13"/>
        <v>2</v>
      </c>
      <c r="Y21" s="17">
        <f t="shared" si="13"/>
        <v>18</v>
      </c>
      <c r="Z21" s="17">
        <f t="shared" si="13"/>
        <v>23</v>
      </c>
      <c r="AA21" s="17">
        <f t="shared" si="13"/>
        <v>6</v>
      </c>
      <c r="AB21" s="17">
        <f t="shared" si="13"/>
        <v>8</v>
      </c>
      <c r="AC21" s="17">
        <f t="shared" si="13"/>
        <v>2130</v>
      </c>
      <c r="AD21" s="17">
        <f t="shared" si="13"/>
        <v>3</v>
      </c>
      <c r="AE21" s="31">
        <f t="shared" si="13"/>
        <v>563</v>
      </c>
      <c r="AF21" s="31">
        <f t="shared" si="13"/>
        <v>2693</v>
      </c>
    </row>
    <row r="22" spans="2:32" ht="23.1" customHeight="1" x14ac:dyDescent="0.25">
      <c r="B22" s="23" t="s">
        <v>49</v>
      </c>
      <c r="C22" s="50">
        <v>75</v>
      </c>
      <c r="D22" s="50">
        <v>7</v>
      </c>
      <c r="E22" s="50">
        <v>8</v>
      </c>
      <c r="F22" s="50">
        <v>135</v>
      </c>
      <c r="G22" s="50">
        <v>4</v>
      </c>
      <c r="H22" s="50">
        <v>1</v>
      </c>
      <c r="I22" s="50">
        <v>6</v>
      </c>
      <c r="J22" s="50">
        <v>3</v>
      </c>
      <c r="K22" s="50">
        <v>1</v>
      </c>
      <c r="L22" s="50">
        <v>5</v>
      </c>
      <c r="M22" s="50">
        <v>465</v>
      </c>
      <c r="N22" s="50">
        <v>0</v>
      </c>
      <c r="O22" s="15">
        <f t="shared" si="0"/>
        <v>245</v>
      </c>
      <c r="P22" s="15">
        <f t="shared" si="1"/>
        <v>710</v>
      </c>
      <c r="R22" s="38" t="s">
        <v>90</v>
      </c>
      <c r="S22" s="39">
        <f>MAX(S10:S12)</f>
        <v>485</v>
      </c>
      <c r="T22" s="39">
        <f t="shared" ref="T22:AF22" si="14">MAX(T10:T12)</f>
        <v>62</v>
      </c>
      <c r="U22" s="39">
        <f t="shared" si="14"/>
        <v>51</v>
      </c>
      <c r="V22" s="39">
        <f t="shared" si="14"/>
        <v>396</v>
      </c>
      <c r="W22" s="39">
        <f t="shared" si="14"/>
        <v>9</v>
      </c>
      <c r="X22" s="39">
        <f t="shared" si="14"/>
        <v>2</v>
      </c>
      <c r="Y22" s="39">
        <f t="shared" si="14"/>
        <v>31</v>
      </c>
      <c r="Z22" s="39">
        <f t="shared" si="14"/>
        <v>16</v>
      </c>
      <c r="AA22" s="39">
        <f t="shared" si="14"/>
        <v>15</v>
      </c>
      <c r="AB22" s="39">
        <f t="shared" si="14"/>
        <v>14</v>
      </c>
      <c r="AC22" s="39">
        <f t="shared" si="14"/>
        <v>2245</v>
      </c>
      <c r="AD22" s="39">
        <f t="shared" si="14"/>
        <v>3</v>
      </c>
      <c r="AE22" s="40">
        <f t="shared" si="14"/>
        <v>1010</v>
      </c>
      <c r="AF22" s="40">
        <f t="shared" si="14"/>
        <v>3255</v>
      </c>
    </row>
    <row r="23" spans="2:32" ht="23.1" customHeight="1" x14ac:dyDescent="0.25">
      <c r="B23" s="23" t="s">
        <v>50</v>
      </c>
      <c r="C23" s="50">
        <v>95</v>
      </c>
      <c r="D23" s="50">
        <v>11</v>
      </c>
      <c r="E23" s="50">
        <v>12</v>
      </c>
      <c r="F23" s="50">
        <v>94</v>
      </c>
      <c r="G23" s="50">
        <v>0</v>
      </c>
      <c r="H23" s="50">
        <v>1</v>
      </c>
      <c r="I23" s="50">
        <v>13</v>
      </c>
      <c r="J23" s="50">
        <v>5</v>
      </c>
      <c r="K23" s="50">
        <v>5</v>
      </c>
      <c r="L23" s="50">
        <v>3</v>
      </c>
      <c r="M23" s="50">
        <v>475</v>
      </c>
      <c r="N23" s="50">
        <v>0</v>
      </c>
      <c r="O23" s="15">
        <f t="shared" si="0"/>
        <v>239</v>
      </c>
      <c r="P23" s="15">
        <f t="shared" si="1"/>
        <v>714</v>
      </c>
      <c r="R23" s="38" t="s">
        <v>91</v>
      </c>
      <c r="S23" s="39">
        <f>MAX(S13:S18)</f>
        <v>430</v>
      </c>
      <c r="T23" s="39">
        <f t="shared" ref="T23:AF23" si="15">MAX(T13:T18)</f>
        <v>95</v>
      </c>
      <c r="U23" s="39">
        <f t="shared" si="15"/>
        <v>69</v>
      </c>
      <c r="V23" s="39">
        <f t="shared" si="15"/>
        <v>449</v>
      </c>
      <c r="W23" s="39">
        <f t="shared" si="15"/>
        <v>14</v>
      </c>
      <c r="X23" s="39">
        <f t="shared" si="15"/>
        <v>3</v>
      </c>
      <c r="Y23" s="39">
        <f t="shared" si="15"/>
        <v>52</v>
      </c>
      <c r="Z23" s="39">
        <f t="shared" si="15"/>
        <v>39</v>
      </c>
      <c r="AA23" s="39">
        <f t="shared" si="15"/>
        <v>24</v>
      </c>
      <c r="AB23" s="39">
        <f t="shared" si="15"/>
        <v>23</v>
      </c>
      <c r="AC23" s="39">
        <f t="shared" si="15"/>
        <v>2275</v>
      </c>
      <c r="AD23" s="39">
        <f t="shared" si="15"/>
        <v>7</v>
      </c>
      <c r="AE23" s="40">
        <f t="shared" si="15"/>
        <v>1096</v>
      </c>
      <c r="AF23" s="40">
        <f t="shared" si="15"/>
        <v>3313</v>
      </c>
    </row>
    <row r="24" spans="2:32" ht="23.1" customHeight="1" x14ac:dyDescent="0.25">
      <c r="B24" s="23" t="s">
        <v>51</v>
      </c>
      <c r="C24" s="50">
        <v>106</v>
      </c>
      <c r="D24" s="50">
        <v>9</v>
      </c>
      <c r="E24" s="50">
        <v>13</v>
      </c>
      <c r="F24" s="50">
        <v>120</v>
      </c>
      <c r="G24" s="50">
        <v>3</v>
      </c>
      <c r="H24" s="50">
        <v>0</v>
      </c>
      <c r="I24" s="50">
        <v>7</v>
      </c>
      <c r="J24" s="50">
        <v>6</v>
      </c>
      <c r="K24" s="50">
        <v>3</v>
      </c>
      <c r="L24" s="50">
        <v>5</v>
      </c>
      <c r="M24" s="50">
        <v>515</v>
      </c>
      <c r="N24" s="50">
        <v>0</v>
      </c>
      <c r="O24" s="15">
        <f t="shared" si="0"/>
        <v>272</v>
      </c>
      <c r="P24" s="15">
        <f t="shared" si="1"/>
        <v>787</v>
      </c>
      <c r="R24" s="38" t="s">
        <v>92</v>
      </c>
      <c r="S24" s="39">
        <f>MAX(S19:S21)</f>
        <v>393</v>
      </c>
      <c r="T24" s="39">
        <f t="shared" ref="T24:AF24" si="16">MAX(T19:T21)</f>
        <v>66</v>
      </c>
      <c r="U24" s="39">
        <f t="shared" si="16"/>
        <v>62</v>
      </c>
      <c r="V24" s="39">
        <f t="shared" si="16"/>
        <v>390</v>
      </c>
      <c r="W24" s="39">
        <f t="shared" si="16"/>
        <v>5</v>
      </c>
      <c r="X24" s="39">
        <f t="shared" si="16"/>
        <v>2</v>
      </c>
      <c r="Y24" s="39">
        <f t="shared" si="16"/>
        <v>34</v>
      </c>
      <c r="Z24" s="39">
        <f t="shared" si="16"/>
        <v>31</v>
      </c>
      <c r="AA24" s="39">
        <f t="shared" si="16"/>
        <v>29</v>
      </c>
      <c r="AB24" s="39">
        <f t="shared" si="16"/>
        <v>24</v>
      </c>
      <c r="AC24" s="39">
        <f t="shared" si="16"/>
        <v>2130</v>
      </c>
      <c r="AD24" s="39">
        <f t="shared" si="16"/>
        <v>3</v>
      </c>
      <c r="AE24" s="40">
        <f t="shared" si="16"/>
        <v>1028</v>
      </c>
      <c r="AF24" s="40">
        <f t="shared" si="16"/>
        <v>2777</v>
      </c>
    </row>
    <row r="25" spans="2:32" ht="23.1" customHeight="1" x14ac:dyDescent="0.25">
      <c r="B25" s="23" t="s">
        <v>52</v>
      </c>
      <c r="C25" s="50">
        <v>80</v>
      </c>
      <c r="D25" s="50">
        <v>30</v>
      </c>
      <c r="E25" s="50">
        <v>14</v>
      </c>
      <c r="F25" s="50">
        <v>100</v>
      </c>
      <c r="G25" s="50">
        <v>1</v>
      </c>
      <c r="H25" s="50">
        <v>0</v>
      </c>
      <c r="I25" s="50">
        <v>10</v>
      </c>
      <c r="J25" s="50">
        <v>9</v>
      </c>
      <c r="K25" s="50">
        <v>1</v>
      </c>
      <c r="L25" s="50">
        <v>6</v>
      </c>
      <c r="M25" s="50">
        <v>565</v>
      </c>
      <c r="N25" s="50">
        <v>0</v>
      </c>
      <c r="O25" s="15">
        <f t="shared" si="0"/>
        <v>251</v>
      </c>
      <c r="P25" s="15">
        <f t="shared" si="1"/>
        <v>816</v>
      </c>
      <c r="R25" s="37" t="s">
        <v>85</v>
      </c>
      <c r="S25" s="35">
        <f t="shared" ref="S25:AF25" si="17">SUM(S10:S12)</f>
        <v>1337</v>
      </c>
      <c r="T25" s="16">
        <f t="shared" si="17"/>
        <v>153</v>
      </c>
      <c r="U25" s="16">
        <f t="shared" si="17"/>
        <v>141</v>
      </c>
      <c r="V25" s="16">
        <f t="shared" si="17"/>
        <v>905</v>
      </c>
      <c r="W25" s="16">
        <f t="shared" si="17"/>
        <v>16</v>
      </c>
      <c r="X25" s="16">
        <f t="shared" si="17"/>
        <v>5</v>
      </c>
      <c r="Y25" s="16">
        <f t="shared" si="17"/>
        <v>87</v>
      </c>
      <c r="Z25" s="16">
        <f t="shared" si="17"/>
        <v>39</v>
      </c>
      <c r="AA25" s="16">
        <f t="shared" si="17"/>
        <v>32</v>
      </c>
      <c r="AB25" s="16">
        <f t="shared" si="17"/>
        <v>26</v>
      </c>
      <c r="AC25" s="16">
        <f t="shared" si="17"/>
        <v>5295</v>
      </c>
      <c r="AD25" s="16">
        <f t="shared" si="17"/>
        <v>5</v>
      </c>
      <c r="AE25" s="32">
        <f t="shared" si="17"/>
        <v>2746</v>
      </c>
      <c r="AF25" s="32">
        <f t="shared" si="17"/>
        <v>8041</v>
      </c>
    </row>
    <row r="26" spans="2:32" ht="23.1" customHeight="1" x14ac:dyDescent="0.25">
      <c r="B26" s="23" t="s">
        <v>53</v>
      </c>
      <c r="C26" s="50">
        <v>135</v>
      </c>
      <c r="D26" s="50">
        <v>9</v>
      </c>
      <c r="E26" s="50">
        <v>6</v>
      </c>
      <c r="F26" s="50">
        <v>92</v>
      </c>
      <c r="G26" s="50">
        <v>1</v>
      </c>
      <c r="H26" s="50">
        <v>0</v>
      </c>
      <c r="I26" s="50">
        <v>12</v>
      </c>
      <c r="J26" s="50">
        <v>4</v>
      </c>
      <c r="K26" s="50">
        <v>5</v>
      </c>
      <c r="L26" s="50">
        <v>7</v>
      </c>
      <c r="M26" s="50">
        <v>585</v>
      </c>
      <c r="N26" s="50">
        <v>0</v>
      </c>
      <c r="O26" s="15">
        <f t="shared" si="0"/>
        <v>271</v>
      </c>
      <c r="P26" s="15">
        <f t="shared" si="1"/>
        <v>856</v>
      </c>
      <c r="R26" s="28" t="s">
        <v>86</v>
      </c>
      <c r="S26" s="16">
        <f t="shared" ref="S26:AF26" si="18">SUM(S13:S18)</f>
        <v>2363</v>
      </c>
      <c r="T26" s="16">
        <f t="shared" si="18"/>
        <v>376</v>
      </c>
      <c r="U26" s="16">
        <f t="shared" si="18"/>
        <v>328</v>
      </c>
      <c r="V26" s="16">
        <f t="shared" si="18"/>
        <v>2413</v>
      </c>
      <c r="W26" s="16">
        <f t="shared" si="18"/>
        <v>57</v>
      </c>
      <c r="X26" s="16">
        <f t="shared" si="18"/>
        <v>9</v>
      </c>
      <c r="Y26" s="16">
        <f t="shared" si="18"/>
        <v>253</v>
      </c>
      <c r="Z26" s="16">
        <f t="shared" si="18"/>
        <v>180</v>
      </c>
      <c r="AA26" s="16">
        <f t="shared" si="18"/>
        <v>119</v>
      </c>
      <c r="AB26" s="16">
        <f t="shared" si="18"/>
        <v>124</v>
      </c>
      <c r="AC26" s="16">
        <f t="shared" si="18"/>
        <v>12607</v>
      </c>
      <c r="AD26" s="16">
        <f t="shared" si="18"/>
        <v>10</v>
      </c>
      <c r="AE26" s="32">
        <f t="shared" si="18"/>
        <v>6232</v>
      </c>
      <c r="AF26" s="32">
        <f t="shared" si="18"/>
        <v>18839</v>
      </c>
    </row>
    <row r="27" spans="2:32" ht="23.1" customHeight="1" x14ac:dyDescent="0.25">
      <c r="B27" s="23" t="s">
        <v>54</v>
      </c>
      <c r="C27" s="50">
        <v>75</v>
      </c>
      <c r="D27" s="50">
        <v>23</v>
      </c>
      <c r="E27" s="50">
        <v>13</v>
      </c>
      <c r="F27" s="50">
        <v>100</v>
      </c>
      <c r="G27" s="50">
        <v>1</v>
      </c>
      <c r="H27" s="50">
        <v>1</v>
      </c>
      <c r="I27" s="50">
        <v>11</v>
      </c>
      <c r="J27" s="50">
        <v>6</v>
      </c>
      <c r="K27" s="50">
        <v>4</v>
      </c>
      <c r="L27" s="50">
        <v>9</v>
      </c>
      <c r="M27" s="50">
        <v>555</v>
      </c>
      <c r="N27" s="50">
        <v>0</v>
      </c>
      <c r="O27" s="15">
        <f t="shared" si="0"/>
        <v>243</v>
      </c>
      <c r="P27" s="15">
        <f t="shared" si="1"/>
        <v>798</v>
      </c>
      <c r="R27" s="29" t="s">
        <v>87</v>
      </c>
      <c r="S27" s="16">
        <f t="shared" ref="S27:AF27" si="19">SUM(S19:S21)</f>
        <v>1021</v>
      </c>
      <c r="T27" s="16">
        <f t="shared" si="19"/>
        <v>158</v>
      </c>
      <c r="U27" s="16">
        <f t="shared" si="19"/>
        <v>154</v>
      </c>
      <c r="V27" s="16">
        <f t="shared" si="19"/>
        <v>843</v>
      </c>
      <c r="W27" s="16">
        <f t="shared" si="19"/>
        <v>13</v>
      </c>
      <c r="X27" s="16">
        <f t="shared" si="19"/>
        <v>2</v>
      </c>
      <c r="Y27" s="16">
        <f t="shared" si="19"/>
        <v>82</v>
      </c>
      <c r="Z27" s="16">
        <f t="shared" si="19"/>
        <v>74</v>
      </c>
      <c r="AA27" s="16">
        <f t="shared" si="19"/>
        <v>45</v>
      </c>
      <c r="AB27" s="16">
        <f t="shared" si="19"/>
        <v>44</v>
      </c>
      <c r="AC27" s="16">
        <f t="shared" si="19"/>
        <v>5598</v>
      </c>
      <c r="AD27" s="16">
        <f t="shared" si="19"/>
        <v>5</v>
      </c>
      <c r="AE27" s="32">
        <f t="shared" si="19"/>
        <v>2441</v>
      </c>
      <c r="AF27" s="32">
        <f t="shared" si="19"/>
        <v>8039</v>
      </c>
    </row>
    <row r="28" spans="2:32" ht="23.1" customHeight="1" x14ac:dyDescent="0.25">
      <c r="B28" s="23" t="s">
        <v>55</v>
      </c>
      <c r="C28" s="50">
        <v>80</v>
      </c>
      <c r="D28" s="50">
        <v>16</v>
      </c>
      <c r="E28" s="50">
        <v>22</v>
      </c>
      <c r="F28" s="50">
        <v>70</v>
      </c>
      <c r="G28" s="50">
        <v>4</v>
      </c>
      <c r="H28" s="50">
        <v>0</v>
      </c>
      <c r="I28" s="50">
        <v>8</v>
      </c>
      <c r="J28" s="50">
        <v>8</v>
      </c>
      <c r="K28" s="50">
        <v>3</v>
      </c>
      <c r="L28" s="50">
        <v>2</v>
      </c>
      <c r="M28" s="50">
        <v>330</v>
      </c>
      <c r="N28" s="50">
        <v>0</v>
      </c>
      <c r="O28" s="15">
        <f t="shared" si="0"/>
        <v>213</v>
      </c>
      <c r="P28" s="15">
        <f t="shared" si="1"/>
        <v>543</v>
      </c>
      <c r="R28" s="5" t="s">
        <v>17</v>
      </c>
      <c r="S28" s="16">
        <f t="shared" ref="S28:AF28" si="20">SUM(S10:S21)</f>
        <v>4721</v>
      </c>
      <c r="T28" s="16">
        <f t="shared" si="20"/>
        <v>687</v>
      </c>
      <c r="U28" s="16">
        <f t="shared" si="20"/>
        <v>623</v>
      </c>
      <c r="V28" s="16">
        <f t="shared" si="20"/>
        <v>4161</v>
      </c>
      <c r="W28" s="16">
        <f t="shared" si="20"/>
        <v>86</v>
      </c>
      <c r="X28" s="16">
        <f t="shared" si="20"/>
        <v>16</v>
      </c>
      <c r="Y28" s="16">
        <f t="shared" si="20"/>
        <v>422</v>
      </c>
      <c r="Z28" s="16">
        <f t="shared" si="20"/>
        <v>293</v>
      </c>
      <c r="AA28" s="16">
        <f t="shared" si="20"/>
        <v>196</v>
      </c>
      <c r="AB28" s="16">
        <f t="shared" si="20"/>
        <v>194</v>
      </c>
      <c r="AC28" s="16">
        <f t="shared" si="20"/>
        <v>23500</v>
      </c>
      <c r="AD28" s="16">
        <f t="shared" si="20"/>
        <v>20</v>
      </c>
      <c r="AE28" s="32">
        <f t="shared" si="20"/>
        <v>11419</v>
      </c>
      <c r="AF28" s="32">
        <f t="shared" si="20"/>
        <v>34919</v>
      </c>
    </row>
    <row r="29" spans="2:32" ht="23.1" customHeight="1" x14ac:dyDescent="0.25">
      <c r="B29" s="23" t="s">
        <v>56</v>
      </c>
      <c r="C29" s="50">
        <v>90</v>
      </c>
      <c r="D29" s="50">
        <v>14</v>
      </c>
      <c r="E29" s="50">
        <v>11</v>
      </c>
      <c r="F29" s="50">
        <v>140</v>
      </c>
      <c r="G29" s="50">
        <v>1</v>
      </c>
      <c r="H29" s="50">
        <v>0</v>
      </c>
      <c r="I29" s="50">
        <v>8</v>
      </c>
      <c r="J29" s="50">
        <v>6</v>
      </c>
      <c r="K29" s="50">
        <v>3</v>
      </c>
      <c r="L29" s="50">
        <v>5</v>
      </c>
      <c r="M29" s="50">
        <v>590</v>
      </c>
      <c r="N29" s="50">
        <v>0</v>
      </c>
      <c r="O29" s="15">
        <f t="shared" si="0"/>
        <v>278</v>
      </c>
      <c r="P29" s="15">
        <f t="shared" si="1"/>
        <v>868</v>
      </c>
      <c r="R29"/>
      <c r="S29" s="20"/>
      <c r="T29" s="19"/>
    </row>
    <row r="30" spans="2:32" ht="23.1" customHeight="1" x14ac:dyDescent="0.25">
      <c r="B30" s="23" t="s">
        <v>57</v>
      </c>
      <c r="C30" s="50">
        <v>75</v>
      </c>
      <c r="D30" s="50">
        <v>10</v>
      </c>
      <c r="E30" s="50">
        <v>7</v>
      </c>
      <c r="F30" s="50">
        <v>110</v>
      </c>
      <c r="G30" s="50">
        <v>1</v>
      </c>
      <c r="H30" s="50">
        <v>1</v>
      </c>
      <c r="I30" s="50">
        <v>5</v>
      </c>
      <c r="J30" s="50">
        <v>6</v>
      </c>
      <c r="K30" s="50">
        <v>3</v>
      </c>
      <c r="L30" s="50">
        <v>2</v>
      </c>
      <c r="M30" s="50">
        <v>493</v>
      </c>
      <c r="N30" s="50">
        <v>0</v>
      </c>
      <c r="O30" s="15">
        <f t="shared" si="0"/>
        <v>220</v>
      </c>
      <c r="P30" s="15">
        <f t="shared" si="1"/>
        <v>713</v>
      </c>
    </row>
    <row r="31" spans="2:32" ht="23.1" customHeight="1" x14ac:dyDescent="0.25">
      <c r="B31" s="24" t="s">
        <v>58</v>
      </c>
      <c r="C31" s="50">
        <v>120</v>
      </c>
      <c r="D31" s="50">
        <v>11</v>
      </c>
      <c r="E31" s="50">
        <v>13</v>
      </c>
      <c r="F31" s="50">
        <v>65</v>
      </c>
      <c r="G31" s="50">
        <v>2</v>
      </c>
      <c r="H31" s="50">
        <v>0</v>
      </c>
      <c r="I31" s="50">
        <v>11</v>
      </c>
      <c r="J31" s="50">
        <v>8</v>
      </c>
      <c r="K31" s="50">
        <v>4</v>
      </c>
      <c r="L31" s="50">
        <v>3</v>
      </c>
      <c r="M31" s="50">
        <v>482</v>
      </c>
      <c r="N31" s="50">
        <v>0</v>
      </c>
      <c r="O31" s="15">
        <f t="shared" si="0"/>
        <v>237</v>
      </c>
      <c r="P31" s="15">
        <f t="shared" si="1"/>
        <v>719</v>
      </c>
    </row>
    <row r="32" spans="2:32" ht="23.1" customHeight="1" x14ac:dyDescent="0.25">
      <c r="B32" s="24" t="s">
        <v>59</v>
      </c>
      <c r="C32" s="50">
        <v>104</v>
      </c>
      <c r="D32" s="50">
        <v>12</v>
      </c>
      <c r="E32" s="50">
        <v>10</v>
      </c>
      <c r="F32" s="50">
        <v>130</v>
      </c>
      <c r="G32" s="50">
        <v>2</v>
      </c>
      <c r="H32" s="50">
        <v>1</v>
      </c>
      <c r="I32" s="50">
        <v>10</v>
      </c>
      <c r="J32" s="50">
        <v>10</v>
      </c>
      <c r="K32" s="50">
        <v>12</v>
      </c>
      <c r="L32" s="50">
        <v>12</v>
      </c>
      <c r="M32" s="50">
        <v>475</v>
      </c>
      <c r="N32" s="50">
        <v>0</v>
      </c>
      <c r="O32" s="15">
        <f t="shared" si="0"/>
        <v>303</v>
      </c>
      <c r="P32" s="15">
        <f t="shared" si="1"/>
        <v>778</v>
      </c>
    </row>
    <row r="33" spans="2:20" ht="23.1" customHeight="1" x14ac:dyDescent="0.25">
      <c r="B33" s="23" t="s">
        <v>60</v>
      </c>
      <c r="C33" s="50">
        <v>115</v>
      </c>
      <c r="D33" s="50">
        <v>6</v>
      </c>
      <c r="E33" s="50">
        <v>6</v>
      </c>
      <c r="F33" s="50">
        <v>130</v>
      </c>
      <c r="G33" s="50">
        <v>3</v>
      </c>
      <c r="H33" s="50">
        <v>1</v>
      </c>
      <c r="I33" s="50">
        <v>6</v>
      </c>
      <c r="J33" s="50">
        <v>8</v>
      </c>
      <c r="K33" s="50">
        <v>3</v>
      </c>
      <c r="L33" s="50">
        <v>2</v>
      </c>
      <c r="M33" s="50">
        <v>515</v>
      </c>
      <c r="N33" s="50">
        <v>0</v>
      </c>
      <c r="O33" s="15">
        <f t="shared" si="0"/>
        <v>280</v>
      </c>
      <c r="P33" s="15">
        <f t="shared" si="1"/>
        <v>795</v>
      </c>
    </row>
    <row r="34" spans="2:20" ht="23.1" customHeight="1" x14ac:dyDescent="0.25">
      <c r="B34" s="24" t="s">
        <v>61</v>
      </c>
      <c r="C34" s="50">
        <v>90</v>
      </c>
      <c r="D34" s="50">
        <v>9</v>
      </c>
      <c r="E34" s="50">
        <v>17</v>
      </c>
      <c r="F34" s="50">
        <v>70</v>
      </c>
      <c r="G34" s="50">
        <v>3</v>
      </c>
      <c r="H34" s="50">
        <v>2</v>
      </c>
      <c r="I34" s="50">
        <v>15</v>
      </c>
      <c r="J34" s="50">
        <v>13</v>
      </c>
      <c r="K34" s="50">
        <v>6</v>
      </c>
      <c r="L34" s="50">
        <v>9</v>
      </c>
      <c r="M34" s="50">
        <v>560</v>
      </c>
      <c r="N34" s="50">
        <v>1</v>
      </c>
      <c r="O34" s="15">
        <f t="shared" si="0"/>
        <v>235</v>
      </c>
      <c r="P34" s="15">
        <f t="shared" si="1"/>
        <v>795</v>
      </c>
    </row>
    <row r="35" spans="2:20" ht="23.1" customHeight="1" x14ac:dyDescent="0.25">
      <c r="B35" s="24" t="s">
        <v>62</v>
      </c>
      <c r="C35" s="50">
        <v>85</v>
      </c>
      <c r="D35" s="50">
        <v>15</v>
      </c>
      <c r="E35" s="50">
        <v>14</v>
      </c>
      <c r="F35" s="50">
        <v>100</v>
      </c>
      <c r="G35" s="50">
        <v>6</v>
      </c>
      <c r="H35" s="50">
        <v>0</v>
      </c>
      <c r="I35" s="50">
        <v>12</v>
      </c>
      <c r="J35" s="50">
        <v>3</v>
      </c>
      <c r="K35" s="50">
        <v>5</v>
      </c>
      <c r="L35" s="50">
        <v>3</v>
      </c>
      <c r="M35" s="50">
        <v>533</v>
      </c>
      <c r="N35" s="50">
        <v>2</v>
      </c>
      <c r="O35" s="15">
        <f t="shared" si="0"/>
        <v>245</v>
      </c>
      <c r="P35" s="15">
        <f t="shared" si="1"/>
        <v>778</v>
      </c>
    </row>
    <row r="36" spans="2:20" ht="23.1" customHeight="1" x14ac:dyDescent="0.25">
      <c r="B36" s="24" t="s">
        <v>63</v>
      </c>
      <c r="C36" s="50">
        <v>125</v>
      </c>
      <c r="D36" s="50">
        <v>25</v>
      </c>
      <c r="E36" s="50">
        <v>28</v>
      </c>
      <c r="F36" s="50">
        <v>85</v>
      </c>
      <c r="G36" s="50">
        <v>2</v>
      </c>
      <c r="H36" s="50">
        <v>0</v>
      </c>
      <c r="I36" s="50">
        <v>10</v>
      </c>
      <c r="J36" s="50">
        <v>9</v>
      </c>
      <c r="K36" s="50">
        <v>7</v>
      </c>
      <c r="L36" s="50">
        <v>4</v>
      </c>
      <c r="M36" s="50">
        <v>473</v>
      </c>
      <c r="N36" s="50">
        <v>0</v>
      </c>
      <c r="O36" s="15">
        <f t="shared" si="0"/>
        <v>295</v>
      </c>
      <c r="P36" s="15">
        <f t="shared" si="1"/>
        <v>768</v>
      </c>
    </row>
    <row r="37" spans="2:20" ht="23.1" customHeight="1" x14ac:dyDescent="0.25">
      <c r="B37" s="23" t="s">
        <v>64</v>
      </c>
      <c r="C37" s="50">
        <v>105</v>
      </c>
      <c r="D37" s="50">
        <v>12</v>
      </c>
      <c r="E37" s="50">
        <v>10</v>
      </c>
      <c r="F37" s="50">
        <v>105</v>
      </c>
      <c r="G37" s="50">
        <v>3</v>
      </c>
      <c r="H37" s="50">
        <v>1</v>
      </c>
      <c r="I37" s="50">
        <v>10</v>
      </c>
      <c r="J37" s="50">
        <v>14</v>
      </c>
      <c r="K37" s="50">
        <v>6</v>
      </c>
      <c r="L37" s="50">
        <v>5</v>
      </c>
      <c r="M37" s="50">
        <v>520</v>
      </c>
      <c r="N37" s="50">
        <v>0</v>
      </c>
      <c r="O37" s="15">
        <f t="shared" si="0"/>
        <v>271</v>
      </c>
      <c r="P37" s="15">
        <f t="shared" si="1"/>
        <v>791</v>
      </c>
    </row>
    <row r="38" spans="2:20" ht="23.1" customHeight="1" x14ac:dyDescent="0.25">
      <c r="B38" s="24" t="s">
        <v>65</v>
      </c>
      <c r="C38" s="50">
        <v>135</v>
      </c>
      <c r="D38" s="50">
        <v>20</v>
      </c>
      <c r="E38" s="50">
        <v>14</v>
      </c>
      <c r="F38" s="50">
        <v>88</v>
      </c>
      <c r="G38" s="50">
        <v>2</v>
      </c>
      <c r="H38" s="50">
        <v>0</v>
      </c>
      <c r="I38" s="50">
        <v>4</v>
      </c>
      <c r="J38" s="50">
        <v>8</v>
      </c>
      <c r="K38" s="50">
        <v>3</v>
      </c>
      <c r="L38" s="50">
        <v>10</v>
      </c>
      <c r="M38" s="50">
        <v>620</v>
      </c>
      <c r="N38" s="50">
        <v>7</v>
      </c>
      <c r="O38" s="15">
        <f t="shared" si="0"/>
        <v>291</v>
      </c>
      <c r="P38" s="15">
        <f t="shared" si="1"/>
        <v>911</v>
      </c>
    </row>
    <row r="39" spans="2:20" ht="23.1" customHeight="1" x14ac:dyDescent="0.25">
      <c r="B39" s="24" t="s">
        <v>66</v>
      </c>
      <c r="C39" s="50">
        <v>90</v>
      </c>
      <c r="D39" s="50">
        <v>21</v>
      </c>
      <c r="E39" s="50">
        <v>22</v>
      </c>
      <c r="F39" s="50">
        <v>105</v>
      </c>
      <c r="G39" s="50">
        <v>8</v>
      </c>
      <c r="H39" s="50">
        <v>0</v>
      </c>
      <c r="I39" s="50">
        <v>11</v>
      </c>
      <c r="J39" s="50">
        <v>9</v>
      </c>
      <c r="K39" s="50">
        <v>4</v>
      </c>
      <c r="L39" s="50">
        <v>5</v>
      </c>
      <c r="M39" s="50">
        <v>565</v>
      </c>
      <c r="N39" s="50">
        <v>0</v>
      </c>
      <c r="O39" s="15">
        <f t="shared" si="0"/>
        <v>275</v>
      </c>
      <c r="P39" s="15">
        <f t="shared" si="1"/>
        <v>840</v>
      </c>
    </row>
    <row r="40" spans="2:20" ht="23.1" customHeight="1" x14ac:dyDescent="0.25">
      <c r="B40" s="24" t="s">
        <v>67</v>
      </c>
      <c r="C40" s="50">
        <v>80</v>
      </c>
      <c r="D40" s="50">
        <v>9</v>
      </c>
      <c r="E40" s="50">
        <v>8</v>
      </c>
      <c r="F40" s="50">
        <v>60</v>
      </c>
      <c r="G40" s="50">
        <v>1</v>
      </c>
      <c r="H40" s="50">
        <v>0</v>
      </c>
      <c r="I40" s="50">
        <v>12</v>
      </c>
      <c r="J40" s="50">
        <v>5</v>
      </c>
      <c r="K40" s="50">
        <v>11</v>
      </c>
      <c r="L40" s="50">
        <v>4</v>
      </c>
      <c r="M40" s="50">
        <v>508</v>
      </c>
      <c r="N40" s="50">
        <v>0</v>
      </c>
      <c r="O40" s="15">
        <f t="shared" si="0"/>
        <v>190</v>
      </c>
      <c r="P40" s="15">
        <f t="shared" si="1"/>
        <v>698</v>
      </c>
    </row>
    <row r="41" spans="2:20" ht="23.1" customHeight="1" x14ac:dyDescent="0.25">
      <c r="B41" s="23" t="s">
        <v>68</v>
      </c>
      <c r="C41" s="50">
        <v>125</v>
      </c>
      <c r="D41" s="50">
        <v>12</v>
      </c>
      <c r="E41" s="50">
        <v>13</v>
      </c>
      <c r="F41" s="50">
        <v>90</v>
      </c>
      <c r="G41" s="50">
        <v>2</v>
      </c>
      <c r="H41" s="50">
        <v>0</v>
      </c>
      <c r="I41" s="50">
        <v>20</v>
      </c>
      <c r="J41" s="50">
        <v>11</v>
      </c>
      <c r="K41" s="50">
        <v>6</v>
      </c>
      <c r="L41" s="50">
        <v>3</v>
      </c>
      <c r="M41" s="50">
        <v>582</v>
      </c>
      <c r="N41" s="50">
        <v>0</v>
      </c>
      <c r="O41" s="15">
        <f t="shared" si="0"/>
        <v>282</v>
      </c>
      <c r="P41" s="15">
        <f t="shared" si="1"/>
        <v>864</v>
      </c>
    </row>
    <row r="42" spans="2:20" ht="23.1" customHeight="1" x14ac:dyDescent="0.25">
      <c r="B42" s="24" t="s">
        <v>69</v>
      </c>
      <c r="C42" s="50">
        <v>78</v>
      </c>
      <c r="D42" s="50">
        <v>32</v>
      </c>
      <c r="E42" s="50">
        <v>29</v>
      </c>
      <c r="F42" s="50">
        <v>113</v>
      </c>
      <c r="G42" s="50">
        <v>4</v>
      </c>
      <c r="H42" s="50">
        <v>0</v>
      </c>
      <c r="I42" s="50">
        <v>13</v>
      </c>
      <c r="J42" s="50">
        <v>15</v>
      </c>
      <c r="K42" s="50">
        <v>7</v>
      </c>
      <c r="L42" s="50">
        <v>6</v>
      </c>
      <c r="M42" s="50">
        <v>540</v>
      </c>
      <c r="N42" s="50">
        <v>0</v>
      </c>
      <c r="O42" s="15">
        <f t="shared" si="0"/>
        <v>297</v>
      </c>
      <c r="P42" s="15">
        <f t="shared" si="1"/>
        <v>837</v>
      </c>
    </row>
    <row r="43" spans="2:20" ht="23.1" customHeight="1" x14ac:dyDescent="0.25">
      <c r="B43" s="23" t="s">
        <v>70</v>
      </c>
      <c r="C43" s="50">
        <v>75</v>
      </c>
      <c r="D43" s="50">
        <v>18</v>
      </c>
      <c r="E43" s="50">
        <v>10</v>
      </c>
      <c r="F43" s="50">
        <v>100</v>
      </c>
      <c r="G43" s="50">
        <v>1</v>
      </c>
      <c r="H43" s="50">
        <v>0</v>
      </c>
      <c r="I43" s="50">
        <v>15</v>
      </c>
      <c r="J43" s="50">
        <v>5</v>
      </c>
      <c r="K43" s="50">
        <v>11</v>
      </c>
      <c r="L43" s="50">
        <v>5</v>
      </c>
      <c r="M43" s="50">
        <v>632</v>
      </c>
      <c r="N43" s="50">
        <v>0</v>
      </c>
      <c r="O43" s="15">
        <f t="shared" si="0"/>
        <v>240</v>
      </c>
      <c r="P43" s="15">
        <f t="shared" si="1"/>
        <v>872</v>
      </c>
    </row>
    <row r="44" spans="2:20" ht="23.1" customHeight="1" x14ac:dyDescent="0.25">
      <c r="B44" s="25" t="s">
        <v>71</v>
      </c>
      <c r="C44" s="50">
        <v>120</v>
      </c>
      <c r="D44" s="50">
        <v>30</v>
      </c>
      <c r="E44" s="50">
        <v>15</v>
      </c>
      <c r="F44" s="50">
        <v>105</v>
      </c>
      <c r="G44" s="50">
        <v>0</v>
      </c>
      <c r="H44" s="50">
        <v>0</v>
      </c>
      <c r="I44" s="50">
        <v>14</v>
      </c>
      <c r="J44" s="50">
        <v>3</v>
      </c>
      <c r="K44" s="50">
        <v>2</v>
      </c>
      <c r="L44" s="50">
        <v>5</v>
      </c>
      <c r="M44" s="50">
        <v>556</v>
      </c>
      <c r="N44" s="50">
        <v>0</v>
      </c>
      <c r="O44" s="15">
        <f t="shared" si="0"/>
        <v>294</v>
      </c>
      <c r="P44" s="15">
        <f t="shared" si="1"/>
        <v>850</v>
      </c>
    </row>
    <row r="45" spans="2:20" ht="23.1" customHeight="1" x14ac:dyDescent="0.25">
      <c r="B45" s="23" t="s">
        <v>72</v>
      </c>
      <c r="C45" s="50">
        <v>105</v>
      </c>
      <c r="D45" s="50">
        <v>15</v>
      </c>
      <c r="E45" s="50">
        <v>13</v>
      </c>
      <c r="F45" s="50">
        <v>106</v>
      </c>
      <c r="G45" s="50">
        <v>2</v>
      </c>
      <c r="H45" s="50">
        <v>0</v>
      </c>
      <c r="I45" s="50">
        <v>10</v>
      </c>
      <c r="J45" s="50">
        <v>6</v>
      </c>
      <c r="K45" s="50">
        <v>4</v>
      </c>
      <c r="L45" s="50">
        <v>4</v>
      </c>
      <c r="M45" s="50">
        <v>473</v>
      </c>
      <c r="N45" s="50">
        <v>0</v>
      </c>
      <c r="O45" s="15">
        <f t="shared" si="0"/>
        <v>265</v>
      </c>
      <c r="P45" s="15">
        <f t="shared" si="1"/>
        <v>738</v>
      </c>
    </row>
    <row r="46" spans="2:20" ht="23.1" customHeight="1" x14ac:dyDescent="0.25">
      <c r="B46" s="24" t="s">
        <v>73</v>
      </c>
      <c r="C46" s="50">
        <v>135</v>
      </c>
      <c r="D46" s="50">
        <v>11</v>
      </c>
      <c r="E46" s="50">
        <v>10</v>
      </c>
      <c r="F46" s="50">
        <v>120</v>
      </c>
      <c r="G46" s="50">
        <v>1</v>
      </c>
      <c r="H46" s="50">
        <v>0</v>
      </c>
      <c r="I46" s="50">
        <v>8</v>
      </c>
      <c r="J46" s="50">
        <v>10</v>
      </c>
      <c r="K46" s="50">
        <v>7</v>
      </c>
      <c r="L46" s="50">
        <v>6</v>
      </c>
      <c r="M46" s="50">
        <v>470</v>
      </c>
      <c r="N46" s="50">
        <v>1</v>
      </c>
      <c r="O46" s="15">
        <f t="shared" si="0"/>
        <v>309</v>
      </c>
      <c r="P46" s="15">
        <f t="shared" si="1"/>
        <v>779</v>
      </c>
      <c r="R46" s="8"/>
      <c r="T46"/>
    </row>
    <row r="47" spans="2:20" ht="23.1" customHeight="1" x14ac:dyDescent="0.25">
      <c r="B47" s="24" t="s">
        <v>74</v>
      </c>
      <c r="C47" s="50">
        <v>105</v>
      </c>
      <c r="D47" s="50">
        <v>10</v>
      </c>
      <c r="E47" s="50">
        <v>19</v>
      </c>
      <c r="F47" s="50">
        <v>125</v>
      </c>
      <c r="G47" s="50">
        <v>0</v>
      </c>
      <c r="H47" s="50">
        <v>0</v>
      </c>
      <c r="I47" s="50">
        <v>4</v>
      </c>
      <c r="J47" s="50">
        <v>11</v>
      </c>
      <c r="K47" s="50">
        <v>9</v>
      </c>
      <c r="L47" s="50">
        <v>8</v>
      </c>
      <c r="M47" s="50">
        <v>390</v>
      </c>
      <c r="N47" s="50">
        <v>1</v>
      </c>
      <c r="O47" s="15">
        <f t="shared" si="0"/>
        <v>292</v>
      </c>
      <c r="P47" s="15">
        <f t="shared" si="1"/>
        <v>682</v>
      </c>
      <c r="R47" s="8"/>
      <c r="T47"/>
    </row>
    <row r="48" spans="2:20" ht="23.1" customHeight="1" x14ac:dyDescent="0.25">
      <c r="B48" s="24" t="s">
        <v>75</v>
      </c>
      <c r="C48" s="50">
        <v>75</v>
      </c>
      <c r="D48" s="50">
        <v>15</v>
      </c>
      <c r="E48" s="50">
        <v>8</v>
      </c>
      <c r="F48" s="50">
        <v>65</v>
      </c>
      <c r="G48" s="50">
        <v>1</v>
      </c>
      <c r="H48" s="50">
        <v>0</v>
      </c>
      <c r="I48" s="50">
        <v>6</v>
      </c>
      <c r="J48" s="50">
        <v>8</v>
      </c>
      <c r="K48" s="50">
        <v>4</v>
      </c>
      <c r="L48" s="50">
        <v>7</v>
      </c>
      <c r="M48" s="50">
        <v>419</v>
      </c>
      <c r="N48" s="50">
        <v>0</v>
      </c>
      <c r="O48" s="15">
        <f t="shared" si="0"/>
        <v>189</v>
      </c>
      <c r="P48" s="15">
        <f t="shared" si="1"/>
        <v>608</v>
      </c>
      <c r="R48" s="8"/>
      <c r="T48"/>
    </row>
    <row r="49" spans="2:20" ht="23.1" customHeight="1" x14ac:dyDescent="0.25">
      <c r="B49" s="23" t="s">
        <v>76</v>
      </c>
      <c r="C49" s="50">
        <v>78</v>
      </c>
      <c r="D49" s="50">
        <v>30</v>
      </c>
      <c r="E49" s="50">
        <v>22</v>
      </c>
      <c r="F49" s="50">
        <v>80</v>
      </c>
      <c r="G49" s="50">
        <v>2</v>
      </c>
      <c r="H49" s="50">
        <v>0</v>
      </c>
      <c r="I49" s="50">
        <v>12</v>
      </c>
      <c r="J49" s="50">
        <v>2</v>
      </c>
      <c r="K49" s="50">
        <v>9</v>
      </c>
      <c r="L49" s="50">
        <v>3</v>
      </c>
      <c r="M49" s="50">
        <v>470</v>
      </c>
      <c r="N49" s="50">
        <v>0</v>
      </c>
      <c r="O49" s="15">
        <f t="shared" si="0"/>
        <v>238</v>
      </c>
      <c r="P49" s="15">
        <f t="shared" si="1"/>
        <v>708</v>
      </c>
      <c r="R49" s="8"/>
      <c r="T49"/>
    </row>
    <row r="50" spans="2:20" ht="23.1" customHeight="1" x14ac:dyDescent="0.25">
      <c r="B50" s="24" t="s">
        <v>77</v>
      </c>
      <c r="C50" s="50">
        <v>90</v>
      </c>
      <c r="D50" s="50">
        <v>16</v>
      </c>
      <c r="E50" s="50">
        <v>10</v>
      </c>
      <c r="F50" s="50">
        <v>95</v>
      </c>
      <c r="G50" s="50">
        <v>1</v>
      </c>
      <c r="H50" s="50">
        <v>0</v>
      </c>
      <c r="I50" s="50">
        <v>9</v>
      </c>
      <c r="J50" s="50">
        <v>8</v>
      </c>
      <c r="K50" s="50">
        <v>7</v>
      </c>
      <c r="L50" s="50">
        <v>2</v>
      </c>
      <c r="M50" s="50">
        <v>468</v>
      </c>
      <c r="N50" s="50">
        <v>0</v>
      </c>
      <c r="O50" s="15">
        <f t="shared" si="0"/>
        <v>238</v>
      </c>
      <c r="P50" s="15">
        <f t="shared" si="1"/>
        <v>706</v>
      </c>
      <c r="R50" s="8"/>
      <c r="T50"/>
    </row>
    <row r="51" spans="2:20" ht="23.1" customHeight="1" x14ac:dyDescent="0.25">
      <c r="B51" s="24" t="s">
        <v>78</v>
      </c>
      <c r="C51" s="50">
        <v>75</v>
      </c>
      <c r="D51" s="50">
        <v>7</v>
      </c>
      <c r="E51" s="50">
        <v>15</v>
      </c>
      <c r="F51" s="50">
        <v>70</v>
      </c>
      <c r="G51" s="50">
        <v>1</v>
      </c>
      <c r="H51" s="50">
        <v>0</v>
      </c>
      <c r="I51" s="50">
        <v>8</v>
      </c>
      <c r="J51" s="50">
        <v>2</v>
      </c>
      <c r="K51" s="50">
        <v>0</v>
      </c>
      <c r="L51" s="50">
        <v>4</v>
      </c>
      <c r="M51" s="50">
        <v>476</v>
      </c>
      <c r="N51" s="50">
        <v>0</v>
      </c>
      <c r="O51" s="15">
        <f t="shared" si="0"/>
        <v>182</v>
      </c>
      <c r="P51" s="15">
        <f t="shared" si="1"/>
        <v>658</v>
      </c>
      <c r="R51" s="8"/>
      <c r="T51"/>
    </row>
    <row r="52" spans="2:20" ht="23.1" customHeight="1" x14ac:dyDescent="0.25">
      <c r="B52" s="24" t="s">
        <v>79</v>
      </c>
      <c r="C52" s="50">
        <v>105</v>
      </c>
      <c r="D52" s="50">
        <v>13</v>
      </c>
      <c r="E52" s="50">
        <v>20</v>
      </c>
      <c r="F52" s="50">
        <v>77</v>
      </c>
      <c r="G52" s="50">
        <v>1</v>
      </c>
      <c r="H52" s="50">
        <v>0</v>
      </c>
      <c r="I52" s="50">
        <v>15</v>
      </c>
      <c r="J52" s="50">
        <v>6</v>
      </c>
      <c r="K52" s="50">
        <v>2</v>
      </c>
      <c r="L52" s="50">
        <v>4</v>
      </c>
      <c r="M52" s="50">
        <v>415</v>
      </c>
      <c r="N52" s="50">
        <v>0</v>
      </c>
      <c r="O52" s="15">
        <f t="shared" si="0"/>
        <v>243</v>
      </c>
      <c r="P52" s="15">
        <f t="shared" si="1"/>
        <v>658</v>
      </c>
      <c r="R52" s="8"/>
      <c r="T52"/>
    </row>
    <row r="53" spans="2:20" ht="23.1" customHeight="1" x14ac:dyDescent="0.25">
      <c r="B53" s="23" t="s">
        <v>80</v>
      </c>
      <c r="C53" s="50">
        <v>110</v>
      </c>
      <c r="D53" s="50">
        <v>11</v>
      </c>
      <c r="E53" s="50">
        <v>17</v>
      </c>
      <c r="F53" s="50">
        <v>39</v>
      </c>
      <c r="G53" s="50">
        <v>1</v>
      </c>
      <c r="H53" s="50">
        <v>0</v>
      </c>
      <c r="I53" s="50">
        <v>2</v>
      </c>
      <c r="J53" s="50">
        <v>4</v>
      </c>
      <c r="K53" s="50">
        <v>1</v>
      </c>
      <c r="L53" s="50">
        <v>2</v>
      </c>
      <c r="M53" s="50">
        <v>360</v>
      </c>
      <c r="N53" s="50">
        <v>0</v>
      </c>
      <c r="O53" s="15">
        <f t="shared" si="0"/>
        <v>187</v>
      </c>
      <c r="P53" s="15">
        <f t="shared" si="1"/>
        <v>547</v>
      </c>
      <c r="R53" s="8"/>
      <c r="T53"/>
    </row>
    <row r="54" spans="2:20" ht="23.1" customHeight="1" x14ac:dyDescent="0.25">
      <c r="B54" s="23" t="s">
        <v>81</v>
      </c>
      <c r="C54" s="50">
        <v>75</v>
      </c>
      <c r="D54" s="50">
        <v>17</v>
      </c>
      <c r="E54" s="50">
        <v>11</v>
      </c>
      <c r="F54" s="50">
        <v>65</v>
      </c>
      <c r="G54" s="50">
        <v>3</v>
      </c>
      <c r="H54" s="50">
        <v>0</v>
      </c>
      <c r="I54" s="50">
        <v>9</v>
      </c>
      <c r="J54" s="50">
        <v>11</v>
      </c>
      <c r="K54" s="50">
        <v>3</v>
      </c>
      <c r="L54" s="50">
        <v>3</v>
      </c>
      <c r="M54" s="50">
        <v>525</v>
      </c>
      <c r="N54" s="50">
        <v>2</v>
      </c>
      <c r="O54" s="15">
        <f t="shared" si="0"/>
        <v>199</v>
      </c>
      <c r="P54" s="15">
        <f t="shared" si="1"/>
        <v>724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11</v>
      </c>
      <c r="E55" s="50">
        <v>8</v>
      </c>
      <c r="F55" s="50">
        <v>36</v>
      </c>
      <c r="G55" s="50">
        <v>1</v>
      </c>
      <c r="H55" s="50">
        <v>0</v>
      </c>
      <c r="I55" s="50">
        <v>6</v>
      </c>
      <c r="J55" s="50">
        <v>5</v>
      </c>
      <c r="K55" s="50">
        <v>1</v>
      </c>
      <c r="L55" s="50">
        <v>2</v>
      </c>
      <c r="M55" s="50">
        <v>543</v>
      </c>
      <c r="N55" s="50">
        <v>0</v>
      </c>
      <c r="O55" s="15">
        <f t="shared" si="0"/>
        <v>130</v>
      </c>
      <c r="P55" s="15">
        <f t="shared" si="1"/>
        <v>673</v>
      </c>
      <c r="R55" s="8"/>
      <c r="T55"/>
    </row>
    <row r="56" spans="2:20" ht="23.1" customHeight="1" x14ac:dyDescent="0.25">
      <c r="B56" s="23" t="s">
        <v>83</v>
      </c>
      <c r="C56" s="50">
        <v>50</v>
      </c>
      <c r="D56" s="50">
        <v>8</v>
      </c>
      <c r="E56" s="50">
        <v>6</v>
      </c>
      <c r="F56" s="50">
        <v>41</v>
      </c>
      <c r="G56" s="50">
        <v>1</v>
      </c>
      <c r="H56" s="50">
        <v>1</v>
      </c>
      <c r="I56" s="50">
        <v>3</v>
      </c>
      <c r="J56" s="50">
        <v>5</v>
      </c>
      <c r="K56" s="50">
        <v>1</v>
      </c>
      <c r="L56" s="50">
        <v>3</v>
      </c>
      <c r="M56" s="50">
        <v>567</v>
      </c>
      <c r="N56" s="50">
        <v>1</v>
      </c>
      <c r="O56" s="15">
        <f t="shared" si="0"/>
        <v>120</v>
      </c>
      <c r="P56" s="15">
        <f t="shared" si="1"/>
        <v>687</v>
      </c>
      <c r="R56" s="8"/>
      <c r="T56"/>
    </row>
    <row r="57" spans="2:20" ht="23.1" customHeight="1" x14ac:dyDescent="0.25">
      <c r="B57" s="23" t="s">
        <v>84</v>
      </c>
      <c r="C57" s="50">
        <v>63</v>
      </c>
      <c r="D57" s="50">
        <v>9</v>
      </c>
      <c r="E57" s="50">
        <v>8</v>
      </c>
      <c r="F57" s="50">
        <v>30</v>
      </c>
      <c r="G57" s="50">
        <v>0</v>
      </c>
      <c r="H57" s="50">
        <v>1</v>
      </c>
      <c r="I57" s="50">
        <v>0</v>
      </c>
      <c r="J57" s="50">
        <v>2</v>
      </c>
      <c r="K57" s="50">
        <v>1</v>
      </c>
      <c r="L57" s="50">
        <v>0</v>
      </c>
      <c r="M57" s="50">
        <v>495</v>
      </c>
      <c r="N57" s="50">
        <v>0</v>
      </c>
      <c r="O57" s="15">
        <f t="shared" si="0"/>
        <v>114</v>
      </c>
      <c r="P57" s="15">
        <f t="shared" si="1"/>
        <v>609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4721</v>
      </c>
      <c r="D58" s="16">
        <f t="shared" si="21"/>
        <v>687</v>
      </c>
      <c r="E58" s="16">
        <f t="shared" si="21"/>
        <v>623</v>
      </c>
      <c r="F58" s="16">
        <f t="shared" si="21"/>
        <v>4161</v>
      </c>
      <c r="G58" s="16">
        <f t="shared" si="21"/>
        <v>86</v>
      </c>
      <c r="H58" s="16">
        <f t="shared" si="21"/>
        <v>16</v>
      </c>
      <c r="I58" s="16">
        <f t="shared" si="21"/>
        <v>422</v>
      </c>
      <c r="J58" s="16">
        <f t="shared" si="21"/>
        <v>293</v>
      </c>
      <c r="K58" s="16">
        <f t="shared" si="21"/>
        <v>196</v>
      </c>
      <c r="L58" s="16">
        <f t="shared" si="21"/>
        <v>194</v>
      </c>
      <c r="M58" s="16">
        <f t="shared" si="21"/>
        <v>23500</v>
      </c>
      <c r="N58" s="16">
        <f t="shared" si="21"/>
        <v>20</v>
      </c>
      <c r="O58" s="16">
        <f t="shared" si="21"/>
        <v>11419</v>
      </c>
      <c r="P58" s="16">
        <f t="shared" si="21"/>
        <v>34919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0.13519860248002519</v>
      </c>
      <c r="D59" s="43">
        <f t="shared" si="22"/>
        <v>1.9674102923909618E-2</v>
      </c>
      <c r="E59" s="43">
        <f t="shared" si="22"/>
        <v>1.7841289842206249E-2</v>
      </c>
      <c r="F59" s="43">
        <f t="shared" si="22"/>
        <v>0.11916148801512071</v>
      </c>
      <c r="G59" s="43">
        <f t="shared" si="22"/>
        <v>2.4628425785389045E-3</v>
      </c>
      <c r="H59" s="43">
        <f t="shared" si="22"/>
        <v>4.5820327042584265E-4</v>
      </c>
      <c r="I59" s="43">
        <f t="shared" si="22"/>
        <v>1.2085111257481601E-2</v>
      </c>
      <c r="J59" s="43">
        <f t="shared" si="22"/>
        <v>8.3908473896732432E-3</v>
      </c>
      <c r="K59" s="43">
        <f t="shared" si="22"/>
        <v>5.6129900627165724E-3</v>
      </c>
      <c r="L59" s="43">
        <f t="shared" si="22"/>
        <v>5.5557146539133425E-3</v>
      </c>
      <c r="M59" s="43">
        <f t="shared" si="22"/>
        <v>0.67298605343795637</v>
      </c>
      <c r="N59" s="43">
        <f t="shared" si="22"/>
        <v>5.7275408803230332E-4</v>
      </c>
      <c r="R59" s="8"/>
      <c r="T59"/>
    </row>
    <row r="60" spans="2:20" ht="23.1" customHeight="1" x14ac:dyDescent="0.25">
      <c r="B60" s="42" t="s">
        <v>94</v>
      </c>
      <c r="C60" s="44">
        <f>C58/$O$58</f>
        <v>0.41343375076626676</v>
      </c>
      <c r="D60" s="44">
        <f t="shared" ref="D60:N60" si="23">D58/$O$58</f>
        <v>6.016288641737455E-2</v>
      </c>
      <c r="E60" s="44">
        <f t="shared" si="23"/>
        <v>5.4558192486207198E-2</v>
      </c>
      <c r="F60" s="44">
        <f t="shared" si="23"/>
        <v>0.36439267886855242</v>
      </c>
      <c r="G60" s="44">
        <f t="shared" si="23"/>
        <v>7.5313074700061305E-3</v>
      </c>
      <c r="H60" s="44">
        <f t="shared" si="23"/>
        <v>1.4011734827918381E-3</v>
      </c>
      <c r="I60" s="44">
        <f t="shared" si="23"/>
        <v>3.6955950608634734E-2</v>
      </c>
      <c r="J60" s="44">
        <f t="shared" si="23"/>
        <v>2.5658989403625536E-2</v>
      </c>
      <c r="K60" s="44">
        <f t="shared" si="23"/>
        <v>1.7164375164200017E-2</v>
      </c>
      <c r="L60" s="44">
        <f t="shared" si="23"/>
        <v>1.6989228478851037E-2</v>
      </c>
      <c r="M60" s="44"/>
      <c r="N60" s="44">
        <f t="shared" si="23"/>
        <v>1.7514668534897976E-3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Nsambya-ClockTower'!C3:G3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ClockTower-Nsambya'!D5</f>
        <v>31.07.19</v>
      </c>
      <c r="E5" s="3"/>
      <c r="F5" s="41" t="s">
        <v>1</v>
      </c>
      <c r="G5" s="60" t="str">
        <f>'29.07 ClockTower-Nsambya'!G5:H5</f>
        <v>Gapco</v>
      </c>
      <c r="H5" s="61"/>
      <c r="I5" s="14"/>
      <c r="J5" s="2" t="s">
        <v>5</v>
      </c>
      <c r="K5" s="60" t="str">
        <f>'29.07 Nsambya-ClockTower'!K5:L5</f>
        <v>Kizito Godfrey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Nsambya-ClockTower'!D6:E6</f>
        <v>Nsambya</v>
      </c>
      <c r="E6" s="61"/>
      <c r="F6" s="2" t="s">
        <v>2</v>
      </c>
      <c r="G6" s="60" t="str">
        <f>'29.07 Nsambya-ClockTower'!G6:H6</f>
        <v>ClockTower</v>
      </c>
      <c r="H6" s="61"/>
      <c r="J6" s="2" t="s">
        <v>21</v>
      </c>
      <c r="K6" s="60" t="str">
        <f>'29.07 ClockTower-Nsambya'!K6:L6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70</v>
      </c>
      <c r="D10" s="50">
        <v>13</v>
      </c>
      <c r="E10" s="50">
        <v>5</v>
      </c>
      <c r="F10" s="50">
        <v>55</v>
      </c>
      <c r="G10" s="50">
        <v>1</v>
      </c>
      <c r="H10" s="50">
        <v>1</v>
      </c>
      <c r="I10" s="50">
        <v>5</v>
      </c>
      <c r="J10" s="50">
        <v>2</v>
      </c>
      <c r="K10" s="50">
        <v>1</v>
      </c>
      <c r="L10" s="50">
        <v>1</v>
      </c>
      <c r="M10" s="50">
        <v>649</v>
      </c>
      <c r="N10" s="50">
        <v>0</v>
      </c>
      <c r="O10" s="15">
        <f t="shared" ref="O10:O57" si="0">SUM(C10:L10,N10)</f>
        <v>154</v>
      </c>
      <c r="P10" s="15">
        <f t="shared" ref="P10:P57" si="1">SUM(C10:N10)</f>
        <v>803</v>
      </c>
      <c r="R10" s="1" t="s">
        <v>6</v>
      </c>
      <c r="S10" s="17">
        <f t="shared" ref="S10:AF10" si="2">SUM(C10:C13)</f>
        <v>162</v>
      </c>
      <c r="T10" s="17">
        <f t="shared" si="2"/>
        <v>50</v>
      </c>
      <c r="U10" s="17">
        <f t="shared" si="2"/>
        <v>20</v>
      </c>
      <c r="V10" s="17">
        <f t="shared" si="2"/>
        <v>246</v>
      </c>
      <c r="W10" s="17">
        <f t="shared" si="2"/>
        <v>10</v>
      </c>
      <c r="X10" s="17">
        <f t="shared" si="2"/>
        <v>2</v>
      </c>
      <c r="Y10" s="17">
        <f t="shared" si="2"/>
        <v>12</v>
      </c>
      <c r="Z10" s="17">
        <f t="shared" si="2"/>
        <v>6</v>
      </c>
      <c r="AA10" s="17">
        <f t="shared" si="2"/>
        <v>1</v>
      </c>
      <c r="AB10" s="17">
        <f t="shared" si="2"/>
        <v>5</v>
      </c>
      <c r="AC10" s="17">
        <f t="shared" si="2"/>
        <v>2200</v>
      </c>
      <c r="AD10" s="17">
        <f t="shared" si="2"/>
        <v>1</v>
      </c>
      <c r="AE10" s="31">
        <f t="shared" si="2"/>
        <v>515</v>
      </c>
      <c r="AF10" s="31">
        <f t="shared" si="2"/>
        <v>2715</v>
      </c>
    </row>
    <row r="11" spans="2:32" s="6" customFormat="1" ht="23.1" customHeight="1" x14ac:dyDescent="0.25">
      <c r="B11" s="23" t="s">
        <v>38</v>
      </c>
      <c r="C11" s="50">
        <v>30</v>
      </c>
      <c r="D11" s="50">
        <v>15</v>
      </c>
      <c r="E11" s="50">
        <v>9</v>
      </c>
      <c r="F11" s="50">
        <v>62</v>
      </c>
      <c r="G11" s="50">
        <v>5</v>
      </c>
      <c r="H11" s="50">
        <v>1</v>
      </c>
      <c r="I11" s="50">
        <v>3</v>
      </c>
      <c r="J11" s="50">
        <v>0</v>
      </c>
      <c r="K11" s="50">
        <v>0</v>
      </c>
      <c r="L11" s="50">
        <v>2</v>
      </c>
      <c r="M11" s="50">
        <v>525</v>
      </c>
      <c r="N11" s="50">
        <v>0</v>
      </c>
      <c r="O11" s="15">
        <f t="shared" si="0"/>
        <v>127</v>
      </c>
      <c r="P11" s="15">
        <f t="shared" si="1"/>
        <v>652</v>
      </c>
      <c r="R11" s="1" t="s">
        <v>7</v>
      </c>
      <c r="S11" s="17">
        <f t="shared" ref="S11:AF11" si="3">SUM(C14:C17)</f>
        <v>94</v>
      </c>
      <c r="T11" s="17">
        <f t="shared" si="3"/>
        <v>23</v>
      </c>
      <c r="U11" s="17">
        <f t="shared" si="3"/>
        <v>16</v>
      </c>
      <c r="V11" s="17">
        <f t="shared" si="3"/>
        <v>183</v>
      </c>
      <c r="W11" s="17">
        <f t="shared" si="3"/>
        <v>11</v>
      </c>
      <c r="X11" s="17">
        <f t="shared" si="3"/>
        <v>0</v>
      </c>
      <c r="Y11" s="17">
        <f t="shared" si="3"/>
        <v>6</v>
      </c>
      <c r="Z11" s="17">
        <f t="shared" si="3"/>
        <v>6</v>
      </c>
      <c r="AA11" s="17">
        <f t="shared" si="3"/>
        <v>4</v>
      </c>
      <c r="AB11" s="17">
        <f t="shared" si="3"/>
        <v>7</v>
      </c>
      <c r="AC11" s="17">
        <f t="shared" si="3"/>
        <v>2027</v>
      </c>
      <c r="AD11" s="17">
        <f t="shared" si="3"/>
        <v>2</v>
      </c>
      <c r="AE11" s="31">
        <f t="shared" si="3"/>
        <v>352</v>
      </c>
      <c r="AF11" s="31">
        <f t="shared" si="3"/>
        <v>2379</v>
      </c>
    </row>
    <row r="12" spans="2:32" ht="23.1" customHeight="1" x14ac:dyDescent="0.25">
      <c r="B12" s="23" t="s">
        <v>39</v>
      </c>
      <c r="C12" s="50">
        <v>37</v>
      </c>
      <c r="D12" s="50">
        <v>18</v>
      </c>
      <c r="E12" s="50">
        <v>4</v>
      </c>
      <c r="F12" s="50">
        <v>75</v>
      </c>
      <c r="G12" s="50">
        <v>3</v>
      </c>
      <c r="H12" s="50">
        <v>0</v>
      </c>
      <c r="I12" s="50">
        <v>0</v>
      </c>
      <c r="J12" s="50">
        <v>0</v>
      </c>
      <c r="K12" s="50">
        <v>0</v>
      </c>
      <c r="L12" s="50">
        <v>2</v>
      </c>
      <c r="M12" s="50">
        <v>496</v>
      </c>
      <c r="N12" s="50">
        <v>1</v>
      </c>
      <c r="O12" s="15">
        <f t="shared" si="0"/>
        <v>140</v>
      </c>
      <c r="P12" s="15">
        <f t="shared" si="1"/>
        <v>636</v>
      </c>
      <c r="R12" s="1" t="s">
        <v>8</v>
      </c>
      <c r="S12" s="17">
        <f t="shared" ref="S12:AF12" si="4">SUM(C18:C21)</f>
        <v>129</v>
      </c>
      <c r="T12" s="17">
        <f t="shared" si="4"/>
        <v>83</v>
      </c>
      <c r="U12" s="17">
        <f t="shared" si="4"/>
        <v>29</v>
      </c>
      <c r="V12" s="17">
        <f t="shared" si="4"/>
        <v>195</v>
      </c>
      <c r="W12" s="17">
        <f t="shared" si="4"/>
        <v>6</v>
      </c>
      <c r="X12" s="17">
        <f t="shared" si="4"/>
        <v>0</v>
      </c>
      <c r="Y12" s="17">
        <f t="shared" si="4"/>
        <v>21</v>
      </c>
      <c r="Z12" s="17">
        <f t="shared" si="4"/>
        <v>23</v>
      </c>
      <c r="AA12" s="17">
        <f t="shared" si="4"/>
        <v>17</v>
      </c>
      <c r="AB12" s="17">
        <f t="shared" si="4"/>
        <v>14</v>
      </c>
      <c r="AC12" s="17">
        <f t="shared" si="4"/>
        <v>2590</v>
      </c>
      <c r="AD12" s="17">
        <f t="shared" si="4"/>
        <v>0</v>
      </c>
      <c r="AE12" s="31">
        <f t="shared" si="4"/>
        <v>517</v>
      </c>
      <c r="AF12" s="31">
        <f t="shared" si="4"/>
        <v>3107</v>
      </c>
    </row>
    <row r="13" spans="2:32" ht="23.1" customHeight="1" x14ac:dyDescent="0.25">
      <c r="B13" s="23" t="s">
        <v>40</v>
      </c>
      <c r="C13" s="50">
        <v>25</v>
      </c>
      <c r="D13" s="50">
        <v>4</v>
      </c>
      <c r="E13" s="50">
        <v>2</v>
      </c>
      <c r="F13" s="50">
        <v>54</v>
      </c>
      <c r="G13" s="50">
        <v>1</v>
      </c>
      <c r="H13" s="50">
        <v>0</v>
      </c>
      <c r="I13" s="50">
        <v>4</v>
      </c>
      <c r="J13" s="50">
        <v>4</v>
      </c>
      <c r="K13" s="50">
        <v>0</v>
      </c>
      <c r="L13" s="50">
        <v>0</v>
      </c>
      <c r="M13" s="50">
        <v>530</v>
      </c>
      <c r="N13" s="50">
        <v>0</v>
      </c>
      <c r="O13" s="15">
        <f t="shared" si="0"/>
        <v>94</v>
      </c>
      <c r="P13" s="15">
        <f t="shared" si="1"/>
        <v>624</v>
      </c>
      <c r="R13" s="1" t="s">
        <v>9</v>
      </c>
      <c r="S13" s="17">
        <f t="shared" ref="S13:AF13" si="5">SUM(C22:C25)</f>
        <v>101</v>
      </c>
      <c r="T13" s="17">
        <f t="shared" si="5"/>
        <v>35</v>
      </c>
      <c r="U13" s="17">
        <f t="shared" si="5"/>
        <v>18</v>
      </c>
      <c r="V13" s="17">
        <f t="shared" si="5"/>
        <v>153</v>
      </c>
      <c r="W13" s="17">
        <f t="shared" si="5"/>
        <v>4</v>
      </c>
      <c r="X13" s="17">
        <f t="shared" si="5"/>
        <v>0</v>
      </c>
      <c r="Y13" s="17">
        <f t="shared" si="5"/>
        <v>21</v>
      </c>
      <c r="Z13" s="17">
        <f t="shared" si="5"/>
        <v>23</v>
      </c>
      <c r="AA13" s="17">
        <f t="shared" si="5"/>
        <v>14</v>
      </c>
      <c r="AB13" s="17">
        <f t="shared" si="5"/>
        <v>15</v>
      </c>
      <c r="AC13" s="17">
        <f t="shared" si="5"/>
        <v>2833</v>
      </c>
      <c r="AD13" s="17">
        <f t="shared" si="5"/>
        <v>0</v>
      </c>
      <c r="AE13" s="31">
        <f t="shared" si="5"/>
        <v>384</v>
      </c>
      <c r="AF13" s="31">
        <f t="shared" si="5"/>
        <v>3217</v>
      </c>
    </row>
    <row r="14" spans="2:32" ht="23.1" customHeight="1" x14ac:dyDescent="0.25">
      <c r="B14" s="23" t="s">
        <v>41</v>
      </c>
      <c r="C14" s="50">
        <v>32</v>
      </c>
      <c r="D14" s="50">
        <v>4</v>
      </c>
      <c r="E14" s="50">
        <v>2</v>
      </c>
      <c r="F14" s="50">
        <v>53</v>
      </c>
      <c r="G14" s="50">
        <v>4</v>
      </c>
      <c r="H14" s="50">
        <v>0</v>
      </c>
      <c r="I14" s="50">
        <v>2</v>
      </c>
      <c r="J14" s="50">
        <v>0</v>
      </c>
      <c r="K14" s="50">
        <v>2</v>
      </c>
      <c r="L14" s="50">
        <v>2</v>
      </c>
      <c r="M14" s="50">
        <v>625</v>
      </c>
      <c r="N14" s="50">
        <v>0</v>
      </c>
      <c r="O14" s="15">
        <f t="shared" si="0"/>
        <v>101</v>
      </c>
      <c r="P14" s="15">
        <f t="shared" si="1"/>
        <v>726</v>
      </c>
      <c r="R14" s="1" t="s">
        <v>10</v>
      </c>
      <c r="S14" s="17">
        <f t="shared" ref="S14:AF14" si="6">SUM(C26:C29)</f>
        <v>169</v>
      </c>
      <c r="T14" s="17">
        <f t="shared" si="6"/>
        <v>66</v>
      </c>
      <c r="U14" s="17">
        <f t="shared" si="6"/>
        <v>28</v>
      </c>
      <c r="V14" s="17">
        <f t="shared" si="6"/>
        <v>150</v>
      </c>
      <c r="W14" s="17">
        <f t="shared" si="6"/>
        <v>1</v>
      </c>
      <c r="X14" s="17">
        <f t="shared" si="6"/>
        <v>1</v>
      </c>
      <c r="Y14" s="17">
        <f t="shared" si="6"/>
        <v>35</v>
      </c>
      <c r="Z14" s="17">
        <f t="shared" si="6"/>
        <v>27</v>
      </c>
      <c r="AA14" s="17">
        <f t="shared" si="6"/>
        <v>7</v>
      </c>
      <c r="AB14" s="17">
        <f t="shared" si="6"/>
        <v>8</v>
      </c>
      <c r="AC14" s="17">
        <f t="shared" si="6"/>
        <v>2618</v>
      </c>
      <c r="AD14" s="17">
        <f t="shared" si="6"/>
        <v>0</v>
      </c>
      <c r="AE14" s="31">
        <f t="shared" si="6"/>
        <v>492</v>
      </c>
      <c r="AF14" s="31">
        <f t="shared" si="6"/>
        <v>3110</v>
      </c>
    </row>
    <row r="15" spans="2:32" ht="23.1" customHeight="1" x14ac:dyDescent="0.25">
      <c r="B15" s="23" t="s">
        <v>42</v>
      </c>
      <c r="C15" s="50">
        <v>10</v>
      </c>
      <c r="D15" s="50">
        <v>8</v>
      </c>
      <c r="E15" s="50">
        <v>3</v>
      </c>
      <c r="F15" s="50">
        <v>45</v>
      </c>
      <c r="G15" s="50">
        <v>3</v>
      </c>
      <c r="H15" s="50">
        <v>0</v>
      </c>
      <c r="I15" s="50">
        <v>1</v>
      </c>
      <c r="J15" s="50">
        <v>3</v>
      </c>
      <c r="K15" s="50">
        <v>2</v>
      </c>
      <c r="L15" s="50">
        <v>0</v>
      </c>
      <c r="M15" s="50">
        <v>240</v>
      </c>
      <c r="N15" s="50">
        <v>0</v>
      </c>
      <c r="O15" s="15">
        <f t="shared" si="0"/>
        <v>75</v>
      </c>
      <c r="P15" s="15">
        <f t="shared" si="1"/>
        <v>315</v>
      </c>
      <c r="R15" s="1" t="s">
        <v>11</v>
      </c>
      <c r="S15" s="17">
        <f t="shared" ref="S15:AF15" si="7">SUM(C30:C33)</f>
        <v>123</v>
      </c>
      <c r="T15" s="17">
        <f t="shared" si="7"/>
        <v>64</v>
      </c>
      <c r="U15" s="17">
        <f t="shared" si="7"/>
        <v>27</v>
      </c>
      <c r="V15" s="17">
        <f t="shared" si="7"/>
        <v>122</v>
      </c>
      <c r="W15" s="17">
        <f t="shared" si="7"/>
        <v>9</v>
      </c>
      <c r="X15" s="17">
        <f t="shared" si="7"/>
        <v>0</v>
      </c>
      <c r="Y15" s="17">
        <f t="shared" si="7"/>
        <v>26</v>
      </c>
      <c r="Z15" s="17">
        <f t="shared" si="7"/>
        <v>21</v>
      </c>
      <c r="AA15" s="17">
        <f t="shared" si="7"/>
        <v>6</v>
      </c>
      <c r="AB15" s="17">
        <f t="shared" si="7"/>
        <v>10</v>
      </c>
      <c r="AC15" s="17">
        <f t="shared" si="7"/>
        <v>1700</v>
      </c>
      <c r="AD15" s="17">
        <f t="shared" si="7"/>
        <v>1</v>
      </c>
      <c r="AE15" s="31">
        <f t="shared" si="7"/>
        <v>409</v>
      </c>
      <c r="AF15" s="31">
        <f t="shared" si="7"/>
        <v>2109</v>
      </c>
    </row>
    <row r="16" spans="2:32" ht="23.1" customHeight="1" x14ac:dyDescent="0.25">
      <c r="B16" s="23" t="s">
        <v>43</v>
      </c>
      <c r="C16" s="50">
        <v>31</v>
      </c>
      <c r="D16" s="50">
        <v>8</v>
      </c>
      <c r="E16" s="50">
        <v>1</v>
      </c>
      <c r="F16" s="50">
        <v>42</v>
      </c>
      <c r="G16" s="50">
        <v>3</v>
      </c>
      <c r="H16" s="50">
        <v>0</v>
      </c>
      <c r="I16" s="50">
        <v>1</v>
      </c>
      <c r="J16" s="50">
        <v>0</v>
      </c>
      <c r="K16" s="50">
        <v>0</v>
      </c>
      <c r="L16" s="50">
        <v>2</v>
      </c>
      <c r="M16" s="50">
        <v>180</v>
      </c>
      <c r="N16" s="50">
        <v>1</v>
      </c>
      <c r="O16" s="15">
        <f t="shared" si="0"/>
        <v>89</v>
      </c>
      <c r="P16" s="15">
        <f t="shared" si="1"/>
        <v>269</v>
      </c>
      <c r="R16" s="1" t="s">
        <v>12</v>
      </c>
      <c r="S16" s="17">
        <f t="shared" ref="S16:AF16" si="8">SUM(C34:C37)</f>
        <v>159</v>
      </c>
      <c r="T16" s="17">
        <f t="shared" si="8"/>
        <v>65</v>
      </c>
      <c r="U16" s="17">
        <f t="shared" si="8"/>
        <v>19</v>
      </c>
      <c r="V16" s="17">
        <f t="shared" si="8"/>
        <v>121</v>
      </c>
      <c r="W16" s="17">
        <f t="shared" si="8"/>
        <v>1</v>
      </c>
      <c r="X16" s="17">
        <f t="shared" si="8"/>
        <v>1</v>
      </c>
      <c r="Y16" s="17">
        <f t="shared" si="8"/>
        <v>19</v>
      </c>
      <c r="Z16" s="17">
        <f t="shared" si="8"/>
        <v>20</v>
      </c>
      <c r="AA16" s="17">
        <f t="shared" si="8"/>
        <v>20</v>
      </c>
      <c r="AB16" s="17">
        <f t="shared" si="8"/>
        <v>19</v>
      </c>
      <c r="AC16" s="17">
        <f t="shared" si="8"/>
        <v>1184</v>
      </c>
      <c r="AD16" s="17">
        <f t="shared" si="8"/>
        <v>0</v>
      </c>
      <c r="AE16" s="31">
        <f t="shared" si="8"/>
        <v>444</v>
      </c>
      <c r="AF16" s="31">
        <f t="shared" si="8"/>
        <v>1628</v>
      </c>
    </row>
    <row r="17" spans="2:32" ht="23.1" customHeight="1" x14ac:dyDescent="0.25">
      <c r="B17" s="23" t="s">
        <v>44</v>
      </c>
      <c r="C17" s="50">
        <v>21</v>
      </c>
      <c r="D17" s="50">
        <v>3</v>
      </c>
      <c r="E17" s="50">
        <v>10</v>
      </c>
      <c r="F17" s="50">
        <v>43</v>
      </c>
      <c r="G17" s="50">
        <v>1</v>
      </c>
      <c r="H17" s="50">
        <v>0</v>
      </c>
      <c r="I17" s="50">
        <v>2</v>
      </c>
      <c r="J17" s="50">
        <v>3</v>
      </c>
      <c r="K17" s="50">
        <v>0</v>
      </c>
      <c r="L17" s="50">
        <v>3</v>
      </c>
      <c r="M17" s="50">
        <v>982</v>
      </c>
      <c r="N17" s="50">
        <v>1</v>
      </c>
      <c r="O17" s="15">
        <f t="shared" si="0"/>
        <v>87</v>
      </c>
      <c r="P17" s="15">
        <f t="shared" si="1"/>
        <v>1069</v>
      </c>
      <c r="R17" s="1" t="s">
        <v>13</v>
      </c>
      <c r="S17" s="17">
        <f t="shared" ref="S17:AF17" si="9">SUM(C38:C41)</f>
        <v>248</v>
      </c>
      <c r="T17" s="17">
        <f t="shared" si="9"/>
        <v>102</v>
      </c>
      <c r="U17" s="17">
        <f t="shared" si="9"/>
        <v>49</v>
      </c>
      <c r="V17" s="17">
        <f t="shared" si="9"/>
        <v>133</v>
      </c>
      <c r="W17" s="17">
        <f t="shared" si="9"/>
        <v>4</v>
      </c>
      <c r="X17" s="17">
        <f t="shared" si="9"/>
        <v>0</v>
      </c>
      <c r="Y17" s="17">
        <f t="shared" si="9"/>
        <v>31</v>
      </c>
      <c r="Z17" s="17">
        <f t="shared" si="9"/>
        <v>20</v>
      </c>
      <c r="AA17" s="17">
        <f t="shared" si="9"/>
        <v>19</v>
      </c>
      <c r="AB17" s="17">
        <f t="shared" si="9"/>
        <v>15</v>
      </c>
      <c r="AC17" s="17">
        <f t="shared" si="9"/>
        <v>1219</v>
      </c>
      <c r="AD17" s="17">
        <f t="shared" si="9"/>
        <v>1</v>
      </c>
      <c r="AE17" s="31">
        <f t="shared" si="9"/>
        <v>622</v>
      </c>
      <c r="AF17" s="31">
        <f t="shared" si="9"/>
        <v>1841</v>
      </c>
    </row>
    <row r="18" spans="2:32" ht="23.1" customHeight="1" x14ac:dyDescent="0.25">
      <c r="B18" s="23" t="s">
        <v>45</v>
      </c>
      <c r="C18" s="50">
        <v>28</v>
      </c>
      <c r="D18" s="50">
        <v>14</v>
      </c>
      <c r="E18" s="50">
        <v>7</v>
      </c>
      <c r="F18" s="50">
        <v>48</v>
      </c>
      <c r="G18" s="50">
        <v>1</v>
      </c>
      <c r="H18" s="50">
        <v>0</v>
      </c>
      <c r="I18" s="50">
        <v>4</v>
      </c>
      <c r="J18" s="50">
        <v>3</v>
      </c>
      <c r="K18" s="50">
        <v>1</v>
      </c>
      <c r="L18" s="50">
        <v>1</v>
      </c>
      <c r="M18" s="50">
        <v>666</v>
      </c>
      <c r="N18" s="50">
        <v>0</v>
      </c>
      <c r="O18" s="15">
        <f t="shared" si="0"/>
        <v>107</v>
      </c>
      <c r="P18" s="15">
        <f t="shared" si="1"/>
        <v>773</v>
      </c>
      <c r="R18" s="1" t="s">
        <v>14</v>
      </c>
      <c r="S18" s="17">
        <f t="shared" ref="S18:AF18" si="10">SUM(C42:C45)</f>
        <v>196</v>
      </c>
      <c r="T18" s="17">
        <f t="shared" si="10"/>
        <v>147</v>
      </c>
      <c r="U18" s="17">
        <f t="shared" si="10"/>
        <v>46</v>
      </c>
      <c r="V18" s="17">
        <f t="shared" si="10"/>
        <v>105</v>
      </c>
      <c r="W18" s="17">
        <f t="shared" si="10"/>
        <v>1</v>
      </c>
      <c r="X18" s="17">
        <f t="shared" si="10"/>
        <v>2</v>
      </c>
      <c r="Y18" s="17">
        <f t="shared" si="10"/>
        <v>19</v>
      </c>
      <c r="Z18" s="17">
        <f t="shared" si="10"/>
        <v>9</v>
      </c>
      <c r="AA18" s="17">
        <f t="shared" si="10"/>
        <v>10</v>
      </c>
      <c r="AB18" s="17">
        <f t="shared" si="10"/>
        <v>20</v>
      </c>
      <c r="AC18" s="17">
        <f t="shared" si="10"/>
        <v>1221</v>
      </c>
      <c r="AD18" s="17">
        <f t="shared" si="10"/>
        <v>0</v>
      </c>
      <c r="AE18" s="31">
        <f t="shared" si="10"/>
        <v>555</v>
      </c>
      <c r="AF18" s="31">
        <f t="shared" si="10"/>
        <v>1776</v>
      </c>
    </row>
    <row r="19" spans="2:32" ht="23.1" customHeight="1" x14ac:dyDescent="0.25">
      <c r="B19" s="23" t="s">
        <v>46</v>
      </c>
      <c r="C19" s="50">
        <v>45</v>
      </c>
      <c r="D19" s="50">
        <v>41</v>
      </c>
      <c r="E19" s="50">
        <v>5</v>
      </c>
      <c r="F19" s="50">
        <v>60</v>
      </c>
      <c r="G19" s="50">
        <v>1</v>
      </c>
      <c r="H19" s="50">
        <v>0</v>
      </c>
      <c r="I19" s="50">
        <v>7</v>
      </c>
      <c r="J19" s="50">
        <v>7</v>
      </c>
      <c r="K19" s="50">
        <v>7</v>
      </c>
      <c r="L19" s="50">
        <v>7</v>
      </c>
      <c r="M19" s="50">
        <v>510</v>
      </c>
      <c r="N19" s="50">
        <v>0</v>
      </c>
      <c r="O19" s="15">
        <f t="shared" si="0"/>
        <v>180</v>
      </c>
      <c r="P19" s="15">
        <f t="shared" si="1"/>
        <v>690</v>
      </c>
      <c r="R19" s="1" t="s">
        <v>15</v>
      </c>
      <c r="S19" s="17">
        <f t="shared" ref="S19:AF19" si="11">SUM(C46:C49)</f>
        <v>344</v>
      </c>
      <c r="T19" s="17">
        <f t="shared" si="11"/>
        <v>145</v>
      </c>
      <c r="U19" s="17">
        <f t="shared" si="11"/>
        <v>110</v>
      </c>
      <c r="V19" s="17">
        <f t="shared" si="11"/>
        <v>101</v>
      </c>
      <c r="W19" s="17">
        <f t="shared" si="11"/>
        <v>5</v>
      </c>
      <c r="X19" s="17">
        <f t="shared" si="11"/>
        <v>1</v>
      </c>
      <c r="Y19" s="17">
        <f t="shared" si="11"/>
        <v>16</v>
      </c>
      <c r="Z19" s="17">
        <f t="shared" si="11"/>
        <v>7</v>
      </c>
      <c r="AA19" s="17">
        <f t="shared" si="11"/>
        <v>11</v>
      </c>
      <c r="AB19" s="17">
        <f t="shared" si="11"/>
        <v>8</v>
      </c>
      <c r="AC19" s="17">
        <f t="shared" si="11"/>
        <v>1188</v>
      </c>
      <c r="AD19" s="17">
        <f t="shared" si="11"/>
        <v>0</v>
      </c>
      <c r="AE19" s="31">
        <f t="shared" si="11"/>
        <v>748</v>
      </c>
      <c r="AF19" s="31">
        <f t="shared" si="11"/>
        <v>1936</v>
      </c>
    </row>
    <row r="20" spans="2:32" ht="23.1" customHeight="1" x14ac:dyDescent="0.25">
      <c r="B20" s="23" t="s">
        <v>47</v>
      </c>
      <c r="C20" s="50">
        <v>32</v>
      </c>
      <c r="D20" s="50">
        <v>23</v>
      </c>
      <c r="E20" s="50">
        <v>10</v>
      </c>
      <c r="F20" s="50">
        <v>45</v>
      </c>
      <c r="G20" s="50">
        <v>0</v>
      </c>
      <c r="H20" s="50">
        <v>0</v>
      </c>
      <c r="I20" s="50">
        <v>4</v>
      </c>
      <c r="J20" s="50">
        <v>4</v>
      </c>
      <c r="K20" s="50">
        <v>4</v>
      </c>
      <c r="L20" s="50">
        <v>5</v>
      </c>
      <c r="M20" s="50">
        <v>913</v>
      </c>
      <c r="N20" s="50">
        <v>0</v>
      </c>
      <c r="O20" s="15">
        <f t="shared" si="0"/>
        <v>127</v>
      </c>
      <c r="P20" s="15">
        <f t="shared" si="1"/>
        <v>1040</v>
      </c>
      <c r="R20" s="1" t="s">
        <v>16</v>
      </c>
      <c r="S20" s="17">
        <f t="shared" ref="S20:AF20" si="12">SUM(C50:C53)</f>
        <v>259</v>
      </c>
      <c r="T20" s="17">
        <f t="shared" si="12"/>
        <v>116</v>
      </c>
      <c r="U20" s="17">
        <f t="shared" si="12"/>
        <v>42</v>
      </c>
      <c r="V20" s="17">
        <f t="shared" si="12"/>
        <v>144</v>
      </c>
      <c r="W20" s="17">
        <f t="shared" si="12"/>
        <v>12</v>
      </c>
      <c r="X20" s="17">
        <f t="shared" si="12"/>
        <v>0</v>
      </c>
      <c r="Y20" s="17">
        <f t="shared" si="12"/>
        <v>14</v>
      </c>
      <c r="Z20" s="17">
        <f t="shared" si="12"/>
        <v>14</v>
      </c>
      <c r="AA20" s="17">
        <f t="shared" si="12"/>
        <v>14</v>
      </c>
      <c r="AB20" s="17">
        <f t="shared" si="12"/>
        <v>8</v>
      </c>
      <c r="AC20" s="17">
        <f t="shared" si="12"/>
        <v>1873</v>
      </c>
      <c r="AD20" s="17">
        <f t="shared" si="12"/>
        <v>0</v>
      </c>
      <c r="AE20" s="31">
        <f t="shared" si="12"/>
        <v>623</v>
      </c>
      <c r="AF20" s="31">
        <f t="shared" si="12"/>
        <v>2496</v>
      </c>
    </row>
    <row r="21" spans="2:32" ht="23.1" customHeight="1" x14ac:dyDescent="0.25">
      <c r="B21" s="23" t="s">
        <v>48</v>
      </c>
      <c r="C21" s="50">
        <v>24</v>
      </c>
      <c r="D21" s="50">
        <v>5</v>
      </c>
      <c r="E21" s="50">
        <v>7</v>
      </c>
      <c r="F21" s="50">
        <v>42</v>
      </c>
      <c r="G21" s="50">
        <v>4</v>
      </c>
      <c r="H21" s="50">
        <v>0</v>
      </c>
      <c r="I21" s="50">
        <v>6</v>
      </c>
      <c r="J21" s="50">
        <v>9</v>
      </c>
      <c r="K21" s="50">
        <v>5</v>
      </c>
      <c r="L21" s="50">
        <v>1</v>
      </c>
      <c r="M21" s="50">
        <v>501</v>
      </c>
      <c r="N21" s="50">
        <v>0</v>
      </c>
      <c r="O21" s="15">
        <f t="shared" si="0"/>
        <v>103</v>
      </c>
      <c r="P21" s="15">
        <f t="shared" si="1"/>
        <v>604</v>
      </c>
      <c r="R21" s="36" t="s">
        <v>20</v>
      </c>
      <c r="S21" s="34">
        <f t="shared" ref="S21:AF21" si="13">SUM(C54:C57)</f>
        <v>251</v>
      </c>
      <c r="T21" s="17">
        <f t="shared" si="13"/>
        <v>93</v>
      </c>
      <c r="U21" s="17">
        <f t="shared" si="13"/>
        <v>25</v>
      </c>
      <c r="V21" s="17">
        <f t="shared" si="13"/>
        <v>127</v>
      </c>
      <c r="W21" s="17">
        <f t="shared" si="13"/>
        <v>2</v>
      </c>
      <c r="X21" s="17">
        <f t="shared" si="13"/>
        <v>3</v>
      </c>
      <c r="Y21" s="17">
        <f t="shared" si="13"/>
        <v>17</v>
      </c>
      <c r="Z21" s="17">
        <f t="shared" si="13"/>
        <v>16</v>
      </c>
      <c r="AA21" s="17">
        <f t="shared" si="13"/>
        <v>5</v>
      </c>
      <c r="AB21" s="17">
        <f t="shared" si="13"/>
        <v>8</v>
      </c>
      <c r="AC21" s="17">
        <f t="shared" si="13"/>
        <v>1855</v>
      </c>
      <c r="AD21" s="17">
        <f t="shared" si="13"/>
        <v>0</v>
      </c>
      <c r="AE21" s="31">
        <f t="shared" si="13"/>
        <v>547</v>
      </c>
      <c r="AF21" s="31">
        <f t="shared" si="13"/>
        <v>2402</v>
      </c>
    </row>
    <row r="22" spans="2:32" ht="23.1" customHeight="1" x14ac:dyDescent="0.25">
      <c r="B22" s="23" t="s">
        <v>49</v>
      </c>
      <c r="C22" s="50">
        <v>19</v>
      </c>
      <c r="D22" s="50">
        <v>5</v>
      </c>
      <c r="E22" s="50">
        <v>5</v>
      </c>
      <c r="F22" s="50">
        <v>51</v>
      </c>
      <c r="G22" s="50">
        <v>2</v>
      </c>
      <c r="H22" s="50">
        <v>0</v>
      </c>
      <c r="I22" s="50">
        <v>6</v>
      </c>
      <c r="J22" s="50">
        <v>5</v>
      </c>
      <c r="K22" s="50">
        <v>7</v>
      </c>
      <c r="L22" s="50">
        <v>3</v>
      </c>
      <c r="M22" s="50">
        <v>737</v>
      </c>
      <c r="N22" s="50">
        <v>0</v>
      </c>
      <c r="O22" s="15">
        <f t="shared" si="0"/>
        <v>103</v>
      </c>
      <c r="P22" s="15">
        <f t="shared" si="1"/>
        <v>840</v>
      </c>
      <c r="R22" s="38" t="s">
        <v>90</v>
      </c>
      <c r="S22" s="39">
        <f>MAX(S10:S12)</f>
        <v>162</v>
      </c>
      <c r="T22" s="39">
        <f t="shared" ref="T22:AF22" si="14">MAX(T10:T12)</f>
        <v>83</v>
      </c>
      <c r="U22" s="39">
        <f t="shared" si="14"/>
        <v>29</v>
      </c>
      <c r="V22" s="39">
        <f t="shared" si="14"/>
        <v>246</v>
      </c>
      <c r="W22" s="39">
        <f t="shared" si="14"/>
        <v>11</v>
      </c>
      <c r="X22" s="39">
        <f t="shared" si="14"/>
        <v>2</v>
      </c>
      <c r="Y22" s="39">
        <f t="shared" si="14"/>
        <v>21</v>
      </c>
      <c r="Z22" s="39">
        <f t="shared" si="14"/>
        <v>23</v>
      </c>
      <c r="AA22" s="39">
        <f t="shared" si="14"/>
        <v>17</v>
      </c>
      <c r="AB22" s="39">
        <f t="shared" si="14"/>
        <v>14</v>
      </c>
      <c r="AC22" s="39">
        <f t="shared" si="14"/>
        <v>2590</v>
      </c>
      <c r="AD22" s="39">
        <f t="shared" si="14"/>
        <v>2</v>
      </c>
      <c r="AE22" s="40">
        <f t="shared" si="14"/>
        <v>517</v>
      </c>
      <c r="AF22" s="40">
        <f t="shared" si="14"/>
        <v>3107</v>
      </c>
    </row>
    <row r="23" spans="2:32" ht="23.1" customHeight="1" x14ac:dyDescent="0.25">
      <c r="B23" s="23" t="s">
        <v>50</v>
      </c>
      <c r="C23" s="50">
        <v>37</v>
      </c>
      <c r="D23" s="50">
        <v>12</v>
      </c>
      <c r="E23" s="50">
        <v>5</v>
      </c>
      <c r="F23" s="50">
        <v>42</v>
      </c>
      <c r="G23" s="50">
        <v>0</v>
      </c>
      <c r="H23" s="50">
        <v>0</v>
      </c>
      <c r="I23" s="50">
        <v>4</v>
      </c>
      <c r="J23" s="50">
        <v>3</v>
      </c>
      <c r="K23" s="50">
        <v>0</v>
      </c>
      <c r="L23" s="50">
        <v>5</v>
      </c>
      <c r="M23" s="50">
        <v>929</v>
      </c>
      <c r="N23" s="50">
        <v>0</v>
      </c>
      <c r="O23" s="15">
        <f t="shared" si="0"/>
        <v>108</v>
      </c>
      <c r="P23" s="15">
        <f t="shared" si="1"/>
        <v>1037</v>
      </c>
      <c r="R23" s="38" t="s">
        <v>91</v>
      </c>
      <c r="S23" s="39">
        <f>MAX(S13:S18)</f>
        <v>248</v>
      </c>
      <c r="T23" s="39">
        <f t="shared" ref="T23:AF23" si="15">MAX(T13:T18)</f>
        <v>147</v>
      </c>
      <c r="U23" s="39">
        <f t="shared" si="15"/>
        <v>49</v>
      </c>
      <c r="V23" s="39">
        <f t="shared" si="15"/>
        <v>153</v>
      </c>
      <c r="W23" s="39">
        <f t="shared" si="15"/>
        <v>9</v>
      </c>
      <c r="X23" s="39">
        <f t="shared" si="15"/>
        <v>2</v>
      </c>
      <c r="Y23" s="39">
        <f t="shared" si="15"/>
        <v>35</v>
      </c>
      <c r="Z23" s="39">
        <f t="shared" si="15"/>
        <v>27</v>
      </c>
      <c r="AA23" s="39">
        <f t="shared" si="15"/>
        <v>20</v>
      </c>
      <c r="AB23" s="39">
        <f t="shared" si="15"/>
        <v>20</v>
      </c>
      <c r="AC23" s="39">
        <f t="shared" si="15"/>
        <v>2833</v>
      </c>
      <c r="AD23" s="39">
        <f t="shared" si="15"/>
        <v>1</v>
      </c>
      <c r="AE23" s="40">
        <f t="shared" si="15"/>
        <v>622</v>
      </c>
      <c r="AF23" s="40">
        <f t="shared" si="15"/>
        <v>3217</v>
      </c>
    </row>
    <row r="24" spans="2:32" ht="23.1" customHeight="1" x14ac:dyDescent="0.25">
      <c r="B24" s="23" t="s">
        <v>51</v>
      </c>
      <c r="C24" s="50">
        <v>27</v>
      </c>
      <c r="D24" s="50">
        <v>8</v>
      </c>
      <c r="E24" s="50">
        <v>6</v>
      </c>
      <c r="F24" s="50">
        <v>36</v>
      </c>
      <c r="G24" s="50">
        <v>2</v>
      </c>
      <c r="H24" s="50">
        <v>0</v>
      </c>
      <c r="I24" s="50">
        <v>3</v>
      </c>
      <c r="J24" s="50">
        <v>6</v>
      </c>
      <c r="K24" s="50">
        <v>6</v>
      </c>
      <c r="L24" s="50">
        <v>6</v>
      </c>
      <c r="M24" s="50">
        <v>529</v>
      </c>
      <c r="N24" s="50">
        <v>0</v>
      </c>
      <c r="O24" s="15">
        <f t="shared" si="0"/>
        <v>100</v>
      </c>
      <c r="P24" s="15">
        <f t="shared" si="1"/>
        <v>629</v>
      </c>
      <c r="R24" s="38" t="s">
        <v>92</v>
      </c>
      <c r="S24" s="39">
        <f>MAX(S19:S21)</f>
        <v>344</v>
      </c>
      <c r="T24" s="39">
        <f t="shared" ref="T24:AF24" si="16">MAX(T19:T21)</f>
        <v>145</v>
      </c>
      <c r="U24" s="39">
        <f t="shared" si="16"/>
        <v>110</v>
      </c>
      <c r="V24" s="39">
        <f t="shared" si="16"/>
        <v>144</v>
      </c>
      <c r="W24" s="39">
        <f t="shared" si="16"/>
        <v>12</v>
      </c>
      <c r="X24" s="39">
        <f t="shared" si="16"/>
        <v>3</v>
      </c>
      <c r="Y24" s="39">
        <f t="shared" si="16"/>
        <v>17</v>
      </c>
      <c r="Z24" s="39">
        <f t="shared" si="16"/>
        <v>16</v>
      </c>
      <c r="AA24" s="39">
        <f t="shared" si="16"/>
        <v>14</v>
      </c>
      <c r="AB24" s="39">
        <f t="shared" si="16"/>
        <v>8</v>
      </c>
      <c r="AC24" s="39">
        <f t="shared" si="16"/>
        <v>1873</v>
      </c>
      <c r="AD24" s="39">
        <f t="shared" si="16"/>
        <v>0</v>
      </c>
      <c r="AE24" s="40">
        <f t="shared" si="16"/>
        <v>748</v>
      </c>
      <c r="AF24" s="40">
        <f t="shared" si="16"/>
        <v>2496</v>
      </c>
    </row>
    <row r="25" spans="2:32" ht="23.1" customHeight="1" x14ac:dyDescent="0.25">
      <c r="B25" s="23" t="s">
        <v>52</v>
      </c>
      <c r="C25" s="50">
        <v>18</v>
      </c>
      <c r="D25" s="50">
        <v>10</v>
      </c>
      <c r="E25" s="50">
        <v>2</v>
      </c>
      <c r="F25" s="50">
        <v>24</v>
      </c>
      <c r="G25" s="50">
        <v>0</v>
      </c>
      <c r="H25" s="50">
        <v>0</v>
      </c>
      <c r="I25" s="50">
        <v>8</v>
      </c>
      <c r="J25" s="50">
        <v>9</v>
      </c>
      <c r="K25" s="50">
        <v>1</v>
      </c>
      <c r="L25" s="50">
        <v>1</v>
      </c>
      <c r="M25" s="50">
        <v>638</v>
      </c>
      <c r="N25" s="50">
        <v>0</v>
      </c>
      <c r="O25" s="15">
        <f t="shared" si="0"/>
        <v>73</v>
      </c>
      <c r="P25" s="15">
        <f t="shared" si="1"/>
        <v>711</v>
      </c>
      <c r="R25" s="37" t="s">
        <v>85</v>
      </c>
      <c r="S25" s="35">
        <f t="shared" ref="S25:AF25" si="17">SUM(S10:S12)</f>
        <v>385</v>
      </c>
      <c r="T25" s="16">
        <f t="shared" si="17"/>
        <v>156</v>
      </c>
      <c r="U25" s="16">
        <f t="shared" si="17"/>
        <v>65</v>
      </c>
      <c r="V25" s="16">
        <f t="shared" si="17"/>
        <v>624</v>
      </c>
      <c r="W25" s="16">
        <f t="shared" si="17"/>
        <v>27</v>
      </c>
      <c r="X25" s="16">
        <f t="shared" si="17"/>
        <v>2</v>
      </c>
      <c r="Y25" s="16">
        <f t="shared" si="17"/>
        <v>39</v>
      </c>
      <c r="Z25" s="16">
        <f t="shared" si="17"/>
        <v>35</v>
      </c>
      <c r="AA25" s="16">
        <f t="shared" si="17"/>
        <v>22</v>
      </c>
      <c r="AB25" s="16">
        <f t="shared" si="17"/>
        <v>26</v>
      </c>
      <c r="AC25" s="16">
        <f t="shared" si="17"/>
        <v>6817</v>
      </c>
      <c r="AD25" s="16">
        <f t="shared" si="17"/>
        <v>3</v>
      </c>
      <c r="AE25" s="32">
        <f t="shared" si="17"/>
        <v>1384</v>
      </c>
      <c r="AF25" s="32">
        <f t="shared" si="17"/>
        <v>8201</v>
      </c>
    </row>
    <row r="26" spans="2:32" ht="23.1" customHeight="1" x14ac:dyDescent="0.25">
      <c r="B26" s="23" t="s">
        <v>53</v>
      </c>
      <c r="C26" s="50">
        <v>38</v>
      </c>
      <c r="D26" s="50">
        <v>12</v>
      </c>
      <c r="E26" s="50">
        <v>4</v>
      </c>
      <c r="F26" s="50">
        <v>40</v>
      </c>
      <c r="G26" s="50">
        <v>1</v>
      </c>
      <c r="H26" s="50">
        <v>0</v>
      </c>
      <c r="I26" s="50">
        <v>7</v>
      </c>
      <c r="J26" s="50">
        <v>6</v>
      </c>
      <c r="K26" s="50">
        <v>3</v>
      </c>
      <c r="L26" s="50">
        <v>2</v>
      </c>
      <c r="M26" s="50">
        <v>727</v>
      </c>
      <c r="N26" s="50">
        <v>0</v>
      </c>
      <c r="O26" s="15">
        <f t="shared" si="0"/>
        <v>113</v>
      </c>
      <c r="P26" s="15">
        <f t="shared" si="1"/>
        <v>840</v>
      </c>
      <c r="R26" s="28" t="s">
        <v>86</v>
      </c>
      <c r="S26" s="16">
        <f t="shared" ref="S26:AF26" si="18">SUM(S13:S18)</f>
        <v>996</v>
      </c>
      <c r="T26" s="16">
        <f t="shared" si="18"/>
        <v>479</v>
      </c>
      <c r="U26" s="16">
        <f t="shared" si="18"/>
        <v>187</v>
      </c>
      <c r="V26" s="16">
        <f t="shared" si="18"/>
        <v>784</v>
      </c>
      <c r="W26" s="16">
        <f t="shared" si="18"/>
        <v>20</v>
      </c>
      <c r="X26" s="16">
        <f t="shared" si="18"/>
        <v>4</v>
      </c>
      <c r="Y26" s="16">
        <f t="shared" si="18"/>
        <v>151</v>
      </c>
      <c r="Z26" s="16">
        <f t="shared" si="18"/>
        <v>120</v>
      </c>
      <c r="AA26" s="16">
        <f t="shared" si="18"/>
        <v>76</v>
      </c>
      <c r="AB26" s="16">
        <f t="shared" si="18"/>
        <v>87</v>
      </c>
      <c r="AC26" s="16">
        <f t="shared" si="18"/>
        <v>10775</v>
      </c>
      <c r="AD26" s="16">
        <f t="shared" si="18"/>
        <v>2</v>
      </c>
      <c r="AE26" s="32">
        <f t="shared" si="18"/>
        <v>2906</v>
      </c>
      <c r="AF26" s="32">
        <f t="shared" si="18"/>
        <v>13681</v>
      </c>
    </row>
    <row r="27" spans="2:32" ht="23.1" customHeight="1" x14ac:dyDescent="0.25">
      <c r="B27" s="23" t="s">
        <v>54</v>
      </c>
      <c r="C27" s="50">
        <v>48</v>
      </c>
      <c r="D27" s="50">
        <v>9</v>
      </c>
      <c r="E27" s="50">
        <v>14</v>
      </c>
      <c r="F27" s="50">
        <v>36</v>
      </c>
      <c r="G27" s="50">
        <v>0</v>
      </c>
      <c r="H27" s="50">
        <v>1</v>
      </c>
      <c r="I27" s="50">
        <v>5</v>
      </c>
      <c r="J27" s="50">
        <v>10</v>
      </c>
      <c r="K27" s="50">
        <v>0</v>
      </c>
      <c r="L27" s="50">
        <v>3</v>
      </c>
      <c r="M27" s="50">
        <v>765</v>
      </c>
      <c r="N27" s="50">
        <v>0</v>
      </c>
      <c r="O27" s="15">
        <f t="shared" si="0"/>
        <v>126</v>
      </c>
      <c r="P27" s="15">
        <f t="shared" si="1"/>
        <v>891</v>
      </c>
      <c r="R27" s="29" t="s">
        <v>87</v>
      </c>
      <c r="S27" s="16">
        <f t="shared" ref="S27:AF27" si="19">SUM(S19:S21)</f>
        <v>854</v>
      </c>
      <c r="T27" s="16">
        <f t="shared" si="19"/>
        <v>354</v>
      </c>
      <c r="U27" s="16">
        <f t="shared" si="19"/>
        <v>177</v>
      </c>
      <c r="V27" s="16">
        <f t="shared" si="19"/>
        <v>372</v>
      </c>
      <c r="W27" s="16">
        <f t="shared" si="19"/>
        <v>19</v>
      </c>
      <c r="X27" s="16">
        <f t="shared" si="19"/>
        <v>4</v>
      </c>
      <c r="Y27" s="16">
        <f t="shared" si="19"/>
        <v>47</v>
      </c>
      <c r="Z27" s="16">
        <f t="shared" si="19"/>
        <v>37</v>
      </c>
      <c r="AA27" s="16">
        <f t="shared" si="19"/>
        <v>30</v>
      </c>
      <c r="AB27" s="16">
        <f t="shared" si="19"/>
        <v>24</v>
      </c>
      <c r="AC27" s="16">
        <f t="shared" si="19"/>
        <v>4916</v>
      </c>
      <c r="AD27" s="16">
        <f t="shared" si="19"/>
        <v>0</v>
      </c>
      <c r="AE27" s="32">
        <f t="shared" si="19"/>
        <v>1918</v>
      </c>
      <c r="AF27" s="32">
        <f t="shared" si="19"/>
        <v>6834</v>
      </c>
    </row>
    <row r="28" spans="2:32" ht="23.1" customHeight="1" x14ac:dyDescent="0.25">
      <c r="B28" s="23" t="s">
        <v>55</v>
      </c>
      <c r="C28" s="50">
        <v>40</v>
      </c>
      <c r="D28" s="50">
        <v>20</v>
      </c>
      <c r="E28" s="50">
        <v>7</v>
      </c>
      <c r="F28" s="50">
        <v>36</v>
      </c>
      <c r="G28" s="50">
        <v>0</v>
      </c>
      <c r="H28" s="50">
        <v>0</v>
      </c>
      <c r="I28" s="50">
        <v>17</v>
      </c>
      <c r="J28" s="50">
        <v>3</v>
      </c>
      <c r="K28" s="50">
        <v>4</v>
      </c>
      <c r="L28" s="50">
        <v>1</v>
      </c>
      <c r="M28" s="50">
        <v>610</v>
      </c>
      <c r="N28" s="50">
        <v>0</v>
      </c>
      <c r="O28" s="15">
        <f t="shared" si="0"/>
        <v>128</v>
      </c>
      <c r="P28" s="15">
        <f t="shared" si="1"/>
        <v>738</v>
      </c>
      <c r="R28" s="5" t="s">
        <v>17</v>
      </c>
      <c r="S28" s="16">
        <f t="shared" ref="S28:AF28" si="20">SUM(S10:S21)</f>
        <v>2235</v>
      </c>
      <c r="T28" s="16">
        <f t="shared" si="20"/>
        <v>989</v>
      </c>
      <c r="U28" s="16">
        <f t="shared" si="20"/>
        <v>429</v>
      </c>
      <c r="V28" s="16">
        <f t="shared" si="20"/>
        <v>1780</v>
      </c>
      <c r="W28" s="16">
        <f t="shared" si="20"/>
        <v>66</v>
      </c>
      <c r="X28" s="16">
        <f t="shared" si="20"/>
        <v>10</v>
      </c>
      <c r="Y28" s="16">
        <f t="shared" si="20"/>
        <v>237</v>
      </c>
      <c r="Z28" s="16">
        <f t="shared" si="20"/>
        <v>192</v>
      </c>
      <c r="AA28" s="16">
        <f t="shared" si="20"/>
        <v>128</v>
      </c>
      <c r="AB28" s="16">
        <f t="shared" si="20"/>
        <v>137</v>
      </c>
      <c r="AC28" s="16">
        <f t="shared" si="20"/>
        <v>22508</v>
      </c>
      <c r="AD28" s="16">
        <f t="shared" si="20"/>
        <v>5</v>
      </c>
      <c r="AE28" s="32">
        <f t="shared" si="20"/>
        <v>6208</v>
      </c>
      <c r="AF28" s="32">
        <f t="shared" si="20"/>
        <v>28716</v>
      </c>
    </row>
    <row r="29" spans="2:32" ht="23.1" customHeight="1" x14ac:dyDescent="0.25">
      <c r="B29" s="23" t="s">
        <v>56</v>
      </c>
      <c r="C29" s="50">
        <v>43</v>
      </c>
      <c r="D29" s="50">
        <v>25</v>
      </c>
      <c r="E29" s="50">
        <v>3</v>
      </c>
      <c r="F29" s="50">
        <v>38</v>
      </c>
      <c r="G29" s="50">
        <v>0</v>
      </c>
      <c r="H29" s="50">
        <v>0</v>
      </c>
      <c r="I29" s="50">
        <v>6</v>
      </c>
      <c r="J29" s="50">
        <v>8</v>
      </c>
      <c r="K29" s="50">
        <v>0</v>
      </c>
      <c r="L29" s="50">
        <v>2</v>
      </c>
      <c r="M29" s="50">
        <v>516</v>
      </c>
      <c r="N29" s="50">
        <v>0</v>
      </c>
      <c r="O29" s="15">
        <f t="shared" si="0"/>
        <v>125</v>
      </c>
      <c r="P29" s="15">
        <f t="shared" si="1"/>
        <v>641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8</v>
      </c>
      <c r="E30" s="50">
        <v>8</v>
      </c>
      <c r="F30" s="50">
        <v>31</v>
      </c>
      <c r="G30" s="50">
        <v>4</v>
      </c>
      <c r="H30" s="50">
        <v>0</v>
      </c>
      <c r="I30" s="50">
        <v>6</v>
      </c>
      <c r="J30" s="50">
        <v>7</v>
      </c>
      <c r="K30" s="50">
        <v>2</v>
      </c>
      <c r="L30" s="50">
        <v>4</v>
      </c>
      <c r="M30" s="50">
        <v>641</v>
      </c>
      <c r="N30" s="50">
        <v>1</v>
      </c>
      <c r="O30" s="15">
        <f t="shared" si="0"/>
        <v>96</v>
      </c>
      <c r="P30" s="15">
        <f t="shared" si="1"/>
        <v>737</v>
      </c>
    </row>
    <row r="31" spans="2:32" ht="23.1" customHeight="1" x14ac:dyDescent="0.25">
      <c r="B31" s="24" t="s">
        <v>58</v>
      </c>
      <c r="C31" s="50">
        <v>23</v>
      </c>
      <c r="D31" s="50">
        <v>9</v>
      </c>
      <c r="E31" s="50">
        <v>6</v>
      </c>
      <c r="F31" s="50">
        <v>25</v>
      </c>
      <c r="G31" s="50">
        <v>0</v>
      </c>
      <c r="H31" s="50">
        <v>0</v>
      </c>
      <c r="I31" s="50">
        <v>8</v>
      </c>
      <c r="J31" s="50">
        <v>6</v>
      </c>
      <c r="K31" s="50">
        <v>2</v>
      </c>
      <c r="L31" s="50">
        <v>3</v>
      </c>
      <c r="M31" s="50">
        <v>403</v>
      </c>
      <c r="N31" s="50">
        <v>0</v>
      </c>
      <c r="O31" s="15">
        <f t="shared" si="0"/>
        <v>82</v>
      </c>
      <c r="P31" s="15">
        <f t="shared" si="1"/>
        <v>485</v>
      </c>
    </row>
    <row r="32" spans="2:32" ht="23.1" customHeight="1" x14ac:dyDescent="0.25">
      <c r="B32" s="24" t="s">
        <v>59</v>
      </c>
      <c r="C32" s="50">
        <v>40</v>
      </c>
      <c r="D32" s="50">
        <v>30</v>
      </c>
      <c r="E32" s="50">
        <v>5</v>
      </c>
      <c r="F32" s="50">
        <v>30</v>
      </c>
      <c r="G32" s="50">
        <v>0</v>
      </c>
      <c r="H32" s="50">
        <v>0</v>
      </c>
      <c r="I32" s="50">
        <v>7</v>
      </c>
      <c r="J32" s="50">
        <v>5</v>
      </c>
      <c r="K32" s="50">
        <v>1</v>
      </c>
      <c r="L32" s="50">
        <v>2</v>
      </c>
      <c r="M32" s="50">
        <v>346</v>
      </c>
      <c r="N32" s="50">
        <v>0</v>
      </c>
      <c r="O32" s="15">
        <f t="shared" si="0"/>
        <v>120</v>
      </c>
      <c r="P32" s="15">
        <f t="shared" si="1"/>
        <v>466</v>
      </c>
    </row>
    <row r="33" spans="2:20" ht="23.1" customHeight="1" x14ac:dyDescent="0.25">
      <c r="B33" s="23" t="s">
        <v>60</v>
      </c>
      <c r="C33" s="50">
        <v>35</v>
      </c>
      <c r="D33" s="50">
        <v>17</v>
      </c>
      <c r="E33" s="50">
        <v>8</v>
      </c>
      <c r="F33" s="50">
        <v>36</v>
      </c>
      <c r="G33" s="50">
        <v>5</v>
      </c>
      <c r="H33" s="50">
        <v>0</v>
      </c>
      <c r="I33" s="50">
        <v>5</v>
      </c>
      <c r="J33" s="50">
        <v>3</v>
      </c>
      <c r="K33" s="50">
        <v>1</v>
      </c>
      <c r="L33" s="50">
        <v>1</v>
      </c>
      <c r="M33" s="50">
        <v>310</v>
      </c>
      <c r="N33" s="50">
        <v>0</v>
      </c>
      <c r="O33" s="15">
        <f t="shared" si="0"/>
        <v>111</v>
      </c>
      <c r="P33" s="15">
        <f t="shared" si="1"/>
        <v>421</v>
      </c>
    </row>
    <row r="34" spans="2:20" ht="23.1" customHeight="1" x14ac:dyDescent="0.25">
      <c r="B34" s="24" t="s">
        <v>61</v>
      </c>
      <c r="C34" s="50">
        <v>33</v>
      </c>
      <c r="D34" s="50">
        <v>26</v>
      </c>
      <c r="E34" s="50">
        <v>5</v>
      </c>
      <c r="F34" s="50">
        <v>40</v>
      </c>
      <c r="G34" s="50">
        <v>0</v>
      </c>
      <c r="H34" s="50">
        <v>0</v>
      </c>
      <c r="I34" s="50">
        <v>5</v>
      </c>
      <c r="J34" s="50">
        <v>11</v>
      </c>
      <c r="K34" s="50">
        <v>5</v>
      </c>
      <c r="L34" s="50">
        <v>6</v>
      </c>
      <c r="M34" s="50">
        <v>312</v>
      </c>
      <c r="N34" s="50">
        <v>0</v>
      </c>
      <c r="O34" s="15">
        <f t="shared" si="0"/>
        <v>131</v>
      </c>
      <c r="P34" s="15">
        <f t="shared" si="1"/>
        <v>443</v>
      </c>
    </row>
    <row r="35" spans="2:20" ht="23.1" customHeight="1" x14ac:dyDescent="0.25">
      <c r="B35" s="24" t="s">
        <v>62</v>
      </c>
      <c r="C35" s="50">
        <v>42</v>
      </c>
      <c r="D35" s="50">
        <v>16</v>
      </c>
      <c r="E35" s="50">
        <v>6</v>
      </c>
      <c r="F35" s="50">
        <v>22</v>
      </c>
      <c r="G35" s="50">
        <v>0</v>
      </c>
      <c r="H35" s="50">
        <v>0</v>
      </c>
      <c r="I35" s="50">
        <v>5</v>
      </c>
      <c r="J35" s="50">
        <v>3</v>
      </c>
      <c r="K35" s="50">
        <v>10</v>
      </c>
      <c r="L35" s="50">
        <v>8</v>
      </c>
      <c r="M35" s="50">
        <v>319</v>
      </c>
      <c r="N35" s="50">
        <v>0</v>
      </c>
      <c r="O35" s="15">
        <f t="shared" si="0"/>
        <v>112</v>
      </c>
      <c r="P35" s="15">
        <f t="shared" si="1"/>
        <v>431</v>
      </c>
    </row>
    <row r="36" spans="2:20" ht="23.1" customHeight="1" x14ac:dyDescent="0.25">
      <c r="B36" s="24" t="s">
        <v>63</v>
      </c>
      <c r="C36" s="50">
        <v>21</v>
      </c>
      <c r="D36" s="50">
        <v>10</v>
      </c>
      <c r="E36" s="50">
        <v>2</v>
      </c>
      <c r="F36" s="50">
        <v>23</v>
      </c>
      <c r="G36" s="50">
        <v>0</v>
      </c>
      <c r="H36" s="50">
        <v>0</v>
      </c>
      <c r="I36" s="50">
        <v>5</v>
      </c>
      <c r="J36" s="50">
        <v>2</v>
      </c>
      <c r="K36" s="50">
        <v>2</v>
      </c>
      <c r="L36" s="50">
        <v>3</v>
      </c>
      <c r="M36" s="50">
        <v>305</v>
      </c>
      <c r="N36" s="50">
        <v>0</v>
      </c>
      <c r="O36" s="15">
        <f t="shared" si="0"/>
        <v>68</v>
      </c>
      <c r="P36" s="15">
        <f t="shared" si="1"/>
        <v>373</v>
      </c>
    </row>
    <row r="37" spans="2:20" ht="23.1" customHeight="1" x14ac:dyDescent="0.25">
      <c r="B37" s="23" t="s">
        <v>64</v>
      </c>
      <c r="C37" s="50">
        <v>63</v>
      </c>
      <c r="D37" s="50">
        <v>13</v>
      </c>
      <c r="E37" s="50">
        <v>6</v>
      </c>
      <c r="F37" s="50">
        <v>36</v>
      </c>
      <c r="G37" s="50">
        <v>1</v>
      </c>
      <c r="H37" s="50">
        <v>1</v>
      </c>
      <c r="I37" s="50">
        <v>4</v>
      </c>
      <c r="J37" s="50">
        <v>4</v>
      </c>
      <c r="K37" s="50">
        <v>3</v>
      </c>
      <c r="L37" s="50">
        <v>2</v>
      </c>
      <c r="M37" s="50">
        <v>248</v>
      </c>
      <c r="N37" s="50">
        <v>0</v>
      </c>
      <c r="O37" s="15">
        <f t="shared" si="0"/>
        <v>133</v>
      </c>
      <c r="P37" s="15">
        <f t="shared" si="1"/>
        <v>381</v>
      </c>
    </row>
    <row r="38" spans="2:20" ht="23.1" customHeight="1" x14ac:dyDescent="0.25">
      <c r="B38" s="24" t="s">
        <v>65</v>
      </c>
      <c r="C38" s="50">
        <v>45</v>
      </c>
      <c r="D38" s="50">
        <v>16</v>
      </c>
      <c r="E38" s="50">
        <v>10</v>
      </c>
      <c r="F38" s="50">
        <v>25</v>
      </c>
      <c r="G38" s="50">
        <v>0</v>
      </c>
      <c r="H38" s="50">
        <v>0</v>
      </c>
      <c r="I38" s="50">
        <v>6</v>
      </c>
      <c r="J38" s="50">
        <v>4</v>
      </c>
      <c r="K38" s="50">
        <v>2</v>
      </c>
      <c r="L38" s="50">
        <v>2</v>
      </c>
      <c r="M38" s="50">
        <v>323</v>
      </c>
      <c r="N38" s="50">
        <v>0</v>
      </c>
      <c r="O38" s="15">
        <f t="shared" si="0"/>
        <v>110</v>
      </c>
      <c r="P38" s="15">
        <f t="shared" si="1"/>
        <v>433</v>
      </c>
    </row>
    <row r="39" spans="2:20" ht="23.1" customHeight="1" x14ac:dyDescent="0.25">
      <c r="B39" s="24" t="s">
        <v>66</v>
      </c>
      <c r="C39" s="50">
        <v>48</v>
      </c>
      <c r="D39" s="50">
        <v>11</v>
      </c>
      <c r="E39" s="50">
        <v>6</v>
      </c>
      <c r="F39" s="50">
        <v>40</v>
      </c>
      <c r="G39" s="50">
        <v>1</v>
      </c>
      <c r="H39" s="50">
        <v>0</v>
      </c>
      <c r="I39" s="50">
        <v>11</v>
      </c>
      <c r="J39" s="50">
        <v>7</v>
      </c>
      <c r="K39" s="50">
        <v>5</v>
      </c>
      <c r="L39" s="50">
        <v>3</v>
      </c>
      <c r="M39" s="50">
        <v>300</v>
      </c>
      <c r="N39" s="50">
        <v>1</v>
      </c>
      <c r="O39" s="15">
        <f t="shared" si="0"/>
        <v>133</v>
      </c>
      <c r="P39" s="15">
        <f t="shared" si="1"/>
        <v>433</v>
      </c>
    </row>
    <row r="40" spans="2:20" ht="23.1" customHeight="1" x14ac:dyDescent="0.25">
      <c r="B40" s="24" t="s">
        <v>67</v>
      </c>
      <c r="C40" s="50">
        <v>80</v>
      </c>
      <c r="D40" s="50">
        <v>30</v>
      </c>
      <c r="E40" s="50">
        <v>8</v>
      </c>
      <c r="F40" s="50">
        <v>47</v>
      </c>
      <c r="G40" s="50">
        <v>3</v>
      </c>
      <c r="H40" s="50">
        <v>0</v>
      </c>
      <c r="I40" s="50">
        <v>12</v>
      </c>
      <c r="J40" s="50">
        <v>5</v>
      </c>
      <c r="K40" s="50">
        <v>7</v>
      </c>
      <c r="L40" s="50">
        <v>9</v>
      </c>
      <c r="M40" s="50">
        <v>231</v>
      </c>
      <c r="N40" s="50">
        <v>0</v>
      </c>
      <c r="O40" s="15">
        <f t="shared" si="0"/>
        <v>201</v>
      </c>
      <c r="P40" s="15">
        <f t="shared" si="1"/>
        <v>432</v>
      </c>
    </row>
    <row r="41" spans="2:20" ht="23.1" customHeight="1" x14ac:dyDescent="0.25">
      <c r="B41" s="23" t="s">
        <v>68</v>
      </c>
      <c r="C41" s="50">
        <v>75</v>
      </c>
      <c r="D41" s="50">
        <v>45</v>
      </c>
      <c r="E41" s="50">
        <v>25</v>
      </c>
      <c r="F41" s="50">
        <v>21</v>
      </c>
      <c r="G41" s="50">
        <v>0</v>
      </c>
      <c r="H41" s="50">
        <v>0</v>
      </c>
      <c r="I41" s="50">
        <v>2</v>
      </c>
      <c r="J41" s="50">
        <v>4</v>
      </c>
      <c r="K41" s="50">
        <v>5</v>
      </c>
      <c r="L41" s="50">
        <v>1</v>
      </c>
      <c r="M41" s="50">
        <v>365</v>
      </c>
      <c r="N41" s="50">
        <v>0</v>
      </c>
      <c r="O41" s="15">
        <f t="shared" si="0"/>
        <v>178</v>
      </c>
      <c r="P41" s="15">
        <f t="shared" si="1"/>
        <v>543</v>
      </c>
    </row>
    <row r="42" spans="2:20" ht="23.1" customHeight="1" x14ac:dyDescent="0.25">
      <c r="B42" s="24" t="s">
        <v>69</v>
      </c>
      <c r="C42" s="50">
        <v>26</v>
      </c>
      <c r="D42" s="50">
        <v>30</v>
      </c>
      <c r="E42" s="50">
        <v>11</v>
      </c>
      <c r="F42" s="50">
        <v>27</v>
      </c>
      <c r="G42" s="50">
        <v>1</v>
      </c>
      <c r="H42" s="50">
        <v>1</v>
      </c>
      <c r="I42" s="50">
        <v>4</v>
      </c>
      <c r="J42" s="50">
        <v>0</v>
      </c>
      <c r="K42" s="50">
        <v>2</v>
      </c>
      <c r="L42" s="50">
        <v>7</v>
      </c>
      <c r="M42" s="50">
        <v>663</v>
      </c>
      <c r="N42" s="50">
        <v>0</v>
      </c>
      <c r="O42" s="15">
        <f t="shared" si="0"/>
        <v>109</v>
      </c>
      <c r="P42" s="15">
        <f t="shared" si="1"/>
        <v>772</v>
      </c>
    </row>
    <row r="43" spans="2:20" ht="23.1" customHeight="1" x14ac:dyDescent="0.25">
      <c r="B43" s="23" t="s">
        <v>70</v>
      </c>
      <c r="C43" s="50">
        <v>35</v>
      </c>
      <c r="D43" s="50">
        <v>26</v>
      </c>
      <c r="E43" s="50">
        <v>15</v>
      </c>
      <c r="F43" s="50">
        <v>21</v>
      </c>
      <c r="G43" s="50">
        <v>0</v>
      </c>
      <c r="H43" s="50">
        <v>0</v>
      </c>
      <c r="I43" s="50">
        <v>2</v>
      </c>
      <c r="J43" s="50">
        <v>2</v>
      </c>
      <c r="K43" s="50">
        <v>0</v>
      </c>
      <c r="L43" s="50">
        <v>3</v>
      </c>
      <c r="M43" s="50">
        <v>215</v>
      </c>
      <c r="N43" s="50">
        <v>0</v>
      </c>
      <c r="O43" s="15">
        <f t="shared" si="0"/>
        <v>104</v>
      </c>
      <c r="P43" s="15">
        <f t="shared" si="1"/>
        <v>319</v>
      </c>
    </row>
    <row r="44" spans="2:20" ht="23.1" customHeight="1" x14ac:dyDescent="0.25">
      <c r="B44" s="25" t="s">
        <v>71</v>
      </c>
      <c r="C44" s="50">
        <v>60</v>
      </c>
      <c r="D44" s="50">
        <v>45</v>
      </c>
      <c r="E44" s="50">
        <v>20</v>
      </c>
      <c r="F44" s="50">
        <v>35</v>
      </c>
      <c r="G44" s="50">
        <v>0</v>
      </c>
      <c r="H44" s="50">
        <v>0</v>
      </c>
      <c r="I44" s="50">
        <v>9</v>
      </c>
      <c r="J44" s="50">
        <v>3</v>
      </c>
      <c r="K44" s="50">
        <v>3</v>
      </c>
      <c r="L44" s="50">
        <v>6</v>
      </c>
      <c r="M44" s="50">
        <v>164</v>
      </c>
      <c r="N44" s="50">
        <v>0</v>
      </c>
      <c r="O44" s="15">
        <f t="shared" si="0"/>
        <v>181</v>
      </c>
      <c r="P44" s="15">
        <f t="shared" si="1"/>
        <v>345</v>
      </c>
    </row>
    <row r="45" spans="2:20" ht="23.1" customHeight="1" x14ac:dyDescent="0.25">
      <c r="B45" s="23" t="s">
        <v>72</v>
      </c>
      <c r="C45" s="50">
        <v>75</v>
      </c>
      <c r="D45" s="50">
        <v>46</v>
      </c>
      <c r="E45" s="50">
        <v>0</v>
      </c>
      <c r="F45" s="50">
        <v>22</v>
      </c>
      <c r="G45" s="50">
        <v>0</v>
      </c>
      <c r="H45" s="50">
        <v>1</v>
      </c>
      <c r="I45" s="50">
        <v>4</v>
      </c>
      <c r="J45" s="50">
        <v>4</v>
      </c>
      <c r="K45" s="50">
        <v>5</v>
      </c>
      <c r="L45" s="50">
        <v>4</v>
      </c>
      <c r="M45" s="50">
        <v>179</v>
      </c>
      <c r="N45" s="50">
        <v>0</v>
      </c>
      <c r="O45" s="15">
        <f t="shared" si="0"/>
        <v>161</v>
      </c>
      <c r="P45" s="15">
        <f t="shared" si="1"/>
        <v>340</v>
      </c>
    </row>
    <row r="46" spans="2:20" ht="23.1" customHeight="1" x14ac:dyDescent="0.25">
      <c r="B46" s="24" t="s">
        <v>73</v>
      </c>
      <c r="C46" s="50">
        <v>64</v>
      </c>
      <c r="D46" s="50">
        <v>15</v>
      </c>
      <c r="E46" s="50">
        <v>8</v>
      </c>
      <c r="F46" s="50">
        <v>43</v>
      </c>
      <c r="G46" s="50">
        <v>0</v>
      </c>
      <c r="H46" s="50">
        <v>0</v>
      </c>
      <c r="I46" s="50">
        <v>13</v>
      </c>
      <c r="J46" s="50">
        <v>2</v>
      </c>
      <c r="K46" s="50">
        <v>6</v>
      </c>
      <c r="L46" s="50">
        <v>2</v>
      </c>
      <c r="M46" s="50">
        <v>177</v>
      </c>
      <c r="N46" s="50">
        <v>0</v>
      </c>
      <c r="O46" s="15">
        <f t="shared" si="0"/>
        <v>153</v>
      </c>
      <c r="P46" s="15">
        <f t="shared" si="1"/>
        <v>330</v>
      </c>
      <c r="R46" s="8"/>
      <c r="T46"/>
    </row>
    <row r="47" spans="2:20" ht="23.1" customHeight="1" x14ac:dyDescent="0.25">
      <c r="B47" s="24" t="s">
        <v>74</v>
      </c>
      <c r="C47" s="50">
        <v>105</v>
      </c>
      <c r="D47" s="50">
        <v>45</v>
      </c>
      <c r="E47" s="50">
        <v>47</v>
      </c>
      <c r="F47" s="50">
        <v>25</v>
      </c>
      <c r="G47" s="50">
        <v>2</v>
      </c>
      <c r="H47" s="50">
        <v>1</v>
      </c>
      <c r="I47" s="50">
        <v>3</v>
      </c>
      <c r="J47" s="50">
        <v>4</v>
      </c>
      <c r="K47" s="50">
        <v>1</v>
      </c>
      <c r="L47" s="50">
        <v>2</v>
      </c>
      <c r="M47" s="50">
        <v>231</v>
      </c>
      <c r="N47" s="50">
        <v>0</v>
      </c>
      <c r="O47" s="15">
        <f t="shared" si="0"/>
        <v>235</v>
      </c>
      <c r="P47" s="15">
        <f t="shared" si="1"/>
        <v>466</v>
      </c>
      <c r="R47" s="8"/>
      <c r="T47"/>
    </row>
    <row r="48" spans="2:20" ht="23.1" customHeight="1" x14ac:dyDescent="0.25">
      <c r="B48" s="24" t="s">
        <v>75</v>
      </c>
      <c r="C48" s="50">
        <v>90</v>
      </c>
      <c r="D48" s="50">
        <v>50</v>
      </c>
      <c r="E48" s="50">
        <v>30</v>
      </c>
      <c r="F48" s="50">
        <v>30</v>
      </c>
      <c r="G48" s="50">
        <v>2</v>
      </c>
      <c r="H48" s="50">
        <v>0</v>
      </c>
      <c r="I48" s="50">
        <v>0</v>
      </c>
      <c r="J48" s="50">
        <v>0</v>
      </c>
      <c r="K48" s="50">
        <v>1</v>
      </c>
      <c r="L48" s="50">
        <v>1</v>
      </c>
      <c r="M48" s="50">
        <v>370</v>
      </c>
      <c r="N48" s="50">
        <v>0</v>
      </c>
      <c r="O48" s="15">
        <f t="shared" si="0"/>
        <v>204</v>
      </c>
      <c r="P48" s="15">
        <f t="shared" si="1"/>
        <v>574</v>
      </c>
      <c r="R48" s="8"/>
      <c r="T48"/>
    </row>
    <row r="49" spans="2:20" ht="23.1" customHeight="1" x14ac:dyDescent="0.25">
      <c r="B49" s="23" t="s">
        <v>76</v>
      </c>
      <c r="C49" s="50">
        <v>85</v>
      </c>
      <c r="D49" s="50">
        <v>35</v>
      </c>
      <c r="E49" s="50">
        <v>25</v>
      </c>
      <c r="F49" s="50">
        <v>3</v>
      </c>
      <c r="G49" s="50">
        <v>1</v>
      </c>
      <c r="H49" s="50">
        <v>0</v>
      </c>
      <c r="I49" s="50">
        <v>0</v>
      </c>
      <c r="J49" s="50">
        <v>1</v>
      </c>
      <c r="K49" s="50">
        <v>3</v>
      </c>
      <c r="L49" s="50">
        <v>3</v>
      </c>
      <c r="M49" s="50">
        <v>410</v>
      </c>
      <c r="N49" s="50">
        <v>0</v>
      </c>
      <c r="O49" s="15">
        <f t="shared" si="0"/>
        <v>156</v>
      </c>
      <c r="P49" s="15">
        <f t="shared" si="1"/>
        <v>566</v>
      </c>
      <c r="R49" s="8"/>
      <c r="T49"/>
    </row>
    <row r="50" spans="2:20" ht="23.1" customHeight="1" x14ac:dyDescent="0.25">
      <c r="B50" s="24" t="s">
        <v>77</v>
      </c>
      <c r="C50" s="50">
        <v>60</v>
      </c>
      <c r="D50" s="50">
        <v>16</v>
      </c>
      <c r="E50" s="50">
        <v>20</v>
      </c>
      <c r="F50" s="50">
        <v>34</v>
      </c>
      <c r="G50" s="50">
        <v>1</v>
      </c>
      <c r="H50" s="50">
        <v>0</v>
      </c>
      <c r="I50" s="50">
        <v>3</v>
      </c>
      <c r="J50" s="50">
        <v>1</v>
      </c>
      <c r="K50" s="50">
        <v>4</v>
      </c>
      <c r="L50" s="50">
        <v>1</v>
      </c>
      <c r="M50" s="50">
        <v>406</v>
      </c>
      <c r="N50" s="50">
        <v>0</v>
      </c>
      <c r="O50" s="15">
        <f t="shared" si="0"/>
        <v>140</v>
      </c>
      <c r="P50" s="15">
        <f t="shared" si="1"/>
        <v>546</v>
      </c>
      <c r="R50" s="8"/>
      <c r="T50"/>
    </row>
    <row r="51" spans="2:20" ht="23.1" customHeight="1" x14ac:dyDescent="0.25">
      <c r="B51" s="24" t="s">
        <v>78</v>
      </c>
      <c r="C51" s="50">
        <v>120</v>
      </c>
      <c r="D51" s="50">
        <v>50</v>
      </c>
      <c r="E51" s="50">
        <v>7</v>
      </c>
      <c r="F51" s="50">
        <v>47</v>
      </c>
      <c r="G51" s="50">
        <v>5</v>
      </c>
      <c r="H51" s="50">
        <v>0</v>
      </c>
      <c r="I51" s="50">
        <v>6</v>
      </c>
      <c r="J51" s="50">
        <v>9</v>
      </c>
      <c r="K51" s="50">
        <v>5</v>
      </c>
      <c r="L51" s="50">
        <v>5</v>
      </c>
      <c r="M51" s="50">
        <v>509</v>
      </c>
      <c r="N51" s="50">
        <v>0</v>
      </c>
      <c r="O51" s="15">
        <f t="shared" si="0"/>
        <v>254</v>
      </c>
      <c r="P51" s="15">
        <f t="shared" si="1"/>
        <v>763</v>
      </c>
      <c r="R51" s="8"/>
      <c r="T51"/>
    </row>
    <row r="52" spans="2:20" ht="23.1" customHeight="1" x14ac:dyDescent="0.25">
      <c r="B52" s="24" t="s">
        <v>79</v>
      </c>
      <c r="C52" s="50">
        <v>49</v>
      </c>
      <c r="D52" s="50">
        <v>34</v>
      </c>
      <c r="E52" s="50">
        <v>9</v>
      </c>
      <c r="F52" s="50">
        <v>54</v>
      </c>
      <c r="G52" s="50">
        <v>3</v>
      </c>
      <c r="H52" s="50">
        <v>0</v>
      </c>
      <c r="I52" s="50">
        <v>3</v>
      </c>
      <c r="J52" s="50">
        <v>2</v>
      </c>
      <c r="K52" s="50">
        <v>4</v>
      </c>
      <c r="L52" s="50">
        <v>1</v>
      </c>
      <c r="M52" s="50">
        <v>544</v>
      </c>
      <c r="N52" s="50">
        <v>0</v>
      </c>
      <c r="O52" s="15">
        <f t="shared" si="0"/>
        <v>159</v>
      </c>
      <c r="P52" s="15">
        <f t="shared" si="1"/>
        <v>703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16</v>
      </c>
      <c r="E53" s="50">
        <v>6</v>
      </c>
      <c r="F53" s="50">
        <v>9</v>
      </c>
      <c r="G53" s="50">
        <v>3</v>
      </c>
      <c r="H53" s="50">
        <v>0</v>
      </c>
      <c r="I53" s="50">
        <v>2</v>
      </c>
      <c r="J53" s="50">
        <v>2</v>
      </c>
      <c r="K53" s="50">
        <v>1</v>
      </c>
      <c r="L53" s="50">
        <v>1</v>
      </c>
      <c r="M53" s="50">
        <v>414</v>
      </c>
      <c r="N53" s="50">
        <v>0</v>
      </c>
      <c r="O53" s="15">
        <f t="shared" si="0"/>
        <v>70</v>
      </c>
      <c r="P53" s="15">
        <f t="shared" si="1"/>
        <v>484</v>
      </c>
      <c r="R53" s="8"/>
      <c r="T53"/>
    </row>
    <row r="54" spans="2:20" ht="23.1" customHeight="1" x14ac:dyDescent="0.25">
      <c r="B54" s="23" t="s">
        <v>81</v>
      </c>
      <c r="C54" s="50">
        <v>70</v>
      </c>
      <c r="D54" s="50">
        <v>13</v>
      </c>
      <c r="E54" s="50">
        <v>5</v>
      </c>
      <c r="F54" s="50">
        <v>26</v>
      </c>
      <c r="G54" s="50">
        <v>2</v>
      </c>
      <c r="H54" s="50">
        <v>3</v>
      </c>
      <c r="I54" s="50">
        <v>4</v>
      </c>
      <c r="J54" s="50">
        <v>4</v>
      </c>
      <c r="K54" s="50">
        <v>3</v>
      </c>
      <c r="L54" s="50">
        <v>2</v>
      </c>
      <c r="M54" s="50">
        <v>645</v>
      </c>
      <c r="N54" s="50">
        <v>0</v>
      </c>
      <c r="O54" s="15">
        <f t="shared" si="0"/>
        <v>132</v>
      </c>
      <c r="P54" s="15">
        <f t="shared" si="1"/>
        <v>777</v>
      </c>
      <c r="R54" s="8"/>
      <c r="T54"/>
    </row>
    <row r="55" spans="2:20" ht="23.1" customHeight="1" x14ac:dyDescent="0.25">
      <c r="B55" s="23" t="s">
        <v>82</v>
      </c>
      <c r="C55" s="50">
        <v>125</v>
      </c>
      <c r="D55" s="50">
        <v>25</v>
      </c>
      <c r="E55" s="50">
        <v>11</v>
      </c>
      <c r="F55" s="50">
        <v>42</v>
      </c>
      <c r="G55" s="50">
        <v>0</v>
      </c>
      <c r="H55" s="50">
        <v>0</v>
      </c>
      <c r="I55" s="50">
        <v>4</v>
      </c>
      <c r="J55" s="50">
        <v>4</v>
      </c>
      <c r="K55" s="50">
        <v>0</v>
      </c>
      <c r="L55" s="50">
        <v>0</v>
      </c>
      <c r="M55" s="50">
        <v>500</v>
      </c>
      <c r="N55" s="50">
        <v>0</v>
      </c>
      <c r="O55" s="15">
        <f t="shared" si="0"/>
        <v>211</v>
      </c>
      <c r="P55" s="15">
        <f t="shared" si="1"/>
        <v>711</v>
      </c>
      <c r="R55" s="8"/>
      <c r="T55"/>
    </row>
    <row r="56" spans="2:20" ht="23.1" customHeight="1" x14ac:dyDescent="0.25">
      <c r="B56" s="23" t="s">
        <v>83</v>
      </c>
      <c r="C56" s="50">
        <v>40</v>
      </c>
      <c r="D56" s="50">
        <v>45</v>
      </c>
      <c r="E56" s="50">
        <v>6</v>
      </c>
      <c r="F56" s="50">
        <v>15</v>
      </c>
      <c r="G56" s="50">
        <v>0</v>
      </c>
      <c r="H56" s="50">
        <v>0</v>
      </c>
      <c r="I56" s="50">
        <v>4</v>
      </c>
      <c r="J56" s="50">
        <v>5</v>
      </c>
      <c r="K56" s="50">
        <v>2</v>
      </c>
      <c r="L56" s="50">
        <v>3</v>
      </c>
      <c r="M56" s="50">
        <v>310</v>
      </c>
      <c r="N56" s="50">
        <v>0</v>
      </c>
      <c r="O56" s="15">
        <f t="shared" si="0"/>
        <v>120</v>
      </c>
      <c r="P56" s="15">
        <f t="shared" si="1"/>
        <v>430</v>
      </c>
      <c r="R56" s="8"/>
      <c r="T56"/>
    </row>
    <row r="57" spans="2:20" ht="23.1" customHeight="1" x14ac:dyDescent="0.25">
      <c r="B57" s="23" t="s">
        <v>84</v>
      </c>
      <c r="C57" s="50">
        <v>16</v>
      </c>
      <c r="D57" s="50">
        <v>10</v>
      </c>
      <c r="E57" s="50">
        <v>3</v>
      </c>
      <c r="F57" s="50">
        <v>44</v>
      </c>
      <c r="G57" s="50">
        <v>0</v>
      </c>
      <c r="H57" s="50">
        <v>0</v>
      </c>
      <c r="I57" s="50">
        <v>5</v>
      </c>
      <c r="J57" s="50">
        <v>3</v>
      </c>
      <c r="K57" s="50">
        <v>0</v>
      </c>
      <c r="L57" s="50">
        <v>3</v>
      </c>
      <c r="M57" s="50">
        <v>400</v>
      </c>
      <c r="N57" s="50">
        <v>0</v>
      </c>
      <c r="O57" s="15">
        <f t="shared" si="0"/>
        <v>84</v>
      </c>
      <c r="P57" s="15">
        <f t="shared" si="1"/>
        <v>484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2235</v>
      </c>
      <c r="D58" s="16">
        <f t="shared" si="21"/>
        <v>989</v>
      </c>
      <c r="E58" s="16">
        <f t="shared" si="21"/>
        <v>429</v>
      </c>
      <c r="F58" s="16">
        <f t="shared" si="21"/>
        <v>1780</v>
      </c>
      <c r="G58" s="16">
        <f t="shared" si="21"/>
        <v>66</v>
      </c>
      <c r="H58" s="16">
        <f t="shared" si="21"/>
        <v>10</v>
      </c>
      <c r="I58" s="16">
        <f t="shared" si="21"/>
        <v>237</v>
      </c>
      <c r="J58" s="16">
        <f t="shared" si="21"/>
        <v>192</v>
      </c>
      <c r="K58" s="16">
        <f t="shared" si="21"/>
        <v>128</v>
      </c>
      <c r="L58" s="16">
        <f t="shared" si="21"/>
        <v>137</v>
      </c>
      <c r="M58" s="16">
        <f t="shared" si="21"/>
        <v>22508</v>
      </c>
      <c r="N58" s="16">
        <f t="shared" si="21"/>
        <v>5</v>
      </c>
      <c r="O58" s="16">
        <f t="shared" si="21"/>
        <v>6208</v>
      </c>
      <c r="P58" s="16">
        <f t="shared" si="21"/>
        <v>28716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7.7831174258253241E-2</v>
      </c>
      <c r="D59" s="43">
        <f t="shared" si="22"/>
        <v>3.4440729906672241E-2</v>
      </c>
      <c r="E59" s="43">
        <f t="shared" si="22"/>
        <v>1.4939406602590891E-2</v>
      </c>
      <c r="F59" s="43">
        <f t="shared" si="22"/>
        <v>6.1986349073687143E-2</v>
      </c>
      <c r="G59" s="43">
        <f t="shared" si="22"/>
        <v>2.2983702465524448E-3</v>
      </c>
      <c r="H59" s="43">
        <f t="shared" si="22"/>
        <v>3.4823791614430977E-4</v>
      </c>
      <c r="I59" s="43">
        <f t="shared" si="22"/>
        <v>8.2532386126201417E-3</v>
      </c>
      <c r="J59" s="43">
        <f t="shared" si="22"/>
        <v>6.6861679899707484E-3</v>
      </c>
      <c r="K59" s="43">
        <f t="shared" si="22"/>
        <v>4.457445326647165E-3</v>
      </c>
      <c r="L59" s="43">
        <f t="shared" si="22"/>
        <v>4.7708594511770442E-3</v>
      </c>
      <c r="M59" s="43">
        <f t="shared" si="22"/>
        <v>0.78381390165761244</v>
      </c>
      <c r="N59" s="43">
        <f t="shared" si="22"/>
        <v>1.7411895807215488E-4</v>
      </c>
      <c r="R59" s="8"/>
      <c r="T59"/>
    </row>
    <row r="60" spans="2:20" ht="23.1" customHeight="1" x14ac:dyDescent="0.25">
      <c r="B60" s="42" t="s">
        <v>94</v>
      </c>
      <c r="C60" s="44">
        <f>C58/$O$58</f>
        <v>0.36001932989690721</v>
      </c>
      <c r="D60" s="44">
        <f t="shared" ref="D60:N60" si="23">D58/$O$58</f>
        <v>0.15931056701030927</v>
      </c>
      <c r="E60" s="44">
        <f t="shared" si="23"/>
        <v>6.9104381443298973E-2</v>
      </c>
      <c r="F60" s="44">
        <f t="shared" si="23"/>
        <v>0.28672680412371132</v>
      </c>
      <c r="G60" s="44">
        <f t="shared" si="23"/>
        <v>1.0631443298969073E-2</v>
      </c>
      <c r="H60" s="44">
        <f t="shared" si="23"/>
        <v>1.6108247422680412E-3</v>
      </c>
      <c r="I60" s="44">
        <f t="shared" si="23"/>
        <v>3.817654639175258E-2</v>
      </c>
      <c r="J60" s="44">
        <f t="shared" si="23"/>
        <v>3.0927835051546393E-2</v>
      </c>
      <c r="K60" s="44">
        <f t="shared" si="23"/>
        <v>2.0618556701030927E-2</v>
      </c>
      <c r="L60" s="44">
        <f t="shared" si="23"/>
        <v>2.2068298969072166E-2</v>
      </c>
      <c r="M60" s="44"/>
      <c r="N60" s="44">
        <f t="shared" si="23"/>
        <v>8.0541237113402058E-4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0" t="str">
        <f>'02.08 Nsambya-ClockTower'!G5:H5</f>
        <v>Gapco</v>
      </c>
      <c r="H5" s="61"/>
      <c r="I5" s="14"/>
      <c r="J5" s="2" t="s">
        <v>5</v>
      </c>
      <c r="K5" s="60" t="str">
        <f>'29.07 ClockTower-Nsambya'!K5:L5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ClockTower-Nsambya'!D6:E6</f>
        <v>Clock Tower</v>
      </c>
      <c r="E6" s="61"/>
      <c r="F6" s="2" t="s">
        <v>2</v>
      </c>
      <c r="G6" s="60" t="str">
        <f>'29.07 ClockTower-Nsambya'!G6:H6</f>
        <v>Nsambya</v>
      </c>
      <c r="H6" s="61"/>
      <c r="J6" s="2" t="s">
        <v>21</v>
      </c>
      <c r="K6" s="60" t="str">
        <f>'02.08 Nsambya-ClockTower'!K6:L6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68</v>
      </c>
      <c r="D10" s="50">
        <v>4</v>
      </c>
      <c r="E10" s="50">
        <v>1</v>
      </c>
      <c r="F10" s="50">
        <v>62</v>
      </c>
      <c r="G10" s="50">
        <v>3</v>
      </c>
      <c r="H10" s="50">
        <v>1</v>
      </c>
      <c r="I10" s="50">
        <v>3</v>
      </c>
      <c r="J10" s="50">
        <v>1</v>
      </c>
      <c r="K10" s="50">
        <v>0</v>
      </c>
      <c r="L10" s="50">
        <v>1</v>
      </c>
      <c r="M10" s="50">
        <v>900</v>
      </c>
      <c r="N10" s="50">
        <v>0</v>
      </c>
      <c r="O10" s="15">
        <f t="shared" ref="O10:O57" si="0">SUM(C10:L10,N10)</f>
        <v>144</v>
      </c>
      <c r="P10" s="15">
        <f t="shared" ref="P10:P57" si="1">SUM(C10:N10)</f>
        <v>1044</v>
      </c>
      <c r="R10" s="1" t="s">
        <v>6</v>
      </c>
      <c r="S10" s="17">
        <f t="shared" ref="S10:AF10" si="2">SUM(C10:C13)</f>
        <v>216</v>
      </c>
      <c r="T10" s="17">
        <f t="shared" si="2"/>
        <v>50</v>
      </c>
      <c r="U10" s="17">
        <f t="shared" si="2"/>
        <v>13</v>
      </c>
      <c r="V10" s="17">
        <f t="shared" si="2"/>
        <v>240</v>
      </c>
      <c r="W10" s="17">
        <f t="shared" si="2"/>
        <v>10</v>
      </c>
      <c r="X10" s="17">
        <f t="shared" si="2"/>
        <v>4</v>
      </c>
      <c r="Y10" s="17">
        <f t="shared" si="2"/>
        <v>8</v>
      </c>
      <c r="Z10" s="17">
        <f t="shared" si="2"/>
        <v>7</v>
      </c>
      <c r="AA10" s="17">
        <f t="shared" si="2"/>
        <v>6</v>
      </c>
      <c r="AB10" s="17">
        <f t="shared" si="2"/>
        <v>6</v>
      </c>
      <c r="AC10" s="17">
        <f t="shared" si="2"/>
        <v>3501</v>
      </c>
      <c r="AD10" s="17">
        <f t="shared" si="2"/>
        <v>0</v>
      </c>
      <c r="AE10" s="31">
        <f t="shared" si="2"/>
        <v>560</v>
      </c>
      <c r="AF10" s="31">
        <f t="shared" si="2"/>
        <v>4061</v>
      </c>
    </row>
    <row r="11" spans="2:32" s="6" customFormat="1" ht="23.1" customHeight="1" x14ac:dyDescent="0.25">
      <c r="B11" s="45" t="s">
        <v>38</v>
      </c>
      <c r="C11" s="50">
        <v>51</v>
      </c>
      <c r="D11" s="50">
        <v>12</v>
      </c>
      <c r="E11" s="50">
        <v>4</v>
      </c>
      <c r="F11" s="50">
        <v>35</v>
      </c>
      <c r="G11" s="50">
        <v>4</v>
      </c>
      <c r="H11" s="50">
        <v>1</v>
      </c>
      <c r="I11" s="50">
        <v>1</v>
      </c>
      <c r="J11" s="50">
        <v>1</v>
      </c>
      <c r="K11" s="50">
        <v>1</v>
      </c>
      <c r="L11" s="50">
        <v>3</v>
      </c>
      <c r="M11" s="50">
        <v>911</v>
      </c>
      <c r="N11" s="50">
        <v>0</v>
      </c>
      <c r="O11" s="15">
        <f t="shared" si="0"/>
        <v>113</v>
      </c>
      <c r="P11" s="15">
        <f t="shared" si="1"/>
        <v>1024</v>
      </c>
      <c r="R11" s="1" t="s">
        <v>7</v>
      </c>
      <c r="S11" s="17">
        <f t="shared" ref="S11:AF11" si="3">SUM(C14:C17)</f>
        <v>134</v>
      </c>
      <c r="T11" s="17">
        <f t="shared" si="3"/>
        <v>26</v>
      </c>
      <c r="U11" s="17">
        <f t="shared" si="3"/>
        <v>10</v>
      </c>
      <c r="V11" s="17">
        <f t="shared" si="3"/>
        <v>212</v>
      </c>
      <c r="W11" s="17">
        <f t="shared" si="3"/>
        <v>8</v>
      </c>
      <c r="X11" s="17">
        <f t="shared" si="3"/>
        <v>2</v>
      </c>
      <c r="Y11" s="17">
        <f t="shared" si="3"/>
        <v>8</v>
      </c>
      <c r="Z11" s="17">
        <f t="shared" si="3"/>
        <v>11</v>
      </c>
      <c r="AA11" s="17">
        <f t="shared" si="3"/>
        <v>4</v>
      </c>
      <c r="AB11" s="17">
        <f t="shared" si="3"/>
        <v>6</v>
      </c>
      <c r="AC11" s="17">
        <f t="shared" si="3"/>
        <v>2342</v>
      </c>
      <c r="AD11" s="17">
        <f t="shared" si="3"/>
        <v>0</v>
      </c>
      <c r="AE11" s="31">
        <f t="shared" si="3"/>
        <v>421</v>
      </c>
      <c r="AF11" s="31">
        <f t="shared" si="3"/>
        <v>2763</v>
      </c>
    </row>
    <row r="12" spans="2:32" ht="23.1" customHeight="1" x14ac:dyDescent="0.25">
      <c r="B12" s="45" t="s">
        <v>39</v>
      </c>
      <c r="C12" s="50">
        <v>60</v>
      </c>
      <c r="D12" s="50">
        <v>16</v>
      </c>
      <c r="E12" s="50">
        <v>2</v>
      </c>
      <c r="F12" s="50">
        <v>78</v>
      </c>
      <c r="G12" s="50">
        <v>1</v>
      </c>
      <c r="H12" s="50">
        <v>2</v>
      </c>
      <c r="I12" s="50">
        <v>0</v>
      </c>
      <c r="J12" s="50">
        <v>1</v>
      </c>
      <c r="K12" s="50">
        <v>1</v>
      </c>
      <c r="L12" s="50">
        <v>0</v>
      </c>
      <c r="M12" s="50">
        <v>875</v>
      </c>
      <c r="N12" s="50">
        <v>0</v>
      </c>
      <c r="O12" s="15">
        <f t="shared" si="0"/>
        <v>161</v>
      </c>
      <c r="P12" s="15">
        <f t="shared" si="1"/>
        <v>1036</v>
      </c>
      <c r="R12" s="1" t="s">
        <v>8</v>
      </c>
      <c r="S12" s="17">
        <f t="shared" ref="S12:AF12" si="4">SUM(C18:C21)</f>
        <v>134</v>
      </c>
      <c r="T12" s="17">
        <f t="shared" si="4"/>
        <v>42</v>
      </c>
      <c r="U12" s="17">
        <f t="shared" si="4"/>
        <v>20</v>
      </c>
      <c r="V12" s="17">
        <f t="shared" si="4"/>
        <v>170</v>
      </c>
      <c r="W12" s="17">
        <f t="shared" si="4"/>
        <v>6</v>
      </c>
      <c r="X12" s="17">
        <f t="shared" si="4"/>
        <v>1</v>
      </c>
      <c r="Y12" s="17">
        <f t="shared" si="4"/>
        <v>34</v>
      </c>
      <c r="Z12" s="17">
        <f t="shared" si="4"/>
        <v>22</v>
      </c>
      <c r="AA12" s="17">
        <f t="shared" si="4"/>
        <v>8</v>
      </c>
      <c r="AB12" s="17">
        <f t="shared" si="4"/>
        <v>8</v>
      </c>
      <c r="AC12" s="17">
        <f t="shared" si="4"/>
        <v>1991</v>
      </c>
      <c r="AD12" s="17">
        <f t="shared" si="4"/>
        <v>2</v>
      </c>
      <c r="AE12" s="31">
        <f t="shared" si="4"/>
        <v>447</v>
      </c>
      <c r="AF12" s="31">
        <f t="shared" si="4"/>
        <v>2438</v>
      </c>
    </row>
    <row r="13" spans="2:32" ht="23.1" customHeight="1" x14ac:dyDescent="0.25">
      <c r="B13" s="45" t="s">
        <v>40</v>
      </c>
      <c r="C13" s="50">
        <v>37</v>
      </c>
      <c r="D13" s="50">
        <v>18</v>
      </c>
      <c r="E13" s="50">
        <v>6</v>
      </c>
      <c r="F13" s="50">
        <v>65</v>
      </c>
      <c r="G13" s="50">
        <v>2</v>
      </c>
      <c r="H13" s="50">
        <v>0</v>
      </c>
      <c r="I13" s="50">
        <v>4</v>
      </c>
      <c r="J13" s="50">
        <v>4</v>
      </c>
      <c r="K13" s="50">
        <v>4</v>
      </c>
      <c r="L13" s="50">
        <v>2</v>
      </c>
      <c r="M13" s="50">
        <v>815</v>
      </c>
      <c r="N13" s="50">
        <v>0</v>
      </c>
      <c r="O13" s="15">
        <f t="shared" si="0"/>
        <v>142</v>
      </c>
      <c r="P13" s="15">
        <f t="shared" si="1"/>
        <v>957</v>
      </c>
      <c r="R13" s="1" t="s">
        <v>9</v>
      </c>
      <c r="S13" s="17">
        <f t="shared" ref="S13:AF13" si="5">SUM(C22:C25)</f>
        <v>139</v>
      </c>
      <c r="T13" s="17">
        <f t="shared" si="5"/>
        <v>33</v>
      </c>
      <c r="U13" s="17">
        <f t="shared" si="5"/>
        <v>26</v>
      </c>
      <c r="V13" s="17">
        <f t="shared" si="5"/>
        <v>161</v>
      </c>
      <c r="W13" s="17">
        <f t="shared" si="5"/>
        <v>2</v>
      </c>
      <c r="X13" s="17">
        <f t="shared" si="5"/>
        <v>1</v>
      </c>
      <c r="Y13" s="17">
        <f t="shared" si="5"/>
        <v>43</v>
      </c>
      <c r="Z13" s="17">
        <f t="shared" si="5"/>
        <v>15</v>
      </c>
      <c r="AA13" s="17">
        <f t="shared" si="5"/>
        <v>10</v>
      </c>
      <c r="AB13" s="17">
        <f t="shared" si="5"/>
        <v>17</v>
      </c>
      <c r="AC13" s="17">
        <f t="shared" si="5"/>
        <v>1402</v>
      </c>
      <c r="AD13" s="17">
        <f t="shared" si="5"/>
        <v>0</v>
      </c>
      <c r="AE13" s="31">
        <f t="shared" si="5"/>
        <v>447</v>
      </c>
      <c r="AF13" s="31">
        <f t="shared" si="5"/>
        <v>1849</v>
      </c>
    </row>
    <row r="14" spans="2:32" ht="23.1" customHeight="1" x14ac:dyDescent="0.25">
      <c r="B14" s="45" t="s">
        <v>41</v>
      </c>
      <c r="C14" s="50">
        <v>33</v>
      </c>
      <c r="D14" s="50">
        <v>8</v>
      </c>
      <c r="E14" s="50">
        <v>2</v>
      </c>
      <c r="F14" s="50">
        <v>55</v>
      </c>
      <c r="G14" s="50">
        <v>1</v>
      </c>
      <c r="H14" s="50">
        <v>0</v>
      </c>
      <c r="I14" s="50">
        <v>1</v>
      </c>
      <c r="J14" s="50">
        <v>2</v>
      </c>
      <c r="K14" s="50">
        <v>0</v>
      </c>
      <c r="L14" s="50">
        <v>3</v>
      </c>
      <c r="M14" s="50">
        <v>647</v>
      </c>
      <c r="N14" s="50">
        <v>0</v>
      </c>
      <c r="O14" s="15">
        <f t="shared" si="0"/>
        <v>105</v>
      </c>
      <c r="P14" s="15">
        <f t="shared" si="1"/>
        <v>752</v>
      </c>
      <c r="R14" s="1" t="s">
        <v>10</v>
      </c>
      <c r="S14" s="17">
        <f t="shared" ref="S14:AF14" si="6">SUM(C26:C29)</f>
        <v>224</v>
      </c>
      <c r="T14" s="17">
        <f t="shared" si="6"/>
        <v>108</v>
      </c>
      <c r="U14" s="17">
        <f t="shared" si="6"/>
        <v>47</v>
      </c>
      <c r="V14" s="17">
        <f t="shared" si="6"/>
        <v>127</v>
      </c>
      <c r="W14" s="17">
        <f t="shared" si="6"/>
        <v>3</v>
      </c>
      <c r="X14" s="17">
        <f t="shared" si="6"/>
        <v>0</v>
      </c>
      <c r="Y14" s="17">
        <f t="shared" si="6"/>
        <v>21</v>
      </c>
      <c r="Z14" s="17">
        <f t="shared" si="6"/>
        <v>24</v>
      </c>
      <c r="AA14" s="17">
        <f t="shared" si="6"/>
        <v>8</v>
      </c>
      <c r="AB14" s="17">
        <f t="shared" si="6"/>
        <v>8</v>
      </c>
      <c r="AC14" s="17">
        <f t="shared" si="6"/>
        <v>1537</v>
      </c>
      <c r="AD14" s="17">
        <f t="shared" si="6"/>
        <v>1</v>
      </c>
      <c r="AE14" s="31">
        <f t="shared" si="6"/>
        <v>571</v>
      </c>
      <c r="AF14" s="31">
        <f t="shared" si="6"/>
        <v>2108</v>
      </c>
    </row>
    <row r="15" spans="2:32" ht="23.1" customHeight="1" x14ac:dyDescent="0.25">
      <c r="B15" s="45" t="s">
        <v>42</v>
      </c>
      <c r="C15" s="50">
        <v>32</v>
      </c>
      <c r="D15" s="50">
        <v>8</v>
      </c>
      <c r="E15" s="50">
        <v>3</v>
      </c>
      <c r="F15" s="50">
        <v>53</v>
      </c>
      <c r="G15" s="50">
        <v>4</v>
      </c>
      <c r="H15" s="50">
        <v>0</v>
      </c>
      <c r="I15" s="50">
        <v>0</v>
      </c>
      <c r="J15" s="50">
        <v>2</v>
      </c>
      <c r="K15" s="50">
        <v>1</v>
      </c>
      <c r="L15" s="50">
        <v>1</v>
      </c>
      <c r="M15" s="50">
        <v>610</v>
      </c>
      <c r="N15" s="50">
        <v>0</v>
      </c>
      <c r="O15" s="15">
        <f t="shared" si="0"/>
        <v>104</v>
      </c>
      <c r="P15" s="15">
        <f t="shared" si="1"/>
        <v>714</v>
      </c>
      <c r="R15" s="1" t="s">
        <v>11</v>
      </c>
      <c r="S15" s="17">
        <f t="shared" ref="S15:AF15" si="7">SUM(C30:C33)</f>
        <v>232</v>
      </c>
      <c r="T15" s="17">
        <f t="shared" si="7"/>
        <v>161</v>
      </c>
      <c r="U15" s="17">
        <f t="shared" si="7"/>
        <v>97</v>
      </c>
      <c r="V15" s="17">
        <f t="shared" si="7"/>
        <v>131</v>
      </c>
      <c r="W15" s="17">
        <f t="shared" si="7"/>
        <v>2</v>
      </c>
      <c r="X15" s="17">
        <f t="shared" si="7"/>
        <v>0</v>
      </c>
      <c r="Y15" s="17">
        <f t="shared" si="7"/>
        <v>25</v>
      </c>
      <c r="Z15" s="17">
        <f t="shared" si="7"/>
        <v>12</v>
      </c>
      <c r="AA15" s="17">
        <f t="shared" si="7"/>
        <v>10</v>
      </c>
      <c r="AB15" s="17">
        <f t="shared" si="7"/>
        <v>12</v>
      </c>
      <c r="AC15" s="17">
        <f t="shared" si="7"/>
        <v>940</v>
      </c>
      <c r="AD15" s="17">
        <f t="shared" si="7"/>
        <v>0</v>
      </c>
      <c r="AE15" s="31">
        <f t="shared" si="7"/>
        <v>682</v>
      </c>
      <c r="AF15" s="31">
        <f t="shared" si="7"/>
        <v>1622</v>
      </c>
    </row>
    <row r="16" spans="2:32" ht="23.1" customHeight="1" x14ac:dyDescent="0.25">
      <c r="B16" s="45" t="s">
        <v>43</v>
      </c>
      <c r="C16" s="50">
        <v>35</v>
      </c>
      <c r="D16" s="50">
        <v>4</v>
      </c>
      <c r="E16" s="50">
        <v>1</v>
      </c>
      <c r="F16" s="50">
        <v>53</v>
      </c>
      <c r="G16" s="50">
        <v>2</v>
      </c>
      <c r="H16" s="50">
        <v>1</v>
      </c>
      <c r="I16" s="50">
        <v>1</v>
      </c>
      <c r="J16" s="50">
        <v>4</v>
      </c>
      <c r="K16" s="50">
        <v>1</v>
      </c>
      <c r="L16" s="50">
        <v>0</v>
      </c>
      <c r="M16" s="50">
        <v>585</v>
      </c>
      <c r="N16" s="50">
        <v>0</v>
      </c>
      <c r="O16" s="15">
        <f t="shared" si="0"/>
        <v>102</v>
      </c>
      <c r="P16" s="15">
        <f t="shared" si="1"/>
        <v>687</v>
      </c>
      <c r="R16" s="1" t="s">
        <v>12</v>
      </c>
      <c r="S16" s="17">
        <f t="shared" ref="S16:AF16" si="8">SUM(C34:C37)</f>
        <v>225</v>
      </c>
      <c r="T16" s="17">
        <f t="shared" si="8"/>
        <v>106</v>
      </c>
      <c r="U16" s="17">
        <f t="shared" si="8"/>
        <v>88</v>
      </c>
      <c r="V16" s="17">
        <f t="shared" si="8"/>
        <v>160</v>
      </c>
      <c r="W16" s="17">
        <f t="shared" si="8"/>
        <v>1</v>
      </c>
      <c r="X16" s="17">
        <f t="shared" si="8"/>
        <v>0</v>
      </c>
      <c r="Y16" s="17">
        <f t="shared" si="8"/>
        <v>46</v>
      </c>
      <c r="Z16" s="17">
        <f t="shared" si="8"/>
        <v>20</v>
      </c>
      <c r="AA16" s="17">
        <f t="shared" si="8"/>
        <v>15</v>
      </c>
      <c r="AB16" s="17">
        <f t="shared" si="8"/>
        <v>11</v>
      </c>
      <c r="AC16" s="17">
        <f t="shared" si="8"/>
        <v>808</v>
      </c>
      <c r="AD16" s="17">
        <f t="shared" si="8"/>
        <v>1</v>
      </c>
      <c r="AE16" s="31">
        <f t="shared" si="8"/>
        <v>673</v>
      </c>
      <c r="AF16" s="31">
        <f t="shared" si="8"/>
        <v>1481</v>
      </c>
    </row>
    <row r="17" spans="2:32" ht="23.1" customHeight="1" x14ac:dyDescent="0.25">
      <c r="B17" s="45" t="s">
        <v>44</v>
      </c>
      <c r="C17" s="50">
        <v>34</v>
      </c>
      <c r="D17" s="50">
        <v>6</v>
      </c>
      <c r="E17" s="50">
        <v>4</v>
      </c>
      <c r="F17" s="50">
        <v>51</v>
      </c>
      <c r="G17" s="50">
        <v>1</v>
      </c>
      <c r="H17" s="50">
        <v>1</v>
      </c>
      <c r="I17" s="50">
        <v>6</v>
      </c>
      <c r="J17" s="50">
        <v>3</v>
      </c>
      <c r="K17" s="50">
        <v>2</v>
      </c>
      <c r="L17" s="50">
        <v>2</v>
      </c>
      <c r="M17" s="50">
        <v>500</v>
      </c>
      <c r="N17" s="50">
        <v>0</v>
      </c>
      <c r="O17" s="15">
        <f t="shared" si="0"/>
        <v>110</v>
      </c>
      <c r="P17" s="15">
        <f t="shared" si="1"/>
        <v>610</v>
      </c>
      <c r="R17" s="1" t="s">
        <v>13</v>
      </c>
      <c r="S17" s="17">
        <f t="shared" ref="S17:AF17" si="9">SUM(C38:C41)</f>
        <v>149</v>
      </c>
      <c r="T17" s="17">
        <f t="shared" si="9"/>
        <v>62</v>
      </c>
      <c r="U17" s="17">
        <f t="shared" si="9"/>
        <v>57</v>
      </c>
      <c r="V17" s="17">
        <f t="shared" si="9"/>
        <v>150</v>
      </c>
      <c r="W17" s="17">
        <f t="shared" si="9"/>
        <v>0</v>
      </c>
      <c r="X17" s="17">
        <f t="shared" si="9"/>
        <v>0</v>
      </c>
      <c r="Y17" s="17">
        <f t="shared" si="9"/>
        <v>48</v>
      </c>
      <c r="Z17" s="17">
        <f t="shared" si="9"/>
        <v>17</v>
      </c>
      <c r="AA17" s="17">
        <f t="shared" si="9"/>
        <v>12</v>
      </c>
      <c r="AB17" s="17">
        <f t="shared" si="9"/>
        <v>15</v>
      </c>
      <c r="AC17" s="17">
        <f t="shared" si="9"/>
        <v>1018</v>
      </c>
      <c r="AD17" s="17">
        <f t="shared" si="9"/>
        <v>0</v>
      </c>
      <c r="AE17" s="31">
        <f t="shared" si="9"/>
        <v>510</v>
      </c>
      <c r="AF17" s="31">
        <f t="shared" si="9"/>
        <v>1528</v>
      </c>
    </row>
    <row r="18" spans="2:32" ht="23.1" customHeight="1" x14ac:dyDescent="0.25">
      <c r="B18" s="45" t="s">
        <v>45</v>
      </c>
      <c r="C18" s="50">
        <v>35</v>
      </c>
      <c r="D18" s="50">
        <v>10</v>
      </c>
      <c r="E18" s="50">
        <v>6</v>
      </c>
      <c r="F18" s="50">
        <v>51</v>
      </c>
      <c r="G18" s="50">
        <v>1</v>
      </c>
      <c r="H18" s="50">
        <v>1</v>
      </c>
      <c r="I18" s="50">
        <v>2</v>
      </c>
      <c r="J18" s="50">
        <v>3</v>
      </c>
      <c r="K18" s="50">
        <v>3</v>
      </c>
      <c r="L18" s="50">
        <v>3</v>
      </c>
      <c r="M18" s="50">
        <v>652</v>
      </c>
      <c r="N18" s="50">
        <v>1</v>
      </c>
      <c r="O18" s="15">
        <f t="shared" si="0"/>
        <v>116</v>
      </c>
      <c r="P18" s="15">
        <f t="shared" si="1"/>
        <v>768</v>
      </c>
      <c r="R18" s="1" t="s">
        <v>14</v>
      </c>
      <c r="S18" s="17">
        <f t="shared" ref="S18:AF18" si="10">SUM(C42:C45)</f>
        <v>302</v>
      </c>
      <c r="T18" s="17">
        <f t="shared" si="10"/>
        <v>164</v>
      </c>
      <c r="U18" s="17">
        <f t="shared" si="10"/>
        <v>83</v>
      </c>
      <c r="V18" s="17">
        <f t="shared" si="10"/>
        <v>174</v>
      </c>
      <c r="W18" s="17">
        <f t="shared" si="10"/>
        <v>3</v>
      </c>
      <c r="X18" s="17">
        <f t="shared" si="10"/>
        <v>6</v>
      </c>
      <c r="Y18" s="17">
        <f t="shared" si="10"/>
        <v>34</v>
      </c>
      <c r="Z18" s="17">
        <f t="shared" si="10"/>
        <v>29</v>
      </c>
      <c r="AA18" s="17">
        <f t="shared" si="10"/>
        <v>10</v>
      </c>
      <c r="AB18" s="17">
        <f t="shared" si="10"/>
        <v>19</v>
      </c>
      <c r="AC18" s="17">
        <f t="shared" si="10"/>
        <v>812</v>
      </c>
      <c r="AD18" s="17">
        <f t="shared" si="10"/>
        <v>0</v>
      </c>
      <c r="AE18" s="31">
        <f t="shared" si="10"/>
        <v>824</v>
      </c>
      <c r="AF18" s="31">
        <f t="shared" si="10"/>
        <v>1636</v>
      </c>
    </row>
    <row r="19" spans="2:32" ht="23.1" customHeight="1" x14ac:dyDescent="0.25">
      <c r="B19" s="45" t="s">
        <v>46</v>
      </c>
      <c r="C19" s="50">
        <v>30</v>
      </c>
      <c r="D19" s="50">
        <v>6</v>
      </c>
      <c r="E19" s="50">
        <v>3</v>
      </c>
      <c r="F19" s="50">
        <v>50</v>
      </c>
      <c r="G19" s="50">
        <v>0</v>
      </c>
      <c r="H19" s="50">
        <v>0</v>
      </c>
      <c r="I19" s="50">
        <v>8</v>
      </c>
      <c r="J19" s="50">
        <v>4</v>
      </c>
      <c r="K19" s="50">
        <v>2</v>
      </c>
      <c r="L19" s="50">
        <v>1</v>
      </c>
      <c r="M19" s="50">
        <v>544</v>
      </c>
      <c r="N19" s="50">
        <v>1</v>
      </c>
      <c r="O19" s="15">
        <f t="shared" si="0"/>
        <v>105</v>
      </c>
      <c r="P19" s="15">
        <f t="shared" si="1"/>
        <v>649</v>
      </c>
      <c r="R19" s="1" t="s">
        <v>15</v>
      </c>
      <c r="S19" s="17">
        <f t="shared" ref="S19:AF19" si="11">SUM(C46:C49)</f>
        <v>190</v>
      </c>
      <c r="T19" s="17">
        <f t="shared" si="11"/>
        <v>152</v>
      </c>
      <c r="U19" s="17">
        <f t="shared" si="11"/>
        <v>73</v>
      </c>
      <c r="V19" s="17">
        <f t="shared" si="11"/>
        <v>169</v>
      </c>
      <c r="W19" s="17">
        <f t="shared" si="11"/>
        <v>3</v>
      </c>
      <c r="X19" s="17">
        <f t="shared" si="11"/>
        <v>3</v>
      </c>
      <c r="Y19" s="17">
        <f t="shared" si="11"/>
        <v>26</v>
      </c>
      <c r="Z19" s="17">
        <f t="shared" si="11"/>
        <v>14</v>
      </c>
      <c r="AA19" s="17">
        <f t="shared" si="11"/>
        <v>9</v>
      </c>
      <c r="AB19" s="17">
        <f t="shared" si="11"/>
        <v>9</v>
      </c>
      <c r="AC19" s="17">
        <f t="shared" si="11"/>
        <v>1674</v>
      </c>
      <c r="AD19" s="17">
        <f t="shared" si="11"/>
        <v>1</v>
      </c>
      <c r="AE19" s="31">
        <f t="shared" si="11"/>
        <v>649</v>
      </c>
      <c r="AF19" s="31">
        <f t="shared" si="11"/>
        <v>2323</v>
      </c>
    </row>
    <row r="20" spans="2:32" ht="23.1" customHeight="1" x14ac:dyDescent="0.25">
      <c r="B20" s="45" t="s">
        <v>47</v>
      </c>
      <c r="C20" s="50">
        <v>39</v>
      </c>
      <c r="D20" s="50">
        <v>17</v>
      </c>
      <c r="E20" s="50">
        <v>8</v>
      </c>
      <c r="F20" s="50">
        <v>41</v>
      </c>
      <c r="G20" s="50">
        <v>3</v>
      </c>
      <c r="H20" s="50">
        <v>0</v>
      </c>
      <c r="I20" s="50">
        <v>6</v>
      </c>
      <c r="J20" s="50">
        <v>3</v>
      </c>
      <c r="K20" s="50">
        <v>2</v>
      </c>
      <c r="L20" s="50">
        <v>2</v>
      </c>
      <c r="M20" s="50">
        <v>333</v>
      </c>
      <c r="N20" s="50">
        <v>0</v>
      </c>
      <c r="O20" s="15">
        <f t="shared" si="0"/>
        <v>121</v>
      </c>
      <c r="P20" s="15">
        <f t="shared" si="1"/>
        <v>454</v>
      </c>
      <c r="R20" s="1" t="s">
        <v>16</v>
      </c>
      <c r="S20" s="17">
        <f t="shared" ref="S20:AF20" si="12">SUM(C50:C53)</f>
        <v>282</v>
      </c>
      <c r="T20" s="17">
        <f t="shared" si="12"/>
        <v>159</v>
      </c>
      <c r="U20" s="17">
        <f t="shared" si="12"/>
        <v>65</v>
      </c>
      <c r="V20" s="17">
        <f t="shared" si="12"/>
        <v>149</v>
      </c>
      <c r="W20" s="17">
        <f t="shared" si="12"/>
        <v>15</v>
      </c>
      <c r="X20" s="17">
        <f t="shared" si="12"/>
        <v>0</v>
      </c>
      <c r="Y20" s="17">
        <f t="shared" si="12"/>
        <v>27</v>
      </c>
      <c r="Z20" s="17">
        <f t="shared" si="12"/>
        <v>23</v>
      </c>
      <c r="AA20" s="17">
        <f t="shared" si="12"/>
        <v>10</v>
      </c>
      <c r="AB20" s="17">
        <f t="shared" si="12"/>
        <v>8</v>
      </c>
      <c r="AC20" s="17">
        <f t="shared" si="12"/>
        <v>1637</v>
      </c>
      <c r="AD20" s="17">
        <f t="shared" si="12"/>
        <v>1</v>
      </c>
      <c r="AE20" s="31">
        <f t="shared" si="12"/>
        <v>739</v>
      </c>
      <c r="AF20" s="31">
        <f t="shared" si="12"/>
        <v>2376</v>
      </c>
    </row>
    <row r="21" spans="2:32" ht="23.1" customHeight="1" x14ac:dyDescent="0.25">
      <c r="B21" s="45" t="s">
        <v>48</v>
      </c>
      <c r="C21" s="50">
        <v>30</v>
      </c>
      <c r="D21" s="50">
        <v>9</v>
      </c>
      <c r="E21" s="50">
        <v>3</v>
      </c>
      <c r="F21" s="50">
        <v>28</v>
      </c>
      <c r="G21" s="50">
        <v>2</v>
      </c>
      <c r="H21" s="50">
        <v>0</v>
      </c>
      <c r="I21" s="50">
        <v>18</v>
      </c>
      <c r="J21" s="50">
        <v>12</v>
      </c>
      <c r="K21" s="50">
        <v>1</v>
      </c>
      <c r="L21" s="50">
        <v>2</v>
      </c>
      <c r="M21" s="50">
        <v>462</v>
      </c>
      <c r="N21" s="50">
        <v>0</v>
      </c>
      <c r="O21" s="15">
        <f t="shared" si="0"/>
        <v>105</v>
      </c>
      <c r="P21" s="15">
        <f t="shared" si="1"/>
        <v>567</v>
      </c>
      <c r="R21" s="36" t="s">
        <v>20</v>
      </c>
      <c r="S21" s="34">
        <f t="shared" ref="S21:AF21" si="13">SUM(C54:C57)</f>
        <v>164</v>
      </c>
      <c r="T21" s="17">
        <f t="shared" si="13"/>
        <v>130</v>
      </c>
      <c r="U21" s="17">
        <f t="shared" si="13"/>
        <v>69</v>
      </c>
      <c r="V21" s="17">
        <f t="shared" si="13"/>
        <v>176</v>
      </c>
      <c r="W21" s="17">
        <f t="shared" si="13"/>
        <v>7</v>
      </c>
      <c r="X21" s="17">
        <f t="shared" si="13"/>
        <v>4</v>
      </c>
      <c r="Y21" s="17">
        <f t="shared" si="13"/>
        <v>21</v>
      </c>
      <c r="Z21" s="17">
        <f t="shared" si="13"/>
        <v>14</v>
      </c>
      <c r="AA21" s="17">
        <f t="shared" si="13"/>
        <v>6</v>
      </c>
      <c r="AB21" s="17">
        <f t="shared" si="13"/>
        <v>7</v>
      </c>
      <c r="AC21" s="17">
        <f t="shared" si="13"/>
        <v>2307</v>
      </c>
      <c r="AD21" s="17">
        <f t="shared" si="13"/>
        <v>1</v>
      </c>
      <c r="AE21" s="31">
        <f t="shared" si="13"/>
        <v>599</v>
      </c>
      <c r="AF21" s="31">
        <f t="shared" si="13"/>
        <v>2906</v>
      </c>
    </row>
    <row r="22" spans="2:32" ht="23.1" customHeight="1" x14ac:dyDescent="0.25">
      <c r="B22" s="45" t="s">
        <v>49</v>
      </c>
      <c r="C22" s="50">
        <v>20</v>
      </c>
      <c r="D22" s="50">
        <v>14</v>
      </c>
      <c r="E22" s="50">
        <v>7</v>
      </c>
      <c r="F22" s="50">
        <v>31</v>
      </c>
      <c r="G22" s="50">
        <v>0</v>
      </c>
      <c r="H22" s="50">
        <v>0</v>
      </c>
      <c r="I22" s="50">
        <v>9</v>
      </c>
      <c r="J22" s="50">
        <v>3</v>
      </c>
      <c r="K22" s="50">
        <v>4</v>
      </c>
      <c r="L22" s="50">
        <v>6</v>
      </c>
      <c r="M22" s="50">
        <v>359</v>
      </c>
      <c r="N22" s="50">
        <v>0</v>
      </c>
      <c r="O22" s="15">
        <f t="shared" si="0"/>
        <v>94</v>
      </c>
      <c r="P22" s="15">
        <f t="shared" si="1"/>
        <v>453</v>
      </c>
      <c r="R22" s="36" t="s">
        <v>146</v>
      </c>
      <c r="S22" s="34">
        <f>SUM(C58:C61)</f>
        <v>164</v>
      </c>
      <c r="T22" s="34">
        <f t="shared" ref="T22:AF22" si="14">SUM(D58:D61)</f>
        <v>130</v>
      </c>
      <c r="U22" s="34">
        <f t="shared" si="14"/>
        <v>69</v>
      </c>
      <c r="V22" s="34">
        <f t="shared" si="14"/>
        <v>106</v>
      </c>
      <c r="W22" s="34">
        <f t="shared" si="14"/>
        <v>14</v>
      </c>
      <c r="X22" s="34">
        <f t="shared" si="14"/>
        <v>0</v>
      </c>
      <c r="Y22" s="34">
        <f t="shared" si="14"/>
        <v>9</v>
      </c>
      <c r="Z22" s="34">
        <f t="shared" si="14"/>
        <v>1</v>
      </c>
      <c r="AA22" s="34">
        <f t="shared" si="14"/>
        <v>5</v>
      </c>
      <c r="AB22" s="34">
        <f t="shared" si="14"/>
        <v>2</v>
      </c>
      <c r="AC22" s="34">
        <f t="shared" si="14"/>
        <v>3080</v>
      </c>
      <c r="AD22" s="34">
        <f t="shared" si="14"/>
        <v>2</v>
      </c>
      <c r="AE22" s="31">
        <f t="shared" si="14"/>
        <v>502</v>
      </c>
      <c r="AF22" s="31">
        <f t="shared" si="14"/>
        <v>3582</v>
      </c>
    </row>
    <row r="23" spans="2:32" ht="23.1" customHeight="1" x14ac:dyDescent="0.25">
      <c r="B23" s="45" t="s">
        <v>50</v>
      </c>
      <c r="C23" s="50">
        <v>36</v>
      </c>
      <c r="D23" s="50">
        <v>6</v>
      </c>
      <c r="E23" s="50">
        <v>8</v>
      </c>
      <c r="F23" s="50">
        <v>45</v>
      </c>
      <c r="G23" s="50">
        <v>0</v>
      </c>
      <c r="H23" s="50">
        <v>1</v>
      </c>
      <c r="I23" s="50">
        <v>10</v>
      </c>
      <c r="J23" s="50">
        <v>3</v>
      </c>
      <c r="K23" s="50">
        <v>2</v>
      </c>
      <c r="L23" s="50">
        <v>5</v>
      </c>
      <c r="M23" s="50">
        <v>410</v>
      </c>
      <c r="N23" s="50">
        <v>0</v>
      </c>
      <c r="O23" s="15">
        <f t="shared" si="0"/>
        <v>116</v>
      </c>
      <c r="P23" s="15">
        <f t="shared" si="1"/>
        <v>526</v>
      </c>
      <c r="R23" s="36" t="s">
        <v>147</v>
      </c>
      <c r="S23" s="34">
        <f>SUM(C62:C65)</f>
        <v>164</v>
      </c>
      <c r="T23" s="34">
        <f t="shared" ref="T23:AF23" si="15">SUM(D62:D65)</f>
        <v>130</v>
      </c>
      <c r="U23" s="34">
        <f t="shared" si="15"/>
        <v>69</v>
      </c>
      <c r="V23" s="34">
        <f t="shared" si="15"/>
        <v>104</v>
      </c>
      <c r="W23" s="34">
        <f t="shared" si="15"/>
        <v>5</v>
      </c>
      <c r="X23" s="34">
        <f t="shared" si="15"/>
        <v>7</v>
      </c>
      <c r="Y23" s="34">
        <f t="shared" si="15"/>
        <v>4</v>
      </c>
      <c r="Z23" s="34">
        <f t="shared" si="15"/>
        <v>8</v>
      </c>
      <c r="AA23" s="34">
        <f t="shared" si="15"/>
        <v>1</v>
      </c>
      <c r="AB23" s="34">
        <f t="shared" si="15"/>
        <v>5</v>
      </c>
      <c r="AC23" s="34">
        <f t="shared" si="15"/>
        <v>1951</v>
      </c>
      <c r="AD23" s="34">
        <f t="shared" si="15"/>
        <v>2</v>
      </c>
      <c r="AE23" s="31">
        <f t="shared" si="15"/>
        <v>499</v>
      </c>
      <c r="AF23" s="31">
        <f t="shared" si="15"/>
        <v>2450</v>
      </c>
    </row>
    <row r="24" spans="2:32" ht="23.1" customHeight="1" x14ac:dyDescent="0.25">
      <c r="B24" s="45" t="s">
        <v>51</v>
      </c>
      <c r="C24" s="50">
        <v>57</v>
      </c>
      <c r="D24" s="50">
        <v>7</v>
      </c>
      <c r="E24" s="50">
        <v>4</v>
      </c>
      <c r="F24" s="50">
        <v>42</v>
      </c>
      <c r="G24" s="50">
        <v>2</v>
      </c>
      <c r="H24" s="50">
        <v>0</v>
      </c>
      <c r="I24" s="50">
        <v>15</v>
      </c>
      <c r="J24" s="50">
        <v>6</v>
      </c>
      <c r="K24" s="50">
        <v>2</v>
      </c>
      <c r="L24" s="50">
        <v>1</v>
      </c>
      <c r="M24" s="50">
        <v>328</v>
      </c>
      <c r="N24" s="50">
        <v>0</v>
      </c>
      <c r="O24" s="15">
        <f t="shared" si="0"/>
        <v>136</v>
      </c>
      <c r="P24" s="15">
        <f t="shared" si="1"/>
        <v>464</v>
      </c>
      <c r="R24" s="36" t="s">
        <v>148</v>
      </c>
      <c r="S24" s="34">
        <f>SUM(C66:C69)</f>
        <v>202</v>
      </c>
      <c r="T24" s="34">
        <f t="shared" ref="T24:AF24" si="16">SUM(D66:D69)</f>
        <v>44</v>
      </c>
      <c r="U24" s="34">
        <f t="shared" si="16"/>
        <v>24</v>
      </c>
      <c r="V24" s="34">
        <f t="shared" si="16"/>
        <v>88</v>
      </c>
      <c r="W24" s="34">
        <f t="shared" si="16"/>
        <v>1</v>
      </c>
      <c r="X24" s="34">
        <f t="shared" si="16"/>
        <v>2</v>
      </c>
      <c r="Y24" s="34">
        <f t="shared" si="16"/>
        <v>10</v>
      </c>
      <c r="Z24" s="34">
        <f t="shared" si="16"/>
        <v>7</v>
      </c>
      <c r="AA24" s="34">
        <f t="shared" si="16"/>
        <v>6</v>
      </c>
      <c r="AB24" s="34">
        <f t="shared" si="16"/>
        <v>1</v>
      </c>
      <c r="AC24" s="34">
        <f t="shared" si="16"/>
        <v>1894</v>
      </c>
      <c r="AD24" s="34">
        <f t="shared" si="16"/>
        <v>0</v>
      </c>
      <c r="AE24" s="31">
        <f t="shared" si="16"/>
        <v>385</v>
      </c>
      <c r="AF24" s="31">
        <f t="shared" si="16"/>
        <v>2279</v>
      </c>
    </row>
    <row r="25" spans="2:32" ht="23.1" customHeight="1" x14ac:dyDescent="0.25">
      <c r="B25" s="45" t="s">
        <v>52</v>
      </c>
      <c r="C25" s="50">
        <v>26</v>
      </c>
      <c r="D25" s="50">
        <v>6</v>
      </c>
      <c r="E25" s="50">
        <v>7</v>
      </c>
      <c r="F25" s="50">
        <v>43</v>
      </c>
      <c r="G25" s="50">
        <v>0</v>
      </c>
      <c r="H25" s="50">
        <v>0</v>
      </c>
      <c r="I25" s="50">
        <v>9</v>
      </c>
      <c r="J25" s="50">
        <v>3</v>
      </c>
      <c r="K25" s="50">
        <v>2</v>
      </c>
      <c r="L25" s="50">
        <v>5</v>
      </c>
      <c r="M25" s="50">
        <v>305</v>
      </c>
      <c r="N25" s="50">
        <v>0</v>
      </c>
      <c r="O25" s="15">
        <f t="shared" si="0"/>
        <v>101</v>
      </c>
      <c r="P25" s="15">
        <f t="shared" si="1"/>
        <v>406</v>
      </c>
      <c r="R25" s="36" t="s">
        <v>149</v>
      </c>
      <c r="S25" s="34">
        <f>SUM(C70:C73)</f>
        <v>206</v>
      </c>
      <c r="T25" s="34">
        <f t="shared" ref="T25:AF25" si="17">SUM(D70:D73)</f>
        <v>22</v>
      </c>
      <c r="U25" s="34">
        <f t="shared" si="17"/>
        <v>30</v>
      </c>
      <c r="V25" s="34">
        <f t="shared" si="17"/>
        <v>57</v>
      </c>
      <c r="W25" s="34">
        <f t="shared" si="17"/>
        <v>2</v>
      </c>
      <c r="X25" s="34">
        <f t="shared" si="17"/>
        <v>0</v>
      </c>
      <c r="Y25" s="34">
        <f t="shared" si="17"/>
        <v>0</v>
      </c>
      <c r="Z25" s="34">
        <f t="shared" si="17"/>
        <v>6</v>
      </c>
      <c r="AA25" s="34">
        <f t="shared" si="17"/>
        <v>4</v>
      </c>
      <c r="AB25" s="34">
        <f t="shared" si="17"/>
        <v>6</v>
      </c>
      <c r="AC25" s="34">
        <f t="shared" si="17"/>
        <v>947</v>
      </c>
      <c r="AD25" s="34">
        <f t="shared" si="17"/>
        <v>0</v>
      </c>
      <c r="AE25" s="31">
        <f t="shared" si="17"/>
        <v>333</v>
      </c>
      <c r="AF25" s="31">
        <f t="shared" si="17"/>
        <v>1280</v>
      </c>
    </row>
    <row r="26" spans="2:32" ht="23.1" customHeight="1" x14ac:dyDescent="0.25">
      <c r="B26" s="45" t="s">
        <v>53</v>
      </c>
      <c r="C26" s="50">
        <v>57</v>
      </c>
      <c r="D26" s="50">
        <v>25</v>
      </c>
      <c r="E26" s="50">
        <v>11</v>
      </c>
      <c r="F26" s="50">
        <v>17</v>
      </c>
      <c r="G26" s="50">
        <v>1</v>
      </c>
      <c r="H26" s="50">
        <v>0</v>
      </c>
      <c r="I26" s="50">
        <v>5</v>
      </c>
      <c r="J26" s="50">
        <v>9</v>
      </c>
      <c r="K26" s="50">
        <v>3</v>
      </c>
      <c r="L26" s="50">
        <v>2</v>
      </c>
      <c r="M26" s="50">
        <v>384</v>
      </c>
      <c r="N26" s="50">
        <v>0</v>
      </c>
      <c r="O26" s="15">
        <f t="shared" si="0"/>
        <v>130</v>
      </c>
      <c r="P26" s="15">
        <f t="shared" si="1"/>
        <v>514</v>
      </c>
      <c r="R26" s="36" t="s">
        <v>150</v>
      </c>
      <c r="S26" s="34">
        <f>SUM(C74:C77)</f>
        <v>135</v>
      </c>
      <c r="T26" s="34">
        <f t="shared" ref="T26:AF26" si="18">SUM(D74:D77)</f>
        <v>9</v>
      </c>
      <c r="U26" s="34">
        <f t="shared" si="18"/>
        <v>14</v>
      </c>
      <c r="V26" s="34">
        <f t="shared" si="18"/>
        <v>21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2</v>
      </c>
      <c r="AA26" s="34">
        <f t="shared" si="18"/>
        <v>2</v>
      </c>
      <c r="AB26" s="34">
        <f t="shared" si="18"/>
        <v>2</v>
      </c>
      <c r="AC26" s="34">
        <f t="shared" si="18"/>
        <v>867</v>
      </c>
      <c r="AD26" s="34">
        <f t="shared" si="18"/>
        <v>0</v>
      </c>
      <c r="AE26" s="31">
        <f t="shared" si="18"/>
        <v>188</v>
      </c>
      <c r="AF26" s="31">
        <f t="shared" si="18"/>
        <v>1055</v>
      </c>
    </row>
    <row r="27" spans="2:32" ht="23.1" customHeight="1" x14ac:dyDescent="0.25">
      <c r="B27" s="45" t="s">
        <v>54</v>
      </c>
      <c r="C27" s="50">
        <v>35</v>
      </c>
      <c r="D27" s="50">
        <v>16</v>
      </c>
      <c r="E27" s="50">
        <v>4</v>
      </c>
      <c r="F27" s="50">
        <v>38</v>
      </c>
      <c r="G27" s="50">
        <v>0</v>
      </c>
      <c r="H27" s="50">
        <v>0</v>
      </c>
      <c r="I27" s="50">
        <v>7</v>
      </c>
      <c r="J27" s="50">
        <v>5</v>
      </c>
      <c r="K27" s="50">
        <v>3</v>
      </c>
      <c r="L27" s="50">
        <v>3</v>
      </c>
      <c r="M27" s="50">
        <v>353</v>
      </c>
      <c r="N27" s="50">
        <v>0</v>
      </c>
      <c r="O27" s="15">
        <f t="shared" si="0"/>
        <v>111</v>
      </c>
      <c r="P27" s="15">
        <f t="shared" si="1"/>
        <v>464</v>
      </c>
      <c r="R27" s="36" t="s">
        <v>151</v>
      </c>
      <c r="S27" s="34">
        <f>SUM(C78:C81)</f>
        <v>77</v>
      </c>
      <c r="T27" s="34">
        <f t="shared" ref="T27:AF27" si="19">SUM(D78:D81)</f>
        <v>7</v>
      </c>
      <c r="U27" s="34">
        <f t="shared" si="19"/>
        <v>10</v>
      </c>
      <c r="V27" s="34">
        <f t="shared" si="19"/>
        <v>12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3</v>
      </c>
      <c r="AA27" s="34">
        <f t="shared" si="19"/>
        <v>2</v>
      </c>
      <c r="AB27" s="34">
        <f t="shared" si="19"/>
        <v>0</v>
      </c>
      <c r="AC27" s="34">
        <f t="shared" si="19"/>
        <v>290</v>
      </c>
      <c r="AD27" s="34">
        <f t="shared" si="19"/>
        <v>0</v>
      </c>
      <c r="AE27" s="31">
        <f t="shared" si="19"/>
        <v>117</v>
      </c>
      <c r="AF27" s="31">
        <f t="shared" si="19"/>
        <v>407</v>
      </c>
    </row>
    <row r="28" spans="2:32" ht="23.1" customHeight="1" x14ac:dyDescent="0.25">
      <c r="B28" s="45" t="s">
        <v>55</v>
      </c>
      <c r="C28" s="50">
        <v>62</v>
      </c>
      <c r="D28" s="50">
        <v>35</v>
      </c>
      <c r="E28" s="50">
        <v>21</v>
      </c>
      <c r="F28" s="50">
        <v>38</v>
      </c>
      <c r="G28" s="50">
        <v>0</v>
      </c>
      <c r="H28" s="50">
        <v>0</v>
      </c>
      <c r="I28" s="50">
        <v>5</v>
      </c>
      <c r="J28" s="50">
        <v>6</v>
      </c>
      <c r="K28" s="50">
        <v>1</v>
      </c>
      <c r="L28" s="50">
        <v>0</v>
      </c>
      <c r="M28" s="50">
        <v>408</v>
      </c>
      <c r="N28" s="50">
        <v>0</v>
      </c>
      <c r="O28" s="15">
        <f t="shared" si="0"/>
        <v>168</v>
      </c>
      <c r="P28" s="15">
        <f t="shared" si="1"/>
        <v>576</v>
      </c>
      <c r="R28" s="36" t="s">
        <v>152</v>
      </c>
      <c r="S28" s="34">
        <f>SUM(C82:C85)</f>
        <v>33</v>
      </c>
      <c r="T28" s="34">
        <f t="shared" ref="T28:AF28" si="20">SUM(D82:D85)</f>
        <v>3</v>
      </c>
      <c r="U28" s="34">
        <f t="shared" si="20"/>
        <v>4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4</v>
      </c>
      <c r="AB28" s="34">
        <f t="shared" si="20"/>
        <v>0</v>
      </c>
      <c r="AC28" s="34">
        <f t="shared" si="20"/>
        <v>224</v>
      </c>
      <c r="AD28" s="34">
        <f t="shared" si="20"/>
        <v>0</v>
      </c>
      <c r="AE28" s="31">
        <f t="shared" si="20"/>
        <v>47</v>
      </c>
      <c r="AF28" s="31">
        <f t="shared" si="20"/>
        <v>271</v>
      </c>
    </row>
    <row r="29" spans="2:32" ht="23.1" customHeight="1" x14ac:dyDescent="0.25">
      <c r="B29" s="45" t="s">
        <v>56</v>
      </c>
      <c r="C29" s="50">
        <v>70</v>
      </c>
      <c r="D29" s="50">
        <v>32</v>
      </c>
      <c r="E29" s="50">
        <v>11</v>
      </c>
      <c r="F29" s="50">
        <v>34</v>
      </c>
      <c r="G29" s="50">
        <v>2</v>
      </c>
      <c r="H29" s="50">
        <v>0</v>
      </c>
      <c r="I29" s="50">
        <v>4</v>
      </c>
      <c r="J29" s="50">
        <v>4</v>
      </c>
      <c r="K29" s="50">
        <v>1</v>
      </c>
      <c r="L29" s="50">
        <v>3</v>
      </c>
      <c r="M29" s="50">
        <v>392</v>
      </c>
      <c r="N29" s="50">
        <v>1</v>
      </c>
      <c r="O29" s="15">
        <f t="shared" si="0"/>
        <v>162</v>
      </c>
      <c r="P29" s="15">
        <f t="shared" si="1"/>
        <v>554</v>
      </c>
      <c r="R29" s="36" t="s">
        <v>153</v>
      </c>
      <c r="S29" s="34">
        <f>SUM(C86:C89)</f>
        <v>35</v>
      </c>
      <c r="T29" s="34">
        <f t="shared" ref="T29:AF29" si="21">SUM(D86:D89)</f>
        <v>4</v>
      </c>
      <c r="U29" s="34">
        <f t="shared" si="21"/>
        <v>8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2</v>
      </c>
      <c r="AA29" s="34">
        <f t="shared" si="21"/>
        <v>4</v>
      </c>
      <c r="AB29" s="34">
        <f t="shared" si="21"/>
        <v>0</v>
      </c>
      <c r="AC29" s="34">
        <f t="shared" si="21"/>
        <v>97</v>
      </c>
      <c r="AD29" s="34">
        <f t="shared" si="21"/>
        <v>0</v>
      </c>
      <c r="AE29" s="31">
        <f t="shared" si="21"/>
        <v>58</v>
      </c>
      <c r="AF29" s="31">
        <f t="shared" si="21"/>
        <v>155</v>
      </c>
    </row>
    <row r="30" spans="2:32" ht="23.1" customHeight="1" x14ac:dyDescent="0.25">
      <c r="B30" s="45" t="s">
        <v>57</v>
      </c>
      <c r="C30" s="50">
        <v>45</v>
      </c>
      <c r="D30" s="50">
        <v>30</v>
      </c>
      <c r="E30" s="50">
        <v>4</v>
      </c>
      <c r="F30" s="50">
        <v>20</v>
      </c>
      <c r="G30" s="50">
        <v>1</v>
      </c>
      <c r="H30" s="50">
        <v>0</v>
      </c>
      <c r="I30" s="50">
        <v>3</v>
      </c>
      <c r="J30" s="50">
        <v>1</v>
      </c>
      <c r="K30" s="50">
        <v>2</v>
      </c>
      <c r="L30" s="50">
        <v>2</v>
      </c>
      <c r="M30" s="50">
        <v>222</v>
      </c>
      <c r="N30" s="50">
        <v>0</v>
      </c>
      <c r="O30" s="15">
        <f t="shared" si="0"/>
        <v>108</v>
      </c>
      <c r="P30" s="15">
        <f t="shared" si="1"/>
        <v>330</v>
      </c>
      <c r="R30" s="36" t="s">
        <v>154</v>
      </c>
      <c r="S30" s="34">
        <f>SUM(C90:C93)</f>
        <v>22</v>
      </c>
      <c r="T30" s="34">
        <f t="shared" ref="T30:AF30" si="22">SUM(D90:D93)</f>
        <v>1</v>
      </c>
      <c r="U30" s="34">
        <f t="shared" si="22"/>
        <v>2</v>
      </c>
      <c r="V30" s="34">
        <f t="shared" si="22"/>
        <v>1</v>
      </c>
      <c r="W30" s="34">
        <f t="shared" si="22"/>
        <v>0</v>
      </c>
      <c r="X30" s="34">
        <f t="shared" si="22"/>
        <v>1</v>
      </c>
      <c r="Y30" s="34">
        <f t="shared" si="22"/>
        <v>5</v>
      </c>
      <c r="Z30" s="34">
        <f t="shared" si="22"/>
        <v>6</v>
      </c>
      <c r="AA30" s="34">
        <f t="shared" si="22"/>
        <v>11</v>
      </c>
      <c r="AB30" s="34">
        <f t="shared" si="22"/>
        <v>0</v>
      </c>
      <c r="AC30" s="34">
        <f t="shared" si="22"/>
        <v>44</v>
      </c>
      <c r="AD30" s="34">
        <f t="shared" si="22"/>
        <v>0</v>
      </c>
      <c r="AE30" s="31">
        <f t="shared" si="22"/>
        <v>49</v>
      </c>
      <c r="AF30" s="31">
        <f t="shared" si="22"/>
        <v>93</v>
      </c>
    </row>
    <row r="31" spans="2:32" ht="23.1" customHeight="1" x14ac:dyDescent="0.25">
      <c r="B31" s="46" t="s">
        <v>58</v>
      </c>
      <c r="C31" s="50">
        <v>52</v>
      </c>
      <c r="D31" s="50">
        <v>43</v>
      </c>
      <c r="E31" s="50">
        <v>45</v>
      </c>
      <c r="F31" s="50">
        <v>45</v>
      </c>
      <c r="G31" s="50">
        <v>0</v>
      </c>
      <c r="H31" s="50">
        <v>0</v>
      </c>
      <c r="I31" s="50">
        <v>8</v>
      </c>
      <c r="J31" s="50">
        <v>3</v>
      </c>
      <c r="K31" s="50">
        <v>2</v>
      </c>
      <c r="L31" s="50">
        <v>1</v>
      </c>
      <c r="M31" s="50">
        <v>270</v>
      </c>
      <c r="N31" s="50">
        <v>0</v>
      </c>
      <c r="O31" s="15">
        <f t="shared" si="0"/>
        <v>199</v>
      </c>
      <c r="P31" s="15">
        <f t="shared" si="1"/>
        <v>469</v>
      </c>
      <c r="R31" s="36" t="s">
        <v>155</v>
      </c>
      <c r="S31" s="34">
        <f>SUM(C94:C97)</f>
        <v>27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7</v>
      </c>
      <c r="Z31" s="34">
        <f t="shared" si="23"/>
        <v>7</v>
      </c>
      <c r="AA31" s="34">
        <f t="shared" si="23"/>
        <v>5</v>
      </c>
      <c r="AB31" s="34">
        <f t="shared" si="23"/>
        <v>0</v>
      </c>
      <c r="AC31" s="34">
        <f t="shared" si="23"/>
        <v>77</v>
      </c>
      <c r="AD31" s="34">
        <f t="shared" si="23"/>
        <v>0</v>
      </c>
      <c r="AE31" s="31">
        <f t="shared" si="23"/>
        <v>50</v>
      </c>
      <c r="AF31" s="31">
        <f t="shared" si="23"/>
        <v>127</v>
      </c>
    </row>
    <row r="32" spans="2:32" ht="23.1" customHeight="1" x14ac:dyDescent="0.25">
      <c r="B32" s="46" t="s">
        <v>59</v>
      </c>
      <c r="C32" s="50">
        <v>75</v>
      </c>
      <c r="D32" s="50">
        <v>50</v>
      </c>
      <c r="E32" s="50">
        <v>22</v>
      </c>
      <c r="F32" s="50">
        <v>38</v>
      </c>
      <c r="G32" s="50">
        <v>1</v>
      </c>
      <c r="H32" s="50">
        <v>0</v>
      </c>
      <c r="I32" s="50">
        <v>11</v>
      </c>
      <c r="J32" s="50">
        <v>2</v>
      </c>
      <c r="K32" s="50">
        <v>2</v>
      </c>
      <c r="L32" s="50">
        <v>2</v>
      </c>
      <c r="M32" s="50">
        <v>200</v>
      </c>
      <c r="N32" s="50">
        <v>0</v>
      </c>
      <c r="O32" s="15">
        <f t="shared" si="0"/>
        <v>203</v>
      </c>
      <c r="P32" s="15">
        <f t="shared" si="1"/>
        <v>403</v>
      </c>
      <c r="R32" s="33" t="s">
        <v>156</v>
      </c>
      <c r="S32" s="34">
        <f>SUM(C98:C101)</f>
        <v>34</v>
      </c>
      <c r="T32" s="34">
        <f t="shared" ref="T32:AF32" si="24">SUM(D98:D101)</f>
        <v>3</v>
      </c>
      <c r="U32" s="34">
        <f t="shared" si="24"/>
        <v>7</v>
      </c>
      <c r="V32" s="34">
        <f t="shared" si="24"/>
        <v>47</v>
      </c>
      <c r="W32" s="34">
        <f t="shared" si="24"/>
        <v>2</v>
      </c>
      <c r="X32" s="34">
        <f t="shared" si="24"/>
        <v>0</v>
      </c>
      <c r="Y32" s="34">
        <f t="shared" si="24"/>
        <v>3</v>
      </c>
      <c r="Z32" s="34">
        <f t="shared" si="24"/>
        <v>13</v>
      </c>
      <c r="AA32" s="34">
        <f t="shared" si="24"/>
        <v>6</v>
      </c>
      <c r="AB32" s="34">
        <f t="shared" si="24"/>
        <v>4</v>
      </c>
      <c r="AC32" s="34">
        <f t="shared" si="24"/>
        <v>348</v>
      </c>
      <c r="AD32" s="34">
        <f t="shared" si="24"/>
        <v>0</v>
      </c>
      <c r="AE32" s="31">
        <f t="shared" si="24"/>
        <v>119</v>
      </c>
      <c r="AF32" s="31">
        <f t="shared" si="24"/>
        <v>467</v>
      </c>
    </row>
    <row r="33" spans="2:32" ht="23.1" customHeight="1" x14ac:dyDescent="0.25">
      <c r="B33" s="45" t="s">
        <v>60</v>
      </c>
      <c r="C33" s="50">
        <v>60</v>
      </c>
      <c r="D33" s="50">
        <v>38</v>
      </c>
      <c r="E33" s="50">
        <v>26</v>
      </c>
      <c r="F33" s="50">
        <v>28</v>
      </c>
      <c r="G33" s="50">
        <v>0</v>
      </c>
      <c r="H33" s="50">
        <v>0</v>
      </c>
      <c r="I33" s="50">
        <v>3</v>
      </c>
      <c r="J33" s="50">
        <v>6</v>
      </c>
      <c r="K33" s="50">
        <v>4</v>
      </c>
      <c r="L33" s="50">
        <v>7</v>
      </c>
      <c r="M33" s="50">
        <v>248</v>
      </c>
      <c r="N33" s="50">
        <v>0</v>
      </c>
      <c r="O33" s="15">
        <f t="shared" si="0"/>
        <v>172</v>
      </c>
      <c r="P33" s="15">
        <f t="shared" si="1"/>
        <v>420</v>
      </c>
      <c r="R33" s="33" t="s">
        <v>157</v>
      </c>
      <c r="S33" s="34">
        <f>SUM(C102:C105)</f>
        <v>252</v>
      </c>
      <c r="T33" s="34">
        <f t="shared" ref="T33:AF33" si="25">SUM(D102:D105)</f>
        <v>10</v>
      </c>
      <c r="U33" s="34">
        <f t="shared" si="25"/>
        <v>21</v>
      </c>
      <c r="V33" s="34">
        <f t="shared" si="25"/>
        <v>118</v>
      </c>
      <c r="W33" s="34">
        <f t="shared" si="25"/>
        <v>0</v>
      </c>
      <c r="X33" s="34">
        <f t="shared" si="25"/>
        <v>0</v>
      </c>
      <c r="Y33" s="34">
        <f t="shared" si="25"/>
        <v>18</v>
      </c>
      <c r="Z33" s="34">
        <f t="shared" si="25"/>
        <v>14</v>
      </c>
      <c r="AA33" s="34">
        <f t="shared" si="25"/>
        <v>3</v>
      </c>
      <c r="AB33" s="34">
        <f t="shared" si="25"/>
        <v>1</v>
      </c>
      <c r="AC33" s="34">
        <f t="shared" si="25"/>
        <v>813</v>
      </c>
      <c r="AD33" s="34">
        <f t="shared" si="25"/>
        <v>2</v>
      </c>
      <c r="AE33" s="31">
        <f t="shared" si="25"/>
        <v>439</v>
      </c>
      <c r="AF33" s="31">
        <f t="shared" si="25"/>
        <v>1252</v>
      </c>
    </row>
    <row r="34" spans="2:32" ht="23.1" customHeight="1" x14ac:dyDescent="0.25">
      <c r="B34" s="46" t="s">
        <v>61</v>
      </c>
      <c r="C34" s="50">
        <v>70</v>
      </c>
      <c r="D34" s="50">
        <v>32</v>
      </c>
      <c r="E34" s="50">
        <v>21</v>
      </c>
      <c r="F34" s="50">
        <v>46</v>
      </c>
      <c r="G34" s="50">
        <v>1</v>
      </c>
      <c r="H34" s="50">
        <v>0</v>
      </c>
      <c r="I34" s="50">
        <v>5</v>
      </c>
      <c r="J34" s="50">
        <v>8</v>
      </c>
      <c r="K34" s="50">
        <v>2</v>
      </c>
      <c r="L34" s="50">
        <v>2</v>
      </c>
      <c r="M34" s="50">
        <v>236</v>
      </c>
      <c r="N34" s="50">
        <v>0</v>
      </c>
      <c r="O34" s="15">
        <f t="shared" si="0"/>
        <v>187</v>
      </c>
      <c r="P34" s="15">
        <f t="shared" si="1"/>
        <v>423</v>
      </c>
      <c r="R34" s="38" t="s">
        <v>90</v>
      </c>
      <c r="S34" s="39">
        <f t="shared" ref="S34:AF34" si="26">MAX(S10:S12)</f>
        <v>216</v>
      </c>
      <c r="T34" s="39">
        <f t="shared" si="26"/>
        <v>50</v>
      </c>
      <c r="U34" s="39">
        <f t="shared" si="26"/>
        <v>20</v>
      </c>
      <c r="V34" s="39">
        <f t="shared" si="26"/>
        <v>240</v>
      </c>
      <c r="W34" s="39">
        <f t="shared" si="26"/>
        <v>10</v>
      </c>
      <c r="X34" s="39">
        <f t="shared" si="26"/>
        <v>4</v>
      </c>
      <c r="Y34" s="39">
        <f t="shared" si="26"/>
        <v>34</v>
      </c>
      <c r="Z34" s="39">
        <f t="shared" si="26"/>
        <v>22</v>
      </c>
      <c r="AA34" s="39">
        <f t="shared" si="26"/>
        <v>8</v>
      </c>
      <c r="AB34" s="39">
        <f t="shared" si="26"/>
        <v>8</v>
      </c>
      <c r="AC34" s="39">
        <f t="shared" si="26"/>
        <v>3501</v>
      </c>
      <c r="AD34" s="39">
        <f t="shared" si="26"/>
        <v>2</v>
      </c>
      <c r="AE34" s="40">
        <f t="shared" si="26"/>
        <v>560</v>
      </c>
      <c r="AF34" s="40">
        <f t="shared" si="26"/>
        <v>4061</v>
      </c>
    </row>
    <row r="35" spans="2:32" ht="23.1" customHeight="1" x14ac:dyDescent="0.25">
      <c r="B35" s="46" t="s">
        <v>62</v>
      </c>
      <c r="C35" s="50">
        <v>80</v>
      </c>
      <c r="D35" s="50">
        <v>30</v>
      </c>
      <c r="E35" s="50">
        <v>40</v>
      </c>
      <c r="F35" s="50">
        <v>38</v>
      </c>
      <c r="G35" s="50">
        <v>0</v>
      </c>
      <c r="H35" s="50">
        <v>0</v>
      </c>
      <c r="I35" s="50">
        <v>7</v>
      </c>
      <c r="J35" s="50">
        <v>4</v>
      </c>
      <c r="K35" s="50">
        <v>6</v>
      </c>
      <c r="L35" s="50">
        <v>4</v>
      </c>
      <c r="M35" s="50">
        <v>215</v>
      </c>
      <c r="N35" s="50">
        <v>0</v>
      </c>
      <c r="O35" s="15">
        <f t="shared" si="0"/>
        <v>209</v>
      </c>
      <c r="P35" s="15">
        <f t="shared" si="1"/>
        <v>424</v>
      </c>
      <c r="R35" s="38" t="s">
        <v>91</v>
      </c>
      <c r="S35" s="39">
        <f t="shared" ref="S35:AF35" si="27">MAX(S13:S18)</f>
        <v>302</v>
      </c>
      <c r="T35" s="39">
        <f t="shared" si="27"/>
        <v>164</v>
      </c>
      <c r="U35" s="39">
        <f t="shared" si="27"/>
        <v>97</v>
      </c>
      <c r="V35" s="39">
        <f t="shared" si="27"/>
        <v>174</v>
      </c>
      <c r="W35" s="39">
        <f t="shared" si="27"/>
        <v>3</v>
      </c>
      <c r="X35" s="39">
        <f t="shared" si="27"/>
        <v>6</v>
      </c>
      <c r="Y35" s="39">
        <f t="shared" si="27"/>
        <v>48</v>
      </c>
      <c r="Z35" s="39">
        <f t="shared" si="27"/>
        <v>29</v>
      </c>
      <c r="AA35" s="39">
        <f t="shared" si="27"/>
        <v>15</v>
      </c>
      <c r="AB35" s="39">
        <f t="shared" si="27"/>
        <v>19</v>
      </c>
      <c r="AC35" s="39">
        <f t="shared" si="27"/>
        <v>1537</v>
      </c>
      <c r="AD35" s="39">
        <f t="shared" si="27"/>
        <v>1</v>
      </c>
      <c r="AE35" s="40">
        <f t="shared" si="27"/>
        <v>824</v>
      </c>
      <c r="AF35" s="40">
        <f t="shared" si="27"/>
        <v>2108</v>
      </c>
    </row>
    <row r="36" spans="2:32" ht="23.1" customHeight="1" x14ac:dyDescent="0.25">
      <c r="B36" s="46" t="s">
        <v>63</v>
      </c>
      <c r="C36" s="50">
        <v>38</v>
      </c>
      <c r="D36" s="50">
        <v>14</v>
      </c>
      <c r="E36" s="50">
        <v>11</v>
      </c>
      <c r="F36" s="50">
        <v>36</v>
      </c>
      <c r="G36" s="50">
        <v>0</v>
      </c>
      <c r="H36" s="50">
        <v>0</v>
      </c>
      <c r="I36" s="50">
        <v>24</v>
      </c>
      <c r="J36" s="50">
        <v>3</v>
      </c>
      <c r="K36" s="50">
        <v>5</v>
      </c>
      <c r="L36" s="50">
        <v>3</v>
      </c>
      <c r="M36" s="50">
        <v>198</v>
      </c>
      <c r="N36" s="50">
        <v>0</v>
      </c>
      <c r="O36" s="15">
        <f t="shared" si="0"/>
        <v>134</v>
      </c>
      <c r="P36" s="15">
        <f t="shared" si="1"/>
        <v>332</v>
      </c>
      <c r="R36" s="38" t="s">
        <v>92</v>
      </c>
      <c r="S36" s="39">
        <f t="shared" ref="S36:AF36" si="28">MAX(S19:S21)</f>
        <v>282</v>
      </c>
      <c r="T36" s="39">
        <f t="shared" si="28"/>
        <v>159</v>
      </c>
      <c r="U36" s="39">
        <f t="shared" si="28"/>
        <v>73</v>
      </c>
      <c r="V36" s="39">
        <f t="shared" si="28"/>
        <v>176</v>
      </c>
      <c r="W36" s="39">
        <f t="shared" si="28"/>
        <v>15</v>
      </c>
      <c r="X36" s="39">
        <f t="shared" si="28"/>
        <v>4</v>
      </c>
      <c r="Y36" s="39">
        <f t="shared" si="28"/>
        <v>27</v>
      </c>
      <c r="Z36" s="39">
        <f t="shared" si="28"/>
        <v>23</v>
      </c>
      <c r="AA36" s="39">
        <f t="shared" si="28"/>
        <v>10</v>
      </c>
      <c r="AB36" s="39">
        <f t="shared" si="28"/>
        <v>9</v>
      </c>
      <c r="AC36" s="39">
        <f t="shared" si="28"/>
        <v>2307</v>
      </c>
      <c r="AD36" s="39">
        <f t="shared" si="28"/>
        <v>1</v>
      </c>
      <c r="AE36" s="40">
        <f t="shared" si="28"/>
        <v>739</v>
      </c>
      <c r="AF36" s="40">
        <f t="shared" si="28"/>
        <v>2906</v>
      </c>
    </row>
    <row r="37" spans="2:32" ht="23.1" customHeight="1" x14ac:dyDescent="0.25">
      <c r="B37" s="45" t="s">
        <v>64</v>
      </c>
      <c r="C37" s="50">
        <v>37</v>
      </c>
      <c r="D37" s="50">
        <v>30</v>
      </c>
      <c r="E37" s="50">
        <v>16</v>
      </c>
      <c r="F37" s="50">
        <v>40</v>
      </c>
      <c r="G37" s="50">
        <v>0</v>
      </c>
      <c r="H37" s="50">
        <v>0</v>
      </c>
      <c r="I37" s="50">
        <v>10</v>
      </c>
      <c r="J37" s="50">
        <v>5</v>
      </c>
      <c r="K37" s="50">
        <v>2</v>
      </c>
      <c r="L37" s="50">
        <v>2</v>
      </c>
      <c r="M37" s="50">
        <v>159</v>
      </c>
      <c r="N37" s="50">
        <v>1</v>
      </c>
      <c r="O37" s="15">
        <f t="shared" si="0"/>
        <v>143</v>
      </c>
      <c r="P37" s="15">
        <f t="shared" si="1"/>
        <v>302</v>
      </c>
      <c r="R37" s="37" t="s">
        <v>85</v>
      </c>
      <c r="S37" s="35">
        <f t="shared" ref="S37:AF37" si="29">SUM(S10:S12)</f>
        <v>484</v>
      </c>
      <c r="T37" s="16">
        <f t="shared" si="29"/>
        <v>118</v>
      </c>
      <c r="U37" s="16">
        <f t="shared" si="29"/>
        <v>43</v>
      </c>
      <c r="V37" s="16">
        <f t="shared" si="29"/>
        <v>622</v>
      </c>
      <c r="W37" s="16">
        <f t="shared" si="29"/>
        <v>24</v>
      </c>
      <c r="X37" s="16">
        <f t="shared" si="29"/>
        <v>7</v>
      </c>
      <c r="Y37" s="16">
        <f t="shared" si="29"/>
        <v>50</v>
      </c>
      <c r="Z37" s="16">
        <f t="shared" si="29"/>
        <v>40</v>
      </c>
      <c r="AA37" s="16">
        <f t="shared" si="29"/>
        <v>18</v>
      </c>
      <c r="AB37" s="16">
        <f t="shared" si="29"/>
        <v>20</v>
      </c>
      <c r="AC37" s="16">
        <f t="shared" si="29"/>
        <v>7834</v>
      </c>
      <c r="AD37" s="16">
        <f t="shared" si="29"/>
        <v>2</v>
      </c>
      <c r="AE37" s="32">
        <f t="shared" si="29"/>
        <v>1428</v>
      </c>
      <c r="AF37" s="32">
        <f t="shared" si="29"/>
        <v>9262</v>
      </c>
    </row>
    <row r="38" spans="2:32" ht="23.1" customHeight="1" x14ac:dyDescent="0.25">
      <c r="B38" s="46" t="s">
        <v>65</v>
      </c>
      <c r="C38" s="50">
        <v>51</v>
      </c>
      <c r="D38" s="50">
        <v>14</v>
      </c>
      <c r="E38" s="50">
        <v>10</v>
      </c>
      <c r="F38" s="50">
        <v>32</v>
      </c>
      <c r="G38" s="50">
        <v>0</v>
      </c>
      <c r="H38" s="50">
        <v>0</v>
      </c>
      <c r="I38" s="50">
        <v>11</v>
      </c>
      <c r="J38" s="50">
        <v>6</v>
      </c>
      <c r="K38" s="50">
        <v>2</v>
      </c>
      <c r="L38" s="50">
        <v>2</v>
      </c>
      <c r="M38" s="50">
        <v>256</v>
      </c>
      <c r="N38" s="50">
        <v>0</v>
      </c>
      <c r="O38" s="15">
        <f t="shared" si="0"/>
        <v>128</v>
      </c>
      <c r="P38" s="15">
        <f t="shared" si="1"/>
        <v>384</v>
      </c>
      <c r="R38" s="28" t="s">
        <v>86</v>
      </c>
      <c r="S38" s="16">
        <f t="shared" ref="S38:AF38" si="30">SUM(S13:S18)</f>
        <v>1271</v>
      </c>
      <c r="T38" s="16">
        <f t="shared" si="30"/>
        <v>634</v>
      </c>
      <c r="U38" s="16">
        <f t="shared" si="30"/>
        <v>398</v>
      </c>
      <c r="V38" s="16">
        <f t="shared" si="30"/>
        <v>903</v>
      </c>
      <c r="W38" s="16">
        <f t="shared" si="30"/>
        <v>11</v>
      </c>
      <c r="X38" s="16">
        <f t="shared" si="30"/>
        <v>7</v>
      </c>
      <c r="Y38" s="16">
        <f t="shared" si="30"/>
        <v>217</v>
      </c>
      <c r="Z38" s="16">
        <f t="shared" si="30"/>
        <v>117</v>
      </c>
      <c r="AA38" s="16">
        <f t="shared" si="30"/>
        <v>65</v>
      </c>
      <c r="AB38" s="16">
        <f t="shared" si="30"/>
        <v>82</v>
      </c>
      <c r="AC38" s="16">
        <f t="shared" si="30"/>
        <v>6517</v>
      </c>
      <c r="AD38" s="16">
        <f t="shared" si="30"/>
        <v>2</v>
      </c>
      <c r="AE38" s="32">
        <f t="shared" si="30"/>
        <v>3707</v>
      </c>
      <c r="AF38" s="32">
        <f t="shared" si="30"/>
        <v>10224</v>
      </c>
    </row>
    <row r="39" spans="2:32" ht="23.1" customHeight="1" x14ac:dyDescent="0.25">
      <c r="B39" s="46" t="s">
        <v>66</v>
      </c>
      <c r="C39" s="50">
        <v>28</v>
      </c>
      <c r="D39" s="50">
        <v>10</v>
      </c>
      <c r="E39" s="50">
        <v>5</v>
      </c>
      <c r="F39" s="50">
        <v>42</v>
      </c>
      <c r="G39" s="50">
        <v>0</v>
      </c>
      <c r="H39" s="50">
        <v>0</v>
      </c>
      <c r="I39" s="50">
        <v>8</v>
      </c>
      <c r="J39" s="50">
        <v>4</v>
      </c>
      <c r="K39" s="50">
        <v>3</v>
      </c>
      <c r="L39" s="50">
        <v>3</v>
      </c>
      <c r="M39" s="50">
        <v>321</v>
      </c>
      <c r="N39" s="50">
        <v>0</v>
      </c>
      <c r="O39" s="15">
        <f t="shared" si="0"/>
        <v>103</v>
      </c>
      <c r="P39" s="15">
        <f t="shared" si="1"/>
        <v>424</v>
      </c>
      <c r="R39" s="29" t="s">
        <v>87</v>
      </c>
      <c r="S39" s="16">
        <f t="shared" ref="S39:AF39" si="31">SUM(S19:S21)</f>
        <v>636</v>
      </c>
      <c r="T39" s="16">
        <f t="shared" si="31"/>
        <v>441</v>
      </c>
      <c r="U39" s="16">
        <f t="shared" si="31"/>
        <v>207</v>
      </c>
      <c r="V39" s="16">
        <f t="shared" si="31"/>
        <v>494</v>
      </c>
      <c r="W39" s="16">
        <f t="shared" si="31"/>
        <v>25</v>
      </c>
      <c r="X39" s="16">
        <f t="shared" si="31"/>
        <v>7</v>
      </c>
      <c r="Y39" s="16">
        <f t="shared" si="31"/>
        <v>74</v>
      </c>
      <c r="Z39" s="16">
        <f t="shared" si="31"/>
        <v>51</v>
      </c>
      <c r="AA39" s="16">
        <f t="shared" si="31"/>
        <v>25</v>
      </c>
      <c r="AB39" s="16">
        <f t="shared" si="31"/>
        <v>24</v>
      </c>
      <c r="AC39" s="16">
        <f t="shared" si="31"/>
        <v>5618</v>
      </c>
      <c r="AD39" s="16">
        <f t="shared" si="31"/>
        <v>3</v>
      </c>
      <c r="AE39" s="32">
        <f t="shared" si="31"/>
        <v>1987</v>
      </c>
      <c r="AF39" s="32">
        <f t="shared" si="31"/>
        <v>7605</v>
      </c>
    </row>
    <row r="40" spans="2:32" ht="23.1" customHeight="1" x14ac:dyDescent="0.25">
      <c r="B40" s="46" t="s">
        <v>67</v>
      </c>
      <c r="C40" s="50">
        <v>25</v>
      </c>
      <c r="D40" s="50">
        <v>10</v>
      </c>
      <c r="E40" s="50">
        <v>6</v>
      </c>
      <c r="F40" s="50">
        <v>36</v>
      </c>
      <c r="G40" s="50">
        <v>0</v>
      </c>
      <c r="H40" s="50">
        <v>0</v>
      </c>
      <c r="I40" s="50">
        <v>9</v>
      </c>
      <c r="J40" s="50">
        <v>5</v>
      </c>
      <c r="K40" s="50">
        <v>3</v>
      </c>
      <c r="L40" s="50">
        <v>5</v>
      </c>
      <c r="M40" s="50">
        <v>269</v>
      </c>
      <c r="N40" s="50">
        <v>0</v>
      </c>
      <c r="O40" s="15">
        <f t="shared" si="0"/>
        <v>99</v>
      </c>
      <c r="P40" s="15">
        <f t="shared" si="1"/>
        <v>368</v>
      </c>
      <c r="R40" s="5" t="s">
        <v>17</v>
      </c>
      <c r="S40" s="16">
        <f t="shared" ref="S40:AF40" si="32">SUM(S10:S21)</f>
        <v>2391</v>
      </c>
      <c r="T40" s="16">
        <f t="shared" si="32"/>
        <v>1193</v>
      </c>
      <c r="U40" s="16">
        <f t="shared" si="32"/>
        <v>648</v>
      </c>
      <c r="V40" s="16">
        <f t="shared" si="32"/>
        <v>2019</v>
      </c>
      <c r="W40" s="16">
        <f t="shared" si="32"/>
        <v>60</v>
      </c>
      <c r="X40" s="16">
        <f t="shared" si="32"/>
        <v>21</v>
      </c>
      <c r="Y40" s="16">
        <f t="shared" si="32"/>
        <v>341</v>
      </c>
      <c r="Z40" s="16">
        <f t="shared" si="32"/>
        <v>208</v>
      </c>
      <c r="AA40" s="16">
        <f t="shared" si="32"/>
        <v>108</v>
      </c>
      <c r="AB40" s="16">
        <f t="shared" si="32"/>
        <v>126</v>
      </c>
      <c r="AC40" s="16">
        <f t="shared" si="32"/>
        <v>19969</v>
      </c>
      <c r="AD40" s="16">
        <f t="shared" si="32"/>
        <v>7</v>
      </c>
      <c r="AE40" s="32">
        <f t="shared" si="32"/>
        <v>7122</v>
      </c>
      <c r="AF40" s="32">
        <f t="shared" si="32"/>
        <v>27091</v>
      </c>
    </row>
    <row r="41" spans="2:32" ht="23.1" customHeight="1" x14ac:dyDescent="0.25">
      <c r="B41" s="45" t="s">
        <v>68</v>
      </c>
      <c r="C41" s="50">
        <v>45</v>
      </c>
      <c r="D41" s="50">
        <v>28</v>
      </c>
      <c r="E41" s="50">
        <v>36</v>
      </c>
      <c r="F41" s="50">
        <v>40</v>
      </c>
      <c r="G41" s="50">
        <v>0</v>
      </c>
      <c r="H41" s="50">
        <v>0</v>
      </c>
      <c r="I41" s="50">
        <v>20</v>
      </c>
      <c r="J41" s="50">
        <v>2</v>
      </c>
      <c r="K41" s="50">
        <v>4</v>
      </c>
      <c r="L41" s="50">
        <v>5</v>
      </c>
      <c r="M41" s="50">
        <v>172</v>
      </c>
      <c r="N41" s="50">
        <v>0</v>
      </c>
      <c r="O41" s="15">
        <f t="shared" si="0"/>
        <v>180</v>
      </c>
      <c r="P41" s="15">
        <f t="shared" si="1"/>
        <v>352</v>
      </c>
      <c r="R41" s="5" t="s">
        <v>159</v>
      </c>
      <c r="S41" s="16">
        <f>SUM(S10:S33)</f>
        <v>3742</v>
      </c>
      <c r="T41" s="16">
        <f t="shared" ref="T41:AF41" si="33">SUM(T10:T33)</f>
        <v>1556</v>
      </c>
      <c r="U41" s="16">
        <f t="shared" si="33"/>
        <v>909</v>
      </c>
      <c r="V41" s="16">
        <f t="shared" si="33"/>
        <v>2579</v>
      </c>
      <c r="W41" s="16">
        <f t="shared" si="33"/>
        <v>84</v>
      </c>
      <c r="X41" s="16">
        <f t="shared" si="33"/>
        <v>31</v>
      </c>
      <c r="Y41" s="16">
        <f t="shared" si="33"/>
        <v>409</v>
      </c>
      <c r="Z41" s="16">
        <f t="shared" si="33"/>
        <v>277</v>
      </c>
      <c r="AA41" s="16">
        <f t="shared" si="33"/>
        <v>161</v>
      </c>
      <c r="AB41" s="16">
        <f t="shared" si="33"/>
        <v>147</v>
      </c>
      <c r="AC41" s="16">
        <f t="shared" si="33"/>
        <v>30601</v>
      </c>
      <c r="AD41" s="16">
        <f t="shared" si="33"/>
        <v>13</v>
      </c>
      <c r="AE41" s="32">
        <f t="shared" si="33"/>
        <v>9908</v>
      </c>
      <c r="AF41" s="32">
        <f t="shared" si="33"/>
        <v>40509</v>
      </c>
    </row>
    <row r="42" spans="2:32" ht="23.1" customHeight="1" x14ac:dyDescent="0.25">
      <c r="B42" s="46" t="s">
        <v>69</v>
      </c>
      <c r="C42" s="50">
        <v>32</v>
      </c>
      <c r="D42" s="50">
        <v>19</v>
      </c>
      <c r="E42" s="50">
        <v>3</v>
      </c>
      <c r="F42" s="50">
        <v>46</v>
      </c>
      <c r="G42" s="50">
        <v>1</v>
      </c>
      <c r="H42" s="50">
        <v>5</v>
      </c>
      <c r="I42" s="50">
        <v>8</v>
      </c>
      <c r="J42" s="50">
        <v>6</v>
      </c>
      <c r="K42" s="50">
        <v>5</v>
      </c>
      <c r="L42" s="50">
        <v>5</v>
      </c>
      <c r="M42" s="50">
        <v>199</v>
      </c>
      <c r="N42" s="50">
        <v>0</v>
      </c>
      <c r="O42" s="15">
        <f t="shared" si="0"/>
        <v>130</v>
      </c>
      <c r="P42" s="15">
        <f t="shared" si="1"/>
        <v>329</v>
      </c>
      <c r="R42" s="5" t="s">
        <v>160</v>
      </c>
      <c r="S42" s="48">
        <f>S41/S40</f>
        <v>1.5650355499790882</v>
      </c>
      <c r="T42" s="48">
        <f t="shared" ref="T42:AF42" si="34">T41/T40</f>
        <v>1.3042749371332774</v>
      </c>
      <c r="U42" s="48">
        <f t="shared" si="34"/>
        <v>1.4027777777777777</v>
      </c>
      <c r="V42" s="48">
        <f t="shared" si="34"/>
        <v>1.2773650321941554</v>
      </c>
      <c r="W42" s="48">
        <f t="shared" si="34"/>
        <v>1.4</v>
      </c>
      <c r="X42" s="48">
        <f t="shared" si="34"/>
        <v>1.4761904761904763</v>
      </c>
      <c r="Y42" s="48">
        <f t="shared" si="34"/>
        <v>1.1994134897360704</v>
      </c>
      <c r="Z42" s="48">
        <f t="shared" si="34"/>
        <v>1.3317307692307692</v>
      </c>
      <c r="AA42" s="48">
        <f t="shared" si="34"/>
        <v>1.4907407407407407</v>
      </c>
      <c r="AB42" s="48">
        <f t="shared" si="34"/>
        <v>1.1666666666666667</v>
      </c>
      <c r="AC42" s="48">
        <f t="shared" si="34"/>
        <v>1.5324252591516851</v>
      </c>
      <c r="AD42" s="48">
        <f t="shared" si="34"/>
        <v>1.8571428571428572</v>
      </c>
      <c r="AE42" s="48">
        <f t="shared" si="34"/>
        <v>1.391182252176355</v>
      </c>
      <c r="AF42" s="48">
        <f t="shared" si="34"/>
        <v>1.4952936399542283</v>
      </c>
    </row>
    <row r="43" spans="2:32" ht="23.1" customHeight="1" x14ac:dyDescent="0.25">
      <c r="B43" s="45" t="s">
        <v>70</v>
      </c>
      <c r="C43" s="50">
        <v>110</v>
      </c>
      <c r="D43" s="50">
        <v>20</v>
      </c>
      <c r="E43" s="50">
        <v>15</v>
      </c>
      <c r="F43" s="50">
        <v>39</v>
      </c>
      <c r="G43" s="50">
        <v>0</v>
      </c>
      <c r="H43" s="50">
        <v>0</v>
      </c>
      <c r="I43" s="50">
        <v>11</v>
      </c>
      <c r="J43" s="50">
        <v>8</v>
      </c>
      <c r="K43" s="50">
        <v>0</v>
      </c>
      <c r="L43" s="50">
        <v>5</v>
      </c>
      <c r="M43" s="50">
        <v>183</v>
      </c>
      <c r="N43" s="50">
        <v>0</v>
      </c>
      <c r="O43" s="15">
        <f t="shared" si="0"/>
        <v>208</v>
      </c>
      <c r="P43" s="15">
        <f t="shared" si="1"/>
        <v>391</v>
      </c>
    </row>
    <row r="44" spans="2:32" ht="23.1" customHeight="1" x14ac:dyDescent="0.25">
      <c r="B44" s="47" t="s">
        <v>71</v>
      </c>
      <c r="C44" s="50">
        <v>90</v>
      </c>
      <c r="D44" s="50">
        <v>50</v>
      </c>
      <c r="E44" s="50">
        <v>45</v>
      </c>
      <c r="F44" s="50">
        <v>49</v>
      </c>
      <c r="G44" s="50">
        <v>2</v>
      </c>
      <c r="H44" s="50">
        <v>1</v>
      </c>
      <c r="I44" s="50">
        <v>4</v>
      </c>
      <c r="J44" s="50">
        <v>5</v>
      </c>
      <c r="K44" s="50">
        <v>2</v>
      </c>
      <c r="L44" s="50">
        <v>3</v>
      </c>
      <c r="M44" s="50">
        <v>180</v>
      </c>
      <c r="N44" s="50">
        <v>0</v>
      </c>
      <c r="O44" s="15">
        <f t="shared" si="0"/>
        <v>251</v>
      </c>
      <c r="P44" s="15">
        <f t="shared" si="1"/>
        <v>431</v>
      </c>
    </row>
    <row r="45" spans="2:32" ht="23.1" customHeight="1" x14ac:dyDescent="0.25">
      <c r="B45" s="45" t="s">
        <v>72</v>
      </c>
      <c r="C45" s="50">
        <v>70</v>
      </c>
      <c r="D45" s="50">
        <v>75</v>
      </c>
      <c r="E45" s="50">
        <v>20</v>
      </c>
      <c r="F45" s="50">
        <v>40</v>
      </c>
      <c r="G45" s="50">
        <v>0</v>
      </c>
      <c r="H45" s="50">
        <v>0</v>
      </c>
      <c r="I45" s="50">
        <v>11</v>
      </c>
      <c r="J45" s="50">
        <v>10</v>
      </c>
      <c r="K45" s="50">
        <v>3</v>
      </c>
      <c r="L45" s="50">
        <v>6</v>
      </c>
      <c r="M45" s="50">
        <v>250</v>
      </c>
      <c r="N45" s="50">
        <v>0</v>
      </c>
      <c r="O45" s="15">
        <f t="shared" si="0"/>
        <v>235</v>
      </c>
      <c r="P45" s="15">
        <f t="shared" si="1"/>
        <v>485</v>
      </c>
    </row>
    <row r="46" spans="2:32" ht="23.1" customHeight="1" x14ac:dyDescent="0.25">
      <c r="B46" s="46" t="s">
        <v>73</v>
      </c>
      <c r="C46" s="50">
        <v>30</v>
      </c>
      <c r="D46" s="50">
        <v>41</v>
      </c>
      <c r="E46" s="50">
        <v>15</v>
      </c>
      <c r="F46" s="50">
        <v>40</v>
      </c>
      <c r="G46" s="50">
        <v>1</v>
      </c>
      <c r="H46" s="50">
        <v>2</v>
      </c>
      <c r="I46" s="50">
        <v>6</v>
      </c>
      <c r="J46" s="50">
        <v>3</v>
      </c>
      <c r="K46" s="50">
        <v>1</v>
      </c>
      <c r="L46" s="50">
        <v>3</v>
      </c>
      <c r="M46" s="50">
        <v>342</v>
      </c>
      <c r="N46" s="50">
        <v>0</v>
      </c>
      <c r="O46" s="15">
        <f t="shared" si="0"/>
        <v>142</v>
      </c>
      <c r="P46" s="15">
        <f t="shared" si="1"/>
        <v>484</v>
      </c>
      <c r="R46" s="8"/>
      <c r="T46"/>
    </row>
    <row r="47" spans="2:32" ht="23.1" customHeight="1" x14ac:dyDescent="0.25">
      <c r="B47" s="46" t="s">
        <v>74</v>
      </c>
      <c r="C47" s="50">
        <v>60</v>
      </c>
      <c r="D47" s="50">
        <v>40</v>
      </c>
      <c r="E47" s="50">
        <v>15</v>
      </c>
      <c r="F47" s="50">
        <v>40</v>
      </c>
      <c r="G47" s="50">
        <v>1</v>
      </c>
      <c r="H47" s="50">
        <v>0</v>
      </c>
      <c r="I47" s="50">
        <v>7</v>
      </c>
      <c r="J47" s="50">
        <v>4</v>
      </c>
      <c r="K47" s="50">
        <v>0</v>
      </c>
      <c r="L47" s="50">
        <v>2</v>
      </c>
      <c r="M47" s="50">
        <v>383</v>
      </c>
      <c r="N47" s="50">
        <v>0</v>
      </c>
      <c r="O47" s="15">
        <f t="shared" si="0"/>
        <v>169</v>
      </c>
      <c r="P47" s="15">
        <f t="shared" si="1"/>
        <v>552</v>
      </c>
      <c r="R47" s="8"/>
      <c r="T47"/>
    </row>
    <row r="48" spans="2:32" ht="23.1" customHeight="1" x14ac:dyDescent="0.25">
      <c r="B48" s="46" t="s">
        <v>75</v>
      </c>
      <c r="C48" s="50">
        <v>70</v>
      </c>
      <c r="D48" s="50">
        <v>35</v>
      </c>
      <c r="E48" s="50">
        <v>18</v>
      </c>
      <c r="F48" s="50">
        <v>36</v>
      </c>
      <c r="G48" s="50">
        <v>0</v>
      </c>
      <c r="H48" s="50">
        <v>1</v>
      </c>
      <c r="I48" s="50">
        <v>7</v>
      </c>
      <c r="J48" s="50">
        <v>3</v>
      </c>
      <c r="K48" s="50">
        <v>6</v>
      </c>
      <c r="L48" s="50">
        <v>3</v>
      </c>
      <c r="M48" s="50">
        <v>416</v>
      </c>
      <c r="N48" s="50">
        <v>1</v>
      </c>
      <c r="O48" s="15">
        <f t="shared" si="0"/>
        <v>180</v>
      </c>
      <c r="P48" s="15">
        <f t="shared" si="1"/>
        <v>596</v>
      </c>
      <c r="R48" s="8"/>
      <c r="T48"/>
    </row>
    <row r="49" spans="2:20" ht="23.1" customHeight="1" x14ac:dyDescent="0.25">
      <c r="B49" s="45" t="s">
        <v>76</v>
      </c>
      <c r="C49" s="50">
        <v>30</v>
      </c>
      <c r="D49" s="50">
        <v>36</v>
      </c>
      <c r="E49" s="50">
        <v>25</v>
      </c>
      <c r="F49" s="50">
        <v>53</v>
      </c>
      <c r="G49" s="50">
        <v>1</v>
      </c>
      <c r="H49" s="50">
        <v>0</v>
      </c>
      <c r="I49" s="50">
        <v>6</v>
      </c>
      <c r="J49" s="50">
        <v>4</v>
      </c>
      <c r="K49" s="50">
        <v>2</v>
      </c>
      <c r="L49" s="50">
        <v>1</v>
      </c>
      <c r="M49" s="50">
        <v>533</v>
      </c>
      <c r="N49" s="50">
        <v>0</v>
      </c>
      <c r="O49" s="15">
        <f t="shared" si="0"/>
        <v>158</v>
      </c>
      <c r="P49" s="15">
        <f t="shared" si="1"/>
        <v>691</v>
      </c>
      <c r="R49" s="8"/>
      <c r="T49"/>
    </row>
    <row r="50" spans="2:20" ht="23.1" customHeight="1" x14ac:dyDescent="0.25">
      <c r="B50" s="46" t="s">
        <v>77</v>
      </c>
      <c r="C50" s="50">
        <v>45</v>
      </c>
      <c r="D50" s="50">
        <v>50</v>
      </c>
      <c r="E50" s="50">
        <v>15</v>
      </c>
      <c r="F50" s="50">
        <v>35</v>
      </c>
      <c r="G50" s="50">
        <v>4</v>
      </c>
      <c r="H50" s="50">
        <v>0</v>
      </c>
      <c r="I50" s="50">
        <v>8</v>
      </c>
      <c r="J50" s="50">
        <v>6</v>
      </c>
      <c r="K50" s="50">
        <v>3</v>
      </c>
      <c r="L50" s="50">
        <v>2</v>
      </c>
      <c r="M50" s="50">
        <v>350</v>
      </c>
      <c r="N50" s="50">
        <v>0</v>
      </c>
      <c r="O50" s="15">
        <f t="shared" si="0"/>
        <v>168</v>
      </c>
      <c r="P50" s="15">
        <f t="shared" si="1"/>
        <v>518</v>
      </c>
      <c r="R50" s="8"/>
      <c r="T50"/>
    </row>
    <row r="51" spans="2:20" ht="23.1" customHeight="1" x14ac:dyDescent="0.25">
      <c r="B51" s="46" t="s">
        <v>78</v>
      </c>
      <c r="C51" s="50">
        <v>60</v>
      </c>
      <c r="D51" s="50">
        <v>30</v>
      </c>
      <c r="E51" s="50">
        <v>25</v>
      </c>
      <c r="F51" s="50">
        <v>26</v>
      </c>
      <c r="G51" s="50">
        <v>0</v>
      </c>
      <c r="H51" s="50">
        <v>0</v>
      </c>
      <c r="I51" s="50">
        <v>4</v>
      </c>
      <c r="J51" s="50">
        <v>8</v>
      </c>
      <c r="K51" s="50">
        <v>3</v>
      </c>
      <c r="L51" s="50">
        <v>4</v>
      </c>
      <c r="M51" s="50">
        <v>438</v>
      </c>
      <c r="N51" s="50">
        <v>1</v>
      </c>
      <c r="O51" s="15">
        <f t="shared" si="0"/>
        <v>161</v>
      </c>
      <c r="P51" s="15">
        <f t="shared" si="1"/>
        <v>599</v>
      </c>
      <c r="R51" s="8"/>
      <c r="T51"/>
    </row>
    <row r="52" spans="2:20" ht="23.1" customHeight="1" x14ac:dyDescent="0.25">
      <c r="B52" s="46" t="s">
        <v>79</v>
      </c>
      <c r="C52" s="50">
        <v>102</v>
      </c>
      <c r="D52" s="50">
        <v>27</v>
      </c>
      <c r="E52" s="50">
        <v>6</v>
      </c>
      <c r="F52" s="50">
        <v>48</v>
      </c>
      <c r="G52" s="50">
        <v>0</v>
      </c>
      <c r="H52" s="50">
        <v>0</v>
      </c>
      <c r="I52" s="50">
        <v>4</v>
      </c>
      <c r="J52" s="50">
        <v>1</v>
      </c>
      <c r="K52" s="50">
        <v>2</v>
      </c>
      <c r="L52" s="50">
        <v>1</v>
      </c>
      <c r="M52" s="50">
        <v>353</v>
      </c>
      <c r="N52" s="50">
        <v>0</v>
      </c>
      <c r="O52" s="15">
        <f t="shared" si="0"/>
        <v>191</v>
      </c>
      <c r="P52" s="15">
        <f t="shared" si="1"/>
        <v>544</v>
      </c>
      <c r="R52" s="8"/>
      <c r="T52"/>
    </row>
    <row r="53" spans="2:20" ht="23.1" customHeight="1" x14ac:dyDescent="0.25">
      <c r="B53" s="45" t="s">
        <v>80</v>
      </c>
      <c r="C53" s="50">
        <v>75</v>
      </c>
      <c r="D53" s="50">
        <v>52</v>
      </c>
      <c r="E53" s="50">
        <v>19</v>
      </c>
      <c r="F53" s="50">
        <v>40</v>
      </c>
      <c r="G53" s="50">
        <v>11</v>
      </c>
      <c r="H53" s="50">
        <v>0</v>
      </c>
      <c r="I53" s="50">
        <v>11</v>
      </c>
      <c r="J53" s="50">
        <v>8</v>
      </c>
      <c r="K53" s="50">
        <v>2</v>
      </c>
      <c r="L53" s="50">
        <v>1</v>
      </c>
      <c r="M53" s="50">
        <v>496</v>
      </c>
      <c r="N53" s="50">
        <v>0</v>
      </c>
      <c r="O53" s="15">
        <f t="shared" si="0"/>
        <v>219</v>
      </c>
      <c r="P53" s="15">
        <f t="shared" si="1"/>
        <v>715</v>
      </c>
      <c r="R53" s="8"/>
      <c r="T53"/>
    </row>
    <row r="54" spans="2:20" ht="23.1" customHeight="1" x14ac:dyDescent="0.25">
      <c r="B54" s="45" t="s">
        <v>81</v>
      </c>
      <c r="C54" s="50">
        <v>39</v>
      </c>
      <c r="D54" s="50">
        <v>35</v>
      </c>
      <c r="E54" s="50">
        <v>12</v>
      </c>
      <c r="F54" s="50">
        <v>32</v>
      </c>
      <c r="G54" s="50">
        <v>3</v>
      </c>
      <c r="H54" s="50">
        <v>0</v>
      </c>
      <c r="I54" s="50">
        <v>10</v>
      </c>
      <c r="J54" s="50">
        <v>7</v>
      </c>
      <c r="K54" s="50">
        <v>1</v>
      </c>
      <c r="L54" s="50">
        <v>2</v>
      </c>
      <c r="M54" s="50">
        <v>506</v>
      </c>
      <c r="N54" s="50">
        <v>1</v>
      </c>
      <c r="O54" s="15">
        <f t="shared" si="0"/>
        <v>142</v>
      </c>
      <c r="P54" s="15">
        <f t="shared" si="1"/>
        <v>648</v>
      </c>
      <c r="R54" s="8"/>
      <c r="T54"/>
    </row>
    <row r="55" spans="2:20" ht="23.1" customHeight="1" x14ac:dyDescent="0.25">
      <c r="B55" s="45" t="s">
        <v>82</v>
      </c>
      <c r="C55" s="50">
        <v>40</v>
      </c>
      <c r="D55" s="50">
        <v>35</v>
      </c>
      <c r="E55" s="50">
        <v>17</v>
      </c>
      <c r="F55" s="50">
        <v>56</v>
      </c>
      <c r="G55" s="50">
        <v>0</v>
      </c>
      <c r="H55" s="50">
        <v>0</v>
      </c>
      <c r="I55" s="50">
        <v>0</v>
      </c>
      <c r="J55" s="50">
        <v>2</v>
      </c>
      <c r="K55" s="50">
        <v>1</v>
      </c>
      <c r="L55" s="50">
        <v>0</v>
      </c>
      <c r="M55" s="50">
        <v>613</v>
      </c>
      <c r="N55" s="50">
        <v>0</v>
      </c>
      <c r="O55" s="15">
        <f t="shared" si="0"/>
        <v>151</v>
      </c>
      <c r="P55" s="15">
        <f t="shared" si="1"/>
        <v>764</v>
      </c>
      <c r="R55" s="8"/>
      <c r="T55"/>
    </row>
    <row r="56" spans="2:20" ht="23.1" customHeight="1" x14ac:dyDescent="0.25">
      <c r="B56" s="45" t="s">
        <v>83</v>
      </c>
      <c r="C56" s="50">
        <v>45</v>
      </c>
      <c r="D56" s="50">
        <v>30</v>
      </c>
      <c r="E56" s="50">
        <v>15</v>
      </c>
      <c r="F56" s="50">
        <v>53</v>
      </c>
      <c r="G56" s="50">
        <v>3</v>
      </c>
      <c r="H56" s="50">
        <v>4</v>
      </c>
      <c r="I56" s="50">
        <v>7</v>
      </c>
      <c r="J56" s="50">
        <v>4</v>
      </c>
      <c r="K56" s="50">
        <v>2</v>
      </c>
      <c r="L56" s="50">
        <v>3</v>
      </c>
      <c r="M56" s="50">
        <v>524</v>
      </c>
      <c r="N56" s="50">
        <v>0</v>
      </c>
      <c r="O56" s="15">
        <f t="shared" si="0"/>
        <v>166</v>
      </c>
      <c r="P56" s="15">
        <f t="shared" si="1"/>
        <v>690</v>
      </c>
      <c r="R56" s="8"/>
      <c r="T56"/>
    </row>
    <row r="57" spans="2:20" ht="23.1" customHeight="1" x14ac:dyDescent="0.25">
      <c r="B57" s="45" t="s">
        <v>84</v>
      </c>
      <c r="C57" s="50">
        <v>40</v>
      </c>
      <c r="D57" s="50">
        <v>30</v>
      </c>
      <c r="E57" s="50">
        <v>25</v>
      </c>
      <c r="F57" s="50">
        <v>35</v>
      </c>
      <c r="G57" s="50">
        <v>1</v>
      </c>
      <c r="H57" s="50">
        <v>0</v>
      </c>
      <c r="I57" s="50">
        <v>4</v>
      </c>
      <c r="J57" s="50">
        <v>1</v>
      </c>
      <c r="K57" s="50">
        <v>2</v>
      </c>
      <c r="L57" s="50">
        <v>2</v>
      </c>
      <c r="M57" s="50">
        <v>664</v>
      </c>
      <c r="N57" s="50">
        <v>0</v>
      </c>
      <c r="O57" s="15">
        <f t="shared" si="0"/>
        <v>140</v>
      </c>
      <c r="P57" s="15">
        <f t="shared" si="1"/>
        <v>804</v>
      </c>
      <c r="R57" s="8"/>
      <c r="T57"/>
    </row>
    <row r="58" spans="2:20" ht="23.1" customHeight="1" x14ac:dyDescent="0.25">
      <c r="B58" s="45" t="s">
        <v>99</v>
      </c>
      <c r="C58" s="50">
        <v>39</v>
      </c>
      <c r="D58" s="50">
        <v>35</v>
      </c>
      <c r="E58" s="50">
        <v>12</v>
      </c>
      <c r="F58" s="50">
        <v>32</v>
      </c>
      <c r="G58" s="50">
        <v>2</v>
      </c>
      <c r="H58" s="50">
        <v>0</v>
      </c>
      <c r="I58" s="50">
        <v>0</v>
      </c>
      <c r="J58" s="50">
        <v>0</v>
      </c>
      <c r="K58" s="50">
        <v>1</v>
      </c>
      <c r="L58" s="50">
        <v>0</v>
      </c>
      <c r="M58" s="50">
        <v>840</v>
      </c>
      <c r="N58" s="50">
        <v>0</v>
      </c>
      <c r="O58" s="15">
        <f t="shared" ref="O58:O105" si="35">SUM(C58:L58,N58)</f>
        <v>121</v>
      </c>
      <c r="P58" s="15">
        <f t="shared" ref="P58:P105" si="36">SUM(C58:N58)</f>
        <v>961</v>
      </c>
      <c r="R58" s="8"/>
      <c r="T58"/>
    </row>
    <row r="59" spans="2:20" ht="23.1" customHeight="1" x14ac:dyDescent="0.25">
      <c r="B59" s="45" t="s">
        <v>100</v>
      </c>
      <c r="C59" s="50">
        <v>40</v>
      </c>
      <c r="D59" s="50">
        <v>35</v>
      </c>
      <c r="E59" s="50">
        <v>17</v>
      </c>
      <c r="F59" s="50">
        <v>25</v>
      </c>
      <c r="G59" s="50">
        <v>1</v>
      </c>
      <c r="H59" s="50">
        <v>0</v>
      </c>
      <c r="I59" s="50">
        <v>2</v>
      </c>
      <c r="J59" s="50">
        <v>0</v>
      </c>
      <c r="K59" s="50">
        <v>1</v>
      </c>
      <c r="L59" s="50">
        <v>1</v>
      </c>
      <c r="M59" s="50">
        <v>760</v>
      </c>
      <c r="N59" s="50">
        <v>0</v>
      </c>
      <c r="O59" s="15">
        <f t="shared" si="35"/>
        <v>122</v>
      </c>
      <c r="P59" s="15">
        <f t="shared" si="36"/>
        <v>882</v>
      </c>
      <c r="R59" s="8"/>
      <c r="T59"/>
    </row>
    <row r="60" spans="2:20" ht="23.1" customHeight="1" x14ac:dyDescent="0.25">
      <c r="B60" s="45" t="s">
        <v>101</v>
      </c>
      <c r="C60" s="50">
        <v>45</v>
      </c>
      <c r="D60" s="50">
        <v>30</v>
      </c>
      <c r="E60" s="50">
        <v>15</v>
      </c>
      <c r="F60" s="50">
        <v>24</v>
      </c>
      <c r="G60" s="50">
        <v>11</v>
      </c>
      <c r="H60" s="50">
        <v>0</v>
      </c>
      <c r="I60" s="50">
        <v>7</v>
      </c>
      <c r="J60" s="50">
        <v>0</v>
      </c>
      <c r="K60" s="50">
        <v>0</v>
      </c>
      <c r="L60" s="50">
        <v>0</v>
      </c>
      <c r="M60" s="50">
        <v>680</v>
      </c>
      <c r="N60" s="50">
        <v>0</v>
      </c>
      <c r="O60" s="15">
        <f t="shared" si="35"/>
        <v>132</v>
      </c>
      <c r="P60" s="15">
        <f t="shared" si="36"/>
        <v>812</v>
      </c>
      <c r="R60" s="8"/>
      <c r="T60"/>
    </row>
    <row r="61" spans="2:20" ht="23.1" customHeight="1" x14ac:dyDescent="0.25">
      <c r="B61" s="45" t="s">
        <v>102</v>
      </c>
      <c r="C61" s="50">
        <v>40</v>
      </c>
      <c r="D61" s="50">
        <v>30</v>
      </c>
      <c r="E61" s="50">
        <v>25</v>
      </c>
      <c r="F61" s="50">
        <v>25</v>
      </c>
      <c r="G61" s="50">
        <v>0</v>
      </c>
      <c r="H61" s="50">
        <v>0</v>
      </c>
      <c r="I61" s="50">
        <v>0</v>
      </c>
      <c r="J61" s="50">
        <v>1</v>
      </c>
      <c r="K61" s="50">
        <v>3</v>
      </c>
      <c r="L61" s="50">
        <v>1</v>
      </c>
      <c r="M61" s="50">
        <v>800</v>
      </c>
      <c r="N61" s="50">
        <v>2</v>
      </c>
      <c r="O61" s="15">
        <f t="shared" si="35"/>
        <v>127</v>
      </c>
      <c r="P61" s="15">
        <f t="shared" si="36"/>
        <v>927</v>
      </c>
      <c r="R61" s="8"/>
      <c r="T61"/>
    </row>
    <row r="62" spans="2:20" ht="23.1" customHeight="1" x14ac:dyDescent="0.25">
      <c r="B62" s="45" t="s">
        <v>107</v>
      </c>
      <c r="C62" s="50">
        <v>39</v>
      </c>
      <c r="D62" s="50">
        <v>35</v>
      </c>
      <c r="E62" s="50">
        <v>12</v>
      </c>
      <c r="F62" s="50">
        <v>35</v>
      </c>
      <c r="G62" s="50">
        <v>2</v>
      </c>
      <c r="H62" s="50">
        <v>3</v>
      </c>
      <c r="I62" s="50">
        <v>1</v>
      </c>
      <c r="J62" s="50">
        <v>2</v>
      </c>
      <c r="K62" s="50">
        <v>0</v>
      </c>
      <c r="L62" s="50">
        <v>1</v>
      </c>
      <c r="M62" s="50">
        <v>411</v>
      </c>
      <c r="N62" s="50">
        <v>1</v>
      </c>
      <c r="O62" s="15">
        <f t="shared" si="35"/>
        <v>131</v>
      </c>
      <c r="P62" s="15">
        <f t="shared" si="36"/>
        <v>542</v>
      </c>
      <c r="R62" s="8"/>
      <c r="T62"/>
    </row>
    <row r="63" spans="2:20" ht="23.1" customHeight="1" x14ac:dyDescent="0.25">
      <c r="B63" s="45" t="s">
        <v>108</v>
      </c>
      <c r="C63" s="50">
        <v>40</v>
      </c>
      <c r="D63" s="50">
        <v>35</v>
      </c>
      <c r="E63" s="50">
        <v>17</v>
      </c>
      <c r="F63" s="50">
        <v>26</v>
      </c>
      <c r="G63" s="50">
        <v>3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570</v>
      </c>
      <c r="N63" s="50">
        <v>1</v>
      </c>
      <c r="O63" s="15">
        <f t="shared" si="35"/>
        <v>122</v>
      </c>
      <c r="P63" s="15">
        <f t="shared" si="36"/>
        <v>692</v>
      </c>
      <c r="R63" s="8"/>
      <c r="T63"/>
    </row>
    <row r="64" spans="2:20" ht="23.1" customHeight="1" x14ac:dyDescent="0.25">
      <c r="B64" s="45" t="s">
        <v>109</v>
      </c>
      <c r="C64" s="50">
        <v>45</v>
      </c>
      <c r="D64" s="50">
        <v>30</v>
      </c>
      <c r="E64" s="50">
        <v>15</v>
      </c>
      <c r="F64" s="50">
        <v>20</v>
      </c>
      <c r="G64" s="50">
        <v>0</v>
      </c>
      <c r="H64" s="50">
        <v>2</v>
      </c>
      <c r="I64" s="50">
        <v>2</v>
      </c>
      <c r="J64" s="50">
        <v>2</v>
      </c>
      <c r="K64" s="50">
        <v>0</v>
      </c>
      <c r="L64" s="50">
        <v>0</v>
      </c>
      <c r="M64" s="50">
        <v>520</v>
      </c>
      <c r="N64" s="50">
        <v>0</v>
      </c>
      <c r="O64" s="15">
        <f t="shared" si="35"/>
        <v>116</v>
      </c>
      <c r="P64" s="15">
        <f t="shared" si="36"/>
        <v>636</v>
      </c>
      <c r="R64" s="8"/>
      <c r="T64"/>
    </row>
    <row r="65" spans="2:20" ht="23.1" customHeight="1" x14ac:dyDescent="0.25">
      <c r="B65" s="45" t="s">
        <v>158</v>
      </c>
      <c r="C65" s="50">
        <v>40</v>
      </c>
      <c r="D65" s="50">
        <v>30</v>
      </c>
      <c r="E65" s="50">
        <v>25</v>
      </c>
      <c r="F65" s="50">
        <v>23</v>
      </c>
      <c r="G65" s="50">
        <v>0</v>
      </c>
      <c r="H65" s="50">
        <v>2</v>
      </c>
      <c r="I65" s="50">
        <v>1</v>
      </c>
      <c r="J65" s="50">
        <v>4</v>
      </c>
      <c r="K65" s="50">
        <v>1</v>
      </c>
      <c r="L65" s="50">
        <v>4</v>
      </c>
      <c r="M65" s="50">
        <v>450</v>
      </c>
      <c r="N65" s="50">
        <v>0</v>
      </c>
      <c r="O65" s="15">
        <f t="shared" si="35"/>
        <v>130</v>
      </c>
      <c r="P65" s="15">
        <f t="shared" si="36"/>
        <v>580</v>
      </c>
      <c r="R65" s="8"/>
      <c r="T65"/>
    </row>
    <row r="66" spans="2:20" ht="23.1" customHeight="1" x14ac:dyDescent="0.25">
      <c r="B66" s="45" t="s">
        <v>103</v>
      </c>
      <c r="C66" s="50">
        <v>47</v>
      </c>
      <c r="D66" s="50">
        <v>13</v>
      </c>
      <c r="E66" s="50">
        <v>9</v>
      </c>
      <c r="F66" s="50">
        <v>25</v>
      </c>
      <c r="G66" s="50">
        <v>1</v>
      </c>
      <c r="H66" s="50">
        <v>1</v>
      </c>
      <c r="I66" s="50">
        <v>2</v>
      </c>
      <c r="J66" s="50">
        <v>2</v>
      </c>
      <c r="K66" s="50">
        <v>0</v>
      </c>
      <c r="L66" s="50">
        <v>0</v>
      </c>
      <c r="M66" s="50">
        <v>690</v>
      </c>
      <c r="N66" s="50">
        <v>0</v>
      </c>
      <c r="O66" s="15">
        <f t="shared" si="35"/>
        <v>100</v>
      </c>
      <c r="P66" s="15">
        <f t="shared" si="36"/>
        <v>790</v>
      </c>
      <c r="R66" s="8"/>
      <c r="T66"/>
    </row>
    <row r="67" spans="2:20" ht="23.1" customHeight="1" x14ac:dyDescent="0.25">
      <c r="B67" s="45" t="s">
        <v>104</v>
      </c>
      <c r="C67" s="50">
        <v>48</v>
      </c>
      <c r="D67" s="50">
        <v>8</v>
      </c>
      <c r="E67" s="50">
        <v>5</v>
      </c>
      <c r="F67" s="50">
        <v>30</v>
      </c>
      <c r="G67" s="50">
        <v>0</v>
      </c>
      <c r="H67" s="50">
        <v>1</v>
      </c>
      <c r="I67" s="50">
        <v>4</v>
      </c>
      <c r="J67" s="50">
        <v>4</v>
      </c>
      <c r="K67" s="50">
        <v>1</v>
      </c>
      <c r="L67" s="50">
        <v>0</v>
      </c>
      <c r="M67" s="50">
        <v>419</v>
      </c>
      <c r="N67" s="50">
        <v>0</v>
      </c>
      <c r="O67" s="15">
        <f t="shared" si="35"/>
        <v>101</v>
      </c>
      <c r="P67" s="15">
        <f t="shared" si="36"/>
        <v>520</v>
      </c>
      <c r="R67" s="8"/>
      <c r="T67"/>
    </row>
    <row r="68" spans="2:20" ht="23.1" customHeight="1" x14ac:dyDescent="0.25">
      <c r="B68" s="45" t="s">
        <v>105</v>
      </c>
      <c r="C68" s="50">
        <v>62</v>
      </c>
      <c r="D68" s="50">
        <v>10</v>
      </c>
      <c r="E68" s="50">
        <v>8</v>
      </c>
      <c r="F68" s="50">
        <v>19</v>
      </c>
      <c r="G68" s="50">
        <v>0</v>
      </c>
      <c r="H68" s="50">
        <v>0</v>
      </c>
      <c r="I68" s="50">
        <v>2</v>
      </c>
      <c r="J68" s="50">
        <v>0</v>
      </c>
      <c r="K68" s="50">
        <v>4</v>
      </c>
      <c r="L68" s="50">
        <v>1</v>
      </c>
      <c r="M68" s="50">
        <v>400</v>
      </c>
      <c r="N68" s="50">
        <v>0</v>
      </c>
      <c r="O68" s="15">
        <f t="shared" si="35"/>
        <v>106</v>
      </c>
      <c r="P68" s="15">
        <f t="shared" si="36"/>
        <v>506</v>
      </c>
      <c r="R68" s="8"/>
      <c r="T68"/>
    </row>
    <row r="69" spans="2:20" ht="23.1" customHeight="1" x14ac:dyDescent="0.25">
      <c r="B69" s="45" t="s">
        <v>106</v>
      </c>
      <c r="C69" s="50">
        <v>45</v>
      </c>
      <c r="D69" s="50">
        <v>13</v>
      </c>
      <c r="E69" s="50">
        <v>2</v>
      </c>
      <c r="F69" s="50">
        <v>14</v>
      </c>
      <c r="G69" s="50">
        <v>0</v>
      </c>
      <c r="H69" s="50">
        <v>0</v>
      </c>
      <c r="I69" s="50">
        <v>2</v>
      </c>
      <c r="J69" s="50">
        <v>1</v>
      </c>
      <c r="K69" s="50">
        <v>1</v>
      </c>
      <c r="L69" s="50">
        <v>0</v>
      </c>
      <c r="M69" s="50">
        <v>385</v>
      </c>
      <c r="N69" s="50">
        <v>0</v>
      </c>
      <c r="O69" s="15">
        <f t="shared" si="35"/>
        <v>78</v>
      </c>
      <c r="P69" s="15">
        <f t="shared" si="36"/>
        <v>463</v>
      </c>
      <c r="R69" s="8"/>
      <c r="T69"/>
    </row>
    <row r="70" spans="2:20" ht="23.1" customHeight="1" x14ac:dyDescent="0.25">
      <c r="B70" s="45" t="s">
        <v>110</v>
      </c>
      <c r="C70" s="50">
        <v>55</v>
      </c>
      <c r="D70" s="50">
        <v>6</v>
      </c>
      <c r="E70" s="50">
        <v>7</v>
      </c>
      <c r="F70" s="50">
        <v>20</v>
      </c>
      <c r="G70" s="50">
        <v>0</v>
      </c>
      <c r="H70" s="50">
        <v>0</v>
      </c>
      <c r="I70" s="50">
        <v>0</v>
      </c>
      <c r="J70" s="50">
        <v>1</v>
      </c>
      <c r="K70" s="50">
        <v>1</v>
      </c>
      <c r="L70" s="50">
        <v>1</v>
      </c>
      <c r="M70" s="50">
        <v>230</v>
      </c>
      <c r="N70" s="50">
        <v>0</v>
      </c>
      <c r="O70" s="15">
        <f t="shared" si="35"/>
        <v>91</v>
      </c>
      <c r="P70" s="15">
        <f t="shared" si="36"/>
        <v>321</v>
      </c>
      <c r="R70" s="8"/>
      <c r="T70"/>
    </row>
    <row r="71" spans="2:20" ht="23.1" customHeight="1" x14ac:dyDescent="0.25">
      <c r="B71" s="45" t="s">
        <v>111</v>
      </c>
      <c r="C71" s="50">
        <v>38</v>
      </c>
      <c r="D71" s="50">
        <v>5</v>
      </c>
      <c r="E71" s="50">
        <v>4</v>
      </c>
      <c r="F71" s="50">
        <v>10</v>
      </c>
      <c r="G71" s="50">
        <v>1</v>
      </c>
      <c r="H71" s="50">
        <v>0</v>
      </c>
      <c r="I71" s="50">
        <v>0</v>
      </c>
      <c r="J71" s="50">
        <v>3</v>
      </c>
      <c r="K71" s="50">
        <v>0</v>
      </c>
      <c r="L71" s="50">
        <v>0</v>
      </c>
      <c r="M71" s="50">
        <v>207</v>
      </c>
      <c r="N71" s="50">
        <v>0</v>
      </c>
      <c r="O71" s="15">
        <f t="shared" si="35"/>
        <v>61</v>
      </c>
      <c r="P71" s="15">
        <f t="shared" si="36"/>
        <v>268</v>
      </c>
      <c r="R71" s="8"/>
      <c r="T71"/>
    </row>
    <row r="72" spans="2:20" ht="23.1" customHeight="1" x14ac:dyDescent="0.25">
      <c r="B72" s="45" t="s">
        <v>112</v>
      </c>
      <c r="C72" s="50">
        <v>58</v>
      </c>
      <c r="D72" s="50">
        <v>4</v>
      </c>
      <c r="E72" s="50">
        <v>6</v>
      </c>
      <c r="F72" s="50">
        <v>14</v>
      </c>
      <c r="G72" s="50">
        <v>1</v>
      </c>
      <c r="H72" s="50">
        <v>0</v>
      </c>
      <c r="I72" s="50">
        <v>0</v>
      </c>
      <c r="J72" s="50">
        <v>1</v>
      </c>
      <c r="K72" s="50">
        <v>2</v>
      </c>
      <c r="L72" s="50">
        <v>3</v>
      </c>
      <c r="M72" s="50">
        <v>274</v>
      </c>
      <c r="N72" s="50">
        <v>0</v>
      </c>
      <c r="O72" s="15">
        <f t="shared" si="35"/>
        <v>89</v>
      </c>
      <c r="P72" s="15">
        <f t="shared" si="36"/>
        <v>363</v>
      </c>
      <c r="R72" s="8"/>
      <c r="T72"/>
    </row>
    <row r="73" spans="2:20" ht="23.1" customHeight="1" x14ac:dyDescent="0.25">
      <c r="B73" s="45" t="s">
        <v>113</v>
      </c>
      <c r="C73" s="50">
        <v>55</v>
      </c>
      <c r="D73" s="50">
        <v>7</v>
      </c>
      <c r="E73" s="50">
        <v>13</v>
      </c>
      <c r="F73" s="50">
        <v>13</v>
      </c>
      <c r="G73" s="50">
        <v>0</v>
      </c>
      <c r="H73" s="50">
        <v>0</v>
      </c>
      <c r="I73" s="50">
        <v>0</v>
      </c>
      <c r="J73" s="50">
        <v>1</v>
      </c>
      <c r="K73" s="50">
        <v>1</v>
      </c>
      <c r="L73" s="50">
        <v>2</v>
      </c>
      <c r="M73" s="50">
        <v>236</v>
      </c>
      <c r="N73" s="50">
        <v>0</v>
      </c>
      <c r="O73" s="15">
        <f t="shared" si="35"/>
        <v>92</v>
      </c>
      <c r="P73" s="15">
        <f t="shared" si="36"/>
        <v>328</v>
      </c>
      <c r="R73" s="8"/>
      <c r="T73"/>
    </row>
    <row r="74" spans="2:20" ht="23.1" customHeight="1" x14ac:dyDescent="0.25">
      <c r="B74" s="45" t="s">
        <v>114</v>
      </c>
      <c r="C74" s="50">
        <v>19</v>
      </c>
      <c r="D74" s="50">
        <v>0</v>
      </c>
      <c r="E74" s="50">
        <v>2</v>
      </c>
      <c r="F74" s="50">
        <v>4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1</v>
      </c>
      <c r="M74" s="50">
        <v>195</v>
      </c>
      <c r="N74" s="50">
        <v>0</v>
      </c>
      <c r="O74" s="15">
        <f t="shared" si="35"/>
        <v>27</v>
      </c>
      <c r="P74" s="15">
        <f t="shared" si="36"/>
        <v>222</v>
      </c>
      <c r="R74" s="8"/>
      <c r="T74"/>
    </row>
    <row r="75" spans="2:20" ht="23.1" customHeight="1" x14ac:dyDescent="0.25">
      <c r="B75" s="45" t="s">
        <v>115</v>
      </c>
      <c r="C75" s="50">
        <v>45</v>
      </c>
      <c r="D75" s="50">
        <v>3</v>
      </c>
      <c r="E75" s="50">
        <v>8</v>
      </c>
      <c r="F75" s="50">
        <v>4</v>
      </c>
      <c r="G75" s="50">
        <v>0</v>
      </c>
      <c r="H75" s="50">
        <v>0</v>
      </c>
      <c r="I75" s="50">
        <v>1</v>
      </c>
      <c r="J75" s="50">
        <v>1</v>
      </c>
      <c r="K75" s="50">
        <v>1</v>
      </c>
      <c r="L75" s="50">
        <v>0</v>
      </c>
      <c r="M75" s="50">
        <v>257</v>
      </c>
      <c r="N75" s="50">
        <v>0</v>
      </c>
      <c r="O75" s="15">
        <f t="shared" si="35"/>
        <v>63</v>
      </c>
      <c r="P75" s="15">
        <f t="shared" si="36"/>
        <v>320</v>
      </c>
      <c r="R75" s="8"/>
      <c r="T75"/>
    </row>
    <row r="76" spans="2:20" ht="23.1" customHeight="1" x14ac:dyDescent="0.25">
      <c r="B76" s="45" t="s">
        <v>116</v>
      </c>
      <c r="C76" s="50">
        <v>32</v>
      </c>
      <c r="D76" s="50">
        <v>1</v>
      </c>
      <c r="E76" s="50">
        <v>3</v>
      </c>
      <c r="F76" s="50">
        <v>6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1</v>
      </c>
      <c r="M76" s="50">
        <v>205</v>
      </c>
      <c r="N76" s="50">
        <v>0</v>
      </c>
      <c r="O76" s="15">
        <f t="shared" si="35"/>
        <v>45</v>
      </c>
      <c r="P76" s="15">
        <f t="shared" si="36"/>
        <v>250</v>
      </c>
      <c r="R76" s="8"/>
      <c r="T76"/>
    </row>
    <row r="77" spans="2:20" ht="23.1" customHeight="1" x14ac:dyDescent="0.25">
      <c r="B77" s="45" t="s">
        <v>117</v>
      </c>
      <c r="C77" s="50">
        <v>39</v>
      </c>
      <c r="D77" s="50">
        <v>5</v>
      </c>
      <c r="E77" s="50">
        <v>1</v>
      </c>
      <c r="F77" s="50">
        <v>7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210</v>
      </c>
      <c r="N77" s="50">
        <v>0</v>
      </c>
      <c r="O77" s="15">
        <f t="shared" si="35"/>
        <v>53</v>
      </c>
      <c r="P77" s="15">
        <f t="shared" si="36"/>
        <v>263</v>
      </c>
      <c r="R77" s="8"/>
      <c r="T77"/>
    </row>
    <row r="78" spans="2:20" ht="23.1" customHeight="1" x14ac:dyDescent="0.25">
      <c r="B78" s="46" t="s">
        <v>118</v>
      </c>
      <c r="C78" s="50">
        <v>30</v>
      </c>
      <c r="D78" s="50">
        <v>2</v>
      </c>
      <c r="E78" s="50">
        <v>0</v>
      </c>
      <c r="F78" s="50">
        <v>7</v>
      </c>
      <c r="G78" s="50">
        <v>0</v>
      </c>
      <c r="H78" s="50">
        <v>0</v>
      </c>
      <c r="I78" s="50">
        <v>0</v>
      </c>
      <c r="J78" s="50">
        <v>1</v>
      </c>
      <c r="K78" s="50">
        <v>1</v>
      </c>
      <c r="L78" s="50">
        <v>0</v>
      </c>
      <c r="M78" s="50">
        <v>110</v>
      </c>
      <c r="N78" s="50">
        <v>0</v>
      </c>
      <c r="O78" s="15">
        <f t="shared" si="35"/>
        <v>41</v>
      </c>
      <c r="P78" s="15">
        <f t="shared" si="36"/>
        <v>151</v>
      </c>
      <c r="R78" s="8"/>
      <c r="T78"/>
    </row>
    <row r="79" spans="2:20" ht="23.1" customHeight="1" x14ac:dyDescent="0.25">
      <c r="B79" s="45" t="s">
        <v>119</v>
      </c>
      <c r="C79" s="50">
        <v>17</v>
      </c>
      <c r="D79" s="50">
        <v>3</v>
      </c>
      <c r="E79" s="50">
        <v>3</v>
      </c>
      <c r="F79" s="50">
        <v>2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52</v>
      </c>
      <c r="N79" s="50">
        <v>0</v>
      </c>
      <c r="O79" s="15">
        <f t="shared" si="35"/>
        <v>26</v>
      </c>
      <c r="P79" s="15">
        <f t="shared" si="36"/>
        <v>78</v>
      </c>
      <c r="R79" s="8"/>
      <c r="T79"/>
    </row>
    <row r="80" spans="2:20" ht="23.1" customHeight="1" x14ac:dyDescent="0.25">
      <c r="B80" s="47" t="s">
        <v>120</v>
      </c>
      <c r="C80" s="50">
        <v>18</v>
      </c>
      <c r="D80" s="50">
        <v>0</v>
      </c>
      <c r="E80" s="50">
        <v>3</v>
      </c>
      <c r="F80" s="50">
        <v>3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0</v>
      </c>
      <c r="M80" s="50">
        <v>75</v>
      </c>
      <c r="N80" s="50">
        <v>0</v>
      </c>
      <c r="O80" s="15">
        <f t="shared" si="35"/>
        <v>26</v>
      </c>
      <c r="P80" s="15">
        <f t="shared" si="36"/>
        <v>101</v>
      </c>
      <c r="R80" s="8"/>
      <c r="T80"/>
    </row>
    <row r="81" spans="2:20" ht="23.1" customHeight="1" x14ac:dyDescent="0.25">
      <c r="B81" s="45" t="s">
        <v>121</v>
      </c>
      <c r="C81" s="50">
        <v>12</v>
      </c>
      <c r="D81" s="50">
        <v>2</v>
      </c>
      <c r="E81" s="50">
        <v>4</v>
      </c>
      <c r="F81" s="50">
        <v>0</v>
      </c>
      <c r="G81" s="50">
        <v>0</v>
      </c>
      <c r="H81" s="50">
        <v>0</v>
      </c>
      <c r="I81" s="50">
        <v>4</v>
      </c>
      <c r="J81" s="50">
        <v>1</v>
      </c>
      <c r="K81" s="50">
        <v>1</v>
      </c>
      <c r="L81" s="50">
        <v>0</v>
      </c>
      <c r="M81" s="50">
        <v>53</v>
      </c>
      <c r="N81" s="50">
        <v>0</v>
      </c>
      <c r="O81" s="15">
        <f t="shared" si="35"/>
        <v>24</v>
      </c>
      <c r="P81" s="15">
        <f t="shared" si="36"/>
        <v>77</v>
      </c>
      <c r="R81" s="8"/>
      <c r="T81"/>
    </row>
    <row r="82" spans="2:20" ht="23.1" customHeight="1" x14ac:dyDescent="0.25">
      <c r="B82" s="46" t="s">
        <v>122</v>
      </c>
      <c r="C82" s="50">
        <v>7</v>
      </c>
      <c r="D82" s="50">
        <v>0</v>
      </c>
      <c r="E82" s="50">
        <v>1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63</v>
      </c>
      <c r="N82" s="50">
        <v>0</v>
      </c>
      <c r="O82" s="15">
        <f t="shared" si="35"/>
        <v>9</v>
      </c>
      <c r="P82" s="15">
        <f t="shared" si="36"/>
        <v>72</v>
      </c>
      <c r="R82" s="8"/>
      <c r="T82"/>
    </row>
    <row r="83" spans="2:20" ht="23.1" customHeight="1" x14ac:dyDescent="0.25">
      <c r="B83" s="45" t="s">
        <v>123</v>
      </c>
      <c r="C83" s="50">
        <v>6</v>
      </c>
      <c r="D83" s="50">
        <v>3</v>
      </c>
      <c r="E83" s="50">
        <v>0</v>
      </c>
      <c r="F83" s="50">
        <v>1</v>
      </c>
      <c r="G83" s="50">
        <v>0</v>
      </c>
      <c r="H83" s="50">
        <v>0</v>
      </c>
      <c r="I83" s="50">
        <v>1</v>
      </c>
      <c r="J83" s="50">
        <v>0</v>
      </c>
      <c r="K83" s="50">
        <v>1</v>
      </c>
      <c r="L83" s="50">
        <v>0</v>
      </c>
      <c r="M83" s="50">
        <v>59</v>
      </c>
      <c r="N83" s="50">
        <v>0</v>
      </c>
      <c r="O83" s="15">
        <f t="shared" si="35"/>
        <v>12</v>
      </c>
      <c r="P83" s="15">
        <f t="shared" si="36"/>
        <v>71</v>
      </c>
      <c r="R83" s="8"/>
      <c r="T83"/>
    </row>
    <row r="84" spans="2:20" ht="23.1" customHeight="1" x14ac:dyDescent="0.25">
      <c r="B84" s="47" t="s">
        <v>124</v>
      </c>
      <c r="C84" s="50">
        <v>9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2</v>
      </c>
      <c r="L84" s="50">
        <v>0</v>
      </c>
      <c r="M84" s="50">
        <v>37</v>
      </c>
      <c r="N84" s="50">
        <v>0</v>
      </c>
      <c r="O84" s="15">
        <f t="shared" si="35"/>
        <v>11</v>
      </c>
      <c r="P84" s="15">
        <f t="shared" si="36"/>
        <v>48</v>
      </c>
      <c r="R84" s="8"/>
      <c r="T84"/>
    </row>
    <row r="85" spans="2:20" ht="23.1" customHeight="1" x14ac:dyDescent="0.25">
      <c r="B85" s="45" t="s">
        <v>125</v>
      </c>
      <c r="C85" s="50">
        <v>11</v>
      </c>
      <c r="D85" s="50">
        <v>0</v>
      </c>
      <c r="E85" s="50">
        <v>3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65</v>
      </c>
      <c r="N85" s="50">
        <v>0</v>
      </c>
      <c r="O85" s="15">
        <f t="shared" si="35"/>
        <v>15</v>
      </c>
      <c r="P85" s="15">
        <f t="shared" si="36"/>
        <v>80</v>
      </c>
      <c r="R85" s="8"/>
      <c r="T85"/>
    </row>
    <row r="86" spans="2:20" ht="23.1" customHeight="1" x14ac:dyDescent="0.25">
      <c r="B86" s="46" t="s">
        <v>126</v>
      </c>
      <c r="C86" s="50">
        <v>11</v>
      </c>
      <c r="D86" s="50">
        <v>1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1</v>
      </c>
      <c r="K86" s="50">
        <v>3</v>
      </c>
      <c r="L86" s="50">
        <v>0</v>
      </c>
      <c r="M86" s="50">
        <v>24</v>
      </c>
      <c r="N86" s="50">
        <v>0</v>
      </c>
      <c r="O86" s="15">
        <f t="shared" si="35"/>
        <v>17</v>
      </c>
      <c r="P86" s="15">
        <f t="shared" si="36"/>
        <v>41</v>
      </c>
      <c r="R86" s="8"/>
      <c r="T86"/>
    </row>
    <row r="87" spans="2:20" ht="23.1" customHeight="1" x14ac:dyDescent="0.25">
      <c r="B87" s="45" t="s">
        <v>127</v>
      </c>
      <c r="C87" s="50">
        <v>8</v>
      </c>
      <c r="D87" s="50">
        <v>3</v>
      </c>
      <c r="E87" s="50">
        <v>2</v>
      </c>
      <c r="F87" s="50">
        <v>1</v>
      </c>
      <c r="G87" s="50">
        <v>0</v>
      </c>
      <c r="H87" s="50">
        <v>0</v>
      </c>
      <c r="I87" s="50">
        <v>1</v>
      </c>
      <c r="J87" s="50">
        <v>1</v>
      </c>
      <c r="K87" s="50">
        <v>0</v>
      </c>
      <c r="L87" s="50">
        <v>0</v>
      </c>
      <c r="M87" s="50">
        <v>32</v>
      </c>
      <c r="N87" s="50">
        <v>0</v>
      </c>
      <c r="O87" s="15">
        <f t="shared" si="35"/>
        <v>16</v>
      </c>
      <c r="P87" s="15">
        <f t="shared" si="36"/>
        <v>48</v>
      </c>
      <c r="R87" s="8"/>
      <c r="T87"/>
    </row>
    <row r="88" spans="2:20" ht="23.1" customHeight="1" x14ac:dyDescent="0.25">
      <c r="B88" s="47" t="s">
        <v>128</v>
      </c>
      <c r="C88" s="50">
        <v>9</v>
      </c>
      <c r="D88" s="50">
        <v>0</v>
      </c>
      <c r="E88" s="50">
        <v>2</v>
      </c>
      <c r="F88" s="50">
        <v>1</v>
      </c>
      <c r="G88" s="50">
        <v>0</v>
      </c>
      <c r="H88" s="50">
        <v>0</v>
      </c>
      <c r="I88" s="50">
        <v>1</v>
      </c>
      <c r="J88" s="50">
        <v>0</v>
      </c>
      <c r="K88" s="50">
        <v>1</v>
      </c>
      <c r="L88" s="50">
        <v>0</v>
      </c>
      <c r="M88" s="50">
        <v>22</v>
      </c>
      <c r="N88" s="50">
        <v>0</v>
      </c>
      <c r="O88" s="15">
        <f t="shared" si="35"/>
        <v>14</v>
      </c>
      <c r="P88" s="15">
        <f t="shared" si="36"/>
        <v>36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0</v>
      </c>
      <c r="E89" s="50">
        <v>4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19</v>
      </c>
      <c r="N89" s="50">
        <v>0</v>
      </c>
      <c r="O89" s="15">
        <f t="shared" si="35"/>
        <v>11</v>
      </c>
      <c r="P89" s="15">
        <f t="shared" si="36"/>
        <v>30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1</v>
      </c>
      <c r="E90" s="50">
        <v>1</v>
      </c>
      <c r="F90" s="50">
        <v>1</v>
      </c>
      <c r="G90" s="50">
        <v>0</v>
      </c>
      <c r="H90" s="50">
        <v>0</v>
      </c>
      <c r="I90" s="50">
        <v>4</v>
      </c>
      <c r="J90" s="50">
        <v>2</v>
      </c>
      <c r="K90" s="50">
        <v>5</v>
      </c>
      <c r="L90" s="50">
        <v>0</v>
      </c>
      <c r="M90" s="50">
        <v>12</v>
      </c>
      <c r="N90" s="50">
        <v>0</v>
      </c>
      <c r="O90" s="15">
        <f t="shared" si="35"/>
        <v>21</v>
      </c>
      <c r="P90" s="15">
        <f t="shared" si="36"/>
        <v>33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0</v>
      </c>
      <c r="E91" s="50">
        <v>0</v>
      </c>
      <c r="F91" s="50">
        <v>0</v>
      </c>
      <c r="G91" s="50">
        <v>0</v>
      </c>
      <c r="H91" s="50">
        <v>1</v>
      </c>
      <c r="I91" s="50">
        <v>1</v>
      </c>
      <c r="J91" s="50">
        <v>4</v>
      </c>
      <c r="K91" s="50">
        <v>2</v>
      </c>
      <c r="L91" s="50">
        <v>0</v>
      </c>
      <c r="M91" s="50">
        <v>16</v>
      </c>
      <c r="N91" s="50">
        <v>0</v>
      </c>
      <c r="O91" s="15">
        <f t="shared" si="35"/>
        <v>12</v>
      </c>
      <c r="P91" s="15">
        <f t="shared" si="36"/>
        <v>28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2</v>
      </c>
      <c r="L92" s="50">
        <v>0</v>
      </c>
      <c r="M92" s="50">
        <v>7</v>
      </c>
      <c r="N92" s="50">
        <v>0</v>
      </c>
      <c r="O92" s="15">
        <f t="shared" si="35"/>
        <v>5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8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2</v>
      </c>
      <c r="L93" s="50">
        <v>0</v>
      </c>
      <c r="M93" s="50">
        <v>9</v>
      </c>
      <c r="N93" s="50">
        <v>0</v>
      </c>
      <c r="O93" s="15">
        <f t="shared" si="35"/>
        <v>11</v>
      </c>
      <c r="P93" s="15">
        <f t="shared" si="36"/>
        <v>20</v>
      </c>
      <c r="R93" s="8"/>
      <c r="T93"/>
    </row>
    <row r="94" spans="2:20" ht="23.1" customHeight="1" x14ac:dyDescent="0.25">
      <c r="B94" s="46" t="s">
        <v>134</v>
      </c>
      <c r="C94" s="50">
        <v>6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1</v>
      </c>
      <c r="J94" s="50">
        <v>1</v>
      </c>
      <c r="K94" s="50">
        <v>1</v>
      </c>
      <c r="L94" s="50">
        <v>0</v>
      </c>
      <c r="M94" s="50">
        <v>11</v>
      </c>
      <c r="N94" s="50">
        <v>0</v>
      </c>
      <c r="O94" s="15">
        <f t="shared" si="35"/>
        <v>10</v>
      </c>
      <c r="P94" s="15">
        <f t="shared" si="36"/>
        <v>21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1</v>
      </c>
      <c r="J95" s="50">
        <v>1</v>
      </c>
      <c r="K95" s="50">
        <v>0</v>
      </c>
      <c r="L95" s="50">
        <v>0</v>
      </c>
      <c r="M95" s="50">
        <v>13</v>
      </c>
      <c r="N95" s="50">
        <v>0</v>
      </c>
      <c r="O95" s="15">
        <f t="shared" si="35"/>
        <v>8</v>
      </c>
      <c r="P95" s="15">
        <f t="shared" si="36"/>
        <v>21</v>
      </c>
      <c r="R95" s="8"/>
      <c r="T95"/>
    </row>
    <row r="96" spans="2:20" ht="23.1" customHeight="1" x14ac:dyDescent="0.25">
      <c r="B96" s="47" t="s">
        <v>136</v>
      </c>
      <c r="C96" s="50">
        <v>9</v>
      </c>
      <c r="D96" s="50">
        <v>0</v>
      </c>
      <c r="E96" s="50">
        <v>2</v>
      </c>
      <c r="F96" s="50">
        <v>0</v>
      </c>
      <c r="G96" s="50">
        <v>0</v>
      </c>
      <c r="H96" s="50">
        <v>0</v>
      </c>
      <c r="I96" s="50">
        <v>2</v>
      </c>
      <c r="J96" s="50">
        <v>3</v>
      </c>
      <c r="K96" s="50">
        <v>0</v>
      </c>
      <c r="L96" s="50">
        <v>0</v>
      </c>
      <c r="M96" s="50">
        <v>22</v>
      </c>
      <c r="N96" s="50">
        <v>0</v>
      </c>
      <c r="O96" s="15">
        <f t="shared" si="35"/>
        <v>16</v>
      </c>
      <c r="P96" s="15">
        <f t="shared" si="36"/>
        <v>38</v>
      </c>
      <c r="R96" s="8"/>
      <c r="T96"/>
    </row>
    <row r="97" spans="2:20" ht="23.1" customHeight="1" x14ac:dyDescent="0.25">
      <c r="B97" s="45" t="s">
        <v>137</v>
      </c>
      <c r="C97" s="50">
        <v>7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3</v>
      </c>
      <c r="J97" s="50">
        <v>2</v>
      </c>
      <c r="K97" s="50">
        <v>4</v>
      </c>
      <c r="L97" s="50">
        <v>0</v>
      </c>
      <c r="M97" s="50">
        <v>31</v>
      </c>
      <c r="N97" s="50">
        <v>0</v>
      </c>
      <c r="O97" s="15">
        <f t="shared" si="35"/>
        <v>16</v>
      </c>
      <c r="P97" s="15">
        <f t="shared" si="36"/>
        <v>47</v>
      </c>
      <c r="R97" s="8"/>
      <c r="T97"/>
    </row>
    <row r="98" spans="2:20" ht="23.1" customHeight="1" x14ac:dyDescent="0.25">
      <c r="B98" s="46" t="s">
        <v>138</v>
      </c>
      <c r="C98" s="50">
        <v>5</v>
      </c>
      <c r="D98" s="50">
        <v>1</v>
      </c>
      <c r="E98" s="50">
        <v>1</v>
      </c>
      <c r="F98" s="50">
        <v>3</v>
      </c>
      <c r="G98" s="50">
        <v>0</v>
      </c>
      <c r="H98" s="50">
        <v>0</v>
      </c>
      <c r="I98" s="50">
        <v>0</v>
      </c>
      <c r="J98" s="50">
        <v>3</v>
      </c>
      <c r="K98" s="50">
        <v>2</v>
      </c>
      <c r="L98" s="50">
        <v>0</v>
      </c>
      <c r="M98" s="50">
        <v>54</v>
      </c>
      <c r="N98" s="50">
        <v>0</v>
      </c>
      <c r="O98" s="15">
        <f t="shared" si="35"/>
        <v>15</v>
      </c>
      <c r="P98" s="15">
        <f t="shared" si="36"/>
        <v>69</v>
      </c>
      <c r="R98" s="8"/>
      <c r="T98"/>
    </row>
    <row r="99" spans="2:20" ht="23.1" customHeight="1" x14ac:dyDescent="0.25">
      <c r="B99" s="45" t="s">
        <v>139</v>
      </c>
      <c r="C99" s="50">
        <v>11</v>
      </c>
      <c r="D99" s="50">
        <v>0</v>
      </c>
      <c r="E99" s="50">
        <v>0</v>
      </c>
      <c r="F99" s="50">
        <v>7</v>
      </c>
      <c r="G99" s="50">
        <v>1</v>
      </c>
      <c r="H99" s="50">
        <v>0</v>
      </c>
      <c r="I99" s="50">
        <v>1</v>
      </c>
      <c r="J99" s="50">
        <v>1</v>
      </c>
      <c r="K99" s="50">
        <v>1</v>
      </c>
      <c r="L99" s="50">
        <v>1</v>
      </c>
      <c r="M99" s="50">
        <v>38</v>
      </c>
      <c r="N99" s="50">
        <v>0</v>
      </c>
      <c r="O99" s="15">
        <f t="shared" si="35"/>
        <v>23</v>
      </c>
      <c r="P99" s="15">
        <f t="shared" si="36"/>
        <v>61</v>
      </c>
      <c r="R99" s="8"/>
      <c r="T99"/>
    </row>
    <row r="100" spans="2:20" ht="23.1" customHeight="1" x14ac:dyDescent="0.25">
      <c r="B100" s="47" t="s">
        <v>140</v>
      </c>
      <c r="C100" s="50">
        <v>12</v>
      </c>
      <c r="D100" s="50">
        <v>2</v>
      </c>
      <c r="E100" s="50">
        <v>1</v>
      </c>
      <c r="F100" s="50">
        <v>12</v>
      </c>
      <c r="G100" s="50">
        <v>1</v>
      </c>
      <c r="H100" s="50">
        <v>0</v>
      </c>
      <c r="I100" s="50">
        <v>2</v>
      </c>
      <c r="J100" s="50">
        <v>5</v>
      </c>
      <c r="K100" s="50">
        <v>2</v>
      </c>
      <c r="L100" s="50">
        <v>2</v>
      </c>
      <c r="M100" s="50">
        <v>109</v>
      </c>
      <c r="N100" s="50">
        <v>0</v>
      </c>
      <c r="O100" s="15">
        <f t="shared" si="35"/>
        <v>39</v>
      </c>
      <c r="P100" s="15">
        <f t="shared" si="36"/>
        <v>148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0</v>
      </c>
      <c r="E101" s="50">
        <v>5</v>
      </c>
      <c r="F101" s="50">
        <v>25</v>
      </c>
      <c r="G101" s="50">
        <v>0</v>
      </c>
      <c r="H101" s="50">
        <v>0</v>
      </c>
      <c r="I101" s="50">
        <v>0</v>
      </c>
      <c r="J101" s="50">
        <v>4</v>
      </c>
      <c r="K101" s="50">
        <v>1</v>
      </c>
      <c r="L101" s="50">
        <v>1</v>
      </c>
      <c r="M101" s="50">
        <v>147</v>
      </c>
      <c r="N101" s="50">
        <v>0</v>
      </c>
      <c r="O101" s="15">
        <f t="shared" si="35"/>
        <v>42</v>
      </c>
      <c r="P101" s="15">
        <f t="shared" si="36"/>
        <v>189</v>
      </c>
      <c r="R101" s="8"/>
      <c r="T101"/>
    </row>
    <row r="102" spans="2:20" ht="23.1" customHeight="1" x14ac:dyDescent="0.25">
      <c r="B102" s="46" t="s">
        <v>142</v>
      </c>
      <c r="C102" s="50">
        <v>27</v>
      </c>
      <c r="D102" s="50">
        <v>0</v>
      </c>
      <c r="E102" s="50">
        <v>4</v>
      </c>
      <c r="F102" s="50">
        <v>32</v>
      </c>
      <c r="G102" s="50">
        <v>0</v>
      </c>
      <c r="H102" s="50">
        <v>0</v>
      </c>
      <c r="I102" s="50">
        <v>7</v>
      </c>
      <c r="J102" s="50">
        <v>3</v>
      </c>
      <c r="K102" s="50">
        <v>0</v>
      </c>
      <c r="L102" s="50">
        <v>0</v>
      </c>
      <c r="M102" s="50">
        <v>208</v>
      </c>
      <c r="N102" s="50">
        <v>0</v>
      </c>
      <c r="O102" s="15">
        <f t="shared" si="35"/>
        <v>73</v>
      </c>
      <c r="P102" s="15">
        <f t="shared" si="36"/>
        <v>281</v>
      </c>
      <c r="R102" s="8"/>
      <c r="T102"/>
    </row>
    <row r="103" spans="2:20" ht="23.1" customHeight="1" x14ac:dyDescent="0.25">
      <c r="B103" s="45" t="s">
        <v>143</v>
      </c>
      <c r="C103" s="50">
        <v>60</v>
      </c>
      <c r="D103" s="50">
        <v>0</v>
      </c>
      <c r="E103" s="50">
        <v>5</v>
      </c>
      <c r="F103" s="50">
        <v>30</v>
      </c>
      <c r="G103" s="50">
        <v>0</v>
      </c>
      <c r="H103" s="50">
        <v>0</v>
      </c>
      <c r="I103" s="50">
        <v>4</v>
      </c>
      <c r="J103" s="50">
        <v>5</v>
      </c>
      <c r="K103" s="50">
        <v>0</v>
      </c>
      <c r="L103" s="50">
        <v>1</v>
      </c>
      <c r="M103" s="50">
        <v>20</v>
      </c>
      <c r="N103" s="50">
        <v>0</v>
      </c>
      <c r="O103" s="15">
        <f t="shared" si="35"/>
        <v>105</v>
      </c>
      <c r="P103" s="15">
        <f t="shared" si="36"/>
        <v>125</v>
      </c>
      <c r="R103" s="8"/>
      <c r="T103"/>
    </row>
    <row r="104" spans="2:20" ht="23.1" customHeight="1" x14ac:dyDescent="0.25">
      <c r="B104" s="47" t="s">
        <v>144</v>
      </c>
      <c r="C104" s="50">
        <v>115</v>
      </c>
      <c r="D104" s="50">
        <v>7</v>
      </c>
      <c r="E104" s="50">
        <v>5</v>
      </c>
      <c r="F104" s="50">
        <v>31</v>
      </c>
      <c r="G104" s="50">
        <v>0</v>
      </c>
      <c r="H104" s="50">
        <v>0</v>
      </c>
      <c r="I104" s="50">
        <v>5</v>
      </c>
      <c r="J104" s="50">
        <v>4</v>
      </c>
      <c r="K104" s="50">
        <v>2</v>
      </c>
      <c r="L104" s="50">
        <v>0</v>
      </c>
      <c r="M104" s="50">
        <v>280</v>
      </c>
      <c r="N104" s="50">
        <v>2</v>
      </c>
      <c r="O104" s="15">
        <f t="shared" si="35"/>
        <v>171</v>
      </c>
      <c r="P104" s="15">
        <f t="shared" si="36"/>
        <v>451</v>
      </c>
      <c r="R104" s="8"/>
      <c r="T104"/>
    </row>
    <row r="105" spans="2:20" ht="23.1" customHeight="1" x14ac:dyDescent="0.25">
      <c r="B105" s="45" t="s">
        <v>145</v>
      </c>
      <c r="C105" s="50">
        <v>50</v>
      </c>
      <c r="D105" s="50">
        <v>3</v>
      </c>
      <c r="E105" s="50">
        <v>7</v>
      </c>
      <c r="F105" s="50">
        <v>25</v>
      </c>
      <c r="G105" s="50">
        <v>0</v>
      </c>
      <c r="H105" s="50">
        <v>0</v>
      </c>
      <c r="I105" s="50">
        <v>2</v>
      </c>
      <c r="J105" s="50">
        <v>2</v>
      </c>
      <c r="K105" s="50">
        <v>1</v>
      </c>
      <c r="L105" s="50">
        <v>0</v>
      </c>
      <c r="M105" s="50">
        <v>305</v>
      </c>
      <c r="N105" s="50">
        <v>0</v>
      </c>
      <c r="O105" s="15">
        <f t="shared" si="35"/>
        <v>90</v>
      </c>
      <c r="P105" s="15">
        <f t="shared" si="36"/>
        <v>395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3742</v>
      </c>
      <c r="D106" s="16">
        <f t="shared" ref="D106:P106" si="37">SUM(D10:D105)</f>
        <v>1556</v>
      </c>
      <c r="E106" s="16">
        <f t="shared" si="37"/>
        <v>909</v>
      </c>
      <c r="F106" s="16">
        <f t="shared" si="37"/>
        <v>2579</v>
      </c>
      <c r="G106" s="16">
        <f t="shared" si="37"/>
        <v>84</v>
      </c>
      <c r="H106" s="16">
        <f t="shared" si="37"/>
        <v>31</v>
      </c>
      <c r="I106" s="16">
        <f t="shared" si="37"/>
        <v>409</v>
      </c>
      <c r="J106" s="16">
        <f t="shared" si="37"/>
        <v>277</v>
      </c>
      <c r="K106" s="16">
        <f t="shared" si="37"/>
        <v>161</v>
      </c>
      <c r="L106" s="16">
        <f t="shared" si="37"/>
        <v>147</v>
      </c>
      <c r="M106" s="16">
        <f t="shared" si="37"/>
        <v>30601</v>
      </c>
      <c r="N106" s="16">
        <f t="shared" si="37"/>
        <v>13</v>
      </c>
      <c r="O106" s="16">
        <f t="shared" si="37"/>
        <v>9908</v>
      </c>
      <c r="P106" s="16">
        <f t="shared" si="37"/>
        <v>40509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9.2374534054160809E-2</v>
      </c>
      <c r="D107" s="43">
        <f t="shared" si="38"/>
        <v>3.8411217260361896E-2</v>
      </c>
      <c r="E107" s="43">
        <f t="shared" si="38"/>
        <v>2.2439457898244836E-2</v>
      </c>
      <c r="F107" s="43">
        <f t="shared" si="38"/>
        <v>6.3664864597990575E-2</v>
      </c>
      <c r="G107" s="43">
        <f t="shared" si="38"/>
        <v>2.0736132711249352E-3</v>
      </c>
      <c r="H107" s="43">
        <f t="shared" si="38"/>
        <v>7.6526204053420225E-4</v>
      </c>
      <c r="I107" s="43">
        <f t="shared" si="38"/>
        <v>1.0096521760596411E-2</v>
      </c>
      <c r="J107" s="43">
        <f t="shared" si="38"/>
        <v>6.8379866202572265E-3</v>
      </c>
      <c r="K107" s="43">
        <f t="shared" si="38"/>
        <v>3.9744254363227923E-3</v>
      </c>
      <c r="L107" s="43">
        <f t="shared" si="38"/>
        <v>3.6288232244686366E-3</v>
      </c>
      <c r="M107" s="43">
        <f t="shared" si="38"/>
        <v>0.75541237749635881</v>
      </c>
      <c r="N107" s="43">
        <f t="shared" si="38"/>
        <v>3.2091633957885904E-4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0.37767460637868389</v>
      </c>
      <c r="D108" s="44">
        <f t="shared" ref="D108:N108" si="39">D106/$O$106</f>
        <v>0.15704481227291078</v>
      </c>
      <c r="E108" s="44">
        <f t="shared" si="39"/>
        <v>9.1744045215987086E-2</v>
      </c>
      <c r="F108" s="44">
        <f t="shared" si="39"/>
        <v>0.26029471134436821</v>
      </c>
      <c r="G108" s="44">
        <f t="shared" si="39"/>
        <v>8.4779975777149776E-3</v>
      </c>
      <c r="H108" s="44">
        <f t="shared" si="39"/>
        <v>3.1287848203471942E-3</v>
      </c>
      <c r="I108" s="44">
        <f t="shared" si="39"/>
        <v>4.1279773920064593E-2</v>
      </c>
      <c r="J108" s="44">
        <f t="shared" si="39"/>
        <v>2.7957206297941059E-2</v>
      </c>
      <c r="K108" s="44">
        <f t="shared" si="39"/>
        <v>1.6249495357287039E-2</v>
      </c>
      <c r="L108" s="44">
        <f t="shared" si="39"/>
        <v>1.4836495761001212E-2</v>
      </c>
      <c r="M108" s="44"/>
      <c r="N108" s="44">
        <f t="shared" si="39"/>
        <v>1.3120710536939847E-3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ClockTower-Nsambya-24h'!D5</f>
        <v>01.08.19</v>
      </c>
      <c r="E5" s="3"/>
      <c r="F5" s="41" t="s">
        <v>1</v>
      </c>
      <c r="G5" s="60" t="str">
        <f>'01.08 ClockTower-Nsambya-24h'!G5:H5</f>
        <v>Gapco</v>
      </c>
      <c r="H5" s="61"/>
      <c r="I5" s="14"/>
      <c r="J5" s="2" t="s">
        <v>5</v>
      </c>
      <c r="K5" s="60" t="str">
        <f>'29.07 Nsambya-ClockTower'!K5:L5</f>
        <v>Kizito Godfrey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Nsambya-ClockTower'!D6:E6</f>
        <v>Nsambya</v>
      </c>
      <c r="E6" s="61"/>
      <c r="F6" s="2" t="s">
        <v>2</v>
      </c>
      <c r="G6" s="60" t="str">
        <f>'30.07 Nsambya-ClockTower'!G6:H6</f>
        <v>ClockTower</v>
      </c>
      <c r="H6" s="61"/>
      <c r="J6" s="2" t="s">
        <v>21</v>
      </c>
      <c r="K6" s="60" t="str">
        <f>'01.08 ClockTower-Nsambya-24h'!K6:L6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60</v>
      </c>
      <c r="D10" s="50">
        <v>8</v>
      </c>
      <c r="E10" s="50">
        <v>8</v>
      </c>
      <c r="F10" s="50">
        <v>70</v>
      </c>
      <c r="G10" s="50">
        <v>1</v>
      </c>
      <c r="H10" s="50">
        <v>0</v>
      </c>
      <c r="I10" s="50">
        <v>13</v>
      </c>
      <c r="J10" s="50">
        <v>5</v>
      </c>
      <c r="K10" s="50">
        <v>4</v>
      </c>
      <c r="L10" s="50">
        <v>3</v>
      </c>
      <c r="M10" s="50">
        <v>395</v>
      </c>
      <c r="N10" s="50">
        <v>0</v>
      </c>
      <c r="O10" s="15">
        <f t="shared" ref="O10:O73" si="0">SUM(C10:L10,N10)</f>
        <v>172</v>
      </c>
      <c r="P10" s="15">
        <f t="shared" ref="P10:P73" si="1">SUM(C10:N10)</f>
        <v>567</v>
      </c>
      <c r="R10" s="1" t="s">
        <v>6</v>
      </c>
      <c r="S10" s="17">
        <f t="shared" ref="S10:AF10" si="2">SUM(C10:C13)</f>
        <v>249</v>
      </c>
      <c r="T10" s="17">
        <f t="shared" si="2"/>
        <v>39</v>
      </c>
      <c r="U10" s="17">
        <f t="shared" si="2"/>
        <v>29</v>
      </c>
      <c r="V10" s="17">
        <f t="shared" si="2"/>
        <v>276</v>
      </c>
      <c r="W10" s="17">
        <f t="shared" si="2"/>
        <v>8</v>
      </c>
      <c r="X10" s="17">
        <f t="shared" si="2"/>
        <v>0</v>
      </c>
      <c r="Y10" s="17">
        <f t="shared" si="2"/>
        <v>21</v>
      </c>
      <c r="Z10" s="17">
        <f t="shared" si="2"/>
        <v>8</v>
      </c>
      <c r="AA10" s="17">
        <f t="shared" si="2"/>
        <v>6</v>
      </c>
      <c r="AB10" s="17">
        <f t="shared" si="2"/>
        <v>11</v>
      </c>
      <c r="AC10" s="17">
        <f t="shared" si="2"/>
        <v>1803</v>
      </c>
      <c r="AD10" s="17">
        <f t="shared" si="2"/>
        <v>0</v>
      </c>
      <c r="AE10" s="31">
        <f t="shared" si="2"/>
        <v>647</v>
      </c>
      <c r="AF10" s="31">
        <f t="shared" si="2"/>
        <v>2450</v>
      </c>
    </row>
    <row r="11" spans="2:32" s="6" customFormat="1" ht="23.1" customHeight="1" x14ac:dyDescent="0.25">
      <c r="B11" s="45" t="s">
        <v>38</v>
      </c>
      <c r="C11" s="50">
        <v>80</v>
      </c>
      <c r="D11" s="50">
        <v>14</v>
      </c>
      <c r="E11" s="50">
        <v>4</v>
      </c>
      <c r="F11" s="50">
        <v>60</v>
      </c>
      <c r="G11" s="50">
        <v>0</v>
      </c>
      <c r="H11" s="50">
        <v>0</v>
      </c>
      <c r="I11" s="50">
        <v>4</v>
      </c>
      <c r="J11" s="50">
        <v>1</v>
      </c>
      <c r="K11" s="50">
        <v>2</v>
      </c>
      <c r="L11" s="50">
        <v>4</v>
      </c>
      <c r="M11" s="50">
        <v>413</v>
      </c>
      <c r="N11" s="50">
        <v>0</v>
      </c>
      <c r="O11" s="15">
        <f t="shared" si="0"/>
        <v>169</v>
      </c>
      <c r="P11" s="15">
        <f t="shared" si="1"/>
        <v>582</v>
      </c>
      <c r="R11" s="1" t="s">
        <v>7</v>
      </c>
      <c r="S11" s="17">
        <f t="shared" ref="S11:AF11" si="3">SUM(C14:C17)</f>
        <v>540</v>
      </c>
      <c r="T11" s="17">
        <f t="shared" si="3"/>
        <v>49</v>
      </c>
      <c r="U11" s="17">
        <f t="shared" si="3"/>
        <v>44</v>
      </c>
      <c r="V11" s="17">
        <f t="shared" si="3"/>
        <v>313</v>
      </c>
      <c r="W11" s="17">
        <f t="shared" si="3"/>
        <v>4</v>
      </c>
      <c r="X11" s="17">
        <f t="shared" si="3"/>
        <v>1</v>
      </c>
      <c r="Y11" s="17">
        <f t="shared" si="3"/>
        <v>13</v>
      </c>
      <c r="Z11" s="17">
        <f t="shared" si="3"/>
        <v>9</v>
      </c>
      <c r="AA11" s="17">
        <f t="shared" si="3"/>
        <v>6</v>
      </c>
      <c r="AB11" s="17">
        <f t="shared" si="3"/>
        <v>9</v>
      </c>
      <c r="AC11" s="17">
        <f t="shared" si="3"/>
        <v>2433</v>
      </c>
      <c r="AD11" s="17">
        <f t="shared" si="3"/>
        <v>1</v>
      </c>
      <c r="AE11" s="31">
        <f t="shared" si="3"/>
        <v>989</v>
      </c>
      <c r="AF11" s="31">
        <f t="shared" si="3"/>
        <v>3422</v>
      </c>
    </row>
    <row r="12" spans="2:32" ht="23.1" customHeight="1" x14ac:dyDescent="0.25">
      <c r="B12" s="45" t="s">
        <v>39</v>
      </c>
      <c r="C12" s="50">
        <v>95</v>
      </c>
      <c r="D12" s="50">
        <v>7</v>
      </c>
      <c r="E12" s="50">
        <v>6</v>
      </c>
      <c r="F12" s="50">
        <v>66</v>
      </c>
      <c r="G12" s="50">
        <v>0</v>
      </c>
      <c r="H12" s="50">
        <v>0</v>
      </c>
      <c r="I12" s="50">
        <v>2</v>
      </c>
      <c r="J12" s="50">
        <v>2</v>
      </c>
      <c r="K12" s="50">
        <v>0</v>
      </c>
      <c r="L12" s="50">
        <v>1</v>
      </c>
      <c r="M12" s="50">
        <v>440</v>
      </c>
      <c r="N12" s="50">
        <v>0</v>
      </c>
      <c r="O12" s="15">
        <f t="shared" si="0"/>
        <v>179</v>
      </c>
      <c r="P12" s="15">
        <f t="shared" si="1"/>
        <v>619</v>
      </c>
      <c r="R12" s="1" t="s">
        <v>8</v>
      </c>
      <c r="S12" s="17">
        <f t="shared" ref="S12:AF12" si="4">SUM(C18:C21)</f>
        <v>560</v>
      </c>
      <c r="T12" s="17">
        <f t="shared" si="4"/>
        <v>1159</v>
      </c>
      <c r="U12" s="17">
        <f t="shared" si="4"/>
        <v>125</v>
      </c>
      <c r="V12" s="17">
        <f t="shared" si="4"/>
        <v>381</v>
      </c>
      <c r="W12" s="17">
        <f t="shared" si="4"/>
        <v>7</v>
      </c>
      <c r="X12" s="17">
        <f t="shared" si="4"/>
        <v>0</v>
      </c>
      <c r="Y12" s="17">
        <f t="shared" si="4"/>
        <v>28</v>
      </c>
      <c r="Z12" s="17">
        <f t="shared" si="4"/>
        <v>24</v>
      </c>
      <c r="AA12" s="17">
        <f t="shared" si="4"/>
        <v>7</v>
      </c>
      <c r="AB12" s="17">
        <f t="shared" si="4"/>
        <v>8</v>
      </c>
      <c r="AC12" s="17">
        <f t="shared" si="4"/>
        <v>2364</v>
      </c>
      <c r="AD12" s="17">
        <f t="shared" si="4"/>
        <v>1</v>
      </c>
      <c r="AE12" s="31">
        <f t="shared" si="4"/>
        <v>2300</v>
      </c>
      <c r="AF12" s="31">
        <f t="shared" si="4"/>
        <v>4664</v>
      </c>
    </row>
    <row r="13" spans="2:32" ht="23.1" customHeight="1" x14ac:dyDescent="0.25">
      <c r="B13" s="45" t="s">
        <v>40</v>
      </c>
      <c r="C13" s="50">
        <v>14</v>
      </c>
      <c r="D13" s="50">
        <v>10</v>
      </c>
      <c r="E13" s="50">
        <v>11</v>
      </c>
      <c r="F13" s="50">
        <v>80</v>
      </c>
      <c r="G13" s="50">
        <v>7</v>
      </c>
      <c r="H13" s="50">
        <v>0</v>
      </c>
      <c r="I13" s="50">
        <v>2</v>
      </c>
      <c r="J13" s="50">
        <v>0</v>
      </c>
      <c r="K13" s="50">
        <v>0</v>
      </c>
      <c r="L13" s="50">
        <v>3</v>
      </c>
      <c r="M13" s="50">
        <v>555</v>
      </c>
      <c r="N13" s="50">
        <v>0</v>
      </c>
      <c r="O13" s="15">
        <f t="shared" si="0"/>
        <v>127</v>
      </c>
      <c r="P13" s="15">
        <f t="shared" si="1"/>
        <v>682</v>
      </c>
      <c r="R13" s="1" t="s">
        <v>9</v>
      </c>
      <c r="S13" s="17">
        <f t="shared" ref="S13:AF13" si="5">SUM(C22:C25)</f>
        <v>425</v>
      </c>
      <c r="T13" s="17">
        <f t="shared" si="5"/>
        <v>52</v>
      </c>
      <c r="U13" s="17">
        <f t="shared" si="5"/>
        <v>42</v>
      </c>
      <c r="V13" s="17">
        <f t="shared" si="5"/>
        <v>521</v>
      </c>
      <c r="W13" s="17">
        <f t="shared" si="5"/>
        <v>9</v>
      </c>
      <c r="X13" s="17">
        <f t="shared" si="5"/>
        <v>1</v>
      </c>
      <c r="Y13" s="17">
        <f t="shared" si="5"/>
        <v>43</v>
      </c>
      <c r="Z13" s="17">
        <f t="shared" si="5"/>
        <v>22</v>
      </c>
      <c r="AA13" s="17">
        <f t="shared" si="5"/>
        <v>12</v>
      </c>
      <c r="AB13" s="17">
        <f t="shared" si="5"/>
        <v>13</v>
      </c>
      <c r="AC13" s="17">
        <f t="shared" si="5"/>
        <v>1955</v>
      </c>
      <c r="AD13" s="17">
        <f t="shared" si="5"/>
        <v>1</v>
      </c>
      <c r="AE13" s="31">
        <f t="shared" si="5"/>
        <v>1141</v>
      </c>
      <c r="AF13" s="31">
        <f t="shared" si="5"/>
        <v>3096</v>
      </c>
    </row>
    <row r="14" spans="2:32" ht="23.1" customHeight="1" x14ac:dyDescent="0.25">
      <c r="B14" s="45" t="s">
        <v>41</v>
      </c>
      <c r="C14" s="50">
        <v>105</v>
      </c>
      <c r="D14" s="50">
        <v>11</v>
      </c>
      <c r="E14" s="50">
        <v>7</v>
      </c>
      <c r="F14" s="50">
        <v>90</v>
      </c>
      <c r="G14" s="50">
        <v>1</v>
      </c>
      <c r="H14" s="50">
        <v>0</v>
      </c>
      <c r="I14" s="50">
        <v>3</v>
      </c>
      <c r="J14" s="50">
        <v>2</v>
      </c>
      <c r="K14" s="50">
        <v>1</v>
      </c>
      <c r="L14" s="50">
        <v>1</v>
      </c>
      <c r="M14" s="50">
        <v>538</v>
      </c>
      <c r="N14" s="50">
        <v>0</v>
      </c>
      <c r="O14" s="15">
        <f t="shared" si="0"/>
        <v>221</v>
      </c>
      <c r="P14" s="15">
        <f t="shared" si="1"/>
        <v>759</v>
      </c>
      <c r="R14" s="1" t="s">
        <v>10</v>
      </c>
      <c r="S14" s="17">
        <f t="shared" ref="S14:AF14" si="6">SUM(C26:C29)</f>
        <v>358</v>
      </c>
      <c r="T14" s="17">
        <f t="shared" si="6"/>
        <v>59</v>
      </c>
      <c r="U14" s="17">
        <f t="shared" si="6"/>
        <v>55</v>
      </c>
      <c r="V14" s="17">
        <f t="shared" si="6"/>
        <v>465</v>
      </c>
      <c r="W14" s="17">
        <f t="shared" si="6"/>
        <v>6</v>
      </c>
      <c r="X14" s="17">
        <f t="shared" si="6"/>
        <v>2</v>
      </c>
      <c r="Y14" s="17">
        <f t="shared" si="6"/>
        <v>62</v>
      </c>
      <c r="Z14" s="17">
        <f t="shared" si="6"/>
        <v>36</v>
      </c>
      <c r="AA14" s="17">
        <f t="shared" si="6"/>
        <v>22</v>
      </c>
      <c r="AB14" s="17">
        <f t="shared" si="6"/>
        <v>14</v>
      </c>
      <c r="AC14" s="17">
        <f t="shared" si="6"/>
        <v>1713</v>
      </c>
      <c r="AD14" s="17">
        <f t="shared" si="6"/>
        <v>1</v>
      </c>
      <c r="AE14" s="31">
        <f t="shared" si="6"/>
        <v>1080</v>
      </c>
      <c r="AF14" s="31">
        <f t="shared" si="6"/>
        <v>2793</v>
      </c>
    </row>
    <row r="15" spans="2:32" ht="23.1" customHeight="1" x14ac:dyDescent="0.25">
      <c r="B15" s="45" t="s">
        <v>42</v>
      </c>
      <c r="C15" s="50">
        <v>115</v>
      </c>
      <c r="D15" s="50">
        <v>9</v>
      </c>
      <c r="E15" s="50">
        <v>12</v>
      </c>
      <c r="F15" s="50">
        <v>62</v>
      </c>
      <c r="G15" s="50">
        <v>0</v>
      </c>
      <c r="H15" s="50">
        <v>0</v>
      </c>
      <c r="I15" s="50">
        <v>3</v>
      </c>
      <c r="J15" s="50">
        <v>2</v>
      </c>
      <c r="K15" s="50">
        <v>0</v>
      </c>
      <c r="L15" s="50">
        <v>4</v>
      </c>
      <c r="M15" s="50">
        <v>605</v>
      </c>
      <c r="N15" s="50">
        <v>1</v>
      </c>
      <c r="O15" s="15">
        <f t="shared" si="0"/>
        <v>208</v>
      </c>
      <c r="P15" s="15">
        <f t="shared" si="1"/>
        <v>813</v>
      </c>
      <c r="R15" s="1" t="s">
        <v>11</v>
      </c>
      <c r="S15" s="17">
        <f t="shared" ref="S15:AF15" si="7">SUM(C30:C33)</f>
        <v>307</v>
      </c>
      <c r="T15" s="17">
        <f t="shared" si="7"/>
        <v>58</v>
      </c>
      <c r="U15" s="17">
        <f t="shared" si="7"/>
        <v>54</v>
      </c>
      <c r="V15" s="17">
        <f t="shared" si="7"/>
        <v>391</v>
      </c>
      <c r="W15" s="17">
        <f t="shared" si="7"/>
        <v>8</v>
      </c>
      <c r="X15" s="17">
        <f t="shared" si="7"/>
        <v>4</v>
      </c>
      <c r="Y15" s="17">
        <f t="shared" si="7"/>
        <v>55</v>
      </c>
      <c r="Z15" s="17">
        <f t="shared" si="7"/>
        <v>27</v>
      </c>
      <c r="AA15" s="17">
        <f t="shared" si="7"/>
        <v>3</v>
      </c>
      <c r="AB15" s="17">
        <f t="shared" si="7"/>
        <v>19</v>
      </c>
      <c r="AC15" s="17">
        <f t="shared" si="7"/>
        <v>1669</v>
      </c>
      <c r="AD15" s="17">
        <f t="shared" si="7"/>
        <v>1</v>
      </c>
      <c r="AE15" s="31">
        <f t="shared" si="7"/>
        <v>927</v>
      </c>
      <c r="AF15" s="31">
        <f t="shared" si="7"/>
        <v>2596</v>
      </c>
    </row>
    <row r="16" spans="2:32" ht="23.1" customHeight="1" x14ac:dyDescent="0.25">
      <c r="B16" s="45" t="s">
        <v>43</v>
      </c>
      <c r="C16" s="50">
        <v>145</v>
      </c>
      <c r="D16" s="50">
        <v>18</v>
      </c>
      <c r="E16" s="50">
        <v>13</v>
      </c>
      <c r="F16" s="50">
        <v>76</v>
      </c>
      <c r="G16" s="50">
        <v>2</v>
      </c>
      <c r="H16" s="50">
        <v>0</v>
      </c>
      <c r="I16" s="50">
        <v>3</v>
      </c>
      <c r="J16" s="50">
        <v>3</v>
      </c>
      <c r="K16" s="50">
        <v>4</v>
      </c>
      <c r="L16" s="50">
        <v>1</v>
      </c>
      <c r="M16" s="50">
        <v>655</v>
      </c>
      <c r="N16" s="50">
        <v>0</v>
      </c>
      <c r="O16" s="15">
        <f t="shared" si="0"/>
        <v>265</v>
      </c>
      <c r="P16" s="15">
        <f t="shared" si="1"/>
        <v>920</v>
      </c>
      <c r="R16" s="1" t="s">
        <v>12</v>
      </c>
      <c r="S16" s="17">
        <f t="shared" ref="S16:AF16" si="8">SUM(C34:C37)</f>
        <v>297</v>
      </c>
      <c r="T16" s="17">
        <f t="shared" si="8"/>
        <v>70</v>
      </c>
      <c r="U16" s="17">
        <f t="shared" si="8"/>
        <v>68</v>
      </c>
      <c r="V16" s="17">
        <f t="shared" si="8"/>
        <v>480</v>
      </c>
      <c r="W16" s="17">
        <f t="shared" si="8"/>
        <v>10</v>
      </c>
      <c r="X16" s="17">
        <f t="shared" si="8"/>
        <v>1</v>
      </c>
      <c r="Y16" s="17">
        <f t="shared" si="8"/>
        <v>34</v>
      </c>
      <c r="Z16" s="17">
        <f t="shared" si="8"/>
        <v>20</v>
      </c>
      <c r="AA16" s="17">
        <f t="shared" si="8"/>
        <v>13</v>
      </c>
      <c r="AB16" s="17">
        <f t="shared" si="8"/>
        <v>22</v>
      </c>
      <c r="AC16" s="17">
        <f t="shared" si="8"/>
        <v>1827</v>
      </c>
      <c r="AD16" s="17">
        <f t="shared" si="8"/>
        <v>0</v>
      </c>
      <c r="AE16" s="31">
        <f t="shared" si="8"/>
        <v>1015</v>
      </c>
      <c r="AF16" s="31">
        <f t="shared" si="8"/>
        <v>2842</v>
      </c>
    </row>
    <row r="17" spans="2:32" ht="23.1" customHeight="1" x14ac:dyDescent="0.25">
      <c r="B17" s="45" t="s">
        <v>44</v>
      </c>
      <c r="C17" s="50">
        <v>175</v>
      </c>
      <c r="D17" s="50">
        <v>11</v>
      </c>
      <c r="E17" s="50">
        <v>12</v>
      </c>
      <c r="F17" s="50">
        <v>85</v>
      </c>
      <c r="G17" s="50">
        <v>1</v>
      </c>
      <c r="H17" s="50">
        <v>1</v>
      </c>
      <c r="I17" s="50">
        <v>4</v>
      </c>
      <c r="J17" s="50">
        <v>2</v>
      </c>
      <c r="K17" s="50">
        <v>1</v>
      </c>
      <c r="L17" s="50">
        <v>3</v>
      </c>
      <c r="M17" s="50">
        <v>635</v>
      </c>
      <c r="N17" s="50">
        <v>0</v>
      </c>
      <c r="O17" s="15">
        <f t="shared" si="0"/>
        <v>295</v>
      </c>
      <c r="P17" s="15">
        <f t="shared" si="1"/>
        <v>930</v>
      </c>
      <c r="R17" s="1" t="s">
        <v>13</v>
      </c>
      <c r="S17" s="17">
        <f t="shared" ref="S17:AF17" si="9">SUM(C38:C41)</f>
        <v>281</v>
      </c>
      <c r="T17" s="17">
        <f t="shared" si="9"/>
        <v>111</v>
      </c>
      <c r="U17" s="17">
        <f t="shared" si="9"/>
        <v>95</v>
      </c>
      <c r="V17" s="17">
        <f t="shared" si="9"/>
        <v>450</v>
      </c>
      <c r="W17" s="17">
        <f t="shared" si="9"/>
        <v>12</v>
      </c>
      <c r="X17" s="17">
        <f t="shared" si="9"/>
        <v>1</v>
      </c>
      <c r="Y17" s="17">
        <f t="shared" si="9"/>
        <v>43</v>
      </c>
      <c r="Z17" s="17">
        <f t="shared" si="9"/>
        <v>29</v>
      </c>
      <c r="AA17" s="17">
        <f t="shared" si="9"/>
        <v>10</v>
      </c>
      <c r="AB17" s="17">
        <f t="shared" si="9"/>
        <v>25</v>
      </c>
      <c r="AC17" s="17">
        <f t="shared" si="9"/>
        <v>1746</v>
      </c>
      <c r="AD17" s="17">
        <f t="shared" si="9"/>
        <v>0</v>
      </c>
      <c r="AE17" s="31">
        <f t="shared" si="9"/>
        <v>1057</v>
      </c>
      <c r="AF17" s="31">
        <f t="shared" si="9"/>
        <v>2803</v>
      </c>
    </row>
    <row r="18" spans="2:32" ht="23.1" customHeight="1" x14ac:dyDescent="0.25">
      <c r="B18" s="45" t="s">
        <v>45</v>
      </c>
      <c r="C18" s="50">
        <v>145</v>
      </c>
      <c r="D18" s="50">
        <v>10</v>
      </c>
      <c r="E18" s="50">
        <v>6</v>
      </c>
      <c r="F18" s="50">
        <v>135</v>
      </c>
      <c r="G18" s="50">
        <v>0</v>
      </c>
      <c r="H18" s="50">
        <v>0</v>
      </c>
      <c r="I18" s="50">
        <v>4</v>
      </c>
      <c r="J18" s="50">
        <v>8</v>
      </c>
      <c r="K18" s="50">
        <v>1</v>
      </c>
      <c r="L18" s="50">
        <v>0</v>
      </c>
      <c r="M18" s="50">
        <v>552</v>
      </c>
      <c r="N18" s="50">
        <v>0</v>
      </c>
      <c r="O18" s="15">
        <f t="shared" si="0"/>
        <v>309</v>
      </c>
      <c r="P18" s="15">
        <f t="shared" si="1"/>
        <v>861</v>
      </c>
      <c r="R18" s="1" t="s">
        <v>14</v>
      </c>
      <c r="S18" s="17">
        <f t="shared" ref="S18:AF18" si="10">SUM(C42:C45)</f>
        <v>401</v>
      </c>
      <c r="T18" s="17">
        <f t="shared" si="10"/>
        <v>56</v>
      </c>
      <c r="U18" s="17">
        <f t="shared" si="10"/>
        <v>70</v>
      </c>
      <c r="V18" s="17">
        <f t="shared" si="10"/>
        <v>440</v>
      </c>
      <c r="W18" s="17">
        <f t="shared" si="10"/>
        <v>6</v>
      </c>
      <c r="X18" s="17">
        <f t="shared" si="10"/>
        <v>0</v>
      </c>
      <c r="Y18" s="17">
        <f t="shared" si="10"/>
        <v>40</v>
      </c>
      <c r="Z18" s="17">
        <f t="shared" si="10"/>
        <v>34</v>
      </c>
      <c r="AA18" s="17">
        <f t="shared" si="10"/>
        <v>16</v>
      </c>
      <c r="AB18" s="17">
        <f t="shared" si="10"/>
        <v>20</v>
      </c>
      <c r="AC18" s="17">
        <f t="shared" si="10"/>
        <v>2012</v>
      </c>
      <c r="AD18" s="17">
        <f t="shared" si="10"/>
        <v>1</v>
      </c>
      <c r="AE18" s="31">
        <f t="shared" si="10"/>
        <v>1084</v>
      </c>
      <c r="AF18" s="31">
        <f t="shared" si="10"/>
        <v>3096</v>
      </c>
    </row>
    <row r="19" spans="2:32" ht="23.1" customHeight="1" x14ac:dyDescent="0.25">
      <c r="B19" s="45" t="s">
        <v>46</v>
      </c>
      <c r="C19" s="50">
        <v>180</v>
      </c>
      <c r="D19" s="50">
        <v>1114</v>
      </c>
      <c r="E19" s="50">
        <v>90</v>
      </c>
      <c r="F19" s="50">
        <v>1</v>
      </c>
      <c r="G19" s="50">
        <v>1</v>
      </c>
      <c r="H19" s="50">
        <v>0</v>
      </c>
      <c r="I19" s="50">
        <v>3</v>
      </c>
      <c r="J19" s="50">
        <v>7</v>
      </c>
      <c r="K19" s="50">
        <v>1</v>
      </c>
      <c r="L19" s="50">
        <v>6</v>
      </c>
      <c r="M19" s="50">
        <v>634</v>
      </c>
      <c r="N19" s="50">
        <v>0</v>
      </c>
      <c r="O19" s="15">
        <f t="shared" si="0"/>
        <v>1403</v>
      </c>
      <c r="P19" s="15">
        <f t="shared" si="1"/>
        <v>2037</v>
      </c>
      <c r="R19" s="1" t="s">
        <v>15</v>
      </c>
      <c r="S19" s="17">
        <f t="shared" ref="S19:AF19" si="11">SUM(C46:C49)</f>
        <v>298</v>
      </c>
      <c r="T19" s="17">
        <f t="shared" si="11"/>
        <v>45</v>
      </c>
      <c r="U19" s="17">
        <f t="shared" si="11"/>
        <v>51</v>
      </c>
      <c r="V19" s="17">
        <f t="shared" si="11"/>
        <v>424</v>
      </c>
      <c r="W19" s="17">
        <f t="shared" si="11"/>
        <v>5</v>
      </c>
      <c r="X19" s="17">
        <f t="shared" si="11"/>
        <v>1</v>
      </c>
      <c r="Y19" s="17">
        <f t="shared" si="11"/>
        <v>34</v>
      </c>
      <c r="Z19" s="17">
        <f t="shared" si="11"/>
        <v>26</v>
      </c>
      <c r="AA19" s="17">
        <f t="shared" si="11"/>
        <v>11</v>
      </c>
      <c r="AB19" s="17">
        <f t="shared" si="11"/>
        <v>12</v>
      </c>
      <c r="AC19" s="17">
        <f t="shared" si="11"/>
        <v>2197</v>
      </c>
      <c r="AD19" s="17">
        <f t="shared" si="11"/>
        <v>2</v>
      </c>
      <c r="AE19" s="31">
        <f t="shared" si="11"/>
        <v>909</v>
      </c>
      <c r="AF19" s="31">
        <f t="shared" si="11"/>
        <v>3106</v>
      </c>
    </row>
    <row r="20" spans="2:32" ht="23.1" customHeight="1" x14ac:dyDescent="0.25">
      <c r="B20" s="45" t="s">
        <v>47</v>
      </c>
      <c r="C20" s="50">
        <v>95</v>
      </c>
      <c r="D20" s="50">
        <v>20</v>
      </c>
      <c r="E20" s="50">
        <v>11</v>
      </c>
      <c r="F20" s="50">
        <v>120</v>
      </c>
      <c r="G20" s="50">
        <v>0</v>
      </c>
      <c r="H20" s="50">
        <v>0</v>
      </c>
      <c r="I20" s="50">
        <v>16</v>
      </c>
      <c r="J20" s="50">
        <v>6</v>
      </c>
      <c r="K20" s="50">
        <v>5</v>
      </c>
      <c r="L20" s="50">
        <v>2</v>
      </c>
      <c r="M20" s="50">
        <v>575</v>
      </c>
      <c r="N20" s="50">
        <v>1</v>
      </c>
      <c r="O20" s="15">
        <f t="shared" si="0"/>
        <v>276</v>
      </c>
      <c r="P20" s="15">
        <f t="shared" si="1"/>
        <v>851</v>
      </c>
      <c r="R20" s="1" t="s">
        <v>16</v>
      </c>
      <c r="S20" s="17">
        <f t="shared" ref="S20:AF20" si="12">SUM(C50:C53)</f>
        <v>188</v>
      </c>
      <c r="T20" s="17">
        <f t="shared" si="12"/>
        <v>54</v>
      </c>
      <c r="U20" s="17">
        <f t="shared" si="12"/>
        <v>44</v>
      </c>
      <c r="V20" s="17">
        <f t="shared" si="12"/>
        <v>273</v>
      </c>
      <c r="W20" s="17">
        <f t="shared" si="12"/>
        <v>5</v>
      </c>
      <c r="X20" s="17">
        <f t="shared" si="12"/>
        <v>1</v>
      </c>
      <c r="Y20" s="17">
        <f t="shared" si="12"/>
        <v>33</v>
      </c>
      <c r="Z20" s="17">
        <f t="shared" si="12"/>
        <v>18</v>
      </c>
      <c r="AA20" s="17">
        <f t="shared" si="12"/>
        <v>9</v>
      </c>
      <c r="AB20" s="17">
        <f t="shared" si="12"/>
        <v>10</v>
      </c>
      <c r="AC20" s="17">
        <f t="shared" si="12"/>
        <v>2545</v>
      </c>
      <c r="AD20" s="17">
        <f t="shared" si="12"/>
        <v>1</v>
      </c>
      <c r="AE20" s="31">
        <f t="shared" si="12"/>
        <v>636</v>
      </c>
      <c r="AF20" s="31">
        <f t="shared" si="12"/>
        <v>3181</v>
      </c>
    </row>
    <row r="21" spans="2:32" ht="23.1" customHeight="1" x14ac:dyDescent="0.25">
      <c r="B21" s="45" t="s">
        <v>48</v>
      </c>
      <c r="C21" s="50">
        <v>140</v>
      </c>
      <c r="D21" s="50">
        <v>15</v>
      </c>
      <c r="E21" s="50">
        <v>18</v>
      </c>
      <c r="F21" s="50">
        <v>125</v>
      </c>
      <c r="G21" s="50">
        <v>6</v>
      </c>
      <c r="H21" s="50">
        <v>0</v>
      </c>
      <c r="I21" s="50">
        <v>5</v>
      </c>
      <c r="J21" s="50">
        <v>3</v>
      </c>
      <c r="K21" s="50">
        <v>0</v>
      </c>
      <c r="L21" s="50">
        <v>0</v>
      </c>
      <c r="M21" s="50">
        <v>603</v>
      </c>
      <c r="N21" s="50">
        <v>0</v>
      </c>
      <c r="O21" s="15">
        <f t="shared" si="0"/>
        <v>312</v>
      </c>
      <c r="P21" s="15">
        <f t="shared" si="1"/>
        <v>915</v>
      </c>
      <c r="R21" s="36" t="s">
        <v>20</v>
      </c>
      <c r="S21" s="34">
        <f t="shared" ref="S21:AF21" si="13">SUM(C54:C57)</f>
        <v>345</v>
      </c>
      <c r="T21" s="17">
        <f t="shared" si="13"/>
        <v>61</v>
      </c>
      <c r="U21" s="17">
        <f t="shared" si="13"/>
        <v>53</v>
      </c>
      <c r="V21" s="17">
        <f t="shared" si="13"/>
        <v>255</v>
      </c>
      <c r="W21" s="17">
        <f t="shared" si="13"/>
        <v>3</v>
      </c>
      <c r="X21" s="17">
        <f t="shared" si="13"/>
        <v>4</v>
      </c>
      <c r="Y21" s="17">
        <f t="shared" si="13"/>
        <v>31</v>
      </c>
      <c r="Z21" s="17">
        <f t="shared" si="13"/>
        <v>23</v>
      </c>
      <c r="AA21" s="17">
        <f t="shared" si="13"/>
        <v>17</v>
      </c>
      <c r="AB21" s="17">
        <f t="shared" si="13"/>
        <v>21</v>
      </c>
      <c r="AC21" s="17">
        <f t="shared" si="13"/>
        <v>2819</v>
      </c>
      <c r="AD21" s="17">
        <f t="shared" si="13"/>
        <v>2</v>
      </c>
      <c r="AE21" s="31">
        <f t="shared" si="13"/>
        <v>815</v>
      </c>
      <c r="AF21" s="31">
        <f t="shared" si="13"/>
        <v>3634</v>
      </c>
    </row>
    <row r="22" spans="2:32" ht="23.1" customHeight="1" x14ac:dyDescent="0.25">
      <c r="B22" s="45" t="s">
        <v>49</v>
      </c>
      <c r="C22" s="50">
        <v>120</v>
      </c>
      <c r="D22" s="50">
        <v>14</v>
      </c>
      <c r="E22" s="50">
        <v>9</v>
      </c>
      <c r="F22" s="50">
        <v>100</v>
      </c>
      <c r="G22" s="50">
        <v>0</v>
      </c>
      <c r="H22" s="50">
        <v>0</v>
      </c>
      <c r="I22" s="50">
        <v>13</v>
      </c>
      <c r="J22" s="50">
        <v>7</v>
      </c>
      <c r="K22" s="50">
        <v>3</v>
      </c>
      <c r="L22" s="50">
        <v>4</v>
      </c>
      <c r="M22" s="50">
        <v>470</v>
      </c>
      <c r="N22" s="50">
        <v>1</v>
      </c>
      <c r="O22" s="15">
        <f t="shared" si="0"/>
        <v>271</v>
      </c>
      <c r="P22" s="15">
        <f t="shared" si="1"/>
        <v>741</v>
      </c>
      <c r="R22" s="36" t="s">
        <v>146</v>
      </c>
      <c r="S22" s="34">
        <f>SUM(C58:C61)</f>
        <v>107</v>
      </c>
      <c r="T22" s="34">
        <f t="shared" ref="T22:AF22" si="14">SUM(D58:D61)</f>
        <v>13</v>
      </c>
      <c r="U22" s="34">
        <f t="shared" si="14"/>
        <v>14</v>
      </c>
      <c r="V22" s="34">
        <f t="shared" si="14"/>
        <v>287</v>
      </c>
      <c r="W22" s="34">
        <f t="shared" si="14"/>
        <v>84</v>
      </c>
      <c r="X22" s="34">
        <f t="shared" si="14"/>
        <v>7</v>
      </c>
      <c r="Y22" s="34">
        <f t="shared" si="14"/>
        <v>26</v>
      </c>
      <c r="Z22" s="34">
        <f t="shared" si="14"/>
        <v>13</v>
      </c>
      <c r="AA22" s="34">
        <f t="shared" si="14"/>
        <v>12</v>
      </c>
      <c r="AB22" s="34">
        <f t="shared" si="14"/>
        <v>7</v>
      </c>
      <c r="AC22" s="34">
        <f t="shared" si="14"/>
        <v>1678</v>
      </c>
      <c r="AD22" s="34">
        <f t="shared" si="14"/>
        <v>2</v>
      </c>
      <c r="AE22" s="31">
        <f t="shared" si="14"/>
        <v>572</v>
      </c>
      <c r="AF22" s="31">
        <f t="shared" si="14"/>
        <v>2250</v>
      </c>
    </row>
    <row r="23" spans="2:32" ht="23.1" customHeight="1" x14ac:dyDescent="0.25">
      <c r="B23" s="45" t="s">
        <v>50</v>
      </c>
      <c r="C23" s="50">
        <v>115</v>
      </c>
      <c r="D23" s="50">
        <v>11</v>
      </c>
      <c r="E23" s="50">
        <v>17</v>
      </c>
      <c r="F23" s="50">
        <v>91</v>
      </c>
      <c r="G23" s="50">
        <v>5</v>
      </c>
      <c r="H23" s="50">
        <v>0</v>
      </c>
      <c r="I23" s="50">
        <v>8</v>
      </c>
      <c r="J23" s="50">
        <v>4</v>
      </c>
      <c r="K23" s="50">
        <v>1</v>
      </c>
      <c r="L23" s="50">
        <v>1</v>
      </c>
      <c r="M23" s="50">
        <v>492</v>
      </c>
      <c r="N23" s="50">
        <v>0</v>
      </c>
      <c r="O23" s="15">
        <f t="shared" si="0"/>
        <v>253</v>
      </c>
      <c r="P23" s="15">
        <f t="shared" si="1"/>
        <v>745</v>
      </c>
      <c r="R23" s="36" t="s">
        <v>147</v>
      </c>
      <c r="S23" s="34">
        <f>SUM(C62:C65)</f>
        <v>112</v>
      </c>
      <c r="T23" s="34">
        <f t="shared" ref="T23:AF23" si="15">SUM(D62:D65)</f>
        <v>30</v>
      </c>
      <c r="U23" s="34">
        <f t="shared" si="15"/>
        <v>23</v>
      </c>
      <c r="V23" s="34">
        <f t="shared" si="15"/>
        <v>241</v>
      </c>
      <c r="W23" s="34">
        <f t="shared" si="15"/>
        <v>2</v>
      </c>
      <c r="X23" s="34">
        <f t="shared" si="15"/>
        <v>0</v>
      </c>
      <c r="Y23" s="34">
        <f t="shared" si="15"/>
        <v>20</v>
      </c>
      <c r="Z23" s="34">
        <f t="shared" si="15"/>
        <v>6</v>
      </c>
      <c r="AA23" s="34">
        <f t="shared" si="15"/>
        <v>3</v>
      </c>
      <c r="AB23" s="34">
        <f t="shared" si="15"/>
        <v>5</v>
      </c>
      <c r="AC23" s="34">
        <f t="shared" si="15"/>
        <v>1210</v>
      </c>
      <c r="AD23" s="34">
        <f t="shared" si="15"/>
        <v>0</v>
      </c>
      <c r="AE23" s="31">
        <f t="shared" si="15"/>
        <v>442</v>
      </c>
      <c r="AF23" s="31">
        <f t="shared" si="15"/>
        <v>1652</v>
      </c>
    </row>
    <row r="24" spans="2:32" ht="23.1" customHeight="1" x14ac:dyDescent="0.25">
      <c r="B24" s="45" t="s">
        <v>51</v>
      </c>
      <c r="C24" s="50">
        <v>85</v>
      </c>
      <c r="D24" s="50">
        <v>11</v>
      </c>
      <c r="E24" s="50">
        <v>7</v>
      </c>
      <c r="F24" s="50">
        <v>225</v>
      </c>
      <c r="G24" s="50">
        <v>3</v>
      </c>
      <c r="H24" s="50">
        <v>1</v>
      </c>
      <c r="I24" s="50">
        <v>19</v>
      </c>
      <c r="J24" s="50">
        <v>7</v>
      </c>
      <c r="K24" s="50">
        <v>5</v>
      </c>
      <c r="L24" s="50">
        <v>5</v>
      </c>
      <c r="M24" s="50">
        <v>504</v>
      </c>
      <c r="N24" s="50">
        <v>0</v>
      </c>
      <c r="O24" s="15">
        <f t="shared" si="0"/>
        <v>368</v>
      </c>
      <c r="P24" s="15">
        <f t="shared" si="1"/>
        <v>872</v>
      </c>
      <c r="R24" s="36" t="s">
        <v>148</v>
      </c>
      <c r="S24" s="34">
        <f>SUM(C66:C69)</f>
        <v>175</v>
      </c>
      <c r="T24" s="34">
        <f t="shared" ref="T24:AF24" si="16">SUM(D66:D69)</f>
        <v>36</v>
      </c>
      <c r="U24" s="34">
        <f t="shared" si="16"/>
        <v>13</v>
      </c>
      <c r="V24" s="34">
        <f t="shared" si="16"/>
        <v>326</v>
      </c>
      <c r="W24" s="34">
        <f t="shared" si="16"/>
        <v>1</v>
      </c>
      <c r="X24" s="34">
        <f t="shared" si="16"/>
        <v>4</v>
      </c>
      <c r="Y24" s="34">
        <f t="shared" si="16"/>
        <v>6</v>
      </c>
      <c r="Z24" s="34">
        <f t="shared" si="16"/>
        <v>6</v>
      </c>
      <c r="AA24" s="34">
        <f t="shared" si="16"/>
        <v>4</v>
      </c>
      <c r="AB24" s="34">
        <f t="shared" si="16"/>
        <v>8</v>
      </c>
      <c r="AC24" s="34">
        <f t="shared" si="16"/>
        <v>720</v>
      </c>
      <c r="AD24" s="34">
        <f t="shared" si="16"/>
        <v>1</v>
      </c>
      <c r="AE24" s="31">
        <f t="shared" si="16"/>
        <v>580</v>
      </c>
      <c r="AF24" s="31">
        <f t="shared" si="16"/>
        <v>1300</v>
      </c>
    </row>
    <row r="25" spans="2:32" ht="23.1" customHeight="1" x14ac:dyDescent="0.25">
      <c r="B25" s="45" t="s">
        <v>52</v>
      </c>
      <c r="C25" s="50">
        <v>105</v>
      </c>
      <c r="D25" s="50">
        <v>16</v>
      </c>
      <c r="E25" s="50">
        <v>9</v>
      </c>
      <c r="F25" s="50">
        <v>105</v>
      </c>
      <c r="G25" s="50">
        <v>1</v>
      </c>
      <c r="H25" s="50">
        <v>0</v>
      </c>
      <c r="I25" s="50">
        <v>3</v>
      </c>
      <c r="J25" s="50">
        <v>4</v>
      </c>
      <c r="K25" s="50">
        <v>3</v>
      </c>
      <c r="L25" s="50">
        <v>3</v>
      </c>
      <c r="M25" s="50">
        <v>489</v>
      </c>
      <c r="N25" s="50">
        <v>0</v>
      </c>
      <c r="O25" s="15">
        <f t="shared" si="0"/>
        <v>249</v>
      </c>
      <c r="P25" s="15">
        <f t="shared" si="1"/>
        <v>738</v>
      </c>
      <c r="R25" s="36" t="s">
        <v>149</v>
      </c>
      <c r="S25" s="34">
        <f>SUM(C70:C73)</f>
        <v>205</v>
      </c>
      <c r="T25" s="34">
        <f t="shared" ref="T25:AF25" si="17">SUM(D70:D73)</f>
        <v>29</v>
      </c>
      <c r="U25" s="34">
        <f t="shared" si="17"/>
        <v>18</v>
      </c>
      <c r="V25" s="34">
        <f t="shared" si="17"/>
        <v>153</v>
      </c>
      <c r="W25" s="34">
        <f t="shared" si="17"/>
        <v>0</v>
      </c>
      <c r="X25" s="34">
        <f t="shared" si="17"/>
        <v>0</v>
      </c>
      <c r="Y25" s="34">
        <f t="shared" si="17"/>
        <v>12</v>
      </c>
      <c r="Z25" s="34">
        <f t="shared" si="17"/>
        <v>8</v>
      </c>
      <c r="AA25" s="34">
        <f t="shared" si="17"/>
        <v>6</v>
      </c>
      <c r="AB25" s="34">
        <f t="shared" si="17"/>
        <v>9</v>
      </c>
      <c r="AC25" s="34">
        <f t="shared" si="17"/>
        <v>486</v>
      </c>
      <c r="AD25" s="34">
        <f t="shared" si="17"/>
        <v>0</v>
      </c>
      <c r="AE25" s="31">
        <f t="shared" si="17"/>
        <v>440</v>
      </c>
      <c r="AF25" s="31">
        <f t="shared" si="17"/>
        <v>926</v>
      </c>
    </row>
    <row r="26" spans="2:32" ht="23.1" customHeight="1" x14ac:dyDescent="0.25">
      <c r="B26" s="45" t="s">
        <v>53</v>
      </c>
      <c r="C26" s="50">
        <v>120</v>
      </c>
      <c r="D26" s="50">
        <v>13</v>
      </c>
      <c r="E26" s="50">
        <v>11</v>
      </c>
      <c r="F26" s="50">
        <v>135</v>
      </c>
      <c r="G26" s="50">
        <v>3</v>
      </c>
      <c r="H26" s="50">
        <v>1</v>
      </c>
      <c r="I26" s="50">
        <v>25</v>
      </c>
      <c r="J26" s="50">
        <v>16</v>
      </c>
      <c r="K26" s="50">
        <v>5</v>
      </c>
      <c r="L26" s="50">
        <v>2</v>
      </c>
      <c r="M26" s="50">
        <v>395</v>
      </c>
      <c r="N26" s="50">
        <v>0</v>
      </c>
      <c r="O26" s="15">
        <f t="shared" si="0"/>
        <v>331</v>
      </c>
      <c r="P26" s="15">
        <f t="shared" si="1"/>
        <v>726</v>
      </c>
      <c r="R26" s="36" t="s">
        <v>150</v>
      </c>
      <c r="S26" s="34">
        <f>SUM(C74:C77)</f>
        <v>208</v>
      </c>
      <c r="T26" s="34">
        <f t="shared" ref="T26:AF26" si="18">SUM(D74:D77)</f>
        <v>35</v>
      </c>
      <c r="U26" s="34">
        <f t="shared" si="18"/>
        <v>18</v>
      </c>
      <c r="V26" s="34">
        <f t="shared" si="18"/>
        <v>61</v>
      </c>
      <c r="W26" s="34">
        <f t="shared" si="18"/>
        <v>1</v>
      </c>
      <c r="X26" s="34">
        <f t="shared" si="18"/>
        <v>1</v>
      </c>
      <c r="Y26" s="34">
        <f t="shared" si="18"/>
        <v>6</v>
      </c>
      <c r="Z26" s="34">
        <f t="shared" si="18"/>
        <v>8</v>
      </c>
      <c r="AA26" s="34">
        <f t="shared" si="18"/>
        <v>3</v>
      </c>
      <c r="AB26" s="34">
        <f t="shared" si="18"/>
        <v>3</v>
      </c>
      <c r="AC26" s="34">
        <f t="shared" si="18"/>
        <v>388</v>
      </c>
      <c r="AD26" s="34">
        <f t="shared" si="18"/>
        <v>0</v>
      </c>
      <c r="AE26" s="31">
        <f t="shared" si="18"/>
        <v>344</v>
      </c>
      <c r="AF26" s="31">
        <f t="shared" si="18"/>
        <v>732</v>
      </c>
    </row>
    <row r="27" spans="2:32" ht="23.1" customHeight="1" x14ac:dyDescent="0.25">
      <c r="B27" s="45" t="s">
        <v>54</v>
      </c>
      <c r="C27" s="50">
        <v>75</v>
      </c>
      <c r="D27" s="50">
        <v>10</v>
      </c>
      <c r="E27" s="50">
        <v>19</v>
      </c>
      <c r="F27" s="50">
        <v>115</v>
      </c>
      <c r="G27" s="50">
        <v>1</v>
      </c>
      <c r="H27" s="50">
        <v>0</v>
      </c>
      <c r="I27" s="50">
        <v>16</v>
      </c>
      <c r="J27" s="50">
        <v>10</v>
      </c>
      <c r="K27" s="50">
        <v>3</v>
      </c>
      <c r="L27" s="50">
        <v>3</v>
      </c>
      <c r="M27" s="50">
        <v>396</v>
      </c>
      <c r="N27" s="50">
        <v>0</v>
      </c>
      <c r="O27" s="15">
        <f t="shared" si="0"/>
        <v>252</v>
      </c>
      <c r="P27" s="15">
        <f t="shared" si="1"/>
        <v>648</v>
      </c>
      <c r="R27" s="36" t="s">
        <v>151</v>
      </c>
      <c r="S27" s="34">
        <f>SUM(C78:C81)</f>
        <v>149</v>
      </c>
      <c r="T27" s="34">
        <f t="shared" ref="T27:AF27" si="19">SUM(D78:D81)</f>
        <v>47</v>
      </c>
      <c r="U27" s="34">
        <f t="shared" si="19"/>
        <v>8</v>
      </c>
      <c r="V27" s="34">
        <f t="shared" si="19"/>
        <v>15</v>
      </c>
      <c r="W27" s="34">
        <f t="shared" si="19"/>
        <v>3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0</v>
      </c>
      <c r="AB27" s="34">
        <f t="shared" si="19"/>
        <v>5</v>
      </c>
      <c r="AC27" s="34">
        <f t="shared" si="19"/>
        <v>245</v>
      </c>
      <c r="AD27" s="34">
        <f t="shared" si="19"/>
        <v>0</v>
      </c>
      <c r="AE27" s="31">
        <f t="shared" si="19"/>
        <v>231</v>
      </c>
      <c r="AF27" s="31">
        <f t="shared" si="19"/>
        <v>476</v>
      </c>
    </row>
    <row r="28" spans="2:32" ht="23.1" customHeight="1" x14ac:dyDescent="0.25">
      <c r="B28" s="45" t="s">
        <v>55</v>
      </c>
      <c r="C28" s="50">
        <v>88</v>
      </c>
      <c r="D28" s="50">
        <v>13</v>
      </c>
      <c r="E28" s="50">
        <v>14</v>
      </c>
      <c r="F28" s="50">
        <v>85</v>
      </c>
      <c r="G28" s="50">
        <v>1</v>
      </c>
      <c r="H28" s="50">
        <v>0</v>
      </c>
      <c r="I28" s="50">
        <v>7</v>
      </c>
      <c r="J28" s="50">
        <v>3</v>
      </c>
      <c r="K28" s="50">
        <v>8</v>
      </c>
      <c r="L28" s="50">
        <v>4</v>
      </c>
      <c r="M28" s="50">
        <v>465</v>
      </c>
      <c r="N28" s="50">
        <v>0</v>
      </c>
      <c r="O28" s="15">
        <f t="shared" si="0"/>
        <v>223</v>
      </c>
      <c r="P28" s="15">
        <f t="shared" si="1"/>
        <v>688</v>
      </c>
      <c r="R28" s="36" t="s">
        <v>152</v>
      </c>
      <c r="S28" s="34">
        <f>SUM(C82:C85)</f>
        <v>71</v>
      </c>
      <c r="T28" s="34">
        <f t="shared" ref="T28:AF28" si="20">SUM(D82:D85)</f>
        <v>2</v>
      </c>
      <c r="U28" s="34">
        <f t="shared" si="20"/>
        <v>3</v>
      </c>
      <c r="V28" s="34">
        <f t="shared" si="20"/>
        <v>9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5</v>
      </c>
      <c r="AA28" s="34">
        <f t="shared" si="20"/>
        <v>0</v>
      </c>
      <c r="AB28" s="34">
        <f t="shared" si="20"/>
        <v>7</v>
      </c>
      <c r="AC28" s="34">
        <f t="shared" si="20"/>
        <v>109</v>
      </c>
      <c r="AD28" s="34">
        <f t="shared" si="20"/>
        <v>0</v>
      </c>
      <c r="AE28" s="31">
        <f t="shared" si="20"/>
        <v>102</v>
      </c>
      <c r="AF28" s="31">
        <f t="shared" si="20"/>
        <v>211</v>
      </c>
    </row>
    <row r="29" spans="2:32" ht="23.1" customHeight="1" x14ac:dyDescent="0.25">
      <c r="B29" s="45" t="s">
        <v>56</v>
      </c>
      <c r="C29" s="50">
        <v>75</v>
      </c>
      <c r="D29" s="50">
        <v>23</v>
      </c>
      <c r="E29" s="50">
        <v>11</v>
      </c>
      <c r="F29" s="50">
        <v>130</v>
      </c>
      <c r="G29" s="50">
        <v>1</v>
      </c>
      <c r="H29" s="50">
        <v>1</v>
      </c>
      <c r="I29" s="50">
        <v>14</v>
      </c>
      <c r="J29" s="50">
        <v>7</v>
      </c>
      <c r="K29" s="50">
        <v>6</v>
      </c>
      <c r="L29" s="50">
        <v>5</v>
      </c>
      <c r="M29" s="50">
        <v>457</v>
      </c>
      <c r="N29" s="50">
        <v>1</v>
      </c>
      <c r="O29" s="15">
        <f t="shared" si="0"/>
        <v>274</v>
      </c>
      <c r="P29" s="15">
        <f t="shared" si="1"/>
        <v>731</v>
      </c>
      <c r="R29" s="36" t="s">
        <v>153</v>
      </c>
      <c r="S29" s="34">
        <f>SUM(C86:C89)</f>
        <v>28</v>
      </c>
      <c r="T29" s="34">
        <f t="shared" ref="T29:AF29" si="21">SUM(D86:D89)</f>
        <v>3</v>
      </c>
      <c r="U29" s="34">
        <f t="shared" si="21"/>
        <v>6</v>
      </c>
      <c r="V29" s="34">
        <f t="shared" si="21"/>
        <v>12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2</v>
      </c>
      <c r="AA29" s="34">
        <f t="shared" si="21"/>
        <v>0</v>
      </c>
      <c r="AB29" s="34">
        <f t="shared" si="21"/>
        <v>1</v>
      </c>
      <c r="AC29" s="34">
        <f t="shared" si="21"/>
        <v>47</v>
      </c>
      <c r="AD29" s="34">
        <f t="shared" si="21"/>
        <v>0</v>
      </c>
      <c r="AE29" s="31">
        <f t="shared" si="21"/>
        <v>54</v>
      </c>
      <c r="AF29" s="31">
        <f t="shared" si="21"/>
        <v>101</v>
      </c>
    </row>
    <row r="30" spans="2:32" ht="23.1" customHeight="1" x14ac:dyDescent="0.25">
      <c r="B30" s="45" t="s">
        <v>57</v>
      </c>
      <c r="C30" s="50">
        <v>90</v>
      </c>
      <c r="D30" s="50">
        <v>11</v>
      </c>
      <c r="E30" s="50">
        <v>14</v>
      </c>
      <c r="F30" s="50">
        <v>76</v>
      </c>
      <c r="G30" s="50">
        <v>0</v>
      </c>
      <c r="H30" s="50">
        <v>2</v>
      </c>
      <c r="I30" s="50">
        <v>21</v>
      </c>
      <c r="J30" s="50">
        <v>5</v>
      </c>
      <c r="K30" s="50">
        <v>0</v>
      </c>
      <c r="L30" s="50">
        <v>2</v>
      </c>
      <c r="M30" s="50">
        <v>415</v>
      </c>
      <c r="N30" s="50">
        <v>0</v>
      </c>
      <c r="O30" s="15">
        <f t="shared" si="0"/>
        <v>221</v>
      </c>
      <c r="P30" s="15">
        <f t="shared" si="1"/>
        <v>636</v>
      </c>
      <c r="R30" s="36" t="s">
        <v>154</v>
      </c>
      <c r="S30" s="34">
        <f>SUM(C90:C93)</f>
        <v>39</v>
      </c>
      <c r="T30" s="34">
        <f t="shared" ref="T30:AF30" si="22">SUM(D90:D93)</f>
        <v>6</v>
      </c>
      <c r="U30" s="34">
        <f t="shared" si="22"/>
        <v>2</v>
      </c>
      <c r="V30" s="34">
        <f t="shared" si="22"/>
        <v>11</v>
      </c>
      <c r="W30" s="34">
        <f t="shared" si="22"/>
        <v>0</v>
      </c>
      <c r="X30" s="34">
        <f t="shared" si="22"/>
        <v>0</v>
      </c>
      <c r="Y30" s="34">
        <f t="shared" si="22"/>
        <v>5</v>
      </c>
      <c r="Z30" s="34">
        <f t="shared" si="22"/>
        <v>2</v>
      </c>
      <c r="AA30" s="34">
        <f t="shared" si="22"/>
        <v>3</v>
      </c>
      <c r="AB30" s="34">
        <f t="shared" si="22"/>
        <v>2</v>
      </c>
      <c r="AC30" s="34">
        <f t="shared" si="22"/>
        <v>49</v>
      </c>
      <c r="AD30" s="34">
        <f t="shared" si="22"/>
        <v>0</v>
      </c>
      <c r="AE30" s="31">
        <f t="shared" si="22"/>
        <v>70</v>
      </c>
      <c r="AF30" s="31">
        <f t="shared" si="22"/>
        <v>119</v>
      </c>
    </row>
    <row r="31" spans="2:32" ht="23.1" customHeight="1" x14ac:dyDescent="0.25">
      <c r="B31" s="46" t="s">
        <v>58</v>
      </c>
      <c r="C31" s="50">
        <v>60</v>
      </c>
      <c r="D31" s="50">
        <v>23</v>
      </c>
      <c r="E31" s="50">
        <v>18</v>
      </c>
      <c r="F31" s="50">
        <v>130</v>
      </c>
      <c r="G31" s="50">
        <v>4</v>
      </c>
      <c r="H31" s="50">
        <v>0</v>
      </c>
      <c r="I31" s="50">
        <v>15</v>
      </c>
      <c r="J31" s="50">
        <v>6</v>
      </c>
      <c r="K31" s="50">
        <v>1</v>
      </c>
      <c r="L31" s="50">
        <v>5</v>
      </c>
      <c r="M31" s="50">
        <v>430</v>
      </c>
      <c r="N31" s="50">
        <v>1</v>
      </c>
      <c r="O31" s="15">
        <f t="shared" si="0"/>
        <v>263</v>
      </c>
      <c r="P31" s="15">
        <f t="shared" si="1"/>
        <v>693</v>
      </c>
      <c r="R31" s="36" t="s">
        <v>155</v>
      </c>
      <c r="S31" s="34">
        <f>SUM(C94:C97)</f>
        <v>52</v>
      </c>
      <c r="T31" s="34">
        <f t="shared" ref="T31:AF31" si="23">SUM(D94:D97)</f>
        <v>13</v>
      </c>
      <c r="U31" s="34">
        <f t="shared" si="23"/>
        <v>5</v>
      </c>
      <c r="V31" s="34">
        <f t="shared" si="23"/>
        <v>10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2</v>
      </c>
      <c r="AB31" s="34">
        <f t="shared" si="23"/>
        <v>6</v>
      </c>
      <c r="AC31" s="34">
        <f t="shared" si="23"/>
        <v>22</v>
      </c>
      <c r="AD31" s="34">
        <f t="shared" si="23"/>
        <v>0</v>
      </c>
      <c r="AE31" s="31">
        <f t="shared" si="23"/>
        <v>91</v>
      </c>
      <c r="AF31" s="31">
        <f t="shared" si="23"/>
        <v>113</v>
      </c>
    </row>
    <row r="32" spans="2:32" ht="23.1" customHeight="1" x14ac:dyDescent="0.25">
      <c r="B32" s="46" t="s">
        <v>59</v>
      </c>
      <c r="C32" s="50">
        <v>82</v>
      </c>
      <c r="D32" s="50">
        <v>9</v>
      </c>
      <c r="E32" s="50">
        <v>9</v>
      </c>
      <c r="F32" s="50">
        <v>100</v>
      </c>
      <c r="G32" s="50">
        <v>1</v>
      </c>
      <c r="H32" s="50">
        <v>0</v>
      </c>
      <c r="I32" s="50">
        <v>13</v>
      </c>
      <c r="J32" s="50">
        <v>6</v>
      </c>
      <c r="K32" s="50">
        <v>1</v>
      </c>
      <c r="L32" s="50">
        <v>10</v>
      </c>
      <c r="M32" s="50">
        <v>402</v>
      </c>
      <c r="N32" s="50">
        <v>0</v>
      </c>
      <c r="O32" s="15">
        <f t="shared" si="0"/>
        <v>231</v>
      </c>
      <c r="P32" s="15">
        <f t="shared" si="1"/>
        <v>633</v>
      </c>
      <c r="R32" s="33" t="s">
        <v>156</v>
      </c>
      <c r="S32" s="34">
        <f>SUM(C98:C101)</f>
        <v>100</v>
      </c>
      <c r="T32" s="34">
        <f t="shared" ref="T32:AF32" si="24">SUM(D98:D101)</f>
        <v>12</v>
      </c>
      <c r="U32" s="34">
        <f t="shared" si="24"/>
        <v>9</v>
      </c>
      <c r="V32" s="34">
        <f t="shared" si="24"/>
        <v>37</v>
      </c>
      <c r="W32" s="34">
        <f t="shared" si="24"/>
        <v>4</v>
      </c>
      <c r="X32" s="34">
        <f t="shared" si="24"/>
        <v>1</v>
      </c>
      <c r="Y32" s="34">
        <f t="shared" si="24"/>
        <v>14</v>
      </c>
      <c r="Z32" s="34">
        <f t="shared" si="24"/>
        <v>7</v>
      </c>
      <c r="AA32" s="34">
        <f t="shared" si="24"/>
        <v>4</v>
      </c>
      <c r="AB32" s="34">
        <f t="shared" si="24"/>
        <v>6</v>
      </c>
      <c r="AC32" s="34">
        <f t="shared" si="24"/>
        <v>73</v>
      </c>
      <c r="AD32" s="34">
        <f t="shared" si="24"/>
        <v>0</v>
      </c>
      <c r="AE32" s="31">
        <f t="shared" si="24"/>
        <v>194</v>
      </c>
      <c r="AF32" s="31">
        <f t="shared" si="24"/>
        <v>267</v>
      </c>
    </row>
    <row r="33" spans="2:32" ht="23.1" customHeight="1" x14ac:dyDescent="0.25">
      <c r="B33" s="45" t="s">
        <v>60</v>
      </c>
      <c r="C33" s="50">
        <v>75</v>
      </c>
      <c r="D33" s="50">
        <v>15</v>
      </c>
      <c r="E33" s="50">
        <v>13</v>
      </c>
      <c r="F33" s="50">
        <v>85</v>
      </c>
      <c r="G33" s="50">
        <v>3</v>
      </c>
      <c r="H33" s="50">
        <v>2</v>
      </c>
      <c r="I33" s="50">
        <v>6</v>
      </c>
      <c r="J33" s="50">
        <v>10</v>
      </c>
      <c r="K33" s="50">
        <v>1</v>
      </c>
      <c r="L33" s="50">
        <v>2</v>
      </c>
      <c r="M33" s="50">
        <v>422</v>
      </c>
      <c r="N33" s="50">
        <v>0</v>
      </c>
      <c r="O33" s="15">
        <f t="shared" si="0"/>
        <v>212</v>
      </c>
      <c r="P33" s="15">
        <f t="shared" si="1"/>
        <v>634</v>
      </c>
      <c r="R33" s="33" t="s">
        <v>157</v>
      </c>
      <c r="S33" s="34">
        <f>SUM(C102:C105)</f>
        <v>280</v>
      </c>
      <c r="T33" s="34">
        <f t="shared" ref="T33:AF33" si="25">SUM(D102:D105)</f>
        <v>12</v>
      </c>
      <c r="U33" s="34">
        <f t="shared" si="25"/>
        <v>6</v>
      </c>
      <c r="V33" s="34">
        <f t="shared" si="25"/>
        <v>175</v>
      </c>
      <c r="W33" s="34">
        <f t="shared" si="25"/>
        <v>5</v>
      </c>
      <c r="X33" s="34">
        <f t="shared" si="25"/>
        <v>4</v>
      </c>
      <c r="Y33" s="34">
        <f t="shared" si="25"/>
        <v>21</v>
      </c>
      <c r="Z33" s="34">
        <f t="shared" si="25"/>
        <v>9</v>
      </c>
      <c r="AA33" s="34">
        <f t="shared" si="25"/>
        <v>10</v>
      </c>
      <c r="AB33" s="34">
        <f t="shared" si="25"/>
        <v>16</v>
      </c>
      <c r="AC33" s="34">
        <f t="shared" si="25"/>
        <v>368</v>
      </c>
      <c r="AD33" s="34">
        <f t="shared" si="25"/>
        <v>0</v>
      </c>
      <c r="AE33" s="31">
        <f t="shared" si="25"/>
        <v>538</v>
      </c>
      <c r="AF33" s="31">
        <f t="shared" si="25"/>
        <v>906</v>
      </c>
    </row>
    <row r="34" spans="2:32" ht="23.1" customHeight="1" x14ac:dyDescent="0.25">
      <c r="B34" s="46" t="s">
        <v>61</v>
      </c>
      <c r="C34" s="50">
        <v>75</v>
      </c>
      <c r="D34" s="50">
        <v>15</v>
      </c>
      <c r="E34" s="50">
        <v>18</v>
      </c>
      <c r="F34" s="50">
        <v>130</v>
      </c>
      <c r="G34" s="50">
        <v>0</v>
      </c>
      <c r="H34" s="50">
        <v>0</v>
      </c>
      <c r="I34" s="50">
        <v>11</v>
      </c>
      <c r="J34" s="50">
        <v>3</v>
      </c>
      <c r="K34" s="50">
        <v>7</v>
      </c>
      <c r="L34" s="50">
        <v>8</v>
      </c>
      <c r="M34" s="50">
        <v>465</v>
      </c>
      <c r="N34" s="50">
        <v>0</v>
      </c>
      <c r="O34" s="15">
        <f t="shared" si="0"/>
        <v>267</v>
      </c>
      <c r="P34" s="15">
        <f t="shared" si="1"/>
        <v>732</v>
      </c>
      <c r="R34" s="38" t="s">
        <v>90</v>
      </c>
      <c r="S34" s="39">
        <f t="shared" ref="S34:AF34" si="26">MAX(S10:S12)</f>
        <v>560</v>
      </c>
      <c r="T34" s="39">
        <f t="shared" si="26"/>
        <v>1159</v>
      </c>
      <c r="U34" s="39">
        <f t="shared" si="26"/>
        <v>125</v>
      </c>
      <c r="V34" s="39">
        <f t="shared" si="26"/>
        <v>381</v>
      </c>
      <c r="W34" s="39">
        <f t="shared" si="26"/>
        <v>8</v>
      </c>
      <c r="X34" s="39">
        <f t="shared" si="26"/>
        <v>1</v>
      </c>
      <c r="Y34" s="39">
        <f t="shared" si="26"/>
        <v>28</v>
      </c>
      <c r="Z34" s="39">
        <f t="shared" si="26"/>
        <v>24</v>
      </c>
      <c r="AA34" s="39">
        <f t="shared" si="26"/>
        <v>7</v>
      </c>
      <c r="AB34" s="39">
        <f t="shared" si="26"/>
        <v>11</v>
      </c>
      <c r="AC34" s="39">
        <f t="shared" si="26"/>
        <v>2433</v>
      </c>
      <c r="AD34" s="39">
        <f t="shared" si="26"/>
        <v>1</v>
      </c>
      <c r="AE34" s="40">
        <f t="shared" si="26"/>
        <v>2300</v>
      </c>
      <c r="AF34" s="40">
        <f t="shared" si="26"/>
        <v>4664</v>
      </c>
    </row>
    <row r="35" spans="2:32" ht="23.1" customHeight="1" x14ac:dyDescent="0.25">
      <c r="B35" s="46" t="s">
        <v>62</v>
      </c>
      <c r="C35" s="50">
        <v>60</v>
      </c>
      <c r="D35" s="50">
        <v>12</v>
      </c>
      <c r="E35" s="50">
        <v>14</v>
      </c>
      <c r="F35" s="50">
        <v>120</v>
      </c>
      <c r="G35" s="50">
        <v>4</v>
      </c>
      <c r="H35" s="50">
        <v>0</v>
      </c>
      <c r="I35" s="50">
        <v>7</v>
      </c>
      <c r="J35" s="50">
        <v>10</v>
      </c>
      <c r="K35" s="50">
        <v>2</v>
      </c>
      <c r="L35" s="50">
        <v>6</v>
      </c>
      <c r="M35" s="50">
        <v>440</v>
      </c>
      <c r="N35" s="50">
        <v>0</v>
      </c>
      <c r="O35" s="15">
        <f t="shared" si="0"/>
        <v>235</v>
      </c>
      <c r="P35" s="15">
        <f t="shared" si="1"/>
        <v>675</v>
      </c>
      <c r="R35" s="38" t="s">
        <v>91</v>
      </c>
      <c r="S35" s="39">
        <f t="shared" ref="S35:AF35" si="27">MAX(S13:S18)</f>
        <v>425</v>
      </c>
      <c r="T35" s="39">
        <f t="shared" si="27"/>
        <v>111</v>
      </c>
      <c r="U35" s="39">
        <f t="shared" si="27"/>
        <v>95</v>
      </c>
      <c r="V35" s="39">
        <f t="shared" si="27"/>
        <v>521</v>
      </c>
      <c r="W35" s="39">
        <f t="shared" si="27"/>
        <v>12</v>
      </c>
      <c r="X35" s="39">
        <f t="shared" si="27"/>
        <v>4</v>
      </c>
      <c r="Y35" s="39">
        <f t="shared" si="27"/>
        <v>62</v>
      </c>
      <c r="Z35" s="39">
        <f t="shared" si="27"/>
        <v>36</v>
      </c>
      <c r="AA35" s="39">
        <f t="shared" si="27"/>
        <v>22</v>
      </c>
      <c r="AB35" s="39">
        <f t="shared" si="27"/>
        <v>25</v>
      </c>
      <c r="AC35" s="39">
        <f t="shared" si="27"/>
        <v>2012</v>
      </c>
      <c r="AD35" s="39">
        <f t="shared" si="27"/>
        <v>1</v>
      </c>
      <c r="AE35" s="40">
        <f t="shared" si="27"/>
        <v>1141</v>
      </c>
      <c r="AF35" s="40">
        <f t="shared" si="27"/>
        <v>3096</v>
      </c>
    </row>
    <row r="36" spans="2:32" ht="23.1" customHeight="1" x14ac:dyDescent="0.25">
      <c r="B36" s="46" t="s">
        <v>63</v>
      </c>
      <c r="C36" s="50">
        <v>79</v>
      </c>
      <c r="D36" s="50">
        <v>17</v>
      </c>
      <c r="E36" s="50">
        <v>12</v>
      </c>
      <c r="F36" s="50">
        <v>90</v>
      </c>
      <c r="G36" s="50">
        <v>2</v>
      </c>
      <c r="H36" s="50">
        <v>1</v>
      </c>
      <c r="I36" s="50">
        <v>5</v>
      </c>
      <c r="J36" s="50">
        <v>2</v>
      </c>
      <c r="K36" s="50">
        <v>3</v>
      </c>
      <c r="L36" s="50">
        <v>3</v>
      </c>
      <c r="M36" s="50">
        <v>447</v>
      </c>
      <c r="N36" s="50">
        <v>0</v>
      </c>
      <c r="O36" s="15">
        <f t="shared" si="0"/>
        <v>214</v>
      </c>
      <c r="P36" s="15">
        <f t="shared" si="1"/>
        <v>661</v>
      </c>
      <c r="R36" s="38" t="s">
        <v>92</v>
      </c>
      <c r="S36" s="39">
        <f t="shared" ref="S36:AF36" si="28">MAX(S19:S21)</f>
        <v>345</v>
      </c>
      <c r="T36" s="39">
        <f t="shared" si="28"/>
        <v>61</v>
      </c>
      <c r="U36" s="39">
        <f t="shared" si="28"/>
        <v>53</v>
      </c>
      <c r="V36" s="39">
        <f t="shared" si="28"/>
        <v>424</v>
      </c>
      <c r="W36" s="39">
        <f t="shared" si="28"/>
        <v>5</v>
      </c>
      <c r="X36" s="39">
        <f t="shared" si="28"/>
        <v>4</v>
      </c>
      <c r="Y36" s="39">
        <f t="shared" si="28"/>
        <v>34</v>
      </c>
      <c r="Z36" s="39">
        <f t="shared" si="28"/>
        <v>26</v>
      </c>
      <c r="AA36" s="39">
        <f t="shared" si="28"/>
        <v>17</v>
      </c>
      <c r="AB36" s="39">
        <f t="shared" si="28"/>
        <v>21</v>
      </c>
      <c r="AC36" s="39">
        <f t="shared" si="28"/>
        <v>2819</v>
      </c>
      <c r="AD36" s="39">
        <f t="shared" si="28"/>
        <v>2</v>
      </c>
      <c r="AE36" s="40">
        <f t="shared" si="28"/>
        <v>909</v>
      </c>
      <c r="AF36" s="40">
        <f t="shared" si="28"/>
        <v>3634</v>
      </c>
    </row>
    <row r="37" spans="2:32" ht="23.1" customHeight="1" x14ac:dyDescent="0.25">
      <c r="B37" s="45" t="s">
        <v>64</v>
      </c>
      <c r="C37" s="50">
        <v>83</v>
      </c>
      <c r="D37" s="50">
        <v>26</v>
      </c>
      <c r="E37" s="50">
        <v>24</v>
      </c>
      <c r="F37" s="50">
        <v>140</v>
      </c>
      <c r="G37" s="50">
        <v>4</v>
      </c>
      <c r="H37" s="50">
        <v>0</v>
      </c>
      <c r="I37" s="50">
        <v>11</v>
      </c>
      <c r="J37" s="50">
        <v>5</v>
      </c>
      <c r="K37" s="50">
        <v>1</v>
      </c>
      <c r="L37" s="50">
        <v>5</v>
      </c>
      <c r="M37" s="50">
        <v>475</v>
      </c>
      <c r="N37" s="50">
        <v>0</v>
      </c>
      <c r="O37" s="15">
        <f t="shared" si="0"/>
        <v>299</v>
      </c>
      <c r="P37" s="15">
        <f t="shared" si="1"/>
        <v>774</v>
      </c>
      <c r="R37" s="37" t="s">
        <v>85</v>
      </c>
      <c r="S37" s="35">
        <f t="shared" ref="S37:AF37" si="29">SUM(S10:S12)</f>
        <v>1349</v>
      </c>
      <c r="T37" s="16">
        <f t="shared" si="29"/>
        <v>1247</v>
      </c>
      <c r="U37" s="16">
        <f t="shared" si="29"/>
        <v>198</v>
      </c>
      <c r="V37" s="16">
        <f t="shared" si="29"/>
        <v>970</v>
      </c>
      <c r="W37" s="16">
        <f t="shared" si="29"/>
        <v>19</v>
      </c>
      <c r="X37" s="16">
        <f t="shared" si="29"/>
        <v>1</v>
      </c>
      <c r="Y37" s="16">
        <f t="shared" si="29"/>
        <v>62</v>
      </c>
      <c r="Z37" s="16">
        <f t="shared" si="29"/>
        <v>41</v>
      </c>
      <c r="AA37" s="16">
        <f t="shared" si="29"/>
        <v>19</v>
      </c>
      <c r="AB37" s="16">
        <f t="shared" si="29"/>
        <v>28</v>
      </c>
      <c r="AC37" s="16">
        <f t="shared" si="29"/>
        <v>6600</v>
      </c>
      <c r="AD37" s="16">
        <f t="shared" si="29"/>
        <v>2</v>
      </c>
      <c r="AE37" s="32">
        <f t="shared" si="29"/>
        <v>3936</v>
      </c>
      <c r="AF37" s="32">
        <f t="shared" si="29"/>
        <v>10536</v>
      </c>
    </row>
    <row r="38" spans="2:32" ht="23.1" customHeight="1" x14ac:dyDescent="0.25">
      <c r="B38" s="46" t="s">
        <v>65</v>
      </c>
      <c r="C38" s="50">
        <v>65</v>
      </c>
      <c r="D38" s="50">
        <v>14</v>
      </c>
      <c r="E38" s="50">
        <v>15</v>
      </c>
      <c r="F38" s="50">
        <v>115</v>
      </c>
      <c r="G38" s="50">
        <v>3</v>
      </c>
      <c r="H38" s="50">
        <v>0</v>
      </c>
      <c r="I38" s="50">
        <v>6</v>
      </c>
      <c r="J38" s="50">
        <v>6</v>
      </c>
      <c r="K38" s="50">
        <v>1</v>
      </c>
      <c r="L38" s="50">
        <v>7</v>
      </c>
      <c r="M38" s="50">
        <v>424</v>
      </c>
      <c r="N38" s="50">
        <v>0</v>
      </c>
      <c r="O38" s="15">
        <f t="shared" si="0"/>
        <v>232</v>
      </c>
      <c r="P38" s="15">
        <f t="shared" si="1"/>
        <v>656</v>
      </c>
      <c r="R38" s="28" t="s">
        <v>86</v>
      </c>
      <c r="S38" s="16">
        <f t="shared" ref="S38:AF38" si="30">SUM(S13:S18)</f>
        <v>2069</v>
      </c>
      <c r="T38" s="16">
        <f t="shared" si="30"/>
        <v>406</v>
      </c>
      <c r="U38" s="16">
        <f t="shared" si="30"/>
        <v>384</v>
      </c>
      <c r="V38" s="16">
        <f t="shared" si="30"/>
        <v>2747</v>
      </c>
      <c r="W38" s="16">
        <f t="shared" si="30"/>
        <v>51</v>
      </c>
      <c r="X38" s="16">
        <f t="shared" si="30"/>
        <v>9</v>
      </c>
      <c r="Y38" s="16">
        <f t="shared" si="30"/>
        <v>277</v>
      </c>
      <c r="Z38" s="16">
        <f t="shared" si="30"/>
        <v>168</v>
      </c>
      <c r="AA38" s="16">
        <f t="shared" si="30"/>
        <v>76</v>
      </c>
      <c r="AB38" s="16">
        <f t="shared" si="30"/>
        <v>113</v>
      </c>
      <c r="AC38" s="16">
        <f t="shared" si="30"/>
        <v>10922</v>
      </c>
      <c r="AD38" s="16">
        <f t="shared" si="30"/>
        <v>4</v>
      </c>
      <c r="AE38" s="32">
        <f t="shared" si="30"/>
        <v>6304</v>
      </c>
      <c r="AF38" s="32">
        <f t="shared" si="30"/>
        <v>17226</v>
      </c>
    </row>
    <row r="39" spans="2:32" ht="23.1" customHeight="1" x14ac:dyDescent="0.25">
      <c r="B39" s="46" t="s">
        <v>66</v>
      </c>
      <c r="C39" s="50">
        <v>60</v>
      </c>
      <c r="D39" s="50">
        <v>16</v>
      </c>
      <c r="E39" s="50">
        <v>19</v>
      </c>
      <c r="F39" s="50">
        <v>130</v>
      </c>
      <c r="G39" s="50">
        <v>3</v>
      </c>
      <c r="H39" s="50">
        <v>0</v>
      </c>
      <c r="I39" s="50">
        <v>10</v>
      </c>
      <c r="J39" s="50">
        <v>5</v>
      </c>
      <c r="K39" s="50">
        <v>6</v>
      </c>
      <c r="L39" s="50">
        <v>7</v>
      </c>
      <c r="M39" s="50">
        <v>403</v>
      </c>
      <c r="N39" s="50">
        <v>0</v>
      </c>
      <c r="O39" s="15">
        <f t="shared" si="0"/>
        <v>256</v>
      </c>
      <c r="P39" s="15">
        <f t="shared" si="1"/>
        <v>659</v>
      </c>
      <c r="R39" s="29" t="s">
        <v>87</v>
      </c>
      <c r="S39" s="16">
        <f t="shared" ref="S39:AF39" si="31">SUM(S19:S21)</f>
        <v>831</v>
      </c>
      <c r="T39" s="16">
        <f t="shared" si="31"/>
        <v>160</v>
      </c>
      <c r="U39" s="16">
        <f t="shared" si="31"/>
        <v>148</v>
      </c>
      <c r="V39" s="16">
        <f t="shared" si="31"/>
        <v>952</v>
      </c>
      <c r="W39" s="16">
        <f t="shared" si="31"/>
        <v>13</v>
      </c>
      <c r="X39" s="16">
        <f t="shared" si="31"/>
        <v>6</v>
      </c>
      <c r="Y39" s="16">
        <f t="shared" si="31"/>
        <v>98</v>
      </c>
      <c r="Z39" s="16">
        <f t="shared" si="31"/>
        <v>67</v>
      </c>
      <c r="AA39" s="16">
        <f t="shared" si="31"/>
        <v>37</v>
      </c>
      <c r="AB39" s="16">
        <f t="shared" si="31"/>
        <v>43</v>
      </c>
      <c r="AC39" s="16">
        <f t="shared" si="31"/>
        <v>7561</v>
      </c>
      <c r="AD39" s="16">
        <f t="shared" si="31"/>
        <v>5</v>
      </c>
      <c r="AE39" s="32">
        <f t="shared" si="31"/>
        <v>2360</v>
      </c>
      <c r="AF39" s="32">
        <f t="shared" si="31"/>
        <v>9921</v>
      </c>
    </row>
    <row r="40" spans="2:32" ht="23.1" customHeight="1" x14ac:dyDescent="0.25">
      <c r="B40" s="46" t="s">
        <v>67</v>
      </c>
      <c r="C40" s="50">
        <v>78</v>
      </c>
      <c r="D40" s="50">
        <v>26</v>
      </c>
      <c r="E40" s="50">
        <v>22</v>
      </c>
      <c r="F40" s="50">
        <v>90</v>
      </c>
      <c r="G40" s="50">
        <v>4</v>
      </c>
      <c r="H40" s="50">
        <v>1</v>
      </c>
      <c r="I40" s="50">
        <v>18</v>
      </c>
      <c r="J40" s="50">
        <v>11</v>
      </c>
      <c r="K40" s="50">
        <v>0</v>
      </c>
      <c r="L40" s="50">
        <v>8</v>
      </c>
      <c r="M40" s="50">
        <v>448</v>
      </c>
      <c r="N40" s="50">
        <v>0</v>
      </c>
      <c r="O40" s="15">
        <f t="shared" si="0"/>
        <v>258</v>
      </c>
      <c r="P40" s="15">
        <f t="shared" si="1"/>
        <v>706</v>
      </c>
      <c r="R40" s="5" t="s">
        <v>17</v>
      </c>
      <c r="S40" s="16">
        <f t="shared" ref="S40:AF40" si="32">SUM(S10:S21)</f>
        <v>4249</v>
      </c>
      <c r="T40" s="16">
        <f t="shared" si="32"/>
        <v>1813</v>
      </c>
      <c r="U40" s="16">
        <f t="shared" si="32"/>
        <v>730</v>
      </c>
      <c r="V40" s="16">
        <f t="shared" si="32"/>
        <v>4669</v>
      </c>
      <c r="W40" s="16">
        <f t="shared" si="32"/>
        <v>83</v>
      </c>
      <c r="X40" s="16">
        <f t="shared" si="32"/>
        <v>16</v>
      </c>
      <c r="Y40" s="16">
        <f t="shared" si="32"/>
        <v>437</v>
      </c>
      <c r="Z40" s="16">
        <f t="shared" si="32"/>
        <v>276</v>
      </c>
      <c r="AA40" s="16">
        <f t="shared" si="32"/>
        <v>132</v>
      </c>
      <c r="AB40" s="16">
        <f t="shared" si="32"/>
        <v>184</v>
      </c>
      <c r="AC40" s="16">
        <f t="shared" si="32"/>
        <v>25083</v>
      </c>
      <c r="AD40" s="16">
        <f t="shared" si="32"/>
        <v>11</v>
      </c>
      <c r="AE40" s="32">
        <f t="shared" si="32"/>
        <v>12600</v>
      </c>
      <c r="AF40" s="32">
        <f t="shared" si="32"/>
        <v>37683</v>
      </c>
    </row>
    <row r="41" spans="2:32" ht="23.1" customHeight="1" x14ac:dyDescent="0.25">
      <c r="B41" s="45" t="s">
        <v>68</v>
      </c>
      <c r="C41" s="50">
        <v>78</v>
      </c>
      <c r="D41" s="50">
        <v>55</v>
      </c>
      <c r="E41" s="50">
        <v>39</v>
      </c>
      <c r="F41" s="50">
        <v>115</v>
      </c>
      <c r="G41" s="50">
        <v>2</v>
      </c>
      <c r="H41" s="50">
        <v>0</v>
      </c>
      <c r="I41" s="50">
        <v>9</v>
      </c>
      <c r="J41" s="50">
        <v>7</v>
      </c>
      <c r="K41" s="50">
        <v>3</v>
      </c>
      <c r="L41" s="50">
        <v>3</v>
      </c>
      <c r="M41" s="50">
        <v>471</v>
      </c>
      <c r="N41" s="50">
        <v>0</v>
      </c>
      <c r="O41" s="15">
        <f t="shared" si="0"/>
        <v>311</v>
      </c>
      <c r="P41" s="15">
        <f t="shared" si="1"/>
        <v>782</v>
      </c>
      <c r="R41" s="5" t="s">
        <v>159</v>
      </c>
      <c r="S41" s="16">
        <f>SUM(S10:S33)</f>
        <v>5775</v>
      </c>
      <c r="T41" s="16">
        <f t="shared" ref="T41:AF41" si="33">SUM(T10:T33)</f>
        <v>2051</v>
      </c>
      <c r="U41" s="16">
        <f t="shared" si="33"/>
        <v>855</v>
      </c>
      <c r="V41" s="16">
        <f t="shared" si="33"/>
        <v>6006</v>
      </c>
      <c r="W41" s="16">
        <f t="shared" si="33"/>
        <v>183</v>
      </c>
      <c r="X41" s="16">
        <f t="shared" si="33"/>
        <v>33</v>
      </c>
      <c r="Y41" s="16">
        <f t="shared" si="33"/>
        <v>560</v>
      </c>
      <c r="Z41" s="16">
        <f t="shared" si="33"/>
        <v>343</v>
      </c>
      <c r="AA41" s="16">
        <f t="shared" si="33"/>
        <v>179</v>
      </c>
      <c r="AB41" s="16">
        <f t="shared" si="33"/>
        <v>259</v>
      </c>
      <c r="AC41" s="16">
        <f t="shared" si="33"/>
        <v>30478</v>
      </c>
      <c r="AD41" s="16">
        <f t="shared" si="33"/>
        <v>14</v>
      </c>
      <c r="AE41" s="32">
        <f t="shared" si="33"/>
        <v>16258</v>
      </c>
      <c r="AF41" s="32">
        <f t="shared" si="33"/>
        <v>46736</v>
      </c>
    </row>
    <row r="42" spans="2:32" ht="23.1" customHeight="1" x14ac:dyDescent="0.25">
      <c r="B42" s="46" t="s">
        <v>69</v>
      </c>
      <c r="C42" s="50">
        <v>130</v>
      </c>
      <c r="D42" s="50">
        <v>17</v>
      </c>
      <c r="E42" s="50">
        <v>18</v>
      </c>
      <c r="F42" s="50">
        <v>123</v>
      </c>
      <c r="G42" s="50">
        <v>1</v>
      </c>
      <c r="H42" s="50">
        <v>0</v>
      </c>
      <c r="I42" s="50">
        <v>5</v>
      </c>
      <c r="J42" s="50">
        <v>6</v>
      </c>
      <c r="K42" s="50">
        <v>3</v>
      </c>
      <c r="L42" s="50">
        <v>5</v>
      </c>
      <c r="M42" s="50">
        <v>468</v>
      </c>
      <c r="N42" s="50">
        <v>0</v>
      </c>
      <c r="O42" s="15">
        <f t="shared" si="0"/>
        <v>308</v>
      </c>
      <c r="P42" s="15">
        <f t="shared" si="1"/>
        <v>776</v>
      </c>
      <c r="R42" s="5" t="s">
        <v>160</v>
      </c>
      <c r="S42" s="48">
        <f>S41/S40</f>
        <v>1.3591433278418452</v>
      </c>
      <c r="T42" s="48">
        <f t="shared" ref="T42:AF42" si="34">T41/T40</f>
        <v>1.1312741312741312</v>
      </c>
      <c r="U42" s="48">
        <f t="shared" si="34"/>
        <v>1.1712328767123288</v>
      </c>
      <c r="V42" s="48">
        <f t="shared" si="34"/>
        <v>1.2863568215892054</v>
      </c>
      <c r="W42" s="48">
        <f t="shared" si="34"/>
        <v>2.2048192771084336</v>
      </c>
      <c r="X42" s="48">
        <f t="shared" si="34"/>
        <v>2.0625</v>
      </c>
      <c r="Y42" s="48">
        <f t="shared" si="34"/>
        <v>1.2814645308924486</v>
      </c>
      <c r="Z42" s="48">
        <f t="shared" si="34"/>
        <v>1.2427536231884058</v>
      </c>
      <c r="AA42" s="48">
        <f t="shared" si="34"/>
        <v>1.356060606060606</v>
      </c>
      <c r="AB42" s="48">
        <f t="shared" si="34"/>
        <v>1.4076086956521738</v>
      </c>
      <c r="AC42" s="48">
        <f t="shared" si="34"/>
        <v>1.2150859147629869</v>
      </c>
      <c r="AD42" s="48">
        <f t="shared" si="34"/>
        <v>1.2727272727272727</v>
      </c>
      <c r="AE42" s="48">
        <f t="shared" si="34"/>
        <v>1.2903174603174603</v>
      </c>
      <c r="AF42" s="48">
        <f t="shared" si="34"/>
        <v>1.2402409574609241</v>
      </c>
    </row>
    <row r="43" spans="2:32" ht="23.1" customHeight="1" x14ac:dyDescent="0.25">
      <c r="B43" s="45" t="s">
        <v>70</v>
      </c>
      <c r="C43" s="50">
        <v>100</v>
      </c>
      <c r="D43" s="50">
        <v>15</v>
      </c>
      <c r="E43" s="50">
        <v>30</v>
      </c>
      <c r="F43" s="50">
        <v>117</v>
      </c>
      <c r="G43" s="50">
        <v>2</v>
      </c>
      <c r="H43" s="50">
        <v>0</v>
      </c>
      <c r="I43" s="50">
        <v>16</v>
      </c>
      <c r="J43" s="50">
        <v>17</v>
      </c>
      <c r="K43" s="50">
        <v>5</v>
      </c>
      <c r="L43" s="50">
        <v>8</v>
      </c>
      <c r="M43" s="50">
        <v>503</v>
      </c>
      <c r="N43" s="50">
        <v>1</v>
      </c>
      <c r="O43" s="15">
        <f t="shared" si="0"/>
        <v>311</v>
      </c>
      <c r="P43" s="15">
        <f t="shared" si="1"/>
        <v>814</v>
      </c>
    </row>
    <row r="44" spans="2:32" ht="23.1" customHeight="1" x14ac:dyDescent="0.25">
      <c r="B44" s="47" t="s">
        <v>71</v>
      </c>
      <c r="C44" s="50">
        <v>90</v>
      </c>
      <c r="D44" s="50">
        <v>10</v>
      </c>
      <c r="E44" s="50">
        <v>14</v>
      </c>
      <c r="F44" s="50">
        <v>131</v>
      </c>
      <c r="G44" s="50">
        <v>2</v>
      </c>
      <c r="H44" s="50">
        <v>0</v>
      </c>
      <c r="I44" s="50">
        <v>5</v>
      </c>
      <c r="J44" s="50">
        <v>6</v>
      </c>
      <c r="K44" s="50">
        <v>2</v>
      </c>
      <c r="L44" s="50">
        <v>3</v>
      </c>
      <c r="M44" s="50">
        <v>511</v>
      </c>
      <c r="N44" s="50">
        <v>0</v>
      </c>
      <c r="O44" s="15">
        <f t="shared" si="0"/>
        <v>263</v>
      </c>
      <c r="P44" s="15">
        <f t="shared" si="1"/>
        <v>774</v>
      </c>
    </row>
    <row r="45" spans="2:32" ht="23.1" customHeight="1" x14ac:dyDescent="0.25">
      <c r="B45" s="45" t="s">
        <v>72</v>
      </c>
      <c r="C45" s="50">
        <v>81</v>
      </c>
      <c r="D45" s="50">
        <v>14</v>
      </c>
      <c r="E45" s="50">
        <v>8</v>
      </c>
      <c r="F45" s="50">
        <v>69</v>
      </c>
      <c r="G45" s="50">
        <v>1</v>
      </c>
      <c r="H45" s="50">
        <v>0</v>
      </c>
      <c r="I45" s="50">
        <v>14</v>
      </c>
      <c r="J45" s="50">
        <v>5</v>
      </c>
      <c r="K45" s="50">
        <v>6</v>
      </c>
      <c r="L45" s="50">
        <v>4</v>
      </c>
      <c r="M45" s="50">
        <v>530</v>
      </c>
      <c r="N45" s="50">
        <v>0</v>
      </c>
      <c r="O45" s="15">
        <f t="shared" si="0"/>
        <v>202</v>
      </c>
      <c r="P45" s="15">
        <f t="shared" si="1"/>
        <v>732</v>
      </c>
    </row>
    <row r="46" spans="2:32" ht="23.1" customHeight="1" x14ac:dyDescent="0.25">
      <c r="B46" s="46" t="s">
        <v>73</v>
      </c>
      <c r="C46" s="50">
        <v>48</v>
      </c>
      <c r="D46" s="50">
        <v>8</v>
      </c>
      <c r="E46" s="50">
        <v>11</v>
      </c>
      <c r="F46" s="50">
        <v>124</v>
      </c>
      <c r="G46" s="50">
        <v>1</v>
      </c>
      <c r="H46" s="50">
        <v>0</v>
      </c>
      <c r="I46" s="50">
        <v>10</v>
      </c>
      <c r="J46" s="50">
        <v>4</v>
      </c>
      <c r="K46" s="50">
        <v>6</v>
      </c>
      <c r="L46" s="50">
        <v>5</v>
      </c>
      <c r="M46" s="50">
        <v>534</v>
      </c>
      <c r="N46" s="50">
        <v>0</v>
      </c>
      <c r="O46" s="15">
        <f t="shared" si="0"/>
        <v>217</v>
      </c>
      <c r="P46" s="15">
        <f t="shared" si="1"/>
        <v>751</v>
      </c>
      <c r="R46" s="8"/>
      <c r="T46"/>
    </row>
    <row r="47" spans="2:32" ht="23.1" customHeight="1" x14ac:dyDescent="0.25">
      <c r="B47" s="46" t="s">
        <v>74</v>
      </c>
      <c r="C47" s="50">
        <v>60</v>
      </c>
      <c r="D47" s="50">
        <v>6</v>
      </c>
      <c r="E47" s="50">
        <v>9</v>
      </c>
      <c r="F47" s="50">
        <v>105</v>
      </c>
      <c r="G47" s="50">
        <v>0</v>
      </c>
      <c r="H47" s="50">
        <v>0</v>
      </c>
      <c r="I47" s="50">
        <v>10</v>
      </c>
      <c r="J47" s="50">
        <v>9</v>
      </c>
      <c r="K47" s="50">
        <v>1</v>
      </c>
      <c r="L47" s="50">
        <v>1</v>
      </c>
      <c r="M47" s="50">
        <v>603</v>
      </c>
      <c r="N47" s="50">
        <v>0</v>
      </c>
      <c r="O47" s="15">
        <f t="shared" si="0"/>
        <v>201</v>
      </c>
      <c r="P47" s="15">
        <f t="shared" si="1"/>
        <v>804</v>
      </c>
      <c r="R47" s="8"/>
      <c r="T47"/>
    </row>
    <row r="48" spans="2:32" ht="23.1" customHeight="1" x14ac:dyDescent="0.25">
      <c r="B48" s="46" t="s">
        <v>75</v>
      </c>
      <c r="C48" s="50">
        <v>105</v>
      </c>
      <c r="D48" s="50">
        <v>11</v>
      </c>
      <c r="E48" s="50">
        <v>10</v>
      </c>
      <c r="F48" s="50">
        <v>110</v>
      </c>
      <c r="G48" s="50">
        <v>3</v>
      </c>
      <c r="H48" s="50">
        <v>1</v>
      </c>
      <c r="I48" s="50">
        <v>7</v>
      </c>
      <c r="J48" s="50">
        <v>7</v>
      </c>
      <c r="K48" s="50">
        <v>2</v>
      </c>
      <c r="L48" s="50">
        <v>4</v>
      </c>
      <c r="M48" s="50">
        <v>555</v>
      </c>
      <c r="N48" s="50">
        <v>1</v>
      </c>
      <c r="O48" s="15">
        <f t="shared" si="0"/>
        <v>261</v>
      </c>
      <c r="P48" s="15">
        <f t="shared" si="1"/>
        <v>816</v>
      </c>
      <c r="R48" s="8"/>
      <c r="T48"/>
    </row>
    <row r="49" spans="2:20" ht="23.1" customHeight="1" x14ac:dyDescent="0.25">
      <c r="B49" s="45" t="s">
        <v>76</v>
      </c>
      <c r="C49" s="50">
        <v>85</v>
      </c>
      <c r="D49" s="50">
        <v>20</v>
      </c>
      <c r="E49" s="50">
        <v>21</v>
      </c>
      <c r="F49" s="50">
        <v>85</v>
      </c>
      <c r="G49" s="50">
        <v>1</v>
      </c>
      <c r="H49" s="50">
        <v>0</v>
      </c>
      <c r="I49" s="50">
        <v>7</v>
      </c>
      <c r="J49" s="50">
        <v>6</v>
      </c>
      <c r="K49" s="50">
        <v>2</v>
      </c>
      <c r="L49" s="50">
        <v>2</v>
      </c>
      <c r="M49" s="50">
        <v>505</v>
      </c>
      <c r="N49" s="50">
        <v>1</v>
      </c>
      <c r="O49" s="15">
        <f t="shared" si="0"/>
        <v>230</v>
      </c>
      <c r="P49" s="15">
        <f t="shared" si="1"/>
        <v>735</v>
      </c>
      <c r="R49" s="8"/>
      <c r="T49"/>
    </row>
    <row r="50" spans="2:20" ht="23.1" customHeight="1" x14ac:dyDescent="0.25">
      <c r="B50" s="46" t="s">
        <v>77</v>
      </c>
      <c r="C50" s="50">
        <v>46</v>
      </c>
      <c r="D50" s="50">
        <v>17</v>
      </c>
      <c r="E50" s="50">
        <v>10</v>
      </c>
      <c r="F50" s="50">
        <v>55</v>
      </c>
      <c r="G50" s="50">
        <v>1</v>
      </c>
      <c r="H50" s="50">
        <v>0</v>
      </c>
      <c r="I50" s="50">
        <v>9</v>
      </c>
      <c r="J50" s="50">
        <v>6</v>
      </c>
      <c r="K50" s="50">
        <v>0</v>
      </c>
      <c r="L50" s="50">
        <v>4</v>
      </c>
      <c r="M50" s="50">
        <v>620</v>
      </c>
      <c r="N50" s="50">
        <v>0</v>
      </c>
      <c r="O50" s="15">
        <f t="shared" si="0"/>
        <v>148</v>
      </c>
      <c r="P50" s="15">
        <f t="shared" si="1"/>
        <v>768</v>
      </c>
      <c r="R50" s="8"/>
      <c r="T50"/>
    </row>
    <row r="51" spans="2:20" ht="23.1" customHeight="1" x14ac:dyDescent="0.25">
      <c r="B51" s="46" t="s">
        <v>78</v>
      </c>
      <c r="C51" s="50">
        <v>53</v>
      </c>
      <c r="D51" s="50">
        <v>14</v>
      </c>
      <c r="E51" s="50">
        <v>16</v>
      </c>
      <c r="F51" s="50">
        <v>54</v>
      </c>
      <c r="G51" s="50">
        <v>1</v>
      </c>
      <c r="H51" s="50">
        <v>0</v>
      </c>
      <c r="I51" s="50">
        <v>9</v>
      </c>
      <c r="J51" s="50">
        <v>2</v>
      </c>
      <c r="K51" s="50">
        <v>4</v>
      </c>
      <c r="L51" s="50">
        <v>2</v>
      </c>
      <c r="M51" s="50">
        <v>588</v>
      </c>
      <c r="N51" s="50">
        <v>0</v>
      </c>
      <c r="O51" s="15">
        <f t="shared" si="0"/>
        <v>155</v>
      </c>
      <c r="P51" s="15">
        <f t="shared" si="1"/>
        <v>743</v>
      </c>
      <c r="R51" s="8"/>
      <c r="T51"/>
    </row>
    <row r="52" spans="2:20" ht="23.1" customHeight="1" x14ac:dyDescent="0.25">
      <c r="B52" s="46" t="s">
        <v>79</v>
      </c>
      <c r="C52" s="50">
        <v>59</v>
      </c>
      <c r="D52" s="50">
        <v>15</v>
      </c>
      <c r="E52" s="50">
        <v>12</v>
      </c>
      <c r="F52" s="50">
        <v>70</v>
      </c>
      <c r="G52" s="50">
        <v>1</v>
      </c>
      <c r="H52" s="50">
        <v>1</v>
      </c>
      <c r="I52" s="50">
        <v>9</v>
      </c>
      <c r="J52" s="50">
        <v>3</v>
      </c>
      <c r="K52" s="50">
        <v>2</v>
      </c>
      <c r="L52" s="50">
        <v>3</v>
      </c>
      <c r="M52" s="50">
        <v>585</v>
      </c>
      <c r="N52" s="50">
        <v>0</v>
      </c>
      <c r="O52" s="15">
        <f t="shared" si="0"/>
        <v>175</v>
      </c>
      <c r="P52" s="15">
        <f t="shared" si="1"/>
        <v>760</v>
      </c>
      <c r="R52" s="8"/>
      <c r="T52"/>
    </row>
    <row r="53" spans="2:20" ht="23.1" customHeight="1" x14ac:dyDescent="0.25">
      <c r="B53" s="45" t="s">
        <v>80</v>
      </c>
      <c r="C53" s="50">
        <v>30</v>
      </c>
      <c r="D53" s="50">
        <v>8</v>
      </c>
      <c r="E53" s="50">
        <v>6</v>
      </c>
      <c r="F53" s="50">
        <v>94</v>
      </c>
      <c r="G53" s="50">
        <v>2</v>
      </c>
      <c r="H53" s="50">
        <v>0</v>
      </c>
      <c r="I53" s="50">
        <v>6</v>
      </c>
      <c r="J53" s="50">
        <v>7</v>
      </c>
      <c r="K53" s="50">
        <v>3</v>
      </c>
      <c r="L53" s="50">
        <v>1</v>
      </c>
      <c r="M53" s="50">
        <v>752</v>
      </c>
      <c r="N53" s="50">
        <v>1</v>
      </c>
      <c r="O53" s="15">
        <f t="shared" si="0"/>
        <v>158</v>
      </c>
      <c r="P53" s="15">
        <f t="shared" si="1"/>
        <v>910</v>
      </c>
      <c r="R53" s="8"/>
      <c r="T53"/>
    </row>
    <row r="54" spans="2:20" ht="23.1" customHeight="1" x14ac:dyDescent="0.25">
      <c r="B54" s="45" t="s">
        <v>81</v>
      </c>
      <c r="C54" s="50">
        <v>60</v>
      </c>
      <c r="D54" s="50">
        <v>22</v>
      </c>
      <c r="E54" s="50">
        <v>12</v>
      </c>
      <c r="F54" s="50">
        <v>55</v>
      </c>
      <c r="G54" s="50">
        <v>2</v>
      </c>
      <c r="H54" s="50">
        <v>1</v>
      </c>
      <c r="I54" s="50">
        <v>18</v>
      </c>
      <c r="J54" s="50">
        <v>7</v>
      </c>
      <c r="K54" s="50">
        <v>4</v>
      </c>
      <c r="L54" s="50">
        <v>5</v>
      </c>
      <c r="M54" s="50">
        <v>705</v>
      </c>
      <c r="N54" s="50">
        <v>1</v>
      </c>
      <c r="O54" s="15">
        <f t="shared" si="0"/>
        <v>187</v>
      </c>
      <c r="P54" s="15">
        <f t="shared" si="1"/>
        <v>892</v>
      </c>
      <c r="R54" s="8"/>
      <c r="T54"/>
    </row>
    <row r="55" spans="2:20" ht="23.1" customHeight="1" x14ac:dyDescent="0.25">
      <c r="B55" s="45" t="s">
        <v>82</v>
      </c>
      <c r="C55" s="50">
        <v>75</v>
      </c>
      <c r="D55" s="50">
        <v>6</v>
      </c>
      <c r="E55" s="50">
        <v>9</v>
      </c>
      <c r="F55" s="50">
        <v>85</v>
      </c>
      <c r="G55" s="50">
        <v>1</v>
      </c>
      <c r="H55" s="50">
        <v>0</v>
      </c>
      <c r="I55" s="50">
        <v>2</v>
      </c>
      <c r="J55" s="50">
        <v>3</v>
      </c>
      <c r="K55" s="50">
        <v>0</v>
      </c>
      <c r="L55" s="50">
        <v>1</v>
      </c>
      <c r="M55" s="50">
        <v>693</v>
      </c>
      <c r="N55" s="50">
        <v>0</v>
      </c>
      <c r="O55" s="15">
        <f t="shared" si="0"/>
        <v>182</v>
      </c>
      <c r="P55" s="15">
        <f t="shared" si="1"/>
        <v>875</v>
      </c>
      <c r="R55" s="8"/>
      <c r="T55"/>
    </row>
    <row r="56" spans="2:20" ht="23.1" customHeight="1" x14ac:dyDescent="0.25">
      <c r="B56" s="45" t="s">
        <v>83</v>
      </c>
      <c r="C56" s="50">
        <v>120</v>
      </c>
      <c r="D56" s="50">
        <v>14</v>
      </c>
      <c r="E56" s="50">
        <v>17</v>
      </c>
      <c r="F56" s="50">
        <v>75</v>
      </c>
      <c r="G56" s="50">
        <v>0</v>
      </c>
      <c r="H56" s="50">
        <v>1</v>
      </c>
      <c r="I56" s="50">
        <v>8</v>
      </c>
      <c r="J56" s="50">
        <v>8</v>
      </c>
      <c r="K56" s="50">
        <v>9</v>
      </c>
      <c r="L56" s="50">
        <v>8</v>
      </c>
      <c r="M56" s="50">
        <v>706</v>
      </c>
      <c r="N56" s="50">
        <v>0</v>
      </c>
      <c r="O56" s="15">
        <f t="shared" si="0"/>
        <v>260</v>
      </c>
      <c r="P56" s="15">
        <f t="shared" si="1"/>
        <v>966</v>
      </c>
      <c r="R56" s="8"/>
      <c r="T56"/>
    </row>
    <row r="57" spans="2:20" ht="23.1" customHeight="1" x14ac:dyDescent="0.25">
      <c r="B57" s="45" t="s">
        <v>84</v>
      </c>
      <c r="C57" s="50">
        <v>90</v>
      </c>
      <c r="D57" s="50">
        <v>19</v>
      </c>
      <c r="E57" s="50">
        <v>15</v>
      </c>
      <c r="F57" s="50">
        <v>40</v>
      </c>
      <c r="G57" s="50">
        <v>0</v>
      </c>
      <c r="H57" s="50">
        <v>2</v>
      </c>
      <c r="I57" s="50">
        <v>3</v>
      </c>
      <c r="J57" s="50">
        <v>5</v>
      </c>
      <c r="K57" s="50">
        <v>4</v>
      </c>
      <c r="L57" s="50">
        <v>7</v>
      </c>
      <c r="M57" s="50">
        <v>715</v>
      </c>
      <c r="N57" s="50">
        <v>1</v>
      </c>
      <c r="O57" s="15">
        <f t="shared" si="0"/>
        <v>186</v>
      </c>
      <c r="P57" s="15">
        <f t="shared" si="1"/>
        <v>901</v>
      </c>
      <c r="R57" s="8"/>
      <c r="T57"/>
    </row>
    <row r="58" spans="2:20" ht="23.1" customHeight="1" x14ac:dyDescent="0.25">
      <c r="B58" s="45" t="s">
        <v>99</v>
      </c>
      <c r="C58" s="50">
        <v>32</v>
      </c>
      <c r="D58" s="50">
        <v>2</v>
      </c>
      <c r="E58" s="50">
        <v>6</v>
      </c>
      <c r="F58" s="50">
        <v>51</v>
      </c>
      <c r="G58" s="50">
        <v>60</v>
      </c>
      <c r="H58" s="50">
        <v>1</v>
      </c>
      <c r="I58" s="50">
        <v>7</v>
      </c>
      <c r="J58" s="50">
        <v>5</v>
      </c>
      <c r="K58" s="50">
        <v>4</v>
      </c>
      <c r="L58" s="50">
        <v>2</v>
      </c>
      <c r="M58" s="50">
        <v>450</v>
      </c>
      <c r="N58" s="50">
        <v>0</v>
      </c>
      <c r="O58" s="15">
        <f t="shared" si="0"/>
        <v>170</v>
      </c>
      <c r="P58" s="15">
        <f t="shared" si="1"/>
        <v>620</v>
      </c>
      <c r="R58" s="8"/>
      <c r="T58"/>
    </row>
    <row r="59" spans="2:20" ht="23.1" customHeight="1" x14ac:dyDescent="0.25">
      <c r="B59" s="45" t="s">
        <v>100</v>
      </c>
      <c r="C59" s="50">
        <v>35</v>
      </c>
      <c r="D59" s="50">
        <v>6</v>
      </c>
      <c r="E59" s="50">
        <v>2</v>
      </c>
      <c r="F59" s="50">
        <v>55</v>
      </c>
      <c r="G59" s="50">
        <v>21</v>
      </c>
      <c r="H59" s="50">
        <v>2</v>
      </c>
      <c r="I59" s="50">
        <v>8</v>
      </c>
      <c r="J59" s="50">
        <v>4</v>
      </c>
      <c r="K59" s="50">
        <v>1</v>
      </c>
      <c r="L59" s="50">
        <v>1</v>
      </c>
      <c r="M59" s="50">
        <v>415</v>
      </c>
      <c r="N59" s="50">
        <v>2</v>
      </c>
      <c r="O59" s="15">
        <f t="shared" si="0"/>
        <v>137</v>
      </c>
      <c r="P59" s="15">
        <f t="shared" si="1"/>
        <v>552</v>
      </c>
      <c r="R59" s="8"/>
      <c r="T59"/>
    </row>
    <row r="60" spans="2:20" ht="23.1" customHeight="1" x14ac:dyDescent="0.25">
      <c r="B60" s="45" t="s">
        <v>101</v>
      </c>
      <c r="C60" s="50">
        <v>18</v>
      </c>
      <c r="D60" s="50">
        <v>2</v>
      </c>
      <c r="E60" s="50">
        <v>3</v>
      </c>
      <c r="F60" s="50">
        <v>81</v>
      </c>
      <c r="G60" s="50">
        <v>0</v>
      </c>
      <c r="H60" s="50">
        <v>0</v>
      </c>
      <c r="I60" s="50">
        <v>8</v>
      </c>
      <c r="J60" s="50">
        <v>1</v>
      </c>
      <c r="K60" s="50">
        <v>1</v>
      </c>
      <c r="L60" s="50">
        <v>2</v>
      </c>
      <c r="M60" s="50">
        <v>488</v>
      </c>
      <c r="N60" s="50">
        <v>0</v>
      </c>
      <c r="O60" s="15">
        <f t="shared" si="0"/>
        <v>116</v>
      </c>
      <c r="P60" s="15">
        <f t="shared" si="1"/>
        <v>604</v>
      </c>
      <c r="R60" s="8"/>
      <c r="T60"/>
    </row>
    <row r="61" spans="2:20" ht="23.1" customHeight="1" x14ac:dyDescent="0.25">
      <c r="B61" s="45" t="s">
        <v>102</v>
      </c>
      <c r="C61" s="50">
        <v>22</v>
      </c>
      <c r="D61" s="50">
        <v>3</v>
      </c>
      <c r="E61" s="50">
        <v>3</v>
      </c>
      <c r="F61" s="50">
        <v>100</v>
      </c>
      <c r="G61" s="50">
        <v>3</v>
      </c>
      <c r="H61" s="50">
        <v>4</v>
      </c>
      <c r="I61" s="50">
        <v>3</v>
      </c>
      <c r="J61" s="50">
        <v>3</v>
      </c>
      <c r="K61" s="50">
        <v>6</v>
      </c>
      <c r="L61" s="50">
        <v>2</v>
      </c>
      <c r="M61" s="50">
        <v>325</v>
      </c>
      <c r="N61" s="50">
        <v>0</v>
      </c>
      <c r="O61" s="15">
        <f t="shared" si="0"/>
        <v>149</v>
      </c>
      <c r="P61" s="15">
        <f t="shared" si="1"/>
        <v>474</v>
      </c>
      <c r="R61" s="8"/>
      <c r="T61"/>
    </row>
    <row r="62" spans="2:20" ht="23.1" customHeight="1" x14ac:dyDescent="0.25">
      <c r="B62" s="45" t="s">
        <v>107</v>
      </c>
      <c r="C62" s="50">
        <v>13</v>
      </c>
      <c r="D62" s="50">
        <v>4</v>
      </c>
      <c r="E62" s="50">
        <v>4</v>
      </c>
      <c r="F62" s="50">
        <v>86</v>
      </c>
      <c r="G62" s="50">
        <v>1</v>
      </c>
      <c r="H62" s="50">
        <v>0</v>
      </c>
      <c r="I62" s="50">
        <v>6</v>
      </c>
      <c r="J62" s="50">
        <v>3</v>
      </c>
      <c r="K62" s="50">
        <v>1</v>
      </c>
      <c r="L62" s="50">
        <v>1</v>
      </c>
      <c r="M62" s="50">
        <v>370</v>
      </c>
      <c r="N62" s="50">
        <v>0</v>
      </c>
      <c r="O62" s="15">
        <f t="shared" si="0"/>
        <v>119</v>
      </c>
      <c r="P62" s="15">
        <f t="shared" si="1"/>
        <v>489</v>
      </c>
      <c r="R62" s="8"/>
      <c r="T62"/>
    </row>
    <row r="63" spans="2:20" ht="23.1" customHeight="1" x14ac:dyDescent="0.25">
      <c r="B63" s="45" t="s">
        <v>108</v>
      </c>
      <c r="C63" s="50">
        <v>31</v>
      </c>
      <c r="D63" s="50">
        <v>9</v>
      </c>
      <c r="E63" s="50">
        <v>6</v>
      </c>
      <c r="F63" s="50">
        <v>55</v>
      </c>
      <c r="G63" s="50">
        <v>0</v>
      </c>
      <c r="H63" s="50">
        <v>0</v>
      </c>
      <c r="I63" s="50">
        <v>7</v>
      </c>
      <c r="J63" s="50">
        <v>0</v>
      </c>
      <c r="K63" s="50">
        <v>2</v>
      </c>
      <c r="L63" s="50">
        <v>1</v>
      </c>
      <c r="M63" s="50">
        <v>300</v>
      </c>
      <c r="N63" s="50">
        <v>0</v>
      </c>
      <c r="O63" s="15">
        <f t="shared" si="0"/>
        <v>111</v>
      </c>
      <c r="P63" s="15">
        <f t="shared" si="1"/>
        <v>411</v>
      </c>
      <c r="R63" s="8"/>
      <c r="T63"/>
    </row>
    <row r="64" spans="2:20" ht="23.1" customHeight="1" x14ac:dyDescent="0.25">
      <c r="B64" s="45" t="s">
        <v>109</v>
      </c>
      <c r="C64" s="50">
        <v>25</v>
      </c>
      <c r="D64" s="50">
        <v>5</v>
      </c>
      <c r="E64" s="50">
        <v>6</v>
      </c>
      <c r="F64" s="50">
        <v>50</v>
      </c>
      <c r="G64" s="50">
        <v>0</v>
      </c>
      <c r="H64" s="50">
        <v>0</v>
      </c>
      <c r="I64" s="50">
        <v>7</v>
      </c>
      <c r="J64" s="50">
        <v>2</v>
      </c>
      <c r="K64" s="50">
        <v>0</v>
      </c>
      <c r="L64" s="50">
        <v>2</v>
      </c>
      <c r="M64" s="50">
        <v>275</v>
      </c>
      <c r="N64" s="50">
        <v>0</v>
      </c>
      <c r="O64" s="15">
        <f t="shared" si="0"/>
        <v>97</v>
      </c>
      <c r="P64" s="15">
        <f t="shared" si="1"/>
        <v>372</v>
      </c>
      <c r="R64" s="8"/>
      <c r="T64"/>
    </row>
    <row r="65" spans="2:20" ht="23.1" customHeight="1" x14ac:dyDescent="0.25">
      <c r="B65" s="45" t="s">
        <v>158</v>
      </c>
      <c r="C65" s="50">
        <v>43</v>
      </c>
      <c r="D65" s="50">
        <v>12</v>
      </c>
      <c r="E65" s="50">
        <v>7</v>
      </c>
      <c r="F65" s="50">
        <v>50</v>
      </c>
      <c r="G65" s="50">
        <v>1</v>
      </c>
      <c r="H65" s="50">
        <v>0</v>
      </c>
      <c r="I65" s="50">
        <v>0</v>
      </c>
      <c r="J65" s="50">
        <v>1</v>
      </c>
      <c r="K65" s="50">
        <v>0</v>
      </c>
      <c r="L65" s="50">
        <v>1</v>
      </c>
      <c r="M65" s="50">
        <v>265</v>
      </c>
      <c r="N65" s="50">
        <v>0</v>
      </c>
      <c r="O65" s="15">
        <f t="shared" si="0"/>
        <v>115</v>
      </c>
      <c r="P65" s="15">
        <f t="shared" si="1"/>
        <v>380</v>
      </c>
      <c r="R65" s="8"/>
      <c r="T65"/>
    </row>
    <row r="66" spans="2:20" ht="23.1" customHeight="1" x14ac:dyDescent="0.25">
      <c r="B66" s="45" t="s">
        <v>103</v>
      </c>
      <c r="C66" s="50">
        <v>27</v>
      </c>
      <c r="D66" s="50">
        <v>5</v>
      </c>
      <c r="E66" s="50">
        <v>2</v>
      </c>
      <c r="F66" s="50">
        <v>100</v>
      </c>
      <c r="G66" s="50">
        <v>0</v>
      </c>
      <c r="H66" s="50">
        <v>1</v>
      </c>
      <c r="I66" s="50">
        <v>2</v>
      </c>
      <c r="J66" s="50">
        <v>1</v>
      </c>
      <c r="K66" s="50">
        <v>1</v>
      </c>
      <c r="L66" s="50">
        <v>2</v>
      </c>
      <c r="M66" s="50">
        <v>235</v>
      </c>
      <c r="N66" s="50">
        <v>0</v>
      </c>
      <c r="O66" s="15">
        <f t="shared" si="0"/>
        <v>141</v>
      </c>
      <c r="P66" s="15">
        <f t="shared" si="1"/>
        <v>376</v>
      </c>
      <c r="R66" s="8"/>
      <c r="T66"/>
    </row>
    <row r="67" spans="2:20" ht="23.1" customHeight="1" x14ac:dyDescent="0.25">
      <c r="B67" s="45" t="s">
        <v>104</v>
      </c>
      <c r="C67" s="50">
        <v>44</v>
      </c>
      <c r="D67" s="50">
        <v>12</v>
      </c>
      <c r="E67" s="50">
        <v>2</v>
      </c>
      <c r="F67" s="50">
        <v>65</v>
      </c>
      <c r="G67" s="50">
        <v>1</v>
      </c>
      <c r="H67" s="50">
        <v>2</v>
      </c>
      <c r="I67" s="50">
        <v>1</v>
      </c>
      <c r="J67" s="50">
        <v>3</v>
      </c>
      <c r="K67" s="50">
        <v>1</v>
      </c>
      <c r="L67" s="50">
        <v>3</v>
      </c>
      <c r="M67" s="50">
        <v>200</v>
      </c>
      <c r="N67" s="50">
        <v>0</v>
      </c>
      <c r="O67" s="15">
        <f t="shared" si="0"/>
        <v>134</v>
      </c>
      <c r="P67" s="15">
        <f t="shared" si="1"/>
        <v>334</v>
      </c>
      <c r="R67" s="8"/>
      <c r="T67"/>
    </row>
    <row r="68" spans="2:20" ht="23.1" customHeight="1" x14ac:dyDescent="0.25">
      <c r="B68" s="45" t="s">
        <v>105</v>
      </c>
      <c r="C68" s="50">
        <v>59</v>
      </c>
      <c r="D68" s="50">
        <v>11</v>
      </c>
      <c r="E68" s="50">
        <v>2</v>
      </c>
      <c r="F68" s="50">
        <v>6</v>
      </c>
      <c r="G68" s="50">
        <v>0</v>
      </c>
      <c r="H68" s="50">
        <v>1</v>
      </c>
      <c r="I68" s="50">
        <v>2</v>
      </c>
      <c r="J68" s="50">
        <v>1</v>
      </c>
      <c r="K68" s="50">
        <v>2</v>
      </c>
      <c r="L68" s="50">
        <v>1</v>
      </c>
      <c r="M68" s="50">
        <v>152</v>
      </c>
      <c r="N68" s="50">
        <v>1</v>
      </c>
      <c r="O68" s="15">
        <f t="shared" si="0"/>
        <v>86</v>
      </c>
      <c r="P68" s="15">
        <f t="shared" si="1"/>
        <v>238</v>
      </c>
      <c r="R68" s="8"/>
      <c r="T68"/>
    </row>
    <row r="69" spans="2:20" ht="23.1" customHeight="1" x14ac:dyDescent="0.25">
      <c r="B69" s="45" t="s">
        <v>106</v>
      </c>
      <c r="C69" s="50">
        <v>45</v>
      </c>
      <c r="D69" s="50">
        <v>8</v>
      </c>
      <c r="E69" s="50">
        <v>7</v>
      </c>
      <c r="F69" s="50">
        <v>155</v>
      </c>
      <c r="G69" s="50">
        <v>0</v>
      </c>
      <c r="H69" s="50">
        <v>0</v>
      </c>
      <c r="I69" s="50">
        <v>1</v>
      </c>
      <c r="J69" s="50">
        <v>1</v>
      </c>
      <c r="K69" s="50">
        <v>0</v>
      </c>
      <c r="L69" s="50">
        <v>2</v>
      </c>
      <c r="M69" s="50">
        <v>133</v>
      </c>
      <c r="N69" s="50">
        <v>0</v>
      </c>
      <c r="O69" s="15">
        <f t="shared" si="0"/>
        <v>219</v>
      </c>
      <c r="P69" s="15">
        <f t="shared" si="1"/>
        <v>352</v>
      </c>
      <c r="R69" s="8"/>
      <c r="T69"/>
    </row>
    <row r="70" spans="2:20" ht="23.1" customHeight="1" x14ac:dyDescent="0.25">
      <c r="B70" s="45" t="s">
        <v>110</v>
      </c>
      <c r="C70" s="50">
        <v>55</v>
      </c>
      <c r="D70" s="50">
        <v>7</v>
      </c>
      <c r="E70" s="50">
        <v>5</v>
      </c>
      <c r="F70" s="50">
        <v>31</v>
      </c>
      <c r="G70" s="50">
        <v>0</v>
      </c>
      <c r="H70" s="50">
        <v>0</v>
      </c>
      <c r="I70" s="50">
        <v>7</v>
      </c>
      <c r="J70" s="50">
        <v>5</v>
      </c>
      <c r="K70" s="50">
        <v>1</v>
      </c>
      <c r="L70" s="50">
        <v>3</v>
      </c>
      <c r="M70" s="50">
        <v>139</v>
      </c>
      <c r="N70" s="50">
        <v>0</v>
      </c>
      <c r="O70" s="15">
        <f t="shared" si="0"/>
        <v>114</v>
      </c>
      <c r="P70" s="15">
        <f t="shared" si="1"/>
        <v>253</v>
      </c>
      <c r="R70" s="8"/>
      <c r="T70"/>
    </row>
    <row r="71" spans="2:20" ht="23.1" customHeight="1" x14ac:dyDescent="0.25">
      <c r="B71" s="45" t="s">
        <v>111</v>
      </c>
      <c r="C71" s="50">
        <v>56</v>
      </c>
      <c r="D71" s="50">
        <v>11</v>
      </c>
      <c r="E71" s="50">
        <v>8</v>
      </c>
      <c r="F71" s="50">
        <v>71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1</v>
      </c>
      <c r="M71" s="50">
        <v>127</v>
      </c>
      <c r="N71" s="50">
        <v>0</v>
      </c>
      <c r="O71" s="15">
        <f t="shared" si="0"/>
        <v>147</v>
      </c>
      <c r="P71" s="15">
        <f t="shared" si="1"/>
        <v>274</v>
      </c>
      <c r="R71" s="8"/>
      <c r="T71"/>
    </row>
    <row r="72" spans="2:20" ht="23.1" customHeight="1" x14ac:dyDescent="0.25">
      <c r="B72" s="45" t="s">
        <v>112</v>
      </c>
      <c r="C72" s="50">
        <v>50</v>
      </c>
      <c r="D72" s="50">
        <v>5</v>
      </c>
      <c r="E72" s="50">
        <v>3</v>
      </c>
      <c r="F72" s="50">
        <v>26</v>
      </c>
      <c r="G72" s="50">
        <v>0</v>
      </c>
      <c r="H72" s="50">
        <v>0</v>
      </c>
      <c r="I72" s="50">
        <v>1</v>
      </c>
      <c r="J72" s="50">
        <v>3</v>
      </c>
      <c r="K72" s="50">
        <v>2</v>
      </c>
      <c r="L72" s="50">
        <v>3</v>
      </c>
      <c r="M72" s="50">
        <v>115</v>
      </c>
      <c r="N72" s="50">
        <v>0</v>
      </c>
      <c r="O72" s="15">
        <f t="shared" si="0"/>
        <v>93</v>
      </c>
      <c r="P72" s="15">
        <f t="shared" si="1"/>
        <v>208</v>
      </c>
      <c r="R72" s="8"/>
      <c r="T72"/>
    </row>
    <row r="73" spans="2:20" ht="23.1" customHeight="1" x14ac:dyDescent="0.25">
      <c r="B73" s="45" t="s">
        <v>113</v>
      </c>
      <c r="C73" s="50">
        <v>44</v>
      </c>
      <c r="D73" s="50">
        <v>6</v>
      </c>
      <c r="E73" s="50">
        <v>2</v>
      </c>
      <c r="F73" s="50">
        <v>25</v>
      </c>
      <c r="G73" s="50">
        <v>0</v>
      </c>
      <c r="H73" s="50">
        <v>0</v>
      </c>
      <c r="I73" s="50">
        <v>4</v>
      </c>
      <c r="J73" s="50">
        <v>0</v>
      </c>
      <c r="K73" s="50">
        <v>3</v>
      </c>
      <c r="L73" s="50">
        <v>2</v>
      </c>
      <c r="M73" s="50">
        <v>105</v>
      </c>
      <c r="N73" s="50">
        <v>0</v>
      </c>
      <c r="O73" s="15">
        <f t="shared" si="0"/>
        <v>86</v>
      </c>
      <c r="P73" s="15">
        <f t="shared" si="1"/>
        <v>191</v>
      </c>
      <c r="R73" s="8"/>
      <c r="T73"/>
    </row>
    <row r="74" spans="2:20" ht="23.1" customHeight="1" x14ac:dyDescent="0.25">
      <c r="B74" s="45" t="s">
        <v>114</v>
      </c>
      <c r="C74" s="50">
        <v>46</v>
      </c>
      <c r="D74" s="50">
        <v>9</v>
      </c>
      <c r="E74" s="50">
        <v>5</v>
      </c>
      <c r="F74" s="50">
        <v>18</v>
      </c>
      <c r="G74" s="50">
        <v>0</v>
      </c>
      <c r="H74" s="50">
        <v>1</v>
      </c>
      <c r="I74" s="50">
        <v>0</v>
      </c>
      <c r="J74" s="50">
        <v>1</v>
      </c>
      <c r="K74" s="50">
        <v>2</v>
      </c>
      <c r="L74" s="50">
        <v>2</v>
      </c>
      <c r="M74" s="50">
        <v>110</v>
      </c>
      <c r="N74" s="50">
        <v>0</v>
      </c>
      <c r="O74" s="15">
        <f t="shared" ref="O74:O105" si="35">SUM(C74:L74,N74)</f>
        <v>84</v>
      </c>
      <c r="P74" s="15">
        <f t="shared" ref="P74:P105" si="36">SUM(C74:N74)</f>
        <v>194</v>
      </c>
      <c r="R74" s="8"/>
      <c r="T74"/>
    </row>
    <row r="75" spans="2:20" ht="23.1" customHeight="1" x14ac:dyDescent="0.25">
      <c r="B75" s="45" t="s">
        <v>115</v>
      </c>
      <c r="C75" s="50">
        <v>59</v>
      </c>
      <c r="D75" s="50">
        <v>5</v>
      </c>
      <c r="E75" s="50">
        <v>5</v>
      </c>
      <c r="F75" s="50">
        <v>20</v>
      </c>
      <c r="G75" s="50">
        <v>0</v>
      </c>
      <c r="H75" s="50">
        <v>0</v>
      </c>
      <c r="I75" s="50">
        <v>3</v>
      </c>
      <c r="J75" s="50">
        <v>1</v>
      </c>
      <c r="K75" s="50">
        <v>0</v>
      </c>
      <c r="L75" s="50">
        <v>1</v>
      </c>
      <c r="M75" s="50">
        <v>102</v>
      </c>
      <c r="N75" s="50">
        <v>0</v>
      </c>
      <c r="O75" s="15">
        <f t="shared" si="35"/>
        <v>94</v>
      </c>
      <c r="P75" s="15">
        <f t="shared" si="36"/>
        <v>196</v>
      </c>
      <c r="R75" s="8"/>
      <c r="T75"/>
    </row>
    <row r="76" spans="2:20" ht="23.1" customHeight="1" x14ac:dyDescent="0.25">
      <c r="B76" s="45" t="s">
        <v>116</v>
      </c>
      <c r="C76" s="50">
        <v>43</v>
      </c>
      <c r="D76" s="50">
        <v>8</v>
      </c>
      <c r="E76" s="50">
        <v>2</v>
      </c>
      <c r="F76" s="50">
        <v>10</v>
      </c>
      <c r="G76" s="50">
        <v>1</v>
      </c>
      <c r="H76" s="50">
        <v>0</v>
      </c>
      <c r="I76" s="50">
        <v>3</v>
      </c>
      <c r="J76" s="50">
        <v>0</v>
      </c>
      <c r="K76" s="50">
        <v>0</v>
      </c>
      <c r="L76" s="50">
        <v>0</v>
      </c>
      <c r="M76" s="50">
        <v>94</v>
      </c>
      <c r="N76" s="50">
        <v>0</v>
      </c>
      <c r="O76" s="15">
        <f t="shared" si="35"/>
        <v>67</v>
      </c>
      <c r="P76" s="15">
        <f t="shared" si="36"/>
        <v>161</v>
      </c>
      <c r="R76" s="8"/>
      <c r="T76"/>
    </row>
    <row r="77" spans="2:20" ht="23.1" customHeight="1" x14ac:dyDescent="0.25">
      <c r="B77" s="45" t="s">
        <v>117</v>
      </c>
      <c r="C77" s="50">
        <v>60</v>
      </c>
      <c r="D77" s="50">
        <v>13</v>
      </c>
      <c r="E77" s="50">
        <v>6</v>
      </c>
      <c r="F77" s="50">
        <v>13</v>
      </c>
      <c r="G77" s="50">
        <v>0</v>
      </c>
      <c r="H77" s="50">
        <v>0</v>
      </c>
      <c r="I77" s="50">
        <v>0</v>
      </c>
      <c r="J77" s="50">
        <v>6</v>
      </c>
      <c r="K77" s="50">
        <v>1</v>
      </c>
      <c r="L77" s="50">
        <v>0</v>
      </c>
      <c r="M77" s="50">
        <v>82</v>
      </c>
      <c r="N77" s="50">
        <v>0</v>
      </c>
      <c r="O77" s="15">
        <f t="shared" si="35"/>
        <v>99</v>
      </c>
      <c r="P77" s="15">
        <f t="shared" si="36"/>
        <v>181</v>
      </c>
      <c r="R77" s="8"/>
      <c r="T77"/>
    </row>
    <row r="78" spans="2:20" ht="23.1" customHeight="1" x14ac:dyDescent="0.25">
      <c r="B78" s="46" t="s">
        <v>118</v>
      </c>
      <c r="C78" s="50">
        <v>49</v>
      </c>
      <c r="D78" s="50">
        <v>14</v>
      </c>
      <c r="E78" s="50">
        <v>1</v>
      </c>
      <c r="F78" s="50">
        <v>6</v>
      </c>
      <c r="G78" s="50">
        <v>1</v>
      </c>
      <c r="H78" s="50">
        <v>0</v>
      </c>
      <c r="I78" s="50">
        <v>1</v>
      </c>
      <c r="J78" s="50">
        <v>0</v>
      </c>
      <c r="K78" s="50">
        <v>0</v>
      </c>
      <c r="L78" s="50">
        <v>2</v>
      </c>
      <c r="M78" s="50">
        <v>71</v>
      </c>
      <c r="N78" s="50">
        <v>0</v>
      </c>
      <c r="O78" s="15">
        <f t="shared" si="35"/>
        <v>74</v>
      </c>
      <c r="P78" s="15">
        <f t="shared" si="36"/>
        <v>145</v>
      </c>
      <c r="R78" s="8"/>
      <c r="T78"/>
    </row>
    <row r="79" spans="2:20" ht="23.1" customHeight="1" x14ac:dyDescent="0.25">
      <c r="B79" s="45" t="s">
        <v>119</v>
      </c>
      <c r="C79" s="50">
        <v>45</v>
      </c>
      <c r="D79" s="50">
        <v>12</v>
      </c>
      <c r="E79" s="50">
        <v>3</v>
      </c>
      <c r="F79" s="50">
        <v>2</v>
      </c>
      <c r="G79" s="50">
        <v>1</v>
      </c>
      <c r="H79" s="50">
        <v>0</v>
      </c>
      <c r="I79" s="50">
        <v>0</v>
      </c>
      <c r="J79" s="50">
        <v>0</v>
      </c>
      <c r="K79" s="50">
        <v>0</v>
      </c>
      <c r="L79" s="50">
        <v>1</v>
      </c>
      <c r="M79" s="50">
        <v>67</v>
      </c>
      <c r="N79" s="50">
        <v>0</v>
      </c>
      <c r="O79" s="15">
        <f t="shared" si="35"/>
        <v>64</v>
      </c>
      <c r="P79" s="15">
        <f t="shared" si="36"/>
        <v>131</v>
      </c>
      <c r="R79" s="8"/>
      <c r="T79"/>
    </row>
    <row r="80" spans="2:20" ht="23.1" customHeight="1" x14ac:dyDescent="0.25">
      <c r="B80" s="47" t="s">
        <v>120</v>
      </c>
      <c r="C80" s="50">
        <v>30</v>
      </c>
      <c r="D80" s="50">
        <v>15</v>
      </c>
      <c r="E80" s="50">
        <v>3</v>
      </c>
      <c r="F80" s="50">
        <v>4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2</v>
      </c>
      <c r="M80" s="50">
        <v>63</v>
      </c>
      <c r="N80" s="50">
        <v>0</v>
      </c>
      <c r="O80" s="15">
        <f t="shared" si="35"/>
        <v>56</v>
      </c>
      <c r="P80" s="15">
        <f t="shared" si="36"/>
        <v>119</v>
      </c>
      <c r="R80" s="8"/>
      <c r="T80"/>
    </row>
    <row r="81" spans="2:20" ht="23.1" customHeight="1" x14ac:dyDescent="0.25">
      <c r="B81" s="45" t="s">
        <v>121</v>
      </c>
      <c r="C81" s="50">
        <v>25</v>
      </c>
      <c r="D81" s="50">
        <v>6</v>
      </c>
      <c r="E81" s="50">
        <v>1</v>
      </c>
      <c r="F81" s="50">
        <v>3</v>
      </c>
      <c r="G81" s="50">
        <v>1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44</v>
      </c>
      <c r="N81" s="50">
        <v>0</v>
      </c>
      <c r="O81" s="15">
        <f t="shared" si="35"/>
        <v>37</v>
      </c>
      <c r="P81" s="15">
        <f t="shared" si="36"/>
        <v>81</v>
      </c>
      <c r="R81" s="8"/>
      <c r="T81"/>
    </row>
    <row r="82" spans="2:20" ht="23.1" customHeight="1" x14ac:dyDescent="0.25">
      <c r="B82" s="46" t="s">
        <v>122</v>
      </c>
      <c r="C82" s="50">
        <v>30</v>
      </c>
      <c r="D82" s="50">
        <v>2</v>
      </c>
      <c r="E82" s="50">
        <v>2</v>
      </c>
      <c r="F82" s="50">
        <v>3</v>
      </c>
      <c r="G82" s="50">
        <v>0</v>
      </c>
      <c r="H82" s="50">
        <v>0</v>
      </c>
      <c r="I82" s="50">
        <v>3</v>
      </c>
      <c r="J82" s="50">
        <v>0</v>
      </c>
      <c r="K82" s="50">
        <v>0</v>
      </c>
      <c r="L82" s="50">
        <v>2</v>
      </c>
      <c r="M82" s="50">
        <v>36</v>
      </c>
      <c r="N82" s="50">
        <v>0</v>
      </c>
      <c r="O82" s="15">
        <f t="shared" si="35"/>
        <v>42</v>
      </c>
      <c r="P82" s="15">
        <f t="shared" si="36"/>
        <v>78</v>
      </c>
      <c r="R82" s="8"/>
      <c r="T82"/>
    </row>
    <row r="83" spans="2:20" ht="23.1" customHeight="1" x14ac:dyDescent="0.25">
      <c r="B83" s="45" t="s">
        <v>123</v>
      </c>
      <c r="C83" s="50">
        <v>25</v>
      </c>
      <c r="D83" s="50">
        <v>0</v>
      </c>
      <c r="E83" s="50">
        <v>0</v>
      </c>
      <c r="F83" s="50">
        <v>3</v>
      </c>
      <c r="G83" s="50">
        <v>0</v>
      </c>
      <c r="H83" s="50">
        <v>0</v>
      </c>
      <c r="I83" s="50">
        <v>1</v>
      </c>
      <c r="J83" s="50">
        <v>1</v>
      </c>
      <c r="K83" s="50">
        <v>0</v>
      </c>
      <c r="L83" s="50">
        <v>1</v>
      </c>
      <c r="M83" s="50">
        <v>24</v>
      </c>
      <c r="N83" s="50">
        <v>0</v>
      </c>
      <c r="O83" s="15">
        <f t="shared" si="35"/>
        <v>31</v>
      </c>
      <c r="P83" s="15">
        <f t="shared" si="36"/>
        <v>55</v>
      </c>
      <c r="R83" s="8"/>
      <c r="T83"/>
    </row>
    <row r="84" spans="2:20" ht="23.1" customHeight="1" x14ac:dyDescent="0.25">
      <c r="B84" s="47" t="s">
        <v>124</v>
      </c>
      <c r="C84" s="50">
        <v>6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1</v>
      </c>
      <c r="J84" s="50">
        <v>3</v>
      </c>
      <c r="K84" s="50">
        <v>0</v>
      </c>
      <c r="L84" s="50">
        <v>1</v>
      </c>
      <c r="M84" s="50">
        <v>28</v>
      </c>
      <c r="N84" s="50">
        <v>0</v>
      </c>
      <c r="O84" s="15">
        <f t="shared" si="35"/>
        <v>12</v>
      </c>
      <c r="P84" s="15">
        <f t="shared" si="36"/>
        <v>40</v>
      </c>
      <c r="R84" s="8"/>
      <c r="T84"/>
    </row>
    <row r="85" spans="2:20" ht="23.1" customHeight="1" x14ac:dyDescent="0.25">
      <c r="B85" s="45" t="s">
        <v>125</v>
      </c>
      <c r="C85" s="50">
        <v>10</v>
      </c>
      <c r="D85" s="50">
        <v>0</v>
      </c>
      <c r="E85" s="50">
        <v>1</v>
      </c>
      <c r="F85" s="50">
        <v>2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3</v>
      </c>
      <c r="M85" s="50">
        <v>21</v>
      </c>
      <c r="N85" s="50">
        <v>0</v>
      </c>
      <c r="O85" s="15">
        <f t="shared" si="35"/>
        <v>17</v>
      </c>
      <c r="P85" s="15">
        <f t="shared" si="36"/>
        <v>38</v>
      </c>
      <c r="R85" s="8"/>
      <c r="T85"/>
    </row>
    <row r="86" spans="2:20" ht="23.1" customHeight="1" x14ac:dyDescent="0.25">
      <c r="B86" s="46" t="s">
        <v>126</v>
      </c>
      <c r="C86" s="50">
        <v>6</v>
      </c>
      <c r="D86" s="50">
        <v>1</v>
      </c>
      <c r="E86" s="50">
        <v>1</v>
      </c>
      <c r="F86" s="50">
        <v>2</v>
      </c>
      <c r="G86" s="50">
        <v>0</v>
      </c>
      <c r="H86" s="50">
        <v>0</v>
      </c>
      <c r="I86" s="50">
        <v>0</v>
      </c>
      <c r="J86" s="50">
        <v>2</v>
      </c>
      <c r="K86" s="50">
        <v>0</v>
      </c>
      <c r="L86" s="50">
        <v>1</v>
      </c>
      <c r="M86" s="50">
        <v>25</v>
      </c>
      <c r="N86" s="50">
        <v>0</v>
      </c>
      <c r="O86" s="15">
        <f t="shared" si="35"/>
        <v>13</v>
      </c>
      <c r="P86" s="15">
        <f t="shared" si="36"/>
        <v>38</v>
      </c>
      <c r="R86" s="8"/>
      <c r="T86"/>
    </row>
    <row r="87" spans="2:20" ht="23.1" customHeight="1" x14ac:dyDescent="0.25">
      <c r="B87" s="45" t="s">
        <v>127</v>
      </c>
      <c r="C87" s="50">
        <v>7</v>
      </c>
      <c r="D87" s="50">
        <v>0</v>
      </c>
      <c r="E87" s="50">
        <v>3</v>
      </c>
      <c r="F87" s="50">
        <v>4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11</v>
      </c>
      <c r="N87" s="50">
        <v>0</v>
      </c>
      <c r="O87" s="15">
        <f t="shared" si="35"/>
        <v>15</v>
      </c>
      <c r="P87" s="15">
        <f t="shared" si="36"/>
        <v>26</v>
      </c>
      <c r="R87" s="8"/>
      <c r="T87"/>
    </row>
    <row r="88" spans="2:20" ht="23.1" customHeight="1" x14ac:dyDescent="0.25">
      <c r="B88" s="47" t="s">
        <v>128</v>
      </c>
      <c r="C88" s="50">
        <v>9</v>
      </c>
      <c r="D88" s="50">
        <v>0</v>
      </c>
      <c r="E88" s="50">
        <v>1</v>
      </c>
      <c r="F88" s="50">
        <v>5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8</v>
      </c>
      <c r="N88" s="50">
        <v>0</v>
      </c>
      <c r="O88" s="15">
        <f t="shared" si="35"/>
        <v>15</v>
      </c>
      <c r="P88" s="15">
        <f t="shared" si="36"/>
        <v>23</v>
      </c>
      <c r="R88" s="8"/>
      <c r="T88"/>
    </row>
    <row r="89" spans="2:20" ht="23.1" customHeight="1" x14ac:dyDescent="0.25">
      <c r="B89" s="45" t="s">
        <v>129</v>
      </c>
      <c r="C89" s="50">
        <v>6</v>
      </c>
      <c r="D89" s="50">
        <v>2</v>
      </c>
      <c r="E89" s="50">
        <v>1</v>
      </c>
      <c r="F89" s="50">
        <v>1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11</v>
      </c>
      <c r="P89" s="15">
        <f t="shared" si="36"/>
        <v>14</v>
      </c>
      <c r="R89" s="8"/>
      <c r="T89"/>
    </row>
    <row r="90" spans="2:20" ht="23.1" customHeight="1" x14ac:dyDescent="0.25">
      <c r="B90" s="46" t="s">
        <v>130</v>
      </c>
      <c r="C90" s="50">
        <v>10</v>
      </c>
      <c r="D90" s="50">
        <v>2</v>
      </c>
      <c r="E90" s="50">
        <v>1</v>
      </c>
      <c r="F90" s="50">
        <v>2</v>
      </c>
      <c r="G90" s="50">
        <v>0</v>
      </c>
      <c r="H90" s="50">
        <v>0</v>
      </c>
      <c r="I90" s="50">
        <v>1</v>
      </c>
      <c r="J90" s="50">
        <v>1</v>
      </c>
      <c r="K90" s="50">
        <v>0</v>
      </c>
      <c r="L90" s="50">
        <v>0</v>
      </c>
      <c r="M90" s="50">
        <v>17</v>
      </c>
      <c r="N90" s="50">
        <v>0</v>
      </c>
      <c r="O90" s="15">
        <f t="shared" si="35"/>
        <v>17</v>
      </c>
      <c r="P90" s="15">
        <f t="shared" si="36"/>
        <v>34</v>
      </c>
      <c r="R90" s="8"/>
      <c r="T90"/>
    </row>
    <row r="91" spans="2:20" ht="23.1" customHeight="1" x14ac:dyDescent="0.25">
      <c r="B91" s="45" t="s">
        <v>131</v>
      </c>
      <c r="C91" s="50">
        <v>8</v>
      </c>
      <c r="D91" s="50">
        <v>1</v>
      </c>
      <c r="E91" s="50">
        <v>0</v>
      </c>
      <c r="F91" s="50">
        <v>3</v>
      </c>
      <c r="G91" s="50">
        <v>0</v>
      </c>
      <c r="H91" s="50">
        <v>0</v>
      </c>
      <c r="I91" s="50">
        <v>2</v>
      </c>
      <c r="J91" s="50">
        <v>1</v>
      </c>
      <c r="K91" s="50">
        <v>1</v>
      </c>
      <c r="L91" s="50">
        <v>0</v>
      </c>
      <c r="M91" s="50">
        <v>14</v>
      </c>
      <c r="N91" s="50">
        <v>0</v>
      </c>
      <c r="O91" s="15">
        <f t="shared" si="35"/>
        <v>16</v>
      </c>
      <c r="P91" s="15">
        <f t="shared" si="36"/>
        <v>30</v>
      </c>
      <c r="R91" s="8"/>
      <c r="T91"/>
    </row>
    <row r="92" spans="2:20" ht="23.1" customHeight="1" x14ac:dyDescent="0.25">
      <c r="B92" s="47" t="s">
        <v>132</v>
      </c>
      <c r="C92" s="50">
        <v>8</v>
      </c>
      <c r="D92" s="50">
        <v>2</v>
      </c>
      <c r="E92" s="50">
        <v>1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1</v>
      </c>
      <c r="M92" s="50">
        <v>12</v>
      </c>
      <c r="N92" s="50">
        <v>0</v>
      </c>
      <c r="O92" s="15">
        <f t="shared" si="35"/>
        <v>14</v>
      </c>
      <c r="P92" s="15">
        <f t="shared" si="36"/>
        <v>26</v>
      </c>
      <c r="R92" s="8"/>
      <c r="T92"/>
    </row>
    <row r="93" spans="2:20" ht="23.1" customHeight="1" x14ac:dyDescent="0.25">
      <c r="B93" s="45" t="s">
        <v>133</v>
      </c>
      <c r="C93" s="50">
        <v>13</v>
      </c>
      <c r="D93" s="50">
        <v>1</v>
      </c>
      <c r="E93" s="50">
        <v>0</v>
      </c>
      <c r="F93" s="50">
        <v>5</v>
      </c>
      <c r="G93" s="50">
        <v>0</v>
      </c>
      <c r="H93" s="50">
        <v>0</v>
      </c>
      <c r="I93" s="50">
        <v>2</v>
      </c>
      <c r="J93" s="50">
        <v>0</v>
      </c>
      <c r="K93" s="50">
        <v>1</v>
      </c>
      <c r="L93" s="50">
        <v>1</v>
      </c>
      <c r="M93" s="50">
        <v>6</v>
      </c>
      <c r="N93" s="50">
        <v>0</v>
      </c>
      <c r="O93" s="15">
        <f t="shared" si="35"/>
        <v>23</v>
      </c>
      <c r="P93" s="15">
        <f t="shared" si="36"/>
        <v>29</v>
      </c>
      <c r="R93" s="8"/>
      <c r="T93"/>
    </row>
    <row r="94" spans="2:20" ht="23.1" customHeight="1" x14ac:dyDescent="0.25">
      <c r="B94" s="46" t="s">
        <v>134</v>
      </c>
      <c r="C94" s="50">
        <v>11</v>
      </c>
      <c r="D94" s="50">
        <v>2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1</v>
      </c>
      <c r="K94" s="50">
        <v>2</v>
      </c>
      <c r="L94" s="50">
        <v>1</v>
      </c>
      <c r="M94" s="50">
        <v>7</v>
      </c>
      <c r="N94" s="50">
        <v>0</v>
      </c>
      <c r="O94" s="15">
        <f t="shared" si="35"/>
        <v>19</v>
      </c>
      <c r="P94" s="15">
        <f t="shared" si="36"/>
        <v>26</v>
      </c>
      <c r="R94" s="8"/>
      <c r="T94"/>
    </row>
    <row r="95" spans="2:20" ht="23.1" customHeight="1" x14ac:dyDescent="0.25">
      <c r="B95" s="45" t="s">
        <v>135</v>
      </c>
      <c r="C95" s="50">
        <v>19</v>
      </c>
      <c r="D95" s="50">
        <v>2</v>
      </c>
      <c r="E95" s="50">
        <v>2</v>
      </c>
      <c r="F95" s="50">
        <v>2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5</v>
      </c>
      <c r="N95" s="50">
        <v>0</v>
      </c>
      <c r="O95" s="15">
        <f t="shared" si="35"/>
        <v>26</v>
      </c>
      <c r="P95" s="15">
        <f t="shared" si="36"/>
        <v>31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3</v>
      </c>
      <c r="E96" s="50">
        <v>1</v>
      </c>
      <c r="F96" s="50">
        <v>3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2</v>
      </c>
      <c r="M96" s="50">
        <v>3</v>
      </c>
      <c r="N96" s="50">
        <v>0</v>
      </c>
      <c r="O96" s="15">
        <f t="shared" si="35"/>
        <v>14</v>
      </c>
      <c r="P96" s="15">
        <f t="shared" si="36"/>
        <v>17</v>
      </c>
      <c r="R96" s="8"/>
      <c r="T96"/>
    </row>
    <row r="97" spans="2:20" ht="23.1" customHeight="1" x14ac:dyDescent="0.25">
      <c r="B97" s="45" t="s">
        <v>137</v>
      </c>
      <c r="C97" s="50">
        <v>17</v>
      </c>
      <c r="D97" s="50">
        <v>6</v>
      </c>
      <c r="E97" s="50">
        <v>2</v>
      </c>
      <c r="F97" s="50">
        <v>3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3</v>
      </c>
      <c r="M97" s="50">
        <v>7</v>
      </c>
      <c r="N97" s="50">
        <v>0</v>
      </c>
      <c r="O97" s="15">
        <f t="shared" si="35"/>
        <v>32</v>
      </c>
      <c r="P97" s="15">
        <f t="shared" si="36"/>
        <v>39</v>
      </c>
      <c r="R97" s="8"/>
      <c r="T97"/>
    </row>
    <row r="98" spans="2:20" ht="23.1" customHeight="1" x14ac:dyDescent="0.25">
      <c r="B98" s="46" t="s">
        <v>138</v>
      </c>
      <c r="C98" s="50">
        <v>11</v>
      </c>
      <c r="D98" s="50">
        <v>3</v>
      </c>
      <c r="E98" s="50">
        <v>3</v>
      </c>
      <c r="F98" s="50">
        <v>4</v>
      </c>
      <c r="G98" s="50">
        <v>1</v>
      </c>
      <c r="H98" s="50">
        <v>0</v>
      </c>
      <c r="I98" s="50">
        <v>2</v>
      </c>
      <c r="J98" s="50">
        <v>2</v>
      </c>
      <c r="K98" s="50">
        <v>1</v>
      </c>
      <c r="L98" s="50">
        <v>1</v>
      </c>
      <c r="M98" s="50">
        <v>0</v>
      </c>
      <c r="N98" s="50">
        <v>0</v>
      </c>
      <c r="O98" s="15">
        <f t="shared" si="35"/>
        <v>28</v>
      </c>
      <c r="P98" s="15">
        <f t="shared" si="36"/>
        <v>28</v>
      </c>
      <c r="R98" s="8"/>
      <c r="T98"/>
    </row>
    <row r="99" spans="2:20" ht="23.1" customHeight="1" x14ac:dyDescent="0.25">
      <c r="B99" s="45" t="s">
        <v>139</v>
      </c>
      <c r="C99" s="50">
        <v>14</v>
      </c>
      <c r="D99" s="50">
        <v>1</v>
      </c>
      <c r="E99" s="50">
        <v>3</v>
      </c>
      <c r="F99" s="50">
        <v>15</v>
      </c>
      <c r="G99" s="50">
        <v>0</v>
      </c>
      <c r="H99" s="50">
        <v>0</v>
      </c>
      <c r="I99" s="50">
        <v>4</v>
      </c>
      <c r="J99" s="50">
        <v>1</v>
      </c>
      <c r="K99" s="50">
        <v>0</v>
      </c>
      <c r="L99" s="50">
        <v>2</v>
      </c>
      <c r="M99" s="50">
        <v>3</v>
      </c>
      <c r="N99" s="50">
        <v>0</v>
      </c>
      <c r="O99" s="15">
        <f t="shared" si="35"/>
        <v>40</v>
      </c>
      <c r="P99" s="15">
        <f t="shared" si="36"/>
        <v>43</v>
      </c>
      <c r="R99" s="8"/>
      <c r="T99"/>
    </row>
    <row r="100" spans="2:20" ht="23.1" customHeight="1" x14ac:dyDescent="0.25">
      <c r="B100" s="47" t="s">
        <v>140</v>
      </c>
      <c r="C100" s="50">
        <v>25</v>
      </c>
      <c r="D100" s="50">
        <v>5</v>
      </c>
      <c r="E100" s="50">
        <v>2</v>
      </c>
      <c r="F100" s="50">
        <v>12</v>
      </c>
      <c r="G100" s="50">
        <v>1</v>
      </c>
      <c r="H100" s="50">
        <v>1</v>
      </c>
      <c r="I100" s="50">
        <v>2</v>
      </c>
      <c r="J100" s="50">
        <v>3</v>
      </c>
      <c r="K100" s="50">
        <v>1</v>
      </c>
      <c r="L100" s="50">
        <v>1</v>
      </c>
      <c r="M100" s="50">
        <v>33</v>
      </c>
      <c r="N100" s="50">
        <v>0</v>
      </c>
      <c r="O100" s="15">
        <f t="shared" si="35"/>
        <v>53</v>
      </c>
      <c r="P100" s="15">
        <f t="shared" si="36"/>
        <v>86</v>
      </c>
      <c r="R100" s="8"/>
      <c r="T100"/>
    </row>
    <row r="101" spans="2:20" ht="23.1" customHeight="1" x14ac:dyDescent="0.25">
      <c r="B101" s="45" t="s">
        <v>141</v>
      </c>
      <c r="C101" s="50">
        <v>50</v>
      </c>
      <c r="D101" s="50">
        <v>3</v>
      </c>
      <c r="E101" s="50">
        <v>1</v>
      </c>
      <c r="F101" s="50">
        <v>6</v>
      </c>
      <c r="G101" s="50">
        <v>2</v>
      </c>
      <c r="H101" s="50">
        <v>0</v>
      </c>
      <c r="I101" s="50">
        <v>6</v>
      </c>
      <c r="J101" s="50">
        <v>1</v>
      </c>
      <c r="K101" s="50">
        <v>2</v>
      </c>
      <c r="L101" s="50">
        <v>2</v>
      </c>
      <c r="M101" s="50">
        <v>37</v>
      </c>
      <c r="N101" s="50">
        <v>0</v>
      </c>
      <c r="O101" s="15">
        <f t="shared" si="35"/>
        <v>73</v>
      </c>
      <c r="P101" s="15">
        <f t="shared" si="36"/>
        <v>110</v>
      </c>
      <c r="R101" s="8"/>
      <c r="T101"/>
    </row>
    <row r="102" spans="2:20" ht="23.1" customHeight="1" x14ac:dyDescent="0.25">
      <c r="B102" s="46" t="s">
        <v>142</v>
      </c>
      <c r="C102" s="50">
        <v>65</v>
      </c>
      <c r="D102" s="50">
        <v>3</v>
      </c>
      <c r="E102" s="50">
        <v>1</v>
      </c>
      <c r="F102" s="50">
        <v>24</v>
      </c>
      <c r="G102" s="50">
        <v>2</v>
      </c>
      <c r="H102" s="50">
        <v>1</v>
      </c>
      <c r="I102" s="50">
        <v>8</v>
      </c>
      <c r="J102" s="50">
        <v>1</v>
      </c>
      <c r="K102" s="50">
        <v>3</v>
      </c>
      <c r="L102" s="50">
        <v>9</v>
      </c>
      <c r="M102" s="50">
        <v>41</v>
      </c>
      <c r="N102" s="50">
        <v>0</v>
      </c>
      <c r="O102" s="15">
        <f t="shared" si="35"/>
        <v>117</v>
      </c>
      <c r="P102" s="15">
        <f t="shared" si="36"/>
        <v>158</v>
      </c>
      <c r="R102" s="8"/>
      <c r="T102"/>
    </row>
    <row r="103" spans="2:20" ht="23.1" customHeight="1" x14ac:dyDescent="0.25">
      <c r="B103" s="45" t="s">
        <v>143</v>
      </c>
      <c r="C103" s="50">
        <v>70</v>
      </c>
      <c r="D103" s="50">
        <v>4</v>
      </c>
      <c r="E103" s="50">
        <v>0</v>
      </c>
      <c r="F103" s="50">
        <v>40</v>
      </c>
      <c r="G103" s="50">
        <v>0</v>
      </c>
      <c r="H103" s="50">
        <v>1</v>
      </c>
      <c r="I103" s="50">
        <v>3</v>
      </c>
      <c r="J103" s="50">
        <v>2</v>
      </c>
      <c r="K103" s="50">
        <v>2</v>
      </c>
      <c r="L103" s="50">
        <v>4</v>
      </c>
      <c r="M103" s="50">
        <v>80</v>
      </c>
      <c r="N103" s="50">
        <v>0</v>
      </c>
      <c r="O103" s="15">
        <f t="shared" si="35"/>
        <v>126</v>
      </c>
      <c r="P103" s="15">
        <f t="shared" si="36"/>
        <v>206</v>
      </c>
      <c r="R103" s="8"/>
      <c r="T103"/>
    </row>
    <row r="104" spans="2:20" ht="23.1" customHeight="1" x14ac:dyDescent="0.25">
      <c r="B104" s="47" t="s">
        <v>144</v>
      </c>
      <c r="C104" s="50">
        <v>85</v>
      </c>
      <c r="D104" s="50">
        <v>5</v>
      </c>
      <c r="E104" s="50">
        <v>1</v>
      </c>
      <c r="F104" s="50">
        <v>55</v>
      </c>
      <c r="G104" s="50">
        <v>2</v>
      </c>
      <c r="H104" s="50">
        <v>1</v>
      </c>
      <c r="I104" s="50">
        <v>6</v>
      </c>
      <c r="J104" s="50">
        <v>3</v>
      </c>
      <c r="K104" s="50">
        <v>4</v>
      </c>
      <c r="L104" s="50">
        <v>2</v>
      </c>
      <c r="M104" s="50">
        <v>97</v>
      </c>
      <c r="N104" s="50">
        <v>0</v>
      </c>
      <c r="O104" s="15">
        <f t="shared" si="35"/>
        <v>164</v>
      </c>
      <c r="P104" s="15">
        <f t="shared" si="36"/>
        <v>261</v>
      </c>
      <c r="R104" s="8"/>
      <c r="T104"/>
    </row>
    <row r="105" spans="2:20" ht="23.1" customHeight="1" x14ac:dyDescent="0.25">
      <c r="B105" s="45" t="s">
        <v>145</v>
      </c>
      <c r="C105" s="50">
        <v>60</v>
      </c>
      <c r="D105" s="50">
        <v>0</v>
      </c>
      <c r="E105" s="50">
        <v>4</v>
      </c>
      <c r="F105" s="50">
        <v>56</v>
      </c>
      <c r="G105" s="50">
        <v>1</v>
      </c>
      <c r="H105" s="50">
        <v>1</v>
      </c>
      <c r="I105" s="50">
        <v>4</v>
      </c>
      <c r="J105" s="50">
        <v>3</v>
      </c>
      <c r="K105" s="50">
        <v>1</v>
      </c>
      <c r="L105" s="50">
        <v>1</v>
      </c>
      <c r="M105" s="50">
        <v>150</v>
      </c>
      <c r="N105" s="50">
        <v>0</v>
      </c>
      <c r="O105" s="15">
        <f t="shared" si="35"/>
        <v>131</v>
      </c>
      <c r="P105" s="15">
        <f t="shared" si="36"/>
        <v>281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5775</v>
      </c>
      <c r="D106" s="16">
        <f t="shared" ref="D106:P106" si="37">SUM(D10:D105)</f>
        <v>2051</v>
      </c>
      <c r="E106" s="16">
        <f t="shared" si="37"/>
        <v>855</v>
      </c>
      <c r="F106" s="16">
        <f t="shared" si="37"/>
        <v>6006</v>
      </c>
      <c r="G106" s="16">
        <f t="shared" si="37"/>
        <v>183</v>
      </c>
      <c r="H106" s="16">
        <f t="shared" si="37"/>
        <v>33</v>
      </c>
      <c r="I106" s="16">
        <f t="shared" si="37"/>
        <v>560</v>
      </c>
      <c r="J106" s="16">
        <f t="shared" si="37"/>
        <v>343</v>
      </c>
      <c r="K106" s="16">
        <f t="shared" si="37"/>
        <v>179</v>
      </c>
      <c r="L106" s="16">
        <f t="shared" si="37"/>
        <v>259</v>
      </c>
      <c r="M106" s="16">
        <f t="shared" si="37"/>
        <v>30478</v>
      </c>
      <c r="N106" s="16">
        <f t="shared" si="37"/>
        <v>14</v>
      </c>
      <c r="O106" s="16">
        <f t="shared" si="37"/>
        <v>16258</v>
      </c>
      <c r="P106" s="16">
        <f t="shared" si="37"/>
        <v>46736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0.12356641561109209</v>
      </c>
      <c r="D107" s="43">
        <f t="shared" si="38"/>
        <v>4.3884799726121193E-2</v>
      </c>
      <c r="E107" s="43">
        <f t="shared" si="38"/>
        <v>1.8294248545018828E-2</v>
      </c>
      <c r="F107" s="43">
        <f t="shared" si="38"/>
        <v>0.12850907223553579</v>
      </c>
      <c r="G107" s="43">
        <f t="shared" si="38"/>
        <v>3.9156110920917494E-3</v>
      </c>
      <c r="H107" s="43">
        <f t="shared" si="38"/>
        <v>7.060938034919548E-4</v>
      </c>
      <c r="I107" s="43">
        <f t="shared" si="38"/>
        <v>1.1982197877439232E-2</v>
      </c>
      <c r="J107" s="43">
        <f t="shared" si="38"/>
        <v>7.3390961999315303E-3</v>
      </c>
      <c r="K107" s="43">
        <f t="shared" si="38"/>
        <v>3.8300239643957548E-3</v>
      </c>
      <c r="L107" s="43">
        <f t="shared" si="38"/>
        <v>5.5417665183156457E-3</v>
      </c>
      <c r="M107" s="43">
        <f t="shared" si="38"/>
        <v>0.65213111947963032</v>
      </c>
      <c r="N107" s="43">
        <f t="shared" si="38"/>
        <v>2.9955494693598085E-4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0.35520974289580515</v>
      </c>
      <c r="D108" s="44">
        <f t="shared" ref="D108:N108" si="39">D106/$O$106</f>
        <v>0.12615327838602533</v>
      </c>
      <c r="E108" s="44">
        <f t="shared" si="39"/>
        <v>5.2589494402755566E-2</v>
      </c>
      <c r="F108" s="44">
        <f t="shared" si="39"/>
        <v>0.36941813261163736</v>
      </c>
      <c r="G108" s="44">
        <f t="shared" si="39"/>
        <v>1.1255997047607331E-2</v>
      </c>
      <c r="H108" s="44">
        <f t="shared" si="39"/>
        <v>2.0297699594046007E-3</v>
      </c>
      <c r="I108" s="44">
        <f t="shared" si="39"/>
        <v>3.4444581129290198E-2</v>
      </c>
      <c r="J108" s="44">
        <f t="shared" si="39"/>
        <v>2.1097305941690243E-2</v>
      </c>
      <c r="K108" s="44">
        <f t="shared" si="39"/>
        <v>1.1009964325255259E-2</v>
      </c>
      <c r="L108" s="44">
        <f t="shared" si="39"/>
        <v>1.5930618772296717E-2</v>
      </c>
      <c r="M108" s="44"/>
      <c r="N108" s="44">
        <f t="shared" si="39"/>
        <v>8.6111452823225488E-4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0" t="str">
        <f>'31.07 Nsambya-ClockTower'!G5:H5</f>
        <v>Gapco</v>
      </c>
      <c r="H5" s="61"/>
      <c r="I5" s="14"/>
      <c r="J5" s="2" t="s">
        <v>5</v>
      </c>
      <c r="K5" s="60" t="str">
        <f>'29.07 ClockTower-Nsambya'!K5:L5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ClockTower-Nsambya'!D6:E6</f>
        <v>Clock Tower</v>
      </c>
      <c r="E6" s="61"/>
      <c r="F6" s="2" t="s">
        <v>2</v>
      </c>
      <c r="G6" s="60" t="str">
        <f>'29.07 ClockTower-Nsambya'!G6:H6</f>
        <v>Nsambya</v>
      </c>
      <c r="H6" s="61"/>
      <c r="J6" s="2" t="s">
        <v>21</v>
      </c>
      <c r="K6" s="60" t="str">
        <f>'31.07 Nsambya-ClockTower'!K6:L6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43</v>
      </c>
      <c r="D10" s="50">
        <v>8</v>
      </c>
      <c r="E10" s="50">
        <v>3</v>
      </c>
      <c r="F10" s="50">
        <v>53</v>
      </c>
      <c r="G10" s="50">
        <v>2</v>
      </c>
      <c r="H10" s="50">
        <v>1</v>
      </c>
      <c r="I10" s="50">
        <v>3</v>
      </c>
      <c r="J10" s="50">
        <v>3</v>
      </c>
      <c r="K10" s="50">
        <v>0</v>
      </c>
      <c r="L10" s="50">
        <v>2</v>
      </c>
      <c r="M10" s="50">
        <v>500</v>
      </c>
      <c r="N10" s="50">
        <v>0</v>
      </c>
      <c r="O10" s="15">
        <f t="shared" ref="O10:O57" si="0">SUM(C10:L10,N10)</f>
        <v>118</v>
      </c>
      <c r="P10" s="15">
        <f t="shared" ref="P10:P57" si="1">SUM(C10:N10)</f>
        <v>618</v>
      </c>
      <c r="R10" s="1" t="s">
        <v>6</v>
      </c>
      <c r="S10" s="17">
        <f t="shared" ref="S10:AF10" si="2">SUM(C10:C13)</f>
        <v>215</v>
      </c>
      <c r="T10" s="17">
        <f t="shared" si="2"/>
        <v>30</v>
      </c>
      <c r="U10" s="17">
        <f t="shared" si="2"/>
        <v>13</v>
      </c>
      <c r="V10" s="17">
        <f t="shared" si="2"/>
        <v>377</v>
      </c>
      <c r="W10" s="17">
        <f t="shared" si="2"/>
        <v>10</v>
      </c>
      <c r="X10" s="17">
        <f t="shared" si="2"/>
        <v>1</v>
      </c>
      <c r="Y10" s="17">
        <f t="shared" si="2"/>
        <v>10</v>
      </c>
      <c r="Z10" s="17">
        <f t="shared" si="2"/>
        <v>8</v>
      </c>
      <c r="AA10" s="17">
        <f t="shared" si="2"/>
        <v>4</v>
      </c>
      <c r="AB10" s="17">
        <f t="shared" si="2"/>
        <v>7</v>
      </c>
      <c r="AC10" s="17">
        <f t="shared" si="2"/>
        <v>1904</v>
      </c>
      <c r="AD10" s="17">
        <f t="shared" si="2"/>
        <v>0</v>
      </c>
      <c r="AE10" s="31">
        <f t="shared" si="2"/>
        <v>675</v>
      </c>
      <c r="AF10" s="31">
        <f t="shared" si="2"/>
        <v>2579</v>
      </c>
    </row>
    <row r="11" spans="2:32" s="6" customFormat="1" ht="23.1" customHeight="1" x14ac:dyDescent="0.25">
      <c r="B11" s="23" t="s">
        <v>38</v>
      </c>
      <c r="C11" s="50">
        <v>49</v>
      </c>
      <c r="D11" s="50">
        <v>6</v>
      </c>
      <c r="E11" s="50">
        <v>2</v>
      </c>
      <c r="F11" s="50">
        <v>75</v>
      </c>
      <c r="G11" s="50">
        <v>2</v>
      </c>
      <c r="H11" s="50">
        <v>0</v>
      </c>
      <c r="I11" s="50">
        <v>2</v>
      </c>
      <c r="J11" s="50">
        <v>2</v>
      </c>
      <c r="K11" s="50">
        <v>1</v>
      </c>
      <c r="L11" s="50">
        <v>3</v>
      </c>
      <c r="M11" s="50">
        <v>552</v>
      </c>
      <c r="N11" s="50">
        <v>0</v>
      </c>
      <c r="O11" s="15">
        <f t="shared" si="0"/>
        <v>142</v>
      </c>
      <c r="P11" s="15">
        <f t="shared" si="1"/>
        <v>694</v>
      </c>
      <c r="R11" s="1" t="s">
        <v>7</v>
      </c>
      <c r="S11" s="17">
        <f t="shared" ref="S11:AF11" si="3">SUM(C14:C17)</f>
        <v>176</v>
      </c>
      <c r="T11" s="17">
        <f t="shared" si="3"/>
        <v>17</v>
      </c>
      <c r="U11" s="17">
        <f t="shared" si="3"/>
        <v>20</v>
      </c>
      <c r="V11" s="17">
        <f t="shared" si="3"/>
        <v>417</v>
      </c>
      <c r="W11" s="17">
        <f t="shared" si="3"/>
        <v>11</v>
      </c>
      <c r="X11" s="17">
        <f t="shared" si="3"/>
        <v>1</v>
      </c>
      <c r="Y11" s="17">
        <f t="shared" si="3"/>
        <v>7</v>
      </c>
      <c r="Z11" s="17">
        <f t="shared" si="3"/>
        <v>17</v>
      </c>
      <c r="AA11" s="17">
        <f t="shared" si="3"/>
        <v>12</v>
      </c>
      <c r="AB11" s="17">
        <f t="shared" si="3"/>
        <v>5</v>
      </c>
      <c r="AC11" s="17">
        <f t="shared" si="3"/>
        <v>2063</v>
      </c>
      <c r="AD11" s="17">
        <f t="shared" si="3"/>
        <v>1</v>
      </c>
      <c r="AE11" s="31">
        <f t="shared" si="3"/>
        <v>684</v>
      </c>
      <c r="AF11" s="31">
        <f t="shared" si="3"/>
        <v>2747</v>
      </c>
    </row>
    <row r="12" spans="2:32" ht="23.1" customHeight="1" x14ac:dyDescent="0.25">
      <c r="B12" s="23" t="s">
        <v>39</v>
      </c>
      <c r="C12" s="50">
        <v>60</v>
      </c>
      <c r="D12" s="50">
        <v>6</v>
      </c>
      <c r="E12" s="50">
        <v>3</v>
      </c>
      <c r="F12" s="50">
        <v>101</v>
      </c>
      <c r="G12" s="50">
        <v>0</v>
      </c>
      <c r="H12" s="50">
        <v>0</v>
      </c>
      <c r="I12" s="50">
        <v>2</v>
      </c>
      <c r="J12" s="50">
        <v>3</v>
      </c>
      <c r="K12" s="50">
        <v>1</v>
      </c>
      <c r="L12" s="50">
        <v>1</v>
      </c>
      <c r="M12" s="50">
        <v>442</v>
      </c>
      <c r="N12" s="50">
        <v>0</v>
      </c>
      <c r="O12" s="15">
        <f t="shared" si="0"/>
        <v>177</v>
      </c>
      <c r="P12" s="15">
        <f t="shared" si="1"/>
        <v>619</v>
      </c>
      <c r="R12" s="1" t="s">
        <v>8</v>
      </c>
      <c r="S12" s="17">
        <f t="shared" ref="S12:AF12" si="4">SUM(C18:C21)</f>
        <v>211</v>
      </c>
      <c r="T12" s="17">
        <f t="shared" si="4"/>
        <v>28</v>
      </c>
      <c r="U12" s="17">
        <f t="shared" si="4"/>
        <v>14</v>
      </c>
      <c r="V12" s="17">
        <f t="shared" si="4"/>
        <v>399</v>
      </c>
      <c r="W12" s="17">
        <f t="shared" si="4"/>
        <v>10</v>
      </c>
      <c r="X12" s="17">
        <f t="shared" si="4"/>
        <v>3</v>
      </c>
      <c r="Y12" s="17">
        <f t="shared" si="4"/>
        <v>17</v>
      </c>
      <c r="Z12" s="17">
        <f t="shared" si="4"/>
        <v>21</v>
      </c>
      <c r="AA12" s="17">
        <f t="shared" si="4"/>
        <v>12</v>
      </c>
      <c r="AB12" s="17">
        <f t="shared" si="4"/>
        <v>8</v>
      </c>
      <c r="AC12" s="17">
        <f t="shared" si="4"/>
        <v>1770</v>
      </c>
      <c r="AD12" s="17">
        <f t="shared" si="4"/>
        <v>3</v>
      </c>
      <c r="AE12" s="31">
        <f t="shared" si="4"/>
        <v>726</v>
      </c>
      <c r="AF12" s="31">
        <f t="shared" si="4"/>
        <v>2496</v>
      </c>
    </row>
    <row r="13" spans="2:32" ht="23.1" customHeight="1" x14ac:dyDescent="0.25">
      <c r="B13" s="23" t="s">
        <v>40</v>
      </c>
      <c r="C13" s="50">
        <v>63</v>
      </c>
      <c r="D13" s="50">
        <v>10</v>
      </c>
      <c r="E13" s="50">
        <v>5</v>
      </c>
      <c r="F13" s="50">
        <v>148</v>
      </c>
      <c r="G13" s="50">
        <v>6</v>
      </c>
      <c r="H13" s="50">
        <v>0</v>
      </c>
      <c r="I13" s="50">
        <v>3</v>
      </c>
      <c r="J13" s="50">
        <v>0</v>
      </c>
      <c r="K13" s="50">
        <v>2</v>
      </c>
      <c r="L13" s="50">
        <v>1</v>
      </c>
      <c r="M13" s="50">
        <v>410</v>
      </c>
      <c r="N13" s="50">
        <v>0</v>
      </c>
      <c r="O13" s="15">
        <f t="shared" si="0"/>
        <v>238</v>
      </c>
      <c r="P13" s="15">
        <f t="shared" si="1"/>
        <v>648</v>
      </c>
      <c r="R13" s="1" t="s">
        <v>9</v>
      </c>
      <c r="S13" s="17">
        <f t="shared" ref="S13:AF13" si="5">SUM(C22:C25)</f>
        <v>222</v>
      </c>
      <c r="T13" s="17">
        <f t="shared" si="5"/>
        <v>26</v>
      </c>
      <c r="U13" s="17">
        <f t="shared" si="5"/>
        <v>23</v>
      </c>
      <c r="V13" s="17">
        <f t="shared" si="5"/>
        <v>309</v>
      </c>
      <c r="W13" s="17">
        <f t="shared" si="5"/>
        <v>6</v>
      </c>
      <c r="X13" s="17">
        <f t="shared" si="5"/>
        <v>1</v>
      </c>
      <c r="Y13" s="17">
        <f t="shared" si="5"/>
        <v>25</v>
      </c>
      <c r="Z13" s="17">
        <f t="shared" si="5"/>
        <v>21</v>
      </c>
      <c r="AA13" s="17">
        <f t="shared" si="5"/>
        <v>17</v>
      </c>
      <c r="AB13" s="17">
        <f t="shared" si="5"/>
        <v>9</v>
      </c>
      <c r="AC13" s="17">
        <f t="shared" si="5"/>
        <v>1402</v>
      </c>
      <c r="AD13" s="17">
        <f t="shared" si="5"/>
        <v>0</v>
      </c>
      <c r="AE13" s="31">
        <f t="shared" si="5"/>
        <v>659</v>
      </c>
      <c r="AF13" s="31">
        <f t="shared" si="5"/>
        <v>2061</v>
      </c>
    </row>
    <row r="14" spans="2:32" ht="23.1" customHeight="1" x14ac:dyDescent="0.25">
      <c r="B14" s="23" t="s">
        <v>41</v>
      </c>
      <c r="C14" s="50">
        <v>46</v>
      </c>
      <c r="D14" s="50">
        <v>8</v>
      </c>
      <c r="E14" s="50">
        <v>5</v>
      </c>
      <c r="F14" s="50">
        <v>92</v>
      </c>
      <c r="G14" s="50">
        <v>6</v>
      </c>
      <c r="H14" s="50">
        <v>0</v>
      </c>
      <c r="I14" s="50">
        <v>3</v>
      </c>
      <c r="J14" s="50">
        <v>5</v>
      </c>
      <c r="K14" s="50">
        <v>3</v>
      </c>
      <c r="L14" s="50">
        <v>1</v>
      </c>
      <c r="M14" s="50">
        <v>614</v>
      </c>
      <c r="N14" s="50">
        <v>0</v>
      </c>
      <c r="O14" s="15">
        <f t="shared" si="0"/>
        <v>169</v>
      </c>
      <c r="P14" s="15">
        <f t="shared" si="1"/>
        <v>783</v>
      </c>
      <c r="R14" s="1" t="s">
        <v>10</v>
      </c>
      <c r="S14" s="17">
        <f t="shared" ref="S14:AF14" si="6">SUM(C26:C29)</f>
        <v>120</v>
      </c>
      <c r="T14" s="17">
        <f t="shared" si="6"/>
        <v>63</v>
      </c>
      <c r="U14" s="17">
        <f t="shared" si="6"/>
        <v>20</v>
      </c>
      <c r="V14" s="17">
        <f t="shared" si="6"/>
        <v>138</v>
      </c>
      <c r="W14" s="17">
        <f t="shared" si="6"/>
        <v>2</v>
      </c>
      <c r="X14" s="17">
        <f t="shared" si="6"/>
        <v>0</v>
      </c>
      <c r="Y14" s="17">
        <f t="shared" si="6"/>
        <v>12</v>
      </c>
      <c r="Z14" s="17">
        <f t="shared" si="6"/>
        <v>10</v>
      </c>
      <c r="AA14" s="17">
        <f t="shared" si="6"/>
        <v>6</v>
      </c>
      <c r="AB14" s="17">
        <f t="shared" si="6"/>
        <v>3</v>
      </c>
      <c r="AC14" s="17">
        <f t="shared" si="6"/>
        <v>1834</v>
      </c>
      <c r="AD14" s="17">
        <f t="shared" si="6"/>
        <v>1</v>
      </c>
      <c r="AE14" s="31">
        <f t="shared" si="6"/>
        <v>375</v>
      </c>
      <c r="AF14" s="31">
        <f t="shared" si="6"/>
        <v>2209</v>
      </c>
    </row>
    <row r="15" spans="2:32" ht="23.1" customHeight="1" x14ac:dyDescent="0.25">
      <c r="B15" s="23" t="s">
        <v>42</v>
      </c>
      <c r="C15" s="50">
        <v>62</v>
      </c>
      <c r="D15" s="50">
        <v>2</v>
      </c>
      <c r="E15" s="50">
        <v>5</v>
      </c>
      <c r="F15" s="50">
        <v>100</v>
      </c>
      <c r="G15" s="50">
        <v>0</v>
      </c>
      <c r="H15" s="50">
        <v>1</v>
      </c>
      <c r="I15" s="50">
        <v>1</v>
      </c>
      <c r="J15" s="50">
        <v>5</v>
      </c>
      <c r="K15" s="50">
        <v>3</v>
      </c>
      <c r="L15" s="50">
        <v>2</v>
      </c>
      <c r="M15" s="50">
        <v>441</v>
      </c>
      <c r="N15" s="50">
        <v>0</v>
      </c>
      <c r="O15" s="15">
        <f t="shared" si="0"/>
        <v>181</v>
      </c>
      <c r="P15" s="15">
        <f t="shared" si="1"/>
        <v>622</v>
      </c>
      <c r="R15" s="1" t="s">
        <v>11</v>
      </c>
      <c r="S15" s="17">
        <f t="shared" ref="S15:AF15" si="7">SUM(C30:C33)</f>
        <v>144</v>
      </c>
      <c r="T15" s="17">
        <f t="shared" si="7"/>
        <v>70</v>
      </c>
      <c r="U15" s="17">
        <f t="shared" si="7"/>
        <v>24</v>
      </c>
      <c r="V15" s="17">
        <f t="shared" si="7"/>
        <v>169</v>
      </c>
      <c r="W15" s="17">
        <f t="shared" si="7"/>
        <v>1</v>
      </c>
      <c r="X15" s="17">
        <f t="shared" si="7"/>
        <v>0</v>
      </c>
      <c r="Y15" s="17">
        <f t="shared" si="7"/>
        <v>17</v>
      </c>
      <c r="Z15" s="17">
        <f t="shared" si="7"/>
        <v>14</v>
      </c>
      <c r="AA15" s="17">
        <f t="shared" si="7"/>
        <v>10</v>
      </c>
      <c r="AB15" s="17">
        <f t="shared" si="7"/>
        <v>13</v>
      </c>
      <c r="AC15" s="17">
        <f t="shared" si="7"/>
        <v>1294</v>
      </c>
      <c r="AD15" s="17">
        <f t="shared" si="7"/>
        <v>0</v>
      </c>
      <c r="AE15" s="31">
        <f t="shared" si="7"/>
        <v>462</v>
      </c>
      <c r="AF15" s="31">
        <f t="shared" si="7"/>
        <v>1756</v>
      </c>
    </row>
    <row r="16" spans="2:32" ht="23.1" customHeight="1" x14ac:dyDescent="0.25">
      <c r="B16" s="23" t="s">
        <v>43</v>
      </c>
      <c r="C16" s="50">
        <v>40</v>
      </c>
      <c r="D16" s="50">
        <v>5</v>
      </c>
      <c r="E16" s="50">
        <v>5</v>
      </c>
      <c r="F16" s="50">
        <v>80</v>
      </c>
      <c r="G16" s="50">
        <v>3</v>
      </c>
      <c r="H16" s="50">
        <v>0</v>
      </c>
      <c r="I16" s="50">
        <v>3</v>
      </c>
      <c r="J16" s="50">
        <v>3</v>
      </c>
      <c r="K16" s="50">
        <v>2</v>
      </c>
      <c r="L16" s="50">
        <v>1</v>
      </c>
      <c r="M16" s="50">
        <v>523</v>
      </c>
      <c r="N16" s="50">
        <v>0</v>
      </c>
      <c r="O16" s="15">
        <f t="shared" si="0"/>
        <v>142</v>
      </c>
      <c r="P16" s="15">
        <f t="shared" si="1"/>
        <v>665</v>
      </c>
      <c r="R16" s="1" t="s">
        <v>12</v>
      </c>
      <c r="S16" s="17">
        <f t="shared" ref="S16:AF16" si="8">SUM(C34:C37)</f>
        <v>148</v>
      </c>
      <c r="T16" s="17">
        <f t="shared" si="8"/>
        <v>78</v>
      </c>
      <c r="U16" s="17">
        <f t="shared" si="8"/>
        <v>41</v>
      </c>
      <c r="V16" s="17">
        <f t="shared" si="8"/>
        <v>150</v>
      </c>
      <c r="W16" s="17">
        <f t="shared" si="8"/>
        <v>3</v>
      </c>
      <c r="X16" s="17">
        <f t="shared" si="8"/>
        <v>0</v>
      </c>
      <c r="Y16" s="17">
        <f t="shared" si="8"/>
        <v>22</v>
      </c>
      <c r="Z16" s="17">
        <f t="shared" si="8"/>
        <v>11</v>
      </c>
      <c r="AA16" s="17">
        <f t="shared" si="8"/>
        <v>9</v>
      </c>
      <c r="AB16" s="17">
        <f t="shared" si="8"/>
        <v>12</v>
      </c>
      <c r="AC16" s="17">
        <f t="shared" si="8"/>
        <v>1299</v>
      </c>
      <c r="AD16" s="17">
        <f t="shared" si="8"/>
        <v>0</v>
      </c>
      <c r="AE16" s="31">
        <f t="shared" si="8"/>
        <v>474</v>
      </c>
      <c r="AF16" s="31">
        <f t="shared" si="8"/>
        <v>1773</v>
      </c>
    </row>
    <row r="17" spans="2:32" ht="23.1" customHeight="1" x14ac:dyDescent="0.25">
      <c r="B17" s="23" t="s">
        <v>44</v>
      </c>
      <c r="C17" s="50">
        <v>28</v>
      </c>
      <c r="D17" s="50">
        <v>2</v>
      </c>
      <c r="E17" s="50">
        <v>5</v>
      </c>
      <c r="F17" s="50">
        <v>145</v>
      </c>
      <c r="G17" s="50">
        <v>2</v>
      </c>
      <c r="H17" s="50">
        <v>0</v>
      </c>
      <c r="I17" s="50">
        <v>0</v>
      </c>
      <c r="J17" s="50">
        <v>4</v>
      </c>
      <c r="K17" s="50">
        <v>4</v>
      </c>
      <c r="L17" s="50">
        <v>1</v>
      </c>
      <c r="M17" s="50">
        <v>485</v>
      </c>
      <c r="N17" s="50">
        <v>1</v>
      </c>
      <c r="O17" s="15">
        <f t="shared" si="0"/>
        <v>192</v>
      </c>
      <c r="P17" s="15">
        <f t="shared" si="1"/>
        <v>677</v>
      </c>
      <c r="R17" s="1" t="s">
        <v>13</v>
      </c>
      <c r="S17" s="17">
        <f t="shared" ref="S17:AF17" si="9">SUM(C38:C41)</f>
        <v>225</v>
      </c>
      <c r="T17" s="17">
        <f t="shared" si="9"/>
        <v>88</v>
      </c>
      <c r="U17" s="17">
        <f t="shared" si="9"/>
        <v>41</v>
      </c>
      <c r="V17" s="17">
        <f t="shared" si="9"/>
        <v>116</v>
      </c>
      <c r="W17" s="17">
        <f t="shared" si="9"/>
        <v>0</v>
      </c>
      <c r="X17" s="17">
        <f t="shared" si="9"/>
        <v>0</v>
      </c>
      <c r="Y17" s="17">
        <f t="shared" si="9"/>
        <v>19</v>
      </c>
      <c r="Z17" s="17">
        <f t="shared" si="9"/>
        <v>14</v>
      </c>
      <c r="AA17" s="17">
        <f t="shared" si="9"/>
        <v>10</v>
      </c>
      <c r="AB17" s="17">
        <f t="shared" si="9"/>
        <v>15</v>
      </c>
      <c r="AC17" s="17">
        <f t="shared" si="9"/>
        <v>1202</v>
      </c>
      <c r="AD17" s="17">
        <f t="shared" si="9"/>
        <v>0</v>
      </c>
      <c r="AE17" s="31">
        <f t="shared" si="9"/>
        <v>528</v>
      </c>
      <c r="AF17" s="31">
        <f t="shared" si="9"/>
        <v>1730</v>
      </c>
    </row>
    <row r="18" spans="2:32" ht="23.1" customHeight="1" x14ac:dyDescent="0.25">
      <c r="B18" s="23" t="s">
        <v>45</v>
      </c>
      <c r="C18" s="50">
        <v>46</v>
      </c>
      <c r="D18" s="50">
        <v>6</v>
      </c>
      <c r="E18" s="50">
        <v>3</v>
      </c>
      <c r="F18" s="50">
        <v>125</v>
      </c>
      <c r="G18" s="50">
        <v>5</v>
      </c>
      <c r="H18" s="50">
        <v>1</v>
      </c>
      <c r="I18" s="50">
        <v>5</v>
      </c>
      <c r="J18" s="50">
        <v>5</v>
      </c>
      <c r="K18" s="50">
        <v>3</v>
      </c>
      <c r="L18" s="50">
        <v>3</v>
      </c>
      <c r="M18" s="50">
        <v>383</v>
      </c>
      <c r="N18" s="50">
        <v>1</v>
      </c>
      <c r="O18" s="15">
        <f t="shared" si="0"/>
        <v>203</v>
      </c>
      <c r="P18" s="15">
        <f t="shared" si="1"/>
        <v>586</v>
      </c>
      <c r="R18" s="1" t="s">
        <v>14</v>
      </c>
      <c r="S18" s="17">
        <f t="shared" ref="S18:AF18" si="10">SUM(C42:C45)</f>
        <v>280</v>
      </c>
      <c r="T18" s="17">
        <f t="shared" si="10"/>
        <v>70</v>
      </c>
      <c r="U18" s="17">
        <f t="shared" si="10"/>
        <v>35</v>
      </c>
      <c r="V18" s="17">
        <f t="shared" si="10"/>
        <v>138</v>
      </c>
      <c r="W18" s="17">
        <f t="shared" si="10"/>
        <v>0</v>
      </c>
      <c r="X18" s="17">
        <f t="shared" si="10"/>
        <v>1</v>
      </c>
      <c r="Y18" s="17">
        <f t="shared" si="10"/>
        <v>35</v>
      </c>
      <c r="Z18" s="17">
        <f t="shared" si="10"/>
        <v>27</v>
      </c>
      <c r="AA18" s="17">
        <f t="shared" si="10"/>
        <v>14</v>
      </c>
      <c r="AB18" s="17">
        <f t="shared" si="10"/>
        <v>10</v>
      </c>
      <c r="AC18" s="17">
        <f t="shared" si="10"/>
        <v>1499</v>
      </c>
      <c r="AD18" s="17">
        <f t="shared" si="10"/>
        <v>0</v>
      </c>
      <c r="AE18" s="31">
        <f t="shared" si="10"/>
        <v>610</v>
      </c>
      <c r="AF18" s="31">
        <f t="shared" si="10"/>
        <v>2109</v>
      </c>
    </row>
    <row r="19" spans="2:32" ht="23.1" customHeight="1" x14ac:dyDescent="0.25">
      <c r="B19" s="23" t="s">
        <v>46</v>
      </c>
      <c r="C19" s="50">
        <v>67</v>
      </c>
      <c r="D19" s="50">
        <v>4</v>
      </c>
      <c r="E19" s="50">
        <v>4</v>
      </c>
      <c r="F19" s="50">
        <v>112</v>
      </c>
      <c r="G19" s="50">
        <v>0</v>
      </c>
      <c r="H19" s="50">
        <v>0</v>
      </c>
      <c r="I19" s="50">
        <v>7</v>
      </c>
      <c r="J19" s="50">
        <v>11</v>
      </c>
      <c r="K19" s="50">
        <v>3</v>
      </c>
      <c r="L19" s="50">
        <v>2</v>
      </c>
      <c r="M19" s="50">
        <v>513</v>
      </c>
      <c r="N19" s="50">
        <v>1</v>
      </c>
      <c r="O19" s="15">
        <f t="shared" si="0"/>
        <v>211</v>
      </c>
      <c r="P19" s="15">
        <f t="shared" si="1"/>
        <v>724</v>
      </c>
      <c r="R19" s="1" t="s">
        <v>15</v>
      </c>
      <c r="S19" s="17">
        <f t="shared" ref="S19:AF19" si="11">SUM(C46:C49)</f>
        <v>239</v>
      </c>
      <c r="T19" s="17">
        <f t="shared" si="11"/>
        <v>112</v>
      </c>
      <c r="U19" s="17">
        <f t="shared" si="11"/>
        <v>33</v>
      </c>
      <c r="V19" s="17">
        <f t="shared" si="11"/>
        <v>124</v>
      </c>
      <c r="W19" s="17">
        <f t="shared" si="11"/>
        <v>11</v>
      </c>
      <c r="X19" s="17">
        <f t="shared" si="11"/>
        <v>1</v>
      </c>
      <c r="Y19" s="17">
        <f t="shared" si="11"/>
        <v>22</v>
      </c>
      <c r="Z19" s="17">
        <f t="shared" si="11"/>
        <v>15</v>
      </c>
      <c r="AA19" s="17">
        <f t="shared" si="11"/>
        <v>16</v>
      </c>
      <c r="AB19" s="17">
        <f t="shared" si="11"/>
        <v>10</v>
      </c>
      <c r="AC19" s="17">
        <f t="shared" si="11"/>
        <v>1044</v>
      </c>
      <c r="AD19" s="17">
        <f t="shared" si="11"/>
        <v>0</v>
      </c>
      <c r="AE19" s="31">
        <f t="shared" si="11"/>
        <v>583</v>
      </c>
      <c r="AF19" s="31">
        <f t="shared" si="11"/>
        <v>1627</v>
      </c>
    </row>
    <row r="20" spans="2:32" ht="23.1" customHeight="1" x14ac:dyDescent="0.25">
      <c r="B20" s="23" t="s">
        <v>47</v>
      </c>
      <c r="C20" s="50">
        <v>40</v>
      </c>
      <c r="D20" s="50">
        <v>11</v>
      </c>
      <c r="E20" s="50">
        <v>5</v>
      </c>
      <c r="F20" s="50">
        <v>78</v>
      </c>
      <c r="G20" s="50">
        <v>2</v>
      </c>
      <c r="H20" s="50">
        <v>1</v>
      </c>
      <c r="I20" s="50">
        <v>2</v>
      </c>
      <c r="J20" s="50">
        <v>2</v>
      </c>
      <c r="K20" s="50">
        <v>3</v>
      </c>
      <c r="L20" s="50">
        <v>1</v>
      </c>
      <c r="M20" s="50">
        <v>469</v>
      </c>
      <c r="N20" s="50">
        <v>1</v>
      </c>
      <c r="O20" s="15">
        <f t="shared" si="0"/>
        <v>146</v>
      </c>
      <c r="P20" s="15">
        <f t="shared" si="1"/>
        <v>615</v>
      </c>
      <c r="R20" s="1" t="s">
        <v>16</v>
      </c>
      <c r="S20" s="17">
        <f t="shared" ref="S20:AF20" si="12">SUM(C50:C53)</f>
        <v>290</v>
      </c>
      <c r="T20" s="17">
        <f t="shared" si="12"/>
        <v>107</v>
      </c>
      <c r="U20" s="17">
        <f t="shared" si="12"/>
        <v>36</v>
      </c>
      <c r="V20" s="17">
        <f t="shared" si="12"/>
        <v>103</v>
      </c>
      <c r="W20" s="17">
        <f t="shared" si="12"/>
        <v>3</v>
      </c>
      <c r="X20" s="17">
        <f t="shared" si="12"/>
        <v>0</v>
      </c>
      <c r="Y20" s="17">
        <f t="shared" si="12"/>
        <v>22</v>
      </c>
      <c r="Z20" s="17">
        <f t="shared" si="12"/>
        <v>16</v>
      </c>
      <c r="AA20" s="17">
        <f t="shared" si="12"/>
        <v>12</v>
      </c>
      <c r="AB20" s="17">
        <f t="shared" si="12"/>
        <v>13</v>
      </c>
      <c r="AC20" s="17">
        <f t="shared" si="12"/>
        <v>1561</v>
      </c>
      <c r="AD20" s="17">
        <f t="shared" si="12"/>
        <v>1</v>
      </c>
      <c r="AE20" s="31">
        <f t="shared" si="12"/>
        <v>603</v>
      </c>
      <c r="AF20" s="31">
        <f t="shared" si="12"/>
        <v>2164</v>
      </c>
    </row>
    <row r="21" spans="2:32" ht="23.1" customHeight="1" x14ac:dyDescent="0.25">
      <c r="B21" s="23" t="s">
        <v>48</v>
      </c>
      <c r="C21" s="50">
        <v>58</v>
      </c>
      <c r="D21" s="50">
        <v>7</v>
      </c>
      <c r="E21" s="50">
        <v>2</v>
      </c>
      <c r="F21" s="50">
        <v>84</v>
      </c>
      <c r="G21" s="50">
        <v>3</v>
      </c>
      <c r="H21" s="50">
        <v>1</v>
      </c>
      <c r="I21" s="50">
        <v>3</v>
      </c>
      <c r="J21" s="50">
        <v>3</v>
      </c>
      <c r="K21" s="50">
        <v>3</v>
      </c>
      <c r="L21" s="50">
        <v>2</v>
      </c>
      <c r="M21" s="50">
        <v>405</v>
      </c>
      <c r="N21" s="50">
        <v>0</v>
      </c>
      <c r="O21" s="15">
        <f t="shared" si="0"/>
        <v>166</v>
      </c>
      <c r="P21" s="15">
        <f t="shared" si="1"/>
        <v>571</v>
      </c>
      <c r="R21" s="36" t="s">
        <v>20</v>
      </c>
      <c r="S21" s="34">
        <f t="shared" ref="S21:AF21" si="13">SUM(C54:C57)</f>
        <v>221</v>
      </c>
      <c r="T21" s="17">
        <f t="shared" si="13"/>
        <v>140</v>
      </c>
      <c r="U21" s="17">
        <f t="shared" si="13"/>
        <v>21</v>
      </c>
      <c r="V21" s="17">
        <f t="shared" si="13"/>
        <v>137</v>
      </c>
      <c r="W21" s="17">
        <f t="shared" si="13"/>
        <v>7</v>
      </c>
      <c r="X21" s="17">
        <f t="shared" si="13"/>
        <v>1</v>
      </c>
      <c r="Y21" s="17">
        <f t="shared" si="13"/>
        <v>11</v>
      </c>
      <c r="Z21" s="17">
        <f t="shared" si="13"/>
        <v>17</v>
      </c>
      <c r="AA21" s="17">
        <f t="shared" si="13"/>
        <v>8</v>
      </c>
      <c r="AB21" s="17">
        <f t="shared" si="13"/>
        <v>7</v>
      </c>
      <c r="AC21" s="17">
        <f t="shared" si="13"/>
        <v>1856</v>
      </c>
      <c r="AD21" s="17">
        <f t="shared" si="13"/>
        <v>0</v>
      </c>
      <c r="AE21" s="31">
        <f t="shared" si="13"/>
        <v>570</v>
      </c>
      <c r="AF21" s="31">
        <f t="shared" si="13"/>
        <v>2426</v>
      </c>
    </row>
    <row r="22" spans="2:32" ht="23.1" customHeight="1" x14ac:dyDescent="0.25">
      <c r="B22" s="23" t="s">
        <v>49</v>
      </c>
      <c r="C22" s="50">
        <v>56</v>
      </c>
      <c r="D22" s="50">
        <v>8</v>
      </c>
      <c r="E22" s="50">
        <v>6</v>
      </c>
      <c r="F22" s="50">
        <v>66</v>
      </c>
      <c r="G22" s="50">
        <v>2</v>
      </c>
      <c r="H22" s="50">
        <v>1</v>
      </c>
      <c r="I22" s="50">
        <v>8</v>
      </c>
      <c r="J22" s="50">
        <v>7</v>
      </c>
      <c r="K22" s="50">
        <v>4</v>
      </c>
      <c r="L22" s="50">
        <v>4</v>
      </c>
      <c r="M22" s="50">
        <v>370</v>
      </c>
      <c r="N22" s="50">
        <v>0</v>
      </c>
      <c r="O22" s="15">
        <f t="shared" si="0"/>
        <v>162</v>
      </c>
      <c r="P22" s="15">
        <f t="shared" si="1"/>
        <v>532</v>
      </c>
      <c r="R22" s="38" t="s">
        <v>90</v>
      </c>
      <c r="S22" s="39">
        <f>MAX(S10:S12)</f>
        <v>215</v>
      </c>
      <c r="T22" s="39">
        <f t="shared" ref="T22:AF22" si="14">MAX(T10:T12)</f>
        <v>30</v>
      </c>
      <c r="U22" s="39">
        <f t="shared" si="14"/>
        <v>20</v>
      </c>
      <c r="V22" s="39">
        <f t="shared" si="14"/>
        <v>417</v>
      </c>
      <c r="W22" s="39">
        <f t="shared" si="14"/>
        <v>11</v>
      </c>
      <c r="X22" s="39">
        <f t="shared" si="14"/>
        <v>3</v>
      </c>
      <c r="Y22" s="39">
        <f t="shared" si="14"/>
        <v>17</v>
      </c>
      <c r="Z22" s="39">
        <f t="shared" si="14"/>
        <v>21</v>
      </c>
      <c r="AA22" s="39">
        <f t="shared" si="14"/>
        <v>12</v>
      </c>
      <c r="AB22" s="39">
        <f t="shared" si="14"/>
        <v>8</v>
      </c>
      <c r="AC22" s="39">
        <f t="shared" si="14"/>
        <v>2063</v>
      </c>
      <c r="AD22" s="39">
        <f t="shared" si="14"/>
        <v>3</v>
      </c>
      <c r="AE22" s="40">
        <f t="shared" si="14"/>
        <v>726</v>
      </c>
      <c r="AF22" s="40">
        <f t="shared" si="14"/>
        <v>2747</v>
      </c>
    </row>
    <row r="23" spans="2:32" ht="23.1" customHeight="1" x14ac:dyDescent="0.25">
      <c r="B23" s="23" t="s">
        <v>50</v>
      </c>
      <c r="C23" s="50">
        <v>76</v>
      </c>
      <c r="D23" s="50">
        <v>9</v>
      </c>
      <c r="E23" s="50">
        <v>4</v>
      </c>
      <c r="F23" s="50">
        <v>98</v>
      </c>
      <c r="G23" s="50">
        <v>1</v>
      </c>
      <c r="H23" s="50">
        <v>0</v>
      </c>
      <c r="I23" s="50">
        <v>7</v>
      </c>
      <c r="J23" s="50">
        <v>7</v>
      </c>
      <c r="K23" s="50">
        <v>5</v>
      </c>
      <c r="L23" s="50">
        <v>2</v>
      </c>
      <c r="M23" s="50">
        <v>313</v>
      </c>
      <c r="N23" s="50">
        <v>0</v>
      </c>
      <c r="O23" s="15">
        <f t="shared" si="0"/>
        <v>209</v>
      </c>
      <c r="P23" s="15">
        <f t="shared" si="1"/>
        <v>522</v>
      </c>
      <c r="R23" s="38" t="s">
        <v>91</v>
      </c>
      <c r="S23" s="39">
        <f>MAX(S13:S18)</f>
        <v>280</v>
      </c>
      <c r="T23" s="39">
        <f t="shared" ref="T23:AF23" si="15">MAX(T13:T18)</f>
        <v>88</v>
      </c>
      <c r="U23" s="39">
        <f t="shared" si="15"/>
        <v>41</v>
      </c>
      <c r="V23" s="39">
        <f t="shared" si="15"/>
        <v>309</v>
      </c>
      <c r="W23" s="39">
        <f t="shared" si="15"/>
        <v>6</v>
      </c>
      <c r="X23" s="39">
        <f t="shared" si="15"/>
        <v>1</v>
      </c>
      <c r="Y23" s="39">
        <f t="shared" si="15"/>
        <v>35</v>
      </c>
      <c r="Z23" s="39">
        <f t="shared" si="15"/>
        <v>27</v>
      </c>
      <c r="AA23" s="39">
        <f t="shared" si="15"/>
        <v>17</v>
      </c>
      <c r="AB23" s="39">
        <f t="shared" si="15"/>
        <v>15</v>
      </c>
      <c r="AC23" s="39">
        <f t="shared" si="15"/>
        <v>1834</v>
      </c>
      <c r="AD23" s="39">
        <f t="shared" si="15"/>
        <v>1</v>
      </c>
      <c r="AE23" s="40">
        <f t="shared" si="15"/>
        <v>659</v>
      </c>
      <c r="AF23" s="40">
        <f t="shared" si="15"/>
        <v>2209</v>
      </c>
    </row>
    <row r="24" spans="2:32" ht="23.1" customHeight="1" x14ac:dyDescent="0.25">
      <c r="B24" s="23" t="s">
        <v>51</v>
      </c>
      <c r="C24" s="50">
        <v>50</v>
      </c>
      <c r="D24" s="50">
        <v>4</v>
      </c>
      <c r="E24" s="50">
        <v>7</v>
      </c>
      <c r="F24" s="50">
        <v>90</v>
      </c>
      <c r="G24" s="50">
        <v>2</v>
      </c>
      <c r="H24" s="50">
        <v>0</v>
      </c>
      <c r="I24" s="50">
        <v>3</v>
      </c>
      <c r="J24" s="50">
        <v>3</v>
      </c>
      <c r="K24" s="50">
        <v>4</v>
      </c>
      <c r="L24" s="50">
        <v>1</v>
      </c>
      <c r="M24" s="50">
        <v>361</v>
      </c>
      <c r="N24" s="50">
        <v>0</v>
      </c>
      <c r="O24" s="15">
        <f t="shared" si="0"/>
        <v>164</v>
      </c>
      <c r="P24" s="15">
        <f t="shared" si="1"/>
        <v>525</v>
      </c>
      <c r="R24" s="38" t="s">
        <v>92</v>
      </c>
      <c r="S24" s="39">
        <f>MAX(S19:S21)</f>
        <v>290</v>
      </c>
      <c r="T24" s="39">
        <f t="shared" ref="T24:AF24" si="16">MAX(T19:T21)</f>
        <v>140</v>
      </c>
      <c r="U24" s="39">
        <f t="shared" si="16"/>
        <v>36</v>
      </c>
      <c r="V24" s="39">
        <f t="shared" si="16"/>
        <v>137</v>
      </c>
      <c r="W24" s="39">
        <f t="shared" si="16"/>
        <v>11</v>
      </c>
      <c r="X24" s="39">
        <f t="shared" si="16"/>
        <v>1</v>
      </c>
      <c r="Y24" s="39">
        <f t="shared" si="16"/>
        <v>22</v>
      </c>
      <c r="Z24" s="39">
        <f t="shared" si="16"/>
        <v>17</v>
      </c>
      <c r="AA24" s="39">
        <f t="shared" si="16"/>
        <v>16</v>
      </c>
      <c r="AB24" s="39">
        <f t="shared" si="16"/>
        <v>13</v>
      </c>
      <c r="AC24" s="39">
        <f t="shared" si="16"/>
        <v>1856</v>
      </c>
      <c r="AD24" s="39">
        <f t="shared" si="16"/>
        <v>1</v>
      </c>
      <c r="AE24" s="40">
        <f t="shared" si="16"/>
        <v>603</v>
      </c>
      <c r="AF24" s="40">
        <f t="shared" si="16"/>
        <v>2426</v>
      </c>
    </row>
    <row r="25" spans="2:32" ht="23.1" customHeight="1" x14ac:dyDescent="0.25">
      <c r="B25" s="23" t="s">
        <v>52</v>
      </c>
      <c r="C25" s="50">
        <v>40</v>
      </c>
      <c r="D25" s="50">
        <v>5</v>
      </c>
      <c r="E25" s="50">
        <v>6</v>
      </c>
      <c r="F25" s="50">
        <v>55</v>
      </c>
      <c r="G25" s="50">
        <v>1</v>
      </c>
      <c r="H25" s="50">
        <v>0</v>
      </c>
      <c r="I25" s="50">
        <v>7</v>
      </c>
      <c r="J25" s="50">
        <v>4</v>
      </c>
      <c r="K25" s="50">
        <v>4</v>
      </c>
      <c r="L25" s="50">
        <v>2</v>
      </c>
      <c r="M25" s="50">
        <v>358</v>
      </c>
      <c r="N25" s="50">
        <v>0</v>
      </c>
      <c r="O25" s="15">
        <f t="shared" si="0"/>
        <v>124</v>
      </c>
      <c r="P25" s="15">
        <f t="shared" si="1"/>
        <v>482</v>
      </c>
      <c r="R25" s="37" t="s">
        <v>85</v>
      </c>
      <c r="S25" s="35">
        <f t="shared" ref="S25:AF25" si="17">SUM(S10:S12)</f>
        <v>602</v>
      </c>
      <c r="T25" s="16">
        <f t="shared" si="17"/>
        <v>75</v>
      </c>
      <c r="U25" s="16">
        <f t="shared" si="17"/>
        <v>47</v>
      </c>
      <c r="V25" s="16">
        <f t="shared" si="17"/>
        <v>1193</v>
      </c>
      <c r="W25" s="16">
        <f t="shared" si="17"/>
        <v>31</v>
      </c>
      <c r="X25" s="16">
        <f t="shared" si="17"/>
        <v>5</v>
      </c>
      <c r="Y25" s="16">
        <f t="shared" si="17"/>
        <v>34</v>
      </c>
      <c r="Z25" s="16">
        <f t="shared" si="17"/>
        <v>46</v>
      </c>
      <c r="AA25" s="16">
        <f t="shared" si="17"/>
        <v>28</v>
      </c>
      <c r="AB25" s="16">
        <f t="shared" si="17"/>
        <v>20</v>
      </c>
      <c r="AC25" s="16">
        <f t="shared" si="17"/>
        <v>5737</v>
      </c>
      <c r="AD25" s="16">
        <f t="shared" si="17"/>
        <v>4</v>
      </c>
      <c r="AE25" s="32">
        <f t="shared" si="17"/>
        <v>2085</v>
      </c>
      <c r="AF25" s="32">
        <f t="shared" si="17"/>
        <v>7822</v>
      </c>
    </row>
    <row r="26" spans="2:32" ht="23.1" customHeight="1" x14ac:dyDescent="0.25">
      <c r="B26" s="23" t="s">
        <v>53</v>
      </c>
      <c r="C26" s="50">
        <v>29</v>
      </c>
      <c r="D26" s="50">
        <v>6</v>
      </c>
      <c r="E26" s="50">
        <v>3</v>
      </c>
      <c r="F26" s="50">
        <v>44</v>
      </c>
      <c r="G26" s="50">
        <v>2</v>
      </c>
      <c r="H26" s="50">
        <v>0</v>
      </c>
      <c r="I26" s="50">
        <v>2</v>
      </c>
      <c r="J26" s="50">
        <v>2</v>
      </c>
      <c r="K26" s="50">
        <v>2</v>
      </c>
      <c r="L26" s="50">
        <v>1</v>
      </c>
      <c r="M26" s="50">
        <v>274</v>
      </c>
      <c r="N26" s="50">
        <v>0</v>
      </c>
      <c r="O26" s="15">
        <f t="shared" si="0"/>
        <v>91</v>
      </c>
      <c r="P26" s="15">
        <f t="shared" si="1"/>
        <v>365</v>
      </c>
      <c r="R26" s="28" t="s">
        <v>86</v>
      </c>
      <c r="S26" s="16">
        <f t="shared" ref="S26:AF26" si="18">SUM(S13:S18)</f>
        <v>1139</v>
      </c>
      <c r="T26" s="16">
        <f t="shared" si="18"/>
        <v>395</v>
      </c>
      <c r="U26" s="16">
        <f t="shared" si="18"/>
        <v>184</v>
      </c>
      <c r="V26" s="16">
        <f t="shared" si="18"/>
        <v>1020</v>
      </c>
      <c r="W26" s="16">
        <f t="shared" si="18"/>
        <v>12</v>
      </c>
      <c r="X26" s="16">
        <f t="shared" si="18"/>
        <v>2</v>
      </c>
      <c r="Y26" s="16">
        <f t="shared" si="18"/>
        <v>130</v>
      </c>
      <c r="Z26" s="16">
        <f t="shared" si="18"/>
        <v>97</v>
      </c>
      <c r="AA26" s="16">
        <f t="shared" si="18"/>
        <v>66</v>
      </c>
      <c r="AB26" s="16">
        <f t="shared" si="18"/>
        <v>62</v>
      </c>
      <c r="AC26" s="16">
        <f t="shared" si="18"/>
        <v>8530</v>
      </c>
      <c r="AD26" s="16">
        <f t="shared" si="18"/>
        <v>1</v>
      </c>
      <c r="AE26" s="32">
        <f t="shared" si="18"/>
        <v>3108</v>
      </c>
      <c r="AF26" s="32">
        <f t="shared" si="18"/>
        <v>11638</v>
      </c>
    </row>
    <row r="27" spans="2:32" ht="23.1" customHeight="1" x14ac:dyDescent="0.25">
      <c r="B27" s="23" t="s">
        <v>54</v>
      </c>
      <c r="C27" s="50">
        <v>23</v>
      </c>
      <c r="D27" s="50">
        <v>15</v>
      </c>
      <c r="E27" s="50">
        <v>10</v>
      </c>
      <c r="F27" s="50">
        <v>38</v>
      </c>
      <c r="G27" s="50">
        <v>0</v>
      </c>
      <c r="H27" s="50">
        <v>0</v>
      </c>
      <c r="I27" s="50">
        <v>5</v>
      </c>
      <c r="J27" s="50">
        <v>0</v>
      </c>
      <c r="K27" s="50">
        <v>2</v>
      </c>
      <c r="L27" s="50">
        <v>0</v>
      </c>
      <c r="M27" s="50">
        <v>535</v>
      </c>
      <c r="N27" s="50">
        <v>0</v>
      </c>
      <c r="O27" s="15">
        <f t="shared" si="0"/>
        <v>93</v>
      </c>
      <c r="P27" s="15">
        <f t="shared" si="1"/>
        <v>628</v>
      </c>
      <c r="R27" s="29" t="s">
        <v>87</v>
      </c>
      <c r="S27" s="16">
        <f t="shared" ref="S27:AF27" si="19">SUM(S19:S21)</f>
        <v>750</v>
      </c>
      <c r="T27" s="16">
        <f t="shared" si="19"/>
        <v>359</v>
      </c>
      <c r="U27" s="16">
        <f t="shared" si="19"/>
        <v>90</v>
      </c>
      <c r="V27" s="16">
        <f t="shared" si="19"/>
        <v>364</v>
      </c>
      <c r="W27" s="16">
        <f t="shared" si="19"/>
        <v>21</v>
      </c>
      <c r="X27" s="16">
        <f t="shared" si="19"/>
        <v>2</v>
      </c>
      <c r="Y27" s="16">
        <f t="shared" si="19"/>
        <v>55</v>
      </c>
      <c r="Z27" s="16">
        <f t="shared" si="19"/>
        <v>48</v>
      </c>
      <c r="AA27" s="16">
        <f t="shared" si="19"/>
        <v>36</v>
      </c>
      <c r="AB27" s="16">
        <f t="shared" si="19"/>
        <v>30</v>
      </c>
      <c r="AC27" s="16">
        <f t="shared" si="19"/>
        <v>4461</v>
      </c>
      <c r="AD27" s="16">
        <f t="shared" si="19"/>
        <v>1</v>
      </c>
      <c r="AE27" s="32">
        <f t="shared" si="19"/>
        <v>1756</v>
      </c>
      <c r="AF27" s="32">
        <f t="shared" si="19"/>
        <v>6217</v>
      </c>
    </row>
    <row r="28" spans="2:32" ht="23.1" customHeight="1" x14ac:dyDescent="0.25">
      <c r="B28" s="23" t="s">
        <v>55</v>
      </c>
      <c r="C28" s="50">
        <v>35</v>
      </c>
      <c r="D28" s="50">
        <v>24</v>
      </c>
      <c r="E28" s="50">
        <v>4</v>
      </c>
      <c r="F28" s="50">
        <v>21</v>
      </c>
      <c r="G28" s="50">
        <v>0</v>
      </c>
      <c r="H28" s="50">
        <v>0</v>
      </c>
      <c r="I28" s="50">
        <v>4</v>
      </c>
      <c r="J28" s="50">
        <v>5</v>
      </c>
      <c r="K28" s="50">
        <v>1</v>
      </c>
      <c r="L28" s="50">
        <v>1</v>
      </c>
      <c r="M28" s="50">
        <v>603</v>
      </c>
      <c r="N28" s="50">
        <v>0</v>
      </c>
      <c r="O28" s="15">
        <f t="shared" si="0"/>
        <v>95</v>
      </c>
      <c r="P28" s="15">
        <f t="shared" si="1"/>
        <v>698</v>
      </c>
      <c r="R28" s="5" t="s">
        <v>17</v>
      </c>
      <c r="S28" s="16">
        <f t="shared" ref="S28:AF28" si="20">SUM(S10:S21)</f>
        <v>2491</v>
      </c>
      <c r="T28" s="16">
        <f t="shared" si="20"/>
        <v>829</v>
      </c>
      <c r="U28" s="16">
        <f t="shared" si="20"/>
        <v>321</v>
      </c>
      <c r="V28" s="16">
        <f t="shared" si="20"/>
        <v>2577</v>
      </c>
      <c r="W28" s="16">
        <f t="shared" si="20"/>
        <v>64</v>
      </c>
      <c r="X28" s="16">
        <f t="shared" si="20"/>
        <v>9</v>
      </c>
      <c r="Y28" s="16">
        <f t="shared" si="20"/>
        <v>219</v>
      </c>
      <c r="Z28" s="16">
        <f t="shared" si="20"/>
        <v>191</v>
      </c>
      <c r="AA28" s="16">
        <f t="shared" si="20"/>
        <v>130</v>
      </c>
      <c r="AB28" s="16">
        <f t="shared" si="20"/>
        <v>112</v>
      </c>
      <c r="AC28" s="16">
        <f t="shared" si="20"/>
        <v>18728</v>
      </c>
      <c r="AD28" s="16">
        <f t="shared" si="20"/>
        <v>6</v>
      </c>
      <c r="AE28" s="32">
        <f t="shared" si="20"/>
        <v>6949</v>
      </c>
      <c r="AF28" s="32">
        <f t="shared" si="20"/>
        <v>25677</v>
      </c>
    </row>
    <row r="29" spans="2:32" ht="23.1" customHeight="1" x14ac:dyDescent="0.25">
      <c r="B29" s="23" t="s">
        <v>56</v>
      </c>
      <c r="C29" s="50">
        <v>33</v>
      </c>
      <c r="D29" s="50">
        <v>18</v>
      </c>
      <c r="E29" s="50">
        <v>3</v>
      </c>
      <c r="F29" s="50">
        <v>35</v>
      </c>
      <c r="G29" s="50">
        <v>0</v>
      </c>
      <c r="H29" s="50">
        <v>0</v>
      </c>
      <c r="I29" s="50">
        <v>1</v>
      </c>
      <c r="J29" s="50">
        <v>3</v>
      </c>
      <c r="K29" s="50">
        <v>1</v>
      </c>
      <c r="L29" s="50">
        <v>1</v>
      </c>
      <c r="M29" s="50">
        <v>422</v>
      </c>
      <c r="N29" s="50">
        <v>1</v>
      </c>
      <c r="O29" s="15">
        <f t="shared" si="0"/>
        <v>96</v>
      </c>
      <c r="P29" s="15">
        <f t="shared" si="1"/>
        <v>518</v>
      </c>
      <c r="R29"/>
      <c r="S29" s="20"/>
      <c r="T29" s="19"/>
    </row>
    <row r="30" spans="2:32" ht="23.1" customHeight="1" x14ac:dyDescent="0.25">
      <c r="B30" s="23" t="s">
        <v>57</v>
      </c>
      <c r="C30" s="50">
        <v>39</v>
      </c>
      <c r="D30" s="50">
        <v>29</v>
      </c>
      <c r="E30" s="50">
        <v>3</v>
      </c>
      <c r="F30" s="50">
        <v>32</v>
      </c>
      <c r="G30" s="50">
        <v>0</v>
      </c>
      <c r="H30" s="50">
        <v>0</v>
      </c>
      <c r="I30" s="50">
        <v>5</v>
      </c>
      <c r="J30" s="50">
        <v>3</v>
      </c>
      <c r="K30" s="50">
        <v>3</v>
      </c>
      <c r="L30" s="50">
        <v>4</v>
      </c>
      <c r="M30" s="50">
        <v>248</v>
      </c>
      <c r="N30" s="50">
        <v>0</v>
      </c>
      <c r="O30" s="15">
        <f t="shared" si="0"/>
        <v>118</v>
      </c>
      <c r="P30" s="15">
        <f t="shared" si="1"/>
        <v>366</v>
      </c>
    </row>
    <row r="31" spans="2:32" ht="23.1" customHeight="1" x14ac:dyDescent="0.25">
      <c r="B31" s="24" t="s">
        <v>58</v>
      </c>
      <c r="C31" s="50">
        <v>34</v>
      </c>
      <c r="D31" s="50">
        <v>10</v>
      </c>
      <c r="E31" s="50">
        <v>5</v>
      </c>
      <c r="F31" s="50">
        <v>41</v>
      </c>
      <c r="G31" s="50">
        <v>1</v>
      </c>
      <c r="H31" s="50">
        <v>0</v>
      </c>
      <c r="I31" s="50">
        <v>2</v>
      </c>
      <c r="J31" s="50">
        <v>4</v>
      </c>
      <c r="K31" s="50">
        <v>3</v>
      </c>
      <c r="L31" s="50">
        <v>3</v>
      </c>
      <c r="M31" s="50">
        <v>405</v>
      </c>
      <c r="N31" s="50">
        <v>0</v>
      </c>
      <c r="O31" s="15">
        <f t="shared" si="0"/>
        <v>103</v>
      </c>
      <c r="P31" s="15">
        <f t="shared" si="1"/>
        <v>508</v>
      </c>
    </row>
    <row r="32" spans="2:32" ht="23.1" customHeight="1" x14ac:dyDescent="0.25">
      <c r="B32" s="24" t="s">
        <v>59</v>
      </c>
      <c r="C32" s="50">
        <v>29</v>
      </c>
      <c r="D32" s="50">
        <v>17</v>
      </c>
      <c r="E32" s="50">
        <v>6</v>
      </c>
      <c r="F32" s="50">
        <v>56</v>
      </c>
      <c r="G32" s="50">
        <v>0</v>
      </c>
      <c r="H32" s="50">
        <v>0</v>
      </c>
      <c r="I32" s="50">
        <v>4</v>
      </c>
      <c r="J32" s="50">
        <v>4</v>
      </c>
      <c r="K32" s="50">
        <v>3</v>
      </c>
      <c r="L32" s="50">
        <v>0</v>
      </c>
      <c r="M32" s="50">
        <v>341</v>
      </c>
      <c r="N32" s="50">
        <v>0</v>
      </c>
      <c r="O32" s="15">
        <f t="shared" si="0"/>
        <v>119</v>
      </c>
      <c r="P32" s="15">
        <f t="shared" si="1"/>
        <v>460</v>
      </c>
    </row>
    <row r="33" spans="2:20" ht="23.1" customHeight="1" x14ac:dyDescent="0.25">
      <c r="B33" s="23" t="s">
        <v>60</v>
      </c>
      <c r="C33" s="50">
        <v>42</v>
      </c>
      <c r="D33" s="50">
        <v>14</v>
      </c>
      <c r="E33" s="50">
        <v>10</v>
      </c>
      <c r="F33" s="50">
        <v>40</v>
      </c>
      <c r="G33" s="50">
        <v>0</v>
      </c>
      <c r="H33" s="50">
        <v>0</v>
      </c>
      <c r="I33" s="50">
        <v>6</v>
      </c>
      <c r="J33" s="50">
        <v>3</v>
      </c>
      <c r="K33" s="50">
        <v>1</v>
      </c>
      <c r="L33" s="50">
        <v>6</v>
      </c>
      <c r="M33" s="50">
        <v>300</v>
      </c>
      <c r="N33" s="50">
        <v>0</v>
      </c>
      <c r="O33" s="15">
        <f t="shared" si="0"/>
        <v>122</v>
      </c>
      <c r="P33" s="15">
        <f t="shared" si="1"/>
        <v>422</v>
      </c>
    </row>
    <row r="34" spans="2:20" ht="23.1" customHeight="1" x14ac:dyDescent="0.25">
      <c r="B34" s="24" t="s">
        <v>61</v>
      </c>
      <c r="C34" s="50">
        <v>16</v>
      </c>
      <c r="D34" s="50">
        <v>30</v>
      </c>
      <c r="E34" s="50">
        <v>9</v>
      </c>
      <c r="F34" s="50">
        <v>50</v>
      </c>
      <c r="G34" s="50">
        <v>0</v>
      </c>
      <c r="H34" s="50">
        <v>0</v>
      </c>
      <c r="I34" s="50">
        <v>6</v>
      </c>
      <c r="J34" s="50">
        <v>5</v>
      </c>
      <c r="K34" s="50">
        <v>3</v>
      </c>
      <c r="L34" s="50">
        <v>3</v>
      </c>
      <c r="M34" s="50">
        <v>405</v>
      </c>
      <c r="N34" s="50">
        <v>0</v>
      </c>
      <c r="O34" s="15">
        <f t="shared" si="0"/>
        <v>122</v>
      </c>
      <c r="P34" s="15">
        <f t="shared" si="1"/>
        <v>527</v>
      </c>
    </row>
    <row r="35" spans="2:20" ht="23.1" customHeight="1" x14ac:dyDescent="0.25">
      <c r="B35" s="24" t="s">
        <v>62</v>
      </c>
      <c r="C35" s="50">
        <v>33</v>
      </c>
      <c r="D35" s="50">
        <v>17</v>
      </c>
      <c r="E35" s="50">
        <v>7</v>
      </c>
      <c r="F35" s="50">
        <v>27</v>
      </c>
      <c r="G35" s="50">
        <v>1</v>
      </c>
      <c r="H35" s="50">
        <v>0</v>
      </c>
      <c r="I35" s="50">
        <v>5</v>
      </c>
      <c r="J35" s="50">
        <v>1</v>
      </c>
      <c r="K35" s="50">
        <v>2</v>
      </c>
      <c r="L35" s="50">
        <v>4</v>
      </c>
      <c r="M35" s="50">
        <v>319</v>
      </c>
      <c r="N35" s="50">
        <v>0</v>
      </c>
      <c r="O35" s="15">
        <f t="shared" si="0"/>
        <v>97</v>
      </c>
      <c r="P35" s="15">
        <f t="shared" si="1"/>
        <v>416</v>
      </c>
    </row>
    <row r="36" spans="2:20" ht="23.1" customHeight="1" x14ac:dyDescent="0.25">
      <c r="B36" s="24" t="s">
        <v>63</v>
      </c>
      <c r="C36" s="50">
        <v>52</v>
      </c>
      <c r="D36" s="50">
        <v>15</v>
      </c>
      <c r="E36" s="50">
        <v>12</v>
      </c>
      <c r="F36" s="50">
        <v>36</v>
      </c>
      <c r="G36" s="50">
        <v>2</v>
      </c>
      <c r="H36" s="50">
        <v>0</v>
      </c>
      <c r="I36" s="50">
        <v>2</v>
      </c>
      <c r="J36" s="50">
        <v>2</v>
      </c>
      <c r="K36" s="50">
        <v>2</v>
      </c>
      <c r="L36" s="50">
        <v>4</v>
      </c>
      <c r="M36" s="50">
        <v>345</v>
      </c>
      <c r="N36" s="50">
        <v>0</v>
      </c>
      <c r="O36" s="15">
        <f t="shared" si="0"/>
        <v>127</v>
      </c>
      <c r="P36" s="15">
        <f t="shared" si="1"/>
        <v>472</v>
      </c>
    </row>
    <row r="37" spans="2:20" ht="23.1" customHeight="1" x14ac:dyDescent="0.25">
      <c r="B37" s="23" t="s">
        <v>64</v>
      </c>
      <c r="C37" s="50">
        <v>47</v>
      </c>
      <c r="D37" s="50">
        <v>16</v>
      </c>
      <c r="E37" s="50">
        <v>13</v>
      </c>
      <c r="F37" s="50">
        <v>37</v>
      </c>
      <c r="G37" s="50">
        <v>0</v>
      </c>
      <c r="H37" s="50">
        <v>0</v>
      </c>
      <c r="I37" s="50">
        <v>9</v>
      </c>
      <c r="J37" s="50">
        <v>3</v>
      </c>
      <c r="K37" s="50">
        <v>2</v>
      </c>
      <c r="L37" s="50">
        <v>1</v>
      </c>
      <c r="M37" s="50">
        <v>230</v>
      </c>
      <c r="N37" s="50">
        <v>0</v>
      </c>
      <c r="O37" s="15">
        <f t="shared" si="0"/>
        <v>128</v>
      </c>
      <c r="P37" s="15">
        <f t="shared" si="1"/>
        <v>358</v>
      </c>
    </row>
    <row r="38" spans="2:20" ht="23.1" customHeight="1" x14ac:dyDescent="0.25">
      <c r="B38" s="24" t="s">
        <v>65</v>
      </c>
      <c r="C38" s="50">
        <v>40</v>
      </c>
      <c r="D38" s="50">
        <v>20</v>
      </c>
      <c r="E38" s="50">
        <v>16</v>
      </c>
      <c r="F38" s="50">
        <v>40</v>
      </c>
      <c r="G38" s="50">
        <v>0</v>
      </c>
      <c r="H38" s="50">
        <v>0</v>
      </c>
      <c r="I38" s="50">
        <v>1</v>
      </c>
      <c r="J38" s="50">
        <v>5</v>
      </c>
      <c r="K38" s="50">
        <v>0</v>
      </c>
      <c r="L38" s="50">
        <v>6</v>
      </c>
      <c r="M38" s="50">
        <v>346</v>
      </c>
      <c r="N38" s="50">
        <v>0</v>
      </c>
      <c r="O38" s="15">
        <f t="shared" si="0"/>
        <v>128</v>
      </c>
      <c r="P38" s="15">
        <f t="shared" si="1"/>
        <v>474</v>
      </c>
    </row>
    <row r="39" spans="2:20" ht="23.1" customHeight="1" x14ac:dyDescent="0.25">
      <c r="B39" s="24" t="s">
        <v>66</v>
      </c>
      <c r="C39" s="50">
        <v>56</v>
      </c>
      <c r="D39" s="50">
        <v>16</v>
      </c>
      <c r="E39" s="50">
        <v>4</v>
      </c>
      <c r="F39" s="50">
        <v>21</v>
      </c>
      <c r="G39" s="50">
        <v>0</v>
      </c>
      <c r="H39" s="50">
        <v>0</v>
      </c>
      <c r="I39" s="50">
        <v>7</v>
      </c>
      <c r="J39" s="50">
        <v>1</v>
      </c>
      <c r="K39" s="50">
        <v>4</v>
      </c>
      <c r="L39" s="50">
        <v>0</v>
      </c>
      <c r="M39" s="50">
        <v>342</v>
      </c>
      <c r="N39" s="50">
        <v>0</v>
      </c>
      <c r="O39" s="15">
        <f t="shared" si="0"/>
        <v>109</v>
      </c>
      <c r="P39" s="15">
        <f t="shared" si="1"/>
        <v>451</v>
      </c>
    </row>
    <row r="40" spans="2:20" ht="23.1" customHeight="1" x14ac:dyDescent="0.25">
      <c r="B40" s="24" t="s">
        <v>67</v>
      </c>
      <c r="C40" s="50">
        <v>87</v>
      </c>
      <c r="D40" s="50">
        <v>18</v>
      </c>
      <c r="E40" s="50">
        <v>14</v>
      </c>
      <c r="F40" s="50">
        <v>28</v>
      </c>
      <c r="G40" s="50">
        <v>0</v>
      </c>
      <c r="H40" s="50">
        <v>0</v>
      </c>
      <c r="I40" s="50">
        <v>4</v>
      </c>
      <c r="J40" s="50">
        <v>6</v>
      </c>
      <c r="K40" s="50">
        <v>5</v>
      </c>
      <c r="L40" s="50">
        <v>2</v>
      </c>
      <c r="M40" s="50">
        <v>248</v>
      </c>
      <c r="N40" s="50">
        <v>0</v>
      </c>
      <c r="O40" s="15">
        <f t="shared" si="0"/>
        <v>164</v>
      </c>
      <c r="P40" s="15">
        <f t="shared" si="1"/>
        <v>412</v>
      </c>
    </row>
    <row r="41" spans="2:20" ht="23.1" customHeight="1" x14ac:dyDescent="0.25">
      <c r="B41" s="23" t="s">
        <v>68</v>
      </c>
      <c r="C41" s="50">
        <v>42</v>
      </c>
      <c r="D41" s="50">
        <v>34</v>
      </c>
      <c r="E41" s="50">
        <v>7</v>
      </c>
      <c r="F41" s="50">
        <v>27</v>
      </c>
      <c r="G41" s="50">
        <v>0</v>
      </c>
      <c r="H41" s="50">
        <v>0</v>
      </c>
      <c r="I41" s="50">
        <v>7</v>
      </c>
      <c r="J41" s="50">
        <v>2</v>
      </c>
      <c r="K41" s="50">
        <v>1</v>
      </c>
      <c r="L41" s="50">
        <v>7</v>
      </c>
      <c r="M41" s="50">
        <v>266</v>
      </c>
      <c r="N41" s="50">
        <v>0</v>
      </c>
      <c r="O41" s="15">
        <f t="shared" si="0"/>
        <v>127</v>
      </c>
      <c r="P41" s="15">
        <f t="shared" si="1"/>
        <v>393</v>
      </c>
    </row>
    <row r="42" spans="2:20" ht="23.1" customHeight="1" x14ac:dyDescent="0.25">
      <c r="B42" s="24" t="s">
        <v>69</v>
      </c>
      <c r="C42" s="50">
        <v>110</v>
      </c>
      <c r="D42" s="50">
        <v>22</v>
      </c>
      <c r="E42" s="50">
        <v>9</v>
      </c>
      <c r="F42" s="50">
        <v>45</v>
      </c>
      <c r="G42" s="50">
        <v>0</v>
      </c>
      <c r="H42" s="50">
        <v>0</v>
      </c>
      <c r="I42" s="50">
        <v>9</v>
      </c>
      <c r="J42" s="50">
        <v>9</v>
      </c>
      <c r="K42" s="50">
        <v>7</v>
      </c>
      <c r="L42" s="50">
        <v>2</v>
      </c>
      <c r="M42" s="50">
        <v>204</v>
      </c>
      <c r="N42" s="50">
        <v>0</v>
      </c>
      <c r="O42" s="15">
        <f t="shared" si="0"/>
        <v>213</v>
      </c>
      <c r="P42" s="15">
        <f t="shared" si="1"/>
        <v>417</v>
      </c>
    </row>
    <row r="43" spans="2:20" ht="23.1" customHeight="1" x14ac:dyDescent="0.25">
      <c r="B43" s="23" t="s">
        <v>70</v>
      </c>
      <c r="C43" s="50">
        <v>75</v>
      </c>
      <c r="D43" s="50">
        <v>18</v>
      </c>
      <c r="E43" s="50">
        <v>10</v>
      </c>
      <c r="F43" s="50">
        <v>40</v>
      </c>
      <c r="G43" s="50">
        <v>0</v>
      </c>
      <c r="H43" s="50">
        <v>0</v>
      </c>
      <c r="I43" s="50">
        <v>17</v>
      </c>
      <c r="J43" s="50">
        <v>9</v>
      </c>
      <c r="K43" s="50">
        <v>1</v>
      </c>
      <c r="L43" s="50">
        <v>2</v>
      </c>
      <c r="M43" s="50">
        <v>455</v>
      </c>
      <c r="N43" s="50">
        <v>0</v>
      </c>
      <c r="O43" s="15">
        <f t="shared" si="0"/>
        <v>172</v>
      </c>
      <c r="P43" s="15">
        <f t="shared" si="1"/>
        <v>627</v>
      </c>
    </row>
    <row r="44" spans="2:20" ht="23.1" customHeight="1" x14ac:dyDescent="0.25">
      <c r="B44" s="25" t="s">
        <v>71</v>
      </c>
      <c r="C44" s="50">
        <v>38</v>
      </c>
      <c r="D44" s="50">
        <v>13</v>
      </c>
      <c r="E44" s="50">
        <v>12</v>
      </c>
      <c r="F44" s="50">
        <v>19</v>
      </c>
      <c r="G44" s="50">
        <v>0</v>
      </c>
      <c r="H44" s="50">
        <v>0</v>
      </c>
      <c r="I44" s="50">
        <v>7</v>
      </c>
      <c r="J44" s="50">
        <v>3</v>
      </c>
      <c r="K44" s="50">
        <v>2</v>
      </c>
      <c r="L44" s="50">
        <v>4</v>
      </c>
      <c r="M44" s="50">
        <v>445</v>
      </c>
      <c r="N44" s="50">
        <v>0</v>
      </c>
      <c r="O44" s="15">
        <f t="shared" si="0"/>
        <v>98</v>
      </c>
      <c r="P44" s="15">
        <f t="shared" si="1"/>
        <v>543</v>
      </c>
    </row>
    <row r="45" spans="2:20" ht="23.1" customHeight="1" x14ac:dyDescent="0.25">
      <c r="B45" s="23" t="s">
        <v>72</v>
      </c>
      <c r="C45" s="50">
        <v>57</v>
      </c>
      <c r="D45" s="50">
        <v>17</v>
      </c>
      <c r="E45" s="50">
        <v>4</v>
      </c>
      <c r="F45" s="50">
        <v>34</v>
      </c>
      <c r="G45" s="50">
        <v>0</v>
      </c>
      <c r="H45" s="50">
        <v>1</v>
      </c>
      <c r="I45" s="50">
        <v>2</v>
      </c>
      <c r="J45" s="50">
        <v>6</v>
      </c>
      <c r="K45" s="50">
        <v>4</v>
      </c>
      <c r="L45" s="50">
        <v>2</v>
      </c>
      <c r="M45" s="50">
        <v>395</v>
      </c>
      <c r="N45" s="50">
        <v>0</v>
      </c>
      <c r="O45" s="15">
        <f t="shared" si="0"/>
        <v>127</v>
      </c>
      <c r="P45" s="15">
        <f t="shared" si="1"/>
        <v>522</v>
      </c>
    </row>
    <row r="46" spans="2:20" ht="23.1" customHeight="1" x14ac:dyDescent="0.25">
      <c r="B46" s="24" t="s">
        <v>73</v>
      </c>
      <c r="C46" s="50">
        <v>54</v>
      </c>
      <c r="D46" s="50">
        <v>17</v>
      </c>
      <c r="E46" s="50">
        <v>5</v>
      </c>
      <c r="F46" s="50">
        <v>40</v>
      </c>
      <c r="G46" s="50">
        <v>1</v>
      </c>
      <c r="H46" s="50">
        <v>0</v>
      </c>
      <c r="I46" s="50">
        <v>4</v>
      </c>
      <c r="J46" s="50">
        <v>2</v>
      </c>
      <c r="K46" s="50">
        <v>2</v>
      </c>
      <c r="L46" s="50">
        <v>4</v>
      </c>
      <c r="M46" s="50">
        <v>423</v>
      </c>
      <c r="N46" s="50">
        <v>0</v>
      </c>
      <c r="O46" s="15">
        <f t="shared" si="0"/>
        <v>129</v>
      </c>
      <c r="P46" s="15">
        <f t="shared" si="1"/>
        <v>552</v>
      </c>
      <c r="R46" s="8"/>
      <c r="T46"/>
    </row>
    <row r="47" spans="2:20" ht="23.1" customHeight="1" x14ac:dyDescent="0.25">
      <c r="B47" s="24" t="s">
        <v>74</v>
      </c>
      <c r="C47" s="50">
        <v>70</v>
      </c>
      <c r="D47" s="50">
        <v>30</v>
      </c>
      <c r="E47" s="50">
        <v>7</v>
      </c>
      <c r="F47" s="50">
        <v>23</v>
      </c>
      <c r="G47" s="50">
        <v>3</v>
      </c>
      <c r="H47" s="50">
        <v>1</v>
      </c>
      <c r="I47" s="50">
        <v>6</v>
      </c>
      <c r="J47" s="50">
        <v>7</v>
      </c>
      <c r="K47" s="50">
        <v>7</v>
      </c>
      <c r="L47" s="50">
        <v>5</v>
      </c>
      <c r="M47" s="50">
        <v>340</v>
      </c>
      <c r="N47" s="50">
        <v>0</v>
      </c>
      <c r="O47" s="15">
        <f t="shared" si="0"/>
        <v>159</v>
      </c>
      <c r="P47" s="15">
        <f t="shared" si="1"/>
        <v>499</v>
      </c>
      <c r="R47" s="8"/>
      <c r="T47"/>
    </row>
    <row r="48" spans="2:20" ht="23.1" customHeight="1" x14ac:dyDescent="0.25">
      <c r="B48" s="24" t="s">
        <v>75</v>
      </c>
      <c r="C48" s="50">
        <v>55</v>
      </c>
      <c r="D48" s="50">
        <v>38</v>
      </c>
      <c r="E48" s="50">
        <v>12</v>
      </c>
      <c r="F48" s="50">
        <v>24</v>
      </c>
      <c r="G48" s="50">
        <v>5</v>
      </c>
      <c r="H48" s="50">
        <v>0</v>
      </c>
      <c r="I48" s="50">
        <v>8</v>
      </c>
      <c r="J48" s="50">
        <v>2</v>
      </c>
      <c r="K48" s="50">
        <v>3</v>
      </c>
      <c r="L48" s="50">
        <v>0</v>
      </c>
      <c r="M48" s="50">
        <v>252</v>
      </c>
      <c r="N48" s="50">
        <v>0</v>
      </c>
      <c r="O48" s="15">
        <f t="shared" si="0"/>
        <v>147</v>
      </c>
      <c r="P48" s="15">
        <f t="shared" si="1"/>
        <v>399</v>
      </c>
      <c r="R48" s="8"/>
      <c r="T48"/>
    </row>
    <row r="49" spans="2:20" ht="23.1" customHeight="1" x14ac:dyDescent="0.25">
      <c r="B49" s="23" t="s">
        <v>76</v>
      </c>
      <c r="C49" s="50">
        <v>60</v>
      </c>
      <c r="D49" s="50">
        <v>27</v>
      </c>
      <c r="E49" s="50">
        <v>9</v>
      </c>
      <c r="F49" s="50">
        <v>37</v>
      </c>
      <c r="G49" s="50">
        <v>2</v>
      </c>
      <c r="H49" s="50">
        <v>0</v>
      </c>
      <c r="I49" s="50">
        <v>4</v>
      </c>
      <c r="J49" s="50">
        <v>4</v>
      </c>
      <c r="K49" s="50">
        <v>4</v>
      </c>
      <c r="L49" s="50">
        <v>1</v>
      </c>
      <c r="M49" s="50">
        <v>29</v>
      </c>
      <c r="N49" s="50">
        <v>0</v>
      </c>
      <c r="O49" s="15">
        <f t="shared" si="0"/>
        <v>148</v>
      </c>
      <c r="P49" s="15">
        <f t="shared" si="1"/>
        <v>177</v>
      </c>
      <c r="R49" s="8"/>
      <c r="T49"/>
    </row>
    <row r="50" spans="2:20" ht="23.1" customHeight="1" x14ac:dyDescent="0.25">
      <c r="B50" s="24" t="s">
        <v>77</v>
      </c>
      <c r="C50" s="50">
        <v>73</v>
      </c>
      <c r="D50" s="50">
        <v>22</v>
      </c>
      <c r="E50" s="50">
        <v>5</v>
      </c>
      <c r="F50" s="50">
        <v>37</v>
      </c>
      <c r="G50" s="50">
        <v>1</v>
      </c>
      <c r="H50" s="50">
        <v>0</v>
      </c>
      <c r="I50" s="50">
        <v>5</v>
      </c>
      <c r="J50" s="50">
        <v>3</v>
      </c>
      <c r="K50" s="50">
        <v>2</v>
      </c>
      <c r="L50" s="50">
        <v>4</v>
      </c>
      <c r="M50" s="50">
        <v>463</v>
      </c>
      <c r="N50" s="50">
        <v>0</v>
      </c>
      <c r="O50" s="15">
        <f t="shared" si="0"/>
        <v>152</v>
      </c>
      <c r="P50" s="15">
        <f t="shared" si="1"/>
        <v>615</v>
      </c>
      <c r="R50" s="8"/>
      <c r="T50"/>
    </row>
    <row r="51" spans="2:20" ht="23.1" customHeight="1" x14ac:dyDescent="0.25">
      <c r="B51" s="24" t="s">
        <v>78</v>
      </c>
      <c r="C51" s="50">
        <v>105</v>
      </c>
      <c r="D51" s="50">
        <v>30</v>
      </c>
      <c r="E51" s="50">
        <v>10</v>
      </c>
      <c r="F51" s="50">
        <v>11</v>
      </c>
      <c r="G51" s="50">
        <v>1</v>
      </c>
      <c r="H51" s="50">
        <v>0</v>
      </c>
      <c r="I51" s="50">
        <v>8</v>
      </c>
      <c r="J51" s="50">
        <v>6</v>
      </c>
      <c r="K51" s="50">
        <v>6</v>
      </c>
      <c r="L51" s="50">
        <v>5</v>
      </c>
      <c r="M51" s="50">
        <v>488</v>
      </c>
      <c r="N51" s="50">
        <v>1</v>
      </c>
      <c r="O51" s="15">
        <f t="shared" si="0"/>
        <v>183</v>
      </c>
      <c r="P51" s="15">
        <f t="shared" si="1"/>
        <v>671</v>
      </c>
      <c r="R51" s="8"/>
      <c r="T51"/>
    </row>
    <row r="52" spans="2:20" ht="23.1" customHeight="1" x14ac:dyDescent="0.25">
      <c r="B52" s="24" t="s">
        <v>79</v>
      </c>
      <c r="C52" s="50">
        <v>52</v>
      </c>
      <c r="D52" s="50">
        <v>35</v>
      </c>
      <c r="E52" s="50">
        <v>18</v>
      </c>
      <c r="F52" s="50">
        <v>30</v>
      </c>
      <c r="G52" s="50">
        <v>1</v>
      </c>
      <c r="H52" s="50">
        <v>0</v>
      </c>
      <c r="I52" s="50">
        <v>5</v>
      </c>
      <c r="J52" s="50">
        <v>5</v>
      </c>
      <c r="K52" s="50">
        <v>2</v>
      </c>
      <c r="L52" s="50">
        <v>2</v>
      </c>
      <c r="M52" s="50">
        <v>310</v>
      </c>
      <c r="N52" s="50">
        <v>0</v>
      </c>
      <c r="O52" s="15">
        <f t="shared" si="0"/>
        <v>150</v>
      </c>
      <c r="P52" s="15">
        <f t="shared" si="1"/>
        <v>460</v>
      </c>
      <c r="R52" s="8"/>
      <c r="T52"/>
    </row>
    <row r="53" spans="2:20" ht="23.1" customHeight="1" x14ac:dyDescent="0.25">
      <c r="B53" s="23" t="s">
        <v>80</v>
      </c>
      <c r="C53" s="50">
        <v>60</v>
      </c>
      <c r="D53" s="50">
        <v>20</v>
      </c>
      <c r="E53" s="50">
        <v>3</v>
      </c>
      <c r="F53" s="50">
        <v>25</v>
      </c>
      <c r="G53" s="50">
        <v>0</v>
      </c>
      <c r="H53" s="50">
        <v>0</v>
      </c>
      <c r="I53" s="50">
        <v>4</v>
      </c>
      <c r="J53" s="50">
        <v>2</v>
      </c>
      <c r="K53" s="50">
        <v>2</v>
      </c>
      <c r="L53" s="50">
        <v>2</v>
      </c>
      <c r="M53" s="50">
        <v>300</v>
      </c>
      <c r="N53" s="50">
        <v>0</v>
      </c>
      <c r="O53" s="15">
        <f t="shared" si="0"/>
        <v>118</v>
      </c>
      <c r="P53" s="15">
        <f t="shared" si="1"/>
        <v>418</v>
      </c>
      <c r="R53" s="8"/>
      <c r="T53"/>
    </row>
    <row r="54" spans="2:20" ht="23.1" customHeight="1" x14ac:dyDescent="0.25">
      <c r="B54" s="23" t="s">
        <v>81</v>
      </c>
      <c r="C54" s="50">
        <v>73</v>
      </c>
      <c r="D54" s="50">
        <v>47</v>
      </c>
      <c r="E54" s="50">
        <v>5</v>
      </c>
      <c r="F54" s="50">
        <v>68</v>
      </c>
      <c r="G54" s="50">
        <v>0</v>
      </c>
      <c r="H54" s="50">
        <v>0</v>
      </c>
      <c r="I54" s="50">
        <v>1</v>
      </c>
      <c r="J54" s="50">
        <v>5</v>
      </c>
      <c r="K54" s="50">
        <v>2</v>
      </c>
      <c r="L54" s="50">
        <v>1</v>
      </c>
      <c r="M54" s="50">
        <v>530</v>
      </c>
      <c r="N54" s="50">
        <v>0</v>
      </c>
      <c r="O54" s="15">
        <f t="shared" si="0"/>
        <v>202</v>
      </c>
      <c r="P54" s="15">
        <f t="shared" si="1"/>
        <v>732</v>
      </c>
      <c r="R54" s="8"/>
      <c r="T54"/>
    </row>
    <row r="55" spans="2:20" ht="23.1" customHeight="1" x14ac:dyDescent="0.25">
      <c r="B55" s="23" t="s">
        <v>82</v>
      </c>
      <c r="C55" s="50">
        <v>73</v>
      </c>
      <c r="D55" s="50">
        <v>47</v>
      </c>
      <c r="E55" s="50">
        <v>5</v>
      </c>
      <c r="F55" s="50">
        <v>16</v>
      </c>
      <c r="G55" s="50">
        <v>1</v>
      </c>
      <c r="H55" s="50">
        <v>0</v>
      </c>
      <c r="I55" s="50">
        <v>3</v>
      </c>
      <c r="J55" s="50">
        <v>4</v>
      </c>
      <c r="K55" s="50">
        <v>1</v>
      </c>
      <c r="L55" s="50">
        <v>0</v>
      </c>
      <c r="M55" s="50">
        <v>312</v>
      </c>
      <c r="N55" s="50">
        <v>0</v>
      </c>
      <c r="O55" s="15">
        <f t="shared" si="0"/>
        <v>150</v>
      </c>
      <c r="P55" s="15">
        <f t="shared" si="1"/>
        <v>462</v>
      </c>
      <c r="R55" s="8"/>
      <c r="T55"/>
    </row>
    <row r="56" spans="2:20" ht="23.1" customHeight="1" x14ac:dyDescent="0.25">
      <c r="B56" s="23" t="s">
        <v>83</v>
      </c>
      <c r="C56" s="50">
        <v>50</v>
      </c>
      <c r="D56" s="50">
        <v>35</v>
      </c>
      <c r="E56" s="50">
        <v>5</v>
      </c>
      <c r="F56" s="50">
        <v>10</v>
      </c>
      <c r="G56" s="50">
        <v>5</v>
      </c>
      <c r="H56" s="50">
        <v>1</v>
      </c>
      <c r="I56" s="50">
        <v>4</v>
      </c>
      <c r="J56" s="50">
        <v>4</v>
      </c>
      <c r="K56" s="50">
        <v>3</v>
      </c>
      <c r="L56" s="50">
        <v>4</v>
      </c>
      <c r="M56" s="50">
        <v>401</v>
      </c>
      <c r="N56" s="50">
        <v>0</v>
      </c>
      <c r="O56" s="15">
        <f t="shared" si="0"/>
        <v>121</v>
      </c>
      <c r="P56" s="15">
        <f t="shared" si="1"/>
        <v>522</v>
      </c>
      <c r="R56" s="8"/>
      <c r="T56"/>
    </row>
    <row r="57" spans="2:20" ht="23.1" customHeight="1" x14ac:dyDescent="0.25">
      <c r="B57" s="23" t="s">
        <v>84</v>
      </c>
      <c r="C57" s="50">
        <v>25</v>
      </c>
      <c r="D57" s="50">
        <v>11</v>
      </c>
      <c r="E57" s="50">
        <v>6</v>
      </c>
      <c r="F57" s="50">
        <v>43</v>
      </c>
      <c r="G57" s="50">
        <v>1</v>
      </c>
      <c r="H57" s="50">
        <v>0</v>
      </c>
      <c r="I57" s="50">
        <v>3</v>
      </c>
      <c r="J57" s="50">
        <v>4</v>
      </c>
      <c r="K57" s="50">
        <v>2</v>
      </c>
      <c r="L57" s="50">
        <v>2</v>
      </c>
      <c r="M57" s="50">
        <v>613</v>
      </c>
      <c r="N57" s="50">
        <v>0</v>
      </c>
      <c r="O57" s="15">
        <f t="shared" si="0"/>
        <v>97</v>
      </c>
      <c r="P57" s="15">
        <f t="shared" si="1"/>
        <v>710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2491</v>
      </c>
      <c r="D58" s="16">
        <f t="shared" si="21"/>
        <v>829</v>
      </c>
      <c r="E58" s="16">
        <f t="shared" si="21"/>
        <v>321</v>
      </c>
      <c r="F58" s="16">
        <f t="shared" si="21"/>
        <v>2577</v>
      </c>
      <c r="G58" s="16">
        <f t="shared" si="21"/>
        <v>64</v>
      </c>
      <c r="H58" s="16">
        <f t="shared" si="21"/>
        <v>9</v>
      </c>
      <c r="I58" s="16">
        <f t="shared" si="21"/>
        <v>219</v>
      </c>
      <c r="J58" s="16">
        <f t="shared" si="21"/>
        <v>191</v>
      </c>
      <c r="K58" s="16">
        <f t="shared" si="21"/>
        <v>130</v>
      </c>
      <c r="L58" s="16">
        <f t="shared" si="21"/>
        <v>112</v>
      </c>
      <c r="M58" s="16">
        <f t="shared" si="21"/>
        <v>18728</v>
      </c>
      <c r="N58" s="16">
        <f t="shared" si="21"/>
        <v>6</v>
      </c>
      <c r="O58" s="16">
        <f t="shared" si="21"/>
        <v>6949</v>
      </c>
      <c r="P58" s="16">
        <f t="shared" si="21"/>
        <v>25677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9.7012890914047592E-2</v>
      </c>
      <c r="D59" s="43">
        <f t="shared" si="22"/>
        <v>3.2285703158468668E-2</v>
      </c>
      <c r="E59" s="43">
        <f t="shared" si="22"/>
        <v>1.2501460450987266E-2</v>
      </c>
      <c r="F59" s="43">
        <f t="shared" si="22"/>
        <v>0.10036219184484169</v>
      </c>
      <c r="G59" s="43">
        <f t="shared" si="22"/>
        <v>2.4925030182653737E-3</v>
      </c>
      <c r="H59" s="43">
        <f t="shared" si="22"/>
        <v>3.505082369435682E-4</v>
      </c>
      <c r="I59" s="43">
        <f t="shared" si="22"/>
        <v>8.5290337656268259E-3</v>
      </c>
      <c r="J59" s="43">
        <f t="shared" si="22"/>
        <v>7.4385636951357246E-3</v>
      </c>
      <c r="K59" s="43">
        <f t="shared" si="22"/>
        <v>5.0628967558515401E-3</v>
      </c>
      <c r="L59" s="43">
        <f t="shared" si="22"/>
        <v>4.3618802819644044E-3</v>
      </c>
      <c r="M59" s="43">
        <f t="shared" si="22"/>
        <v>0.72936869571990492</v>
      </c>
      <c r="N59" s="43">
        <f t="shared" si="22"/>
        <v>2.3367215796237878E-4</v>
      </c>
      <c r="R59" s="8"/>
      <c r="T59"/>
    </row>
    <row r="60" spans="2:20" ht="23.1" customHeight="1" x14ac:dyDescent="0.25">
      <c r="B60" s="42" t="s">
        <v>94</v>
      </c>
      <c r="C60" s="44">
        <f>C58/$O$58</f>
        <v>0.35846884443804866</v>
      </c>
      <c r="D60" s="44">
        <f t="shared" ref="D60:N60" si="23">D58/$O$58</f>
        <v>0.11929774068211253</v>
      </c>
      <c r="E60" s="44">
        <f t="shared" si="23"/>
        <v>4.6193696934810763E-2</v>
      </c>
      <c r="F60" s="44">
        <f t="shared" si="23"/>
        <v>0.37084472585983597</v>
      </c>
      <c r="G60" s="44">
        <f t="shared" si="23"/>
        <v>9.2099582673766008E-3</v>
      </c>
      <c r="H60" s="44">
        <f t="shared" si="23"/>
        <v>1.2951503813498344E-3</v>
      </c>
      <c r="I60" s="44">
        <f t="shared" si="23"/>
        <v>3.1515325946179305E-2</v>
      </c>
      <c r="J60" s="44">
        <f t="shared" si="23"/>
        <v>2.7485969204202043E-2</v>
      </c>
      <c r="K60" s="44">
        <f t="shared" si="23"/>
        <v>1.870772773060872E-2</v>
      </c>
      <c r="L60" s="44">
        <f t="shared" si="23"/>
        <v>1.6117426967909052E-2</v>
      </c>
      <c r="M60" s="44"/>
      <c r="N60" s="44">
        <f t="shared" si="23"/>
        <v>8.6343358756655632E-4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7" sqref="G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Nsambya-ClockTower'!C3:G3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ClockTower-Nsambya'!D5</f>
        <v>02.08.19</v>
      </c>
      <c r="E5" s="3"/>
      <c r="F5" s="41" t="s">
        <v>1</v>
      </c>
      <c r="G5" s="60" t="str">
        <f>'02.08 ClockTower-Nsambya'!G5:H5</f>
        <v>Gapco</v>
      </c>
      <c r="H5" s="61"/>
      <c r="I5" s="14"/>
      <c r="J5" s="2" t="s">
        <v>5</v>
      </c>
      <c r="K5" s="60" t="str">
        <f>'02.08 ClockTower-Nsambya'!K5:L5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">
        <v>171</v>
      </c>
      <c r="E6" s="61"/>
      <c r="F6" s="2" t="s">
        <v>2</v>
      </c>
      <c r="G6" s="60" t="str">
        <f>'29.07 ClockTower-Nsambya'!G6:H6</f>
        <v>Nsambya</v>
      </c>
      <c r="H6" s="61"/>
      <c r="J6" s="2" t="s">
        <v>21</v>
      </c>
      <c r="K6" s="60" t="str">
        <f>'02.08 ClockTower-Nsambya'!K6:L6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75</v>
      </c>
      <c r="D10" s="50">
        <v>25</v>
      </c>
      <c r="E10" s="50">
        <v>7</v>
      </c>
      <c r="F10" s="50">
        <v>130</v>
      </c>
      <c r="G10" s="50">
        <v>2</v>
      </c>
      <c r="H10" s="50">
        <v>0</v>
      </c>
      <c r="I10" s="50">
        <v>2</v>
      </c>
      <c r="J10" s="50">
        <v>2</v>
      </c>
      <c r="K10" s="50">
        <v>0</v>
      </c>
      <c r="L10" s="50">
        <v>1</v>
      </c>
      <c r="M10" s="50">
        <v>840</v>
      </c>
      <c r="N10" s="50">
        <v>0</v>
      </c>
      <c r="O10" s="15">
        <f t="shared" ref="O10:O57" si="0">SUM(C10:L10,N10)</f>
        <v>244</v>
      </c>
      <c r="P10" s="15">
        <f t="shared" ref="P10:P57" si="1">SUM(C10:N10)</f>
        <v>1084</v>
      </c>
      <c r="R10" s="1" t="s">
        <v>6</v>
      </c>
      <c r="S10" s="17">
        <f t="shared" ref="S10:AF10" si="2">SUM(C10:C13)</f>
        <v>360</v>
      </c>
      <c r="T10" s="17">
        <f t="shared" si="2"/>
        <v>113</v>
      </c>
      <c r="U10" s="17">
        <f t="shared" si="2"/>
        <v>28</v>
      </c>
      <c r="V10" s="17">
        <f t="shared" si="2"/>
        <v>495</v>
      </c>
      <c r="W10" s="17">
        <f t="shared" si="2"/>
        <v>5</v>
      </c>
      <c r="X10" s="17">
        <f t="shared" si="2"/>
        <v>2</v>
      </c>
      <c r="Y10" s="17">
        <f t="shared" si="2"/>
        <v>11</v>
      </c>
      <c r="Z10" s="17">
        <f t="shared" si="2"/>
        <v>6</v>
      </c>
      <c r="AA10" s="17">
        <f t="shared" si="2"/>
        <v>5</v>
      </c>
      <c r="AB10" s="17">
        <f t="shared" si="2"/>
        <v>6</v>
      </c>
      <c r="AC10" s="17">
        <f t="shared" si="2"/>
        <v>2328</v>
      </c>
      <c r="AD10" s="17">
        <f t="shared" si="2"/>
        <v>0</v>
      </c>
      <c r="AE10" s="31">
        <f t="shared" si="2"/>
        <v>1031</v>
      </c>
      <c r="AF10" s="31">
        <f t="shared" si="2"/>
        <v>3359</v>
      </c>
    </row>
    <row r="11" spans="2:32" s="6" customFormat="1" ht="23.1" customHeight="1" x14ac:dyDescent="0.25">
      <c r="B11" s="23" t="s">
        <v>38</v>
      </c>
      <c r="C11" s="50">
        <v>130</v>
      </c>
      <c r="D11" s="50">
        <v>30</v>
      </c>
      <c r="E11" s="50">
        <v>4</v>
      </c>
      <c r="F11" s="50">
        <v>95</v>
      </c>
      <c r="G11" s="50">
        <v>2</v>
      </c>
      <c r="H11" s="50">
        <v>1</v>
      </c>
      <c r="I11" s="50">
        <v>4</v>
      </c>
      <c r="J11" s="50">
        <v>3</v>
      </c>
      <c r="K11" s="50">
        <v>2</v>
      </c>
      <c r="L11" s="50">
        <v>3</v>
      </c>
      <c r="M11" s="50">
        <v>0</v>
      </c>
      <c r="N11" s="50">
        <v>0</v>
      </c>
      <c r="O11" s="15">
        <f t="shared" si="0"/>
        <v>274</v>
      </c>
      <c r="P11" s="15">
        <f t="shared" si="1"/>
        <v>274</v>
      </c>
      <c r="R11" s="1" t="s">
        <v>7</v>
      </c>
      <c r="S11" s="17">
        <f t="shared" ref="S11:AF11" si="3">SUM(C14:C17)</f>
        <v>420</v>
      </c>
      <c r="T11" s="17">
        <f t="shared" si="3"/>
        <v>147</v>
      </c>
      <c r="U11" s="17">
        <f t="shared" si="3"/>
        <v>42</v>
      </c>
      <c r="V11" s="17">
        <f t="shared" si="3"/>
        <v>445</v>
      </c>
      <c r="W11" s="17">
        <f t="shared" si="3"/>
        <v>36</v>
      </c>
      <c r="X11" s="17">
        <f t="shared" si="3"/>
        <v>17</v>
      </c>
      <c r="Y11" s="17">
        <f t="shared" si="3"/>
        <v>29</v>
      </c>
      <c r="Z11" s="17">
        <f t="shared" si="3"/>
        <v>13</v>
      </c>
      <c r="AA11" s="17">
        <f t="shared" si="3"/>
        <v>20</v>
      </c>
      <c r="AB11" s="17">
        <f t="shared" si="3"/>
        <v>9</v>
      </c>
      <c r="AC11" s="17">
        <f t="shared" si="3"/>
        <v>3130</v>
      </c>
      <c r="AD11" s="17">
        <f t="shared" si="3"/>
        <v>1</v>
      </c>
      <c r="AE11" s="31">
        <f t="shared" si="3"/>
        <v>1179</v>
      </c>
      <c r="AF11" s="31">
        <f t="shared" si="3"/>
        <v>4309</v>
      </c>
    </row>
    <row r="12" spans="2:32" ht="23.1" customHeight="1" x14ac:dyDescent="0.25">
      <c r="B12" s="23" t="s">
        <v>39</v>
      </c>
      <c r="C12" s="50">
        <v>90</v>
      </c>
      <c r="D12" s="50">
        <v>17</v>
      </c>
      <c r="E12" s="50">
        <v>9</v>
      </c>
      <c r="F12" s="50">
        <v>135</v>
      </c>
      <c r="G12" s="50">
        <v>1</v>
      </c>
      <c r="H12" s="50">
        <v>1</v>
      </c>
      <c r="I12" s="50">
        <v>2</v>
      </c>
      <c r="J12" s="50">
        <v>1</v>
      </c>
      <c r="K12" s="50">
        <v>3</v>
      </c>
      <c r="L12" s="50">
        <v>2</v>
      </c>
      <c r="M12" s="50">
        <v>673</v>
      </c>
      <c r="N12" s="50">
        <v>0</v>
      </c>
      <c r="O12" s="15">
        <f t="shared" si="0"/>
        <v>261</v>
      </c>
      <c r="P12" s="15">
        <f t="shared" si="1"/>
        <v>934</v>
      </c>
      <c r="R12" s="1" t="s">
        <v>8</v>
      </c>
      <c r="S12" s="17">
        <f t="shared" ref="S12:AF12" si="4">SUM(C18:C21)</f>
        <v>236</v>
      </c>
      <c r="T12" s="17">
        <f t="shared" si="4"/>
        <v>143</v>
      </c>
      <c r="U12" s="17">
        <f t="shared" si="4"/>
        <v>80</v>
      </c>
      <c r="V12" s="17">
        <f t="shared" si="4"/>
        <v>462</v>
      </c>
      <c r="W12" s="17">
        <f t="shared" si="4"/>
        <v>22</v>
      </c>
      <c r="X12" s="17">
        <f t="shared" si="4"/>
        <v>5</v>
      </c>
      <c r="Y12" s="17">
        <f t="shared" si="4"/>
        <v>26</v>
      </c>
      <c r="Z12" s="17">
        <f t="shared" si="4"/>
        <v>29</v>
      </c>
      <c r="AA12" s="17">
        <f t="shared" si="4"/>
        <v>26</v>
      </c>
      <c r="AB12" s="17">
        <f t="shared" si="4"/>
        <v>15</v>
      </c>
      <c r="AC12" s="17">
        <f t="shared" si="4"/>
        <v>2697</v>
      </c>
      <c r="AD12" s="17">
        <f t="shared" si="4"/>
        <v>2</v>
      </c>
      <c r="AE12" s="31">
        <f t="shared" si="4"/>
        <v>1046</v>
      </c>
      <c r="AF12" s="31">
        <f t="shared" si="4"/>
        <v>3743</v>
      </c>
    </row>
    <row r="13" spans="2:32" ht="23.1" customHeight="1" x14ac:dyDescent="0.25">
      <c r="B13" s="23" t="s">
        <v>40</v>
      </c>
      <c r="C13" s="50">
        <v>65</v>
      </c>
      <c r="D13" s="50">
        <v>41</v>
      </c>
      <c r="E13" s="50">
        <v>8</v>
      </c>
      <c r="F13" s="50">
        <v>135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815</v>
      </c>
      <c r="N13" s="50">
        <v>0</v>
      </c>
      <c r="O13" s="15">
        <f t="shared" si="0"/>
        <v>252</v>
      </c>
      <c r="P13" s="15">
        <f t="shared" si="1"/>
        <v>1067</v>
      </c>
      <c r="R13" s="1" t="s">
        <v>9</v>
      </c>
      <c r="S13" s="17">
        <f t="shared" ref="S13:AF13" si="5">SUM(C22:C25)</f>
        <v>308</v>
      </c>
      <c r="T13" s="17">
        <f t="shared" si="5"/>
        <v>99</v>
      </c>
      <c r="U13" s="17">
        <f t="shared" si="5"/>
        <v>71</v>
      </c>
      <c r="V13" s="17">
        <f t="shared" si="5"/>
        <v>470</v>
      </c>
      <c r="W13" s="17">
        <f t="shared" si="5"/>
        <v>10</v>
      </c>
      <c r="X13" s="17">
        <f t="shared" si="5"/>
        <v>5</v>
      </c>
      <c r="Y13" s="17">
        <f t="shared" si="5"/>
        <v>18</v>
      </c>
      <c r="Z13" s="17">
        <f t="shared" si="5"/>
        <v>20</v>
      </c>
      <c r="AA13" s="17">
        <f t="shared" si="5"/>
        <v>6</v>
      </c>
      <c r="AB13" s="17">
        <f t="shared" si="5"/>
        <v>8</v>
      </c>
      <c r="AC13" s="17">
        <f t="shared" si="5"/>
        <v>2445</v>
      </c>
      <c r="AD13" s="17">
        <f t="shared" si="5"/>
        <v>0</v>
      </c>
      <c r="AE13" s="31">
        <f t="shared" si="5"/>
        <v>1015</v>
      </c>
      <c r="AF13" s="31">
        <f t="shared" si="5"/>
        <v>3460</v>
      </c>
    </row>
    <row r="14" spans="2:32" ht="23.1" customHeight="1" x14ac:dyDescent="0.25">
      <c r="B14" s="23" t="s">
        <v>41</v>
      </c>
      <c r="C14" s="50">
        <v>125</v>
      </c>
      <c r="D14" s="50">
        <v>6</v>
      </c>
      <c r="E14" s="50">
        <v>4</v>
      </c>
      <c r="F14" s="50">
        <v>175</v>
      </c>
      <c r="G14" s="50">
        <v>5</v>
      </c>
      <c r="H14" s="50">
        <v>1</v>
      </c>
      <c r="I14" s="50">
        <v>6</v>
      </c>
      <c r="J14" s="50">
        <v>4</v>
      </c>
      <c r="K14" s="50">
        <v>0</v>
      </c>
      <c r="L14" s="50">
        <v>5</v>
      </c>
      <c r="M14" s="50">
        <v>790</v>
      </c>
      <c r="N14" s="50">
        <v>0</v>
      </c>
      <c r="O14" s="15">
        <f t="shared" si="0"/>
        <v>331</v>
      </c>
      <c r="P14" s="15">
        <f t="shared" si="1"/>
        <v>1121</v>
      </c>
      <c r="R14" s="1" t="s">
        <v>10</v>
      </c>
      <c r="S14" s="17">
        <f t="shared" ref="S14:AF14" si="6">SUM(C26:C29)</f>
        <v>253</v>
      </c>
      <c r="T14" s="17">
        <f t="shared" si="6"/>
        <v>81</v>
      </c>
      <c r="U14" s="17">
        <f t="shared" si="6"/>
        <v>90</v>
      </c>
      <c r="V14" s="17">
        <f t="shared" si="6"/>
        <v>400</v>
      </c>
      <c r="W14" s="17">
        <f t="shared" si="6"/>
        <v>12</v>
      </c>
      <c r="X14" s="17">
        <f t="shared" si="6"/>
        <v>6</v>
      </c>
      <c r="Y14" s="17">
        <f t="shared" si="6"/>
        <v>16</v>
      </c>
      <c r="Z14" s="17">
        <f t="shared" si="6"/>
        <v>11</v>
      </c>
      <c r="AA14" s="17">
        <f t="shared" si="6"/>
        <v>17</v>
      </c>
      <c r="AB14" s="17">
        <f t="shared" si="6"/>
        <v>26</v>
      </c>
      <c r="AC14" s="17">
        <f t="shared" si="6"/>
        <v>2467</v>
      </c>
      <c r="AD14" s="17">
        <f t="shared" si="6"/>
        <v>1</v>
      </c>
      <c r="AE14" s="31">
        <f t="shared" si="6"/>
        <v>913</v>
      </c>
      <c r="AF14" s="31">
        <f t="shared" si="6"/>
        <v>3380</v>
      </c>
    </row>
    <row r="15" spans="2:32" ht="23.1" customHeight="1" x14ac:dyDescent="0.25">
      <c r="B15" s="23" t="s">
        <v>42</v>
      </c>
      <c r="C15" s="50">
        <v>120</v>
      </c>
      <c r="D15" s="50">
        <v>60</v>
      </c>
      <c r="E15" s="50">
        <v>12</v>
      </c>
      <c r="F15" s="50">
        <v>95</v>
      </c>
      <c r="G15" s="50">
        <v>9</v>
      </c>
      <c r="H15" s="50">
        <v>5</v>
      </c>
      <c r="I15" s="50">
        <v>7</v>
      </c>
      <c r="J15" s="50">
        <v>2</v>
      </c>
      <c r="K15" s="50">
        <v>8</v>
      </c>
      <c r="L15" s="50">
        <v>4</v>
      </c>
      <c r="M15" s="50">
        <v>735</v>
      </c>
      <c r="N15" s="50">
        <v>1</v>
      </c>
      <c r="O15" s="15">
        <f t="shared" si="0"/>
        <v>323</v>
      </c>
      <c r="P15" s="15">
        <f t="shared" si="1"/>
        <v>1058</v>
      </c>
      <c r="R15" s="1" t="s">
        <v>11</v>
      </c>
      <c r="S15" s="17">
        <f t="shared" ref="S15:AF15" si="7">SUM(C30:C33)</f>
        <v>275</v>
      </c>
      <c r="T15" s="17">
        <f t="shared" si="7"/>
        <v>96</v>
      </c>
      <c r="U15" s="17">
        <f t="shared" si="7"/>
        <v>76</v>
      </c>
      <c r="V15" s="17">
        <f t="shared" si="7"/>
        <v>376</v>
      </c>
      <c r="W15" s="17">
        <f t="shared" si="7"/>
        <v>5</v>
      </c>
      <c r="X15" s="17">
        <f t="shared" si="7"/>
        <v>4</v>
      </c>
      <c r="Y15" s="17">
        <f t="shared" si="7"/>
        <v>21</v>
      </c>
      <c r="Z15" s="17">
        <f t="shared" si="7"/>
        <v>18</v>
      </c>
      <c r="AA15" s="17">
        <f t="shared" si="7"/>
        <v>14</v>
      </c>
      <c r="AB15" s="17">
        <f t="shared" si="7"/>
        <v>17</v>
      </c>
      <c r="AC15" s="17">
        <f t="shared" si="7"/>
        <v>2349</v>
      </c>
      <c r="AD15" s="17">
        <f t="shared" si="7"/>
        <v>0</v>
      </c>
      <c r="AE15" s="31">
        <f t="shared" si="7"/>
        <v>902</v>
      </c>
      <c r="AF15" s="31">
        <f t="shared" si="7"/>
        <v>3251</v>
      </c>
    </row>
    <row r="16" spans="2:32" ht="23.1" customHeight="1" x14ac:dyDescent="0.25">
      <c r="B16" s="23" t="s">
        <v>43</v>
      </c>
      <c r="C16" s="50">
        <v>55</v>
      </c>
      <c r="D16" s="50">
        <v>31</v>
      </c>
      <c r="E16" s="50">
        <v>6</v>
      </c>
      <c r="F16" s="50">
        <v>95</v>
      </c>
      <c r="G16" s="50">
        <v>11</v>
      </c>
      <c r="H16" s="50">
        <v>5</v>
      </c>
      <c r="I16" s="50">
        <v>6</v>
      </c>
      <c r="J16" s="50">
        <v>2</v>
      </c>
      <c r="K16" s="50">
        <v>6</v>
      </c>
      <c r="L16" s="50">
        <v>0</v>
      </c>
      <c r="M16" s="50">
        <v>780</v>
      </c>
      <c r="N16" s="50">
        <v>0</v>
      </c>
      <c r="O16" s="15">
        <f t="shared" si="0"/>
        <v>217</v>
      </c>
      <c r="P16" s="15">
        <f t="shared" si="1"/>
        <v>997</v>
      </c>
      <c r="R16" s="1" t="s">
        <v>12</v>
      </c>
      <c r="S16" s="17">
        <f t="shared" ref="S16:AF16" si="8">SUM(C34:C37)</f>
        <v>325</v>
      </c>
      <c r="T16" s="17">
        <f t="shared" si="8"/>
        <v>93</v>
      </c>
      <c r="U16" s="17">
        <f t="shared" si="8"/>
        <v>72</v>
      </c>
      <c r="V16" s="17">
        <f t="shared" si="8"/>
        <v>440</v>
      </c>
      <c r="W16" s="17">
        <f t="shared" si="8"/>
        <v>29</v>
      </c>
      <c r="X16" s="17">
        <f t="shared" si="8"/>
        <v>1</v>
      </c>
      <c r="Y16" s="17">
        <f t="shared" si="8"/>
        <v>43</v>
      </c>
      <c r="Z16" s="17">
        <f t="shared" si="8"/>
        <v>21</v>
      </c>
      <c r="AA16" s="17">
        <f t="shared" si="8"/>
        <v>14</v>
      </c>
      <c r="AB16" s="17">
        <f t="shared" si="8"/>
        <v>18</v>
      </c>
      <c r="AC16" s="17">
        <f t="shared" si="8"/>
        <v>2388</v>
      </c>
      <c r="AD16" s="17">
        <f t="shared" si="8"/>
        <v>0</v>
      </c>
      <c r="AE16" s="31">
        <f t="shared" si="8"/>
        <v>1375</v>
      </c>
      <c r="AF16" s="31">
        <f t="shared" si="8"/>
        <v>3444</v>
      </c>
    </row>
    <row r="17" spans="2:32" ht="23.1" customHeight="1" x14ac:dyDescent="0.25">
      <c r="B17" s="23" t="s">
        <v>44</v>
      </c>
      <c r="C17" s="50">
        <v>120</v>
      </c>
      <c r="D17" s="50">
        <v>50</v>
      </c>
      <c r="E17" s="50">
        <v>20</v>
      </c>
      <c r="F17" s="50">
        <v>80</v>
      </c>
      <c r="G17" s="50">
        <v>11</v>
      </c>
      <c r="H17" s="50">
        <v>6</v>
      </c>
      <c r="I17" s="50">
        <v>10</v>
      </c>
      <c r="J17" s="50">
        <v>5</v>
      </c>
      <c r="K17" s="50">
        <v>6</v>
      </c>
      <c r="L17" s="50">
        <v>0</v>
      </c>
      <c r="M17" s="50">
        <v>825</v>
      </c>
      <c r="N17" s="50">
        <v>0</v>
      </c>
      <c r="O17" s="15">
        <f t="shared" si="0"/>
        <v>308</v>
      </c>
      <c r="P17" s="15">
        <f t="shared" si="1"/>
        <v>1133</v>
      </c>
      <c r="R17" s="1" t="s">
        <v>13</v>
      </c>
      <c r="S17" s="17">
        <f t="shared" ref="S17:AF17" si="9">SUM(C38:C41)</f>
        <v>376</v>
      </c>
      <c r="T17" s="17">
        <f t="shared" si="9"/>
        <v>74</v>
      </c>
      <c r="U17" s="17">
        <f t="shared" si="9"/>
        <v>86</v>
      </c>
      <c r="V17" s="17">
        <f t="shared" si="9"/>
        <v>403</v>
      </c>
      <c r="W17" s="17">
        <f t="shared" si="9"/>
        <v>15</v>
      </c>
      <c r="X17" s="17">
        <f t="shared" si="9"/>
        <v>2</v>
      </c>
      <c r="Y17" s="17">
        <f t="shared" si="9"/>
        <v>27</v>
      </c>
      <c r="Z17" s="17">
        <f t="shared" si="9"/>
        <v>24</v>
      </c>
      <c r="AA17" s="17">
        <f t="shared" si="9"/>
        <v>37</v>
      </c>
      <c r="AB17" s="17">
        <f t="shared" si="9"/>
        <v>11</v>
      </c>
      <c r="AC17" s="17">
        <f t="shared" si="9"/>
        <v>2146</v>
      </c>
      <c r="AD17" s="17">
        <f t="shared" si="9"/>
        <v>3</v>
      </c>
      <c r="AE17" s="31">
        <f t="shared" si="9"/>
        <v>1058</v>
      </c>
      <c r="AF17" s="31">
        <f t="shared" si="9"/>
        <v>3204</v>
      </c>
    </row>
    <row r="18" spans="2:32" ht="23.1" customHeight="1" x14ac:dyDescent="0.25">
      <c r="B18" s="23" t="s">
        <v>45</v>
      </c>
      <c r="C18" s="50">
        <v>45</v>
      </c>
      <c r="D18" s="50">
        <v>47</v>
      </c>
      <c r="E18" s="50">
        <v>27</v>
      </c>
      <c r="F18" s="50">
        <v>150</v>
      </c>
      <c r="G18" s="50">
        <v>8</v>
      </c>
      <c r="H18" s="50">
        <v>0</v>
      </c>
      <c r="I18" s="50">
        <v>11</v>
      </c>
      <c r="J18" s="50">
        <v>8</v>
      </c>
      <c r="K18" s="50">
        <v>16</v>
      </c>
      <c r="L18" s="50">
        <v>10</v>
      </c>
      <c r="M18" s="50">
        <v>807</v>
      </c>
      <c r="N18" s="50">
        <v>0</v>
      </c>
      <c r="O18" s="15">
        <f t="shared" si="0"/>
        <v>322</v>
      </c>
      <c r="P18" s="15">
        <f t="shared" si="1"/>
        <v>1129</v>
      </c>
      <c r="R18" s="1" t="s">
        <v>14</v>
      </c>
      <c r="S18" s="17">
        <f t="shared" ref="S18:AF18" si="10">SUM(C42:C45)</f>
        <v>319</v>
      </c>
      <c r="T18" s="17">
        <f t="shared" si="10"/>
        <v>50</v>
      </c>
      <c r="U18" s="17">
        <f t="shared" si="10"/>
        <v>70</v>
      </c>
      <c r="V18" s="17">
        <f t="shared" si="10"/>
        <v>366</v>
      </c>
      <c r="W18" s="17">
        <f t="shared" si="10"/>
        <v>4</v>
      </c>
      <c r="X18" s="17">
        <f t="shared" si="10"/>
        <v>5</v>
      </c>
      <c r="Y18" s="17">
        <f t="shared" si="10"/>
        <v>17</v>
      </c>
      <c r="Z18" s="17">
        <f t="shared" si="10"/>
        <v>34</v>
      </c>
      <c r="AA18" s="17">
        <f t="shared" si="10"/>
        <v>27</v>
      </c>
      <c r="AB18" s="17">
        <f t="shared" si="10"/>
        <v>8</v>
      </c>
      <c r="AC18" s="17">
        <f t="shared" si="10"/>
        <v>2292</v>
      </c>
      <c r="AD18" s="17">
        <f t="shared" si="10"/>
        <v>2</v>
      </c>
      <c r="AE18" s="31">
        <f t="shared" si="10"/>
        <v>902</v>
      </c>
      <c r="AF18" s="31">
        <f t="shared" si="10"/>
        <v>3194</v>
      </c>
    </row>
    <row r="19" spans="2:32" ht="23.1" customHeight="1" x14ac:dyDescent="0.25">
      <c r="B19" s="23" t="s">
        <v>46</v>
      </c>
      <c r="C19" s="50">
        <v>75</v>
      </c>
      <c r="D19" s="50">
        <v>46</v>
      </c>
      <c r="E19" s="50">
        <v>15</v>
      </c>
      <c r="F19" s="50">
        <v>115</v>
      </c>
      <c r="G19" s="50">
        <v>5</v>
      </c>
      <c r="H19" s="50">
        <v>3</v>
      </c>
      <c r="I19" s="50">
        <v>6</v>
      </c>
      <c r="J19" s="50">
        <v>2</v>
      </c>
      <c r="K19" s="50">
        <v>5</v>
      </c>
      <c r="L19" s="50">
        <v>2</v>
      </c>
      <c r="M19" s="50">
        <v>645</v>
      </c>
      <c r="N19" s="50">
        <v>1</v>
      </c>
      <c r="O19" s="15">
        <f t="shared" si="0"/>
        <v>275</v>
      </c>
      <c r="P19" s="15">
        <f t="shared" si="1"/>
        <v>920</v>
      </c>
      <c r="R19" s="1" t="s">
        <v>15</v>
      </c>
      <c r="S19" s="17">
        <f t="shared" ref="S19:AF19" si="11">SUM(C46:C49)</f>
        <v>271</v>
      </c>
      <c r="T19" s="17">
        <f t="shared" si="11"/>
        <v>41</v>
      </c>
      <c r="U19" s="17">
        <f t="shared" si="11"/>
        <v>48</v>
      </c>
      <c r="V19" s="17">
        <f t="shared" si="11"/>
        <v>376</v>
      </c>
      <c r="W19" s="17">
        <f t="shared" si="11"/>
        <v>18</v>
      </c>
      <c r="X19" s="17">
        <f t="shared" si="11"/>
        <v>3</v>
      </c>
      <c r="Y19" s="17">
        <f t="shared" si="11"/>
        <v>88</v>
      </c>
      <c r="Z19" s="17">
        <f t="shared" si="11"/>
        <v>36</v>
      </c>
      <c r="AA19" s="17">
        <f t="shared" si="11"/>
        <v>25</v>
      </c>
      <c r="AB19" s="17">
        <f t="shared" si="11"/>
        <v>14</v>
      </c>
      <c r="AC19" s="17">
        <f t="shared" si="11"/>
        <v>2144</v>
      </c>
      <c r="AD19" s="17">
        <f t="shared" si="11"/>
        <v>1</v>
      </c>
      <c r="AE19" s="31">
        <f t="shared" si="11"/>
        <v>921</v>
      </c>
      <c r="AF19" s="31">
        <f t="shared" si="11"/>
        <v>3065</v>
      </c>
    </row>
    <row r="20" spans="2:32" ht="23.1" customHeight="1" x14ac:dyDescent="0.25">
      <c r="B20" s="23" t="s">
        <v>47</v>
      </c>
      <c r="C20" s="50">
        <v>90</v>
      </c>
      <c r="D20" s="50">
        <v>25</v>
      </c>
      <c r="E20" s="50">
        <v>23</v>
      </c>
      <c r="F20" s="50">
        <v>97</v>
      </c>
      <c r="G20" s="50">
        <v>7</v>
      </c>
      <c r="H20" s="50">
        <v>2</v>
      </c>
      <c r="I20" s="50">
        <v>4</v>
      </c>
      <c r="J20" s="50">
        <v>16</v>
      </c>
      <c r="K20" s="50">
        <v>2</v>
      </c>
      <c r="L20" s="50">
        <v>3</v>
      </c>
      <c r="M20" s="50">
        <v>610</v>
      </c>
      <c r="N20" s="50">
        <v>0</v>
      </c>
      <c r="O20" s="15">
        <f t="shared" si="0"/>
        <v>269</v>
      </c>
      <c r="P20" s="15">
        <f t="shared" si="1"/>
        <v>879</v>
      </c>
      <c r="R20" s="1" t="s">
        <v>16</v>
      </c>
      <c r="S20" s="17">
        <f t="shared" ref="S20:AF20" si="12">SUM(C50:C53)</f>
        <v>396</v>
      </c>
      <c r="T20" s="17">
        <f t="shared" si="12"/>
        <v>52</v>
      </c>
      <c r="U20" s="17">
        <f t="shared" si="12"/>
        <v>43</v>
      </c>
      <c r="V20" s="17">
        <f t="shared" si="12"/>
        <v>440</v>
      </c>
      <c r="W20" s="17">
        <f t="shared" si="12"/>
        <v>11</v>
      </c>
      <c r="X20" s="17">
        <f t="shared" si="12"/>
        <v>0</v>
      </c>
      <c r="Y20" s="17">
        <f t="shared" si="12"/>
        <v>47</v>
      </c>
      <c r="Z20" s="17">
        <f t="shared" si="12"/>
        <v>31</v>
      </c>
      <c r="AA20" s="17">
        <f t="shared" si="12"/>
        <v>12</v>
      </c>
      <c r="AB20" s="17">
        <f t="shared" si="12"/>
        <v>19</v>
      </c>
      <c r="AC20" s="17">
        <f t="shared" si="12"/>
        <v>2432</v>
      </c>
      <c r="AD20" s="17">
        <f t="shared" si="12"/>
        <v>1</v>
      </c>
      <c r="AE20" s="31">
        <f t="shared" si="12"/>
        <v>1052</v>
      </c>
      <c r="AF20" s="31">
        <f t="shared" si="12"/>
        <v>3484</v>
      </c>
    </row>
    <row r="21" spans="2:32" ht="23.1" customHeight="1" x14ac:dyDescent="0.25">
      <c r="B21" s="23" t="s">
        <v>48</v>
      </c>
      <c r="C21" s="50">
        <v>26</v>
      </c>
      <c r="D21" s="50">
        <v>25</v>
      </c>
      <c r="E21" s="50">
        <v>15</v>
      </c>
      <c r="F21" s="50">
        <v>100</v>
      </c>
      <c r="G21" s="50">
        <v>2</v>
      </c>
      <c r="H21" s="50">
        <v>0</v>
      </c>
      <c r="I21" s="50">
        <v>5</v>
      </c>
      <c r="J21" s="50">
        <v>3</v>
      </c>
      <c r="K21" s="50">
        <v>3</v>
      </c>
      <c r="L21" s="50">
        <v>0</v>
      </c>
      <c r="M21" s="50">
        <v>635</v>
      </c>
      <c r="N21" s="50">
        <v>1</v>
      </c>
      <c r="O21" s="15">
        <f t="shared" si="0"/>
        <v>180</v>
      </c>
      <c r="P21" s="15">
        <f t="shared" si="1"/>
        <v>815</v>
      </c>
      <c r="R21" s="36" t="s">
        <v>20</v>
      </c>
      <c r="S21" s="34">
        <f t="shared" ref="S21:AF21" si="13">SUM(C54:C57)</f>
        <v>266</v>
      </c>
      <c r="T21" s="17">
        <f t="shared" si="13"/>
        <v>28</v>
      </c>
      <c r="U21" s="17">
        <f t="shared" si="13"/>
        <v>48</v>
      </c>
      <c r="V21" s="17">
        <f t="shared" si="13"/>
        <v>390</v>
      </c>
      <c r="W21" s="17">
        <f t="shared" si="13"/>
        <v>6</v>
      </c>
      <c r="X21" s="17">
        <f t="shared" si="13"/>
        <v>0</v>
      </c>
      <c r="Y21" s="17">
        <f t="shared" si="13"/>
        <v>26</v>
      </c>
      <c r="Z21" s="17">
        <f t="shared" si="13"/>
        <v>53</v>
      </c>
      <c r="AA21" s="17">
        <f t="shared" si="13"/>
        <v>23</v>
      </c>
      <c r="AB21" s="17">
        <f t="shared" si="13"/>
        <v>25</v>
      </c>
      <c r="AC21" s="17">
        <f t="shared" si="13"/>
        <v>2469</v>
      </c>
      <c r="AD21" s="17">
        <f t="shared" si="13"/>
        <v>1</v>
      </c>
      <c r="AE21" s="31">
        <f t="shared" si="13"/>
        <v>866</v>
      </c>
      <c r="AF21" s="31">
        <f t="shared" si="13"/>
        <v>3335</v>
      </c>
    </row>
    <row r="22" spans="2:32" ht="23.1" customHeight="1" x14ac:dyDescent="0.25">
      <c r="B22" s="23" t="s">
        <v>49</v>
      </c>
      <c r="C22" s="50">
        <v>85</v>
      </c>
      <c r="D22" s="50">
        <v>35</v>
      </c>
      <c r="E22" s="50">
        <v>11</v>
      </c>
      <c r="F22" s="50">
        <v>80</v>
      </c>
      <c r="G22" s="50">
        <v>2</v>
      </c>
      <c r="H22" s="50">
        <v>1</v>
      </c>
      <c r="I22" s="50">
        <v>8</v>
      </c>
      <c r="J22" s="50">
        <v>5</v>
      </c>
      <c r="K22" s="50">
        <v>5</v>
      </c>
      <c r="L22" s="50">
        <v>2</v>
      </c>
      <c r="M22" s="50">
        <v>600</v>
      </c>
      <c r="N22" s="50">
        <v>0</v>
      </c>
      <c r="O22" s="15">
        <f t="shared" si="0"/>
        <v>234</v>
      </c>
      <c r="P22" s="15">
        <f t="shared" si="1"/>
        <v>834</v>
      </c>
      <c r="R22" s="38" t="s">
        <v>90</v>
      </c>
      <c r="S22" s="39">
        <f>MAX(S10:S12)</f>
        <v>420</v>
      </c>
      <c r="T22" s="39">
        <f t="shared" ref="T22:AF22" si="14">MAX(T10:T12)</f>
        <v>147</v>
      </c>
      <c r="U22" s="39">
        <f t="shared" si="14"/>
        <v>80</v>
      </c>
      <c r="V22" s="39">
        <f t="shared" si="14"/>
        <v>495</v>
      </c>
      <c r="W22" s="39">
        <f t="shared" si="14"/>
        <v>36</v>
      </c>
      <c r="X22" s="39">
        <f t="shared" si="14"/>
        <v>17</v>
      </c>
      <c r="Y22" s="39">
        <f t="shared" si="14"/>
        <v>29</v>
      </c>
      <c r="Z22" s="39">
        <f t="shared" si="14"/>
        <v>29</v>
      </c>
      <c r="AA22" s="39">
        <f t="shared" si="14"/>
        <v>26</v>
      </c>
      <c r="AB22" s="39">
        <f t="shared" si="14"/>
        <v>15</v>
      </c>
      <c r="AC22" s="39">
        <f t="shared" si="14"/>
        <v>3130</v>
      </c>
      <c r="AD22" s="39">
        <f t="shared" si="14"/>
        <v>2</v>
      </c>
      <c r="AE22" s="40">
        <f t="shared" si="14"/>
        <v>1179</v>
      </c>
      <c r="AF22" s="40">
        <f t="shared" si="14"/>
        <v>4309</v>
      </c>
    </row>
    <row r="23" spans="2:32" ht="23.1" customHeight="1" x14ac:dyDescent="0.25">
      <c r="B23" s="23" t="s">
        <v>50</v>
      </c>
      <c r="C23" s="50">
        <v>78</v>
      </c>
      <c r="D23" s="50">
        <v>33</v>
      </c>
      <c r="E23" s="50">
        <v>17</v>
      </c>
      <c r="F23" s="50">
        <v>145</v>
      </c>
      <c r="G23" s="50">
        <v>2</v>
      </c>
      <c r="H23" s="50">
        <v>3</v>
      </c>
      <c r="I23" s="50">
        <v>4</v>
      </c>
      <c r="J23" s="50">
        <v>5</v>
      </c>
      <c r="K23" s="50">
        <v>1</v>
      </c>
      <c r="L23" s="50">
        <v>3</v>
      </c>
      <c r="M23" s="50">
        <v>640</v>
      </c>
      <c r="N23" s="50">
        <v>0</v>
      </c>
      <c r="O23" s="15">
        <f t="shared" si="0"/>
        <v>291</v>
      </c>
      <c r="P23" s="15">
        <f t="shared" si="1"/>
        <v>931</v>
      </c>
      <c r="R23" s="38" t="s">
        <v>91</v>
      </c>
      <c r="S23" s="39">
        <f>MAX(S13:S18)</f>
        <v>376</v>
      </c>
      <c r="T23" s="39">
        <f t="shared" ref="T23:AF23" si="15">MAX(T13:T18)</f>
        <v>99</v>
      </c>
      <c r="U23" s="39">
        <f t="shared" si="15"/>
        <v>90</v>
      </c>
      <c r="V23" s="39">
        <f t="shared" si="15"/>
        <v>470</v>
      </c>
      <c r="W23" s="39">
        <f t="shared" si="15"/>
        <v>29</v>
      </c>
      <c r="X23" s="39">
        <f t="shared" si="15"/>
        <v>6</v>
      </c>
      <c r="Y23" s="39">
        <f t="shared" si="15"/>
        <v>43</v>
      </c>
      <c r="Z23" s="39">
        <f t="shared" si="15"/>
        <v>34</v>
      </c>
      <c r="AA23" s="39">
        <f t="shared" si="15"/>
        <v>37</v>
      </c>
      <c r="AB23" s="39">
        <f t="shared" si="15"/>
        <v>26</v>
      </c>
      <c r="AC23" s="39">
        <f t="shared" si="15"/>
        <v>2467</v>
      </c>
      <c r="AD23" s="39">
        <f t="shared" si="15"/>
        <v>3</v>
      </c>
      <c r="AE23" s="40">
        <f t="shared" si="15"/>
        <v>1375</v>
      </c>
      <c r="AF23" s="40">
        <f t="shared" si="15"/>
        <v>3460</v>
      </c>
    </row>
    <row r="24" spans="2:32" ht="23.1" customHeight="1" x14ac:dyDescent="0.25">
      <c r="B24" s="23" t="s">
        <v>51</v>
      </c>
      <c r="C24" s="50">
        <v>75</v>
      </c>
      <c r="D24" s="50">
        <v>16</v>
      </c>
      <c r="E24" s="50">
        <v>22</v>
      </c>
      <c r="F24" s="50">
        <v>115</v>
      </c>
      <c r="G24" s="50">
        <v>3</v>
      </c>
      <c r="H24" s="50">
        <v>1</v>
      </c>
      <c r="I24" s="50">
        <v>2</v>
      </c>
      <c r="J24" s="50">
        <v>4</v>
      </c>
      <c r="K24" s="50">
        <v>0</v>
      </c>
      <c r="L24" s="50">
        <v>1</v>
      </c>
      <c r="M24" s="50">
        <v>635</v>
      </c>
      <c r="N24" s="50">
        <v>0</v>
      </c>
      <c r="O24" s="15">
        <f t="shared" si="0"/>
        <v>239</v>
      </c>
      <c r="P24" s="15">
        <f t="shared" si="1"/>
        <v>874</v>
      </c>
      <c r="R24" s="38" t="s">
        <v>92</v>
      </c>
      <c r="S24" s="39">
        <f>MAX(S19:S21)</f>
        <v>396</v>
      </c>
      <c r="T24" s="39">
        <f t="shared" ref="T24:AF24" si="16">MAX(T19:T21)</f>
        <v>52</v>
      </c>
      <c r="U24" s="39">
        <f t="shared" si="16"/>
        <v>48</v>
      </c>
      <c r="V24" s="39">
        <f t="shared" si="16"/>
        <v>440</v>
      </c>
      <c r="W24" s="39">
        <f t="shared" si="16"/>
        <v>18</v>
      </c>
      <c r="X24" s="39">
        <f t="shared" si="16"/>
        <v>3</v>
      </c>
      <c r="Y24" s="39">
        <f t="shared" si="16"/>
        <v>88</v>
      </c>
      <c r="Z24" s="39">
        <f t="shared" si="16"/>
        <v>53</v>
      </c>
      <c r="AA24" s="39">
        <f t="shared" si="16"/>
        <v>25</v>
      </c>
      <c r="AB24" s="39">
        <f t="shared" si="16"/>
        <v>25</v>
      </c>
      <c r="AC24" s="39">
        <f t="shared" si="16"/>
        <v>2469</v>
      </c>
      <c r="AD24" s="39">
        <f t="shared" si="16"/>
        <v>1</v>
      </c>
      <c r="AE24" s="40">
        <f t="shared" si="16"/>
        <v>1052</v>
      </c>
      <c r="AF24" s="40">
        <f t="shared" si="16"/>
        <v>3484</v>
      </c>
    </row>
    <row r="25" spans="2:32" ht="23.1" customHeight="1" x14ac:dyDescent="0.25">
      <c r="B25" s="23" t="s">
        <v>52</v>
      </c>
      <c r="C25" s="50">
        <v>70</v>
      </c>
      <c r="D25" s="50">
        <v>15</v>
      </c>
      <c r="E25" s="50">
        <v>21</v>
      </c>
      <c r="F25" s="50">
        <v>130</v>
      </c>
      <c r="G25" s="50">
        <v>3</v>
      </c>
      <c r="H25" s="50">
        <v>0</v>
      </c>
      <c r="I25" s="50">
        <v>4</v>
      </c>
      <c r="J25" s="50">
        <v>6</v>
      </c>
      <c r="K25" s="50">
        <v>0</v>
      </c>
      <c r="L25" s="50">
        <v>2</v>
      </c>
      <c r="M25" s="50">
        <v>570</v>
      </c>
      <c r="N25" s="50">
        <v>0</v>
      </c>
      <c r="O25" s="15">
        <f t="shared" si="0"/>
        <v>251</v>
      </c>
      <c r="P25" s="15">
        <f t="shared" si="1"/>
        <v>821</v>
      </c>
      <c r="R25" s="37" t="s">
        <v>85</v>
      </c>
      <c r="S25" s="35">
        <f t="shared" ref="S25:AF25" si="17">SUM(S10:S12)</f>
        <v>1016</v>
      </c>
      <c r="T25" s="16">
        <f t="shared" si="17"/>
        <v>403</v>
      </c>
      <c r="U25" s="16">
        <f t="shared" si="17"/>
        <v>150</v>
      </c>
      <c r="V25" s="16">
        <f t="shared" si="17"/>
        <v>1402</v>
      </c>
      <c r="W25" s="16">
        <f t="shared" si="17"/>
        <v>63</v>
      </c>
      <c r="X25" s="16">
        <f t="shared" si="17"/>
        <v>24</v>
      </c>
      <c r="Y25" s="16">
        <f t="shared" si="17"/>
        <v>66</v>
      </c>
      <c r="Z25" s="16">
        <f t="shared" si="17"/>
        <v>48</v>
      </c>
      <c r="AA25" s="16">
        <f t="shared" si="17"/>
        <v>51</v>
      </c>
      <c r="AB25" s="16">
        <f t="shared" si="17"/>
        <v>30</v>
      </c>
      <c r="AC25" s="16">
        <f t="shared" si="17"/>
        <v>8155</v>
      </c>
      <c r="AD25" s="16">
        <f t="shared" si="17"/>
        <v>3</v>
      </c>
      <c r="AE25" s="32">
        <f t="shared" si="17"/>
        <v>3256</v>
      </c>
      <c r="AF25" s="32">
        <f t="shared" si="17"/>
        <v>11411</v>
      </c>
    </row>
    <row r="26" spans="2:32" ht="23.1" customHeight="1" x14ac:dyDescent="0.25">
      <c r="B26" s="23" t="s">
        <v>53</v>
      </c>
      <c r="C26" s="50">
        <v>50</v>
      </c>
      <c r="D26" s="50">
        <v>13</v>
      </c>
      <c r="E26" s="50">
        <v>15</v>
      </c>
      <c r="F26" s="50">
        <v>95</v>
      </c>
      <c r="G26" s="50">
        <v>5</v>
      </c>
      <c r="H26" s="50">
        <v>1</v>
      </c>
      <c r="I26" s="50">
        <v>5</v>
      </c>
      <c r="J26" s="50">
        <v>5</v>
      </c>
      <c r="K26" s="50">
        <v>6</v>
      </c>
      <c r="L26" s="50">
        <v>7</v>
      </c>
      <c r="M26" s="50">
        <v>660</v>
      </c>
      <c r="N26" s="50">
        <v>0</v>
      </c>
      <c r="O26" s="15">
        <f t="shared" si="0"/>
        <v>202</v>
      </c>
      <c r="P26" s="15">
        <f t="shared" si="1"/>
        <v>862</v>
      </c>
      <c r="R26" s="28" t="s">
        <v>86</v>
      </c>
      <c r="S26" s="16">
        <f t="shared" ref="S26:AF26" si="18">SUM(S13:S18)</f>
        <v>1856</v>
      </c>
      <c r="T26" s="16">
        <f t="shared" si="18"/>
        <v>493</v>
      </c>
      <c r="U26" s="16">
        <f t="shared" si="18"/>
        <v>465</v>
      </c>
      <c r="V26" s="16">
        <f t="shared" si="18"/>
        <v>2455</v>
      </c>
      <c r="W26" s="16">
        <f t="shared" si="18"/>
        <v>75</v>
      </c>
      <c r="X26" s="16">
        <f t="shared" si="18"/>
        <v>23</v>
      </c>
      <c r="Y26" s="16">
        <f t="shared" si="18"/>
        <v>142</v>
      </c>
      <c r="Z26" s="16">
        <f t="shared" si="18"/>
        <v>128</v>
      </c>
      <c r="AA26" s="16">
        <f t="shared" si="18"/>
        <v>115</v>
      </c>
      <c r="AB26" s="16">
        <f t="shared" si="18"/>
        <v>88</v>
      </c>
      <c r="AC26" s="16">
        <f t="shared" si="18"/>
        <v>14087</v>
      </c>
      <c r="AD26" s="16">
        <f t="shared" si="18"/>
        <v>6</v>
      </c>
      <c r="AE26" s="32">
        <f t="shared" si="18"/>
        <v>6165</v>
      </c>
      <c r="AF26" s="32">
        <f t="shared" si="18"/>
        <v>19933</v>
      </c>
    </row>
    <row r="27" spans="2:32" ht="23.1" customHeight="1" x14ac:dyDescent="0.25">
      <c r="B27" s="23" t="s">
        <v>54</v>
      </c>
      <c r="C27" s="50">
        <v>75</v>
      </c>
      <c r="D27" s="50">
        <v>21</v>
      </c>
      <c r="E27" s="50">
        <v>18</v>
      </c>
      <c r="F27" s="50">
        <v>110</v>
      </c>
      <c r="G27" s="50">
        <v>2</v>
      </c>
      <c r="H27" s="50">
        <v>3</v>
      </c>
      <c r="I27" s="50">
        <v>0</v>
      </c>
      <c r="J27" s="50">
        <v>1</v>
      </c>
      <c r="K27" s="50">
        <v>3</v>
      </c>
      <c r="L27" s="50">
        <v>6</v>
      </c>
      <c r="M27" s="50">
        <v>555</v>
      </c>
      <c r="N27" s="50">
        <v>1</v>
      </c>
      <c r="O27" s="15">
        <f t="shared" si="0"/>
        <v>240</v>
      </c>
      <c r="P27" s="15">
        <f t="shared" si="1"/>
        <v>795</v>
      </c>
      <c r="R27" s="29" t="s">
        <v>87</v>
      </c>
      <c r="S27" s="16">
        <f t="shared" ref="S27:AF27" si="19">SUM(S19:S21)</f>
        <v>933</v>
      </c>
      <c r="T27" s="16">
        <f t="shared" si="19"/>
        <v>121</v>
      </c>
      <c r="U27" s="16">
        <f t="shared" si="19"/>
        <v>139</v>
      </c>
      <c r="V27" s="16">
        <f t="shared" si="19"/>
        <v>1206</v>
      </c>
      <c r="W27" s="16">
        <f t="shared" si="19"/>
        <v>35</v>
      </c>
      <c r="X27" s="16">
        <f t="shared" si="19"/>
        <v>3</v>
      </c>
      <c r="Y27" s="16">
        <f t="shared" si="19"/>
        <v>161</v>
      </c>
      <c r="Z27" s="16">
        <f t="shared" si="19"/>
        <v>120</v>
      </c>
      <c r="AA27" s="16">
        <f t="shared" si="19"/>
        <v>60</v>
      </c>
      <c r="AB27" s="16">
        <f t="shared" si="19"/>
        <v>58</v>
      </c>
      <c r="AC27" s="16">
        <f t="shared" si="19"/>
        <v>7045</v>
      </c>
      <c r="AD27" s="16">
        <f t="shared" si="19"/>
        <v>3</v>
      </c>
      <c r="AE27" s="32">
        <f t="shared" si="19"/>
        <v>2839</v>
      </c>
      <c r="AF27" s="32">
        <f t="shared" si="19"/>
        <v>9884</v>
      </c>
    </row>
    <row r="28" spans="2:32" ht="23.1" customHeight="1" x14ac:dyDescent="0.25">
      <c r="B28" s="23" t="s">
        <v>55</v>
      </c>
      <c r="C28" s="50">
        <v>88</v>
      </c>
      <c r="D28" s="50">
        <v>17</v>
      </c>
      <c r="E28" s="50">
        <v>24</v>
      </c>
      <c r="F28" s="50">
        <v>100</v>
      </c>
      <c r="G28" s="50">
        <v>2</v>
      </c>
      <c r="H28" s="50">
        <v>0</v>
      </c>
      <c r="I28" s="50">
        <v>5</v>
      </c>
      <c r="J28" s="50">
        <v>3</v>
      </c>
      <c r="K28" s="50">
        <v>3</v>
      </c>
      <c r="L28" s="50">
        <v>6</v>
      </c>
      <c r="M28" s="50">
        <v>615</v>
      </c>
      <c r="N28" s="50">
        <v>0</v>
      </c>
      <c r="O28" s="15">
        <f t="shared" si="0"/>
        <v>248</v>
      </c>
      <c r="P28" s="15">
        <f t="shared" si="1"/>
        <v>863</v>
      </c>
      <c r="R28" s="5" t="s">
        <v>17</v>
      </c>
      <c r="S28" s="16">
        <f t="shared" ref="S28:AF28" si="20">SUM(S10:S21)</f>
        <v>3805</v>
      </c>
      <c r="T28" s="16">
        <f t="shared" si="20"/>
        <v>1017</v>
      </c>
      <c r="U28" s="16">
        <f t="shared" si="20"/>
        <v>754</v>
      </c>
      <c r="V28" s="16">
        <f t="shared" si="20"/>
        <v>5063</v>
      </c>
      <c r="W28" s="16">
        <f t="shared" si="20"/>
        <v>173</v>
      </c>
      <c r="X28" s="16">
        <f t="shared" si="20"/>
        <v>50</v>
      </c>
      <c r="Y28" s="16">
        <f t="shared" si="20"/>
        <v>369</v>
      </c>
      <c r="Z28" s="16">
        <f t="shared" si="20"/>
        <v>296</v>
      </c>
      <c r="AA28" s="16">
        <f t="shared" si="20"/>
        <v>226</v>
      </c>
      <c r="AB28" s="16">
        <f t="shared" si="20"/>
        <v>176</v>
      </c>
      <c r="AC28" s="16">
        <f t="shared" si="20"/>
        <v>29287</v>
      </c>
      <c r="AD28" s="16">
        <f t="shared" si="20"/>
        <v>12</v>
      </c>
      <c r="AE28" s="32">
        <f t="shared" si="20"/>
        <v>12260</v>
      </c>
      <c r="AF28" s="32">
        <f t="shared" si="20"/>
        <v>41228</v>
      </c>
    </row>
    <row r="29" spans="2:32" ht="23.1" customHeight="1" x14ac:dyDescent="0.25">
      <c r="B29" s="23" t="s">
        <v>56</v>
      </c>
      <c r="C29" s="50">
        <v>40</v>
      </c>
      <c r="D29" s="50">
        <v>30</v>
      </c>
      <c r="E29" s="50">
        <v>33</v>
      </c>
      <c r="F29" s="50">
        <v>95</v>
      </c>
      <c r="G29" s="50">
        <v>3</v>
      </c>
      <c r="H29" s="50">
        <v>2</v>
      </c>
      <c r="I29" s="50">
        <v>6</v>
      </c>
      <c r="J29" s="50">
        <v>2</v>
      </c>
      <c r="K29" s="50">
        <v>5</v>
      </c>
      <c r="L29" s="50">
        <v>7</v>
      </c>
      <c r="M29" s="50">
        <v>637</v>
      </c>
      <c r="N29" s="50">
        <v>0</v>
      </c>
      <c r="O29" s="15">
        <f t="shared" si="0"/>
        <v>223</v>
      </c>
      <c r="P29" s="15">
        <f t="shared" si="1"/>
        <v>860</v>
      </c>
      <c r="R29"/>
      <c r="S29" s="20"/>
      <c r="T29" s="19"/>
    </row>
    <row r="30" spans="2:32" ht="23.1" customHeight="1" x14ac:dyDescent="0.25">
      <c r="B30" s="23" t="s">
        <v>57</v>
      </c>
      <c r="C30" s="50">
        <v>79</v>
      </c>
      <c r="D30" s="50">
        <v>29</v>
      </c>
      <c r="E30" s="50">
        <v>19</v>
      </c>
      <c r="F30" s="50">
        <v>115</v>
      </c>
      <c r="G30" s="50">
        <v>2</v>
      </c>
      <c r="H30" s="50">
        <v>0</v>
      </c>
      <c r="I30" s="50">
        <v>6</v>
      </c>
      <c r="J30" s="50">
        <v>7</v>
      </c>
      <c r="K30" s="50">
        <v>5</v>
      </c>
      <c r="L30" s="50">
        <v>11</v>
      </c>
      <c r="M30" s="50">
        <v>610</v>
      </c>
      <c r="N30" s="50">
        <v>0</v>
      </c>
      <c r="O30" s="15">
        <f t="shared" si="0"/>
        <v>273</v>
      </c>
      <c r="P30" s="15">
        <f t="shared" si="1"/>
        <v>883</v>
      </c>
    </row>
    <row r="31" spans="2:32" ht="23.1" customHeight="1" x14ac:dyDescent="0.25">
      <c r="B31" s="24" t="s">
        <v>58</v>
      </c>
      <c r="C31" s="50">
        <v>53</v>
      </c>
      <c r="D31" s="50">
        <v>18</v>
      </c>
      <c r="E31" s="50">
        <v>20</v>
      </c>
      <c r="F31" s="50">
        <v>80</v>
      </c>
      <c r="G31" s="50">
        <v>0</v>
      </c>
      <c r="H31" s="50">
        <v>0</v>
      </c>
      <c r="I31" s="50">
        <v>6</v>
      </c>
      <c r="J31" s="50">
        <v>5</v>
      </c>
      <c r="K31" s="50">
        <v>0</v>
      </c>
      <c r="L31" s="50">
        <v>4</v>
      </c>
      <c r="M31" s="50">
        <v>595</v>
      </c>
      <c r="N31" s="50">
        <v>0</v>
      </c>
      <c r="O31" s="15">
        <f t="shared" si="0"/>
        <v>186</v>
      </c>
      <c r="P31" s="15">
        <f t="shared" si="1"/>
        <v>781</v>
      </c>
    </row>
    <row r="32" spans="2:32" ht="23.1" customHeight="1" x14ac:dyDescent="0.25">
      <c r="B32" s="24" t="s">
        <v>59</v>
      </c>
      <c r="C32" s="50">
        <v>73</v>
      </c>
      <c r="D32" s="50">
        <v>15</v>
      </c>
      <c r="E32" s="50">
        <v>14</v>
      </c>
      <c r="F32" s="50">
        <v>90</v>
      </c>
      <c r="G32" s="50">
        <v>2</v>
      </c>
      <c r="H32" s="50">
        <v>2</v>
      </c>
      <c r="I32" s="50">
        <v>1</v>
      </c>
      <c r="J32" s="50">
        <v>2</v>
      </c>
      <c r="K32" s="50">
        <v>3</v>
      </c>
      <c r="L32" s="50">
        <v>1</v>
      </c>
      <c r="M32" s="50">
        <v>560</v>
      </c>
      <c r="N32" s="50">
        <v>0</v>
      </c>
      <c r="O32" s="15">
        <f t="shared" si="0"/>
        <v>203</v>
      </c>
      <c r="P32" s="15">
        <f t="shared" si="1"/>
        <v>763</v>
      </c>
    </row>
    <row r="33" spans="2:20" ht="23.1" customHeight="1" x14ac:dyDescent="0.25">
      <c r="B33" s="23" t="s">
        <v>60</v>
      </c>
      <c r="C33" s="50">
        <v>70</v>
      </c>
      <c r="D33" s="50">
        <v>34</v>
      </c>
      <c r="E33" s="50">
        <v>23</v>
      </c>
      <c r="F33" s="50">
        <v>91</v>
      </c>
      <c r="G33" s="50">
        <v>1</v>
      </c>
      <c r="H33" s="50">
        <v>2</v>
      </c>
      <c r="I33" s="50">
        <v>8</v>
      </c>
      <c r="J33" s="50">
        <v>4</v>
      </c>
      <c r="K33" s="50">
        <v>6</v>
      </c>
      <c r="L33" s="50">
        <v>1</v>
      </c>
      <c r="M33" s="50">
        <v>584</v>
      </c>
      <c r="N33" s="50">
        <v>0</v>
      </c>
      <c r="O33" s="15">
        <f t="shared" si="0"/>
        <v>240</v>
      </c>
      <c r="P33" s="15">
        <f t="shared" si="1"/>
        <v>824</v>
      </c>
    </row>
    <row r="34" spans="2:20" ht="23.1" customHeight="1" x14ac:dyDescent="0.25">
      <c r="B34" s="24" t="s">
        <v>61</v>
      </c>
      <c r="C34" s="50">
        <v>115</v>
      </c>
      <c r="D34" s="50">
        <v>29</v>
      </c>
      <c r="E34" s="50">
        <v>19</v>
      </c>
      <c r="F34" s="50">
        <v>95</v>
      </c>
      <c r="G34" s="50">
        <v>2</v>
      </c>
      <c r="H34" s="50">
        <v>0</v>
      </c>
      <c r="I34" s="50">
        <v>5</v>
      </c>
      <c r="J34" s="50">
        <v>6</v>
      </c>
      <c r="K34" s="50">
        <v>1</v>
      </c>
      <c r="L34" s="50">
        <v>6</v>
      </c>
      <c r="M34" s="50">
        <v>565</v>
      </c>
      <c r="N34" s="50">
        <v>0</v>
      </c>
      <c r="O34" s="15">
        <v>597</v>
      </c>
      <c r="P34" s="15">
        <f t="shared" si="1"/>
        <v>843</v>
      </c>
    </row>
    <row r="35" spans="2:20" ht="23.1" customHeight="1" x14ac:dyDescent="0.25">
      <c r="B35" s="24" t="s">
        <v>62</v>
      </c>
      <c r="C35" s="50">
        <v>75</v>
      </c>
      <c r="D35" s="50">
        <v>23</v>
      </c>
      <c r="E35" s="50">
        <v>24</v>
      </c>
      <c r="F35" s="50">
        <v>125</v>
      </c>
      <c r="G35" s="50">
        <v>12</v>
      </c>
      <c r="H35" s="50">
        <v>0</v>
      </c>
      <c r="I35" s="50">
        <v>11</v>
      </c>
      <c r="J35" s="50">
        <v>3</v>
      </c>
      <c r="K35" s="50">
        <v>4</v>
      </c>
      <c r="L35" s="50">
        <v>6</v>
      </c>
      <c r="M35" s="50">
        <v>610</v>
      </c>
      <c r="N35" s="50">
        <v>0</v>
      </c>
      <c r="O35" s="15">
        <f t="shared" si="0"/>
        <v>283</v>
      </c>
      <c r="P35" s="15">
        <f t="shared" si="1"/>
        <v>893</v>
      </c>
    </row>
    <row r="36" spans="2:20" ht="23.1" customHeight="1" x14ac:dyDescent="0.25">
      <c r="B36" s="24" t="s">
        <v>63</v>
      </c>
      <c r="C36" s="50">
        <v>60</v>
      </c>
      <c r="D36" s="50">
        <v>15</v>
      </c>
      <c r="E36" s="50">
        <v>16</v>
      </c>
      <c r="F36" s="50">
        <v>65</v>
      </c>
      <c r="G36" s="50">
        <v>7</v>
      </c>
      <c r="H36" s="50">
        <v>0</v>
      </c>
      <c r="I36" s="50">
        <v>5</v>
      </c>
      <c r="J36" s="50">
        <v>4</v>
      </c>
      <c r="K36" s="50">
        <v>3</v>
      </c>
      <c r="L36" s="50">
        <v>4</v>
      </c>
      <c r="M36" s="50">
        <v>597</v>
      </c>
      <c r="N36" s="50">
        <v>0</v>
      </c>
      <c r="O36" s="15">
        <f t="shared" si="0"/>
        <v>179</v>
      </c>
      <c r="P36" s="15">
        <f t="shared" si="1"/>
        <v>776</v>
      </c>
    </row>
    <row r="37" spans="2:20" ht="23.1" customHeight="1" x14ac:dyDescent="0.25">
      <c r="B37" s="23" t="s">
        <v>64</v>
      </c>
      <c r="C37" s="50">
        <v>75</v>
      </c>
      <c r="D37" s="50">
        <v>26</v>
      </c>
      <c r="E37" s="50">
        <v>13</v>
      </c>
      <c r="F37" s="50">
        <v>155</v>
      </c>
      <c r="G37" s="50">
        <v>8</v>
      </c>
      <c r="H37" s="50">
        <v>1</v>
      </c>
      <c r="I37" s="50">
        <v>22</v>
      </c>
      <c r="J37" s="50">
        <v>8</v>
      </c>
      <c r="K37" s="50">
        <v>6</v>
      </c>
      <c r="L37" s="50">
        <v>2</v>
      </c>
      <c r="M37" s="50">
        <v>616</v>
      </c>
      <c r="N37" s="50">
        <v>0</v>
      </c>
      <c r="O37" s="15">
        <f t="shared" si="0"/>
        <v>316</v>
      </c>
      <c r="P37" s="15">
        <f t="shared" si="1"/>
        <v>932</v>
      </c>
    </row>
    <row r="38" spans="2:20" ht="23.1" customHeight="1" x14ac:dyDescent="0.25">
      <c r="B38" s="24" t="s">
        <v>65</v>
      </c>
      <c r="C38" s="50">
        <v>75</v>
      </c>
      <c r="D38" s="50">
        <v>17</v>
      </c>
      <c r="E38" s="50">
        <v>29</v>
      </c>
      <c r="F38" s="50">
        <v>93</v>
      </c>
      <c r="G38" s="50">
        <v>3</v>
      </c>
      <c r="H38" s="50">
        <v>0</v>
      </c>
      <c r="I38" s="50">
        <v>6</v>
      </c>
      <c r="J38" s="50">
        <v>7</v>
      </c>
      <c r="K38" s="50">
        <v>8</v>
      </c>
      <c r="L38" s="50">
        <v>2</v>
      </c>
      <c r="M38" s="50">
        <v>480</v>
      </c>
      <c r="N38" s="50">
        <v>0</v>
      </c>
      <c r="O38" s="15">
        <f t="shared" si="0"/>
        <v>240</v>
      </c>
      <c r="P38" s="15">
        <f t="shared" si="1"/>
        <v>720</v>
      </c>
    </row>
    <row r="39" spans="2:20" ht="23.1" customHeight="1" x14ac:dyDescent="0.25">
      <c r="B39" s="24" t="s">
        <v>66</v>
      </c>
      <c r="C39" s="50">
        <v>105</v>
      </c>
      <c r="D39" s="50">
        <v>15</v>
      </c>
      <c r="E39" s="50">
        <v>13</v>
      </c>
      <c r="F39" s="50">
        <v>110</v>
      </c>
      <c r="G39" s="50">
        <v>5</v>
      </c>
      <c r="H39" s="50">
        <v>1</v>
      </c>
      <c r="I39" s="50">
        <v>5</v>
      </c>
      <c r="J39" s="50">
        <v>6</v>
      </c>
      <c r="K39" s="50">
        <v>7</v>
      </c>
      <c r="L39" s="50">
        <v>1</v>
      </c>
      <c r="M39" s="50">
        <v>541</v>
      </c>
      <c r="N39" s="50">
        <v>0</v>
      </c>
      <c r="O39" s="15">
        <f t="shared" si="0"/>
        <v>268</v>
      </c>
      <c r="P39" s="15">
        <f t="shared" si="1"/>
        <v>809</v>
      </c>
    </row>
    <row r="40" spans="2:20" ht="23.1" customHeight="1" x14ac:dyDescent="0.25">
      <c r="B40" s="24" t="s">
        <v>67</v>
      </c>
      <c r="C40" s="50">
        <v>108</v>
      </c>
      <c r="D40" s="50">
        <v>24</v>
      </c>
      <c r="E40" s="50">
        <v>23</v>
      </c>
      <c r="F40" s="50">
        <v>95</v>
      </c>
      <c r="G40" s="50">
        <v>2</v>
      </c>
      <c r="H40" s="50">
        <v>1</v>
      </c>
      <c r="I40" s="50">
        <v>11</v>
      </c>
      <c r="J40" s="50">
        <v>5</v>
      </c>
      <c r="K40" s="50">
        <v>10</v>
      </c>
      <c r="L40" s="50">
        <v>3</v>
      </c>
      <c r="M40" s="50">
        <v>490</v>
      </c>
      <c r="N40" s="50">
        <v>2</v>
      </c>
      <c r="O40" s="15">
        <f t="shared" si="0"/>
        <v>284</v>
      </c>
      <c r="P40" s="15">
        <f t="shared" si="1"/>
        <v>774</v>
      </c>
    </row>
    <row r="41" spans="2:20" ht="23.1" customHeight="1" x14ac:dyDescent="0.25">
      <c r="B41" s="23" t="s">
        <v>68</v>
      </c>
      <c r="C41" s="50">
        <v>88</v>
      </c>
      <c r="D41" s="50">
        <v>18</v>
      </c>
      <c r="E41" s="50">
        <v>21</v>
      </c>
      <c r="F41" s="50">
        <v>105</v>
      </c>
      <c r="G41" s="50">
        <v>5</v>
      </c>
      <c r="H41" s="50">
        <v>0</v>
      </c>
      <c r="I41" s="50">
        <v>5</v>
      </c>
      <c r="J41" s="50">
        <v>6</v>
      </c>
      <c r="K41" s="50">
        <v>12</v>
      </c>
      <c r="L41" s="50">
        <v>5</v>
      </c>
      <c r="M41" s="50">
        <v>635</v>
      </c>
      <c r="N41" s="50">
        <v>1</v>
      </c>
      <c r="O41" s="15">
        <f t="shared" si="0"/>
        <v>266</v>
      </c>
      <c r="P41" s="15">
        <f t="shared" si="1"/>
        <v>901</v>
      </c>
    </row>
    <row r="42" spans="2:20" ht="23.1" customHeight="1" x14ac:dyDescent="0.25">
      <c r="B42" s="24" t="s">
        <v>69</v>
      </c>
      <c r="C42" s="50">
        <v>75</v>
      </c>
      <c r="D42" s="50">
        <v>15</v>
      </c>
      <c r="E42" s="50">
        <v>27</v>
      </c>
      <c r="F42" s="50">
        <v>100</v>
      </c>
      <c r="G42" s="50">
        <v>1</v>
      </c>
      <c r="H42" s="50">
        <v>1</v>
      </c>
      <c r="I42" s="50">
        <v>5</v>
      </c>
      <c r="J42" s="50">
        <v>6</v>
      </c>
      <c r="K42" s="50">
        <v>7</v>
      </c>
      <c r="L42" s="50">
        <v>1</v>
      </c>
      <c r="M42" s="50">
        <v>510</v>
      </c>
      <c r="N42" s="50">
        <v>1</v>
      </c>
      <c r="O42" s="15">
        <f t="shared" si="0"/>
        <v>239</v>
      </c>
      <c r="P42" s="15">
        <f t="shared" si="1"/>
        <v>749</v>
      </c>
    </row>
    <row r="43" spans="2:20" ht="23.1" customHeight="1" x14ac:dyDescent="0.25">
      <c r="B43" s="23" t="s">
        <v>70</v>
      </c>
      <c r="C43" s="50">
        <v>94</v>
      </c>
      <c r="D43" s="50">
        <v>9</v>
      </c>
      <c r="E43" s="50">
        <v>18</v>
      </c>
      <c r="F43" s="50">
        <v>145</v>
      </c>
      <c r="G43" s="50">
        <v>1</v>
      </c>
      <c r="H43" s="50">
        <v>0</v>
      </c>
      <c r="I43" s="50">
        <v>3</v>
      </c>
      <c r="J43" s="50">
        <v>11</v>
      </c>
      <c r="K43" s="50">
        <v>4</v>
      </c>
      <c r="L43" s="50">
        <v>5</v>
      </c>
      <c r="M43" s="50">
        <v>548</v>
      </c>
      <c r="N43" s="50">
        <v>0</v>
      </c>
      <c r="O43" s="15">
        <f t="shared" si="0"/>
        <v>290</v>
      </c>
      <c r="P43" s="15">
        <f t="shared" si="1"/>
        <v>838</v>
      </c>
    </row>
    <row r="44" spans="2:20" ht="23.1" customHeight="1" x14ac:dyDescent="0.25">
      <c r="B44" s="25" t="s">
        <v>71</v>
      </c>
      <c r="C44" s="50">
        <v>75</v>
      </c>
      <c r="D44" s="50">
        <v>14</v>
      </c>
      <c r="E44" s="50">
        <v>12</v>
      </c>
      <c r="F44" s="50">
        <v>110</v>
      </c>
      <c r="G44" s="50">
        <v>1</v>
      </c>
      <c r="H44" s="50">
        <v>2</v>
      </c>
      <c r="I44" s="50">
        <v>6</v>
      </c>
      <c r="J44" s="50">
        <v>10</v>
      </c>
      <c r="K44" s="50">
        <v>8</v>
      </c>
      <c r="L44" s="50">
        <v>1</v>
      </c>
      <c r="M44" s="50">
        <v>579</v>
      </c>
      <c r="N44" s="50">
        <v>0</v>
      </c>
      <c r="O44" s="15">
        <f t="shared" si="0"/>
        <v>239</v>
      </c>
      <c r="P44" s="15">
        <f t="shared" si="1"/>
        <v>818</v>
      </c>
    </row>
    <row r="45" spans="2:20" ht="23.1" customHeight="1" x14ac:dyDescent="0.25">
      <c r="B45" s="23" t="s">
        <v>72</v>
      </c>
      <c r="C45" s="50">
        <v>75</v>
      </c>
      <c r="D45" s="50">
        <v>12</v>
      </c>
      <c r="E45" s="50">
        <v>13</v>
      </c>
      <c r="F45" s="50">
        <v>11</v>
      </c>
      <c r="G45" s="50">
        <v>1</v>
      </c>
      <c r="H45" s="50">
        <v>2</v>
      </c>
      <c r="I45" s="50">
        <v>3</v>
      </c>
      <c r="J45" s="50">
        <v>7</v>
      </c>
      <c r="K45" s="50">
        <v>8</v>
      </c>
      <c r="L45" s="50">
        <v>1</v>
      </c>
      <c r="M45" s="50">
        <v>655</v>
      </c>
      <c r="N45" s="50">
        <v>1</v>
      </c>
      <c r="O45" s="15">
        <f t="shared" si="0"/>
        <v>134</v>
      </c>
      <c r="P45" s="15">
        <f t="shared" si="1"/>
        <v>789</v>
      </c>
    </row>
    <row r="46" spans="2:20" ht="23.1" customHeight="1" x14ac:dyDescent="0.25">
      <c r="B46" s="24" t="s">
        <v>73</v>
      </c>
      <c r="C46" s="50">
        <v>62</v>
      </c>
      <c r="D46" s="50">
        <v>8</v>
      </c>
      <c r="E46" s="50">
        <v>9</v>
      </c>
      <c r="F46" s="50">
        <v>105</v>
      </c>
      <c r="G46" s="50">
        <v>4</v>
      </c>
      <c r="H46" s="50">
        <v>1</v>
      </c>
      <c r="I46" s="50">
        <v>60</v>
      </c>
      <c r="J46" s="50">
        <v>5</v>
      </c>
      <c r="K46" s="50">
        <v>4</v>
      </c>
      <c r="L46" s="50">
        <v>3</v>
      </c>
      <c r="M46" s="50">
        <v>592</v>
      </c>
      <c r="N46" s="50">
        <v>1</v>
      </c>
      <c r="O46" s="15">
        <f t="shared" si="0"/>
        <v>262</v>
      </c>
      <c r="P46" s="15">
        <f t="shared" si="1"/>
        <v>854</v>
      </c>
      <c r="R46" s="8"/>
      <c r="T46"/>
    </row>
    <row r="47" spans="2:20" ht="23.1" customHeight="1" x14ac:dyDescent="0.25">
      <c r="B47" s="24" t="s">
        <v>74</v>
      </c>
      <c r="C47" s="50">
        <v>70</v>
      </c>
      <c r="D47" s="50">
        <v>14</v>
      </c>
      <c r="E47" s="50">
        <v>13</v>
      </c>
      <c r="F47" s="50">
        <v>61</v>
      </c>
      <c r="G47" s="50">
        <v>3</v>
      </c>
      <c r="H47" s="50">
        <v>1</v>
      </c>
      <c r="I47" s="50">
        <v>15</v>
      </c>
      <c r="J47" s="50">
        <v>16</v>
      </c>
      <c r="K47" s="50">
        <v>5</v>
      </c>
      <c r="L47" s="50">
        <v>6</v>
      </c>
      <c r="M47" s="50">
        <v>481</v>
      </c>
      <c r="N47" s="50">
        <v>0</v>
      </c>
      <c r="O47" s="15">
        <f t="shared" si="0"/>
        <v>204</v>
      </c>
      <c r="P47" s="15">
        <f t="shared" si="1"/>
        <v>685</v>
      </c>
      <c r="R47" s="8"/>
      <c r="T47"/>
    </row>
    <row r="48" spans="2:20" ht="23.1" customHeight="1" x14ac:dyDescent="0.25">
      <c r="B48" s="24" t="s">
        <v>75</v>
      </c>
      <c r="C48" s="50">
        <v>75</v>
      </c>
      <c r="D48" s="50">
        <v>12</v>
      </c>
      <c r="E48" s="50">
        <v>11</v>
      </c>
      <c r="F48" s="50">
        <v>85</v>
      </c>
      <c r="G48" s="50">
        <v>5</v>
      </c>
      <c r="H48" s="50">
        <v>0</v>
      </c>
      <c r="I48" s="50">
        <v>6</v>
      </c>
      <c r="J48" s="50">
        <v>7</v>
      </c>
      <c r="K48" s="50">
        <v>10</v>
      </c>
      <c r="L48" s="50">
        <v>5</v>
      </c>
      <c r="M48" s="50">
        <v>533</v>
      </c>
      <c r="N48" s="50">
        <v>0</v>
      </c>
      <c r="O48" s="15">
        <f t="shared" si="0"/>
        <v>216</v>
      </c>
      <c r="P48" s="15">
        <f t="shared" si="1"/>
        <v>749</v>
      </c>
      <c r="R48" s="8"/>
      <c r="T48"/>
    </row>
    <row r="49" spans="2:20" ht="23.1" customHeight="1" x14ac:dyDescent="0.25">
      <c r="B49" s="23" t="s">
        <v>76</v>
      </c>
      <c r="C49" s="50">
        <v>64</v>
      </c>
      <c r="D49" s="50">
        <v>7</v>
      </c>
      <c r="E49" s="50">
        <v>15</v>
      </c>
      <c r="F49" s="50">
        <v>125</v>
      </c>
      <c r="G49" s="50">
        <v>6</v>
      </c>
      <c r="H49" s="50">
        <v>1</v>
      </c>
      <c r="I49" s="50">
        <v>7</v>
      </c>
      <c r="J49" s="50">
        <v>8</v>
      </c>
      <c r="K49" s="50">
        <v>6</v>
      </c>
      <c r="L49" s="50">
        <v>0</v>
      </c>
      <c r="M49" s="50">
        <v>538</v>
      </c>
      <c r="N49" s="50">
        <v>0</v>
      </c>
      <c r="O49" s="15">
        <f t="shared" si="0"/>
        <v>239</v>
      </c>
      <c r="P49" s="15">
        <f t="shared" si="1"/>
        <v>777</v>
      </c>
      <c r="R49" s="8"/>
      <c r="T49"/>
    </row>
    <row r="50" spans="2:20" ht="23.1" customHeight="1" x14ac:dyDescent="0.25">
      <c r="B50" s="24" t="s">
        <v>77</v>
      </c>
      <c r="C50" s="50">
        <v>120</v>
      </c>
      <c r="D50" s="50">
        <v>21</v>
      </c>
      <c r="E50" s="50">
        <v>17</v>
      </c>
      <c r="F50" s="50">
        <v>110</v>
      </c>
      <c r="G50" s="50">
        <v>3</v>
      </c>
      <c r="H50" s="50">
        <v>0</v>
      </c>
      <c r="I50" s="50">
        <v>11</v>
      </c>
      <c r="J50" s="50">
        <v>8</v>
      </c>
      <c r="K50" s="50">
        <v>3</v>
      </c>
      <c r="L50" s="50">
        <v>2</v>
      </c>
      <c r="M50" s="50">
        <v>601</v>
      </c>
      <c r="N50" s="50">
        <v>0</v>
      </c>
      <c r="O50" s="15">
        <f t="shared" si="0"/>
        <v>295</v>
      </c>
      <c r="P50" s="15">
        <f t="shared" si="1"/>
        <v>896</v>
      </c>
      <c r="R50" s="8"/>
      <c r="T50"/>
    </row>
    <row r="51" spans="2:20" ht="23.1" customHeight="1" x14ac:dyDescent="0.25">
      <c r="B51" s="24" t="s">
        <v>78</v>
      </c>
      <c r="C51" s="50">
        <v>75</v>
      </c>
      <c r="D51" s="50">
        <v>10</v>
      </c>
      <c r="E51" s="50">
        <v>8</v>
      </c>
      <c r="F51" s="50">
        <v>115</v>
      </c>
      <c r="G51" s="50">
        <v>2</v>
      </c>
      <c r="H51" s="50">
        <v>0</v>
      </c>
      <c r="I51" s="50">
        <v>10</v>
      </c>
      <c r="J51" s="50">
        <v>11</v>
      </c>
      <c r="K51" s="50">
        <v>3</v>
      </c>
      <c r="L51" s="50">
        <v>4</v>
      </c>
      <c r="M51" s="50">
        <v>599</v>
      </c>
      <c r="N51" s="50">
        <v>0</v>
      </c>
      <c r="O51" s="15">
        <f t="shared" si="0"/>
        <v>238</v>
      </c>
      <c r="P51" s="15">
        <f t="shared" si="1"/>
        <v>837</v>
      </c>
      <c r="R51" s="8"/>
      <c r="T51"/>
    </row>
    <row r="52" spans="2:20" ht="23.1" customHeight="1" x14ac:dyDescent="0.25">
      <c r="B52" s="24" t="s">
        <v>79</v>
      </c>
      <c r="C52" s="50">
        <v>78</v>
      </c>
      <c r="D52" s="50">
        <v>13</v>
      </c>
      <c r="E52" s="50">
        <v>11</v>
      </c>
      <c r="F52" s="50">
        <v>105</v>
      </c>
      <c r="G52" s="50">
        <v>1</v>
      </c>
      <c r="H52" s="50">
        <v>0</v>
      </c>
      <c r="I52" s="50">
        <v>16</v>
      </c>
      <c r="J52" s="50">
        <v>9</v>
      </c>
      <c r="K52" s="50">
        <v>2</v>
      </c>
      <c r="L52" s="50">
        <v>4</v>
      </c>
      <c r="M52" s="50">
        <v>552</v>
      </c>
      <c r="N52" s="50">
        <v>0</v>
      </c>
      <c r="O52" s="15">
        <f t="shared" si="0"/>
        <v>239</v>
      </c>
      <c r="P52" s="15">
        <f t="shared" si="1"/>
        <v>791</v>
      </c>
      <c r="R52" s="8"/>
      <c r="T52"/>
    </row>
    <row r="53" spans="2:20" ht="23.1" customHeight="1" x14ac:dyDescent="0.25">
      <c r="B53" s="23" t="s">
        <v>80</v>
      </c>
      <c r="C53" s="50">
        <v>123</v>
      </c>
      <c r="D53" s="50">
        <v>8</v>
      </c>
      <c r="E53" s="50">
        <v>7</v>
      </c>
      <c r="F53" s="50">
        <v>110</v>
      </c>
      <c r="G53" s="50">
        <v>5</v>
      </c>
      <c r="H53" s="50">
        <v>0</v>
      </c>
      <c r="I53" s="50">
        <v>10</v>
      </c>
      <c r="J53" s="50">
        <v>3</v>
      </c>
      <c r="K53" s="50">
        <v>4</v>
      </c>
      <c r="L53" s="50">
        <v>9</v>
      </c>
      <c r="M53" s="50">
        <v>680</v>
      </c>
      <c r="N53" s="50">
        <v>1</v>
      </c>
      <c r="O53" s="15">
        <f t="shared" si="0"/>
        <v>280</v>
      </c>
      <c r="P53" s="15">
        <f t="shared" si="1"/>
        <v>960</v>
      </c>
      <c r="R53" s="8"/>
      <c r="T53"/>
    </row>
    <row r="54" spans="2:20" ht="23.1" customHeight="1" x14ac:dyDescent="0.25">
      <c r="B54" s="23" t="s">
        <v>81</v>
      </c>
      <c r="C54" s="50">
        <v>77</v>
      </c>
      <c r="D54" s="50">
        <v>7</v>
      </c>
      <c r="E54" s="50">
        <v>10</v>
      </c>
      <c r="F54" s="50">
        <v>140</v>
      </c>
      <c r="G54" s="50">
        <v>1</v>
      </c>
      <c r="H54" s="50">
        <v>0</v>
      </c>
      <c r="I54" s="50">
        <v>11</v>
      </c>
      <c r="J54" s="50">
        <v>15</v>
      </c>
      <c r="K54" s="50">
        <v>9</v>
      </c>
      <c r="L54" s="50">
        <v>12</v>
      </c>
      <c r="M54" s="50">
        <v>625</v>
      </c>
      <c r="N54" s="50">
        <v>1</v>
      </c>
      <c r="O54" s="15">
        <f t="shared" si="0"/>
        <v>283</v>
      </c>
      <c r="P54" s="15">
        <f t="shared" si="1"/>
        <v>908</v>
      </c>
      <c r="R54" s="8"/>
      <c r="T54"/>
    </row>
    <row r="55" spans="2:20" ht="23.1" customHeight="1" x14ac:dyDescent="0.25">
      <c r="B55" s="23" t="s">
        <v>82</v>
      </c>
      <c r="C55" s="50">
        <v>94</v>
      </c>
      <c r="D55" s="50">
        <v>9</v>
      </c>
      <c r="E55" s="50">
        <v>16</v>
      </c>
      <c r="F55" s="50">
        <v>110</v>
      </c>
      <c r="G55" s="50">
        <v>2</v>
      </c>
      <c r="H55" s="50">
        <v>0</v>
      </c>
      <c r="I55" s="50">
        <v>9</v>
      </c>
      <c r="J55" s="50">
        <v>8</v>
      </c>
      <c r="K55" s="50">
        <v>11</v>
      </c>
      <c r="L55" s="50">
        <v>5</v>
      </c>
      <c r="M55" s="50">
        <v>622</v>
      </c>
      <c r="N55" s="50">
        <v>0</v>
      </c>
      <c r="O55" s="15">
        <f t="shared" si="0"/>
        <v>264</v>
      </c>
      <c r="P55" s="15">
        <f t="shared" si="1"/>
        <v>886</v>
      </c>
      <c r="R55" s="8"/>
      <c r="T55"/>
    </row>
    <row r="56" spans="2:20" ht="23.1" customHeight="1" x14ac:dyDescent="0.25">
      <c r="B56" s="23" t="s">
        <v>83</v>
      </c>
      <c r="C56" s="50">
        <v>55</v>
      </c>
      <c r="D56" s="50">
        <v>7</v>
      </c>
      <c r="E56" s="50">
        <v>14</v>
      </c>
      <c r="F56" s="50">
        <v>80</v>
      </c>
      <c r="G56" s="50">
        <v>1</v>
      </c>
      <c r="H56" s="50">
        <v>0</v>
      </c>
      <c r="I56" s="50">
        <v>1</v>
      </c>
      <c r="J56" s="50">
        <v>25</v>
      </c>
      <c r="K56" s="50">
        <v>0</v>
      </c>
      <c r="L56" s="50">
        <v>2</v>
      </c>
      <c r="M56" s="50">
        <v>610</v>
      </c>
      <c r="N56" s="50">
        <v>0</v>
      </c>
      <c r="O56" s="15">
        <f t="shared" si="0"/>
        <v>185</v>
      </c>
      <c r="P56" s="15">
        <f t="shared" si="1"/>
        <v>795</v>
      </c>
      <c r="R56" s="8"/>
      <c r="T56"/>
    </row>
    <row r="57" spans="2:20" ht="23.1" customHeight="1" x14ac:dyDescent="0.25">
      <c r="B57" s="23" t="s">
        <v>84</v>
      </c>
      <c r="C57" s="50">
        <v>40</v>
      </c>
      <c r="D57" s="50">
        <v>5</v>
      </c>
      <c r="E57" s="50">
        <v>8</v>
      </c>
      <c r="F57" s="50">
        <v>60</v>
      </c>
      <c r="G57" s="50">
        <v>2</v>
      </c>
      <c r="H57" s="50">
        <v>0</v>
      </c>
      <c r="I57" s="50">
        <v>5</v>
      </c>
      <c r="J57" s="50">
        <v>5</v>
      </c>
      <c r="K57" s="50">
        <v>3</v>
      </c>
      <c r="L57" s="50">
        <v>6</v>
      </c>
      <c r="M57" s="50">
        <v>612</v>
      </c>
      <c r="N57" s="50">
        <v>0</v>
      </c>
      <c r="O57" s="15">
        <f t="shared" si="0"/>
        <v>134</v>
      </c>
      <c r="P57" s="15">
        <f t="shared" si="1"/>
        <v>746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3805</v>
      </c>
      <c r="D58" s="16">
        <f t="shared" si="21"/>
        <v>1017</v>
      </c>
      <c r="E58" s="16">
        <f t="shared" si="21"/>
        <v>754</v>
      </c>
      <c r="F58" s="16">
        <f t="shared" si="21"/>
        <v>5063</v>
      </c>
      <c r="G58" s="16">
        <f t="shared" si="21"/>
        <v>173</v>
      </c>
      <c r="H58" s="16">
        <f t="shared" si="21"/>
        <v>50</v>
      </c>
      <c r="I58" s="16">
        <f t="shared" si="21"/>
        <v>369</v>
      </c>
      <c r="J58" s="16">
        <f t="shared" si="21"/>
        <v>296</v>
      </c>
      <c r="K58" s="16">
        <f t="shared" si="21"/>
        <v>226</v>
      </c>
      <c r="L58" s="16">
        <f t="shared" si="21"/>
        <v>176</v>
      </c>
      <c r="M58" s="16">
        <f t="shared" si="21"/>
        <v>29287</v>
      </c>
      <c r="N58" s="16">
        <f t="shared" si="21"/>
        <v>12</v>
      </c>
      <c r="O58" s="16">
        <f t="shared" si="21"/>
        <v>12260</v>
      </c>
      <c r="P58" s="16">
        <f t="shared" si="21"/>
        <v>41228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9.2291646453866311E-2</v>
      </c>
      <c r="D59" s="43">
        <f t="shared" si="22"/>
        <v>2.4667701562045213E-2</v>
      </c>
      <c r="E59" s="43">
        <f t="shared" si="22"/>
        <v>1.8288541767730669E-2</v>
      </c>
      <c r="F59" s="43">
        <f t="shared" si="22"/>
        <v>0.12280488988066363</v>
      </c>
      <c r="G59" s="43">
        <f t="shared" si="22"/>
        <v>4.1961773551954986E-3</v>
      </c>
      <c r="H59" s="43">
        <f t="shared" si="22"/>
        <v>1.212768021732803E-3</v>
      </c>
      <c r="I59" s="43">
        <f t="shared" si="22"/>
        <v>8.9502280003880864E-3</v>
      </c>
      <c r="J59" s="43">
        <f t="shared" si="22"/>
        <v>7.1795866886581938E-3</v>
      </c>
      <c r="K59" s="43">
        <f t="shared" si="22"/>
        <v>5.4817114582322692E-3</v>
      </c>
      <c r="L59" s="43">
        <f t="shared" si="22"/>
        <v>4.2689434364994666E-3</v>
      </c>
      <c r="M59" s="43">
        <f t="shared" si="22"/>
        <v>0.71036674104977204</v>
      </c>
      <c r="N59" s="43">
        <f t="shared" si="22"/>
        <v>2.9106432521587268E-4</v>
      </c>
      <c r="R59" s="8"/>
      <c r="T59"/>
    </row>
    <row r="60" spans="2:20" ht="23.1" customHeight="1" x14ac:dyDescent="0.25">
      <c r="B60" s="42" t="s">
        <v>94</v>
      </c>
      <c r="C60" s="44">
        <f>C58/$O$58</f>
        <v>0.31035889070146822</v>
      </c>
      <c r="D60" s="44">
        <f t="shared" ref="D60:N60" si="23">D58/$O$58</f>
        <v>8.2952691680261009E-2</v>
      </c>
      <c r="E60" s="44">
        <f t="shared" si="23"/>
        <v>6.1500815660685153E-2</v>
      </c>
      <c r="F60" s="44">
        <f t="shared" si="23"/>
        <v>0.4129690048939641</v>
      </c>
      <c r="G60" s="44">
        <f t="shared" si="23"/>
        <v>1.4110929853181077E-2</v>
      </c>
      <c r="H60" s="44">
        <f t="shared" si="23"/>
        <v>4.0783034257748773E-3</v>
      </c>
      <c r="I60" s="44">
        <f t="shared" si="23"/>
        <v>3.0097879282218597E-2</v>
      </c>
      <c r="J60" s="44">
        <f t="shared" si="23"/>
        <v>2.4143556280587276E-2</v>
      </c>
      <c r="K60" s="44">
        <f t="shared" si="23"/>
        <v>1.8433931484502446E-2</v>
      </c>
      <c r="L60" s="44">
        <f t="shared" si="23"/>
        <v>1.435562805872757E-2</v>
      </c>
      <c r="M60" s="44"/>
      <c r="N60" s="44">
        <f t="shared" si="23"/>
        <v>9.7879282218597059E-4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0" t="str">
        <f>'01.08 Nsambya-ClockTower-24h'!G5:H5</f>
        <v>Gapco</v>
      </c>
      <c r="H5" s="61"/>
      <c r="I5" s="14"/>
      <c r="J5" s="2" t="s">
        <v>5</v>
      </c>
      <c r="K5" s="60" t="str">
        <f>'29.07 ClockTower-Nsambya'!K5:L5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ClockTower-Nsambya'!D6:E6</f>
        <v>Clock Tower</v>
      </c>
      <c r="E6" s="61"/>
      <c r="F6" s="2" t="s">
        <v>2</v>
      </c>
      <c r="G6" s="60" t="str">
        <f>'29.07 ClockTower-Nsambya'!G6:H6</f>
        <v>Nsambya</v>
      </c>
      <c r="H6" s="61"/>
      <c r="J6" s="2" t="s">
        <v>21</v>
      </c>
      <c r="K6" s="60" t="str">
        <f>'01.08 Nsambya-ClockTower-24h'!K6:L6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10</v>
      </c>
      <c r="D10" s="50">
        <v>7</v>
      </c>
      <c r="E10" s="50">
        <v>4</v>
      </c>
      <c r="F10" s="50">
        <v>72</v>
      </c>
      <c r="G10" s="50">
        <v>2</v>
      </c>
      <c r="H10" s="50">
        <v>0</v>
      </c>
      <c r="I10" s="50">
        <v>1</v>
      </c>
      <c r="J10" s="50">
        <v>2</v>
      </c>
      <c r="K10" s="50">
        <v>2</v>
      </c>
      <c r="L10" s="50">
        <v>3</v>
      </c>
      <c r="M10" s="50">
        <v>317</v>
      </c>
      <c r="N10" s="50">
        <v>0</v>
      </c>
      <c r="O10" s="15">
        <f t="shared" ref="O10:O73" si="0">SUM(C10:L10,N10)</f>
        <v>103</v>
      </c>
      <c r="P10" s="15">
        <f t="shared" ref="P10:P73" si="1">SUM(C10:N10)</f>
        <v>420</v>
      </c>
      <c r="R10" s="1" t="s">
        <v>6</v>
      </c>
      <c r="S10" s="17">
        <f t="shared" ref="S10:AF10" si="2">SUM(C10:C13)</f>
        <v>65</v>
      </c>
      <c r="T10" s="17">
        <f t="shared" si="2"/>
        <v>27</v>
      </c>
      <c r="U10" s="17">
        <f t="shared" si="2"/>
        <v>16</v>
      </c>
      <c r="V10" s="17">
        <f t="shared" si="2"/>
        <v>215</v>
      </c>
      <c r="W10" s="17">
        <f t="shared" si="2"/>
        <v>4</v>
      </c>
      <c r="X10" s="17">
        <f t="shared" si="2"/>
        <v>1</v>
      </c>
      <c r="Y10" s="17">
        <f t="shared" si="2"/>
        <v>8</v>
      </c>
      <c r="Z10" s="17">
        <f t="shared" si="2"/>
        <v>10</v>
      </c>
      <c r="AA10" s="17">
        <f t="shared" si="2"/>
        <v>8</v>
      </c>
      <c r="AB10" s="17">
        <f t="shared" si="2"/>
        <v>6</v>
      </c>
      <c r="AC10" s="17">
        <f t="shared" si="2"/>
        <v>1347</v>
      </c>
      <c r="AD10" s="17">
        <f t="shared" si="2"/>
        <v>0</v>
      </c>
      <c r="AE10" s="31">
        <f t="shared" si="2"/>
        <v>360</v>
      </c>
      <c r="AF10" s="31">
        <f t="shared" si="2"/>
        <v>1707</v>
      </c>
    </row>
    <row r="11" spans="2:32" s="6" customFormat="1" ht="23.1" customHeight="1" x14ac:dyDescent="0.25">
      <c r="B11" s="45" t="s">
        <v>38</v>
      </c>
      <c r="C11" s="50">
        <v>13</v>
      </c>
      <c r="D11" s="50">
        <v>8</v>
      </c>
      <c r="E11" s="50">
        <v>5</v>
      </c>
      <c r="F11" s="50">
        <v>47</v>
      </c>
      <c r="G11" s="50">
        <v>0</v>
      </c>
      <c r="H11" s="50">
        <v>0</v>
      </c>
      <c r="I11" s="50">
        <v>0</v>
      </c>
      <c r="J11" s="50">
        <v>1</v>
      </c>
      <c r="K11" s="50">
        <v>1</v>
      </c>
      <c r="L11" s="50">
        <v>0</v>
      </c>
      <c r="M11" s="50">
        <v>355</v>
      </c>
      <c r="N11" s="50">
        <v>0</v>
      </c>
      <c r="O11" s="15">
        <f t="shared" si="0"/>
        <v>75</v>
      </c>
      <c r="P11" s="15">
        <f t="shared" si="1"/>
        <v>430</v>
      </c>
      <c r="R11" s="1" t="s">
        <v>7</v>
      </c>
      <c r="S11" s="17">
        <f t="shared" ref="S11:AF11" si="3">SUM(C14:C17)</f>
        <v>112</v>
      </c>
      <c r="T11" s="17">
        <f t="shared" si="3"/>
        <v>44</v>
      </c>
      <c r="U11" s="17">
        <f t="shared" si="3"/>
        <v>21</v>
      </c>
      <c r="V11" s="17">
        <f t="shared" si="3"/>
        <v>233</v>
      </c>
      <c r="W11" s="17">
        <f t="shared" si="3"/>
        <v>5</v>
      </c>
      <c r="X11" s="17">
        <f t="shared" si="3"/>
        <v>0</v>
      </c>
      <c r="Y11" s="17">
        <f t="shared" si="3"/>
        <v>12</v>
      </c>
      <c r="Z11" s="17">
        <f t="shared" si="3"/>
        <v>12</v>
      </c>
      <c r="AA11" s="17">
        <f t="shared" si="3"/>
        <v>12</v>
      </c>
      <c r="AB11" s="17">
        <f t="shared" si="3"/>
        <v>5</v>
      </c>
      <c r="AC11" s="17">
        <f t="shared" si="3"/>
        <v>1388</v>
      </c>
      <c r="AD11" s="17">
        <f t="shared" si="3"/>
        <v>1</v>
      </c>
      <c r="AE11" s="31">
        <f t="shared" si="3"/>
        <v>457</v>
      </c>
      <c r="AF11" s="31">
        <f t="shared" si="3"/>
        <v>1845</v>
      </c>
    </row>
    <row r="12" spans="2:32" ht="23.1" customHeight="1" x14ac:dyDescent="0.25">
      <c r="B12" s="45" t="s">
        <v>39</v>
      </c>
      <c r="C12" s="50">
        <v>12</v>
      </c>
      <c r="D12" s="50">
        <v>5</v>
      </c>
      <c r="E12" s="50">
        <v>2</v>
      </c>
      <c r="F12" s="50">
        <v>49</v>
      </c>
      <c r="G12" s="50">
        <v>1</v>
      </c>
      <c r="H12" s="50">
        <v>0</v>
      </c>
      <c r="I12" s="50">
        <v>3</v>
      </c>
      <c r="J12" s="50">
        <v>3</v>
      </c>
      <c r="K12" s="50">
        <v>1</v>
      </c>
      <c r="L12" s="50">
        <v>1</v>
      </c>
      <c r="M12" s="50">
        <v>326</v>
      </c>
      <c r="N12" s="50">
        <v>0</v>
      </c>
      <c r="O12" s="15">
        <f t="shared" si="0"/>
        <v>77</v>
      </c>
      <c r="P12" s="15">
        <f t="shared" si="1"/>
        <v>403</v>
      </c>
      <c r="R12" s="1" t="s">
        <v>8</v>
      </c>
      <c r="S12" s="17">
        <f t="shared" ref="S12:AF12" si="4">SUM(C18:C21)</f>
        <v>101</v>
      </c>
      <c r="T12" s="17">
        <f t="shared" si="4"/>
        <v>56</v>
      </c>
      <c r="U12" s="17">
        <f t="shared" si="4"/>
        <v>16</v>
      </c>
      <c r="V12" s="17">
        <f t="shared" si="4"/>
        <v>126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20</v>
      </c>
      <c r="AA12" s="17">
        <f t="shared" si="4"/>
        <v>15</v>
      </c>
      <c r="AB12" s="17">
        <f t="shared" si="4"/>
        <v>8</v>
      </c>
      <c r="AC12" s="17">
        <f t="shared" si="4"/>
        <v>1635</v>
      </c>
      <c r="AD12" s="17">
        <f t="shared" si="4"/>
        <v>0</v>
      </c>
      <c r="AE12" s="31">
        <f t="shared" si="4"/>
        <v>351</v>
      </c>
      <c r="AF12" s="31">
        <f t="shared" si="4"/>
        <v>1986</v>
      </c>
    </row>
    <row r="13" spans="2:32" ht="23.1" customHeight="1" x14ac:dyDescent="0.25">
      <c r="B13" s="45" t="s">
        <v>40</v>
      </c>
      <c r="C13" s="50">
        <v>30</v>
      </c>
      <c r="D13" s="50">
        <v>7</v>
      </c>
      <c r="E13" s="50">
        <v>5</v>
      </c>
      <c r="F13" s="50">
        <v>47</v>
      </c>
      <c r="G13" s="50">
        <v>1</v>
      </c>
      <c r="H13" s="50">
        <v>1</v>
      </c>
      <c r="I13" s="50">
        <v>4</v>
      </c>
      <c r="J13" s="50">
        <v>4</v>
      </c>
      <c r="K13" s="50">
        <v>4</v>
      </c>
      <c r="L13" s="50">
        <v>2</v>
      </c>
      <c r="M13" s="50">
        <v>349</v>
      </c>
      <c r="N13" s="50">
        <v>0</v>
      </c>
      <c r="O13" s="15">
        <f t="shared" si="0"/>
        <v>105</v>
      </c>
      <c r="P13" s="15">
        <f t="shared" si="1"/>
        <v>454</v>
      </c>
      <c r="R13" s="1" t="s">
        <v>9</v>
      </c>
      <c r="S13" s="17">
        <f t="shared" ref="S13:AF13" si="5">SUM(C22:C25)</f>
        <v>90</v>
      </c>
      <c r="T13" s="17">
        <f t="shared" si="5"/>
        <v>55</v>
      </c>
      <c r="U13" s="17">
        <f t="shared" si="5"/>
        <v>43</v>
      </c>
      <c r="V13" s="17">
        <f t="shared" si="5"/>
        <v>150</v>
      </c>
      <c r="W13" s="17">
        <f t="shared" si="5"/>
        <v>1</v>
      </c>
      <c r="X13" s="17">
        <f t="shared" si="5"/>
        <v>0</v>
      </c>
      <c r="Y13" s="17">
        <f t="shared" si="5"/>
        <v>17</v>
      </c>
      <c r="Z13" s="17">
        <f t="shared" si="5"/>
        <v>16</v>
      </c>
      <c r="AA13" s="17">
        <f t="shared" si="5"/>
        <v>13</v>
      </c>
      <c r="AB13" s="17">
        <f t="shared" si="5"/>
        <v>10</v>
      </c>
      <c r="AC13" s="17">
        <f t="shared" si="5"/>
        <v>995</v>
      </c>
      <c r="AD13" s="17">
        <f t="shared" si="5"/>
        <v>0</v>
      </c>
      <c r="AE13" s="31">
        <f t="shared" si="5"/>
        <v>395</v>
      </c>
      <c r="AF13" s="31">
        <f t="shared" si="5"/>
        <v>1390</v>
      </c>
    </row>
    <row r="14" spans="2:32" ht="23.1" customHeight="1" x14ac:dyDescent="0.25">
      <c r="B14" s="45" t="s">
        <v>41</v>
      </c>
      <c r="C14" s="50">
        <v>18</v>
      </c>
      <c r="D14" s="50">
        <v>11</v>
      </c>
      <c r="E14" s="50">
        <v>3</v>
      </c>
      <c r="F14" s="50">
        <v>67</v>
      </c>
      <c r="G14" s="50">
        <v>1</v>
      </c>
      <c r="H14" s="50">
        <v>0</v>
      </c>
      <c r="I14" s="50">
        <v>5</v>
      </c>
      <c r="J14" s="50">
        <v>3</v>
      </c>
      <c r="K14" s="50">
        <v>6</v>
      </c>
      <c r="L14" s="50">
        <v>0</v>
      </c>
      <c r="M14" s="50">
        <v>321</v>
      </c>
      <c r="N14" s="50">
        <v>0</v>
      </c>
      <c r="O14" s="15">
        <f t="shared" si="0"/>
        <v>114</v>
      </c>
      <c r="P14" s="15">
        <f t="shared" si="1"/>
        <v>435</v>
      </c>
      <c r="R14" s="1" t="s">
        <v>10</v>
      </c>
      <c r="S14" s="17">
        <f t="shared" ref="S14:AF14" si="6">SUM(C26:C29)</f>
        <v>82</v>
      </c>
      <c r="T14" s="17">
        <f t="shared" si="6"/>
        <v>47</v>
      </c>
      <c r="U14" s="17">
        <f t="shared" si="6"/>
        <v>34</v>
      </c>
      <c r="V14" s="17">
        <f t="shared" si="6"/>
        <v>96</v>
      </c>
      <c r="W14" s="17">
        <f t="shared" si="6"/>
        <v>2</v>
      </c>
      <c r="X14" s="17">
        <f t="shared" si="6"/>
        <v>1</v>
      </c>
      <c r="Y14" s="17">
        <f t="shared" si="6"/>
        <v>7</v>
      </c>
      <c r="Z14" s="17">
        <f t="shared" si="6"/>
        <v>16</v>
      </c>
      <c r="AA14" s="17">
        <f t="shared" si="6"/>
        <v>13</v>
      </c>
      <c r="AB14" s="17">
        <f t="shared" si="6"/>
        <v>7</v>
      </c>
      <c r="AC14" s="17">
        <f t="shared" si="6"/>
        <v>1212</v>
      </c>
      <c r="AD14" s="17">
        <f t="shared" si="6"/>
        <v>0</v>
      </c>
      <c r="AE14" s="31">
        <f t="shared" si="6"/>
        <v>305</v>
      </c>
      <c r="AF14" s="31">
        <f t="shared" si="6"/>
        <v>1517</v>
      </c>
    </row>
    <row r="15" spans="2:32" ht="23.1" customHeight="1" x14ac:dyDescent="0.25">
      <c r="B15" s="45" t="s">
        <v>42</v>
      </c>
      <c r="C15" s="50">
        <v>35</v>
      </c>
      <c r="D15" s="50">
        <v>9</v>
      </c>
      <c r="E15" s="50">
        <v>4</v>
      </c>
      <c r="F15" s="50">
        <v>64</v>
      </c>
      <c r="G15" s="50">
        <v>0</v>
      </c>
      <c r="H15" s="50">
        <v>0</v>
      </c>
      <c r="I15" s="50">
        <v>0</v>
      </c>
      <c r="J15" s="50">
        <v>2</v>
      </c>
      <c r="K15" s="50">
        <v>2</v>
      </c>
      <c r="L15" s="50">
        <v>2</v>
      </c>
      <c r="M15" s="50">
        <v>387</v>
      </c>
      <c r="N15" s="50">
        <v>0</v>
      </c>
      <c r="O15" s="15">
        <f t="shared" si="0"/>
        <v>118</v>
      </c>
      <c r="P15" s="15">
        <f t="shared" si="1"/>
        <v>505</v>
      </c>
      <c r="R15" s="1" t="s">
        <v>11</v>
      </c>
      <c r="S15" s="17">
        <f t="shared" ref="S15:AF15" si="7">SUM(C30:C33)</f>
        <v>130</v>
      </c>
      <c r="T15" s="17">
        <f t="shared" si="7"/>
        <v>108</v>
      </c>
      <c r="U15" s="17">
        <f t="shared" si="7"/>
        <v>40</v>
      </c>
      <c r="V15" s="17">
        <f t="shared" si="7"/>
        <v>155</v>
      </c>
      <c r="W15" s="17">
        <f t="shared" si="7"/>
        <v>0</v>
      </c>
      <c r="X15" s="17">
        <f t="shared" si="7"/>
        <v>3</v>
      </c>
      <c r="Y15" s="17">
        <f t="shared" si="7"/>
        <v>22</v>
      </c>
      <c r="Z15" s="17">
        <f t="shared" si="7"/>
        <v>19</v>
      </c>
      <c r="AA15" s="17">
        <f t="shared" si="7"/>
        <v>12</v>
      </c>
      <c r="AB15" s="17">
        <f t="shared" si="7"/>
        <v>18</v>
      </c>
      <c r="AC15" s="17">
        <f t="shared" si="7"/>
        <v>1152</v>
      </c>
      <c r="AD15" s="17">
        <f t="shared" si="7"/>
        <v>0</v>
      </c>
      <c r="AE15" s="31">
        <f t="shared" si="7"/>
        <v>507</v>
      </c>
      <c r="AF15" s="31">
        <f t="shared" si="7"/>
        <v>1659</v>
      </c>
    </row>
    <row r="16" spans="2:32" ht="23.1" customHeight="1" x14ac:dyDescent="0.25">
      <c r="B16" s="45" t="s">
        <v>43</v>
      </c>
      <c r="C16" s="50">
        <v>25</v>
      </c>
      <c r="D16" s="50">
        <v>11</v>
      </c>
      <c r="E16" s="50">
        <v>6</v>
      </c>
      <c r="F16" s="50">
        <v>49</v>
      </c>
      <c r="G16" s="50">
        <v>2</v>
      </c>
      <c r="H16" s="50">
        <v>0</v>
      </c>
      <c r="I16" s="50">
        <v>5</v>
      </c>
      <c r="J16" s="50">
        <v>2</v>
      </c>
      <c r="K16" s="50">
        <v>2</v>
      </c>
      <c r="L16" s="50">
        <v>1</v>
      </c>
      <c r="M16" s="50">
        <v>360</v>
      </c>
      <c r="N16" s="50">
        <v>0</v>
      </c>
      <c r="O16" s="15">
        <f t="shared" si="0"/>
        <v>103</v>
      </c>
      <c r="P16" s="15">
        <f t="shared" si="1"/>
        <v>463</v>
      </c>
      <c r="R16" s="1" t="s">
        <v>12</v>
      </c>
      <c r="S16" s="17">
        <f t="shared" ref="S16:AF16" si="8">SUM(C34:C37)</f>
        <v>124</v>
      </c>
      <c r="T16" s="17">
        <f t="shared" si="8"/>
        <v>52</v>
      </c>
      <c r="U16" s="17">
        <f t="shared" si="8"/>
        <v>21</v>
      </c>
      <c r="V16" s="17">
        <f t="shared" si="8"/>
        <v>107</v>
      </c>
      <c r="W16" s="17">
        <f t="shared" si="8"/>
        <v>2</v>
      </c>
      <c r="X16" s="17">
        <f t="shared" si="8"/>
        <v>2</v>
      </c>
      <c r="Y16" s="17">
        <f t="shared" si="8"/>
        <v>22</v>
      </c>
      <c r="Z16" s="17">
        <f t="shared" si="8"/>
        <v>19</v>
      </c>
      <c r="AA16" s="17">
        <f t="shared" si="8"/>
        <v>17</v>
      </c>
      <c r="AB16" s="17">
        <f t="shared" si="8"/>
        <v>11</v>
      </c>
      <c r="AC16" s="17">
        <f t="shared" si="8"/>
        <v>1488</v>
      </c>
      <c r="AD16" s="17">
        <f t="shared" si="8"/>
        <v>0</v>
      </c>
      <c r="AE16" s="31">
        <f t="shared" si="8"/>
        <v>377</v>
      </c>
      <c r="AF16" s="31">
        <f t="shared" si="8"/>
        <v>1865</v>
      </c>
    </row>
    <row r="17" spans="2:32" ht="23.1" customHeight="1" x14ac:dyDescent="0.25">
      <c r="B17" s="45" t="s">
        <v>44</v>
      </c>
      <c r="C17" s="50">
        <v>34</v>
      </c>
      <c r="D17" s="50">
        <v>13</v>
      </c>
      <c r="E17" s="50">
        <v>8</v>
      </c>
      <c r="F17" s="50">
        <v>53</v>
      </c>
      <c r="G17" s="50">
        <v>2</v>
      </c>
      <c r="H17" s="50">
        <v>0</v>
      </c>
      <c r="I17" s="50">
        <v>2</v>
      </c>
      <c r="J17" s="50">
        <v>5</v>
      </c>
      <c r="K17" s="50">
        <v>2</v>
      </c>
      <c r="L17" s="50">
        <v>2</v>
      </c>
      <c r="M17" s="50">
        <v>320</v>
      </c>
      <c r="N17" s="50">
        <v>1</v>
      </c>
      <c r="O17" s="15">
        <f t="shared" si="0"/>
        <v>122</v>
      </c>
      <c r="P17" s="15">
        <f t="shared" si="1"/>
        <v>442</v>
      </c>
      <c r="R17" s="1" t="s">
        <v>13</v>
      </c>
      <c r="S17" s="17">
        <f t="shared" ref="S17:AF17" si="9">SUM(C38:C41)</f>
        <v>179</v>
      </c>
      <c r="T17" s="17">
        <f t="shared" si="9"/>
        <v>68</v>
      </c>
      <c r="U17" s="17">
        <f t="shared" si="9"/>
        <v>27</v>
      </c>
      <c r="V17" s="17">
        <f t="shared" si="9"/>
        <v>90</v>
      </c>
      <c r="W17" s="17">
        <f t="shared" si="9"/>
        <v>3</v>
      </c>
      <c r="X17" s="17">
        <f t="shared" si="9"/>
        <v>0</v>
      </c>
      <c r="Y17" s="17">
        <f t="shared" si="9"/>
        <v>20</v>
      </c>
      <c r="Z17" s="17">
        <f t="shared" si="9"/>
        <v>27</v>
      </c>
      <c r="AA17" s="17">
        <f t="shared" si="9"/>
        <v>11</v>
      </c>
      <c r="AB17" s="17">
        <f t="shared" si="9"/>
        <v>18</v>
      </c>
      <c r="AC17" s="17">
        <f t="shared" si="9"/>
        <v>1633</v>
      </c>
      <c r="AD17" s="17">
        <f t="shared" si="9"/>
        <v>1</v>
      </c>
      <c r="AE17" s="31">
        <f t="shared" si="9"/>
        <v>444</v>
      </c>
      <c r="AF17" s="31">
        <f t="shared" si="9"/>
        <v>2077</v>
      </c>
    </row>
    <row r="18" spans="2:32" ht="23.1" customHeight="1" x14ac:dyDescent="0.25">
      <c r="B18" s="45" t="s">
        <v>45</v>
      </c>
      <c r="C18" s="50">
        <v>30</v>
      </c>
      <c r="D18" s="50">
        <v>15</v>
      </c>
      <c r="E18" s="50">
        <v>3</v>
      </c>
      <c r="F18" s="50">
        <v>37</v>
      </c>
      <c r="G18" s="50">
        <v>0</v>
      </c>
      <c r="H18" s="50">
        <v>0</v>
      </c>
      <c r="I18" s="50">
        <v>2</v>
      </c>
      <c r="J18" s="50">
        <v>1</v>
      </c>
      <c r="K18" s="50">
        <v>3</v>
      </c>
      <c r="L18" s="50">
        <v>3</v>
      </c>
      <c r="M18" s="50">
        <v>401</v>
      </c>
      <c r="N18" s="50">
        <v>0</v>
      </c>
      <c r="O18" s="15">
        <f t="shared" si="0"/>
        <v>94</v>
      </c>
      <c r="P18" s="15">
        <f t="shared" si="1"/>
        <v>495</v>
      </c>
      <c r="R18" s="1" t="s">
        <v>14</v>
      </c>
      <c r="S18" s="17">
        <f t="shared" ref="S18:AF18" si="10">SUM(C42:C45)</f>
        <v>171</v>
      </c>
      <c r="T18" s="17">
        <f t="shared" si="10"/>
        <v>94</v>
      </c>
      <c r="U18" s="17">
        <f t="shared" si="10"/>
        <v>34</v>
      </c>
      <c r="V18" s="17">
        <f t="shared" si="10"/>
        <v>120</v>
      </c>
      <c r="W18" s="17">
        <f t="shared" si="10"/>
        <v>0</v>
      </c>
      <c r="X18" s="17">
        <f t="shared" si="10"/>
        <v>2</v>
      </c>
      <c r="Y18" s="17">
        <f t="shared" si="10"/>
        <v>24</v>
      </c>
      <c r="Z18" s="17">
        <f t="shared" si="10"/>
        <v>18</v>
      </c>
      <c r="AA18" s="17">
        <f t="shared" si="10"/>
        <v>6</v>
      </c>
      <c r="AB18" s="17">
        <f t="shared" si="10"/>
        <v>10</v>
      </c>
      <c r="AC18" s="17">
        <f t="shared" si="10"/>
        <v>1561</v>
      </c>
      <c r="AD18" s="17">
        <f t="shared" si="10"/>
        <v>0</v>
      </c>
      <c r="AE18" s="31">
        <f t="shared" si="10"/>
        <v>479</v>
      </c>
      <c r="AF18" s="31">
        <f t="shared" si="10"/>
        <v>2040</v>
      </c>
    </row>
    <row r="19" spans="2:32" ht="23.1" customHeight="1" x14ac:dyDescent="0.25">
      <c r="B19" s="45" t="s">
        <v>46</v>
      </c>
      <c r="C19" s="50">
        <v>30</v>
      </c>
      <c r="D19" s="50">
        <v>8</v>
      </c>
      <c r="E19" s="50">
        <v>4</v>
      </c>
      <c r="F19" s="50">
        <v>39</v>
      </c>
      <c r="G19" s="50">
        <v>0</v>
      </c>
      <c r="H19" s="50">
        <v>0</v>
      </c>
      <c r="I19" s="50">
        <v>3</v>
      </c>
      <c r="J19" s="50">
        <v>7</v>
      </c>
      <c r="K19" s="50">
        <v>4</v>
      </c>
      <c r="L19" s="50">
        <v>1</v>
      </c>
      <c r="M19" s="50">
        <v>552</v>
      </c>
      <c r="N19" s="50">
        <v>0</v>
      </c>
      <c r="O19" s="15">
        <f t="shared" si="0"/>
        <v>96</v>
      </c>
      <c r="P19" s="15">
        <f t="shared" si="1"/>
        <v>648</v>
      </c>
      <c r="R19" s="1" t="s">
        <v>15</v>
      </c>
      <c r="S19" s="17">
        <f t="shared" ref="S19:AF19" si="11">SUM(C46:C49)</f>
        <v>132</v>
      </c>
      <c r="T19" s="17">
        <f t="shared" si="11"/>
        <v>94</v>
      </c>
      <c r="U19" s="17">
        <f t="shared" si="11"/>
        <v>41</v>
      </c>
      <c r="V19" s="17">
        <f t="shared" si="11"/>
        <v>146</v>
      </c>
      <c r="W19" s="17">
        <f t="shared" si="11"/>
        <v>3</v>
      </c>
      <c r="X19" s="17">
        <f t="shared" si="11"/>
        <v>1</v>
      </c>
      <c r="Y19" s="17">
        <f t="shared" si="11"/>
        <v>23</v>
      </c>
      <c r="Z19" s="17">
        <f t="shared" si="11"/>
        <v>17</v>
      </c>
      <c r="AA19" s="17">
        <f t="shared" si="11"/>
        <v>18</v>
      </c>
      <c r="AB19" s="17">
        <f t="shared" si="11"/>
        <v>8</v>
      </c>
      <c r="AC19" s="17">
        <f t="shared" si="11"/>
        <v>1198</v>
      </c>
      <c r="AD19" s="17">
        <f t="shared" si="11"/>
        <v>1</v>
      </c>
      <c r="AE19" s="31">
        <f t="shared" si="11"/>
        <v>484</v>
      </c>
      <c r="AF19" s="31">
        <f t="shared" si="11"/>
        <v>1682</v>
      </c>
    </row>
    <row r="20" spans="2:32" ht="23.1" customHeight="1" x14ac:dyDescent="0.25">
      <c r="B20" s="45" t="s">
        <v>47</v>
      </c>
      <c r="C20" s="50">
        <v>18</v>
      </c>
      <c r="D20" s="50">
        <v>20</v>
      </c>
      <c r="E20" s="50">
        <v>6</v>
      </c>
      <c r="F20" s="50">
        <v>30</v>
      </c>
      <c r="G20" s="50">
        <v>0</v>
      </c>
      <c r="H20" s="50">
        <v>0</v>
      </c>
      <c r="I20" s="50">
        <v>1</v>
      </c>
      <c r="J20" s="50">
        <v>5</v>
      </c>
      <c r="K20" s="50">
        <v>3</v>
      </c>
      <c r="L20" s="50">
        <v>2</v>
      </c>
      <c r="M20" s="50">
        <v>353</v>
      </c>
      <c r="N20" s="50">
        <v>0</v>
      </c>
      <c r="O20" s="15">
        <f t="shared" si="0"/>
        <v>85</v>
      </c>
      <c r="P20" s="15">
        <f t="shared" si="1"/>
        <v>438</v>
      </c>
      <c r="R20" s="1" t="s">
        <v>16</v>
      </c>
      <c r="S20" s="17">
        <f t="shared" ref="S20:AF20" si="12">SUM(C50:C53)</f>
        <v>185</v>
      </c>
      <c r="T20" s="17">
        <f t="shared" si="12"/>
        <v>96</v>
      </c>
      <c r="U20" s="17">
        <f t="shared" si="12"/>
        <v>42</v>
      </c>
      <c r="V20" s="17">
        <f t="shared" si="12"/>
        <v>118</v>
      </c>
      <c r="W20" s="17">
        <f t="shared" si="12"/>
        <v>2</v>
      </c>
      <c r="X20" s="17">
        <f t="shared" si="12"/>
        <v>0</v>
      </c>
      <c r="Y20" s="17">
        <f t="shared" si="12"/>
        <v>11</v>
      </c>
      <c r="Z20" s="17">
        <f t="shared" si="12"/>
        <v>11</v>
      </c>
      <c r="AA20" s="17">
        <f t="shared" si="12"/>
        <v>9</v>
      </c>
      <c r="AB20" s="17">
        <f t="shared" si="12"/>
        <v>7</v>
      </c>
      <c r="AC20" s="17">
        <f t="shared" si="12"/>
        <v>1388</v>
      </c>
      <c r="AD20" s="17">
        <f t="shared" si="12"/>
        <v>0</v>
      </c>
      <c r="AE20" s="31">
        <f t="shared" si="12"/>
        <v>481</v>
      </c>
      <c r="AF20" s="31">
        <f t="shared" si="12"/>
        <v>1869</v>
      </c>
    </row>
    <row r="21" spans="2:32" ht="23.1" customHeight="1" x14ac:dyDescent="0.25">
      <c r="B21" s="45" t="s">
        <v>48</v>
      </c>
      <c r="C21" s="50">
        <v>23</v>
      </c>
      <c r="D21" s="50">
        <v>13</v>
      </c>
      <c r="E21" s="50">
        <v>3</v>
      </c>
      <c r="F21" s="50">
        <v>20</v>
      </c>
      <c r="G21" s="50">
        <v>0</v>
      </c>
      <c r="H21" s="50">
        <v>0</v>
      </c>
      <c r="I21" s="50">
        <v>3</v>
      </c>
      <c r="J21" s="50">
        <v>7</v>
      </c>
      <c r="K21" s="50">
        <v>5</v>
      </c>
      <c r="L21" s="50">
        <v>2</v>
      </c>
      <c r="M21" s="50">
        <v>329</v>
      </c>
      <c r="N21" s="50">
        <v>0</v>
      </c>
      <c r="O21" s="15">
        <f t="shared" si="0"/>
        <v>76</v>
      </c>
      <c r="P21" s="15">
        <f t="shared" si="1"/>
        <v>405</v>
      </c>
      <c r="R21" s="36" t="s">
        <v>20</v>
      </c>
      <c r="S21" s="34">
        <f t="shared" ref="S21:AF21" si="13">SUM(C54:C57)</f>
        <v>154</v>
      </c>
      <c r="T21" s="17">
        <f t="shared" si="13"/>
        <v>105</v>
      </c>
      <c r="U21" s="17">
        <f t="shared" si="13"/>
        <v>37</v>
      </c>
      <c r="V21" s="17">
        <f t="shared" si="13"/>
        <v>180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8</v>
      </c>
      <c r="AA21" s="17">
        <f t="shared" si="13"/>
        <v>4</v>
      </c>
      <c r="AB21" s="17">
        <f t="shared" si="13"/>
        <v>3</v>
      </c>
      <c r="AC21" s="17">
        <f t="shared" si="13"/>
        <v>1576</v>
      </c>
      <c r="AD21" s="17">
        <f t="shared" si="13"/>
        <v>0</v>
      </c>
      <c r="AE21" s="31">
        <f t="shared" si="13"/>
        <v>497</v>
      </c>
      <c r="AF21" s="31">
        <f t="shared" si="13"/>
        <v>2073</v>
      </c>
    </row>
    <row r="22" spans="2:32" ht="23.1" customHeight="1" x14ac:dyDescent="0.25">
      <c r="B22" s="45" t="s">
        <v>49</v>
      </c>
      <c r="C22" s="50">
        <v>20</v>
      </c>
      <c r="D22" s="50">
        <v>15</v>
      </c>
      <c r="E22" s="50">
        <v>11</v>
      </c>
      <c r="F22" s="50">
        <v>38</v>
      </c>
      <c r="G22" s="50">
        <v>0</v>
      </c>
      <c r="H22" s="50">
        <v>0</v>
      </c>
      <c r="I22" s="50">
        <v>1</v>
      </c>
      <c r="J22" s="50">
        <v>2</v>
      </c>
      <c r="K22" s="50">
        <v>4</v>
      </c>
      <c r="L22" s="50">
        <v>4</v>
      </c>
      <c r="M22" s="50">
        <v>350</v>
      </c>
      <c r="N22" s="50">
        <v>0</v>
      </c>
      <c r="O22" s="15">
        <f t="shared" si="0"/>
        <v>95</v>
      </c>
      <c r="P22" s="15">
        <f t="shared" si="1"/>
        <v>445</v>
      </c>
      <c r="R22" s="36" t="s">
        <v>146</v>
      </c>
      <c r="S22" s="34">
        <f>SUM(C58:C61)</f>
        <v>275</v>
      </c>
      <c r="T22" s="34">
        <f t="shared" ref="T22:AF22" si="14">SUM(D58:D61)</f>
        <v>96</v>
      </c>
      <c r="U22" s="34">
        <f t="shared" si="14"/>
        <v>24</v>
      </c>
      <c r="V22" s="34">
        <f t="shared" si="14"/>
        <v>142</v>
      </c>
      <c r="W22" s="34">
        <f t="shared" si="14"/>
        <v>0</v>
      </c>
      <c r="X22" s="34">
        <f t="shared" si="14"/>
        <v>0</v>
      </c>
      <c r="Y22" s="34">
        <f t="shared" si="14"/>
        <v>10</v>
      </c>
      <c r="Z22" s="34">
        <f t="shared" si="14"/>
        <v>5</v>
      </c>
      <c r="AA22" s="34">
        <f t="shared" si="14"/>
        <v>2</v>
      </c>
      <c r="AB22" s="34">
        <f t="shared" si="14"/>
        <v>4</v>
      </c>
      <c r="AC22" s="34">
        <f t="shared" si="14"/>
        <v>1298</v>
      </c>
      <c r="AD22" s="34">
        <f t="shared" si="14"/>
        <v>0</v>
      </c>
      <c r="AE22" s="31">
        <f t="shared" si="14"/>
        <v>558</v>
      </c>
      <c r="AF22" s="31">
        <f t="shared" si="14"/>
        <v>1856</v>
      </c>
    </row>
    <row r="23" spans="2:32" ht="23.1" customHeight="1" x14ac:dyDescent="0.25">
      <c r="B23" s="45" t="s">
        <v>50</v>
      </c>
      <c r="C23" s="50">
        <v>30</v>
      </c>
      <c r="D23" s="50">
        <v>10</v>
      </c>
      <c r="E23" s="50">
        <v>6</v>
      </c>
      <c r="F23" s="50">
        <v>22</v>
      </c>
      <c r="G23" s="50">
        <v>1</v>
      </c>
      <c r="H23" s="50">
        <v>0</v>
      </c>
      <c r="I23" s="50">
        <v>6</v>
      </c>
      <c r="J23" s="50">
        <v>3</v>
      </c>
      <c r="K23" s="50">
        <v>2</v>
      </c>
      <c r="L23" s="50">
        <v>3</v>
      </c>
      <c r="M23" s="50">
        <v>211</v>
      </c>
      <c r="N23" s="50">
        <v>0</v>
      </c>
      <c r="O23" s="15">
        <f t="shared" si="0"/>
        <v>83</v>
      </c>
      <c r="P23" s="15">
        <f t="shared" si="1"/>
        <v>294</v>
      </c>
      <c r="R23" s="36" t="s">
        <v>147</v>
      </c>
      <c r="S23" s="34">
        <f>SUM(C62:C65)</f>
        <v>203</v>
      </c>
      <c r="T23" s="34">
        <f t="shared" ref="T23:AF23" si="15">SUM(D62:D65)</f>
        <v>55</v>
      </c>
      <c r="U23" s="34">
        <f t="shared" si="15"/>
        <v>45</v>
      </c>
      <c r="V23" s="34">
        <f t="shared" si="15"/>
        <v>160</v>
      </c>
      <c r="W23" s="34">
        <f t="shared" si="15"/>
        <v>1</v>
      </c>
      <c r="X23" s="34">
        <f t="shared" si="15"/>
        <v>1</v>
      </c>
      <c r="Y23" s="34">
        <f t="shared" si="15"/>
        <v>19</v>
      </c>
      <c r="Z23" s="34">
        <f t="shared" si="15"/>
        <v>4</v>
      </c>
      <c r="AA23" s="34">
        <f t="shared" si="15"/>
        <v>2</v>
      </c>
      <c r="AB23" s="34">
        <f t="shared" si="15"/>
        <v>5</v>
      </c>
      <c r="AC23" s="34">
        <f t="shared" si="15"/>
        <v>1020</v>
      </c>
      <c r="AD23" s="34">
        <f t="shared" si="15"/>
        <v>1</v>
      </c>
      <c r="AE23" s="31">
        <f t="shared" si="15"/>
        <v>496</v>
      </c>
      <c r="AF23" s="31">
        <f t="shared" si="15"/>
        <v>1516</v>
      </c>
    </row>
    <row r="24" spans="2:32" ht="23.1" customHeight="1" x14ac:dyDescent="0.25">
      <c r="B24" s="45" t="s">
        <v>51</v>
      </c>
      <c r="C24" s="50">
        <v>24</v>
      </c>
      <c r="D24" s="50">
        <v>20</v>
      </c>
      <c r="E24" s="50">
        <v>16</v>
      </c>
      <c r="F24" s="50">
        <v>34</v>
      </c>
      <c r="G24" s="50">
        <v>0</v>
      </c>
      <c r="H24" s="50">
        <v>0</v>
      </c>
      <c r="I24" s="50">
        <v>4</v>
      </c>
      <c r="J24" s="50">
        <v>6</v>
      </c>
      <c r="K24" s="50">
        <v>4</v>
      </c>
      <c r="L24" s="50">
        <v>0</v>
      </c>
      <c r="M24" s="50">
        <v>234</v>
      </c>
      <c r="N24" s="50">
        <v>0</v>
      </c>
      <c r="O24" s="15">
        <f t="shared" si="0"/>
        <v>108</v>
      </c>
      <c r="P24" s="15">
        <f t="shared" si="1"/>
        <v>342</v>
      </c>
      <c r="R24" s="36" t="s">
        <v>148</v>
      </c>
      <c r="S24" s="34">
        <f>SUM(C66:C69)</f>
        <v>190</v>
      </c>
      <c r="T24" s="34">
        <f t="shared" ref="T24:AF24" si="16">SUM(D66:D69)</f>
        <v>32</v>
      </c>
      <c r="U24" s="34">
        <f t="shared" si="16"/>
        <v>9</v>
      </c>
      <c r="V24" s="34">
        <f t="shared" si="16"/>
        <v>177</v>
      </c>
      <c r="W24" s="34">
        <f t="shared" si="16"/>
        <v>1</v>
      </c>
      <c r="X24" s="34">
        <f t="shared" si="16"/>
        <v>0</v>
      </c>
      <c r="Y24" s="34">
        <f t="shared" si="16"/>
        <v>22</v>
      </c>
      <c r="Z24" s="34">
        <f t="shared" si="16"/>
        <v>6</v>
      </c>
      <c r="AA24" s="34">
        <f t="shared" si="16"/>
        <v>6</v>
      </c>
      <c r="AB24" s="34">
        <f t="shared" si="16"/>
        <v>9</v>
      </c>
      <c r="AC24" s="34">
        <f t="shared" si="16"/>
        <v>918</v>
      </c>
      <c r="AD24" s="34">
        <f t="shared" si="16"/>
        <v>0</v>
      </c>
      <c r="AE24" s="31">
        <f t="shared" si="16"/>
        <v>452</v>
      </c>
      <c r="AF24" s="31">
        <f t="shared" si="16"/>
        <v>1370</v>
      </c>
    </row>
    <row r="25" spans="2:32" ht="23.1" customHeight="1" x14ac:dyDescent="0.25">
      <c r="B25" s="45" t="s">
        <v>52</v>
      </c>
      <c r="C25" s="50">
        <v>16</v>
      </c>
      <c r="D25" s="50">
        <v>10</v>
      </c>
      <c r="E25" s="50">
        <v>10</v>
      </c>
      <c r="F25" s="50">
        <v>56</v>
      </c>
      <c r="G25" s="50">
        <v>0</v>
      </c>
      <c r="H25" s="50">
        <v>0</v>
      </c>
      <c r="I25" s="50">
        <v>6</v>
      </c>
      <c r="J25" s="50">
        <v>5</v>
      </c>
      <c r="K25" s="50">
        <v>3</v>
      </c>
      <c r="L25" s="50">
        <v>3</v>
      </c>
      <c r="M25" s="50">
        <v>200</v>
      </c>
      <c r="N25" s="50">
        <v>0</v>
      </c>
      <c r="O25" s="15">
        <f t="shared" si="0"/>
        <v>109</v>
      </c>
      <c r="P25" s="15">
        <f t="shared" si="1"/>
        <v>309</v>
      </c>
      <c r="R25" s="36" t="s">
        <v>149</v>
      </c>
      <c r="S25" s="34">
        <f>SUM(C70:C73)</f>
        <v>180</v>
      </c>
      <c r="T25" s="34">
        <f t="shared" ref="T25:AF25" si="17">SUM(D70:D73)</f>
        <v>9</v>
      </c>
      <c r="U25" s="34">
        <f t="shared" si="17"/>
        <v>13</v>
      </c>
      <c r="V25" s="34">
        <f t="shared" si="17"/>
        <v>49</v>
      </c>
      <c r="W25" s="34">
        <f t="shared" si="17"/>
        <v>0</v>
      </c>
      <c r="X25" s="34">
        <f t="shared" si="17"/>
        <v>1</v>
      </c>
      <c r="Y25" s="34">
        <f t="shared" si="17"/>
        <v>4</v>
      </c>
      <c r="Z25" s="34">
        <f t="shared" si="17"/>
        <v>2</v>
      </c>
      <c r="AA25" s="34">
        <f t="shared" si="17"/>
        <v>2</v>
      </c>
      <c r="AB25" s="34">
        <f t="shared" si="17"/>
        <v>1</v>
      </c>
      <c r="AC25" s="34">
        <f t="shared" si="17"/>
        <v>591</v>
      </c>
      <c r="AD25" s="34">
        <f t="shared" si="17"/>
        <v>0</v>
      </c>
      <c r="AE25" s="31">
        <f t="shared" si="17"/>
        <v>261</v>
      </c>
      <c r="AF25" s="31">
        <f t="shared" si="17"/>
        <v>852</v>
      </c>
    </row>
    <row r="26" spans="2:32" ht="23.1" customHeight="1" x14ac:dyDescent="0.25">
      <c r="B26" s="45" t="s">
        <v>53</v>
      </c>
      <c r="C26" s="50">
        <v>12</v>
      </c>
      <c r="D26" s="50">
        <v>15</v>
      </c>
      <c r="E26" s="50">
        <v>8</v>
      </c>
      <c r="F26" s="50">
        <v>25</v>
      </c>
      <c r="G26" s="50">
        <v>0</v>
      </c>
      <c r="H26" s="50">
        <v>0</v>
      </c>
      <c r="I26" s="50">
        <v>1</v>
      </c>
      <c r="J26" s="50">
        <v>10</v>
      </c>
      <c r="K26" s="50">
        <v>4</v>
      </c>
      <c r="L26" s="50">
        <v>2</v>
      </c>
      <c r="M26" s="50">
        <v>306</v>
      </c>
      <c r="N26" s="50">
        <v>0</v>
      </c>
      <c r="O26" s="15">
        <f t="shared" si="0"/>
        <v>77</v>
      </c>
      <c r="P26" s="15">
        <f t="shared" si="1"/>
        <v>383</v>
      </c>
      <c r="R26" s="36" t="s">
        <v>150</v>
      </c>
      <c r="S26" s="34">
        <f>SUM(C74:C77)</f>
        <v>175</v>
      </c>
      <c r="T26" s="34">
        <f t="shared" ref="T26:AF26" si="18">SUM(D74:D77)</f>
        <v>38</v>
      </c>
      <c r="U26" s="34">
        <f t="shared" si="18"/>
        <v>11</v>
      </c>
      <c r="V26" s="34">
        <f t="shared" si="18"/>
        <v>64</v>
      </c>
      <c r="W26" s="34">
        <f t="shared" si="18"/>
        <v>0</v>
      </c>
      <c r="X26" s="34">
        <f t="shared" si="18"/>
        <v>0</v>
      </c>
      <c r="Y26" s="34">
        <f t="shared" si="18"/>
        <v>11</v>
      </c>
      <c r="Z26" s="34">
        <f t="shared" si="18"/>
        <v>0</v>
      </c>
      <c r="AA26" s="34">
        <f t="shared" si="18"/>
        <v>11</v>
      </c>
      <c r="AB26" s="34">
        <f t="shared" si="18"/>
        <v>4</v>
      </c>
      <c r="AC26" s="34">
        <f t="shared" si="18"/>
        <v>306</v>
      </c>
      <c r="AD26" s="34">
        <f t="shared" si="18"/>
        <v>0</v>
      </c>
      <c r="AE26" s="31">
        <f t="shared" si="18"/>
        <v>314</v>
      </c>
      <c r="AF26" s="31">
        <f t="shared" si="18"/>
        <v>620</v>
      </c>
    </row>
    <row r="27" spans="2:32" ht="23.1" customHeight="1" x14ac:dyDescent="0.25">
      <c r="B27" s="45" t="s">
        <v>54</v>
      </c>
      <c r="C27" s="50">
        <v>11</v>
      </c>
      <c r="D27" s="50">
        <v>4</v>
      </c>
      <c r="E27" s="50">
        <v>5</v>
      </c>
      <c r="F27" s="50">
        <v>25</v>
      </c>
      <c r="G27" s="50">
        <v>0</v>
      </c>
      <c r="H27" s="50">
        <v>0</v>
      </c>
      <c r="I27" s="50">
        <v>0</v>
      </c>
      <c r="J27" s="50">
        <v>2</v>
      </c>
      <c r="K27" s="50">
        <v>2</v>
      </c>
      <c r="L27" s="50">
        <v>2</v>
      </c>
      <c r="M27" s="50">
        <v>327</v>
      </c>
      <c r="N27" s="50">
        <v>0</v>
      </c>
      <c r="O27" s="15">
        <f t="shared" si="0"/>
        <v>51</v>
      </c>
      <c r="P27" s="15">
        <f t="shared" si="1"/>
        <v>378</v>
      </c>
      <c r="R27" s="36" t="s">
        <v>151</v>
      </c>
      <c r="S27" s="34">
        <f>SUM(C78:C81)</f>
        <v>72</v>
      </c>
      <c r="T27" s="34">
        <f t="shared" ref="T27:AF27" si="19">SUM(D78:D81)</f>
        <v>75</v>
      </c>
      <c r="U27" s="34">
        <f t="shared" si="19"/>
        <v>8</v>
      </c>
      <c r="V27" s="34">
        <f t="shared" si="19"/>
        <v>32</v>
      </c>
      <c r="W27" s="34">
        <f t="shared" si="19"/>
        <v>1</v>
      </c>
      <c r="X27" s="34">
        <f t="shared" si="19"/>
        <v>0</v>
      </c>
      <c r="Y27" s="34">
        <f t="shared" si="19"/>
        <v>13</v>
      </c>
      <c r="Z27" s="34">
        <f t="shared" si="19"/>
        <v>2</v>
      </c>
      <c r="AA27" s="34">
        <f t="shared" si="19"/>
        <v>9</v>
      </c>
      <c r="AB27" s="34">
        <f t="shared" si="19"/>
        <v>5</v>
      </c>
      <c r="AC27" s="34">
        <f t="shared" si="19"/>
        <v>207</v>
      </c>
      <c r="AD27" s="34">
        <f t="shared" si="19"/>
        <v>0</v>
      </c>
      <c r="AE27" s="31">
        <f t="shared" si="19"/>
        <v>217</v>
      </c>
      <c r="AF27" s="31">
        <f t="shared" si="19"/>
        <v>424</v>
      </c>
    </row>
    <row r="28" spans="2:32" ht="23.1" customHeight="1" x14ac:dyDescent="0.25">
      <c r="B28" s="45" t="s">
        <v>55</v>
      </c>
      <c r="C28" s="50">
        <v>32</v>
      </c>
      <c r="D28" s="50">
        <v>16</v>
      </c>
      <c r="E28" s="50">
        <v>8</v>
      </c>
      <c r="F28" s="50">
        <v>25</v>
      </c>
      <c r="G28" s="50">
        <v>1</v>
      </c>
      <c r="H28" s="50">
        <v>0</v>
      </c>
      <c r="I28" s="50">
        <v>5</v>
      </c>
      <c r="J28" s="50">
        <v>4</v>
      </c>
      <c r="K28" s="50">
        <v>3</v>
      </c>
      <c r="L28" s="50">
        <v>2</v>
      </c>
      <c r="M28" s="50">
        <v>269</v>
      </c>
      <c r="N28" s="50">
        <v>0</v>
      </c>
      <c r="O28" s="15">
        <f t="shared" si="0"/>
        <v>96</v>
      </c>
      <c r="P28" s="15">
        <f t="shared" si="1"/>
        <v>365</v>
      </c>
      <c r="R28" s="36" t="s">
        <v>152</v>
      </c>
      <c r="S28" s="34">
        <f>SUM(C82:C85)</f>
        <v>67</v>
      </c>
      <c r="T28" s="34">
        <f t="shared" ref="T28:AF28" si="20">SUM(D82:D85)</f>
        <v>2</v>
      </c>
      <c r="U28" s="34">
        <f t="shared" si="20"/>
        <v>2</v>
      </c>
      <c r="V28" s="34">
        <f t="shared" si="20"/>
        <v>10</v>
      </c>
      <c r="W28" s="34">
        <f t="shared" si="20"/>
        <v>0</v>
      </c>
      <c r="X28" s="34">
        <f t="shared" si="20"/>
        <v>0</v>
      </c>
      <c r="Y28" s="34">
        <f t="shared" si="20"/>
        <v>8</v>
      </c>
      <c r="Z28" s="34">
        <f t="shared" si="20"/>
        <v>4</v>
      </c>
      <c r="AA28" s="34">
        <f t="shared" si="20"/>
        <v>8</v>
      </c>
      <c r="AB28" s="34">
        <f t="shared" si="20"/>
        <v>4</v>
      </c>
      <c r="AC28" s="34">
        <f t="shared" si="20"/>
        <v>86</v>
      </c>
      <c r="AD28" s="34">
        <f t="shared" si="20"/>
        <v>0</v>
      </c>
      <c r="AE28" s="31">
        <f t="shared" si="20"/>
        <v>105</v>
      </c>
      <c r="AF28" s="31">
        <f t="shared" si="20"/>
        <v>191</v>
      </c>
    </row>
    <row r="29" spans="2:32" ht="23.1" customHeight="1" x14ac:dyDescent="0.25">
      <c r="B29" s="45" t="s">
        <v>56</v>
      </c>
      <c r="C29" s="50">
        <v>27</v>
      </c>
      <c r="D29" s="50">
        <v>12</v>
      </c>
      <c r="E29" s="50">
        <v>13</v>
      </c>
      <c r="F29" s="50">
        <v>21</v>
      </c>
      <c r="G29" s="50">
        <v>1</v>
      </c>
      <c r="H29" s="50">
        <v>1</v>
      </c>
      <c r="I29" s="50">
        <v>1</v>
      </c>
      <c r="J29" s="50">
        <v>0</v>
      </c>
      <c r="K29" s="50">
        <v>4</v>
      </c>
      <c r="L29" s="50">
        <v>1</v>
      </c>
      <c r="M29" s="50">
        <v>310</v>
      </c>
      <c r="N29" s="50">
        <v>0</v>
      </c>
      <c r="O29" s="15">
        <f t="shared" si="0"/>
        <v>81</v>
      </c>
      <c r="P29" s="15">
        <f t="shared" si="1"/>
        <v>391</v>
      </c>
      <c r="R29" s="36" t="s">
        <v>153</v>
      </c>
      <c r="S29" s="34">
        <f>SUM(C86:C89)</f>
        <v>44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2</v>
      </c>
      <c r="AA29" s="34">
        <f t="shared" si="21"/>
        <v>2</v>
      </c>
      <c r="AB29" s="34">
        <f t="shared" si="21"/>
        <v>1</v>
      </c>
      <c r="AC29" s="34">
        <f t="shared" si="21"/>
        <v>20</v>
      </c>
      <c r="AD29" s="34">
        <f t="shared" si="21"/>
        <v>0</v>
      </c>
      <c r="AE29" s="31">
        <f t="shared" si="21"/>
        <v>56</v>
      </c>
      <c r="AF29" s="31">
        <f t="shared" si="21"/>
        <v>76</v>
      </c>
    </row>
    <row r="30" spans="2:32" ht="23.1" customHeight="1" x14ac:dyDescent="0.25">
      <c r="B30" s="45" t="s">
        <v>57</v>
      </c>
      <c r="C30" s="50">
        <v>40</v>
      </c>
      <c r="D30" s="50">
        <v>30</v>
      </c>
      <c r="E30" s="50">
        <v>7</v>
      </c>
      <c r="F30" s="50">
        <v>45</v>
      </c>
      <c r="G30" s="50">
        <v>0</v>
      </c>
      <c r="H30" s="50">
        <v>1</v>
      </c>
      <c r="I30" s="50">
        <v>9</v>
      </c>
      <c r="J30" s="50">
        <v>6</v>
      </c>
      <c r="K30" s="50">
        <v>5</v>
      </c>
      <c r="L30" s="50">
        <v>5</v>
      </c>
      <c r="M30" s="50">
        <v>176</v>
      </c>
      <c r="N30" s="50">
        <v>0</v>
      </c>
      <c r="O30" s="15">
        <f t="shared" si="0"/>
        <v>148</v>
      </c>
      <c r="P30" s="15">
        <f t="shared" si="1"/>
        <v>324</v>
      </c>
      <c r="R30" s="36" t="s">
        <v>154</v>
      </c>
      <c r="S30" s="34">
        <f>SUM(C90:C93)</f>
        <v>32</v>
      </c>
      <c r="T30" s="34">
        <f t="shared" ref="T30:AF30" si="22">SUM(D90:D93)</f>
        <v>4</v>
      </c>
      <c r="U30" s="34">
        <f t="shared" si="22"/>
        <v>4</v>
      </c>
      <c r="V30" s="34">
        <f t="shared" si="22"/>
        <v>6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20</v>
      </c>
      <c r="AD30" s="34">
        <f t="shared" si="22"/>
        <v>0</v>
      </c>
      <c r="AE30" s="31">
        <f t="shared" si="22"/>
        <v>50</v>
      </c>
      <c r="AF30" s="31">
        <f t="shared" si="22"/>
        <v>70</v>
      </c>
    </row>
    <row r="31" spans="2:32" ht="23.1" customHeight="1" x14ac:dyDescent="0.25">
      <c r="B31" s="46" t="s">
        <v>58</v>
      </c>
      <c r="C31" s="50">
        <v>35</v>
      </c>
      <c r="D31" s="50">
        <v>30</v>
      </c>
      <c r="E31" s="50">
        <v>8</v>
      </c>
      <c r="F31" s="50">
        <v>47</v>
      </c>
      <c r="G31" s="50">
        <v>0</v>
      </c>
      <c r="H31" s="50">
        <v>1</v>
      </c>
      <c r="I31" s="50">
        <v>2</v>
      </c>
      <c r="J31" s="50">
        <v>0</v>
      </c>
      <c r="K31" s="50">
        <v>1</v>
      </c>
      <c r="L31" s="50">
        <v>3</v>
      </c>
      <c r="M31" s="50">
        <v>253</v>
      </c>
      <c r="N31" s="50">
        <v>0</v>
      </c>
      <c r="O31" s="15">
        <f t="shared" si="0"/>
        <v>127</v>
      </c>
      <c r="P31" s="15">
        <f t="shared" si="1"/>
        <v>380</v>
      </c>
      <c r="R31" s="36" t="s">
        <v>155</v>
      </c>
      <c r="S31" s="34">
        <f>SUM(C94:C97)</f>
        <v>33</v>
      </c>
      <c r="T31" s="34">
        <f t="shared" ref="T31:AF31" si="23">SUM(D94:D97)</f>
        <v>4</v>
      </c>
      <c r="U31" s="34">
        <f t="shared" si="23"/>
        <v>2</v>
      </c>
      <c r="V31" s="34">
        <f t="shared" si="23"/>
        <v>12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4</v>
      </c>
      <c r="AA31" s="34">
        <f t="shared" si="23"/>
        <v>0</v>
      </c>
      <c r="AB31" s="34">
        <f t="shared" si="23"/>
        <v>0</v>
      </c>
      <c r="AC31" s="34">
        <f t="shared" si="23"/>
        <v>59</v>
      </c>
      <c r="AD31" s="34">
        <f t="shared" si="23"/>
        <v>0</v>
      </c>
      <c r="AE31" s="31">
        <f t="shared" si="23"/>
        <v>59</v>
      </c>
      <c r="AF31" s="31">
        <f t="shared" si="23"/>
        <v>118</v>
      </c>
    </row>
    <row r="32" spans="2:32" ht="23.1" customHeight="1" x14ac:dyDescent="0.25">
      <c r="B32" s="46" t="s">
        <v>59</v>
      </c>
      <c r="C32" s="50">
        <v>29</v>
      </c>
      <c r="D32" s="50">
        <v>25</v>
      </c>
      <c r="E32" s="50">
        <v>15</v>
      </c>
      <c r="F32" s="50">
        <v>23</v>
      </c>
      <c r="G32" s="50">
        <v>0</v>
      </c>
      <c r="H32" s="50">
        <v>0</v>
      </c>
      <c r="I32" s="50">
        <v>4</v>
      </c>
      <c r="J32" s="50">
        <v>8</v>
      </c>
      <c r="K32" s="50">
        <v>2</v>
      </c>
      <c r="L32" s="50">
        <v>3</v>
      </c>
      <c r="M32" s="50">
        <v>323</v>
      </c>
      <c r="N32" s="50">
        <v>0</v>
      </c>
      <c r="O32" s="15">
        <f t="shared" si="0"/>
        <v>109</v>
      </c>
      <c r="P32" s="15">
        <f t="shared" si="1"/>
        <v>432</v>
      </c>
      <c r="R32" s="33" t="s">
        <v>156</v>
      </c>
      <c r="S32" s="34">
        <f>SUM(C98:C101)</f>
        <v>44</v>
      </c>
      <c r="T32" s="34">
        <f t="shared" ref="T32:AF32" si="24">SUM(D98:D101)</f>
        <v>3</v>
      </c>
      <c r="U32" s="34">
        <f t="shared" si="24"/>
        <v>10</v>
      </c>
      <c r="V32" s="34">
        <f t="shared" si="24"/>
        <v>19</v>
      </c>
      <c r="W32" s="34">
        <f t="shared" si="24"/>
        <v>0</v>
      </c>
      <c r="X32" s="34">
        <f t="shared" si="24"/>
        <v>0</v>
      </c>
      <c r="Y32" s="34">
        <f t="shared" si="24"/>
        <v>16</v>
      </c>
      <c r="Z32" s="34">
        <f t="shared" si="24"/>
        <v>2</v>
      </c>
      <c r="AA32" s="34">
        <f t="shared" si="24"/>
        <v>2</v>
      </c>
      <c r="AB32" s="34">
        <f t="shared" si="24"/>
        <v>1</v>
      </c>
      <c r="AC32" s="34">
        <f t="shared" si="24"/>
        <v>127</v>
      </c>
      <c r="AD32" s="34">
        <f t="shared" si="24"/>
        <v>0</v>
      </c>
      <c r="AE32" s="31">
        <f t="shared" si="24"/>
        <v>97</v>
      </c>
      <c r="AF32" s="31">
        <f t="shared" si="24"/>
        <v>224</v>
      </c>
    </row>
    <row r="33" spans="2:32" ht="23.1" customHeight="1" x14ac:dyDescent="0.25">
      <c r="B33" s="45" t="s">
        <v>60</v>
      </c>
      <c r="C33" s="50">
        <v>26</v>
      </c>
      <c r="D33" s="50">
        <v>23</v>
      </c>
      <c r="E33" s="50">
        <v>10</v>
      </c>
      <c r="F33" s="50">
        <v>40</v>
      </c>
      <c r="G33" s="50">
        <v>0</v>
      </c>
      <c r="H33" s="50">
        <v>1</v>
      </c>
      <c r="I33" s="50">
        <v>7</v>
      </c>
      <c r="J33" s="50">
        <v>5</v>
      </c>
      <c r="K33" s="50">
        <v>4</v>
      </c>
      <c r="L33" s="50">
        <v>7</v>
      </c>
      <c r="M33" s="50">
        <v>400</v>
      </c>
      <c r="N33" s="50">
        <v>0</v>
      </c>
      <c r="O33" s="15">
        <f t="shared" si="0"/>
        <v>123</v>
      </c>
      <c r="P33" s="15">
        <f t="shared" si="1"/>
        <v>523</v>
      </c>
      <c r="R33" s="33" t="s">
        <v>157</v>
      </c>
      <c r="S33" s="34">
        <f>SUM(C102:C105)</f>
        <v>48</v>
      </c>
      <c r="T33" s="34">
        <f t="shared" ref="T33:AF33" si="25">SUM(D102:D105)</f>
        <v>8</v>
      </c>
      <c r="U33" s="34">
        <f t="shared" si="25"/>
        <v>0</v>
      </c>
      <c r="V33" s="34">
        <f t="shared" si="25"/>
        <v>59</v>
      </c>
      <c r="W33" s="34">
        <f t="shared" si="25"/>
        <v>1</v>
      </c>
      <c r="X33" s="34">
        <f t="shared" si="25"/>
        <v>0</v>
      </c>
      <c r="Y33" s="34">
        <f t="shared" si="25"/>
        <v>9</v>
      </c>
      <c r="Z33" s="34">
        <f t="shared" si="25"/>
        <v>7</v>
      </c>
      <c r="AA33" s="34">
        <f t="shared" si="25"/>
        <v>2</v>
      </c>
      <c r="AB33" s="34">
        <f t="shared" si="25"/>
        <v>0</v>
      </c>
      <c r="AC33" s="34">
        <f t="shared" si="25"/>
        <v>212</v>
      </c>
      <c r="AD33" s="34">
        <f t="shared" si="25"/>
        <v>0</v>
      </c>
      <c r="AE33" s="31">
        <f t="shared" si="25"/>
        <v>134</v>
      </c>
      <c r="AF33" s="31">
        <f t="shared" si="25"/>
        <v>346</v>
      </c>
    </row>
    <row r="34" spans="2:32" ht="23.1" customHeight="1" x14ac:dyDescent="0.25">
      <c r="B34" s="46" t="s">
        <v>61</v>
      </c>
      <c r="C34" s="50">
        <v>11</v>
      </c>
      <c r="D34" s="50">
        <v>8</v>
      </c>
      <c r="E34" s="50">
        <v>4</v>
      </c>
      <c r="F34" s="50">
        <v>25</v>
      </c>
      <c r="G34" s="50">
        <v>0</v>
      </c>
      <c r="H34" s="50">
        <v>0</v>
      </c>
      <c r="I34" s="50">
        <v>7</v>
      </c>
      <c r="J34" s="50">
        <v>8</v>
      </c>
      <c r="K34" s="50">
        <v>6</v>
      </c>
      <c r="L34" s="50">
        <v>4</v>
      </c>
      <c r="M34" s="50">
        <v>436</v>
      </c>
      <c r="N34" s="50">
        <v>0</v>
      </c>
      <c r="O34" s="15">
        <f t="shared" si="0"/>
        <v>73</v>
      </c>
      <c r="P34" s="15">
        <f t="shared" si="1"/>
        <v>509</v>
      </c>
      <c r="R34" s="38" t="s">
        <v>90</v>
      </c>
      <c r="S34" s="39">
        <f t="shared" ref="S34:AF34" si="26">MAX(S10:S12)</f>
        <v>112</v>
      </c>
      <c r="T34" s="39">
        <f t="shared" si="26"/>
        <v>56</v>
      </c>
      <c r="U34" s="39">
        <f t="shared" si="26"/>
        <v>21</v>
      </c>
      <c r="V34" s="39">
        <f t="shared" si="26"/>
        <v>233</v>
      </c>
      <c r="W34" s="39">
        <f t="shared" si="26"/>
        <v>5</v>
      </c>
      <c r="X34" s="39">
        <f t="shared" si="26"/>
        <v>1</v>
      </c>
      <c r="Y34" s="39">
        <f t="shared" si="26"/>
        <v>12</v>
      </c>
      <c r="Z34" s="39">
        <f t="shared" si="26"/>
        <v>20</v>
      </c>
      <c r="AA34" s="39">
        <f t="shared" si="26"/>
        <v>15</v>
      </c>
      <c r="AB34" s="39">
        <f t="shared" si="26"/>
        <v>8</v>
      </c>
      <c r="AC34" s="39">
        <f t="shared" si="26"/>
        <v>1635</v>
      </c>
      <c r="AD34" s="39">
        <f t="shared" si="26"/>
        <v>1</v>
      </c>
      <c r="AE34" s="40">
        <f t="shared" si="26"/>
        <v>457</v>
      </c>
      <c r="AF34" s="40">
        <f t="shared" si="26"/>
        <v>1986</v>
      </c>
    </row>
    <row r="35" spans="2:32" ht="23.1" customHeight="1" x14ac:dyDescent="0.25">
      <c r="B35" s="46" t="s">
        <v>62</v>
      </c>
      <c r="C35" s="50">
        <v>23</v>
      </c>
      <c r="D35" s="50">
        <v>20</v>
      </c>
      <c r="E35" s="50">
        <v>1</v>
      </c>
      <c r="F35" s="50">
        <v>18</v>
      </c>
      <c r="G35" s="50">
        <v>0</v>
      </c>
      <c r="H35" s="50">
        <v>1</v>
      </c>
      <c r="I35" s="50">
        <v>6</v>
      </c>
      <c r="J35" s="50">
        <v>8</v>
      </c>
      <c r="K35" s="50">
        <v>5</v>
      </c>
      <c r="L35" s="50">
        <v>4</v>
      </c>
      <c r="M35" s="50">
        <v>364</v>
      </c>
      <c r="N35" s="50">
        <v>0</v>
      </c>
      <c r="O35" s="15">
        <f t="shared" si="0"/>
        <v>86</v>
      </c>
      <c r="P35" s="15">
        <f t="shared" si="1"/>
        <v>450</v>
      </c>
      <c r="R35" s="38" t="s">
        <v>91</v>
      </c>
      <c r="S35" s="39">
        <f t="shared" ref="S35:AF35" si="27">MAX(S13:S18)</f>
        <v>179</v>
      </c>
      <c r="T35" s="39">
        <f t="shared" si="27"/>
        <v>108</v>
      </c>
      <c r="U35" s="39">
        <f t="shared" si="27"/>
        <v>43</v>
      </c>
      <c r="V35" s="39">
        <f t="shared" si="27"/>
        <v>155</v>
      </c>
      <c r="W35" s="39">
        <f t="shared" si="27"/>
        <v>3</v>
      </c>
      <c r="X35" s="39">
        <f t="shared" si="27"/>
        <v>3</v>
      </c>
      <c r="Y35" s="39">
        <f t="shared" si="27"/>
        <v>24</v>
      </c>
      <c r="Z35" s="39">
        <f t="shared" si="27"/>
        <v>27</v>
      </c>
      <c r="AA35" s="39">
        <f t="shared" si="27"/>
        <v>17</v>
      </c>
      <c r="AB35" s="39">
        <f t="shared" si="27"/>
        <v>18</v>
      </c>
      <c r="AC35" s="39">
        <f t="shared" si="27"/>
        <v>1633</v>
      </c>
      <c r="AD35" s="39">
        <f t="shared" si="27"/>
        <v>1</v>
      </c>
      <c r="AE35" s="40">
        <f t="shared" si="27"/>
        <v>507</v>
      </c>
      <c r="AF35" s="40">
        <f t="shared" si="27"/>
        <v>2077</v>
      </c>
    </row>
    <row r="36" spans="2:32" ht="23.1" customHeight="1" x14ac:dyDescent="0.25">
      <c r="B36" s="46" t="s">
        <v>63</v>
      </c>
      <c r="C36" s="50">
        <v>31</v>
      </c>
      <c r="D36" s="50">
        <v>11</v>
      </c>
      <c r="E36" s="50">
        <v>6</v>
      </c>
      <c r="F36" s="50">
        <v>43</v>
      </c>
      <c r="G36" s="50">
        <v>2</v>
      </c>
      <c r="H36" s="50">
        <v>1</v>
      </c>
      <c r="I36" s="50">
        <v>7</v>
      </c>
      <c r="J36" s="50">
        <v>2</v>
      </c>
      <c r="K36" s="50">
        <v>4</v>
      </c>
      <c r="L36" s="50">
        <v>3</v>
      </c>
      <c r="M36" s="50">
        <v>388</v>
      </c>
      <c r="N36" s="50">
        <v>0</v>
      </c>
      <c r="O36" s="15">
        <f t="shared" si="0"/>
        <v>110</v>
      </c>
      <c r="P36" s="15">
        <f t="shared" si="1"/>
        <v>498</v>
      </c>
      <c r="R36" s="38" t="s">
        <v>92</v>
      </c>
      <c r="S36" s="39">
        <f t="shared" ref="S36:AF36" si="28">MAX(S19:S21)</f>
        <v>185</v>
      </c>
      <c r="T36" s="39">
        <f t="shared" si="28"/>
        <v>105</v>
      </c>
      <c r="U36" s="39">
        <f t="shared" si="28"/>
        <v>42</v>
      </c>
      <c r="V36" s="39">
        <f t="shared" si="28"/>
        <v>180</v>
      </c>
      <c r="W36" s="39">
        <f t="shared" si="28"/>
        <v>3</v>
      </c>
      <c r="X36" s="39">
        <f t="shared" si="28"/>
        <v>1</v>
      </c>
      <c r="Y36" s="39">
        <f t="shared" si="28"/>
        <v>23</v>
      </c>
      <c r="Z36" s="39">
        <f t="shared" si="28"/>
        <v>17</v>
      </c>
      <c r="AA36" s="39">
        <f t="shared" si="28"/>
        <v>18</v>
      </c>
      <c r="AB36" s="39">
        <f t="shared" si="28"/>
        <v>8</v>
      </c>
      <c r="AC36" s="39">
        <f t="shared" si="28"/>
        <v>1576</v>
      </c>
      <c r="AD36" s="39">
        <f t="shared" si="28"/>
        <v>1</v>
      </c>
      <c r="AE36" s="40">
        <f t="shared" si="28"/>
        <v>497</v>
      </c>
      <c r="AF36" s="40">
        <f t="shared" si="28"/>
        <v>2073</v>
      </c>
    </row>
    <row r="37" spans="2:32" ht="23.1" customHeight="1" x14ac:dyDescent="0.25">
      <c r="B37" s="45" t="s">
        <v>64</v>
      </c>
      <c r="C37" s="50">
        <v>59</v>
      </c>
      <c r="D37" s="50">
        <v>13</v>
      </c>
      <c r="E37" s="50">
        <v>10</v>
      </c>
      <c r="F37" s="50">
        <v>21</v>
      </c>
      <c r="G37" s="50">
        <v>0</v>
      </c>
      <c r="H37" s="50">
        <v>0</v>
      </c>
      <c r="I37" s="50">
        <v>2</v>
      </c>
      <c r="J37" s="50">
        <v>1</v>
      </c>
      <c r="K37" s="50">
        <v>2</v>
      </c>
      <c r="L37" s="50">
        <v>0</v>
      </c>
      <c r="M37" s="50">
        <v>300</v>
      </c>
      <c r="N37" s="50">
        <v>0</v>
      </c>
      <c r="O37" s="15">
        <f t="shared" si="0"/>
        <v>108</v>
      </c>
      <c r="P37" s="15">
        <f t="shared" si="1"/>
        <v>408</v>
      </c>
      <c r="R37" s="37" t="s">
        <v>85</v>
      </c>
      <c r="S37" s="35">
        <f t="shared" ref="S37:AF37" si="29">SUM(S10:S12)</f>
        <v>278</v>
      </c>
      <c r="T37" s="16">
        <f t="shared" si="29"/>
        <v>127</v>
      </c>
      <c r="U37" s="16">
        <f t="shared" si="29"/>
        <v>53</v>
      </c>
      <c r="V37" s="16">
        <f t="shared" si="29"/>
        <v>574</v>
      </c>
      <c r="W37" s="16">
        <f t="shared" si="29"/>
        <v>9</v>
      </c>
      <c r="X37" s="16">
        <f t="shared" si="29"/>
        <v>1</v>
      </c>
      <c r="Y37" s="16">
        <f t="shared" si="29"/>
        <v>29</v>
      </c>
      <c r="Z37" s="16">
        <f t="shared" si="29"/>
        <v>42</v>
      </c>
      <c r="AA37" s="16">
        <f t="shared" si="29"/>
        <v>35</v>
      </c>
      <c r="AB37" s="16">
        <f t="shared" si="29"/>
        <v>19</v>
      </c>
      <c r="AC37" s="16">
        <f t="shared" si="29"/>
        <v>4370</v>
      </c>
      <c r="AD37" s="16">
        <f t="shared" si="29"/>
        <v>1</v>
      </c>
      <c r="AE37" s="32">
        <f t="shared" si="29"/>
        <v>1168</v>
      </c>
      <c r="AF37" s="32">
        <f t="shared" si="29"/>
        <v>5538</v>
      </c>
    </row>
    <row r="38" spans="2:32" ht="23.1" customHeight="1" x14ac:dyDescent="0.25">
      <c r="B38" s="46" t="s">
        <v>65</v>
      </c>
      <c r="C38" s="50">
        <v>58</v>
      </c>
      <c r="D38" s="50">
        <v>37</v>
      </c>
      <c r="E38" s="50">
        <v>8</v>
      </c>
      <c r="F38" s="50">
        <v>29</v>
      </c>
      <c r="G38" s="50">
        <v>0</v>
      </c>
      <c r="H38" s="50">
        <v>0</v>
      </c>
      <c r="I38" s="50">
        <v>7</v>
      </c>
      <c r="J38" s="50">
        <v>6</v>
      </c>
      <c r="K38" s="50">
        <v>4</v>
      </c>
      <c r="L38" s="50">
        <v>5</v>
      </c>
      <c r="M38" s="50">
        <v>503</v>
      </c>
      <c r="N38" s="50">
        <v>1</v>
      </c>
      <c r="O38" s="15">
        <f t="shared" si="0"/>
        <v>155</v>
      </c>
      <c r="P38" s="15">
        <f t="shared" si="1"/>
        <v>658</v>
      </c>
      <c r="R38" s="28" t="s">
        <v>86</v>
      </c>
      <c r="S38" s="16">
        <f t="shared" ref="S38:AF38" si="30">SUM(S13:S18)</f>
        <v>776</v>
      </c>
      <c r="T38" s="16">
        <f t="shared" si="30"/>
        <v>424</v>
      </c>
      <c r="U38" s="16">
        <f t="shared" si="30"/>
        <v>199</v>
      </c>
      <c r="V38" s="16">
        <f t="shared" si="30"/>
        <v>718</v>
      </c>
      <c r="W38" s="16">
        <f t="shared" si="30"/>
        <v>8</v>
      </c>
      <c r="X38" s="16">
        <f t="shared" si="30"/>
        <v>8</v>
      </c>
      <c r="Y38" s="16">
        <f t="shared" si="30"/>
        <v>112</v>
      </c>
      <c r="Z38" s="16">
        <f t="shared" si="30"/>
        <v>115</v>
      </c>
      <c r="AA38" s="16">
        <f t="shared" si="30"/>
        <v>72</v>
      </c>
      <c r="AB38" s="16">
        <f t="shared" si="30"/>
        <v>74</v>
      </c>
      <c r="AC38" s="16">
        <f t="shared" si="30"/>
        <v>8041</v>
      </c>
      <c r="AD38" s="16">
        <f t="shared" si="30"/>
        <v>1</v>
      </c>
      <c r="AE38" s="32">
        <f t="shared" si="30"/>
        <v>2507</v>
      </c>
      <c r="AF38" s="32">
        <f t="shared" si="30"/>
        <v>10548</v>
      </c>
    </row>
    <row r="39" spans="2:32" ht="23.1" customHeight="1" x14ac:dyDescent="0.25">
      <c r="B39" s="46" t="s">
        <v>66</v>
      </c>
      <c r="C39" s="50">
        <v>50</v>
      </c>
      <c r="D39" s="50">
        <v>14</v>
      </c>
      <c r="E39" s="50">
        <v>8</v>
      </c>
      <c r="F39" s="50">
        <v>21</v>
      </c>
      <c r="G39" s="50">
        <v>0</v>
      </c>
      <c r="H39" s="50">
        <v>0</v>
      </c>
      <c r="I39" s="50">
        <v>2</v>
      </c>
      <c r="J39" s="50">
        <v>9</v>
      </c>
      <c r="K39" s="50">
        <v>1</v>
      </c>
      <c r="L39" s="50">
        <v>2</v>
      </c>
      <c r="M39" s="50">
        <v>400</v>
      </c>
      <c r="N39" s="50">
        <v>0</v>
      </c>
      <c r="O39" s="15">
        <f t="shared" si="0"/>
        <v>107</v>
      </c>
      <c r="P39" s="15">
        <f t="shared" si="1"/>
        <v>507</v>
      </c>
      <c r="R39" s="29" t="s">
        <v>87</v>
      </c>
      <c r="S39" s="16">
        <f t="shared" ref="S39:AF39" si="31">SUM(S19:S21)</f>
        <v>471</v>
      </c>
      <c r="T39" s="16">
        <f t="shared" si="31"/>
        <v>295</v>
      </c>
      <c r="U39" s="16">
        <f t="shared" si="31"/>
        <v>120</v>
      </c>
      <c r="V39" s="16">
        <f t="shared" si="31"/>
        <v>444</v>
      </c>
      <c r="W39" s="16">
        <f t="shared" si="31"/>
        <v>6</v>
      </c>
      <c r="X39" s="16">
        <f t="shared" si="31"/>
        <v>1</v>
      </c>
      <c r="Y39" s="16">
        <f t="shared" si="31"/>
        <v>39</v>
      </c>
      <c r="Z39" s="16">
        <f t="shared" si="31"/>
        <v>36</v>
      </c>
      <c r="AA39" s="16">
        <f t="shared" si="31"/>
        <v>31</v>
      </c>
      <c r="AB39" s="16">
        <f t="shared" si="31"/>
        <v>18</v>
      </c>
      <c r="AC39" s="16">
        <f t="shared" si="31"/>
        <v>4162</v>
      </c>
      <c r="AD39" s="16">
        <f t="shared" si="31"/>
        <v>1</v>
      </c>
      <c r="AE39" s="32">
        <f t="shared" si="31"/>
        <v>1462</v>
      </c>
      <c r="AF39" s="32">
        <f t="shared" si="31"/>
        <v>5624</v>
      </c>
    </row>
    <row r="40" spans="2:32" ht="23.1" customHeight="1" x14ac:dyDescent="0.25">
      <c r="B40" s="46" t="s">
        <v>67</v>
      </c>
      <c r="C40" s="50">
        <v>33</v>
      </c>
      <c r="D40" s="50">
        <v>12</v>
      </c>
      <c r="E40" s="50">
        <v>5</v>
      </c>
      <c r="F40" s="50">
        <v>19</v>
      </c>
      <c r="G40" s="50">
        <v>0</v>
      </c>
      <c r="H40" s="50">
        <v>0</v>
      </c>
      <c r="I40" s="50">
        <v>3</v>
      </c>
      <c r="J40" s="50">
        <v>5</v>
      </c>
      <c r="K40" s="50">
        <v>3</v>
      </c>
      <c r="L40" s="50">
        <v>6</v>
      </c>
      <c r="M40" s="50">
        <v>423</v>
      </c>
      <c r="N40" s="50">
        <v>0</v>
      </c>
      <c r="O40" s="15">
        <f t="shared" si="0"/>
        <v>86</v>
      </c>
      <c r="P40" s="15">
        <f t="shared" si="1"/>
        <v>509</v>
      </c>
      <c r="R40" s="5" t="s">
        <v>17</v>
      </c>
      <c r="S40" s="16">
        <f t="shared" ref="S40:AF40" si="32">SUM(S10:S21)</f>
        <v>1525</v>
      </c>
      <c r="T40" s="16">
        <f t="shared" si="32"/>
        <v>846</v>
      </c>
      <c r="U40" s="16">
        <f t="shared" si="32"/>
        <v>372</v>
      </c>
      <c r="V40" s="16">
        <f t="shared" si="32"/>
        <v>1736</v>
      </c>
      <c r="W40" s="16">
        <f t="shared" si="32"/>
        <v>23</v>
      </c>
      <c r="X40" s="16">
        <f t="shared" si="32"/>
        <v>10</v>
      </c>
      <c r="Y40" s="16">
        <f t="shared" si="32"/>
        <v>180</v>
      </c>
      <c r="Z40" s="16">
        <f t="shared" si="32"/>
        <v>193</v>
      </c>
      <c r="AA40" s="16">
        <f t="shared" si="32"/>
        <v>138</v>
      </c>
      <c r="AB40" s="16">
        <f t="shared" si="32"/>
        <v>111</v>
      </c>
      <c r="AC40" s="16">
        <f t="shared" si="32"/>
        <v>16573</v>
      </c>
      <c r="AD40" s="16">
        <f t="shared" si="32"/>
        <v>3</v>
      </c>
      <c r="AE40" s="32">
        <f t="shared" si="32"/>
        <v>5137</v>
      </c>
      <c r="AF40" s="32">
        <f t="shared" si="32"/>
        <v>21710</v>
      </c>
    </row>
    <row r="41" spans="2:32" ht="23.1" customHeight="1" x14ac:dyDescent="0.25">
      <c r="B41" s="45" t="s">
        <v>68</v>
      </c>
      <c r="C41" s="50">
        <v>38</v>
      </c>
      <c r="D41" s="50">
        <v>5</v>
      </c>
      <c r="E41" s="50">
        <v>6</v>
      </c>
      <c r="F41" s="50">
        <v>21</v>
      </c>
      <c r="G41" s="50">
        <v>3</v>
      </c>
      <c r="H41" s="50">
        <v>0</v>
      </c>
      <c r="I41" s="50">
        <v>8</v>
      </c>
      <c r="J41" s="50">
        <v>7</v>
      </c>
      <c r="K41" s="50">
        <v>3</v>
      </c>
      <c r="L41" s="50">
        <v>5</v>
      </c>
      <c r="M41" s="50">
        <v>307</v>
      </c>
      <c r="N41" s="50">
        <v>0</v>
      </c>
      <c r="O41" s="15">
        <f t="shared" si="0"/>
        <v>96</v>
      </c>
      <c r="P41" s="15">
        <f t="shared" si="1"/>
        <v>403</v>
      </c>
      <c r="R41" s="5" t="s">
        <v>159</v>
      </c>
      <c r="S41" s="16">
        <f>SUM(S10:S33)</f>
        <v>2888</v>
      </c>
      <c r="T41" s="16">
        <f t="shared" ref="T41:AF41" si="33">SUM(T10:T33)</f>
        <v>1173</v>
      </c>
      <c r="U41" s="16">
        <f t="shared" si="33"/>
        <v>500</v>
      </c>
      <c r="V41" s="16">
        <f t="shared" si="33"/>
        <v>2469</v>
      </c>
      <c r="W41" s="16">
        <f t="shared" si="33"/>
        <v>27</v>
      </c>
      <c r="X41" s="16">
        <f t="shared" si="33"/>
        <v>12</v>
      </c>
      <c r="Y41" s="16">
        <f t="shared" si="33"/>
        <v>301</v>
      </c>
      <c r="Z41" s="16">
        <f t="shared" si="33"/>
        <v>233</v>
      </c>
      <c r="AA41" s="16">
        <f t="shared" si="33"/>
        <v>184</v>
      </c>
      <c r="AB41" s="16">
        <f t="shared" si="33"/>
        <v>145</v>
      </c>
      <c r="AC41" s="16">
        <f t="shared" si="33"/>
        <v>21437</v>
      </c>
      <c r="AD41" s="16">
        <f t="shared" si="33"/>
        <v>4</v>
      </c>
      <c r="AE41" s="32">
        <f t="shared" si="33"/>
        <v>7936</v>
      </c>
      <c r="AF41" s="32">
        <f t="shared" si="33"/>
        <v>29373</v>
      </c>
    </row>
    <row r="42" spans="2:32" ht="23.1" customHeight="1" x14ac:dyDescent="0.25">
      <c r="B42" s="46" t="s">
        <v>69</v>
      </c>
      <c r="C42" s="50">
        <v>37</v>
      </c>
      <c r="D42" s="50">
        <v>19</v>
      </c>
      <c r="E42" s="50">
        <v>5</v>
      </c>
      <c r="F42" s="50">
        <v>37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3</v>
      </c>
      <c r="M42" s="50">
        <v>363</v>
      </c>
      <c r="N42" s="50">
        <v>0</v>
      </c>
      <c r="O42" s="15">
        <f t="shared" si="0"/>
        <v>106</v>
      </c>
      <c r="P42" s="15">
        <f t="shared" si="1"/>
        <v>469</v>
      </c>
      <c r="R42" s="5" t="s">
        <v>160</v>
      </c>
      <c r="S42" s="48">
        <f>S41/S40</f>
        <v>1.8937704918032787</v>
      </c>
      <c r="T42" s="48">
        <f t="shared" ref="T42:AF42" si="34">T41/T40</f>
        <v>1.3865248226950355</v>
      </c>
      <c r="U42" s="48">
        <f t="shared" si="34"/>
        <v>1.3440860215053763</v>
      </c>
      <c r="V42" s="48">
        <f t="shared" si="34"/>
        <v>1.4222350230414746</v>
      </c>
      <c r="W42" s="48">
        <f t="shared" si="34"/>
        <v>1.173913043478261</v>
      </c>
      <c r="X42" s="48">
        <f t="shared" si="34"/>
        <v>1.2</v>
      </c>
      <c r="Y42" s="48">
        <f t="shared" si="34"/>
        <v>1.6722222222222223</v>
      </c>
      <c r="Z42" s="48">
        <f t="shared" si="34"/>
        <v>1.2072538860103628</v>
      </c>
      <c r="AA42" s="48">
        <f t="shared" si="34"/>
        <v>1.3333333333333333</v>
      </c>
      <c r="AB42" s="48">
        <f t="shared" si="34"/>
        <v>1.3063063063063063</v>
      </c>
      <c r="AC42" s="48">
        <f t="shared" si="34"/>
        <v>1.2934894104869366</v>
      </c>
      <c r="AD42" s="48">
        <f t="shared" si="34"/>
        <v>1.3333333333333333</v>
      </c>
      <c r="AE42" s="48">
        <f t="shared" si="34"/>
        <v>1.5448705470118747</v>
      </c>
      <c r="AF42" s="48">
        <f t="shared" si="34"/>
        <v>1.3529709811146937</v>
      </c>
    </row>
    <row r="43" spans="2:32" ht="23.1" customHeight="1" x14ac:dyDescent="0.25">
      <c r="B43" s="45" t="s">
        <v>70</v>
      </c>
      <c r="C43" s="50">
        <v>40</v>
      </c>
      <c r="D43" s="50">
        <v>20</v>
      </c>
      <c r="E43" s="50">
        <v>9</v>
      </c>
      <c r="F43" s="50">
        <v>24</v>
      </c>
      <c r="G43" s="50">
        <v>0</v>
      </c>
      <c r="H43" s="50">
        <v>0</v>
      </c>
      <c r="I43" s="50">
        <v>8</v>
      </c>
      <c r="J43" s="50">
        <v>6</v>
      </c>
      <c r="K43" s="50">
        <v>1</v>
      </c>
      <c r="L43" s="50">
        <v>1</v>
      </c>
      <c r="M43" s="50">
        <v>381</v>
      </c>
      <c r="N43" s="50">
        <v>0</v>
      </c>
      <c r="O43" s="15">
        <f t="shared" si="0"/>
        <v>109</v>
      </c>
      <c r="P43" s="15">
        <f t="shared" si="1"/>
        <v>490</v>
      </c>
    </row>
    <row r="44" spans="2:32" ht="23.1" customHeight="1" x14ac:dyDescent="0.25">
      <c r="B44" s="47" t="s">
        <v>71</v>
      </c>
      <c r="C44" s="50">
        <v>44</v>
      </c>
      <c r="D44" s="50">
        <v>30</v>
      </c>
      <c r="E44" s="50">
        <v>14</v>
      </c>
      <c r="F44" s="50">
        <v>39</v>
      </c>
      <c r="G44" s="50">
        <v>0</v>
      </c>
      <c r="H44" s="50">
        <v>2</v>
      </c>
      <c r="I44" s="50">
        <v>5</v>
      </c>
      <c r="J44" s="50">
        <v>7</v>
      </c>
      <c r="K44" s="50">
        <v>2</v>
      </c>
      <c r="L44" s="50">
        <v>2</v>
      </c>
      <c r="M44" s="50">
        <v>404</v>
      </c>
      <c r="N44" s="50">
        <v>0</v>
      </c>
      <c r="O44" s="15">
        <f t="shared" si="0"/>
        <v>145</v>
      </c>
      <c r="P44" s="15">
        <f t="shared" si="1"/>
        <v>549</v>
      </c>
    </row>
    <row r="45" spans="2:32" ht="23.1" customHeight="1" x14ac:dyDescent="0.25">
      <c r="B45" s="45" t="s">
        <v>72</v>
      </c>
      <c r="C45" s="50">
        <v>50</v>
      </c>
      <c r="D45" s="50">
        <v>25</v>
      </c>
      <c r="E45" s="50">
        <v>6</v>
      </c>
      <c r="F45" s="50">
        <v>20</v>
      </c>
      <c r="G45" s="50">
        <v>0</v>
      </c>
      <c r="H45" s="50">
        <v>0</v>
      </c>
      <c r="I45" s="50">
        <v>7</v>
      </c>
      <c r="J45" s="50">
        <v>4</v>
      </c>
      <c r="K45" s="50">
        <v>3</v>
      </c>
      <c r="L45" s="50">
        <v>4</v>
      </c>
      <c r="M45" s="50">
        <v>413</v>
      </c>
      <c r="N45" s="50">
        <v>0</v>
      </c>
      <c r="O45" s="15">
        <f t="shared" si="0"/>
        <v>119</v>
      </c>
      <c r="P45" s="15">
        <f t="shared" si="1"/>
        <v>532</v>
      </c>
    </row>
    <row r="46" spans="2:32" ht="23.1" customHeight="1" x14ac:dyDescent="0.25">
      <c r="B46" s="46" t="s">
        <v>73</v>
      </c>
      <c r="C46" s="50">
        <v>27</v>
      </c>
      <c r="D46" s="50">
        <v>12</v>
      </c>
      <c r="E46" s="50">
        <v>6</v>
      </c>
      <c r="F46" s="50">
        <v>45</v>
      </c>
      <c r="G46" s="50">
        <v>2</v>
      </c>
      <c r="H46" s="50">
        <v>1</v>
      </c>
      <c r="I46" s="50">
        <v>4</v>
      </c>
      <c r="J46" s="50">
        <v>5</v>
      </c>
      <c r="K46" s="50">
        <v>5</v>
      </c>
      <c r="L46" s="50">
        <v>1</v>
      </c>
      <c r="M46" s="50">
        <v>305</v>
      </c>
      <c r="N46" s="50">
        <v>0</v>
      </c>
      <c r="O46" s="15">
        <f t="shared" si="0"/>
        <v>108</v>
      </c>
      <c r="P46" s="15">
        <f t="shared" si="1"/>
        <v>413</v>
      </c>
      <c r="R46" s="8"/>
      <c r="T46"/>
    </row>
    <row r="47" spans="2:32" ht="23.1" customHeight="1" x14ac:dyDescent="0.25">
      <c r="B47" s="46" t="s">
        <v>74</v>
      </c>
      <c r="C47" s="50">
        <v>55</v>
      </c>
      <c r="D47" s="50">
        <v>35</v>
      </c>
      <c r="E47" s="50">
        <v>8</v>
      </c>
      <c r="F47" s="50">
        <v>41</v>
      </c>
      <c r="G47" s="50">
        <v>1</v>
      </c>
      <c r="H47" s="50">
        <v>0</v>
      </c>
      <c r="I47" s="50">
        <v>11</v>
      </c>
      <c r="J47" s="50">
        <v>6</v>
      </c>
      <c r="K47" s="50">
        <v>6</v>
      </c>
      <c r="L47" s="50">
        <v>4</v>
      </c>
      <c r="M47" s="50">
        <v>352</v>
      </c>
      <c r="N47" s="50">
        <v>0</v>
      </c>
      <c r="O47" s="15">
        <f t="shared" si="0"/>
        <v>167</v>
      </c>
      <c r="P47" s="15">
        <f t="shared" si="1"/>
        <v>519</v>
      </c>
      <c r="R47" s="8"/>
      <c r="T47"/>
    </row>
    <row r="48" spans="2:32" ht="23.1" customHeight="1" x14ac:dyDescent="0.25">
      <c r="B48" s="46" t="s">
        <v>75</v>
      </c>
      <c r="C48" s="50">
        <v>32</v>
      </c>
      <c r="D48" s="50">
        <v>28</v>
      </c>
      <c r="E48" s="50">
        <v>18</v>
      </c>
      <c r="F48" s="50">
        <v>29</v>
      </c>
      <c r="G48" s="50">
        <v>0</v>
      </c>
      <c r="H48" s="50">
        <v>0</v>
      </c>
      <c r="I48" s="50">
        <v>7</v>
      </c>
      <c r="J48" s="50">
        <v>2</v>
      </c>
      <c r="K48" s="50">
        <v>5</v>
      </c>
      <c r="L48" s="50">
        <v>3</v>
      </c>
      <c r="M48" s="50">
        <v>158</v>
      </c>
      <c r="N48" s="50">
        <v>1</v>
      </c>
      <c r="O48" s="15">
        <f t="shared" si="0"/>
        <v>125</v>
      </c>
      <c r="P48" s="15">
        <f t="shared" si="1"/>
        <v>283</v>
      </c>
      <c r="R48" s="8"/>
      <c r="T48"/>
    </row>
    <row r="49" spans="2:20" ht="23.1" customHeight="1" x14ac:dyDescent="0.25">
      <c r="B49" s="45" t="s">
        <v>76</v>
      </c>
      <c r="C49" s="50">
        <v>18</v>
      </c>
      <c r="D49" s="50">
        <v>19</v>
      </c>
      <c r="E49" s="50">
        <v>9</v>
      </c>
      <c r="F49" s="50">
        <v>31</v>
      </c>
      <c r="G49" s="50">
        <v>0</v>
      </c>
      <c r="H49" s="50">
        <v>0</v>
      </c>
      <c r="I49" s="50">
        <v>1</v>
      </c>
      <c r="J49" s="50">
        <v>4</v>
      </c>
      <c r="K49" s="50">
        <v>2</v>
      </c>
      <c r="L49" s="50">
        <v>0</v>
      </c>
      <c r="M49" s="50">
        <v>383</v>
      </c>
      <c r="N49" s="50">
        <v>0</v>
      </c>
      <c r="O49" s="15">
        <f t="shared" si="0"/>
        <v>84</v>
      </c>
      <c r="P49" s="15">
        <f t="shared" si="1"/>
        <v>467</v>
      </c>
      <c r="R49" s="8"/>
      <c r="T49"/>
    </row>
    <row r="50" spans="2:20" ht="23.1" customHeight="1" x14ac:dyDescent="0.25">
      <c r="B50" s="46" t="s">
        <v>77</v>
      </c>
      <c r="C50" s="50">
        <v>45</v>
      </c>
      <c r="D50" s="50">
        <v>20</v>
      </c>
      <c r="E50" s="50">
        <v>10</v>
      </c>
      <c r="F50" s="50">
        <v>32</v>
      </c>
      <c r="G50" s="50">
        <v>1</v>
      </c>
      <c r="H50" s="50">
        <v>0</v>
      </c>
      <c r="I50" s="50">
        <v>3</v>
      </c>
      <c r="J50" s="50">
        <v>4</v>
      </c>
      <c r="K50" s="50">
        <v>2</v>
      </c>
      <c r="L50" s="50">
        <v>1</v>
      </c>
      <c r="M50" s="50">
        <v>352</v>
      </c>
      <c r="N50" s="50">
        <v>0</v>
      </c>
      <c r="O50" s="15">
        <f t="shared" si="0"/>
        <v>118</v>
      </c>
      <c r="P50" s="15">
        <f t="shared" si="1"/>
        <v>470</v>
      </c>
      <c r="R50" s="8"/>
      <c r="T50"/>
    </row>
    <row r="51" spans="2:20" ht="23.1" customHeight="1" x14ac:dyDescent="0.25">
      <c r="B51" s="46" t="s">
        <v>78</v>
      </c>
      <c r="C51" s="50">
        <v>50</v>
      </c>
      <c r="D51" s="50">
        <v>21</v>
      </c>
      <c r="E51" s="50">
        <v>7</v>
      </c>
      <c r="F51" s="50">
        <v>36</v>
      </c>
      <c r="G51" s="50">
        <v>0</v>
      </c>
      <c r="H51" s="50">
        <v>0</v>
      </c>
      <c r="I51" s="50">
        <v>5</v>
      </c>
      <c r="J51" s="50">
        <v>2</v>
      </c>
      <c r="K51" s="50">
        <v>2</v>
      </c>
      <c r="L51" s="50">
        <v>2</v>
      </c>
      <c r="M51" s="50">
        <v>271</v>
      </c>
      <c r="N51" s="50">
        <v>0</v>
      </c>
      <c r="O51" s="15">
        <f t="shared" si="0"/>
        <v>125</v>
      </c>
      <c r="P51" s="15">
        <f t="shared" si="1"/>
        <v>396</v>
      </c>
      <c r="R51" s="8"/>
      <c r="T51"/>
    </row>
    <row r="52" spans="2:20" ht="23.1" customHeight="1" x14ac:dyDescent="0.25">
      <c r="B52" s="46" t="s">
        <v>79</v>
      </c>
      <c r="C52" s="50">
        <v>35</v>
      </c>
      <c r="D52" s="50">
        <v>10</v>
      </c>
      <c r="E52" s="50">
        <v>5</v>
      </c>
      <c r="F52" s="50">
        <v>25</v>
      </c>
      <c r="G52" s="50">
        <v>0</v>
      </c>
      <c r="H52" s="50">
        <v>0</v>
      </c>
      <c r="I52" s="50">
        <v>0</v>
      </c>
      <c r="J52" s="50">
        <v>1</v>
      </c>
      <c r="K52" s="50">
        <v>2</v>
      </c>
      <c r="L52" s="50">
        <v>2</v>
      </c>
      <c r="M52" s="50">
        <v>353</v>
      </c>
      <c r="N52" s="50">
        <v>0</v>
      </c>
      <c r="O52" s="15">
        <f t="shared" si="0"/>
        <v>80</v>
      </c>
      <c r="P52" s="15">
        <f t="shared" si="1"/>
        <v>433</v>
      </c>
      <c r="R52" s="8"/>
      <c r="T52"/>
    </row>
    <row r="53" spans="2:20" ht="23.1" customHeight="1" x14ac:dyDescent="0.25">
      <c r="B53" s="45" t="s">
        <v>80</v>
      </c>
      <c r="C53" s="50">
        <v>55</v>
      </c>
      <c r="D53" s="50">
        <v>45</v>
      </c>
      <c r="E53" s="50">
        <v>20</v>
      </c>
      <c r="F53" s="50">
        <v>25</v>
      </c>
      <c r="G53" s="50">
        <v>1</v>
      </c>
      <c r="H53" s="50">
        <v>0</v>
      </c>
      <c r="I53" s="50">
        <v>3</v>
      </c>
      <c r="J53" s="50">
        <v>4</v>
      </c>
      <c r="K53" s="50">
        <v>3</v>
      </c>
      <c r="L53" s="50">
        <v>2</v>
      </c>
      <c r="M53" s="50">
        <v>412</v>
      </c>
      <c r="N53" s="50">
        <v>0</v>
      </c>
      <c r="O53" s="15">
        <f t="shared" si="0"/>
        <v>158</v>
      </c>
      <c r="P53" s="15">
        <f t="shared" si="1"/>
        <v>570</v>
      </c>
      <c r="R53" s="8"/>
      <c r="T53"/>
    </row>
    <row r="54" spans="2:20" ht="23.1" customHeight="1" x14ac:dyDescent="0.25">
      <c r="B54" s="45" t="s">
        <v>81</v>
      </c>
      <c r="C54" s="50">
        <v>50</v>
      </c>
      <c r="D54" s="50">
        <v>30</v>
      </c>
      <c r="E54" s="50">
        <v>15</v>
      </c>
      <c r="F54" s="50">
        <v>28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418</v>
      </c>
      <c r="N54" s="50">
        <v>0</v>
      </c>
      <c r="O54" s="15">
        <f t="shared" si="0"/>
        <v>126</v>
      </c>
      <c r="P54" s="15">
        <f t="shared" si="1"/>
        <v>544</v>
      </c>
      <c r="R54" s="8"/>
      <c r="T54"/>
    </row>
    <row r="55" spans="2:20" ht="23.1" customHeight="1" x14ac:dyDescent="0.25">
      <c r="B55" s="45" t="s">
        <v>82</v>
      </c>
      <c r="C55" s="50">
        <v>30</v>
      </c>
      <c r="D55" s="50">
        <v>40</v>
      </c>
      <c r="E55" s="50">
        <v>7</v>
      </c>
      <c r="F55" s="50">
        <v>40</v>
      </c>
      <c r="G55" s="50">
        <v>1</v>
      </c>
      <c r="H55" s="50">
        <v>0</v>
      </c>
      <c r="I55" s="50">
        <v>1</v>
      </c>
      <c r="J55" s="50">
        <v>1</v>
      </c>
      <c r="K55" s="50">
        <v>0</v>
      </c>
      <c r="L55" s="50">
        <v>1</v>
      </c>
      <c r="M55" s="50">
        <v>305</v>
      </c>
      <c r="N55" s="50">
        <v>0</v>
      </c>
      <c r="O55" s="15">
        <f t="shared" si="0"/>
        <v>121</v>
      </c>
      <c r="P55" s="15">
        <f t="shared" si="1"/>
        <v>426</v>
      </c>
      <c r="R55" s="8"/>
      <c r="T55"/>
    </row>
    <row r="56" spans="2:20" ht="23.1" customHeight="1" x14ac:dyDescent="0.25">
      <c r="B56" s="45" t="s">
        <v>83</v>
      </c>
      <c r="C56" s="50">
        <v>45</v>
      </c>
      <c r="D56" s="50">
        <v>24</v>
      </c>
      <c r="E56" s="50">
        <v>13</v>
      </c>
      <c r="F56" s="50">
        <v>53</v>
      </c>
      <c r="G56" s="50">
        <v>0</v>
      </c>
      <c r="H56" s="50">
        <v>0</v>
      </c>
      <c r="I56" s="50">
        <v>1</v>
      </c>
      <c r="J56" s="50">
        <v>1</v>
      </c>
      <c r="K56" s="50">
        <v>2</v>
      </c>
      <c r="L56" s="50">
        <v>0</v>
      </c>
      <c r="M56" s="50">
        <v>400</v>
      </c>
      <c r="N56" s="50">
        <v>0</v>
      </c>
      <c r="O56" s="15">
        <f t="shared" si="0"/>
        <v>139</v>
      </c>
      <c r="P56" s="15">
        <f t="shared" si="1"/>
        <v>539</v>
      </c>
      <c r="R56" s="8"/>
      <c r="T56"/>
    </row>
    <row r="57" spans="2:20" ht="23.1" customHeight="1" x14ac:dyDescent="0.25">
      <c r="B57" s="45" t="s">
        <v>84</v>
      </c>
      <c r="C57" s="50">
        <v>29</v>
      </c>
      <c r="D57" s="50">
        <v>11</v>
      </c>
      <c r="E57" s="50">
        <v>2</v>
      </c>
      <c r="F57" s="50">
        <v>59</v>
      </c>
      <c r="G57" s="50">
        <v>0</v>
      </c>
      <c r="H57" s="50">
        <v>0</v>
      </c>
      <c r="I57" s="50">
        <v>1</v>
      </c>
      <c r="J57" s="50">
        <v>5</v>
      </c>
      <c r="K57" s="50">
        <v>2</v>
      </c>
      <c r="L57" s="50">
        <v>2</v>
      </c>
      <c r="M57" s="50">
        <v>453</v>
      </c>
      <c r="N57" s="50">
        <v>0</v>
      </c>
      <c r="O57" s="15">
        <f t="shared" si="0"/>
        <v>111</v>
      </c>
      <c r="P57" s="15">
        <f t="shared" si="1"/>
        <v>564</v>
      </c>
      <c r="R57" s="8"/>
      <c r="T57"/>
    </row>
    <row r="58" spans="2:20" ht="23.1" customHeight="1" x14ac:dyDescent="0.25">
      <c r="B58" s="45" t="s">
        <v>99</v>
      </c>
      <c r="C58" s="50">
        <v>70</v>
      </c>
      <c r="D58" s="50">
        <v>18</v>
      </c>
      <c r="E58" s="50">
        <v>6</v>
      </c>
      <c r="F58" s="50">
        <v>32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272</v>
      </c>
      <c r="N58" s="50">
        <v>0</v>
      </c>
      <c r="O58" s="15">
        <f t="shared" si="0"/>
        <v>126</v>
      </c>
      <c r="P58" s="15">
        <f t="shared" si="1"/>
        <v>398</v>
      </c>
      <c r="R58" s="8"/>
      <c r="T58"/>
    </row>
    <row r="59" spans="2:20" ht="23.1" customHeight="1" x14ac:dyDescent="0.25">
      <c r="B59" s="45" t="s">
        <v>100</v>
      </c>
      <c r="C59" s="50">
        <v>67</v>
      </c>
      <c r="D59" s="50">
        <v>15</v>
      </c>
      <c r="E59" s="50">
        <v>3</v>
      </c>
      <c r="F59" s="50">
        <v>35</v>
      </c>
      <c r="G59" s="50">
        <v>0</v>
      </c>
      <c r="H59" s="50">
        <v>0</v>
      </c>
      <c r="I59" s="50">
        <v>4</v>
      </c>
      <c r="J59" s="50">
        <v>2</v>
      </c>
      <c r="K59" s="50">
        <v>0</v>
      </c>
      <c r="L59" s="50">
        <v>2</v>
      </c>
      <c r="M59" s="50">
        <v>310</v>
      </c>
      <c r="N59" s="50">
        <v>0</v>
      </c>
      <c r="O59" s="15">
        <f t="shared" si="0"/>
        <v>128</v>
      </c>
      <c r="P59" s="15">
        <f t="shared" si="1"/>
        <v>438</v>
      </c>
      <c r="R59" s="8"/>
      <c r="T59"/>
    </row>
    <row r="60" spans="2:20" ht="23.1" customHeight="1" x14ac:dyDescent="0.25">
      <c r="B60" s="45" t="s">
        <v>101</v>
      </c>
      <c r="C60" s="50">
        <v>53</v>
      </c>
      <c r="D60" s="50">
        <v>20</v>
      </c>
      <c r="E60" s="50">
        <v>7</v>
      </c>
      <c r="F60" s="50">
        <v>32</v>
      </c>
      <c r="G60" s="50">
        <v>0</v>
      </c>
      <c r="H60" s="50">
        <v>0</v>
      </c>
      <c r="I60" s="50">
        <v>1</v>
      </c>
      <c r="J60" s="50">
        <v>1</v>
      </c>
      <c r="K60" s="50">
        <v>2</v>
      </c>
      <c r="L60" s="50">
        <v>0</v>
      </c>
      <c r="M60" s="50">
        <v>413</v>
      </c>
      <c r="N60" s="50">
        <v>0</v>
      </c>
      <c r="O60" s="15">
        <f t="shared" si="0"/>
        <v>116</v>
      </c>
      <c r="P60" s="15">
        <f t="shared" si="1"/>
        <v>529</v>
      </c>
      <c r="R60" s="8"/>
      <c r="T60"/>
    </row>
    <row r="61" spans="2:20" ht="23.1" customHeight="1" x14ac:dyDescent="0.25">
      <c r="B61" s="45" t="s">
        <v>102</v>
      </c>
      <c r="C61" s="50">
        <v>85</v>
      </c>
      <c r="D61" s="50">
        <v>43</v>
      </c>
      <c r="E61" s="50">
        <v>8</v>
      </c>
      <c r="F61" s="50">
        <v>43</v>
      </c>
      <c r="G61" s="50">
        <v>0</v>
      </c>
      <c r="H61" s="50">
        <v>0</v>
      </c>
      <c r="I61" s="50">
        <v>5</v>
      </c>
      <c r="J61" s="50">
        <v>2</v>
      </c>
      <c r="K61" s="50">
        <v>0</v>
      </c>
      <c r="L61" s="50">
        <v>2</v>
      </c>
      <c r="M61" s="50">
        <v>303</v>
      </c>
      <c r="N61" s="50">
        <v>0</v>
      </c>
      <c r="O61" s="15">
        <f t="shared" si="0"/>
        <v>188</v>
      </c>
      <c r="P61" s="15">
        <f t="shared" si="1"/>
        <v>491</v>
      </c>
      <c r="R61" s="8"/>
      <c r="T61"/>
    </row>
    <row r="62" spans="2:20" ht="23.1" customHeight="1" x14ac:dyDescent="0.25">
      <c r="B62" s="45" t="s">
        <v>107</v>
      </c>
      <c r="C62" s="50">
        <v>52</v>
      </c>
      <c r="D62" s="50">
        <v>7</v>
      </c>
      <c r="E62" s="50">
        <v>1</v>
      </c>
      <c r="F62" s="50">
        <v>38</v>
      </c>
      <c r="G62" s="50">
        <v>1</v>
      </c>
      <c r="H62" s="50">
        <v>1</v>
      </c>
      <c r="I62" s="50">
        <v>0</v>
      </c>
      <c r="J62" s="50">
        <v>0</v>
      </c>
      <c r="K62" s="50">
        <v>0</v>
      </c>
      <c r="L62" s="50">
        <v>0</v>
      </c>
      <c r="M62" s="50">
        <v>353</v>
      </c>
      <c r="N62" s="50">
        <v>0</v>
      </c>
      <c r="O62" s="15">
        <f t="shared" si="0"/>
        <v>100</v>
      </c>
      <c r="P62" s="15">
        <f t="shared" si="1"/>
        <v>453</v>
      </c>
      <c r="R62" s="8"/>
      <c r="T62"/>
    </row>
    <row r="63" spans="2:20" ht="23.1" customHeight="1" x14ac:dyDescent="0.25">
      <c r="B63" s="45" t="s">
        <v>108</v>
      </c>
      <c r="C63" s="50">
        <v>41</v>
      </c>
      <c r="D63" s="50">
        <v>23</v>
      </c>
      <c r="E63" s="50">
        <v>7</v>
      </c>
      <c r="F63" s="50">
        <v>50</v>
      </c>
      <c r="G63" s="50">
        <v>0</v>
      </c>
      <c r="H63" s="50">
        <v>0</v>
      </c>
      <c r="I63" s="50">
        <v>5</v>
      </c>
      <c r="J63" s="50">
        <v>1</v>
      </c>
      <c r="K63" s="50">
        <v>2</v>
      </c>
      <c r="L63" s="50">
        <v>1</v>
      </c>
      <c r="M63" s="50">
        <v>210</v>
      </c>
      <c r="N63" s="50">
        <v>1</v>
      </c>
      <c r="O63" s="15">
        <f t="shared" si="0"/>
        <v>131</v>
      </c>
      <c r="P63" s="15">
        <f t="shared" si="1"/>
        <v>341</v>
      </c>
      <c r="R63" s="8"/>
      <c r="T63"/>
    </row>
    <row r="64" spans="2:20" ht="23.1" customHeight="1" x14ac:dyDescent="0.25">
      <c r="B64" s="45" t="s">
        <v>109</v>
      </c>
      <c r="C64" s="50">
        <v>78</v>
      </c>
      <c r="D64" s="50">
        <v>15</v>
      </c>
      <c r="E64" s="50">
        <v>30</v>
      </c>
      <c r="F64" s="50">
        <v>35</v>
      </c>
      <c r="G64" s="50">
        <v>0</v>
      </c>
      <c r="H64" s="50">
        <v>0</v>
      </c>
      <c r="I64" s="50">
        <v>9</v>
      </c>
      <c r="J64" s="50">
        <v>3</v>
      </c>
      <c r="K64" s="50">
        <v>0</v>
      </c>
      <c r="L64" s="50">
        <v>2</v>
      </c>
      <c r="M64" s="50">
        <v>203</v>
      </c>
      <c r="N64" s="50">
        <v>0</v>
      </c>
      <c r="O64" s="15">
        <f t="shared" si="0"/>
        <v>172</v>
      </c>
      <c r="P64" s="15">
        <f t="shared" si="1"/>
        <v>375</v>
      </c>
      <c r="R64" s="8"/>
      <c r="T64"/>
    </row>
    <row r="65" spans="2:20" ht="23.1" customHeight="1" x14ac:dyDescent="0.25">
      <c r="B65" s="45" t="s">
        <v>158</v>
      </c>
      <c r="C65" s="50">
        <v>32</v>
      </c>
      <c r="D65" s="50">
        <v>10</v>
      </c>
      <c r="E65" s="50">
        <v>7</v>
      </c>
      <c r="F65" s="50">
        <v>37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2</v>
      </c>
      <c r="M65" s="50">
        <v>254</v>
      </c>
      <c r="N65" s="50">
        <v>0</v>
      </c>
      <c r="O65" s="15">
        <f t="shared" si="0"/>
        <v>93</v>
      </c>
      <c r="P65" s="15">
        <f t="shared" si="1"/>
        <v>347</v>
      </c>
      <c r="R65" s="8"/>
      <c r="T65"/>
    </row>
    <row r="66" spans="2:20" ht="23.1" customHeight="1" x14ac:dyDescent="0.25">
      <c r="B66" s="45" t="s">
        <v>103</v>
      </c>
      <c r="C66" s="50">
        <v>54</v>
      </c>
      <c r="D66" s="50">
        <v>7</v>
      </c>
      <c r="E66" s="50">
        <v>1</v>
      </c>
      <c r="F66" s="50">
        <v>57</v>
      </c>
      <c r="G66" s="50">
        <v>0</v>
      </c>
      <c r="H66" s="50">
        <v>0</v>
      </c>
      <c r="I66" s="50">
        <v>5</v>
      </c>
      <c r="J66" s="50">
        <v>1</v>
      </c>
      <c r="K66" s="50">
        <v>3</v>
      </c>
      <c r="L66" s="50">
        <v>3</v>
      </c>
      <c r="M66" s="50">
        <v>243</v>
      </c>
      <c r="N66" s="50">
        <v>0</v>
      </c>
      <c r="O66" s="15">
        <f t="shared" si="0"/>
        <v>131</v>
      </c>
      <c r="P66" s="15">
        <f t="shared" si="1"/>
        <v>374</v>
      </c>
      <c r="R66" s="8"/>
      <c r="T66"/>
    </row>
    <row r="67" spans="2:20" ht="23.1" customHeight="1" x14ac:dyDescent="0.25">
      <c r="B67" s="45" t="s">
        <v>104</v>
      </c>
      <c r="C67" s="50">
        <v>44</v>
      </c>
      <c r="D67" s="50">
        <v>1</v>
      </c>
      <c r="E67" s="50">
        <v>1</v>
      </c>
      <c r="F67" s="50">
        <v>38</v>
      </c>
      <c r="G67" s="50">
        <v>1</v>
      </c>
      <c r="H67" s="50">
        <v>0</v>
      </c>
      <c r="I67" s="50">
        <v>7</v>
      </c>
      <c r="J67" s="50">
        <v>3</v>
      </c>
      <c r="K67" s="50">
        <v>1</v>
      </c>
      <c r="L67" s="50">
        <v>2</v>
      </c>
      <c r="M67" s="50">
        <v>195</v>
      </c>
      <c r="N67" s="50">
        <v>0</v>
      </c>
      <c r="O67" s="15">
        <f t="shared" si="0"/>
        <v>98</v>
      </c>
      <c r="P67" s="15">
        <f t="shared" si="1"/>
        <v>293</v>
      </c>
      <c r="R67" s="8"/>
      <c r="T67"/>
    </row>
    <row r="68" spans="2:20" ht="23.1" customHeight="1" x14ac:dyDescent="0.25">
      <c r="B68" s="45" t="s">
        <v>105</v>
      </c>
      <c r="C68" s="50">
        <v>42</v>
      </c>
      <c r="D68" s="50">
        <v>6</v>
      </c>
      <c r="E68" s="50">
        <v>3</v>
      </c>
      <c r="F68" s="50">
        <v>30</v>
      </c>
      <c r="G68" s="50">
        <v>0</v>
      </c>
      <c r="H68" s="50">
        <v>0</v>
      </c>
      <c r="I68" s="50">
        <v>6</v>
      </c>
      <c r="J68" s="50">
        <v>2</v>
      </c>
      <c r="K68" s="50">
        <v>1</v>
      </c>
      <c r="L68" s="50">
        <v>2</v>
      </c>
      <c r="M68" s="50">
        <v>280</v>
      </c>
      <c r="N68" s="50">
        <v>0</v>
      </c>
      <c r="O68" s="15">
        <f t="shared" si="0"/>
        <v>92</v>
      </c>
      <c r="P68" s="15">
        <f t="shared" si="1"/>
        <v>372</v>
      </c>
      <c r="R68" s="8"/>
      <c r="T68"/>
    </row>
    <row r="69" spans="2:20" ht="23.1" customHeight="1" x14ac:dyDescent="0.25">
      <c r="B69" s="45" t="s">
        <v>106</v>
      </c>
      <c r="C69" s="50">
        <v>50</v>
      </c>
      <c r="D69" s="50">
        <v>18</v>
      </c>
      <c r="E69" s="50">
        <v>4</v>
      </c>
      <c r="F69" s="50">
        <v>52</v>
      </c>
      <c r="G69" s="50">
        <v>0</v>
      </c>
      <c r="H69" s="50">
        <v>0</v>
      </c>
      <c r="I69" s="50">
        <v>4</v>
      </c>
      <c r="J69" s="50">
        <v>0</v>
      </c>
      <c r="K69" s="50">
        <v>1</v>
      </c>
      <c r="L69" s="50">
        <v>2</v>
      </c>
      <c r="M69" s="50">
        <v>200</v>
      </c>
      <c r="N69" s="50">
        <v>0</v>
      </c>
      <c r="O69" s="15">
        <f t="shared" si="0"/>
        <v>131</v>
      </c>
      <c r="P69" s="15">
        <f t="shared" si="1"/>
        <v>331</v>
      </c>
      <c r="R69" s="8"/>
      <c r="T69"/>
    </row>
    <row r="70" spans="2:20" ht="23.1" customHeight="1" x14ac:dyDescent="0.25">
      <c r="B70" s="45" t="s">
        <v>110</v>
      </c>
      <c r="C70" s="50">
        <v>35</v>
      </c>
      <c r="D70" s="50">
        <v>0</v>
      </c>
      <c r="E70" s="50">
        <v>0</v>
      </c>
      <c r="F70" s="50">
        <v>13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1</v>
      </c>
      <c r="M70" s="50">
        <v>133</v>
      </c>
      <c r="N70" s="50">
        <v>0</v>
      </c>
      <c r="O70" s="15">
        <f t="shared" si="0"/>
        <v>51</v>
      </c>
      <c r="P70" s="15">
        <f t="shared" si="1"/>
        <v>184</v>
      </c>
      <c r="R70" s="8"/>
      <c r="T70"/>
    </row>
    <row r="71" spans="2:20" ht="23.1" customHeight="1" x14ac:dyDescent="0.25">
      <c r="B71" s="45" t="s">
        <v>111</v>
      </c>
      <c r="C71" s="50">
        <v>30</v>
      </c>
      <c r="D71" s="50">
        <v>0</v>
      </c>
      <c r="E71" s="50">
        <v>4</v>
      </c>
      <c r="F71" s="50">
        <v>10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224</v>
      </c>
      <c r="N71" s="50">
        <v>0</v>
      </c>
      <c r="O71" s="15">
        <f t="shared" si="0"/>
        <v>46</v>
      </c>
      <c r="P71" s="15">
        <f t="shared" si="1"/>
        <v>270</v>
      </c>
      <c r="R71" s="8"/>
      <c r="T71"/>
    </row>
    <row r="72" spans="2:20" ht="23.1" customHeight="1" x14ac:dyDescent="0.25">
      <c r="B72" s="45" t="s">
        <v>112</v>
      </c>
      <c r="C72" s="50">
        <v>60</v>
      </c>
      <c r="D72" s="50">
        <v>5</v>
      </c>
      <c r="E72" s="50">
        <v>9</v>
      </c>
      <c r="F72" s="50">
        <v>13</v>
      </c>
      <c r="G72" s="50">
        <v>0</v>
      </c>
      <c r="H72" s="50">
        <v>1</v>
      </c>
      <c r="I72" s="50">
        <v>1</v>
      </c>
      <c r="J72" s="50">
        <v>0</v>
      </c>
      <c r="K72" s="50">
        <v>0</v>
      </c>
      <c r="L72" s="50">
        <v>0</v>
      </c>
      <c r="M72" s="50">
        <v>164</v>
      </c>
      <c r="N72" s="50">
        <v>0</v>
      </c>
      <c r="O72" s="15">
        <f t="shared" si="0"/>
        <v>89</v>
      </c>
      <c r="P72" s="15">
        <f t="shared" si="1"/>
        <v>253</v>
      </c>
      <c r="R72" s="8"/>
      <c r="T72"/>
    </row>
    <row r="73" spans="2:20" ht="23.1" customHeight="1" x14ac:dyDescent="0.25">
      <c r="B73" s="45" t="s">
        <v>113</v>
      </c>
      <c r="C73" s="50">
        <v>55</v>
      </c>
      <c r="D73" s="50">
        <v>4</v>
      </c>
      <c r="E73" s="50">
        <v>0</v>
      </c>
      <c r="F73" s="50">
        <v>13</v>
      </c>
      <c r="G73" s="50">
        <v>0</v>
      </c>
      <c r="H73" s="50">
        <v>0</v>
      </c>
      <c r="I73" s="50">
        <v>0</v>
      </c>
      <c r="J73" s="50">
        <v>1</v>
      </c>
      <c r="K73" s="50">
        <v>2</v>
      </c>
      <c r="L73" s="50">
        <v>0</v>
      </c>
      <c r="M73" s="50">
        <v>70</v>
      </c>
      <c r="N73" s="50">
        <v>0</v>
      </c>
      <c r="O73" s="15">
        <f t="shared" si="0"/>
        <v>75</v>
      </c>
      <c r="P73" s="15">
        <f t="shared" si="1"/>
        <v>145</v>
      </c>
      <c r="R73" s="8"/>
      <c r="T73"/>
    </row>
    <row r="74" spans="2:20" ht="23.1" customHeight="1" x14ac:dyDescent="0.25">
      <c r="B74" s="45" t="s">
        <v>114</v>
      </c>
      <c r="C74" s="50">
        <v>60</v>
      </c>
      <c r="D74" s="50">
        <v>6</v>
      </c>
      <c r="E74" s="50">
        <v>5</v>
      </c>
      <c r="F74" s="50">
        <v>27</v>
      </c>
      <c r="G74" s="50">
        <v>0</v>
      </c>
      <c r="H74" s="50">
        <v>0</v>
      </c>
      <c r="I74" s="50">
        <v>4</v>
      </c>
      <c r="J74" s="50">
        <v>0</v>
      </c>
      <c r="K74" s="50">
        <v>2</v>
      </c>
      <c r="L74" s="50">
        <v>1</v>
      </c>
      <c r="M74" s="50">
        <v>104</v>
      </c>
      <c r="N74" s="50">
        <v>0</v>
      </c>
      <c r="O74" s="15">
        <f t="shared" ref="O74:O105" si="35">SUM(C74:L74,N74)</f>
        <v>105</v>
      </c>
      <c r="P74" s="15">
        <f t="shared" ref="P74:P105" si="36">SUM(C74:N74)</f>
        <v>209</v>
      </c>
      <c r="R74" s="8"/>
      <c r="T74"/>
    </row>
    <row r="75" spans="2:20" ht="23.1" customHeight="1" x14ac:dyDescent="0.25">
      <c r="B75" s="45" t="s">
        <v>115</v>
      </c>
      <c r="C75" s="50">
        <v>45</v>
      </c>
      <c r="D75" s="50">
        <v>9</v>
      </c>
      <c r="E75" s="50">
        <v>2</v>
      </c>
      <c r="F75" s="50">
        <v>17</v>
      </c>
      <c r="G75" s="50">
        <v>0</v>
      </c>
      <c r="H75" s="50">
        <v>0</v>
      </c>
      <c r="I75" s="50">
        <v>2</v>
      </c>
      <c r="J75" s="50">
        <v>0</v>
      </c>
      <c r="K75" s="50">
        <v>3</v>
      </c>
      <c r="L75" s="50">
        <v>1</v>
      </c>
      <c r="M75" s="50">
        <v>82</v>
      </c>
      <c r="N75" s="50">
        <v>0</v>
      </c>
      <c r="O75" s="15">
        <f t="shared" si="35"/>
        <v>79</v>
      </c>
      <c r="P75" s="15">
        <f t="shared" si="36"/>
        <v>161</v>
      </c>
      <c r="R75" s="8"/>
      <c r="T75"/>
    </row>
    <row r="76" spans="2:20" ht="23.1" customHeight="1" x14ac:dyDescent="0.25">
      <c r="B76" s="45" t="s">
        <v>116</v>
      </c>
      <c r="C76" s="50">
        <v>32</v>
      </c>
      <c r="D76" s="50">
        <v>13</v>
      </c>
      <c r="E76" s="50">
        <v>3</v>
      </c>
      <c r="F76" s="50">
        <v>6</v>
      </c>
      <c r="G76" s="50">
        <v>0</v>
      </c>
      <c r="H76" s="50">
        <v>0</v>
      </c>
      <c r="I76" s="50">
        <v>2</v>
      </c>
      <c r="J76" s="50">
        <v>0</v>
      </c>
      <c r="K76" s="50">
        <v>3</v>
      </c>
      <c r="L76" s="50">
        <v>0</v>
      </c>
      <c r="M76" s="50">
        <v>57</v>
      </c>
      <c r="N76" s="50">
        <v>0</v>
      </c>
      <c r="O76" s="15">
        <f t="shared" si="35"/>
        <v>59</v>
      </c>
      <c r="P76" s="15">
        <f t="shared" si="36"/>
        <v>116</v>
      </c>
      <c r="R76" s="8"/>
      <c r="T76"/>
    </row>
    <row r="77" spans="2:20" ht="23.1" customHeight="1" x14ac:dyDescent="0.25">
      <c r="B77" s="45" t="s">
        <v>117</v>
      </c>
      <c r="C77" s="50">
        <v>38</v>
      </c>
      <c r="D77" s="50">
        <v>10</v>
      </c>
      <c r="E77" s="50">
        <v>1</v>
      </c>
      <c r="F77" s="50">
        <v>14</v>
      </c>
      <c r="G77" s="50">
        <v>0</v>
      </c>
      <c r="H77" s="50">
        <v>0</v>
      </c>
      <c r="I77" s="50">
        <v>3</v>
      </c>
      <c r="J77" s="50">
        <v>0</v>
      </c>
      <c r="K77" s="50">
        <v>3</v>
      </c>
      <c r="L77" s="50">
        <v>2</v>
      </c>
      <c r="M77" s="50">
        <v>63</v>
      </c>
      <c r="N77" s="50">
        <v>0</v>
      </c>
      <c r="O77" s="15">
        <f t="shared" si="35"/>
        <v>71</v>
      </c>
      <c r="P77" s="15">
        <f t="shared" si="36"/>
        <v>134</v>
      </c>
      <c r="R77" s="8"/>
      <c r="T77"/>
    </row>
    <row r="78" spans="2:20" ht="23.1" customHeight="1" x14ac:dyDescent="0.25">
      <c r="B78" s="46" t="s">
        <v>118</v>
      </c>
      <c r="C78" s="50">
        <v>25</v>
      </c>
      <c r="D78" s="50">
        <v>71</v>
      </c>
      <c r="E78" s="50">
        <v>5</v>
      </c>
      <c r="F78" s="50">
        <v>15</v>
      </c>
      <c r="G78" s="50">
        <v>0</v>
      </c>
      <c r="H78" s="50">
        <v>0</v>
      </c>
      <c r="I78" s="50">
        <v>2</v>
      </c>
      <c r="J78" s="50">
        <v>0</v>
      </c>
      <c r="K78" s="50">
        <v>3</v>
      </c>
      <c r="L78" s="50">
        <v>3</v>
      </c>
      <c r="M78" s="50">
        <v>54</v>
      </c>
      <c r="N78" s="50">
        <v>0</v>
      </c>
      <c r="O78" s="15">
        <f t="shared" si="35"/>
        <v>124</v>
      </c>
      <c r="P78" s="15">
        <f t="shared" si="36"/>
        <v>178</v>
      </c>
      <c r="R78" s="8"/>
      <c r="T78"/>
    </row>
    <row r="79" spans="2:20" ht="23.1" customHeight="1" x14ac:dyDescent="0.25">
      <c r="B79" s="45" t="s">
        <v>119</v>
      </c>
      <c r="C79" s="50">
        <v>25</v>
      </c>
      <c r="D79" s="50">
        <v>2</v>
      </c>
      <c r="E79" s="50">
        <v>1</v>
      </c>
      <c r="F79" s="50">
        <v>8</v>
      </c>
      <c r="G79" s="50">
        <v>0</v>
      </c>
      <c r="H79" s="50">
        <v>0</v>
      </c>
      <c r="I79" s="50">
        <v>6</v>
      </c>
      <c r="J79" s="50">
        <v>2</v>
      </c>
      <c r="K79" s="50">
        <v>4</v>
      </c>
      <c r="L79" s="50">
        <v>2</v>
      </c>
      <c r="M79" s="50">
        <v>54</v>
      </c>
      <c r="N79" s="50">
        <v>0</v>
      </c>
      <c r="O79" s="15">
        <f t="shared" si="35"/>
        <v>50</v>
      </c>
      <c r="P79" s="15">
        <f t="shared" si="36"/>
        <v>104</v>
      </c>
      <c r="R79" s="8"/>
      <c r="T79"/>
    </row>
    <row r="80" spans="2:20" ht="23.1" customHeight="1" x14ac:dyDescent="0.25">
      <c r="B80" s="47" t="s">
        <v>120</v>
      </c>
      <c r="C80" s="50">
        <v>10</v>
      </c>
      <c r="D80" s="50">
        <v>1</v>
      </c>
      <c r="E80" s="50">
        <v>1</v>
      </c>
      <c r="F80" s="50">
        <v>4</v>
      </c>
      <c r="G80" s="50">
        <v>1</v>
      </c>
      <c r="H80" s="50">
        <v>0</v>
      </c>
      <c r="I80" s="50">
        <v>3</v>
      </c>
      <c r="J80" s="50">
        <v>0</v>
      </c>
      <c r="K80" s="50">
        <v>0</v>
      </c>
      <c r="L80" s="50">
        <v>0</v>
      </c>
      <c r="M80" s="50">
        <v>44</v>
      </c>
      <c r="N80" s="50">
        <v>0</v>
      </c>
      <c r="O80" s="15">
        <f t="shared" si="35"/>
        <v>20</v>
      </c>
      <c r="P80" s="15">
        <f t="shared" si="36"/>
        <v>64</v>
      </c>
      <c r="R80" s="8"/>
      <c r="T80"/>
    </row>
    <row r="81" spans="2:20" ht="23.1" customHeight="1" x14ac:dyDescent="0.25">
      <c r="B81" s="45" t="s">
        <v>121</v>
      </c>
      <c r="C81" s="50">
        <v>12</v>
      </c>
      <c r="D81" s="50">
        <v>1</v>
      </c>
      <c r="E81" s="50">
        <v>1</v>
      </c>
      <c r="F81" s="50">
        <v>5</v>
      </c>
      <c r="G81" s="50">
        <v>0</v>
      </c>
      <c r="H81" s="50">
        <v>0</v>
      </c>
      <c r="I81" s="50">
        <v>2</v>
      </c>
      <c r="J81" s="50">
        <v>0</v>
      </c>
      <c r="K81" s="50">
        <v>2</v>
      </c>
      <c r="L81" s="50">
        <v>0</v>
      </c>
      <c r="M81" s="50">
        <v>55</v>
      </c>
      <c r="N81" s="50">
        <v>0</v>
      </c>
      <c r="O81" s="15">
        <f t="shared" si="35"/>
        <v>23</v>
      </c>
      <c r="P81" s="15">
        <f t="shared" si="36"/>
        <v>78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2</v>
      </c>
      <c r="E82" s="50">
        <v>0</v>
      </c>
      <c r="F82" s="50">
        <v>10</v>
      </c>
      <c r="G82" s="50">
        <v>0</v>
      </c>
      <c r="H82" s="50">
        <v>0</v>
      </c>
      <c r="I82" s="50">
        <v>3</v>
      </c>
      <c r="J82" s="50">
        <v>1</v>
      </c>
      <c r="K82" s="50">
        <v>2</v>
      </c>
      <c r="L82" s="50">
        <v>0</v>
      </c>
      <c r="M82" s="50">
        <v>38</v>
      </c>
      <c r="N82" s="50">
        <v>0</v>
      </c>
      <c r="O82" s="15">
        <f t="shared" si="35"/>
        <v>33</v>
      </c>
      <c r="P82" s="15">
        <f t="shared" si="36"/>
        <v>71</v>
      </c>
      <c r="R82" s="8"/>
      <c r="T82"/>
    </row>
    <row r="83" spans="2:20" ht="23.1" customHeight="1" x14ac:dyDescent="0.25">
      <c r="B83" s="45" t="s">
        <v>123</v>
      </c>
      <c r="C83" s="50">
        <v>16</v>
      </c>
      <c r="D83" s="50">
        <v>0</v>
      </c>
      <c r="E83" s="50">
        <v>2</v>
      </c>
      <c r="F83" s="50">
        <v>0</v>
      </c>
      <c r="G83" s="50">
        <v>0</v>
      </c>
      <c r="H83" s="50">
        <v>0</v>
      </c>
      <c r="I83" s="50">
        <v>2</v>
      </c>
      <c r="J83" s="50">
        <v>1</v>
      </c>
      <c r="K83" s="50">
        <v>2</v>
      </c>
      <c r="L83" s="50">
        <v>3</v>
      </c>
      <c r="M83" s="50">
        <v>26</v>
      </c>
      <c r="N83" s="50">
        <v>0</v>
      </c>
      <c r="O83" s="15">
        <f t="shared" si="35"/>
        <v>26</v>
      </c>
      <c r="P83" s="15">
        <f t="shared" si="36"/>
        <v>52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3</v>
      </c>
      <c r="J84" s="50">
        <v>2</v>
      </c>
      <c r="K84" s="50">
        <v>2</v>
      </c>
      <c r="L84" s="50">
        <v>0</v>
      </c>
      <c r="M84" s="50">
        <v>10</v>
      </c>
      <c r="N84" s="50">
        <v>0</v>
      </c>
      <c r="O84" s="15">
        <f t="shared" si="35"/>
        <v>23</v>
      </c>
      <c r="P84" s="15">
        <f t="shared" si="36"/>
        <v>33</v>
      </c>
      <c r="R84" s="8"/>
      <c r="T84"/>
    </row>
    <row r="85" spans="2:20" ht="23.1" customHeight="1" x14ac:dyDescent="0.25">
      <c r="B85" s="45" t="s">
        <v>125</v>
      </c>
      <c r="C85" s="50">
        <v>20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2</v>
      </c>
      <c r="L85" s="50">
        <v>1</v>
      </c>
      <c r="M85" s="50">
        <v>12</v>
      </c>
      <c r="N85" s="50">
        <v>0</v>
      </c>
      <c r="O85" s="15">
        <f t="shared" si="35"/>
        <v>23</v>
      </c>
      <c r="P85" s="15">
        <f t="shared" si="36"/>
        <v>35</v>
      </c>
      <c r="R85" s="8"/>
      <c r="T85"/>
    </row>
    <row r="86" spans="2:20" ht="23.1" customHeight="1" x14ac:dyDescent="0.25">
      <c r="B86" s="46" t="s">
        <v>126</v>
      </c>
      <c r="C86" s="50">
        <v>8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2</v>
      </c>
      <c r="J86" s="50">
        <v>2</v>
      </c>
      <c r="K86" s="50">
        <v>1</v>
      </c>
      <c r="L86" s="50">
        <v>0</v>
      </c>
      <c r="M86" s="50">
        <v>12</v>
      </c>
      <c r="N86" s="50">
        <v>0</v>
      </c>
      <c r="O86" s="15">
        <f t="shared" si="35"/>
        <v>14</v>
      </c>
      <c r="P86" s="15">
        <f t="shared" si="36"/>
        <v>26</v>
      </c>
      <c r="R86" s="8"/>
      <c r="T86"/>
    </row>
    <row r="87" spans="2:20" ht="23.1" customHeight="1" x14ac:dyDescent="0.25">
      <c r="B87" s="45" t="s">
        <v>127</v>
      </c>
      <c r="C87" s="50">
        <v>4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1</v>
      </c>
      <c r="M87" s="50">
        <v>6</v>
      </c>
      <c r="N87" s="50">
        <v>0</v>
      </c>
      <c r="O87" s="15">
        <f t="shared" si="35"/>
        <v>6</v>
      </c>
      <c r="P87" s="15">
        <f t="shared" si="36"/>
        <v>12</v>
      </c>
      <c r="R87" s="8"/>
      <c r="T87"/>
    </row>
    <row r="88" spans="2:20" ht="23.1" customHeight="1" x14ac:dyDescent="0.25">
      <c r="B88" s="47" t="s">
        <v>128</v>
      </c>
      <c r="C88" s="50">
        <v>15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15</v>
      </c>
      <c r="P88" s="15">
        <f t="shared" si="36"/>
        <v>15</v>
      </c>
      <c r="R88" s="8"/>
      <c r="T88"/>
    </row>
    <row r="89" spans="2:20" ht="23.1" customHeight="1" x14ac:dyDescent="0.25">
      <c r="B89" s="45" t="s">
        <v>129</v>
      </c>
      <c r="C89" s="50">
        <v>17</v>
      </c>
      <c r="D89" s="50">
        <v>1</v>
      </c>
      <c r="E89" s="50">
        <v>0</v>
      </c>
      <c r="F89" s="50">
        <v>2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21</v>
      </c>
      <c r="P89" s="15">
        <f t="shared" si="36"/>
        <v>23</v>
      </c>
      <c r="R89" s="8"/>
      <c r="T89"/>
    </row>
    <row r="90" spans="2:20" ht="23.1" customHeight="1" x14ac:dyDescent="0.25">
      <c r="B90" s="46" t="s">
        <v>130</v>
      </c>
      <c r="C90" s="50">
        <v>10</v>
      </c>
      <c r="D90" s="50">
        <v>3</v>
      </c>
      <c r="E90" s="50">
        <v>2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5">
        <f t="shared" si="35"/>
        <v>16</v>
      </c>
      <c r="P90" s="15">
        <f t="shared" si="36"/>
        <v>21</v>
      </c>
      <c r="R90" s="8"/>
      <c r="T90"/>
    </row>
    <row r="91" spans="2:20" ht="23.1" customHeight="1" x14ac:dyDescent="0.25">
      <c r="B91" s="45" t="s">
        <v>131</v>
      </c>
      <c r="C91" s="50">
        <v>13</v>
      </c>
      <c r="D91" s="50">
        <v>1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6</v>
      </c>
      <c r="N91" s="50">
        <v>0</v>
      </c>
      <c r="O91" s="15">
        <f t="shared" si="35"/>
        <v>16</v>
      </c>
      <c r="P91" s="15">
        <f t="shared" si="36"/>
        <v>22</v>
      </c>
      <c r="R91" s="8"/>
      <c r="T91"/>
    </row>
    <row r="92" spans="2:20" ht="23.1" customHeight="1" x14ac:dyDescent="0.25">
      <c r="B92" s="47" t="s">
        <v>132</v>
      </c>
      <c r="C92" s="50">
        <v>7</v>
      </c>
      <c r="D92" s="50">
        <v>0</v>
      </c>
      <c r="E92" s="50">
        <v>1</v>
      </c>
      <c r="F92" s="50">
        <v>3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6</v>
      </c>
      <c r="N92" s="50">
        <v>0</v>
      </c>
      <c r="O92" s="15">
        <f t="shared" si="35"/>
        <v>11</v>
      </c>
      <c r="P92" s="15">
        <f t="shared" si="36"/>
        <v>17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1</v>
      </c>
      <c r="F93" s="50">
        <v>1</v>
      </c>
      <c r="G93" s="50">
        <v>0</v>
      </c>
      <c r="H93" s="50">
        <v>0</v>
      </c>
      <c r="I93" s="50">
        <v>1</v>
      </c>
      <c r="J93" s="50">
        <v>2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7</v>
      </c>
      <c r="P93" s="15">
        <f t="shared" si="36"/>
        <v>10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1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9</v>
      </c>
      <c r="N94" s="50">
        <v>0</v>
      </c>
      <c r="O94" s="15">
        <f t="shared" si="35"/>
        <v>9</v>
      </c>
      <c r="P94" s="15">
        <f t="shared" si="36"/>
        <v>18</v>
      </c>
      <c r="R94" s="8"/>
      <c r="T94"/>
    </row>
    <row r="95" spans="2:20" ht="23.1" customHeight="1" x14ac:dyDescent="0.25">
      <c r="B95" s="45" t="s">
        <v>135</v>
      </c>
      <c r="C95" s="50">
        <v>7</v>
      </c>
      <c r="D95" s="50">
        <v>0</v>
      </c>
      <c r="E95" s="50">
        <v>2</v>
      </c>
      <c r="F95" s="50">
        <v>4</v>
      </c>
      <c r="G95" s="50">
        <v>0</v>
      </c>
      <c r="H95" s="50">
        <v>0</v>
      </c>
      <c r="I95" s="50">
        <v>1</v>
      </c>
      <c r="J95" s="50">
        <v>2</v>
      </c>
      <c r="K95" s="50">
        <v>0</v>
      </c>
      <c r="L95" s="50">
        <v>0</v>
      </c>
      <c r="M95" s="50">
        <v>19</v>
      </c>
      <c r="N95" s="50">
        <v>0</v>
      </c>
      <c r="O95" s="15">
        <f t="shared" si="35"/>
        <v>16</v>
      </c>
      <c r="P95" s="15">
        <f t="shared" si="36"/>
        <v>35</v>
      </c>
      <c r="R95" s="8"/>
      <c r="T95"/>
    </row>
    <row r="96" spans="2:20" ht="23.1" customHeight="1" x14ac:dyDescent="0.25">
      <c r="B96" s="47" t="s">
        <v>136</v>
      </c>
      <c r="C96" s="50">
        <v>14</v>
      </c>
      <c r="D96" s="50">
        <v>3</v>
      </c>
      <c r="E96" s="50">
        <v>0</v>
      </c>
      <c r="F96" s="50">
        <v>3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10</v>
      </c>
      <c r="N96" s="50">
        <v>0</v>
      </c>
      <c r="O96" s="15">
        <f t="shared" si="35"/>
        <v>20</v>
      </c>
      <c r="P96" s="15">
        <f t="shared" si="36"/>
        <v>30</v>
      </c>
      <c r="R96" s="8"/>
      <c r="T96"/>
    </row>
    <row r="97" spans="2:20" ht="23.1" customHeight="1" x14ac:dyDescent="0.25">
      <c r="B97" s="45" t="s">
        <v>137</v>
      </c>
      <c r="C97" s="50">
        <v>8</v>
      </c>
      <c r="D97" s="50">
        <v>0</v>
      </c>
      <c r="E97" s="50">
        <v>0</v>
      </c>
      <c r="F97" s="50">
        <v>3</v>
      </c>
      <c r="G97" s="50">
        <v>0</v>
      </c>
      <c r="H97" s="50">
        <v>0</v>
      </c>
      <c r="I97" s="50">
        <v>3</v>
      </c>
      <c r="J97" s="50">
        <v>0</v>
      </c>
      <c r="K97" s="50">
        <v>0</v>
      </c>
      <c r="L97" s="50">
        <v>0</v>
      </c>
      <c r="M97" s="50">
        <v>21</v>
      </c>
      <c r="N97" s="50">
        <v>0</v>
      </c>
      <c r="O97" s="15">
        <f t="shared" si="35"/>
        <v>14</v>
      </c>
      <c r="P97" s="15">
        <f t="shared" si="36"/>
        <v>35</v>
      </c>
      <c r="R97" s="8"/>
      <c r="T97"/>
    </row>
    <row r="98" spans="2:20" ht="23.1" customHeight="1" x14ac:dyDescent="0.25">
      <c r="B98" s="46" t="s">
        <v>138</v>
      </c>
      <c r="C98" s="50">
        <v>11</v>
      </c>
      <c r="D98" s="50">
        <v>2</v>
      </c>
      <c r="E98" s="50">
        <v>0</v>
      </c>
      <c r="F98" s="50">
        <v>6</v>
      </c>
      <c r="G98" s="50">
        <v>0</v>
      </c>
      <c r="H98" s="50">
        <v>0</v>
      </c>
      <c r="I98" s="50">
        <v>1</v>
      </c>
      <c r="J98" s="50">
        <v>1</v>
      </c>
      <c r="K98" s="50">
        <v>1</v>
      </c>
      <c r="L98" s="50">
        <v>0</v>
      </c>
      <c r="M98" s="50">
        <v>27</v>
      </c>
      <c r="N98" s="50">
        <v>0</v>
      </c>
      <c r="O98" s="15">
        <f t="shared" si="35"/>
        <v>22</v>
      </c>
      <c r="P98" s="15">
        <f t="shared" si="36"/>
        <v>49</v>
      </c>
      <c r="R98" s="8"/>
      <c r="T98"/>
    </row>
    <row r="99" spans="2:20" ht="23.1" customHeight="1" x14ac:dyDescent="0.25">
      <c r="B99" s="45" t="s">
        <v>139</v>
      </c>
      <c r="C99" s="50">
        <v>16</v>
      </c>
      <c r="D99" s="50">
        <v>1</v>
      </c>
      <c r="E99" s="50">
        <v>10</v>
      </c>
      <c r="F99" s="50">
        <v>0</v>
      </c>
      <c r="G99" s="50">
        <v>0</v>
      </c>
      <c r="H99" s="50">
        <v>0</v>
      </c>
      <c r="I99" s="50">
        <v>3</v>
      </c>
      <c r="J99" s="50">
        <v>1</v>
      </c>
      <c r="K99" s="50">
        <v>1</v>
      </c>
      <c r="L99" s="50">
        <v>0</v>
      </c>
      <c r="M99" s="50">
        <v>29</v>
      </c>
      <c r="N99" s="50">
        <v>0</v>
      </c>
      <c r="O99" s="15">
        <f t="shared" si="35"/>
        <v>32</v>
      </c>
      <c r="P99" s="15">
        <f t="shared" si="36"/>
        <v>61</v>
      </c>
      <c r="R99" s="8"/>
      <c r="T99"/>
    </row>
    <row r="100" spans="2:20" ht="23.1" customHeight="1" x14ac:dyDescent="0.25">
      <c r="B100" s="47" t="s">
        <v>140</v>
      </c>
      <c r="C100" s="50">
        <v>8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11</v>
      </c>
      <c r="J100" s="50">
        <v>0</v>
      </c>
      <c r="K100" s="50">
        <v>0</v>
      </c>
      <c r="L100" s="50">
        <v>0</v>
      </c>
      <c r="M100" s="50">
        <v>31</v>
      </c>
      <c r="N100" s="50">
        <v>0</v>
      </c>
      <c r="O100" s="15">
        <f t="shared" si="35"/>
        <v>19</v>
      </c>
      <c r="P100" s="15">
        <f t="shared" si="36"/>
        <v>50</v>
      </c>
      <c r="R100" s="8"/>
      <c r="T100"/>
    </row>
    <row r="101" spans="2:20" ht="23.1" customHeight="1" x14ac:dyDescent="0.25">
      <c r="B101" s="45" t="s">
        <v>141</v>
      </c>
      <c r="C101" s="50">
        <v>9</v>
      </c>
      <c r="D101" s="50">
        <v>0</v>
      </c>
      <c r="E101" s="50">
        <v>0</v>
      </c>
      <c r="F101" s="50">
        <v>13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1</v>
      </c>
      <c r="M101" s="50">
        <v>40</v>
      </c>
      <c r="N101" s="50">
        <v>0</v>
      </c>
      <c r="O101" s="15">
        <f t="shared" si="35"/>
        <v>24</v>
      </c>
      <c r="P101" s="15">
        <f t="shared" si="36"/>
        <v>64</v>
      </c>
      <c r="R101" s="8"/>
      <c r="T101"/>
    </row>
    <row r="102" spans="2:20" ht="23.1" customHeight="1" x14ac:dyDescent="0.25">
      <c r="B102" s="46" t="s">
        <v>142</v>
      </c>
      <c r="C102" s="50">
        <v>10</v>
      </c>
      <c r="D102" s="50">
        <v>1</v>
      </c>
      <c r="E102" s="50">
        <v>0</v>
      </c>
      <c r="F102" s="50">
        <v>11</v>
      </c>
      <c r="G102" s="50">
        <v>0</v>
      </c>
      <c r="H102" s="50">
        <v>0</v>
      </c>
      <c r="I102" s="50">
        <v>1</v>
      </c>
      <c r="J102" s="50">
        <v>1</v>
      </c>
      <c r="K102" s="50">
        <v>0</v>
      </c>
      <c r="L102" s="50">
        <v>0</v>
      </c>
      <c r="M102" s="50">
        <v>39</v>
      </c>
      <c r="N102" s="50">
        <v>0</v>
      </c>
      <c r="O102" s="15">
        <f t="shared" si="35"/>
        <v>24</v>
      </c>
      <c r="P102" s="15">
        <f t="shared" si="36"/>
        <v>63</v>
      </c>
      <c r="R102" s="8"/>
      <c r="T102"/>
    </row>
    <row r="103" spans="2:20" ht="23.1" customHeight="1" x14ac:dyDescent="0.25">
      <c r="B103" s="45" t="s">
        <v>143</v>
      </c>
      <c r="C103" s="50">
        <v>12</v>
      </c>
      <c r="D103" s="50">
        <v>0</v>
      </c>
      <c r="E103" s="50">
        <v>0</v>
      </c>
      <c r="F103" s="50">
        <v>15</v>
      </c>
      <c r="G103" s="50">
        <v>0</v>
      </c>
      <c r="H103" s="50">
        <v>0</v>
      </c>
      <c r="I103" s="50">
        <v>3</v>
      </c>
      <c r="J103" s="50">
        <v>2</v>
      </c>
      <c r="K103" s="50">
        <v>1</v>
      </c>
      <c r="L103" s="50">
        <v>0</v>
      </c>
      <c r="M103" s="50">
        <v>42</v>
      </c>
      <c r="N103" s="50">
        <v>0</v>
      </c>
      <c r="O103" s="15">
        <f t="shared" si="35"/>
        <v>33</v>
      </c>
      <c r="P103" s="15">
        <f t="shared" si="36"/>
        <v>75</v>
      </c>
      <c r="R103" s="8"/>
      <c r="T103"/>
    </row>
    <row r="104" spans="2:20" ht="23.1" customHeight="1" x14ac:dyDescent="0.25">
      <c r="B104" s="47" t="s">
        <v>144</v>
      </c>
      <c r="C104" s="50">
        <v>13</v>
      </c>
      <c r="D104" s="50">
        <v>3</v>
      </c>
      <c r="E104" s="50">
        <v>0</v>
      </c>
      <c r="F104" s="50">
        <v>16</v>
      </c>
      <c r="G104" s="50">
        <v>0</v>
      </c>
      <c r="H104" s="50">
        <v>0</v>
      </c>
      <c r="I104" s="50">
        <v>3</v>
      </c>
      <c r="J104" s="50">
        <v>2</v>
      </c>
      <c r="K104" s="50">
        <v>0</v>
      </c>
      <c r="L104" s="50">
        <v>0</v>
      </c>
      <c r="M104" s="50">
        <v>48</v>
      </c>
      <c r="N104" s="50">
        <v>0</v>
      </c>
      <c r="O104" s="15">
        <f t="shared" si="35"/>
        <v>37</v>
      </c>
      <c r="P104" s="15">
        <f t="shared" si="36"/>
        <v>85</v>
      </c>
      <c r="R104" s="8"/>
      <c r="T104"/>
    </row>
    <row r="105" spans="2:20" ht="23.1" customHeight="1" x14ac:dyDescent="0.25">
      <c r="B105" s="45" t="s">
        <v>145</v>
      </c>
      <c r="C105" s="50">
        <v>13</v>
      </c>
      <c r="D105" s="50">
        <v>4</v>
      </c>
      <c r="E105" s="50">
        <v>0</v>
      </c>
      <c r="F105" s="50">
        <v>17</v>
      </c>
      <c r="G105" s="50">
        <v>1</v>
      </c>
      <c r="H105" s="50">
        <v>0</v>
      </c>
      <c r="I105" s="50">
        <v>2</v>
      </c>
      <c r="J105" s="50">
        <v>2</v>
      </c>
      <c r="K105" s="50">
        <v>1</v>
      </c>
      <c r="L105" s="50">
        <v>0</v>
      </c>
      <c r="M105" s="50">
        <v>83</v>
      </c>
      <c r="N105" s="50">
        <v>0</v>
      </c>
      <c r="O105" s="15">
        <f t="shared" si="35"/>
        <v>40</v>
      </c>
      <c r="P105" s="15">
        <f t="shared" si="36"/>
        <v>123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2888</v>
      </c>
      <c r="D106" s="16">
        <f t="shared" ref="D106:P106" si="37">SUM(D10:D105)</f>
        <v>1173</v>
      </c>
      <c r="E106" s="16">
        <f t="shared" si="37"/>
        <v>500</v>
      </c>
      <c r="F106" s="16">
        <f t="shared" si="37"/>
        <v>2469</v>
      </c>
      <c r="G106" s="16">
        <f t="shared" si="37"/>
        <v>27</v>
      </c>
      <c r="H106" s="16">
        <f t="shared" si="37"/>
        <v>12</v>
      </c>
      <c r="I106" s="16">
        <f t="shared" si="37"/>
        <v>301</v>
      </c>
      <c r="J106" s="16">
        <f t="shared" si="37"/>
        <v>233</v>
      </c>
      <c r="K106" s="16">
        <f t="shared" si="37"/>
        <v>184</v>
      </c>
      <c r="L106" s="16">
        <f t="shared" si="37"/>
        <v>145</v>
      </c>
      <c r="M106" s="16">
        <f t="shared" si="37"/>
        <v>21437</v>
      </c>
      <c r="N106" s="16">
        <f t="shared" si="37"/>
        <v>4</v>
      </c>
      <c r="O106" s="16">
        <f t="shared" si="37"/>
        <v>7936</v>
      </c>
      <c r="P106" s="16">
        <f t="shared" si="37"/>
        <v>29373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9.8321587852789979E-2</v>
      </c>
      <c r="D107" s="43">
        <f t="shared" si="38"/>
        <v>3.9934633847410889E-2</v>
      </c>
      <c r="E107" s="43">
        <f t="shared" si="38"/>
        <v>1.7022435570081366E-2</v>
      </c>
      <c r="F107" s="43">
        <f t="shared" si="38"/>
        <v>8.4056786845061793E-2</v>
      </c>
      <c r="G107" s="43">
        <f t="shared" si="38"/>
        <v>9.1921152078439387E-4</v>
      </c>
      <c r="H107" s="43">
        <f t="shared" si="38"/>
        <v>4.085384536819528E-4</v>
      </c>
      <c r="I107" s="43">
        <f t="shared" si="38"/>
        <v>1.0247506213188984E-2</v>
      </c>
      <c r="J107" s="43">
        <f t="shared" si="38"/>
        <v>7.9324549756579175E-3</v>
      </c>
      <c r="K107" s="43">
        <f t="shared" si="38"/>
        <v>6.2642562897899431E-3</v>
      </c>
      <c r="L107" s="43">
        <f t="shared" si="38"/>
        <v>4.9365063153235965E-3</v>
      </c>
      <c r="M107" s="43">
        <f t="shared" si="38"/>
        <v>0.72981990263166852</v>
      </c>
      <c r="N107" s="43">
        <f t="shared" si="38"/>
        <v>1.3617948456065093E-4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0.36391129032258063</v>
      </c>
      <c r="D108" s="44">
        <f t="shared" ref="D108:N108" si="39">D106/$O$106</f>
        <v>0.14780745967741934</v>
      </c>
      <c r="E108" s="44">
        <f t="shared" si="39"/>
        <v>6.3004032258064516E-2</v>
      </c>
      <c r="F108" s="44">
        <f t="shared" si="39"/>
        <v>0.31111391129032256</v>
      </c>
      <c r="G108" s="44">
        <f t="shared" si="39"/>
        <v>3.4022177419354839E-3</v>
      </c>
      <c r="H108" s="44">
        <f t="shared" si="39"/>
        <v>1.5120967741935483E-3</v>
      </c>
      <c r="I108" s="44">
        <f t="shared" si="39"/>
        <v>3.7928427419354836E-2</v>
      </c>
      <c r="J108" s="44">
        <f t="shared" si="39"/>
        <v>2.9359879032258066E-2</v>
      </c>
      <c r="K108" s="44">
        <f t="shared" si="39"/>
        <v>2.3185483870967742E-2</v>
      </c>
      <c r="L108" s="44">
        <f t="shared" si="39"/>
        <v>1.8271169354838711E-2</v>
      </c>
      <c r="M108" s="44"/>
      <c r="N108" s="44">
        <f t="shared" si="39"/>
        <v>5.0403225806451612E-4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I106" sqref="I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ClockTower-Nsambya-24h'!D5</f>
        <v>03.08.19</v>
      </c>
      <c r="E5" s="3"/>
      <c r="F5" s="41" t="s">
        <v>1</v>
      </c>
      <c r="G5" s="60" t="str">
        <f>'03.08 ClockTower-Nsambya-24h'!G5:H5</f>
        <v>Gapco</v>
      </c>
      <c r="H5" s="61"/>
      <c r="I5" s="14"/>
      <c r="J5" s="2" t="s">
        <v>5</v>
      </c>
      <c r="K5" s="60" t="str">
        <f>'03.08 ClockTower-Nsambya-24h'!K5:L5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Nsambya-ClockTower'!D6:E6</f>
        <v>Nsambya</v>
      </c>
      <c r="E6" s="61"/>
      <c r="F6" s="2" t="s">
        <v>2</v>
      </c>
      <c r="G6" s="60" t="str">
        <f>'29.07 Nsambya-ClockTower'!G6:H6</f>
        <v>ClockTower</v>
      </c>
      <c r="H6" s="61"/>
      <c r="J6" s="2" t="s">
        <v>21</v>
      </c>
      <c r="K6" s="60" t="str">
        <f>'03.08 ClockTower-Nsambya-24h'!K6:L6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75</v>
      </c>
      <c r="D10" s="50">
        <v>13</v>
      </c>
      <c r="E10" s="50">
        <v>14</v>
      </c>
      <c r="F10" s="50">
        <v>105</v>
      </c>
      <c r="G10" s="50">
        <v>1</v>
      </c>
      <c r="H10" s="50">
        <v>0</v>
      </c>
      <c r="I10" s="50">
        <v>10</v>
      </c>
      <c r="J10" s="50">
        <v>5</v>
      </c>
      <c r="K10" s="50">
        <v>6</v>
      </c>
      <c r="L10" s="50">
        <v>1</v>
      </c>
      <c r="M10" s="50">
        <v>360</v>
      </c>
      <c r="N10" s="50">
        <v>0</v>
      </c>
      <c r="O10" s="15">
        <f t="shared" ref="O10:O73" si="0">SUM(C10:L10,N10)</f>
        <v>230</v>
      </c>
      <c r="P10" s="15">
        <f t="shared" ref="P10:P73" si="1">SUM(C10:N10)</f>
        <v>590</v>
      </c>
      <c r="R10" s="1" t="s">
        <v>6</v>
      </c>
      <c r="S10" s="17">
        <f t="shared" ref="S10:AF10" si="2">SUM(C10:C13)</f>
        <v>338</v>
      </c>
      <c r="T10" s="17">
        <f t="shared" si="2"/>
        <v>52</v>
      </c>
      <c r="U10" s="17">
        <f t="shared" si="2"/>
        <v>54</v>
      </c>
      <c r="V10" s="17">
        <f t="shared" si="2"/>
        <v>510</v>
      </c>
      <c r="W10" s="17">
        <f t="shared" si="2"/>
        <v>9</v>
      </c>
      <c r="X10" s="17">
        <f t="shared" si="2"/>
        <v>0</v>
      </c>
      <c r="Y10" s="17">
        <f t="shared" si="2"/>
        <v>28</v>
      </c>
      <c r="Z10" s="17">
        <f t="shared" si="2"/>
        <v>18</v>
      </c>
      <c r="AA10" s="17">
        <f t="shared" si="2"/>
        <v>19</v>
      </c>
      <c r="AB10" s="17">
        <f t="shared" si="2"/>
        <v>17</v>
      </c>
      <c r="AC10" s="17">
        <f t="shared" si="2"/>
        <v>1619</v>
      </c>
      <c r="AD10" s="17">
        <f t="shared" si="2"/>
        <v>1</v>
      </c>
      <c r="AE10" s="31">
        <f t="shared" si="2"/>
        <v>1046</v>
      </c>
      <c r="AF10" s="31">
        <f t="shared" si="2"/>
        <v>2665</v>
      </c>
    </row>
    <row r="11" spans="2:32" s="6" customFormat="1" ht="23.1" customHeight="1" x14ac:dyDescent="0.25">
      <c r="B11" s="45" t="s">
        <v>38</v>
      </c>
      <c r="C11" s="50">
        <v>88</v>
      </c>
      <c r="D11" s="50">
        <v>18</v>
      </c>
      <c r="E11" s="50">
        <v>16</v>
      </c>
      <c r="F11" s="50">
        <v>145</v>
      </c>
      <c r="G11" s="50">
        <v>2</v>
      </c>
      <c r="H11" s="50">
        <v>0</v>
      </c>
      <c r="I11" s="50">
        <v>6</v>
      </c>
      <c r="J11" s="50">
        <v>3</v>
      </c>
      <c r="K11" s="50">
        <v>5</v>
      </c>
      <c r="L11" s="50">
        <v>4</v>
      </c>
      <c r="M11" s="50">
        <v>385</v>
      </c>
      <c r="N11" s="50">
        <v>0</v>
      </c>
      <c r="O11" s="15">
        <f t="shared" si="0"/>
        <v>287</v>
      </c>
      <c r="P11" s="15">
        <f t="shared" si="1"/>
        <v>672</v>
      </c>
      <c r="R11" s="1" t="s">
        <v>7</v>
      </c>
      <c r="S11" s="17">
        <f t="shared" ref="S11:AF11" si="3">SUM(C14:C17)</f>
        <v>271</v>
      </c>
      <c r="T11" s="17">
        <f t="shared" si="3"/>
        <v>53</v>
      </c>
      <c r="U11" s="17">
        <f t="shared" si="3"/>
        <v>33</v>
      </c>
      <c r="V11" s="17">
        <f t="shared" si="3"/>
        <v>395</v>
      </c>
      <c r="W11" s="17">
        <f t="shared" si="3"/>
        <v>5</v>
      </c>
      <c r="X11" s="17">
        <f t="shared" si="3"/>
        <v>0</v>
      </c>
      <c r="Y11" s="17">
        <f t="shared" si="3"/>
        <v>34</v>
      </c>
      <c r="Z11" s="17">
        <f t="shared" si="3"/>
        <v>19</v>
      </c>
      <c r="AA11" s="17">
        <f t="shared" si="3"/>
        <v>10</v>
      </c>
      <c r="AB11" s="17">
        <f t="shared" si="3"/>
        <v>14</v>
      </c>
      <c r="AC11" s="17">
        <f t="shared" si="3"/>
        <v>1537</v>
      </c>
      <c r="AD11" s="17">
        <f t="shared" si="3"/>
        <v>0</v>
      </c>
      <c r="AE11" s="31">
        <f t="shared" si="3"/>
        <v>834</v>
      </c>
      <c r="AF11" s="31">
        <f t="shared" si="3"/>
        <v>2371</v>
      </c>
    </row>
    <row r="12" spans="2:32" ht="23.1" customHeight="1" x14ac:dyDescent="0.25">
      <c r="B12" s="45" t="s">
        <v>39</v>
      </c>
      <c r="C12" s="50">
        <v>75</v>
      </c>
      <c r="D12" s="50">
        <v>9</v>
      </c>
      <c r="E12" s="50">
        <v>15</v>
      </c>
      <c r="F12" s="50">
        <v>150</v>
      </c>
      <c r="G12" s="50">
        <v>2</v>
      </c>
      <c r="H12" s="50">
        <v>0</v>
      </c>
      <c r="I12" s="50">
        <v>6</v>
      </c>
      <c r="J12" s="50">
        <v>3</v>
      </c>
      <c r="K12" s="50">
        <v>5</v>
      </c>
      <c r="L12" s="50">
        <v>4</v>
      </c>
      <c r="M12" s="50">
        <v>409</v>
      </c>
      <c r="N12" s="50">
        <v>0</v>
      </c>
      <c r="O12" s="15">
        <f t="shared" si="0"/>
        <v>269</v>
      </c>
      <c r="P12" s="15">
        <f t="shared" si="1"/>
        <v>678</v>
      </c>
      <c r="R12" s="1" t="s">
        <v>8</v>
      </c>
      <c r="S12" s="17">
        <f t="shared" ref="S12:AF12" si="4">SUM(C18:C21)</f>
        <v>117</v>
      </c>
      <c r="T12" s="17">
        <f t="shared" si="4"/>
        <v>49</v>
      </c>
      <c r="U12" s="17">
        <f t="shared" si="4"/>
        <v>26</v>
      </c>
      <c r="V12" s="17">
        <f t="shared" si="4"/>
        <v>292</v>
      </c>
      <c r="W12" s="17">
        <f t="shared" si="4"/>
        <v>6</v>
      </c>
      <c r="X12" s="17">
        <f t="shared" si="4"/>
        <v>0</v>
      </c>
      <c r="Y12" s="17">
        <f t="shared" si="4"/>
        <v>43</v>
      </c>
      <c r="Z12" s="17">
        <f t="shared" si="4"/>
        <v>20</v>
      </c>
      <c r="AA12" s="17">
        <f t="shared" si="4"/>
        <v>16</v>
      </c>
      <c r="AB12" s="17">
        <f t="shared" si="4"/>
        <v>19</v>
      </c>
      <c r="AC12" s="17">
        <f t="shared" si="4"/>
        <v>1750</v>
      </c>
      <c r="AD12" s="17">
        <f t="shared" si="4"/>
        <v>1</v>
      </c>
      <c r="AE12" s="31">
        <f t="shared" si="4"/>
        <v>589</v>
      </c>
      <c r="AF12" s="31">
        <f t="shared" si="4"/>
        <v>2339</v>
      </c>
    </row>
    <row r="13" spans="2:32" ht="23.1" customHeight="1" x14ac:dyDescent="0.25">
      <c r="B13" s="45" t="s">
        <v>40</v>
      </c>
      <c r="C13" s="50">
        <v>100</v>
      </c>
      <c r="D13" s="50">
        <v>12</v>
      </c>
      <c r="E13" s="50">
        <v>9</v>
      </c>
      <c r="F13" s="50">
        <v>110</v>
      </c>
      <c r="G13" s="50">
        <v>4</v>
      </c>
      <c r="H13" s="50">
        <v>0</v>
      </c>
      <c r="I13" s="50">
        <v>6</v>
      </c>
      <c r="J13" s="50">
        <v>7</v>
      </c>
      <c r="K13" s="50">
        <v>3</v>
      </c>
      <c r="L13" s="50">
        <v>8</v>
      </c>
      <c r="M13" s="50">
        <v>465</v>
      </c>
      <c r="N13" s="50">
        <v>1</v>
      </c>
      <c r="O13" s="15">
        <f t="shared" si="0"/>
        <v>260</v>
      </c>
      <c r="P13" s="15">
        <f t="shared" si="1"/>
        <v>725</v>
      </c>
      <c r="R13" s="1" t="s">
        <v>9</v>
      </c>
      <c r="S13" s="17">
        <f t="shared" ref="S13:AF13" si="5">SUM(C22:C25)</f>
        <v>255</v>
      </c>
      <c r="T13" s="17">
        <f t="shared" si="5"/>
        <v>54</v>
      </c>
      <c r="U13" s="17">
        <f t="shared" si="5"/>
        <v>44</v>
      </c>
      <c r="V13" s="17">
        <f t="shared" si="5"/>
        <v>344</v>
      </c>
      <c r="W13" s="17">
        <f t="shared" si="5"/>
        <v>7</v>
      </c>
      <c r="X13" s="17">
        <f t="shared" si="5"/>
        <v>0</v>
      </c>
      <c r="Y13" s="17">
        <f t="shared" si="5"/>
        <v>44</v>
      </c>
      <c r="Z13" s="17">
        <f t="shared" si="5"/>
        <v>22</v>
      </c>
      <c r="AA13" s="17">
        <f t="shared" si="5"/>
        <v>11</v>
      </c>
      <c r="AB13" s="17">
        <f t="shared" si="5"/>
        <v>13</v>
      </c>
      <c r="AC13" s="17">
        <f t="shared" si="5"/>
        <v>1230</v>
      </c>
      <c r="AD13" s="17">
        <f t="shared" si="5"/>
        <v>0</v>
      </c>
      <c r="AE13" s="31">
        <f t="shared" si="5"/>
        <v>794</v>
      </c>
      <c r="AF13" s="31">
        <f t="shared" si="5"/>
        <v>2024</v>
      </c>
    </row>
    <row r="14" spans="2:32" ht="23.1" customHeight="1" x14ac:dyDescent="0.25">
      <c r="B14" s="45" t="s">
        <v>41</v>
      </c>
      <c r="C14" s="50">
        <v>100</v>
      </c>
      <c r="D14" s="50">
        <v>23</v>
      </c>
      <c r="E14" s="50">
        <v>5</v>
      </c>
      <c r="F14" s="50">
        <v>80</v>
      </c>
      <c r="G14" s="50">
        <v>1</v>
      </c>
      <c r="H14" s="50">
        <v>0</v>
      </c>
      <c r="I14" s="50">
        <v>13</v>
      </c>
      <c r="J14" s="50">
        <v>3</v>
      </c>
      <c r="K14" s="50">
        <v>2</v>
      </c>
      <c r="L14" s="50">
        <v>1</v>
      </c>
      <c r="M14" s="50">
        <v>369</v>
      </c>
      <c r="N14" s="50">
        <v>0</v>
      </c>
      <c r="O14" s="15">
        <f t="shared" si="0"/>
        <v>228</v>
      </c>
      <c r="P14" s="15">
        <f t="shared" si="1"/>
        <v>597</v>
      </c>
      <c r="R14" s="1" t="s">
        <v>10</v>
      </c>
      <c r="S14" s="17">
        <f t="shared" ref="S14:AF14" si="6">SUM(C26:C29)</f>
        <v>176</v>
      </c>
      <c r="T14" s="17">
        <f t="shared" si="6"/>
        <v>79</v>
      </c>
      <c r="U14" s="17">
        <f t="shared" si="6"/>
        <v>38</v>
      </c>
      <c r="V14" s="17">
        <f t="shared" si="6"/>
        <v>295</v>
      </c>
      <c r="W14" s="17">
        <f t="shared" si="6"/>
        <v>6</v>
      </c>
      <c r="X14" s="17">
        <f t="shared" si="6"/>
        <v>1</v>
      </c>
      <c r="Y14" s="17">
        <f t="shared" si="6"/>
        <v>22</v>
      </c>
      <c r="Z14" s="17">
        <f t="shared" si="6"/>
        <v>17</v>
      </c>
      <c r="AA14" s="17">
        <f t="shared" si="6"/>
        <v>9</v>
      </c>
      <c r="AB14" s="17">
        <f t="shared" si="6"/>
        <v>14</v>
      </c>
      <c r="AC14" s="17">
        <f t="shared" si="6"/>
        <v>1200</v>
      </c>
      <c r="AD14" s="17">
        <f t="shared" si="6"/>
        <v>1</v>
      </c>
      <c r="AE14" s="31">
        <f t="shared" si="6"/>
        <v>658</v>
      </c>
      <c r="AF14" s="31">
        <f t="shared" si="6"/>
        <v>1858</v>
      </c>
    </row>
    <row r="15" spans="2:32" ht="23.1" customHeight="1" x14ac:dyDescent="0.25">
      <c r="B15" s="45" t="s">
        <v>42</v>
      </c>
      <c r="C15" s="50">
        <v>95</v>
      </c>
      <c r="D15" s="50">
        <v>8</v>
      </c>
      <c r="E15" s="50">
        <v>12</v>
      </c>
      <c r="F15" s="50">
        <v>135</v>
      </c>
      <c r="G15" s="50">
        <v>1</v>
      </c>
      <c r="H15" s="50">
        <v>0</v>
      </c>
      <c r="I15" s="50">
        <v>9</v>
      </c>
      <c r="J15" s="50">
        <v>5</v>
      </c>
      <c r="K15" s="50">
        <v>2</v>
      </c>
      <c r="L15" s="50">
        <v>5</v>
      </c>
      <c r="M15" s="50">
        <v>408</v>
      </c>
      <c r="N15" s="50">
        <v>0</v>
      </c>
      <c r="O15" s="15">
        <f t="shared" si="0"/>
        <v>272</v>
      </c>
      <c r="P15" s="15">
        <f t="shared" si="1"/>
        <v>680</v>
      </c>
      <c r="R15" s="1" t="s">
        <v>11</v>
      </c>
      <c r="S15" s="17">
        <f t="shared" ref="S15:AF15" si="7">SUM(C30:C33)</f>
        <v>393</v>
      </c>
      <c r="T15" s="17">
        <f t="shared" si="7"/>
        <v>108</v>
      </c>
      <c r="U15" s="17">
        <f t="shared" si="7"/>
        <v>55</v>
      </c>
      <c r="V15" s="17">
        <f t="shared" si="7"/>
        <v>320</v>
      </c>
      <c r="W15" s="17">
        <f t="shared" si="7"/>
        <v>4</v>
      </c>
      <c r="X15" s="17">
        <f t="shared" si="7"/>
        <v>2</v>
      </c>
      <c r="Y15" s="17">
        <f t="shared" si="7"/>
        <v>31</v>
      </c>
      <c r="Z15" s="17">
        <f t="shared" si="7"/>
        <v>13</v>
      </c>
      <c r="AA15" s="17">
        <f t="shared" si="7"/>
        <v>15</v>
      </c>
      <c r="AB15" s="17">
        <f t="shared" si="7"/>
        <v>13</v>
      </c>
      <c r="AC15" s="17">
        <f t="shared" si="7"/>
        <v>1516</v>
      </c>
      <c r="AD15" s="17">
        <f t="shared" si="7"/>
        <v>0</v>
      </c>
      <c r="AE15" s="31">
        <f t="shared" si="7"/>
        <v>954</v>
      </c>
      <c r="AF15" s="31">
        <f t="shared" si="7"/>
        <v>2470</v>
      </c>
    </row>
    <row r="16" spans="2:32" ht="23.1" customHeight="1" x14ac:dyDescent="0.25">
      <c r="B16" s="45" t="s">
        <v>43</v>
      </c>
      <c r="C16" s="50">
        <v>60</v>
      </c>
      <c r="D16" s="50">
        <v>9</v>
      </c>
      <c r="E16" s="50">
        <v>9</v>
      </c>
      <c r="F16" s="50">
        <v>85</v>
      </c>
      <c r="G16" s="50">
        <v>1</v>
      </c>
      <c r="H16" s="50">
        <v>0</v>
      </c>
      <c r="I16" s="50">
        <v>5</v>
      </c>
      <c r="J16" s="50">
        <v>3</v>
      </c>
      <c r="K16" s="50">
        <v>1</v>
      </c>
      <c r="L16" s="50">
        <v>3</v>
      </c>
      <c r="M16" s="50">
        <v>410</v>
      </c>
      <c r="N16" s="50">
        <v>0</v>
      </c>
      <c r="O16" s="15">
        <f t="shared" si="0"/>
        <v>176</v>
      </c>
      <c r="P16" s="15">
        <f t="shared" si="1"/>
        <v>586</v>
      </c>
      <c r="R16" s="1" t="s">
        <v>12</v>
      </c>
      <c r="S16" s="17">
        <f t="shared" ref="S16:AF16" si="8">SUM(C34:C37)</f>
        <v>238</v>
      </c>
      <c r="T16" s="17">
        <f t="shared" si="8"/>
        <v>83</v>
      </c>
      <c r="U16" s="17">
        <f t="shared" si="8"/>
        <v>82</v>
      </c>
      <c r="V16" s="17">
        <f t="shared" si="8"/>
        <v>316</v>
      </c>
      <c r="W16" s="17">
        <f t="shared" si="8"/>
        <v>2</v>
      </c>
      <c r="X16" s="17">
        <f t="shared" si="8"/>
        <v>1</v>
      </c>
      <c r="Y16" s="17">
        <f t="shared" si="8"/>
        <v>39</v>
      </c>
      <c r="Z16" s="17">
        <f t="shared" si="8"/>
        <v>26</v>
      </c>
      <c r="AA16" s="17">
        <f t="shared" si="8"/>
        <v>18</v>
      </c>
      <c r="AB16" s="17">
        <f t="shared" si="8"/>
        <v>25</v>
      </c>
      <c r="AC16" s="17">
        <f t="shared" si="8"/>
        <v>1731</v>
      </c>
      <c r="AD16" s="17">
        <f t="shared" si="8"/>
        <v>2</v>
      </c>
      <c r="AE16" s="31">
        <f t="shared" si="8"/>
        <v>832</v>
      </c>
      <c r="AF16" s="31">
        <f t="shared" si="8"/>
        <v>2563</v>
      </c>
    </row>
    <row r="17" spans="2:32" ht="23.1" customHeight="1" x14ac:dyDescent="0.25">
      <c r="B17" s="45" t="s">
        <v>44</v>
      </c>
      <c r="C17" s="50">
        <v>16</v>
      </c>
      <c r="D17" s="50">
        <v>13</v>
      </c>
      <c r="E17" s="50">
        <v>7</v>
      </c>
      <c r="F17" s="50">
        <v>95</v>
      </c>
      <c r="G17" s="50">
        <v>2</v>
      </c>
      <c r="H17" s="50">
        <v>0</v>
      </c>
      <c r="I17" s="50">
        <v>7</v>
      </c>
      <c r="J17" s="50">
        <v>8</v>
      </c>
      <c r="K17" s="50">
        <v>5</v>
      </c>
      <c r="L17" s="50">
        <v>5</v>
      </c>
      <c r="M17" s="50">
        <v>350</v>
      </c>
      <c r="N17" s="50">
        <v>0</v>
      </c>
      <c r="O17" s="15">
        <f t="shared" si="0"/>
        <v>158</v>
      </c>
      <c r="P17" s="15">
        <f t="shared" si="1"/>
        <v>508</v>
      </c>
      <c r="R17" s="1" t="s">
        <v>13</v>
      </c>
      <c r="S17" s="17">
        <f t="shared" ref="S17:AF17" si="9">SUM(C38:C41)</f>
        <v>271</v>
      </c>
      <c r="T17" s="17">
        <f t="shared" si="9"/>
        <v>62</v>
      </c>
      <c r="U17" s="17">
        <f t="shared" si="9"/>
        <v>77</v>
      </c>
      <c r="V17" s="17">
        <f t="shared" si="9"/>
        <v>316</v>
      </c>
      <c r="W17" s="17">
        <f t="shared" si="9"/>
        <v>7</v>
      </c>
      <c r="X17" s="17">
        <f t="shared" si="9"/>
        <v>1</v>
      </c>
      <c r="Y17" s="17">
        <f t="shared" si="9"/>
        <v>34</v>
      </c>
      <c r="Z17" s="17">
        <f t="shared" si="9"/>
        <v>17</v>
      </c>
      <c r="AA17" s="17">
        <f t="shared" si="9"/>
        <v>8</v>
      </c>
      <c r="AB17" s="17">
        <f t="shared" si="9"/>
        <v>18</v>
      </c>
      <c r="AC17" s="17">
        <f t="shared" si="9"/>
        <v>1654</v>
      </c>
      <c r="AD17" s="17">
        <f t="shared" si="9"/>
        <v>0</v>
      </c>
      <c r="AE17" s="31">
        <f t="shared" si="9"/>
        <v>811</v>
      </c>
      <c r="AF17" s="31">
        <f t="shared" si="9"/>
        <v>2465</v>
      </c>
    </row>
    <row r="18" spans="2:32" ht="23.1" customHeight="1" x14ac:dyDescent="0.25">
      <c r="B18" s="45" t="s">
        <v>45</v>
      </c>
      <c r="C18" s="50">
        <v>25</v>
      </c>
      <c r="D18" s="50">
        <v>7</v>
      </c>
      <c r="E18" s="50">
        <v>8</v>
      </c>
      <c r="F18" s="50">
        <v>90</v>
      </c>
      <c r="G18" s="50">
        <v>2</v>
      </c>
      <c r="H18" s="50">
        <v>0</v>
      </c>
      <c r="I18" s="50">
        <v>11</v>
      </c>
      <c r="J18" s="50">
        <v>3</v>
      </c>
      <c r="K18" s="50">
        <v>1</v>
      </c>
      <c r="L18" s="50">
        <v>3</v>
      </c>
      <c r="M18" s="50">
        <v>425</v>
      </c>
      <c r="N18" s="50">
        <v>0</v>
      </c>
      <c r="O18" s="15">
        <f t="shared" si="0"/>
        <v>150</v>
      </c>
      <c r="P18" s="15">
        <f t="shared" si="1"/>
        <v>575</v>
      </c>
      <c r="R18" s="1" t="s">
        <v>14</v>
      </c>
      <c r="S18" s="17">
        <f t="shared" ref="S18:AF18" si="10">SUM(C42:C45)</f>
        <v>285</v>
      </c>
      <c r="T18" s="17">
        <f t="shared" si="10"/>
        <v>130</v>
      </c>
      <c r="U18" s="17">
        <f t="shared" si="10"/>
        <v>52</v>
      </c>
      <c r="V18" s="17">
        <f t="shared" si="10"/>
        <v>211</v>
      </c>
      <c r="W18" s="17">
        <f t="shared" si="10"/>
        <v>3</v>
      </c>
      <c r="X18" s="17">
        <f t="shared" si="10"/>
        <v>0</v>
      </c>
      <c r="Y18" s="17">
        <f t="shared" si="10"/>
        <v>20</v>
      </c>
      <c r="Z18" s="17">
        <f t="shared" si="10"/>
        <v>34</v>
      </c>
      <c r="AA18" s="17">
        <f t="shared" si="10"/>
        <v>14</v>
      </c>
      <c r="AB18" s="17">
        <f t="shared" si="10"/>
        <v>17</v>
      </c>
      <c r="AC18" s="17">
        <f t="shared" si="10"/>
        <v>1759</v>
      </c>
      <c r="AD18" s="17">
        <f t="shared" si="10"/>
        <v>2</v>
      </c>
      <c r="AE18" s="31">
        <f t="shared" si="10"/>
        <v>768</v>
      </c>
      <c r="AF18" s="31">
        <f t="shared" si="10"/>
        <v>2527</v>
      </c>
    </row>
    <row r="19" spans="2:32" ht="23.1" customHeight="1" x14ac:dyDescent="0.25">
      <c r="B19" s="45" t="s">
        <v>46</v>
      </c>
      <c r="C19" s="50">
        <v>44</v>
      </c>
      <c r="D19" s="50">
        <v>9</v>
      </c>
      <c r="E19" s="50">
        <v>4</v>
      </c>
      <c r="F19" s="50">
        <v>50</v>
      </c>
      <c r="G19" s="50">
        <v>1</v>
      </c>
      <c r="H19" s="50">
        <v>0</v>
      </c>
      <c r="I19" s="50">
        <v>6</v>
      </c>
      <c r="J19" s="50">
        <v>4</v>
      </c>
      <c r="K19" s="50">
        <v>3</v>
      </c>
      <c r="L19" s="50">
        <v>4</v>
      </c>
      <c r="M19" s="50">
        <v>440</v>
      </c>
      <c r="N19" s="50">
        <v>0</v>
      </c>
      <c r="O19" s="15">
        <f t="shared" si="0"/>
        <v>125</v>
      </c>
      <c r="P19" s="15">
        <f t="shared" si="1"/>
        <v>565</v>
      </c>
      <c r="R19" s="1" t="s">
        <v>15</v>
      </c>
      <c r="S19" s="17">
        <f t="shared" ref="S19:AF19" si="11">SUM(C46:C49)</f>
        <v>235</v>
      </c>
      <c r="T19" s="17">
        <f t="shared" si="11"/>
        <v>76</v>
      </c>
      <c r="U19" s="17">
        <f t="shared" si="11"/>
        <v>82</v>
      </c>
      <c r="V19" s="17">
        <f t="shared" si="11"/>
        <v>250</v>
      </c>
      <c r="W19" s="17">
        <f t="shared" si="11"/>
        <v>8</v>
      </c>
      <c r="X19" s="17">
        <f t="shared" si="11"/>
        <v>1</v>
      </c>
      <c r="Y19" s="17">
        <f t="shared" si="11"/>
        <v>26</v>
      </c>
      <c r="Z19" s="17">
        <f t="shared" si="11"/>
        <v>20</v>
      </c>
      <c r="AA19" s="17">
        <f t="shared" si="11"/>
        <v>8</v>
      </c>
      <c r="AB19" s="17">
        <f t="shared" si="11"/>
        <v>20</v>
      </c>
      <c r="AC19" s="17">
        <f t="shared" si="11"/>
        <v>1994</v>
      </c>
      <c r="AD19" s="17">
        <f t="shared" si="11"/>
        <v>1</v>
      </c>
      <c r="AE19" s="31">
        <f t="shared" si="11"/>
        <v>727</v>
      </c>
      <c r="AF19" s="31">
        <f t="shared" si="11"/>
        <v>2721</v>
      </c>
    </row>
    <row r="20" spans="2:32" ht="23.1" customHeight="1" x14ac:dyDescent="0.25">
      <c r="B20" s="45" t="s">
        <v>47</v>
      </c>
      <c r="C20" s="50">
        <v>20</v>
      </c>
      <c r="D20" s="50">
        <v>11</v>
      </c>
      <c r="E20" s="50">
        <v>9</v>
      </c>
      <c r="F20" s="50">
        <v>80</v>
      </c>
      <c r="G20" s="50">
        <v>0</v>
      </c>
      <c r="H20" s="50">
        <v>0</v>
      </c>
      <c r="I20" s="50">
        <v>18</v>
      </c>
      <c r="J20" s="50">
        <v>9</v>
      </c>
      <c r="K20" s="50">
        <v>9</v>
      </c>
      <c r="L20" s="50">
        <v>9</v>
      </c>
      <c r="M20" s="50">
        <v>400</v>
      </c>
      <c r="N20" s="50">
        <v>1</v>
      </c>
      <c r="O20" s="15">
        <f t="shared" si="0"/>
        <v>166</v>
      </c>
      <c r="P20" s="15">
        <f t="shared" si="1"/>
        <v>566</v>
      </c>
      <c r="R20" s="1" t="s">
        <v>16</v>
      </c>
      <c r="S20" s="17">
        <f t="shared" ref="S20:AF20" si="12">SUM(C50:C53)</f>
        <v>374</v>
      </c>
      <c r="T20" s="17">
        <f t="shared" si="12"/>
        <v>85</v>
      </c>
      <c r="U20" s="17">
        <f t="shared" si="12"/>
        <v>47</v>
      </c>
      <c r="V20" s="17">
        <f t="shared" si="12"/>
        <v>232</v>
      </c>
      <c r="W20" s="17">
        <f t="shared" si="12"/>
        <v>5</v>
      </c>
      <c r="X20" s="17">
        <f t="shared" si="12"/>
        <v>1</v>
      </c>
      <c r="Y20" s="17">
        <f t="shared" si="12"/>
        <v>22</v>
      </c>
      <c r="Z20" s="17">
        <f t="shared" si="12"/>
        <v>17</v>
      </c>
      <c r="AA20" s="17">
        <f t="shared" si="12"/>
        <v>6</v>
      </c>
      <c r="AB20" s="17">
        <f t="shared" si="12"/>
        <v>22</v>
      </c>
      <c r="AC20" s="17">
        <f t="shared" si="12"/>
        <v>1825</v>
      </c>
      <c r="AD20" s="17">
        <f t="shared" si="12"/>
        <v>0</v>
      </c>
      <c r="AE20" s="31">
        <f t="shared" si="12"/>
        <v>811</v>
      </c>
      <c r="AF20" s="31">
        <f t="shared" si="12"/>
        <v>2636</v>
      </c>
    </row>
    <row r="21" spans="2:32" ht="23.1" customHeight="1" x14ac:dyDescent="0.25">
      <c r="B21" s="45" t="s">
        <v>48</v>
      </c>
      <c r="C21" s="50">
        <v>28</v>
      </c>
      <c r="D21" s="50">
        <v>22</v>
      </c>
      <c r="E21" s="50">
        <v>5</v>
      </c>
      <c r="F21" s="50">
        <v>72</v>
      </c>
      <c r="G21" s="50">
        <v>3</v>
      </c>
      <c r="H21" s="50">
        <v>0</v>
      </c>
      <c r="I21" s="50">
        <v>8</v>
      </c>
      <c r="J21" s="50">
        <v>4</v>
      </c>
      <c r="K21" s="50">
        <v>3</v>
      </c>
      <c r="L21" s="50">
        <v>3</v>
      </c>
      <c r="M21" s="50">
        <v>485</v>
      </c>
      <c r="N21" s="50">
        <v>0</v>
      </c>
      <c r="O21" s="15">
        <f t="shared" si="0"/>
        <v>148</v>
      </c>
      <c r="P21" s="15">
        <f t="shared" si="1"/>
        <v>633</v>
      </c>
      <c r="R21" s="36" t="s">
        <v>20</v>
      </c>
      <c r="S21" s="34">
        <f t="shared" ref="S21:AF21" si="13">SUM(C54:C57)</f>
        <v>327</v>
      </c>
      <c r="T21" s="17">
        <f t="shared" si="13"/>
        <v>46</v>
      </c>
      <c r="U21" s="17">
        <f t="shared" si="13"/>
        <v>46</v>
      </c>
      <c r="V21" s="17">
        <f t="shared" si="13"/>
        <v>172</v>
      </c>
      <c r="W21" s="17">
        <f t="shared" si="13"/>
        <v>6</v>
      </c>
      <c r="X21" s="17">
        <f t="shared" si="13"/>
        <v>0</v>
      </c>
      <c r="Y21" s="17">
        <f t="shared" si="13"/>
        <v>33</v>
      </c>
      <c r="Z21" s="17">
        <f t="shared" si="13"/>
        <v>9</v>
      </c>
      <c r="AA21" s="17">
        <f t="shared" si="13"/>
        <v>4</v>
      </c>
      <c r="AB21" s="17">
        <f t="shared" si="13"/>
        <v>15</v>
      </c>
      <c r="AC21" s="17">
        <f t="shared" si="13"/>
        <v>2273</v>
      </c>
      <c r="AD21" s="17">
        <f t="shared" si="13"/>
        <v>0</v>
      </c>
      <c r="AE21" s="31">
        <f t="shared" si="13"/>
        <v>658</v>
      </c>
      <c r="AF21" s="31">
        <f t="shared" si="13"/>
        <v>2931</v>
      </c>
    </row>
    <row r="22" spans="2:32" ht="23.1" customHeight="1" x14ac:dyDescent="0.25">
      <c r="B22" s="45" t="s">
        <v>49</v>
      </c>
      <c r="C22" s="50">
        <v>28</v>
      </c>
      <c r="D22" s="50">
        <v>11</v>
      </c>
      <c r="E22" s="50">
        <v>13</v>
      </c>
      <c r="F22" s="50">
        <v>83</v>
      </c>
      <c r="G22" s="50">
        <v>1</v>
      </c>
      <c r="H22" s="50">
        <v>0</v>
      </c>
      <c r="I22" s="50">
        <v>4</v>
      </c>
      <c r="J22" s="50">
        <v>0</v>
      </c>
      <c r="K22" s="50">
        <v>4</v>
      </c>
      <c r="L22" s="50">
        <v>3</v>
      </c>
      <c r="M22" s="50">
        <v>350</v>
      </c>
      <c r="N22" s="50">
        <v>0</v>
      </c>
      <c r="O22" s="15">
        <f t="shared" si="0"/>
        <v>147</v>
      </c>
      <c r="P22" s="15">
        <f t="shared" si="1"/>
        <v>497</v>
      </c>
      <c r="R22" s="36" t="s">
        <v>146</v>
      </c>
      <c r="S22" s="34">
        <f>SUM(C58:C61)</f>
        <v>234</v>
      </c>
      <c r="T22" s="34">
        <f t="shared" ref="T22:AF22" si="14">SUM(D58:D61)</f>
        <v>33</v>
      </c>
      <c r="U22" s="34">
        <f t="shared" si="14"/>
        <v>10</v>
      </c>
      <c r="V22" s="34">
        <f t="shared" si="14"/>
        <v>181</v>
      </c>
      <c r="W22" s="34">
        <f t="shared" si="14"/>
        <v>2</v>
      </c>
      <c r="X22" s="34">
        <f t="shared" si="14"/>
        <v>0</v>
      </c>
      <c r="Y22" s="34">
        <f t="shared" si="14"/>
        <v>14</v>
      </c>
      <c r="Z22" s="34">
        <f t="shared" si="14"/>
        <v>2</v>
      </c>
      <c r="AA22" s="34">
        <f t="shared" si="14"/>
        <v>2</v>
      </c>
      <c r="AB22" s="34">
        <f t="shared" si="14"/>
        <v>4</v>
      </c>
      <c r="AC22" s="34">
        <f t="shared" si="14"/>
        <v>1355</v>
      </c>
      <c r="AD22" s="34">
        <f t="shared" si="14"/>
        <v>0</v>
      </c>
      <c r="AE22" s="31">
        <f t="shared" si="14"/>
        <v>482</v>
      </c>
      <c r="AF22" s="31">
        <f t="shared" si="14"/>
        <v>1837</v>
      </c>
    </row>
    <row r="23" spans="2:32" ht="23.1" customHeight="1" x14ac:dyDescent="0.25">
      <c r="B23" s="45" t="s">
        <v>50</v>
      </c>
      <c r="C23" s="50">
        <v>72</v>
      </c>
      <c r="D23" s="50">
        <v>14</v>
      </c>
      <c r="E23" s="50">
        <v>11</v>
      </c>
      <c r="F23" s="50">
        <v>91</v>
      </c>
      <c r="G23" s="50">
        <v>0</v>
      </c>
      <c r="H23" s="50">
        <v>0</v>
      </c>
      <c r="I23" s="50">
        <v>15</v>
      </c>
      <c r="J23" s="50">
        <v>5</v>
      </c>
      <c r="K23" s="50">
        <v>2</v>
      </c>
      <c r="L23" s="50">
        <v>5</v>
      </c>
      <c r="M23" s="50">
        <v>305</v>
      </c>
      <c r="N23" s="50">
        <v>0</v>
      </c>
      <c r="O23" s="15">
        <f t="shared" si="0"/>
        <v>215</v>
      </c>
      <c r="P23" s="15">
        <f t="shared" si="1"/>
        <v>520</v>
      </c>
      <c r="R23" s="36" t="s">
        <v>147</v>
      </c>
      <c r="S23" s="34">
        <f>SUM(C62:C65)</f>
        <v>201</v>
      </c>
      <c r="T23" s="34">
        <f t="shared" ref="T23:AF23" si="15">SUM(D62:D65)</f>
        <v>25</v>
      </c>
      <c r="U23" s="34">
        <f t="shared" si="15"/>
        <v>27</v>
      </c>
      <c r="V23" s="34">
        <f t="shared" si="15"/>
        <v>216</v>
      </c>
      <c r="W23" s="34">
        <f t="shared" si="15"/>
        <v>2</v>
      </c>
      <c r="X23" s="34">
        <f t="shared" si="15"/>
        <v>0</v>
      </c>
      <c r="Y23" s="34">
        <f t="shared" si="15"/>
        <v>14</v>
      </c>
      <c r="Z23" s="34">
        <f t="shared" si="15"/>
        <v>6</v>
      </c>
      <c r="AA23" s="34">
        <f t="shared" si="15"/>
        <v>16</v>
      </c>
      <c r="AB23" s="34">
        <f t="shared" si="15"/>
        <v>5</v>
      </c>
      <c r="AC23" s="34">
        <f t="shared" si="15"/>
        <v>822</v>
      </c>
      <c r="AD23" s="34">
        <f t="shared" si="15"/>
        <v>0</v>
      </c>
      <c r="AE23" s="31">
        <f t="shared" si="15"/>
        <v>512</v>
      </c>
      <c r="AF23" s="31">
        <f t="shared" si="15"/>
        <v>1334</v>
      </c>
    </row>
    <row r="24" spans="2:32" ht="23.1" customHeight="1" x14ac:dyDescent="0.25">
      <c r="B24" s="45" t="s">
        <v>51</v>
      </c>
      <c r="C24" s="50">
        <v>80</v>
      </c>
      <c r="D24" s="50">
        <v>19</v>
      </c>
      <c r="E24" s="50">
        <v>13</v>
      </c>
      <c r="F24" s="50">
        <v>80</v>
      </c>
      <c r="G24" s="50">
        <v>3</v>
      </c>
      <c r="H24" s="50">
        <v>0</v>
      </c>
      <c r="I24" s="50">
        <v>14</v>
      </c>
      <c r="J24" s="50">
        <v>9</v>
      </c>
      <c r="K24" s="50">
        <v>3</v>
      </c>
      <c r="L24" s="50">
        <v>3</v>
      </c>
      <c r="M24" s="50">
        <v>310</v>
      </c>
      <c r="N24" s="50">
        <v>0</v>
      </c>
      <c r="O24" s="15">
        <f t="shared" si="0"/>
        <v>224</v>
      </c>
      <c r="P24" s="15">
        <f t="shared" si="1"/>
        <v>534</v>
      </c>
      <c r="R24" s="36" t="s">
        <v>148</v>
      </c>
      <c r="S24" s="34">
        <f>SUM(C66:C69)</f>
        <v>250</v>
      </c>
      <c r="T24" s="34">
        <f t="shared" ref="T24:AF24" si="16">SUM(D66:D69)</f>
        <v>53</v>
      </c>
      <c r="U24" s="34">
        <f t="shared" si="16"/>
        <v>17</v>
      </c>
      <c r="V24" s="34">
        <f t="shared" si="16"/>
        <v>150</v>
      </c>
      <c r="W24" s="34">
        <f t="shared" si="16"/>
        <v>1</v>
      </c>
      <c r="X24" s="34">
        <f t="shared" si="16"/>
        <v>0</v>
      </c>
      <c r="Y24" s="34">
        <f t="shared" si="16"/>
        <v>16</v>
      </c>
      <c r="Z24" s="34">
        <f t="shared" si="16"/>
        <v>9</v>
      </c>
      <c r="AA24" s="34">
        <f t="shared" si="16"/>
        <v>9</v>
      </c>
      <c r="AB24" s="34">
        <f t="shared" si="16"/>
        <v>4</v>
      </c>
      <c r="AC24" s="34">
        <f t="shared" si="16"/>
        <v>852</v>
      </c>
      <c r="AD24" s="34">
        <f t="shared" si="16"/>
        <v>0</v>
      </c>
      <c r="AE24" s="31">
        <f t="shared" si="16"/>
        <v>509</v>
      </c>
      <c r="AF24" s="31">
        <f t="shared" si="16"/>
        <v>1361</v>
      </c>
    </row>
    <row r="25" spans="2:32" ht="23.1" customHeight="1" x14ac:dyDescent="0.25">
      <c r="B25" s="45" t="s">
        <v>52</v>
      </c>
      <c r="C25" s="50">
        <v>75</v>
      </c>
      <c r="D25" s="50">
        <v>10</v>
      </c>
      <c r="E25" s="50">
        <v>7</v>
      </c>
      <c r="F25" s="50">
        <v>90</v>
      </c>
      <c r="G25" s="50">
        <v>3</v>
      </c>
      <c r="H25" s="50">
        <v>0</v>
      </c>
      <c r="I25" s="50">
        <v>11</v>
      </c>
      <c r="J25" s="50">
        <v>8</v>
      </c>
      <c r="K25" s="50">
        <v>2</v>
      </c>
      <c r="L25" s="50">
        <v>2</v>
      </c>
      <c r="M25" s="50">
        <v>265</v>
      </c>
      <c r="N25" s="50">
        <v>0</v>
      </c>
      <c r="O25" s="15">
        <f t="shared" si="0"/>
        <v>208</v>
      </c>
      <c r="P25" s="15">
        <f t="shared" si="1"/>
        <v>473</v>
      </c>
      <c r="R25" s="36" t="s">
        <v>149</v>
      </c>
      <c r="S25" s="34">
        <f>SUM(C70:C73)</f>
        <v>259</v>
      </c>
      <c r="T25" s="34">
        <f t="shared" ref="T25:AF25" si="17">SUM(D70:D73)</f>
        <v>25</v>
      </c>
      <c r="U25" s="34">
        <f t="shared" si="17"/>
        <v>29</v>
      </c>
      <c r="V25" s="34">
        <f t="shared" si="17"/>
        <v>116</v>
      </c>
      <c r="W25" s="34">
        <f t="shared" si="17"/>
        <v>0</v>
      </c>
      <c r="X25" s="34">
        <f t="shared" si="17"/>
        <v>0</v>
      </c>
      <c r="Y25" s="34">
        <f t="shared" si="17"/>
        <v>11</v>
      </c>
      <c r="Z25" s="34">
        <f t="shared" si="17"/>
        <v>4</v>
      </c>
      <c r="AA25" s="34">
        <f t="shared" si="17"/>
        <v>4</v>
      </c>
      <c r="AB25" s="34">
        <f t="shared" si="17"/>
        <v>3</v>
      </c>
      <c r="AC25" s="34">
        <f t="shared" si="17"/>
        <v>731</v>
      </c>
      <c r="AD25" s="34">
        <f t="shared" si="17"/>
        <v>0</v>
      </c>
      <c r="AE25" s="31">
        <f t="shared" si="17"/>
        <v>451</v>
      </c>
      <c r="AF25" s="31">
        <f t="shared" si="17"/>
        <v>1182</v>
      </c>
    </row>
    <row r="26" spans="2:32" ht="23.1" customHeight="1" x14ac:dyDescent="0.25">
      <c r="B26" s="45" t="s">
        <v>53</v>
      </c>
      <c r="C26" s="50">
        <v>33</v>
      </c>
      <c r="D26" s="50">
        <v>22</v>
      </c>
      <c r="E26" s="50">
        <v>18</v>
      </c>
      <c r="F26" s="50">
        <v>95</v>
      </c>
      <c r="G26" s="50">
        <v>2</v>
      </c>
      <c r="H26" s="50">
        <v>0</v>
      </c>
      <c r="I26" s="50">
        <v>7</v>
      </c>
      <c r="J26" s="50">
        <v>3</v>
      </c>
      <c r="K26" s="50">
        <v>2</v>
      </c>
      <c r="L26" s="50">
        <v>5</v>
      </c>
      <c r="M26" s="50">
        <v>280</v>
      </c>
      <c r="N26" s="50">
        <v>0</v>
      </c>
      <c r="O26" s="15">
        <f t="shared" si="0"/>
        <v>187</v>
      </c>
      <c r="P26" s="15">
        <f t="shared" si="1"/>
        <v>467</v>
      </c>
      <c r="R26" s="36" t="s">
        <v>150</v>
      </c>
      <c r="S26" s="34">
        <f>SUM(C74:C77)</f>
        <v>220</v>
      </c>
      <c r="T26" s="34">
        <f t="shared" ref="T26:AF26" si="18">SUM(D74:D77)</f>
        <v>46</v>
      </c>
      <c r="U26" s="34">
        <f t="shared" si="18"/>
        <v>20</v>
      </c>
      <c r="V26" s="34">
        <f t="shared" si="18"/>
        <v>85</v>
      </c>
      <c r="W26" s="34">
        <f t="shared" si="18"/>
        <v>1</v>
      </c>
      <c r="X26" s="34">
        <f t="shared" si="18"/>
        <v>0</v>
      </c>
      <c r="Y26" s="34">
        <f t="shared" si="18"/>
        <v>14</v>
      </c>
      <c r="Z26" s="34">
        <f t="shared" si="18"/>
        <v>5</v>
      </c>
      <c r="AA26" s="34">
        <f t="shared" si="18"/>
        <v>12</v>
      </c>
      <c r="AB26" s="34">
        <f t="shared" si="18"/>
        <v>5</v>
      </c>
      <c r="AC26" s="34">
        <f t="shared" si="18"/>
        <v>427</v>
      </c>
      <c r="AD26" s="34">
        <f t="shared" si="18"/>
        <v>0</v>
      </c>
      <c r="AE26" s="31">
        <f t="shared" si="18"/>
        <v>408</v>
      </c>
      <c r="AF26" s="31">
        <f t="shared" si="18"/>
        <v>835</v>
      </c>
    </row>
    <row r="27" spans="2:32" ht="23.1" customHeight="1" x14ac:dyDescent="0.25">
      <c r="B27" s="45" t="s">
        <v>54</v>
      </c>
      <c r="C27" s="50">
        <v>32</v>
      </c>
      <c r="D27" s="50">
        <v>6</v>
      </c>
      <c r="E27" s="50">
        <v>4</v>
      </c>
      <c r="F27" s="50">
        <v>80</v>
      </c>
      <c r="G27" s="50">
        <v>2</v>
      </c>
      <c r="H27" s="50">
        <v>0</v>
      </c>
      <c r="I27" s="50">
        <v>3</v>
      </c>
      <c r="J27" s="50">
        <v>2</v>
      </c>
      <c r="K27" s="50">
        <v>1</v>
      </c>
      <c r="L27" s="50">
        <v>3</v>
      </c>
      <c r="M27" s="50">
        <v>300</v>
      </c>
      <c r="N27" s="50">
        <v>0</v>
      </c>
      <c r="O27" s="15">
        <f t="shared" si="0"/>
        <v>133</v>
      </c>
      <c r="P27" s="15">
        <f t="shared" si="1"/>
        <v>433</v>
      </c>
      <c r="R27" s="36" t="s">
        <v>151</v>
      </c>
      <c r="S27" s="34">
        <f>SUM(C78:C81)</f>
        <v>233</v>
      </c>
      <c r="T27" s="34">
        <f t="shared" ref="T27:AF27" si="19">SUM(D78:D81)</f>
        <v>32</v>
      </c>
      <c r="U27" s="34">
        <f t="shared" si="19"/>
        <v>15</v>
      </c>
      <c r="V27" s="34">
        <f t="shared" si="19"/>
        <v>22</v>
      </c>
      <c r="W27" s="34">
        <f t="shared" si="19"/>
        <v>2</v>
      </c>
      <c r="X27" s="34">
        <f t="shared" si="19"/>
        <v>0</v>
      </c>
      <c r="Y27" s="34">
        <f t="shared" si="19"/>
        <v>3</v>
      </c>
      <c r="Z27" s="34">
        <f t="shared" si="19"/>
        <v>10</v>
      </c>
      <c r="AA27" s="34">
        <f t="shared" si="19"/>
        <v>12</v>
      </c>
      <c r="AB27" s="34">
        <f t="shared" si="19"/>
        <v>3</v>
      </c>
      <c r="AC27" s="34">
        <f t="shared" si="19"/>
        <v>392</v>
      </c>
      <c r="AD27" s="34">
        <f t="shared" si="19"/>
        <v>0</v>
      </c>
      <c r="AE27" s="31">
        <f t="shared" si="19"/>
        <v>332</v>
      </c>
      <c r="AF27" s="31">
        <f t="shared" si="19"/>
        <v>724</v>
      </c>
    </row>
    <row r="28" spans="2:32" ht="23.1" customHeight="1" x14ac:dyDescent="0.25">
      <c r="B28" s="45" t="s">
        <v>55</v>
      </c>
      <c r="C28" s="50">
        <v>55</v>
      </c>
      <c r="D28" s="50">
        <v>11</v>
      </c>
      <c r="E28" s="50">
        <v>7</v>
      </c>
      <c r="F28" s="50">
        <v>70</v>
      </c>
      <c r="G28" s="50">
        <v>0</v>
      </c>
      <c r="H28" s="50">
        <v>1</v>
      </c>
      <c r="I28" s="50">
        <v>7</v>
      </c>
      <c r="J28" s="50">
        <v>6</v>
      </c>
      <c r="K28" s="50">
        <v>2</v>
      </c>
      <c r="L28" s="50">
        <v>5</v>
      </c>
      <c r="M28" s="50">
        <v>292</v>
      </c>
      <c r="N28" s="50">
        <v>1</v>
      </c>
      <c r="O28" s="15">
        <f t="shared" si="0"/>
        <v>165</v>
      </c>
      <c r="P28" s="15">
        <f t="shared" si="1"/>
        <v>457</v>
      </c>
      <c r="R28" s="36" t="s">
        <v>152</v>
      </c>
      <c r="S28" s="34">
        <f>SUM(C82:C85)</f>
        <v>104</v>
      </c>
      <c r="T28" s="34">
        <f t="shared" ref="T28:AF28" si="20">SUM(D82:D85)</f>
        <v>11</v>
      </c>
      <c r="U28" s="34">
        <f t="shared" si="20"/>
        <v>9</v>
      </c>
      <c r="V28" s="34">
        <f t="shared" si="20"/>
        <v>10</v>
      </c>
      <c r="W28" s="34">
        <f t="shared" si="20"/>
        <v>0</v>
      </c>
      <c r="X28" s="34">
        <f t="shared" si="20"/>
        <v>0</v>
      </c>
      <c r="Y28" s="34">
        <f t="shared" si="20"/>
        <v>11</v>
      </c>
      <c r="Z28" s="34">
        <f t="shared" si="20"/>
        <v>3</v>
      </c>
      <c r="AA28" s="34">
        <f t="shared" si="20"/>
        <v>14</v>
      </c>
      <c r="AB28" s="34">
        <f t="shared" si="20"/>
        <v>3</v>
      </c>
      <c r="AC28" s="34">
        <f t="shared" si="20"/>
        <v>320</v>
      </c>
      <c r="AD28" s="34">
        <f t="shared" si="20"/>
        <v>0</v>
      </c>
      <c r="AE28" s="31">
        <f t="shared" si="20"/>
        <v>165</v>
      </c>
      <c r="AF28" s="31">
        <f t="shared" si="20"/>
        <v>485</v>
      </c>
    </row>
    <row r="29" spans="2:32" ht="23.1" customHeight="1" x14ac:dyDescent="0.25">
      <c r="B29" s="45" t="s">
        <v>56</v>
      </c>
      <c r="C29" s="50">
        <v>56</v>
      </c>
      <c r="D29" s="50">
        <v>40</v>
      </c>
      <c r="E29" s="50">
        <v>9</v>
      </c>
      <c r="F29" s="50">
        <v>50</v>
      </c>
      <c r="G29" s="50">
        <v>2</v>
      </c>
      <c r="H29" s="50">
        <v>0</v>
      </c>
      <c r="I29" s="50">
        <v>5</v>
      </c>
      <c r="J29" s="50">
        <v>6</v>
      </c>
      <c r="K29" s="50">
        <v>4</v>
      </c>
      <c r="L29" s="50">
        <v>1</v>
      </c>
      <c r="M29" s="50">
        <v>328</v>
      </c>
      <c r="N29" s="50">
        <v>0</v>
      </c>
      <c r="O29" s="15">
        <f t="shared" si="0"/>
        <v>173</v>
      </c>
      <c r="P29" s="15">
        <f t="shared" si="1"/>
        <v>501</v>
      </c>
      <c r="R29" s="36" t="s">
        <v>153</v>
      </c>
      <c r="S29" s="34">
        <f>SUM(C86:C89)</f>
        <v>36</v>
      </c>
      <c r="T29" s="34">
        <f t="shared" ref="T29:AF29" si="21">SUM(D86:D89)</f>
        <v>6</v>
      </c>
      <c r="U29" s="34">
        <f t="shared" si="21"/>
        <v>2</v>
      </c>
      <c r="V29" s="34">
        <f t="shared" si="21"/>
        <v>6</v>
      </c>
      <c r="W29" s="34">
        <f t="shared" si="21"/>
        <v>0</v>
      </c>
      <c r="X29" s="34">
        <f t="shared" si="21"/>
        <v>0</v>
      </c>
      <c r="Y29" s="34">
        <f t="shared" si="21"/>
        <v>6</v>
      </c>
      <c r="Z29" s="34">
        <f t="shared" si="21"/>
        <v>2</v>
      </c>
      <c r="AA29" s="34">
        <f t="shared" si="21"/>
        <v>3</v>
      </c>
      <c r="AB29" s="34">
        <f t="shared" si="21"/>
        <v>4</v>
      </c>
      <c r="AC29" s="34">
        <f t="shared" si="21"/>
        <v>40</v>
      </c>
      <c r="AD29" s="34">
        <f t="shared" si="21"/>
        <v>0</v>
      </c>
      <c r="AE29" s="31">
        <f t="shared" si="21"/>
        <v>65</v>
      </c>
      <c r="AF29" s="31">
        <f t="shared" si="21"/>
        <v>105</v>
      </c>
    </row>
    <row r="30" spans="2:32" ht="23.1" customHeight="1" x14ac:dyDescent="0.25">
      <c r="B30" s="45" t="s">
        <v>57</v>
      </c>
      <c r="C30" s="50">
        <v>100</v>
      </c>
      <c r="D30" s="50">
        <v>34</v>
      </c>
      <c r="E30" s="50">
        <v>11</v>
      </c>
      <c r="F30" s="50">
        <v>55</v>
      </c>
      <c r="G30" s="50">
        <v>1</v>
      </c>
      <c r="H30" s="50">
        <v>0</v>
      </c>
      <c r="I30" s="50">
        <v>8</v>
      </c>
      <c r="J30" s="50">
        <v>3</v>
      </c>
      <c r="K30" s="50">
        <v>7</v>
      </c>
      <c r="L30" s="50">
        <v>3</v>
      </c>
      <c r="M30" s="50">
        <v>326</v>
      </c>
      <c r="N30" s="50">
        <v>0</v>
      </c>
      <c r="O30" s="15">
        <f t="shared" si="0"/>
        <v>222</v>
      </c>
      <c r="P30" s="15">
        <f t="shared" si="1"/>
        <v>548</v>
      </c>
      <c r="R30" s="36" t="s">
        <v>154</v>
      </c>
      <c r="S30" s="34">
        <f>SUM(C90:C93)</f>
        <v>74</v>
      </c>
      <c r="T30" s="34">
        <f t="shared" ref="T30:AF30" si="22">SUM(D90:D93)</f>
        <v>1</v>
      </c>
      <c r="U30" s="34">
        <f t="shared" si="22"/>
        <v>7</v>
      </c>
      <c r="V30" s="34">
        <f t="shared" si="22"/>
        <v>20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1</v>
      </c>
      <c r="AB30" s="34">
        <f t="shared" si="22"/>
        <v>0</v>
      </c>
      <c r="AC30" s="34">
        <f t="shared" si="22"/>
        <v>11</v>
      </c>
      <c r="AD30" s="34">
        <f t="shared" si="22"/>
        <v>0</v>
      </c>
      <c r="AE30" s="31">
        <f t="shared" si="22"/>
        <v>105</v>
      </c>
      <c r="AF30" s="31">
        <f t="shared" si="22"/>
        <v>116</v>
      </c>
    </row>
    <row r="31" spans="2:32" ht="23.1" customHeight="1" x14ac:dyDescent="0.25">
      <c r="B31" s="46" t="s">
        <v>58</v>
      </c>
      <c r="C31" s="50">
        <v>70</v>
      </c>
      <c r="D31" s="50">
        <v>18</v>
      </c>
      <c r="E31" s="50">
        <v>13</v>
      </c>
      <c r="F31" s="50">
        <v>60</v>
      </c>
      <c r="G31" s="50">
        <v>0</v>
      </c>
      <c r="H31" s="50">
        <v>1</v>
      </c>
      <c r="I31" s="50">
        <v>10</v>
      </c>
      <c r="J31" s="50">
        <v>1</v>
      </c>
      <c r="K31" s="50">
        <v>6</v>
      </c>
      <c r="L31" s="50">
        <v>2</v>
      </c>
      <c r="M31" s="50">
        <v>315</v>
      </c>
      <c r="N31" s="50">
        <v>0</v>
      </c>
      <c r="O31" s="15">
        <f t="shared" si="0"/>
        <v>181</v>
      </c>
      <c r="P31" s="15">
        <f t="shared" si="1"/>
        <v>496</v>
      </c>
      <c r="R31" s="36" t="s">
        <v>155</v>
      </c>
      <c r="S31" s="34">
        <f>SUM(C94:C97)</f>
        <v>112</v>
      </c>
      <c r="T31" s="34">
        <f t="shared" ref="T31:AF31" si="23">SUM(D94:D97)</f>
        <v>7</v>
      </c>
      <c r="U31" s="34">
        <f t="shared" si="23"/>
        <v>4</v>
      </c>
      <c r="V31" s="34">
        <f t="shared" si="23"/>
        <v>5</v>
      </c>
      <c r="W31" s="34">
        <f t="shared" si="23"/>
        <v>0</v>
      </c>
      <c r="X31" s="34">
        <f t="shared" si="23"/>
        <v>0</v>
      </c>
      <c r="Y31" s="34">
        <f t="shared" si="23"/>
        <v>6</v>
      </c>
      <c r="Z31" s="34">
        <f t="shared" si="23"/>
        <v>5</v>
      </c>
      <c r="AA31" s="34">
        <f t="shared" si="23"/>
        <v>3</v>
      </c>
      <c r="AB31" s="34">
        <f t="shared" si="23"/>
        <v>5</v>
      </c>
      <c r="AC31" s="34">
        <f t="shared" si="23"/>
        <v>87</v>
      </c>
      <c r="AD31" s="34">
        <f t="shared" si="23"/>
        <v>0</v>
      </c>
      <c r="AE31" s="31">
        <f t="shared" si="23"/>
        <v>147</v>
      </c>
      <c r="AF31" s="31">
        <f t="shared" si="23"/>
        <v>234</v>
      </c>
    </row>
    <row r="32" spans="2:32" ht="23.1" customHeight="1" x14ac:dyDescent="0.25">
      <c r="B32" s="46" t="s">
        <v>59</v>
      </c>
      <c r="C32" s="50">
        <v>103</v>
      </c>
      <c r="D32" s="50">
        <v>30</v>
      </c>
      <c r="E32" s="50">
        <v>15</v>
      </c>
      <c r="F32" s="50">
        <v>105</v>
      </c>
      <c r="G32" s="50">
        <v>2</v>
      </c>
      <c r="H32" s="50">
        <v>0</v>
      </c>
      <c r="I32" s="50">
        <v>6</v>
      </c>
      <c r="J32" s="50">
        <v>3</v>
      </c>
      <c r="K32" s="50">
        <v>1</v>
      </c>
      <c r="L32" s="50">
        <v>5</v>
      </c>
      <c r="M32" s="50">
        <v>353</v>
      </c>
      <c r="N32" s="50">
        <v>0</v>
      </c>
      <c r="O32" s="15">
        <f t="shared" si="0"/>
        <v>270</v>
      </c>
      <c r="P32" s="15">
        <f t="shared" si="1"/>
        <v>623</v>
      </c>
      <c r="R32" s="33" t="s">
        <v>156</v>
      </c>
      <c r="S32" s="34">
        <f>SUM(C98:C101)</f>
        <v>126</v>
      </c>
      <c r="T32" s="34">
        <f t="shared" ref="T32:AF32" si="24">SUM(D98:D101)</f>
        <v>33</v>
      </c>
      <c r="U32" s="34">
        <f t="shared" si="24"/>
        <v>7</v>
      </c>
      <c r="V32" s="34">
        <f t="shared" si="24"/>
        <v>26</v>
      </c>
      <c r="W32" s="34">
        <f t="shared" si="24"/>
        <v>2</v>
      </c>
      <c r="X32" s="34">
        <f t="shared" si="24"/>
        <v>0</v>
      </c>
      <c r="Y32" s="34">
        <f t="shared" si="24"/>
        <v>9</v>
      </c>
      <c r="Z32" s="34">
        <f t="shared" si="24"/>
        <v>2</v>
      </c>
      <c r="AA32" s="34">
        <f t="shared" si="24"/>
        <v>8</v>
      </c>
      <c r="AB32" s="34">
        <f t="shared" si="24"/>
        <v>9</v>
      </c>
      <c r="AC32" s="34">
        <f t="shared" si="24"/>
        <v>124</v>
      </c>
      <c r="AD32" s="34">
        <f t="shared" si="24"/>
        <v>0</v>
      </c>
      <c r="AE32" s="31">
        <f t="shared" si="24"/>
        <v>222</v>
      </c>
      <c r="AF32" s="31">
        <f t="shared" si="24"/>
        <v>346</v>
      </c>
    </row>
    <row r="33" spans="2:32" ht="23.1" customHeight="1" x14ac:dyDescent="0.25">
      <c r="B33" s="45" t="s">
        <v>60</v>
      </c>
      <c r="C33" s="50">
        <v>120</v>
      </c>
      <c r="D33" s="50">
        <v>26</v>
      </c>
      <c r="E33" s="50">
        <v>16</v>
      </c>
      <c r="F33" s="50">
        <v>100</v>
      </c>
      <c r="G33" s="50">
        <v>1</v>
      </c>
      <c r="H33" s="50">
        <v>1</v>
      </c>
      <c r="I33" s="50">
        <v>7</v>
      </c>
      <c r="J33" s="50">
        <v>6</v>
      </c>
      <c r="K33" s="50">
        <v>1</v>
      </c>
      <c r="L33" s="50">
        <v>3</v>
      </c>
      <c r="M33" s="50">
        <v>522</v>
      </c>
      <c r="N33" s="50">
        <v>0</v>
      </c>
      <c r="O33" s="15">
        <f t="shared" si="0"/>
        <v>281</v>
      </c>
      <c r="P33" s="15">
        <f t="shared" si="1"/>
        <v>803</v>
      </c>
      <c r="R33" s="33" t="s">
        <v>157</v>
      </c>
      <c r="S33" s="34">
        <f>SUM(C102:C105)</f>
        <v>81</v>
      </c>
      <c r="T33" s="34">
        <f t="shared" ref="T33:AF33" si="25">SUM(D102:D105)</f>
        <v>14</v>
      </c>
      <c r="U33" s="34">
        <f t="shared" si="25"/>
        <v>13</v>
      </c>
      <c r="V33" s="34">
        <f t="shared" si="25"/>
        <v>84</v>
      </c>
      <c r="W33" s="34">
        <f t="shared" si="25"/>
        <v>2</v>
      </c>
      <c r="X33" s="34">
        <f t="shared" si="25"/>
        <v>0</v>
      </c>
      <c r="Y33" s="34">
        <f t="shared" si="25"/>
        <v>18</v>
      </c>
      <c r="Z33" s="34">
        <f t="shared" si="25"/>
        <v>8</v>
      </c>
      <c r="AA33" s="34">
        <f t="shared" si="25"/>
        <v>14</v>
      </c>
      <c r="AB33" s="34">
        <f t="shared" si="25"/>
        <v>19</v>
      </c>
      <c r="AC33" s="34">
        <f t="shared" si="25"/>
        <v>443</v>
      </c>
      <c r="AD33" s="34">
        <f t="shared" si="25"/>
        <v>0</v>
      </c>
      <c r="AE33" s="31">
        <f t="shared" si="25"/>
        <v>253</v>
      </c>
      <c r="AF33" s="31">
        <f t="shared" si="25"/>
        <v>696</v>
      </c>
    </row>
    <row r="34" spans="2:32" ht="23.1" customHeight="1" x14ac:dyDescent="0.25">
      <c r="B34" s="46" t="s">
        <v>61</v>
      </c>
      <c r="C34" s="50">
        <v>77</v>
      </c>
      <c r="D34" s="50">
        <v>20</v>
      </c>
      <c r="E34" s="50">
        <v>16</v>
      </c>
      <c r="F34" s="50">
        <v>36</v>
      </c>
      <c r="G34" s="50">
        <v>0</v>
      </c>
      <c r="H34" s="50">
        <v>1</v>
      </c>
      <c r="I34" s="50">
        <v>17</v>
      </c>
      <c r="J34" s="50">
        <v>6</v>
      </c>
      <c r="K34" s="50">
        <v>6</v>
      </c>
      <c r="L34" s="50">
        <v>6</v>
      </c>
      <c r="M34" s="50">
        <v>466</v>
      </c>
      <c r="N34" s="50">
        <v>2</v>
      </c>
      <c r="O34" s="15">
        <f t="shared" si="0"/>
        <v>187</v>
      </c>
      <c r="P34" s="15">
        <f t="shared" si="1"/>
        <v>653</v>
      </c>
      <c r="R34" s="38" t="s">
        <v>90</v>
      </c>
      <c r="S34" s="39">
        <f t="shared" ref="S34:AF34" si="26">MAX(S10:S12)</f>
        <v>338</v>
      </c>
      <c r="T34" s="39">
        <f t="shared" si="26"/>
        <v>53</v>
      </c>
      <c r="U34" s="39">
        <f t="shared" si="26"/>
        <v>54</v>
      </c>
      <c r="V34" s="39">
        <f t="shared" si="26"/>
        <v>510</v>
      </c>
      <c r="W34" s="39">
        <f t="shared" si="26"/>
        <v>9</v>
      </c>
      <c r="X34" s="39">
        <f t="shared" si="26"/>
        <v>0</v>
      </c>
      <c r="Y34" s="39">
        <f t="shared" si="26"/>
        <v>43</v>
      </c>
      <c r="Z34" s="39">
        <f t="shared" si="26"/>
        <v>20</v>
      </c>
      <c r="AA34" s="39">
        <f t="shared" si="26"/>
        <v>19</v>
      </c>
      <c r="AB34" s="39">
        <f t="shared" si="26"/>
        <v>19</v>
      </c>
      <c r="AC34" s="39">
        <f t="shared" si="26"/>
        <v>1750</v>
      </c>
      <c r="AD34" s="39">
        <f t="shared" si="26"/>
        <v>1</v>
      </c>
      <c r="AE34" s="40">
        <f t="shared" si="26"/>
        <v>1046</v>
      </c>
      <c r="AF34" s="40">
        <f t="shared" si="26"/>
        <v>2665</v>
      </c>
    </row>
    <row r="35" spans="2:32" ht="23.1" customHeight="1" x14ac:dyDescent="0.25">
      <c r="B35" s="46" t="s">
        <v>62</v>
      </c>
      <c r="C35" s="50">
        <v>63</v>
      </c>
      <c r="D35" s="50">
        <v>16</v>
      </c>
      <c r="E35" s="50">
        <v>18</v>
      </c>
      <c r="F35" s="50">
        <v>110</v>
      </c>
      <c r="G35" s="50">
        <v>1</v>
      </c>
      <c r="H35" s="50">
        <v>0</v>
      </c>
      <c r="I35" s="50">
        <v>8</v>
      </c>
      <c r="J35" s="50">
        <v>7</v>
      </c>
      <c r="K35" s="50">
        <v>3</v>
      </c>
      <c r="L35" s="50">
        <v>8</v>
      </c>
      <c r="M35" s="50">
        <v>434</v>
      </c>
      <c r="N35" s="50">
        <v>0</v>
      </c>
      <c r="O35" s="15">
        <f t="shared" si="0"/>
        <v>234</v>
      </c>
      <c r="P35" s="15">
        <f t="shared" si="1"/>
        <v>668</v>
      </c>
      <c r="R35" s="38" t="s">
        <v>91</v>
      </c>
      <c r="S35" s="39">
        <f t="shared" ref="S35:AF35" si="27">MAX(S13:S18)</f>
        <v>393</v>
      </c>
      <c r="T35" s="39">
        <f t="shared" si="27"/>
        <v>130</v>
      </c>
      <c r="U35" s="39">
        <f t="shared" si="27"/>
        <v>82</v>
      </c>
      <c r="V35" s="39">
        <f t="shared" si="27"/>
        <v>344</v>
      </c>
      <c r="W35" s="39">
        <f t="shared" si="27"/>
        <v>7</v>
      </c>
      <c r="X35" s="39">
        <f t="shared" si="27"/>
        <v>2</v>
      </c>
      <c r="Y35" s="39">
        <f t="shared" si="27"/>
        <v>44</v>
      </c>
      <c r="Z35" s="39">
        <f t="shared" si="27"/>
        <v>34</v>
      </c>
      <c r="AA35" s="39">
        <f t="shared" si="27"/>
        <v>18</v>
      </c>
      <c r="AB35" s="39">
        <f t="shared" si="27"/>
        <v>25</v>
      </c>
      <c r="AC35" s="39">
        <f t="shared" si="27"/>
        <v>1759</v>
      </c>
      <c r="AD35" s="39">
        <f t="shared" si="27"/>
        <v>2</v>
      </c>
      <c r="AE35" s="40">
        <f t="shared" si="27"/>
        <v>954</v>
      </c>
      <c r="AF35" s="40">
        <f t="shared" si="27"/>
        <v>2563</v>
      </c>
    </row>
    <row r="36" spans="2:32" ht="23.1" customHeight="1" x14ac:dyDescent="0.25">
      <c r="B36" s="46" t="s">
        <v>63</v>
      </c>
      <c r="C36" s="50">
        <v>50</v>
      </c>
      <c r="D36" s="50">
        <v>27</v>
      </c>
      <c r="E36" s="50">
        <v>30</v>
      </c>
      <c r="F36" s="50">
        <v>81</v>
      </c>
      <c r="G36" s="50">
        <v>1</v>
      </c>
      <c r="H36" s="50">
        <v>0</v>
      </c>
      <c r="I36" s="50">
        <v>11</v>
      </c>
      <c r="J36" s="50">
        <v>7</v>
      </c>
      <c r="K36" s="50">
        <v>4</v>
      </c>
      <c r="L36" s="50">
        <v>6</v>
      </c>
      <c r="M36" s="50">
        <v>410</v>
      </c>
      <c r="N36" s="50">
        <v>0</v>
      </c>
      <c r="O36" s="15">
        <f t="shared" si="0"/>
        <v>217</v>
      </c>
      <c r="P36" s="15">
        <f t="shared" si="1"/>
        <v>627</v>
      </c>
      <c r="R36" s="38" t="s">
        <v>92</v>
      </c>
      <c r="S36" s="39">
        <f t="shared" ref="S36:AF36" si="28">MAX(S19:S21)</f>
        <v>374</v>
      </c>
      <c r="T36" s="39">
        <f t="shared" si="28"/>
        <v>85</v>
      </c>
      <c r="U36" s="39">
        <f t="shared" si="28"/>
        <v>82</v>
      </c>
      <c r="V36" s="39">
        <f t="shared" si="28"/>
        <v>250</v>
      </c>
      <c r="W36" s="39">
        <f t="shared" si="28"/>
        <v>8</v>
      </c>
      <c r="X36" s="39">
        <f t="shared" si="28"/>
        <v>1</v>
      </c>
      <c r="Y36" s="39">
        <f t="shared" si="28"/>
        <v>33</v>
      </c>
      <c r="Z36" s="39">
        <f t="shared" si="28"/>
        <v>20</v>
      </c>
      <c r="AA36" s="39">
        <f t="shared" si="28"/>
        <v>8</v>
      </c>
      <c r="AB36" s="39">
        <f t="shared" si="28"/>
        <v>22</v>
      </c>
      <c r="AC36" s="39">
        <f t="shared" si="28"/>
        <v>2273</v>
      </c>
      <c r="AD36" s="39">
        <f t="shared" si="28"/>
        <v>1</v>
      </c>
      <c r="AE36" s="40">
        <f t="shared" si="28"/>
        <v>811</v>
      </c>
      <c r="AF36" s="40">
        <f t="shared" si="28"/>
        <v>2931</v>
      </c>
    </row>
    <row r="37" spans="2:32" ht="23.1" customHeight="1" x14ac:dyDescent="0.25">
      <c r="B37" s="45" t="s">
        <v>64</v>
      </c>
      <c r="C37" s="50">
        <v>48</v>
      </c>
      <c r="D37" s="50">
        <v>20</v>
      </c>
      <c r="E37" s="50">
        <v>18</v>
      </c>
      <c r="F37" s="50">
        <v>89</v>
      </c>
      <c r="G37" s="50">
        <v>0</v>
      </c>
      <c r="H37" s="50">
        <v>0</v>
      </c>
      <c r="I37" s="50">
        <v>3</v>
      </c>
      <c r="J37" s="50">
        <v>6</v>
      </c>
      <c r="K37" s="50">
        <v>5</v>
      </c>
      <c r="L37" s="50">
        <v>5</v>
      </c>
      <c r="M37" s="50">
        <v>421</v>
      </c>
      <c r="N37" s="50">
        <v>0</v>
      </c>
      <c r="O37" s="15">
        <f t="shared" si="0"/>
        <v>194</v>
      </c>
      <c r="P37" s="15">
        <f t="shared" si="1"/>
        <v>615</v>
      </c>
      <c r="R37" s="37" t="s">
        <v>85</v>
      </c>
      <c r="S37" s="35">
        <f t="shared" ref="S37:AF37" si="29">SUM(S10:S12)</f>
        <v>726</v>
      </c>
      <c r="T37" s="16">
        <f t="shared" si="29"/>
        <v>154</v>
      </c>
      <c r="U37" s="16">
        <f t="shared" si="29"/>
        <v>113</v>
      </c>
      <c r="V37" s="16">
        <f t="shared" si="29"/>
        <v>1197</v>
      </c>
      <c r="W37" s="16">
        <f t="shared" si="29"/>
        <v>20</v>
      </c>
      <c r="X37" s="16">
        <f t="shared" si="29"/>
        <v>0</v>
      </c>
      <c r="Y37" s="16">
        <f t="shared" si="29"/>
        <v>105</v>
      </c>
      <c r="Z37" s="16">
        <f t="shared" si="29"/>
        <v>57</v>
      </c>
      <c r="AA37" s="16">
        <f t="shared" si="29"/>
        <v>45</v>
      </c>
      <c r="AB37" s="16">
        <f t="shared" si="29"/>
        <v>50</v>
      </c>
      <c r="AC37" s="16">
        <f t="shared" si="29"/>
        <v>4906</v>
      </c>
      <c r="AD37" s="16">
        <f t="shared" si="29"/>
        <v>2</v>
      </c>
      <c r="AE37" s="32">
        <f t="shared" si="29"/>
        <v>2469</v>
      </c>
      <c r="AF37" s="32">
        <f t="shared" si="29"/>
        <v>7375</v>
      </c>
    </row>
    <row r="38" spans="2:32" ht="23.1" customHeight="1" x14ac:dyDescent="0.25">
      <c r="B38" s="46" t="s">
        <v>65</v>
      </c>
      <c r="C38" s="50">
        <v>90</v>
      </c>
      <c r="D38" s="50">
        <v>19</v>
      </c>
      <c r="E38" s="50">
        <v>17</v>
      </c>
      <c r="F38" s="50">
        <v>60</v>
      </c>
      <c r="G38" s="50">
        <v>1</v>
      </c>
      <c r="H38" s="50">
        <v>0</v>
      </c>
      <c r="I38" s="50">
        <v>6</v>
      </c>
      <c r="J38" s="50">
        <v>3</v>
      </c>
      <c r="K38" s="50">
        <v>4</v>
      </c>
      <c r="L38" s="50">
        <v>5</v>
      </c>
      <c r="M38" s="50">
        <v>448</v>
      </c>
      <c r="N38" s="50">
        <v>0</v>
      </c>
      <c r="O38" s="15">
        <f t="shared" si="0"/>
        <v>205</v>
      </c>
      <c r="P38" s="15">
        <f t="shared" si="1"/>
        <v>653</v>
      </c>
      <c r="R38" s="28" t="s">
        <v>86</v>
      </c>
      <c r="S38" s="16">
        <f t="shared" ref="S38:AF38" si="30">SUM(S13:S18)</f>
        <v>1618</v>
      </c>
      <c r="T38" s="16">
        <f t="shared" si="30"/>
        <v>516</v>
      </c>
      <c r="U38" s="16">
        <f t="shared" si="30"/>
        <v>348</v>
      </c>
      <c r="V38" s="16">
        <f t="shared" si="30"/>
        <v>1802</v>
      </c>
      <c r="W38" s="16">
        <f t="shared" si="30"/>
        <v>29</v>
      </c>
      <c r="X38" s="16">
        <f t="shared" si="30"/>
        <v>5</v>
      </c>
      <c r="Y38" s="16">
        <f t="shared" si="30"/>
        <v>190</v>
      </c>
      <c r="Z38" s="16">
        <f t="shared" si="30"/>
        <v>129</v>
      </c>
      <c r="AA38" s="16">
        <f t="shared" si="30"/>
        <v>75</v>
      </c>
      <c r="AB38" s="16">
        <f t="shared" si="30"/>
        <v>100</v>
      </c>
      <c r="AC38" s="16">
        <f t="shared" si="30"/>
        <v>9090</v>
      </c>
      <c r="AD38" s="16">
        <f t="shared" si="30"/>
        <v>5</v>
      </c>
      <c r="AE38" s="32">
        <f t="shared" si="30"/>
        <v>4817</v>
      </c>
      <c r="AF38" s="32">
        <f t="shared" si="30"/>
        <v>13907</v>
      </c>
    </row>
    <row r="39" spans="2:32" ht="23.1" customHeight="1" x14ac:dyDescent="0.25">
      <c r="B39" s="46" t="s">
        <v>66</v>
      </c>
      <c r="C39" s="50">
        <v>15</v>
      </c>
      <c r="D39" s="50">
        <v>13</v>
      </c>
      <c r="E39" s="50">
        <v>20</v>
      </c>
      <c r="F39" s="50">
        <v>98</v>
      </c>
      <c r="G39" s="50">
        <v>2</v>
      </c>
      <c r="H39" s="50">
        <v>0</v>
      </c>
      <c r="I39" s="50">
        <v>15</v>
      </c>
      <c r="J39" s="50">
        <v>7</v>
      </c>
      <c r="K39" s="50">
        <v>4</v>
      </c>
      <c r="L39" s="50">
        <v>6</v>
      </c>
      <c r="M39" s="50">
        <v>375</v>
      </c>
      <c r="N39" s="50">
        <v>0</v>
      </c>
      <c r="O39" s="15">
        <f t="shared" si="0"/>
        <v>180</v>
      </c>
      <c r="P39" s="15">
        <f t="shared" si="1"/>
        <v>555</v>
      </c>
      <c r="R39" s="29" t="s">
        <v>87</v>
      </c>
      <c r="S39" s="16">
        <f t="shared" ref="S39:AF39" si="31">SUM(S19:S21)</f>
        <v>936</v>
      </c>
      <c r="T39" s="16">
        <f t="shared" si="31"/>
        <v>207</v>
      </c>
      <c r="U39" s="16">
        <f t="shared" si="31"/>
        <v>175</v>
      </c>
      <c r="V39" s="16">
        <f t="shared" si="31"/>
        <v>654</v>
      </c>
      <c r="W39" s="16">
        <f t="shared" si="31"/>
        <v>19</v>
      </c>
      <c r="X39" s="16">
        <f t="shared" si="31"/>
        <v>2</v>
      </c>
      <c r="Y39" s="16">
        <f t="shared" si="31"/>
        <v>81</v>
      </c>
      <c r="Z39" s="16">
        <f t="shared" si="31"/>
        <v>46</v>
      </c>
      <c r="AA39" s="16">
        <f t="shared" si="31"/>
        <v>18</v>
      </c>
      <c r="AB39" s="16">
        <f t="shared" si="31"/>
        <v>57</v>
      </c>
      <c r="AC39" s="16">
        <f t="shared" si="31"/>
        <v>6092</v>
      </c>
      <c r="AD39" s="16">
        <f t="shared" si="31"/>
        <v>1</v>
      </c>
      <c r="AE39" s="32">
        <f t="shared" si="31"/>
        <v>2196</v>
      </c>
      <c r="AF39" s="32">
        <f t="shared" si="31"/>
        <v>8288</v>
      </c>
    </row>
    <row r="40" spans="2:32" ht="23.1" customHeight="1" x14ac:dyDescent="0.25">
      <c r="B40" s="46" t="s">
        <v>67</v>
      </c>
      <c r="C40" s="50">
        <v>105</v>
      </c>
      <c r="D40" s="50">
        <v>18</v>
      </c>
      <c r="E40" s="50">
        <v>27</v>
      </c>
      <c r="F40" s="50">
        <v>76</v>
      </c>
      <c r="G40" s="50">
        <v>2</v>
      </c>
      <c r="H40" s="50">
        <v>0</v>
      </c>
      <c r="I40" s="50">
        <v>7</v>
      </c>
      <c r="J40" s="50">
        <v>4</v>
      </c>
      <c r="K40" s="50">
        <v>0</v>
      </c>
      <c r="L40" s="50">
        <v>3</v>
      </c>
      <c r="M40" s="50">
        <v>399</v>
      </c>
      <c r="N40" s="50">
        <v>0</v>
      </c>
      <c r="O40" s="15">
        <f t="shared" si="0"/>
        <v>242</v>
      </c>
      <c r="P40" s="15">
        <f t="shared" si="1"/>
        <v>641</v>
      </c>
      <c r="R40" s="5" t="s">
        <v>17</v>
      </c>
      <c r="S40" s="16">
        <f t="shared" ref="S40:AF40" si="32">SUM(S10:S21)</f>
        <v>3280</v>
      </c>
      <c r="T40" s="16">
        <f t="shared" si="32"/>
        <v>877</v>
      </c>
      <c r="U40" s="16">
        <f t="shared" si="32"/>
        <v>636</v>
      </c>
      <c r="V40" s="16">
        <f t="shared" si="32"/>
        <v>3653</v>
      </c>
      <c r="W40" s="16">
        <f t="shared" si="32"/>
        <v>68</v>
      </c>
      <c r="X40" s="16">
        <f t="shared" si="32"/>
        <v>7</v>
      </c>
      <c r="Y40" s="16">
        <f t="shared" si="32"/>
        <v>376</v>
      </c>
      <c r="Z40" s="16">
        <f t="shared" si="32"/>
        <v>232</v>
      </c>
      <c r="AA40" s="16">
        <f t="shared" si="32"/>
        <v>138</v>
      </c>
      <c r="AB40" s="16">
        <f t="shared" si="32"/>
        <v>207</v>
      </c>
      <c r="AC40" s="16">
        <f t="shared" si="32"/>
        <v>20088</v>
      </c>
      <c r="AD40" s="16">
        <f t="shared" si="32"/>
        <v>8</v>
      </c>
      <c r="AE40" s="32">
        <f t="shared" si="32"/>
        <v>9482</v>
      </c>
      <c r="AF40" s="32">
        <f t="shared" si="32"/>
        <v>29570</v>
      </c>
    </row>
    <row r="41" spans="2:32" ht="23.1" customHeight="1" x14ac:dyDescent="0.25">
      <c r="B41" s="45" t="s">
        <v>68</v>
      </c>
      <c r="C41" s="50">
        <v>61</v>
      </c>
      <c r="D41" s="50">
        <v>12</v>
      </c>
      <c r="E41" s="50">
        <v>13</v>
      </c>
      <c r="F41" s="50">
        <v>82</v>
      </c>
      <c r="G41" s="50">
        <v>2</v>
      </c>
      <c r="H41" s="50">
        <v>1</v>
      </c>
      <c r="I41" s="50">
        <v>6</v>
      </c>
      <c r="J41" s="50">
        <v>3</v>
      </c>
      <c r="K41" s="50">
        <v>0</v>
      </c>
      <c r="L41" s="50">
        <v>4</v>
      </c>
      <c r="M41" s="50">
        <v>432</v>
      </c>
      <c r="N41" s="50">
        <v>0</v>
      </c>
      <c r="O41" s="15">
        <f t="shared" si="0"/>
        <v>184</v>
      </c>
      <c r="P41" s="15">
        <f t="shared" si="1"/>
        <v>616</v>
      </c>
      <c r="R41" s="5" t="s">
        <v>159</v>
      </c>
      <c r="S41" s="16">
        <f>SUM(S10:S33)</f>
        <v>5210</v>
      </c>
      <c r="T41" s="16">
        <f t="shared" ref="T41:AF41" si="33">SUM(T10:T33)</f>
        <v>1163</v>
      </c>
      <c r="U41" s="16">
        <f t="shared" si="33"/>
        <v>796</v>
      </c>
      <c r="V41" s="16">
        <f t="shared" si="33"/>
        <v>4574</v>
      </c>
      <c r="W41" s="16">
        <f t="shared" si="33"/>
        <v>80</v>
      </c>
      <c r="X41" s="16">
        <f t="shared" si="33"/>
        <v>7</v>
      </c>
      <c r="Y41" s="16">
        <f t="shared" si="33"/>
        <v>499</v>
      </c>
      <c r="Z41" s="16">
        <f t="shared" si="33"/>
        <v>289</v>
      </c>
      <c r="AA41" s="16">
        <f t="shared" si="33"/>
        <v>236</v>
      </c>
      <c r="AB41" s="16">
        <f t="shared" si="33"/>
        <v>271</v>
      </c>
      <c r="AC41" s="16">
        <f t="shared" si="33"/>
        <v>25692</v>
      </c>
      <c r="AD41" s="16">
        <f t="shared" si="33"/>
        <v>8</v>
      </c>
      <c r="AE41" s="32">
        <f t="shared" si="33"/>
        <v>13133</v>
      </c>
      <c r="AF41" s="32">
        <f t="shared" si="33"/>
        <v>38825</v>
      </c>
    </row>
    <row r="42" spans="2:32" ht="23.1" customHeight="1" x14ac:dyDescent="0.25">
      <c r="B42" s="46" t="s">
        <v>69</v>
      </c>
      <c r="C42" s="50">
        <v>90</v>
      </c>
      <c r="D42" s="50">
        <v>28</v>
      </c>
      <c r="E42" s="50">
        <v>26</v>
      </c>
      <c r="F42" s="50">
        <v>56</v>
      </c>
      <c r="G42" s="50">
        <v>1</v>
      </c>
      <c r="H42" s="50">
        <v>0</v>
      </c>
      <c r="I42" s="50">
        <v>3</v>
      </c>
      <c r="J42" s="50">
        <v>4</v>
      </c>
      <c r="K42" s="50">
        <v>2</v>
      </c>
      <c r="L42" s="50">
        <v>0</v>
      </c>
      <c r="M42" s="50">
        <v>418</v>
      </c>
      <c r="N42" s="50">
        <v>0</v>
      </c>
      <c r="O42" s="15">
        <f t="shared" si="0"/>
        <v>210</v>
      </c>
      <c r="P42" s="15">
        <f t="shared" si="1"/>
        <v>628</v>
      </c>
      <c r="R42" s="5" t="s">
        <v>160</v>
      </c>
      <c r="S42" s="48">
        <f>S41/S40</f>
        <v>1.5884146341463414</v>
      </c>
      <c r="T42" s="48">
        <f t="shared" ref="T42:AF42" si="34">T41/T40</f>
        <v>1.3261117445838084</v>
      </c>
      <c r="U42" s="48">
        <f t="shared" si="34"/>
        <v>1.2515723270440251</v>
      </c>
      <c r="V42" s="48">
        <f t="shared" si="34"/>
        <v>1.2521215439364906</v>
      </c>
      <c r="W42" s="48">
        <f t="shared" si="34"/>
        <v>1.1764705882352942</v>
      </c>
      <c r="X42" s="48">
        <f t="shared" si="34"/>
        <v>1</v>
      </c>
      <c r="Y42" s="48">
        <f t="shared" si="34"/>
        <v>1.3271276595744681</v>
      </c>
      <c r="Z42" s="48">
        <f t="shared" si="34"/>
        <v>1.2456896551724137</v>
      </c>
      <c r="AA42" s="48">
        <f t="shared" si="34"/>
        <v>1.7101449275362319</v>
      </c>
      <c r="AB42" s="48">
        <f t="shared" si="34"/>
        <v>1.3091787439613527</v>
      </c>
      <c r="AC42" s="48">
        <f t="shared" si="34"/>
        <v>1.2789725209080047</v>
      </c>
      <c r="AD42" s="48">
        <f t="shared" si="34"/>
        <v>1</v>
      </c>
      <c r="AE42" s="48">
        <f t="shared" si="34"/>
        <v>1.3850453490824721</v>
      </c>
      <c r="AF42" s="48">
        <f t="shared" si="34"/>
        <v>1.3129861345958742</v>
      </c>
    </row>
    <row r="43" spans="2:32" ht="23.1" customHeight="1" x14ac:dyDescent="0.25">
      <c r="B43" s="45" t="s">
        <v>70</v>
      </c>
      <c r="C43" s="50">
        <v>80</v>
      </c>
      <c r="D43" s="50">
        <v>35</v>
      </c>
      <c r="E43" s="50">
        <v>11</v>
      </c>
      <c r="F43" s="50">
        <v>40</v>
      </c>
      <c r="G43" s="50">
        <v>1</v>
      </c>
      <c r="H43" s="50">
        <v>0</v>
      </c>
      <c r="I43" s="50">
        <v>1</v>
      </c>
      <c r="J43" s="50">
        <v>20</v>
      </c>
      <c r="K43" s="50">
        <v>2</v>
      </c>
      <c r="L43" s="50">
        <v>2</v>
      </c>
      <c r="M43" s="50">
        <v>405</v>
      </c>
      <c r="N43" s="50">
        <v>1</v>
      </c>
      <c r="O43" s="15">
        <f t="shared" si="0"/>
        <v>193</v>
      </c>
      <c r="P43" s="15">
        <f t="shared" si="1"/>
        <v>598</v>
      </c>
    </row>
    <row r="44" spans="2:32" ht="23.1" customHeight="1" x14ac:dyDescent="0.25">
      <c r="B44" s="47" t="s">
        <v>71</v>
      </c>
      <c r="C44" s="50">
        <v>30</v>
      </c>
      <c r="D44" s="50">
        <v>7</v>
      </c>
      <c r="E44" s="50">
        <v>5</v>
      </c>
      <c r="F44" s="50">
        <v>48</v>
      </c>
      <c r="G44" s="50">
        <v>1</v>
      </c>
      <c r="H44" s="50">
        <v>0</v>
      </c>
      <c r="I44" s="50">
        <v>7</v>
      </c>
      <c r="J44" s="50">
        <v>3</v>
      </c>
      <c r="K44" s="50">
        <v>5</v>
      </c>
      <c r="L44" s="50">
        <v>8</v>
      </c>
      <c r="M44" s="50">
        <v>409</v>
      </c>
      <c r="N44" s="50">
        <v>1</v>
      </c>
      <c r="O44" s="15">
        <f t="shared" si="0"/>
        <v>115</v>
      </c>
      <c r="P44" s="15">
        <f t="shared" si="1"/>
        <v>524</v>
      </c>
    </row>
    <row r="45" spans="2:32" ht="23.1" customHeight="1" x14ac:dyDescent="0.25">
      <c r="B45" s="45" t="s">
        <v>72</v>
      </c>
      <c r="C45" s="50">
        <v>85</v>
      </c>
      <c r="D45" s="50">
        <v>60</v>
      </c>
      <c r="E45" s="50">
        <v>10</v>
      </c>
      <c r="F45" s="50">
        <v>67</v>
      </c>
      <c r="G45" s="50">
        <v>0</v>
      </c>
      <c r="H45" s="50">
        <v>0</v>
      </c>
      <c r="I45" s="50">
        <v>9</v>
      </c>
      <c r="J45" s="50">
        <v>7</v>
      </c>
      <c r="K45" s="50">
        <v>5</v>
      </c>
      <c r="L45" s="50">
        <v>7</v>
      </c>
      <c r="M45" s="50">
        <v>527</v>
      </c>
      <c r="N45" s="50">
        <v>0</v>
      </c>
      <c r="O45" s="15">
        <f t="shared" si="0"/>
        <v>250</v>
      </c>
      <c r="P45" s="15">
        <f t="shared" si="1"/>
        <v>777</v>
      </c>
    </row>
    <row r="46" spans="2:32" ht="23.1" customHeight="1" x14ac:dyDescent="0.25">
      <c r="B46" s="46" t="s">
        <v>73</v>
      </c>
      <c r="C46" s="50">
        <v>70</v>
      </c>
      <c r="D46" s="50">
        <v>21</v>
      </c>
      <c r="E46" s="50">
        <v>31</v>
      </c>
      <c r="F46" s="50">
        <v>64</v>
      </c>
      <c r="G46" s="50">
        <v>3</v>
      </c>
      <c r="H46" s="50">
        <v>0</v>
      </c>
      <c r="I46" s="50">
        <v>3</v>
      </c>
      <c r="J46" s="50">
        <v>9</v>
      </c>
      <c r="K46" s="50">
        <v>0</v>
      </c>
      <c r="L46" s="50">
        <v>6</v>
      </c>
      <c r="M46" s="50">
        <v>451</v>
      </c>
      <c r="N46" s="50">
        <v>0</v>
      </c>
      <c r="O46" s="15">
        <f t="shared" si="0"/>
        <v>207</v>
      </c>
      <c r="P46" s="15">
        <f t="shared" si="1"/>
        <v>658</v>
      </c>
      <c r="R46" s="8"/>
      <c r="T46"/>
    </row>
    <row r="47" spans="2:32" ht="23.1" customHeight="1" x14ac:dyDescent="0.25">
      <c r="B47" s="46" t="s">
        <v>74</v>
      </c>
      <c r="C47" s="50">
        <v>50</v>
      </c>
      <c r="D47" s="50">
        <v>24</v>
      </c>
      <c r="E47" s="50">
        <v>12</v>
      </c>
      <c r="F47" s="50">
        <v>71</v>
      </c>
      <c r="G47" s="50">
        <v>2</v>
      </c>
      <c r="H47" s="50">
        <v>0</v>
      </c>
      <c r="I47" s="50">
        <v>10</v>
      </c>
      <c r="J47" s="50">
        <v>4</v>
      </c>
      <c r="K47" s="50">
        <v>1</v>
      </c>
      <c r="L47" s="50">
        <v>9</v>
      </c>
      <c r="M47" s="50">
        <v>540</v>
      </c>
      <c r="N47" s="50">
        <v>1</v>
      </c>
      <c r="O47" s="15">
        <f t="shared" si="0"/>
        <v>184</v>
      </c>
      <c r="P47" s="15">
        <f t="shared" si="1"/>
        <v>724</v>
      </c>
      <c r="R47" s="8"/>
      <c r="T47"/>
    </row>
    <row r="48" spans="2:32" ht="23.1" customHeight="1" x14ac:dyDescent="0.25">
      <c r="B48" s="46" t="s">
        <v>75</v>
      </c>
      <c r="C48" s="50">
        <v>55</v>
      </c>
      <c r="D48" s="50">
        <v>18</v>
      </c>
      <c r="E48" s="50">
        <v>9</v>
      </c>
      <c r="F48" s="50">
        <v>70</v>
      </c>
      <c r="G48" s="50">
        <v>1</v>
      </c>
      <c r="H48" s="50">
        <v>0</v>
      </c>
      <c r="I48" s="50">
        <v>8</v>
      </c>
      <c r="J48" s="50">
        <v>5</v>
      </c>
      <c r="K48" s="50">
        <v>2</v>
      </c>
      <c r="L48" s="50">
        <v>3</v>
      </c>
      <c r="M48" s="50">
        <v>513</v>
      </c>
      <c r="N48" s="50">
        <v>0</v>
      </c>
      <c r="O48" s="15">
        <f t="shared" si="0"/>
        <v>171</v>
      </c>
      <c r="P48" s="15">
        <f t="shared" si="1"/>
        <v>684</v>
      </c>
      <c r="R48" s="8"/>
      <c r="T48"/>
    </row>
    <row r="49" spans="2:20" ht="23.1" customHeight="1" x14ac:dyDescent="0.25">
      <c r="B49" s="45" t="s">
        <v>76</v>
      </c>
      <c r="C49" s="50">
        <v>60</v>
      </c>
      <c r="D49" s="50">
        <v>13</v>
      </c>
      <c r="E49" s="50">
        <v>30</v>
      </c>
      <c r="F49" s="50">
        <v>45</v>
      </c>
      <c r="G49" s="50">
        <v>2</v>
      </c>
      <c r="H49" s="50">
        <v>1</v>
      </c>
      <c r="I49" s="50">
        <v>5</v>
      </c>
      <c r="J49" s="50">
        <v>2</v>
      </c>
      <c r="K49" s="50">
        <v>5</v>
      </c>
      <c r="L49" s="50">
        <v>2</v>
      </c>
      <c r="M49" s="50">
        <v>490</v>
      </c>
      <c r="N49" s="50">
        <v>0</v>
      </c>
      <c r="O49" s="15">
        <f t="shared" si="0"/>
        <v>165</v>
      </c>
      <c r="P49" s="15">
        <f t="shared" si="1"/>
        <v>655</v>
      </c>
      <c r="R49" s="8"/>
      <c r="T49"/>
    </row>
    <row r="50" spans="2:20" ht="23.1" customHeight="1" x14ac:dyDescent="0.25">
      <c r="B50" s="46" t="s">
        <v>77</v>
      </c>
      <c r="C50" s="50">
        <v>74</v>
      </c>
      <c r="D50" s="50">
        <v>35</v>
      </c>
      <c r="E50" s="50">
        <v>16</v>
      </c>
      <c r="F50" s="50">
        <v>78</v>
      </c>
      <c r="G50" s="50">
        <v>0</v>
      </c>
      <c r="H50" s="50">
        <v>1</v>
      </c>
      <c r="I50" s="50">
        <v>7</v>
      </c>
      <c r="J50" s="50">
        <v>6</v>
      </c>
      <c r="K50" s="50">
        <v>0</v>
      </c>
      <c r="L50" s="50">
        <v>5</v>
      </c>
      <c r="M50" s="50">
        <v>450</v>
      </c>
      <c r="N50" s="50">
        <v>0</v>
      </c>
      <c r="O50" s="15">
        <f t="shared" si="0"/>
        <v>222</v>
      </c>
      <c r="P50" s="15">
        <f t="shared" si="1"/>
        <v>672</v>
      </c>
      <c r="R50" s="8"/>
      <c r="T50"/>
    </row>
    <row r="51" spans="2:20" ht="23.1" customHeight="1" x14ac:dyDescent="0.25">
      <c r="B51" s="46" t="s">
        <v>78</v>
      </c>
      <c r="C51" s="50">
        <v>85</v>
      </c>
      <c r="D51" s="50">
        <v>25</v>
      </c>
      <c r="E51" s="50">
        <v>10</v>
      </c>
      <c r="F51" s="50">
        <v>46</v>
      </c>
      <c r="G51" s="50">
        <v>1</v>
      </c>
      <c r="H51" s="50">
        <v>0</v>
      </c>
      <c r="I51" s="50">
        <v>5</v>
      </c>
      <c r="J51" s="50">
        <v>2</v>
      </c>
      <c r="K51" s="50">
        <v>4</v>
      </c>
      <c r="L51" s="50">
        <v>7</v>
      </c>
      <c r="M51" s="50">
        <v>473</v>
      </c>
      <c r="N51" s="50">
        <v>0</v>
      </c>
      <c r="O51" s="15">
        <f t="shared" si="0"/>
        <v>185</v>
      </c>
      <c r="P51" s="15">
        <f t="shared" si="1"/>
        <v>658</v>
      </c>
      <c r="R51" s="8"/>
      <c r="T51"/>
    </row>
    <row r="52" spans="2:20" ht="23.1" customHeight="1" x14ac:dyDescent="0.25">
      <c r="B52" s="46" t="s">
        <v>79</v>
      </c>
      <c r="C52" s="50">
        <v>95</v>
      </c>
      <c r="D52" s="50">
        <v>14</v>
      </c>
      <c r="E52" s="50">
        <v>12</v>
      </c>
      <c r="F52" s="50">
        <v>53</v>
      </c>
      <c r="G52" s="50">
        <v>2</v>
      </c>
      <c r="H52" s="50">
        <v>0</v>
      </c>
      <c r="I52" s="50">
        <v>7</v>
      </c>
      <c r="J52" s="50">
        <v>5</v>
      </c>
      <c r="K52" s="50">
        <v>2</v>
      </c>
      <c r="L52" s="50">
        <v>8</v>
      </c>
      <c r="M52" s="50">
        <v>442</v>
      </c>
      <c r="N52" s="50">
        <v>0</v>
      </c>
      <c r="O52" s="15">
        <f t="shared" si="0"/>
        <v>198</v>
      </c>
      <c r="P52" s="15">
        <f t="shared" si="1"/>
        <v>640</v>
      </c>
      <c r="R52" s="8"/>
      <c r="T52"/>
    </row>
    <row r="53" spans="2:20" ht="23.1" customHeight="1" x14ac:dyDescent="0.25">
      <c r="B53" s="45" t="s">
        <v>80</v>
      </c>
      <c r="C53" s="50">
        <v>120</v>
      </c>
      <c r="D53" s="50">
        <v>11</v>
      </c>
      <c r="E53" s="50">
        <v>9</v>
      </c>
      <c r="F53" s="50">
        <v>55</v>
      </c>
      <c r="G53" s="50">
        <v>2</v>
      </c>
      <c r="H53" s="50">
        <v>0</v>
      </c>
      <c r="I53" s="50">
        <v>3</v>
      </c>
      <c r="J53" s="50">
        <v>4</v>
      </c>
      <c r="K53" s="50">
        <v>0</v>
      </c>
      <c r="L53" s="50">
        <v>2</v>
      </c>
      <c r="M53" s="50">
        <v>460</v>
      </c>
      <c r="N53" s="50">
        <v>0</v>
      </c>
      <c r="O53" s="15">
        <f t="shared" si="0"/>
        <v>206</v>
      </c>
      <c r="P53" s="15">
        <f t="shared" si="1"/>
        <v>666</v>
      </c>
      <c r="R53" s="8"/>
      <c r="T53"/>
    </row>
    <row r="54" spans="2:20" ht="23.1" customHeight="1" x14ac:dyDescent="0.25">
      <c r="B54" s="45" t="s">
        <v>81</v>
      </c>
      <c r="C54" s="50">
        <v>94</v>
      </c>
      <c r="D54" s="50">
        <v>7</v>
      </c>
      <c r="E54" s="50">
        <v>10</v>
      </c>
      <c r="F54" s="50">
        <v>40</v>
      </c>
      <c r="G54" s="50">
        <v>1</v>
      </c>
      <c r="H54" s="50">
        <v>0</v>
      </c>
      <c r="I54" s="50">
        <v>7</v>
      </c>
      <c r="J54" s="50">
        <v>4</v>
      </c>
      <c r="K54" s="50">
        <v>4</v>
      </c>
      <c r="L54" s="50">
        <v>6</v>
      </c>
      <c r="M54" s="50">
        <v>564</v>
      </c>
      <c r="N54" s="50">
        <v>0</v>
      </c>
      <c r="O54" s="15">
        <f t="shared" si="0"/>
        <v>173</v>
      </c>
      <c r="P54" s="15">
        <f t="shared" si="1"/>
        <v>737</v>
      </c>
      <c r="R54" s="8"/>
      <c r="T54"/>
    </row>
    <row r="55" spans="2:20" ht="23.1" customHeight="1" x14ac:dyDescent="0.25">
      <c r="B55" s="45" t="s">
        <v>82</v>
      </c>
      <c r="C55" s="50">
        <v>75</v>
      </c>
      <c r="D55" s="50">
        <v>10</v>
      </c>
      <c r="E55" s="50">
        <v>8</v>
      </c>
      <c r="F55" s="50">
        <v>49</v>
      </c>
      <c r="G55" s="50">
        <v>0</v>
      </c>
      <c r="H55" s="50">
        <v>0</v>
      </c>
      <c r="I55" s="50">
        <v>7</v>
      </c>
      <c r="J55" s="50">
        <v>1</v>
      </c>
      <c r="K55" s="50">
        <v>0</v>
      </c>
      <c r="L55" s="50">
        <v>1</v>
      </c>
      <c r="M55" s="50">
        <v>589</v>
      </c>
      <c r="N55" s="50">
        <v>0</v>
      </c>
      <c r="O55" s="15">
        <f t="shared" si="0"/>
        <v>151</v>
      </c>
      <c r="P55" s="15">
        <f t="shared" si="1"/>
        <v>740</v>
      </c>
      <c r="R55" s="8"/>
      <c r="T55"/>
    </row>
    <row r="56" spans="2:20" ht="23.1" customHeight="1" x14ac:dyDescent="0.25">
      <c r="B56" s="45" t="s">
        <v>83</v>
      </c>
      <c r="C56" s="50">
        <v>83</v>
      </c>
      <c r="D56" s="50">
        <v>14</v>
      </c>
      <c r="E56" s="50">
        <v>15</v>
      </c>
      <c r="F56" s="50">
        <v>45</v>
      </c>
      <c r="G56" s="50">
        <v>4</v>
      </c>
      <c r="H56" s="50">
        <v>0</v>
      </c>
      <c r="I56" s="50">
        <v>15</v>
      </c>
      <c r="J56" s="50">
        <v>1</v>
      </c>
      <c r="K56" s="50">
        <v>0</v>
      </c>
      <c r="L56" s="50">
        <v>3</v>
      </c>
      <c r="M56" s="50">
        <v>545</v>
      </c>
      <c r="N56" s="50">
        <v>0</v>
      </c>
      <c r="O56" s="15">
        <f t="shared" si="0"/>
        <v>180</v>
      </c>
      <c r="P56" s="15">
        <f t="shared" si="1"/>
        <v>725</v>
      </c>
      <c r="R56" s="8"/>
      <c r="T56"/>
    </row>
    <row r="57" spans="2:20" ht="23.1" customHeight="1" x14ac:dyDescent="0.25">
      <c r="B57" s="45" t="s">
        <v>84</v>
      </c>
      <c r="C57" s="50">
        <v>75</v>
      </c>
      <c r="D57" s="50">
        <v>15</v>
      </c>
      <c r="E57" s="50">
        <v>13</v>
      </c>
      <c r="F57" s="50">
        <v>38</v>
      </c>
      <c r="G57" s="50">
        <v>1</v>
      </c>
      <c r="H57" s="50">
        <v>0</v>
      </c>
      <c r="I57" s="50">
        <v>4</v>
      </c>
      <c r="J57" s="50">
        <v>3</v>
      </c>
      <c r="K57" s="50">
        <v>0</v>
      </c>
      <c r="L57" s="50">
        <v>5</v>
      </c>
      <c r="M57" s="50">
        <v>575</v>
      </c>
      <c r="N57" s="50">
        <v>0</v>
      </c>
      <c r="O57" s="15">
        <f t="shared" si="0"/>
        <v>154</v>
      </c>
      <c r="P57" s="15">
        <f t="shared" si="1"/>
        <v>729</v>
      </c>
      <c r="R57" s="8"/>
      <c r="T57"/>
    </row>
    <row r="58" spans="2:20" ht="23.1" customHeight="1" x14ac:dyDescent="0.25">
      <c r="B58" s="45" t="s">
        <v>99</v>
      </c>
      <c r="C58" s="50">
        <v>65</v>
      </c>
      <c r="D58" s="50">
        <v>1</v>
      </c>
      <c r="E58" s="50">
        <v>3</v>
      </c>
      <c r="F58" s="50">
        <v>45</v>
      </c>
      <c r="G58" s="50">
        <v>0</v>
      </c>
      <c r="H58" s="50">
        <v>0</v>
      </c>
      <c r="I58" s="50">
        <v>6</v>
      </c>
      <c r="J58" s="50">
        <v>1</v>
      </c>
      <c r="K58" s="50">
        <v>1</v>
      </c>
      <c r="L58" s="50">
        <v>2</v>
      </c>
      <c r="M58" s="50">
        <v>485</v>
      </c>
      <c r="N58" s="50">
        <v>0</v>
      </c>
      <c r="O58" s="15">
        <f t="shared" si="0"/>
        <v>124</v>
      </c>
      <c r="P58" s="15">
        <f t="shared" si="1"/>
        <v>609</v>
      </c>
      <c r="R58" s="8"/>
      <c r="T58"/>
    </row>
    <row r="59" spans="2:20" ht="23.1" customHeight="1" x14ac:dyDescent="0.25">
      <c r="B59" s="45" t="s">
        <v>100</v>
      </c>
      <c r="C59" s="50">
        <v>72</v>
      </c>
      <c r="D59" s="50">
        <v>22</v>
      </c>
      <c r="E59" s="50">
        <v>4</v>
      </c>
      <c r="F59" s="50">
        <v>65</v>
      </c>
      <c r="G59" s="50">
        <v>1</v>
      </c>
      <c r="H59" s="50">
        <v>0</v>
      </c>
      <c r="I59" s="50">
        <v>3</v>
      </c>
      <c r="J59" s="50">
        <v>1</v>
      </c>
      <c r="K59" s="50">
        <v>1</v>
      </c>
      <c r="L59" s="50">
        <v>1</v>
      </c>
      <c r="M59" s="50">
        <v>355</v>
      </c>
      <c r="N59" s="50">
        <v>0</v>
      </c>
      <c r="O59" s="15">
        <f t="shared" si="0"/>
        <v>170</v>
      </c>
      <c r="P59" s="15">
        <f t="shared" si="1"/>
        <v>525</v>
      </c>
      <c r="R59" s="8"/>
      <c r="T59"/>
    </row>
    <row r="60" spans="2:20" ht="23.1" customHeight="1" x14ac:dyDescent="0.25">
      <c r="B60" s="45" t="s">
        <v>101</v>
      </c>
      <c r="C60" s="50">
        <v>47</v>
      </c>
      <c r="D60" s="50">
        <v>7</v>
      </c>
      <c r="E60" s="50">
        <v>1</v>
      </c>
      <c r="F60" s="50">
        <v>45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1</v>
      </c>
      <c r="M60" s="50">
        <v>270</v>
      </c>
      <c r="N60" s="50">
        <v>0</v>
      </c>
      <c r="O60" s="15">
        <f t="shared" si="0"/>
        <v>103</v>
      </c>
      <c r="P60" s="15">
        <f t="shared" si="1"/>
        <v>373</v>
      </c>
      <c r="R60" s="8"/>
      <c r="T60"/>
    </row>
    <row r="61" spans="2:20" ht="23.1" customHeight="1" x14ac:dyDescent="0.25">
      <c r="B61" s="45" t="s">
        <v>102</v>
      </c>
      <c r="C61" s="50">
        <v>50</v>
      </c>
      <c r="D61" s="50">
        <v>3</v>
      </c>
      <c r="E61" s="50">
        <v>2</v>
      </c>
      <c r="F61" s="50">
        <v>26</v>
      </c>
      <c r="G61" s="50">
        <v>1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245</v>
      </c>
      <c r="N61" s="50">
        <v>0</v>
      </c>
      <c r="O61" s="15">
        <f t="shared" si="0"/>
        <v>85</v>
      </c>
      <c r="P61" s="15">
        <f t="shared" si="1"/>
        <v>330</v>
      </c>
      <c r="R61" s="8"/>
      <c r="T61"/>
    </row>
    <row r="62" spans="2:20" ht="23.1" customHeight="1" x14ac:dyDescent="0.25">
      <c r="B62" s="45" t="s">
        <v>107</v>
      </c>
      <c r="C62" s="50">
        <v>52</v>
      </c>
      <c r="D62" s="50">
        <v>6</v>
      </c>
      <c r="E62" s="50">
        <v>7</v>
      </c>
      <c r="F62" s="50">
        <v>63</v>
      </c>
      <c r="G62" s="50">
        <v>0</v>
      </c>
      <c r="H62" s="50">
        <v>0</v>
      </c>
      <c r="I62" s="50">
        <v>3</v>
      </c>
      <c r="J62" s="50">
        <v>2</v>
      </c>
      <c r="K62" s="50">
        <v>6</v>
      </c>
      <c r="L62" s="50">
        <v>2</v>
      </c>
      <c r="M62" s="50">
        <v>120</v>
      </c>
      <c r="N62" s="50">
        <v>0</v>
      </c>
      <c r="O62" s="15">
        <f t="shared" si="0"/>
        <v>141</v>
      </c>
      <c r="P62" s="15">
        <f t="shared" si="1"/>
        <v>261</v>
      </c>
      <c r="R62" s="8"/>
      <c r="T62"/>
    </row>
    <row r="63" spans="2:20" ht="23.1" customHeight="1" x14ac:dyDescent="0.25">
      <c r="B63" s="45" t="s">
        <v>108</v>
      </c>
      <c r="C63" s="50">
        <v>48</v>
      </c>
      <c r="D63" s="50">
        <v>8</v>
      </c>
      <c r="E63" s="50">
        <v>8</v>
      </c>
      <c r="F63" s="50">
        <v>55</v>
      </c>
      <c r="G63" s="50">
        <v>2</v>
      </c>
      <c r="H63" s="50">
        <v>0</v>
      </c>
      <c r="I63" s="50">
        <v>7</v>
      </c>
      <c r="J63" s="50">
        <v>1</v>
      </c>
      <c r="K63" s="50">
        <v>8</v>
      </c>
      <c r="L63" s="50">
        <v>1</v>
      </c>
      <c r="M63" s="50">
        <v>203</v>
      </c>
      <c r="N63" s="50">
        <v>0</v>
      </c>
      <c r="O63" s="15">
        <f t="shared" si="0"/>
        <v>138</v>
      </c>
      <c r="P63" s="15">
        <f t="shared" si="1"/>
        <v>341</v>
      </c>
      <c r="R63" s="8"/>
      <c r="T63"/>
    </row>
    <row r="64" spans="2:20" ht="23.1" customHeight="1" x14ac:dyDescent="0.25">
      <c r="B64" s="45" t="s">
        <v>109</v>
      </c>
      <c r="C64" s="50">
        <v>60</v>
      </c>
      <c r="D64" s="50">
        <v>4</v>
      </c>
      <c r="E64" s="50">
        <v>5</v>
      </c>
      <c r="F64" s="50">
        <v>50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2</v>
      </c>
      <c r="M64" s="50">
        <v>220</v>
      </c>
      <c r="N64" s="50">
        <v>0</v>
      </c>
      <c r="O64" s="15">
        <f t="shared" si="0"/>
        <v>124</v>
      </c>
      <c r="P64" s="15">
        <f t="shared" si="1"/>
        <v>344</v>
      </c>
      <c r="R64" s="8"/>
      <c r="T64"/>
    </row>
    <row r="65" spans="2:20" ht="23.1" customHeight="1" x14ac:dyDescent="0.25">
      <c r="B65" s="45" t="s">
        <v>158</v>
      </c>
      <c r="C65" s="50">
        <v>41</v>
      </c>
      <c r="D65" s="50">
        <v>7</v>
      </c>
      <c r="E65" s="50">
        <v>7</v>
      </c>
      <c r="F65" s="50">
        <v>48</v>
      </c>
      <c r="G65" s="50">
        <v>0</v>
      </c>
      <c r="H65" s="50">
        <v>0</v>
      </c>
      <c r="I65" s="50">
        <v>1</v>
      </c>
      <c r="J65" s="50">
        <v>3</v>
      </c>
      <c r="K65" s="50">
        <v>2</v>
      </c>
      <c r="L65" s="50">
        <v>0</v>
      </c>
      <c r="M65" s="50">
        <v>279</v>
      </c>
      <c r="N65" s="50">
        <v>0</v>
      </c>
      <c r="O65" s="15">
        <f t="shared" si="0"/>
        <v>109</v>
      </c>
      <c r="P65" s="15">
        <f t="shared" si="1"/>
        <v>388</v>
      </c>
      <c r="R65" s="8"/>
      <c r="T65"/>
    </row>
    <row r="66" spans="2:20" ht="23.1" customHeight="1" x14ac:dyDescent="0.25">
      <c r="B66" s="45" t="s">
        <v>103</v>
      </c>
      <c r="C66" s="50">
        <v>50</v>
      </c>
      <c r="D66" s="50">
        <v>11</v>
      </c>
      <c r="E66" s="50">
        <v>4</v>
      </c>
      <c r="F66" s="50">
        <v>40</v>
      </c>
      <c r="G66" s="50">
        <v>0</v>
      </c>
      <c r="H66" s="50">
        <v>0</v>
      </c>
      <c r="I66" s="50">
        <v>8</v>
      </c>
      <c r="J66" s="50">
        <v>4</v>
      </c>
      <c r="K66" s="50">
        <v>6</v>
      </c>
      <c r="L66" s="50">
        <v>2</v>
      </c>
      <c r="M66" s="50">
        <v>223</v>
      </c>
      <c r="N66" s="50">
        <v>0</v>
      </c>
      <c r="O66" s="15">
        <f t="shared" si="0"/>
        <v>125</v>
      </c>
      <c r="P66" s="15">
        <f t="shared" si="1"/>
        <v>348</v>
      </c>
      <c r="R66" s="8"/>
      <c r="T66"/>
    </row>
    <row r="67" spans="2:20" ht="23.1" customHeight="1" x14ac:dyDescent="0.25">
      <c r="B67" s="45" t="s">
        <v>104</v>
      </c>
      <c r="C67" s="50">
        <v>62</v>
      </c>
      <c r="D67" s="50">
        <v>13</v>
      </c>
      <c r="E67" s="50">
        <v>6</v>
      </c>
      <c r="F67" s="50">
        <v>39</v>
      </c>
      <c r="G67" s="50">
        <v>0</v>
      </c>
      <c r="H67" s="50">
        <v>0</v>
      </c>
      <c r="I67" s="50">
        <v>4</v>
      </c>
      <c r="J67" s="50">
        <v>3</v>
      </c>
      <c r="K67" s="50">
        <v>0</v>
      </c>
      <c r="L67" s="50">
        <v>0</v>
      </c>
      <c r="M67" s="50">
        <v>230</v>
      </c>
      <c r="N67" s="50">
        <v>0</v>
      </c>
      <c r="O67" s="15">
        <f t="shared" si="0"/>
        <v>127</v>
      </c>
      <c r="P67" s="15">
        <f t="shared" si="1"/>
        <v>357</v>
      </c>
      <c r="R67" s="8"/>
      <c r="T67"/>
    </row>
    <row r="68" spans="2:20" ht="23.1" customHeight="1" x14ac:dyDescent="0.25">
      <c r="B68" s="45" t="s">
        <v>105</v>
      </c>
      <c r="C68" s="50">
        <v>63</v>
      </c>
      <c r="D68" s="50">
        <v>12</v>
      </c>
      <c r="E68" s="50">
        <v>4</v>
      </c>
      <c r="F68" s="50">
        <v>38</v>
      </c>
      <c r="G68" s="50">
        <v>1</v>
      </c>
      <c r="H68" s="50">
        <v>0</v>
      </c>
      <c r="I68" s="50">
        <v>3</v>
      </c>
      <c r="J68" s="50">
        <v>2</v>
      </c>
      <c r="K68" s="50">
        <v>1</v>
      </c>
      <c r="L68" s="50">
        <v>2</v>
      </c>
      <c r="M68" s="50">
        <v>224</v>
      </c>
      <c r="N68" s="50">
        <v>0</v>
      </c>
      <c r="O68" s="15">
        <f t="shared" si="0"/>
        <v>126</v>
      </c>
      <c r="P68" s="15">
        <f t="shared" si="1"/>
        <v>350</v>
      </c>
      <c r="R68" s="8"/>
      <c r="T68"/>
    </row>
    <row r="69" spans="2:20" ht="23.1" customHeight="1" x14ac:dyDescent="0.25">
      <c r="B69" s="45" t="s">
        <v>106</v>
      </c>
      <c r="C69" s="50">
        <v>75</v>
      </c>
      <c r="D69" s="50">
        <v>17</v>
      </c>
      <c r="E69" s="50">
        <v>3</v>
      </c>
      <c r="F69" s="50">
        <v>33</v>
      </c>
      <c r="G69" s="50">
        <v>0</v>
      </c>
      <c r="H69" s="50">
        <v>0</v>
      </c>
      <c r="I69" s="50">
        <v>1</v>
      </c>
      <c r="J69" s="50">
        <v>0</v>
      </c>
      <c r="K69" s="50">
        <v>2</v>
      </c>
      <c r="L69" s="50">
        <v>0</v>
      </c>
      <c r="M69" s="50">
        <v>175</v>
      </c>
      <c r="N69" s="50">
        <v>0</v>
      </c>
      <c r="O69" s="15">
        <f t="shared" si="0"/>
        <v>131</v>
      </c>
      <c r="P69" s="15">
        <f t="shared" si="1"/>
        <v>306</v>
      </c>
      <c r="R69" s="8"/>
      <c r="T69"/>
    </row>
    <row r="70" spans="2:20" ht="23.1" customHeight="1" x14ac:dyDescent="0.25">
      <c r="B70" s="45" t="s">
        <v>110</v>
      </c>
      <c r="C70" s="50">
        <v>65</v>
      </c>
      <c r="D70" s="50">
        <v>7</v>
      </c>
      <c r="E70" s="50">
        <v>10</v>
      </c>
      <c r="F70" s="50">
        <v>32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1</v>
      </c>
      <c r="M70" s="50">
        <v>121</v>
      </c>
      <c r="N70" s="50">
        <v>0</v>
      </c>
      <c r="O70" s="15">
        <f t="shared" si="0"/>
        <v>117</v>
      </c>
      <c r="P70" s="15">
        <f t="shared" si="1"/>
        <v>238</v>
      </c>
      <c r="R70" s="8"/>
      <c r="T70"/>
    </row>
    <row r="71" spans="2:20" ht="23.1" customHeight="1" x14ac:dyDescent="0.25">
      <c r="B71" s="45" t="s">
        <v>111</v>
      </c>
      <c r="C71" s="50">
        <v>80</v>
      </c>
      <c r="D71" s="50">
        <v>7</v>
      </c>
      <c r="E71" s="50">
        <v>5</v>
      </c>
      <c r="F71" s="50">
        <v>35</v>
      </c>
      <c r="G71" s="50">
        <v>0</v>
      </c>
      <c r="H71" s="50">
        <v>0</v>
      </c>
      <c r="I71" s="50">
        <v>2</v>
      </c>
      <c r="J71" s="50">
        <v>0</v>
      </c>
      <c r="K71" s="50">
        <v>1</v>
      </c>
      <c r="L71" s="50">
        <v>0</v>
      </c>
      <c r="M71" s="50">
        <v>260</v>
      </c>
      <c r="N71" s="50">
        <v>0</v>
      </c>
      <c r="O71" s="15">
        <f t="shared" si="0"/>
        <v>130</v>
      </c>
      <c r="P71" s="15">
        <f t="shared" si="1"/>
        <v>390</v>
      </c>
      <c r="R71" s="8"/>
      <c r="T71"/>
    </row>
    <row r="72" spans="2:20" ht="23.1" customHeight="1" x14ac:dyDescent="0.25">
      <c r="B72" s="45" t="s">
        <v>112</v>
      </c>
      <c r="C72" s="50">
        <v>54</v>
      </c>
      <c r="D72" s="50">
        <v>6</v>
      </c>
      <c r="E72" s="50">
        <v>5</v>
      </c>
      <c r="F72" s="50">
        <v>27</v>
      </c>
      <c r="G72" s="50">
        <v>0</v>
      </c>
      <c r="H72" s="50">
        <v>0</v>
      </c>
      <c r="I72" s="50">
        <v>4</v>
      </c>
      <c r="J72" s="50">
        <v>2</v>
      </c>
      <c r="K72" s="50">
        <v>1</v>
      </c>
      <c r="L72" s="50">
        <v>0</v>
      </c>
      <c r="M72" s="50">
        <v>225</v>
      </c>
      <c r="N72" s="50">
        <v>0</v>
      </c>
      <c r="O72" s="15">
        <f t="shared" si="0"/>
        <v>99</v>
      </c>
      <c r="P72" s="15">
        <f t="shared" si="1"/>
        <v>324</v>
      </c>
      <c r="R72" s="8"/>
      <c r="T72"/>
    </row>
    <row r="73" spans="2:20" ht="23.1" customHeight="1" x14ac:dyDescent="0.25">
      <c r="B73" s="45" t="s">
        <v>113</v>
      </c>
      <c r="C73" s="50">
        <v>60</v>
      </c>
      <c r="D73" s="50">
        <v>5</v>
      </c>
      <c r="E73" s="50">
        <v>9</v>
      </c>
      <c r="F73" s="50">
        <v>22</v>
      </c>
      <c r="G73" s="50">
        <v>0</v>
      </c>
      <c r="H73" s="50">
        <v>0</v>
      </c>
      <c r="I73" s="50">
        <v>3</v>
      </c>
      <c r="J73" s="50">
        <v>2</v>
      </c>
      <c r="K73" s="50">
        <v>2</v>
      </c>
      <c r="L73" s="50">
        <v>2</v>
      </c>
      <c r="M73" s="50">
        <v>125</v>
      </c>
      <c r="N73" s="50">
        <v>0</v>
      </c>
      <c r="O73" s="15">
        <f t="shared" si="0"/>
        <v>105</v>
      </c>
      <c r="P73" s="15">
        <f t="shared" si="1"/>
        <v>230</v>
      </c>
      <c r="R73" s="8"/>
      <c r="T73"/>
    </row>
    <row r="74" spans="2:20" ht="23.1" customHeight="1" x14ac:dyDescent="0.25">
      <c r="B74" s="45" t="s">
        <v>114</v>
      </c>
      <c r="C74" s="50">
        <v>64</v>
      </c>
      <c r="D74" s="50">
        <v>9</v>
      </c>
      <c r="E74" s="50">
        <v>4</v>
      </c>
      <c r="F74" s="50">
        <v>34</v>
      </c>
      <c r="G74" s="50">
        <v>0</v>
      </c>
      <c r="H74" s="50">
        <v>0</v>
      </c>
      <c r="I74" s="50">
        <v>4</v>
      </c>
      <c r="J74" s="50">
        <v>1</v>
      </c>
      <c r="K74" s="50">
        <v>2</v>
      </c>
      <c r="L74" s="50">
        <v>2</v>
      </c>
      <c r="M74" s="50">
        <v>92</v>
      </c>
      <c r="N74" s="50">
        <v>0</v>
      </c>
      <c r="O74" s="15">
        <f t="shared" ref="O74:O105" si="35">SUM(C74:L74,N74)</f>
        <v>120</v>
      </c>
      <c r="P74" s="15">
        <f t="shared" ref="P74:P105" si="36">SUM(C74:N74)</f>
        <v>212</v>
      </c>
      <c r="R74" s="8"/>
      <c r="T74"/>
    </row>
    <row r="75" spans="2:20" ht="23.1" customHeight="1" x14ac:dyDescent="0.25">
      <c r="B75" s="45" t="s">
        <v>115</v>
      </c>
      <c r="C75" s="50">
        <v>57</v>
      </c>
      <c r="D75" s="50">
        <v>13</v>
      </c>
      <c r="E75" s="50">
        <v>7</v>
      </c>
      <c r="F75" s="50">
        <v>18</v>
      </c>
      <c r="G75" s="50">
        <v>0</v>
      </c>
      <c r="H75" s="50">
        <v>0</v>
      </c>
      <c r="I75" s="50">
        <v>3</v>
      </c>
      <c r="J75" s="50">
        <v>2</v>
      </c>
      <c r="K75" s="50">
        <v>4</v>
      </c>
      <c r="L75" s="50">
        <v>2</v>
      </c>
      <c r="M75" s="50">
        <v>115</v>
      </c>
      <c r="N75" s="50">
        <v>0</v>
      </c>
      <c r="O75" s="15">
        <f t="shared" si="35"/>
        <v>106</v>
      </c>
      <c r="P75" s="15">
        <f t="shared" si="36"/>
        <v>221</v>
      </c>
      <c r="R75" s="8"/>
      <c r="T75"/>
    </row>
    <row r="76" spans="2:20" ht="23.1" customHeight="1" x14ac:dyDescent="0.25">
      <c r="B76" s="45" t="s">
        <v>116</v>
      </c>
      <c r="C76" s="50">
        <v>50</v>
      </c>
      <c r="D76" s="50">
        <v>18</v>
      </c>
      <c r="E76" s="50">
        <v>5</v>
      </c>
      <c r="F76" s="50">
        <v>20</v>
      </c>
      <c r="G76" s="50">
        <v>0</v>
      </c>
      <c r="H76" s="50">
        <v>0</v>
      </c>
      <c r="I76" s="50">
        <v>5</v>
      </c>
      <c r="J76" s="50">
        <v>1</v>
      </c>
      <c r="K76" s="50">
        <v>2</v>
      </c>
      <c r="L76" s="50">
        <v>1</v>
      </c>
      <c r="M76" s="50">
        <v>90</v>
      </c>
      <c r="N76" s="50">
        <v>0</v>
      </c>
      <c r="O76" s="15">
        <f t="shared" si="35"/>
        <v>102</v>
      </c>
      <c r="P76" s="15">
        <f t="shared" si="36"/>
        <v>192</v>
      </c>
      <c r="R76" s="8"/>
      <c r="T76"/>
    </row>
    <row r="77" spans="2:20" ht="23.1" customHeight="1" x14ac:dyDescent="0.25">
      <c r="B77" s="45" t="s">
        <v>117</v>
      </c>
      <c r="C77" s="50">
        <v>49</v>
      </c>
      <c r="D77" s="50">
        <v>6</v>
      </c>
      <c r="E77" s="50">
        <v>4</v>
      </c>
      <c r="F77" s="50">
        <v>13</v>
      </c>
      <c r="G77" s="50">
        <v>1</v>
      </c>
      <c r="H77" s="50">
        <v>0</v>
      </c>
      <c r="I77" s="50">
        <v>2</v>
      </c>
      <c r="J77" s="50">
        <v>1</v>
      </c>
      <c r="K77" s="50">
        <v>4</v>
      </c>
      <c r="L77" s="50">
        <v>0</v>
      </c>
      <c r="M77" s="50">
        <v>130</v>
      </c>
      <c r="N77" s="50">
        <v>0</v>
      </c>
      <c r="O77" s="15">
        <f t="shared" si="35"/>
        <v>80</v>
      </c>
      <c r="P77" s="15">
        <f t="shared" si="36"/>
        <v>210</v>
      </c>
      <c r="R77" s="8"/>
      <c r="T77"/>
    </row>
    <row r="78" spans="2:20" ht="23.1" customHeight="1" x14ac:dyDescent="0.25">
      <c r="B78" s="46" t="s">
        <v>118</v>
      </c>
      <c r="C78" s="50">
        <v>71</v>
      </c>
      <c r="D78" s="50">
        <v>11</v>
      </c>
      <c r="E78" s="50">
        <v>9</v>
      </c>
      <c r="F78" s="50">
        <v>10</v>
      </c>
      <c r="G78" s="50">
        <v>2</v>
      </c>
      <c r="H78" s="50">
        <v>0</v>
      </c>
      <c r="I78" s="50">
        <v>1</v>
      </c>
      <c r="J78" s="50">
        <v>4</v>
      </c>
      <c r="K78" s="50">
        <v>3</v>
      </c>
      <c r="L78" s="50">
        <v>2</v>
      </c>
      <c r="M78" s="50">
        <v>105</v>
      </c>
      <c r="N78" s="50">
        <v>0</v>
      </c>
      <c r="O78" s="15">
        <f t="shared" si="35"/>
        <v>113</v>
      </c>
      <c r="P78" s="15">
        <f t="shared" si="36"/>
        <v>218</v>
      </c>
      <c r="R78" s="8"/>
      <c r="T78"/>
    </row>
    <row r="79" spans="2:20" ht="23.1" customHeight="1" x14ac:dyDescent="0.25">
      <c r="B79" s="45" t="s">
        <v>119</v>
      </c>
      <c r="C79" s="50">
        <v>28</v>
      </c>
      <c r="D79" s="50">
        <v>7</v>
      </c>
      <c r="E79" s="50">
        <v>2</v>
      </c>
      <c r="F79" s="50">
        <v>6</v>
      </c>
      <c r="G79" s="50">
        <v>0</v>
      </c>
      <c r="H79" s="50">
        <v>0</v>
      </c>
      <c r="I79" s="50">
        <v>0</v>
      </c>
      <c r="J79" s="50">
        <v>1</v>
      </c>
      <c r="K79" s="50">
        <v>4</v>
      </c>
      <c r="L79" s="50">
        <v>0</v>
      </c>
      <c r="M79" s="50">
        <v>87</v>
      </c>
      <c r="N79" s="50">
        <v>0</v>
      </c>
      <c r="O79" s="15">
        <f t="shared" si="35"/>
        <v>48</v>
      </c>
      <c r="P79" s="15">
        <f t="shared" si="36"/>
        <v>135</v>
      </c>
      <c r="R79" s="8"/>
      <c r="T79"/>
    </row>
    <row r="80" spans="2:20" ht="23.1" customHeight="1" x14ac:dyDescent="0.25">
      <c r="B80" s="47" t="s">
        <v>120</v>
      </c>
      <c r="C80" s="50">
        <v>62</v>
      </c>
      <c r="D80" s="50">
        <v>12</v>
      </c>
      <c r="E80" s="50">
        <v>2</v>
      </c>
      <c r="F80" s="50">
        <v>2</v>
      </c>
      <c r="G80" s="50">
        <v>0</v>
      </c>
      <c r="H80" s="50">
        <v>0</v>
      </c>
      <c r="I80" s="50">
        <v>1</v>
      </c>
      <c r="J80" s="50">
        <v>3</v>
      </c>
      <c r="K80" s="50">
        <v>2</v>
      </c>
      <c r="L80" s="50">
        <v>1</v>
      </c>
      <c r="M80" s="50">
        <v>115</v>
      </c>
      <c r="N80" s="50">
        <v>0</v>
      </c>
      <c r="O80" s="15">
        <f t="shared" si="35"/>
        <v>85</v>
      </c>
      <c r="P80" s="15">
        <f t="shared" si="36"/>
        <v>200</v>
      </c>
      <c r="R80" s="8"/>
      <c r="T80"/>
    </row>
    <row r="81" spans="2:20" ht="23.1" customHeight="1" x14ac:dyDescent="0.25">
      <c r="B81" s="45" t="s">
        <v>121</v>
      </c>
      <c r="C81" s="50">
        <v>72</v>
      </c>
      <c r="D81" s="50">
        <v>2</v>
      </c>
      <c r="E81" s="50">
        <v>2</v>
      </c>
      <c r="F81" s="50">
        <v>4</v>
      </c>
      <c r="G81" s="50">
        <v>0</v>
      </c>
      <c r="H81" s="50">
        <v>0</v>
      </c>
      <c r="I81" s="50">
        <v>1</v>
      </c>
      <c r="J81" s="50">
        <v>2</v>
      </c>
      <c r="K81" s="50">
        <v>3</v>
      </c>
      <c r="L81" s="50">
        <v>0</v>
      </c>
      <c r="M81" s="50">
        <v>85</v>
      </c>
      <c r="N81" s="50">
        <v>0</v>
      </c>
      <c r="O81" s="15">
        <f t="shared" si="35"/>
        <v>86</v>
      </c>
      <c r="P81" s="15">
        <f t="shared" si="36"/>
        <v>171</v>
      </c>
      <c r="R81" s="8"/>
      <c r="T81"/>
    </row>
    <row r="82" spans="2:20" ht="23.1" customHeight="1" x14ac:dyDescent="0.25">
      <c r="B82" s="46" t="s">
        <v>122</v>
      </c>
      <c r="C82" s="50">
        <v>33</v>
      </c>
      <c r="D82" s="50">
        <v>4</v>
      </c>
      <c r="E82" s="50">
        <v>4</v>
      </c>
      <c r="F82" s="50">
        <v>7</v>
      </c>
      <c r="G82" s="50">
        <v>0</v>
      </c>
      <c r="H82" s="50">
        <v>0</v>
      </c>
      <c r="I82" s="50">
        <v>4</v>
      </c>
      <c r="J82" s="50">
        <v>1</v>
      </c>
      <c r="K82" s="50">
        <v>3</v>
      </c>
      <c r="L82" s="50">
        <v>1</v>
      </c>
      <c r="M82" s="50">
        <v>90</v>
      </c>
      <c r="N82" s="50">
        <v>0</v>
      </c>
      <c r="O82" s="15">
        <f t="shared" si="35"/>
        <v>57</v>
      </c>
      <c r="P82" s="15">
        <f t="shared" si="36"/>
        <v>147</v>
      </c>
      <c r="R82" s="8"/>
      <c r="T82"/>
    </row>
    <row r="83" spans="2:20" ht="23.1" customHeight="1" x14ac:dyDescent="0.25">
      <c r="B83" s="45" t="s">
        <v>123</v>
      </c>
      <c r="C83" s="50">
        <v>18</v>
      </c>
      <c r="D83" s="50">
        <v>6</v>
      </c>
      <c r="E83" s="50">
        <v>3</v>
      </c>
      <c r="F83" s="50">
        <v>1</v>
      </c>
      <c r="G83" s="50">
        <v>0</v>
      </c>
      <c r="H83" s="50">
        <v>0</v>
      </c>
      <c r="I83" s="50">
        <v>2</v>
      </c>
      <c r="J83" s="50">
        <v>2</v>
      </c>
      <c r="K83" s="50">
        <v>6</v>
      </c>
      <c r="L83" s="50">
        <v>2</v>
      </c>
      <c r="M83" s="50">
        <v>102</v>
      </c>
      <c r="N83" s="50">
        <v>0</v>
      </c>
      <c r="O83" s="15">
        <f t="shared" si="35"/>
        <v>40</v>
      </c>
      <c r="P83" s="15">
        <f t="shared" si="36"/>
        <v>142</v>
      </c>
      <c r="R83" s="8"/>
      <c r="T83"/>
    </row>
    <row r="84" spans="2:20" ht="23.1" customHeight="1" x14ac:dyDescent="0.25">
      <c r="B84" s="47" t="s">
        <v>124</v>
      </c>
      <c r="C84" s="50">
        <v>18</v>
      </c>
      <c r="D84" s="50">
        <v>0</v>
      </c>
      <c r="E84" s="50">
        <v>1</v>
      </c>
      <c r="F84" s="50">
        <v>1</v>
      </c>
      <c r="G84" s="50">
        <v>0</v>
      </c>
      <c r="H84" s="50">
        <v>0</v>
      </c>
      <c r="I84" s="50">
        <v>3</v>
      </c>
      <c r="J84" s="50">
        <v>0</v>
      </c>
      <c r="K84" s="50">
        <v>3</v>
      </c>
      <c r="L84" s="50">
        <v>0</v>
      </c>
      <c r="M84" s="50">
        <v>75</v>
      </c>
      <c r="N84" s="50">
        <v>0</v>
      </c>
      <c r="O84" s="15">
        <f t="shared" si="35"/>
        <v>26</v>
      </c>
      <c r="P84" s="15">
        <f t="shared" si="36"/>
        <v>101</v>
      </c>
      <c r="R84" s="8"/>
      <c r="T84"/>
    </row>
    <row r="85" spans="2:20" ht="23.1" customHeight="1" x14ac:dyDescent="0.25">
      <c r="B85" s="45" t="s">
        <v>125</v>
      </c>
      <c r="C85" s="50">
        <v>35</v>
      </c>
      <c r="D85" s="50">
        <v>1</v>
      </c>
      <c r="E85" s="50">
        <v>1</v>
      </c>
      <c r="F85" s="50">
        <v>1</v>
      </c>
      <c r="G85" s="50">
        <v>0</v>
      </c>
      <c r="H85" s="50">
        <v>0</v>
      </c>
      <c r="I85" s="50">
        <v>2</v>
      </c>
      <c r="J85" s="50">
        <v>0</v>
      </c>
      <c r="K85" s="50">
        <v>2</v>
      </c>
      <c r="L85" s="50">
        <v>0</v>
      </c>
      <c r="M85" s="50">
        <v>53</v>
      </c>
      <c r="N85" s="50">
        <v>0</v>
      </c>
      <c r="O85" s="15">
        <f t="shared" si="35"/>
        <v>42</v>
      </c>
      <c r="P85" s="15">
        <f t="shared" si="36"/>
        <v>95</v>
      </c>
      <c r="R85" s="8"/>
      <c r="T85"/>
    </row>
    <row r="86" spans="2:20" ht="23.1" customHeight="1" x14ac:dyDescent="0.25">
      <c r="B86" s="46" t="s">
        <v>126</v>
      </c>
      <c r="C86" s="50">
        <v>12</v>
      </c>
      <c r="D86" s="50">
        <v>2</v>
      </c>
      <c r="E86" s="50">
        <v>1</v>
      </c>
      <c r="F86" s="50">
        <v>4</v>
      </c>
      <c r="G86" s="50">
        <v>0</v>
      </c>
      <c r="H86" s="50">
        <v>0</v>
      </c>
      <c r="I86" s="50">
        <v>2</v>
      </c>
      <c r="J86" s="50">
        <v>0</v>
      </c>
      <c r="K86" s="50">
        <v>2</v>
      </c>
      <c r="L86" s="50">
        <v>3</v>
      </c>
      <c r="M86" s="50">
        <v>22</v>
      </c>
      <c r="N86" s="50">
        <v>0</v>
      </c>
      <c r="O86" s="15">
        <f t="shared" si="35"/>
        <v>26</v>
      </c>
      <c r="P86" s="15">
        <f t="shared" si="36"/>
        <v>48</v>
      </c>
      <c r="R86" s="8"/>
      <c r="T86"/>
    </row>
    <row r="87" spans="2:20" ht="23.1" customHeight="1" x14ac:dyDescent="0.25">
      <c r="B87" s="45" t="s">
        <v>127</v>
      </c>
      <c r="C87" s="50">
        <v>13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12</v>
      </c>
      <c r="N87" s="50">
        <v>0</v>
      </c>
      <c r="O87" s="15">
        <f t="shared" si="35"/>
        <v>15</v>
      </c>
      <c r="P87" s="15">
        <f t="shared" si="36"/>
        <v>27</v>
      </c>
      <c r="R87" s="8"/>
      <c r="T87"/>
    </row>
    <row r="88" spans="2:20" ht="23.1" customHeight="1" x14ac:dyDescent="0.25">
      <c r="B88" s="47" t="s">
        <v>128</v>
      </c>
      <c r="C88" s="50">
        <v>7</v>
      </c>
      <c r="D88" s="50">
        <v>3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1</v>
      </c>
      <c r="L88" s="50">
        <v>1</v>
      </c>
      <c r="M88" s="50">
        <v>5</v>
      </c>
      <c r="N88" s="50">
        <v>0</v>
      </c>
      <c r="O88" s="15">
        <f t="shared" si="35"/>
        <v>14</v>
      </c>
      <c r="P88" s="15">
        <f t="shared" si="36"/>
        <v>19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1</v>
      </c>
      <c r="E89" s="50">
        <v>0</v>
      </c>
      <c r="F89" s="50">
        <v>2</v>
      </c>
      <c r="G89" s="50">
        <v>0</v>
      </c>
      <c r="H89" s="50">
        <v>0</v>
      </c>
      <c r="I89" s="50">
        <v>2</v>
      </c>
      <c r="J89" s="50">
        <v>1</v>
      </c>
      <c r="K89" s="50">
        <v>0</v>
      </c>
      <c r="L89" s="50">
        <v>0</v>
      </c>
      <c r="M89" s="50">
        <v>1</v>
      </c>
      <c r="N89" s="50">
        <v>0</v>
      </c>
      <c r="O89" s="15">
        <f t="shared" si="35"/>
        <v>10</v>
      </c>
      <c r="P89" s="15">
        <f t="shared" si="36"/>
        <v>11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8</v>
      </c>
      <c r="P90" s="15">
        <f t="shared" si="36"/>
        <v>10</v>
      </c>
      <c r="R90" s="8"/>
      <c r="T90"/>
    </row>
    <row r="91" spans="2:20" ht="23.1" customHeight="1" x14ac:dyDescent="0.25">
      <c r="B91" s="45" t="s">
        <v>131</v>
      </c>
      <c r="C91" s="50">
        <v>15</v>
      </c>
      <c r="D91" s="50">
        <v>0</v>
      </c>
      <c r="E91" s="50">
        <v>1</v>
      </c>
      <c r="F91" s="50">
        <v>3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19</v>
      </c>
      <c r="P91" s="15">
        <f t="shared" si="36"/>
        <v>22</v>
      </c>
      <c r="R91" s="8"/>
      <c r="T91"/>
    </row>
    <row r="92" spans="2:20" ht="23.1" customHeight="1" x14ac:dyDescent="0.25">
      <c r="B92" s="47" t="s">
        <v>132</v>
      </c>
      <c r="C92" s="50">
        <v>25</v>
      </c>
      <c r="D92" s="50">
        <v>1</v>
      </c>
      <c r="E92" s="50">
        <v>1</v>
      </c>
      <c r="F92" s="50">
        <v>6</v>
      </c>
      <c r="G92" s="50">
        <v>0</v>
      </c>
      <c r="H92" s="50">
        <v>0</v>
      </c>
      <c r="I92" s="50">
        <v>1</v>
      </c>
      <c r="J92" s="50">
        <v>1</v>
      </c>
      <c r="K92" s="50">
        <v>1</v>
      </c>
      <c r="L92" s="50">
        <v>0</v>
      </c>
      <c r="M92" s="50">
        <v>6</v>
      </c>
      <c r="N92" s="50">
        <v>0</v>
      </c>
      <c r="O92" s="15">
        <f t="shared" si="35"/>
        <v>36</v>
      </c>
      <c r="P92" s="15">
        <f t="shared" si="36"/>
        <v>42</v>
      </c>
      <c r="R92" s="8"/>
      <c r="T92"/>
    </row>
    <row r="93" spans="2:20" ht="23.1" customHeight="1" x14ac:dyDescent="0.25">
      <c r="B93" s="45" t="s">
        <v>133</v>
      </c>
      <c r="C93" s="50">
        <v>27</v>
      </c>
      <c r="D93" s="50">
        <v>0</v>
      </c>
      <c r="E93" s="50">
        <v>4</v>
      </c>
      <c r="F93" s="50">
        <v>11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42</v>
      </c>
      <c r="P93" s="15">
        <f t="shared" si="36"/>
        <v>42</v>
      </c>
      <c r="R93" s="8"/>
      <c r="T93"/>
    </row>
    <row r="94" spans="2:20" ht="23.1" customHeight="1" x14ac:dyDescent="0.25">
      <c r="B94" s="46" t="s">
        <v>134</v>
      </c>
      <c r="C94" s="50">
        <v>19</v>
      </c>
      <c r="D94" s="50">
        <v>1</v>
      </c>
      <c r="E94" s="50">
        <v>1</v>
      </c>
      <c r="F94" s="50">
        <v>1</v>
      </c>
      <c r="G94" s="50">
        <v>0</v>
      </c>
      <c r="H94" s="50">
        <v>0</v>
      </c>
      <c r="I94" s="50">
        <v>2</v>
      </c>
      <c r="J94" s="50">
        <v>2</v>
      </c>
      <c r="K94" s="50">
        <v>1</v>
      </c>
      <c r="L94" s="50">
        <v>3</v>
      </c>
      <c r="M94" s="50">
        <v>15</v>
      </c>
      <c r="N94" s="50">
        <v>0</v>
      </c>
      <c r="O94" s="15">
        <f t="shared" si="35"/>
        <v>30</v>
      </c>
      <c r="P94" s="15">
        <f t="shared" si="36"/>
        <v>45</v>
      </c>
      <c r="R94" s="8"/>
      <c r="T94"/>
    </row>
    <row r="95" spans="2:20" ht="23.1" customHeight="1" x14ac:dyDescent="0.25">
      <c r="B95" s="45" t="s">
        <v>135</v>
      </c>
      <c r="C95" s="50">
        <v>27</v>
      </c>
      <c r="D95" s="50">
        <v>1</v>
      </c>
      <c r="E95" s="50">
        <v>0</v>
      </c>
      <c r="F95" s="50">
        <v>1</v>
      </c>
      <c r="G95" s="50">
        <v>0</v>
      </c>
      <c r="H95" s="50">
        <v>0</v>
      </c>
      <c r="I95" s="50">
        <v>1</v>
      </c>
      <c r="J95" s="50">
        <v>2</v>
      </c>
      <c r="K95" s="50">
        <v>0</v>
      </c>
      <c r="L95" s="50">
        <v>1</v>
      </c>
      <c r="M95" s="50">
        <v>25</v>
      </c>
      <c r="N95" s="50">
        <v>0</v>
      </c>
      <c r="O95" s="15">
        <f t="shared" si="35"/>
        <v>33</v>
      </c>
      <c r="P95" s="15">
        <f t="shared" si="36"/>
        <v>58</v>
      </c>
      <c r="R95" s="8"/>
      <c r="T95"/>
    </row>
    <row r="96" spans="2:20" ht="23.1" customHeight="1" x14ac:dyDescent="0.25">
      <c r="B96" s="47" t="s">
        <v>136</v>
      </c>
      <c r="C96" s="50">
        <v>32</v>
      </c>
      <c r="D96" s="50">
        <v>3</v>
      </c>
      <c r="E96" s="50">
        <v>3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2</v>
      </c>
      <c r="L96" s="50">
        <v>0</v>
      </c>
      <c r="M96" s="50">
        <v>31</v>
      </c>
      <c r="N96" s="50">
        <v>0</v>
      </c>
      <c r="O96" s="15">
        <f t="shared" si="35"/>
        <v>41</v>
      </c>
      <c r="P96" s="15">
        <f t="shared" si="36"/>
        <v>72</v>
      </c>
      <c r="R96" s="8"/>
      <c r="T96"/>
    </row>
    <row r="97" spans="2:20" ht="23.1" customHeight="1" x14ac:dyDescent="0.25">
      <c r="B97" s="45" t="s">
        <v>137</v>
      </c>
      <c r="C97" s="50">
        <v>34</v>
      </c>
      <c r="D97" s="50">
        <v>2</v>
      </c>
      <c r="E97" s="50">
        <v>0</v>
      </c>
      <c r="F97" s="50">
        <v>2</v>
      </c>
      <c r="G97" s="50">
        <v>0</v>
      </c>
      <c r="H97" s="50">
        <v>0</v>
      </c>
      <c r="I97" s="50">
        <v>3</v>
      </c>
      <c r="J97" s="50">
        <v>1</v>
      </c>
      <c r="K97" s="50">
        <v>0</v>
      </c>
      <c r="L97" s="50">
        <v>1</v>
      </c>
      <c r="M97" s="50">
        <v>16</v>
      </c>
      <c r="N97" s="50">
        <v>0</v>
      </c>
      <c r="O97" s="15">
        <f t="shared" si="35"/>
        <v>43</v>
      </c>
      <c r="P97" s="15">
        <f t="shared" si="36"/>
        <v>59</v>
      </c>
      <c r="R97" s="8"/>
      <c r="T97"/>
    </row>
    <row r="98" spans="2:20" ht="23.1" customHeight="1" x14ac:dyDescent="0.25">
      <c r="B98" s="46" t="s">
        <v>138</v>
      </c>
      <c r="C98" s="50">
        <v>30</v>
      </c>
      <c r="D98" s="50">
        <v>8</v>
      </c>
      <c r="E98" s="50">
        <v>2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3</v>
      </c>
      <c r="L98" s="50">
        <v>2</v>
      </c>
      <c r="M98" s="50">
        <v>18</v>
      </c>
      <c r="N98" s="50">
        <v>0</v>
      </c>
      <c r="O98" s="15">
        <f t="shared" si="35"/>
        <v>47</v>
      </c>
      <c r="P98" s="15">
        <f t="shared" si="36"/>
        <v>65</v>
      </c>
      <c r="R98" s="8"/>
      <c r="T98"/>
    </row>
    <row r="99" spans="2:20" ht="23.1" customHeight="1" x14ac:dyDescent="0.25">
      <c r="B99" s="45" t="s">
        <v>139</v>
      </c>
      <c r="C99" s="50">
        <v>23</v>
      </c>
      <c r="D99" s="50">
        <v>6</v>
      </c>
      <c r="E99" s="50">
        <v>1</v>
      </c>
      <c r="F99" s="50">
        <v>4</v>
      </c>
      <c r="G99" s="50">
        <v>0</v>
      </c>
      <c r="H99" s="50">
        <v>0</v>
      </c>
      <c r="I99" s="50">
        <v>2</v>
      </c>
      <c r="J99" s="50">
        <v>0</v>
      </c>
      <c r="K99" s="50">
        <v>1</v>
      </c>
      <c r="L99" s="50">
        <v>2</v>
      </c>
      <c r="M99" s="50">
        <v>37</v>
      </c>
      <c r="N99" s="50">
        <v>0</v>
      </c>
      <c r="O99" s="15">
        <f t="shared" si="35"/>
        <v>39</v>
      </c>
      <c r="P99" s="15">
        <f t="shared" si="36"/>
        <v>76</v>
      </c>
      <c r="R99" s="8"/>
      <c r="T99"/>
    </row>
    <row r="100" spans="2:20" ht="23.1" customHeight="1" x14ac:dyDescent="0.25">
      <c r="B100" s="47" t="s">
        <v>140</v>
      </c>
      <c r="C100" s="50">
        <v>39</v>
      </c>
      <c r="D100" s="50">
        <v>12</v>
      </c>
      <c r="E100" s="50">
        <v>3</v>
      </c>
      <c r="F100" s="50">
        <v>3</v>
      </c>
      <c r="G100" s="50">
        <v>1</v>
      </c>
      <c r="H100" s="50">
        <v>0</v>
      </c>
      <c r="I100" s="50">
        <v>3</v>
      </c>
      <c r="J100" s="50">
        <v>2</v>
      </c>
      <c r="K100" s="50">
        <v>3</v>
      </c>
      <c r="L100" s="50">
        <v>3</v>
      </c>
      <c r="M100" s="50">
        <v>28</v>
      </c>
      <c r="N100" s="50">
        <v>0</v>
      </c>
      <c r="O100" s="15">
        <f t="shared" si="35"/>
        <v>69</v>
      </c>
      <c r="P100" s="15">
        <f t="shared" si="36"/>
        <v>97</v>
      </c>
      <c r="R100" s="8"/>
      <c r="T100"/>
    </row>
    <row r="101" spans="2:20" ht="23.1" customHeight="1" x14ac:dyDescent="0.25">
      <c r="B101" s="45" t="s">
        <v>141</v>
      </c>
      <c r="C101" s="50">
        <v>34</v>
      </c>
      <c r="D101" s="50">
        <v>7</v>
      </c>
      <c r="E101" s="50">
        <v>1</v>
      </c>
      <c r="F101" s="50">
        <v>17</v>
      </c>
      <c r="G101" s="50">
        <v>1</v>
      </c>
      <c r="H101" s="50">
        <v>0</v>
      </c>
      <c r="I101" s="50">
        <v>4</v>
      </c>
      <c r="J101" s="50">
        <v>0</v>
      </c>
      <c r="K101" s="50">
        <v>1</v>
      </c>
      <c r="L101" s="50">
        <v>2</v>
      </c>
      <c r="M101" s="50">
        <v>41</v>
      </c>
      <c r="N101" s="50">
        <v>0</v>
      </c>
      <c r="O101" s="15">
        <f t="shared" si="35"/>
        <v>67</v>
      </c>
      <c r="P101" s="15">
        <f t="shared" si="36"/>
        <v>108</v>
      </c>
      <c r="R101" s="8"/>
      <c r="T101"/>
    </row>
    <row r="102" spans="2:20" ht="23.1" customHeight="1" x14ac:dyDescent="0.25">
      <c r="B102" s="46" t="s">
        <v>142</v>
      </c>
      <c r="C102" s="50">
        <v>23</v>
      </c>
      <c r="D102" s="50">
        <v>6</v>
      </c>
      <c r="E102" s="50">
        <v>7</v>
      </c>
      <c r="F102" s="50">
        <v>31</v>
      </c>
      <c r="G102" s="50">
        <v>0</v>
      </c>
      <c r="H102" s="50">
        <v>0</v>
      </c>
      <c r="I102" s="50">
        <v>2</v>
      </c>
      <c r="J102" s="50">
        <v>2</v>
      </c>
      <c r="K102" s="50">
        <v>3</v>
      </c>
      <c r="L102" s="50">
        <v>4</v>
      </c>
      <c r="M102" s="50">
        <v>105</v>
      </c>
      <c r="N102" s="50">
        <v>0</v>
      </c>
      <c r="O102" s="15">
        <f t="shared" si="35"/>
        <v>78</v>
      </c>
      <c r="P102" s="15">
        <f t="shared" si="36"/>
        <v>183</v>
      </c>
      <c r="R102" s="8"/>
      <c r="T102"/>
    </row>
    <row r="103" spans="2:20" ht="23.1" customHeight="1" x14ac:dyDescent="0.25">
      <c r="B103" s="45" t="s">
        <v>143</v>
      </c>
      <c r="C103" s="50">
        <v>21</v>
      </c>
      <c r="D103" s="50">
        <v>4</v>
      </c>
      <c r="E103" s="50">
        <v>2</v>
      </c>
      <c r="F103" s="50">
        <v>28</v>
      </c>
      <c r="G103" s="50">
        <v>1</v>
      </c>
      <c r="H103" s="50">
        <v>0</v>
      </c>
      <c r="I103" s="50">
        <v>3</v>
      </c>
      <c r="J103" s="50">
        <v>0</v>
      </c>
      <c r="K103" s="50">
        <v>0</v>
      </c>
      <c r="L103" s="50">
        <v>2</v>
      </c>
      <c r="M103" s="50">
        <v>102</v>
      </c>
      <c r="N103" s="50">
        <v>0</v>
      </c>
      <c r="O103" s="15">
        <f t="shared" si="35"/>
        <v>61</v>
      </c>
      <c r="P103" s="15">
        <f t="shared" si="36"/>
        <v>163</v>
      </c>
      <c r="R103" s="8"/>
      <c r="T103"/>
    </row>
    <row r="104" spans="2:20" ht="23.1" customHeight="1" x14ac:dyDescent="0.25">
      <c r="B104" s="47" t="s">
        <v>144</v>
      </c>
      <c r="C104" s="50">
        <v>9</v>
      </c>
      <c r="D104" s="50">
        <v>0</v>
      </c>
      <c r="E104" s="50">
        <v>1</v>
      </c>
      <c r="F104" s="50">
        <v>9</v>
      </c>
      <c r="G104" s="50">
        <v>1</v>
      </c>
      <c r="H104" s="50">
        <v>0</v>
      </c>
      <c r="I104" s="50">
        <v>2</v>
      </c>
      <c r="J104" s="50">
        <v>3</v>
      </c>
      <c r="K104" s="50">
        <v>7</v>
      </c>
      <c r="L104" s="50">
        <v>3</v>
      </c>
      <c r="M104" s="50">
        <v>115</v>
      </c>
      <c r="N104" s="50">
        <v>0</v>
      </c>
      <c r="O104" s="15">
        <f t="shared" si="35"/>
        <v>35</v>
      </c>
      <c r="P104" s="15">
        <f t="shared" si="36"/>
        <v>150</v>
      </c>
      <c r="R104" s="8"/>
      <c r="T104"/>
    </row>
    <row r="105" spans="2:20" ht="23.1" customHeight="1" x14ac:dyDescent="0.25">
      <c r="B105" s="45" t="s">
        <v>145</v>
      </c>
      <c r="C105" s="50">
        <v>28</v>
      </c>
      <c r="D105" s="50">
        <v>4</v>
      </c>
      <c r="E105" s="50">
        <v>3</v>
      </c>
      <c r="F105" s="50">
        <v>16</v>
      </c>
      <c r="G105" s="50">
        <v>0</v>
      </c>
      <c r="H105" s="50">
        <v>0</v>
      </c>
      <c r="I105" s="50">
        <v>11</v>
      </c>
      <c r="J105" s="50">
        <v>3</v>
      </c>
      <c r="K105" s="50">
        <v>4</v>
      </c>
      <c r="L105" s="50">
        <v>10</v>
      </c>
      <c r="M105" s="50">
        <v>121</v>
      </c>
      <c r="N105" s="50">
        <v>0</v>
      </c>
      <c r="O105" s="15">
        <f t="shared" si="35"/>
        <v>79</v>
      </c>
      <c r="P105" s="15">
        <f t="shared" si="36"/>
        <v>200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5210</v>
      </c>
      <c r="D106" s="16">
        <f t="shared" ref="D106:P106" si="37">SUM(D10:D105)</f>
        <v>1163</v>
      </c>
      <c r="E106" s="16">
        <f t="shared" si="37"/>
        <v>796</v>
      </c>
      <c r="F106" s="16">
        <f t="shared" si="37"/>
        <v>4574</v>
      </c>
      <c r="G106" s="16">
        <f t="shared" si="37"/>
        <v>80</v>
      </c>
      <c r="H106" s="16">
        <f t="shared" si="37"/>
        <v>7</v>
      </c>
      <c r="I106" s="16">
        <f t="shared" si="37"/>
        <v>499</v>
      </c>
      <c r="J106" s="16">
        <f t="shared" si="37"/>
        <v>289</v>
      </c>
      <c r="K106" s="16">
        <f t="shared" si="37"/>
        <v>236</v>
      </c>
      <c r="L106" s="16">
        <f t="shared" si="37"/>
        <v>271</v>
      </c>
      <c r="M106" s="16">
        <f t="shared" si="37"/>
        <v>25692</v>
      </c>
      <c r="N106" s="16">
        <f t="shared" si="37"/>
        <v>8</v>
      </c>
      <c r="O106" s="16">
        <f t="shared" si="37"/>
        <v>13133</v>
      </c>
      <c r="P106" s="16">
        <f t="shared" si="37"/>
        <v>38825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0.13419188667095944</v>
      </c>
      <c r="D107" s="43">
        <f t="shared" si="38"/>
        <v>2.9954925949774631E-2</v>
      </c>
      <c r="E107" s="43">
        <f t="shared" si="38"/>
        <v>2.0502253702511269E-2</v>
      </c>
      <c r="F107" s="43">
        <f t="shared" si="38"/>
        <v>0.11781068898905345</v>
      </c>
      <c r="G107" s="43">
        <f t="shared" si="38"/>
        <v>2.0605280103026401E-3</v>
      </c>
      <c r="H107" s="43">
        <f t="shared" si="38"/>
        <v>1.8029620090148101E-4</v>
      </c>
      <c r="I107" s="43">
        <f t="shared" si="38"/>
        <v>1.2852543464262718E-2</v>
      </c>
      <c r="J107" s="43">
        <f t="shared" si="38"/>
        <v>7.443657437218287E-3</v>
      </c>
      <c r="K107" s="43">
        <f t="shared" si="38"/>
        <v>6.0785576303927884E-3</v>
      </c>
      <c r="L107" s="43">
        <f t="shared" si="38"/>
        <v>6.9800386349001932E-3</v>
      </c>
      <c r="M107" s="43">
        <f t="shared" si="38"/>
        <v>0.66173857050869289</v>
      </c>
      <c r="N107" s="43">
        <f t="shared" si="38"/>
        <v>2.0605280103026401E-4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0.39671057641056878</v>
      </c>
      <c r="D108" s="44">
        <f t="shared" ref="D108:N108" si="39">D106/$O$106</f>
        <v>8.8555547095103937E-2</v>
      </c>
      <c r="E108" s="44">
        <f t="shared" si="39"/>
        <v>6.061067539785274E-2</v>
      </c>
      <c r="F108" s="44">
        <f t="shared" si="39"/>
        <v>0.34828295134394271</v>
      </c>
      <c r="G108" s="44">
        <f t="shared" si="39"/>
        <v>6.0915251656133403E-3</v>
      </c>
      <c r="H108" s="44">
        <f t="shared" si="39"/>
        <v>5.3300845199116733E-4</v>
      </c>
      <c r="I108" s="44">
        <f t="shared" si="39"/>
        <v>3.799588822051321E-2</v>
      </c>
      <c r="J108" s="44">
        <f t="shared" si="39"/>
        <v>2.2005634660778192E-2</v>
      </c>
      <c r="K108" s="44">
        <f t="shared" si="39"/>
        <v>1.7969999238559353E-2</v>
      </c>
      <c r="L108" s="44">
        <f t="shared" si="39"/>
        <v>2.0635041498515191E-2</v>
      </c>
      <c r="M108" s="44"/>
      <c r="N108" s="44">
        <f t="shared" si="39"/>
        <v>6.0915251656133403E-4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ClockTower-Nsambya'!C3:G3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60" t="str">
        <f>'03.08 Nsambya-ClockTower-24h'!G5:H5</f>
        <v>Gapco</v>
      </c>
      <c r="H5" s="61"/>
      <c r="I5" s="14"/>
      <c r="J5" s="2" t="s">
        <v>5</v>
      </c>
      <c r="K5" s="60" t="str">
        <f>'03.08 Nsambya-ClockTower-24h'!K5:L5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ClockTower-Nsambya'!D6:E6</f>
        <v>Clock Tower</v>
      </c>
      <c r="E6" s="61"/>
      <c r="F6" s="2" t="s">
        <v>2</v>
      </c>
      <c r="G6" s="60" t="str">
        <f>'29.07 ClockTower-Nsambya'!G6:H6</f>
        <v>Nsambya</v>
      </c>
      <c r="H6" s="61"/>
      <c r="J6" s="2" t="s">
        <v>21</v>
      </c>
      <c r="K6" s="60" t="str">
        <f>'03.08 Nsambya-ClockTower-24h'!K6:L6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22</v>
      </c>
      <c r="D10" s="50">
        <v>6</v>
      </c>
      <c r="E10" s="50">
        <v>3</v>
      </c>
      <c r="F10" s="50">
        <v>120</v>
      </c>
      <c r="G10" s="50">
        <v>7</v>
      </c>
      <c r="H10" s="50">
        <v>3</v>
      </c>
      <c r="I10" s="50">
        <v>16</v>
      </c>
      <c r="J10" s="50">
        <v>2</v>
      </c>
      <c r="K10" s="50">
        <v>5</v>
      </c>
      <c r="L10" s="50">
        <v>1</v>
      </c>
      <c r="M10" s="50">
        <v>110</v>
      </c>
      <c r="N10" s="50">
        <v>0</v>
      </c>
      <c r="O10" s="15">
        <f t="shared" ref="O10:O57" si="0">SUM(C10:L10,N10)</f>
        <v>185</v>
      </c>
      <c r="P10" s="15">
        <f t="shared" ref="P10:P57" si="1">SUM(C10:N10)</f>
        <v>295</v>
      </c>
      <c r="R10" s="1" t="s">
        <v>6</v>
      </c>
      <c r="S10" s="17">
        <f t="shared" ref="S10:AF10" si="2">SUM(C10:C13)</f>
        <v>59</v>
      </c>
      <c r="T10" s="17">
        <f t="shared" si="2"/>
        <v>24</v>
      </c>
      <c r="U10" s="17">
        <f t="shared" si="2"/>
        <v>8</v>
      </c>
      <c r="V10" s="17">
        <f t="shared" si="2"/>
        <v>553</v>
      </c>
      <c r="W10" s="17">
        <f t="shared" si="2"/>
        <v>17</v>
      </c>
      <c r="X10" s="17">
        <f t="shared" si="2"/>
        <v>23</v>
      </c>
      <c r="Y10" s="17">
        <f t="shared" si="2"/>
        <v>41</v>
      </c>
      <c r="Z10" s="17">
        <f t="shared" si="2"/>
        <v>27</v>
      </c>
      <c r="AA10" s="17">
        <f t="shared" si="2"/>
        <v>11</v>
      </c>
      <c r="AB10" s="17">
        <f t="shared" si="2"/>
        <v>8</v>
      </c>
      <c r="AC10" s="17">
        <f t="shared" si="2"/>
        <v>725</v>
      </c>
      <c r="AD10" s="17">
        <f t="shared" si="2"/>
        <v>4</v>
      </c>
      <c r="AE10" s="31">
        <f t="shared" si="2"/>
        <v>775</v>
      </c>
      <c r="AF10" s="31">
        <f t="shared" si="2"/>
        <v>1500</v>
      </c>
    </row>
    <row r="11" spans="2:32" s="6" customFormat="1" ht="23.1" customHeight="1" x14ac:dyDescent="0.25">
      <c r="B11" s="23" t="s">
        <v>38</v>
      </c>
      <c r="C11" s="50">
        <v>9</v>
      </c>
      <c r="D11" s="50">
        <v>5</v>
      </c>
      <c r="E11" s="50">
        <v>4</v>
      </c>
      <c r="F11" s="50">
        <v>135</v>
      </c>
      <c r="G11" s="50">
        <v>6</v>
      </c>
      <c r="H11" s="50">
        <v>7</v>
      </c>
      <c r="I11" s="50">
        <v>7</v>
      </c>
      <c r="J11" s="50">
        <v>1</v>
      </c>
      <c r="K11" s="50">
        <v>3</v>
      </c>
      <c r="L11" s="50">
        <v>5</v>
      </c>
      <c r="M11" s="50">
        <v>225</v>
      </c>
      <c r="N11" s="50">
        <v>0</v>
      </c>
      <c r="O11" s="15">
        <f t="shared" si="0"/>
        <v>182</v>
      </c>
      <c r="P11" s="15">
        <f t="shared" si="1"/>
        <v>407</v>
      </c>
      <c r="R11" s="1" t="s">
        <v>7</v>
      </c>
      <c r="S11" s="17">
        <f t="shared" ref="S11:AF11" si="3">SUM(C14:C17)</f>
        <v>94</v>
      </c>
      <c r="T11" s="17">
        <f t="shared" si="3"/>
        <v>35</v>
      </c>
      <c r="U11" s="17">
        <f t="shared" si="3"/>
        <v>17</v>
      </c>
      <c r="V11" s="17">
        <f t="shared" si="3"/>
        <v>663</v>
      </c>
      <c r="W11" s="17">
        <f t="shared" si="3"/>
        <v>15</v>
      </c>
      <c r="X11" s="17">
        <f t="shared" si="3"/>
        <v>17</v>
      </c>
      <c r="Y11" s="17">
        <f t="shared" si="3"/>
        <v>11</v>
      </c>
      <c r="Z11" s="17">
        <f t="shared" si="3"/>
        <v>7</v>
      </c>
      <c r="AA11" s="17">
        <f t="shared" si="3"/>
        <v>7</v>
      </c>
      <c r="AB11" s="17">
        <f t="shared" si="3"/>
        <v>6</v>
      </c>
      <c r="AC11" s="17">
        <f t="shared" si="3"/>
        <v>847</v>
      </c>
      <c r="AD11" s="17">
        <f t="shared" si="3"/>
        <v>0</v>
      </c>
      <c r="AE11" s="31">
        <f t="shared" si="3"/>
        <v>872</v>
      </c>
      <c r="AF11" s="31">
        <f t="shared" si="3"/>
        <v>1719</v>
      </c>
    </row>
    <row r="12" spans="2:32" ht="23.1" customHeight="1" x14ac:dyDescent="0.25">
      <c r="B12" s="23" t="s">
        <v>39</v>
      </c>
      <c r="C12" s="50">
        <v>12</v>
      </c>
      <c r="D12" s="50">
        <v>5</v>
      </c>
      <c r="E12" s="50">
        <v>0</v>
      </c>
      <c r="F12" s="50">
        <v>143</v>
      </c>
      <c r="G12" s="50">
        <v>2</v>
      </c>
      <c r="H12" s="50">
        <v>5</v>
      </c>
      <c r="I12" s="50">
        <v>6</v>
      </c>
      <c r="J12" s="50">
        <v>1</v>
      </c>
      <c r="K12" s="50">
        <v>3</v>
      </c>
      <c r="L12" s="50">
        <v>2</v>
      </c>
      <c r="M12" s="50">
        <v>190</v>
      </c>
      <c r="N12" s="50">
        <v>0</v>
      </c>
      <c r="O12" s="15">
        <f t="shared" si="0"/>
        <v>179</v>
      </c>
      <c r="P12" s="15">
        <f t="shared" si="1"/>
        <v>369</v>
      </c>
      <c r="R12" s="1" t="s">
        <v>8</v>
      </c>
      <c r="S12" s="17">
        <f t="shared" ref="S12:AF12" si="4">SUM(C18:C21)</f>
        <v>129</v>
      </c>
      <c r="T12" s="17">
        <f t="shared" si="4"/>
        <v>54</v>
      </c>
      <c r="U12" s="17">
        <f t="shared" si="4"/>
        <v>19</v>
      </c>
      <c r="V12" s="17">
        <f t="shared" si="4"/>
        <v>206</v>
      </c>
      <c r="W12" s="17">
        <f t="shared" si="4"/>
        <v>19</v>
      </c>
      <c r="X12" s="17">
        <f t="shared" si="4"/>
        <v>9</v>
      </c>
      <c r="Y12" s="17">
        <f t="shared" si="4"/>
        <v>18</v>
      </c>
      <c r="Z12" s="17">
        <f t="shared" si="4"/>
        <v>4</v>
      </c>
      <c r="AA12" s="17">
        <f t="shared" si="4"/>
        <v>8</v>
      </c>
      <c r="AB12" s="17">
        <f t="shared" si="4"/>
        <v>9</v>
      </c>
      <c r="AC12" s="17">
        <f t="shared" si="4"/>
        <v>996</v>
      </c>
      <c r="AD12" s="17">
        <f t="shared" si="4"/>
        <v>4</v>
      </c>
      <c r="AE12" s="31">
        <f t="shared" si="4"/>
        <v>479</v>
      </c>
      <c r="AF12" s="31">
        <f t="shared" si="4"/>
        <v>1475</v>
      </c>
    </row>
    <row r="13" spans="2:32" ht="23.1" customHeight="1" x14ac:dyDescent="0.25">
      <c r="B13" s="23" t="s">
        <v>40</v>
      </c>
      <c r="C13" s="50">
        <v>16</v>
      </c>
      <c r="D13" s="50">
        <v>8</v>
      </c>
      <c r="E13" s="50">
        <v>1</v>
      </c>
      <c r="F13" s="50">
        <v>155</v>
      </c>
      <c r="G13" s="50">
        <v>2</v>
      </c>
      <c r="H13" s="50">
        <v>8</v>
      </c>
      <c r="I13" s="50">
        <v>12</v>
      </c>
      <c r="J13" s="50">
        <v>23</v>
      </c>
      <c r="K13" s="50">
        <v>0</v>
      </c>
      <c r="L13" s="50">
        <v>0</v>
      </c>
      <c r="M13" s="50">
        <v>200</v>
      </c>
      <c r="N13" s="50">
        <v>4</v>
      </c>
      <c r="O13" s="15">
        <f t="shared" si="0"/>
        <v>229</v>
      </c>
      <c r="P13" s="15">
        <f t="shared" si="1"/>
        <v>429</v>
      </c>
      <c r="R13" s="1" t="s">
        <v>9</v>
      </c>
      <c r="S13" s="17">
        <f t="shared" ref="S13:AF13" si="5">SUM(C22:C25)</f>
        <v>180</v>
      </c>
      <c r="T13" s="17">
        <f t="shared" si="5"/>
        <v>36</v>
      </c>
      <c r="U13" s="17">
        <f t="shared" si="5"/>
        <v>24</v>
      </c>
      <c r="V13" s="17">
        <f t="shared" si="5"/>
        <v>324</v>
      </c>
      <c r="W13" s="17">
        <f t="shared" si="5"/>
        <v>14</v>
      </c>
      <c r="X13" s="17">
        <f t="shared" si="5"/>
        <v>2</v>
      </c>
      <c r="Y13" s="17">
        <f t="shared" si="5"/>
        <v>12</v>
      </c>
      <c r="Z13" s="17">
        <f t="shared" si="5"/>
        <v>19</v>
      </c>
      <c r="AA13" s="17">
        <f t="shared" si="5"/>
        <v>3</v>
      </c>
      <c r="AB13" s="17">
        <f t="shared" si="5"/>
        <v>12</v>
      </c>
      <c r="AC13" s="17">
        <f t="shared" si="5"/>
        <v>845</v>
      </c>
      <c r="AD13" s="17">
        <f t="shared" si="5"/>
        <v>1</v>
      </c>
      <c r="AE13" s="31">
        <f t="shared" si="5"/>
        <v>627</v>
      </c>
      <c r="AF13" s="31">
        <f t="shared" si="5"/>
        <v>1472</v>
      </c>
    </row>
    <row r="14" spans="2:32" ht="23.1" customHeight="1" x14ac:dyDescent="0.25">
      <c r="B14" s="23" t="s">
        <v>41</v>
      </c>
      <c r="C14" s="50">
        <v>21</v>
      </c>
      <c r="D14" s="50">
        <v>3</v>
      </c>
      <c r="E14" s="50">
        <v>1</v>
      </c>
      <c r="F14" s="50">
        <v>170</v>
      </c>
      <c r="G14" s="50">
        <v>7</v>
      </c>
      <c r="H14" s="50">
        <v>8</v>
      </c>
      <c r="I14" s="50">
        <v>2</v>
      </c>
      <c r="J14" s="50">
        <v>1</v>
      </c>
      <c r="K14" s="50">
        <v>1</v>
      </c>
      <c r="L14" s="50">
        <v>1</v>
      </c>
      <c r="M14" s="50">
        <v>242</v>
      </c>
      <c r="N14" s="50">
        <v>0</v>
      </c>
      <c r="O14" s="15">
        <f t="shared" si="0"/>
        <v>215</v>
      </c>
      <c r="P14" s="15">
        <f t="shared" si="1"/>
        <v>457</v>
      </c>
      <c r="R14" s="1" t="s">
        <v>10</v>
      </c>
      <c r="S14" s="17">
        <f t="shared" ref="S14:AF14" si="6">SUM(C26:C29)</f>
        <v>248</v>
      </c>
      <c r="T14" s="17">
        <f t="shared" si="6"/>
        <v>85</v>
      </c>
      <c r="U14" s="17">
        <f t="shared" si="6"/>
        <v>36</v>
      </c>
      <c r="V14" s="17">
        <f t="shared" si="6"/>
        <v>310</v>
      </c>
      <c r="W14" s="17">
        <f t="shared" si="6"/>
        <v>6</v>
      </c>
      <c r="X14" s="17">
        <f t="shared" si="6"/>
        <v>2</v>
      </c>
      <c r="Y14" s="17">
        <f t="shared" si="6"/>
        <v>14</v>
      </c>
      <c r="Z14" s="17">
        <f t="shared" si="6"/>
        <v>9</v>
      </c>
      <c r="AA14" s="17">
        <f t="shared" si="6"/>
        <v>10</v>
      </c>
      <c r="AB14" s="17">
        <f t="shared" si="6"/>
        <v>13</v>
      </c>
      <c r="AC14" s="17">
        <f t="shared" si="6"/>
        <v>785</v>
      </c>
      <c r="AD14" s="17">
        <f t="shared" si="6"/>
        <v>0</v>
      </c>
      <c r="AE14" s="31">
        <f t="shared" si="6"/>
        <v>733</v>
      </c>
      <c r="AF14" s="31">
        <f t="shared" si="6"/>
        <v>1518</v>
      </c>
    </row>
    <row r="15" spans="2:32" ht="23.1" customHeight="1" x14ac:dyDescent="0.25">
      <c r="B15" s="23" t="s">
        <v>42</v>
      </c>
      <c r="C15" s="50">
        <v>25</v>
      </c>
      <c r="D15" s="50">
        <v>10</v>
      </c>
      <c r="E15" s="50">
        <v>4</v>
      </c>
      <c r="F15" s="50">
        <v>160</v>
      </c>
      <c r="G15" s="50">
        <v>2</v>
      </c>
      <c r="H15" s="50">
        <v>7</v>
      </c>
      <c r="I15" s="50">
        <v>2</v>
      </c>
      <c r="J15" s="50">
        <v>3</v>
      </c>
      <c r="K15" s="50">
        <v>4</v>
      </c>
      <c r="L15" s="50">
        <v>1</v>
      </c>
      <c r="M15" s="50">
        <v>172</v>
      </c>
      <c r="N15" s="50">
        <v>0</v>
      </c>
      <c r="O15" s="15">
        <f t="shared" si="0"/>
        <v>218</v>
      </c>
      <c r="P15" s="15">
        <f t="shared" si="1"/>
        <v>390</v>
      </c>
      <c r="R15" s="1" t="s">
        <v>11</v>
      </c>
      <c r="S15" s="17">
        <f t="shared" ref="S15:AF15" si="7">SUM(C30:C33)</f>
        <v>225</v>
      </c>
      <c r="T15" s="17">
        <f t="shared" si="7"/>
        <v>128</v>
      </c>
      <c r="U15" s="17">
        <f t="shared" si="7"/>
        <v>61</v>
      </c>
      <c r="V15" s="17">
        <f t="shared" si="7"/>
        <v>379</v>
      </c>
      <c r="W15" s="17">
        <f t="shared" si="7"/>
        <v>11</v>
      </c>
      <c r="X15" s="17">
        <f t="shared" si="7"/>
        <v>3</v>
      </c>
      <c r="Y15" s="17">
        <f t="shared" si="7"/>
        <v>12</v>
      </c>
      <c r="Z15" s="17">
        <f t="shared" si="7"/>
        <v>12</v>
      </c>
      <c r="AA15" s="17">
        <f t="shared" si="7"/>
        <v>10</v>
      </c>
      <c r="AB15" s="17">
        <f t="shared" si="7"/>
        <v>8</v>
      </c>
      <c r="AC15" s="17">
        <f t="shared" si="7"/>
        <v>731</v>
      </c>
      <c r="AD15" s="17">
        <f t="shared" si="7"/>
        <v>2</v>
      </c>
      <c r="AE15" s="31">
        <f t="shared" si="7"/>
        <v>851</v>
      </c>
      <c r="AF15" s="31">
        <f t="shared" si="7"/>
        <v>1582</v>
      </c>
    </row>
    <row r="16" spans="2:32" ht="23.1" customHeight="1" x14ac:dyDescent="0.25">
      <c r="B16" s="23" t="s">
        <v>43</v>
      </c>
      <c r="C16" s="50">
        <v>22</v>
      </c>
      <c r="D16" s="50">
        <v>13</v>
      </c>
      <c r="E16" s="50">
        <v>5</v>
      </c>
      <c r="F16" s="50">
        <v>162</v>
      </c>
      <c r="G16" s="50">
        <v>3</v>
      </c>
      <c r="H16" s="50">
        <v>0</v>
      </c>
      <c r="I16" s="50">
        <v>3</v>
      </c>
      <c r="J16" s="50">
        <v>2</v>
      </c>
      <c r="K16" s="50">
        <v>1</v>
      </c>
      <c r="L16" s="50">
        <v>2</v>
      </c>
      <c r="M16" s="50">
        <v>190</v>
      </c>
      <c r="N16" s="50">
        <v>0</v>
      </c>
      <c r="O16" s="15">
        <f t="shared" si="0"/>
        <v>213</v>
      </c>
      <c r="P16" s="15">
        <f t="shared" si="1"/>
        <v>403</v>
      </c>
      <c r="R16" s="1" t="s">
        <v>12</v>
      </c>
      <c r="S16" s="17">
        <f t="shared" ref="S16:AF16" si="8">SUM(C34:C37)</f>
        <v>210</v>
      </c>
      <c r="T16" s="17">
        <f t="shared" si="8"/>
        <v>126</v>
      </c>
      <c r="U16" s="17">
        <f t="shared" si="8"/>
        <v>55</v>
      </c>
      <c r="V16" s="17">
        <f t="shared" si="8"/>
        <v>463</v>
      </c>
      <c r="W16" s="17">
        <f t="shared" si="8"/>
        <v>1</v>
      </c>
      <c r="X16" s="17">
        <f t="shared" si="8"/>
        <v>2</v>
      </c>
      <c r="Y16" s="17">
        <f t="shared" si="8"/>
        <v>8</v>
      </c>
      <c r="Z16" s="17">
        <f t="shared" si="8"/>
        <v>10</v>
      </c>
      <c r="AA16" s="17">
        <f t="shared" si="8"/>
        <v>6</v>
      </c>
      <c r="AB16" s="17">
        <f t="shared" si="8"/>
        <v>14</v>
      </c>
      <c r="AC16" s="17">
        <f t="shared" si="8"/>
        <v>1167</v>
      </c>
      <c r="AD16" s="17">
        <f t="shared" si="8"/>
        <v>1</v>
      </c>
      <c r="AE16" s="31">
        <f t="shared" si="8"/>
        <v>896</v>
      </c>
      <c r="AF16" s="31">
        <f t="shared" si="8"/>
        <v>2063</v>
      </c>
    </row>
    <row r="17" spans="2:32" ht="23.1" customHeight="1" x14ac:dyDescent="0.25">
      <c r="B17" s="23" t="s">
        <v>44</v>
      </c>
      <c r="C17" s="50">
        <v>26</v>
      </c>
      <c r="D17" s="50">
        <v>9</v>
      </c>
      <c r="E17" s="50">
        <v>7</v>
      </c>
      <c r="F17" s="50">
        <v>171</v>
      </c>
      <c r="G17" s="50">
        <v>3</v>
      </c>
      <c r="H17" s="50">
        <v>2</v>
      </c>
      <c r="I17" s="50">
        <v>4</v>
      </c>
      <c r="J17" s="50">
        <v>1</v>
      </c>
      <c r="K17" s="50">
        <v>1</v>
      </c>
      <c r="L17" s="50">
        <v>2</v>
      </c>
      <c r="M17" s="50">
        <v>243</v>
      </c>
      <c r="N17" s="50">
        <v>0</v>
      </c>
      <c r="O17" s="15">
        <f t="shared" si="0"/>
        <v>226</v>
      </c>
      <c r="P17" s="15">
        <f t="shared" si="1"/>
        <v>469</v>
      </c>
      <c r="R17" s="1" t="s">
        <v>13</v>
      </c>
      <c r="S17" s="17">
        <f t="shared" ref="S17:AF17" si="9">SUM(C38:C41)</f>
        <v>246</v>
      </c>
      <c r="T17" s="17">
        <f t="shared" si="9"/>
        <v>74</v>
      </c>
      <c r="U17" s="17">
        <f t="shared" si="9"/>
        <v>25</v>
      </c>
      <c r="V17" s="17">
        <f t="shared" si="9"/>
        <v>307</v>
      </c>
      <c r="W17" s="17">
        <f t="shared" si="9"/>
        <v>7</v>
      </c>
      <c r="X17" s="17">
        <f t="shared" si="9"/>
        <v>1</v>
      </c>
      <c r="Y17" s="17">
        <f t="shared" si="9"/>
        <v>5</v>
      </c>
      <c r="Z17" s="17">
        <f t="shared" si="9"/>
        <v>5</v>
      </c>
      <c r="AA17" s="17">
        <f t="shared" si="9"/>
        <v>6</v>
      </c>
      <c r="AB17" s="17">
        <f t="shared" si="9"/>
        <v>14</v>
      </c>
      <c r="AC17" s="17">
        <f t="shared" si="9"/>
        <v>665</v>
      </c>
      <c r="AD17" s="17">
        <f t="shared" si="9"/>
        <v>6</v>
      </c>
      <c r="AE17" s="31">
        <f t="shared" si="9"/>
        <v>696</v>
      </c>
      <c r="AF17" s="31">
        <f t="shared" si="9"/>
        <v>1361</v>
      </c>
    </row>
    <row r="18" spans="2:32" ht="23.1" customHeight="1" x14ac:dyDescent="0.25">
      <c r="B18" s="23" t="s">
        <v>45</v>
      </c>
      <c r="C18" s="50">
        <v>31</v>
      </c>
      <c r="D18" s="50">
        <v>10</v>
      </c>
      <c r="E18" s="50">
        <v>3</v>
      </c>
      <c r="F18" s="50">
        <v>100</v>
      </c>
      <c r="G18" s="50">
        <v>2</v>
      </c>
      <c r="H18" s="50">
        <v>0</v>
      </c>
      <c r="I18" s="50">
        <v>2</v>
      </c>
      <c r="J18" s="50">
        <v>1</v>
      </c>
      <c r="K18" s="50">
        <v>3</v>
      </c>
      <c r="L18" s="50">
        <v>1</v>
      </c>
      <c r="M18" s="50">
        <v>355</v>
      </c>
      <c r="N18" s="50">
        <v>0</v>
      </c>
      <c r="O18" s="15">
        <f t="shared" si="0"/>
        <v>153</v>
      </c>
      <c r="P18" s="15">
        <f t="shared" si="1"/>
        <v>508</v>
      </c>
      <c r="R18" s="1" t="s">
        <v>14</v>
      </c>
      <c r="S18" s="17">
        <f t="shared" ref="S18:AF18" si="10">SUM(C42:C45)</f>
        <v>310</v>
      </c>
      <c r="T18" s="17">
        <f t="shared" si="10"/>
        <v>104</v>
      </c>
      <c r="U18" s="17">
        <f t="shared" si="10"/>
        <v>62</v>
      </c>
      <c r="V18" s="17">
        <f t="shared" si="10"/>
        <v>305</v>
      </c>
      <c r="W18" s="17">
        <f t="shared" si="10"/>
        <v>20</v>
      </c>
      <c r="X18" s="17">
        <f t="shared" si="10"/>
        <v>0</v>
      </c>
      <c r="Y18" s="17">
        <f t="shared" si="10"/>
        <v>12</v>
      </c>
      <c r="Z18" s="17">
        <f t="shared" si="10"/>
        <v>18</v>
      </c>
      <c r="AA18" s="17">
        <f t="shared" si="10"/>
        <v>8</v>
      </c>
      <c r="AB18" s="17">
        <f t="shared" si="10"/>
        <v>8</v>
      </c>
      <c r="AC18" s="17">
        <f t="shared" si="10"/>
        <v>876</v>
      </c>
      <c r="AD18" s="17">
        <f t="shared" si="10"/>
        <v>1</v>
      </c>
      <c r="AE18" s="31">
        <f t="shared" si="10"/>
        <v>848</v>
      </c>
      <c r="AF18" s="31">
        <f t="shared" si="10"/>
        <v>1724</v>
      </c>
    </row>
    <row r="19" spans="2:32" ht="23.1" customHeight="1" x14ac:dyDescent="0.25">
      <c r="B19" s="23" t="s">
        <v>46</v>
      </c>
      <c r="C19" s="50">
        <v>30</v>
      </c>
      <c r="D19" s="50">
        <v>19</v>
      </c>
      <c r="E19" s="50">
        <v>7</v>
      </c>
      <c r="F19" s="50">
        <v>31</v>
      </c>
      <c r="G19" s="50">
        <v>6</v>
      </c>
      <c r="H19" s="50">
        <v>2</v>
      </c>
      <c r="I19" s="50">
        <v>3</v>
      </c>
      <c r="J19" s="50">
        <v>1</v>
      </c>
      <c r="K19" s="50">
        <v>4</v>
      </c>
      <c r="L19" s="50">
        <v>6</v>
      </c>
      <c r="M19" s="50">
        <v>293</v>
      </c>
      <c r="N19" s="50">
        <v>3</v>
      </c>
      <c r="O19" s="15">
        <f t="shared" si="0"/>
        <v>112</v>
      </c>
      <c r="P19" s="15">
        <f t="shared" si="1"/>
        <v>405</v>
      </c>
      <c r="R19" s="1" t="s">
        <v>15</v>
      </c>
      <c r="S19" s="17">
        <f t="shared" ref="S19:AF19" si="11">SUM(C46:C49)</f>
        <v>350</v>
      </c>
      <c r="T19" s="17">
        <f t="shared" si="11"/>
        <v>147</v>
      </c>
      <c r="U19" s="17">
        <f t="shared" si="11"/>
        <v>45</v>
      </c>
      <c r="V19" s="17">
        <f t="shared" si="11"/>
        <v>316</v>
      </c>
      <c r="W19" s="17">
        <f t="shared" si="11"/>
        <v>16</v>
      </c>
      <c r="X19" s="17">
        <f t="shared" si="11"/>
        <v>8</v>
      </c>
      <c r="Y19" s="17">
        <f t="shared" si="11"/>
        <v>11</v>
      </c>
      <c r="Z19" s="17">
        <f t="shared" si="11"/>
        <v>6</v>
      </c>
      <c r="AA19" s="17">
        <f t="shared" si="11"/>
        <v>13</v>
      </c>
      <c r="AB19" s="17">
        <f t="shared" si="11"/>
        <v>7</v>
      </c>
      <c r="AC19" s="17">
        <f t="shared" si="11"/>
        <v>755</v>
      </c>
      <c r="AD19" s="17">
        <f t="shared" si="11"/>
        <v>0</v>
      </c>
      <c r="AE19" s="31">
        <f t="shared" si="11"/>
        <v>919</v>
      </c>
      <c r="AF19" s="31">
        <f t="shared" si="11"/>
        <v>1674</v>
      </c>
    </row>
    <row r="20" spans="2:32" ht="23.1" customHeight="1" x14ac:dyDescent="0.25">
      <c r="B20" s="23" t="s">
        <v>47</v>
      </c>
      <c r="C20" s="50">
        <v>22</v>
      </c>
      <c r="D20" s="50">
        <v>12</v>
      </c>
      <c r="E20" s="50">
        <v>2</v>
      </c>
      <c r="F20" s="50">
        <v>25</v>
      </c>
      <c r="G20" s="50">
        <v>3</v>
      </c>
      <c r="H20" s="50">
        <v>7</v>
      </c>
      <c r="I20" s="50">
        <v>7</v>
      </c>
      <c r="J20" s="50">
        <v>0</v>
      </c>
      <c r="K20" s="50">
        <v>0</v>
      </c>
      <c r="L20" s="50">
        <v>2</v>
      </c>
      <c r="M20" s="50">
        <v>155</v>
      </c>
      <c r="N20" s="50">
        <v>0</v>
      </c>
      <c r="O20" s="15">
        <f t="shared" si="0"/>
        <v>80</v>
      </c>
      <c r="P20" s="15">
        <f t="shared" si="1"/>
        <v>235</v>
      </c>
      <c r="R20" s="1" t="s">
        <v>16</v>
      </c>
      <c r="S20" s="17">
        <f t="shared" ref="S20:AF20" si="12">SUM(C50:C53)</f>
        <v>148</v>
      </c>
      <c r="T20" s="17">
        <f t="shared" si="12"/>
        <v>67</v>
      </c>
      <c r="U20" s="17">
        <f t="shared" si="12"/>
        <v>14</v>
      </c>
      <c r="V20" s="17">
        <f t="shared" si="12"/>
        <v>537</v>
      </c>
      <c r="W20" s="17">
        <f t="shared" si="12"/>
        <v>7</v>
      </c>
      <c r="X20" s="17">
        <f t="shared" si="12"/>
        <v>2</v>
      </c>
      <c r="Y20" s="17">
        <f t="shared" si="12"/>
        <v>8</v>
      </c>
      <c r="Z20" s="17">
        <f t="shared" si="12"/>
        <v>5</v>
      </c>
      <c r="AA20" s="17">
        <f t="shared" si="12"/>
        <v>3</v>
      </c>
      <c r="AB20" s="17">
        <f t="shared" si="12"/>
        <v>14</v>
      </c>
      <c r="AC20" s="17">
        <f t="shared" si="12"/>
        <v>705</v>
      </c>
      <c r="AD20" s="17">
        <f t="shared" si="12"/>
        <v>0</v>
      </c>
      <c r="AE20" s="31">
        <f t="shared" si="12"/>
        <v>805</v>
      </c>
      <c r="AF20" s="31">
        <f t="shared" si="12"/>
        <v>1510</v>
      </c>
    </row>
    <row r="21" spans="2:32" ht="23.1" customHeight="1" x14ac:dyDescent="0.25">
      <c r="B21" s="23" t="s">
        <v>48</v>
      </c>
      <c r="C21" s="50">
        <v>46</v>
      </c>
      <c r="D21" s="50">
        <v>13</v>
      </c>
      <c r="E21" s="50">
        <v>7</v>
      </c>
      <c r="F21" s="50">
        <v>50</v>
      </c>
      <c r="G21" s="50">
        <v>8</v>
      </c>
      <c r="H21" s="50">
        <v>0</v>
      </c>
      <c r="I21" s="50">
        <v>6</v>
      </c>
      <c r="J21" s="50">
        <v>2</v>
      </c>
      <c r="K21" s="50">
        <v>1</v>
      </c>
      <c r="L21" s="50">
        <v>0</v>
      </c>
      <c r="M21" s="50">
        <v>193</v>
      </c>
      <c r="N21" s="50">
        <v>1</v>
      </c>
      <c r="O21" s="15">
        <f t="shared" si="0"/>
        <v>134</v>
      </c>
      <c r="P21" s="15">
        <f t="shared" si="1"/>
        <v>327</v>
      </c>
      <c r="R21" s="36" t="s">
        <v>20</v>
      </c>
      <c r="S21" s="34">
        <f t="shared" ref="S21:AF21" si="13">SUM(C54:C57)</f>
        <v>162</v>
      </c>
      <c r="T21" s="17">
        <f t="shared" si="13"/>
        <v>76</v>
      </c>
      <c r="U21" s="17">
        <f t="shared" si="13"/>
        <v>26</v>
      </c>
      <c r="V21" s="17">
        <f t="shared" si="13"/>
        <v>492</v>
      </c>
      <c r="W21" s="17">
        <f t="shared" si="13"/>
        <v>11</v>
      </c>
      <c r="X21" s="17">
        <f t="shared" si="13"/>
        <v>7</v>
      </c>
      <c r="Y21" s="17">
        <f t="shared" si="13"/>
        <v>18</v>
      </c>
      <c r="Z21" s="17">
        <f t="shared" si="13"/>
        <v>2</v>
      </c>
      <c r="AA21" s="17">
        <f t="shared" si="13"/>
        <v>3</v>
      </c>
      <c r="AB21" s="17">
        <f t="shared" si="13"/>
        <v>7</v>
      </c>
      <c r="AC21" s="17">
        <f t="shared" si="13"/>
        <v>675</v>
      </c>
      <c r="AD21" s="17">
        <f t="shared" si="13"/>
        <v>4</v>
      </c>
      <c r="AE21" s="31">
        <f t="shared" si="13"/>
        <v>808</v>
      </c>
      <c r="AF21" s="31">
        <f t="shared" si="13"/>
        <v>1483</v>
      </c>
    </row>
    <row r="22" spans="2:32" ht="23.1" customHeight="1" x14ac:dyDescent="0.25">
      <c r="B22" s="23" t="s">
        <v>49</v>
      </c>
      <c r="C22" s="50">
        <v>36</v>
      </c>
      <c r="D22" s="50">
        <v>12</v>
      </c>
      <c r="E22" s="50">
        <v>6</v>
      </c>
      <c r="F22" s="50">
        <v>95</v>
      </c>
      <c r="G22" s="50">
        <v>1</v>
      </c>
      <c r="H22" s="50">
        <v>0</v>
      </c>
      <c r="I22" s="50">
        <v>4</v>
      </c>
      <c r="J22" s="50">
        <v>1</v>
      </c>
      <c r="K22" s="50">
        <v>0</v>
      </c>
      <c r="L22" s="50">
        <v>1</v>
      </c>
      <c r="M22" s="50">
        <v>285</v>
      </c>
      <c r="N22" s="50">
        <v>0</v>
      </c>
      <c r="O22" s="15">
        <f t="shared" si="0"/>
        <v>156</v>
      </c>
      <c r="P22" s="15">
        <f t="shared" si="1"/>
        <v>441</v>
      </c>
      <c r="R22" s="38" t="s">
        <v>90</v>
      </c>
      <c r="S22" s="39">
        <f>MAX(S10:S12)</f>
        <v>129</v>
      </c>
      <c r="T22" s="39">
        <f t="shared" ref="T22:AF22" si="14">MAX(T10:T12)</f>
        <v>54</v>
      </c>
      <c r="U22" s="39">
        <f t="shared" si="14"/>
        <v>19</v>
      </c>
      <c r="V22" s="39">
        <f t="shared" si="14"/>
        <v>663</v>
      </c>
      <c r="W22" s="39">
        <f t="shared" si="14"/>
        <v>19</v>
      </c>
      <c r="X22" s="39">
        <f t="shared" si="14"/>
        <v>23</v>
      </c>
      <c r="Y22" s="39">
        <f t="shared" si="14"/>
        <v>41</v>
      </c>
      <c r="Z22" s="39">
        <f t="shared" si="14"/>
        <v>27</v>
      </c>
      <c r="AA22" s="39">
        <f t="shared" si="14"/>
        <v>11</v>
      </c>
      <c r="AB22" s="39">
        <f t="shared" si="14"/>
        <v>9</v>
      </c>
      <c r="AC22" s="39">
        <f t="shared" si="14"/>
        <v>996</v>
      </c>
      <c r="AD22" s="39">
        <f t="shared" si="14"/>
        <v>4</v>
      </c>
      <c r="AE22" s="40">
        <f t="shared" si="14"/>
        <v>872</v>
      </c>
      <c r="AF22" s="40">
        <f t="shared" si="14"/>
        <v>1719</v>
      </c>
    </row>
    <row r="23" spans="2:32" ht="23.1" customHeight="1" x14ac:dyDescent="0.25">
      <c r="B23" s="23" t="s">
        <v>50</v>
      </c>
      <c r="C23" s="50">
        <v>58</v>
      </c>
      <c r="D23" s="50">
        <v>12</v>
      </c>
      <c r="E23" s="50">
        <v>10</v>
      </c>
      <c r="F23" s="50">
        <v>82</v>
      </c>
      <c r="G23" s="50">
        <v>4</v>
      </c>
      <c r="H23" s="50">
        <v>0</v>
      </c>
      <c r="I23" s="50">
        <v>2</v>
      </c>
      <c r="J23" s="50">
        <v>0</v>
      </c>
      <c r="K23" s="50">
        <v>2</v>
      </c>
      <c r="L23" s="50">
        <v>2</v>
      </c>
      <c r="M23" s="50">
        <v>160</v>
      </c>
      <c r="N23" s="50">
        <v>0</v>
      </c>
      <c r="O23" s="15">
        <f t="shared" si="0"/>
        <v>172</v>
      </c>
      <c r="P23" s="15">
        <f t="shared" si="1"/>
        <v>332</v>
      </c>
      <c r="R23" s="38" t="s">
        <v>91</v>
      </c>
      <c r="S23" s="39">
        <f>MAX(S13:S18)</f>
        <v>310</v>
      </c>
      <c r="T23" s="39">
        <f t="shared" ref="T23:AF23" si="15">MAX(T13:T18)</f>
        <v>128</v>
      </c>
      <c r="U23" s="39">
        <f t="shared" si="15"/>
        <v>62</v>
      </c>
      <c r="V23" s="39">
        <f t="shared" si="15"/>
        <v>463</v>
      </c>
      <c r="W23" s="39">
        <f t="shared" si="15"/>
        <v>20</v>
      </c>
      <c r="X23" s="39">
        <f t="shared" si="15"/>
        <v>3</v>
      </c>
      <c r="Y23" s="39">
        <f t="shared" si="15"/>
        <v>14</v>
      </c>
      <c r="Z23" s="39">
        <f t="shared" si="15"/>
        <v>19</v>
      </c>
      <c r="AA23" s="39">
        <f t="shared" si="15"/>
        <v>10</v>
      </c>
      <c r="AB23" s="39">
        <f t="shared" si="15"/>
        <v>14</v>
      </c>
      <c r="AC23" s="39">
        <f t="shared" si="15"/>
        <v>1167</v>
      </c>
      <c r="AD23" s="39">
        <f t="shared" si="15"/>
        <v>6</v>
      </c>
      <c r="AE23" s="40">
        <f t="shared" si="15"/>
        <v>896</v>
      </c>
      <c r="AF23" s="40">
        <f t="shared" si="15"/>
        <v>2063</v>
      </c>
    </row>
    <row r="24" spans="2:32" ht="23.1" customHeight="1" x14ac:dyDescent="0.25">
      <c r="B24" s="23" t="s">
        <v>51</v>
      </c>
      <c r="C24" s="50">
        <v>45</v>
      </c>
      <c r="D24" s="50">
        <v>7</v>
      </c>
      <c r="E24" s="50">
        <v>5</v>
      </c>
      <c r="F24" s="50">
        <v>80</v>
      </c>
      <c r="G24" s="50">
        <v>8</v>
      </c>
      <c r="H24" s="50">
        <v>0</v>
      </c>
      <c r="I24" s="50">
        <v>1</v>
      </c>
      <c r="J24" s="50">
        <v>4</v>
      </c>
      <c r="K24" s="50">
        <v>0</v>
      </c>
      <c r="L24" s="50">
        <v>4</v>
      </c>
      <c r="M24" s="50">
        <v>185</v>
      </c>
      <c r="N24" s="50">
        <v>0</v>
      </c>
      <c r="O24" s="15">
        <f t="shared" si="0"/>
        <v>154</v>
      </c>
      <c r="P24" s="15">
        <f t="shared" si="1"/>
        <v>339</v>
      </c>
      <c r="R24" s="38" t="s">
        <v>92</v>
      </c>
      <c r="S24" s="39">
        <f>MAX(S19:S21)</f>
        <v>350</v>
      </c>
      <c r="T24" s="39">
        <f t="shared" ref="T24:AF24" si="16">MAX(T19:T21)</f>
        <v>147</v>
      </c>
      <c r="U24" s="39">
        <f t="shared" si="16"/>
        <v>45</v>
      </c>
      <c r="V24" s="39">
        <f t="shared" si="16"/>
        <v>537</v>
      </c>
      <c r="W24" s="39">
        <f t="shared" si="16"/>
        <v>16</v>
      </c>
      <c r="X24" s="39">
        <f t="shared" si="16"/>
        <v>8</v>
      </c>
      <c r="Y24" s="39">
        <f t="shared" si="16"/>
        <v>18</v>
      </c>
      <c r="Z24" s="39">
        <f t="shared" si="16"/>
        <v>6</v>
      </c>
      <c r="AA24" s="39">
        <f t="shared" si="16"/>
        <v>13</v>
      </c>
      <c r="AB24" s="39">
        <f t="shared" si="16"/>
        <v>14</v>
      </c>
      <c r="AC24" s="39">
        <f t="shared" si="16"/>
        <v>755</v>
      </c>
      <c r="AD24" s="39">
        <f t="shared" si="16"/>
        <v>4</v>
      </c>
      <c r="AE24" s="40">
        <f t="shared" si="16"/>
        <v>919</v>
      </c>
      <c r="AF24" s="40">
        <f t="shared" si="16"/>
        <v>1674</v>
      </c>
    </row>
    <row r="25" spans="2:32" ht="23.1" customHeight="1" x14ac:dyDescent="0.25">
      <c r="B25" s="23" t="s">
        <v>52</v>
      </c>
      <c r="C25" s="50">
        <v>41</v>
      </c>
      <c r="D25" s="50">
        <v>5</v>
      </c>
      <c r="E25" s="50">
        <v>3</v>
      </c>
      <c r="F25" s="50">
        <v>67</v>
      </c>
      <c r="G25" s="50">
        <v>1</v>
      </c>
      <c r="H25" s="50">
        <v>2</v>
      </c>
      <c r="I25" s="50">
        <v>5</v>
      </c>
      <c r="J25" s="50">
        <v>14</v>
      </c>
      <c r="K25" s="50">
        <v>1</v>
      </c>
      <c r="L25" s="50">
        <v>5</v>
      </c>
      <c r="M25" s="50">
        <v>215</v>
      </c>
      <c r="N25" s="50">
        <v>1</v>
      </c>
      <c r="O25" s="15">
        <f t="shared" si="0"/>
        <v>145</v>
      </c>
      <c r="P25" s="15">
        <f t="shared" si="1"/>
        <v>360</v>
      </c>
      <c r="R25" s="37" t="s">
        <v>85</v>
      </c>
      <c r="S25" s="35">
        <f t="shared" ref="S25:AF25" si="17">SUM(S10:S12)</f>
        <v>282</v>
      </c>
      <c r="T25" s="16">
        <f t="shared" si="17"/>
        <v>113</v>
      </c>
      <c r="U25" s="16">
        <f t="shared" si="17"/>
        <v>44</v>
      </c>
      <c r="V25" s="16">
        <f t="shared" si="17"/>
        <v>1422</v>
      </c>
      <c r="W25" s="16">
        <f t="shared" si="17"/>
        <v>51</v>
      </c>
      <c r="X25" s="16">
        <f t="shared" si="17"/>
        <v>49</v>
      </c>
      <c r="Y25" s="16">
        <f t="shared" si="17"/>
        <v>70</v>
      </c>
      <c r="Z25" s="16">
        <f t="shared" si="17"/>
        <v>38</v>
      </c>
      <c r="AA25" s="16">
        <f t="shared" si="17"/>
        <v>26</v>
      </c>
      <c r="AB25" s="16">
        <f t="shared" si="17"/>
        <v>23</v>
      </c>
      <c r="AC25" s="16">
        <f t="shared" si="17"/>
        <v>2568</v>
      </c>
      <c r="AD25" s="16">
        <f t="shared" si="17"/>
        <v>8</v>
      </c>
      <c r="AE25" s="32">
        <f t="shared" si="17"/>
        <v>2126</v>
      </c>
      <c r="AF25" s="32">
        <f t="shared" si="17"/>
        <v>4694</v>
      </c>
    </row>
    <row r="26" spans="2:32" ht="23.1" customHeight="1" x14ac:dyDescent="0.25">
      <c r="B26" s="23" t="s">
        <v>53</v>
      </c>
      <c r="C26" s="50">
        <v>41</v>
      </c>
      <c r="D26" s="50">
        <v>18</v>
      </c>
      <c r="E26" s="50">
        <v>9</v>
      </c>
      <c r="F26" s="50">
        <v>65</v>
      </c>
      <c r="G26" s="50">
        <v>1</v>
      </c>
      <c r="H26" s="50">
        <v>0</v>
      </c>
      <c r="I26" s="50">
        <v>3</v>
      </c>
      <c r="J26" s="50">
        <v>5</v>
      </c>
      <c r="K26" s="50">
        <v>1</v>
      </c>
      <c r="L26" s="50">
        <v>1</v>
      </c>
      <c r="M26" s="50">
        <v>279</v>
      </c>
      <c r="N26" s="50">
        <v>0</v>
      </c>
      <c r="O26" s="15">
        <f t="shared" si="0"/>
        <v>144</v>
      </c>
      <c r="P26" s="15">
        <f t="shared" si="1"/>
        <v>423</v>
      </c>
      <c r="R26" s="28" t="s">
        <v>86</v>
      </c>
      <c r="S26" s="16">
        <f t="shared" ref="S26:AF26" si="18">SUM(S13:S18)</f>
        <v>1419</v>
      </c>
      <c r="T26" s="16">
        <f t="shared" si="18"/>
        <v>553</v>
      </c>
      <c r="U26" s="16">
        <f t="shared" si="18"/>
        <v>263</v>
      </c>
      <c r="V26" s="16">
        <f t="shared" si="18"/>
        <v>2088</v>
      </c>
      <c r="W26" s="16">
        <f t="shared" si="18"/>
        <v>59</v>
      </c>
      <c r="X26" s="16">
        <f t="shared" si="18"/>
        <v>10</v>
      </c>
      <c r="Y26" s="16">
        <f t="shared" si="18"/>
        <v>63</v>
      </c>
      <c r="Z26" s="16">
        <f t="shared" si="18"/>
        <v>73</v>
      </c>
      <c r="AA26" s="16">
        <f t="shared" si="18"/>
        <v>43</v>
      </c>
      <c r="AB26" s="16">
        <f t="shared" si="18"/>
        <v>69</v>
      </c>
      <c r="AC26" s="16">
        <f t="shared" si="18"/>
        <v>5069</v>
      </c>
      <c r="AD26" s="16">
        <f t="shared" si="18"/>
        <v>11</v>
      </c>
      <c r="AE26" s="32">
        <f t="shared" si="18"/>
        <v>4651</v>
      </c>
      <c r="AF26" s="32">
        <f t="shared" si="18"/>
        <v>9720</v>
      </c>
    </row>
    <row r="27" spans="2:32" ht="23.1" customHeight="1" x14ac:dyDescent="0.25">
      <c r="B27" s="23" t="s">
        <v>54</v>
      </c>
      <c r="C27" s="50">
        <v>90</v>
      </c>
      <c r="D27" s="50">
        <v>36</v>
      </c>
      <c r="E27" s="50">
        <v>9</v>
      </c>
      <c r="F27" s="50">
        <v>100</v>
      </c>
      <c r="G27" s="50">
        <v>2</v>
      </c>
      <c r="H27" s="50">
        <v>1</v>
      </c>
      <c r="I27" s="50">
        <v>2</v>
      </c>
      <c r="J27" s="50">
        <v>2</v>
      </c>
      <c r="K27" s="50">
        <v>2</v>
      </c>
      <c r="L27" s="50">
        <v>4</v>
      </c>
      <c r="M27" s="50">
        <v>160</v>
      </c>
      <c r="N27" s="50">
        <v>0</v>
      </c>
      <c r="O27" s="15">
        <f t="shared" si="0"/>
        <v>248</v>
      </c>
      <c r="P27" s="15">
        <f t="shared" si="1"/>
        <v>408</v>
      </c>
      <c r="R27" s="29" t="s">
        <v>87</v>
      </c>
      <c r="S27" s="16">
        <f t="shared" ref="S27:AF27" si="19">SUM(S19:S21)</f>
        <v>660</v>
      </c>
      <c r="T27" s="16">
        <f t="shared" si="19"/>
        <v>290</v>
      </c>
      <c r="U27" s="16">
        <f t="shared" si="19"/>
        <v>85</v>
      </c>
      <c r="V27" s="16">
        <f t="shared" si="19"/>
        <v>1345</v>
      </c>
      <c r="W27" s="16">
        <f t="shared" si="19"/>
        <v>34</v>
      </c>
      <c r="X27" s="16">
        <f t="shared" si="19"/>
        <v>17</v>
      </c>
      <c r="Y27" s="16">
        <f t="shared" si="19"/>
        <v>37</v>
      </c>
      <c r="Z27" s="16">
        <f t="shared" si="19"/>
        <v>13</v>
      </c>
      <c r="AA27" s="16">
        <f t="shared" si="19"/>
        <v>19</v>
      </c>
      <c r="AB27" s="16">
        <f t="shared" si="19"/>
        <v>28</v>
      </c>
      <c r="AC27" s="16">
        <f t="shared" si="19"/>
        <v>2135</v>
      </c>
      <c r="AD27" s="16">
        <f t="shared" si="19"/>
        <v>4</v>
      </c>
      <c r="AE27" s="32">
        <f t="shared" si="19"/>
        <v>2532</v>
      </c>
      <c r="AF27" s="32">
        <f t="shared" si="19"/>
        <v>4667</v>
      </c>
    </row>
    <row r="28" spans="2:32" ht="23.1" customHeight="1" x14ac:dyDescent="0.25">
      <c r="B28" s="23" t="s">
        <v>55</v>
      </c>
      <c r="C28" s="50">
        <v>67</v>
      </c>
      <c r="D28" s="50">
        <v>22</v>
      </c>
      <c r="E28" s="50">
        <v>6</v>
      </c>
      <c r="F28" s="50">
        <v>75</v>
      </c>
      <c r="G28" s="50">
        <v>1</v>
      </c>
      <c r="H28" s="50">
        <v>0</v>
      </c>
      <c r="I28" s="50">
        <v>3</v>
      </c>
      <c r="J28" s="50">
        <v>1</v>
      </c>
      <c r="K28" s="50">
        <v>4</v>
      </c>
      <c r="L28" s="50">
        <v>5</v>
      </c>
      <c r="M28" s="50">
        <v>230</v>
      </c>
      <c r="N28" s="50">
        <v>0</v>
      </c>
      <c r="O28" s="15">
        <f t="shared" si="0"/>
        <v>184</v>
      </c>
      <c r="P28" s="15">
        <f t="shared" si="1"/>
        <v>414</v>
      </c>
      <c r="R28" s="5" t="s">
        <v>17</v>
      </c>
      <c r="S28" s="16">
        <f t="shared" ref="S28:AF28" si="20">SUM(S10:S21)</f>
        <v>2361</v>
      </c>
      <c r="T28" s="16">
        <f t="shared" si="20"/>
        <v>956</v>
      </c>
      <c r="U28" s="16">
        <f t="shared" si="20"/>
        <v>392</v>
      </c>
      <c r="V28" s="16">
        <f t="shared" si="20"/>
        <v>4855</v>
      </c>
      <c r="W28" s="16">
        <f t="shared" si="20"/>
        <v>144</v>
      </c>
      <c r="X28" s="16">
        <f t="shared" si="20"/>
        <v>76</v>
      </c>
      <c r="Y28" s="16">
        <f t="shared" si="20"/>
        <v>170</v>
      </c>
      <c r="Z28" s="16">
        <f t="shared" si="20"/>
        <v>124</v>
      </c>
      <c r="AA28" s="16">
        <f t="shared" si="20"/>
        <v>88</v>
      </c>
      <c r="AB28" s="16">
        <f t="shared" si="20"/>
        <v>120</v>
      </c>
      <c r="AC28" s="16">
        <f t="shared" si="20"/>
        <v>9772</v>
      </c>
      <c r="AD28" s="16">
        <f t="shared" si="20"/>
        <v>23</v>
      </c>
      <c r="AE28" s="32">
        <f t="shared" si="20"/>
        <v>9309</v>
      </c>
      <c r="AF28" s="32">
        <f t="shared" si="20"/>
        <v>19081</v>
      </c>
    </row>
    <row r="29" spans="2:32" ht="23.1" customHeight="1" x14ac:dyDescent="0.25">
      <c r="B29" s="23" t="s">
        <v>56</v>
      </c>
      <c r="C29" s="50">
        <v>50</v>
      </c>
      <c r="D29" s="50">
        <v>9</v>
      </c>
      <c r="E29" s="50">
        <v>12</v>
      </c>
      <c r="F29" s="50">
        <v>70</v>
      </c>
      <c r="G29" s="50">
        <v>2</v>
      </c>
      <c r="H29" s="50">
        <v>1</v>
      </c>
      <c r="I29" s="50">
        <v>6</v>
      </c>
      <c r="J29" s="50">
        <v>1</v>
      </c>
      <c r="K29" s="50">
        <v>3</v>
      </c>
      <c r="L29" s="50">
        <v>3</v>
      </c>
      <c r="M29" s="50">
        <v>116</v>
      </c>
      <c r="N29" s="50">
        <v>0</v>
      </c>
      <c r="O29" s="15">
        <f t="shared" si="0"/>
        <v>157</v>
      </c>
      <c r="P29" s="15">
        <f t="shared" si="1"/>
        <v>273</v>
      </c>
      <c r="R29"/>
      <c r="S29" s="20"/>
      <c r="T29" s="19"/>
    </row>
    <row r="30" spans="2:32" ht="23.1" customHeight="1" x14ac:dyDescent="0.25">
      <c r="B30" s="23" t="s">
        <v>57</v>
      </c>
      <c r="C30" s="50">
        <v>39</v>
      </c>
      <c r="D30" s="50">
        <v>26</v>
      </c>
      <c r="E30" s="50">
        <v>11</v>
      </c>
      <c r="F30" s="50">
        <v>90</v>
      </c>
      <c r="G30" s="50">
        <v>3</v>
      </c>
      <c r="H30" s="50">
        <v>1</v>
      </c>
      <c r="I30" s="50">
        <v>6</v>
      </c>
      <c r="J30" s="50">
        <v>2</v>
      </c>
      <c r="K30" s="50">
        <v>1</v>
      </c>
      <c r="L30" s="50">
        <v>1</v>
      </c>
      <c r="M30" s="50">
        <v>130</v>
      </c>
      <c r="N30" s="50">
        <v>0</v>
      </c>
      <c r="O30" s="15">
        <f t="shared" si="0"/>
        <v>180</v>
      </c>
      <c r="P30" s="15">
        <f t="shared" si="1"/>
        <v>310</v>
      </c>
    </row>
    <row r="31" spans="2:32" ht="23.1" customHeight="1" x14ac:dyDescent="0.25">
      <c r="B31" s="24" t="s">
        <v>58</v>
      </c>
      <c r="C31" s="50">
        <v>60</v>
      </c>
      <c r="D31" s="50">
        <v>40</v>
      </c>
      <c r="E31" s="50">
        <v>20</v>
      </c>
      <c r="F31" s="50">
        <v>93</v>
      </c>
      <c r="G31" s="50">
        <v>1</v>
      </c>
      <c r="H31" s="50">
        <v>0</v>
      </c>
      <c r="I31" s="50">
        <v>1</v>
      </c>
      <c r="J31" s="50">
        <v>2</v>
      </c>
      <c r="K31" s="50">
        <v>1</v>
      </c>
      <c r="L31" s="50">
        <v>2</v>
      </c>
      <c r="M31" s="50">
        <v>166</v>
      </c>
      <c r="N31" s="50">
        <v>0</v>
      </c>
      <c r="O31" s="15">
        <f t="shared" si="0"/>
        <v>220</v>
      </c>
      <c r="P31" s="15">
        <f t="shared" si="1"/>
        <v>386</v>
      </c>
    </row>
    <row r="32" spans="2:32" ht="23.1" customHeight="1" x14ac:dyDescent="0.25">
      <c r="B32" s="24" t="s">
        <v>59</v>
      </c>
      <c r="C32" s="50">
        <v>51</v>
      </c>
      <c r="D32" s="50">
        <v>22</v>
      </c>
      <c r="E32" s="50">
        <v>13</v>
      </c>
      <c r="F32" s="50">
        <v>95</v>
      </c>
      <c r="G32" s="50">
        <v>0</v>
      </c>
      <c r="H32" s="50">
        <v>0</v>
      </c>
      <c r="I32" s="50">
        <v>1</v>
      </c>
      <c r="J32" s="50">
        <v>0</v>
      </c>
      <c r="K32" s="50">
        <v>2</v>
      </c>
      <c r="L32" s="50">
        <v>2</v>
      </c>
      <c r="M32" s="50">
        <v>220</v>
      </c>
      <c r="N32" s="50">
        <v>1</v>
      </c>
      <c r="O32" s="15">
        <f t="shared" si="0"/>
        <v>187</v>
      </c>
      <c r="P32" s="15">
        <f t="shared" si="1"/>
        <v>407</v>
      </c>
    </row>
    <row r="33" spans="2:20" ht="23.1" customHeight="1" x14ac:dyDescent="0.25">
      <c r="B33" s="23" t="s">
        <v>60</v>
      </c>
      <c r="C33" s="50">
        <v>75</v>
      </c>
      <c r="D33" s="50">
        <v>40</v>
      </c>
      <c r="E33" s="50">
        <v>17</v>
      </c>
      <c r="F33" s="50">
        <v>101</v>
      </c>
      <c r="G33" s="50">
        <v>7</v>
      </c>
      <c r="H33" s="50">
        <v>2</v>
      </c>
      <c r="I33" s="50">
        <v>4</v>
      </c>
      <c r="J33" s="50">
        <v>8</v>
      </c>
      <c r="K33" s="50">
        <v>6</v>
      </c>
      <c r="L33" s="50">
        <v>3</v>
      </c>
      <c r="M33" s="50">
        <v>215</v>
      </c>
      <c r="N33" s="50">
        <v>1</v>
      </c>
      <c r="O33" s="15">
        <f t="shared" si="0"/>
        <v>264</v>
      </c>
      <c r="P33" s="15">
        <f t="shared" si="1"/>
        <v>479</v>
      </c>
    </row>
    <row r="34" spans="2:20" ht="23.1" customHeight="1" x14ac:dyDescent="0.25">
      <c r="B34" s="24" t="s">
        <v>61</v>
      </c>
      <c r="C34" s="50">
        <v>60</v>
      </c>
      <c r="D34" s="50">
        <v>45</v>
      </c>
      <c r="E34" s="50">
        <v>15</v>
      </c>
      <c r="F34" s="50">
        <v>110</v>
      </c>
      <c r="G34" s="50">
        <v>0</v>
      </c>
      <c r="H34" s="50">
        <v>1</v>
      </c>
      <c r="I34" s="50">
        <v>2</v>
      </c>
      <c r="J34" s="50">
        <v>5</v>
      </c>
      <c r="K34" s="50">
        <v>2</v>
      </c>
      <c r="L34" s="50">
        <v>6</v>
      </c>
      <c r="M34" s="50">
        <v>290</v>
      </c>
      <c r="N34" s="50">
        <v>1</v>
      </c>
      <c r="O34" s="15">
        <f t="shared" si="0"/>
        <v>247</v>
      </c>
      <c r="P34" s="15">
        <f t="shared" si="1"/>
        <v>537</v>
      </c>
    </row>
    <row r="35" spans="2:20" ht="23.1" customHeight="1" x14ac:dyDescent="0.25">
      <c r="B35" s="24" t="s">
        <v>62</v>
      </c>
      <c r="C35" s="50">
        <v>40</v>
      </c>
      <c r="D35" s="50">
        <v>25</v>
      </c>
      <c r="E35" s="50">
        <v>16</v>
      </c>
      <c r="F35" s="50">
        <v>120</v>
      </c>
      <c r="G35" s="50">
        <v>1</v>
      </c>
      <c r="H35" s="50">
        <v>0</v>
      </c>
      <c r="I35" s="50">
        <v>3</v>
      </c>
      <c r="J35" s="50">
        <v>2</v>
      </c>
      <c r="K35" s="50">
        <v>3</v>
      </c>
      <c r="L35" s="50">
        <v>4</v>
      </c>
      <c r="M35" s="50">
        <v>192</v>
      </c>
      <c r="N35" s="50">
        <v>0</v>
      </c>
      <c r="O35" s="15">
        <f t="shared" si="0"/>
        <v>214</v>
      </c>
      <c r="P35" s="15">
        <f t="shared" si="1"/>
        <v>406</v>
      </c>
    </row>
    <row r="36" spans="2:20" ht="23.1" customHeight="1" x14ac:dyDescent="0.25">
      <c r="B36" s="24" t="s">
        <v>63</v>
      </c>
      <c r="C36" s="50">
        <v>65</v>
      </c>
      <c r="D36" s="50">
        <v>34</v>
      </c>
      <c r="E36" s="50">
        <v>13</v>
      </c>
      <c r="F36" s="50">
        <v>113</v>
      </c>
      <c r="G36" s="50">
        <v>0</v>
      </c>
      <c r="H36" s="50">
        <v>1</v>
      </c>
      <c r="I36" s="50">
        <v>0</v>
      </c>
      <c r="J36" s="50">
        <v>3</v>
      </c>
      <c r="K36" s="50">
        <v>1</v>
      </c>
      <c r="L36" s="50">
        <v>1</v>
      </c>
      <c r="M36" s="50">
        <v>375</v>
      </c>
      <c r="N36" s="50">
        <v>0</v>
      </c>
      <c r="O36" s="15">
        <f t="shared" si="0"/>
        <v>231</v>
      </c>
      <c r="P36" s="15">
        <f t="shared" si="1"/>
        <v>606</v>
      </c>
    </row>
    <row r="37" spans="2:20" ht="23.1" customHeight="1" x14ac:dyDescent="0.25">
      <c r="B37" s="23" t="s">
        <v>64</v>
      </c>
      <c r="C37" s="50">
        <v>45</v>
      </c>
      <c r="D37" s="50">
        <v>22</v>
      </c>
      <c r="E37" s="50">
        <v>11</v>
      </c>
      <c r="F37" s="50">
        <v>120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3</v>
      </c>
      <c r="M37" s="50">
        <v>310</v>
      </c>
      <c r="N37" s="50">
        <v>0</v>
      </c>
      <c r="O37" s="15">
        <f t="shared" si="0"/>
        <v>204</v>
      </c>
      <c r="P37" s="15">
        <f t="shared" si="1"/>
        <v>514</v>
      </c>
    </row>
    <row r="38" spans="2:20" ht="23.1" customHeight="1" x14ac:dyDescent="0.25">
      <c r="B38" s="24" t="s">
        <v>65</v>
      </c>
      <c r="C38" s="50">
        <v>68</v>
      </c>
      <c r="D38" s="50">
        <v>23</v>
      </c>
      <c r="E38" s="50">
        <v>7</v>
      </c>
      <c r="F38" s="50">
        <v>75</v>
      </c>
      <c r="G38" s="50">
        <v>2</v>
      </c>
      <c r="H38" s="50">
        <v>0</v>
      </c>
      <c r="I38" s="50">
        <v>2</v>
      </c>
      <c r="J38" s="50">
        <v>0</v>
      </c>
      <c r="K38" s="50">
        <v>0</v>
      </c>
      <c r="L38" s="50">
        <v>4</v>
      </c>
      <c r="M38" s="50">
        <v>210</v>
      </c>
      <c r="N38" s="50">
        <v>1</v>
      </c>
      <c r="O38" s="15">
        <f t="shared" si="0"/>
        <v>182</v>
      </c>
      <c r="P38" s="15">
        <f t="shared" si="1"/>
        <v>392</v>
      </c>
    </row>
    <row r="39" spans="2:20" ht="23.1" customHeight="1" x14ac:dyDescent="0.25">
      <c r="B39" s="24" t="s">
        <v>66</v>
      </c>
      <c r="C39" s="50">
        <v>49</v>
      </c>
      <c r="D39" s="50">
        <v>25</v>
      </c>
      <c r="E39" s="50">
        <v>9</v>
      </c>
      <c r="F39" s="50">
        <v>85</v>
      </c>
      <c r="G39" s="50">
        <v>2</v>
      </c>
      <c r="H39" s="50">
        <v>0</v>
      </c>
      <c r="I39" s="50">
        <v>0</v>
      </c>
      <c r="J39" s="50">
        <v>1</v>
      </c>
      <c r="K39" s="50">
        <v>2</v>
      </c>
      <c r="L39" s="50">
        <v>4</v>
      </c>
      <c r="M39" s="50">
        <v>120</v>
      </c>
      <c r="N39" s="50">
        <v>4</v>
      </c>
      <c r="O39" s="15">
        <f t="shared" si="0"/>
        <v>181</v>
      </c>
      <c r="P39" s="15">
        <f t="shared" si="1"/>
        <v>301</v>
      </c>
    </row>
    <row r="40" spans="2:20" ht="23.1" customHeight="1" x14ac:dyDescent="0.25">
      <c r="B40" s="24" t="s">
        <v>67</v>
      </c>
      <c r="C40" s="50">
        <v>54</v>
      </c>
      <c r="D40" s="50">
        <v>16</v>
      </c>
      <c r="E40" s="50">
        <v>6</v>
      </c>
      <c r="F40" s="50">
        <v>67</v>
      </c>
      <c r="G40" s="50">
        <v>3</v>
      </c>
      <c r="H40" s="50">
        <v>1</v>
      </c>
      <c r="I40" s="50">
        <v>3</v>
      </c>
      <c r="J40" s="50">
        <v>4</v>
      </c>
      <c r="K40" s="50">
        <v>1</v>
      </c>
      <c r="L40" s="50">
        <v>6</v>
      </c>
      <c r="M40" s="50">
        <v>160</v>
      </c>
      <c r="N40" s="50">
        <v>0</v>
      </c>
      <c r="O40" s="15">
        <f t="shared" si="0"/>
        <v>161</v>
      </c>
      <c r="P40" s="15">
        <f t="shared" si="1"/>
        <v>321</v>
      </c>
    </row>
    <row r="41" spans="2:20" ht="23.1" customHeight="1" x14ac:dyDescent="0.25">
      <c r="B41" s="23" t="s">
        <v>68</v>
      </c>
      <c r="C41" s="50">
        <v>75</v>
      </c>
      <c r="D41" s="50">
        <v>10</v>
      </c>
      <c r="E41" s="50">
        <v>3</v>
      </c>
      <c r="F41" s="50">
        <v>80</v>
      </c>
      <c r="G41" s="50">
        <v>0</v>
      </c>
      <c r="H41" s="50">
        <v>0</v>
      </c>
      <c r="I41" s="50">
        <v>0</v>
      </c>
      <c r="J41" s="50">
        <v>0</v>
      </c>
      <c r="K41" s="50">
        <v>3</v>
      </c>
      <c r="L41" s="50">
        <v>0</v>
      </c>
      <c r="M41" s="50">
        <v>175</v>
      </c>
      <c r="N41" s="50">
        <v>1</v>
      </c>
      <c r="O41" s="15">
        <f t="shared" si="0"/>
        <v>172</v>
      </c>
      <c r="P41" s="15">
        <f t="shared" si="1"/>
        <v>347</v>
      </c>
    </row>
    <row r="42" spans="2:20" ht="23.1" customHeight="1" x14ac:dyDescent="0.25">
      <c r="B42" s="24" t="s">
        <v>69</v>
      </c>
      <c r="C42" s="50">
        <v>66</v>
      </c>
      <c r="D42" s="50">
        <v>18</v>
      </c>
      <c r="E42" s="50">
        <v>9</v>
      </c>
      <c r="F42" s="50">
        <v>80</v>
      </c>
      <c r="G42" s="50">
        <v>0</v>
      </c>
      <c r="H42" s="50">
        <v>0</v>
      </c>
      <c r="I42" s="50">
        <v>3</v>
      </c>
      <c r="J42" s="50">
        <v>0</v>
      </c>
      <c r="K42" s="50">
        <v>1</v>
      </c>
      <c r="L42" s="50">
        <v>3</v>
      </c>
      <c r="M42" s="50">
        <v>266</v>
      </c>
      <c r="N42" s="50">
        <v>1</v>
      </c>
      <c r="O42" s="15">
        <f t="shared" si="0"/>
        <v>181</v>
      </c>
      <c r="P42" s="15">
        <f t="shared" si="1"/>
        <v>447</v>
      </c>
    </row>
    <row r="43" spans="2:20" ht="23.1" customHeight="1" x14ac:dyDescent="0.25">
      <c r="B43" s="23" t="s">
        <v>70</v>
      </c>
      <c r="C43" s="50">
        <v>64</v>
      </c>
      <c r="D43" s="50">
        <v>9</v>
      </c>
      <c r="E43" s="50">
        <v>11</v>
      </c>
      <c r="F43" s="50">
        <v>95</v>
      </c>
      <c r="G43" s="50">
        <v>1</v>
      </c>
      <c r="H43" s="50">
        <v>0</v>
      </c>
      <c r="I43" s="50">
        <v>2</v>
      </c>
      <c r="J43" s="50">
        <v>3</v>
      </c>
      <c r="K43" s="50">
        <v>3</v>
      </c>
      <c r="L43" s="50">
        <v>1</v>
      </c>
      <c r="M43" s="50">
        <v>160</v>
      </c>
      <c r="N43" s="50">
        <v>0</v>
      </c>
      <c r="O43" s="15">
        <f t="shared" si="0"/>
        <v>189</v>
      </c>
      <c r="P43" s="15">
        <f t="shared" si="1"/>
        <v>349</v>
      </c>
    </row>
    <row r="44" spans="2:20" ht="23.1" customHeight="1" x14ac:dyDescent="0.25">
      <c r="B44" s="25" t="s">
        <v>71</v>
      </c>
      <c r="C44" s="50">
        <v>80</v>
      </c>
      <c r="D44" s="50">
        <v>32</v>
      </c>
      <c r="E44" s="50">
        <v>15</v>
      </c>
      <c r="F44" s="50">
        <v>60</v>
      </c>
      <c r="G44" s="50">
        <v>12</v>
      </c>
      <c r="H44" s="50">
        <v>0</v>
      </c>
      <c r="I44" s="50">
        <v>4</v>
      </c>
      <c r="J44" s="50">
        <v>6</v>
      </c>
      <c r="K44" s="50">
        <v>2</v>
      </c>
      <c r="L44" s="50">
        <v>3</v>
      </c>
      <c r="M44" s="50">
        <v>230</v>
      </c>
      <c r="N44" s="50">
        <v>0</v>
      </c>
      <c r="O44" s="15">
        <f t="shared" si="0"/>
        <v>214</v>
      </c>
      <c r="P44" s="15">
        <f t="shared" si="1"/>
        <v>444</v>
      </c>
    </row>
    <row r="45" spans="2:20" ht="23.1" customHeight="1" x14ac:dyDescent="0.25">
      <c r="B45" s="23" t="s">
        <v>72</v>
      </c>
      <c r="C45" s="50">
        <v>100</v>
      </c>
      <c r="D45" s="50">
        <v>45</v>
      </c>
      <c r="E45" s="50">
        <v>27</v>
      </c>
      <c r="F45" s="50">
        <v>70</v>
      </c>
      <c r="G45" s="50">
        <v>7</v>
      </c>
      <c r="H45" s="50">
        <v>0</v>
      </c>
      <c r="I45" s="50">
        <v>3</v>
      </c>
      <c r="J45" s="50">
        <v>9</v>
      </c>
      <c r="K45" s="50">
        <v>2</v>
      </c>
      <c r="L45" s="50">
        <v>1</v>
      </c>
      <c r="M45" s="50">
        <v>220</v>
      </c>
      <c r="N45" s="50">
        <v>0</v>
      </c>
      <c r="O45" s="15">
        <f t="shared" si="0"/>
        <v>264</v>
      </c>
      <c r="P45" s="15">
        <f t="shared" si="1"/>
        <v>484</v>
      </c>
    </row>
    <row r="46" spans="2:20" ht="23.1" customHeight="1" x14ac:dyDescent="0.25">
      <c r="B46" s="24" t="s">
        <v>73</v>
      </c>
      <c r="C46" s="50">
        <v>90</v>
      </c>
      <c r="D46" s="50">
        <v>40</v>
      </c>
      <c r="E46" s="50">
        <v>13</v>
      </c>
      <c r="F46" s="50">
        <v>90</v>
      </c>
      <c r="G46" s="50">
        <v>4</v>
      </c>
      <c r="H46" s="50">
        <v>0</v>
      </c>
      <c r="I46" s="50">
        <v>6</v>
      </c>
      <c r="J46" s="50">
        <v>2</v>
      </c>
      <c r="K46" s="50">
        <v>8</v>
      </c>
      <c r="L46" s="50">
        <v>1</v>
      </c>
      <c r="M46" s="50">
        <v>220</v>
      </c>
      <c r="N46" s="50">
        <v>0</v>
      </c>
      <c r="O46" s="15">
        <f t="shared" si="0"/>
        <v>254</v>
      </c>
      <c r="P46" s="15">
        <f t="shared" si="1"/>
        <v>474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32</v>
      </c>
      <c r="E47" s="50">
        <v>10</v>
      </c>
      <c r="F47" s="50">
        <v>89</v>
      </c>
      <c r="G47" s="50">
        <v>3</v>
      </c>
      <c r="H47" s="50">
        <v>1</v>
      </c>
      <c r="I47" s="50">
        <v>1</v>
      </c>
      <c r="J47" s="50">
        <v>1</v>
      </c>
      <c r="K47" s="50">
        <v>0</v>
      </c>
      <c r="L47" s="50">
        <v>2</v>
      </c>
      <c r="M47" s="50">
        <v>150</v>
      </c>
      <c r="N47" s="50">
        <v>0</v>
      </c>
      <c r="O47" s="15">
        <f t="shared" si="0"/>
        <v>189</v>
      </c>
      <c r="P47" s="15">
        <f t="shared" si="1"/>
        <v>339</v>
      </c>
      <c r="R47" s="8"/>
      <c r="T47"/>
    </row>
    <row r="48" spans="2:20" ht="23.1" customHeight="1" x14ac:dyDescent="0.25">
      <c r="B48" s="24" t="s">
        <v>75</v>
      </c>
      <c r="C48" s="50">
        <v>120</v>
      </c>
      <c r="D48" s="50">
        <v>35</v>
      </c>
      <c r="E48" s="50">
        <v>8</v>
      </c>
      <c r="F48" s="50">
        <v>70</v>
      </c>
      <c r="G48" s="50">
        <v>6</v>
      </c>
      <c r="H48" s="50">
        <v>3</v>
      </c>
      <c r="I48" s="50">
        <v>1</v>
      </c>
      <c r="J48" s="50">
        <v>1</v>
      </c>
      <c r="K48" s="50">
        <v>3</v>
      </c>
      <c r="L48" s="50">
        <v>3</v>
      </c>
      <c r="M48" s="50">
        <v>230</v>
      </c>
      <c r="N48" s="50">
        <v>0</v>
      </c>
      <c r="O48" s="15">
        <f t="shared" si="0"/>
        <v>250</v>
      </c>
      <c r="P48" s="15">
        <f t="shared" si="1"/>
        <v>480</v>
      </c>
      <c r="R48" s="8"/>
      <c r="T48"/>
    </row>
    <row r="49" spans="2:20" ht="23.1" customHeight="1" x14ac:dyDescent="0.25">
      <c r="B49" s="23" t="s">
        <v>76</v>
      </c>
      <c r="C49" s="50">
        <v>90</v>
      </c>
      <c r="D49" s="50">
        <v>40</v>
      </c>
      <c r="E49" s="50">
        <v>14</v>
      </c>
      <c r="F49" s="50">
        <v>67</v>
      </c>
      <c r="G49" s="50">
        <v>3</v>
      </c>
      <c r="H49" s="50">
        <v>4</v>
      </c>
      <c r="I49" s="50">
        <v>3</v>
      </c>
      <c r="J49" s="50">
        <v>2</v>
      </c>
      <c r="K49" s="50">
        <v>2</v>
      </c>
      <c r="L49" s="50">
        <v>1</v>
      </c>
      <c r="M49" s="50">
        <v>155</v>
      </c>
      <c r="N49" s="50">
        <v>0</v>
      </c>
      <c r="O49" s="15">
        <f t="shared" si="0"/>
        <v>226</v>
      </c>
      <c r="P49" s="15">
        <f t="shared" si="1"/>
        <v>381</v>
      </c>
      <c r="R49" s="8"/>
      <c r="T49"/>
    </row>
    <row r="50" spans="2:20" ht="23.1" customHeight="1" x14ac:dyDescent="0.25">
      <c r="B50" s="24" t="s">
        <v>77</v>
      </c>
      <c r="C50" s="50">
        <v>60</v>
      </c>
      <c r="D50" s="50">
        <v>22</v>
      </c>
      <c r="E50" s="50">
        <v>5</v>
      </c>
      <c r="F50" s="50">
        <v>140</v>
      </c>
      <c r="G50" s="50">
        <v>2</v>
      </c>
      <c r="H50" s="50">
        <v>2</v>
      </c>
      <c r="I50" s="50">
        <v>3</v>
      </c>
      <c r="J50" s="50">
        <v>2</v>
      </c>
      <c r="K50" s="50">
        <v>0</v>
      </c>
      <c r="L50" s="50">
        <v>6</v>
      </c>
      <c r="M50" s="50">
        <v>200</v>
      </c>
      <c r="N50" s="50">
        <v>0</v>
      </c>
      <c r="O50" s="15">
        <f t="shared" si="0"/>
        <v>242</v>
      </c>
      <c r="P50" s="15">
        <f t="shared" si="1"/>
        <v>442</v>
      </c>
      <c r="R50" s="8"/>
      <c r="T50"/>
    </row>
    <row r="51" spans="2:20" ht="23.1" customHeight="1" x14ac:dyDescent="0.25">
      <c r="B51" s="24" t="s">
        <v>78</v>
      </c>
      <c r="C51" s="50">
        <v>20</v>
      </c>
      <c r="D51" s="50">
        <v>21</v>
      </c>
      <c r="E51" s="50">
        <v>1</v>
      </c>
      <c r="F51" s="50">
        <v>127</v>
      </c>
      <c r="G51" s="50">
        <v>0</v>
      </c>
      <c r="H51" s="50">
        <v>0</v>
      </c>
      <c r="I51" s="50">
        <v>3</v>
      </c>
      <c r="J51" s="50">
        <v>0</v>
      </c>
      <c r="K51" s="50">
        <v>3</v>
      </c>
      <c r="L51" s="50">
        <v>1</v>
      </c>
      <c r="M51" s="50">
        <v>185</v>
      </c>
      <c r="N51" s="50">
        <v>0</v>
      </c>
      <c r="O51" s="15">
        <f t="shared" si="0"/>
        <v>176</v>
      </c>
      <c r="P51" s="15">
        <f t="shared" si="1"/>
        <v>361</v>
      </c>
      <c r="R51" s="8"/>
      <c r="T51"/>
    </row>
    <row r="52" spans="2:20" ht="23.1" customHeight="1" x14ac:dyDescent="0.25">
      <c r="B52" s="24" t="s">
        <v>79</v>
      </c>
      <c r="C52" s="50">
        <v>32</v>
      </c>
      <c r="D52" s="50">
        <v>11</v>
      </c>
      <c r="E52" s="50">
        <v>6</v>
      </c>
      <c r="F52" s="50">
        <v>130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6</v>
      </c>
      <c r="M52" s="50">
        <v>110</v>
      </c>
      <c r="N52" s="50">
        <v>0</v>
      </c>
      <c r="O52" s="15">
        <f t="shared" si="0"/>
        <v>186</v>
      </c>
      <c r="P52" s="15">
        <f t="shared" si="1"/>
        <v>296</v>
      </c>
      <c r="R52" s="8"/>
      <c r="T52"/>
    </row>
    <row r="53" spans="2:20" ht="23.1" customHeight="1" x14ac:dyDescent="0.25">
      <c r="B53" s="23" t="s">
        <v>80</v>
      </c>
      <c r="C53" s="50">
        <v>36</v>
      </c>
      <c r="D53" s="50">
        <v>13</v>
      </c>
      <c r="E53" s="50">
        <v>2</v>
      </c>
      <c r="F53" s="50">
        <v>140</v>
      </c>
      <c r="G53" s="50">
        <v>4</v>
      </c>
      <c r="H53" s="50">
        <v>0</v>
      </c>
      <c r="I53" s="50">
        <v>2</v>
      </c>
      <c r="J53" s="50">
        <v>3</v>
      </c>
      <c r="K53" s="50">
        <v>0</v>
      </c>
      <c r="L53" s="50">
        <v>1</v>
      </c>
      <c r="M53" s="50">
        <v>210</v>
      </c>
      <c r="N53" s="50">
        <v>0</v>
      </c>
      <c r="O53" s="15">
        <f t="shared" si="0"/>
        <v>201</v>
      </c>
      <c r="P53" s="15">
        <f t="shared" si="1"/>
        <v>411</v>
      </c>
      <c r="R53" s="8"/>
      <c r="T53"/>
    </row>
    <row r="54" spans="2:20" ht="23.1" customHeight="1" x14ac:dyDescent="0.25">
      <c r="B54" s="23" t="s">
        <v>81</v>
      </c>
      <c r="C54" s="50">
        <v>40</v>
      </c>
      <c r="D54" s="50">
        <v>16</v>
      </c>
      <c r="E54" s="50">
        <v>11</v>
      </c>
      <c r="F54" s="50">
        <v>130</v>
      </c>
      <c r="G54" s="50">
        <v>1</v>
      </c>
      <c r="H54" s="50">
        <v>0</v>
      </c>
      <c r="I54" s="50">
        <v>8</v>
      </c>
      <c r="J54" s="50">
        <v>0</v>
      </c>
      <c r="K54" s="50">
        <v>2</v>
      </c>
      <c r="L54" s="50">
        <v>2</v>
      </c>
      <c r="M54" s="50">
        <v>205</v>
      </c>
      <c r="N54" s="50">
        <v>0</v>
      </c>
      <c r="O54" s="15">
        <f t="shared" si="0"/>
        <v>210</v>
      </c>
      <c r="P54" s="15">
        <f t="shared" si="1"/>
        <v>415</v>
      </c>
      <c r="R54" s="8"/>
      <c r="T54"/>
    </row>
    <row r="55" spans="2:20" ht="23.1" customHeight="1" x14ac:dyDescent="0.25">
      <c r="B55" s="23" t="s">
        <v>82</v>
      </c>
      <c r="C55" s="50">
        <v>41</v>
      </c>
      <c r="D55" s="50">
        <v>19</v>
      </c>
      <c r="E55" s="50">
        <v>4</v>
      </c>
      <c r="F55" s="50">
        <v>40</v>
      </c>
      <c r="G55" s="50">
        <v>5</v>
      </c>
      <c r="H55" s="50">
        <v>2</v>
      </c>
      <c r="I55" s="50">
        <v>6</v>
      </c>
      <c r="J55" s="50">
        <v>2</v>
      </c>
      <c r="K55" s="50">
        <v>0</v>
      </c>
      <c r="L55" s="50">
        <v>3</v>
      </c>
      <c r="M55" s="50">
        <v>145</v>
      </c>
      <c r="N55" s="50">
        <v>0</v>
      </c>
      <c r="O55" s="15">
        <f t="shared" si="0"/>
        <v>122</v>
      </c>
      <c r="P55" s="15">
        <f t="shared" si="1"/>
        <v>267</v>
      </c>
      <c r="R55" s="8"/>
      <c r="T55"/>
    </row>
    <row r="56" spans="2:20" ht="23.1" customHeight="1" x14ac:dyDescent="0.25">
      <c r="B56" s="23" t="s">
        <v>83</v>
      </c>
      <c r="C56" s="50">
        <v>36</v>
      </c>
      <c r="D56" s="50">
        <v>9</v>
      </c>
      <c r="E56" s="50">
        <v>3</v>
      </c>
      <c r="F56" s="50">
        <v>150</v>
      </c>
      <c r="G56" s="50">
        <v>2</v>
      </c>
      <c r="H56" s="50">
        <v>2</v>
      </c>
      <c r="I56" s="50">
        <v>3</v>
      </c>
      <c r="J56" s="50">
        <v>0</v>
      </c>
      <c r="K56" s="50">
        <v>1</v>
      </c>
      <c r="L56" s="50">
        <v>2</v>
      </c>
      <c r="M56" s="50">
        <v>155</v>
      </c>
      <c r="N56" s="50">
        <v>1</v>
      </c>
      <c r="O56" s="15">
        <f t="shared" si="0"/>
        <v>209</v>
      </c>
      <c r="P56" s="15">
        <f t="shared" si="1"/>
        <v>364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32</v>
      </c>
      <c r="E57" s="50">
        <v>8</v>
      </c>
      <c r="F57" s="50">
        <v>172</v>
      </c>
      <c r="G57" s="50">
        <v>3</v>
      </c>
      <c r="H57" s="50">
        <v>3</v>
      </c>
      <c r="I57" s="50">
        <v>1</v>
      </c>
      <c r="J57" s="50">
        <v>0</v>
      </c>
      <c r="K57" s="50">
        <v>0</v>
      </c>
      <c r="L57" s="50">
        <v>0</v>
      </c>
      <c r="M57" s="50">
        <v>170</v>
      </c>
      <c r="N57" s="50">
        <v>3</v>
      </c>
      <c r="O57" s="15">
        <f t="shared" si="0"/>
        <v>267</v>
      </c>
      <c r="P57" s="15">
        <f t="shared" si="1"/>
        <v>437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2361</v>
      </c>
      <c r="D58" s="16">
        <f t="shared" si="21"/>
        <v>956</v>
      </c>
      <c r="E58" s="16">
        <f t="shared" si="21"/>
        <v>392</v>
      </c>
      <c r="F58" s="16">
        <f t="shared" si="21"/>
        <v>4855</v>
      </c>
      <c r="G58" s="16">
        <f t="shared" si="21"/>
        <v>144</v>
      </c>
      <c r="H58" s="16">
        <f t="shared" si="21"/>
        <v>76</v>
      </c>
      <c r="I58" s="16">
        <f t="shared" si="21"/>
        <v>170</v>
      </c>
      <c r="J58" s="16">
        <f t="shared" si="21"/>
        <v>124</v>
      </c>
      <c r="K58" s="16">
        <f t="shared" si="21"/>
        <v>88</v>
      </c>
      <c r="L58" s="16">
        <f t="shared" si="21"/>
        <v>120</v>
      </c>
      <c r="M58" s="16">
        <f t="shared" si="21"/>
        <v>9772</v>
      </c>
      <c r="N58" s="16">
        <f t="shared" si="21"/>
        <v>23</v>
      </c>
      <c r="O58" s="16">
        <f t="shared" si="21"/>
        <v>9309</v>
      </c>
      <c r="P58" s="16">
        <f t="shared" si="21"/>
        <v>19081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0.12373565326764845</v>
      </c>
      <c r="D59" s="43">
        <f t="shared" si="22"/>
        <v>5.01021959016823E-2</v>
      </c>
      <c r="E59" s="43">
        <f t="shared" si="22"/>
        <v>2.0543996645878099E-2</v>
      </c>
      <c r="F59" s="43">
        <f t="shared" si="22"/>
        <v>0.25444159111157694</v>
      </c>
      <c r="G59" s="43">
        <f t="shared" si="22"/>
        <v>7.5467742780776685E-3</v>
      </c>
      <c r="H59" s="43">
        <f t="shared" si="22"/>
        <v>3.9830197578743249E-3</v>
      </c>
      <c r="I59" s="43">
        <f t="shared" si="22"/>
        <v>8.9093863005083596E-3</v>
      </c>
      <c r="J59" s="43">
        <f t="shared" si="22"/>
        <v>6.498611183900215E-3</v>
      </c>
      <c r="K59" s="43">
        <f t="shared" si="22"/>
        <v>4.6119176143807981E-3</v>
      </c>
      <c r="L59" s="43">
        <f t="shared" si="22"/>
        <v>6.2889785650647239E-3</v>
      </c>
      <c r="M59" s="43">
        <f t="shared" si="22"/>
        <v>0.51213248781510401</v>
      </c>
      <c r="N59" s="43">
        <f t="shared" si="22"/>
        <v>1.2053875583040721E-3</v>
      </c>
      <c r="R59" s="8"/>
      <c r="T59"/>
    </row>
    <row r="60" spans="2:20" ht="23.1" customHeight="1" x14ac:dyDescent="0.25">
      <c r="B60" s="42" t="s">
        <v>94</v>
      </c>
      <c r="C60" s="44">
        <f>C58/$O$58</f>
        <v>0.25362552368675473</v>
      </c>
      <c r="D60" s="44">
        <f t="shared" ref="D60:N60" si="23">D58/$O$58</f>
        <v>0.10269631539370502</v>
      </c>
      <c r="E60" s="44">
        <f t="shared" si="23"/>
        <v>4.2109786228381137E-2</v>
      </c>
      <c r="F60" s="44">
        <f t="shared" si="23"/>
        <v>0.52153829627242454</v>
      </c>
      <c r="G60" s="44">
        <f t="shared" si="23"/>
        <v>1.5468901063486949E-2</v>
      </c>
      <c r="H60" s="44">
        <f t="shared" si="23"/>
        <v>8.1641422279514451E-3</v>
      </c>
      <c r="I60" s="44">
        <f t="shared" si="23"/>
        <v>1.8261897088838758E-2</v>
      </c>
      <c r="J60" s="44">
        <f t="shared" si="23"/>
        <v>1.3320442582447094E-2</v>
      </c>
      <c r="K60" s="44">
        <f t="shared" si="23"/>
        <v>9.4532173165753578E-3</v>
      </c>
      <c r="L60" s="44">
        <f t="shared" si="23"/>
        <v>1.2890750886239123E-2</v>
      </c>
      <c r="M60" s="44"/>
      <c r="N60" s="44">
        <f t="shared" si="23"/>
        <v>2.4707272531958322E-3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7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'29.07 Nsambya-ClockTower'!C3:G3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ClockTower-Nsambya'!D5</f>
        <v>04.08.19</v>
      </c>
      <c r="E5" s="3"/>
      <c r="F5" s="41" t="s">
        <v>1</v>
      </c>
      <c r="G5" s="60" t="str">
        <f>'04.08 ClockTower-Nsambya'!G5:H5</f>
        <v>Gapco</v>
      </c>
      <c r="H5" s="61"/>
      <c r="I5" s="14"/>
      <c r="J5" s="2" t="s">
        <v>5</v>
      </c>
      <c r="K5" s="60" t="str">
        <f>'04.08 ClockTower-Nsambya'!K5:L5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'29.07 Nsambya-ClockTower'!D6:E6</f>
        <v>Nsambya</v>
      </c>
      <c r="E6" s="61"/>
      <c r="F6" s="2" t="s">
        <v>2</v>
      </c>
      <c r="G6" s="60" t="str">
        <f>'29.07 Nsambya-ClockTower'!G6:H6</f>
        <v>ClockTower</v>
      </c>
      <c r="H6" s="61"/>
      <c r="J6" s="2" t="s">
        <v>21</v>
      </c>
      <c r="K6" s="60" t="str">
        <f>'04.08 ClockTower-Nsambya'!K6:L6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9</v>
      </c>
      <c r="E10" s="50">
        <v>6</v>
      </c>
      <c r="F10" s="50">
        <v>35</v>
      </c>
      <c r="G10" s="50">
        <v>1</v>
      </c>
      <c r="H10" s="50">
        <v>0</v>
      </c>
      <c r="I10" s="50">
        <v>2</v>
      </c>
      <c r="J10" s="50">
        <v>1</v>
      </c>
      <c r="K10" s="50">
        <v>1</v>
      </c>
      <c r="L10" s="50">
        <v>0</v>
      </c>
      <c r="M10" s="50">
        <v>143</v>
      </c>
      <c r="N10" s="50">
        <v>0</v>
      </c>
      <c r="O10" s="15">
        <f t="shared" ref="O10:O57" si="0">SUM(C10:L10,N10)</f>
        <v>90</v>
      </c>
      <c r="P10" s="15">
        <f t="shared" ref="P10:P57" si="1">SUM(C10:N10)</f>
        <v>233</v>
      </c>
      <c r="R10" s="1" t="s">
        <v>6</v>
      </c>
      <c r="S10" s="17">
        <f t="shared" ref="S10:AF10" si="2">SUM(C10:C13)</f>
        <v>129</v>
      </c>
      <c r="T10" s="17">
        <f t="shared" si="2"/>
        <v>37</v>
      </c>
      <c r="U10" s="17">
        <f t="shared" si="2"/>
        <v>21</v>
      </c>
      <c r="V10" s="17">
        <f t="shared" si="2"/>
        <v>227</v>
      </c>
      <c r="W10" s="17">
        <f t="shared" si="2"/>
        <v>4</v>
      </c>
      <c r="X10" s="17">
        <f t="shared" si="2"/>
        <v>2</v>
      </c>
      <c r="Y10" s="17">
        <f t="shared" si="2"/>
        <v>12</v>
      </c>
      <c r="Z10" s="17">
        <f t="shared" si="2"/>
        <v>4</v>
      </c>
      <c r="AA10" s="17">
        <f t="shared" si="2"/>
        <v>8</v>
      </c>
      <c r="AB10" s="17">
        <f t="shared" si="2"/>
        <v>4</v>
      </c>
      <c r="AC10" s="17">
        <f t="shared" si="2"/>
        <v>734</v>
      </c>
      <c r="AD10" s="17">
        <f t="shared" si="2"/>
        <v>0</v>
      </c>
      <c r="AE10" s="31">
        <f t="shared" si="2"/>
        <v>448</v>
      </c>
      <c r="AF10" s="31">
        <f t="shared" si="2"/>
        <v>1182</v>
      </c>
    </row>
    <row r="11" spans="2:32" s="6" customFormat="1" ht="23.1" customHeight="1" x14ac:dyDescent="0.25">
      <c r="B11" s="23" t="s">
        <v>38</v>
      </c>
      <c r="C11" s="50">
        <v>39</v>
      </c>
      <c r="D11" s="50">
        <v>8</v>
      </c>
      <c r="E11" s="50">
        <v>5</v>
      </c>
      <c r="F11" s="50">
        <v>45</v>
      </c>
      <c r="G11" s="50">
        <v>0</v>
      </c>
      <c r="H11" s="50">
        <v>0</v>
      </c>
      <c r="I11" s="50">
        <v>1</v>
      </c>
      <c r="J11" s="50">
        <v>1</v>
      </c>
      <c r="K11" s="50">
        <v>1</v>
      </c>
      <c r="L11" s="50">
        <v>1</v>
      </c>
      <c r="M11" s="50">
        <v>222</v>
      </c>
      <c r="N11" s="50">
        <v>0</v>
      </c>
      <c r="O11" s="15">
        <f t="shared" si="0"/>
        <v>101</v>
      </c>
      <c r="P11" s="15">
        <f t="shared" si="1"/>
        <v>323</v>
      </c>
      <c r="R11" s="1" t="s">
        <v>7</v>
      </c>
      <c r="S11" s="17">
        <f t="shared" ref="S11:AF11" si="3">SUM(C14:C17)</f>
        <v>197</v>
      </c>
      <c r="T11" s="17">
        <f t="shared" si="3"/>
        <v>39</v>
      </c>
      <c r="U11" s="17">
        <f t="shared" si="3"/>
        <v>25</v>
      </c>
      <c r="V11" s="17">
        <f t="shared" si="3"/>
        <v>282</v>
      </c>
      <c r="W11" s="17">
        <f t="shared" si="3"/>
        <v>3</v>
      </c>
      <c r="X11" s="17">
        <f t="shared" si="3"/>
        <v>0</v>
      </c>
      <c r="Y11" s="17">
        <f t="shared" si="3"/>
        <v>17</v>
      </c>
      <c r="Z11" s="17">
        <f t="shared" si="3"/>
        <v>11</v>
      </c>
      <c r="AA11" s="17">
        <f t="shared" si="3"/>
        <v>8</v>
      </c>
      <c r="AB11" s="17">
        <f t="shared" si="3"/>
        <v>12</v>
      </c>
      <c r="AC11" s="17">
        <f t="shared" si="3"/>
        <v>1047</v>
      </c>
      <c r="AD11" s="17">
        <f t="shared" si="3"/>
        <v>0</v>
      </c>
      <c r="AE11" s="31">
        <f t="shared" si="3"/>
        <v>594</v>
      </c>
      <c r="AF11" s="31">
        <f t="shared" si="3"/>
        <v>1641</v>
      </c>
    </row>
    <row r="12" spans="2:32" ht="23.1" customHeight="1" x14ac:dyDescent="0.25">
      <c r="B12" s="23" t="s">
        <v>39</v>
      </c>
      <c r="C12" s="50">
        <v>16</v>
      </c>
      <c r="D12" s="50">
        <v>9</v>
      </c>
      <c r="E12" s="50">
        <v>5</v>
      </c>
      <c r="F12" s="50">
        <v>60</v>
      </c>
      <c r="G12" s="50">
        <v>3</v>
      </c>
      <c r="H12" s="50">
        <v>2</v>
      </c>
      <c r="I12" s="50">
        <v>4</v>
      </c>
      <c r="J12" s="50">
        <v>0</v>
      </c>
      <c r="K12" s="50">
        <v>0</v>
      </c>
      <c r="L12" s="50">
        <v>2</v>
      </c>
      <c r="M12" s="50">
        <v>104</v>
      </c>
      <c r="N12" s="50">
        <v>0</v>
      </c>
      <c r="O12" s="15">
        <f t="shared" si="0"/>
        <v>101</v>
      </c>
      <c r="P12" s="15">
        <f t="shared" si="1"/>
        <v>205</v>
      </c>
      <c r="R12" s="1" t="s">
        <v>8</v>
      </c>
      <c r="S12" s="17">
        <f t="shared" ref="S12:AF12" si="4">SUM(C18:C21)</f>
        <v>99</v>
      </c>
      <c r="T12" s="17">
        <f t="shared" si="4"/>
        <v>46</v>
      </c>
      <c r="U12" s="17">
        <f t="shared" si="4"/>
        <v>35</v>
      </c>
      <c r="V12" s="17">
        <f t="shared" si="4"/>
        <v>315</v>
      </c>
      <c r="W12" s="17">
        <f t="shared" si="4"/>
        <v>4</v>
      </c>
      <c r="X12" s="17">
        <f t="shared" si="4"/>
        <v>0</v>
      </c>
      <c r="Y12" s="17">
        <f t="shared" si="4"/>
        <v>14</v>
      </c>
      <c r="Z12" s="17">
        <f t="shared" si="4"/>
        <v>14</v>
      </c>
      <c r="AA12" s="17">
        <f t="shared" si="4"/>
        <v>2</v>
      </c>
      <c r="AB12" s="17">
        <f t="shared" si="4"/>
        <v>3</v>
      </c>
      <c r="AC12" s="17">
        <f t="shared" si="4"/>
        <v>741</v>
      </c>
      <c r="AD12" s="17">
        <f t="shared" si="4"/>
        <v>0</v>
      </c>
      <c r="AE12" s="31">
        <f t="shared" si="4"/>
        <v>532</v>
      </c>
      <c r="AF12" s="31">
        <f t="shared" si="4"/>
        <v>1273</v>
      </c>
    </row>
    <row r="13" spans="2:32" ht="23.1" customHeight="1" x14ac:dyDescent="0.25">
      <c r="B13" s="23" t="s">
        <v>40</v>
      </c>
      <c r="C13" s="50">
        <v>39</v>
      </c>
      <c r="D13" s="50">
        <v>11</v>
      </c>
      <c r="E13" s="50">
        <v>5</v>
      </c>
      <c r="F13" s="50">
        <v>87</v>
      </c>
      <c r="G13" s="50">
        <v>0</v>
      </c>
      <c r="H13" s="50">
        <v>0</v>
      </c>
      <c r="I13" s="50">
        <v>5</v>
      </c>
      <c r="J13" s="50">
        <v>2</v>
      </c>
      <c r="K13" s="50">
        <v>6</v>
      </c>
      <c r="L13" s="50">
        <v>1</v>
      </c>
      <c r="M13" s="50">
        <v>265</v>
      </c>
      <c r="N13" s="50">
        <v>0</v>
      </c>
      <c r="O13" s="15">
        <f t="shared" si="0"/>
        <v>156</v>
      </c>
      <c r="P13" s="15">
        <f t="shared" si="1"/>
        <v>421</v>
      </c>
      <c r="R13" s="1" t="s">
        <v>9</v>
      </c>
      <c r="S13" s="17">
        <f t="shared" ref="S13:AF13" si="5">SUM(C22:C25)</f>
        <v>99</v>
      </c>
      <c r="T13" s="17">
        <f t="shared" si="5"/>
        <v>58</v>
      </c>
      <c r="U13" s="17">
        <f t="shared" si="5"/>
        <v>38</v>
      </c>
      <c r="V13" s="17">
        <f t="shared" si="5"/>
        <v>366</v>
      </c>
      <c r="W13" s="17">
        <f t="shared" si="5"/>
        <v>7</v>
      </c>
      <c r="X13" s="17">
        <f t="shared" si="5"/>
        <v>0</v>
      </c>
      <c r="Y13" s="17">
        <f t="shared" si="5"/>
        <v>22</v>
      </c>
      <c r="Z13" s="17">
        <f t="shared" si="5"/>
        <v>5</v>
      </c>
      <c r="AA13" s="17">
        <f t="shared" si="5"/>
        <v>6</v>
      </c>
      <c r="AB13" s="17">
        <f t="shared" si="5"/>
        <v>11</v>
      </c>
      <c r="AC13" s="17">
        <f t="shared" si="5"/>
        <v>637</v>
      </c>
      <c r="AD13" s="17">
        <f t="shared" si="5"/>
        <v>1</v>
      </c>
      <c r="AE13" s="31">
        <f t="shared" si="5"/>
        <v>613</v>
      </c>
      <c r="AF13" s="31">
        <f t="shared" si="5"/>
        <v>1250</v>
      </c>
    </row>
    <row r="14" spans="2:32" ht="23.1" customHeight="1" x14ac:dyDescent="0.25">
      <c r="B14" s="23" t="s">
        <v>41</v>
      </c>
      <c r="C14" s="50">
        <v>31</v>
      </c>
      <c r="D14" s="50">
        <v>12</v>
      </c>
      <c r="E14" s="50">
        <v>6</v>
      </c>
      <c r="F14" s="50">
        <v>55</v>
      </c>
      <c r="G14" s="50">
        <v>0</v>
      </c>
      <c r="H14" s="50">
        <v>0</v>
      </c>
      <c r="I14" s="50">
        <v>3</v>
      </c>
      <c r="J14" s="50">
        <v>4</v>
      </c>
      <c r="K14" s="50">
        <v>4</v>
      </c>
      <c r="L14" s="50">
        <v>5</v>
      </c>
      <c r="M14" s="50">
        <v>325</v>
      </c>
      <c r="N14" s="50">
        <v>0</v>
      </c>
      <c r="O14" s="15">
        <f t="shared" si="0"/>
        <v>120</v>
      </c>
      <c r="P14" s="15">
        <f t="shared" si="1"/>
        <v>445</v>
      </c>
      <c r="R14" s="1" t="s">
        <v>10</v>
      </c>
      <c r="S14" s="17">
        <f t="shared" ref="S14:AF14" si="6">SUM(C26:C29)</f>
        <v>232</v>
      </c>
      <c r="T14" s="17">
        <f t="shared" si="6"/>
        <v>67</v>
      </c>
      <c r="U14" s="17">
        <f t="shared" si="6"/>
        <v>43</v>
      </c>
      <c r="V14" s="17">
        <f t="shared" si="6"/>
        <v>575</v>
      </c>
      <c r="W14" s="17">
        <f t="shared" si="6"/>
        <v>4</v>
      </c>
      <c r="X14" s="17">
        <f t="shared" si="6"/>
        <v>0</v>
      </c>
      <c r="Y14" s="17">
        <f t="shared" si="6"/>
        <v>19</v>
      </c>
      <c r="Z14" s="17">
        <f t="shared" si="6"/>
        <v>6</v>
      </c>
      <c r="AA14" s="17">
        <f t="shared" si="6"/>
        <v>10</v>
      </c>
      <c r="AB14" s="17">
        <f t="shared" si="6"/>
        <v>9</v>
      </c>
      <c r="AC14" s="17">
        <f t="shared" si="6"/>
        <v>921</v>
      </c>
      <c r="AD14" s="17">
        <f t="shared" si="6"/>
        <v>1</v>
      </c>
      <c r="AE14" s="31">
        <f t="shared" si="6"/>
        <v>966</v>
      </c>
      <c r="AF14" s="31">
        <f t="shared" si="6"/>
        <v>1887</v>
      </c>
    </row>
    <row r="15" spans="2:32" ht="23.1" customHeight="1" x14ac:dyDescent="0.25">
      <c r="B15" s="23" t="s">
        <v>42</v>
      </c>
      <c r="C15" s="50">
        <v>36</v>
      </c>
      <c r="D15" s="50">
        <v>12</v>
      </c>
      <c r="E15" s="50">
        <v>9</v>
      </c>
      <c r="F15" s="50">
        <v>91</v>
      </c>
      <c r="G15" s="50">
        <v>1</v>
      </c>
      <c r="H15" s="50">
        <v>0</v>
      </c>
      <c r="I15" s="50">
        <v>6</v>
      </c>
      <c r="J15" s="50">
        <v>2</v>
      </c>
      <c r="K15" s="50">
        <v>1</v>
      </c>
      <c r="L15" s="50">
        <v>2</v>
      </c>
      <c r="M15" s="50">
        <v>350</v>
      </c>
      <c r="N15" s="50">
        <v>0</v>
      </c>
      <c r="O15" s="15">
        <f t="shared" si="0"/>
        <v>160</v>
      </c>
      <c r="P15" s="15">
        <f t="shared" si="1"/>
        <v>510</v>
      </c>
      <c r="R15" s="1" t="s">
        <v>11</v>
      </c>
      <c r="S15" s="17">
        <f t="shared" ref="S15:AF15" si="7">SUM(C30:C33)</f>
        <v>80</v>
      </c>
      <c r="T15" s="17">
        <f t="shared" si="7"/>
        <v>66</v>
      </c>
      <c r="U15" s="17">
        <f t="shared" si="7"/>
        <v>40</v>
      </c>
      <c r="V15" s="17">
        <f t="shared" si="7"/>
        <v>376</v>
      </c>
      <c r="W15" s="17">
        <f t="shared" si="7"/>
        <v>4</v>
      </c>
      <c r="X15" s="17">
        <f t="shared" si="7"/>
        <v>0</v>
      </c>
      <c r="Y15" s="17">
        <f t="shared" si="7"/>
        <v>17</v>
      </c>
      <c r="Z15" s="17">
        <f t="shared" si="7"/>
        <v>15</v>
      </c>
      <c r="AA15" s="17">
        <f t="shared" si="7"/>
        <v>14</v>
      </c>
      <c r="AB15" s="17">
        <f t="shared" si="7"/>
        <v>12</v>
      </c>
      <c r="AC15" s="17">
        <f t="shared" si="7"/>
        <v>523</v>
      </c>
      <c r="AD15" s="17">
        <f t="shared" si="7"/>
        <v>1</v>
      </c>
      <c r="AE15" s="31">
        <f t="shared" si="7"/>
        <v>625</v>
      </c>
      <c r="AF15" s="31">
        <f t="shared" si="7"/>
        <v>1148</v>
      </c>
    </row>
    <row r="16" spans="2:32" ht="23.1" customHeight="1" x14ac:dyDescent="0.25">
      <c r="B16" s="23" t="s">
        <v>43</v>
      </c>
      <c r="C16" s="50">
        <v>70</v>
      </c>
      <c r="D16" s="50">
        <v>8</v>
      </c>
      <c r="E16" s="50">
        <v>4</v>
      </c>
      <c r="F16" s="50">
        <v>45</v>
      </c>
      <c r="G16" s="50">
        <v>1</v>
      </c>
      <c r="H16" s="50">
        <v>0</v>
      </c>
      <c r="I16" s="50">
        <v>3</v>
      </c>
      <c r="J16" s="50">
        <v>1</v>
      </c>
      <c r="K16" s="50">
        <v>1</v>
      </c>
      <c r="L16" s="50">
        <v>2</v>
      </c>
      <c r="M16" s="50">
        <v>220</v>
      </c>
      <c r="N16" s="50">
        <v>0</v>
      </c>
      <c r="O16" s="15">
        <f t="shared" si="0"/>
        <v>135</v>
      </c>
      <c r="P16" s="15">
        <f t="shared" si="1"/>
        <v>355</v>
      </c>
      <c r="R16" s="1" t="s">
        <v>12</v>
      </c>
      <c r="S16" s="17">
        <f t="shared" ref="S16:AF16" si="8">SUM(C34:C37)</f>
        <v>210</v>
      </c>
      <c r="T16" s="17">
        <f t="shared" si="8"/>
        <v>55</v>
      </c>
      <c r="U16" s="17">
        <f t="shared" si="8"/>
        <v>55</v>
      </c>
      <c r="V16" s="17">
        <f t="shared" si="8"/>
        <v>384</v>
      </c>
      <c r="W16" s="17">
        <f t="shared" si="8"/>
        <v>6</v>
      </c>
      <c r="X16" s="17">
        <f t="shared" si="8"/>
        <v>0</v>
      </c>
      <c r="Y16" s="17">
        <f t="shared" si="8"/>
        <v>12</v>
      </c>
      <c r="Z16" s="17">
        <f t="shared" si="8"/>
        <v>10</v>
      </c>
      <c r="AA16" s="17">
        <f t="shared" si="8"/>
        <v>3</v>
      </c>
      <c r="AB16" s="17">
        <f t="shared" si="8"/>
        <v>9</v>
      </c>
      <c r="AC16" s="17">
        <f t="shared" si="8"/>
        <v>822</v>
      </c>
      <c r="AD16" s="17">
        <f t="shared" si="8"/>
        <v>2</v>
      </c>
      <c r="AE16" s="31">
        <f t="shared" si="8"/>
        <v>746</v>
      </c>
      <c r="AF16" s="31">
        <f t="shared" si="8"/>
        <v>1568</v>
      </c>
    </row>
    <row r="17" spans="2:32" ht="23.1" customHeight="1" x14ac:dyDescent="0.25">
      <c r="B17" s="23" t="s">
        <v>44</v>
      </c>
      <c r="C17" s="50">
        <v>60</v>
      </c>
      <c r="D17" s="50">
        <v>7</v>
      </c>
      <c r="E17" s="50">
        <v>6</v>
      </c>
      <c r="F17" s="50">
        <v>91</v>
      </c>
      <c r="G17" s="50">
        <v>1</v>
      </c>
      <c r="H17" s="50">
        <v>0</v>
      </c>
      <c r="I17" s="50">
        <v>5</v>
      </c>
      <c r="J17" s="50">
        <v>4</v>
      </c>
      <c r="K17" s="50">
        <v>2</v>
      </c>
      <c r="L17" s="50">
        <v>3</v>
      </c>
      <c r="M17" s="50">
        <v>152</v>
      </c>
      <c r="N17" s="50">
        <v>0</v>
      </c>
      <c r="O17" s="15">
        <f t="shared" si="0"/>
        <v>179</v>
      </c>
      <c r="P17" s="15">
        <f t="shared" si="1"/>
        <v>331</v>
      </c>
      <c r="R17" s="1" t="s">
        <v>13</v>
      </c>
      <c r="S17" s="17">
        <f t="shared" ref="S17:AF17" si="9">SUM(C38:C41)</f>
        <v>284</v>
      </c>
      <c r="T17" s="17">
        <f t="shared" si="9"/>
        <v>63</v>
      </c>
      <c r="U17" s="17">
        <f t="shared" si="9"/>
        <v>49</v>
      </c>
      <c r="V17" s="17">
        <f t="shared" si="9"/>
        <v>321</v>
      </c>
      <c r="W17" s="17">
        <f t="shared" si="9"/>
        <v>4</v>
      </c>
      <c r="X17" s="17">
        <f t="shared" si="9"/>
        <v>1</v>
      </c>
      <c r="Y17" s="17">
        <f t="shared" si="9"/>
        <v>21</v>
      </c>
      <c r="Z17" s="17">
        <f t="shared" si="9"/>
        <v>3</v>
      </c>
      <c r="AA17" s="17">
        <f t="shared" si="9"/>
        <v>4</v>
      </c>
      <c r="AB17" s="17">
        <f t="shared" si="9"/>
        <v>3</v>
      </c>
      <c r="AC17" s="17">
        <f t="shared" si="9"/>
        <v>1064</v>
      </c>
      <c r="AD17" s="17">
        <f t="shared" si="9"/>
        <v>0</v>
      </c>
      <c r="AE17" s="31">
        <f t="shared" si="9"/>
        <v>753</v>
      </c>
      <c r="AF17" s="31">
        <f t="shared" si="9"/>
        <v>1817</v>
      </c>
    </row>
    <row r="18" spans="2:32" ht="23.1" customHeight="1" x14ac:dyDescent="0.25">
      <c r="B18" s="23" t="s">
        <v>45</v>
      </c>
      <c r="C18" s="50">
        <v>20</v>
      </c>
      <c r="D18" s="50">
        <v>11</v>
      </c>
      <c r="E18" s="50">
        <v>3</v>
      </c>
      <c r="F18" s="50">
        <v>60</v>
      </c>
      <c r="G18" s="50">
        <v>1</v>
      </c>
      <c r="H18" s="50">
        <v>0</v>
      </c>
      <c r="I18" s="50">
        <v>4</v>
      </c>
      <c r="J18" s="50">
        <v>2</v>
      </c>
      <c r="K18" s="50">
        <v>0</v>
      </c>
      <c r="L18" s="50">
        <v>0</v>
      </c>
      <c r="M18" s="50">
        <v>133</v>
      </c>
      <c r="N18" s="50">
        <v>0</v>
      </c>
      <c r="O18" s="15">
        <f t="shared" si="0"/>
        <v>101</v>
      </c>
      <c r="P18" s="15">
        <f t="shared" si="1"/>
        <v>234</v>
      </c>
      <c r="R18" s="1" t="s">
        <v>14</v>
      </c>
      <c r="S18" s="17">
        <f t="shared" ref="S18:AF18" si="10">SUM(C42:C45)</f>
        <v>85</v>
      </c>
      <c r="T18" s="17">
        <f t="shared" si="10"/>
        <v>37</v>
      </c>
      <c r="U18" s="17">
        <f t="shared" si="10"/>
        <v>34</v>
      </c>
      <c r="V18" s="17">
        <f t="shared" si="10"/>
        <v>195</v>
      </c>
      <c r="W18" s="17">
        <f t="shared" si="10"/>
        <v>3</v>
      </c>
      <c r="X18" s="17">
        <f t="shared" si="10"/>
        <v>0</v>
      </c>
      <c r="Y18" s="17">
        <f t="shared" si="10"/>
        <v>8</v>
      </c>
      <c r="Z18" s="17">
        <f t="shared" si="10"/>
        <v>7</v>
      </c>
      <c r="AA18" s="17">
        <f t="shared" si="10"/>
        <v>2</v>
      </c>
      <c r="AB18" s="17">
        <f t="shared" si="10"/>
        <v>4</v>
      </c>
      <c r="AC18" s="17">
        <f t="shared" si="10"/>
        <v>747</v>
      </c>
      <c r="AD18" s="17">
        <f t="shared" si="10"/>
        <v>0</v>
      </c>
      <c r="AE18" s="31">
        <f t="shared" si="10"/>
        <v>375</v>
      </c>
      <c r="AF18" s="31">
        <f t="shared" si="10"/>
        <v>1122</v>
      </c>
    </row>
    <row r="19" spans="2:32" ht="23.1" customHeight="1" x14ac:dyDescent="0.25">
      <c r="B19" s="23" t="s">
        <v>46</v>
      </c>
      <c r="C19" s="50">
        <v>30</v>
      </c>
      <c r="D19" s="50">
        <v>14</v>
      </c>
      <c r="E19" s="50">
        <v>13</v>
      </c>
      <c r="F19" s="50">
        <v>100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v>0</v>
      </c>
      <c r="M19" s="50">
        <v>180</v>
      </c>
      <c r="N19" s="50">
        <v>0</v>
      </c>
      <c r="O19" s="15">
        <f t="shared" si="0"/>
        <v>162</v>
      </c>
      <c r="P19" s="15">
        <f t="shared" si="1"/>
        <v>342</v>
      </c>
      <c r="R19" s="1" t="s">
        <v>15</v>
      </c>
      <c r="S19" s="17">
        <f t="shared" ref="S19:AF19" si="11">SUM(C46:C49)</f>
        <v>168</v>
      </c>
      <c r="T19" s="17">
        <f t="shared" si="11"/>
        <v>54</v>
      </c>
      <c r="U19" s="17">
        <f t="shared" si="11"/>
        <v>40</v>
      </c>
      <c r="V19" s="17">
        <f t="shared" si="11"/>
        <v>237</v>
      </c>
      <c r="W19" s="17">
        <f t="shared" si="11"/>
        <v>2</v>
      </c>
      <c r="X19" s="17">
        <f t="shared" si="11"/>
        <v>2</v>
      </c>
      <c r="Y19" s="17">
        <f t="shared" si="11"/>
        <v>29</v>
      </c>
      <c r="Z19" s="17">
        <f t="shared" si="11"/>
        <v>16</v>
      </c>
      <c r="AA19" s="17">
        <f t="shared" si="11"/>
        <v>7</v>
      </c>
      <c r="AB19" s="17">
        <f t="shared" si="11"/>
        <v>9</v>
      </c>
      <c r="AC19" s="17">
        <f t="shared" si="11"/>
        <v>826</v>
      </c>
      <c r="AD19" s="17">
        <f t="shared" si="11"/>
        <v>0</v>
      </c>
      <c r="AE19" s="31">
        <f t="shared" si="11"/>
        <v>564</v>
      </c>
      <c r="AF19" s="31">
        <f t="shared" si="11"/>
        <v>1390</v>
      </c>
    </row>
    <row r="20" spans="2:32" ht="23.1" customHeight="1" x14ac:dyDescent="0.25">
      <c r="B20" s="23" t="s">
        <v>47</v>
      </c>
      <c r="C20" s="50">
        <v>29</v>
      </c>
      <c r="D20" s="50">
        <v>11</v>
      </c>
      <c r="E20" s="50">
        <v>10</v>
      </c>
      <c r="F20" s="50">
        <v>65</v>
      </c>
      <c r="G20" s="50">
        <v>1</v>
      </c>
      <c r="H20" s="50">
        <v>0</v>
      </c>
      <c r="I20" s="50">
        <v>4</v>
      </c>
      <c r="J20" s="50">
        <v>5</v>
      </c>
      <c r="K20" s="50">
        <v>1</v>
      </c>
      <c r="L20" s="50">
        <v>2</v>
      </c>
      <c r="M20" s="50">
        <v>225</v>
      </c>
      <c r="N20" s="50">
        <v>0</v>
      </c>
      <c r="O20" s="15">
        <f t="shared" si="0"/>
        <v>128</v>
      </c>
      <c r="P20" s="15">
        <f t="shared" si="1"/>
        <v>353</v>
      </c>
      <c r="R20" s="1" t="s">
        <v>16</v>
      </c>
      <c r="S20" s="17">
        <f t="shared" ref="S20:AF20" si="12">SUM(C50:C53)</f>
        <v>188</v>
      </c>
      <c r="T20" s="17">
        <f t="shared" si="12"/>
        <v>41</v>
      </c>
      <c r="U20" s="17">
        <f t="shared" si="12"/>
        <v>54</v>
      </c>
      <c r="V20" s="17">
        <f t="shared" si="12"/>
        <v>185</v>
      </c>
      <c r="W20" s="17">
        <f t="shared" si="12"/>
        <v>3</v>
      </c>
      <c r="X20" s="17">
        <f t="shared" si="12"/>
        <v>2</v>
      </c>
      <c r="Y20" s="17">
        <f t="shared" si="12"/>
        <v>20</v>
      </c>
      <c r="Z20" s="17">
        <f t="shared" si="12"/>
        <v>9</v>
      </c>
      <c r="AA20" s="17">
        <f t="shared" si="12"/>
        <v>12</v>
      </c>
      <c r="AB20" s="17">
        <f t="shared" si="12"/>
        <v>12</v>
      </c>
      <c r="AC20" s="17">
        <f t="shared" si="12"/>
        <v>907</v>
      </c>
      <c r="AD20" s="17">
        <f t="shared" si="12"/>
        <v>0</v>
      </c>
      <c r="AE20" s="31">
        <f t="shared" si="12"/>
        <v>526</v>
      </c>
      <c r="AF20" s="31">
        <f t="shared" si="12"/>
        <v>1433</v>
      </c>
    </row>
    <row r="21" spans="2:32" ht="23.1" customHeight="1" x14ac:dyDescent="0.25">
      <c r="B21" s="23" t="s">
        <v>48</v>
      </c>
      <c r="C21" s="50">
        <v>20</v>
      </c>
      <c r="D21" s="50">
        <v>10</v>
      </c>
      <c r="E21" s="50">
        <v>9</v>
      </c>
      <c r="F21" s="50">
        <v>90</v>
      </c>
      <c r="G21" s="50">
        <v>2</v>
      </c>
      <c r="H21" s="50">
        <v>0</v>
      </c>
      <c r="I21" s="50">
        <v>3</v>
      </c>
      <c r="J21" s="50">
        <v>5</v>
      </c>
      <c r="K21" s="50">
        <v>1</v>
      </c>
      <c r="L21" s="50">
        <v>1</v>
      </c>
      <c r="M21" s="50">
        <v>203</v>
      </c>
      <c r="N21" s="50">
        <v>0</v>
      </c>
      <c r="O21" s="15">
        <f t="shared" si="0"/>
        <v>141</v>
      </c>
      <c r="P21" s="15">
        <f t="shared" si="1"/>
        <v>344</v>
      </c>
      <c r="R21" s="36" t="s">
        <v>20</v>
      </c>
      <c r="S21" s="34">
        <f t="shared" ref="S21:AF21" si="13">SUM(C54:C57)</f>
        <v>188</v>
      </c>
      <c r="T21" s="17">
        <f t="shared" si="13"/>
        <v>42</v>
      </c>
      <c r="U21" s="17">
        <f t="shared" si="13"/>
        <v>52</v>
      </c>
      <c r="V21" s="17">
        <f t="shared" si="13"/>
        <v>208</v>
      </c>
      <c r="W21" s="17">
        <f t="shared" si="13"/>
        <v>6</v>
      </c>
      <c r="X21" s="17">
        <f t="shared" si="13"/>
        <v>2</v>
      </c>
      <c r="Y21" s="17">
        <f t="shared" si="13"/>
        <v>28</v>
      </c>
      <c r="Z21" s="17">
        <f t="shared" si="13"/>
        <v>16</v>
      </c>
      <c r="AA21" s="17">
        <f t="shared" si="13"/>
        <v>6</v>
      </c>
      <c r="AB21" s="17">
        <f t="shared" si="13"/>
        <v>12</v>
      </c>
      <c r="AC21" s="17">
        <f t="shared" si="13"/>
        <v>745</v>
      </c>
      <c r="AD21" s="17">
        <f t="shared" si="13"/>
        <v>0</v>
      </c>
      <c r="AE21" s="31">
        <f t="shared" si="13"/>
        <v>560</v>
      </c>
      <c r="AF21" s="31">
        <f t="shared" si="13"/>
        <v>1305</v>
      </c>
    </row>
    <row r="22" spans="2:32" ht="23.1" customHeight="1" x14ac:dyDescent="0.25">
      <c r="B22" s="23" t="s">
        <v>49</v>
      </c>
      <c r="C22" s="50">
        <v>23</v>
      </c>
      <c r="D22" s="50">
        <v>21</v>
      </c>
      <c r="E22" s="50">
        <v>6</v>
      </c>
      <c r="F22" s="50">
        <v>80</v>
      </c>
      <c r="G22" s="50">
        <v>2</v>
      </c>
      <c r="H22" s="50">
        <v>0</v>
      </c>
      <c r="I22" s="50">
        <v>4</v>
      </c>
      <c r="J22" s="50">
        <v>2</v>
      </c>
      <c r="K22" s="50">
        <v>0</v>
      </c>
      <c r="L22" s="50">
        <v>5</v>
      </c>
      <c r="M22" s="50">
        <v>152</v>
      </c>
      <c r="N22" s="50">
        <v>1</v>
      </c>
      <c r="O22" s="15">
        <f t="shared" si="0"/>
        <v>144</v>
      </c>
      <c r="P22" s="15">
        <f t="shared" si="1"/>
        <v>296</v>
      </c>
      <c r="R22" s="38" t="s">
        <v>90</v>
      </c>
      <c r="S22" s="39">
        <f>MAX(S10:S12)</f>
        <v>197</v>
      </c>
      <c r="T22" s="39">
        <f t="shared" ref="T22:AF22" si="14">MAX(T10:T12)</f>
        <v>46</v>
      </c>
      <c r="U22" s="39">
        <f t="shared" si="14"/>
        <v>35</v>
      </c>
      <c r="V22" s="39">
        <f t="shared" si="14"/>
        <v>315</v>
      </c>
      <c r="W22" s="39">
        <f t="shared" si="14"/>
        <v>4</v>
      </c>
      <c r="X22" s="39">
        <f t="shared" si="14"/>
        <v>2</v>
      </c>
      <c r="Y22" s="39">
        <f t="shared" si="14"/>
        <v>17</v>
      </c>
      <c r="Z22" s="39">
        <f t="shared" si="14"/>
        <v>14</v>
      </c>
      <c r="AA22" s="39">
        <f t="shared" si="14"/>
        <v>8</v>
      </c>
      <c r="AB22" s="39">
        <f t="shared" si="14"/>
        <v>12</v>
      </c>
      <c r="AC22" s="39">
        <f t="shared" si="14"/>
        <v>1047</v>
      </c>
      <c r="AD22" s="39">
        <f t="shared" si="14"/>
        <v>0</v>
      </c>
      <c r="AE22" s="40">
        <f t="shared" si="14"/>
        <v>594</v>
      </c>
      <c r="AF22" s="40">
        <f t="shared" si="14"/>
        <v>1641</v>
      </c>
    </row>
    <row r="23" spans="2:32" ht="23.1" customHeight="1" x14ac:dyDescent="0.25">
      <c r="B23" s="23" t="s">
        <v>50</v>
      </c>
      <c r="C23" s="50">
        <v>42</v>
      </c>
      <c r="D23" s="50">
        <v>27</v>
      </c>
      <c r="E23" s="50">
        <v>15</v>
      </c>
      <c r="F23" s="50">
        <v>85</v>
      </c>
      <c r="G23" s="50">
        <v>1</v>
      </c>
      <c r="H23" s="50">
        <v>0</v>
      </c>
      <c r="I23" s="50">
        <v>4</v>
      </c>
      <c r="J23" s="50">
        <v>1</v>
      </c>
      <c r="K23" s="50">
        <v>2</v>
      </c>
      <c r="L23" s="50">
        <v>1</v>
      </c>
      <c r="M23" s="50">
        <v>170</v>
      </c>
      <c r="N23" s="50">
        <v>0</v>
      </c>
      <c r="O23" s="15">
        <f t="shared" si="0"/>
        <v>178</v>
      </c>
      <c r="P23" s="15">
        <f t="shared" si="1"/>
        <v>348</v>
      </c>
      <c r="R23" s="38" t="s">
        <v>91</v>
      </c>
      <c r="S23" s="39">
        <f>MAX(S13:S18)</f>
        <v>284</v>
      </c>
      <c r="T23" s="39">
        <f t="shared" ref="T23:AF23" si="15">MAX(T13:T18)</f>
        <v>67</v>
      </c>
      <c r="U23" s="39">
        <f t="shared" si="15"/>
        <v>55</v>
      </c>
      <c r="V23" s="39">
        <f t="shared" si="15"/>
        <v>575</v>
      </c>
      <c r="W23" s="39">
        <f t="shared" si="15"/>
        <v>7</v>
      </c>
      <c r="X23" s="39">
        <f t="shared" si="15"/>
        <v>1</v>
      </c>
      <c r="Y23" s="39">
        <f t="shared" si="15"/>
        <v>22</v>
      </c>
      <c r="Z23" s="39">
        <f t="shared" si="15"/>
        <v>15</v>
      </c>
      <c r="AA23" s="39">
        <f t="shared" si="15"/>
        <v>14</v>
      </c>
      <c r="AB23" s="39">
        <f t="shared" si="15"/>
        <v>12</v>
      </c>
      <c r="AC23" s="39">
        <f t="shared" si="15"/>
        <v>1064</v>
      </c>
      <c r="AD23" s="39">
        <f t="shared" si="15"/>
        <v>2</v>
      </c>
      <c r="AE23" s="40">
        <f t="shared" si="15"/>
        <v>966</v>
      </c>
      <c r="AF23" s="40">
        <f t="shared" si="15"/>
        <v>1887</v>
      </c>
    </row>
    <row r="24" spans="2:32" ht="23.1" customHeight="1" x14ac:dyDescent="0.25">
      <c r="B24" s="23" t="s">
        <v>51</v>
      </c>
      <c r="C24" s="50">
        <v>15</v>
      </c>
      <c r="D24" s="50">
        <v>6</v>
      </c>
      <c r="E24" s="50">
        <v>12</v>
      </c>
      <c r="F24" s="50">
        <v>111</v>
      </c>
      <c r="G24" s="50">
        <v>2</v>
      </c>
      <c r="H24" s="50">
        <v>0</v>
      </c>
      <c r="I24" s="50">
        <v>7</v>
      </c>
      <c r="J24" s="50">
        <v>1</v>
      </c>
      <c r="K24" s="50">
        <v>2</v>
      </c>
      <c r="L24" s="50">
        <v>5</v>
      </c>
      <c r="M24" s="50">
        <v>125</v>
      </c>
      <c r="N24" s="50">
        <v>0</v>
      </c>
      <c r="O24" s="15">
        <f t="shared" si="0"/>
        <v>161</v>
      </c>
      <c r="P24" s="15">
        <f t="shared" si="1"/>
        <v>286</v>
      </c>
      <c r="R24" s="38" t="s">
        <v>92</v>
      </c>
      <c r="S24" s="39">
        <f>MAX(S19:S21)</f>
        <v>188</v>
      </c>
      <c r="T24" s="39">
        <f t="shared" ref="T24:AF24" si="16">MAX(T19:T21)</f>
        <v>54</v>
      </c>
      <c r="U24" s="39">
        <f t="shared" si="16"/>
        <v>54</v>
      </c>
      <c r="V24" s="39">
        <f t="shared" si="16"/>
        <v>237</v>
      </c>
      <c r="W24" s="39">
        <f t="shared" si="16"/>
        <v>6</v>
      </c>
      <c r="X24" s="39">
        <f t="shared" si="16"/>
        <v>2</v>
      </c>
      <c r="Y24" s="39">
        <f t="shared" si="16"/>
        <v>29</v>
      </c>
      <c r="Z24" s="39">
        <f t="shared" si="16"/>
        <v>16</v>
      </c>
      <c r="AA24" s="39">
        <f t="shared" si="16"/>
        <v>12</v>
      </c>
      <c r="AB24" s="39">
        <f t="shared" si="16"/>
        <v>12</v>
      </c>
      <c r="AC24" s="39">
        <f t="shared" si="16"/>
        <v>907</v>
      </c>
      <c r="AD24" s="39">
        <f t="shared" si="16"/>
        <v>0</v>
      </c>
      <c r="AE24" s="40">
        <f t="shared" si="16"/>
        <v>564</v>
      </c>
      <c r="AF24" s="40">
        <f t="shared" si="16"/>
        <v>1433</v>
      </c>
    </row>
    <row r="25" spans="2:32" ht="23.1" customHeight="1" x14ac:dyDescent="0.25">
      <c r="B25" s="23" t="s">
        <v>52</v>
      </c>
      <c r="C25" s="50">
        <v>19</v>
      </c>
      <c r="D25" s="50">
        <v>4</v>
      </c>
      <c r="E25" s="50">
        <v>5</v>
      </c>
      <c r="F25" s="50">
        <v>90</v>
      </c>
      <c r="G25" s="50">
        <v>2</v>
      </c>
      <c r="H25" s="50">
        <v>0</v>
      </c>
      <c r="I25" s="50">
        <v>7</v>
      </c>
      <c r="J25" s="50">
        <v>1</v>
      </c>
      <c r="K25" s="50">
        <v>2</v>
      </c>
      <c r="L25" s="50">
        <v>0</v>
      </c>
      <c r="M25" s="50">
        <v>190</v>
      </c>
      <c r="N25" s="50">
        <v>0</v>
      </c>
      <c r="O25" s="15">
        <f t="shared" si="0"/>
        <v>130</v>
      </c>
      <c r="P25" s="15">
        <f t="shared" si="1"/>
        <v>320</v>
      </c>
      <c r="R25" s="37" t="s">
        <v>85</v>
      </c>
      <c r="S25" s="35">
        <f t="shared" ref="S25:AF25" si="17">SUM(S10:S12)</f>
        <v>425</v>
      </c>
      <c r="T25" s="16">
        <f t="shared" si="17"/>
        <v>122</v>
      </c>
      <c r="U25" s="16">
        <f t="shared" si="17"/>
        <v>81</v>
      </c>
      <c r="V25" s="16">
        <f t="shared" si="17"/>
        <v>824</v>
      </c>
      <c r="W25" s="16">
        <f t="shared" si="17"/>
        <v>11</v>
      </c>
      <c r="X25" s="16">
        <f t="shared" si="17"/>
        <v>2</v>
      </c>
      <c r="Y25" s="16">
        <f t="shared" si="17"/>
        <v>43</v>
      </c>
      <c r="Z25" s="16">
        <f t="shared" si="17"/>
        <v>29</v>
      </c>
      <c r="AA25" s="16">
        <f t="shared" si="17"/>
        <v>18</v>
      </c>
      <c r="AB25" s="16">
        <f t="shared" si="17"/>
        <v>19</v>
      </c>
      <c r="AC25" s="16">
        <f t="shared" si="17"/>
        <v>2522</v>
      </c>
      <c r="AD25" s="16">
        <f t="shared" si="17"/>
        <v>0</v>
      </c>
      <c r="AE25" s="32">
        <f t="shared" si="17"/>
        <v>1574</v>
      </c>
      <c r="AF25" s="32">
        <f t="shared" si="17"/>
        <v>4096</v>
      </c>
    </row>
    <row r="26" spans="2:32" ht="23.1" customHeight="1" x14ac:dyDescent="0.25">
      <c r="B26" s="23" t="s">
        <v>53</v>
      </c>
      <c r="C26" s="50">
        <v>65</v>
      </c>
      <c r="D26" s="50">
        <v>21</v>
      </c>
      <c r="E26" s="50">
        <v>14</v>
      </c>
      <c r="F26" s="50">
        <v>160</v>
      </c>
      <c r="G26" s="50">
        <v>1</v>
      </c>
      <c r="H26" s="50">
        <v>0</v>
      </c>
      <c r="I26" s="50">
        <v>6</v>
      </c>
      <c r="J26" s="50">
        <v>2</v>
      </c>
      <c r="K26" s="50">
        <v>2</v>
      </c>
      <c r="L26" s="50">
        <v>4</v>
      </c>
      <c r="M26" s="50">
        <v>293</v>
      </c>
      <c r="N26" s="50">
        <v>1</v>
      </c>
      <c r="O26" s="15">
        <f t="shared" si="0"/>
        <v>276</v>
      </c>
      <c r="P26" s="15">
        <f t="shared" si="1"/>
        <v>569</v>
      </c>
      <c r="R26" s="28" t="s">
        <v>86</v>
      </c>
      <c r="S26" s="16">
        <f t="shared" ref="S26:AF26" si="18">SUM(S13:S18)</f>
        <v>990</v>
      </c>
      <c r="T26" s="16">
        <f t="shared" si="18"/>
        <v>346</v>
      </c>
      <c r="U26" s="16">
        <f t="shared" si="18"/>
        <v>259</v>
      </c>
      <c r="V26" s="16">
        <f t="shared" si="18"/>
        <v>2217</v>
      </c>
      <c r="W26" s="16">
        <f t="shared" si="18"/>
        <v>28</v>
      </c>
      <c r="X26" s="16">
        <f t="shared" si="18"/>
        <v>1</v>
      </c>
      <c r="Y26" s="16">
        <f t="shared" si="18"/>
        <v>99</v>
      </c>
      <c r="Z26" s="16">
        <f t="shared" si="18"/>
        <v>46</v>
      </c>
      <c r="AA26" s="16">
        <f t="shared" si="18"/>
        <v>39</v>
      </c>
      <c r="AB26" s="16">
        <f t="shared" si="18"/>
        <v>48</v>
      </c>
      <c r="AC26" s="16">
        <f t="shared" si="18"/>
        <v>4714</v>
      </c>
      <c r="AD26" s="16">
        <f t="shared" si="18"/>
        <v>5</v>
      </c>
      <c r="AE26" s="32">
        <f t="shared" si="18"/>
        <v>4078</v>
      </c>
      <c r="AF26" s="32">
        <f t="shared" si="18"/>
        <v>8792</v>
      </c>
    </row>
    <row r="27" spans="2:32" ht="23.1" customHeight="1" x14ac:dyDescent="0.25">
      <c r="B27" s="23" t="s">
        <v>54</v>
      </c>
      <c r="C27" s="50">
        <v>62</v>
      </c>
      <c r="D27" s="50">
        <v>17</v>
      </c>
      <c r="E27" s="50">
        <v>6</v>
      </c>
      <c r="F27" s="50">
        <v>170</v>
      </c>
      <c r="G27" s="50">
        <v>2</v>
      </c>
      <c r="H27" s="50">
        <v>0</v>
      </c>
      <c r="I27" s="50">
        <v>7</v>
      </c>
      <c r="J27" s="50">
        <v>0</v>
      </c>
      <c r="K27" s="50">
        <v>2</v>
      </c>
      <c r="L27" s="50">
        <v>2</v>
      </c>
      <c r="M27" s="50">
        <v>235</v>
      </c>
      <c r="N27" s="50">
        <v>0</v>
      </c>
      <c r="O27" s="15">
        <f t="shared" si="0"/>
        <v>268</v>
      </c>
      <c r="P27" s="15">
        <f t="shared" si="1"/>
        <v>503</v>
      </c>
      <c r="R27" s="29" t="s">
        <v>87</v>
      </c>
      <c r="S27" s="16">
        <f t="shared" ref="S27:AF27" si="19">SUM(S19:S21)</f>
        <v>544</v>
      </c>
      <c r="T27" s="16">
        <f t="shared" si="19"/>
        <v>137</v>
      </c>
      <c r="U27" s="16">
        <f t="shared" si="19"/>
        <v>146</v>
      </c>
      <c r="V27" s="16">
        <f t="shared" si="19"/>
        <v>630</v>
      </c>
      <c r="W27" s="16">
        <f t="shared" si="19"/>
        <v>11</v>
      </c>
      <c r="X27" s="16">
        <f t="shared" si="19"/>
        <v>6</v>
      </c>
      <c r="Y27" s="16">
        <f t="shared" si="19"/>
        <v>77</v>
      </c>
      <c r="Z27" s="16">
        <f t="shared" si="19"/>
        <v>41</v>
      </c>
      <c r="AA27" s="16">
        <f t="shared" si="19"/>
        <v>25</v>
      </c>
      <c r="AB27" s="16">
        <f t="shared" si="19"/>
        <v>33</v>
      </c>
      <c r="AC27" s="16">
        <f t="shared" si="19"/>
        <v>2478</v>
      </c>
      <c r="AD27" s="16">
        <f t="shared" si="19"/>
        <v>0</v>
      </c>
      <c r="AE27" s="32">
        <f t="shared" si="19"/>
        <v>1650</v>
      </c>
      <c r="AF27" s="32">
        <f t="shared" si="19"/>
        <v>4128</v>
      </c>
    </row>
    <row r="28" spans="2:32" ht="23.1" customHeight="1" x14ac:dyDescent="0.25">
      <c r="B28" s="23" t="s">
        <v>55</v>
      </c>
      <c r="C28" s="50">
        <v>65</v>
      </c>
      <c r="D28" s="50">
        <v>9</v>
      </c>
      <c r="E28" s="50">
        <v>10</v>
      </c>
      <c r="F28" s="50">
        <v>125</v>
      </c>
      <c r="G28" s="50">
        <v>1</v>
      </c>
      <c r="H28" s="50">
        <v>0</v>
      </c>
      <c r="I28" s="50">
        <v>4</v>
      </c>
      <c r="J28" s="50">
        <v>3</v>
      </c>
      <c r="K28" s="50">
        <v>5</v>
      </c>
      <c r="L28" s="50">
        <v>1</v>
      </c>
      <c r="M28" s="50">
        <v>223</v>
      </c>
      <c r="N28" s="50">
        <v>0</v>
      </c>
      <c r="O28" s="15">
        <f t="shared" si="0"/>
        <v>223</v>
      </c>
      <c r="P28" s="15">
        <f t="shared" si="1"/>
        <v>446</v>
      </c>
      <c r="R28" s="5" t="s">
        <v>17</v>
      </c>
      <c r="S28" s="16">
        <f t="shared" ref="S28:AF28" si="20">SUM(S10:S21)</f>
        <v>1959</v>
      </c>
      <c r="T28" s="16">
        <f t="shared" si="20"/>
        <v>605</v>
      </c>
      <c r="U28" s="16">
        <f t="shared" si="20"/>
        <v>486</v>
      </c>
      <c r="V28" s="16">
        <f t="shared" si="20"/>
        <v>3671</v>
      </c>
      <c r="W28" s="16">
        <f t="shared" si="20"/>
        <v>50</v>
      </c>
      <c r="X28" s="16">
        <f t="shared" si="20"/>
        <v>9</v>
      </c>
      <c r="Y28" s="16">
        <f t="shared" si="20"/>
        <v>219</v>
      </c>
      <c r="Z28" s="16">
        <f t="shared" si="20"/>
        <v>116</v>
      </c>
      <c r="AA28" s="16">
        <f t="shared" si="20"/>
        <v>82</v>
      </c>
      <c r="AB28" s="16">
        <f t="shared" si="20"/>
        <v>100</v>
      </c>
      <c r="AC28" s="16">
        <f t="shared" si="20"/>
        <v>9714</v>
      </c>
      <c r="AD28" s="16">
        <f t="shared" si="20"/>
        <v>5</v>
      </c>
      <c r="AE28" s="32">
        <f t="shared" si="20"/>
        <v>7302</v>
      </c>
      <c r="AF28" s="32">
        <f t="shared" si="20"/>
        <v>17016</v>
      </c>
    </row>
    <row r="29" spans="2:32" ht="23.1" customHeight="1" x14ac:dyDescent="0.25">
      <c r="B29" s="23" t="s">
        <v>56</v>
      </c>
      <c r="C29" s="50">
        <v>40</v>
      </c>
      <c r="D29" s="50">
        <v>20</v>
      </c>
      <c r="E29" s="50">
        <v>13</v>
      </c>
      <c r="F29" s="50">
        <v>120</v>
      </c>
      <c r="G29" s="50">
        <v>0</v>
      </c>
      <c r="H29" s="50">
        <v>0</v>
      </c>
      <c r="I29" s="50">
        <v>2</v>
      </c>
      <c r="J29" s="50">
        <v>1</v>
      </c>
      <c r="K29" s="50">
        <v>1</v>
      </c>
      <c r="L29" s="50">
        <v>2</v>
      </c>
      <c r="M29" s="50">
        <v>170</v>
      </c>
      <c r="N29" s="50">
        <v>0</v>
      </c>
      <c r="O29" s="15">
        <f t="shared" si="0"/>
        <v>199</v>
      </c>
      <c r="P29" s="15">
        <f t="shared" si="1"/>
        <v>369</v>
      </c>
      <c r="R29"/>
      <c r="S29" s="20"/>
      <c r="T29" s="19"/>
    </row>
    <row r="30" spans="2:32" ht="23.1" customHeight="1" x14ac:dyDescent="0.25">
      <c r="B30" s="23" t="s">
        <v>57</v>
      </c>
      <c r="C30" s="50">
        <v>33</v>
      </c>
      <c r="D30" s="50">
        <v>20</v>
      </c>
      <c r="E30" s="50">
        <v>12</v>
      </c>
      <c r="F30" s="50">
        <v>65</v>
      </c>
      <c r="G30" s="50">
        <v>1</v>
      </c>
      <c r="H30" s="50">
        <v>0</v>
      </c>
      <c r="I30" s="50">
        <v>3</v>
      </c>
      <c r="J30" s="50">
        <v>5</v>
      </c>
      <c r="K30" s="50">
        <v>2</v>
      </c>
      <c r="L30" s="50">
        <v>2</v>
      </c>
      <c r="M30" s="50">
        <v>155</v>
      </c>
      <c r="N30" s="50">
        <v>0</v>
      </c>
      <c r="O30" s="15">
        <f t="shared" si="0"/>
        <v>143</v>
      </c>
      <c r="P30" s="15">
        <f t="shared" si="1"/>
        <v>298</v>
      </c>
    </row>
    <row r="31" spans="2:32" ht="23.1" customHeight="1" x14ac:dyDescent="0.25">
      <c r="B31" s="24" t="s">
        <v>58</v>
      </c>
      <c r="C31" s="50">
        <v>25</v>
      </c>
      <c r="D31" s="50">
        <v>24</v>
      </c>
      <c r="E31" s="50">
        <v>6</v>
      </c>
      <c r="F31" s="50">
        <v>145</v>
      </c>
      <c r="G31" s="50">
        <v>1</v>
      </c>
      <c r="H31" s="50">
        <v>0</v>
      </c>
      <c r="I31" s="50">
        <v>2</v>
      </c>
      <c r="J31" s="50">
        <v>3</v>
      </c>
      <c r="K31" s="50">
        <v>4</v>
      </c>
      <c r="L31" s="50">
        <v>4</v>
      </c>
      <c r="M31" s="50">
        <v>145</v>
      </c>
      <c r="N31" s="50">
        <v>0</v>
      </c>
      <c r="O31" s="15">
        <f t="shared" si="0"/>
        <v>214</v>
      </c>
      <c r="P31" s="15">
        <f t="shared" si="1"/>
        <v>359</v>
      </c>
    </row>
    <row r="32" spans="2:32" ht="23.1" customHeight="1" x14ac:dyDescent="0.25">
      <c r="B32" s="24" t="s">
        <v>59</v>
      </c>
      <c r="C32" s="50">
        <v>14</v>
      </c>
      <c r="D32" s="50">
        <v>9</v>
      </c>
      <c r="E32" s="50">
        <v>13</v>
      </c>
      <c r="F32" s="50">
        <v>66</v>
      </c>
      <c r="G32" s="50">
        <v>0</v>
      </c>
      <c r="H32" s="50">
        <v>0</v>
      </c>
      <c r="I32" s="50">
        <v>7</v>
      </c>
      <c r="J32" s="50">
        <v>4</v>
      </c>
      <c r="K32" s="50">
        <v>2</v>
      </c>
      <c r="L32" s="50">
        <v>3</v>
      </c>
      <c r="M32" s="50">
        <v>138</v>
      </c>
      <c r="N32" s="50">
        <v>1</v>
      </c>
      <c r="O32" s="15">
        <f t="shared" si="0"/>
        <v>119</v>
      </c>
      <c r="P32" s="15">
        <f t="shared" si="1"/>
        <v>257</v>
      </c>
    </row>
    <row r="33" spans="2:20" ht="23.1" customHeight="1" x14ac:dyDescent="0.25">
      <c r="B33" s="23" t="s">
        <v>60</v>
      </c>
      <c r="C33" s="50">
        <v>8</v>
      </c>
      <c r="D33" s="50">
        <v>13</v>
      </c>
      <c r="E33" s="50">
        <v>9</v>
      </c>
      <c r="F33" s="50">
        <v>100</v>
      </c>
      <c r="G33" s="50">
        <v>2</v>
      </c>
      <c r="H33" s="50">
        <v>0</v>
      </c>
      <c r="I33" s="50">
        <v>5</v>
      </c>
      <c r="J33" s="50">
        <v>3</v>
      </c>
      <c r="K33" s="50">
        <v>6</v>
      </c>
      <c r="L33" s="50">
        <v>3</v>
      </c>
      <c r="M33" s="50">
        <v>85</v>
      </c>
      <c r="N33" s="50">
        <v>0</v>
      </c>
      <c r="O33" s="15">
        <f t="shared" si="0"/>
        <v>149</v>
      </c>
      <c r="P33" s="15">
        <f t="shared" si="1"/>
        <v>234</v>
      </c>
    </row>
    <row r="34" spans="2:20" ht="23.1" customHeight="1" x14ac:dyDescent="0.25">
      <c r="B34" s="24" t="s">
        <v>61</v>
      </c>
      <c r="C34" s="50">
        <v>34</v>
      </c>
      <c r="D34" s="50">
        <v>15</v>
      </c>
      <c r="E34" s="50">
        <v>12</v>
      </c>
      <c r="F34" s="50">
        <v>125</v>
      </c>
      <c r="G34" s="50">
        <v>1</v>
      </c>
      <c r="H34" s="50">
        <v>0</v>
      </c>
      <c r="I34" s="50">
        <v>5</v>
      </c>
      <c r="J34" s="50">
        <v>1</v>
      </c>
      <c r="K34" s="50">
        <v>2</v>
      </c>
      <c r="L34" s="50">
        <v>3</v>
      </c>
      <c r="M34" s="50">
        <v>144</v>
      </c>
      <c r="N34" s="50">
        <v>1</v>
      </c>
      <c r="O34" s="15">
        <f t="shared" si="0"/>
        <v>199</v>
      </c>
      <c r="P34" s="15">
        <f t="shared" si="1"/>
        <v>343</v>
      </c>
    </row>
    <row r="35" spans="2:20" ht="23.1" customHeight="1" x14ac:dyDescent="0.25">
      <c r="B35" s="24" t="s">
        <v>62</v>
      </c>
      <c r="C35" s="50">
        <v>56</v>
      </c>
      <c r="D35" s="50">
        <v>10</v>
      </c>
      <c r="E35" s="50">
        <v>18</v>
      </c>
      <c r="F35" s="50">
        <v>90</v>
      </c>
      <c r="G35" s="50">
        <v>1</v>
      </c>
      <c r="H35" s="50">
        <v>0</v>
      </c>
      <c r="I35" s="50">
        <v>2</v>
      </c>
      <c r="J35" s="50">
        <v>1</v>
      </c>
      <c r="K35" s="50">
        <v>0</v>
      </c>
      <c r="L35" s="50">
        <v>4</v>
      </c>
      <c r="M35" s="50">
        <v>93</v>
      </c>
      <c r="N35" s="50">
        <v>0</v>
      </c>
      <c r="O35" s="15">
        <f t="shared" si="0"/>
        <v>182</v>
      </c>
      <c r="P35" s="15">
        <f t="shared" si="1"/>
        <v>275</v>
      </c>
    </row>
    <row r="36" spans="2:20" ht="23.1" customHeight="1" x14ac:dyDescent="0.25">
      <c r="B36" s="24" t="s">
        <v>63</v>
      </c>
      <c r="C36" s="50">
        <v>75</v>
      </c>
      <c r="D36" s="50">
        <v>20</v>
      </c>
      <c r="E36" s="50">
        <v>15</v>
      </c>
      <c r="F36" s="50">
        <v>95</v>
      </c>
      <c r="G36" s="50">
        <v>2</v>
      </c>
      <c r="H36" s="50">
        <v>0</v>
      </c>
      <c r="I36" s="50">
        <v>3</v>
      </c>
      <c r="J36" s="50">
        <v>5</v>
      </c>
      <c r="K36" s="50">
        <v>1</v>
      </c>
      <c r="L36" s="50">
        <v>2</v>
      </c>
      <c r="M36" s="50">
        <v>270</v>
      </c>
      <c r="N36" s="50">
        <v>1</v>
      </c>
      <c r="O36" s="15">
        <f t="shared" si="0"/>
        <v>219</v>
      </c>
      <c r="P36" s="15">
        <f t="shared" si="1"/>
        <v>489</v>
      </c>
    </row>
    <row r="37" spans="2:20" ht="23.1" customHeight="1" x14ac:dyDescent="0.25">
      <c r="B37" s="23" t="s">
        <v>64</v>
      </c>
      <c r="C37" s="50">
        <v>45</v>
      </c>
      <c r="D37" s="50">
        <v>10</v>
      </c>
      <c r="E37" s="50">
        <v>10</v>
      </c>
      <c r="F37" s="50">
        <v>74</v>
      </c>
      <c r="G37" s="50">
        <v>2</v>
      </c>
      <c r="H37" s="50">
        <v>0</v>
      </c>
      <c r="I37" s="50">
        <v>2</v>
      </c>
      <c r="J37" s="50">
        <v>3</v>
      </c>
      <c r="K37" s="50">
        <v>0</v>
      </c>
      <c r="L37" s="50">
        <v>0</v>
      </c>
      <c r="M37" s="50">
        <v>315</v>
      </c>
      <c r="N37" s="50">
        <v>0</v>
      </c>
      <c r="O37" s="15">
        <f t="shared" si="0"/>
        <v>146</v>
      </c>
      <c r="P37" s="15">
        <f t="shared" si="1"/>
        <v>461</v>
      </c>
    </row>
    <row r="38" spans="2:20" ht="23.1" customHeight="1" x14ac:dyDescent="0.25">
      <c r="B38" s="24" t="s">
        <v>65</v>
      </c>
      <c r="C38" s="50">
        <v>61</v>
      </c>
      <c r="D38" s="50">
        <v>14</v>
      </c>
      <c r="E38" s="50">
        <v>7</v>
      </c>
      <c r="F38" s="50">
        <v>71</v>
      </c>
      <c r="G38" s="50">
        <v>1</v>
      </c>
      <c r="H38" s="50">
        <v>1</v>
      </c>
      <c r="I38" s="50">
        <v>11</v>
      </c>
      <c r="J38" s="50">
        <v>2</v>
      </c>
      <c r="K38" s="50">
        <v>0</v>
      </c>
      <c r="L38" s="50">
        <v>1</v>
      </c>
      <c r="M38" s="50">
        <v>290</v>
      </c>
      <c r="N38" s="50">
        <v>0</v>
      </c>
      <c r="O38" s="15">
        <f t="shared" si="0"/>
        <v>169</v>
      </c>
      <c r="P38" s="15">
        <f t="shared" si="1"/>
        <v>459</v>
      </c>
    </row>
    <row r="39" spans="2:20" ht="23.1" customHeight="1" x14ac:dyDescent="0.25">
      <c r="B39" s="24" t="s">
        <v>66</v>
      </c>
      <c r="C39" s="50">
        <v>45</v>
      </c>
      <c r="D39" s="50">
        <v>9</v>
      </c>
      <c r="E39" s="50">
        <v>14</v>
      </c>
      <c r="F39" s="50">
        <v>75</v>
      </c>
      <c r="G39" s="50">
        <v>1</v>
      </c>
      <c r="H39" s="50">
        <v>0</v>
      </c>
      <c r="I39" s="50">
        <v>2</v>
      </c>
      <c r="J39" s="50">
        <v>1</v>
      </c>
      <c r="K39" s="50">
        <v>1</v>
      </c>
      <c r="L39" s="50">
        <v>1</v>
      </c>
      <c r="M39" s="50">
        <v>275</v>
      </c>
      <c r="N39" s="50">
        <v>0</v>
      </c>
      <c r="O39" s="15">
        <f t="shared" si="0"/>
        <v>149</v>
      </c>
      <c r="P39" s="15">
        <f t="shared" si="1"/>
        <v>424</v>
      </c>
    </row>
    <row r="40" spans="2:20" ht="23.1" customHeight="1" x14ac:dyDescent="0.25">
      <c r="B40" s="24" t="s">
        <v>67</v>
      </c>
      <c r="C40" s="50">
        <v>53</v>
      </c>
      <c r="D40" s="50">
        <v>6</v>
      </c>
      <c r="E40" s="50">
        <v>8</v>
      </c>
      <c r="F40" s="50">
        <v>105</v>
      </c>
      <c r="G40" s="50">
        <v>0</v>
      </c>
      <c r="H40" s="50">
        <v>0</v>
      </c>
      <c r="I40" s="50">
        <v>1</v>
      </c>
      <c r="J40" s="50">
        <v>0</v>
      </c>
      <c r="K40" s="50">
        <v>1</v>
      </c>
      <c r="L40" s="50">
        <v>1</v>
      </c>
      <c r="M40" s="50">
        <v>239</v>
      </c>
      <c r="N40" s="50">
        <v>0</v>
      </c>
      <c r="O40" s="15">
        <f t="shared" si="0"/>
        <v>175</v>
      </c>
      <c r="P40" s="15">
        <f t="shared" si="1"/>
        <v>414</v>
      </c>
    </row>
    <row r="41" spans="2:20" ht="23.1" customHeight="1" x14ac:dyDescent="0.25">
      <c r="B41" s="23" t="s">
        <v>68</v>
      </c>
      <c r="C41" s="50">
        <v>125</v>
      </c>
      <c r="D41" s="50">
        <v>34</v>
      </c>
      <c r="E41" s="50">
        <v>20</v>
      </c>
      <c r="F41" s="50">
        <v>70</v>
      </c>
      <c r="G41" s="50">
        <v>2</v>
      </c>
      <c r="H41" s="50">
        <v>0</v>
      </c>
      <c r="I41" s="50">
        <v>7</v>
      </c>
      <c r="J41" s="50">
        <v>0</v>
      </c>
      <c r="K41" s="50">
        <v>2</v>
      </c>
      <c r="L41" s="50">
        <v>0</v>
      </c>
      <c r="M41" s="50">
        <v>260</v>
      </c>
      <c r="N41" s="50">
        <v>0</v>
      </c>
      <c r="O41" s="15">
        <f t="shared" si="0"/>
        <v>260</v>
      </c>
      <c r="P41" s="15">
        <f t="shared" si="1"/>
        <v>520</v>
      </c>
    </row>
    <row r="42" spans="2:20" ht="23.1" customHeight="1" x14ac:dyDescent="0.25">
      <c r="B42" s="24" t="s">
        <v>69</v>
      </c>
      <c r="C42" s="50">
        <v>20</v>
      </c>
      <c r="D42" s="50">
        <v>7</v>
      </c>
      <c r="E42" s="50">
        <v>8</v>
      </c>
      <c r="F42" s="50">
        <v>55</v>
      </c>
      <c r="G42" s="50">
        <v>1</v>
      </c>
      <c r="H42" s="50">
        <v>0</v>
      </c>
      <c r="I42" s="50">
        <v>2</v>
      </c>
      <c r="J42" s="50">
        <v>1</v>
      </c>
      <c r="K42" s="50">
        <v>0</v>
      </c>
      <c r="L42" s="50">
        <v>2</v>
      </c>
      <c r="M42" s="50">
        <v>215</v>
      </c>
      <c r="N42" s="50">
        <v>0</v>
      </c>
      <c r="O42" s="15">
        <f t="shared" si="0"/>
        <v>96</v>
      </c>
      <c r="P42" s="15">
        <f t="shared" si="1"/>
        <v>311</v>
      </c>
    </row>
    <row r="43" spans="2:20" ht="23.1" customHeight="1" x14ac:dyDescent="0.25">
      <c r="B43" s="23" t="s">
        <v>70</v>
      </c>
      <c r="C43" s="50">
        <v>35</v>
      </c>
      <c r="D43" s="50">
        <v>10</v>
      </c>
      <c r="E43" s="50">
        <v>12</v>
      </c>
      <c r="F43" s="50">
        <v>65</v>
      </c>
      <c r="G43" s="50">
        <v>0</v>
      </c>
      <c r="H43" s="50">
        <v>0</v>
      </c>
      <c r="I43" s="50">
        <v>5</v>
      </c>
      <c r="J43" s="50">
        <v>1</v>
      </c>
      <c r="K43" s="50">
        <v>2</v>
      </c>
      <c r="L43" s="50">
        <v>1</v>
      </c>
      <c r="M43" s="50">
        <v>187</v>
      </c>
      <c r="N43" s="50">
        <v>0</v>
      </c>
      <c r="O43" s="15">
        <f t="shared" si="0"/>
        <v>131</v>
      </c>
      <c r="P43" s="15">
        <f t="shared" si="1"/>
        <v>318</v>
      </c>
    </row>
    <row r="44" spans="2:20" ht="23.1" customHeight="1" x14ac:dyDescent="0.25">
      <c r="B44" s="25" t="s">
        <v>71</v>
      </c>
      <c r="C44" s="50">
        <v>6</v>
      </c>
      <c r="D44" s="50">
        <v>8</v>
      </c>
      <c r="E44" s="50">
        <v>6</v>
      </c>
      <c r="F44" s="50">
        <v>35</v>
      </c>
      <c r="G44" s="50">
        <v>0</v>
      </c>
      <c r="H44" s="50">
        <v>0</v>
      </c>
      <c r="I44" s="50">
        <v>1</v>
      </c>
      <c r="J44" s="50">
        <v>2</v>
      </c>
      <c r="K44" s="50">
        <v>0</v>
      </c>
      <c r="L44" s="50">
        <v>0</v>
      </c>
      <c r="M44" s="50">
        <v>150</v>
      </c>
      <c r="N44" s="50">
        <v>0</v>
      </c>
      <c r="O44" s="15">
        <f t="shared" si="0"/>
        <v>58</v>
      </c>
      <c r="P44" s="15">
        <f t="shared" si="1"/>
        <v>208</v>
      </c>
    </row>
    <row r="45" spans="2:20" ht="23.1" customHeight="1" x14ac:dyDescent="0.25">
      <c r="B45" s="23" t="s">
        <v>72</v>
      </c>
      <c r="C45" s="50">
        <v>24</v>
      </c>
      <c r="D45" s="50">
        <v>12</v>
      </c>
      <c r="E45" s="50">
        <v>8</v>
      </c>
      <c r="F45" s="50">
        <v>40</v>
      </c>
      <c r="G45" s="50">
        <v>2</v>
      </c>
      <c r="H45" s="50">
        <v>0</v>
      </c>
      <c r="I45" s="50">
        <v>0</v>
      </c>
      <c r="J45" s="50">
        <v>3</v>
      </c>
      <c r="K45" s="50">
        <v>0</v>
      </c>
      <c r="L45" s="50">
        <v>1</v>
      </c>
      <c r="M45" s="50">
        <v>195</v>
      </c>
      <c r="N45" s="50">
        <v>0</v>
      </c>
      <c r="O45" s="15">
        <f t="shared" si="0"/>
        <v>90</v>
      </c>
      <c r="P45" s="15">
        <f t="shared" si="1"/>
        <v>285</v>
      </c>
    </row>
    <row r="46" spans="2:20" ht="23.1" customHeight="1" x14ac:dyDescent="0.25">
      <c r="B46" s="24" t="s">
        <v>73</v>
      </c>
      <c r="C46" s="50">
        <v>49</v>
      </c>
      <c r="D46" s="50">
        <v>10</v>
      </c>
      <c r="E46" s="50">
        <v>8</v>
      </c>
      <c r="F46" s="50">
        <v>75</v>
      </c>
      <c r="G46" s="50">
        <v>0</v>
      </c>
      <c r="H46" s="50">
        <v>0</v>
      </c>
      <c r="I46" s="50">
        <v>9</v>
      </c>
      <c r="J46" s="50">
        <v>3</v>
      </c>
      <c r="K46" s="50">
        <v>1</v>
      </c>
      <c r="L46" s="50">
        <v>3</v>
      </c>
      <c r="M46" s="50">
        <v>213</v>
      </c>
      <c r="N46" s="50">
        <v>0</v>
      </c>
      <c r="O46" s="15">
        <f t="shared" si="0"/>
        <v>158</v>
      </c>
      <c r="P46" s="15">
        <f t="shared" si="1"/>
        <v>371</v>
      </c>
      <c r="R46" s="8"/>
      <c r="T46"/>
    </row>
    <row r="47" spans="2:20" ht="23.1" customHeight="1" x14ac:dyDescent="0.25">
      <c r="B47" s="24" t="s">
        <v>74</v>
      </c>
      <c r="C47" s="50">
        <v>34</v>
      </c>
      <c r="D47" s="50">
        <v>11</v>
      </c>
      <c r="E47" s="50">
        <v>9</v>
      </c>
      <c r="F47" s="50">
        <v>95</v>
      </c>
      <c r="G47" s="50">
        <v>1</v>
      </c>
      <c r="H47" s="50">
        <v>0</v>
      </c>
      <c r="I47" s="50">
        <v>4</v>
      </c>
      <c r="J47" s="50">
        <v>3</v>
      </c>
      <c r="K47" s="50">
        <v>3</v>
      </c>
      <c r="L47" s="50">
        <v>2</v>
      </c>
      <c r="M47" s="50">
        <v>152</v>
      </c>
      <c r="N47" s="50">
        <v>0</v>
      </c>
      <c r="O47" s="15">
        <f t="shared" si="0"/>
        <v>162</v>
      </c>
      <c r="P47" s="15">
        <f t="shared" si="1"/>
        <v>314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18</v>
      </c>
      <c r="E48" s="50">
        <v>12</v>
      </c>
      <c r="F48" s="50">
        <v>37</v>
      </c>
      <c r="G48" s="50">
        <v>1</v>
      </c>
      <c r="H48" s="50">
        <v>1</v>
      </c>
      <c r="I48" s="50">
        <v>9</v>
      </c>
      <c r="J48" s="50">
        <v>6</v>
      </c>
      <c r="K48" s="50">
        <v>1</v>
      </c>
      <c r="L48" s="50">
        <v>1</v>
      </c>
      <c r="M48" s="50">
        <v>237</v>
      </c>
      <c r="N48" s="50">
        <v>0</v>
      </c>
      <c r="O48" s="15">
        <f t="shared" si="0"/>
        <v>136</v>
      </c>
      <c r="P48" s="15">
        <f t="shared" si="1"/>
        <v>373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15</v>
      </c>
      <c r="E49" s="50">
        <v>11</v>
      </c>
      <c r="F49" s="50">
        <v>30</v>
      </c>
      <c r="G49" s="50">
        <v>0</v>
      </c>
      <c r="H49" s="50">
        <v>1</v>
      </c>
      <c r="I49" s="50">
        <v>7</v>
      </c>
      <c r="J49" s="50">
        <v>4</v>
      </c>
      <c r="K49" s="50">
        <v>2</v>
      </c>
      <c r="L49" s="50">
        <v>3</v>
      </c>
      <c r="M49" s="50">
        <v>224</v>
      </c>
      <c r="N49" s="50">
        <v>0</v>
      </c>
      <c r="O49" s="15">
        <f t="shared" si="0"/>
        <v>108</v>
      </c>
      <c r="P49" s="15">
        <f t="shared" si="1"/>
        <v>332</v>
      </c>
      <c r="R49" s="8"/>
      <c r="T49"/>
    </row>
    <row r="50" spans="2:20" ht="23.1" customHeight="1" x14ac:dyDescent="0.25">
      <c r="B50" s="24" t="s">
        <v>77</v>
      </c>
      <c r="C50" s="50">
        <v>30</v>
      </c>
      <c r="D50" s="50">
        <v>11</v>
      </c>
      <c r="E50" s="50">
        <v>8</v>
      </c>
      <c r="F50" s="50">
        <v>50</v>
      </c>
      <c r="G50" s="50">
        <v>1</v>
      </c>
      <c r="H50" s="50">
        <v>0</v>
      </c>
      <c r="I50" s="50">
        <v>2</v>
      </c>
      <c r="J50" s="50">
        <v>3</v>
      </c>
      <c r="K50" s="50">
        <v>0</v>
      </c>
      <c r="L50" s="50">
        <v>2</v>
      </c>
      <c r="M50" s="50">
        <v>220</v>
      </c>
      <c r="N50" s="50">
        <v>0</v>
      </c>
      <c r="O50" s="15">
        <f t="shared" si="0"/>
        <v>107</v>
      </c>
      <c r="P50" s="15">
        <f t="shared" si="1"/>
        <v>327</v>
      </c>
      <c r="R50" s="8"/>
      <c r="T50"/>
    </row>
    <row r="51" spans="2:20" ht="23.1" customHeight="1" x14ac:dyDescent="0.25">
      <c r="B51" s="24" t="s">
        <v>78</v>
      </c>
      <c r="C51" s="50">
        <v>45</v>
      </c>
      <c r="D51" s="50">
        <v>8</v>
      </c>
      <c r="E51" s="50">
        <v>13</v>
      </c>
      <c r="F51" s="50">
        <v>35</v>
      </c>
      <c r="G51" s="50">
        <v>1</v>
      </c>
      <c r="H51" s="50">
        <v>0</v>
      </c>
      <c r="I51" s="50">
        <v>5</v>
      </c>
      <c r="J51" s="50">
        <v>1</v>
      </c>
      <c r="K51" s="50">
        <v>3</v>
      </c>
      <c r="L51" s="50">
        <v>2</v>
      </c>
      <c r="M51" s="50">
        <v>160</v>
      </c>
      <c r="N51" s="50">
        <v>0</v>
      </c>
      <c r="O51" s="15">
        <f t="shared" si="0"/>
        <v>113</v>
      </c>
      <c r="P51" s="15">
        <f t="shared" si="1"/>
        <v>273</v>
      </c>
      <c r="R51" s="8"/>
      <c r="T51"/>
    </row>
    <row r="52" spans="2:20" ht="23.1" customHeight="1" x14ac:dyDescent="0.25">
      <c r="B52" s="24" t="s">
        <v>79</v>
      </c>
      <c r="C52" s="50">
        <v>53</v>
      </c>
      <c r="D52" s="50">
        <v>12</v>
      </c>
      <c r="E52" s="50">
        <v>15</v>
      </c>
      <c r="F52" s="50">
        <v>41</v>
      </c>
      <c r="G52" s="50">
        <v>0</v>
      </c>
      <c r="H52" s="50">
        <v>1</v>
      </c>
      <c r="I52" s="50">
        <v>7</v>
      </c>
      <c r="J52" s="50">
        <v>2</v>
      </c>
      <c r="K52" s="50">
        <v>4</v>
      </c>
      <c r="L52" s="50">
        <v>1</v>
      </c>
      <c r="M52" s="50">
        <v>237</v>
      </c>
      <c r="N52" s="50">
        <v>0</v>
      </c>
      <c r="O52" s="15">
        <f t="shared" si="0"/>
        <v>136</v>
      </c>
      <c r="P52" s="15">
        <f t="shared" si="1"/>
        <v>373</v>
      </c>
      <c r="R52" s="8"/>
      <c r="T52"/>
    </row>
    <row r="53" spans="2:20" ht="23.1" customHeight="1" x14ac:dyDescent="0.25">
      <c r="B53" s="23" t="s">
        <v>80</v>
      </c>
      <c r="C53" s="50">
        <v>60</v>
      </c>
      <c r="D53" s="50">
        <v>10</v>
      </c>
      <c r="E53" s="50">
        <v>18</v>
      </c>
      <c r="F53" s="50">
        <v>59</v>
      </c>
      <c r="G53" s="50">
        <v>1</v>
      </c>
      <c r="H53" s="50">
        <v>1</v>
      </c>
      <c r="I53" s="50">
        <v>6</v>
      </c>
      <c r="J53" s="50">
        <v>3</v>
      </c>
      <c r="K53" s="50">
        <v>5</v>
      </c>
      <c r="L53" s="50">
        <v>7</v>
      </c>
      <c r="M53" s="50">
        <v>290</v>
      </c>
      <c r="N53" s="50">
        <v>0</v>
      </c>
      <c r="O53" s="15">
        <f t="shared" si="0"/>
        <v>170</v>
      </c>
      <c r="P53" s="15">
        <f t="shared" si="1"/>
        <v>460</v>
      </c>
      <c r="R53" s="8"/>
      <c r="T53"/>
    </row>
    <row r="54" spans="2:20" ht="23.1" customHeight="1" x14ac:dyDescent="0.25">
      <c r="B54" s="23" t="s">
        <v>81</v>
      </c>
      <c r="C54" s="50">
        <v>45</v>
      </c>
      <c r="D54" s="50">
        <v>18</v>
      </c>
      <c r="E54" s="50">
        <v>14</v>
      </c>
      <c r="F54" s="50">
        <v>86</v>
      </c>
      <c r="G54" s="50">
        <v>1</v>
      </c>
      <c r="H54" s="50">
        <v>0</v>
      </c>
      <c r="I54" s="50">
        <v>15</v>
      </c>
      <c r="J54" s="50">
        <v>3</v>
      </c>
      <c r="K54" s="50">
        <v>1</v>
      </c>
      <c r="L54" s="50">
        <v>1</v>
      </c>
      <c r="M54" s="50">
        <v>200</v>
      </c>
      <c r="N54" s="50">
        <v>0</v>
      </c>
      <c r="O54" s="15">
        <f t="shared" si="0"/>
        <v>184</v>
      </c>
      <c r="P54" s="15">
        <f t="shared" si="1"/>
        <v>384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10</v>
      </c>
      <c r="E55" s="50">
        <v>18</v>
      </c>
      <c r="F55" s="50">
        <v>49</v>
      </c>
      <c r="G55" s="50">
        <v>2</v>
      </c>
      <c r="H55" s="50">
        <v>0</v>
      </c>
      <c r="I55" s="50">
        <v>6</v>
      </c>
      <c r="J55" s="50">
        <v>1</v>
      </c>
      <c r="K55" s="50">
        <v>3</v>
      </c>
      <c r="L55" s="50">
        <v>6</v>
      </c>
      <c r="M55" s="50">
        <v>165</v>
      </c>
      <c r="N55" s="50">
        <v>0</v>
      </c>
      <c r="O55" s="15">
        <f t="shared" si="0"/>
        <v>155</v>
      </c>
      <c r="P55" s="15">
        <f t="shared" si="1"/>
        <v>320</v>
      </c>
      <c r="R55" s="8"/>
      <c r="T55"/>
    </row>
    <row r="56" spans="2:20" ht="23.1" customHeight="1" x14ac:dyDescent="0.25">
      <c r="B56" s="23" t="s">
        <v>83</v>
      </c>
      <c r="C56" s="50">
        <v>48</v>
      </c>
      <c r="D56" s="50">
        <v>8</v>
      </c>
      <c r="E56" s="50">
        <v>12</v>
      </c>
      <c r="F56" s="50">
        <v>43</v>
      </c>
      <c r="G56" s="50">
        <v>1</v>
      </c>
      <c r="H56" s="50">
        <v>2</v>
      </c>
      <c r="I56" s="50">
        <v>3</v>
      </c>
      <c r="J56" s="50">
        <v>7</v>
      </c>
      <c r="K56" s="50">
        <v>1</v>
      </c>
      <c r="L56" s="50">
        <v>3</v>
      </c>
      <c r="M56" s="50">
        <v>195</v>
      </c>
      <c r="N56" s="50">
        <v>0</v>
      </c>
      <c r="O56" s="15">
        <f t="shared" si="0"/>
        <v>128</v>
      </c>
      <c r="P56" s="15">
        <f t="shared" si="1"/>
        <v>323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6</v>
      </c>
      <c r="E57" s="50">
        <v>8</v>
      </c>
      <c r="F57" s="50">
        <v>30</v>
      </c>
      <c r="G57" s="50">
        <v>2</v>
      </c>
      <c r="H57" s="50">
        <v>0</v>
      </c>
      <c r="I57" s="50">
        <v>4</v>
      </c>
      <c r="J57" s="50">
        <v>5</v>
      </c>
      <c r="K57" s="50">
        <v>1</v>
      </c>
      <c r="L57" s="50">
        <v>2</v>
      </c>
      <c r="M57" s="50">
        <v>185</v>
      </c>
      <c r="N57" s="50">
        <v>0</v>
      </c>
      <c r="O57" s="15">
        <f t="shared" si="0"/>
        <v>93</v>
      </c>
      <c r="P57" s="15">
        <f t="shared" si="1"/>
        <v>278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1959</v>
      </c>
      <c r="D58" s="16">
        <f t="shared" si="21"/>
        <v>605</v>
      </c>
      <c r="E58" s="16">
        <f t="shared" si="21"/>
        <v>486</v>
      </c>
      <c r="F58" s="16">
        <f t="shared" si="21"/>
        <v>3671</v>
      </c>
      <c r="G58" s="16">
        <f t="shared" si="21"/>
        <v>50</v>
      </c>
      <c r="H58" s="16">
        <f t="shared" si="21"/>
        <v>9</v>
      </c>
      <c r="I58" s="16">
        <f t="shared" si="21"/>
        <v>219</v>
      </c>
      <c r="J58" s="16">
        <f t="shared" si="21"/>
        <v>116</v>
      </c>
      <c r="K58" s="16">
        <f t="shared" si="21"/>
        <v>82</v>
      </c>
      <c r="L58" s="16">
        <f t="shared" si="21"/>
        <v>100</v>
      </c>
      <c r="M58" s="16">
        <f t="shared" si="21"/>
        <v>9714</v>
      </c>
      <c r="N58" s="16">
        <f t="shared" si="21"/>
        <v>5</v>
      </c>
      <c r="O58" s="16">
        <f t="shared" si="21"/>
        <v>7302</v>
      </c>
      <c r="P58" s="16">
        <f t="shared" si="21"/>
        <v>17016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0.11512693935119887</v>
      </c>
      <c r="D59" s="43">
        <f t="shared" si="22"/>
        <v>3.5554771979313587E-2</v>
      </c>
      <c r="E59" s="43">
        <f t="shared" si="22"/>
        <v>2.8561354019746122E-2</v>
      </c>
      <c r="F59" s="43">
        <f t="shared" si="22"/>
        <v>0.21573812881993418</v>
      </c>
      <c r="G59" s="43">
        <f t="shared" si="22"/>
        <v>2.9384109073812884E-3</v>
      </c>
      <c r="H59" s="43">
        <f t="shared" si="22"/>
        <v>5.2891396332863192E-4</v>
      </c>
      <c r="I59" s="43">
        <f t="shared" si="22"/>
        <v>1.2870239774330043E-2</v>
      </c>
      <c r="J59" s="43">
        <f t="shared" si="22"/>
        <v>6.8171133051245884E-3</v>
      </c>
      <c r="K59" s="43">
        <f t="shared" si="22"/>
        <v>4.818993888105313E-3</v>
      </c>
      <c r="L59" s="43">
        <f t="shared" si="22"/>
        <v>5.8768218147625768E-3</v>
      </c>
      <c r="M59" s="43">
        <f t="shared" si="22"/>
        <v>0.57087447108603662</v>
      </c>
      <c r="N59" s="43">
        <f t="shared" si="22"/>
        <v>2.938410907381288E-4</v>
      </c>
      <c r="R59" s="8"/>
      <c r="T59"/>
    </row>
    <row r="60" spans="2:20" ht="23.1" customHeight="1" x14ac:dyDescent="0.25">
      <c r="B60" s="42" t="s">
        <v>94</v>
      </c>
      <c r="C60" s="44">
        <f>C58/$O$58</f>
        <v>0.2682826622843057</v>
      </c>
      <c r="D60" s="44">
        <f t="shared" ref="D60:N60" si="23">D58/$O$58</f>
        <v>8.285401259928786E-2</v>
      </c>
      <c r="E60" s="44">
        <f t="shared" si="23"/>
        <v>6.6557107641741983E-2</v>
      </c>
      <c r="F60" s="44">
        <f t="shared" si="23"/>
        <v>0.50273897562311698</v>
      </c>
      <c r="G60" s="44">
        <f t="shared" si="23"/>
        <v>6.8474390577923858E-3</v>
      </c>
      <c r="H60" s="44">
        <f t="shared" si="23"/>
        <v>1.2325390304026294E-3</v>
      </c>
      <c r="I60" s="44">
        <f t="shared" si="23"/>
        <v>2.9991783073130648E-2</v>
      </c>
      <c r="J60" s="44">
        <f t="shared" si="23"/>
        <v>1.5886058614078335E-2</v>
      </c>
      <c r="K60" s="44">
        <f t="shared" si="23"/>
        <v>1.1229800054779512E-2</v>
      </c>
      <c r="L60" s="44">
        <f t="shared" si="23"/>
        <v>1.3694878115584772E-2</v>
      </c>
      <c r="M60" s="44"/>
      <c r="N60" s="44">
        <f t="shared" si="23"/>
        <v>6.8474390577923853E-4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26"/>
  <sheetViews>
    <sheetView view="pageBreakPreview" zoomScale="60" workbookViewId="0">
      <selection activeCell="C4" sqref="C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'04.08 Nsambya-ClockTower'!C3:G3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2" t="s">
        <v>162</v>
      </c>
      <c r="E5" s="63"/>
      <c r="F5" s="41" t="s">
        <v>1</v>
      </c>
      <c r="G5" s="60" t="str">
        <f>'04.08 ClockTower-Nsambya'!G5:H5</f>
        <v>Gapco</v>
      </c>
      <c r="H5" s="61"/>
      <c r="I5" s="14"/>
      <c r="J5" s="2" t="s">
        <v>5</v>
      </c>
      <c r="K5" s="60" t="str">
        <f>'04.08 ClockTower-Nsambya'!K5:L5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'04.08 ClockTower-Nsambya'!D6:E6</f>
        <v>Clock Tower</v>
      </c>
      <c r="E6" s="61"/>
      <c r="F6" s="2" t="s">
        <v>2</v>
      </c>
      <c r="G6" s="60" t="str">
        <f>'04.08 ClockTower-Nsambya'!G6:H6</f>
        <v>Nsambya</v>
      </c>
      <c r="H6" s="61"/>
      <c r="J6" s="2" t="s">
        <v>21</v>
      </c>
      <c r="K6" s="60" t="str">
        <f>'04.08 ClockTower-Nsambya'!K6:L6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ClockTower-Nsambya'!C10,'30.07 ClockTower-Nsambya'!C10,'31.07 ClockTower-Nsambya'!C10,'02.08 ClockTower-Nsambya'!C10,'01.08 ClockTower-Nsambya-24h'!C10,'03.08 ClockTower-Nsambya-24h'!C10,'04.08 ClockTower-Nsambya'!C10)</f>
        <v>51.571428571428569</v>
      </c>
      <c r="D10" s="49">
        <f>AVERAGE('29.07 ClockTower-Nsambya'!D10,'30.07 ClockTower-Nsambya'!D10,'31.07 ClockTower-Nsambya'!D10,'02.08 ClockTower-Nsambya'!D10,'01.08 ClockTower-Nsambya-24h'!D10,'03.08 ClockTower-Nsambya-24h'!D10,'04.08 ClockTower-Nsambya'!D10)</f>
        <v>8.2857142857142865</v>
      </c>
      <c r="E10" s="49">
        <f>AVERAGE('29.07 ClockTower-Nsambya'!E10,'30.07 ClockTower-Nsambya'!E10,'31.07 ClockTower-Nsambya'!E10,'02.08 ClockTower-Nsambya'!E10,'01.08 ClockTower-Nsambya-24h'!E10,'03.08 ClockTower-Nsambya-24h'!E10,'04.08 ClockTower-Nsambya'!E10)</f>
        <v>4</v>
      </c>
      <c r="F10" s="49">
        <f>AVERAGE('29.07 ClockTower-Nsambya'!F10,'30.07 ClockTower-Nsambya'!F10,'31.07 ClockTower-Nsambya'!F10,'02.08 ClockTower-Nsambya'!F10,'01.08 ClockTower-Nsambya-24h'!F10,'03.08 ClockTower-Nsambya-24h'!F10,'04.08 ClockTower-Nsambya'!F10)</f>
        <v>71.142857142857139</v>
      </c>
      <c r="G10" s="49">
        <f>AVERAGE('29.07 ClockTower-Nsambya'!G10,'30.07 ClockTower-Nsambya'!G10,'31.07 ClockTower-Nsambya'!G10,'02.08 ClockTower-Nsambya'!G10,'01.08 ClockTower-Nsambya-24h'!G10,'03.08 ClockTower-Nsambya-24h'!G10,'04.08 ClockTower-Nsambya'!G10)</f>
        <v>3.5714285714285716</v>
      </c>
      <c r="H10" s="49">
        <f>AVERAGE('29.07 ClockTower-Nsambya'!H10,'30.07 ClockTower-Nsambya'!H10,'31.07 ClockTower-Nsambya'!H10,'02.08 ClockTower-Nsambya'!H10,'01.08 ClockTower-Nsambya-24h'!H10,'03.08 ClockTower-Nsambya-24h'!H10,'04.08 ClockTower-Nsambya'!H10)</f>
        <v>1</v>
      </c>
      <c r="I10" s="49">
        <f>AVERAGE('29.07 ClockTower-Nsambya'!I10,'30.07 ClockTower-Nsambya'!I10,'31.07 ClockTower-Nsambya'!I10,'02.08 ClockTower-Nsambya'!I10,'01.08 ClockTower-Nsambya-24h'!I10,'03.08 ClockTower-Nsambya-24h'!I10,'04.08 ClockTower-Nsambya'!I10)</f>
        <v>4.5714285714285712</v>
      </c>
      <c r="J10" s="49">
        <f>AVERAGE('29.07 ClockTower-Nsambya'!J10,'30.07 ClockTower-Nsambya'!J10,'31.07 ClockTower-Nsambya'!J10,'02.08 ClockTower-Nsambya'!J10,'01.08 ClockTower-Nsambya-24h'!J10,'03.08 ClockTower-Nsambya-24h'!J10,'04.08 ClockTower-Nsambya'!J10)</f>
        <v>2.5714285714285716</v>
      </c>
      <c r="K10" s="49">
        <f>AVERAGE('29.07 ClockTower-Nsambya'!K10,'30.07 ClockTower-Nsambya'!K10,'31.07 ClockTower-Nsambya'!K10,'02.08 ClockTower-Nsambya'!K10,'01.08 ClockTower-Nsambya-24h'!K10,'03.08 ClockTower-Nsambya-24h'!K10,'04.08 ClockTower-Nsambya'!K10)</f>
        <v>1.8571428571428572</v>
      </c>
      <c r="L10" s="49">
        <f>AVERAGE('29.07 ClockTower-Nsambya'!L10,'30.07 ClockTower-Nsambya'!L10,'31.07 ClockTower-Nsambya'!L10,'02.08 ClockTower-Nsambya'!L10,'01.08 ClockTower-Nsambya-24h'!L10,'03.08 ClockTower-Nsambya-24h'!L10,'04.08 ClockTower-Nsambya'!L10)</f>
        <v>2.4285714285714284</v>
      </c>
      <c r="M10" s="49">
        <f>AVERAGE('29.07 ClockTower-Nsambya'!M10,'30.07 ClockTower-Nsambya'!M10,'31.07 ClockTower-Nsambya'!M10,'02.08 ClockTower-Nsambya'!M10,'01.08 ClockTower-Nsambya-24h'!M10,'03.08 ClockTower-Nsambya-24h'!M10,'04.08 ClockTower-Nsambya'!M10)</f>
        <v>489.85714285714283</v>
      </c>
      <c r="N10" s="49">
        <f>AVERAGE('29.07 ClockTower-Nsambya'!N10,'30.07 ClockTower-Nsambya'!N10,'31.07 ClockTower-Nsambya'!N10,'02.08 ClockTower-Nsambya'!N10,'01.08 ClockTower-Nsambya-24h'!N10,'03.08 ClockTower-Nsambya-24h'!N10,'04.08 ClockTower-Nsambya'!N10)</f>
        <v>0</v>
      </c>
      <c r="O10" s="15">
        <f t="shared" ref="O10:O57" si="0">SUM(C10:L10,N10)</f>
        <v>151.00000000000003</v>
      </c>
      <c r="P10" s="15">
        <f t="shared" ref="P10:P57" si="1">SUM(C10:N10)</f>
        <v>640.85714285714289</v>
      </c>
      <c r="R10" s="1" t="s">
        <v>6</v>
      </c>
      <c r="S10" s="17">
        <f t="shared" ref="S10:AF10" si="2">SUM(C10:C13)</f>
        <v>199.28571428571428</v>
      </c>
      <c r="T10" s="17">
        <f t="shared" si="2"/>
        <v>37</v>
      </c>
      <c r="U10" s="17">
        <f t="shared" si="2"/>
        <v>19.428571428571427</v>
      </c>
      <c r="V10" s="17">
        <f t="shared" si="2"/>
        <v>302.71428571428572</v>
      </c>
      <c r="W10" s="17">
        <f t="shared" si="2"/>
        <v>12.285714285714285</v>
      </c>
      <c r="X10" s="17">
        <f t="shared" si="2"/>
        <v>5.1428571428571432</v>
      </c>
      <c r="Y10" s="17">
        <f t="shared" si="2"/>
        <v>17.142857142857142</v>
      </c>
      <c r="Z10" s="17">
        <f t="shared" si="2"/>
        <v>11.571428571428571</v>
      </c>
      <c r="AA10" s="17">
        <f t="shared" si="2"/>
        <v>8.4285714285714288</v>
      </c>
      <c r="AB10" s="17">
        <f t="shared" si="2"/>
        <v>7.5714285714285712</v>
      </c>
      <c r="AC10" s="17">
        <f t="shared" si="2"/>
        <v>2021.4285714285716</v>
      </c>
      <c r="AD10" s="17">
        <f t="shared" si="2"/>
        <v>1</v>
      </c>
      <c r="AE10" s="31">
        <f t="shared" si="2"/>
        <v>621.57142857142856</v>
      </c>
      <c r="AF10" s="31">
        <f t="shared" si="2"/>
        <v>2643</v>
      </c>
    </row>
    <row r="11" spans="2:32" s="6" customFormat="1" ht="23.1" customHeight="1" x14ac:dyDescent="0.25">
      <c r="B11" s="23" t="s">
        <v>38</v>
      </c>
      <c r="C11" s="49">
        <f>AVERAGE('29.07 ClockTower-Nsambya'!C11,'30.07 ClockTower-Nsambya'!C11,'31.07 ClockTower-Nsambya'!C11,'02.08 ClockTower-Nsambya'!C11,'01.08 ClockTower-Nsambya-24h'!C11,'03.08 ClockTower-Nsambya-24h'!C11,'04.08 ClockTower-Nsambya'!C11)</f>
        <v>43.714285714285715</v>
      </c>
      <c r="D11" s="49">
        <f>AVERAGE('29.07 ClockTower-Nsambya'!D11,'30.07 ClockTower-Nsambya'!D11,'31.07 ClockTower-Nsambya'!D11,'02.08 ClockTower-Nsambya'!D11,'01.08 ClockTower-Nsambya-24h'!D11,'03.08 ClockTower-Nsambya-24h'!D11,'04.08 ClockTower-Nsambya'!D11)</f>
        <v>7.7142857142857144</v>
      </c>
      <c r="E11" s="49">
        <f>AVERAGE('29.07 ClockTower-Nsambya'!E11,'30.07 ClockTower-Nsambya'!E11,'31.07 ClockTower-Nsambya'!E11,'02.08 ClockTower-Nsambya'!E11,'01.08 ClockTower-Nsambya-24h'!E11,'03.08 ClockTower-Nsambya-24h'!E11,'04.08 ClockTower-Nsambya'!E11)</f>
        <v>5.1428571428571432</v>
      </c>
      <c r="F11" s="49">
        <f>AVERAGE('29.07 ClockTower-Nsambya'!F11,'30.07 ClockTower-Nsambya'!F11,'31.07 ClockTower-Nsambya'!F11,'02.08 ClockTower-Nsambya'!F11,'01.08 ClockTower-Nsambya-24h'!F11,'03.08 ClockTower-Nsambya-24h'!F11,'04.08 ClockTower-Nsambya'!F11)</f>
        <v>66.285714285714292</v>
      </c>
      <c r="G11" s="49">
        <f>AVERAGE('29.07 ClockTower-Nsambya'!G11,'30.07 ClockTower-Nsambya'!G11,'31.07 ClockTower-Nsambya'!G11,'02.08 ClockTower-Nsambya'!G11,'01.08 ClockTower-Nsambya-24h'!G11,'03.08 ClockTower-Nsambya-24h'!G11,'04.08 ClockTower-Nsambya'!G11)</f>
        <v>2.2857142857142856</v>
      </c>
      <c r="H11" s="49">
        <f>AVERAGE('29.07 ClockTower-Nsambya'!H11,'30.07 ClockTower-Nsambya'!H11,'31.07 ClockTower-Nsambya'!H11,'02.08 ClockTower-Nsambya'!H11,'01.08 ClockTower-Nsambya-24h'!H11,'03.08 ClockTower-Nsambya-24h'!H11,'04.08 ClockTower-Nsambya'!H11)</f>
        <v>1.2857142857142858</v>
      </c>
      <c r="I11" s="49">
        <f>AVERAGE('29.07 ClockTower-Nsambya'!I11,'30.07 ClockTower-Nsambya'!I11,'31.07 ClockTower-Nsambya'!I11,'02.08 ClockTower-Nsambya'!I11,'01.08 ClockTower-Nsambya-24h'!I11,'03.08 ClockTower-Nsambya-24h'!I11,'04.08 ClockTower-Nsambya'!I11)</f>
        <v>3.2857142857142856</v>
      </c>
      <c r="J11" s="49">
        <f>AVERAGE('29.07 ClockTower-Nsambya'!J11,'30.07 ClockTower-Nsambya'!J11,'31.07 ClockTower-Nsambya'!J11,'02.08 ClockTower-Nsambya'!J11,'01.08 ClockTower-Nsambya-24h'!J11,'03.08 ClockTower-Nsambya-24h'!J11,'04.08 ClockTower-Nsambya'!J11)</f>
        <v>1.4285714285714286</v>
      </c>
      <c r="K11" s="49">
        <f>AVERAGE('29.07 ClockTower-Nsambya'!K11,'30.07 ClockTower-Nsambya'!K11,'31.07 ClockTower-Nsambya'!K11,'02.08 ClockTower-Nsambya'!K11,'01.08 ClockTower-Nsambya-24h'!K11,'03.08 ClockTower-Nsambya-24h'!K11,'04.08 ClockTower-Nsambya'!K11)</f>
        <v>2.1428571428571428</v>
      </c>
      <c r="L11" s="49">
        <f>AVERAGE('29.07 ClockTower-Nsambya'!L11,'30.07 ClockTower-Nsambya'!L11,'31.07 ClockTower-Nsambya'!L11,'02.08 ClockTower-Nsambya'!L11,'01.08 ClockTower-Nsambya-24h'!L11,'03.08 ClockTower-Nsambya-24h'!L11,'04.08 ClockTower-Nsambya'!L11)</f>
        <v>3.1428571428571428</v>
      </c>
      <c r="M11" s="49">
        <f>AVERAGE('29.07 ClockTower-Nsambya'!M11,'30.07 ClockTower-Nsambya'!M11,'31.07 ClockTower-Nsambya'!M11,'02.08 ClockTower-Nsambya'!M11,'01.08 ClockTower-Nsambya-24h'!M11,'03.08 ClockTower-Nsambya-24h'!M11,'04.08 ClockTower-Nsambya'!M11)</f>
        <v>502.14285714285717</v>
      </c>
      <c r="N11" s="49">
        <f>AVERAGE('29.07 ClockTower-Nsambya'!N11,'30.07 ClockTower-Nsambya'!N11,'31.07 ClockTower-Nsambya'!N11,'02.08 ClockTower-Nsambya'!N11,'01.08 ClockTower-Nsambya-24h'!N11,'03.08 ClockTower-Nsambya-24h'!N11,'04.08 ClockTower-Nsambya'!N11)</f>
        <v>0.14285714285714285</v>
      </c>
      <c r="O11" s="15">
        <f t="shared" si="0"/>
        <v>136.57142857142856</v>
      </c>
      <c r="P11" s="15">
        <f t="shared" si="1"/>
        <v>638.71428571428567</v>
      </c>
      <c r="R11" s="1" t="s">
        <v>7</v>
      </c>
      <c r="S11" s="17">
        <f t="shared" ref="S11:AF11" si="3">SUM(C14:C17)</f>
        <v>186.57142857142856</v>
      </c>
      <c r="T11" s="17">
        <f t="shared" si="3"/>
        <v>37.428571428571431</v>
      </c>
      <c r="U11" s="17">
        <f t="shared" si="3"/>
        <v>20.142857142857146</v>
      </c>
      <c r="V11" s="17">
        <f t="shared" si="3"/>
        <v>313</v>
      </c>
      <c r="W11" s="17">
        <f t="shared" si="3"/>
        <v>7.8571428571428559</v>
      </c>
      <c r="X11" s="17">
        <f t="shared" si="3"/>
        <v>3.1428571428571428</v>
      </c>
      <c r="Y11" s="17">
        <f t="shared" si="3"/>
        <v>14.714285714285714</v>
      </c>
      <c r="Z11" s="17">
        <f t="shared" si="3"/>
        <v>12.999999999999998</v>
      </c>
      <c r="AA11" s="17">
        <f t="shared" si="3"/>
        <v>9.4285714285714288</v>
      </c>
      <c r="AB11" s="17">
        <f t="shared" si="3"/>
        <v>7.8571428571428568</v>
      </c>
      <c r="AC11" s="17">
        <f t="shared" si="3"/>
        <v>1664.4285714285713</v>
      </c>
      <c r="AD11" s="17">
        <f t="shared" si="3"/>
        <v>0.8571428571428571</v>
      </c>
      <c r="AE11" s="31">
        <f t="shared" si="3"/>
        <v>613.99999999999989</v>
      </c>
      <c r="AF11" s="31">
        <f t="shared" si="3"/>
        <v>2278.4285714285716</v>
      </c>
    </row>
    <row r="12" spans="2:32" ht="23.1" customHeight="1" x14ac:dyDescent="0.25">
      <c r="B12" s="23" t="s">
        <v>39</v>
      </c>
      <c r="C12" s="49">
        <f>AVERAGE('29.07 ClockTower-Nsambya'!C12,'30.07 ClockTower-Nsambya'!C12,'31.07 ClockTower-Nsambya'!C12,'02.08 ClockTower-Nsambya'!C12,'01.08 ClockTower-Nsambya-24h'!C12,'03.08 ClockTower-Nsambya-24h'!C12,'04.08 ClockTower-Nsambya'!C12)</f>
        <v>53.857142857142854</v>
      </c>
      <c r="D12" s="49">
        <f>AVERAGE('29.07 ClockTower-Nsambya'!D12,'30.07 ClockTower-Nsambya'!D12,'31.07 ClockTower-Nsambya'!D12,'02.08 ClockTower-Nsambya'!D12,'01.08 ClockTower-Nsambya-24h'!D12,'03.08 ClockTower-Nsambya-24h'!D12,'04.08 ClockTower-Nsambya'!D12)</f>
        <v>9.4285714285714288</v>
      </c>
      <c r="E12" s="49">
        <f>AVERAGE('29.07 ClockTower-Nsambya'!E12,'30.07 ClockTower-Nsambya'!E12,'31.07 ClockTower-Nsambya'!E12,'02.08 ClockTower-Nsambya'!E12,'01.08 ClockTower-Nsambya-24h'!E12,'03.08 ClockTower-Nsambya-24h'!E12,'04.08 ClockTower-Nsambya'!E12)</f>
        <v>5</v>
      </c>
      <c r="F12" s="49">
        <f>AVERAGE('29.07 ClockTower-Nsambya'!F12,'30.07 ClockTower-Nsambya'!F12,'31.07 ClockTower-Nsambya'!F12,'02.08 ClockTower-Nsambya'!F12,'01.08 ClockTower-Nsambya-24h'!F12,'03.08 ClockTower-Nsambya-24h'!F12,'04.08 ClockTower-Nsambya'!F12)</f>
        <v>79.857142857142861</v>
      </c>
      <c r="G12" s="49">
        <f>AVERAGE('29.07 ClockTower-Nsambya'!G12,'30.07 ClockTower-Nsambya'!G12,'31.07 ClockTower-Nsambya'!G12,'02.08 ClockTower-Nsambya'!G12,'01.08 ClockTower-Nsambya-24h'!G12,'03.08 ClockTower-Nsambya-24h'!G12,'04.08 ClockTower-Nsambya'!G12)</f>
        <v>4.2857142857142856</v>
      </c>
      <c r="H12" s="49">
        <f>AVERAGE('29.07 ClockTower-Nsambya'!H12,'30.07 ClockTower-Nsambya'!H12,'31.07 ClockTower-Nsambya'!H12,'02.08 ClockTower-Nsambya'!H12,'01.08 ClockTower-Nsambya-24h'!H12,'03.08 ClockTower-Nsambya-24h'!H12,'04.08 ClockTower-Nsambya'!H12)</f>
        <v>1.4285714285714286</v>
      </c>
      <c r="I12" s="49">
        <f>AVERAGE('29.07 ClockTower-Nsambya'!I12,'30.07 ClockTower-Nsambya'!I12,'31.07 ClockTower-Nsambya'!I12,'02.08 ClockTower-Nsambya'!I12,'01.08 ClockTower-Nsambya-24h'!I12,'03.08 ClockTower-Nsambya-24h'!I12,'04.08 ClockTower-Nsambya'!I12)</f>
        <v>3</v>
      </c>
      <c r="J12" s="49">
        <f>AVERAGE('29.07 ClockTower-Nsambya'!J12,'30.07 ClockTower-Nsambya'!J12,'31.07 ClockTower-Nsambya'!J12,'02.08 ClockTower-Nsambya'!J12,'01.08 ClockTower-Nsambya-24h'!J12,'03.08 ClockTower-Nsambya-24h'!J12,'04.08 ClockTower-Nsambya'!J12)</f>
        <v>2.2857142857142856</v>
      </c>
      <c r="K12" s="49">
        <f>AVERAGE('29.07 ClockTower-Nsambya'!K12,'30.07 ClockTower-Nsambya'!K12,'31.07 ClockTower-Nsambya'!K12,'02.08 ClockTower-Nsambya'!K12,'01.08 ClockTower-Nsambya-24h'!K12,'03.08 ClockTower-Nsambya-24h'!K12,'04.08 ClockTower-Nsambya'!K12)</f>
        <v>2.5714285714285716</v>
      </c>
      <c r="L12" s="49">
        <f>AVERAGE('29.07 ClockTower-Nsambya'!L12,'30.07 ClockTower-Nsambya'!L12,'31.07 ClockTower-Nsambya'!L12,'02.08 ClockTower-Nsambya'!L12,'01.08 ClockTower-Nsambya-24h'!L12,'03.08 ClockTower-Nsambya-24h'!L12,'04.08 ClockTower-Nsambya'!L12)</f>
        <v>1</v>
      </c>
      <c r="M12" s="49">
        <f>AVERAGE('29.07 ClockTower-Nsambya'!M12,'30.07 ClockTower-Nsambya'!M12,'31.07 ClockTower-Nsambya'!M12,'02.08 ClockTower-Nsambya'!M12,'01.08 ClockTower-Nsambya-24h'!M12,'03.08 ClockTower-Nsambya-24h'!M12,'04.08 ClockTower-Nsambya'!M12)</f>
        <v>505.14285714285717</v>
      </c>
      <c r="N12" s="49">
        <f>AVERAGE('29.07 ClockTower-Nsambya'!N12,'30.07 ClockTower-Nsambya'!N12,'31.07 ClockTower-Nsambya'!N12,'02.08 ClockTower-Nsambya'!N12,'01.08 ClockTower-Nsambya-24h'!N12,'03.08 ClockTower-Nsambya-24h'!N12,'04.08 ClockTower-Nsambya'!N12)</f>
        <v>0.2857142857142857</v>
      </c>
      <c r="O12" s="15">
        <f t="shared" si="0"/>
        <v>162.99999999999997</v>
      </c>
      <c r="P12" s="15">
        <f t="shared" si="1"/>
        <v>668.14285714285722</v>
      </c>
      <c r="R12" s="1" t="s">
        <v>8</v>
      </c>
      <c r="S12" s="17">
        <f t="shared" ref="S12:AF12" si="4">SUM(C18:C21)</f>
        <v>177.42857142857144</v>
      </c>
      <c r="T12" s="17">
        <f t="shared" si="4"/>
        <v>38.428571428571431</v>
      </c>
      <c r="U12" s="17">
        <f t="shared" si="4"/>
        <v>22</v>
      </c>
      <c r="V12" s="17">
        <f t="shared" si="4"/>
        <v>238.42857142857142</v>
      </c>
      <c r="W12" s="17">
        <f t="shared" si="4"/>
        <v>8.2857142857142847</v>
      </c>
      <c r="X12" s="17">
        <f t="shared" si="4"/>
        <v>2.2857142857142856</v>
      </c>
      <c r="Y12" s="17">
        <f t="shared" si="4"/>
        <v>24</v>
      </c>
      <c r="Z12" s="17">
        <f t="shared" si="4"/>
        <v>16.857142857142858</v>
      </c>
      <c r="AA12" s="17">
        <f t="shared" si="4"/>
        <v>9.4285714285714288</v>
      </c>
      <c r="AB12" s="17">
        <f t="shared" si="4"/>
        <v>8.4285714285714288</v>
      </c>
      <c r="AC12" s="17">
        <f t="shared" si="4"/>
        <v>1590.7142857142856</v>
      </c>
      <c r="AD12" s="17">
        <f t="shared" si="4"/>
        <v>1.857142857142857</v>
      </c>
      <c r="AE12" s="31">
        <f t="shared" si="4"/>
        <v>547.42857142857133</v>
      </c>
      <c r="AF12" s="31">
        <f t="shared" si="4"/>
        <v>2138.1428571428569</v>
      </c>
    </row>
    <row r="13" spans="2:32" ht="23.1" customHeight="1" x14ac:dyDescent="0.25">
      <c r="B13" s="23" t="s">
        <v>40</v>
      </c>
      <c r="C13" s="49">
        <f>AVERAGE('29.07 ClockTower-Nsambya'!C13,'30.07 ClockTower-Nsambya'!C13,'31.07 ClockTower-Nsambya'!C13,'02.08 ClockTower-Nsambya'!C13,'01.08 ClockTower-Nsambya-24h'!C13,'03.08 ClockTower-Nsambya-24h'!C13,'04.08 ClockTower-Nsambya'!C13)</f>
        <v>50.142857142857146</v>
      </c>
      <c r="D13" s="49">
        <f>AVERAGE('29.07 ClockTower-Nsambya'!D13,'30.07 ClockTower-Nsambya'!D13,'31.07 ClockTower-Nsambya'!D13,'02.08 ClockTower-Nsambya'!D13,'01.08 ClockTower-Nsambya-24h'!D13,'03.08 ClockTower-Nsambya-24h'!D13,'04.08 ClockTower-Nsambya'!D13)</f>
        <v>11.571428571428571</v>
      </c>
      <c r="E13" s="49">
        <f>AVERAGE('29.07 ClockTower-Nsambya'!E13,'30.07 ClockTower-Nsambya'!E13,'31.07 ClockTower-Nsambya'!E13,'02.08 ClockTower-Nsambya'!E13,'01.08 ClockTower-Nsambya-24h'!E13,'03.08 ClockTower-Nsambya-24h'!E13,'04.08 ClockTower-Nsambya'!E13)</f>
        <v>5.2857142857142856</v>
      </c>
      <c r="F13" s="49">
        <f>AVERAGE('29.07 ClockTower-Nsambya'!F13,'30.07 ClockTower-Nsambya'!F13,'31.07 ClockTower-Nsambya'!F13,'02.08 ClockTower-Nsambya'!F13,'01.08 ClockTower-Nsambya-24h'!F13,'03.08 ClockTower-Nsambya-24h'!F13,'04.08 ClockTower-Nsambya'!F13)</f>
        <v>85.428571428571431</v>
      </c>
      <c r="G13" s="49">
        <f>AVERAGE('29.07 ClockTower-Nsambya'!G13,'30.07 ClockTower-Nsambya'!G13,'31.07 ClockTower-Nsambya'!G13,'02.08 ClockTower-Nsambya'!G13,'01.08 ClockTower-Nsambya-24h'!G13,'03.08 ClockTower-Nsambya-24h'!G13,'04.08 ClockTower-Nsambya'!G13)</f>
        <v>2.1428571428571428</v>
      </c>
      <c r="H13" s="49">
        <f>AVERAGE('29.07 ClockTower-Nsambya'!H13,'30.07 ClockTower-Nsambya'!H13,'31.07 ClockTower-Nsambya'!H13,'02.08 ClockTower-Nsambya'!H13,'01.08 ClockTower-Nsambya-24h'!H13,'03.08 ClockTower-Nsambya-24h'!H13,'04.08 ClockTower-Nsambya'!H13)</f>
        <v>1.4285714285714286</v>
      </c>
      <c r="I13" s="49">
        <f>AVERAGE('29.07 ClockTower-Nsambya'!I13,'30.07 ClockTower-Nsambya'!I13,'31.07 ClockTower-Nsambya'!I13,'02.08 ClockTower-Nsambya'!I13,'01.08 ClockTower-Nsambya-24h'!I13,'03.08 ClockTower-Nsambya-24h'!I13,'04.08 ClockTower-Nsambya'!I13)</f>
        <v>6.2857142857142856</v>
      </c>
      <c r="J13" s="49">
        <f>AVERAGE('29.07 ClockTower-Nsambya'!J13,'30.07 ClockTower-Nsambya'!J13,'31.07 ClockTower-Nsambya'!J13,'02.08 ClockTower-Nsambya'!J13,'01.08 ClockTower-Nsambya-24h'!J13,'03.08 ClockTower-Nsambya-24h'!J13,'04.08 ClockTower-Nsambya'!J13)</f>
        <v>5.2857142857142856</v>
      </c>
      <c r="K13" s="49">
        <f>AVERAGE('29.07 ClockTower-Nsambya'!K13,'30.07 ClockTower-Nsambya'!K13,'31.07 ClockTower-Nsambya'!K13,'02.08 ClockTower-Nsambya'!K13,'01.08 ClockTower-Nsambya-24h'!K13,'03.08 ClockTower-Nsambya-24h'!K13,'04.08 ClockTower-Nsambya'!K13)</f>
        <v>1.8571428571428572</v>
      </c>
      <c r="L13" s="49">
        <f>AVERAGE('29.07 ClockTower-Nsambya'!L13,'30.07 ClockTower-Nsambya'!L13,'31.07 ClockTower-Nsambya'!L13,'02.08 ClockTower-Nsambya'!L13,'01.08 ClockTower-Nsambya-24h'!L13,'03.08 ClockTower-Nsambya-24h'!L13,'04.08 ClockTower-Nsambya'!L13)</f>
        <v>1</v>
      </c>
      <c r="M13" s="49">
        <f>AVERAGE('29.07 ClockTower-Nsambya'!M13,'30.07 ClockTower-Nsambya'!M13,'31.07 ClockTower-Nsambya'!M13,'02.08 ClockTower-Nsambya'!M13,'01.08 ClockTower-Nsambya-24h'!M13,'03.08 ClockTower-Nsambya-24h'!M13,'04.08 ClockTower-Nsambya'!M13)</f>
        <v>524.28571428571433</v>
      </c>
      <c r="N13" s="49">
        <f>AVERAGE('29.07 ClockTower-Nsambya'!N13,'30.07 ClockTower-Nsambya'!N13,'31.07 ClockTower-Nsambya'!N13,'02.08 ClockTower-Nsambya'!N13,'01.08 ClockTower-Nsambya-24h'!N13,'03.08 ClockTower-Nsambya-24h'!N13,'04.08 ClockTower-Nsambya'!N13)</f>
        <v>0.5714285714285714</v>
      </c>
      <c r="O13" s="15">
        <f t="shared" si="0"/>
        <v>171</v>
      </c>
      <c r="P13" s="15">
        <f t="shared" si="1"/>
        <v>695.28571428571433</v>
      </c>
      <c r="R13" s="1" t="s">
        <v>9</v>
      </c>
      <c r="S13" s="17">
        <f t="shared" ref="S13:AF13" si="5">SUM(C22:C25)</f>
        <v>186.57142857142856</v>
      </c>
      <c r="T13" s="17">
        <f t="shared" si="5"/>
        <v>35.285714285714285</v>
      </c>
      <c r="U13" s="17">
        <f t="shared" si="5"/>
        <v>27</v>
      </c>
      <c r="V13" s="17">
        <f t="shared" si="5"/>
        <v>242</v>
      </c>
      <c r="W13" s="17">
        <f t="shared" si="5"/>
        <v>6.1428571428571432</v>
      </c>
      <c r="X13" s="17">
        <f t="shared" si="5"/>
        <v>0.8571428571428571</v>
      </c>
      <c r="Y13" s="17">
        <f t="shared" si="5"/>
        <v>31</v>
      </c>
      <c r="Z13" s="17">
        <f t="shared" si="5"/>
        <v>18.285714285714285</v>
      </c>
      <c r="AA13" s="17">
        <f t="shared" si="5"/>
        <v>10.285714285714285</v>
      </c>
      <c r="AB13" s="17">
        <f t="shared" si="5"/>
        <v>13.285714285714285</v>
      </c>
      <c r="AC13" s="17">
        <f t="shared" si="5"/>
        <v>1197.1428571428571</v>
      </c>
      <c r="AD13" s="17">
        <f t="shared" si="5"/>
        <v>0.14285714285714285</v>
      </c>
      <c r="AE13" s="31">
        <f t="shared" si="5"/>
        <v>570.85714285714289</v>
      </c>
      <c r="AF13" s="31">
        <f t="shared" si="5"/>
        <v>1768</v>
      </c>
    </row>
    <row r="14" spans="2:32" ht="23.1" customHeight="1" x14ac:dyDescent="0.25">
      <c r="B14" s="23" t="s">
        <v>41</v>
      </c>
      <c r="C14" s="49">
        <f>AVERAGE('29.07 ClockTower-Nsambya'!C14,'30.07 ClockTower-Nsambya'!C14,'31.07 ClockTower-Nsambya'!C14,'02.08 ClockTower-Nsambya'!C14,'01.08 ClockTower-Nsambya-24h'!C14,'03.08 ClockTower-Nsambya-24h'!C14,'04.08 ClockTower-Nsambya'!C14)</f>
        <v>50.142857142857146</v>
      </c>
      <c r="D14" s="49">
        <f>AVERAGE('29.07 ClockTower-Nsambya'!D14,'30.07 ClockTower-Nsambya'!D14,'31.07 ClockTower-Nsambya'!D14,'02.08 ClockTower-Nsambya'!D14,'01.08 ClockTower-Nsambya-24h'!D14,'03.08 ClockTower-Nsambya-24h'!D14,'04.08 ClockTower-Nsambya'!D14)</f>
        <v>9.8571428571428577</v>
      </c>
      <c r="E14" s="49">
        <f>AVERAGE('29.07 ClockTower-Nsambya'!E14,'30.07 ClockTower-Nsambya'!E14,'31.07 ClockTower-Nsambya'!E14,'02.08 ClockTower-Nsambya'!E14,'01.08 ClockTower-Nsambya-24h'!E14,'03.08 ClockTower-Nsambya-24h'!E14,'04.08 ClockTower-Nsambya'!E14)</f>
        <v>4.2857142857142856</v>
      </c>
      <c r="F14" s="49">
        <f>AVERAGE('29.07 ClockTower-Nsambya'!F14,'30.07 ClockTower-Nsambya'!F14,'31.07 ClockTower-Nsambya'!F14,'02.08 ClockTower-Nsambya'!F14,'01.08 ClockTower-Nsambya-24h'!F14,'03.08 ClockTower-Nsambya-24h'!F14,'04.08 ClockTower-Nsambya'!F14)</f>
        <v>78.857142857142861</v>
      </c>
      <c r="G14" s="49">
        <f>AVERAGE('29.07 ClockTower-Nsambya'!G14,'30.07 ClockTower-Nsambya'!G14,'31.07 ClockTower-Nsambya'!G14,'02.08 ClockTower-Nsambya'!G14,'01.08 ClockTower-Nsambya-24h'!G14,'03.08 ClockTower-Nsambya-24h'!G14,'04.08 ClockTower-Nsambya'!G14)</f>
        <v>3</v>
      </c>
      <c r="H14" s="49">
        <f>AVERAGE('29.07 ClockTower-Nsambya'!H14,'30.07 ClockTower-Nsambya'!H14,'31.07 ClockTower-Nsambya'!H14,'02.08 ClockTower-Nsambya'!H14,'01.08 ClockTower-Nsambya-24h'!H14,'03.08 ClockTower-Nsambya-24h'!H14,'04.08 ClockTower-Nsambya'!H14)</f>
        <v>1.1428571428571428</v>
      </c>
      <c r="I14" s="49">
        <f>AVERAGE('29.07 ClockTower-Nsambya'!I14,'30.07 ClockTower-Nsambya'!I14,'31.07 ClockTower-Nsambya'!I14,'02.08 ClockTower-Nsambya'!I14,'01.08 ClockTower-Nsambya-24h'!I14,'03.08 ClockTower-Nsambya-24h'!I14,'04.08 ClockTower-Nsambya'!I14)</f>
        <v>4.2857142857142856</v>
      </c>
      <c r="J14" s="49">
        <f>AVERAGE('29.07 ClockTower-Nsambya'!J14,'30.07 ClockTower-Nsambya'!J14,'31.07 ClockTower-Nsambya'!J14,'02.08 ClockTower-Nsambya'!J14,'01.08 ClockTower-Nsambya-24h'!J14,'03.08 ClockTower-Nsambya-24h'!J14,'04.08 ClockTower-Nsambya'!J14)</f>
        <v>3.4285714285714284</v>
      </c>
      <c r="K14" s="49">
        <f>AVERAGE('29.07 ClockTower-Nsambya'!K14,'30.07 ClockTower-Nsambya'!K14,'31.07 ClockTower-Nsambya'!K14,'02.08 ClockTower-Nsambya'!K14,'01.08 ClockTower-Nsambya-24h'!K14,'03.08 ClockTower-Nsambya-24h'!K14,'04.08 ClockTower-Nsambya'!K14)</f>
        <v>3.4285714285714284</v>
      </c>
      <c r="L14" s="49">
        <f>AVERAGE('29.07 ClockTower-Nsambya'!L14,'30.07 ClockTower-Nsambya'!L14,'31.07 ClockTower-Nsambya'!L14,'02.08 ClockTower-Nsambya'!L14,'01.08 ClockTower-Nsambya-24h'!L14,'03.08 ClockTower-Nsambya-24h'!L14,'04.08 ClockTower-Nsambya'!L14)</f>
        <v>1.5714285714285714</v>
      </c>
      <c r="M14" s="49">
        <f>AVERAGE('29.07 ClockTower-Nsambya'!M14,'30.07 ClockTower-Nsambya'!M14,'31.07 ClockTower-Nsambya'!M14,'02.08 ClockTower-Nsambya'!M14,'01.08 ClockTower-Nsambya-24h'!M14,'03.08 ClockTower-Nsambya-24h'!M14,'04.08 ClockTower-Nsambya'!M14)</f>
        <v>497.71428571428572</v>
      </c>
      <c r="N14" s="49">
        <f>AVERAGE('29.07 ClockTower-Nsambya'!N14,'30.07 ClockTower-Nsambya'!N14,'31.07 ClockTower-Nsambya'!N14,'02.08 ClockTower-Nsambya'!N14,'01.08 ClockTower-Nsambya-24h'!N14,'03.08 ClockTower-Nsambya-24h'!N14,'04.08 ClockTower-Nsambya'!N14)</f>
        <v>0.2857142857142857</v>
      </c>
      <c r="O14" s="15">
        <f t="shared" si="0"/>
        <v>160.28571428571428</v>
      </c>
      <c r="P14" s="15">
        <f t="shared" si="1"/>
        <v>658.00000000000011</v>
      </c>
      <c r="R14" s="1" t="s">
        <v>10</v>
      </c>
      <c r="S14" s="17">
        <f t="shared" ref="S14:AF14" si="6">SUM(C26:C29)</f>
        <v>200</v>
      </c>
      <c r="T14" s="17">
        <f t="shared" si="6"/>
        <v>64.714285714285722</v>
      </c>
      <c r="U14" s="17">
        <f t="shared" si="6"/>
        <v>33.714285714285715</v>
      </c>
      <c r="V14" s="17">
        <f t="shared" si="6"/>
        <v>195.42857142857144</v>
      </c>
      <c r="W14" s="17">
        <f t="shared" si="6"/>
        <v>3.5714285714285712</v>
      </c>
      <c r="X14" s="17">
        <f t="shared" si="6"/>
        <v>0.71428571428571419</v>
      </c>
      <c r="Y14" s="17">
        <f t="shared" si="6"/>
        <v>20.857142857142854</v>
      </c>
      <c r="Z14" s="17">
        <f t="shared" si="6"/>
        <v>19.857142857142858</v>
      </c>
      <c r="AA14" s="17">
        <f t="shared" si="6"/>
        <v>9.2857142857142865</v>
      </c>
      <c r="AB14" s="17">
        <f t="shared" si="6"/>
        <v>12.714285714285715</v>
      </c>
      <c r="AC14" s="17">
        <f t="shared" si="6"/>
        <v>1431.7142857142858</v>
      </c>
      <c r="AD14" s="17">
        <f t="shared" si="6"/>
        <v>0.42857142857142855</v>
      </c>
      <c r="AE14" s="31">
        <f t="shared" si="6"/>
        <v>561.28571428571433</v>
      </c>
      <c r="AF14" s="31">
        <f t="shared" si="6"/>
        <v>1993</v>
      </c>
    </row>
    <row r="15" spans="2:32" ht="23.1" customHeight="1" x14ac:dyDescent="0.25">
      <c r="B15" s="23" t="s">
        <v>42</v>
      </c>
      <c r="C15" s="49">
        <f>AVERAGE('29.07 ClockTower-Nsambya'!C15,'30.07 ClockTower-Nsambya'!C15,'31.07 ClockTower-Nsambya'!C15,'02.08 ClockTower-Nsambya'!C15,'01.08 ClockTower-Nsambya-24h'!C15,'03.08 ClockTower-Nsambya-24h'!C15,'04.08 ClockTower-Nsambya'!C15)</f>
        <v>44.285714285714285</v>
      </c>
      <c r="D15" s="49">
        <f>AVERAGE('29.07 ClockTower-Nsambya'!D15,'30.07 ClockTower-Nsambya'!D15,'31.07 ClockTower-Nsambya'!D15,'02.08 ClockTower-Nsambya'!D15,'01.08 ClockTower-Nsambya-24h'!D15,'03.08 ClockTower-Nsambya-24h'!D15,'04.08 ClockTower-Nsambya'!D15)</f>
        <v>7.7142857142857144</v>
      </c>
      <c r="E15" s="49">
        <f>AVERAGE('29.07 ClockTower-Nsambya'!E15,'30.07 ClockTower-Nsambya'!E15,'31.07 ClockTower-Nsambya'!E15,'02.08 ClockTower-Nsambya'!E15,'01.08 ClockTower-Nsambya-24h'!E15,'03.08 ClockTower-Nsambya-24h'!E15,'04.08 ClockTower-Nsambya'!E15)</f>
        <v>4.5714285714285712</v>
      </c>
      <c r="F15" s="49">
        <f>AVERAGE('29.07 ClockTower-Nsambya'!F15,'30.07 ClockTower-Nsambya'!F15,'31.07 ClockTower-Nsambya'!F15,'02.08 ClockTower-Nsambya'!F15,'01.08 ClockTower-Nsambya-24h'!F15,'03.08 ClockTower-Nsambya-24h'!F15,'04.08 ClockTower-Nsambya'!F15)</f>
        <v>77.857142857142861</v>
      </c>
      <c r="G15" s="49">
        <f>AVERAGE('29.07 ClockTower-Nsambya'!G15,'30.07 ClockTower-Nsambya'!G15,'31.07 ClockTower-Nsambya'!G15,'02.08 ClockTower-Nsambya'!G15,'01.08 ClockTower-Nsambya-24h'!G15,'03.08 ClockTower-Nsambya-24h'!G15,'04.08 ClockTower-Nsambya'!G15)</f>
        <v>1.1428571428571428</v>
      </c>
      <c r="H15" s="49">
        <f>AVERAGE('29.07 ClockTower-Nsambya'!H15,'30.07 ClockTower-Nsambya'!H15,'31.07 ClockTower-Nsambya'!H15,'02.08 ClockTower-Nsambya'!H15,'01.08 ClockTower-Nsambya-24h'!H15,'03.08 ClockTower-Nsambya-24h'!H15,'04.08 ClockTower-Nsambya'!H15)</f>
        <v>1.1428571428571428</v>
      </c>
      <c r="I15" s="49">
        <f>AVERAGE('29.07 ClockTower-Nsambya'!I15,'30.07 ClockTower-Nsambya'!I15,'31.07 ClockTower-Nsambya'!I15,'02.08 ClockTower-Nsambya'!I15,'01.08 ClockTower-Nsambya-24h'!I15,'03.08 ClockTower-Nsambya-24h'!I15,'04.08 ClockTower-Nsambya'!I15)</f>
        <v>2.4285714285714284</v>
      </c>
      <c r="J15" s="49">
        <f>AVERAGE('29.07 ClockTower-Nsambya'!J15,'30.07 ClockTower-Nsambya'!J15,'31.07 ClockTower-Nsambya'!J15,'02.08 ClockTower-Nsambya'!J15,'01.08 ClockTower-Nsambya-24h'!J15,'03.08 ClockTower-Nsambya-24h'!J15,'04.08 ClockTower-Nsambya'!J15)</f>
        <v>3.2857142857142856</v>
      </c>
      <c r="K15" s="49">
        <f>AVERAGE('29.07 ClockTower-Nsambya'!K15,'30.07 ClockTower-Nsambya'!K15,'31.07 ClockTower-Nsambya'!K15,'02.08 ClockTower-Nsambya'!K15,'01.08 ClockTower-Nsambya-24h'!K15,'03.08 ClockTower-Nsambya-24h'!K15,'04.08 ClockTower-Nsambya'!K15)</f>
        <v>2.1428571428571428</v>
      </c>
      <c r="L15" s="49">
        <f>AVERAGE('29.07 ClockTower-Nsambya'!L15,'30.07 ClockTower-Nsambya'!L15,'31.07 ClockTower-Nsambya'!L15,'02.08 ClockTower-Nsambya'!L15,'01.08 ClockTower-Nsambya-24h'!L15,'03.08 ClockTower-Nsambya-24h'!L15,'04.08 ClockTower-Nsambya'!L15)</f>
        <v>3.4285714285714284</v>
      </c>
      <c r="M15" s="49">
        <f>AVERAGE('29.07 ClockTower-Nsambya'!M15,'30.07 ClockTower-Nsambya'!M15,'31.07 ClockTower-Nsambya'!M15,'02.08 ClockTower-Nsambya'!M15,'01.08 ClockTower-Nsambya-24h'!M15,'03.08 ClockTower-Nsambya-24h'!M15,'04.08 ClockTower-Nsambya'!M15)</f>
        <v>424.57142857142856</v>
      </c>
      <c r="N15" s="49">
        <f>AVERAGE('29.07 ClockTower-Nsambya'!N15,'30.07 ClockTower-Nsambya'!N15,'31.07 ClockTower-Nsambya'!N15,'02.08 ClockTower-Nsambya'!N15,'01.08 ClockTower-Nsambya-24h'!N15,'03.08 ClockTower-Nsambya-24h'!N15,'04.08 ClockTower-Nsambya'!N15)</f>
        <v>0</v>
      </c>
      <c r="O15" s="15">
        <f t="shared" si="0"/>
        <v>147.99999999999997</v>
      </c>
      <c r="P15" s="15">
        <f t="shared" si="1"/>
        <v>572.57142857142856</v>
      </c>
      <c r="R15" s="1" t="s">
        <v>11</v>
      </c>
      <c r="S15" s="17">
        <f t="shared" ref="S15:AF15" si="7">SUM(C30:C33)</f>
        <v>232.14285714285717</v>
      </c>
      <c r="T15" s="17">
        <f t="shared" si="7"/>
        <v>101.28571428571429</v>
      </c>
      <c r="U15" s="17">
        <f t="shared" si="7"/>
        <v>56.142857142857139</v>
      </c>
      <c r="V15" s="17">
        <f t="shared" si="7"/>
        <v>227.14285714285717</v>
      </c>
      <c r="W15" s="17">
        <f t="shared" si="7"/>
        <v>3.4285714285714288</v>
      </c>
      <c r="X15" s="17">
        <f t="shared" si="7"/>
        <v>1.5714285714285714</v>
      </c>
      <c r="Y15" s="17">
        <f t="shared" si="7"/>
        <v>25.571428571428573</v>
      </c>
      <c r="Z15" s="17">
        <f t="shared" si="7"/>
        <v>18.142857142857142</v>
      </c>
      <c r="AA15" s="17">
        <f t="shared" si="7"/>
        <v>12.428571428571429</v>
      </c>
      <c r="AB15" s="17">
        <f t="shared" si="7"/>
        <v>13.428571428571429</v>
      </c>
      <c r="AC15" s="17">
        <f t="shared" si="7"/>
        <v>1254.7142857142858</v>
      </c>
      <c r="AD15" s="17">
        <f t="shared" si="7"/>
        <v>0.42857142857142855</v>
      </c>
      <c r="AE15" s="31">
        <f t="shared" si="7"/>
        <v>691.71428571428578</v>
      </c>
      <c r="AF15" s="31">
        <f t="shared" si="7"/>
        <v>1946.4285714285716</v>
      </c>
    </row>
    <row r="16" spans="2:32" ht="23.1" customHeight="1" x14ac:dyDescent="0.25">
      <c r="B16" s="23" t="s">
        <v>43</v>
      </c>
      <c r="C16" s="49">
        <f>AVERAGE('29.07 ClockTower-Nsambya'!C16,'30.07 ClockTower-Nsambya'!C16,'31.07 ClockTower-Nsambya'!C16,'02.08 ClockTower-Nsambya'!C16,'01.08 ClockTower-Nsambya-24h'!C16,'03.08 ClockTower-Nsambya-24h'!C16,'04.08 ClockTower-Nsambya'!C16)</f>
        <v>47.857142857142854</v>
      </c>
      <c r="D16" s="49">
        <f>AVERAGE('29.07 ClockTower-Nsambya'!D16,'30.07 ClockTower-Nsambya'!D16,'31.07 ClockTower-Nsambya'!D16,'02.08 ClockTower-Nsambya'!D16,'01.08 ClockTower-Nsambya-24h'!D16,'03.08 ClockTower-Nsambya-24h'!D16,'04.08 ClockTower-Nsambya'!D16)</f>
        <v>12</v>
      </c>
      <c r="E16" s="49">
        <f>AVERAGE('29.07 ClockTower-Nsambya'!E16,'30.07 ClockTower-Nsambya'!E16,'31.07 ClockTower-Nsambya'!E16,'02.08 ClockTower-Nsambya'!E16,'01.08 ClockTower-Nsambya-24h'!E16,'03.08 ClockTower-Nsambya-24h'!E16,'04.08 ClockTower-Nsambya'!E16)</f>
        <v>5.8571428571428568</v>
      </c>
      <c r="F16" s="49">
        <f>AVERAGE('29.07 ClockTower-Nsambya'!F16,'30.07 ClockTower-Nsambya'!F16,'31.07 ClockTower-Nsambya'!F16,'02.08 ClockTower-Nsambya'!F16,'01.08 ClockTower-Nsambya-24h'!F16,'03.08 ClockTower-Nsambya-24h'!F16,'04.08 ClockTower-Nsambya'!F16)</f>
        <v>73.285714285714292</v>
      </c>
      <c r="G16" s="49">
        <f>AVERAGE('29.07 ClockTower-Nsambya'!G16,'30.07 ClockTower-Nsambya'!G16,'31.07 ClockTower-Nsambya'!G16,'02.08 ClockTower-Nsambya'!G16,'01.08 ClockTower-Nsambya-24h'!G16,'03.08 ClockTower-Nsambya-24h'!G16,'04.08 ClockTower-Nsambya'!G16)</f>
        <v>2.1428571428571428</v>
      </c>
      <c r="H16" s="49">
        <f>AVERAGE('29.07 ClockTower-Nsambya'!H16,'30.07 ClockTower-Nsambya'!H16,'31.07 ClockTower-Nsambya'!H16,'02.08 ClockTower-Nsambya'!H16,'01.08 ClockTower-Nsambya-24h'!H16,'03.08 ClockTower-Nsambya-24h'!H16,'04.08 ClockTower-Nsambya'!H16)</f>
        <v>0.14285714285714285</v>
      </c>
      <c r="I16" s="49">
        <f>AVERAGE('29.07 ClockTower-Nsambya'!I16,'30.07 ClockTower-Nsambya'!I16,'31.07 ClockTower-Nsambya'!I16,'02.08 ClockTower-Nsambya'!I16,'01.08 ClockTower-Nsambya-24h'!I16,'03.08 ClockTower-Nsambya-24h'!I16,'04.08 ClockTower-Nsambya'!I16)</f>
        <v>3.4285714285714284</v>
      </c>
      <c r="J16" s="49">
        <f>AVERAGE('29.07 ClockTower-Nsambya'!J16,'30.07 ClockTower-Nsambya'!J16,'31.07 ClockTower-Nsambya'!J16,'02.08 ClockTower-Nsambya'!J16,'01.08 ClockTower-Nsambya-24h'!J16,'03.08 ClockTower-Nsambya-24h'!J16,'04.08 ClockTower-Nsambya'!J16)</f>
        <v>3.1428571428571428</v>
      </c>
      <c r="K16" s="49">
        <f>AVERAGE('29.07 ClockTower-Nsambya'!K16,'30.07 ClockTower-Nsambya'!K16,'31.07 ClockTower-Nsambya'!K16,'02.08 ClockTower-Nsambya'!K16,'01.08 ClockTower-Nsambya-24h'!K16,'03.08 ClockTower-Nsambya-24h'!K16,'04.08 ClockTower-Nsambya'!K16)</f>
        <v>2</v>
      </c>
      <c r="L16" s="49">
        <f>AVERAGE('29.07 ClockTower-Nsambya'!L16,'30.07 ClockTower-Nsambya'!L16,'31.07 ClockTower-Nsambya'!L16,'02.08 ClockTower-Nsambya'!L16,'01.08 ClockTower-Nsambya-24h'!L16,'03.08 ClockTower-Nsambya-24h'!L16,'04.08 ClockTower-Nsambya'!L16)</f>
        <v>1.2857142857142858</v>
      </c>
      <c r="M16" s="49">
        <f>AVERAGE('29.07 ClockTower-Nsambya'!M16,'30.07 ClockTower-Nsambya'!M16,'31.07 ClockTower-Nsambya'!M16,'02.08 ClockTower-Nsambya'!M16,'01.08 ClockTower-Nsambya-24h'!M16,'03.08 ClockTower-Nsambya-24h'!M16,'04.08 ClockTower-Nsambya'!M16)</f>
        <v>375</v>
      </c>
      <c r="N16" s="49">
        <f>AVERAGE('29.07 ClockTower-Nsambya'!N16,'30.07 ClockTower-Nsambya'!N16,'31.07 ClockTower-Nsambya'!N16,'02.08 ClockTower-Nsambya'!N16,'01.08 ClockTower-Nsambya-24h'!N16,'03.08 ClockTower-Nsambya-24h'!N16,'04.08 ClockTower-Nsambya'!N16)</f>
        <v>0.2857142857142857</v>
      </c>
      <c r="O16" s="15">
        <f t="shared" si="0"/>
        <v>151.42857142857139</v>
      </c>
      <c r="P16" s="15">
        <f t="shared" si="1"/>
        <v>526.42857142857144</v>
      </c>
      <c r="R16" s="1" t="s">
        <v>12</v>
      </c>
      <c r="S16" s="17">
        <f t="shared" ref="S16:AF16" si="8">SUM(C34:C37)</f>
        <v>236.71428571428572</v>
      </c>
      <c r="T16" s="17">
        <f t="shared" si="8"/>
        <v>110.14285714285714</v>
      </c>
      <c r="U16" s="17">
        <f t="shared" si="8"/>
        <v>59.285714285714292</v>
      </c>
      <c r="V16" s="17">
        <f t="shared" si="8"/>
        <v>212.71428571428572</v>
      </c>
      <c r="W16" s="17">
        <f t="shared" si="8"/>
        <v>3.8571428571428572</v>
      </c>
      <c r="X16" s="17">
        <f t="shared" si="8"/>
        <v>1.5714285714285712</v>
      </c>
      <c r="Y16" s="17">
        <f t="shared" si="8"/>
        <v>26.571428571428577</v>
      </c>
      <c r="Z16" s="17">
        <f t="shared" si="8"/>
        <v>21</v>
      </c>
      <c r="AA16" s="17">
        <f t="shared" si="8"/>
        <v>13.714285714285714</v>
      </c>
      <c r="AB16" s="17">
        <f t="shared" si="8"/>
        <v>15.285714285714285</v>
      </c>
      <c r="AC16" s="17">
        <f t="shared" si="8"/>
        <v>1349.1428571428571</v>
      </c>
      <c r="AD16" s="17">
        <f t="shared" si="8"/>
        <v>0.71428571428571419</v>
      </c>
      <c r="AE16" s="31">
        <f t="shared" si="8"/>
        <v>701.57142857142867</v>
      </c>
      <c r="AF16" s="31">
        <f t="shared" si="8"/>
        <v>2050.7142857142858</v>
      </c>
    </row>
    <row r="17" spans="2:32" ht="23.1" customHeight="1" x14ac:dyDescent="0.25">
      <c r="B17" s="23" t="s">
        <v>44</v>
      </c>
      <c r="C17" s="49">
        <f>AVERAGE('29.07 ClockTower-Nsambya'!C17,'30.07 ClockTower-Nsambya'!C17,'31.07 ClockTower-Nsambya'!C17,'02.08 ClockTower-Nsambya'!C17,'01.08 ClockTower-Nsambya-24h'!C17,'03.08 ClockTower-Nsambya-24h'!C17,'04.08 ClockTower-Nsambya'!C17)</f>
        <v>44.285714285714285</v>
      </c>
      <c r="D17" s="49">
        <f>AVERAGE('29.07 ClockTower-Nsambya'!D17,'30.07 ClockTower-Nsambya'!D17,'31.07 ClockTower-Nsambya'!D17,'02.08 ClockTower-Nsambya'!D17,'01.08 ClockTower-Nsambya-24h'!D17,'03.08 ClockTower-Nsambya-24h'!D17,'04.08 ClockTower-Nsambya'!D17)</f>
        <v>7.8571428571428568</v>
      </c>
      <c r="E17" s="49">
        <f>AVERAGE('29.07 ClockTower-Nsambya'!E17,'30.07 ClockTower-Nsambya'!E17,'31.07 ClockTower-Nsambya'!E17,'02.08 ClockTower-Nsambya'!E17,'01.08 ClockTower-Nsambya-24h'!E17,'03.08 ClockTower-Nsambya-24h'!E17,'04.08 ClockTower-Nsambya'!E17)</f>
        <v>5.4285714285714288</v>
      </c>
      <c r="F17" s="49">
        <f>AVERAGE('29.07 ClockTower-Nsambya'!F17,'30.07 ClockTower-Nsambya'!F17,'31.07 ClockTower-Nsambya'!F17,'02.08 ClockTower-Nsambya'!F17,'01.08 ClockTower-Nsambya-24h'!F17,'03.08 ClockTower-Nsambya-24h'!F17,'04.08 ClockTower-Nsambya'!F17)</f>
        <v>83</v>
      </c>
      <c r="G17" s="49">
        <f>AVERAGE('29.07 ClockTower-Nsambya'!G17,'30.07 ClockTower-Nsambya'!G17,'31.07 ClockTower-Nsambya'!G17,'02.08 ClockTower-Nsambya'!G17,'01.08 ClockTower-Nsambya-24h'!G17,'03.08 ClockTower-Nsambya-24h'!G17,'04.08 ClockTower-Nsambya'!G17)</f>
        <v>1.5714285714285714</v>
      </c>
      <c r="H17" s="49">
        <f>AVERAGE('29.07 ClockTower-Nsambya'!H17,'30.07 ClockTower-Nsambya'!H17,'31.07 ClockTower-Nsambya'!H17,'02.08 ClockTower-Nsambya'!H17,'01.08 ClockTower-Nsambya-24h'!H17,'03.08 ClockTower-Nsambya-24h'!H17,'04.08 ClockTower-Nsambya'!H17)</f>
        <v>0.7142857142857143</v>
      </c>
      <c r="I17" s="49">
        <f>AVERAGE('29.07 ClockTower-Nsambya'!I17,'30.07 ClockTower-Nsambya'!I17,'31.07 ClockTower-Nsambya'!I17,'02.08 ClockTower-Nsambya'!I17,'01.08 ClockTower-Nsambya-24h'!I17,'03.08 ClockTower-Nsambya-24h'!I17,'04.08 ClockTower-Nsambya'!I17)</f>
        <v>4.5714285714285712</v>
      </c>
      <c r="J17" s="49">
        <f>AVERAGE('29.07 ClockTower-Nsambya'!J17,'30.07 ClockTower-Nsambya'!J17,'31.07 ClockTower-Nsambya'!J17,'02.08 ClockTower-Nsambya'!J17,'01.08 ClockTower-Nsambya-24h'!J17,'03.08 ClockTower-Nsambya-24h'!J17,'04.08 ClockTower-Nsambya'!J17)</f>
        <v>3.1428571428571428</v>
      </c>
      <c r="K17" s="49">
        <f>AVERAGE('29.07 ClockTower-Nsambya'!K17,'30.07 ClockTower-Nsambya'!K17,'31.07 ClockTower-Nsambya'!K17,'02.08 ClockTower-Nsambya'!K17,'01.08 ClockTower-Nsambya-24h'!K17,'03.08 ClockTower-Nsambya-24h'!K17,'04.08 ClockTower-Nsambya'!K17)</f>
        <v>1.8571428571428572</v>
      </c>
      <c r="L17" s="49">
        <f>AVERAGE('29.07 ClockTower-Nsambya'!L17,'30.07 ClockTower-Nsambya'!L17,'31.07 ClockTower-Nsambya'!L17,'02.08 ClockTower-Nsambya'!L17,'01.08 ClockTower-Nsambya-24h'!L17,'03.08 ClockTower-Nsambya-24h'!L17,'04.08 ClockTower-Nsambya'!L17)</f>
        <v>1.5714285714285714</v>
      </c>
      <c r="M17" s="49">
        <f>AVERAGE('29.07 ClockTower-Nsambya'!M17,'30.07 ClockTower-Nsambya'!M17,'31.07 ClockTower-Nsambya'!M17,'02.08 ClockTower-Nsambya'!M17,'01.08 ClockTower-Nsambya-24h'!M17,'03.08 ClockTower-Nsambya-24h'!M17,'04.08 ClockTower-Nsambya'!M17)</f>
        <v>367.14285714285717</v>
      </c>
      <c r="N17" s="49">
        <f>AVERAGE('29.07 ClockTower-Nsambya'!N17,'30.07 ClockTower-Nsambya'!N17,'31.07 ClockTower-Nsambya'!N17,'02.08 ClockTower-Nsambya'!N17,'01.08 ClockTower-Nsambya-24h'!N17,'03.08 ClockTower-Nsambya-24h'!N17,'04.08 ClockTower-Nsambya'!N17)</f>
        <v>0.2857142857142857</v>
      </c>
      <c r="O17" s="15">
        <f t="shared" si="0"/>
        <v>154.28571428571431</v>
      </c>
      <c r="P17" s="15">
        <f t="shared" si="1"/>
        <v>521.42857142857156</v>
      </c>
      <c r="R17" s="1" t="s">
        <v>13</v>
      </c>
      <c r="S17" s="17">
        <f t="shared" ref="S17:AF17" si="9">SUM(C38:C41)</f>
        <v>280.42857142857144</v>
      </c>
      <c r="T17" s="17">
        <f t="shared" si="9"/>
        <v>78.142857142857139</v>
      </c>
      <c r="U17" s="17">
        <f t="shared" si="9"/>
        <v>45.714285714285715</v>
      </c>
      <c r="V17" s="17">
        <f t="shared" si="9"/>
        <v>181.85714285714289</v>
      </c>
      <c r="W17" s="17">
        <f t="shared" si="9"/>
        <v>4</v>
      </c>
      <c r="X17" s="17">
        <f t="shared" si="9"/>
        <v>0.14285714285714285</v>
      </c>
      <c r="Y17" s="17">
        <f t="shared" si="9"/>
        <v>35</v>
      </c>
      <c r="Z17" s="17">
        <f t="shared" si="9"/>
        <v>20.714285714285715</v>
      </c>
      <c r="AA17" s="17">
        <f t="shared" si="9"/>
        <v>11.142857142857142</v>
      </c>
      <c r="AB17" s="17">
        <f t="shared" si="9"/>
        <v>17.142857142857142</v>
      </c>
      <c r="AC17" s="17">
        <f t="shared" si="9"/>
        <v>1419</v>
      </c>
      <c r="AD17" s="17">
        <f t="shared" si="9"/>
        <v>2.1428571428571428</v>
      </c>
      <c r="AE17" s="31">
        <f t="shared" si="9"/>
        <v>676.42857142857144</v>
      </c>
      <c r="AF17" s="31">
        <f t="shared" si="9"/>
        <v>2095.4285714285716</v>
      </c>
    </row>
    <row r="18" spans="2:32" ht="23.1" customHeight="1" x14ac:dyDescent="0.25">
      <c r="B18" s="23" t="s">
        <v>45</v>
      </c>
      <c r="C18" s="49">
        <f>AVERAGE('29.07 ClockTower-Nsambya'!C18,'30.07 ClockTower-Nsambya'!C18,'31.07 ClockTower-Nsambya'!C18,'02.08 ClockTower-Nsambya'!C18,'01.08 ClockTower-Nsambya-24h'!C18,'03.08 ClockTower-Nsambya-24h'!C18,'04.08 ClockTower-Nsambya'!C18)</f>
        <v>44.857142857142854</v>
      </c>
      <c r="D18" s="49">
        <f>AVERAGE('29.07 ClockTower-Nsambya'!D18,'30.07 ClockTower-Nsambya'!D18,'31.07 ClockTower-Nsambya'!D18,'02.08 ClockTower-Nsambya'!D18,'01.08 ClockTower-Nsambya-24h'!D18,'03.08 ClockTower-Nsambya-24h'!D18,'04.08 ClockTower-Nsambya'!D18)</f>
        <v>10</v>
      </c>
      <c r="E18" s="49">
        <f>AVERAGE('29.07 ClockTower-Nsambya'!E18,'30.07 ClockTower-Nsambya'!E18,'31.07 ClockTower-Nsambya'!E18,'02.08 ClockTower-Nsambya'!E18,'01.08 ClockTower-Nsambya-24h'!E18,'03.08 ClockTower-Nsambya-24h'!E18,'04.08 ClockTower-Nsambya'!E18)</f>
        <v>4.2857142857142856</v>
      </c>
      <c r="F18" s="49">
        <f>AVERAGE('29.07 ClockTower-Nsambya'!F18,'30.07 ClockTower-Nsambya'!F18,'31.07 ClockTower-Nsambya'!F18,'02.08 ClockTower-Nsambya'!F18,'01.08 ClockTower-Nsambya-24h'!F18,'03.08 ClockTower-Nsambya-24h'!F18,'04.08 ClockTower-Nsambya'!F18)</f>
        <v>70.428571428571431</v>
      </c>
      <c r="G18" s="49">
        <f>AVERAGE('29.07 ClockTower-Nsambya'!G18,'30.07 ClockTower-Nsambya'!G18,'31.07 ClockTower-Nsambya'!G18,'02.08 ClockTower-Nsambya'!G18,'01.08 ClockTower-Nsambya-24h'!G18,'03.08 ClockTower-Nsambya-24h'!G18,'04.08 ClockTower-Nsambya'!G18)</f>
        <v>2.1428571428571428</v>
      </c>
      <c r="H18" s="49">
        <f>AVERAGE('29.07 ClockTower-Nsambya'!H18,'30.07 ClockTower-Nsambya'!H18,'31.07 ClockTower-Nsambya'!H18,'02.08 ClockTower-Nsambya'!H18,'01.08 ClockTower-Nsambya-24h'!H18,'03.08 ClockTower-Nsambya-24h'!H18,'04.08 ClockTower-Nsambya'!H18)</f>
        <v>0.42857142857142855</v>
      </c>
      <c r="I18" s="49">
        <f>AVERAGE('29.07 ClockTower-Nsambya'!I18,'30.07 ClockTower-Nsambya'!I18,'31.07 ClockTower-Nsambya'!I18,'02.08 ClockTower-Nsambya'!I18,'01.08 ClockTower-Nsambya-24h'!I18,'03.08 ClockTower-Nsambya-24h'!I18,'04.08 ClockTower-Nsambya'!I18)</f>
        <v>4.1428571428571432</v>
      </c>
      <c r="J18" s="49">
        <f>AVERAGE('29.07 ClockTower-Nsambya'!J18,'30.07 ClockTower-Nsambya'!J18,'31.07 ClockTower-Nsambya'!J18,'02.08 ClockTower-Nsambya'!J18,'01.08 ClockTower-Nsambya-24h'!J18,'03.08 ClockTower-Nsambya-24h'!J18,'04.08 ClockTower-Nsambya'!J18)</f>
        <v>3.4285714285714284</v>
      </c>
      <c r="K18" s="49">
        <f>AVERAGE('29.07 ClockTower-Nsambya'!K18,'30.07 ClockTower-Nsambya'!K18,'31.07 ClockTower-Nsambya'!K18,'02.08 ClockTower-Nsambya'!K18,'01.08 ClockTower-Nsambya-24h'!K18,'03.08 ClockTower-Nsambya-24h'!K18,'04.08 ClockTower-Nsambya'!K18)</f>
        <v>2.4285714285714284</v>
      </c>
      <c r="L18" s="49">
        <f>AVERAGE('29.07 ClockTower-Nsambya'!L18,'30.07 ClockTower-Nsambya'!L18,'31.07 ClockTower-Nsambya'!L18,'02.08 ClockTower-Nsambya'!L18,'01.08 ClockTower-Nsambya-24h'!L18,'03.08 ClockTower-Nsambya-24h'!L18,'04.08 ClockTower-Nsambya'!L18)</f>
        <v>2.2857142857142856</v>
      </c>
      <c r="M18" s="49">
        <f>AVERAGE('29.07 ClockTower-Nsambya'!M18,'30.07 ClockTower-Nsambya'!M18,'31.07 ClockTower-Nsambya'!M18,'02.08 ClockTower-Nsambya'!M18,'01.08 ClockTower-Nsambya-24h'!M18,'03.08 ClockTower-Nsambya-24h'!M18,'04.08 ClockTower-Nsambya'!M18)</f>
        <v>453</v>
      </c>
      <c r="N18" s="49">
        <f>AVERAGE('29.07 ClockTower-Nsambya'!N18,'30.07 ClockTower-Nsambya'!N18,'31.07 ClockTower-Nsambya'!N18,'02.08 ClockTower-Nsambya'!N18,'01.08 ClockTower-Nsambya-24h'!N18,'03.08 ClockTower-Nsambya-24h'!N18,'04.08 ClockTower-Nsambya'!N18)</f>
        <v>0.42857142857142855</v>
      </c>
      <c r="O18" s="15">
        <f t="shared" si="0"/>
        <v>144.85714285714278</v>
      </c>
      <c r="P18" s="15">
        <f t="shared" si="1"/>
        <v>597.85714285714278</v>
      </c>
      <c r="R18" s="1" t="s">
        <v>14</v>
      </c>
      <c r="S18" s="17">
        <f t="shared" ref="S18:AF18" si="10">SUM(C42:C45)</f>
        <v>288.85714285714289</v>
      </c>
      <c r="T18" s="17">
        <f t="shared" si="10"/>
        <v>97.142857142857153</v>
      </c>
      <c r="U18" s="17">
        <f t="shared" si="10"/>
        <v>51.857142857142847</v>
      </c>
      <c r="V18" s="17">
        <f t="shared" si="10"/>
        <v>204.57142857142856</v>
      </c>
      <c r="W18" s="17">
        <f t="shared" si="10"/>
        <v>4.5714285714285712</v>
      </c>
      <c r="X18" s="17">
        <f t="shared" si="10"/>
        <v>1.7142857142857142</v>
      </c>
      <c r="Y18" s="17">
        <f t="shared" si="10"/>
        <v>33.142857142857146</v>
      </c>
      <c r="Z18" s="17">
        <f t="shared" si="10"/>
        <v>24.142857142857142</v>
      </c>
      <c r="AA18" s="17">
        <f t="shared" si="10"/>
        <v>11</v>
      </c>
      <c r="AB18" s="17">
        <f t="shared" si="10"/>
        <v>13.714285714285715</v>
      </c>
      <c r="AC18" s="17">
        <f t="shared" si="10"/>
        <v>1466.1428571428571</v>
      </c>
      <c r="AD18" s="17">
        <f t="shared" si="10"/>
        <v>0.2857142857142857</v>
      </c>
      <c r="AE18" s="31">
        <f t="shared" si="10"/>
        <v>731</v>
      </c>
      <c r="AF18" s="31">
        <f t="shared" si="10"/>
        <v>2197.1428571428569</v>
      </c>
    </row>
    <row r="19" spans="2:32" ht="23.1" customHeight="1" x14ac:dyDescent="0.25">
      <c r="B19" s="23" t="s">
        <v>46</v>
      </c>
      <c r="C19" s="49">
        <f>AVERAGE('29.07 ClockTower-Nsambya'!C19,'30.07 ClockTower-Nsambya'!C19,'31.07 ClockTower-Nsambya'!C19,'02.08 ClockTower-Nsambya'!C19,'01.08 ClockTower-Nsambya-24h'!C19,'03.08 ClockTower-Nsambya-24h'!C19,'04.08 ClockTower-Nsambya'!C19)</f>
        <v>53.857142857142854</v>
      </c>
      <c r="D19" s="49">
        <f>AVERAGE('29.07 ClockTower-Nsambya'!D19,'30.07 ClockTower-Nsambya'!D19,'31.07 ClockTower-Nsambya'!D19,'02.08 ClockTower-Nsambya'!D19,'01.08 ClockTower-Nsambya-24h'!D19,'03.08 ClockTower-Nsambya-24h'!D19,'04.08 ClockTower-Nsambya'!D19)</f>
        <v>8.1428571428571423</v>
      </c>
      <c r="E19" s="49">
        <f>AVERAGE('29.07 ClockTower-Nsambya'!E19,'30.07 ClockTower-Nsambya'!E19,'31.07 ClockTower-Nsambya'!E19,'02.08 ClockTower-Nsambya'!E19,'01.08 ClockTower-Nsambya-24h'!E19,'03.08 ClockTower-Nsambya-24h'!E19,'04.08 ClockTower-Nsambya'!E19)</f>
        <v>7.2857142857142856</v>
      </c>
      <c r="F19" s="49">
        <f>AVERAGE('29.07 ClockTower-Nsambya'!F19,'30.07 ClockTower-Nsambya'!F19,'31.07 ClockTower-Nsambya'!F19,'02.08 ClockTower-Nsambya'!F19,'01.08 ClockTower-Nsambya-24h'!F19,'03.08 ClockTower-Nsambya-24h'!F19,'04.08 ClockTower-Nsambya'!F19)</f>
        <v>60.714285714285715</v>
      </c>
      <c r="G19" s="49">
        <f>AVERAGE('29.07 ClockTower-Nsambya'!G19,'30.07 ClockTower-Nsambya'!G19,'31.07 ClockTower-Nsambya'!G19,'02.08 ClockTower-Nsambya'!G19,'01.08 ClockTower-Nsambya-24h'!G19,'03.08 ClockTower-Nsambya-24h'!G19,'04.08 ClockTower-Nsambya'!G19)</f>
        <v>1.5714285714285714</v>
      </c>
      <c r="H19" s="49">
        <f>AVERAGE('29.07 ClockTower-Nsambya'!H19,'30.07 ClockTower-Nsambya'!H19,'31.07 ClockTower-Nsambya'!H19,'02.08 ClockTower-Nsambya'!H19,'01.08 ClockTower-Nsambya-24h'!H19,'03.08 ClockTower-Nsambya-24h'!H19,'04.08 ClockTower-Nsambya'!H19)</f>
        <v>0.2857142857142857</v>
      </c>
      <c r="I19" s="49">
        <f>AVERAGE('29.07 ClockTower-Nsambya'!I19,'30.07 ClockTower-Nsambya'!I19,'31.07 ClockTower-Nsambya'!I19,'02.08 ClockTower-Nsambya'!I19,'01.08 ClockTower-Nsambya-24h'!I19,'03.08 ClockTower-Nsambya-24h'!I19,'04.08 ClockTower-Nsambya'!I19)</f>
        <v>4.2857142857142856</v>
      </c>
      <c r="J19" s="49">
        <f>AVERAGE('29.07 ClockTower-Nsambya'!J19,'30.07 ClockTower-Nsambya'!J19,'31.07 ClockTower-Nsambya'!J19,'02.08 ClockTower-Nsambya'!J19,'01.08 ClockTower-Nsambya-24h'!J19,'03.08 ClockTower-Nsambya-24h'!J19,'04.08 ClockTower-Nsambya'!J19)</f>
        <v>4.2857142857142856</v>
      </c>
      <c r="K19" s="49">
        <f>AVERAGE('29.07 ClockTower-Nsambya'!K19,'30.07 ClockTower-Nsambya'!K19,'31.07 ClockTower-Nsambya'!K19,'02.08 ClockTower-Nsambya'!K19,'01.08 ClockTower-Nsambya-24h'!K19,'03.08 ClockTower-Nsambya-24h'!K19,'04.08 ClockTower-Nsambya'!K19)</f>
        <v>2.7142857142857144</v>
      </c>
      <c r="L19" s="49">
        <f>AVERAGE('29.07 ClockTower-Nsambya'!L19,'30.07 ClockTower-Nsambya'!L19,'31.07 ClockTower-Nsambya'!L19,'02.08 ClockTower-Nsambya'!L19,'01.08 ClockTower-Nsambya-24h'!L19,'03.08 ClockTower-Nsambya-24h'!L19,'04.08 ClockTower-Nsambya'!L19)</f>
        <v>2.2857142857142856</v>
      </c>
      <c r="M19" s="49">
        <f>AVERAGE('29.07 ClockTower-Nsambya'!M19,'30.07 ClockTower-Nsambya'!M19,'31.07 ClockTower-Nsambya'!M19,'02.08 ClockTower-Nsambya'!M19,'01.08 ClockTower-Nsambya-24h'!M19,'03.08 ClockTower-Nsambya-24h'!M19,'04.08 ClockTower-Nsambya'!M19)</f>
        <v>436.14285714285717</v>
      </c>
      <c r="N19" s="49">
        <f>AVERAGE('29.07 ClockTower-Nsambya'!N19,'30.07 ClockTower-Nsambya'!N19,'31.07 ClockTower-Nsambya'!N19,'02.08 ClockTower-Nsambya'!N19,'01.08 ClockTower-Nsambya-24h'!N19,'03.08 ClockTower-Nsambya-24h'!N19,'04.08 ClockTower-Nsambya'!N19)</f>
        <v>0.7142857142857143</v>
      </c>
      <c r="O19" s="15">
        <f t="shared" si="0"/>
        <v>146.14285714285714</v>
      </c>
      <c r="P19" s="15">
        <f t="shared" si="1"/>
        <v>582.28571428571422</v>
      </c>
      <c r="R19" s="1" t="s">
        <v>15</v>
      </c>
      <c r="S19" s="17">
        <f t="shared" ref="S19:AF19" si="11">SUM(C46:C49)</f>
        <v>258.28571428571433</v>
      </c>
      <c r="T19" s="17">
        <f t="shared" si="11"/>
        <v>140.28571428571428</v>
      </c>
      <c r="U19" s="17">
        <f t="shared" si="11"/>
        <v>58.428571428571431</v>
      </c>
      <c r="V19" s="17">
        <f t="shared" si="11"/>
        <v>195.28571428571428</v>
      </c>
      <c r="W19" s="17">
        <f t="shared" si="11"/>
        <v>6.7142857142857144</v>
      </c>
      <c r="X19" s="17">
        <f t="shared" si="11"/>
        <v>2.4285714285714284</v>
      </c>
      <c r="Y19" s="17">
        <f t="shared" si="11"/>
        <v>38.571428571428569</v>
      </c>
      <c r="Z19" s="17">
        <f t="shared" si="11"/>
        <v>16.857142857142858</v>
      </c>
      <c r="AA19" s="17">
        <f t="shared" si="11"/>
        <v>13.428571428571429</v>
      </c>
      <c r="AB19" s="17">
        <f t="shared" si="11"/>
        <v>13.142857142857144</v>
      </c>
      <c r="AC19" s="17">
        <f t="shared" si="11"/>
        <v>1611</v>
      </c>
      <c r="AD19" s="17">
        <f t="shared" si="11"/>
        <v>0.5714285714285714</v>
      </c>
      <c r="AE19" s="31">
        <f t="shared" si="11"/>
        <v>744</v>
      </c>
      <c r="AF19" s="31">
        <f t="shared" si="11"/>
        <v>2355</v>
      </c>
    </row>
    <row r="20" spans="2:32" ht="23.1" customHeight="1" x14ac:dyDescent="0.25">
      <c r="B20" s="23" t="s">
        <v>47</v>
      </c>
      <c r="C20" s="49">
        <f>AVERAGE('29.07 ClockTower-Nsambya'!C20,'30.07 ClockTower-Nsambya'!C20,'31.07 ClockTower-Nsambya'!C20,'02.08 ClockTower-Nsambya'!C20,'01.08 ClockTower-Nsambya-24h'!C20,'03.08 ClockTower-Nsambya-24h'!C20,'04.08 ClockTower-Nsambya'!C20)</f>
        <v>41.285714285714285</v>
      </c>
      <c r="D20" s="49">
        <f>AVERAGE('29.07 ClockTower-Nsambya'!D20,'30.07 ClockTower-Nsambya'!D20,'31.07 ClockTower-Nsambya'!D20,'02.08 ClockTower-Nsambya'!D20,'01.08 ClockTower-Nsambya-24h'!D20,'03.08 ClockTower-Nsambya-24h'!D20,'04.08 ClockTower-Nsambya'!D20)</f>
        <v>11.142857142857142</v>
      </c>
      <c r="E20" s="49">
        <f>AVERAGE('29.07 ClockTower-Nsambya'!E20,'30.07 ClockTower-Nsambya'!E20,'31.07 ClockTower-Nsambya'!E20,'02.08 ClockTower-Nsambya'!E20,'01.08 ClockTower-Nsambya-24h'!E20,'03.08 ClockTower-Nsambya-24h'!E20,'04.08 ClockTower-Nsambya'!E20)</f>
        <v>5.4285714285714288</v>
      </c>
      <c r="F20" s="49">
        <f>AVERAGE('29.07 ClockTower-Nsambya'!F20,'30.07 ClockTower-Nsambya'!F20,'31.07 ClockTower-Nsambya'!F20,'02.08 ClockTower-Nsambya'!F20,'01.08 ClockTower-Nsambya-24h'!F20,'03.08 ClockTower-Nsambya-24h'!F20,'04.08 ClockTower-Nsambya'!F20)</f>
        <v>54.142857142857146</v>
      </c>
      <c r="G20" s="49">
        <f>AVERAGE('29.07 ClockTower-Nsambya'!G20,'30.07 ClockTower-Nsambya'!G20,'31.07 ClockTower-Nsambya'!G20,'02.08 ClockTower-Nsambya'!G20,'01.08 ClockTower-Nsambya-24h'!G20,'03.08 ClockTower-Nsambya-24h'!G20,'04.08 ClockTower-Nsambya'!G20)</f>
        <v>2.2857142857142856</v>
      </c>
      <c r="H20" s="49">
        <f>AVERAGE('29.07 ClockTower-Nsambya'!H20,'30.07 ClockTower-Nsambya'!H20,'31.07 ClockTower-Nsambya'!H20,'02.08 ClockTower-Nsambya'!H20,'01.08 ClockTower-Nsambya-24h'!H20,'03.08 ClockTower-Nsambya-24h'!H20,'04.08 ClockTower-Nsambya'!H20)</f>
        <v>1.2857142857142858</v>
      </c>
      <c r="I20" s="49">
        <f>AVERAGE('29.07 ClockTower-Nsambya'!I20,'30.07 ClockTower-Nsambya'!I20,'31.07 ClockTower-Nsambya'!I20,'02.08 ClockTower-Nsambya'!I20,'01.08 ClockTower-Nsambya-24h'!I20,'03.08 ClockTower-Nsambya-24h'!I20,'04.08 ClockTower-Nsambya'!I20)</f>
        <v>8.4285714285714288</v>
      </c>
      <c r="J20" s="49">
        <f>AVERAGE('29.07 ClockTower-Nsambya'!J20,'30.07 ClockTower-Nsambya'!J20,'31.07 ClockTower-Nsambya'!J20,'02.08 ClockTower-Nsambya'!J20,'01.08 ClockTower-Nsambya-24h'!J20,'03.08 ClockTower-Nsambya-24h'!J20,'04.08 ClockTower-Nsambya'!J20)</f>
        <v>3.8571428571428572</v>
      </c>
      <c r="K20" s="49">
        <f>AVERAGE('29.07 ClockTower-Nsambya'!K20,'30.07 ClockTower-Nsambya'!K20,'31.07 ClockTower-Nsambya'!K20,'02.08 ClockTower-Nsambya'!K20,'01.08 ClockTower-Nsambya-24h'!K20,'03.08 ClockTower-Nsambya-24h'!K20,'04.08 ClockTower-Nsambya'!K20)</f>
        <v>1.8571428571428572</v>
      </c>
      <c r="L20" s="49">
        <f>AVERAGE('29.07 ClockTower-Nsambya'!L20,'30.07 ClockTower-Nsambya'!L20,'31.07 ClockTower-Nsambya'!L20,'02.08 ClockTower-Nsambya'!L20,'01.08 ClockTower-Nsambya-24h'!L20,'03.08 ClockTower-Nsambya-24h'!L20,'04.08 ClockTower-Nsambya'!L20)</f>
        <v>2.4285714285714284</v>
      </c>
      <c r="M20" s="49">
        <f>AVERAGE('29.07 ClockTower-Nsambya'!M20,'30.07 ClockTower-Nsambya'!M20,'31.07 ClockTower-Nsambya'!M20,'02.08 ClockTower-Nsambya'!M20,'01.08 ClockTower-Nsambya-24h'!M20,'03.08 ClockTower-Nsambya-24h'!M20,'04.08 ClockTower-Nsambya'!M20)</f>
        <v>368.28571428571428</v>
      </c>
      <c r="N20" s="49">
        <f>AVERAGE('29.07 ClockTower-Nsambya'!N20,'30.07 ClockTower-Nsambya'!N20,'31.07 ClockTower-Nsambya'!N20,'02.08 ClockTower-Nsambya'!N20,'01.08 ClockTower-Nsambya-24h'!N20,'03.08 ClockTower-Nsambya-24h'!N20,'04.08 ClockTower-Nsambya'!N20)</f>
        <v>0.2857142857142857</v>
      </c>
      <c r="O20" s="15">
        <f t="shared" si="0"/>
        <v>132.42857142857142</v>
      </c>
      <c r="P20" s="15">
        <f t="shared" si="1"/>
        <v>500.71428571428572</v>
      </c>
      <c r="R20" s="1" t="s">
        <v>16</v>
      </c>
      <c r="S20" s="17">
        <f t="shared" ref="S20:AF20" si="12">SUM(C50:C53)</f>
        <v>295</v>
      </c>
      <c r="T20" s="17">
        <f t="shared" si="12"/>
        <v>118</v>
      </c>
      <c r="U20" s="17">
        <f t="shared" si="12"/>
        <v>43.428571428571431</v>
      </c>
      <c r="V20" s="17">
        <f t="shared" si="12"/>
        <v>207.85714285714286</v>
      </c>
      <c r="W20" s="17">
        <f t="shared" si="12"/>
        <v>6.4285714285714288</v>
      </c>
      <c r="X20" s="17">
        <f t="shared" si="12"/>
        <v>0.2857142857142857</v>
      </c>
      <c r="Y20" s="17">
        <f t="shared" si="12"/>
        <v>18.428571428571431</v>
      </c>
      <c r="Z20" s="17">
        <f t="shared" si="12"/>
        <v>14.428571428571429</v>
      </c>
      <c r="AA20" s="17">
        <f t="shared" si="12"/>
        <v>7.8571428571428577</v>
      </c>
      <c r="AB20" s="17">
        <f t="shared" si="12"/>
        <v>10.428571428571429</v>
      </c>
      <c r="AC20" s="17">
        <f t="shared" si="12"/>
        <v>1626.8571428571427</v>
      </c>
      <c r="AD20" s="17">
        <f t="shared" si="12"/>
        <v>0.2857142857142857</v>
      </c>
      <c r="AE20" s="31">
        <f t="shared" si="12"/>
        <v>722.42857142857133</v>
      </c>
      <c r="AF20" s="31">
        <f t="shared" si="12"/>
        <v>2349.2857142857142</v>
      </c>
    </row>
    <row r="21" spans="2:32" ht="23.1" customHeight="1" x14ac:dyDescent="0.25">
      <c r="B21" s="23" t="s">
        <v>48</v>
      </c>
      <c r="C21" s="49">
        <f>AVERAGE('29.07 ClockTower-Nsambya'!C21,'30.07 ClockTower-Nsambya'!C21,'31.07 ClockTower-Nsambya'!C21,'02.08 ClockTower-Nsambya'!C21,'01.08 ClockTower-Nsambya-24h'!C21,'03.08 ClockTower-Nsambya-24h'!C21,'04.08 ClockTower-Nsambya'!C21)</f>
        <v>37.428571428571431</v>
      </c>
      <c r="D21" s="49">
        <f>AVERAGE('29.07 ClockTower-Nsambya'!D21,'30.07 ClockTower-Nsambya'!D21,'31.07 ClockTower-Nsambya'!D21,'02.08 ClockTower-Nsambya'!D21,'01.08 ClockTower-Nsambya-24h'!D21,'03.08 ClockTower-Nsambya-24h'!D21,'04.08 ClockTower-Nsambya'!D21)</f>
        <v>9.1428571428571423</v>
      </c>
      <c r="E21" s="49">
        <f>AVERAGE('29.07 ClockTower-Nsambya'!E21,'30.07 ClockTower-Nsambya'!E21,'31.07 ClockTower-Nsambya'!E21,'02.08 ClockTower-Nsambya'!E21,'01.08 ClockTower-Nsambya-24h'!E21,'03.08 ClockTower-Nsambya-24h'!E21,'04.08 ClockTower-Nsambya'!E21)</f>
        <v>5</v>
      </c>
      <c r="F21" s="49">
        <f>AVERAGE('29.07 ClockTower-Nsambya'!F21,'30.07 ClockTower-Nsambya'!F21,'31.07 ClockTower-Nsambya'!F21,'02.08 ClockTower-Nsambya'!F21,'01.08 ClockTower-Nsambya-24h'!F21,'03.08 ClockTower-Nsambya-24h'!F21,'04.08 ClockTower-Nsambya'!F21)</f>
        <v>53.142857142857146</v>
      </c>
      <c r="G21" s="49">
        <f>AVERAGE('29.07 ClockTower-Nsambya'!G21,'30.07 ClockTower-Nsambya'!G21,'31.07 ClockTower-Nsambya'!G21,'02.08 ClockTower-Nsambya'!G21,'01.08 ClockTower-Nsambya-24h'!G21,'03.08 ClockTower-Nsambya-24h'!G21,'04.08 ClockTower-Nsambya'!G21)</f>
        <v>2.2857142857142856</v>
      </c>
      <c r="H21" s="49">
        <f>AVERAGE('29.07 ClockTower-Nsambya'!H21,'30.07 ClockTower-Nsambya'!H21,'31.07 ClockTower-Nsambya'!H21,'02.08 ClockTower-Nsambya'!H21,'01.08 ClockTower-Nsambya-24h'!H21,'03.08 ClockTower-Nsambya-24h'!H21,'04.08 ClockTower-Nsambya'!H21)</f>
        <v>0.2857142857142857</v>
      </c>
      <c r="I21" s="49">
        <f>AVERAGE('29.07 ClockTower-Nsambya'!I21,'30.07 ClockTower-Nsambya'!I21,'31.07 ClockTower-Nsambya'!I21,'02.08 ClockTower-Nsambya'!I21,'01.08 ClockTower-Nsambya-24h'!I21,'03.08 ClockTower-Nsambya-24h'!I21,'04.08 ClockTower-Nsambya'!I21)</f>
        <v>7.1428571428571432</v>
      </c>
      <c r="J21" s="49">
        <f>AVERAGE('29.07 ClockTower-Nsambya'!J21,'30.07 ClockTower-Nsambya'!J21,'31.07 ClockTower-Nsambya'!J21,'02.08 ClockTower-Nsambya'!J21,'01.08 ClockTower-Nsambya-24h'!J21,'03.08 ClockTower-Nsambya-24h'!J21,'04.08 ClockTower-Nsambya'!J21)</f>
        <v>5.2857142857142856</v>
      </c>
      <c r="K21" s="49">
        <f>AVERAGE('29.07 ClockTower-Nsambya'!K21,'30.07 ClockTower-Nsambya'!K21,'31.07 ClockTower-Nsambya'!K21,'02.08 ClockTower-Nsambya'!K21,'01.08 ClockTower-Nsambya-24h'!K21,'03.08 ClockTower-Nsambya-24h'!K21,'04.08 ClockTower-Nsambya'!K21)</f>
        <v>2.4285714285714284</v>
      </c>
      <c r="L21" s="49">
        <f>AVERAGE('29.07 ClockTower-Nsambya'!L21,'30.07 ClockTower-Nsambya'!L21,'31.07 ClockTower-Nsambya'!L21,'02.08 ClockTower-Nsambya'!L21,'01.08 ClockTower-Nsambya-24h'!L21,'03.08 ClockTower-Nsambya-24h'!L21,'04.08 ClockTower-Nsambya'!L21)</f>
        <v>1.4285714285714286</v>
      </c>
      <c r="M21" s="49">
        <f>AVERAGE('29.07 ClockTower-Nsambya'!M21,'30.07 ClockTower-Nsambya'!M21,'31.07 ClockTower-Nsambya'!M21,'02.08 ClockTower-Nsambya'!M21,'01.08 ClockTower-Nsambya-24h'!M21,'03.08 ClockTower-Nsambya-24h'!M21,'04.08 ClockTower-Nsambya'!M21)</f>
        <v>333.28571428571428</v>
      </c>
      <c r="N21" s="49">
        <f>AVERAGE('29.07 ClockTower-Nsambya'!N21,'30.07 ClockTower-Nsambya'!N21,'31.07 ClockTower-Nsambya'!N21,'02.08 ClockTower-Nsambya'!N21,'01.08 ClockTower-Nsambya-24h'!N21,'03.08 ClockTower-Nsambya-24h'!N21,'04.08 ClockTower-Nsambya'!N21)</f>
        <v>0.42857142857142855</v>
      </c>
      <c r="O21" s="15">
        <f t="shared" si="0"/>
        <v>124.00000000000003</v>
      </c>
      <c r="P21" s="15">
        <f t="shared" si="1"/>
        <v>457.28571428571433</v>
      </c>
      <c r="R21" s="36" t="s">
        <v>20</v>
      </c>
      <c r="S21" s="34">
        <f t="shared" ref="S21:AF21" si="13">SUM(C54:C57)</f>
        <v>198</v>
      </c>
      <c r="T21" s="17">
        <f t="shared" si="13"/>
        <v>104</v>
      </c>
      <c r="U21" s="17">
        <f t="shared" si="13"/>
        <v>49.142857142857139</v>
      </c>
      <c r="V21" s="17">
        <f t="shared" si="13"/>
        <v>192.85714285714283</v>
      </c>
      <c r="W21" s="17">
        <f t="shared" si="13"/>
        <v>5.0000000000000009</v>
      </c>
      <c r="X21" s="17">
        <f t="shared" si="13"/>
        <v>2.1428571428571428</v>
      </c>
      <c r="Y21" s="17">
        <f t="shared" si="13"/>
        <v>26.714285714285715</v>
      </c>
      <c r="Z21" s="17">
        <f t="shared" si="13"/>
        <v>14</v>
      </c>
      <c r="AA21" s="17">
        <f t="shared" si="13"/>
        <v>5.8571428571428568</v>
      </c>
      <c r="AB21" s="17">
        <f t="shared" si="13"/>
        <v>6.7142857142857135</v>
      </c>
      <c r="AC21" s="17">
        <f t="shared" si="13"/>
        <v>1919.8571428571431</v>
      </c>
      <c r="AD21" s="17">
        <f t="shared" si="13"/>
        <v>1.1428571428571428</v>
      </c>
      <c r="AE21" s="31">
        <f t="shared" si="13"/>
        <v>605.57142857142856</v>
      </c>
      <c r="AF21" s="31">
        <f t="shared" si="13"/>
        <v>2525.4285714285716</v>
      </c>
    </row>
    <row r="22" spans="2:32" ht="23.1" customHeight="1" x14ac:dyDescent="0.25">
      <c r="B22" s="23" t="s">
        <v>49</v>
      </c>
      <c r="C22" s="49">
        <f>AVERAGE('29.07 ClockTower-Nsambya'!C22,'30.07 ClockTower-Nsambya'!C22,'31.07 ClockTower-Nsambya'!C22,'02.08 ClockTower-Nsambya'!C22,'01.08 ClockTower-Nsambya-24h'!C22,'03.08 ClockTower-Nsambya-24h'!C22,'04.08 ClockTower-Nsambya'!C22)</f>
        <v>35.571428571428569</v>
      </c>
      <c r="D22" s="49">
        <f>AVERAGE('29.07 ClockTower-Nsambya'!D22,'30.07 ClockTower-Nsambya'!D22,'31.07 ClockTower-Nsambya'!D22,'02.08 ClockTower-Nsambya'!D22,'01.08 ClockTower-Nsambya-24h'!D22,'03.08 ClockTower-Nsambya-24h'!D22,'04.08 ClockTower-Nsambya'!D22)</f>
        <v>9.1428571428571423</v>
      </c>
      <c r="E22" s="49">
        <f>AVERAGE('29.07 ClockTower-Nsambya'!E22,'30.07 ClockTower-Nsambya'!E22,'31.07 ClockTower-Nsambya'!E22,'02.08 ClockTower-Nsambya'!E22,'01.08 ClockTower-Nsambya-24h'!E22,'03.08 ClockTower-Nsambya-24h'!E22,'04.08 ClockTower-Nsambya'!E22)</f>
        <v>6.1428571428571432</v>
      </c>
      <c r="F22" s="49">
        <f>AVERAGE('29.07 ClockTower-Nsambya'!F22,'30.07 ClockTower-Nsambya'!F22,'31.07 ClockTower-Nsambya'!F22,'02.08 ClockTower-Nsambya'!F22,'01.08 ClockTower-Nsambya-24h'!F22,'03.08 ClockTower-Nsambya-24h'!F22,'04.08 ClockTower-Nsambya'!F22)</f>
        <v>58.714285714285715</v>
      </c>
      <c r="G22" s="49">
        <f>AVERAGE('29.07 ClockTower-Nsambya'!G22,'30.07 ClockTower-Nsambya'!G22,'31.07 ClockTower-Nsambya'!G22,'02.08 ClockTower-Nsambya'!G22,'01.08 ClockTower-Nsambya-24h'!G22,'03.08 ClockTower-Nsambya-24h'!G22,'04.08 ClockTower-Nsambya'!G22)</f>
        <v>1</v>
      </c>
      <c r="H22" s="49">
        <f>AVERAGE('29.07 ClockTower-Nsambya'!H22,'30.07 ClockTower-Nsambya'!H22,'31.07 ClockTower-Nsambya'!H22,'02.08 ClockTower-Nsambya'!H22,'01.08 ClockTower-Nsambya-24h'!H22,'03.08 ClockTower-Nsambya-24h'!H22,'04.08 ClockTower-Nsambya'!H22)</f>
        <v>0.2857142857142857</v>
      </c>
      <c r="I22" s="49">
        <f>AVERAGE('29.07 ClockTower-Nsambya'!I22,'30.07 ClockTower-Nsambya'!I22,'31.07 ClockTower-Nsambya'!I22,'02.08 ClockTower-Nsambya'!I22,'01.08 ClockTower-Nsambya-24h'!I22,'03.08 ClockTower-Nsambya-24h'!I22,'04.08 ClockTower-Nsambya'!I22)</f>
        <v>5.1428571428571432</v>
      </c>
      <c r="J22" s="49">
        <f>AVERAGE('29.07 ClockTower-Nsambya'!J22,'30.07 ClockTower-Nsambya'!J22,'31.07 ClockTower-Nsambya'!J22,'02.08 ClockTower-Nsambya'!J22,'01.08 ClockTower-Nsambya-24h'!J22,'03.08 ClockTower-Nsambya-24h'!J22,'04.08 ClockTower-Nsambya'!J22)</f>
        <v>3.7142857142857144</v>
      </c>
      <c r="K22" s="49">
        <f>AVERAGE('29.07 ClockTower-Nsambya'!K22,'30.07 ClockTower-Nsambya'!K22,'31.07 ClockTower-Nsambya'!K22,'02.08 ClockTower-Nsambya'!K22,'01.08 ClockTower-Nsambya-24h'!K22,'03.08 ClockTower-Nsambya-24h'!K22,'04.08 ClockTower-Nsambya'!K22)</f>
        <v>2.2857142857142856</v>
      </c>
      <c r="L22" s="49">
        <f>AVERAGE('29.07 ClockTower-Nsambya'!L22,'30.07 ClockTower-Nsambya'!L22,'31.07 ClockTower-Nsambya'!L22,'02.08 ClockTower-Nsambya'!L22,'01.08 ClockTower-Nsambya-24h'!L22,'03.08 ClockTower-Nsambya-24h'!L22,'04.08 ClockTower-Nsambya'!L22)</f>
        <v>3.7142857142857144</v>
      </c>
      <c r="M22" s="49">
        <f>AVERAGE('29.07 ClockTower-Nsambya'!M22,'30.07 ClockTower-Nsambya'!M22,'31.07 ClockTower-Nsambya'!M22,'02.08 ClockTower-Nsambya'!M22,'01.08 ClockTower-Nsambya-24h'!M22,'03.08 ClockTower-Nsambya-24h'!M22,'04.08 ClockTower-Nsambya'!M22)</f>
        <v>338</v>
      </c>
      <c r="N22" s="49">
        <f>AVERAGE('29.07 ClockTower-Nsambya'!N22,'30.07 ClockTower-Nsambya'!N22,'31.07 ClockTower-Nsambya'!N22,'02.08 ClockTower-Nsambya'!N22,'01.08 ClockTower-Nsambya-24h'!N22,'03.08 ClockTower-Nsambya-24h'!N22,'04.08 ClockTower-Nsambya'!N22)</f>
        <v>0</v>
      </c>
      <c r="O22" s="15">
        <f t="shared" si="0"/>
        <v>125.71428571428571</v>
      </c>
      <c r="P22" s="15">
        <f t="shared" si="1"/>
        <v>463.71428571428572</v>
      </c>
      <c r="R22" s="38" t="s">
        <v>90</v>
      </c>
      <c r="S22" s="39">
        <f>MAX(S10:S12)</f>
        <v>199.28571428571428</v>
      </c>
      <c r="T22" s="39">
        <f t="shared" ref="T22:AF22" si="14">MAX(T10:T12)</f>
        <v>38.428571428571431</v>
      </c>
      <c r="U22" s="39">
        <f t="shared" si="14"/>
        <v>22</v>
      </c>
      <c r="V22" s="39">
        <f t="shared" si="14"/>
        <v>313</v>
      </c>
      <c r="W22" s="39">
        <f t="shared" si="14"/>
        <v>12.285714285714285</v>
      </c>
      <c r="X22" s="39">
        <f t="shared" si="14"/>
        <v>5.1428571428571432</v>
      </c>
      <c r="Y22" s="39">
        <f t="shared" si="14"/>
        <v>24</v>
      </c>
      <c r="Z22" s="39">
        <f t="shared" si="14"/>
        <v>16.857142857142858</v>
      </c>
      <c r="AA22" s="39">
        <f t="shared" si="14"/>
        <v>9.4285714285714288</v>
      </c>
      <c r="AB22" s="39">
        <f t="shared" si="14"/>
        <v>8.4285714285714288</v>
      </c>
      <c r="AC22" s="39">
        <f t="shared" si="14"/>
        <v>2021.4285714285716</v>
      </c>
      <c r="AD22" s="39">
        <f t="shared" si="14"/>
        <v>1.857142857142857</v>
      </c>
      <c r="AE22" s="40">
        <f t="shared" si="14"/>
        <v>621.57142857142856</v>
      </c>
      <c r="AF22" s="40">
        <f t="shared" si="14"/>
        <v>2643</v>
      </c>
    </row>
    <row r="23" spans="2:32" ht="23.1" customHeight="1" x14ac:dyDescent="0.25">
      <c r="B23" s="23" t="s">
        <v>50</v>
      </c>
      <c r="C23" s="49">
        <f>AVERAGE('29.07 ClockTower-Nsambya'!C23,'30.07 ClockTower-Nsambya'!C23,'31.07 ClockTower-Nsambya'!C23,'02.08 ClockTower-Nsambya'!C23,'01.08 ClockTower-Nsambya-24h'!C23,'03.08 ClockTower-Nsambya-24h'!C23,'04.08 ClockTower-Nsambya'!C23)</f>
        <v>52.857142857142854</v>
      </c>
      <c r="D23" s="49">
        <f>AVERAGE('29.07 ClockTower-Nsambya'!D23,'30.07 ClockTower-Nsambya'!D23,'31.07 ClockTower-Nsambya'!D23,'02.08 ClockTower-Nsambya'!D23,'01.08 ClockTower-Nsambya-24h'!D23,'03.08 ClockTower-Nsambya-24h'!D23,'04.08 ClockTower-Nsambya'!D23)</f>
        <v>7.8571428571428568</v>
      </c>
      <c r="E23" s="49">
        <f>AVERAGE('29.07 ClockTower-Nsambya'!E23,'30.07 ClockTower-Nsambya'!E23,'31.07 ClockTower-Nsambya'!E23,'02.08 ClockTower-Nsambya'!E23,'01.08 ClockTower-Nsambya-24h'!E23,'03.08 ClockTower-Nsambya-24h'!E23,'04.08 ClockTower-Nsambya'!E23)</f>
        <v>6.5714285714285712</v>
      </c>
      <c r="F23" s="49">
        <f>AVERAGE('29.07 ClockTower-Nsambya'!F23,'30.07 ClockTower-Nsambya'!F23,'31.07 ClockTower-Nsambya'!F23,'02.08 ClockTower-Nsambya'!F23,'01.08 ClockTower-Nsambya-24h'!F23,'03.08 ClockTower-Nsambya-24h'!F23,'04.08 ClockTower-Nsambya'!F23)</f>
        <v>59.285714285714285</v>
      </c>
      <c r="G23" s="49">
        <f>AVERAGE('29.07 ClockTower-Nsambya'!G23,'30.07 ClockTower-Nsambya'!G23,'31.07 ClockTower-Nsambya'!G23,'02.08 ClockTower-Nsambya'!G23,'01.08 ClockTower-Nsambya-24h'!G23,'03.08 ClockTower-Nsambya-24h'!G23,'04.08 ClockTower-Nsambya'!G23)</f>
        <v>1.2857142857142858</v>
      </c>
      <c r="H23" s="49">
        <f>AVERAGE('29.07 ClockTower-Nsambya'!H23,'30.07 ClockTower-Nsambya'!H23,'31.07 ClockTower-Nsambya'!H23,'02.08 ClockTower-Nsambya'!H23,'01.08 ClockTower-Nsambya-24h'!H23,'03.08 ClockTower-Nsambya-24h'!H23,'04.08 ClockTower-Nsambya'!H23)</f>
        <v>0.2857142857142857</v>
      </c>
      <c r="I23" s="49">
        <f>AVERAGE('29.07 ClockTower-Nsambya'!I23,'30.07 ClockTower-Nsambya'!I23,'31.07 ClockTower-Nsambya'!I23,'02.08 ClockTower-Nsambya'!I23,'01.08 ClockTower-Nsambya-24h'!I23,'03.08 ClockTower-Nsambya-24h'!I23,'04.08 ClockTower-Nsambya'!I23)</f>
        <v>7.5714285714285712</v>
      </c>
      <c r="J23" s="49">
        <f>AVERAGE('29.07 ClockTower-Nsambya'!J23,'30.07 ClockTower-Nsambya'!J23,'31.07 ClockTower-Nsambya'!J23,'02.08 ClockTower-Nsambya'!J23,'01.08 ClockTower-Nsambya-24h'!J23,'03.08 ClockTower-Nsambya-24h'!J23,'04.08 ClockTower-Nsambya'!J23)</f>
        <v>3.7142857142857144</v>
      </c>
      <c r="K23" s="49">
        <f>AVERAGE('29.07 ClockTower-Nsambya'!K23,'30.07 ClockTower-Nsambya'!K23,'31.07 ClockTower-Nsambya'!K23,'02.08 ClockTower-Nsambya'!K23,'01.08 ClockTower-Nsambya-24h'!K23,'03.08 ClockTower-Nsambya-24h'!K23,'04.08 ClockTower-Nsambya'!K23)</f>
        <v>2.8571428571428572</v>
      </c>
      <c r="L23" s="49">
        <f>AVERAGE('29.07 ClockTower-Nsambya'!L23,'30.07 ClockTower-Nsambya'!L23,'31.07 ClockTower-Nsambya'!L23,'02.08 ClockTower-Nsambya'!L23,'01.08 ClockTower-Nsambya-24h'!L23,'03.08 ClockTower-Nsambya-24h'!L23,'04.08 ClockTower-Nsambya'!L23)</f>
        <v>3</v>
      </c>
      <c r="M23" s="49">
        <f>AVERAGE('29.07 ClockTower-Nsambya'!M23,'30.07 ClockTower-Nsambya'!M23,'31.07 ClockTower-Nsambya'!M23,'02.08 ClockTower-Nsambya'!M23,'01.08 ClockTower-Nsambya-24h'!M23,'03.08 ClockTower-Nsambya-24h'!M23,'04.08 ClockTower-Nsambya'!M23)</f>
        <v>272.28571428571428</v>
      </c>
      <c r="N23" s="49">
        <f>AVERAGE('29.07 ClockTower-Nsambya'!N23,'30.07 ClockTower-Nsambya'!N23,'31.07 ClockTower-Nsambya'!N23,'02.08 ClockTower-Nsambya'!N23,'01.08 ClockTower-Nsambya-24h'!N23,'03.08 ClockTower-Nsambya-24h'!N23,'04.08 ClockTower-Nsambya'!N23)</f>
        <v>0</v>
      </c>
      <c r="O23" s="15">
        <f t="shared" si="0"/>
        <v>145.28571428571431</v>
      </c>
      <c r="P23" s="15">
        <f t="shared" si="1"/>
        <v>417.57142857142856</v>
      </c>
      <c r="R23" s="38" t="s">
        <v>91</v>
      </c>
      <c r="S23" s="39">
        <f>MAX(S13:S18)</f>
        <v>288.85714285714289</v>
      </c>
      <c r="T23" s="39">
        <f t="shared" ref="T23:AF23" si="15">MAX(T13:T18)</f>
        <v>110.14285714285714</v>
      </c>
      <c r="U23" s="39">
        <f t="shared" si="15"/>
        <v>59.285714285714292</v>
      </c>
      <c r="V23" s="39">
        <f t="shared" si="15"/>
        <v>242</v>
      </c>
      <c r="W23" s="39">
        <f t="shared" si="15"/>
        <v>6.1428571428571432</v>
      </c>
      <c r="X23" s="39">
        <f t="shared" si="15"/>
        <v>1.7142857142857142</v>
      </c>
      <c r="Y23" s="39">
        <f t="shared" si="15"/>
        <v>35</v>
      </c>
      <c r="Z23" s="39">
        <f t="shared" si="15"/>
        <v>24.142857142857142</v>
      </c>
      <c r="AA23" s="39">
        <f t="shared" si="15"/>
        <v>13.714285714285714</v>
      </c>
      <c r="AB23" s="39">
        <f t="shared" si="15"/>
        <v>17.142857142857142</v>
      </c>
      <c r="AC23" s="39">
        <f t="shared" si="15"/>
        <v>1466.1428571428571</v>
      </c>
      <c r="AD23" s="39">
        <f t="shared" si="15"/>
        <v>2.1428571428571428</v>
      </c>
      <c r="AE23" s="40">
        <f t="shared" si="15"/>
        <v>731</v>
      </c>
      <c r="AF23" s="40">
        <f t="shared" si="15"/>
        <v>2197.1428571428569</v>
      </c>
    </row>
    <row r="24" spans="2:32" ht="23.1" customHeight="1" x14ac:dyDescent="0.25">
      <c r="B24" s="23" t="s">
        <v>51</v>
      </c>
      <c r="C24" s="49">
        <f>AVERAGE('29.07 ClockTower-Nsambya'!C24,'30.07 ClockTower-Nsambya'!C24,'31.07 ClockTower-Nsambya'!C24,'02.08 ClockTower-Nsambya'!C24,'01.08 ClockTower-Nsambya-24h'!C24,'03.08 ClockTower-Nsambya-24h'!C24,'04.08 ClockTower-Nsambya'!C24)</f>
        <v>56.142857142857146</v>
      </c>
      <c r="D24" s="49">
        <f>AVERAGE('29.07 ClockTower-Nsambya'!D24,'30.07 ClockTower-Nsambya'!D24,'31.07 ClockTower-Nsambya'!D24,'02.08 ClockTower-Nsambya'!D24,'01.08 ClockTower-Nsambya-24h'!D24,'03.08 ClockTower-Nsambya-24h'!D24,'04.08 ClockTower-Nsambya'!D24)</f>
        <v>7.5714285714285712</v>
      </c>
      <c r="E24" s="49">
        <f>AVERAGE('29.07 ClockTower-Nsambya'!E24,'30.07 ClockTower-Nsambya'!E24,'31.07 ClockTower-Nsambya'!E24,'02.08 ClockTower-Nsambya'!E24,'01.08 ClockTower-Nsambya-24h'!E24,'03.08 ClockTower-Nsambya-24h'!E24,'04.08 ClockTower-Nsambya'!E24)</f>
        <v>7.2857142857142856</v>
      </c>
      <c r="F24" s="49">
        <f>AVERAGE('29.07 ClockTower-Nsambya'!F24,'30.07 ClockTower-Nsambya'!F24,'31.07 ClockTower-Nsambya'!F24,'02.08 ClockTower-Nsambya'!F24,'01.08 ClockTower-Nsambya-24h'!F24,'03.08 ClockTower-Nsambya-24h'!F24,'04.08 ClockTower-Nsambya'!F24)</f>
        <v>68.714285714285708</v>
      </c>
      <c r="G24" s="49">
        <f>AVERAGE('29.07 ClockTower-Nsambya'!G24,'30.07 ClockTower-Nsambya'!G24,'31.07 ClockTower-Nsambya'!G24,'02.08 ClockTower-Nsambya'!G24,'01.08 ClockTower-Nsambya-24h'!G24,'03.08 ClockTower-Nsambya-24h'!G24,'04.08 ClockTower-Nsambya'!G24)</f>
        <v>2.5714285714285716</v>
      </c>
      <c r="H24" s="49">
        <f>AVERAGE('29.07 ClockTower-Nsambya'!H24,'30.07 ClockTower-Nsambya'!H24,'31.07 ClockTower-Nsambya'!H24,'02.08 ClockTower-Nsambya'!H24,'01.08 ClockTower-Nsambya-24h'!H24,'03.08 ClockTower-Nsambya-24h'!H24,'04.08 ClockTower-Nsambya'!H24)</f>
        <v>0</v>
      </c>
      <c r="I24" s="49">
        <f>AVERAGE('29.07 ClockTower-Nsambya'!I24,'30.07 ClockTower-Nsambya'!I24,'31.07 ClockTower-Nsambya'!I24,'02.08 ClockTower-Nsambya'!I24,'01.08 ClockTower-Nsambya-24h'!I24,'03.08 ClockTower-Nsambya-24h'!I24,'04.08 ClockTower-Nsambya'!I24)</f>
        <v>6.2857142857142856</v>
      </c>
      <c r="J24" s="49">
        <f>AVERAGE('29.07 ClockTower-Nsambya'!J24,'30.07 ClockTower-Nsambya'!J24,'31.07 ClockTower-Nsambya'!J24,'02.08 ClockTower-Nsambya'!J24,'01.08 ClockTower-Nsambya-24h'!J24,'03.08 ClockTower-Nsambya-24h'!J24,'04.08 ClockTower-Nsambya'!J24)</f>
        <v>4.4285714285714288</v>
      </c>
      <c r="K24" s="49">
        <f>AVERAGE('29.07 ClockTower-Nsambya'!K24,'30.07 ClockTower-Nsambya'!K24,'31.07 ClockTower-Nsambya'!K24,'02.08 ClockTower-Nsambya'!K24,'01.08 ClockTower-Nsambya-24h'!K24,'03.08 ClockTower-Nsambya-24h'!K24,'04.08 ClockTower-Nsambya'!K24)</f>
        <v>2.5714285714285716</v>
      </c>
      <c r="L24" s="49">
        <f>AVERAGE('29.07 ClockTower-Nsambya'!L24,'30.07 ClockTower-Nsambya'!L24,'31.07 ClockTower-Nsambya'!L24,'02.08 ClockTower-Nsambya'!L24,'01.08 ClockTower-Nsambya-24h'!L24,'03.08 ClockTower-Nsambya-24h'!L24,'04.08 ClockTower-Nsambya'!L24)</f>
        <v>2.4285714285714284</v>
      </c>
      <c r="M24" s="49">
        <f>AVERAGE('29.07 ClockTower-Nsambya'!M24,'30.07 ClockTower-Nsambya'!M24,'31.07 ClockTower-Nsambya'!M24,'02.08 ClockTower-Nsambya'!M24,'01.08 ClockTower-Nsambya-24h'!M24,'03.08 ClockTower-Nsambya-24h'!M24,'04.08 ClockTower-Nsambya'!M24)</f>
        <v>286.85714285714283</v>
      </c>
      <c r="N24" s="49">
        <f>AVERAGE('29.07 ClockTower-Nsambya'!N24,'30.07 ClockTower-Nsambya'!N24,'31.07 ClockTower-Nsambya'!N24,'02.08 ClockTower-Nsambya'!N24,'01.08 ClockTower-Nsambya-24h'!N24,'03.08 ClockTower-Nsambya-24h'!N24,'04.08 ClockTower-Nsambya'!N24)</f>
        <v>0</v>
      </c>
      <c r="O24" s="15">
        <f t="shared" si="0"/>
        <v>158</v>
      </c>
      <c r="P24" s="15">
        <f t="shared" si="1"/>
        <v>444.85714285714283</v>
      </c>
      <c r="R24" s="38" t="s">
        <v>92</v>
      </c>
      <c r="S24" s="39">
        <f>MAX(S19:S21)</f>
        <v>295</v>
      </c>
      <c r="T24" s="39">
        <f t="shared" ref="T24:AF24" si="16">MAX(T19:T21)</f>
        <v>140.28571428571428</v>
      </c>
      <c r="U24" s="39">
        <f t="shared" si="16"/>
        <v>58.428571428571431</v>
      </c>
      <c r="V24" s="39">
        <f t="shared" si="16"/>
        <v>207.85714285714286</v>
      </c>
      <c r="W24" s="39">
        <f t="shared" si="16"/>
        <v>6.7142857142857144</v>
      </c>
      <c r="X24" s="39">
        <f t="shared" si="16"/>
        <v>2.4285714285714284</v>
      </c>
      <c r="Y24" s="39">
        <f t="shared" si="16"/>
        <v>38.571428571428569</v>
      </c>
      <c r="Z24" s="39">
        <f t="shared" si="16"/>
        <v>16.857142857142858</v>
      </c>
      <c r="AA24" s="39">
        <f t="shared" si="16"/>
        <v>13.428571428571429</v>
      </c>
      <c r="AB24" s="39">
        <f t="shared" si="16"/>
        <v>13.142857142857144</v>
      </c>
      <c r="AC24" s="39">
        <f t="shared" si="16"/>
        <v>1919.8571428571431</v>
      </c>
      <c r="AD24" s="39">
        <f t="shared" si="16"/>
        <v>1.1428571428571428</v>
      </c>
      <c r="AE24" s="40">
        <f t="shared" si="16"/>
        <v>744</v>
      </c>
      <c r="AF24" s="40">
        <f t="shared" si="16"/>
        <v>2525.4285714285716</v>
      </c>
    </row>
    <row r="25" spans="2:32" ht="23.1" customHeight="1" x14ac:dyDescent="0.25">
      <c r="B25" s="23" t="s">
        <v>52</v>
      </c>
      <c r="C25" s="49">
        <f>AVERAGE('29.07 ClockTower-Nsambya'!C25,'30.07 ClockTower-Nsambya'!C25,'31.07 ClockTower-Nsambya'!C25,'02.08 ClockTower-Nsambya'!C25,'01.08 ClockTower-Nsambya-24h'!C25,'03.08 ClockTower-Nsambya-24h'!C25,'04.08 ClockTower-Nsambya'!C25)</f>
        <v>42</v>
      </c>
      <c r="D25" s="49">
        <f>AVERAGE('29.07 ClockTower-Nsambya'!D25,'30.07 ClockTower-Nsambya'!D25,'31.07 ClockTower-Nsambya'!D25,'02.08 ClockTower-Nsambya'!D25,'01.08 ClockTower-Nsambya-24h'!D25,'03.08 ClockTower-Nsambya-24h'!D25,'04.08 ClockTower-Nsambya'!D25)</f>
        <v>10.714285714285714</v>
      </c>
      <c r="E25" s="49">
        <f>AVERAGE('29.07 ClockTower-Nsambya'!E25,'30.07 ClockTower-Nsambya'!E25,'31.07 ClockTower-Nsambya'!E25,'02.08 ClockTower-Nsambya'!E25,'01.08 ClockTower-Nsambya-24h'!E25,'03.08 ClockTower-Nsambya-24h'!E25,'04.08 ClockTower-Nsambya'!E25)</f>
        <v>7</v>
      </c>
      <c r="F25" s="49">
        <f>AVERAGE('29.07 ClockTower-Nsambya'!F25,'30.07 ClockTower-Nsambya'!F25,'31.07 ClockTower-Nsambya'!F25,'02.08 ClockTower-Nsambya'!F25,'01.08 ClockTower-Nsambya-24h'!F25,'03.08 ClockTower-Nsambya-24h'!F25,'04.08 ClockTower-Nsambya'!F25)</f>
        <v>55.285714285714285</v>
      </c>
      <c r="G25" s="49">
        <f>AVERAGE('29.07 ClockTower-Nsambya'!G25,'30.07 ClockTower-Nsambya'!G25,'31.07 ClockTower-Nsambya'!G25,'02.08 ClockTower-Nsambya'!G25,'01.08 ClockTower-Nsambya-24h'!G25,'03.08 ClockTower-Nsambya-24h'!G25,'04.08 ClockTower-Nsambya'!G25)</f>
        <v>1.2857142857142858</v>
      </c>
      <c r="H25" s="49">
        <f>AVERAGE('29.07 ClockTower-Nsambya'!H25,'30.07 ClockTower-Nsambya'!H25,'31.07 ClockTower-Nsambya'!H25,'02.08 ClockTower-Nsambya'!H25,'01.08 ClockTower-Nsambya-24h'!H25,'03.08 ClockTower-Nsambya-24h'!H25,'04.08 ClockTower-Nsambya'!H25)</f>
        <v>0.2857142857142857</v>
      </c>
      <c r="I25" s="49">
        <f>AVERAGE('29.07 ClockTower-Nsambya'!I25,'30.07 ClockTower-Nsambya'!I25,'31.07 ClockTower-Nsambya'!I25,'02.08 ClockTower-Nsambya'!I25,'01.08 ClockTower-Nsambya-24h'!I25,'03.08 ClockTower-Nsambya-24h'!I25,'04.08 ClockTower-Nsambya'!I25)</f>
        <v>12</v>
      </c>
      <c r="J25" s="49">
        <f>AVERAGE('29.07 ClockTower-Nsambya'!J25,'30.07 ClockTower-Nsambya'!J25,'31.07 ClockTower-Nsambya'!J25,'02.08 ClockTower-Nsambya'!J25,'01.08 ClockTower-Nsambya-24h'!J25,'03.08 ClockTower-Nsambya-24h'!J25,'04.08 ClockTower-Nsambya'!J25)</f>
        <v>6.4285714285714288</v>
      </c>
      <c r="K25" s="49">
        <f>AVERAGE('29.07 ClockTower-Nsambya'!K25,'30.07 ClockTower-Nsambya'!K25,'31.07 ClockTower-Nsambya'!K25,'02.08 ClockTower-Nsambya'!K25,'01.08 ClockTower-Nsambya-24h'!K25,'03.08 ClockTower-Nsambya-24h'!K25,'04.08 ClockTower-Nsambya'!K25)</f>
        <v>2.5714285714285716</v>
      </c>
      <c r="L25" s="49">
        <f>AVERAGE('29.07 ClockTower-Nsambya'!L25,'30.07 ClockTower-Nsambya'!L25,'31.07 ClockTower-Nsambya'!L25,'02.08 ClockTower-Nsambya'!L25,'01.08 ClockTower-Nsambya-24h'!L25,'03.08 ClockTower-Nsambya-24h'!L25,'04.08 ClockTower-Nsambya'!L25)</f>
        <v>4.1428571428571432</v>
      </c>
      <c r="M25" s="49">
        <f>AVERAGE('29.07 ClockTower-Nsambya'!M25,'30.07 ClockTower-Nsambya'!M25,'31.07 ClockTower-Nsambya'!M25,'02.08 ClockTower-Nsambya'!M25,'01.08 ClockTower-Nsambya-24h'!M25,'03.08 ClockTower-Nsambya-24h'!M25,'04.08 ClockTower-Nsambya'!M25)</f>
        <v>300</v>
      </c>
      <c r="N25" s="49">
        <f>AVERAGE('29.07 ClockTower-Nsambya'!N25,'30.07 ClockTower-Nsambya'!N25,'31.07 ClockTower-Nsambya'!N25,'02.08 ClockTower-Nsambya'!N25,'01.08 ClockTower-Nsambya-24h'!N25,'03.08 ClockTower-Nsambya-24h'!N25,'04.08 ClockTower-Nsambya'!N25)</f>
        <v>0.14285714285714285</v>
      </c>
      <c r="O25" s="15">
        <f t="shared" si="0"/>
        <v>141.85714285714286</v>
      </c>
      <c r="P25" s="15">
        <f t="shared" si="1"/>
        <v>441.85714285714289</v>
      </c>
      <c r="R25" s="37" t="s">
        <v>85</v>
      </c>
      <c r="S25" s="35">
        <f t="shared" ref="S25:AF25" si="17">SUM(S10:S12)</f>
        <v>563.28571428571422</v>
      </c>
      <c r="T25" s="16">
        <f t="shared" si="17"/>
        <v>112.85714285714286</v>
      </c>
      <c r="U25" s="16">
        <f t="shared" si="17"/>
        <v>61.571428571428569</v>
      </c>
      <c r="V25" s="16">
        <f t="shared" si="17"/>
        <v>854.14285714285722</v>
      </c>
      <c r="W25" s="16">
        <f t="shared" si="17"/>
        <v>28.428571428571423</v>
      </c>
      <c r="X25" s="16">
        <f t="shared" si="17"/>
        <v>10.571428571428573</v>
      </c>
      <c r="Y25" s="16">
        <f t="shared" si="17"/>
        <v>55.857142857142854</v>
      </c>
      <c r="Z25" s="16">
        <f t="shared" si="17"/>
        <v>41.428571428571431</v>
      </c>
      <c r="AA25" s="16">
        <f t="shared" si="17"/>
        <v>27.285714285714285</v>
      </c>
      <c r="AB25" s="16">
        <f t="shared" si="17"/>
        <v>23.857142857142854</v>
      </c>
      <c r="AC25" s="16">
        <f t="shared" si="17"/>
        <v>5276.5714285714284</v>
      </c>
      <c r="AD25" s="16">
        <f t="shared" si="17"/>
        <v>3.7142857142857144</v>
      </c>
      <c r="AE25" s="32">
        <f t="shared" si="17"/>
        <v>1782.9999999999998</v>
      </c>
      <c r="AF25" s="32">
        <f t="shared" si="17"/>
        <v>7059.5714285714284</v>
      </c>
    </row>
    <row r="26" spans="2:32" ht="23.1" customHeight="1" x14ac:dyDescent="0.25">
      <c r="B26" s="23" t="s">
        <v>53</v>
      </c>
      <c r="C26" s="49">
        <f>AVERAGE('29.07 ClockTower-Nsambya'!C26,'30.07 ClockTower-Nsambya'!C26,'31.07 ClockTower-Nsambya'!C26,'02.08 ClockTower-Nsambya'!C26,'01.08 ClockTower-Nsambya-24h'!C26,'03.08 ClockTower-Nsambya-24h'!C26,'04.08 ClockTower-Nsambya'!C26)</f>
        <v>52</v>
      </c>
      <c r="D26" s="49">
        <f>AVERAGE('29.07 ClockTower-Nsambya'!D26,'30.07 ClockTower-Nsambya'!D26,'31.07 ClockTower-Nsambya'!D26,'02.08 ClockTower-Nsambya'!D26,'01.08 ClockTower-Nsambya-24h'!D26,'03.08 ClockTower-Nsambya-24h'!D26,'04.08 ClockTower-Nsambya'!D26)</f>
        <v>12.857142857142858</v>
      </c>
      <c r="E26" s="49">
        <f>AVERAGE('29.07 ClockTower-Nsambya'!E26,'30.07 ClockTower-Nsambya'!E26,'31.07 ClockTower-Nsambya'!E26,'02.08 ClockTower-Nsambya'!E26,'01.08 ClockTower-Nsambya-24h'!E26,'03.08 ClockTower-Nsambya-24h'!E26,'04.08 ClockTower-Nsambya'!E26)</f>
        <v>7</v>
      </c>
      <c r="F26" s="49">
        <f>AVERAGE('29.07 ClockTower-Nsambya'!F26,'30.07 ClockTower-Nsambya'!F26,'31.07 ClockTower-Nsambya'!F26,'02.08 ClockTower-Nsambya'!F26,'01.08 ClockTower-Nsambya-24h'!F26,'03.08 ClockTower-Nsambya-24h'!F26,'04.08 ClockTower-Nsambya'!F26)</f>
        <v>48.714285714285715</v>
      </c>
      <c r="G26" s="49">
        <f>AVERAGE('29.07 ClockTower-Nsambya'!G26,'30.07 ClockTower-Nsambya'!G26,'31.07 ClockTower-Nsambya'!G26,'02.08 ClockTower-Nsambya'!G26,'01.08 ClockTower-Nsambya-24h'!G26,'03.08 ClockTower-Nsambya-24h'!G26,'04.08 ClockTower-Nsambya'!G26)</f>
        <v>0.8571428571428571</v>
      </c>
      <c r="H26" s="49">
        <f>AVERAGE('29.07 ClockTower-Nsambya'!H26,'30.07 ClockTower-Nsambya'!H26,'31.07 ClockTower-Nsambya'!H26,'02.08 ClockTower-Nsambya'!H26,'01.08 ClockTower-Nsambya-24h'!H26,'03.08 ClockTower-Nsambya-24h'!H26,'04.08 ClockTower-Nsambya'!H26)</f>
        <v>0</v>
      </c>
      <c r="I26" s="49">
        <f>AVERAGE('29.07 ClockTower-Nsambya'!I26,'30.07 ClockTower-Nsambya'!I26,'31.07 ClockTower-Nsambya'!I26,'02.08 ClockTower-Nsambya'!I26,'01.08 ClockTower-Nsambya-24h'!I26,'03.08 ClockTower-Nsambya-24h'!I26,'04.08 ClockTower-Nsambya'!I26)</f>
        <v>6.2857142857142856</v>
      </c>
      <c r="J26" s="49">
        <f>AVERAGE('29.07 ClockTower-Nsambya'!J26,'30.07 ClockTower-Nsambya'!J26,'31.07 ClockTower-Nsambya'!J26,'02.08 ClockTower-Nsambya'!J26,'01.08 ClockTower-Nsambya-24h'!J26,'03.08 ClockTower-Nsambya-24h'!J26,'04.08 ClockTower-Nsambya'!J26)</f>
        <v>5.7142857142857144</v>
      </c>
      <c r="K26" s="49">
        <f>AVERAGE('29.07 ClockTower-Nsambya'!K26,'30.07 ClockTower-Nsambya'!K26,'31.07 ClockTower-Nsambya'!K26,'02.08 ClockTower-Nsambya'!K26,'01.08 ClockTower-Nsambya-24h'!K26,'03.08 ClockTower-Nsambya-24h'!K26,'04.08 ClockTower-Nsambya'!K26)</f>
        <v>2.7142857142857144</v>
      </c>
      <c r="L26" s="49">
        <f>AVERAGE('29.07 ClockTower-Nsambya'!L26,'30.07 ClockTower-Nsambya'!L26,'31.07 ClockTower-Nsambya'!L26,'02.08 ClockTower-Nsambya'!L26,'01.08 ClockTower-Nsambya-24h'!L26,'03.08 ClockTower-Nsambya-24h'!L26,'04.08 ClockTower-Nsambya'!L26)</f>
        <v>3.7142857142857144</v>
      </c>
      <c r="M26" s="49">
        <f>AVERAGE('29.07 ClockTower-Nsambya'!M26,'30.07 ClockTower-Nsambya'!M26,'31.07 ClockTower-Nsambya'!M26,'02.08 ClockTower-Nsambya'!M26,'01.08 ClockTower-Nsambya-24h'!M26,'03.08 ClockTower-Nsambya-24h'!M26,'04.08 ClockTower-Nsambya'!M26)</f>
        <v>354.28571428571428</v>
      </c>
      <c r="N26" s="49">
        <f>AVERAGE('29.07 ClockTower-Nsambya'!N26,'30.07 ClockTower-Nsambya'!N26,'31.07 ClockTower-Nsambya'!N26,'02.08 ClockTower-Nsambya'!N26,'01.08 ClockTower-Nsambya-24h'!N26,'03.08 ClockTower-Nsambya-24h'!N26,'04.08 ClockTower-Nsambya'!N26)</f>
        <v>0.14285714285714285</v>
      </c>
      <c r="O26" s="15">
        <f t="shared" si="0"/>
        <v>140.00000000000003</v>
      </c>
      <c r="P26" s="15">
        <f t="shared" si="1"/>
        <v>494.28571428571433</v>
      </c>
      <c r="R26" s="28" t="s">
        <v>86</v>
      </c>
      <c r="S26" s="16">
        <f t="shared" ref="S26:AF26" si="18">SUM(S13:S18)</f>
        <v>1424.714285714286</v>
      </c>
      <c r="T26" s="16">
        <f t="shared" si="18"/>
        <v>486.71428571428572</v>
      </c>
      <c r="U26" s="16">
        <f t="shared" si="18"/>
        <v>273.71428571428572</v>
      </c>
      <c r="V26" s="16">
        <f t="shared" si="18"/>
        <v>1263.7142857142858</v>
      </c>
      <c r="W26" s="16">
        <f t="shared" si="18"/>
        <v>25.571428571428569</v>
      </c>
      <c r="X26" s="16">
        <f t="shared" si="18"/>
        <v>6.5714285714285712</v>
      </c>
      <c r="Y26" s="16">
        <f t="shared" si="18"/>
        <v>172.14285714285714</v>
      </c>
      <c r="Z26" s="16">
        <f t="shared" si="18"/>
        <v>122.14285714285714</v>
      </c>
      <c r="AA26" s="16">
        <f t="shared" si="18"/>
        <v>67.857142857142861</v>
      </c>
      <c r="AB26" s="16">
        <f t="shared" si="18"/>
        <v>85.571428571428584</v>
      </c>
      <c r="AC26" s="16">
        <f t="shared" si="18"/>
        <v>8117.8571428571431</v>
      </c>
      <c r="AD26" s="16">
        <f t="shared" si="18"/>
        <v>4.1428571428571423</v>
      </c>
      <c r="AE26" s="32">
        <f t="shared" si="18"/>
        <v>3932.8571428571431</v>
      </c>
      <c r="AF26" s="32">
        <f t="shared" si="18"/>
        <v>12050.714285714284</v>
      </c>
    </row>
    <row r="27" spans="2:32" ht="23.1" customHeight="1" x14ac:dyDescent="0.25">
      <c r="B27" s="23" t="s">
        <v>54</v>
      </c>
      <c r="C27" s="49">
        <f>AVERAGE('29.07 ClockTower-Nsambya'!C27,'30.07 ClockTower-Nsambya'!C27,'31.07 ClockTower-Nsambya'!C27,'02.08 ClockTower-Nsambya'!C27,'01.08 ClockTower-Nsambya-24h'!C27,'03.08 ClockTower-Nsambya-24h'!C27,'04.08 ClockTower-Nsambya'!C27)</f>
        <v>46.571428571428569</v>
      </c>
      <c r="D27" s="49">
        <f>AVERAGE('29.07 ClockTower-Nsambya'!D27,'30.07 ClockTower-Nsambya'!D27,'31.07 ClockTower-Nsambya'!D27,'02.08 ClockTower-Nsambya'!D27,'01.08 ClockTower-Nsambya-24h'!D27,'03.08 ClockTower-Nsambya-24h'!D27,'04.08 ClockTower-Nsambya'!D27)</f>
        <v>16.428571428571427</v>
      </c>
      <c r="E27" s="49">
        <f>AVERAGE('29.07 ClockTower-Nsambya'!E27,'30.07 ClockTower-Nsambya'!E27,'31.07 ClockTower-Nsambya'!E27,'02.08 ClockTower-Nsambya'!E27,'01.08 ClockTower-Nsambya-24h'!E27,'03.08 ClockTower-Nsambya-24h'!E27,'04.08 ClockTower-Nsambya'!E27)</f>
        <v>7.2857142857142856</v>
      </c>
      <c r="F27" s="49">
        <f>AVERAGE('29.07 ClockTower-Nsambya'!F27,'30.07 ClockTower-Nsambya'!F27,'31.07 ClockTower-Nsambya'!F27,'02.08 ClockTower-Nsambya'!F27,'01.08 ClockTower-Nsambya-24h'!F27,'03.08 ClockTower-Nsambya-24h'!F27,'04.08 ClockTower-Nsambya'!F27)</f>
        <v>52</v>
      </c>
      <c r="G27" s="49">
        <f>AVERAGE('29.07 ClockTower-Nsambya'!G27,'30.07 ClockTower-Nsambya'!G27,'31.07 ClockTower-Nsambya'!G27,'02.08 ClockTower-Nsambya'!G27,'01.08 ClockTower-Nsambya-24h'!G27,'03.08 ClockTower-Nsambya-24h'!G27,'04.08 ClockTower-Nsambya'!G27)</f>
        <v>0.42857142857142855</v>
      </c>
      <c r="H27" s="49">
        <f>AVERAGE('29.07 ClockTower-Nsambya'!H27,'30.07 ClockTower-Nsambya'!H27,'31.07 ClockTower-Nsambya'!H27,'02.08 ClockTower-Nsambya'!H27,'01.08 ClockTower-Nsambya-24h'!H27,'03.08 ClockTower-Nsambya-24h'!H27,'04.08 ClockTower-Nsambya'!H27)</f>
        <v>0.2857142857142857</v>
      </c>
      <c r="I27" s="49">
        <f>AVERAGE('29.07 ClockTower-Nsambya'!I27,'30.07 ClockTower-Nsambya'!I27,'31.07 ClockTower-Nsambya'!I27,'02.08 ClockTower-Nsambya'!I27,'01.08 ClockTower-Nsambya-24h'!I27,'03.08 ClockTower-Nsambya-24h'!I27,'04.08 ClockTower-Nsambya'!I27)</f>
        <v>5</v>
      </c>
      <c r="J27" s="49">
        <f>AVERAGE('29.07 ClockTower-Nsambya'!J27,'30.07 ClockTower-Nsambya'!J27,'31.07 ClockTower-Nsambya'!J27,'02.08 ClockTower-Nsambya'!J27,'01.08 ClockTower-Nsambya-24h'!J27,'03.08 ClockTower-Nsambya-24h'!J27,'04.08 ClockTower-Nsambya'!J27)</f>
        <v>4.2857142857142856</v>
      </c>
      <c r="K27" s="49">
        <f>AVERAGE('29.07 ClockTower-Nsambya'!K27,'30.07 ClockTower-Nsambya'!K27,'31.07 ClockTower-Nsambya'!K27,'02.08 ClockTower-Nsambya'!K27,'01.08 ClockTower-Nsambya-24h'!K27,'03.08 ClockTower-Nsambya-24h'!K27,'04.08 ClockTower-Nsambya'!K27)</f>
        <v>2.7142857142857144</v>
      </c>
      <c r="L27" s="49">
        <f>AVERAGE('29.07 ClockTower-Nsambya'!L27,'30.07 ClockTower-Nsambya'!L27,'31.07 ClockTower-Nsambya'!L27,'02.08 ClockTower-Nsambya'!L27,'01.08 ClockTower-Nsambya-24h'!L27,'03.08 ClockTower-Nsambya-24h'!L27,'04.08 ClockTower-Nsambya'!L27)</f>
        <v>3.1428571428571428</v>
      </c>
      <c r="M27" s="49">
        <f>AVERAGE('29.07 ClockTower-Nsambya'!M27,'30.07 ClockTower-Nsambya'!M27,'31.07 ClockTower-Nsambya'!M27,'02.08 ClockTower-Nsambya'!M27,'01.08 ClockTower-Nsambya-24h'!M27,'03.08 ClockTower-Nsambya-24h'!M27,'04.08 ClockTower-Nsambya'!M27)</f>
        <v>363.28571428571428</v>
      </c>
      <c r="N27" s="49">
        <f>AVERAGE('29.07 ClockTower-Nsambya'!N27,'30.07 ClockTower-Nsambya'!N27,'31.07 ClockTower-Nsambya'!N27,'02.08 ClockTower-Nsambya'!N27,'01.08 ClockTower-Nsambya-24h'!N27,'03.08 ClockTower-Nsambya-24h'!N27,'04.08 ClockTower-Nsambya'!N27)</f>
        <v>0</v>
      </c>
      <c r="O27" s="15">
        <f t="shared" si="0"/>
        <v>138.14285714285714</v>
      </c>
      <c r="P27" s="15">
        <f t="shared" si="1"/>
        <v>501.42857142857144</v>
      </c>
      <c r="R27" s="29" t="s">
        <v>87</v>
      </c>
      <c r="S27" s="16">
        <f t="shared" ref="S27:AF27" si="19">SUM(S19:S21)</f>
        <v>751.28571428571433</v>
      </c>
      <c r="T27" s="16">
        <f t="shared" si="19"/>
        <v>362.28571428571428</v>
      </c>
      <c r="U27" s="16">
        <f t="shared" si="19"/>
        <v>151</v>
      </c>
      <c r="V27" s="16">
        <f t="shared" si="19"/>
        <v>596</v>
      </c>
      <c r="W27" s="16">
        <f t="shared" si="19"/>
        <v>18.142857142857142</v>
      </c>
      <c r="X27" s="16">
        <f t="shared" si="19"/>
        <v>4.8571428571428568</v>
      </c>
      <c r="Y27" s="16">
        <f t="shared" si="19"/>
        <v>83.714285714285722</v>
      </c>
      <c r="Z27" s="16">
        <f t="shared" si="19"/>
        <v>45.285714285714285</v>
      </c>
      <c r="AA27" s="16">
        <f t="shared" si="19"/>
        <v>27.142857142857142</v>
      </c>
      <c r="AB27" s="16">
        <f t="shared" si="19"/>
        <v>30.285714285714285</v>
      </c>
      <c r="AC27" s="16">
        <f t="shared" si="19"/>
        <v>5157.7142857142862</v>
      </c>
      <c r="AD27" s="16">
        <f t="shared" si="19"/>
        <v>2</v>
      </c>
      <c r="AE27" s="32">
        <f t="shared" si="19"/>
        <v>2072</v>
      </c>
      <c r="AF27" s="32">
        <f t="shared" si="19"/>
        <v>7229.7142857142853</v>
      </c>
    </row>
    <row r="28" spans="2:32" ht="23.1" customHeight="1" x14ac:dyDescent="0.25">
      <c r="B28" s="23" t="s">
        <v>55</v>
      </c>
      <c r="C28" s="49">
        <f>AVERAGE('29.07 ClockTower-Nsambya'!C28,'30.07 ClockTower-Nsambya'!C28,'31.07 ClockTower-Nsambya'!C28,'02.08 ClockTower-Nsambya'!C28,'01.08 ClockTower-Nsambya-24h'!C28,'03.08 ClockTower-Nsambya-24h'!C28,'04.08 ClockTower-Nsambya'!C28)</f>
        <v>49.428571428571431</v>
      </c>
      <c r="D28" s="49">
        <f>AVERAGE('29.07 ClockTower-Nsambya'!D28,'30.07 ClockTower-Nsambya'!D28,'31.07 ClockTower-Nsambya'!D28,'02.08 ClockTower-Nsambya'!D28,'01.08 ClockTower-Nsambya-24h'!D28,'03.08 ClockTower-Nsambya-24h'!D28,'04.08 ClockTower-Nsambya'!D28)</f>
        <v>20.142857142857142</v>
      </c>
      <c r="E28" s="49">
        <f>AVERAGE('29.07 ClockTower-Nsambya'!E28,'30.07 ClockTower-Nsambya'!E28,'31.07 ClockTower-Nsambya'!E28,'02.08 ClockTower-Nsambya'!E28,'01.08 ClockTower-Nsambya-24h'!E28,'03.08 ClockTower-Nsambya-24h'!E28,'04.08 ClockTower-Nsambya'!E28)</f>
        <v>10.714285714285714</v>
      </c>
      <c r="F28" s="49">
        <f>AVERAGE('29.07 ClockTower-Nsambya'!F28,'30.07 ClockTower-Nsambya'!F28,'31.07 ClockTower-Nsambya'!F28,'02.08 ClockTower-Nsambya'!F28,'01.08 ClockTower-Nsambya-24h'!F28,'03.08 ClockTower-Nsambya-24h'!F28,'04.08 ClockTower-Nsambya'!F28)</f>
        <v>44.714285714285715</v>
      </c>
      <c r="G28" s="49">
        <f>AVERAGE('29.07 ClockTower-Nsambya'!G28,'30.07 ClockTower-Nsambya'!G28,'31.07 ClockTower-Nsambya'!G28,'02.08 ClockTower-Nsambya'!G28,'01.08 ClockTower-Nsambya-24h'!G28,'03.08 ClockTower-Nsambya-24h'!G28,'04.08 ClockTower-Nsambya'!G28)</f>
        <v>1</v>
      </c>
      <c r="H28" s="49">
        <f>AVERAGE('29.07 ClockTower-Nsambya'!H28,'30.07 ClockTower-Nsambya'!H28,'31.07 ClockTower-Nsambya'!H28,'02.08 ClockTower-Nsambya'!H28,'01.08 ClockTower-Nsambya-24h'!H28,'03.08 ClockTower-Nsambya-24h'!H28,'04.08 ClockTower-Nsambya'!H28)</f>
        <v>0</v>
      </c>
      <c r="I28" s="49">
        <f>AVERAGE('29.07 ClockTower-Nsambya'!I28,'30.07 ClockTower-Nsambya'!I28,'31.07 ClockTower-Nsambya'!I28,'02.08 ClockTower-Nsambya'!I28,'01.08 ClockTower-Nsambya-24h'!I28,'03.08 ClockTower-Nsambya-24h'!I28,'04.08 ClockTower-Nsambya'!I28)</f>
        <v>4.5714285714285712</v>
      </c>
      <c r="J28" s="49">
        <f>AVERAGE('29.07 ClockTower-Nsambya'!J28,'30.07 ClockTower-Nsambya'!J28,'31.07 ClockTower-Nsambya'!J28,'02.08 ClockTower-Nsambya'!J28,'01.08 ClockTower-Nsambya-24h'!J28,'03.08 ClockTower-Nsambya-24h'!J28,'04.08 ClockTower-Nsambya'!J28)</f>
        <v>5.8571428571428568</v>
      </c>
      <c r="K28" s="49">
        <f>AVERAGE('29.07 ClockTower-Nsambya'!K28,'30.07 ClockTower-Nsambya'!K28,'31.07 ClockTower-Nsambya'!K28,'02.08 ClockTower-Nsambya'!K28,'01.08 ClockTower-Nsambya-24h'!K28,'03.08 ClockTower-Nsambya-24h'!K28,'04.08 ClockTower-Nsambya'!K28)</f>
        <v>1.8571428571428572</v>
      </c>
      <c r="L28" s="49">
        <f>AVERAGE('29.07 ClockTower-Nsambya'!L28,'30.07 ClockTower-Nsambya'!L28,'31.07 ClockTower-Nsambya'!L28,'02.08 ClockTower-Nsambya'!L28,'01.08 ClockTower-Nsambya-24h'!L28,'03.08 ClockTower-Nsambya-24h'!L28,'04.08 ClockTower-Nsambya'!L28)</f>
        <v>2.8571428571428572</v>
      </c>
      <c r="M28" s="49">
        <f>AVERAGE('29.07 ClockTower-Nsambya'!M28,'30.07 ClockTower-Nsambya'!M28,'31.07 ClockTower-Nsambya'!M28,'02.08 ClockTower-Nsambya'!M28,'01.08 ClockTower-Nsambya-24h'!M28,'03.08 ClockTower-Nsambya-24h'!M28,'04.08 ClockTower-Nsambya'!M28)</f>
        <v>355.57142857142856</v>
      </c>
      <c r="N28" s="49">
        <f>AVERAGE('29.07 ClockTower-Nsambya'!N28,'30.07 ClockTower-Nsambya'!N28,'31.07 ClockTower-Nsambya'!N28,'02.08 ClockTower-Nsambya'!N28,'01.08 ClockTower-Nsambya-24h'!N28,'03.08 ClockTower-Nsambya-24h'!N28,'04.08 ClockTower-Nsambya'!N28)</f>
        <v>0</v>
      </c>
      <c r="O28" s="15">
        <f t="shared" si="0"/>
        <v>141.14285714285717</v>
      </c>
      <c r="P28" s="15">
        <f t="shared" si="1"/>
        <v>496.71428571428572</v>
      </c>
      <c r="R28" s="5" t="s">
        <v>17</v>
      </c>
      <c r="S28" s="16">
        <f t="shared" ref="S28:AF28" si="20">SUM(S10:S21)</f>
        <v>2739.2857142857147</v>
      </c>
      <c r="T28" s="16">
        <f t="shared" si="20"/>
        <v>961.85714285714289</v>
      </c>
      <c r="U28" s="16">
        <f t="shared" si="20"/>
        <v>486.28571428571433</v>
      </c>
      <c r="V28" s="16">
        <f t="shared" si="20"/>
        <v>2713.8571428571427</v>
      </c>
      <c r="W28" s="16">
        <f t="shared" si="20"/>
        <v>72.142857142857139</v>
      </c>
      <c r="X28" s="16">
        <f t="shared" si="20"/>
        <v>21.999999999999996</v>
      </c>
      <c r="Y28" s="16">
        <f t="shared" si="20"/>
        <v>311.71428571428578</v>
      </c>
      <c r="Z28" s="16">
        <f t="shared" si="20"/>
        <v>208.85714285714283</v>
      </c>
      <c r="AA28" s="16">
        <f t="shared" si="20"/>
        <v>122.28571428571429</v>
      </c>
      <c r="AB28" s="16">
        <f t="shared" si="20"/>
        <v>139.71428571428569</v>
      </c>
      <c r="AC28" s="16">
        <f t="shared" si="20"/>
        <v>18552.142857142855</v>
      </c>
      <c r="AD28" s="16">
        <f t="shared" si="20"/>
        <v>9.8571428571428577</v>
      </c>
      <c r="AE28" s="32">
        <f t="shared" si="20"/>
        <v>7787.8571428571431</v>
      </c>
      <c r="AF28" s="32">
        <f t="shared" si="20"/>
        <v>26340.000000000004</v>
      </c>
    </row>
    <row r="29" spans="2:32" ht="23.1" customHeight="1" x14ac:dyDescent="0.25">
      <c r="B29" s="23" t="s">
        <v>56</v>
      </c>
      <c r="C29" s="49">
        <f>AVERAGE('29.07 ClockTower-Nsambya'!C29,'30.07 ClockTower-Nsambya'!C29,'31.07 ClockTower-Nsambya'!C29,'02.08 ClockTower-Nsambya'!C29,'01.08 ClockTower-Nsambya-24h'!C29,'03.08 ClockTower-Nsambya-24h'!C29,'04.08 ClockTower-Nsambya'!C29)</f>
        <v>52</v>
      </c>
      <c r="D29" s="49">
        <f>AVERAGE('29.07 ClockTower-Nsambya'!D29,'30.07 ClockTower-Nsambya'!D29,'31.07 ClockTower-Nsambya'!D29,'02.08 ClockTower-Nsambya'!D29,'01.08 ClockTower-Nsambya-24h'!D29,'03.08 ClockTower-Nsambya-24h'!D29,'04.08 ClockTower-Nsambya'!D29)</f>
        <v>15.285714285714286</v>
      </c>
      <c r="E29" s="49">
        <f>AVERAGE('29.07 ClockTower-Nsambya'!E29,'30.07 ClockTower-Nsambya'!E29,'31.07 ClockTower-Nsambya'!E29,'02.08 ClockTower-Nsambya'!E29,'01.08 ClockTower-Nsambya-24h'!E29,'03.08 ClockTower-Nsambya-24h'!E29,'04.08 ClockTower-Nsambya'!E29)</f>
        <v>8.7142857142857135</v>
      </c>
      <c r="F29" s="49">
        <f>AVERAGE('29.07 ClockTower-Nsambya'!F29,'30.07 ClockTower-Nsambya'!F29,'31.07 ClockTower-Nsambya'!F29,'02.08 ClockTower-Nsambya'!F29,'01.08 ClockTower-Nsambya-24h'!F29,'03.08 ClockTower-Nsambya-24h'!F29,'04.08 ClockTower-Nsambya'!F29)</f>
        <v>50</v>
      </c>
      <c r="G29" s="49">
        <f>AVERAGE('29.07 ClockTower-Nsambya'!G29,'30.07 ClockTower-Nsambya'!G29,'31.07 ClockTower-Nsambya'!G29,'02.08 ClockTower-Nsambya'!G29,'01.08 ClockTower-Nsambya-24h'!G29,'03.08 ClockTower-Nsambya-24h'!G29,'04.08 ClockTower-Nsambya'!G29)</f>
        <v>1.2857142857142858</v>
      </c>
      <c r="H29" s="49">
        <f>AVERAGE('29.07 ClockTower-Nsambya'!H29,'30.07 ClockTower-Nsambya'!H29,'31.07 ClockTower-Nsambya'!H29,'02.08 ClockTower-Nsambya'!H29,'01.08 ClockTower-Nsambya-24h'!H29,'03.08 ClockTower-Nsambya-24h'!H29,'04.08 ClockTower-Nsambya'!H29)</f>
        <v>0.42857142857142855</v>
      </c>
      <c r="I29" s="49">
        <f>AVERAGE('29.07 ClockTower-Nsambya'!I29,'30.07 ClockTower-Nsambya'!I29,'31.07 ClockTower-Nsambya'!I29,'02.08 ClockTower-Nsambya'!I29,'01.08 ClockTower-Nsambya-24h'!I29,'03.08 ClockTower-Nsambya-24h'!I29,'04.08 ClockTower-Nsambya'!I29)</f>
        <v>5</v>
      </c>
      <c r="J29" s="49">
        <f>AVERAGE('29.07 ClockTower-Nsambya'!J29,'30.07 ClockTower-Nsambya'!J29,'31.07 ClockTower-Nsambya'!J29,'02.08 ClockTower-Nsambya'!J29,'01.08 ClockTower-Nsambya-24h'!J29,'03.08 ClockTower-Nsambya-24h'!J29,'04.08 ClockTower-Nsambya'!J29)</f>
        <v>4</v>
      </c>
      <c r="K29" s="49">
        <f>AVERAGE('29.07 ClockTower-Nsambya'!K29,'30.07 ClockTower-Nsambya'!K29,'31.07 ClockTower-Nsambya'!K29,'02.08 ClockTower-Nsambya'!K29,'01.08 ClockTower-Nsambya-24h'!K29,'03.08 ClockTower-Nsambya-24h'!K29,'04.08 ClockTower-Nsambya'!K29)</f>
        <v>2</v>
      </c>
      <c r="L29" s="49">
        <f>AVERAGE('29.07 ClockTower-Nsambya'!L29,'30.07 ClockTower-Nsambya'!L29,'31.07 ClockTower-Nsambya'!L29,'02.08 ClockTower-Nsambya'!L29,'01.08 ClockTower-Nsambya-24h'!L29,'03.08 ClockTower-Nsambya-24h'!L29,'04.08 ClockTower-Nsambya'!L29)</f>
        <v>3</v>
      </c>
      <c r="M29" s="49">
        <f>AVERAGE('29.07 ClockTower-Nsambya'!M29,'30.07 ClockTower-Nsambya'!M29,'31.07 ClockTower-Nsambya'!M29,'02.08 ClockTower-Nsambya'!M29,'01.08 ClockTower-Nsambya-24h'!M29,'03.08 ClockTower-Nsambya-24h'!M29,'04.08 ClockTower-Nsambya'!M29)</f>
        <v>358.57142857142856</v>
      </c>
      <c r="N29" s="49">
        <f>AVERAGE('29.07 ClockTower-Nsambya'!N29,'30.07 ClockTower-Nsambya'!N29,'31.07 ClockTower-Nsambya'!N29,'02.08 ClockTower-Nsambya'!N29,'01.08 ClockTower-Nsambya-24h'!N29,'03.08 ClockTower-Nsambya-24h'!N29,'04.08 ClockTower-Nsambya'!N29)</f>
        <v>0.2857142857142857</v>
      </c>
      <c r="O29" s="15">
        <f t="shared" si="0"/>
        <v>142</v>
      </c>
      <c r="P29" s="15">
        <f t="shared" si="1"/>
        <v>500.57142857142856</v>
      </c>
      <c r="R29"/>
      <c r="S29" s="20"/>
      <c r="T29" s="19"/>
    </row>
    <row r="30" spans="2:32" ht="23.1" customHeight="1" x14ac:dyDescent="0.25">
      <c r="B30" s="23" t="s">
        <v>57</v>
      </c>
      <c r="C30" s="49">
        <f>AVERAGE('29.07 ClockTower-Nsambya'!C30,'30.07 ClockTower-Nsambya'!C30,'31.07 ClockTower-Nsambya'!C30,'02.08 ClockTower-Nsambya'!C30,'01.08 ClockTower-Nsambya-24h'!C30,'03.08 ClockTower-Nsambya-24h'!C30,'04.08 ClockTower-Nsambya'!C30)</f>
        <v>49.857142857142854</v>
      </c>
      <c r="D30" s="49">
        <f>AVERAGE('29.07 ClockTower-Nsambya'!D30,'30.07 ClockTower-Nsambya'!D30,'31.07 ClockTower-Nsambya'!D30,'02.08 ClockTower-Nsambya'!D30,'01.08 ClockTower-Nsambya-24h'!D30,'03.08 ClockTower-Nsambya-24h'!D30,'04.08 ClockTower-Nsambya'!D30)</f>
        <v>25.285714285714285</v>
      </c>
      <c r="E30" s="49">
        <f>AVERAGE('29.07 ClockTower-Nsambya'!E30,'30.07 ClockTower-Nsambya'!E30,'31.07 ClockTower-Nsambya'!E30,'02.08 ClockTower-Nsambya'!E30,'01.08 ClockTower-Nsambya-24h'!E30,'03.08 ClockTower-Nsambya-24h'!E30,'04.08 ClockTower-Nsambya'!E30)</f>
        <v>7.5714285714285712</v>
      </c>
      <c r="F30" s="49">
        <f>AVERAGE('29.07 ClockTower-Nsambya'!F30,'30.07 ClockTower-Nsambya'!F30,'31.07 ClockTower-Nsambya'!F30,'02.08 ClockTower-Nsambya'!F30,'01.08 ClockTower-Nsambya-24h'!F30,'03.08 ClockTower-Nsambya-24h'!F30,'04.08 ClockTower-Nsambya'!F30)</f>
        <v>55.714285714285715</v>
      </c>
      <c r="G30" s="49">
        <f>AVERAGE('29.07 ClockTower-Nsambya'!G30,'30.07 ClockTower-Nsambya'!G30,'31.07 ClockTower-Nsambya'!G30,'02.08 ClockTower-Nsambya'!G30,'01.08 ClockTower-Nsambya-24h'!G30,'03.08 ClockTower-Nsambya-24h'!G30,'04.08 ClockTower-Nsambya'!G30)</f>
        <v>1</v>
      </c>
      <c r="H30" s="49">
        <f>AVERAGE('29.07 ClockTower-Nsambya'!H30,'30.07 ClockTower-Nsambya'!H30,'31.07 ClockTower-Nsambya'!H30,'02.08 ClockTower-Nsambya'!H30,'01.08 ClockTower-Nsambya-24h'!H30,'03.08 ClockTower-Nsambya-24h'!H30,'04.08 ClockTower-Nsambya'!H30)</f>
        <v>0.42857142857142855</v>
      </c>
      <c r="I30" s="49">
        <f>AVERAGE('29.07 ClockTower-Nsambya'!I30,'30.07 ClockTower-Nsambya'!I30,'31.07 ClockTower-Nsambya'!I30,'02.08 ClockTower-Nsambya'!I30,'01.08 ClockTower-Nsambya-24h'!I30,'03.08 ClockTower-Nsambya-24h'!I30,'04.08 ClockTower-Nsambya'!I30)</f>
        <v>7.2857142857142856</v>
      </c>
      <c r="J30" s="49">
        <f>AVERAGE('29.07 ClockTower-Nsambya'!J30,'30.07 ClockTower-Nsambya'!J30,'31.07 ClockTower-Nsambya'!J30,'02.08 ClockTower-Nsambya'!J30,'01.08 ClockTower-Nsambya-24h'!J30,'03.08 ClockTower-Nsambya-24h'!J30,'04.08 ClockTower-Nsambya'!J30)</f>
        <v>3.7142857142857144</v>
      </c>
      <c r="K30" s="49">
        <f>AVERAGE('29.07 ClockTower-Nsambya'!K30,'30.07 ClockTower-Nsambya'!K30,'31.07 ClockTower-Nsambya'!K30,'02.08 ClockTower-Nsambya'!K30,'01.08 ClockTower-Nsambya-24h'!K30,'03.08 ClockTower-Nsambya-24h'!K30,'04.08 ClockTower-Nsambya'!K30)</f>
        <v>2.8571428571428572</v>
      </c>
      <c r="L30" s="49">
        <f>AVERAGE('29.07 ClockTower-Nsambya'!L30,'30.07 ClockTower-Nsambya'!L30,'31.07 ClockTower-Nsambya'!L30,'02.08 ClockTower-Nsambya'!L30,'01.08 ClockTower-Nsambya-24h'!L30,'03.08 ClockTower-Nsambya-24h'!L30,'04.08 ClockTower-Nsambya'!L30)</f>
        <v>2.4285714285714284</v>
      </c>
      <c r="M30" s="49">
        <f>AVERAGE('29.07 ClockTower-Nsambya'!M30,'30.07 ClockTower-Nsambya'!M30,'31.07 ClockTower-Nsambya'!M30,'02.08 ClockTower-Nsambya'!M30,'01.08 ClockTower-Nsambya-24h'!M30,'03.08 ClockTower-Nsambya-24h'!M30,'04.08 ClockTower-Nsambya'!M30)</f>
        <v>252.28571428571428</v>
      </c>
      <c r="N30" s="49">
        <f>AVERAGE('29.07 ClockTower-Nsambya'!N30,'30.07 ClockTower-Nsambya'!N30,'31.07 ClockTower-Nsambya'!N30,'02.08 ClockTower-Nsambya'!N30,'01.08 ClockTower-Nsambya-24h'!N30,'03.08 ClockTower-Nsambya-24h'!N30,'04.08 ClockTower-Nsambya'!N30)</f>
        <v>0</v>
      </c>
      <c r="O30" s="15">
        <f t="shared" si="0"/>
        <v>156.14285714285711</v>
      </c>
      <c r="P30" s="15">
        <f t="shared" si="1"/>
        <v>408.42857142857139</v>
      </c>
    </row>
    <row r="31" spans="2:32" ht="23.1" customHeight="1" x14ac:dyDescent="0.25">
      <c r="B31" s="24" t="s">
        <v>58</v>
      </c>
      <c r="C31" s="49">
        <f>AVERAGE('29.07 ClockTower-Nsambya'!C31,'30.07 ClockTower-Nsambya'!C31,'31.07 ClockTower-Nsambya'!C31,'02.08 ClockTower-Nsambya'!C31,'01.08 ClockTower-Nsambya-24h'!C31,'03.08 ClockTower-Nsambya-24h'!C31,'04.08 ClockTower-Nsambya'!C31)</f>
        <v>58.285714285714285</v>
      </c>
      <c r="D31" s="49">
        <f>AVERAGE('29.07 ClockTower-Nsambya'!D31,'30.07 ClockTower-Nsambya'!D31,'31.07 ClockTower-Nsambya'!D31,'02.08 ClockTower-Nsambya'!D31,'01.08 ClockTower-Nsambya-24h'!D31,'03.08 ClockTower-Nsambya-24h'!D31,'04.08 ClockTower-Nsambya'!D31)</f>
        <v>27.571428571428573</v>
      </c>
      <c r="E31" s="49">
        <f>AVERAGE('29.07 ClockTower-Nsambya'!E31,'30.07 ClockTower-Nsambya'!E31,'31.07 ClockTower-Nsambya'!E31,'02.08 ClockTower-Nsambya'!E31,'01.08 ClockTower-Nsambya-24h'!E31,'03.08 ClockTower-Nsambya-24h'!E31,'04.08 ClockTower-Nsambya'!E31)</f>
        <v>17.714285714285715</v>
      </c>
      <c r="F31" s="49">
        <f>AVERAGE('29.07 ClockTower-Nsambya'!F31,'30.07 ClockTower-Nsambya'!F31,'31.07 ClockTower-Nsambya'!F31,'02.08 ClockTower-Nsambya'!F31,'01.08 ClockTower-Nsambya-24h'!F31,'03.08 ClockTower-Nsambya-24h'!F31,'04.08 ClockTower-Nsambya'!F31)</f>
        <v>54.714285714285715</v>
      </c>
      <c r="G31" s="49">
        <f>AVERAGE('29.07 ClockTower-Nsambya'!G31,'30.07 ClockTower-Nsambya'!G31,'31.07 ClockTower-Nsambya'!G31,'02.08 ClockTower-Nsambya'!G31,'01.08 ClockTower-Nsambya-24h'!G31,'03.08 ClockTower-Nsambya-24h'!G31,'04.08 ClockTower-Nsambya'!G31)</f>
        <v>0.5714285714285714</v>
      </c>
      <c r="H31" s="49">
        <f>AVERAGE('29.07 ClockTower-Nsambya'!H31,'30.07 ClockTower-Nsambya'!H31,'31.07 ClockTower-Nsambya'!H31,'02.08 ClockTower-Nsambya'!H31,'01.08 ClockTower-Nsambya-24h'!H31,'03.08 ClockTower-Nsambya-24h'!H31,'04.08 ClockTower-Nsambya'!H31)</f>
        <v>0.42857142857142855</v>
      </c>
      <c r="I31" s="49">
        <f>AVERAGE('29.07 ClockTower-Nsambya'!I31,'30.07 ClockTower-Nsambya'!I31,'31.07 ClockTower-Nsambya'!I31,'02.08 ClockTower-Nsambya'!I31,'01.08 ClockTower-Nsambya-24h'!I31,'03.08 ClockTower-Nsambya-24h'!I31,'04.08 ClockTower-Nsambya'!I31)</f>
        <v>6.5714285714285712</v>
      </c>
      <c r="J31" s="49">
        <f>AVERAGE('29.07 ClockTower-Nsambya'!J31,'30.07 ClockTower-Nsambya'!J31,'31.07 ClockTower-Nsambya'!J31,'02.08 ClockTower-Nsambya'!J31,'01.08 ClockTower-Nsambya-24h'!J31,'03.08 ClockTower-Nsambya-24h'!J31,'04.08 ClockTower-Nsambya'!J31)</f>
        <v>3.7142857142857144</v>
      </c>
      <c r="K31" s="49">
        <f>AVERAGE('29.07 ClockTower-Nsambya'!K31,'30.07 ClockTower-Nsambya'!K31,'31.07 ClockTower-Nsambya'!K31,'02.08 ClockTower-Nsambya'!K31,'01.08 ClockTower-Nsambya-24h'!K31,'03.08 ClockTower-Nsambya-24h'!K31,'04.08 ClockTower-Nsambya'!K31)</f>
        <v>2.4285714285714284</v>
      </c>
      <c r="L31" s="49">
        <f>AVERAGE('29.07 ClockTower-Nsambya'!L31,'30.07 ClockTower-Nsambya'!L31,'31.07 ClockTower-Nsambya'!L31,'02.08 ClockTower-Nsambya'!L31,'01.08 ClockTower-Nsambya-24h'!L31,'03.08 ClockTower-Nsambya-24h'!L31,'04.08 ClockTower-Nsambya'!L31)</f>
        <v>3</v>
      </c>
      <c r="M31" s="49">
        <f>AVERAGE('29.07 ClockTower-Nsambya'!M31,'30.07 ClockTower-Nsambya'!M31,'31.07 ClockTower-Nsambya'!M31,'02.08 ClockTower-Nsambya'!M31,'01.08 ClockTower-Nsambya-24h'!M31,'03.08 ClockTower-Nsambya-24h'!M31,'04.08 ClockTower-Nsambya'!M31)</f>
        <v>358.14285714285717</v>
      </c>
      <c r="N31" s="49">
        <f>AVERAGE('29.07 ClockTower-Nsambya'!N31,'30.07 ClockTower-Nsambya'!N31,'31.07 ClockTower-Nsambya'!N31,'02.08 ClockTower-Nsambya'!N31,'01.08 ClockTower-Nsambya-24h'!N31,'03.08 ClockTower-Nsambya-24h'!N31,'04.08 ClockTower-Nsambya'!N31)</f>
        <v>0.14285714285714285</v>
      </c>
      <c r="O31" s="15">
        <f t="shared" si="0"/>
        <v>175.14285714285717</v>
      </c>
      <c r="P31" s="15">
        <f t="shared" si="1"/>
        <v>533.28571428571433</v>
      </c>
    </row>
    <row r="32" spans="2:32" ht="23.1" customHeight="1" x14ac:dyDescent="0.25">
      <c r="B32" s="24" t="s">
        <v>59</v>
      </c>
      <c r="C32" s="49">
        <f>AVERAGE('29.07 ClockTower-Nsambya'!C32,'30.07 ClockTower-Nsambya'!C32,'31.07 ClockTower-Nsambya'!C32,'02.08 ClockTower-Nsambya'!C32,'01.08 ClockTower-Nsambya-24h'!C32,'03.08 ClockTower-Nsambya-24h'!C32,'04.08 ClockTower-Nsambya'!C32)</f>
        <v>56.571428571428569</v>
      </c>
      <c r="D32" s="49">
        <f>AVERAGE('29.07 ClockTower-Nsambya'!D32,'30.07 ClockTower-Nsambya'!D32,'31.07 ClockTower-Nsambya'!D32,'02.08 ClockTower-Nsambya'!D32,'01.08 ClockTower-Nsambya-24h'!D32,'03.08 ClockTower-Nsambya-24h'!D32,'04.08 ClockTower-Nsambya'!D32)</f>
        <v>26.428571428571427</v>
      </c>
      <c r="E32" s="49">
        <f>AVERAGE('29.07 ClockTower-Nsambya'!E32,'30.07 ClockTower-Nsambya'!E32,'31.07 ClockTower-Nsambya'!E32,'02.08 ClockTower-Nsambya'!E32,'01.08 ClockTower-Nsambya-24h'!E32,'03.08 ClockTower-Nsambya-24h'!E32,'04.08 ClockTower-Nsambya'!E32)</f>
        <v>15.857142857142858</v>
      </c>
      <c r="F32" s="49">
        <f>AVERAGE('29.07 ClockTower-Nsambya'!F32,'30.07 ClockTower-Nsambya'!F32,'31.07 ClockTower-Nsambya'!F32,'02.08 ClockTower-Nsambya'!F32,'01.08 ClockTower-Nsambya-24h'!F32,'03.08 ClockTower-Nsambya-24h'!F32,'04.08 ClockTower-Nsambya'!F32)</f>
        <v>60</v>
      </c>
      <c r="G32" s="49">
        <f>AVERAGE('29.07 ClockTower-Nsambya'!G32,'30.07 ClockTower-Nsambya'!G32,'31.07 ClockTower-Nsambya'!G32,'02.08 ClockTower-Nsambya'!G32,'01.08 ClockTower-Nsambya-24h'!G32,'03.08 ClockTower-Nsambya-24h'!G32,'04.08 ClockTower-Nsambya'!G32)</f>
        <v>0.42857142857142855</v>
      </c>
      <c r="H32" s="49">
        <f>AVERAGE('29.07 ClockTower-Nsambya'!H32,'30.07 ClockTower-Nsambya'!H32,'31.07 ClockTower-Nsambya'!H32,'02.08 ClockTower-Nsambya'!H32,'01.08 ClockTower-Nsambya-24h'!H32,'03.08 ClockTower-Nsambya-24h'!H32,'04.08 ClockTower-Nsambya'!H32)</f>
        <v>0.14285714285714285</v>
      </c>
      <c r="I32" s="49">
        <f>AVERAGE('29.07 ClockTower-Nsambya'!I32,'30.07 ClockTower-Nsambya'!I32,'31.07 ClockTower-Nsambya'!I32,'02.08 ClockTower-Nsambya'!I32,'01.08 ClockTower-Nsambya-24h'!I32,'03.08 ClockTower-Nsambya-24h'!I32,'04.08 ClockTower-Nsambya'!I32)</f>
        <v>5.5714285714285712</v>
      </c>
      <c r="J32" s="49">
        <f>AVERAGE('29.07 ClockTower-Nsambya'!J32,'30.07 ClockTower-Nsambya'!J32,'31.07 ClockTower-Nsambya'!J32,'02.08 ClockTower-Nsambya'!J32,'01.08 ClockTower-Nsambya-24h'!J32,'03.08 ClockTower-Nsambya-24h'!J32,'04.08 ClockTower-Nsambya'!J32)</f>
        <v>4.7142857142857144</v>
      </c>
      <c r="K32" s="49">
        <f>AVERAGE('29.07 ClockTower-Nsambya'!K32,'30.07 ClockTower-Nsambya'!K32,'31.07 ClockTower-Nsambya'!K32,'02.08 ClockTower-Nsambya'!K32,'01.08 ClockTower-Nsambya-24h'!K32,'03.08 ClockTower-Nsambya-24h'!K32,'04.08 ClockTower-Nsambya'!K32)</f>
        <v>3.5714285714285716</v>
      </c>
      <c r="L32" s="49">
        <f>AVERAGE('29.07 ClockTower-Nsambya'!L32,'30.07 ClockTower-Nsambya'!L32,'31.07 ClockTower-Nsambya'!L32,'02.08 ClockTower-Nsambya'!L32,'01.08 ClockTower-Nsambya-24h'!L32,'03.08 ClockTower-Nsambya-24h'!L32,'04.08 ClockTower-Nsambya'!L32)</f>
        <v>3</v>
      </c>
      <c r="M32" s="49">
        <f>AVERAGE('29.07 ClockTower-Nsambya'!M32,'30.07 ClockTower-Nsambya'!M32,'31.07 ClockTower-Nsambya'!M32,'02.08 ClockTower-Nsambya'!M32,'01.08 ClockTower-Nsambya-24h'!M32,'03.08 ClockTower-Nsambya-24h'!M32,'04.08 ClockTower-Nsambya'!M32)</f>
        <v>303</v>
      </c>
      <c r="N32" s="49">
        <f>AVERAGE('29.07 ClockTower-Nsambya'!N32,'30.07 ClockTower-Nsambya'!N32,'31.07 ClockTower-Nsambya'!N32,'02.08 ClockTower-Nsambya'!N32,'01.08 ClockTower-Nsambya-24h'!N32,'03.08 ClockTower-Nsambya-24h'!N32,'04.08 ClockTower-Nsambya'!N32)</f>
        <v>0.14285714285714285</v>
      </c>
      <c r="O32" s="15">
        <f t="shared" si="0"/>
        <v>176.42857142857144</v>
      </c>
      <c r="P32" s="15">
        <f t="shared" si="1"/>
        <v>479.4285714285715</v>
      </c>
    </row>
    <row r="33" spans="2:20" ht="23.1" customHeight="1" x14ac:dyDescent="0.25">
      <c r="B33" s="23" t="s">
        <v>60</v>
      </c>
      <c r="C33" s="49">
        <f>AVERAGE('29.07 ClockTower-Nsambya'!C33,'30.07 ClockTower-Nsambya'!C33,'31.07 ClockTower-Nsambya'!C33,'02.08 ClockTower-Nsambya'!C33,'01.08 ClockTower-Nsambya-24h'!C33,'03.08 ClockTower-Nsambya-24h'!C33,'04.08 ClockTower-Nsambya'!C33)</f>
        <v>67.428571428571431</v>
      </c>
      <c r="D33" s="49">
        <f>AVERAGE('29.07 ClockTower-Nsambya'!D33,'30.07 ClockTower-Nsambya'!D33,'31.07 ClockTower-Nsambya'!D33,'02.08 ClockTower-Nsambya'!D33,'01.08 ClockTower-Nsambya-24h'!D33,'03.08 ClockTower-Nsambya-24h'!D33,'04.08 ClockTower-Nsambya'!D33)</f>
        <v>22</v>
      </c>
      <c r="E33" s="49">
        <f>AVERAGE('29.07 ClockTower-Nsambya'!E33,'30.07 ClockTower-Nsambya'!E33,'31.07 ClockTower-Nsambya'!E33,'02.08 ClockTower-Nsambya'!E33,'01.08 ClockTower-Nsambya-24h'!E33,'03.08 ClockTower-Nsambya-24h'!E33,'04.08 ClockTower-Nsambya'!E33)</f>
        <v>15</v>
      </c>
      <c r="F33" s="49">
        <f>AVERAGE('29.07 ClockTower-Nsambya'!F33,'30.07 ClockTower-Nsambya'!F33,'31.07 ClockTower-Nsambya'!F33,'02.08 ClockTower-Nsambya'!F33,'01.08 ClockTower-Nsambya-24h'!F33,'03.08 ClockTower-Nsambya-24h'!F33,'04.08 ClockTower-Nsambya'!F33)</f>
        <v>56.714285714285715</v>
      </c>
      <c r="G33" s="49">
        <f>AVERAGE('29.07 ClockTower-Nsambya'!G33,'30.07 ClockTower-Nsambya'!G33,'31.07 ClockTower-Nsambya'!G33,'02.08 ClockTower-Nsambya'!G33,'01.08 ClockTower-Nsambya-24h'!G33,'03.08 ClockTower-Nsambya-24h'!G33,'04.08 ClockTower-Nsambya'!G33)</f>
        <v>1.4285714285714286</v>
      </c>
      <c r="H33" s="49">
        <f>AVERAGE('29.07 ClockTower-Nsambya'!H33,'30.07 ClockTower-Nsambya'!H33,'31.07 ClockTower-Nsambya'!H33,'02.08 ClockTower-Nsambya'!H33,'01.08 ClockTower-Nsambya-24h'!H33,'03.08 ClockTower-Nsambya-24h'!H33,'04.08 ClockTower-Nsambya'!H33)</f>
        <v>0.5714285714285714</v>
      </c>
      <c r="I33" s="49">
        <f>AVERAGE('29.07 ClockTower-Nsambya'!I33,'30.07 ClockTower-Nsambya'!I33,'31.07 ClockTower-Nsambya'!I33,'02.08 ClockTower-Nsambya'!I33,'01.08 ClockTower-Nsambya-24h'!I33,'03.08 ClockTower-Nsambya-24h'!I33,'04.08 ClockTower-Nsambya'!I33)</f>
        <v>6.1428571428571432</v>
      </c>
      <c r="J33" s="49">
        <f>AVERAGE('29.07 ClockTower-Nsambya'!J33,'30.07 ClockTower-Nsambya'!J33,'31.07 ClockTower-Nsambya'!J33,'02.08 ClockTower-Nsambya'!J33,'01.08 ClockTower-Nsambya-24h'!J33,'03.08 ClockTower-Nsambya-24h'!J33,'04.08 ClockTower-Nsambya'!J33)</f>
        <v>6</v>
      </c>
      <c r="K33" s="49">
        <f>AVERAGE('29.07 ClockTower-Nsambya'!K33,'30.07 ClockTower-Nsambya'!K33,'31.07 ClockTower-Nsambya'!K33,'02.08 ClockTower-Nsambya'!K33,'01.08 ClockTower-Nsambya-24h'!K33,'03.08 ClockTower-Nsambya-24h'!K33,'04.08 ClockTower-Nsambya'!K33)</f>
        <v>3.5714285714285716</v>
      </c>
      <c r="L33" s="49">
        <f>AVERAGE('29.07 ClockTower-Nsambya'!L33,'30.07 ClockTower-Nsambya'!L33,'31.07 ClockTower-Nsambya'!L33,'02.08 ClockTower-Nsambya'!L33,'01.08 ClockTower-Nsambya-24h'!L33,'03.08 ClockTower-Nsambya-24h'!L33,'04.08 ClockTower-Nsambya'!L33)</f>
        <v>5</v>
      </c>
      <c r="M33" s="49">
        <f>AVERAGE('29.07 ClockTower-Nsambya'!M33,'30.07 ClockTower-Nsambya'!M33,'31.07 ClockTower-Nsambya'!M33,'02.08 ClockTower-Nsambya'!M33,'01.08 ClockTower-Nsambya-24h'!M33,'03.08 ClockTower-Nsambya-24h'!M33,'04.08 ClockTower-Nsambya'!M33)</f>
        <v>341.28571428571428</v>
      </c>
      <c r="N33" s="49">
        <f>AVERAGE('29.07 ClockTower-Nsambya'!N33,'30.07 ClockTower-Nsambya'!N33,'31.07 ClockTower-Nsambya'!N33,'02.08 ClockTower-Nsambya'!N33,'01.08 ClockTower-Nsambya-24h'!N33,'03.08 ClockTower-Nsambya-24h'!N33,'04.08 ClockTower-Nsambya'!N33)</f>
        <v>0.14285714285714285</v>
      </c>
      <c r="O33" s="15">
        <f t="shared" si="0"/>
        <v>184</v>
      </c>
      <c r="P33" s="15">
        <f t="shared" si="1"/>
        <v>525.28571428571422</v>
      </c>
    </row>
    <row r="34" spans="2:20" ht="23.1" customHeight="1" x14ac:dyDescent="0.25">
      <c r="B34" s="24" t="s">
        <v>61</v>
      </c>
      <c r="C34" s="49">
        <f>AVERAGE('29.07 ClockTower-Nsambya'!C34,'30.07 ClockTower-Nsambya'!C34,'31.07 ClockTower-Nsambya'!C34,'02.08 ClockTower-Nsambya'!C34,'01.08 ClockTower-Nsambya-24h'!C34,'03.08 ClockTower-Nsambya-24h'!C34,'04.08 ClockTower-Nsambya'!C34)</f>
        <v>53.714285714285715</v>
      </c>
      <c r="D34" s="49">
        <f>AVERAGE('29.07 ClockTower-Nsambya'!D34,'30.07 ClockTower-Nsambya'!D34,'31.07 ClockTower-Nsambya'!D34,'02.08 ClockTower-Nsambya'!D34,'01.08 ClockTower-Nsambya-24h'!D34,'03.08 ClockTower-Nsambya-24h'!D34,'04.08 ClockTower-Nsambya'!D34)</f>
        <v>29</v>
      </c>
      <c r="E34" s="49">
        <f>AVERAGE('29.07 ClockTower-Nsambya'!E34,'30.07 ClockTower-Nsambya'!E34,'31.07 ClockTower-Nsambya'!E34,'02.08 ClockTower-Nsambya'!E34,'01.08 ClockTower-Nsambya-24h'!E34,'03.08 ClockTower-Nsambya-24h'!E34,'04.08 ClockTower-Nsambya'!E34)</f>
        <v>15</v>
      </c>
      <c r="F34" s="49">
        <f>AVERAGE('29.07 ClockTower-Nsambya'!F34,'30.07 ClockTower-Nsambya'!F34,'31.07 ClockTower-Nsambya'!F34,'02.08 ClockTower-Nsambya'!F34,'01.08 ClockTower-Nsambya-24h'!F34,'03.08 ClockTower-Nsambya-24h'!F34,'04.08 ClockTower-Nsambya'!F34)</f>
        <v>53.714285714285715</v>
      </c>
      <c r="G34" s="49">
        <f>AVERAGE('29.07 ClockTower-Nsambya'!G34,'30.07 ClockTower-Nsambya'!G34,'31.07 ClockTower-Nsambya'!G34,'02.08 ClockTower-Nsambya'!G34,'01.08 ClockTower-Nsambya-24h'!G34,'03.08 ClockTower-Nsambya-24h'!G34,'04.08 ClockTower-Nsambya'!G34)</f>
        <v>0.7142857142857143</v>
      </c>
      <c r="H34" s="49">
        <f>AVERAGE('29.07 ClockTower-Nsambya'!H34,'30.07 ClockTower-Nsambya'!H34,'31.07 ClockTower-Nsambya'!H34,'02.08 ClockTower-Nsambya'!H34,'01.08 ClockTower-Nsambya-24h'!H34,'03.08 ClockTower-Nsambya-24h'!H34,'04.08 ClockTower-Nsambya'!H34)</f>
        <v>0.5714285714285714</v>
      </c>
      <c r="I34" s="49">
        <f>AVERAGE('29.07 ClockTower-Nsambya'!I34,'30.07 ClockTower-Nsambya'!I34,'31.07 ClockTower-Nsambya'!I34,'02.08 ClockTower-Nsambya'!I34,'01.08 ClockTower-Nsambya-24h'!I34,'03.08 ClockTower-Nsambya-24h'!I34,'04.08 ClockTower-Nsambya'!I34)</f>
        <v>7.4285714285714288</v>
      </c>
      <c r="J34" s="49">
        <f>AVERAGE('29.07 ClockTower-Nsambya'!J34,'30.07 ClockTower-Nsambya'!J34,'31.07 ClockTower-Nsambya'!J34,'02.08 ClockTower-Nsambya'!J34,'01.08 ClockTower-Nsambya-24h'!J34,'03.08 ClockTower-Nsambya-24h'!J34,'04.08 ClockTower-Nsambya'!J34)</f>
        <v>7</v>
      </c>
      <c r="K34" s="49">
        <f>AVERAGE('29.07 ClockTower-Nsambya'!K34,'30.07 ClockTower-Nsambya'!K34,'31.07 ClockTower-Nsambya'!K34,'02.08 ClockTower-Nsambya'!K34,'01.08 ClockTower-Nsambya-24h'!K34,'03.08 ClockTower-Nsambya-24h'!K34,'04.08 ClockTower-Nsambya'!K34)</f>
        <v>4</v>
      </c>
      <c r="L34" s="49">
        <f>AVERAGE('29.07 ClockTower-Nsambya'!L34,'30.07 ClockTower-Nsambya'!L34,'31.07 ClockTower-Nsambya'!L34,'02.08 ClockTower-Nsambya'!L34,'01.08 ClockTower-Nsambya-24h'!L34,'03.08 ClockTower-Nsambya-24h'!L34,'04.08 ClockTower-Nsambya'!L34)</f>
        <v>4.5714285714285712</v>
      </c>
      <c r="M34" s="49">
        <f>AVERAGE('29.07 ClockTower-Nsambya'!M34,'30.07 ClockTower-Nsambya'!M34,'31.07 ClockTower-Nsambya'!M34,'02.08 ClockTower-Nsambya'!M34,'01.08 ClockTower-Nsambya-24h'!M34,'03.08 ClockTower-Nsambya-24h'!M34,'04.08 ClockTower-Nsambya'!M34)</f>
        <v>395.14285714285717</v>
      </c>
      <c r="N34" s="49">
        <f>AVERAGE('29.07 ClockTower-Nsambya'!N34,'30.07 ClockTower-Nsambya'!N34,'31.07 ClockTower-Nsambya'!N34,'02.08 ClockTower-Nsambya'!N34,'01.08 ClockTower-Nsambya-24h'!N34,'03.08 ClockTower-Nsambya-24h'!N34,'04.08 ClockTower-Nsambya'!N34)</f>
        <v>0.2857142857142857</v>
      </c>
      <c r="O34" s="15">
        <f t="shared" si="0"/>
        <v>176.00000000000003</v>
      </c>
      <c r="P34" s="15">
        <f t="shared" si="1"/>
        <v>571.14285714285722</v>
      </c>
    </row>
    <row r="35" spans="2:20" ht="23.1" customHeight="1" x14ac:dyDescent="0.25">
      <c r="B35" s="24" t="s">
        <v>62</v>
      </c>
      <c r="C35" s="49">
        <f>AVERAGE('29.07 ClockTower-Nsambya'!C35,'30.07 ClockTower-Nsambya'!C35,'31.07 ClockTower-Nsambya'!C35,'02.08 ClockTower-Nsambya'!C35,'01.08 ClockTower-Nsambya-24h'!C35,'03.08 ClockTower-Nsambya-24h'!C35,'04.08 ClockTower-Nsambya'!C35)</f>
        <v>67.285714285714292</v>
      </c>
      <c r="D35" s="49">
        <f>AVERAGE('29.07 ClockTower-Nsambya'!D35,'30.07 ClockTower-Nsambya'!D35,'31.07 ClockTower-Nsambya'!D35,'02.08 ClockTower-Nsambya'!D35,'01.08 ClockTower-Nsambya-24h'!D35,'03.08 ClockTower-Nsambya-24h'!D35,'04.08 ClockTower-Nsambya'!D35)</f>
        <v>32</v>
      </c>
      <c r="E35" s="49">
        <f>AVERAGE('29.07 ClockTower-Nsambya'!E35,'30.07 ClockTower-Nsambya'!E35,'31.07 ClockTower-Nsambya'!E35,'02.08 ClockTower-Nsambya'!E35,'01.08 ClockTower-Nsambya-24h'!E35,'03.08 ClockTower-Nsambya-24h'!E35,'04.08 ClockTower-Nsambya'!E35)</f>
        <v>17.428571428571427</v>
      </c>
      <c r="F35" s="49">
        <f>AVERAGE('29.07 ClockTower-Nsambya'!F35,'30.07 ClockTower-Nsambya'!F35,'31.07 ClockTower-Nsambya'!F35,'02.08 ClockTower-Nsambya'!F35,'01.08 ClockTower-Nsambya-24h'!F35,'03.08 ClockTower-Nsambya-24h'!F35,'04.08 ClockTower-Nsambya'!F35)</f>
        <v>52.857142857142854</v>
      </c>
      <c r="G35" s="49">
        <f>AVERAGE('29.07 ClockTower-Nsambya'!G35,'30.07 ClockTower-Nsambya'!G35,'31.07 ClockTower-Nsambya'!G35,'02.08 ClockTower-Nsambya'!G35,'01.08 ClockTower-Nsambya-24h'!G35,'03.08 ClockTower-Nsambya-24h'!G35,'04.08 ClockTower-Nsambya'!G35)</f>
        <v>1.1428571428571428</v>
      </c>
      <c r="H35" s="49">
        <f>AVERAGE('29.07 ClockTower-Nsambya'!H35,'30.07 ClockTower-Nsambya'!H35,'31.07 ClockTower-Nsambya'!H35,'02.08 ClockTower-Nsambya'!H35,'01.08 ClockTower-Nsambya-24h'!H35,'03.08 ClockTower-Nsambya-24h'!H35,'04.08 ClockTower-Nsambya'!H35)</f>
        <v>0.14285714285714285</v>
      </c>
      <c r="I35" s="49">
        <f>AVERAGE('29.07 ClockTower-Nsambya'!I35,'30.07 ClockTower-Nsambya'!I35,'31.07 ClockTower-Nsambya'!I35,'02.08 ClockTower-Nsambya'!I35,'01.08 ClockTower-Nsambya-24h'!I35,'03.08 ClockTower-Nsambya-24h'!I35,'04.08 ClockTower-Nsambya'!I35)</f>
        <v>5.1428571428571432</v>
      </c>
      <c r="J35" s="49">
        <f>AVERAGE('29.07 ClockTower-Nsambya'!J35,'30.07 ClockTower-Nsambya'!J35,'31.07 ClockTower-Nsambya'!J35,'02.08 ClockTower-Nsambya'!J35,'01.08 ClockTower-Nsambya-24h'!J35,'03.08 ClockTower-Nsambya-24h'!J35,'04.08 ClockTower-Nsambya'!J35)</f>
        <v>3.5714285714285716</v>
      </c>
      <c r="K35" s="49">
        <f>AVERAGE('29.07 ClockTower-Nsambya'!K35,'30.07 ClockTower-Nsambya'!K35,'31.07 ClockTower-Nsambya'!K35,'02.08 ClockTower-Nsambya'!K35,'01.08 ClockTower-Nsambya-24h'!K35,'03.08 ClockTower-Nsambya-24h'!K35,'04.08 ClockTower-Nsambya'!K35)</f>
        <v>3.5714285714285716</v>
      </c>
      <c r="L35" s="49">
        <f>AVERAGE('29.07 ClockTower-Nsambya'!L35,'30.07 ClockTower-Nsambya'!L35,'31.07 ClockTower-Nsambya'!L35,'02.08 ClockTower-Nsambya'!L35,'01.08 ClockTower-Nsambya-24h'!L35,'03.08 ClockTower-Nsambya-24h'!L35,'04.08 ClockTower-Nsambya'!L35)</f>
        <v>3.8571428571428572</v>
      </c>
      <c r="M35" s="49">
        <f>AVERAGE('29.07 ClockTower-Nsambya'!M35,'30.07 ClockTower-Nsambya'!M35,'31.07 ClockTower-Nsambya'!M35,'02.08 ClockTower-Nsambya'!M35,'01.08 ClockTower-Nsambya-24h'!M35,'03.08 ClockTower-Nsambya-24h'!M35,'04.08 ClockTower-Nsambya'!M35)</f>
        <v>303.71428571428572</v>
      </c>
      <c r="N35" s="49">
        <f>AVERAGE('29.07 ClockTower-Nsambya'!N35,'30.07 ClockTower-Nsambya'!N35,'31.07 ClockTower-Nsambya'!N35,'02.08 ClockTower-Nsambya'!N35,'01.08 ClockTower-Nsambya-24h'!N35,'03.08 ClockTower-Nsambya-24h'!N35,'04.08 ClockTower-Nsambya'!N35)</f>
        <v>0.2857142857142857</v>
      </c>
      <c r="O35" s="15">
        <f t="shared" si="0"/>
        <v>187.28571428571431</v>
      </c>
      <c r="P35" s="15">
        <f t="shared" si="1"/>
        <v>491.00000000000006</v>
      </c>
    </row>
    <row r="36" spans="2:20" ht="23.1" customHeight="1" x14ac:dyDescent="0.25">
      <c r="B36" s="24" t="s">
        <v>63</v>
      </c>
      <c r="C36" s="49">
        <f>AVERAGE('29.07 ClockTower-Nsambya'!C36,'30.07 ClockTower-Nsambya'!C36,'31.07 ClockTower-Nsambya'!C36,'02.08 ClockTower-Nsambya'!C36,'01.08 ClockTower-Nsambya-24h'!C36,'03.08 ClockTower-Nsambya-24h'!C36,'04.08 ClockTower-Nsambya'!C36)</f>
        <v>61.714285714285715</v>
      </c>
      <c r="D36" s="49">
        <f>AVERAGE('29.07 ClockTower-Nsambya'!D36,'30.07 ClockTower-Nsambya'!D36,'31.07 ClockTower-Nsambya'!D36,'02.08 ClockTower-Nsambya'!D36,'01.08 ClockTower-Nsambya-24h'!D36,'03.08 ClockTower-Nsambya-24h'!D36,'04.08 ClockTower-Nsambya'!D36)</f>
        <v>28.571428571428573</v>
      </c>
      <c r="E36" s="49">
        <f>AVERAGE('29.07 ClockTower-Nsambya'!E36,'30.07 ClockTower-Nsambya'!E36,'31.07 ClockTower-Nsambya'!E36,'02.08 ClockTower-Nsambya'!E36,'01.08 ClockTower-Nsambya-24h'!E36,'03.08 ClockTower-Nsambya-24h'!E36,'04.08 ClockTower-Nsambya'!E36)</f>
        <v>13.857142857142858</v>
      </c>
      <c r="F36" s="49">
        <f>AVERAGE('29.07 ClockTower-Nsambya'!F36,'30.07 ClockTower-Nsambya'!F36,'31.07 ClockTower-Nsambya'!F36,'02.08 ClockTower-Nsambya'!F36,'01.08 ClockTower-Nsambya-24h'!F36,'03.08 ClockTower-Nsambya-24h'!F36,'04.08 ClockTower-Nsambya'!F36)</f>
        <v>51.714285714285715</v>
      </c>
      <c r="G36" s="49">
        <f>AVERAGE('29.07 ClockTower-Nsambya'!G36,'30.07 ClockTower-Nsambya'!G36,'31.07 ClockTower-Nsambya'!G36,'02.08 ClockTower-Nsambya'!G36,'01.08 ClockTower-Nsambya-24h'!G36,'03.08 ClockTower-Nsambya-24h'!G36,'04.08 ClockTower-Nsambya'!G36)</f>
        <v>1</v>
      </c>
      <c r="H36" s="49">
        <f>AVERAGE('29.07 ClockTower-Nsambya'!H36,'30.07 ClockTower-Nsambya'!H36,'31.07 ClockTower-Nsambya'!H36,'02.08 ClockTower-Nsambya'!H36,'01.08 ClockTower-Nsambya-24h'!H36,'03.08 ClockTower-Nsambya-24h'!H36,'04.08 ClockTower-Nsambya'!H36)</f>
        <v>0.5714285714285714</v>
      </c>
      <c r="I36" s="49">
        <f>AVERAGE('29.07 ClockTower-Nsambya'!I36,'30.07 ClockTower-Nsambya'!I36,'31.07 ClockTower-Nsambya'!I36,'02.08 ClockTower-Nsambya'!I36,'01.08 ClockTower-Nsambya-24h'!I36,'03.08 ClockTower-Nsambya-24h'!I36,'04.08 ClockTower-Nsambya'!I36)</f>
        <v>7.5714285714285712</v>
      </c>
      <c r="J36" s="49">
        <f>AVERAGE('29.07 ClockTower-Nsambya'!J36,'30.07 ClockTower-Nsambya'!J36,'31.07 ClockTower-Nsambya'!J36,'02.08 ClockTower-Nsambya'!J36,'01.08 ClockTower-Nsambya-24h'!J36,'03.08 ClockTower-Nsambya-24h'!J36,'04.08 ClockTower-Nsambya'!J36)</f>
        <v>4.4285714285714288</v>
      </c>
      <c r="K36" s="49">
        <f>AVERAGE('29.07 ClockTower-Nsambya'!K36,'30.07 ClockTower-Nsambya'!K36,'31.07 ClockTower-Nsambya'!K36,'02.08 ClockTower-Nsambya'!K36,'01.08 ClockTower-Nsambya-24h'!K36,'03.08 ClockTower-Nsambya-24h'!K36,'04.08 ClockTower-Nsambya'!K36)</f>
        <v>3.1428571428571428</v>
      </c>
      <c r="L36" s="49">
        <f>AVERAGE('29.07 ClockTower-Nsambya'!L36,'30.07 ClockTower-Nsambya'!L36,'31.07 ClockTower-Nsambya'!L36,'02.08 ClockTower-Nsambya'!L36,'01.08 ClockTower-Nsambya-24h'!L36,'03.08 ClockTower-Nsambya-24h'!L36,'04.08 ClockTower-Nsambya'!L36)</f>
        <v>3.7142857142857144</v>
      </c>
      <c r="M36" s="49">
        <f>AVERAGE('29.07 ClockTower-Nsambya'!M36,'30.07 ClockTower-Nsambya'!M36,'31.07 ClockTower-Nsambya'!M36,'02.08 ClockTower-Nsambya'!M36,'01.08 ClockTower-Nsambya-24h'!M36,'03.08 ClockTower-Nsambya-24h'!M36,'04.08 ClockTower-Nsambya'!M36)</f>
        <v>342.28571428571428</v>
      </c>
      <c r="N36" s="49">
        <f>AVERAGE('29.07 ClockTower-Nsambya'!N36,'30.07 ClockTower-Nsambya'!N36,'31.07 ClockTower-Nsambya'!N36,'02.08 ClockTower-Nsambya'!N36,'01.08 ClockTower-Nsambya-24h'!N36,'03.08 ClockTower-Nsambya-24h'!N36,'04.08 ClockTower-Nsambya'!N36)</f>
        <v>0</v>
      </c>
      <c r="O36" s="15">
        <f t="shared" si="0"/>
        <v>176.28571428571431</v>
      </c>
      <c r="P36" s="15">
        <f t="shared" si="1"/>
        <v>518.57142857142856</v>
      </c>
    </row>
    <row r="37" spans="2:20" ht="23.1" customHeight="1" x14ac:dyDescent="0.25">
      <c r="B37" s="23" t="s">
        <v>64</v>
      </c>
      <c r="C37" s="49">
        <f>AVERAGE('29.07 ClockTower-Nsambya'!C37,'30.07 ClockTower-Nsambya'!C37,'31.07 ClockTower-Nsambya'!C37,'02.08 ClockTower-Nsambya'!C37,'01.08 ClockTower-Nsambya-24h'!C37,'03.08 ClockTower-Nsambya-24h'!C37,'04.08 ClockTower-Nsambya'!C37)</f>
        <v>54</v>
      </c>
      <c r="D37" s="49">
        <f>AVERAGE('29.07 ClockTower-Nsambya'!D37,'30.07 ClockTower-Nsambya'!D37,'31.07 ClockTower-Nsambya'!D37,'02.08 ClockTower-Nsambya'!D37,'01.08 ClockTower-Nsambya-24h'!D37,'03.08 ClockTower-Nsambya-24h'!D37,'04.08 ClockTower-Nsambya'!D37)</f>
        <v>20.571428571428573</v>
      </c>
      <c r="E37" s="49">
        <f>AVERAGE('29.07 ClockTower-Nsambya'!E37,'30.07 ClockTower-Nsambya'!E37,'31.07 ClockTower-Nsambya'!E37,'02.08 ClockTower-Nsambya'!E37,'01.08 ClockTower-Nsambya-24h'!E37,'03.08 ClockTower-Nsambya-24h'!E37,'04.08 ClockTower-Nsambya'!E37)</f>
        <v>13</v>
      </c>
      <c r="F37" s="49">
        <f>AVERAGE('29.07 ClockTower-Nsambya'!F37,'30.07 ClockTower-Nsambya'!F37,'31.07 ClockTower-Nsambya'!F37,'02.08 ClockTower-Nsambya'!F37,'01.08 ClockTower-Nsambya-24h'!F37,'03.08 ClockTower-Nsambya-24h'!F37,'04.08 ClockTower-Nsambya'!F37)</f>
        <v>54.428571428571431</v>
      </c>
      <c r="G37" s="49">
        <f>AVERAGE('29.07 ClockTower-Nsambya'!G37,'30.07 ClockTower-Nsambya'!G37,'31.07 ClockTower-Nsambya'!G37,'02.08 ClockTower-Nsambya'!G37,'01.08 ClockTower-Nsambya-24h'!G37,'03.08 ClockTower-Nsambya-24h'!G37,'04.08 ClockTower-Nsambya'!G37)</f>
        <v>1</v>
      </c>
      <c r="H37" s="49">
        <f>AVERAGE('29.07 ClockTower-Nsambya'!H37,'30.07 ClockTower-Nsambya'!H37,'31.07 ClockTower-Nsambya'!H37,'02.08 ClockTower-Nsambya'!H37,'01.08 ClockTower-Nsambya-24h'!H37,'03.08 ClockTower-Nsambya-24h'!H37,'04.08 ClockTower-Nsambya'!H37)</f>
        <v>0.2857142857142857</v>
      </c>
      <c r="I37" s="49">
        <f>AVERAGE('29.07 ClockTower-Nsambya'!I37,'30.07 ClockTower-Nsambya'!I37,'31.07 ClockTower-Nsambya'!I37,'02.08 ClockTower-Nsambya'!I37,'01.08 ClockTower-Nsambya-24h'!I37,'03.08 ClockTower-Nsambya-24h'!I37,'04.08 ClockTower-Nsambya'!I37)</f>
        <v>6.4285714285714288</v>
      </c>
      <c r="J37" s="49">
        <f>AVERAGE('29.07 ClockTower-Nsambya'!J37,'30.07 ClockTower-Nsambya'!J37,'31.07 ClockTower-Nsambya'!J37,'02.08 ClockTower-Nsambya'!J37,'01.08 ClockTower-Nsambya-24h'!J37,'03.08 ClockTower-Nsambya-24h'!J37,'04.08 ClockTower-Nsambya'!J37)</f>
        <v>6</v>
      </c>
      <c r="K37" s="49">
        <f>AVERAGE('29.07 ClockTower-Nsambya'!K37,'30.07 ClockTower-Nsambya'!K37,'31.07 ClockTower-Nsambya'!K37,'02.08 ClockTower-Nsambya'!K37,'01.08 ClockTower-Nsambya-24h'!K37,'03.08 ClockTower-Nsambya-24h'!K37,'04.08 ClockTower-Nsambya'!K37)</f>
        <v>3</v>
      </c>
      <c r="L37" s="49">
        <f>AVERAGE('29.07 ClockTower-Nsambya'!L37,'30.07 ClockTower-Nsambya'!L37,'31.07 ClockTower-Nsambya'!L37,'02.08 ClockTower-Nsambya'!L37,'01.08 ClockTower-Nsambya-24h'!L37,'03.08 ClockTower-Nsambya-24h'!L37,'04.08 ClockTower-Nsambya'!L37)</f>
        <v>3.1428571428571428</v>
      </c>
      <c r="M37" s="49">
        <f>AVERAGE('29.07 ClockTower-Nsambya'!M37,'30.07 ClockTower-Nsambya'!M37,'31.07 ClockTower-Nsambya'!M37,'02.08 ClockTower-Nsambya'!M37,'01.08 ClockTower-Nsambya-24h'!M37,'03.08 ClockTower-Nsambya-24h'!M37,'04.08 ClockTower-Nsambya'!M37)</f>
        <v>308</v>
      </c>
      <c r="N37" s="49">
        <f>AVERAGE('29.07 ClockTower-Nsambya'!N37,'30.07 ClockTower-Nsambya'!N37,'31.07 ClockTower-Nsambya'!N37,'02.08 ClockTower-Nsambya'!N37,'01.08 ClockTower-Nsambya-24h'!N37,'03.08 ClockTower-Nsambya-24h'!N37,'04.08 ClockTower-Nsambya'!N37)</f>
        <v>0.14285714285714285</v>
      </c>
      <c r="O37" s="15">
        <f t="shared" si="0"/>
        <v>161.99999999999997</v>
      </c>
      <c r="P37" s="15">
        <f t="shared" si="1"/>
        <v>470</v>
      </c>
    </row>
    <row r="38" spans="2:20" ht="23.1" customHeight="1" x14ac:dyDescent="0.25">
      <c r="B38" s="24" t="s">
        <v>65</v>
      </c>
      <c r="C38" s="49">
        <f>AVERAGE('29.07 ClockTower-Nsambya'!C38,'30.07 ClockTower-Nsambya'!C38,'31.07 ClockTower-Nsambya'!C38,'02.08 ClockTower-Nsambya'!C38,'01.08 ClockTower-Nsambya-24h'!C38,'03.08 ClockTower-Nsambya-24h'!C38,'04.08 ClockTower-Nsambya'!C38)</f>
        <v>76</v>
      </c>
      <c r="D38" s="49">
        <f>AVERAGE('29.07 ClockTower-Nsambya'!D38,'30.07 ClockTower-Nsambya'!D38,'31.07 ClockTower-Nsambya'!D38,'02.08 ClockTower-Nsambya'!D38,'01.08 ClockTower-Nsambya-24h'!D38,'03.08 ClockTower-Nsambya-24h'!D38,'04.08 ClockTower-Nsambya'!D38)</f>
        <v>25.285714285714285</v>
      </c>
      <c r="E38" s="49">
        <f>AVERAGE('29.07 ClockTower-Nsambya'!E38,'30.07 ClockTower-Nsambya'!E38,'31.07 ClockTower-Nsambya'!E38,'02.08 ClockTower-Nsambya'!E38,'01.08 ClockTower-Nsambya-24h'!E38,'03.08 ClockTower-Nsambya-24h'!E38,'04.08 ClockTower-Nsambya'!E38)</f>
        <v>12.857142857142858</v>
      </c>
      <c r="F38" s="49">
        <f>AVERAGE('29.07 ClockTower-Nsambya'!F38,'30.07 ClockTower-Nsambya'!F38,'31.07 ClockTower-Nsambya'!F38,'02.08 ClockTower-Nsambya'!F38,'01.08 ClockTower-Nsambya-24h'!F38,'03.08 ClockTower-Nsambya-24h'!F38,'04.08 ClockTower-Nsambya'!F38)</f>
        <v>46.571428571428569</v>
      </c>
      <c r="G38" s="49">
        <f>AVERAGE('29.07 ClockTower-Nsambya'!G38,'30.07 ClockTower-Nsambya'!G38,'31.07 ClockTower-Nsambya'!G38,'02.08 ClockTower-Nsambya'!G38,'01.08 ClockTower-Nsambya-24h'!G38,'03.08 ClockTower-Nsambya-24h'!G38,'04.08 ClockTower-Nsambya'!G38)</f>
        <v>0.8571428571428571</v>
      </c>
      <c r="H38" s="49">
        <f>AVERAGE('29.07 ClockTower-Nsambya'!H38,'30.07 ClockTower-Nsambya'!H38,'31.07 ClockTower-Nsambya'!H38,'02.08 ClockTower-Nsambya'!H38,'01.08 ClockTower-Nsambya-24h'!H38,'03.08 ClockTower-Nsambya-24h'!H38,'04.08 ClockTower-Nsambya'!H38)</f>
        <v>0</v>
      </c>
      <c r="I38" s="49">
        <f>AVERAGE('29.07 ClockTower-Nsambya'!I38,'30.07 ClockTower-Nsambya'!I38,'31.07 ClockTower-Nsambya'!I38,'02.08 ClockTower-Nsambya'!I38,'01.08 ClockTower-Nsambya-24h'!I38,'03.08 ClockTower-Nsambya-24h'!I38,'04.08 ClockTower-Nsambya'!I38)</f>
        <v>7.7142857142857144</v>
      </c>
      <c r="J38" s="49">
        <f>AVERAGE('29.07 ClockTower-Nsambya'!J38,'30.07 ClockTower-Nsambya'!J38,'31.07 ClockTower-Nsambya'!J38,'02.08 ClockTower-Nsambya'!J38,'01.08 ClockTower-Nsambya-24h'!J38,'03.08 ClockTower-Nsambya-24h'!J38,'04.08 ClockTower-Nsambya'!J38)</f>
        <v>4.7142857142857144</v>
      </c>
      <c r="K38" s="49">
        <f>AVERAGE('29.07 ClockTower-Nsambya'!K38,'30.07 ClockTower-Nsambya'!K38,'31.07 ClockTower-Nsambya'!K38,'02.08 ClockTower-Nsambya'!K38,'01.08 ClockTower-Nsambya-24h'!K38,'03.08 ClockTower-Nsambya-24h'!K38,'04.08 ClockTower-Nsambya'!K38)</f>
        <v>1.8571428571428572</v>
      </c>
      <c r="L38" s="49">
        <f>AVERAGE('29.07 ClockTower-Nsambya'!L38,'30.07 ClockTower-Nsambya'!L38,'31.07 ClockTower-Nsambya'!L38,'02.08 ClockTower-Nsambya'!L38,'01.08 ClockTower-Nsambya-24h'!L38,'03.08 ClockTower-Nsambya-24h'!L38,'04.08 ClockTower-Nsambya'!L38)</f>
        <v>5</v>
      </c>
      <c r="M38" s="49">
        <f>AVERAGE('29.07 ClockTower-Nsambya'!M38,'30.07 ClockTower-Nsambya'!M38,'31.07 ClockTower-Nsambya'!M38,'02.08 ClockTower-Nsambya'!M38,'01.08 ClockTower-Nsambya-24h'!M38,'03.08 ClockTower-Nsambya-24h'!M38,'04.08 ClockTower-Nsambya'!M38)</f>
        <v>385.57142857142856</v>
      </c>
      <c r="N38" s="49">
        <f>AVERAGE('29.07 ClockTower-Nsambya'!N38,'30.07 ClockTower-Nsambya'!N38,'31.07 ClockTower-Nsambya'!N38,'02.08 ClockTower-Nsambya'!N38,'01.08 ClockTower-Nsambya-24h'!N38,'03.08 ClockTower-Nsambya-24h'!N38,'04.08 ClockTower-Nsambya'!N38)</f>
        <v>1.2857142857142858</v>
      </c>
      <c r="O38" s="15">
        <f t="shared" si="0"/>
        <v>182.14285714285717</v>
      </c>
      <c r="P38" s="15">
        <f t="shared" si="1"/>
        <v>567.71428571428578</v>
      </c>
    </row>
    <row r="39" spans="2:20" ht="23.1" customHeight="1" x14ac:dyDescent="0.25">
      <c r="B39" s="24" t="s">
        <v>66</v>
      </c>
      <c r="C39" s="49">
        <f>AVERAGE('29.07 ClockTower-Nsambya'!C39,'30.07 ClockTower-Nsambya'!C39,'31.07 ClockTower-Nsambya'!C39,'02.08 ClockTower-Nsambya'!C39,'01.08 ClockTower-Nsambya-24h'!C39,'03.08 ClockTower-Nsambya-24h'!C39,'04.08 ClockTower-Nsambya'!C39)</f>
        <v>70.142857142857139</v>
      </c>
      <c r="D39" s="49">
        <f>AVERAGE('29.07 ClockTower-Nsambya'!D39,'30.07 ClockTower-Nsambya'!D39,'31.07 ClockTower-Nsambya'!D39,'02.08 ClockTower-Nsambya'!D39,'01.08 ClockTower-Nsambya-24h'!D39,'03.08 ClockTower-Nsambya-24h'!D39,'04.08 ClockTower-Nsambya'!D39)</f>
        <v>21</v>
      </c>
      <c r="E39" s="49">
        <f>AVERAGE('29.07 ClockTower-Nsambya'!E39,'30.07 ClockTower-Nsambya'!E39,'31.07 ClockTower-Nsambya'!E39,'02.08 ClockTower-Nsambya'!E39,'01.08 ClockTower-Nsambya-24h'!E39,'03.08 ClockTower-Nsambya-24h'!E39,'04.08 ClockTower-Nsambya'!E39)</f>
        <v>12.571428571428571</v>
      </c>
      <c r="F39" s="49">
        <f>AVERAGE('29.07 ClockTower-Nsambya'!F39,'30.07 ClockTower-Nsambya'!F39,'31.07 ClockTower-Nsambya'!F39,'02.08 ClockTower-Nsambya'!F39,'01.08 ClockTower-Nsambya-24h'!F39,'03.08 ClockTower-Nsambya-24h'!F39,'04.08 ClockTower-Nsambya'!F39)</f>
        <v>47.428571428571431</v>
      </c>
      <c r="G39" s="49">
        <f>AVERAGE('29.07 ClockTower-Nsambya'!G39,'30.07 ClockTower-Nsambya'!G39,'31.07 ClockTower-Nsambya'!G39,'02.08 ClockTower-Nsambya'!G39,'01.08 ClockTower-Nsambya-24h'!G39,'03.08 ClockTower-Nsambya-24h'!G39,'04.08 ClockTower-Nsambya'!G39)</f>
        <v>1.4285714285714286</v>
      </c>
      <c r="H39" s="49">
        <f>AVERAGE('29.07 ClockTower-Nsambya'!H39,'30.07 ClockTower-Nsambya'!H39,'31.07 ClockTower-Nsambya'!H39,'02.08 ClockTower-Nsambya'!H39,'01.08 ClockTower-Nsambya-24h'!H39,'03.08 ClockTower-Nsambya-24h'!H39,'04.08 ClockTower-Nsambya'!H39)</f>
        <v>0</v>
      </c>
      <c r="I39" s="49">
        <f>AVERAGE('29.07 ClockTower-Nsambya'!I39,'30.07 ClockTower-Nsambya'!I39,'31.07 ClockTower-Nsambya'!I39,'02.08 ClockTower-Nsambya'!I39,'01.08 ClockTower-Nsambya-24h'!I39,'03.08 ClockTower-Nsambya-24h'!I39,'04.08 ClockTower-Nsambya'!I39)</f>
        <v>9</v>
      </c>
      <c r="J39" s="49">
        <f>AVERAGE('29.07 ClockTower-Nsambya'!J39,'30.07 ClockTower-Nsambya'!J39,'31.07 ClockTower-Nsambya'!J39,'02.08 ClockTower-Nsambya'!J39,'01.08 ClockTower-Nsambya-24h'!J39,'03.08 ClockTower-Nsambya-24h'!J39,'04.08 ClockTower-Nsambya'!J39)</f>
        <v>5.5714285714285712</v>
      </c>
      <c r="K39" s="49">
        <f>AVERAGE('29.07 ClockTower-Nsambya'!K39,'30.07 ClockTower-Nsambya'!K39,'31.07 ClockTower-Nsambya'!K39,'02.08 ClockTower-Nsambya'!K39,'01.08 ClockTower-Nsambya-24h'!K39,'03.08 ClockTower-Nsambya-24h'!K39,'04.08 ClockTower-Nsambya'!K39)</f>
        <v>2.5714285714285716</v>
      </c>
      <c r="L39" s="49">
        <f>AVERAGE('29.07 ClockTower-Nsambya'!L39,'30.07 ClockTower-Nsambya'!L39,'31.07 ClockTower-Nsambya'!L39,'02.08 ClockTower-Nsambya'!L39,'01.08 ClockTower-Nsambya-24h'!L39,'03.08 ClockTower-Nsambya-24h'!L39,'04.08 ClockTower-Nsambya'!L39)</f>
        <v>3.5714285714285716</v>
      </c>
      <c r="M39" s="49">
        <f>AVERAGE('29.07 ClockTower-Nsambya'!M39,'30.07 ClockTower-Nsambya'!M39,'31.07 ClockTower-Nsambya'!M39,'02.08 ClockTower-Nsambya'!M39,'01.08 ClockTower-Nsambya-24h'!M39,'03.08 ClockTower-Nsambya-24h'!M39,'04.08 ClockTower-Nsambya'!M39)</f>
        <v>376.57142857142856</v>
      </c>
      <c r="N39" s="49">
        <f>AVERAGE('29.07 ClockTower-Nsambya'!N39,'30.07 ClockTower-Nsambya'!N39,'31.07 ClockTower-Nsambya'!N39,'02.08 ClockTower-Nsambya'!N39,'01.08 ClockTower-Nsambya-24h'!N39,'03.08 ClockTower-Nsambya-24h'!N39,'04.08 ClockTower-Nsambya'!N39)</f>
        <v>0.5714285714285714</v>
      </c>
      <c r="O39" s="15">
        <f t="shared" si="0"/>
        <v>173.85714285714289</v>
      </c>
      <c r="P39" s="15">
        <f t="shared" si="1"/>
        <v>550.42857142857144</v>
      </c>
    </row>
    <row r="40" spans="2:20" ht="23.1" customHeight="1" x14ac:dyDescent="0.25">
      <c r="B40" s="24" t="s">
        <v>67</v>
      </c>
      <c r="C40" s="49">
        <f>AVERAGE('29.07 ClockTower-Nsambya'!C40,'30.07 ClockTower-Nsambya'!C40,'31.07 ClockTower-Nsambya'!C40,'02.08 ClockTower-Nsambya'!C40,'01.08 ClockTower-Nsambya-24h'!C40,'03.08 ClockTower-Nsambya-24h'!C40,'04.08 ClockTower-Nsambya'!C40)</f>
        <v>64.857142857142861</v>
      </c>
      <c r="D40" s="49">
        <f>AVERAGE('29.07 ClockTower-Nsambya'!D40,'30.07 ClockTower-Nsambya'!D40,'31.07 ClockTower-Nsambya'!D40,'02.08 ClockTower-Nsambya'!D40,'01.08 ClockTower-Nsambya-24h'!D40,'03.08 ClockTower-Nsambya-24h'!D40,'04.08 ClockTower-Nsambya'!D40)</f>
        <v>15.285714285714286</v>
      </c>
      <c r="E40" s="49">
        <f>AVERAGE('29.07 ClockTower-Nsambya'!E40,'30.07 ClockTower-Nsambya'!E40,'31.07 ClockTower-Nsambya'!E40,'02.08 ClockTower-Nsambya'!E40,'01.08 ClockTower-Nsambya-24h'!E40,'03.08 ClockTower-Nsambya-24h'!E40,'04.08 ClockTower-Nsambya'!E40)</f>
        <v>8.7142857142857135</v>
      </c>
      <c r="F40" s="49">
        <f>AVERAGE('29.07 ClockTower-Nsambya'!F40,'30.07 ClockTower-Nsambya'!F40,'31.07 ClockTower-Nsambya'!F40,'02.08 ClockTower-Nsambya'!F40,'01.08 ClockTower-Nsambya-24h'!F40,'03.08 ClockTower-Nsambya-24h'!F40,'04.08 ClockTower-Nsambya'!F40)</f>
        <v>40.428571428571431</v>
      </c>
      <c r="G40" s="49">
        <f>AVERAGE('29.07 ClockTower-Nsambya'!G40,'30.07 ClockTower-Nsambya'!G40,'31.07 ClockTower-Nsambya'!G40,'02.08 ClockTower-Nsambya'!G40,'01.08 ClockTower-Nsambya-24h'!G40,'03.08 ClockTower-Nsambya-24h'!G40,'04.08 ClockTower-Nsambya'!G40)</f>
        <v>0.7142857142857143</v>
      </c>
      <c r="H40" s="49">
        <f>AVERAGE('29.07 ClockTower-Nsambya'!H40,'30.07 ClockTower-Nsambya'!H40,'31.07 ClockTower-Nsambya'!H40,'02.08 ClockTower-Nsambya'!H40,'01.08 ClockTower-Nsambya-24h'!H40,'03.08 ClockTower-Nsambya-24h'!H40,'04.08 ClockTower-Nsambya'!H40)</f>
        <v>0.14285714285714285</v>
      </c>
      <c r="I40" s="49">
        <f>AVERAGE('29.07 ClockTower-Nsambya'!I40,'30.07 ClockTower-Nsambya'!I40,'31.07 ClockTower-Nsambya'!I40,'02.08 ClockTower-Nsambya'!I40,'01.08 ClockTower-Nsambya-24h'!I40,'03.08 ClockTower-Nsambya-24h'!I40,'04.08 ClockTower-Nsambya'!I40)</f>
        <v>8.1428571428571423</v>
      </c>
      <c r="J40" s="49">
        <f>AVERAGE('29.07 ClockTower-Nsambya'!J40,'30.07 ClockTower-Nsambya'!J40,'31.07 ClockTower-Nsambya'!J40,'02.08 ClockTower-Nsambya'!J40,'01.08 ClockTower-Nsambya-24h'!J40,'03.08 ClockTower-Nsambya-24h'!J40,'04.08 ClockTower-Nsambya'!J40)</f>
        <v>5.4285714285714288</v>
      </c>
      <c r="K40" s="49">
        <f>AVERAGE('29.07 ClockTower-Nsambya'!K40,'30.07 ClockTower-Nsambya'!K40,'31.07 ClockTower-Nsambya'!K40,'02.08 ClockTower-Nsambya'!K40,'01.08 ClockTower-Nsambya-24h'!K40,'03.08 ClockTower-Nsambya-24h'!K40,'04.08 ClockTower-Nsambya'!K40)</f>
        <v>3.7142857142857144</v>
      </c>
      <c r="L40" s="49">
        <f>AVERAGE('29.07 ClockTower-Nsambya'!L40,'30.07 ClockTower-Nsambya'!L40,'31.07 ClockTower-Nsambya'!L40,'02.08 ClockTower-Nsambya'!L40,'01.08 ClockTower-Nsambya-24h'!L40,'03.08 ClockTower-Nsambya-24h'!L40,'04.08 ClockTower-Nsambya'!L40)</f>
        <v>4.4285714285714288</v>
      </c>
      <c r="M40" s="49">
        <f>AVERAGE('29.07 ClockTower-Nsambya'!M40,'30.07 ClockTower-Nsambya'!M40,'31.07 ClockTower-Nsambya'!M40,'02.08 ClockTower-Nsambya'!M40,'01.08 ClockTower-Nsambya-24h'!M40,'03.08 ClockTower-Nsambya-24h'!M40,'04.08 ClockTower-Nsambya'!M40)</f>
        <v>351.42857142857144</v>
      </c>
      <c r="N40" s="49">
        <f>AVERAGE('29.07 ClockTower-Nsambya'!N40,'30.07 ClockTower-Nsambya'!N40,'31.07 ClockTower-Nsambya'!N40,'02.08 ClockTower-Nsambya'!N40,'01.08 ClockTower-Nsambya-24h'!N40,'03.08 ClockTower-Nsambya-24h'!N40,'04.08 ClockTower-Nsambya'!N40)</f>
        <v>0</v>
      </c>
      <c r="O40" s="15">
        <f t="shared" si="0"/>
        <v>151.85714285714283</v>
      </c>
      <c r="P40" s="15">
        <f t="shared" si="1"/>
        <v>503.28571428571428</v>
      </c>
    </row>
    <row r="41" spans="2:20" ht="23.1" customHeight="1" x14ac:dyDescent="0.25">
      <c r="B41" s="23" t="s">
        <v>68</v>
      </c>
      <c r="C41" s="49">
        <f>AVERAGE('29.07 ClockTower-Nsambya'!C41,'30.07 ClockTower-Nsambya'!C41,'31.07 ClockTower-Nsambya'!C41,'02.08 ClockTower-Nsambya'!C41,'01.08 ClockTower-Nsambya-24h'!C41,'03.08 ClockTower-Nsambya-24h'!C41,'04.08 ClockTower-Nsambya'!C41)</f>
        <v>69.428571428571431</v>
      </c>
      <c r="D41" s="49">
        <f>AVERAGE('29.07 ClockTower-Nsambya'!D41,'30.07 ClockTower-Nsambya'!D41,'31.07 ClockTower-Nsambya'!D41,'02.08 ClockTower-Nsambya'!D41,'01.08 ClockTower-Nsambya-24h'!D41,'03.08 ClockTower-Nsambya-24h'!D41,'04.08 ClockTower-Nsambya'!D41)</f>
        <v>16.571428571428573</v>
      </c>
      <c r="E41" s="49">
        <f>AVERAGE('29.07 ClockTower-Nsambya'!E41,'30.07 ClockTower-Nsambya'!E41,'31.07 ClockTower-Nsambya'!E41,'02.08 ClockTower-Nsambya'!E41,'01.08 ClockTower-Nsambya-24h'!E41,'03.08 ClockTower-Nsambya-24h'!E41,'04.08 ClockTower-Nsambya'!E41)</f>
        <v>11.571428571428571</v>
      </c>
      <c r="F41" s="49">
        <f>AVERAGE('29.07 ClockTower-Nsambya'!F41,'30.07 ClockTower-Nsambya'!F41,'31.07 ClockTower-Nsambya'!F41,'02.08 ClockTower-Nsambya'!F41,'01.08 ClockTower-Nsambya-24h'!F41,'03.08 ClockTower-Nsambya-24h'!F41,'04.08 ClockTower-Nsambya'!F41)</f>
        <v>47.428571428571431</v>
      </c>
      <c r="G41" s="49">
        <f>AVERAGE('29.07 ClockTower-Nsambya'!G41,'30.07 ClockTower-Nsambya'!G41,'31.07 ClockTower-Nsambya'!G41,'02.08 ClockTower-Nsambya'!G41,'01.08 ClockTower-Nsambya-24h'!G41,'03.08 ClockTower-Nsambya-24h'!G41,'04.08 ClockTower-Nsambya'!G41)</f>
        <v>1</v>
      </c>
      <c r="H41" s="49">
        <f>AVERAGE('29.07 ClockTower-Nsambya'!H41,'30.07 ClockTower-Nsambya'!H41,'31.07 ClockTower-Nsambya'!H41,'02.08 ClockTower-Nsambya'!H41,'01.08 ClockTower-Nsambya-24h'!H41,'03.08 ClockTower-Nsambya-24h'!H41,'04.08 ClockTower-Nsambya'!H41)</f>
        <v>0</v>
      </c>
      <c r="I41" s="49">
        <f>AVERAGE('29.07 ClockTower-Nsambya'!I41,'30.07 ClockTower-Nsambya'!I41,'31.07 ClockTower-Nsambya'!I41,'02.08 ClockTower-Nsambya'!I41,'01.08 ClockTower-Nsambya-24h'!I41,'03.08 ClockTower-Nsambya-24h'!I41,'04.08 ClockTower-Nsambya'!I41)</f>
        <v>10.142857142857142</v>
      </c>
      <c r="J41" s="49">
        <f>AVERAGE('29.07 ClockTower-Nsambya'!J41,'30.07 ClockTower-Nsambya'!J41,'31.07 ClockTower-Nsambya'!J41,'02.08 ClockTower-Nsambya'!J41,'01.08 ClockTower-Nsambya-24h'!J41,'03.08 ClockTower-Nsambya-24h'!J41,'04.08 ClockTower-Nsambya'!J41)</f>
        <v>5</v>
      </c>
      <c r="K41" s="49">
        <f>AVERAGE('29.07 ClockTower-Nsambya'!K41,'30.07 ClockTower-Nsambya'!K41,'31.07 ClockTower-Nsambya'!K41,'02.08 ClockTower-Nsambya'!K41,'01.08 ClockTower-Nsambya-24h'!K41,'03.08 ClockTower-Nsambya-24h'!K41,'04.08 ClockTower-Nsambya'!K41)</f>
        <v>3</v>
      </c>
      <c r="L41" s="49">
        <f>AVERAGE('29.07 ClockTower-Nsambya'!L41,'30.07 ClockTower-Nsambya'!L41,'31.07 ClockTower-Nsambya'!L41,'02.08 ClockTower-Nsambya'!L41,'01.08 ClockTower-Nsambya-24h'!L41,'03.08 ClockTower-Nsambya-24h'!L41,'04.08 ClockTower-Nsambya'!L41)</f>
        <v>4.1428571428571432</v>
      </c>
      <c r="M41" s="49">
        <f>AVERAGE('29.07 ClockTower-Nsambya'!M41,'30.07 ClockTower-Nsambya'!M41,'31.07 ClockTower-Nsambya'!M41,'02.08 ClockTower-Nsambya'!M41,'01.08 ClockTower-Nsambya-24h'!M41,'03.08 ClockTower-Nsambya-24h'!M41,'04.08 ClockTower-Nsambya'!M41)</f>
        <v>305.42857142857144</v>
      </c>
      <c r="N41" s="49">
        <f>AVERAGE('29.07 ClockTower-Nsambya'!N41,'30.07 ClockTower-Nsambya'!N41,'31.07 ClockTower-Nsambya'!N41,'02.08 ClockTower-Nsambya'!N41,'01.08 ClockTower-Nsambya-24h'!N41,'03.08 ClockTower-Nsambya-24h'!N41,'04.08 ClockTower-Nsambya'!N41)</f>
        <v>0.2857142857142857</v>
      </c>
      <c r="O41" s="15">
        <f t="shared" si="0"/>
        <v>168.57142857142856</v>
      </c>
      <c r="P41" s="15">
        <f t="shared" si="1"/>
        <v>474</v>
      </c>
    </row>
    <row r="42" spans="2:20" ht="23.1" customHeight="1" x14ac:dyDescent="0.25">
      <c r="B42" s="24" t="s">
        <v>69</v>
      </c>
      <c r="C42" s="49">
        <f>AVERAGE('29.07 ClockTower-Nsambya'!C42,'30.07 ClockTower-Nsambya'!C42,'31.07 ClockTower-Nsambya'!C42,'02.08 ClockTower-Nsambya'!C42,'01.08 ClockTower-Nsambya-24h'!C42,'03.08 ClockTower-Nsambya-24h'!C42,'04.08 ClockTower-Nsambya'!C42)</f>
        <v>64.857142857142861</v>
      </c>
      <c r="D42" s="49">
        <f>AVERAGE('29.07 ClockTower-Nsambya'!D42,'30.07 ClockTower-Nsambya'!D42,'31.07 ClockTower-Nsambya'!D42,'02.08 ClockTower-Nsambya'!D42,'01.08 ClockTower-Nsambya-24h'!D42,'03.08 ClockTower-Nsambya-24h'!D42,'04.08 ClockTower-Nsambya'!D42)</f>
        <v>21</v>
      </c>
      <c r="E42" s="49">
        <f>AVERAGE('29.07 ClockTower-Nsambya'!E42,'30.07 ClockTower-Nsambya'!E42,'31.07 ClockTower-Nsambya'!E42,'02.08 ClockTower-Nsambya'!E42,'01.08 ClockTower-Nsambya-24h'!E42,'03.08 ClockTower-Nsambya-24h'!E42,'04.08 ClockTower-Nsambya'!E42)</f>
        <v>11.285714285714286</v>
      </c>
      <c r="F42" s="49">
        <f>AVERAGE('29.07 ClockTower-Nsambya'!F42,'30.07 ClockTower-Nsambya'!F42,'31.07 ClockTower-Nsambya'!F42,'02.08 ClockTower-Nsambya'!F42,'01.08 ClockTower-Nsambya-24h'!F42,'03.08 ClockTower-Nsambya-24h'!F42,'04.08 ClockTower-Nsambya'!F42)</f>
        <v>55.857142857142854</v>
      </c>
      <c r="G42" s="49">
        <f>AVERAGE('29.07 ClockTower-Nsambya'!G42,'30.07 ClockTower-Nsambya'!G42,'31.07 ClockTower-Nsambya'!G42,'02.08 ClockTower-Nsambya'!G42,'01.08 ClockTower-Nsambya-24h'!G42,'03.08 ClockTower-Nsambya-24h'!G42,'04.08 ClockTower-Nsambya'!G42)</f>
        <v>1</v>
      </c>
      <c r="H42" s="49">
        <f>AVERAGE('29.07 ClockTower-Nsambya'!H42,'30.07 ClockTower-Nsambya'!H42,'31.07 ClockTower-Nsambya'!H42,'02.08 ClockTower-Nsambya'!H42,'01.08 ClockTower-Nsambya-24h'!H42,'03.08 ClockTower-Nsambya-24h'!H42,'04.08 ClockTower-Nsambya'!H42)</f>
        <v>0.7142857142857143</v>
      </c>
      <c r="I42" s="49">
        <f>AVERAGE('29.07 ClockTower-Nsambya'!I42,'30.07 ClockTower-Nsambya'!I42,'31.07 ClockTower-Nsambya'!I42,'02.08 ClockTower-Nsambya'!I42,'01.08 ClockTower-Nsambya-24h'!I42,'03.08 ClockTower-Nsambya-24h'!I42,'04.08 ClockTower-Nsambya'!I42)</f>
        <v>8.2857142857142865</v>
      </c>
      <c r="J42" s="49">
        <f>AVERAGE('29.07 ClockTower-Nsambya'!J42,'30.07 ClockTower-Nsambya'!J42,'31.07 ClockTower-Nsambya'!J42,'02.08 ClockTower-Nsambya'!J42,'01.08 ClockTower-Nsambya-24h'!J42,'03.08 ClockTower-Nsambya-24h'!J42,'04.08 ClockTower-Nsambya'!J42)</f>
        <v>6</v>
      </c>
      <c r="K42" s="49">
        <f>AVERAGE('29.07 ClockTower-Nsambya'!K42,'30.07 ClockTower-Nsambya'!K42,'31.07 ClockTower-Nsambya'!K42,'02.08 ClockTower-Nsambya'!K42,'01.08 ClockTower-Nsambya-24h'!K42,'03.08 ClockTower-Nsambya-24h'!K42,'04.08 ClockTower-Nsambya'!K42)</f>
        <v>3.2857142857142856</v>
      </c>
      <c r="L42" s="49">
        <f>AVERAGE('29.07 ClockTower-Nsambya'!L42,'30.07 ClockTower-Nsambya'!L42,'31.07 ClockTower-Nsambya'!L42,'02.08 ClockTower-Nsambya'!L42,'01.08 ClockTower-Nsambya-24h'!L42,'03.08 ClockTower-Nsambya-24h'!L42,'04.08 ClockTower-Nsambya'!L42)</f>
        <v>4</v>
      </c>
      <c r="M42" s="49">
        <f>AVERAGE('29.07 ClockTower-Nsambya'!M42,'30.07 ClockTower-Nsambya'!M42,'31.07 ClockTower-Nsambya'!M42,'02.08 ClockTower-Nsambya'!M42,'01.08 ClockTower-Nsambya-24h'!M42,'03.08 ClockTower-Nsambya-24h'!M42,'04.08 ClockTower-Nsambya'!M42)</f>
        <v>329.57142857142856</v>
      </c>
      <c r="N42" s="49">
        <f>AVERAGE('29.07 ClockTower-Nsambya'!N42,'30.07 ClockTower-Nsambya'!N42,'31.07 ClockTower-Nsambya'!N42,'02.08 ClockTower-Nsambya'!N42,'01.08 ClockTower-Nsambya-24h'!N42,'03.08 ClockTower-Nsambya-24h'!N42,'04.08 ClockTower-Nsambya'!N42)</f>
        <v>0.14285714285714285</v>
      </c>
      <c r="O42" s="15">
        <f t="shared" si="0"/>
        <v>176.42857142857142</v>
      </c>
      <c r="P42" s="15">
        <f t="shared" si="1"/>
        <v>506</v>
      </c>
    </row>
    <row r="43" spans="2:20" ht="23.1" customHeight="1" x14ac:dyDescent="0.25">
      <c r="B43" s="23" t="s">
        <v>70</v>
      </c>
      <c r="C43" s="49">
        <f>AVERAGE('29.07 ClockTower-Nsambya'!C43,'30.07 ClockTower-Nsambya'!C43,'31.07 ClockTower-Nsambya'!C43,'02.08 ClockTower-Nsambya'!C43,'01.08 ClockTower-Nsambya-24h'!C43,'03.08 ClockTower-Nsambya-24h'!C43,'04.08 ClockTower-Nsambya'!C43)</f>
        <v>68.428571428571431</v>
      </c>
      <c r="D43" s="49">
        <f>AVERAGE('29.07 ClockTower-Nsambya'!D43,'30.07 ClockTower-Nsambya'!D43,'31.07 ClockTower-Nsambya'!D43,'02.08 ClockTower-Nsambya'!D43,'01.08 ClockTower-Nsambya-24h'!D43,'03.08 ClockTower-Nsambya-24h'!D43,'04.08 ClockTower-Nsambya'!D43)</f>
        <v>18.428571428571427</v>
      </c>
      <c r="E43" s="49">
        <f>AVERAGE('29.07 ClockTower-Nsambya'!E43,'30.07 ClockTower-Nsambya'!E43,'31.07 ClockTower-Nsambya'!E43,'02.08 ClockTower-Nsambya'!E43,'01.08 ClockTower-Nsambya-24h'!E43,'03.08 ClockTower-Nsambya-24h'!E43,'04.08 ClockTower-Nsambya'!E43)</f>
        <v>10</v>
      </c>
      <c r="F43" s="49">
        <f>AVERAGE('29.07 ClockTower-Nsambya'!F43,'30.07 ClockTower-Nsambya'!F43,'31.07 ClockTower-Nsambya'!F43,'02.08 ClockTower-Nsambya'!F43,'01.08 ClockTower-Nsambya-24h'!F43,'03.08 ClockTower-Nsambya-24h'!F43,'04.08 ClockTower-Nsambya'!F43)</f>
        <v>53.142857142857146</v>
      </c>
      <c r="G43" s="49">
        <f>AVERAGE('29.07 ClockTower-Nsambya'!G43,'30.07 ClockTower-Nsambya'!G43,'31.07 ClockTower-Nsambya'!G43,'02.08 ClockTower-Nsambya'!G43,'01.08 ClockTower-Nsambya-24h'!G43,'03.08 ClockTower-Nsambya-24h'!G43,'04.08 ClockTower-Nsambya'!G43)</f>
        <v>0.2857142857142857</v>
      </c>
      <c r="H43" s="49">
        <f>AVERAGE('29.07 ClockTower-Nsambya'!H43,'30.07 ClockTower-Nsambya'!H43,'31.07 ClockTower-Nsambya'!H43,'02.08 ClockTower-Nsambya'!H43,'01.08 ClockTower-Nsambya-24h'!H43,'03.08 ClockTower-Nsambya-24h'!H43,'04.08 ClockTower-Nsambya'!H43)</f>
        <v>0</v>
      </c>
      <c r="I43" s="49">
        <f>AVERAGE('29.07 ClockTower-Nsambya'!I43,'30.07 ClockTower-Nsambya'!I43,'31.07 ClockTower-Nsambya'!I43,'02.08 ClockTower-Nsambya'!I43,'01.08 ClockTower-Nsambya-24h'!I43,'03.08 ClockTower-Nsambya-24h'!I43,'04.08 ClockTower-Nsambya'!I43)</f>
        <v>10.285714285714286</v>
      </c>
      <c r="J43" s="49">
        <f>AVERAGE('29.07 ClockTower-Nsambya'!J43,'30.07 ClockTower-Nsambya'!J43,'31.07 ClockTower-Nsambya'!J43,'02.08 ClockTower-Nsambya'!J43,'01.08 ClockTower-Nsambya-24h'!J43,'03.08 ClockTower-Nsambya-24h'!J43,'04.08 ClockTower-Nsambya'!J43)</f>
        <v>5.8571428571428568</v>
      </c>
      <c r="K43" s="49">
        <f>AVERAGE('29.07 ClockTower-Nsambya'!K43,'30.07 ClockTower-Nsambya'!K43,'31.07 ClockTower-Nsambya'!K43,'02.08 ClockTower-Nsambya'!K43,'01.08 ClockTower-Nsambya-24h'!K43,'03.08 ClockTower-Nsambya-24h'!K43,'04.08 ClockTower-Nsambya'!K43)</f>
        <v>3</v>
      </c>
      <c r="L43" s="49">
        <f>AVERAGE('29.07 ClockTower-Nsambya'!L43,'30.07 ClockTower-Nsambya'!L43,'31.07 ClockTower-Nsambya'!L43,'02.08 ClockTower-Nsambya'!L43,'01.08 ClockTower-Nsambya-24h'!L43,'03.08 ClockTower-Nsambya-24h'!L43,'04.08 ClockTower-Nsambya'!L43)</f>
        <v>2.8571428571428572</v>
      </c>
      <c r="M43" s="49">
        <f>AVERAGE('29.07 ClockTower-Nsambya'!M43,'30.07 ClockTower-Nsambya'!M43,'31.07 ClockTower-Nsambya'!M43,'02.08 ClockTower-Nsambya'!M43,'01.08 ClockTower-Nsambya-24h'!M43,'03.08 ClockTower-Nsambya-24h'!M43,'04.08 ClockTower-Nsambya'!M43)</f>
        <v>338.14285714285717</v>
      </c>
      <c r="N43" s="49">
        <f>AVERAGE('29.07 ClockTower-Nsambya'!N43,'30.07 ClockTower-Nsambya'!N43,'31.07 ClockTower-Nsambya'!N43,'02.08 ClockTower-Nsambya'!N43,'01.08 ClockTower-Nsambya-24h'!N43,'03.08 ClockTower-Nsambya-24h'!N43,'04.08 ClockTower-Nsambya'!N43)</f>
        <v>0</v>
      </c>
      <c r="O43" s="15">
        <f t="shared" si="0"/>
        <v>172.28571428571428</v>
      </c>
      <c r="P43" s="15">
        <f t="shared" si="1"/>
        <v>510.42857142857144</v>
      </c>
    </row>
    <row r="44" spans="2:20" ht="23.1" customHeight="1" x14ac:dyDescent="0.25">
      <c r="B44" s="25" t="s">
        <v>71</v>
      </c>
      <c r="C44" s="49">
        <f>AVERAGE('29.07 ClockTower-Nsambya'!C44,'30.07 ClockTower-Nsambya'!C44,'31.07 ClockTower-Nsambya'!C44,'02.08 ClockTower-Nsambya'!C44,'01.08 ClockTower-Nsambya-24h'!C44,'03.08 ClockTower-Nsambya-24h'!C44,'04.08 ClockTower-Nsambya'!C44)</f>
        <v>71.428571428571431</v>
      </c>
      <c r="D44" s="49">
        <f>AVERAGE('29.07 ClockTower-Nsambya'!D44,'30.07 ClockTower-Nsambya'!D44,'31.07 ClockTower-Nsambya'!D44,'02.08 ClockTower-Nsambya'!D44,'01.08 ClockTower-Nsambya-24h'!D44,'03.08 ClockTower-Nsambya-24h'!D44,'04.08 ClockTower-Nsambya'!D44)</f>
        <v>28.285714285714285</v>
      </c>
      <c r="E44" s="49">
        <f>AVERAGE('29.07 ClockTower-Nsambya'!E44,'30.07 ClockTower-Nsambya'!E44,'31.07 ClockTower-Nsambya'!E44,'02.08 ClockTower-Nsambya'!E44,'01.08 ClockTower-Nsambya-24h'!E44,'03.08 ClockTower-Nsambya-24h'!E44,'04.08 ClockTower-Nsambya'!E44)</f>
        <v>17.428571428571427</v>
      </c>
      <c r="F44" s="49">
        <f>AVERAGE('29.07 ClockTower-Nsambya'!F44,'30.07 ClockTower-Nsambya'!F44,'31.07 ClockTower-Nsambya'!F44,'02.08 ClockTower-Nsambya'!F44,'01.08 ClockTower-Nsambya-24h'!F44,'03.08 ClockTower-Nsambya-24h'!F44,'04.08 ClockTower-Nsambya'!F44)</f>
        <v>49</v>
      </c>
      <c r="G44" s="49">
        <f>AVERAGE('29.07 ClockTower-Nsambya'!G44,'30.07 ClockTower-Nsambya'!G44,'31.07 ClockTower-Nsambya'!G44,'02.08 ClockTower-Nsambya'!G44,'01.08 ClockTower-Nsambya-24h'!G44,'03.08 ClockTower-Nsambya-24h'!G44,'04.08 ClockTower-Nsambya'!G44)</f>
        <v>2</v>
      </c>
      <c r="H44" s="49">
        <f>AVERAGE('29.07 ClockTower-Nsambya'!H44,'30.07 ClockTower-Nsambya'!H44,'31.07 ClockTower-Nsambya'!H44,'02.08 ClockTower-Nsambya'!H44,'01.08 ClockTower-Nsambya-24h'!H44,'03.08 ClockTower-Nsambya-24h'!H44,'04.08 ClockTower-Nsambya'!H44)</f>
        <v>0.5714285714285714</v>
      </c>
      <c r="I44" s="49">
        <f>AVERAGE('29.07 ClockTower-Nsambya'!I44,'30.07 ClockTower-Nsambya'!I44,'31.07 ClockTower-Nsambya'!I44,'02.08 ClockTower-Nsambya'!I44,'01.08 ClockTower-Nsambya-24h'!I44,'03.08 ClockTower-Nsambya-24h'!I44,'04.08 ClockTower-Nsambya'!I44)</f>
        <v>8</v>
      </c>
      <c r="J44" s="49">
        <f>AVERAGE('29.07 ClockTower-Nsambya'!J44,'30.07 ClockTower-Nsambya'!J44,'31.07 ClockTower-Nsambya'!J44,'02.08 ClockTower-Nsambya'!J44,'01.08 ClockTower-Nsambya-24h'!J44,'03.08 ClockTower-Nsambya-24h'!J44,'04.08 ClockTower-Nsambya'!J44)</f>
        <v>5.4285714285714288</v>
      </c>
      <c r="K44" s="49">
        <f>AVERAGE('29.07 ClockTower-Nsambya'!K44,'30.07 ClockTower-Nsambya'!K44,'31.07 ClockTower-Nsambya'!K44,'02.08 ClockTower-Nsambya'!K44,'01.08 ClockTower-Nsambya-24h'!K44,'03.08 ClockTower-Nsambya-24h'!K44,'04.08 ClockTower-Nsambya'!K44)</f>
        <v>2</v>
      </c>
      <c r="L44" s="49">
        <f>AVERAGE('29.07 ClockTower-Nsambya'!L44,'30.07 ClockTower-Nsambya'!L44,'31.07 ClockTower-Nsambya'!L44,'02.08 ClockTower-Nsambya'!L44,'01.08 ClockTower-Nsambya-24h'!L44,'03.08 ClockTower-Nsambya-24h'!L44,'04.08 ClockTower-Nsambya'!L44)</f>
        <v>3</v>
      </c>
      <c r="M44" s="49">
        <f>AVERAGE('29.07 ClockTower-Nsambya'!M44,'30.07 ClockTower-Nsambya'!M44,'31.07 ClockTower-Nsambya'!M44,'02.08 ClockTower-Nsambya'!M44,'01.08 ClockTower-Nsambya-24h'!M44,'03.08 ClockTower-Nsambya-24h'!M44,'04.08 ClockTower-Nsambya'!M44)</f>
        <v>417.14285714285717</v>
      </c>
      <c r="N44" s="49">
        <f>AVERAGE('29.07 ClockTower-Nsambya'!N44,'30.07 ClockTower-Nsambya'!N44,'31.07 ClockTower-Nsambya'!N44,'02.08 ClockTower-Nsambya'!N44,'01.08 ClockTower-Nsambya-24h'!N44,'03.08 ClockTower-Nsambya-24h'!N44,'04.08 ClockTower-Nsambya'!N44)</f>
        <v>0</v>
      </c>
      <c r="O44" s="15">
        <f t="shared" si="0"/>
        <v>187.14285714285717</v>
      </c>
      <c r="P44" s="15">
        <f t="shared" si="1"/>
        <v>604.28571428571433</v>
      </c>
    </row>
    <row r="45" spans="2:20" ht="23.1" customHeight="1" x14ac:dyDescent="0.25">
      <c r="B45" s="23" t="s">
        <v>72</v>
      </c>
      <c r="C45" s="49">
        <f>AVERAGE('29.07 ClockTower-Nsambya'!C45,'30.07 ClockTower-Nsambya'!C45,'31.07 ClockTower-Nsambya'!C45,'02.08 ClockTower-Nsambya'!C45,'01.08 ClockTower-Nsambya-24h'!C45,'03.08 ClockTower-Nsambya-24h'!C45,'04.08 ClockTower-Nsambya'!C45)</f>
        <v>84.142857142857139</v>
      </c>
      <c r="D45" s="49">
        <f>AVERAGE('29.07 ClockTower-Nsambya'!D45,'30.07 ClockTower-Nsambya'!D45,'31.07 ClockTower-Nsambya'!D45,'02.08 ClockTower-Nsambya'!D45,'01.08 ClockTower-Nsambya-24h'!D45,'03.08 ClockTower-Nsambya-24h'!D45,'04.08 ClockTower-Nsambya'!D45)</f>
        <v>29.428571428571427</v>
      </c>
      <c r="E45" s="49">
        <f>AVERAGE('29.07 ClockTower-Nsambya'!E45,'30.07 ClockTower-Nsambya'!E45,'31.07 ClockTower-Nsambya'!E45,'02.08 ClockTower-Nsambya'!E45,'01.08 ClockTower-Nsambya-24h'!E45,'03.08 ClockTower-Nsambya-24h'!E45,'04.08 ClockTower-Nsambya'!E45)</f>
        <v>13.142857142857142</v>
      </c>
      <c r="F45" s="49">
        <f>AVERAGE('29.07 ClockTower-Nsambya'!F45,'30.07 ClockTower-Nsambya'!F45,'31.07 ClockTower-Nsambya'!F45,'02.08 ClockTower-Nsambya'!F45,'01.08 ClockTower-Nsambya-24h'!F45,'03.08 ClockTower-Nsambya-24h'!F45,'04.08 ClockTower-Nsambya'!F45)</f>
        <v>46.571428571428569</v>
      </c>
      <c r="G45" s="49">
        <f>AVERAGE('29.07 ClockTower-Nsambya'!G45,'30.07 ClockTower-Nsambya'!G45,'31.07 ClockTower-Nsambya'!G45,'02.08 ClockTower-Nsambya'!G45,'01.08 ClockTower-Nsambya-24h'!G45,'03.08 ClockTower-Nsambya-24h'!G45,'04.08 ClockTower-Nsambya'!G45)</f>
        <v>1.2857142857142858</v>
      </c>
      <c r="H45" s="49">
        <f>AVERAGE('29.07 ClockTower-Nsambya'!H45,'30.07 ClockTower-Nsambya'!H45,'31.07 ClockTower-Nsambya'!H45,'02.08 ClockTower-Nsambya'!H45,'01.08 ClockTower-Nsambya-24h'!H45,'03.08 ClockTower-Nsambya-24h'!H45,'04.08 ClockTower-Nsambya'!H45)</f>
        <v>0.42857142857142855</v>
      </c>
      <c r="I45" s="49">
        <f>AVERAGE('29.07 ClockTower-Nsambya'!I45,'30.07 ClockTower-Nsambya'!I45,'31.07 ClockTower-Nsambya'!I45,'02.08 ClockTower-Nsambya'!I45,'01.08 ClockTower-Nsambya-24h'!I45,'03.08 ClockTower-Nsambya-24h'!I45,'04.08 ClockTower-Nsambya'!I45)</f>
        <v>6.5714285714285712</v>
      </c>
      <c r="J45" s="49">
        <f>AVERAGE('29.07 ClockTower-Nsambya'!J45,'30.07 ClockTower-Nsambya'!J45,'31.07 ClockTower-Nsambya'!J45,'02.08 ClockTower-Nsambya'!J45,'01.08 ClockTower-Nsambya-24h'!J45,'03.08 ClockTower-Nsambya-24h'!J45,'04.08 ClockTower-Nsambya'!J45)</f>
        <v>6.8571428571428568</v>
      </c>
      <c r="K45" s="49">
        <f>AVERAGE('29.07 ClockTower-Nsambya'!K45,'30.07 ClockTower-Nsambya'!K45,'31.07 ClockTower-Nsambya'!K45,'02.08 ClockTower-Nsambya'!K45,'01.08 ClockTower-Nsambya-24h'!K45,'03.08 ClockTower-Nsambya-24h'!K45,'04.08 ClockTower-Nsambya'!K45)</f>
        <v>2.7142857142857144</v>
      </c>
      <c r="L45" s="49">
        <f>AVERAGE('29.07 ClockTower-Nsambya'!L45,'30.07 ClockTower-Nsambya'!L45,'31.07 ClockTower-Nsambya'!L45,'02.08 ClockTower-Nsambya'!L45,'01.08 ClockTower-Nsambya-24h'!L45,'03.08 ClockTower-Nsambya-24h'!L45,'04.08 ClockTower-Nsambya'!L45)</f>
        <v>3.8571428571428572</v>
      </c>
      <c r="M45" s="49">
        <f>AVERAGE('29.07 ClockTower-Nsambya'!M45,'30.07 ClockTower-Nsambya'!M45,'31.07 ClockTower-Nsambya'!M45,'02.08 ClockTower-Nsambya'!M45,'01.08 ClockTower-Nsambya-24h'!M45,'03.08 ClockTower-Nsambya-24h'!M45,'04.08 ClockTower-Nsambya'!M45)</f>
        <v>381.28571428571428</v>
      </c>
      <c r="N45" s="49">
        <f>AVERAGE('29.07 ClockTower-Nsambya'!N45,'30.07 ClockTower-Nsambya'!N45,'31.07 ClockTower-Nsambya'!N45,'02.08 ClockTower-Nsambya'!N45,'01.08 ClockTower-Nsambya-24h'!N45,'03.08 ClockTower-Nsambya-24h'!N45,'04.08 ClockTower-Nsambya'!N45)</f>
        <v>0.14285714285714285</v>
      </c>
      <c r="O45" s="15">
        <f t="shared" si="0"/>
        <v>195.14285714285714</v>
      </c>
      <c r="P45" s="15">
        <f t="shared" si="1"/>
        <v>576.42857142857133</v>
      </c>
    </row>
    <row r="46" spans="2:20" ht="23.1" customHeight="1" x14ac:dyDescent="0.25">
      <c r="B46" s="24" t="s">
        <v>73</v>
      </c>
      <c r="C46" s="49">
        <f>AVERAGE('29.07 ClockTower-Nsambya'!C46,'30.07 ClockTower-Nsambya'!C46,'31.07 ClockTower-Nsambya'!C46,'02.08 ClockTower-Nsambya'!C46,'01.08 ClockTower-Nsambya-24h'!C46,'03.08 ClockTower-Nsambya-24h'!C46,'04.08 ClockTower-Nsambya'!C46)</f>
        <v>68.142857142857139</v>
      </c>
      <c r="D46" s="49">
        <f>AVERAGE('29.07 ClockTower-Nsambya'!D46,'30.07 ClockTower-Nsambya'!D46,'31.07 ClockTower-Nsambya'!D46,'02.08 ClockTower-Nsambya'!D46,'01.08 ClockTower-Nsambya-24h'!D46,'03.08 ClockTower-Nsambya-24h'!D46,'04.08 ClockTower-Nsambya'!D46)</f>
        <v>31.571428571428573</v>
      </c>
      <c r="E46" s="49">
        <f>AVERAGE('29.07 ClockTower-Nsambya'!E46,'30.07 ClockTower-Nsambya'!E46,'31.07 ClockTower-Nsambya'!E46,'02.08 ClockTower-Nsambya'!E46,'01.08 ClockTower-Nsambya-24h'!E46,'03.08 ClockTower-Nsambya-24h'!E46,'04.08 ClockTower-Nsambya'!E46)</f>
        <v>10.142857142857142</v>
      </c>
      <c r="F46" s="49">
        <f>AVERAGE('29.07 ClockTower-Nsambya'!F46,'30.07 ClockTower-Nsambya'!F46,'31.07 ClockTower-Nsambya'!F46,'02.08 ClockTower-Nsambya'!F46,'01.08 ClockTower-Nsambya-24h'!F46,'03.08 ClockTower-Nsambya-24h'!F46,'04.08 ClockTower-Nsambya'!F46)</f>
        <v>56.714285714285715</v>
      </c>
      <c r="G46" s="49">
        <f>AVERAGE('29.07 ClockTower-Nsambya'!G46,'30.07 ClockTower-Nsambya'!G46,'31.07 ClockTower-Nsambya'!G46,'02.08 ClockTower-Nsambya'!G46,'01.08 ClockTower-Nsambya-24h'!G46,'03.08 ClockTower-Nsambya-24h'!G46,'04.08 ClockTower-Nsambya'!G46)</f>
        <v>1.5714285714285714</v>
      </c>
      <c r="H46" s="49">
        <f>AVERAGE('29.07 ClockTower-Nsambya'!H46,'30.07 ClockTower-Nsambya'!H46,'31.07 ClockTower-Nsambya'!H46,'02.08 ClockTower-Nsambya'!H46,'01.08 ClockTower-Nsambya-24h'!H46,'03.08 ClockTower-Nsambya-24h'!H46,'04.08 ClockTower-Nsambya'!H46)</f>
        <v>0.42857142857142855</v>
      </c>
      <c r="I46" s="49">
        <f>AVERAGE('29.07 ClockTower-Nsambya'!I46,'30.07 ClockTower-Nsambya'!I46,'31.07 ClockTower-Nsambya'!I46,'02.08 ClockTower-Nsambya'!I46,'01.08 ClockTower-Nsambya-24h'!I46,'03.08 ClockTower-Nsambya-24h'!I46,'04.08 ClockTower-Nsambya'!I46)</f>
        <v>8</v>
      </c>
      <c r="J46" s="49">
        <f>AVERAGE('29.07 ClockTower-Nsambya'!J46,'30.07 ClockTower-Nsambya'!J46,'31.07 ClockTower-Nsambya'!J46,'02.08 ClockTower-Nsambya'!J46,'01.08 ClockTower-Nsambya-24h'!J46,'03.08 ClockTower-Nsambya-24h'!J46,'04.08 ClockTower-Nsambya'!J46)</f>
        <v>4.7142857142857144</v>
      </c>
      <c r="K46" s="49">
        <f>AVERAGE('29.07 ClockTower-Nsambya'!K46,'30.07 ClockTower-Nsambya'!K46,'31.07 ClockTower-Nsambya'!K46,'02.08 ClockTower-Nsambya'!K46,'01.08 ClockTower-Nsambya-24h'!K46,'03.08 ClockTower-Nsambya-24h'!K46,'04.08 ClockTower-Nsambya'!K46)</f>
        <v>4</v>
      </c>
      <c r="L46" s="49">
        <f>AVERAGE('29.07 ClockTower-Nsambya'!L46,'30.07 ClockTower-Nsambya'!L46,'31.07 ClockTower-Nsambya'!L46,'02.08 ClockTower-Nsambya'!L46,'01.08 ClockTower-Nsambya-24h'!L46,'03.08 ClockTower-Nsambya-24h'!L46,'04.08 ClockTower-Nsambya'!L46)</f>
        <v>3.7142857142857144</v>
      </c>
      <c r="M46" s="49">
        <f>AVERAGE('29.07 ClockTower-Nsambya'!M46,'30.07 ClockTower-Nsambya'!M46,'31.07 ClockTower-Nsambya'!M46,'02.08 ClockTower-Nsambya'!M46,'01.08 ClockTower-Nsambya-24h'!M46,'03.08 ClockTower-Nsambya-24h'!M46,'04.08 ClockTower-Nsambya'!M46)</f>
        <v>414.71428571428572</v>
      </c>
      <c r="N46" s="49">
        <f>AVERAGE('29.07 ClockTower-Nsambya'!N46,'30.07 ClockTower-Nsambya'!N46,'31.07 ClockTower-Nsambya'!N46,'02.08 ClockTower-Nsambya'!N46,'01.08 ClockTower-Nsambya-24h'!N46,'03.08 ClockTower-Nsambya-24h'!N46,'04.08 ClockTower-Nsambya'!N46)</f>
        <v>0.14285714285714285</v>
      </c>
      <c r="O46" s="15">
        <f t="shared" si="0"/>
        <v>189.14285714285714</v>
      </c>
      <c r="P46" s="15">
        <f t="shared" si="1"/>
        <v>603.85714285714289</v>
      </c>
      <c r="R46" s="8"/>
      <c r="T46"/>
    </row>
    <row r="47" spans="2:20" ht="23.1" customHeight="1" x14ac:dyDescent="0.25">
      <c r="B47" s="24" t="s">
        <v>74</v>
      </c>
      <c r="C47" s="49">
        <f>AVERAGE('29.07 ClockTower-Nsambya'!C47,'30.07 ClockTower-Nsambya'!C47,'31.07 ClockTower-Nsambya'!C47,'02.08 ClockTower-Nsambya'!C47,'01.08 ClockTower-Nsambya-24h'!C47,'03.08 ClockTower-Nsambya-24h'!C47,'04.08 ClockTower-Nsambya'!C47)</f>
        <v>64.285714285714292</v>
      </c>
      <c r="D47" s="49">
        <f>AVERAGE('29.07 ClockTower-Nsambya'!D47,'30.07 ClockTower-Nsambya'!D47,'31.07 ClockTower-Nsambya'!D47,'02.08 ClockTower-Nsambya'!D47,'01.08 ClockTower-Nsambya-24h'!D47,'03.08 ClockTower-Nsambya-24h'!D47,'04.08 ClockTower-Nsambya'!D47)</f>
        <v>36.714285714285715</v>
      </c>
      <c r="E47" s="49">
        <f>AVERAGE('29.07 ClockTower-Nsambya'!E47,'30.07 ClockTower-Nsambya'!E47,'31.07 ClockTower-Nsambya'!E47,'02.08 ClockTower-Nsambya'!E47,'01.08 ClockTower-Nsambya-24h'!E47,'03.08 ClockTower-Nsambya-24h'!E47,'04.08 ClockTower-Nsambya'!E47)</f>
        <v>17.142857142857142</v>
      </c>
      <c r="F47" s="49">
        <f>AVERAGE('29.07 ClockTower-Nsambya'!F47,'30.07 ClockTower-Nsambya'!F47,'31.07 ClockTower-Nsambya'!F47,'02.08 ClockTower-Nsambya'!F47,'01.08 ClockTower-Nsambya-24h'!F47,'03.08 ClockTower-Nsambya-24h'!F47,'04.08 ClockTower-Nsambya'!F47)</f>
        <v>54.285714285714285</v>
      </c>
      <c r="G47" s="49">
        <f>AVERAGE('29.07 ClockTower-Nsambya'!G47,'30.07 ClockTower-Nsambya'!G47,'31.07 ClockTower-Nsambya'!G47,'02.08 ClockTower-Nsambya'!G47,'01.08 ClockTower-Nsambya-24h'!G47,'03.08 ClockTower-Nsambya-24h'!G47,'04.08 ClockTower-Nsambya'!G47)</f>
        <v>1.2857142857142858</v>
      </c>
      <c r="H47" s="49">
        <f>AVERAGE('29.07 ClockTower-Nsambya'!H47,'30.07 ClockTower-Nsambya'!H47,'31.07 ClockTower-Nsambya'!H47,'02.08 ClockTower-Nsambya'!H47,'01.08 ClockTower-Nsambya-24h'!H47,'03.08 ClockTower-Nsambya-24h'!H47,'04.08 ClockTower-Nsambya'!H47)</f>
        <v>0.2857142857142857</v>
      </c>
      <c r="I47" s="49">
        <f>AVERAGE('29.07 ClockTower-Nsambya'!I47,'30.07 ClockTower-Nsambya'!I47,'31.07 ClockTower-Nsambya'!I47,'02.08 ClockTower-Nsambya'!I47,'01.08 ClockTower-Nsambya-24h'!I47,'03.08 ClockTower-Nsambya-24h'!I47,'04.08 ClockTower-Nsambya'!I47)</f>
        <v>11.714285714285714</v>
      </c>
      <c r="J47" s="49">
        <f>AVERAGE('29.07 ClockTower-Nsambya'!J47,'30.07 ClockTower-Nsambya'!J47,'31.07 ClockTower-Nsambya'!J47,'02.08 ClockTower-Nsambya'!J47,'01.08 ClockTower-Nsambya-24h'!J47,'03.08 ClockTower-Nsambya-24h'!J47,'04.08 ClockTower-Nsambya'!J47)</f>
        <v>5.4285714285714288</v>
      </c>
      <c r="K47" s="49">
        <f>AVERAGE('29.07 ClockTower-Nsambya'!K47,'30.07 ClockTower-Nsambya'!K47,'31.07 ClockTower-Nsambya'!K47,'02.08 ClockTower-Nsambya'!K47,'01.08 ClockTower-Nsambya-24h'!K47,'03.08 ClockTower-Nsambya-24h'!K47,'04.08 ClockTower-Nsambya'!K47)</f>
        <v>3.2857142857142856</v>
      </c>
      <c r="L47" s="49">
        <f>AVERAGE('29.07 ClockTower-Nsambya'!L47,'30.07 ClockTower-Nsambya'!L47,'31.07 ClockTower-Nsambya'!L47,'02.08 ClockTower-Nsambya'!L47,'01.08 ClockTower-Nsambya-24h'!L47,'03.08 ClockTower-Nsambya-24h'!L47,'04.08 ClockTower-Nsambya'!L47)</f>
        <v>3.5714285714285716</v>
      </c>
      <c r="M47" s="49">
        <f>AVERAGE('29.07 ClockTower-Nsambya'!M47,'30.07 ClockTower-Nsambya'!M47,'31.07 ClockTower-Nsambya'!M47,'02.08 ClockTower-Nsambya'!M47,'01.08 ClockTower-Nsambya-24h'!M47,'03.08 ClockTower-Nsambya-24h'!M47,'04.08 ClockTower-Nsambya'!M47)</f>
        <v>404.28571428571428</v>
      </c>
      <c r="N47" s="49">
        <f>AVERAGE('29.07 ClockTower-Nsambya'!N47,'30.07 ClockTower-Nsambya'!N47,'31.07 ClockTower-Nsambya'!N47,'02.08 ClockTower-Nsambya'!N47,'01.08 ClockTower-Nsambya-24h'!N47,'03.08 ClockTower-Nsambya-24h'!N47,'04.08 ClockTower-Nsambya'!N47)</f>
        <v>0.14285714285714285</v>
      </c>
      <c r="O47" s="15">
        <f t="shared" si="0"/>
        <v>198.14285714285711</v>
      </c>
      <c r="P47" s="15">
        <f t="shared" si="1"/>
        <v>602.42857142857133</v>
      </c>
      <c r="R47" s="8"/>
      <c r="T47"/>
    </row>
    <row r="48" spans="2:20" ht="23.1" customHeight="1" x14ac:dyDescent="0.25">
      <c r="B48" s="24" t="s">
        <v>75</v>
      </c>
      <c r="C48" s="49">
        <f>AVERAGE('29.07 ClockTower-Nsambya'!C48,'30.07 ClockTower-Nsambya'!C48,'31.07 ClockTower-Nsambya'!C48,'02.08 ClockTower-Nsambya'!C48,'01.08 ClockTower-Nsambya-24h'!C48,'03.08 ClockTower-Nsambya-24h'!C48,'04.08 ClockTower-Nsambya'!C48)</f>
        <v>62.857142857142854</v>
      </c>
      <c r="D48" s="49">
        <f>AVERAGE('29.07 ClockTower-Nsambya'!D48,'30.07 ClockTower-Nsambya'!D48,'31.07 ClockTower-Nsambya'!D48,'02.08 ClockTower-Nsambya'!D48,'01.08 ClockTower-Nsambya-24h'!D48,'03.08 ClockTower-Nsambya-24h'!D48,'04.08 ClockTower-Nsambya'!D48)</f>
        <v>32.428571428571431</v>
      </c>
      <c r="E48" s="49">
        <f>AVERAGE('29.07 ClockTower-Nsambya'!E48,'30.07 ClockTower-Nsambya'!E48,'31.07 ClockTower-Nsambya'!E48,'02.08 ClockTower-Nsambya'!E48,'01.08 ClockTower-Nsambya-24h'!E48,'03.08 ClockTower-Nsambya-24h'!E48,'04.08 ClockTower-Nsambya'!E48)</f>
        <v>12.571428571428571</v>
      </c>
      <c r="F48" s="49">
        <f>AVERAGE('29.07 ClockTower-Nsambya'!F48,'30.07 ClockTower-Nsambya'!F48,'31.07 ClockTower-Nsambya'!F48,'02.08 ClockTower-Nsambya'!F48,'01.08 ClockTower-Nsambya-24h'!F48,'03.08 ClockTower-Nsambya-24h'!F48,'04.08 ClockTower-Nsambya'!F48)</f>
        <v>38.571428571428569</v>
      </c>
      <c r="G48" s="49">
        <f>AVERAGE('29.07 ClockTower-Nsambya'!G48,'30.07 ClockTower-Nsambya'!G48,'31.07 ClockTower-Nsambya'!G48,'02.08 ClockTower-Nsambya'!G48,'01.08 ClockTower-Nsambya-24h'!G48,'03.08 ClockTower-Nsambya-24h'!G48,'04.08 ClockTower-Nsambya'!G48)</f>
        <v>1.8571428571428572</v>
      </c>
      <c r="H48" s="49">
        <f>AVERAGE('29.07 ClockTower-Nsambya'!H48,'30.07 ClockTower-Nsambya'!H48,'31.07 ClockTower-Nsambya'!H48,'02.08 ClockTower-Nsambya'!H48,'01.08 ClockTower-Nsambya-24h'!H48,'03.08 ClockTower-Nsambya-24h'!H48,'04.08 ClockTower-Nsambya'!H48)</f>
        <v>1.1428571428571428</v>
      </c>
      <c r="I48" s="49">
        <f>AVERAGE('29.07 ClockTower-Nsambya'!I48,'30.07 ClockTower-Nsambya'!I48,'31.07 ClockTower-Nsambya'!I48,'02.08 ClockTower-Nsambya'!I48,'01.08 ClockTower-Nsambya-24h'!I48,'03.08 ClockTower-Nsambya-24h'!I48,'04.08 ClockTower-Nsambya'!I48)</f>
        <v>8.8571428571428577</v>
      </c>
      <c r="J48" s="49">
        <f>AVERAGE('29.07 ClockTower-Nsambya'!J48,'30.07 ClockTower-Nsambya'!J48,'31.07 ClockTower-Nsambya'!J48,'02.08 ClockTower-Nsambya'!J48,'01.08 ClockTower-Nsambya-24h'!J48,'03.08 ClockTower-Nsambya-24h'!J48,'04.08 ClockTower-Nsambya'!J48)</f>
        <v>3.8571428571428572</v>
      </c>
      <c r="K48" s="49">
        <f>AVERAGE('29.07 ClockTower-Nsambya'!K48,'30.07 ClockTower-Nsambya'!K48,'31.07 ClockTower-Nsambya'!K48,'02.08 ClockTower-Nsambya'!K48,'01.08 ClockTower-Nsambya-24h'!K48,'03.08 ClockTower-Nsambya-24h'!K48,'04.08 ClockTower-Nsambya'!K48)</f>
        <v>3.1428571428571428</v>
      </c>
      <c r="L48" s="49">
        <f>AVERAGE('29.07 ClockTower-Nsambya'!L48,'30.07 ClockTower-Nsambya'!L48,'31.07 ClockTower-Nsambya'!L48,'02.08 ClockTower-Nsambya'!L48,'01.08 ClockTower-Nsambya-24h'!L48,'03.08 ClockTower-Nsambya-24h'!L48,'04.08 ClockTower-Nsambya'!L48)</f>
        <v>3.8571428571428572</v>
      </c>
      <c r="M48" s="49">
        <f>AVERAGE('29.07 ClockTower-Nsambya'!M48,'30.07 ClockTower-Nsambya'!M48,'31.07 ClockTower-Nsambya'!M48,'02.08 ClockTower-Nsambya'!M48,'01.08 ClockTower-Nsambya-24h'!M48,'03.08 ClockTower-Nsambya-24h'!M48,'04.08 ClockTower-Nsambya'!M48)</f>
        <v>389.42857142857144</v>
      </c>
      <c r="N48" s="49">
        <f>AVERAGE('29.07 ClockTower-Nsambya'!N48,'30.07 ClockTower-Nsambya'!N48,'31.07 ClockTower-Nsambya'!N48,'02.08 ClockTower-Nsambya'!N48,'01.08 ClockTower-Nsambya-24h'!N48,'03.08 ClockTower-Nsambya-24h'!N48,'04.08 ClockTower-Nsambya'!N48)</f>
        <v>0.2857142857142857</v>
      </c>
      <c r="O48" s="15">
        <f t="shared" si="0"/>
        <v>169.42857142857142</v>
      </c>
      <c r="P48" s="15">
        <f t="shared" si="1"/>
        <v>558.85714285714289</v>
      </c>
      <c r="R48" s="8"/>
      <c r="T48"/>
    </row>
    <row r="49" spans="2:20" ht="23.1" customHeight="1" x14ac:dyDescent="0.25">
      <c r="B49" s="23" t="s">
        <v>76</v>
      </c>
      <c r="C49" s="49">
        <f>AVERAGE('29.07 ClockTower-Nsambya'!C49,'30.07 ClockTower-Nsambya'!C49,'31.07 ClockTower-Nsambya'!C49,'02.08 ClockTower-Nsambya'!C49,'01.08 ClockTower-Nsambya-24h'!C49,'03.08 ClockTower-Nsambya-24h'!C49,'04.08 ClockTower-Nsambya'!C49)</f>
        <v>63</v>
      </c>
      <c r="D49" s="49">
        <f>AVERAGE('29.07 ClockTower-Nsambya'!D49,'30.07 ClockTower-Nsambya'!D49,'31.07 ClockTower-Nsambya'!D49,'02.08 ClockTower-Nsambya'!D49,'01.08 ClockTower-Nsambya-24h'!D49,'03.08 ClockTower-Nsambya-24h'!D49,'04.08 ClockTower-Nsambya'!D49)</f>
        <v>39.571428571428569</v>
      </c>
      <c r="E49" s="49">
        <f>AVERAGE('29.07 ClockTower-Nsambya'!E49,'30.07 ClockTower-Nsambya'!E49,'31.07 ClockTower-Nsambya'!E49,'02.08 ClockTower-Nsambya'!E49,'01.08 ClockTower-Nsambya-24h'!E49,'03.08 ClockTower-Nsambya-24h'!E49,'04.08 ClockTower-Nsambya'!E49)</f>
        <v>18.571428571428573</v>
      </c>
      <c r="F49" s="49">
        <f>AVERAGE('29.07 ClockTower-Nsambya'!F49,'30.07 ClockTower-Nsambya'!F49,'31.07 ClockTower-Nsambya'!F49,'02.08 ClockTower-Nsambya'!F49,'01.08 ClockTower-Nsambya-24h'!F49,'03.08 ClockTower-Nsambya-24h'!F49,'04.08 ClockTower-Nsambya'!F49)</f>
        <v>45.714285714285715</v>
      </c>
      <c r="G49" s="49">
        <f>AVERAGE('29.07 ClockTower-Nsambya'!G49,'30.07 ClockTower-Nsambya'!G49,'31.07 ClockTower-Nsambya'!G49,'02.08 ClockTower-Nsambya'!G49,'01.08 ClockTower-Nsambya-24h'!G49,'03.08 ClockTower-Nsambya-24h'!G49,'04.08 ClockTower-Nsambya'!G49)</f>
        <v>2</v>
      </c>
      <c r="H49" s="49">
        <f>AVERAGE('29.07 ClockTower-Nsambya'!H49,'30.07 ClockTower-Nsambya'!H49,'31.07 ClockTower-Nsambya'!H49,'02.08 ClockTower-Nsambya'!H49,'01.08 ClockTower-Nsambya-24h'!H49,'03.08 ClockTower-Nsambya-24h'!H49,'04.08 ClockTower-Nsambya'!H49)</f>
        <v>0.5714285714285714</v>
      </c>
      <c r="I49" s="49">
        <f>AVERAGE('29.07 ClockTower-Nsambya'!I49,'30.07 ClockTower-Nsambya'!I49,'31.07 ClockTower-Nsambya'!I49,'02.08 ClockTower-Nsambya'!I49,'01.08 ClockTower-Nsambya-24h'!I49,'03.08 ClockTower-Nsambya-24h'!I49,'04.08 ClockTower-Nsambya'!I49)</f>
        <v>10</v>
      </c>
      <c r="J49" s="49">
        <f>AVERAGE('29.07 ClockTower-Nsambya'!J49,'30.07 ClockTower-Nsambya'!J49,'31.07 ClockTower-Nsambya'!J49,'02.08 ClockTower-Nsambya'!J49,'01.08 ClockTower-Nsambya-24h'!J49,'03.08 ClockTower-Nsambya-24h'!J49,'04.08 ClockTower-Nsambya'!J49)</f>
        <v>2.8571428571428572</v>
      </c>
      <c r="K49" s="49">
        <f>AVERAGE('29.07 ClockTower-Nsambya'!K49,'30.07 ClockTower-Nsambya'!K49,'31.07 ClockTower-Nsambya'!K49,'02.08 ClockTower-Nsambya'!K49,'01.08 ClockTower-Nsambya-24h'!K49,'03.08 ClockTower-Nsambya-24h'!K49,'04.08 ClockTower-Nsambya'!K49)</f>
        <v>3</v>
      </c>
      <c r="L49" s="49">
        <f>AVERAGE('29.07 ClockTower-Nsambya'!L49,'30.07 ClockTower-Nsambya'!L49,'31.07 ClockTower-Nsambya'!L49,'02.08 ClockTower-Nsambya'!L49,'01.08 ClockTower-Nsambya-24h'!L49,'03.08 ClockTower-Nsambya-24h'!L49,'04.08 ClockTower-Nsambya'!L49)</f>
        <v>2</v>
      </c>
      <c r="M49" s="49">
        <f>AVERAGE('29.07 ClockTower-Nsambya'!M49,'30.07 ClockTower-Nsambya'!M49,'31.07 ClockTower-Nsambya'!M49,'02.08 ClockTower-Nsambya'!M49,'01.08 ClockTower-Nsambya-24h'!M49,'03.08 ClockTower-Nsambya-24h'!M49,'04.08 ClockTower-Nsambya'!M49)</f>
        <v>402.57142857142856</v>
      </c>
      <c r="N49" s="49">
        <f>AVERAGE('29.07 ClockTower-Nsambya'!N49,'30.07 ClockTower-Nsambya'!N49,'31.07 ClockTower-Nsambya'!N49,'02.08 ClockTower-Nsambya'!N49,'01.08 ClockTower-Nsambya-24h'!N49,'03.08 ClockTower-Nsambya-24h'!N49,'04.08 ClockTower-Nsambya'!N49)</f>
        <v>0</v>
      </c>
      <c r="O49" s="15">
        <f t="shared" si="0"/>
        <v>187.28571428571431</v>
      </c>
      <c r="P49" s="15">
        <f t="shared" si="1"/>
        <v>589.85714285714289</v>
      </c>
      <c r="R49" s="8"/>
      <c r="T49"/>
    </row>
    <row r="50" spans="2:20" ht="23.1" customHeight="1" x14ac:dyDescent="0.25">
      <c r="B50" s="24" t="s">
        <v>77</v>
      </c>
      <c r="C50" s="49">
        <f>AVERAGE('29.07 ClockTower-Nsambya'!C50,'30.07 ClockTower-Nsambya'!C50,'31.07 ClockTower-Nsambya'!C50,'02.08 ClockTower-Nsambya'!C50,'01.08 ClockTower-Nsambya-24h'!C50,'03.08 ClockTower-Nsambya-24h'!C50,'04.08 ClockTower-Nsambya'!C50)</f>
        <v>61.857142857142854</v>
      </c>
      <c r="D50" s="49">
        <f>AVERAGE('29.07 ClockTower-Nsambya'!D50,'30.07 ClockTower-Nsambya'!D50,'31.07 ClockTower-Nsambya'!D50,'02.08 ClockTower-Nsambya'!D50,'01.08 ClockTower-Nsambya-24h'!D50,'03.08 ClockTower-Nsambya-24h'!D50,'04.08 ClockTower-Nsambya'!D50)</f>
        <v>29.285714285714285</v>
      </c>
      <c r="E50" s="49">
        <f>AVERAGE('29.07 ClockTower-Nsambya'!E50,'30.07 ClockTower-Nsambya'!E50,'31.07 ClockTower-Nsambya'!E50,'02.08 ClockTower-Nsambya'!E50,'01.08 ClockTower-Nsambya-24h'!E50,'03.08 ClockTower-Nsambya-24h'!E50,'04.08 ClockTower-Nsambya'!E50)</f>
        <v>10</v>
      </c>
      <c r="F50" s="49">
        <f>AVERAGE('29.07 ClockTower-Nsambya'!F50,'30.07 ClockTower-Nsambya'!F50,'31.07 ClockTower-Nsambya'!F50,'02.08 ClockTower-Nsambya'!F50,'01.08 ClockTower-Nsambya-24h'!F50,'03.08 ClockTower-Nsambya-24h'!F50,'04.08 ClockTower-Nsambya'!F50)</f>
        <v>61.857142857142854</v>
      </c>
      <c r="G50" s="49">
        <f>AVERAGE('29.07 ClockTower-Nsambya'!G50,'30.07 ClockTower-Nsambya'!G50,'31.07 ClockTower-Nsambya'!G50,'02.08 ClockTower-Nsambya'!G50,'01.08 ClockTower-Nsambya-24h'!G50,'03.08 ClockTower-Nsambya-24h'!G50,'04.08 ClockTower-Nsambya'!G50)</f>
        <v>2</v>
      </c>
      <c r="H50" s="49">
        <f>AVERAGE('29.07 ClockTower-Nsambya'!H50,'30.07 ClockTower-Nsambya'!H50,'31.07 ClockTower-Nsambya'!H50,'02.08 ClockTower-Nsambya'!H50,'01.08 ClockTower-Nsambya-24h'!H50,'03.08 ClockTower-Nsambya-24h'!H50,'04.08 ClockTower-Nsambya'!H50)</f>
        <v>0.2857142857142857</v>
      </c>
      <c r="I50" s="49">
        <f>AVERAGE('29.07 ClockTower-Nsambya'!I50,'30.07 ClockTower-Nsambya'!I50,'31.07 ClockTower-Nsambya'!I50,'02.08 ClockTower-Nsambya'!I50,'01.08 ClockTower-Nsambya-24h'!I50,'03.08 ClockTower-Nsambya-24h'!I50,'04.08 ClockTower-Nsambya'!I50)</f>
        <v>4.4285714285714288</v>
      </c>
      <c r="J50" s="49">
        <f>AVERAGE('29.07 ClockTower-Nsambya'!J50,'30.07 ClockTower-Nsambya'!J50,'31.07 ClockTower-Nsambya'!J50,'02.08 ClockTower-Nsambya'!J50,'01.08 ClockTower-Nsambya-24h'!J50,'03.08 ClockTower-Nsambya-24h'!J50,'04.08 ClockTower-Nsambya'!J50)</f>
        <v>4.1428571428571432</v>
      </c>
      <c r="K50" s="49">
        <f>AVERAGE('29.07 ClockTower-Nsambya'!K50,'30.07 ClockTower-Nsambya'!K50,'31.07 ClockTower-Nsambya'!K50,'02.08 ClockTower-Nsambya'!K50,'01.08 ClockTower-Nsambya-24h'!K50,'03.08 ClockTower-Nsambya-24h'!K50,'04.08 ClockTower-Nsambya'!K50)</f>
        <v>2.2857142857142856</v>
      </c>
      <c r="L50" s="49">
        <f>AVERAGE('29.07 ClockTower-Nsambya'!L50,'30.07 ClockTower-Nsambya'!L50,'31.07 ClockTower-Nsambya'!L50,'02.08 ClockTower-Nsambya'!L50,'01.08 ClockTower-Nsambya-24h'!L50,'03.08 ClockTower-Nsambya-24h'!L50,'04.08 ClockTower-Nsambya'!L50)</f>
        <v>2.8571428571428572</v>
      </c>
      <c r="M50" s="49">
        <f>AVERAGE('29.07 ClockTower-Nsambya'!M50,'30.07 ClockTower-Nsambya'!M50,'31.07 ClockTower-Nsambya'!M50,'02.08 ClockTower-Nsambya'!M50,'01.08 ClockTower-Nsambya-24h'!M50,'03.08 ClockTower-Nsambya-24h'!M50,'04.08 ClockTower-Nsambya'!M50)</f>
        <v>431.28571428571428</v>
      </c>
      <c r="N50" s="49">
        <f>AVERAGE('29.07 ClockTower-Nsambya'!N50,'30.07 ClockTower-Nsambya'!N50,'31.07 ClockTower-Nsambya'!N50,'02.08 ClockTower-Nsambya'!N50,'01.08 ClockTower-Nsambya-24h'!N50,'03.08 ClockTower-Nsambya-24h'!N50,'04.08 ClockTower-Nsambya'!N50)</f>
        <v>0</v>
      </c>
      <c r="O50" s="15">
        <f t="shared" si="0"/>
        <v>178.99999999999997</v>
      </c>
      <c r="P50" s="15">
        <f t="shared" si="1"/>
        <v>610.28571428571422</v>
      </c>
      <c r="R50" s="8"/>
      <c r="T50"/>
    </row>
    <row r="51" spans="2:20" ht="23.1" customHeight="1" x14ac:dyDescent="0.25">
      <c r="B51" s="24" t="s">
        <v>78</v>
      </c>
      <c r="C51" s="49">
        <f>AVERAGE('29.07 ClockTower-Nsambya'!C51,'30.07 ClockTower-Nsambya'!C51,'31.07 ClockTower-Nsambya'!C51,'02.08 ClockTower-Nsambya'!C51,'01.08 ClockTower-Nsambya-24h'!C51,'03.08 ClockTower-Nsambya-24h'!C51,'04.08 ClockTower-Nsambya'!C51)</f>
        <v>77.142857142857139</v>
      </c>
      <c r="D51" s="49">
        <f>AVERAGE('29.07 ClockTower-Nsambya'!D51,'30.07 ClockTower-Nsambya'!D51,'31.07 ClockTower-Nsambya'!D51,'02.08 ClockTower-Nsambya'!D51,'01.08 ClockTower-Nsambya-24h'!D51,'03.08 ClockTower-Nsambya-24h'!D51,'04.08 ClockTower-Nsambya'!D51)</f>
        <v>28.714285714285715</v>
      </c>
      <c r="E51" s="49">
        <f>AVERAGE('29.07 ClockTower-Nsambya'!E51,'30.07 ClockTower-Nsambya'!E51,'31.07 ClockTower-Nsambya'!E51,'02.08 ClockTower-Nsambya'!E51,'01.08 ClockTower-Nsambya-24h'!E51,'03.08 ClockTower-Nsambya-24h'!E51,'04.08 ClockTower-Nsambya'!E51)</f>
        <v>11.142857142857142</v>
      </c>
      <c r="F51" s="49">
        <f>AVERAGE('29.07 ClockTower-Nsambya'!F51,'30.07 ClockTower-Nsambya'!F51,'31.07 ClockTower-Nsambya'!F51,'02.08 ClockTower-Nsambya'!F51,'01.08 ClockTower-Nsambya-24h'!F51,'03.08 ClockTower-Nsambya-24h'!F51,'04.08 ClockTower-Nsambya'!F51)</f>
        <v>46.428571428571431</v>
      </c>
      <c r="G51" s="49">
        <f>AVERAGE('29.07 ClockTower-Nsambya'!G51,'30.07 ClockTower-Nsambya'!G51,'31.07 ClockTower-Nsambya'!G51,'02.08 ClockTower-Nsambya'!G51,'01.08 ClockTower-Nsambya-24h'!G51,'03.08 ClockTower-Nsambya-24h'!G51,'04.08 ClockTower-Nsambya'!G51)</f>
        <v>0.8571428571428571</v>
      </c>
      <c r="H51" s="49">
        <f>AVERAGE('29.07 ClockTower-Nsambya'!H51,'30.07 ClockTower-Nsambya'!H51,'31.07 ClockTower-Nsambya'!H51,'02.08 ClockTower-Nsambya'!H51,'01.08 ClockTower-Nsambya-24h'!H51,'03.08 ClockTower-Nsambya-24h'!H51,'04.08 ClockTower-Nsambya'!H51)</f>
        <v>0</v>
      </c>
      <c r="I51" s="49">
        <f>AVERAGE('29.07 ClockTower-Nsambya'!I51,'30.07 ClockTower-Nsambya'!I51,'31.07 ClockTower-Nsambya'!I51,'02.08 ClockTower-Nsambya'!I51,'01.08 ClockTower-Nsambya-24h'!I51,'03.08 ClockTower-Nsambya-24h'!I51,'04.08 ClockTower-Nsambya'!I51)</f>
        <v>5.2857142857142856</v>
      </c>
      <c r="J51" s="49">
        <f>AVERAGE('29.07 ClockTower-Nsambya'!J51,'30.07 ClockTower-Nsambya'!J51,'31.07 ClockTower-Nsambya'!J51,'02.08 ClockTower-Nsambya'!J51,'01.08 ClockTower-Nsambya-24h'!J51,'03.08 ClockTower-Nsambya-24h'!J51,'04.08 ClockTower-Nsambya'!J51)</f>
        <v>3.8571428571428572</v>
      </c>
      <c r="K51" s="49">
        <f>AVERAGE('29.07 ClockTower-Nsambya'!K51,'30.07 ClockTower-Nsambya'!K51,'31.07 ClockTower-Nsambya'!K51,'02.08 ClockTower-Nsambya'!K51,'01.08 ClockTower-Nsambya-24h'!K51,'03.08 ClockTower-Nsambya-24h'!K51,'04.08 ClockTower-Nsambya'!K51)</f>
        <v>2.5714285714285716</v>
      </c>
      <c r="L51" s="49">
        <f>AVERAGE('29.07 ClockTower-Nsambya'!L51,'30.07 ClockTower-Nsambya'!L51,'31.07 ClockTower-Nsambya'!L51,'02.08 ClockTower-Nsambya'!L51,'01.08 ClockTower-Nsambya-24h'!L51,'03.08 ClockTower-Nsambya-24h'!L51,'04.08 ClockTower-Nsambya'!L51)</f>
        <v>2.8571428571428572</v>
      </c>
      <c r="M51" s="49">
        <f>AVERAGE('29.07 ClockTower-Nsambya'!M51,'30.07 ClockTower-Nsambya'!M51,'31.07 ClockTower-Nsambya'!M51,'02.08 ClockTower-Nsambya'!M51,'01.08 ClockTower-Nsambya-24h'!M51,'03.08 ClockTower-Nsambya-24h'!M51,'04.08 ClockTower-Nsambya'!M51)</f>
        <v>423.85714285714283</v>
      </c>
      <c r="N51" s="49">
        <f>AVERAGE('29.07 ClockTower-Nsambya'!N51,'30.07 ClockTower-Nsambya'!N51,'31.07 ClockTower-Nsambya'!N51,'02.08 ClockTower-Nsambya'!N51,'01.08 ClockTower-Nsambya-24h'!N51,'03.08 ClockTower-Nsambya-24h'!N51,'04.08 ClockTower-Nsambya'!N51)</f>
        <v>0.2857142857142857</v>
      </c>
      <c r="O51" s="15">
        <f t="shared" si="0"/>
        <v>179.14285714285717</v>
      </c>
      <c r="P51" s="15">
        <f t="shared" si="1"/>
        <v>603.00000000000011</v>
      </c>
      <c r="R51" s="8"/>
      <c r="T51"/>
    </row>
    <row r="52" spans="2:20" ht="23.1" customHeight="1" x14ac:dyDescent="0.25">
      <c r="B52" s="24" t="s">
        <v>79</v>
      </c>
      <c r="C52" s="49">
        <f>AVERAGE('29.07 ClockTower-Nsambya'!C52,'30.07 ClockTower-Nsambya'!C52,'31.07 ClockTower-Nsambya'!C52,'02.08 ClockTower-Nsambya'!C52,'01.08 ClockTower-Nsambya-24h'!C52,'03.08 ClockTower-Nsambya-24h'!C52,'04.08 ClockTower-Nsambya'!C52)</f>
        <v>84.285714285714292</v>
      </c>
      <c r="D52" s="49">
        <f>AVERAGE('29.07 ClockTower-Nsambya'!D52,'30.07 ClockTower-Nsambya'!D52,'31.07 ClockTower-Nsambya'!D52,'02.08 ClockTower-Nsambya'!D52,'01.08 ClockTower-Nsambya-24h'!D52,'03.08 ClockTower-Nsambya-24h'!D52,'04.08 ClockTower-Nsambya'!D52)</f>
        <v>24.857142857142858</v>
      </c>
      <c r="E52" s="49">
        <f>AVERAGE('29.07 ClockTower-Nsambya'!E52,'30.07 ClockTower-Nsambya'!E52,'31.07 ClockTower-Nsambya'!E52,'02.08 ClockTower-Nsambya'!E52,'01.08 ClockTower-Nsambya-24h'!E52,'03.08 ClockTower-Nsambya-24h'!E52,'04.08 ClockTower-Nsambya'!E52)</f>
        <v>10.285714285714286</v>
      </c>
      <c r="F52" s="49">
        <f>AVERAGE('29.07 ClockTower-Nsambya'!F52,'30.07 ClockTower-Nsambya'!F52,'31.07 ClockTower-Nsambya'!F52,'02.08 ClockTower-Nsambya'!F52,'01.08 ClockTower-Nsambya-24h'!F52,'03.08 ClockTower-Nsambya-24h'!F52,'04.08 ClockTower-Nsambya'!F52)</f>
        <v>56.428571428571431</v>
      </c>
      <c r="G52" s="49">
        <f>AVERAGE('29.07 ClockTower-Nsambya'!G52,'30.07 ClockTower-Nsambya'!G52,'31.07 ClockTower-Nsambya'!G52,'02.08 ClockTower-Nsambya'!G52,'01.08 ClockTower-Nsambya-24h'!G52,'03.08 ClockTower-Nsambya-24h'!G52,'04.08 ClockTower-Nsambya'!G52)</f>
        <v>0.7142857142857143</v>
      </c>
      <c r="H52" s="49">
        <f>AVERAGE('29.07 ClockTower-Nsambya'!H52,'30.07 ClockTower-Nsambya'!H52,'31.07 ClockTower-Nsambya'!H52,'02.08 ClockTower-Nsambya'!H52,'01.08 ClockTower-Nsambya-24h'!H52,'03.08 ClockTower-Nsambya-24h'!H52,'04.08 ClockTower-Nsambya'!H52)</f>
        <v>0</v>
      </c>
      <c r="I52" s="49">
        <f>AVERAGE('29.07 ClockTower-Nsambya'!I52,'30.07 ClockTower-Nsambya'!I52,'31.07 ClockTower-Nsambya'!I52,'02.08 ClockTower-Nsambya'!I52,'01.08 ClockTower-Nsambya-24h'!I52,'03.08 ClockTower-Nsambya-24h'!I52,'04.08 ClockTower-Nsambya'!I52)</f>
        <v>4.7142857142857144</v>
      </c>
      <c r="J52" s="49">
        <f>AVERAGE('29.07 ClockTower-Nsambya'!J52,'30.07 ClockTower-Nsambya'!J52,'31.07 ClockTower-Nsambya'!J52,'02.08 ClockTower-Nsambya'!J52,'01.08 ClockTower-Nsambya-24h'!J52,'03.08 ClockTower-Nsambya-24h'!J52,'04.08 ClockTower-Nsambya'!J52)</f>
        <v>3</v>
      </c>
      <c r="K52" s="49">
        <f>AVERAGE('29.07 ClockTower-Nsambya'!K52,'30.07 ClockTower-Nsambya'!K52,'31.07 ClockTower-Nsambya'!K52,'02.08 ClockTower-Nsambya'!K52,'01.08 ClockTower-Nsambya-24h'!K52,'03.08 ClockTower-Nsambya-24h'!K52,'04.08 ClockTower-Nsambya'!K52)</f>
        <v>1.1428571428571428</v>
      </c>
      <c r="L52" s="49">
        <f>AVERAGE('29.07 ClockTower-Nsambya'!L52,'30.07 ClockTower-Nsambya'!L52,'31.07 ClockTower-Nsambya'!L52,'02.08 ClockTower-Nsambya'!L52,'01.08 ClockTower-Nsambya-24h'!L52,'03.08 ClockTower-Nsambya-24h'!L52,'04.08 ClockTower-Nsambya'!L52)</f>
        <v>2.5714285714285716</v>
      </c>
      <c r="M52" s="49">
        <f>AVERAGE('29.07 ClockTower-Nsambya'!M52,'30.07 ClockTower-Nsambya'!M52,'31.07 ClockTower-Nsambya'!M52,'02.08 ClockTower-Nsambya'!M52,'01.08 ClockTower-Nsambya-24h'!M52,'03.08 ClockTower-Nsambya-24h'!M52,'04.08 ClockTower-Nsambya'!M52)</f>
        <v>309.42857142857144</v>
      </c>
      <c r="N52" s="49">
        <f>AVERAGE('29.07 ClockTower-Nsambya'!N52,'30.07 ClockTower-Nsambya'!N52,'31.07 ClockTower-Nsambya'!N52,'02.08 ClockTower-Nsambya'!N52,'01.08 ClockTower-Nsambya-24h'!N52,'03.08 ClockTower-Nsambya-24h'!N52,'04.08 ClockTower-Nsambya'!N52)</f>
        <v>0</v>
      </c>
      <c r="O52" s="15">
        <f t="shared" si="0"/>
        <v>188.00000000000006</v>
      </c>
      <c r="P52" s="15">
        <f t="shared" si="1"/>
        <v>497.4285714285715</v>
      </c>
      <c r="R52" s="8"/>
      <c r="T52"/>
    </row>
    <row r="53" spans="2:20" ht="23.1" customHeight="1" x14ac:dyDescent="0.25">
      <c r="B53" s="23" t="s">
        <v>80</v>
      </c>
      <c r="C53" s="49">
        <f>AVERAGE('29.07 ClockTower-Nsambya'!C53,'30.07 ClockTower-Nsambya'!C53,'31.07 ClockTower-Nsambya'!C53,'02.08 ClockTower-Nsambya'!C53,'01.08 ClockTower-Nsambya-24h'!C53,'03.08 ClockTower-Nsambya-24h'!C53,'04.08 ClockTower-Nsambya'!C53)</f>
        <v>71.714285714285708</v>
      </c>
      <c r="D53" s="49">
        <f>AVERAGE('29.07 ClockTower-Nsambya'!D53,'30.07 ClockTower-Nsambya'!D53,'31.07 ClockTower-Nsambya'!D53,'02.08 ClockTower-Nsambya'!D53,'01.08 ClockTower-Nsambya-24h'!D53,'03.08 ClockTower-Nsambya-24h'!D53,'04.08 ClockTower-Nsambya'!D53)</f>
        <v>35.142857142857146</v>
      </c>
      <c r="E53" s="49">
        <f>AVERAGE('29.07 ClockTower-Nsambya'!E53,'30.07 ClockTower-Nsambya'!E53,'31.07 ClockTower-Nsambya'!E53,'02.08 ClockTower-Nsambya'!E53,'01.08 ClockTower-Nsambya-24h'!E53,'03.08 ClockTower-Nsambya-24h'!E53,'04.08 ClockTower-Nsambya'!E53)</f>
        <v>12</v>
      </c>
      <c r="F53" s="49">
        <f>AVERAGE('29.07 ClockTower-Nsambya'!F53,'30.07 ClockTower-Nsambya'!F53,'31.07 ClockTower-Nsambya'!F53,'02.08 ClockTower-Nsambya'!F53,'01.08 ClockTower-Nsambya-24h'!F53,'03.08 ClockTower-Nsambya-24h'!F53,'04.08 ClockTower-Nsambya'!F53)</f>
        <v>43.142857142857146</v>
      </c>
      <c r="G53" s="49">
        <f>AVERAGE('29.07 ClockTower-Nsambya'!G53,'30.07 ClockTower-Nsambya'!G53,'31.07 ClockTower-Nsambya'!G53,'02.08 ClockTower-Nsambya'!G53,'01.08 ClockTower-Nsambya-24h'!G53,'03.08 ClockTower-Nsambya-24h'!G53,'04.08 ClockTower-Nsambya'!G53)</f>
        <v>2.8571428571428572</v>
      </c>
      <c r="H53" s="49">
        <f>AVERAGE('29.07 ClockTower-Nsambya'!H53,'30.07 ClockTower-Nsambya'!H53,'31.07 ClockTower-Nsambya'!H53,'02.08 ClockTower-Nsambya'!H53,'01.08 ClockTower-Nsambya-24h'!H53,'03.08 ClockTower-Nsambya-24h'!H53,'04.08 ClockTower-Nsambya'!H53)</f>
        <v>0</v>
      </c>
      <c r="I53" s="49">
        <f>AVERAGE('29.07 ClockTower-Nsambya'!I53,'30.07 ClockTower-Nsambya'!I53,'31.07 ClockTower-Nsambya'!I53,'02.08 ClockTower-Nsambya'!I53,'01.08 ClockTower-Nsambya-24h'!I53,'03.08 ClockTower-Nsambya-24h'!I53,'04.08 ClockTower-Nsambya'!I53)</f>
        <v>4</v>
      </c>
      <c r="J53" s="49">
        <f>AVERAGE('29.07 ClockTower-Nsambya'!J53,'30.07 ClockTower-Nsambya'!J53,'31.07 ClockTower-Nsambya'!J53,'02.08 ClockTower-Nsambya'!J53,'01.08 ClockTower-Nsambya-24h'!J53,'03.08 ClockTower-Nsambya-24h'!J53,'04.08 ClockTower-Nsambya'!J53)</f>
        <v>3.4285714285714284</v>
      </c>
      <c r="K53" s="49">
        <f>AVERAGE('29.07 ClockTower-Nsambya'!K53,'30.07 ClockTower-Nsambya'!K53,'31.07 ClockTower-Nsambya'!K53,'02.08 ClockTower-Nsambya'!K53,'01.08 ClockTower-Nsambya-24h'!K53,'03.08 ClockTower-Nsambya-24h'!K53,'04.08 ClockTower-Nsambya'!K53)</f>
        <v>1.8571428571428572</v>
      </c>
      <c r="L53" s="49">
        <f>AVERAGE('29.07 ClockTower-Nsambya'!L53,'30.07 ClockTower-Nsambya'!L53,'31.07 ClockTower-Nsambya'!L53,'02.08 ClockTower-Nsambya'!L53,'01.08 ClockTower-Nsambya-24h'!L53,'03.08 ClockTower-Nsambya-24h'!L53,'04.08 ClockTower-Nsambya'!L53)</f>
        <v>2.1428571428571428</v>
      </c>
      <c r="M53" s="49">
        <f>AVERAGE('29.07 ClockTower-Nsambya'!M53,'30.07 ClockTower-Nsambya'!M53,'31.07 ClockTower-Nsambya'!M53,'02.08 ClockTower-Nsambya'!M53,'01.08 ClockTower-Nsambya-24h'!M53,'03.08 ClockTower-Nsambya-24h'!M53,'04.08 ClockTower-Nsambya'!M53)</f>
        <v>462.28571428571428</v>
      </c>
      <c r="N53" s="49">
        <f>AVERAGE('29.07 ClockTower-Nsambya'!N53,'30.07 ClockTower-Nsambya'!N53,'31.07 ClockTower-Nsambya'!N53,'02.08 ClockTower-Nsambya'!N53,'01.08 ClockTower-Nsambya-24h'!N53,'03.08 ClockTower-Nsambya-24h'!N53,'04.08 ClockTower-Nsambya'!N53)</f>
        <v>0</v>
      </c>
      <c r="O53" s="15">
        <f t="shared" si="0"/>
        <v>176.28571428571428</v>
      </c>
      <c r="P53" s="15">
        <f t="shared" si="1"/>
        <v>638.57142857142856</v>
      </c>
      <c r="R53" s="8"/>
      <c r="T53"/>
    </row>
    <row r="54" spans="2:20" ht="23.1" customHeight="1" x14ac:dyDescent="0.25">
      <c r="B54" s="23" t="s">
        <v>81</v>
      </c>
      <c r="C54" s="49">
        <f>AVERAGE('29.07 ClockTower-Nsambya'!C54,'30.07 ClockTower-Nsambya'!C54,'31.07 ClockTower-Nsambya'!C54,'02.08 ClockTower-Nsambya'!C54,'01.08 ClockTower-Nsambya-24h'!C54,'03.08 ClockTower-Nsambya-24h'!C54,'04.08 ClockTower-Nsambya'!C54)</f>
        <v>64.571428571428569</v>
      </c>
      <c r="D54" s="49">
        <f>AVERAGE('29.07 ClockTower-Nsambya'!D54,'30.07 ClockTower-Nsambya'!D54,'31.07 ClockTower-Nsambya'!D54,'02.08 ClockTower-Nsambya'!D54,'01.08 ClockTower-Nsambya-24h'!D54,'03.08 ClockTower-Nsambya-24h'!D54,'04.08 ClockTower-Nsambya'!D54)</f>
        <v>30</v>
      </c>
      <c r="E54" s="49">
        <f>AVERAGE('29.07 ClockTower-Nsambya'!E54,'30.07 ClockTower-Nsambya'!E54,'31.07 ClockTower-Nsambya'!E54,'02.08 ClockTower-Nsambya'!E54,'01.08 ClockTower-Nsambya-24h'!E54,'03.08 ClockTower-Nsambya-24h'!E54,'04.08 ClockTower-Nsambya'!E54)</f>
        <v>14</v>
      </c>
      <c r="F54" s="49">
        <f>AVERAGE('29.07 ClockTower-Nsambya'!F54,'30.07 ClockTower-Nsambya'!F54,'31.07 ClockTower-Nsambya'!F54,'02.08 ClockTower-Nsambya'!F54,'01.08 ClockTower-Nsambya-24h'!F54,'03.08 ClockTower-Nsambya-24h'!F54,'04.08 ClockTower-Nsambya'!F54)</f>
        <v>56.857142857142854</v>
      </c>
      <c r="G54" s="49">
        <f>AVERAGE('29.07 ClockTower-Nsambya'!G54,'30.07 ClockTower-Nsambya'!G54,'31.07 ClockTower-Nsambya'!G54,'02.08 ClockTower-Nsambya'!G54,'01.08 ClockTower-Nsambya-24h'!G54,'03.08 ClockTower-Nsambya-24h'!G54,'04.08 ClockTower-Nsambya'!G54)</f>
        <v>1</v>
      </c>
      <c r="H54" s="49">
        <f>AVERAGE('29.07 ClockTower-Nsambya'!H54,'30.07 ClockTower-Nsambya'!H54,'31.07 ClockTower-Nsambya'!H54,'02.08 ClockTower-Nsambya'!H54,'01.08 ClockTower-Nsambya-24h'!H54,'03.08 ClockTower-Nsambya-24h'!H54,'04.08 ClockTower-Nsambya'!H54)</f>
        <v>0</v>
      </c>
      <c r="I54" s="49">
        <f>AVERAGE('29.07 ClockTower-Nsambya'!I54,'30.07 ClockTower-Nsambya'!I54,'31.07 ClockTower-Nsambya'!I54,'02.08 ClockTower-Nsambya'!I54,'01.08 ClockTower-Nsambya-24h'!I54,'03.08 ClockTower-Nsambya-24h'!I54,'04.08 ClockTower-Nsambya'!I54)</f>
        <v>9.8571428571428577</v>
      </c>
      <c r="J54" s="49">
        <f>AVERAGE('29.07 ClockTower-Nsambya'!J54,'30.07 ClockTower-Nsambya'!J54,'31.07 ClockTower-Nsambya'!J54,'02.08 ClockTower-Nsambya'!J54,'01.08 ClockTower-Nsambya-24h'!J54,'03.08 ClockTower-Nsambya-24h'!J54,'04.08 ClockTower-Nsambya'!J54)</f>
        <v>5.4285714285714288</v>
      </c>
      <c r="K54" s="49">
        <f>AVERAGE('29.07 ClockTower-Nsambya'!K54,'30.07 ClockTower-Nsambya'!K54,'31.07 ClockTower-Nsambya'!K54,'02.08 ClockTower-Nsambya'!K54,'01.08 ClockTower-Nsambya-24h'!K54,'03.08 ClockTower-Nsambya-24h'!K54,'04.08 ClockTower-Nsambya'!K54)</f>
        <v>1.5714285714285714</v>
      </c>
      <c r="L54" s="49">
        <f>AVERAGE('29.07 ClockTower-Nsambya'!L54,'30.07 ClockTower-Nsambya'!L54,'31.07 ClockTower-Nsambya'!L54,'02.08 ClockTower-Nsambya'!L54,'01.08 ClockTower-Nsambya-24h'!L54,'03.08 ClockTower-Nsambya-24h'!L54,'04.08 ClockTower-Nsambya'!L54)</f>
        <v>1.8571428571428572</v>
      </c>
      <c r="M54" s="49">
        <f>AVERAGE('29.07 ClockTower-Nsambya'!M54,'30.07 ClockTower-Nsambya'!M54,'31.07 ClockTower-Nsambya'!M54,'02.08 ClockTower-Nsambya'!M54,'01.08 ClockTower-Nsambya-24h'!M54,'03.08 ClockTower-Nsambya-24h'!M54,'04.08 ClockTower-Nsambya'!M54)</f>
        <v>514.14285714285711</v>
      </c>
      <c r="N54" s="49">
        <f>AVERAGE('29.07 ClockTower-Nsambya'!N54,'30.07 ClockTower-Nsambya'!N54,'31.07 ClockTower-Nsambya'!N54,'02.08 ClockTower-Nsambya'!N54,'01.08 ClockTower-Nsambya-24h'!N54,'03.08 ClockTower-Nsambya-24h'!N54,'04.08 ClockTower-Nsambya'!N54)</f>
        <v>0.42857142857142855</v>
      </c>
      <c r="O54" s="15">
        <f t="shared" si="0"/>
        <v>185.57142857142856</v>
      </c>
      <c r="P54" s="15">
        <f t="shared" si="1"/>
        <v>699.71428571428567</v>
      </c>
      <c r="R54" s="8"/>
      <c r="T54"/>
    </row>
    <row r="55" spans="2:20" ht="23.1" customHeight="1" x14ac:dyDescent="0.25">
      <c r="B55" s="23" t="s">
        <v>82</v>
      </c>
      <c r="C55" s="49">
        <f>AVERAGE('29.07 ClockTower-Nsambya'!C55,'30.07 ClockTower-Nsambya'!C55,'31.07 ClockTower-Nsambya'!C55,'02.08 ClockTower-Nsambya'!C55,'01.08 ClockTower-Nsambya-24h'!C55,'03.08 ClockTower-Nsambya-24h'!C55,'04.08 ClockTower-Nsambya'!C55)</f>
        <v>47.428571428571431</v>
      </c>
      <c r="D55" s="49">
        <f>AVERAGE('29.07 ClockTower-Nsambya'!D55,'30.07 ClockTower-Nsambya'!D55,'31.07 ClockTower-Nsambya'!D55,'02.08 ClockTower-Nsambya'!D55,'01.08 ClockTower-Nsambya-24h'!D55,'03.08 ClockTower-Nsambya-24h'!D55,'04.08 ClockTower-Nsambya'!D55)</f>
        <v>27.142857142857142</v>
      </c>
      <c r="E55" s="49">
        <f>AVERAGE('29.07 ClockTower-Nsambya'!E55,'30.07 ClockTower-Nsambya'!E55,'31.07 ClockTower-Nsambya'!E55,'02.08 ClockTower-Nsambya'!E55,'01.08 ClockTower-Nsambya-24h'!E55,'03.08 ClockTower-Nsambya-24h'!E55,'04.08 ClockTower-Nsambya'!E55)</f>
        <v>12</v>
      </c>
      <c r="F55" s="49">
        <f>AVERAGE('29.07 ClockTower-Nsambya'!F55,'30.07 ClockTower-Nsambya'!F55,'31.07 ClockTower-Nsambya'!F55,'02.08 ClockTower-Nsambya'!F55,'01.08 ClockTower-Nsambya-24h'!F55,'03.08 ClockTower-Nsambya-24h'!F55,'04.08 ClockTower-Nsambya'!F55)</f>
        <v>30.428571428571427</v>
      </c>
      <c r="G55" s="49">
        <f>AVERAGE('29.07 ClockTower-Nsambya'!G55,'30.07 ClockTower-Nsambya'!G55,'31.07 ClockTower-Nsambya'!G55,'02.08 ClockTower-Nsambya'!G55,'01.08 ClockTower-Nsambya-24h'!G55,'03.08 ClockTower-Nsambya-24h'!G55,'04.08 ClockTower-Nsambya'!G55)</f>
        <v>1.4285714285714286</v>
      </c>
      <c r="H55" s="49">
        <f>AVERAGE('29.07 ClockTower-Nsambya'!H55,'30.07 ClockTower-Nsambya'!H55,'31.07 ClockTower-Nsambya'!H55,'02.08 ClockTower-Nsambya'!H55,'01.08 ClockTower-Nsambya-24h'!H55,'03.08 ClockTower-Nsambya-24h'!H55,'04.08 ClockTower-Nsambya'!H55)</f>
        <v>0.2857142857142857</v>
      </c>
      <c r="I55" s="49">
        <f>AVERAGE('29.07 ClockTower-Nsambya'!I55,'30.07 ClockTower-Nsambya'!I55,'31.07 ClockTower-Nsambya'!I55,'02.08 ClockTower-Nsambya'!I55,'01.08 ClockTower-Nsambya-24h'!I55,'03.08 ClockTower-Nsambya-24h'!I55,'04.08 ClockTower-Nsambya'!I55)</f>
        <v>5.4285714285714288</v>
      </c>
      <c r="J55" s="49">
        <f>AVERAGE('29.07 ClockTower-Nsambya'!J55,'30.07 ClockTower-Nsambya'!J55,'31.07 ClockTower-Nsambya'!J55,'02.08 ClockTower-Nsambya'!J55,'01.08 ClockTower-Nsambya-24h'!J55,'03.08 ClockTower-Nsambya-24h'!J55,'04.08 ClockTower-Nsambya'!J55)</f>
        <v>2.7142857142857144</v>
      </c>
      <c r="K55" s="49">
        <f>AVERAGE('29.07 ClockTower-Nsambya'!K55,'30.07 ClockTower-Nsambya'!K55,'31.07 ClockTower-Nsambya'!K55,'02.08 ClockTower-Nsambya'!K55,'01.08 ClockTower-Nsambya-24h'!K55,'03.08 ClockTower-Nsambya-24h'!K55,'04.08 ClockTower-Nsambya'!K55)</f>
        <v>0.5714285714285714</v>
      </c>
      <c r="L55" s="49">
        <f>AVERAGE('29.07 ClockTower-Nsambya'!L55,'30.07 ClockTower-Nsambya'!L55,'31.07 ClockTower-Nsambya'!L55,'02.08 ClockTower-Nsambya'!L55,'01.08 ClockTower-Nsambya-24h'!L55,'03.08 ClockTower-Nsambya-24h'!L55,'04.08 ClockTower-Nsambya'!L55)</f>
        <v>1.5714285714285714</v>
      </c>
      <c r="M55" s="49">
        <f>AVERAGE('29.07 ClockTower-Nsambya'!M55,'30.07 ClockTower-Nsambya'!M55,'31.07 ClockTower-Nsambya'!M55,'02.08 ClockTower-Nsambya'!M55,'01.08 ClockTower-Nsambya-24h'!M55,'03.08 ClockTower-Nsambya-24h'!M55,'04.08 ClockTower-Nsambya'!M55)</f>
        <v>497.85714285714283</v>
      </c>
      <c r="N55" s="49">
        <f>AVERAGE('29.07 ClockTower-Nsambya'!N55,'30.07 ClockTower-Nsambya'!N55,'31.07 ClockTower-Nsambya'!N55,'02.08 ClockTower-Nsambya'!N55,'01.08 ClockTower-Nsambya-24h'!N55,'03.08 ClockTower-Nsambya-24h'!N55,'04.08 ClockTower-Nsambya'!N55)</f>
        <v>0</v>
      </c>
      <c r="O55" s="15">
        <f t="shared" si="0"/>
        <v>129</v>
      </c>
      <c r="P55" s="15">
        <f t="shared" si="1"/>
        <v>626.85714285714289</v>
      </c>
      <c r="R55" s="8"/>
      <c r="T55"/>
    </row>
    <row r="56" spans="2:20" ht="23.1" customHeight="1" x14ac:dyDescent="0.25">
      <c r="B56" s="23" t="s">
        <v>83</v>
      </c>
      <c r="C56" s="49">
        <f>AVERAGE('29.07 ClockTower-Nsambya'!C56,'30.07 ClockTower-Nsambya'!C56,'31.07 ClockTower-Nsambya'!C56,'02.08 ClockTower-Nsambya'!C56,'01.08 ClockTower-Nsambya-24h'!C56,'03.08 ClockTower-Nsambya-24h'!C56,'04.08 ClockTower-Nsambya'!C56)</f>
        <v>46.714285714285715</v>
      </c>
      <c r="D56" s="49">
        <f>AVERAGE('29.07 ClockTower-Nsambya'!D56,'30.07 ClockTower-Nsambya'!D56,'31.07 ClockTower-Nsambya'!D56,'02.08 ClockTower-Nsambya'!D56,'01.08 ClockTower-Nsambya-24h'!D56,'03.08 ClockTower-Nsambya-24h'!D56,'04.08 ClockTower-Nsambya'!D56)</f>
        <v>25.571428571428573</v>
      </c>
      <c r="E56" s="49">
        <f>AVERAGE('29.07 ClockTower-Nsambya'!E56,'30.07 ClockTower-Nsambya'!E56,'31.07 ClockTower-Nsambya'!E56,'02.08 ClockTower-Nsambya'!E56,'01.08 ClockTower-Nsambya-24h'!E56,'03.08 ClockTower-Nsambya-24h'!E56,'04.08 ClockTower-Nsambya'!E56)</f>
        <v>12.142857142857142</v>
      </c>
      <c r="F56" s="49">
        <f>AVERAGE('29.07 ClockTower-Nsambya'!F56,'30.07 ClockTower-Nsambya'!F56,'31.07 ClockTower-Nsambya'!F56,'02.08 ClockTower-Nsambya'!F56,'01.08 ClockTower-Nsambya-24h'!F56,'03.08 ClockTower-Nsambya-24h'!F56,'04.08 ClockTower-Nsambya'!F56)</f>
        <v>49</v>
      </c>
      <c r="G56" s="49">
        <f>AVERAGE('29.07 ClockTower-Nsambya'!G56,'30.07 ClockTower-Nsambya'!G56,'31.07 ClockTower-Nsambya'!G56,'02.08 ClockTower-Nsambya'!G56,'01.08 ClockTower-Nsambya-24h'!G56,'03.08 ClockTower-Nsambya-24h'!G56,'04.08 ClockTower-Nsambya'!G56)</f>
        <v>1.8571428571428572</v>
      </c>
      <c r="H56" s="49">
        <f>AVERAGE('29.07 ClockTower-Nsambya'!H56,'30.07 ClockTower-Nsambya'!H56,'31.07 ClockTower-Nsambya'!H56,'02.08 ClockTower-Nsambya'!H56,'01.08 ClockTower-Nsambya-24h'!H56,'03.08 ClockTower-Nsambya-24h'!H56,'04.08 ClockTower-Nsambya'!H56)</f>
        <v>1.1428571428571428</v>
      </c>
      <c r="I56" s="49">
        <f>AVERAGE('29.07 ClockTower-Nsambya'!I56,'30.07 ClockTower-Nsambya'!I56,'31.07 ClockTower-Nsambya'!I56,'02.08 ClockTower-Nsambya'!I56,'01.08 ClockTower-Nsambya-24h'!I56,'03.08 ClockTower-Nsambya-24h'!I56,'04.08 ClockTower-Nsambya'!I56)</f>
        <v>7</v>
      </c>
      <c r="J56" s="49">
        <f>AVERAGE('29.07 ClockTower-Nsambya'!J56,'30.07 ClockTower-Nsambya'!J56,'31.07 ClockTower-Nsambya'!J56,'02.08 ClockTower-Nsambya'!J56,'01.08 ClockTower-Nsambya-24h'!J56,'03.08 ClockTower-Nsambya-24h'!J56,'04.08 ClockTower-Nsambya'!J56)</f>
        <v>2.7142857142857144</v>
      </c>
      <c r="K56" s="49">
        <f>AVERAGE('29.07 ClockTower-Nsambya'!K56,'30.07 ClockTower-Nsambya'!K56,'31.07 ClockTower-Nsambya'!K56,'02.08 ClockTower-Nsambya'!K56,'01.08 ClockTower-Nsambya-24h'!K56,'03.08 ClockTower-Nsambya-24h'!K56,'04.08 ClockTower-Nsambya'!K56)</f>
        <v>2</v>
      </c>
      <c r="L56" s="49">
        <f>AVERAGE('29.07 ClockTower-Nsambya'!L56,'30.07 ClockTower-Nsambya'!L56,'31.07 ClockTower-Nsambya'!L56,'02.08 ClockTower-Nsambya'!L56,'01.08 ClockTower-Nsambya-24h'!L56,'03.08 ClockTower-Nsambya-24h'!L56,'04.08 ClockTower-Nsambya'!L56)</f>
        <v>2.1428571428571428</v>
      </c>
      <c r="M56" s="49">
        <f>AVERAGE('29.07 ClockTower-Nsambya'!M56,'30.07 ClockTower-Nsambya'!M56,'31.07 ClockTower-Nsambya'!M56,'02.08 ClockTower-Nsambya'!M56,'01.08 ClockTower-Nsambya-24h'!M56,'03.08 ClockTower-Nsambya-24h'!M56,'04.08 ClockTower-Nsambya'!M56)</f>
        <v>425.42857142857144</v>
      </c>
      <c r="N56" s="49">
        <f>AVERAGE('29.07 ClockTower-Nsambya'!N56,'30.07 ClockTower-Nsambya'!N56,'31.07 ClockTower-Nsambya'!N56,'02.08 ClockTower-Nsambya'!N56,'01.08 ClockTower-Nsambya-24h'!N56,'03.08 ClockTower-Nsambya-24h'!N56,'04.08 ClockTower-Nsambya'!N56)</f>
        <v>0.2857142857142857</v>
      </c>
      <c r="O56" s="15">
        <f t="shared" si="0"/>
        <v>150.57142857142858</v>
      </c>
      <c r="P56" s="15">
        <f t="shared" si="1"/>
        <v>576.00000000000011</v>
      </c>
      <c r="R56" s="8"/>
      <c r="T56"/>
    </row>
    <row r="57" spans="2:20" ht="23.1" customHeight="1" x14ac:dyDescent="0.25">
      <c r="B57" s="23" t="s">
        <v>84</v>
      </c>
      <c r="C57" s="49">
        <f>AVERAGE('29.07 ClockTower-Nsambya'!C57,'30.07 ClockTower-Nsambya'!C57,'31.07 ClockTower-Nsambya'!C57,'02.08 ClockTower-Nsambya'!C57,'01.08 ClockTower-Nsambya-24h'!C57,'03.08 ClockTower-Nsambya-24h'!C57,'04.08 ClockTower-Nsambya'!C57)</f>
        <v>39.285714285714285</v>
      </c>
      <c r="D57" s="49">
        <f>AVERAGE('29.07 ClockTower-Nsambya'!D57,'30.07 ClockTower-Nsambya'!D57,'31.07 ClockTower-Nsambya'!D57,'02.08 ClockTower-Nsambya'!D57,'01.08 ClockTower-Nsambya-24h'!D57,'03.08 ClockTower-Nsambya-24h'!D57,'04.08 ClockTower-Nsambya'!D57)</f>
        <v>21.285714285714285</v>
      </c>
      <c r="E57" s="49">
        <f>AVERAGE('29.07 ClockTower-Nsambya'!E57,'30.07 ClockTower-Nsambya'!E57,'31.07 ClockTower-Nsambya'!E57,'02.08 ClockTower-Nsambya'!E57,'01.08 ClockTower-Nsambya-24h'!E57,'03.08 ClockTower-Nsambya-24h'!E57,'04.08 ClockTower-Nsambya'!E57)</f>
        <v>11</v>
      </c>
      <c r="F57" s="49">
        <f>AVERAGE('29.07 ClockTower-Nsambya'!F57,'30.07 ClockTower-Nsambya'!F57,'31.07 ClockTower-Nsambya'!F57,'02.08 ClockTower-Nsambya'!F57,'01.08 ClockTower-Nsambya-24h'!F57,'03.08 ClockTower-Nsambya-24h'!F57,'04.08 ClockTower-Nsambya'!F57)</f>
        <v>56.571428571428569</v>
      </c>
      <c r="G57" s="49">
        <f>AVERAGE('29.07 ClockTower-Nsambya'!G57,'30.07 ClockTower-Nsambya'!G57,'31.07 ClockTower-Nsambya'!G57,'02.08 ClockTower-Nsambya'!G57,'01.08 ClockTower-Nsambya-24h'!G57,'03.08 ClockTower-Nsambya-24h'!G57,'04.08 ClockTower-Nsambya'!G57)</f>
        <v>0.7142857142857143</v>
      </c>
      <c r="H57" s="49">
        <f>AVERAGE('29.07 ClockTower-Nsambya'!H57,'30.07 ClockTower-Nsambya'!H57,'31.07 ClockTower-Nsambya'!H57,'02.08 ClockTower-Nsambya'!H57,'01.08 ClockTower-Nsambya-24h'!H57,'03.08 ClockTower-Nsambya-24h'!H57,'04.08 ClockTower-Nsambya'!H57)</f>
        <v>0.7142857142857143</v>
      </c>
      <c r="I57" s="49">
        <f>AVERAGE('29.07 ClockTower-Nsambya'!I57,'30.07 ClockTower-Nsambya'!I57,'31.07 ClockTower-Nsambya'!I57,'02.08 ClockTower-Nsambya'!I57,'01.08 ClockTower-Nsambya-24h'!I57,'03.08 ClockTower-Nsambya-24h'!I57,'04.08 ClockTower-Nsambya'!I57)</f>
        <v>4.4285714285714288</v>
      </c>
      <c r="J57" s="49">
        <f>AVERAGE('29.07 ClockTower-Nsambya'!J57,'30.07 ClockTower-Nsambya'!J57,'31.07 ClockTower-Nsambya'!J57,'02.08 ClockTower-Nsambya'!J57,'01.08 ClockTower-Nsambya-24h'!J57,'03.08 ClockTower-Nsambya-24h'!J57,'04.08 ClockTower-Nsambya'!J57)</f>
        <v>3.1428571428571428</v>
      </c>
      <c r="K57" s="49">
        <f>AVERAGE('29.07 ClockTower-Nsambya'!K57,'30.07 ClockTower-Nsambya'!K57,'31.07 ClockTower-Nsambya'!K57,'02.08 ClockTower-Nsambya'!K57,'01.08 ClockTower-Nsambya-24h'!K57,'03.08 ClockTower-Nsambya-24h'!K57,'04.08 ClockTower-Nsambya'!K57)</f>
        <v>1.7142857142857142</v>
      </c>
      <c r="L57" s="49">
        <f>AVERAGE('29.07 ClockTower-Nsambya'!L57,'30.07 ClockTower-Nsambya'!L57,'31.07 ClockTower-Nsambya'!L57,'02.08 ClockTower-Nsambya'!L57,'01.08 ClockTower-Nsambya-24h'!L57,'03.08 ClockTower-Nsambya-24h'!L57,'04.08 ClockTower-Nsambya'!L57)</f>
        <v>1.1428571428571428</v>
      </c>
      <c r="M57" s="49">
        <f>AVERAGE('29.07 ClockTower-Nsambya'!M57,'30.07 ClockTower-Nsambya'!M57,'31.07 ClockTower-Nsambya'!M57,'02.08 ClockTower-Nsambya'!M57,'01.08 ClockTower-Nsambya-24h'!M57,'03.08 ClockTower-Nsambya-24h'!M57,'04.08 ClockTower-Nsambya'!M57)</f>
        <v>482.42857142857144</v>
      </c>
      <c r="N57" s="49">
        <f>AVERAGE('29.07 ClockTower-Nsambya'!N57,'30.07 ClockTower-Nsambya'!N57,'31.07 ClockTower-Nsambya'!N57,'02.08 ClockTower-Nsambya'!N57,'01.08 ClockTower-Nsambya-24h'!N57,'03.08 ClockTower-Nsambya-24h'!N57,'04.08 ClockTower-Nsambya'!N57)</f>
        <v>0.42857142857142855</v>
      </c>
      <c r="O57" s="15">
        <f t="shared" si="0"/>
        <v>140.42857142857142</v>
      </c>
      <c r="P57" s="15">
        <f t="shared" si="1"/>
        <v>622.85714285714289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2739.2857142857138</v>
      </c>
      <c r="D58" s="16">
        <f t="shared" si="21"/>
        <v>961.85714285714278</v>
      </c>
      <c r="E58" s="16">
        <f t="shared" si="21"/>
        <v>486.28571428571439</v>
      </c>
      <c r="F58" s="16">
        <f t="shared" si="21"/>
        <v>2713.8571428571431</v>
      </c>
      <c r="G58" s="16">
        <f t="shared" si="21"/>
        <v>72.142857142857139</v>
      </c>
      <c r="H58" s="16">
        <f t="shared" si="21"/>
        <v>22.000000000000004</v>
      </c>
      <c r="I58" s="16">
        <f t="shared" si="21"/>
        <v>311.71428571428572</v>
      </c>
      <c r="J58" s="16">
        <f t="shared" si="21"/>
        <v>208.85714285714283</v>
      </c>
      <c r="K58" s="16">
        <f t="shared" si="21"/>
        <v>122.28571428571426</v>
      </c>
      <c r="L58" s="16">
        <f t="shared" si="21"/>
        <v>139.71428571428572</v>
      </c>
      <c r="M58" s="16">
        <f t="shared" si="21"/>
        <v>18552.142857142859</v>
      </c>
      <c r="N58" s="16">
        <f t="shared" si="21"/>
        <v>9.8571428571428594</v>
      </c>
      <c r="O58" s="16">
        <f t="shared" si="21"/>
        <v>7787.8571428571431</v>
      </c>
      <c r="P58" s="16">
        <f t="shared" si="21"/>
        <v>26339.999999999993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0.10399717973749865</v>
      </c>
      <c r="D59" s="43">
        <f t="shared" si="22"/>
        <v>3.6516975810825476E-2</v>
      </c>
      <c r="E59" s="43">
        <f t="shared" si="22"/>
        <v>1.8461872220414371E-2</v>
      </c>
      <c r="F59" s="43">
        <f t="shared" si="22"/>
        <v>0.10303178218895763</v>
      </c>
      <c r="G59" s="43">
        <f t="shared" si="22"/>
        <v>2.7389087753552453E-3</v>
      </c>
      <c r="H59" s="43">
        <f t="shared" si="22"/>
        <v>8.3523158694001555E-4</v>
      </c>
      <c r="I59" s="43">
        <f t="shared" si="22"/>
        <v>1.1834255342228012E-2</v>
      </c>
      <c r="J59" s="43">
        <f t="shared" si="22"/>
        <v>7.9292764941967693E-3</v>
      </c>
      <c r="K59" s="43">
        <f t="shared" si="22"/>
        <v>4.6425859637704743E-3</v>
      </c>
      <c r="L59" s="43">
        <f t="shared" si="22"/>
        <v>5.3042629352424361E-3</v>
      </c>
      <c r="M59" s="43">
        <f t="shared" si="22"/>
        <v>0.70433344180496826</v>
      </c>
      <c r="N59" s="43">
        <f t="shared" si="22"/>
        <v>3.7422713960299402E-4</v>
      </c>
      <c r="R59" s="8"/>
      <c r="T59"/>
    </row>
    <row r="60" spans="2:20" ht="23.1" customHeight="1" x14ac:dyDescent="0.25">
      <c r="B60" s="42" t="s">
        <v>94</v>
      </c>
      <c r="C60" s="44">
        <f>C58/$O$58</f>
        <v>0.35173805374667516</v>
      </c>
      <c r="D60" s="44">
        <f t="shared" ref="D60:N60" si="23">D58/$O$58</f>
        <v>0.12350729157112719</v>
      </c>
      <c r="E60" s="44">
        <f t="shared" si="23"/>
        <v>6.2441529854168586E-2</v>
      </c>
      <c r="F60" s="44">
        <f t="shared" si="23"/>
        <v>0.34847289736769699</v>
      </c>
      <c r="G60" s="44">
        <f t="shared" si="23"/>
        <v>9.2635054572136107E-3</v>
      </c>
      <c r="H60" s="44">
        <f t="shared" si="23"/>
        <v>2.8249105750710818E-3</v>
      </c>
      <c r="I60" s="44">
        <f t="shared" si="23"/>
        <v>4.0025681005227916E-2</v>
      </c>
      <c r="J60" s="44">
        <f t="shared" si="23"/>
        <v>2.6818306888012469E-2</v>
      </c>
      <c r="K60" s="44">
        <f t="shared" si="23"/>
        <v>1.5702100339356137E-2</v>
      </c>
      <c r="L60" s="44">
        <f t="shared" si="23"/>
        <v>1.7940016509217647E-2</v>
      </c>
      <c r="M60" s="44"/>
      <c r="N60" s="44">
        <f t="shared" si="23"/>
        <v>1.265706686233147E-3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26"/>
  <sheetViews>
    <sheetView view="pageBreakPreview" zoomScale="60" workbookViewId="0">
      <selection activeCell="C4" sqref="C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'04.08 Nsambya-ClockTower'!C3:G3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2" t="s">
        <v>162</v>
      </c>
      <c r="E5" s="63"/>
      <c r="F5" s="41" t="s">
        <v>1</v>
      </c>
      <c r="G5" s="60" t="str">
        <f>'04.08 Nsambya-ClockTower'!G5:H5</f>
        <v>Gapco</v>
      </c>
      <c r="H5" s="61"/>
      <c r="I5" s="14"/>
      <c r="J5" s="2" t="s">
        <v>5</v>
      </c>
      <c r="K5" s="60" t="str">
        <f>'04.08 Nsambya-ClockTower'!K5:L5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'04.08 Nsambya-ClockTower'!D6:E6</f>
        <v>Nsambya</v>
      </c>
      <c r="E6" s="61"/>
      <c r="F6" s="2" t="s">
        <v>2</v>
      </c>
      <c r="G6" s="60" t="str">
        <f>'04.08 Nsambya-ClockTower'!G6:H6</f>
        <v>ClockTower</v>
      </c>
      <c r="H6" s="61"/>
      <c r="J6" s="2" t="s">
        <v>21</v>
      </c>
      <c r="K6" s="60" t="str">
        <f>'04.08 Nsambya-ClockTower'!K6:L6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Nsambya-ClockTower'!C10,'30.07 Nsambya-ClockTower'!C10,'31.07 Nsambya-ClockTower'!C10,'02.08 Nsambya-ClockTower'!C10,'01.08 Nsambya-ClockTower-24h'!C10,'03.08 Nsambya-ClockTower-24h'!C10,'04.08 Nsambya-ClockTower'!C10)</f>
        <v>72.285714285714292</v>
      </c>
      <c r="D10" s="49">
        <f>AVERAGE('29.07 Nsambya-ClockTower'!D10,'30.07 Nsambya-ClockTower'!D10,'31.07 Nsambya-ClockTower'!D10,'02.08 Nsambya-ClockTower'!D10,'01.08 Nsambya-ClockTower-24h'!D10,'03.08 Nsambya-ClockTower-24h'!D10,'04.08 Nsambya-ClockTower'!D10)</f>
        <v>13.285714285714286</v>
      </c>
      <c r="E10" s="49">
        <f>AVERAGE('29.07 Nsambya-ClockTower'!E10,'30.07 Nsambya-ClockTower'!E10,'31.07 Nsambya-ClockTower'!E10,'02.08 Nsambya-ClockTower'!E10,'01.08 Nsambya-ClockTower-24h'!E10,'03.08 Nsambya-ClockTower-24h'!E10,'04.08 Nsambya-ClockTower'!E10)</f>
        <v>8.7142857142857135</v>
      </c>
      <c r="F10" s="49">
        <f>AVERAGE('29.07 Nsambya-ClockTower'!F10,'30.07 Nsambya-ClockTower'!F10,'31.07 Nsambya-ClockTower'!F10,'02.08 Nsambya-ClockTower'!F10,'01.08 Nsambya-ClockTower-24h'!F10,'03.08 Nsambya-ClockTower-24h'!F10,'04.08 Nsambya-ClockTower'!F10)</f>
        <v>95.714285714285708</v>
      </c>
      <c r="G10" s="49">
        <f>AVERAGE('29.07 Nsambya-ClockTower'!G10,'30.07 Nsambya-ClockTower'!G10,'31.07 Nsambya-ClockTower'!G10,'02.08 Nsambya-ClockTower'!G10,'01.08 Nsambya-ClockTower-24h'!G10,'03.08 Nsambya-ClockTower-24h'!G10,'04.08 Nsambya-ClockTower'!G10)</f>
        <v>1.1428571428571428</v>
      </c>
      <c r="H10" s="49">
        <f>AVERAGE('29.07 Nsambya-ClockTower'!H10,'30.07 Nsambya-ClockTower'!H10,'31.07 Nsambya-ClockTower'!H10,'02.08 Nsambya-ClockTower'!H10,'01.08 Nsambya-ClockTower-24h'!H10,'03.08 Nsambya-ClockTower-24h'!H10,'04.08 Nsambya-ClockTower'!H10)</f>
        <v>0.42857142857142855</v>
      </c>
      <c r="I10" s="49">
        <f>AVERAGE('29.07 Nsambya-ClockTower'!I10,'30.07 Nsambya-ClockTower'!I10,'31.07 Nsambya-ClockTower'!I10,'02.08 Nsambya-ClockTower'!I10,'01.08 Nsambya-ClockTower-24h'!I10,'03.08 Nsambya-ClockTower-24h'!I10,'04.08 Nsambya-ClockTower'!I10)</f>
        <v>5.4285714285714288</v>
      </c>
      <c r="J10" s="49">
        <f>AVERAGE('29.07 Nsambya-ClockTower'!J10,'30.07 Nsambya-ClockTower'!J10,'31.07 Nsambya-ClockTower'!J10,'02.08 Nsambya-ClockTower'!J10,'01.08 Nsambya-ClockTower-24h'!J10,'03.08 Nsambya-ClockTower-24h'!J10,'04.08 Nsambya-ClockTower'!J10)</f>
        <v>2.4285714285714284</v>
      </c>
      <c r="K10" s="49">
        <f>AVERAGE('29.07 Nsambya-ClockTower'!K10,'30.07 Nsambya-ClockTower'!K10,'31.07 Nsambya-ClockTower'!K10,'02.08 Nsambya-ClockTower'!K10,'01.08 Nsambya-ClockTower-24h'!K10,'03.08 Nsambya-ClockTower-24h'!K10,'04.08 Nsambya-ClockTower'!K10)</f>
        <v>2</v>
      </c>
      <c r="L10" s="49">
        <f>AVERAGE('29.07 Nsambya-ClockTower'!L10,'30.07 Nsambya-ClockTower'!L10,'31.07 Nsambya-ClockTower'!L10,'02.08 Nsambya-ClockTower'!L10,'01.08 Nsambya-ClockTower-24h'!L10,'03.08 Nsambya-ClockTower-24h'!L10,'04.08 Nsambya-ClockTower'!L10)</f>
        <v>2</v>
      </c>
      <c r="M10" s="49">
        <f>AVERAGE('29.07 Nsambya-ClockTower'!M10,'30.07 Nsambya-ClockTower'!M10,'31.07 Nsambya-ClockTower'!M10,'02.08 Nsambya-ClockTower'!M10,'01.08 Nsambya-ClockTower-24h'!M10,'03.08 Nsambya-ClockTower-24h'!M10,'04.08 Nsambya-ClockTower'!M10)</f>
        <v>422.42857142857144</v>
      </c>
      <c r="N10" s="49">
        <f>AVERAGE('29.07 Nsambya-ClockTower'!N10,'30.07 Nsambya-ClockTower'!N10,'31.07 Nsambya-ClockTower'!N10,'02.08 Nsambya-ClockTower'!N10,'01.08 Nsambya-ClockTower-24h'!N10,'03.08 Nsambya-ClockTower-24h'!N10,'04.08 Nsambya-ClockTower'!N10)</f>
        <v>0.14285714285714285</v>
      </c>
      <c r="O10" s="15">
        <f t="shared" ref="O10:O57" si="0">SUM(C10:L10,N10)</f>
        <v>203.57142857142853</v>
      </c>
      <c r="P10" s="15">
        <f t="shared" ref="P10:P57" si="1">SUM(C10:N10)</f>
        <v>626</v>
      </c>
      <c r="R10" s="1" t="s">
        <v>6</v>
      </c>
      <c r="S10" s="17">
        <f t="shared" ref="S10:AF10" si="2">SUM(C10:C13)</f>
        <v>286.71428571428572</v>
      </c>
      <c r="T10" s="17">
        <f t="shared" si="2"/>
        <v>55.571428571428569</v>
      </c>
      <c r="U10" s="17">
        <f t="shared" si="2"/>
        <v>30.571428571428569</v>
      </c>
      <c r="V10" s="17">
        <f t="shared" si="2"/>
        <v>443</v>
      </c>
      <c r="W10" s="17">
        <f t="shared" si="2"/>
        <v>5.8571428571428577</v>
      </c>
      <c r="X10" s="17">
        <f t="shared" si="2"/>
        <v>1.1428571428571428</v>
      </c>
      <c r="Y10" s="17">
        <f t="shared" si="2"/>
        <v>15.714285714285714</v>
      </c>
      <c r="Z10" s="17">
        <f t="shared" si="2"/>
        <v>7</v>
      </c>
      <c r="AA10" s="17">
        <f t="shared" si="2"/>
        <v>6.5714285714285712</v>
      </c>
      <c r="AB10" s="17">
        <f t="shared" si="2"/>
        <v>7.8571428571428559</v>
      </c>
      <c r="AC10" s="17">
        <f t="shared" si="2"/>
        <v>1632.7142857142858</v>
      </c>
      <c r="AD10" s="17">
        <f t="shared" si="2"/>
        <v>1.1428571428571428</v>
      </c>
      <c r="AE10" s="31">
        <f t="shared" si="2"/>
        <v>861.14285714285711</v>
      </c>
      <c r="AF10" s="31">
        <f t="shared" si="2"/>
        <v>2493.8571428571427</v>
      </c>
    </row>
    <row r="11" spans="2:32" s="6" customFormat="1" ht="23.1" customHeight="1" x14ac:dyDescent="0.25">
      <c r="B11" s="23" t="s">
        <v>38</v>
      </c>
      <c r="C11" s="49">
        <f>AVERAGE('29.07 Nsambya-ClockTower'!C11,'30.07 Nsambya-ClockTower'!C11,'31.07 Nsambya-ClockTower'!C11,'02.08 Nsambya-ClockTower'!C11,'01.08 Nsambya-ClockTower-24h'!C11,'03.08 Nsambya-ClockTower-24h'!C11,'04.08 Nsambya-ClockTower'!C11)</f>
        <v>73.142857142857139</v>
      </c>
      <c r="D11" s="49">
        <f>AVERAGE('29.07 Nsambya-ClockTower'!D11,'30.07 Nsambya-ClockTower'!D11,'31.07 Nsambya-ClockTower'!D11,'02.08 Nsambya-ClockTower'!D11,'01.08 Nsambya-ClockTower-24h'!D11,'03.08 Nsambya-ClockTower-24h'!D11,'04.08 Nsambya-ClockTower'!D11)</f>
        <v>17.714285714285715</v>
      </c>
      <c r="E11" s="49">
        <f>AVERAGE('29.07 Nsambya-ClockTower'!E11,'30.07 Nsambya-ClockTower'!E11,'31.07 Nsambya-ClockTower'!E11,'02.08 Nsambya-ClockTower'!E11,'01.08 Nsambya-ClockTower-24h'!E11,'03.08 Nsambya-ClockTower-24h'!E11,'04.08 Nsambya-ClockTower'!E11)</f>
        <v>7.7142857142857144</v>
      </c>
      <c r="F11" s="49">
        <f>AVERAGE('29.07 Nsambya-ClockTower'!F11,'30.07 Nsambya-ClockTower'!F11,'31.07 Nsambya-ClockTower'!F11,'02.08 Nsambya-ClockTower'!F11,'01.08 Nsambya-ClockTower-24h'!F11,'03.08 Nsambya-ClockTower-24h'!F11,'04.08 Nsambya-ClockTower'!F11)</f>
        <v>104.71428571428571</v>
      </c>
      <c r="G11" s="49">
        <f>AVERAGE('29.07 Nsambya-ClockTower'!G11,'30.07 Nsambya-ClockTower'!G11,'31.07 Nsambya-ClockTower'!G11,'02.08 Nsambya-ClockTower'!G11,'01.08 Nsambya-ClockTower-24h'!G11,'03.08 Nsambya-ClockTower-24h'!G11,'04.08 Nsambya-ClockTower'!G11)</f>
        <v>1.2857142857142858</v>
      </c>
      <c r="H11" s="49">
        <f>AVERAGE('29.07 Nsambya-ClockTower'!H11,'30.07 Nsambya-ClockTower'!H11,'31.07 Nsambya-ClockTower'!H11,'02.08 Nsambya-ClockTower'!H11,'01.08 Nsambya-ClockTower-24h'!H11,'03.08 Nsambya-ClockTower-24h'!H11,'04.08 Nsambya-ClockTower'!H11)</f>
        <v>0.2857142857142857</v>
      </c>
      <c r="I11" s="49">
        <f>AVERAGE('29.07 Nsambya-ClockTower'!I11,'30.07 Nsambya-ClockTower'!I11,'31.07 Nsambya-ClockTower'!I11,'02.08 Nsambya-ClockTower'!I11,'01.08 Nsambya-ClockTower-24h'!I11,'03.08 Nsambya-ClockTower-24h'!I11,'04.08 Nsambya-ClockTower'!I11)</f>
        <v>3.4285714285714284</v>
      </c>
      <c r="J11" s="49">
        <f>AVERAGE('29.07 Nsambya-ClockTower'!J11,'30.07 Nsambya-ClockTower'!J11,'31.07 Nsambya-ClockTower'!J11,'02.08 Nsambya-ClockTower'!J11,'01.08 Nsambya-ClockTower-24h'!J11,'03.08 Nsambya-ClockTower-24h'!J11,'04.08 Nsambya-ClockTower'!J11)</f>
        <v>1.2857142857142858</v>
      </c>
      <c r="K11" s="49">
        <f>AVERAGE('29.07 Nsambya-ClockTower'!K11,'30.07 Nsambya-ClockTower'!K11,'31.07 Nsambya-ClockTower'!K11,'02.08 Nsambya-ClockTower'!K11,'01.08 Nsambya-ClockTower-24h'!K11,'03.08 Nsambya-ClockTower-24h'!K11,'04.08 Nsambya-ClockTower'!K11)</f>
        <v>1.8571428571428572</v>
      </c>
      <c r="L11" s="49">
        <f>AVERAGE('29.07 Nsambya-ClockTower'!L11,'30.07 Nsambya-ClockTower'!L11,'31.07 Nsambya-ClockTower'!L11,'02.08 Nsambya-ClockTower'!L11,'01.08 Nsambya-ClockTower-24h'!L11,'03.08 Nsambya-ClockTower-24h'!L11,'04.08 Nsambya-ClockTower'!L11)</f>
        <v>2.1428571428571428</v>
      </c>
      <c r="M11" s="49">
        <f>AVERAGE('29.07 Nsambya-ClockTower'!M11,'30.07 Nsambya-ClockTower'!M11,'31.07 Nsambya-ClockTower'!M11,'02.08 Nsambya-ClockTower'!M11,'01.08 Nsambya-ClockTower-24h'!M11,'03.08 Nsambya-ClockTower-24h'!M11,'04.08 Nsambya-ClockTower'!M11)</f>
        <v>312.14285714285717</v>
      </c>
      <c r="N11" s="49">
        <f>AVERAGE('29.07 Nsambya-ClockTower'!N11,'30.07 Nsambya-ClockTower'!N11,'31.07 Nsambya-ClockTower'!N11,'02.08 Nsambya-ClockTower'!N11,'01.08 Nsambya-ClockTower-24h'!N11,'03.08 Nsambya-ClockTower-24h'!N11,'04.08 Nsambya-ClockTower'!N11)</f>
        <v>0.14285714285714285</v>
      </c>
      <c r="O11" s="15">
        <f t="shared" si="0"/>
        <v>213.71428571428567</v>
      </c>
      <c r="P11" s="15">
        <f t="shared" si="1"/>
        <v>525.85714285714278</v>
      </c>
      <c r="R11" s="1" t="s">
        <v>7</v>
      </c>
      <c r="S11" s="17">
        <f t="shared" ref="S11:AF11" si="3">SUM(C14:C17)</f>
        <v>328.71428571428572</v>
      </c>
      <c r="T11" s="17">
        <f t="shared" si="3"/>
        <v>55.571428571428569</v>
      </c>
      <c r="U11" s="17">
        <f t="shared" si="3"/>
        <v>32.714285714285715</v>
      </c>
      <c r="V11" s="17">
        <f t="shared" si="3"/>
        <v>391.85714285714283</v>
      </c>
      <c r="W11" s="17">
        <f t="shared" si="3"/>
        <v>11.142857142857142</v>
      </c>
      <c r="X11" s="17">
        <f t="shared" si="3"/>
        <v>3.4285714285714288</v>
      </c>
      <c r="Y11" s="17">
        <f t="shared" si="3"/>
        <v>18.142857142857142</v>
      </c>
      <c r="Z11" s="17">
        <f t="shared" si="3"/>
        <v>10.142857142857142</v>
      </c>
      <c r="AA11" s="17">
        <f t="shared" si="3"/>
        <v>8.428571428571427</v>
      </c>
      <c r="AB11" s="17">
        <f t="shared" si="3"/>
        <v>10.285714285714285</v>
      </c>
      <c r="AC11" s="17">
        <f t="shared" si="3"/>
        <v>1983.1428571428569</v>
      </c>
      <c r="AD11" s="17">
        <f t="shared" si="3"/>
        <v>0.71428571428571419</v>
      </c>
      <c r="AE11" s="31">
        <f t="shared" si="3"/>
        <v>871.14285714285711</v>
      </c>
      <c r="AF11" s="31">
        <f t="shared" si="3"/>
        <v>2854.2857142857142</v>
      </c>
    </row>
    <row r="12" spans="2:32" ht="23.1" customHeight="1" x14ac:dyDescent="0.25">
      <c r="B12" s="23" t="s">
        <v>39</v>
      </c>
      <c r="C12" s="49">
        <f>AVERAGE('29.07 Nsambya-ClockTower'!C12,'30.07 Nsambya-ClockTower'!C12,'31.07 Nsambya-ClockTower'!C12,'02.08 Nsambya-ClockTower'!C12,'01.08 Nsambya-ClockTower-24h'!C12,'03.08 Nsambya-ClockTower-24h'!C12,'04.08 Nsambya-ClockTower'!C12)</f>
        <v>78.571428571428569</v>
      </c>
      <c r="D12" s="49">
        <f>AVERAGE('29.07 Nsambya-ClockTower'!D12,'30.07 Nsambya-ClockTower'!D12,'31.07 Nsambya-ClockTower'!D12,'02.08 Nsambya-ClockTower'!D12,'01.08 Nsambya-ClockTower-24h'!D12,'03.08 Nsambya-ClockTower-24h'!D12,'04.08 Nsambya-ClockTower'!D12)</f>
        <v>11.428571428571429</v>
      </c>
      <c r="E12" s="49">
        <f>AVERAGE('29.07 Nsambya-ClockTower'!E12,'30.07 Nsambya-ClockTower'!E12,'31.07 Nsambya-ClockTower'!E12,'02.08 Nsambya-ClockTower'!E12,'01.08 Nsambya-ClockTower-24h'!E12,'03.08 Nsambya-ClockTower-24h'!E12,'04.08 Nsambya-ClockTower'!E12)</f>
        <v>7.5714285714285712</v>
      </c>
      <c r="F12" s="49">
        <f>AVERAGE('29.07 Nsambya-ClockTower'!F12,'30.07 Nsambya-ClockTower'!F12,'31.07 Nsambya-ClockTower'!F12,'02.08 Nsambya-ClockTower'!F12,'01.08 Nsambya-ClockTower-24h'!F12,'03.08 Nsambya-ClockTower-24h'!F12,'04.08 Nsambya-ClockTower'!F12)</f>
        <v>124.57142857142857</v>
      </c>
      <c r="G12" s="49">
        <f>AVERAGE('29.07 Nsambya-ClockTower'!G12,'30.07 Nsambya-ClockTower'!G12,'31.07 Nsambya-ClockTower'!G12,'02.08 Nsambya-ClockTower'!G12,'01.08 Nsambya-ClockTower-24h'!G12,'03.08 Nsambya-ClockTower-24h'!G12,'04.08 Nsambya-ClockTower'!G12)</f>
        <v>1.4285714285714286</v>
      </c>
      <c r="H12" s="49">
        <f>AVERAGE('29.07 Nsambya-ClockTower'!H12,'30.07 Nsambya-ClockTower'!H12,'31.07 Nsambya-ClockTower'!H12,'02.08 Nsambya-ClockTower'!H12,'01.08 Nsambya-ClockTower-24h'!H12,'03.08 Nsambya-ClockTower-24h'!H12,'04.08 Nsambya-ClockTower'!H12)</f>
        <v>0.42857142857142855</v>
      </c>
      <c r="I12" s="49">
        <f>AVERAGE('29.07 Nsambya-ClockTower'!I12,'30.07 Nsambya-ClockTower'!I12,'31.07 Nsambya-ClockTower'!I12,'02.08 Nsambya-ClockTower'!I12,'01.08 Nsambya-ClockTower-24h'!I12,'03.08 Nsambya-ClockTower-24h'!I12,'04.08 Nsambya-ClockTower'!I12)</f>
        <v>3.2857142857142856</v>
      </c>
      <c r="J12" s="49">
        <f>AVERAGE('29.07 Nsambya-ClockTower'!J12,'30.07 Nsambya-ClockTower'!J12,'31.07 Nsambya-ClockTower'!J12,'02.08 Nsambya-ClockTower'!J12,'01.08 Nsambya-ClockTower-24h'!J12,'03.08 Nsambya-ClockTower-24h'!J12,'04.08 Nsambya-ClockTower'!J12)</f>
        <v>1</v>
      </c>
      <c r="K12" s="49">
        <f>AVERAGE('29.07 Nsambya-ClockTower'!K12,'30.07 Nsambya-ClockTower'!K12,'31.07 Nsambya-ClockTower'!K12,'02.08 Nsambya-ClockTower'!K12,'01.08 Nsambya-ClockTower-24h'!K12,'03.08 Nsambya-ClockTower-24h'!K12,'04.08 Nsambya-ClockTower'!K12)</f>
        <v>1.1428571428571428</v>
      </c>
      <c r="L12" s="49">
        <f>AVERAGE('29.07 Nsambya-ClockTower'!L12,'30.07 Nsambya-ClockTower'!L12,'31.07 Nsambya-ClockTower'!L12,'02.08 Nsambya-ClockTower'!L12,'01.08 Nsambya-ClockTower-24h'!L12,'03.08 Nsambya-ClockTower-24h'!L12,'04.08 Nsambya-ClockTower'!L12)</f>
        <v>1.5714285714285714</v>
      </c>
      <c r="M12" s="49">
        <f>AVERAGE('29.07 Nsambya-ClockTower'!M12,'30.07 Nsambya-ClockTower'!M12,'31.07 Nsambya-ClockTower'!M12,'02.08 Nsambya-ClockTower'!M12,'01.08 Nsambya-ClockTower-24h'!M12,'03.08 Nsambya-ClockTower-24h'!M12,'04.08 Nsambya-ClockTower'!M12)</f>
        <v>404.57142857142856</v>
      </c>
      <c r="N12" s="49">
        <f>AVERAGE('29.07 Nsambya-ClockTower'!N12,'30.07 Nsambya-ClockTower'!N12,'31.07 Nsambya-ClockTower'!N12,'02.08 Nsambya-ClockTower'!N12,'01.08 Nsambya-ClockTower-24h'!N12,'03.08 Nsambya-ClockTower-24h'!N12,'04.08 Nsambya-ClockTower'!N12)</f>
        <v>0.14285714285714285</v>
      </c>
      <c r="O12" s="15">
        <f t="shared" si="0"/>
        <v>231.14285714285711</v>
      </c>
      <c r="P12" s="15">
        <f t="shared" si="1"/>
        <v>635.71428571428567</v>
      </c>
      <c r="R12" s="1" t="s">
        <v>8</v>
      </c>
      <c r="S12" s="17">
        <f t="shared" ref="S12:AF12" si="4">SUM(C18:C21)</f>
        <v>254</v>
      </c>
      <c r="T12" s="17">
        <f t="shared" si="4"/>
        <v>231.42857142857142</v>
      </c>
      <c r="U12" s="17">
        <f t="shared" si="4"/>
        <v>56.142857142857139</v>
      </c>
      <c r="V12" s="17">
        <f t="shared" si="4"/>
        <v>390.28571428571428</v>
      </c>
      <c r="W12" s="17">
        <f t="shared" si="4"/>
        <v>7.4285714285714288</v>
      </c>
      <c r="X12" s="17">
        <f t="shared" si="4"/>
        <v>1</v>
      </c>
      <c r="Y12" s="17">
        <f t="shared" si="4"/>
        <v>25.571428571428569</v>
      </c>
      <c r="Z12" s="17">
        <f t="shared" si="4"/>
        <v>19.714285714285715</v>
      </c>
      <c r="AA12" s="17">
        <f t="shared" si="4"/>
        <v>12.142857142857144</v>
      </c>
      <c r="AB12" s="17">
        <f t="shared" si="4"/>
        <v>11.428571428571429</v>
      </c>
      <c r="AC12" s="17">
        <f t="shared" si="4"/>
        <v>1879.1428571428569</v>
      </c>
      <c r="AD12" s="17">
        <f t="shared" si="4"/>
        <v>0.5714285714285714</v>
      </c>
      <c r="AE12" s="31">
        <f t="shared" si="4"/>
        <v>1009.7142857142859</v>
      </c>
      <c r="AF12" s="31">
        <f t="shared" si="4"/>
        <v>2888.8571428571427</v>
      </c>
    </row>
    <row r="13" spans="2:32" ht="23.1" customHeight="1" x14ac:dyDescent="0.25">
      <c r="B13" s="23" t="s">
        <v>40</v>
      </c>
      <c r="C13" s="49">
        <f>AVERAGE('29.07 Nsambya-ClockTower'!C13,'30.07 Nsambya-ClockTower'!C13,'31.07 Nsambya-ClockTower'!C13,'02.08 Nsambya-ClockTower'!C13,'01.08 Nsambya-ClockTower-24h'!C13,'03.08 Nsambya-ClockTower-24h'!C13,'04.08 Nsambya-ClockTower'!C13)</f>
        <v>62.714285714285715</v>
      </c>
      <c r="D13" s="49">
        <f>AVERAGE('29.07 Nsambya-ClockTower'!D13,'30.07 Nsambya-ClockTower'!D13,'31.07 Nsambya-ClockTower'!D13,'02.08 Nsambya-ClockTower'!D13,'01.08 Nsambya-ClockTower-24h'!D13,'03.08 Nsambya-ClockTower-24h'!D13,'04.08 Nsambya-ClockTower'!D13)</f>
        <v>13.142857142857142</v>
      </c>
      <c r="E13" s="49">
        <f>AVERAGE('29.07 Nsambya-ClockTower'!E13,'30.07 Nsambya-ClockTower'!E13,'31.07 Nsambya-ClockTower'!E13,'02.08 Nsambya-ClockTower'!E13,'01.08 Nsambya-ClockTower-24h'!E13,'03.08 Nsambya-ClockTower-24h'!E13,'04.08 Nsambya-ClockTower'!E13)</f>
        <v>6.5714285714285712</v>
      </c>
      <c r="F13" s="49">
        <f>AVERAGE('29.07 Nsambya-ClockTower'!F13,'30.07 Nsambya-ClockTower'!F13,'31.07 Nsambya-ClockTower'!F13,'02.08 Nsambya-ClockTower'!F13,'01.08 Nsambya-ClockTower-24h'!F13,'03.08 Nsambya-ClockTower-24h'!F13,'04.08 Nsambya-ClockTower'!F13)</f>
        <v>118</v>
      </c>
      <c r="G13" s="49">
        <f>AVERAGE('29.07 Nsambya-ClockTower'!G13,'30.07 Nsambya-ClockTower'!G13,'31.07 Nsambya-ClockTower'!G13,'02.08 Nsambya-ClockTower'!G13,'01.08 Nsambya-ClockTower-24h'!G13,'03.08 Nsambya-ClockTower-24h'!G13,'04.08 Nsambya-ClockTower'!G13)</f>
        <v>2</v>
      </c>
      <c r="H13" s="49">
        <f>AVERAGE('29.07 Nsambya-ClockTower'!H13,'30.07 Nsambya-ClockTower'!H13,'31.07 Nsambya-ClockTower'!H13,'02.08 Nsambya-ClockTower'!H13,'01.08 Nsambya-ClockTower-24h'!H13,'03.08 Nsambya-ClockTower-24h'!H13,'04.08 Nsambya-ClockTower'!H13)</f>
        <v>0</v>
      </c>
      <c r="I13" s="49">
        <f>AVERAGE('29.07 Nsambya-ClockTower'!I13,'30.07 Nsambya-ClockTower'!I13,'31.07 Nsambya-ClockTower'!I13,'02.08 Nsambya-ClockTower'!I13,'01.08 Nsambya-ClockTower-24h'!I13,'03.08 Nsambya-ClockTower-24h'!I13,'04.08 Nsambya-ClockTower'!I13)</f>
        <v>3.5714285714285716</v>
      </c>
      <c r="J13" s="49">
        <f>AVERAGE('29.07 Nsambya-ClockTower'!J13,'30.07 Nsambya-ClockTower'!J13,'31.07 Nsambya-ClockTower'!J13,'02.08 Nsambya-ClockTower'!J13,'01.08 Nsambya-ClockTower-24h'!J13,'03.08 Nsambya-ClockTower-24h'!J13,'04.08 Nsambya-ClockTower'!J13)</f>
        <v>2.2857142857142856</v>
      </c>
      <c r="K13" s="49">
        <f>AVERAGE('29.07 Nsambya-ClockTower'!K13,'30.07 Nsambya-ClockTower'!K13,'31.07 Nsambya-ClockTower'!K13,'02.08 Nsambya-ClockTower'!K13,'01.08 Nsambya-ClockTower-24h'!K13,'03.08 Nsambya-ClockTower-24h'!K13,'04.08 Nsambya-ClockTower'!K13)</f>
        <v>1.5714285714285714</v>
      </c>
      <c r="L13" s="49">
        <f>AVERAGE('29.07 Nsambya-ClockTower'!L13,'30.07 Nsambya-ClockTower'!L13,'31.07 Nsambya-ClockTower'!L13,'02.08 Nsambya-ClockTower'!L13,'01.08 Nsambya-ClockTower-24h'!L13,'03.08 Nsambya-ClockTower-24h'!L13,'04.08 Nsambya-ClockTower'!L13)</f>
        <v>2.1428571428571428</v>
      </c>
      <c r="M13" s="49">
        <f>AVERAGE('29.07 Nsambya-ClockTower'!M13,'30.07 Nsambya-ClockTower'!M13,'31.07 Nsambya-ClockTower'!M13,'02.08 Nsambya-ClockTower'!M13,'01.08 Nsambya-ClockTower-24h'!M13,'03.08 Nsambya-ClockTower-24h'!M13,'04.08 Nsambya-ClockTower'!M13)</f>
        <v>493.57142857142856</v>
      </c>
      <c r="N13" s="49">
        <f>AVERAGE('29.07 Nsambya-ClockTower'!N13,'30.07 Nsambya-ClockTower'!N13,'31.07 Nsambya-ClockTower'!N13,'02.08 Nsambya-ClockTower'!N13,'01.08 Nsambya-ClockTower-24h'!N13,'03.08 Nsambya-ClockTower-24h'!N13,'04.08 Nsambya-ClockTower'!N13)</f>
        <v>0.7142857142857143</v>
      </c>
      <c r="O13" s="15">
        <f t="shared" si="0"/>
        <v>212.71428571428575</v>
      </c>
      <c r="P13" s="15">
        <f t="shared" si="1"/>
        <v>706.28571428571422</v>
      </c>
      <c r="R13" s="1" t="s">
        <v>9</v>
      </c>
      <c r="S13" s="17">
        <f t="shared" ref="S13:AF13" si="5">SUM(C22:C25)</f>
        <v>251.71428571428572</v>
      </c>
      <c r="T13" s="17">
        <f t="shared" si="5"/>
        <v>55.857142857142861</v>
      </c>
      <c r="U13" s="17">
        <f t="shared" si="5"/>
        <v>42.142857142857139</v>
      </c>
      <c r="V13" s="17">
        <f t="shared" si="5"/>
        <v>436</v>
      </c>
      <c r="W13" s="17">
        <f t="shared" si="5"/>
        <v>6.4285714285714288</v>
      </c>
      <c r="X13" s="17">
        <f t="shared" si="5"/>
        <v>1</v>
      </c>
      <c r="Y13" s="17">
        <f t="shared" si="5"/>
        <v>29</v>
      </c>
      <c r="Z13" s="17">
        <f t="shared" si="5"/>
        <v>18.285714285714285</v>
      </c>
      <c r="AA13" s="17">
        <f t="shared" si="5"/>
        <v>8.2857142857142847</v>
      </c>
      <c r="AB13" s="17">
        <f t="shared" si="5"/>
        <v>12.285714285714285</v>
      </c>
      <c r="AC13" s="17">
        <f t="shared" si="5"/>
        <v>1746.4285714285713</v>
      </c>
      <c r="AD13" s="17">
        <f t="shared" si="5"/>
        <v>0.5714285714285714</v>
      </c>
      <c r="AE13" s="31">
        <f t="shared" si="5"/>
        <v>861.57142857142844</v>
      </c>
      <c r="AF13" s="31">
        <f t="shared" si="5"/>
        <v>2608</v>
      </c>
    </row>
    <row r="14" spans="2:32" ht="23.1" customHeight="1" x14ac:dyDescent="0.25">
      <c r="B14" s="23" t="s">
        <v>41</v>
      </c>
      <c r="C14" s="49">
        <f>AVERAGE('29.07 Nsambya-ClockTower'!C14,'30.07 Nsambya-ClockTower'!C14,'31.07 Nsambya-ClockTower'!C14,'02.08 Nsambya-ClockTower'!C14,'01.08 Nsambya-ClockTower-24h'!C14,'03.08 Nsambya-ClockTower-24h'!C14,'04.08 Nsambya-ClockTower'!C14)</f>
        <v>83.571428571428569</v>
      </c>
      <c r="D14" s="49">
        <f>AVERAGE('29.07 Nsambya-ClockTower'!D14,'30.07 Nsambya-ClockTower'!D14,'31.07 Nsambya-ClockTower'!D14,'02.08 Nsambya-ClockTower'!D14,'01.08 Nsambya-ClockTower-24h'!D14,'03.08 Nsambya-ClockTower-24h'!D14,'04.08 Nsambya-ClockTower'!D14)</f>
        <v>10.714285714285714</v>
      </c>
      <c r="E14" s="49">
        <f>AVERAGE('29.07 Nsambya-ClockTower'!E14,'30.07 Nsambya-ClockTower'!E14,'31.07 Nsambya-ClockTower'!E14,'02.08 Nsambya-ClockTower'!E14,'01.08 Nsambya-ClockTower-24h'!E14,'03.08 Nsambya-ClockTower-24h'!E14,'04.08 Nsambya-ClockTower'!E14)</f>
        <v>6.4285714285714288</v>
      </c>
      <c r="F14" s="49">
        <f>AVERAGE('29.07 Nsambya-ClockTower'!F14,'30.07 Nsambya-ClockTower'!F14,'31.07 Nsambya-ClockTower'!F14,'02.08 Nsambya-ClockTower'!F14,'01.08 Nsambya-ClockTower-24h'!F14,'03.08 Nsambya-ClockTower-24h'!F14,'04.08 Nsambya-ClockTower'!F14)</f>
        <v>114</v>
      </c>
      <c r="G14" s="49">
        <f>AVERAGE('29.07 Nsambya-ClockTower'!G14,'30.07 Nsambya-ClockTower'!G14,'31.07 Nsambya-ClockTower'!G14,'02.08 Nsambya-ClockTower'!G14,'01.08 Nsambya-ClockTower-24h'!G14,'03.08 Nsambya-ClockTower-24h'!G14,'04.08 Nsambya-ClockTower'!G14)</f>
        <v>2</v>
      </c>
      <c r="H14" s="49">
        <f>AVERAGE('29.07 Nsambya-ClockTower'!H14,'30.07 Nsambya-ClockTower'!H14,'31.07 Nsambya-ClockTower'!H14,'02.08 Nsambya-ClockTower'!H14,'01.08 Nsambya-ClockTower-24h'!H14,'03.08 Nsambya-ClockTower-24h'!H14,'04.08 Nsambya-ClockTower'!H14)</f>
        <v>0.2857142857142857</v>
      </c>
      <c r="I14" s="49">
        <f>AVERAGE('29.07 Nsambya-ClockTower'!I14,'30.07 Nsambya-ClockTower'!I14,'31.07 Nsambya-ClockTower'!I14,'02.08 Nsambya-ClockTower'!I14,'01.08 Nsambya-ClockTower-24h'!I14,'03.08 Nsambya-ClockTower-24h'!I14,'04.08 Nsambya-ClockTower'!I14)</f>
        <v>4.8571428571428568</v>
      </c>
      <c r="J14" s="49">
        <f>AVERAGE('29.07 Nsambya-ClockTower'!J14,'30.07 Nsambya-ClockTower'!J14,'31.07 Nsambya-ClockTower'!J14,'02.08 Nsambya-ClockTower'!J14,'01.08 Nsambya-ClockTower-24h'!J14,'03.08 Nsambya-ClockTower-24h'!J14,'04.08 Nsambya-ClockTower'!J14)</f>
        <v>2.4285714285714284</v>
      </c>
      <c r="K14" s="49">
        <f>AVERAGE('29.07 Nsambya-ClockTower'!K14,'30.07 Nsambya-ClockTower'!K14,'31.07 Nsambya-ClockTower'!K14,'02.08 Nsambya-ClockTower'!K14,'01.08 Nsambya-ClockTower-24h'!K14,'03.08 Nsambya-ClockTower-24h'!K14,'04.08 Nsambya-ClockTower'!K14)</f>
        <v>1.4285714285714286</v>
      </c>
      <c r="L14" s="49">
        <f>AVERAGE('29.07 Nsambya-ClockTower'!L14,'30.07 Nsambya-ClockTower'!L14,'31.07 Nsambya-ClockTower'!L14,'02.08 Nsambya-ClockTower'!L14,'01.08 Nsambya-ClockTower-24h'!L14,'03.08 Nsambya-ClockTower-24h'!L14,'04.08 Nsambya-ClockTower'!L14)</f>
        <v>2.4285714285714284</v>
      </c>
      <c r="M14" s="49">
        <f>AVERAGE('29.07 Nsambya-ClockTower'!M14,'30.07 Nsambya-ClockTower'!M14,'31.07 Nsambya-ClockTower'!M14,'02.08 Nsambya-ClockTower'!M14,'01.08 Nsambya-ClockTower-24h'!M14,'03.08 Nsambya-ClockTower-24h'!M14,'04.08 Nsambya-ClockTower'!M14)</f>
        <v>505.71428571428572</v>
      </c>
      <c r="N14" s="49">
        <f>AVERAGE('29.07 Nsambya-ClockTower'!N14,'30.07 Nsambya-ClockTower'!N14,'31.07 Nsambya-ClockTower'!N14,'02.08 Nsambya-ClockTower'!N14,'01.08 Nsambya-ClockTower-24h'!N14,'03.08 Nsambya-ClockTower-24h'!N14,'04.08 Nsambya-ClockTower'!N14)</f>
        <v>0</v>
      </c>
      <c r="O14" s="15">
        <f t="shared" si="0"/>
        <v>228.14285714285711</v>
      </c>
      <c r="P14" s="15">
        <f t="shared" si="1"/>
        <v>733.85714285714289</v>
      </c>
      <c r="R14" s="1" t="s">
        <v>10</v>
      </c>
      <c r="S14" s="17">
        <f t="shared" ref="S14:AF14" si="6">SUM(C26:C29)</f>
        <v>247.42857142857142</v>
      </c>
      <c r="T14" s="17">
        <f t="shared" si="6"/>
        <v>69.714285714285708</v>
      </c>
      <c r="U14" s="17">
        <f t="shared" si="6"/>
        <v>44.714285714285715</v>
      </c>
      <c r="V14" s="17">
        <f t="shared" si="6"/>
        <v>416.42857142857144</v>
      </c>
      <c r="W14" s="17">
        <f t="shared" si="6"/>
        <v>5.5714285714285712</v>
      </c>
      <c r="X14" s="17">
        <f t="shared" si="6"/>
        <v>1.5714285714285714</v>
      </c>
      <c r="Y14" s="17">
        <f t="shared" si="6"/>
        <v>30.714285714285715</v>
      </c>
      <c r="Z14" s="17">
        <f t="shared" si="6"/>
        <v>21.142857142857142</v>
      </c>
      <c r="AA14" s="17">
        <f t="shared" si="6"/>
        <v>12</v>
      </c>
      <c r="AB14" s="17">
        <f t="shared" si="6"/>
        <v>73.142857142857153</v>
      </c>
      <c r="AC14" s="17">
        <f t="shared" si="6"/>
        <v>1642.2857142857142</v>
      </c>
      <c r="AD14" s="17">
        <f t="shared" si="6"/>
        <v>0.71428571428571419</v>
      </c>
      <c r="AE14" s="31">
        <f t="shared" si="6"/>
        <v>923.14285714285711</v>
      </c>
      <c r="AF14" s="31">
        <f t="shared" si="6"/>
        <v>2565.4285714285716</v>
      </c>
    </row>
    <row r="15" spans="2:32" ht="23.1" customHeight="1" x14ac:dyDescent="0.25">
      <c r="B15" s="23" t="s">
        <v>42</v>
      </c>
      <c r="C15" s="49">
        <f>AVERAGE('29.07 Nsambya-ClockTower'!C15,'30.07 Nsambya-ClockTower'!C15,'31.07 Nsambya-ClockTower'!C15,'02.08 Nsambya-ClockTower'!C15,'01.08 Nsambya-ClockTower-24h'!C15,'03.08 Nsambya-ClockTower-24h'!C15,'04.08 Nsambya-ClockTower'!C15)</f>
        <v>87.857142857142861</v>
      </c>
      <c r="D15" s="49">
        <f>AVERAGE('29.07 Nsambya-ClockTower'!D15,'30.07 Nsambya-ClockTower'!D15,'31.07 Nsambya-ClockTower'!D15,'02.08 Nsambya-ClockTower'!D15,'01.08 Nsambya-ClockTower-24h'!D15,'03.08 Nsambya-ClockTower-24h'!D15,'04.08 Nsambya-ClockTower'!D15)</f>
        <v>16.285714285714285</v>
      </c>
      <c r="E15" s="49">
        <f>AVERAGE('29.07 Nsambya-ClockTower'!E15,'30.07 Nsambya-ClockTower'!E15,'31.07 Nsambya-ClockTower'!E15,'02.08 Nsambya-ClockTower'!E15,'01.08 Nsambya-ClockTower-24h'!E15,'03.08 Nsambya-ClockTower-24h'!E15,'04.08 Nsambya-ClockTower'!E15)</f>
        <v>9.5714285714285712</v>
      </c>
      <c r="F15" s="49">
        <f>AVERAGE('29.07 Nsambya-ClockTower'!F15,'30.07 Nsambya-ClockTower'!F15,'31.07 Nsambya-ClockTower'!F15,'02.08 Nsambya-ClockTower'!F15,'01.08 Nsambya-ClockTower-24h'!F15,'03.08 Nsambya-ClockTower-24h'!F15,'04.08 Nsambya-ClockTower'!F15)</f>
        <v>98.285714285714292</v>
      </c>
      <c r="G15" s="49">
        <f>AVERAGE('29.07 Nsambya-ClockTower'!G15,'30.07 Nsambya-ClockTower'!G15,'31.07 Nsambya-ClockTower'!G15,'02.08 Nsambya-ClockTower'!G15,'01.08 Nsambya-ClockTower-24h'!G15,'03.08 Nsambya-ClockTower-24h'!G15,'04.08 Nsambya-ClockTower'!G15)</f>
        <v>2.5714285714285716</v>
      </c>
      <c r="H15" s="49">
        <f>AVERAGE('29.07 Nsambya-ClockTower'!H15,'30.07 Nsambya-ClockTower'!H15,'31.07 Nsambya-ClockTower'!H15,'02.08 Nsambya-ClockTower'!H15,'01.08 Nsambya-ClockTower-24h'!H15,'03.08 Nsambya-ClockTower-24h'!H15,'04.08 Nsambya-ClockTower'!H15)</f>
        <v>0.7142857142857143</v>
      </c>
      <c r="I15" s="49">
        <f>AVERAGE('29.07 Nsambya-ClockTower'!I15,'30.07 Nsambya-ClockTower'!I15,'31.07 Nsambya-ClockTower'!I15,'02.08 Nsambya-ClockTower'!I15,'01.08 Nsambya-ClockTower-24h'!I15,'03.08 Nsambya-ClockTower-24h'!I15,'04.08 Nsambya-ClockTower'!I15)</f>
        <v>4.4285714285714288</v>
      </c>
      <c r="J15" s="49">
        <f>AVERAGE('29.07 Nsambya-ClockTower'!J15,'30.07 Nsambya-ClockTower'!J15,'31.07 Nsambya-ClockTower'!J15,'02.08 Nsambya-ClockTower'!J15,'01.08 Nsambya-ClockTower-24h'!J15,'03.08 Nsambya-ClockTower-24h'!J15,'04.08 Nsambya-ClockTower'!J15)</f>
        <v>2.2857142857142856</v>
      </c>
      <c r="K15" s="49">
        <f>AVERAGE('29.07 Nsambya-ClockTower'!K15,'30.07 Nsambya-ClockTower'!K15,'31.07 Nsambya-ClockTower'!K15,'02.08 Nsambya-ClockTower'!K15,'01.08 Nsambya-ClockTower-24h'!K15,'03.08 Nsambya-ClockTower-24h'!K15,'04.08 Nsambya-ClockTower'!K15)</f>
        <v>2.1428571428571428</v>
      </c>
      <c r="L15" s="49">
        <f>AVERAGE('29.07 Nsambya-ClockTower'!L15,'30.07 Nsambya-ClockTower'!L15,'31.07 Nsambya-ClockTower'!L15,'02.08 Nsambya-ClockTower'!L15,'01.08 Nsambya-ClockTower-24h'!L15,'03.08 Nsambya-ClockTower-24h'!L15,'04.08 Nsambya-ClockTower'!L15)</f>
        <v>3.5714285714285716</v>
      </c>
      <c r="M15" s="49">
        <f>AVERAGE('29.07 Nsambya-ClockTower'!M15,'30.07 Nsambya-ClockTower'!M15,'31.07 Nsambya-ClockTower'!M15,'02.08 Nsambya-ClockTower'!M15,'01.08 Nsambya-ClockTower-24h'!M15,'03.08 Nsambya-ClockTower-24h'!M15,'04.08 Nsambya-ClockTower'!M15)</f>
        <v>464.42857142857144</v>
      </c>
      <c r="N15" s="49">
        <f>AVERAGE('29.07 Nsambya-ClockTower'!N15,'30.07 Nsambya-ClockTower'!N15,'31.07 Nsambya-ClockTower'!N15,'02.08 Nsambya-ClockTower'!N15,'01.08 Nsambya-ClockTower-24h'!N15,'03.08 Nsambya-ClockTower-24h'!N15,'04.08 Nsambya-ClockTower'!N15)</f>
        <v>0.2857142857142857</v>
      </c>
      <c r="O15" s="15">
        <f t="shared" si="0"/>
        <v>228</v>
      </c>
      <c r="P15" s="15">
        <f t="shared" si="1"/>
        <v>692.42857142857144</v>
      </c>
      <c r="R15" s="1" t="s">
        <v>11</v>
      </c>
      <c r="S15" s="17">
        <f t="shared" ref="S15:AF15" si="7">SUM(C30:C33)</f>
        <v>247.42857142857144</v>
      </c>
      <c r="T15" s="17">
        <f t="shared" si="7"/>
        <v>79</v>
      </c>
      <c r="U15" s="17">
        <f t="shared" si="7"/>
        <v>50.142857142857139</v>
      </c>
      <c r="V15" s="17">
        <f t="shared" si="7"/>
        <v>381</v>
      </c>
      <c r="W15" s="17">
        <f t="shared" si="7"/>
        <v>5.8571428571428577</v>
      </c>
      <c r="X15" s="17">
        <f t="shared" si="7"/>
        <v>1.857142857142857</v>
      </c>
      <c r="Y15" s="17">
        <f t="shared" si="7"/>
        <v>29.714285714285715</v>
      </c>
      <c r="Z15" s="17">
        <f t="shared" si="7"/>
        <v>20</v>
      </c>
      <c r="AA15" s="17">
        <f t="shared" si="7"/>
        <v>11.142857142857142</v>
      </c>
      <c r="AB15" s="17">
        <f t="shared" si="7"/>
        <v>17.285714285714285</v>
      </c>
      <c r="AC15" s="17">
        <f t="shared" si="7"/>
        <v>1625.7142857142856</v>
      </c>
      <c r="AD15" s="17">
        <f t="shared" si="7"/>
        <v>0.85714285714285698</v>
      </c>
      <c r="AE15" s="31">
        <f t="shared" si="7"/>
        <v>844.28571428571422</v>
      </c>
      <c r="AF15" s="31">
        <f t="shared" si="7"/>
        <v>2470</v>
      </c>
    </row>
    <row r="16" spans="2:32" ht="23.1" customHeight="1" x14ac:dyDescent="0.25">
      <c r="B16" s="23" t="s">
        <v>43</v>
      </c>
      <c r="C16" s="49">
        <f>AVERAGE('29.07 Nsambya-ClockTower'!C16,'30.07 Nsambya-ClockTower'!C16,'31.07 Nsambya-ClockTower'!C16,'02.08 Nsambya-ClockTower'!C16,'01.08 Nsambya-ClockTower-24h'!C16,'03.08 Nsambya-ClockTower-24h'!C16,'04.08 Nsambya-ClockTower'!C16)</f>
        <v>75.142857142857139</v>
      </c>
      <c r="D16" s="49">
        <f>AVERAGE('29.07 Nsambya-ClockTower'!D16,'30.07 Nsambya-ClockTower'!D16,'31.07 Nsambya-ClockTower'!D16,'02.08 Nsambya-ClockTower'!D16,'01.08 Nsambya-ClockTower-24h'!D16,'03.08 Nsambya-ClockTower-24h'!D16,'04.08 Nsambya-ClockTower'!D16)</f>
        <v>13.571428571428571</v>
      </c>
      <c r="E16" s="49">
        <f>AVERAGE('29.07 Nsambya-ClockTower'!E16,'30.07 Nsambya-ClockTower'!E16,'31.07 Nsambya-ClockTower'!E16,'02.08 Nsambya-ClockTower'!E16,'01.08 Nsambya-ClockTower-24h'!E16,'03.08 Nsambya-ClockTower-24h'!E16,'04.08 Nsambya-ClockTower'!E16)</f>
        <v>6.4285714285714288</v>
      </c>
      <c r="F16" s="49">
        <f>AVERAGE('29.07 Nsambya-ClockTower'!F16,'30.07 Nsambya-ClockTower'!F16,'31.07 Nsambya-ClockTower'!F16,'02.08 Nsambya-ClockTower'!F16,'01.08 Nsambya-ClockTower-24h'!F16,'03.08 Nsambya-ClockTower-24h'!F16,'04.08 Nsambya-ClockTower'!F16)</f>
        <v>86.857142857142861</v>
      </c>
      <c r="G16" s="49">
        <f>AVERAGE('29.07 Nsambya-ClockTower'!G16,'30.07 Nsambya-ClockTower'!G16,'31.07 Nsambya-ClockTower'!G16,'02.08 Nsambya-ClockTower'!G16,'01.08 Nsambya-ClockTower-24h'!G16,'03.08 Nsambya-ClockTower-24h'!G16,'04.08 Nsambya-ClockTower'!G16)</f>
        <v>3.4285714285714284</v>
      </c>
      <c r="H16" s="49">
        <f>AVERAGE('29.07 Nsambya-ClockTower'!H16,'30.07 Nsambya-ClockTower'!H16,'31.07 Nsambya-ClockTower'!H16,'02.08 Nsambya-ClockTower'!H16,'01.08 Nsambya-ClockTower-24h'!H16,'03.08 Nsambya-ClockTower-24h'!H16,'04.08 Nsambya-ClockTower'!H16)</f>
        <v>1</v>
      </c>
      <c r="I16" s="49">
        <f>AVERAGE('29.07 Nsambya-ClockTower'!I16,'30.07 Nsambya-ClockTower'!I16,'31.07 Nsambya-ClockTower'!I16,'02.08 Nsambya-ClockTower'!I16,'01.08 Nsambya-ClockTower-24h'!I16,'03.08 Nsambya-ClockTower-24h'!I16,'04.08 Nsambya-ClockTower'!I16)</f>
        <v>4</v>
      </c>
      <c r="J16" s="49">
        <f>AVERAGE('29.07 Nsambya-ClockTower'!J16,'30.07 Nsambya-ClockTower'!J16,'31.07 Nsambya-ClockTower'!J16,'02.08 Nsambya-ClockTower'!J16,'01.08 Nsambya-ClockTower-24h'!J16,'03.08 Nsambya-ClockTower-24h'!J16,'04.08 Nsambya-ClockTower'!J16)</f>
        <v>1.8571428571428572</v>
      </c>
      <c r="K16" s="49">
        <f>AVERAGE('29.07 Nsambya-ClockTower'!K16,'30.07 Nsambya-ClockTower'!K16,'31.07 Nsambya-ClockTower'!K16,'02.08 Nsambya-ClockTower'!K16,'01.08 Nsambya-ClockTower-24h'!K16,'03.08 Nsambya-ClockTower-24h'!K16,'04.08 Nsambya-ClockTower'!K16)</f>
        <v>2.1428571428571428</v>
      </c>
      <c r="L16" s="49">
        <f>AVERAGE('29.07 Nsambya-ClockTower'!L16,'30.07 Nsambya-ClockTower'!L16,'31.07 Nsambya-ClockTower'!L16,'02.08 Nsambya-ClockTower'!L16,'01.08 Nsambya-ClockTower-24h'!L16,'03.08 Nsambya-ClockTower-24h'!L16,'04.08 Nsambya-ClockTower'!L16)</f>
        <v>2</v>
      </c>
      <c r="M16" s="49">
        <f>AVERAGE('29.07 Nsambya-ClockTower'!M16,'30.07 Nsambya-ClockTower'!M16,'31.07 Nsambya-ClockTower'!M16,'02.08 Nsambya-ClockTower'!M16,'01.08 Nsambya-ClockTower-24h'!M16,'03.08 Nsambya-ClockTower-24h'!M16,'04.08 Nsambya-ClockTower'!M16)</f>
        <v>445.28571428571428</v>
      </c>
      <c r="N16" s="49">
        <f>AVERAGE('29.07 Nsambya-ClockTower'!N16,'30.07 Nsambya-ClockTower'!N16,'31.07 Nsambya-ClockTower'!N16,'02.08 Nsambya-ClockTower'!N16,'01.08 Nsambya-ClockTower-24h'!N16,'03.08 Nsambya-ClockTower-24h'!N16,'04.08 Nsambya-ClockTower'!N16)</f>
        <v>0.2857142857142857</v>
      </c>
      <c r="O16" s="15">
        <f t="shared" si="0"/>
        <v>196.71428571428569</v>
      </c>
      <c r="P16" s="15">
        <f t="shared" si="1"/>
        <v>642</v>
      </c>
      <c r="R16" s="1" t="s">
        <v>12</v>
      </c>
      <c r="S16" s="17">
        <f t="shared" ref="S16:AF16" si="8">SUM(C34:C37)</f>
        <v>271.71428571428567</v>
      </c>
      <c r="T16" s="17">
        <f t="shared" si="8"/>
        <v>65.571428571428584</v>
      </c>
      <c r="U16" s="17">
        <f t="shared" si="8"/>
        <v>53.428571428571423</v>
      </c>
      <c r="V16" s="17">
        <f t="shared" si="8"/>
        <v>400.71428571428572</v>
      </c>
      <c r="W16" s="17">
        <f t="shared" si="8"/>
        <v>9</v>
      </c>
      <c r="X16" s="17">
        <f t="shared" si="8"/>
        <v>0.71428571428571419</v>
      </c>
      <c r="Y16" s="17">
        <f t="shared" si="8"/>
        <v>36.142857142857146</v>
      </c>
      <c r="Z16" s="17">
        <f t="shared" si="8"/>
        <v>19.428571428571431</v>
      </c>
      <c r="AA16" s="17">
        <f t="shared" si="8"/>
        <v>14.285714285714285</v>
      </c>
      <c r="AB16" s="17">
        <f t="shared" si="8"/>
        <v>19.285714285714285</v>
      </c>
      <c r="AC16" s="17">
        <f t="shared" si="8"/>
        <v>1587.2857142857144</v>
      </c>
      <c r="AD16" s="17">
        <f t="shared" si="8"/>
        <v>0.71428571428571419</v>
      </c>
      <c r="AE16" s="31">
        <f t="shared" si="8"/>
        <v>891</v>
      </c>
      <c r="AF16" s="31">
        <f t="shared" si="8"/>
        <v>2478.2857142857138</v>
      </c>
    </row>
    <row r="17" spans="2:32" ht="23.1" customHeight="1" x14ac:dyDescent="0.25">
      <c r="B17" s="23" t="s">
        <v>44</v>
      </c>
      <c r="C17" s="49">
        <f>AVERAGE('29.07 Nsambya-ClockTower'!C17,'30.07 Nsambya-ClockTower'!C17,'31.07 Nsambya-ClockTower'!C17,'02.08 Nsambya-ClockTower'!C17,'01.08 Nsambya-ClockTower-24h'!C17,'03.08 Nsambya-ClockTower-24h'!C17,'04.08 Nsambya-ClockTower'!C17)</f>
        <v>82.142857142857139</v>
      </c>
      <c r="D17" s="49">
        <f>AVERAGE('29.07 Nsambya-ClockTower'!D17,'30.07 Nsambya-ClockTower'!D17,'31.07 Nsambya-ClockTower'!D17,'02.08 Nsambya-ClockTower'!D17,'01.08 Nsambya-ClockTower-24h'!D17,'03.08 Nsambya-ClockTower-24h'!D17,'04.08 Nsambya-ClockTower'!D17)</f>
        <v>15</v>
      </c>
      <c r="E17" s="49">
        <f>AVERAGE('29.07 Nsambya-ClockTower'!E17,'30.07 Nsambya-ClockTower'!E17,'31.07 Nsambya-ClockTower'!E17,'02.08 Nsambya-ClockTower'!E17,'01.08 Nsambya-ClockTower-24h'!E17,'03.08 Nsambya-ClockTower-24h'!E17,'04.08 Nsambya-ClockTower'!E17)</f>
        <v>10.285714285714286</v>
      </c>
      <c r="F17" s="49">
        <f>AVERAGE('29.07 Nsambya-ClockTower'!F17,'30.07 Nsambya-ClockTower'!F17,'31.07 Nsambya-ClockTower'!F17,'02.08 Nsambya-ClockTower'!F17,'01.08 Nsambya-ClockTower-24h'!F17,'03.08 Nsambya-ClockTower-24h'!F17,'04.08 Nsambya-ClockTower'!F17)</f>
        <v>92.714285714285708</v>
      </c>
      <c r="G17" s="49">
        <f>AVERAGE('29.07 Nsambya-ClockTower'!G17,'30.07 Nsambya-ClockTower'!G17,'31.07 Nsambya-ClockTower'!G17,'02.08 Nsambya-ClockTower'!G17,'01.08 Nsambya-ClockTower-24h'!G17,'03.08 Nsambya-ClockTower-24h'!G17,'04.08 Nsambya-ClockTower'!G17)</f>
        <v>3.1428571428571428</v>
      </c>
      <c r="H17" s="49">
        <f>AVERAGE('29.07 Nsambya-ClockTower'!H17,'30.07 Nsambya-ClockTower'!H17,'31.07 Nsambya-ClockTower'!H17,'02.08 Nsambya-ClockTower'!H17,'01.08 Nsambya-ClockTower-24h'!H17,'03.08 Nsambya-ClockTower-24h'!H17,'04.08 Nsambya-ClockTower'!H17)</f>
        <v>1.4285714285714286</v>
      </c>
      <c r="I17" s="49">
        <f>AVERAGE('29.07 Nsambya-ClockTower'!I17,'30.07 Nsambya-ClockTower'!I17,'31.07 Nsambya-ClockTower'!I17,'02.08 Nsambya-ClockTower'!I17,'01.08 Nsambya-ClockTower-24h'!I17,'03.08 Nsambya-ClockTower-24h'!I17,'04.08 Nsambya-ClockTower'!I17)</f>
        <v>4.8571428571428568</v>
      </c>
      <c r="J17" s="49">
        <f>AVERAGE('29.07 Nsambya-ClockTower'!J17,'30.07 Nsambya-ClockTower'!J17,'31.07 Nsambya-ClockTower'!J17,'02.08 Nsambya-ClockTower'!J17,'01.08 Nsambya-ClockTower-24h'!J17,'03.08 Nsambya-ClockTower-24h'!J17,'04.08 Nsambya-ClockTower'!J17)</f>
        <v>3.5714285714285716</v>
      </c>
      <c r="K17" s="49">
        <f>AVERAGE('29.07 Nsambya-ClockTower'!K17,'30.07 Nsambya-ClockTower'!K17,'31.07 Nsambya-ClockTower'!K17,'02.08 Nsambya-ClockTower'!K17,'01.08 Nsambya-ClockTower-24h'!K17,'03.08 Nsambya-ClockTower-24h'!K17,'04.08 Nsambya-ClockTower'!K17)</f>
        <v>2.7142857142857144</v>
      </c>
      <c r="L17" s="49">
        <f>AVERAGE('29.07 Nsambya-ClockTower'!L17,'30.07 Nsambya-ClockTower'!L17,'31.07 Nsambya-ClockTower'!L17,'02.08 Nsambya-ClockTower'!L17,'01.08 Nsambya-ClockTower-24h'!L17,'03.08 Nsambya-ClockTower-24h'!L17,'04.08 Nsambya-ClockTower'!L17)</f>
        <v>2.2857142857142856</v>
      </c>
      <c r="M17" s="49">
        <f>AVERAGE('29.07 Nsambya-ClockTower'!M17,'30.07 Nsambya-ClockTower'!M17,'31.07 Nsambya-ClockTower'!M17,'02.08 Nsambya-ClockTower'!M17,'01.08 Nsambya-ClockTower-24h'!M17,'03.08 Nsambya-ClockTower-24h'!M17,'04.08 Nsambya-ClockTower'!M17)</f>
        <v>567.71428571428567</v>
      </c>
      <c r="N17" s="49">
        <f>AVERAGE('29.07 Nsambya-ClockTower'!N17,'30.07 Nsambya-ClockTower'!N17,'31.07 Nsambya-ClockTower'!N17,'02.08 Nsambya-ClockTower'!N17,'01.08 Nsambya-ClockTower-24h'!N17,'03.08 Nsambya-ClockTower-24h'!N17,'04.08 Nsambya-ClockTower'!N17)</f>
        <v>0.14285714285714285</v>
      </c>
      <c r="O17" s="15">
        <f t="shared" si="0"/>
        <v>218.28571428571428</v>
      </c>
      <c r="P17" s="15">
        <f t="shared" si="1"/>
        <v>785.99999999999989</v>
      </c>
      <c r="R17" s="1" t="s">
        <v>13</v>
      </c>
      <c r="S17" s="17">
        <f t="shared" ref="S17:AF17" si="9">SUM(C38:C41)</f>
        <v>312.28571428571428</v>
      </c>
      <c r="T17" s="17">
        <f t="shared" si="9"/>
        <v>84.571428571428584</v>
      </c>
      <c r="U17" s="17">
        <f t="shared" si="9"/>
        <v>65.714285714285708</v>
      </c>
      <c r="V17" s="17">
        <f t="shared" si="9"/>
        <v>393.42857142857144</v>
      </c>
      <c r="W17" s="17">
        <f t="shared" si="9"/>
        <v>7.5714285714285712</v>
      </c>
      <c r="X17" s="17">
        <f t="shared" si="9"/>
        <v>1.2857142857142856</v>
      </c>
      <c r="Y17" s="17">
        <f t="shared" si="9"/>
        <v>32.571428571428569</v>
      </c>
      <c r="Z17" s="17">
        <f t="shared" si="9"/>
        <v>19.714285714285715</v>
      </c>
      <c r="AA17" s="17">
        <f t="shared" si="9"/>
        <v>14.857142857142856</v>
      </c>
      <c r="AB17" s="17">
        <f t="shared" si="9"/>
        <v>16.714285714285715</v>
      </c>
      <c r="AC17" s="17">
        <f t="shared" si="9"/>
        <v>1542.1428571428569</v>
      </c>
      <c r="AD17" s="17">
        <f t="shared" si="9"/>
        <v>0.5714285714285714</v>
      </c>
      <c r="AE17" s="31">
        <f t="shared" si="9"/>
        <v>949.28571428571445</v>
      </c>
      <c r="AF17" s="31">
        <f t="shared" si="9"/>
        <v>2491.4285714285716</v>
      </c>
    </row>
    <row r="18" spans="2:32" ht="23.1" customHeight="1" x14ac:dyDescent="0.25">
      <c r="B18" s="23" t="s">
        <v>45</v>
      </c>
      <c r="C18" s="49">
        <f>AVERAGE('29.07 Nsambya-ClockTower'!C18,'30.07 Nsambya-ClockTower'!C18,'31.07 Nsambya-ClockTower'!C18,'02.08 Nsambya-ClockTower'!C18,'01.08 Nsambya-ClockTower-24h'!C18,'03.08 Nsambya-ClockTower-24h'!C18,'04.08 Nsambya-ClockTower'!C18)</f>
        <v>67.857142857142861</v>
      </c>
      <c r="D18" s="49">
        <f>AVERAGE('29.07 Nsambya-ClockTower'!D18,'30.07 Nsambya-ClockTower'!D18,'31.07 Nsambya-ClockTower'!D18,'02.08 Nsambya-ClockTower'!D18,'01.08 Nsambya-ClockTower-24h'!D18,'03.08 Nsambya-ClockTower-24h'!D18,'04.08 Nsambya-ClockTower'!D18)</f>
        <v>20.285714285714285</v>
      </c>
      <c r="E18" s="49">
        <f>AVERAGE('29.07 Nsambya-ClockTower'!E18,'30.07 Nsambya-ClockTower'!E18,'31.07 Nsambya-ClockTower'!E18,'02.08 Nsambya-ClockTower'!E18,'01.08 Nsambya-ClockTower-24h'!E18,'03.08 Nsambya-ClockTower-24h'!E18,'04.08 Nsambya-ClockTower'!E18)</f>
        <v>11.428571428571429</v>
      </c>
      <c r="F18" s="49">
        <f>AVERAGE('29.07 Nsambya-ClockTower'!F18,'30.07 Nsambya-ClockTower'!F18,'31.07 Nsambya-ClockTower'!F18,'02.08 Nsambya-ClockTower'!F18,'01.08 Nsambya-ClockTower-24h'!F18,'03.08 Nsambya-ClockTower-24h'!F18,'04.08 Nsambya-ClockTower'!F18)</f>
        <v>104</v>
      </c>
      <c r="G18" s="49">
        <f>AVERAGE('29.07 Nsambya-ClockTower'!G18,'30.07 Nsambya-ClockTower'!G18,'31.07 Nsambya-ClockTower'!G18,'02.08 Nsambya-ClockTower'!G18,'01.08 Nsambya-ClockTower-24h'!G18,'03.08 Nsambya-ClockTower-24h'!G18,'04.08 Nsambya-ClockTower'!G18)</f>
        <v>1.7142857142857142</v>
      </c>
      <c r="H18" s="49">
        <f>AVERAGE('29.07 Nsambya-ClockTower'!H18,'30.07 Nsambya-ClockTower'!H18,'31.07 Nsambya-ClockTower'!H18,'02.08 Nsambya-ClockTower'!H18,'01.08 Nsambya-ClockTower-24h'!H18,'03.08 Nsambya-ClockTower-24h'!H18,'04.08 Nsambya-ClockTower'!H18)</f>
        <v>0.14285714285714285</v>
      </c>
      <c r="I18" s="49">
        <f>AVERAGE('29.07 Nsambya-ClockTower'!I18,'30.07 Nsambya-ClockTower'!I18,'31.07 Nsambya-ClockTower'!I18,'02.08 Nsambya-ClockTower'!I18,'01.08 Nsambya-ClockTower-24h'!I18,'03.08 Nsambya-ClockTower-24h'!I18,'04.08 Nsambya-ClockTower'!I18)</f>
        <v>6.8571428571428568</v>
      </c>
      <c r="J18" s="49">
        <f>AVERAGE('29.07 Nsambya-ClockTower'!J18,'30.07 Nsambya-ClockTower'!J18,'31.07 Nsambya-ClockTower'!J18,'02.08 Nsambya-ClockTower'!J18,'01.08 Nsambya-ClockTower-24h'!J18,'03.08 Nsambya-ClockTower-24h'!J18,'04.08 Nsambya-ClockTower'!J18)</f>
        <v>4.2857142857142856</v>
      </c>
      <c r="K18" s="49">
        <f>AVERAGE('29.07 Nsambya-ClockTower'!K18,'30.07 Nsambya-ClockTower'!K18,'31.07 Nsambya-ClockTower'!K18,'02.08 Nsambya-ClockTower'!K18,'01.08 Nsambya-ClockTower-24h'!K18,'03.08 Nsambya-ClockTower-24h'!K18,'04.08 Nsambya-ClockTower'!K18)</f>
        <v>3.7142857142857144</v>
      </c>
      <c r="L18" s="49">
        <f>AVERAGE('29.07 Nsambya-ClockTower'!L18,'30.07 Nsambya-ClockTower'!L18,'31.07 Nsambya-ClockTower'!L18,'02.08 Nsambya-ClockTower'!L18,'01.08 Nsambya-ClockTower-24h'!L18,'03.08 Nsambya-ClockTower-24h'!L18,'04.08 Nsambya-ClockTower'!L18)</f>
        <v>2.4285714285714284</v>
      </c>
      <c r="M18" s="49">
        <f>AVERAGE('29.07 Nsambya-ClockTower'!M18,'30.07 Nsambya-ClockTower'!M18,'31.07 Nsambya-ClockTower'!M18,'02.08 Nsambya-ClockTower'!M18,'01.08 Nsambya-ClockTower-24h'!M18,'03.08 Nsambya-ClockTower-24h'!M18,'04.08 Nsambya-ClockTower'!M18)</f>
        <v>477.85714285714283</v>
      </c>
      <c r="N18" s="49">
        <f>AVERAGE('29.07 Nsambya-ClockTower'!N18,'30.07 Nsambya-ClockTower'!N18,'31.07 Nsambya-ClockTower'!N18,'02.08 Nsambya-ClockTower'!N18,'01.08 Nsambya-ClockTower-24h'!N18,'03.08 Nsambya-ClockTower-24h'!N18,'04.08 Nsambya-ClockTower'!N18)</f>
        <v>0</v>
      </c>
      <c r="O18" s="15">
        <f t="shared" si="0"/>
        <v>222.71428571428569</v>
      </c>
      <c r="P18" s="15">
        <f t="shared" si="1"/>
        <v>700.57142857142856</v>
      </c>
      <c r="R18" s="1" t="s">
        <v>14</v>
      </c>
      <c r="S18" s="17">
        <f t="shared" ref="S18:AF18" si="10">SUM(C42:C45)</f>
        <v>274</v>
      </c>
      <c r="T18" s="17">
        <f t="shared" si="10"/>
        <v>71.571428571428569</v>
      </c>
      <c r="U18" s="17">
        <f t="shared" si="10"/>
        <v>50</v>
      </c>
      <c r="V18" s="17">
        <f t="shared" si="10"/>
        <v>333.14285714285717</v>
      </c>
      <c r="W18" s="17">
        <f t="shared" si="10"/>
        <v>3.4285714285714288</v>
      </c>
      <c r="X18" s="17">
        <f t="shared" si="10"/>
        <v>1</v>
      </c>
      <c r="Y18" s="17">
        <f t="shared" si="10"/>
        <v>53</v>
      </c>
      <c r="Z18" s="17">
        <f t="shared" si="10"/>
        <v>27.000000000000004</v>
      </c>
      <c r="AA18" s="17">
        <f t="shared" si="10"/>
        <v>15.285714285714285</v>
      </c>
      <c r="AB18" s="17">
        <f t="shared" si="10"/>
        <v>15.285714285714285</v>
      </c>
      <c r="AC18" s="17">
        <f t="shared" si="10"/>
        <v>1551.8571428571429</v>
      </c>
      <c r="AD18" s="17">
        <f t="shared" si="10"/>
        <v>0.71428571428571419</v>
      </c>
      <c r="AE18" s="31">
        <f t="shared" si="10"/>
        <v>844.42857142857133</v>
      </c>
      <c r="AF18" s="31">
        <f t="shared" si="10"/>
        <v>2396.2857142857147</v>
      </c>
    </row>
    <row r="19" spans="2:32" ht="23.1" customHeight="1" x14ac:dyDescent="0.25">
      <c r="B19" s="23" t="s">
        <v>46</v>
      </c>
      <c r="C19" s="49">
        <f>AVERAGE('29.07 Nsambya-ClockTower'!C19,'30.07 Nsambya-ClockTower'!C19,'31.07 Nsambya-ClockTower'!C19,'02.08 Nsambya-ClockTower'!C19,'01.08 Nsambya-ClockTower-24h'!C19,'03.08 Nsambya-ClockTower-24h'!C19,'04.08 Nsambya-ClockTower'!C19)</f>
        <v>78.428571428571431</v>
      </c>
      <c r="D19" s="49">
        <f>AVERAGE('29.07 Nsambya-ClockTower'!D19,'30.07 Nsambya-ClockTower'!D19,'31.07 Nsambya-ClockTower'!D19,'02.08 Nsambya-ClockTower'!D19,'01.08 Nsambya-ClockTower-24h'!D19,'03.08 Nsambya-ClockTower-24h'!D19,'04.08 Nsambya-ClockTower'!D19)</f>
        <v>180.71428571428572</v>
      </c>
      <c r="E19" s="49">
        <f>AVERAGE('29.07 Nsambya-ClockTower'!E19,'30.07 Nsambya-ClockTower'!E19,'31.07 Nsambya-ClockTower'!E19,'02.08 Nsambya-ClockTower'!E19,'01.08 Nsambya-ClockTower-24h'!E19,'03.08 Nsambya-ClockTower-24h'!E19,'04.08 Nsambya-ClockTower'!E19)</f>
        <v>22.428571428571427</v>
      </c>
      <c r="F19" s="49">
        <f>AVERAGE('29.07 Nsambya-ClockTower'!F19,'30.07 Nsambya-ClockTower'!F19,'31.07 Nsambya-ClockTower'!F19,'02.08 Nsambya-ClockTower'!F19,'01.08 Nsambya-ClockTower-24h'!F19,'03.08 Nsambya-ClockTower-24h'!F19,'04.08 Nsambya-ClockTower'!F19)</f>
        <v>87.285714285714292</v>
      </c>
      <c r="G19" s="49">
        <f>AVERAGE('29.07 Nsambya-ClockTower'!G19,'30.07 Nsambya-ClockTower'!G19,'31.07 Nsambya-ClockTower'!G19,'02.08 Nsambya-ClockTower'!G19,'01.08 Nsambya-ClockTower-24h'!G19,'03.08 Nsambya-ClockTower-24h'!G19,'04.08 Nsambya-ClockTower'!G19)</f>
        <v>1.4285714285714286</v>
      </c>
      <c r="H19" s="49">
        <f>AVERAGE('29.07 Nsambya-ClockTower'!H19,'30.07 Nsambya-ClockTower'!H19,'31.07 Nsambya-ClockTower'!H19,'02.08 Nsambya-ClockTower'!H19,'01.08 Nsambya-ClockTower-24h'!H19,'03.08 Nsambya-ClockTower-24h'!H19,'04.08 Nsambya-ClockTower'!H19)</f>
        <v>0.42857142857142855</v>
      </c>
      <c r="I19" s="49">
        <f>AVERAGE('29.07 Nsambya-ClockTower'!I19,'30.07 Nsambya-ClockTower'!I19,'31.07 Nsambya-ClockTower'!I19,'02.08 Nsambya-ClockTower'!I19,'01.08 Nsambya-ClockTower-24h'!I19,'03.08 Nsambya-ClockTower-24h'!I19,'04.08 Nsambya-ClockTower'!I19)</f>
        <v>4.2857142857142856</v>
      </c>
      <c r="J19" s="49">
        <f>AVERAGE('29.07 Nsambya-ClockTower'!J19,'30.07 Nsambya-ClockTower'!J19,'31.07 Nsambya-ClockTower'!J19,'02.08 Nsambya-ClockTower'!J19,'01.08 Nsambya-ClockTower-24h'!J19,'03.08 Nsambya-ClockTower-24h'!J19,'04.08 Nsambya-ClockTower'!J19)</f>
        <v>4.1428571428571432</v>
      </c>
      <c r="K19" s="49">
        <f>AVERAGE('29.07 Nsambya-ClockTower'!K19,'30.07 Nsambya-ClockTower'!K19,'31.07 Nsambya-ClockTower'!K19,'02.08 Nsambya-ClockTower'!K19,'01.08 Nsambya-ClockTower-24h'!K19,'03.08 Nsambya-ClockTower-24h'!K19,'04.08 Nsambya-ClockTower'!K19)</f>
        <v>3.1428571428571428</v>
      </c>
      <c r="L19" s="49">
        <f>AVERAGE('29.07 Nsambya-ClockTower'!L19,'30.07 Nsambya-ClockTower'!L19,'31.07 Nsambya-ClockTower'!L19,'02.08 Nsambya-ClockTower'!L19,'01.08 Nsambya-ClockTower-24h'!L19,'03.08 Nsambya-ClockTower-24h'!L19,'04.08 Nsambya-ClockTower'!L19)</f>
        <v>3.2857142857142856</v>
      </c>
      <c r="M19" s="49">
        <f>AVERAGE('29.07 Nsambya-ClockTower'!M19,'30.07 Nsambya-ClockTower'!M19,'31.07 Nsambya-ClockTower'!M19,'02.08 Nsambya-ClockTower'!M19,'01.08 Nsambya-ClockTower-24h'!M19,'03.08 Nsambya-ClockTower-24h'!M19,'04.08 Nsambya-ClockTower'!M19)</f>
        <v>452.71428571428572</v>
      </c>
      <c r="N19" s="49">
        <f>AVERAGE('29.07 Nsambya-ClockTower'!N19,'30.07 Nsambya-ClockTower'!N19,'31.07 Nsambya-ClockTower'!N19,'02.08 Nsambya-ClockTower'!N19,'01.08 Nsambya-ClockTower-24h'!N19,'03.08 Nsambya-ClockTower-24h'!N19,'04.08 Nsambya-ClockTower'!N19)</f>
        <v>0.14285714285714285</v>
      </c>
      <c r="O19" s="15">
        <f t="shared" si="0"/>
        <v>385.71428571428584</v>
      </c>
      <c r="P19" s="15">
        <f t="shared" si="1"/>
        <v>838.42857142857156</v>
      </c>
      <c r="R19" s="1" t="s">
        <v>15</v>
      </c>
      <c r="S19" s="17">
        <f t="shared" ref="S19:AF19" si="11">SUM(C46:C49)</f>
        <v>255.71428571428572</v>
      </c>
      <c r="T19" s="17">
        <f t="shared" si="11"/>
        <v>65.857142857142861</v>
      </c>
      <c r="U19" s="17">
        <f t="shared" si="11"/>
        <v>59.285714285714278</v>
      </c>
      <c r="V19" s="17">
        <f t="shared" si="11"/>
        <v>377.28571428571433</v>
      </c>
      <c r="W19" s="17">
        <f t="shared" si="11"/>
        <v>7.5714285714285712</v>
      </c>
      <c r="X19" s="17">
        <f t="shared" si="11"/>
        <v>1.1428571428571428</v>
      </c>
      <c r="Y19" s="17">
        <f t="shared" si="11"/>
        <v>38.714285714285708</v>
      </c>
      <c r="Z19" s="17">
        <f t="shared" si="11"/>
        <v>24</v>
      </c>
      <c r="AA19" s="17">
        <f t="shared" si="11"/>
        <v>11.857142857142858</v>
      </c>
      <c r="AB19" s="17">
        <f t="shared" si="11"/>
        <v>14.714285714285712</v>
      </c>
      <c r="AC19" s="17">
        <f t="shared" si="11"/>
        <v>1649</v>
      </c>
      <c r="AD19" s="17">
        <f t="shared" si="11"/>
        <v>0.71428571428571419</v>
      </c>
      <c r="AE19" s="31">
        <f t="shared" si="11"/>
        <v>856.85714285714266</v>
      </c>
      <c r="AF19" s="31">
        <f t="shared" si="11"/>
        <v>2505.8571428571427</v>
      </c>
    </row>
    <row r="20" spans="2:32" ht="23.1" customHeight="1" x14ac:dyDescent="0.25">
      <c r="B20" s="23" t="s">
        <v>47</v>
      </c>
      <c r="C20" s="49">
        <f>AVERAGE('29.07 Nsambya-ClockTower'!C20,'30.07 Nsambya-ClockTower'!C20,'31.07 Nsambya-ClockTower'!C20,'02.08 Nsambya-ClockTower'!C20,'01.08 Nsambya-ClockTower-24h'!C20,'03.08 Nsambya-ClockTower-24h'!C20,'04.08 Nsambya-ClockTower'!C20)</f>
        <v>55.142857142857146</v>
      </c>
      <c r="D20" s="49">
        <f>AVERAGE('29.07 Nsambya-ClockTower'!D20,'30.07 Nsambya-ClockTower'!D20,'31.07 Nsambya-ClockTower'!D20,'02.08 Nsambya-ClockTower'!D20,'01.08 Nsambya-ClockTower-24h'!D20,'03.08 Nsambya-ClockTower-24h'!D20,'04.08 Nsambya-ClockTower'!D20)</f>
        <v>16.285714285714285</v>
      </c>
      <c r="E20" s="49">
        <f>AVERAGE('29.07 Nsambya-ClockTower'!E20,'30.07 Nsambya-ClockTower'!E20,'31.07 Nsambya-ClockTower'!E20,'02.08 Nsambya-ClockTower'!E20,'01.08 Nsambya-ClockTower-24h'!E20,'03.08 Nsambya-ClockTower-24h'!E20,'04.08 Nsambya-ClockTower'!E20)</f>
        <v>11.857142857142858</v>
      </c>
      <c r="F20" s="49">
        <f>AVERAGE('29.07 Nsambya-ClockTower'!F20,'30.07 Nsambya-ClockTower'!F20,'31.07 Nsambya-ClockTower'!F20,'02.08 Nsambya-ClockTower'!F20,'01.08 Nsambya-ClockTower-24h'!F20,'03.08 Nsambya-ClockTower-24h'!F20,'04.08 Nsambya-ClockTower'!F20)</f>
        <v>101.71428571428571</v>
      </c>
      <c r="G20" s="49">
        <f>AVERAGE('29.07 Nsambya-ClockTower'!G20,'30.07 Nsambya-ClockTower'!G20,'31.07 Nsambya-ClockTower'!G20,'02.08 Nsambya-ClockTower'!G20,'01.08 Nsambya-ClockTower-24h'!G20,'03.08 Nsambya-ClockTower-24h'!G20,'04.08 Nsambya-ClockTower'!G20)</f>
        <v>1.2857142857142858</v>
      </c>
      <c r="H20" s="49">
        <f>AVERAGE('29.07 Nsambya-ClockTower'!H20,'30.07 Nsambya-ClockTower'!H20,'31.07 Nsambya-ClockTower'!H20,'02.08 Nsambya-ClockTower'!H20,'01.08 Nsambya-ClockTower-24h'!H20,'03.08 Nsambya-ClockTower-24h'!H20,'04.08 Nsambya-ClockTower'!H20)</f>
        <v>0.2857142857142857</v>
      </c>
      <c r="I20" s="49">
        <f>AVERAGE('29.07 Nsambya-ClockTower'!I20,'30.07 Nsambya-ClockTower'!I20,'31.07 Nsambya-ClockTower'!I20,'02.08 Nsambya-ClockTower'!I20,'01.08 Nsambya-ClockTower-24h'!I20,'03.08 Nsambya-ClockTower-24h'!I20,'04.08 Nsambya-ClockTower'!I20)</f>
        <v>8.7142857142857135</v>
      </c>
      <c r="J20" s="49">
        <f>AVERAGE('29.07 Nsambya-ClockTower'!J20,'30.07 Nsambya-ClockTower'!J20,'31.07 Nsambya-ClockTower'!J20,'02.08 Nsambya-ClockTower'!J20,'01.08 Nsambya-ClockTower-24h'!J20,'03.08 Nsambya-ClockTower-24h'!J20,'04.08 Nsambya-ClockTower'!J20)</f>
        <v>6.7142857142857144</v>
      </c>
      <c r="K20" s="49">
        <f>AVERAGE('29.07 Nsambya-ClockTower'!K20,'30.07 Nsambya-ClockTower'!K20,'31.07 Nsambya-ClockTower'!K20,'02.08 Nsambya-ClockTower'!K20,'01.08 Nsambya-ClockTower-24h'!K20,'03.08 Nsambya-ClockTower-24h'!K20,'04.08 Nsambya-ClockTower'!K20)</f>
        <v>3.4285714285714284</v>
      </c>
      <c r="L20" s="49">
        <f>AVERAGE('29.07 Nsambya-ClockTower'!L20,'30.07 Nsambya-ClockTower'!L20,'31.07 Nsambya-ClockTower'!L20,'02.08 Nsambya-ClockTower'!L20,'01.08 Nsambya-ClockTower-24h'!L20,'03.08 Nsambya-ClockTower-24h'!L20,'04.08 Nsambya-ClockTower'!L20)</f>
        <v>3.8571428571428572</v>
      </c>
      <c r="M20" s="49">
        <f>AVERAGE('29.07 Nsambya-ClockTower'!M20,'30.07 Nsambya-ClockTower'!M20,'31.07 Nsambya-ClockTower'!M20,'02.08 Nsambya-ClockTower'!M20,'01.08 Nsambya-ClockTower-24h'!M20,'03.08 Nsambya-ClockTower-24h'!M20,'04.08 Nsambya-ClockTower'!M20)</f>
        <v>499</v>
      </c>
      <c r="N20" s="49">
        <f>AVERAGE('29.07 Nsambya-ClockTower'!N20,'30.07 Nsambya-ClockTower'!N20,'31.07 Nsambya-ClockTower'!N20,'02.08 Nsambya-ClockTower'!N20,'01.08 Nsambya-ClockTower-24h'!N20,'03.08 Nsambya-ClockTower-24h'!N20,'04.08 Nsambya-ClockTower'!N20)</f>
        <v>0.2857142857142857</v>
      </c>
      <c r="O20" s="15">
        <f t="shared" si="0"/>
        <v>209.57142857142856</v>
      </c>
      <c r="P20" s="15">
        <f t="shared" si="1"/>
        <v>708.57142857142856</v>
      </c>
      <c r="R20" s="1" t="s">
        <v>16</v>
      </c>
      <c r="S20" s="17">
        <f t="shared" ref="S20:AF20" si="12">SUM(C50:C53)</f>
        <v>284.42857142857139</v>
      </c>
      <c r="T20" s="17">
        <f t="shared" si="12"/>
        <v>60.285714285714278</v>
      </c>
      <c r="U20" s="17">
        <f t="shared" si="12"/>
        <v>47.714285714285715</v>
      </c>
      <c r="V20" s="17">
        <f t="shared" si="12"/>
        <v>332.71428571428572</v>
      </c>
      <c r="W20" s="17">
        <f t="shared" si="12"/>
        <v>6.7142857142857135</v>
      </c>
      <c r="X20" s="17">
        <f t="shared" si="12"/>
        <v>0.85714285714285698</v>
      </c>
      <c r="Y20" s="17">
        <f t="shared" si="12"/>
        <v>30</v>
      </c>
      <c r="Z20" s="17">
        <f t="shared" si="12"/>
        <v>19.857142857142858</v>
      </c>
      <c r="AA20" s="17">
        <f t="shared" si="12"/>
        <v>10.285714285714286</v>
      </c>
      <c r="AB20" s="17">
        <f t="shared" si="12"/>
        <v>17.857142857142858</v>
      </c>
      <c r="AC20" s="17">
        <f t="shared" si="12"/>
        <v>1888.8571428571427</v>
      </c>
      <c r="AD20" s="17">
        <f t="shared" si="12"/>
        <v>0.2857142857142857</v>
      </c>
      <c r="AE20" s="31">
        <f t="shared" si="12"/>
        <v>811</v>
      </c>
      <c r="AF20" s="31">
        <f t="shared" si="12"/>
        <v>2699.8571428571427</v>
      </c>
    </row>
    <row r="21" spans="2:32" ht="23.1" customHeight="1" x14ac:dyDescent="0.25">
      <c r="B21" s="23" t="s">
        <v>48</v>
      </c>
      <c r="C21" s="49">
        <f>AVERAGE('29.07 Nsambya-ClockTower'!C21,'30.07 Nsambya-ClockTower'!C21,'31.07 Nsambya-ClockTower'!C21,'02.08 Nsambya-ClockTower'!C21,'01.08 Nsambya-ClockTower-24h'!C21,'03.08 Nsambya-ClockTower-24h'!C21,'04.08 Nsambya-ClockTower'!C21)</f>
        <v>52.571428571428569</v>
      </c>
      <c r="D21" s="49">
        <f>AVERAGE('29.07 Nsambya-ClockTower'!D21,'30.07 Nsambya-ClockTower'!D21,'31.07 Nsambya-ClockTower'!D21,'02.08 Nsambya-ClockTower'!D21,'01.08 Nsambya-ClockTower-24h'!D21,'03.08 Nsambya-ClockTower-24h'!D21,'04.08 Nsambya-ClockTower'!D21)</f>
        <v>14.142857142857142</v>
      </c>
      <c r="E21" s="49">
        <f>AVERAGE('29.07 Nsambya-ClockTower'!E21,'30.07 Nsambya-ClockTower'!E21,'31.07 Nsambya-ClockTower'!E21,'02.08 Nsambya-ClockTower'!E21,'01.08 Nsambya-ClockTower-24h'!E21,'03.08 Nsambya-ClockTower-24h'!E21,'04.08 Nsambya-ClockTower'!E21)</f>
        <v>10.428571428571429</v>
      </c>
      <c r="F21" s="49">
        <f>AVERAGE('29.07 Nsambya-ClockTower'!F21,'30.07 Nsambya-ClockTower'!F21,'31.07 Nsambya-ClockTower'!F21,'02.08 Nsambya-ClockTower'!F21,'01.08 Nsambya-ClockTower-24h'!F21,'03.08 Nsambya-ClockTower-24h'!F21,'04.08 Nsambya-ClockTower'!F21)</f>
        <v>97.285714285714292</v>
      </c>
      <c r="G21" s="49">
        <f>AVERAGE('29.07 Nsambya-ClockTower'!G21,'30.07 Nsambya-ClockTower'!G21,'31.07 Nsambya-ClockTower'!G21,'02.08 Nsambya-ClockTower'!G21,'01.08 Nsambya-ClockTower-24h'!G21,'03.08 Nsambya-ClockTower-24h'!G21,'04.08 Nsambya-ClockTower'!G21)</f>
        <v>3</v>
      </c>
      <c r="H21" s="49">
        <f>AVERAGE('29.07 Nsambya-ClockTower'!H21,'30.07 Nsambya-ClockTower'!H21,'31.07 Nsambya-ClockTower'!H21,'02.08 Nsambya-ClockTower'!H21,'01.08 Nsambya-ClockTower-24h'!H21,'03.08 Nsambya-ClockTower-24h'!H21,'04.08 Nsambya-ClockTower'!H21)</f>
        <v>0.14285714285714285</v>
      </c>
      <c r="I21" s="49">
        <f>AVERAGE('29.07 Nsambya-ClockTower'!I21,'30.07 Nsambya-ClockTower'!I21,'31.07 Nsambya-ClockTower'!I21,'02.08 Nsambya-ClockTower'!I21,'01.08 Nsambya-ClockTower-24h'!I21,'03.08 Nsambya-ClockTower-24h'!I21,'04.08 Nsambya-ClockTower'!I21)</f>
        <v>5.7142857142857144</v>
      </c>
      <c r="J21" s="49">
        <f>AVERAGE('29.07 Nsambya-ClockTower'!J21,'30.07 Nsambya-ClockTower'!J21,'31.07 Nsambya-ClockTower'!J21,'02.08 Nsambya-ClockTower'!J21,'01.08 Nsambya-ClockTower-24h'!J21,'03.08 Nsambya-ClockTower-24h'!J21,'04.08 Nsambya-ClockTower'!J21)</f>
        <v>4.5714285714285712</v>
      </c>
      <c r="K21" s="49">
        <f>AVERAGE('29.07 Nsambya-ClockTower'!K21,'30.07 Nsambya-ClockTower'!K21,'31.07 Nsambya-ClockTower'!K21,'02.08 Nsambya-ClockTower'!K21,'01.08 Nsambya-ClockTower-24h'!K21,'03.08 Nsambya-ClockTower-24h'!K21,'04.08 Nsambya-ClockTower'!K21)</f>
        <v>1.8571428571428572</v>
      </c>
      <c r="L21" s="49">
        <f>AVERAGE('29.07 Nsambya-ClockTower'!L21,'30.07 Nsambya-ClockTower'!L21,'31.07 Nsambya-ClockTower'!L21,'02.08 Nsambya-ClockTower'!L21,'01.08 Nsambya-ClockTower-24h'!L21,'03.08 Nsambya-ClockTower-24h'!L21,'04.08 Nsambya-ClockTower'!L21)</f>
        <v>1.8571428571428572</v>
      </c>
      <c r="M21" s="49">
        <f>AVERAGE('29.07 Nsambya-ClockTower'!M21,'30.07 Nsambya-ClockTower'!M21,'31.07 Nsambya-ClockTower'!M21,'02.08 Nsambya-ClockTower'!M21,'01.08 Nsambya-ClockTower-24h'!M21,'03.08 Nsambya-ClockTower-24h'!M21,'04.08 Nsambya-ClockTower'!M21)</f>
        <v>449.57142857142856</v>
      </c>
      <c r="N21" s="49">
        <f>AVERAGE('29.07 Nsambya-ClockTower'!N21,'30.07 Nsambya-ClockTower'!N21,'31.07 Nsambya-ClockTower'!N21,'02.08 Nsambya-ClockTower'!N21,'01.08 Nsambya-ClockTower-24h'!N21,'03.08 Nsambya-ClockTower-24h'!N21,'04.08 Nsambya-ClockTower'!N21)</f>
        <v>0.14285714285714285</v>
      </c>
      <c r="O21" s="15">
        <f t="shared" si="0"/>
        <v>191.71428571428575</v>
      </c>
      <c r="P21" s="15">
        <f t="shared" si="1"/>
        <v>641.28571428571422</v>
      </c>
      <c r="R21" s="36" t="s">
        <v>20</v>
      </c>
      <c r="S21" s="34">
        <f t="shared" ref="S21:AF21" si="13">SUM(C54:C57)</f>
        <v>276.28571428571428</v>
      </c>
      <c r="T21" s="17">
        <f t="shared" si="13"/>
        <v>45.428571428571431</v>
      </c>
      <c r="U21" s="17">
        <f t="shared" si="13"/>
        <v>51.428571428571431</v>
      </c>
      <c r="V21" s="17">
        <f t="shared" si="13"/>
        <v>277.57142857142856</v>
      </c>
      <c r="W21" s="17">
        <f t="shared" si="13"/>
        <v>9.1428571428571423</v>
      </c>
      <c r="X21" s="17">
        <f t="shared" si="13"/>
        <v>1.8571428571428572</v>
      </c>
      <c r="Y21" s="17">
        <f t="shared" si="13"/>
        <v>30.999999999999996</v>
      </c>
      <c r="Z21" s="17">
        <f t="shared" si="13"/>
        <v>31.285714285714285</v>
      </c>
      <c r="AA21" s="17">
        <f t="shared" si="13"/>
        <v>20.571428571428569</v>
      </c>
      <c r="AB21" s="17">
        <f t="shared" si="13"/>
        <v>25.285714285714285</v>
      </c>
      <c r="AC21" s="17">
        <f t="shared" si="13"/>
        <v>1940.1428571428571</v>
      </c>
      <c r="AD21" s="17">
        <f t="shared" si="13"/>
        <v>0.42857142857142855</v>
      </c>
      <c r="AE21" s="31">
        <f t="shared" si="13"/>
        <v>770.28571428571422</v>
      </c>
      <c r="AF21" s="31">
        <f t="shared" si="13"/>
        <v>2710.4285714285716</v>
      </c>
    </row>
    <row r="22" spans="2:32" ht="23.1" customHeight="1" x14ac:dyDescent="0.25">
      <c r="B22" s="23" t="s">
        <v>49</v>
      </c>
      <c r="C22" s="49">
        <f>AVERAGE('29.07 Nsambya-ClockTower'!C22,'30.07 Nsambya-ClockTower'!C22,'31.07 Nsambya-ClockTower'!C22,'02.08 Nsambya-ClockTower'!C22,'01.08 Nsambya-ClockTower-24h'!C22,'03.08 Nsambya-ClockTower-24h'!C22,'04.08 Nsambya-ClockTower'!C22)</f>
        <v>55.857142857142854</v>
      </c>
      <c r="D22" s="49">
        <f>AVERAGE('29.07 Nsambya-ClockTower'!D22,'30.07 Nsambya-ClockTower'!D22,'31.07 Nsambya-ClockTower'!D22,'02.08 Nsambya-ClockTower'!D22,'01.08 Nsambya-ClockTower-24h'!D22,'03.08 Nsambya-ClockTower-24h'!D22,'04.08 Nsambya-ClockTower'!D22)</f>
        <v>15</v>
      </c>
      <c r="E22" s="49">
        <f>AVERAGE('29.07 Nsambya-ClockTower'!E22,'30.07 Nsambya-ClockTower'!E22,'31.07 Nsambya-ClockTower'!E22,'02.08 Nsambya-ClockTower'!E22,'01.08 Nsambya-ClockTower-24h'!E22,'03.08 Nsambya-ClockTower-24h'!E22,'04.08 Nsambya-ClockTower'!E22)</f>
        <v>9.2857142857142865</v>
      </c>
      <c r="F22" s="49">
        <f>AVERAGE('29.07 Nsambya-ClockTower'!F22,'30.07 Nsambya-ClockTower'!F22,'31.07 Nsambya-ClockTower'!F22,'02.08 Nsambya-ClockTower'!F22,'01.08 Nsambya-ClockTower-24h'!F22,'03.08 Nsambya-ClockTower-24h'!F22,'04.08 Nsambya-ClockTower'!F22)</f>
        <v>94.142857142857139</v>
      </c>
      <c r="G22" s="49">
        <f>AVERAGE('29.07 Nsambya-ClockTower'!G22,'30.07 Nsambya-ClockTower'!G22,'31.07 Nsambya-ClockTower'!G22,'02.08 Nsambya-ClockTower'!G22,'01.08 Nsambya-ClockTower-24h'!G22,'03.08 Nsambya-ClockTower-24h'!G22,'04.08 Nsambya-ClockTower'!G22)</f>
        <v>1.4285714285714286</v>
      </c>
      <c r="H22" s="49">
        <f>AVERAGE('29.07 Nsambya-ClockTower'!H22,'30.07 Nsambya-ClockTower'!H22,'31.07 Nsambya-ClockTower'!H22,'02.08 Nsambya-ClockTower'!H22,'01.08 Nsambya-ClockTower-24h'!H22,'03.08 Nsambya-ClockTower-24h'!H22,'04.08 Nsambya-ClockTower'!H22)</f>
        <v>0.14285714285714285</v>
      </c>
      <c r="I22" s="49">
        <f>AVERAGE('29.07 Nsambya-ClockTower'!I22,'30.07 Nsambya-ClockTower'!I22,'31.07 Nsambya-ClockTower'!I22,'02.08 Nsambya-ClockTower'!I22,'01.08 Nsambya-ClockTower-24h'!I22,'03.08 Nsambya-ClockTower-24h'!I22,'04.08 Nsambya-ClockTower'!I22)</f>
        <v>7.1428571428571432</v>
      </c>
      <c r="J22" s="49">
        <f>AVERAGE('29.07 Nsambya-ClockTower'!J22,'30.07 Nsambya-ClockTower'!J22,'31.07 Nsambya-ClockTower'!J22,'02.08 Nsambya-ClockTower'!J22,'01.08 Nsambya-ClockTower-24h'!J22,'03.08 Nsambya-ClockTower-24h'!J22,'04.08 Nsambya-ClockTower'!J22)</f>
        <v>3.5714285714285716</v>
      </c>
      <c r="K22" s="49">
        <f>AVERAGE('29.07 Nsambya-ClockTower'!K22,'30.07 Nsambya-ClockTower'!K22,'31.07 Nsambya-ClockTower'!K22,'02.08 Nsambya-ClockTower'!K22,'01.08 Nsambya-ClockTower-24h'!K22,'03.08 Nsambya-ClockTower-24h'!K22,'04.08 Nsambya-ClockTower'!K22)</f>
        <v>3.1428571428571428</v>
      </c>
      <c r="L22" s="49">
        <f>AVERAGE('29.07 Nsambya-ClockTower'!L22,'30.07 Nsambya-ClockTower'!L22,'31.07 Nsambya-ClockTower'!L22,'02.08 Nsambya-ClockTower'!L22,'01.08 Nsambya-ClockTower-24h'!L22,'03.08 Nsambya-ClockTower-24h'!L22,'04.08 Nsambya-ClockTower'!L22)</f>
        <v>3.2857142857142856</v>
      </c>
      <c r="M22" s="49">
        <f>AVERAGE('29.07 Nsambya-ClockTower'!M22,'30.07 Nsambya-ClockTower'!M22,'31.07 Nsambya-ClockTower'!M22,'02.08 Nsambya-ClockTower'!M22,'01.08 Nsambya-ClockTower-24h'!M22,'03.08 Nsambya-ClockTower-24h'!M22,'04.08 Nsambya-ClockTower'!M22)</f>
        <v>449.14285714285717</v>
      </c>
      <c r="N22" s="49">
        <f>AVERAGE('29.07 Nsambya-ClockTower'!N22,'30.07 Nsambya-ClockTower'!N22,'31.07 Nsambya-ClockTower'!N22,'02.08 Nsambya-ClockTower'!N22,'01.08 Nsambya-ClockTower-24h'!N22,'03.08 Nsambya-ClockTower-24h'!N22,'04.08 Nsambya-ClockTower'!N22)</f>
        <v>0.2857142857142857</v>
      </c>
      <c r="O22" s="15">
        <f t="shared" si="0"/>
        <v>193.28571428571425</v>
      </c>
      <c r="P22" s="15">
        <f t="shared" si="1"/>
        <v>642.42857142857144</v>
      </c>
      <c r="R22" s="38" t="s">
        <v>90</v>
      </c>
      <c r="S22" s="39">
        <f>MAX(S10:S12)</f>
        <v>328.71428571428572</v>
      </c>
      <c r="T22" s="39">
        <f t="shared" ref="T22:AF22" si="14">MAX(T10:T12)</f>
        <v>231.42857142857142</v>
      </c>
      <c r="U22" s="39">
        <f t="shared" si="14"/>
        <v>56.142857142857139</v>
      </c>
      <c r="V22" s="39">
        <f t="shared" si="14"/>
        <v>443</v>
      </c>
      <c r="W22" s="39">
        <f t="shared" si="14"/>
        <v>11.142857142857142</v>
      </c>
      <c r="X22" s="39">
        <f t="shared" si="14"/>
        <v>3.4285714285714288</v>
      </c>
      <c r="Y22" s="39">
        <f t="shared" si="14"/>
        <v>25.571428571428569</v>
      </c>
      <c r="Z22" s="39">
        <f t="shared" si="14"/>
        <v>19.714285714285715</v>
      </c>
      <c r="AA22" s="39">
        <f t="shared" si="14"/>
        <v>12.142857142857144</v>
      </c>
      <c r="AB22" s="39">
        <f t="shared" si="14"/>
        <v>11.428571428571429</v>
      </c>
      <c r="AC22" s="39">
        <f t="shared" si="14"/>
        <v>1983.1428571428569</v>
      </c>
      <c r="AD22" s="39">
        <f t="shared" si="14"/>
        <v>1.1428571428571428</v>
      </c>
      <c r="AE22" s="40">
        <f t="shared" si="14"/>
        <v>1009.7142857142859</v>
      </c>
      <c r="AF22" s="40">
        <f t="shared" si="14"/>
        <v>2888.8571428571427</v>
      </c>
    </row>
    <row r="23" spans="2:32" ht="23.1" customHeight="1" x14ac:dyDescent="0.25">
      <c r="B23" s="23" t="s">
        <v>50</v>
      </c>
      <c r="C23" s="49">
        <f>AVERAGE('29.07 Nsambya-ClockTower'!C23,'30.07 Nsambya-ClockTower'!C23,'31.07 Nsambya-ClockTower'!C23,'02.08 Nsambya-ClockTower'!C23,'01.08 Nsambya-ClockTower-24h'!C23,'03.08 Nsambya-ClockTower-24h'!C23,'04.08 Nsambya-ClockTower'!C23)</f>
        <v>67.428571428571431</v>
      </c>
      <c r="D23" s="49">
        <f>AVERAGE('29.07 Nsambya-ClockTower'!D23,'30.07 Nsambya-ClockTower'!D23,'31.07 Nsambya-ClockTower'!D23,'02.08 Nsambya-ClockTower'!D23,'01.08 Nsambya-ClockTower-24h'!D23,'03.08 Nsambya-ClockTower-24h'!D23,'04.08 Nsambya-ClockTower'!D23)</f>
        <v>17.857142857142858</v>
      </c>
      <c r="E23" s="49">
        <f>AVERAGE('29.07 Nsambya-ClockTower'!E23,'30.07 Nsambya-ClockTower'!E23,'31.07 Nsambya-ClockTower'!E23,'02.08 Nsambya-ClockTower'!E23,'01.08 Nsambya-ClockTower-24h'!E23,'03.08 Nsambya-ClockTower-24h'!E23,'04.08 Nsambya-ClockTower'!E23)</f>
        <v>12.285714285714286</v>
      </c>
      <c r="F23" s="49">
        <f>AVERAGE('29.07 Nsambya-ClockTower'!F23,'30.07 Nsambya-ClockTower'!F23,'31.07 Nsambya-ClockTower'!F23,'02.08 Nsambya-ClockTower'!F23,'01.08 Nsambya-ClockTower-24h'!F23,'03.08 Nsambya-ClockTower-24h'!F23,'04.08 Nsambya-ClockTower'!F23)</f>
        <v>104.85714285714286</v>
      </c>
      <c r="G23" s="49">
        <f>AVERAGE('29.07 Nsambya-ClockTower'!G23,'30.07 Nsambya-ClockTower'!G23,'31.07 Nsambya-ClockTower'!G23,'02.08 Nsambya-ClockTower'!G23,'01.08 Nsambya-ClockTower-24h'!G23,'03.08 Nsambya-ClockTower-24h'!G23,'04.08 Nsambya-ClockTower'!G23)</f>
        <v>1.4285714285714286</v>
      </c>
      <c r="H23" s="49">
        <f>AVERAGE('29.07 Nsambya-ClockTower'!H23,'30.07 Nsambya-ClockTower'!H23,'31.07 Nsambya-ClockTower'!H23,'02.08 Nsambya-ClockTower'!H23,'01.08 Nsambya-ClockTower-24h'!H23,'03.08 Nsambya-ClockTower-24h'!H23,'04.08 Nsambya-ClockTower'!H23)</f>
        <v>0.42857142857142855</v>
      </c>
      <c r="I23" s="49">
        <f>AVERAGE('29.07 Nsambya-ClockTower'!I23,'30.07 Nsambya-ClockTower'!I23,'31.07 Nsambya-ClockTower'!I23,'02.08 Nsambya-ClockTower'!I23,'01.08 Nsambya-ClockTower-24h'!I23,'03.08 Nsambya-ClockTower-24h'!I23,'04.08 Nsambya-ClockTower'!I23)</f>
        <v>7.8571428571428568</v>
      </c>
      <c r="J23" s="49">
        <f>AVERAGE('29.07 Nsambya-ClockTower'!J23,'30.07 Nsambya-ClockTower'!J23,'31.07 Nsambya-ClockTower'!J23,'02.08 Nsambya-ClockTower'!J23,'01.08 Nsambya-ClockTower-24h'!J23,'03.08 Nsambya-ClockTower-24h'!J23,'04.08 Nsambya-ClockTower'!J23)</f>
        <v>4.5714285714285712</v>
      </c>
      <c r="K23" s="49">
        <f>AVERAGE('29.07 Nsambya-ClockTower'!K23,'30.07 Nsambya-ClockTower'!K23,'31.07 Nsambya-ClockTower'!K23,'02.08 Nsambya-ClockTower'!K23,'01.08 Nsambya-ClockTower-24h'!K23,'03.08 Nsambya-ClockTower-24h'!K23,'04.08 Nsambya-ClockTower'!K23)</f>
        <v>1.5714285714285714</v>
      </c>
      <c r="L23" s="49">
        <f>AVERAGE('29.07 Nsambya-ClockTower'!L23,'30.07 Nsambya-ClockTower'!L23,'31.07 Nsambya-ClockTower'!L23,'02.08 Nsambya-ClockTower'!L23,'01.08 Nsambya-ClockTower-24h'!L23,'03.08 Nsambya-ClockTower-24h'!L23,'04.08 Nsambya-ClockTower'!L23)</f>
        <v>3.2857142857142856</v>
      </c>
      <c r="M23" s="49">
        <f>AVERAGE('29.07 Nsambya-ClockTower'!M23,'30.07 Nsambya-ClockTower'!M23,'31.07 Nsambya-ClockTower'!M23,'02.08 Nsambya-ClockTower'!M23,'01.08 Nsambya-ClockTower-24h'!M23,'03.08 Nsambya-ClockTower-24h'!M23,'04.08 Nsambya-ClockTower'!M23)</f>
        <v>473.28571428571428</v>
      </c>
      <c r="N23" s="49">
        <f>AVERAGE('29.07 Nsambya-ClockTower'!N23,'30.07 Nsambya-ClockTower'!N23,'31.07 Nsambya-ClockTower'!N23,'02.08 Nsambya-ClockTower'!N23,'01.08 Nsambya-ClockTower-24h'!N23,'03.08 Nsambya-ClockTower-24h'!N23,'04.08 Nsambya-ClockTower'!N23)</f>
        <v>0.14285714285714285</v>
      </c>
      <c r="O23" s="15">
        <f t="shared" si="0"/>
        <v>221.71428571428572</v>
      </c>
      <c r="P23" s="15">
        <f t="shared" si="1"/>
        <v>695</v>
      </c>
      <c r="R23" s="38" t="s">
        <v>91</v>
      </c>
      <c r="S23" s="39">
        <f>MAX(S13:S18)</f>
        <v>312.28571428571428</v>
      </c>
      <c r="T23" s="39">
        <f t="shared" ref="T23:AF23" si="15">MAX(T13:T18)</f>
        <v>84.571428571428584</v>
      </c>
      <c r="U23" s="39">
        <f t="shared" si="15"/>
        <v>65.714285714285708</v>
      </c>
      <c r="V23" s="39">
        <f t="shared" si="15"/>
        <v>436</v>
      </c>
      <c r="W23" s="39">
        <f t="shared" si="15"/>
        <v>9</v>
      </c>
      <c r="X23" s="39">
        <f t="shared" si="15"/>
        <v>1.857142857142857</v>
      </c>
      <c r="Y23" s="39">
        <f t="shared" si="15"/>
        <v>53</v>
      </c>
      <c r="Z23" s="39">
        <f t="shared" si="15"/>
        <v>27.000000000000004</v>
      </c>
      <c r="AA23" s="39">
        <f t="shared" si="15"/>
        <v>15.285714285714285</v>
      </c>
      <c r="AB23" s="39">
        <f t="shared" si="15"/>
        <v>73.142857142857153</v>
      </c>
      <c r="AC23" s="39">
        <f t="shared" si="15"/>
        <v>1746.4285714285713</v>
      </c>
      <c r="AD23" s="39">
        <f t="shared" si="15"/>
        <v>0.85714285714285698</v>
      </c>
      <c r="AE23" s="40">
        <f t="shared" si="15"/>
        <v>949.28571428571445</v>
      </c>
      <c r="AF23" s="40">
        <f t="shared" si="15"/>
        <v>2608</v>
      </c>
    </row>
    <row r="24" spans="2:32" ht="23.1" customHeight="1" x14ac:dyDescent="0.25">
      <c r="B24" s="23" t="s">
        <v>51</v>
      </c>
      <c r="C24" s="49">
        <f>AVERAGE('29.07 Nsambya-ClockTower'!C24,'30.07 Nsambya-ClockTower'!C24,'31.07 Nsambya-ClockTower'!C24,'02.08 Nsambya-ClockTower'!C24,'01.08 Nsambya-ClockTower-24h'!C24,'03.08 Nsambya-ClockTower-24h'!C24,'04.08 Nsambya-ClockTower'!C24)</f>
        <v>61</v>
      </c>
      <c r="D24" s="49">
        <f>AVERAGE('29.07 Nsambya-ClockTower'!D24,'30.07 Nsambya-ClockTower'!D24,'31.07 Nsambya-ClockTower'!D24,'02.08 Nsambya-ClockTower'!D24,'01.08 Nsambya-ClockTower-24h'!D24,'03.08 Nsambya-ClockTower-24h'!D24,'04.08 Nsambya-ClockTower'!D24)</f>
        <v>11.857142857142858</v>
      </c>
      <c r="E24" s="49">
        <f>AVERAGE('29.07 Nsambya-ClockTower'!E24,'30.07 Nsambya-ClockTower'!E24,'31.07 Nsambya-ClockTower'!E24,'02.08 Nsambya-ClockTower'!E24,'01.08 Nsambya-ClockTower-24h'!E24,'03.08 Nsambya-ClockTower-24h'!E24,'04.08 Nsambya-ClockTower'!E24)</f>
        <v>11.714285714285714</v>
      </c>
      <c r="F24" s="49">
        <f>AVERAGE('29.07 Nsambya-ClockTower'!F24,'30.07 Nsambya-ClockTower'!F24,'31.07 Nsambya-ClockTower'!F24,'02.08 Nsambya-ClockTower'!F24,'01.08 Nsambya-ClockTower-24h'!F24,'03.08 Nsambya-ClockTower-24h'!F24,'04.08 Nsambya-ClockTower'!F24)</f>
        <v>123.14285714285714</v>
      </c>
      <c r="G24" s="49">
        <f>AVERAGE('29.07 Nsambya-ClockTower'!G24,'30.07 Nsambya-ClockTower'!G24,'31.07 Nsambya-ClockTower'!G24,'02.08 Nsambya-ClockTower'!G24,'01.08 Nsambya-ClockTower-24h'!G24,'03.08 Nsambya-ClockTower-24h'!G24,'04.08 Nsambya-ClockTower'!G24)</f>
        <v>2.1428571428571428</v>
      </c>
      <c r="H24" s="49">
        <f>AVERAGE('29.07 Nsambya-ClockTower'!H24,'30.07 Nsambya-ClockTower'!H24,'31.07 Nsambya-ClockTower'!H24,'02.08 Nsambya-ClockTower'!H24,'01.08 Nsambya-ClockTower-24h'!H24,'03.08 Nsambya-ClockTower-24h'!H24,'04.08 Nsambya-ClockTower'!H24)</f>
        <v>0.42857142857142855</v>
      </c>
      <c r="I24" s="49">
        <f>AVERAGE('29.07 Nsambya-ClockTower'!I24,'30.07 Nsambya-ClockTower'!I24,'31.07 Nsambya-ClockTower'!I24,'02.08 Nsambya-ClockTower'!I24,'01.08 Nsambya-ClockTower-24h'!I24,'03.08 Nsambya-ClockTower-24h'!I24,'04.08 Nsambya-ClockTower'!I24)</f>
        <v>8.1428571428571423</v>
      </c>
      <c r="J24" s="49">
        <f>AVERAGE('29.07 Nsambya-ClockTower'!J24,'30.07 Nsambya-ClockTower'!J24,'31.07 Nsambya-ClockTower'!J24,'02.08 Nsambya-ClockTower'!J24,'01.08 Nsambya-ClockTower-24h'!J24,'03.08 Nsambya-ClockTower-24h'!J24,'04.08 Nsambya-ClockTower'!J24)</f>
        <v>5.2857142857142856</v>
      </c>
      <c r="K24" s="49">
        <f>AVERAGE('29.07 Nsambya-ClockTower'!K24,'30.07 Nsambya-ClockTower'!K24,'31.07 Nsambya-ClockTower'!K24,'02.08 Nsambya-ClockTower'!K24,'01.08 Nsambya-ClockTower-24h'!K24,'03.08 Nsambya-ClockTower-24h'!K24,'04.08 Nsambya-ClockTower'!K24)</f>
        <v>2.4285714285714284</v>
      </c>
      <c r="L24" s="49">
        <f>AVERAGE('29.07 Nsambya-ClockTower'!L24,'30.07 Nsambya-ClockTower'!L24,'31.07 Nsambya-ClockTower'!L24,'02.08 Nsambya-ClockTower'!L24,'01.08 Nsambya-ClockTower-24h'!L24,'03.08 Nsambya-ClockTower-24h'!L24,'04.08 Nsambya-ClockTower'!L24)</f>
        <v>4</v>
      </c>
      <c r="M24" s="49">
        <f>AVERAGE('29.07 Nsambya-ClockTower'!M24,'30.07 Nsambya-ClockTower'!M24,'31.07 Nsambya-ClockTower'!M24,'02.08 Nsambya-ClockTower'!M24,'01.08 Nsambya-ClockTower-24h'!M24,'03.08 Nsambya-ClockTower-24h'!M24,'04.08 Nsambya-ClockTower'!M24)</f>
        <v>413.71428571428572</v>
      </c>
      <c r="N24" s="49">
        <f>AVERAGE('29.07 Nsambya-ClockTower'!N24,'30.07 Nsambya-ClockTower'!N24,'31.07 Nsambya-ClockTower'!N24,'02.08 Nsambya-ClockTower'!N24,'01.08 Nsambya-ClockTower-24h'!N24,'03.08 Nsambya-ClockTower-24h'!N24,'04.08 Nsambya-ClockTower'!N24)</f>
        <v>0.14285714285714285</v>
      </c>
      <c r="O24" s="15">
        <f t="shared" si="0"/>
        <v>230.28571428571425</v>
      </c>
      <c r="P24" s="15">
        <f t="shared" si="1"/>
        <v>644</v>
      </c>
      <c r="R24" s="38" t="s">
        <v>92</v>
      </c>
      <c r="S24" s="39">
        <f>MAX(S19:S21)</f>
        <v>284.42857142857139</v>
      </c>
      <c r="T24" s="39">
        <f t="shared" ref="T24:AF24" si="16">MAX(T19:T21)</f>
        <v>65.857142857142861</v>
      </c>
      <c r="U24" s="39">
        <f t="shared" si="16"/>
        <v>59.285714285714278</v>
      </c>
      <c r="V24" s="39">
        <f t="shared" si="16"/>
        <v>377.28571428571433</v>
      </c>
      <c r="W24" s="39">
        <f t="shared" si="16"/>
        <v>9.1428571428571423</v>
      </c>
      <c r="X24" s="39">
        <f t="shared" si="16"/>
        <v>1.8571428571428572</v>
      </c>
      <c r="Y24" s="39">
        <f t="shared" si="16"/>
        <v>38.714285714285708</v>
      </c>
      <c r="Z24" s="39">
        <f t="shared" si="16"/>
        <v>31.285714285714285</v>
      </c>
      <c r="AA24" s="39">
        <f t="shared" si="16"/>
        <v>20.571428571428569</v>
      </c>
      <c r="AB24" s="39">
        <f t="shared" si="16"/>
        <v>25.285714285714285</v>
      </c>
      <c r="AC24" s="39">
        <f t="shared" si="16"/>
        <v>1940.1428571428571</v>
      </c>
      <c r="AD24" s="39">
        <f t="shared" si="16"/>
        <v>0.71428571428571419</v>
      </c>
      <c r="AE24" s="40">
        <f t="shared" si="16"/>
        <v>856.85714285714266</v>
      </c>
      <c r="AF24" s="40">
        <f t="shared" si="16"/>
        <v>2710.4285714285716</v>
      </c>
    </row>
    <row r="25" spans="2:32" ht="23.1" customHeight="1" x14ac:dyDescent="0.25">
      <c r="B25" s="23" t="s">
        <v>52</v>
      </c>
      <c r="C25" s="49">
        <f>AVERAGE('29.07 Nsambya-ClockTower'!C25,'30.07 Nsambya-ClockTower'!C25,'31.07 Nsambya-ClockTower'!C25,'02.08 Nsambya-ClockTower'!C25,'01.08 Nsambya-ClockTower-24h'!C25,'03.08 Nsambya-ClockTower-24h'!C25,'04.08 Nsambya-ClockTower'!C25)</f>
        <v>67.428571428571431</v>
      </c>
      <c r="D25" s="49">
        <f>AVERAGE('29.07 Nsambya-ClockTower'!D25,'30.07 Nsambya-ClockTower'!D25,'31.07 Nsambya-ClockTower'!D25,'02.08 Nsambya-ClockTower'!D25,'01.08 Nsambya-ClockTower-24h'!D25,'03.08 Nsambya-ClockTower-24h'!D25,'04.08 Nsambya-ClockTower'!D25)</f>
        <v>11.142857142857142</v>
      </c>
      <c r="E25" s="49">
        <f>AVERAGE('29.07 Nsambya-ClockTower'!E25,'30.07 Nsambya-ClockTower'!E25,'31.07 Nsambya-ClockTower'!E25,'02.08 Nsambya-ClockTower'!E25,'01.08 Nsambya-ClockTower-24h'!E25,'03.08 Nsambya-ClockTower-24h'!E25,'04.08 Nsambya-ClockTower'!E25)</f>
        <v>8.8571428571428577</v>
      </c>
      <c r="F25" s="49">
        <f>AVERAGE('29.07 Nsambya-ClockTower'!F25,'30.07 Nsambya-ClockTower'!F25,'31.07 Nsambya-ClockTower'!F25,'02.08 Nsambya-ClockTower'!F25,'01.08 Nsambya-ClockTower-24h'!F25,'03.08 Nsambya-ClockTower-24h'!F25,'04.08 Nsambya-ClockTower'!F25)</f>
        <v>113.85714285714286</v>
      </c>
      <c r="G25" s="49">
        <f>AVERAGE('29.07 Nsambya-ClockTower'!G25,'30.07 Nsambya-ClockTower'!G25,'31.07 Nsambya-ClockTower'!G25,'02.08 Nsambya-ClockTower'!G25,'01.08 Nsambya-ClockTower-24h'!G25,'03.08 Nsambya-ClockTower-24h'!G25,'04.08 Nsambya-ClockTower'!G25)</f>
        <v>1.4285714285714286</v>
      </c>
      <c r="H25" s="49">
        <f>AVERAGE('29.07 Nsambya-ClockTower'!H25,'30.07 Nsambya-ClockTower'!H25,'31.07 Nsambya-ClockTower'!H25,'02.08 Nsambya-ClockTower'!H25,'01.08 Nsambya-ClockTower-24h'!H25,'03.08 Nsambya-ClockTower-24h'!H25,'04.08 Nsambya-ClockTower'!H25)</f>
        <v>0</v>
      </c>
      <c r="I25" s="49">
        <f>AVERAGE('29.07 Nsambya-ClockTower'!I25,'30.07 Nsambya-ClockTower'!I25,'31.07 Nsambya-ClockTower'!I25,'02.08 Nsambya-ClockTower'!I25,'01.08 Nsambya-ClockTower-24h'!I25,'03.08 Nsambya-ClockTower-24h'!I25,'04.08 Nsambya-ClockTower'!I25)</f>
        <v>5.8571428571428568</v>
      </c>
      <c r="J25" s="49">
        <f>AVERAGE('29.07 Nsambya-ClockTower'!J25,'30.07 Nsambya-ClockTower'!J25,'31.07 Nsambya-ClockTower'!J25,'02.08 Nsambya-ClockTower'!J25,'01.08 Nsambya-ClockTower-24h'!J25,'03.08 Nsambya-ClockTower-24h'!J25,'04.08 Nsambya-ClockTower'!J25)</f>
        <v>4.8571428571428568</v>
      </c>
      <c r="K25" s="49">
        <f>AVERAGE('29.07 Nsambya-ClockTower'!K25,'30.07 Nsambya-ClockTower'!K25,'31.07 Nsambya-ClockTower'!K25,'02.08 Nsambya-ClockTower'!K25,'01.08 Nsambya-ClockTower-24h'!K25,'03.08 Nsambya-ClockTower-24h'!K25,'04.08 Nsambya-ClockTower'!K25)</f>
        <v>1.1428571428571428</v>
      </c>
      <c r="L25" s="49">
        <f>AVERAGE('29.07 Nsambya-ClockTower'!L25,'30.07 Nsambya-ClockTower'!L25,'31.07 Nsambya-ClockTower'!L25,'02.08 Nsambya-ClockTower'!L25,'01.08 Nsambya-ClockTower-24h'!L25,'03.08 Nsambya-ClockTower-24h'!L25,'04.08 Nsambya-ClockTower'!L25)</f>
        <v>1.7142857142857142</v>
      </c>
      <c r="M25" s="49">
        <f>AVERAGE('29.07 Nsambya-ClockTower'!M25,'30.07 Nsambya-ClockTower'!M25,'31.07 Nsambya-ClockTower'!M25,'02.08 Nsambya-ClockTower'!M25,'01.08 Nsambya-ClockTower-24h'!M25,'03.08 Nsambya-ClockTower-24h'!M25,'04.08 Nsambya-ClockTower'!M25)</f>
        <v>410.28571428571428</v>
      </c>
      <c r="N25" s="49">
        <f>AVERAGE('29.07 Nsambya-ClockTower'!N25,'30.07 Nsambya-ClockTower'!N25,'31.07 Nsambya-ClockTower'!N25,'02.08 Nsambya-ClockTower'!N25,'01.08 Nsambya-ClockTower-24h'!N25,'03.08 Nsambya-ClockTower-24h'!N25,'04.08 Nsambya-ClockTower'!N25)</f>
        <v>0</v>
      </c>
      <c r="O25" s="15">
        <f t="shared" si="0"/>
        <v>216.28571428571428</v>
      </c>
      <c r="P25" s="15">
        <f t="shared" si="1"/>
        <v>626.57142857142856</v>
      </c>
      <c r="R25" s="37" t="s">
        <v>85</v>
      </c>
      <c r="S25" s="35">
        <f t="shared" ref="S25:AF25" si="17">SUM(S10:S12)</f>
        <v>869.42857142857144</v>
      </c>
      <c r="T25" s="16">
        <f t="shared" si="17"/>
        <v>342.57142857142856</v>
      </c>
      <c r="U25" s="16">
        <f t="shared" si="17"/>
        <v>119.42857142857142</v>
      </c>
      <c r="V25" s="16">
        <f t="shared" si="17"/>
        <v>1225.1428571428571</v>
      </c>
      <c r="W25" s="16">
        <f t="shared" si="17"/>
        <v>24.428571428571431</v>
      </c>
      <c r="X25" s="16">
        <f t="shared" si="17"/>
        <v>5.5714285714285712</v>
      </c>
      <c r="Y25" s="16">
        <f t="shared" si="17"/>
        <v>59.428571428571423</v>
      </c>
      <c r="Z25" s="16">
        <f t="shared" si="17"/>
        <v>36.857142857142861</v>
      </c>
      <c r="AA25" s="16">
        <f t="shared" si="17"/>
        <v>27.142857142857142</v>
      </c>
      <c r="AB25" s="16">
        <f t="shared" si="17"/>
        <v>29.571428571428569</v>
      </c>
      <c r="AC25" s="16">
        <f t="shared" si="17"/>
        <v>5495</v>
      </c>
      <c r="AD25" s="16">
        <f t="shared" si="17"/>
        <v>2.4285714285714284</v>
      </c>
      <c r="AE25" s="32">
        <f t="shared" si="17"/>
        <v>2742</v>
      </c>
      <c r="AF25" s="32">
        <f t="shared" si="17"/>
        <v>8237</v>
      </c>
    </row>
    <row r="26" spans="2:32" ht="23.1" customHeight="1" x14ac:dyDescent="0.25">
      <c r="B26" s="23" t="s">
        <v>53</v>
      </c>
      <c r="C26" s="49">
        <f>AVERAGE('29.07 Nsambya-ClockTower'!C26,'30.07 Nsambya-ClockTower'!C26,'31.07 Nsambya-ClockTower'!C26,'02.08 Nsambya-ClockTower'!C26,'01.08 Nsambya-ClockTower-24h'!C26,'03.08 Nsambya-ClockTower-24h'!C26,'04.08 Nsambya-ClockTower'!C26)</f>
        <v>58.714285714285715</v>
      </c>
      <c r="D26" s="49">
        <f>AVERAGE('29.07 Nsambya-ClockTower'!D26,'30.07 Nsambya-ClockTower'!D26,'31.07 Nsambya-ClockTower'!D26,'02.08 Nsambya-ClockTower'!D26,'01.08 Nsambya-ClockTower-24h'!D26,'03.08 Nsambya-ClockTower-24h'!D26,'04.08 Nsambya-ClockTower'!D26)</f>
        <v>15</v>
      </c>
      <c r="E26" s="49">
        <f>AVERAGE('29.07 Nsambya-ClockTower'!E26,'30.07 Nsambya-ClockTower'!E26,'31.07 Nsambya-ClockTower'!E26,'02.08 Nsambya-ClockTower'!E26,'01.08 Nsambya-ClockTower-24h'!E26,'03.08 Nsambya-ClockTower-24h'!E26,'04.08 Nsambya-ClockTower'!E26)</f>
        <v>11.142857142857142</v>
      </c>
      <c r="F26" s="49">
        <f>AVERAGE('29.07 Nsambya-ClockTower'!F26,'30.07 Nsambya-ClockTower'!F26,'31.07 Nsambya-ClockTower'!F26,'02.08 Nsambya-ClockTower'!F26,'01.08 Nsambya-ClockTower-24h'!F26,'03.08 Nsambya-ClockTower-24h'!F26,'04.08 Nsambya-ClockTower'!F26)</f>
        <v>113.57142857142857</v>
      </c>
      <c r="G26" s="49">
        <f>AVERAGE('29.07 Nsambya-ClockTower'!G26,'30.07 Nsambya-ClockTower'!G26,'31.07 Nsambya-ClockTower'!G26,'02.08 Nsambya-ClockTower'!G26,'01.08 Nsambya-ClockTower-24h'!G26,'03.08 Nsambya-ClockTower-24h'!G26,'04.08 Nsambya-ClockTower'!G26)</f>
        <v>2.2857142857142856</v>
      </c>
      <c r="H26" s="49">
        <f>AVERAGE('29.07 Nsambya-ClockTower'!H26,'30.07 Nsambya-ClockTower'!H26,'31.07 Nsambya-ClockTower'!H26,'02.08 Nsambya-ClockTower'!H26,'01.08 Nsambya-ClockTower-24h'!H26,'03.08 Nsambya-ClockTower-24h'!H26,'04.08 Nsambya-ClockTower'!H26)</f>
        <v>0.2857142857142857</v>
      </c>
      <c r="I26" s="49">
        <f>AVERAGE('29.07 Nsambya-ClockTower'!I26,'30.07 Nsambya-ClockTower'!I26,'31.07 Nsambya-ClockTower'!I26,'02.08 Nsambya-ClockTower'!I26,'01.08 Nsambya-ClockTower-24h'!I26,'03.08 Nsambya-ClockTower-24h'!I26,'04.08 Nsambya-ClockTower'!I26)</f>
        <v>9.8571428571428577</v>
      </c>
      <c r="J26" s="49">
        <f>AVERAGE('29.07 Nsambya-ClockTower'!J26,'30.07 Nsambya-ClockTower'!J26,'31.07 Nsambya-ClockTower'!J26,'02.08 Nsambya-ClockTower'!J26,'01.08 Nsambya-ClockTower-24h'!J26,'03.08 Nsambya-ClockTower-24h'!J26,'04.08 Nsambya-ClockTower'!J26)</f>
        <v>6</v>
      </c>
      <c r="K26" s="49">
        <f>AVERAGE('29.07 Nsambya-ClockTower'!K26,'30.07 Nsambya-ClockTower'!K26,'31.07 Nsambya-ClockTower'!K26,'02.08 Nsambya-ClockTower'!K26,'01.08 Nsambya-ClockTower-24h'!K26,'03.08 Nsambya-ClockTower-24h'!K26,'04.08 Nsambya-ClockTower'!K26)</f>
        <v>3.2857142857142856</v>
      </c>
      <c r="L26" s="49">
        <f>AVERAGE('29.07 Nsambya-ClockTower'!L26,'30.07 Nsambya-ClockTower'!L26,'31.07 Nsambya-ClockTower'!L26,'02.08 Nsambya-ClockTower'!L26,'01.08 Nsambya-ClockTower-24h'!L26,'03.08 Nsambya-ClockTower-24h'!L26,'04.08 Nsambya-ClockTower'!L26)</f>
        <v>63.142857142857146</v>
      </c>
      <c r="M26" s="49">
        <f>AVERAGE('29.07 Nsambya-ClockTower'!M26,'30.07 Nsambya-ClockTower'!M26,'31.07 Nsambya-ClockTower'!M26,'02.08 Nsambya-ClockTower'!M26,'01.08 Nsambya-ClockTower-24h'!M26,'03.08 Nsambya-ClockTower-24h'!M26,'04.08 Nsambya-ClockTower'!M26)</f>
        <v>387.14285714285717</v>
      </c>
      <c r="N26" s="49">
        <f>AVERAGE('29.07 Nsambya-ClockTower'!N26,'30.07 Nsambya-ClockTower'!N26,'31.07 Nsambya-ClockTower'!N26,'02.08 Nsambya-ClockTower'!N26,'01.08 Nsambya-ClockTower-24h'!N26,'03.08 Nsambya-ClockTower-24h'!N26,'04.08 Nsambya-ClockTower'!N26)</f>
        <v>0.14285714285714285</v>
      </c>
      <c r="O26" s="15">
        <f t="shared" si="0"/>
        <v>283.42857142857144</v>
      </c>
      <c r="P26" s="15">
        <f t="shared" si="1"/>
        <v>670.57142857142856</v>
      </c>
      <c r="R26" s="28" t="s">
        <v>86</v>
      </c>
      <c r="S26" s="16">
        <f t="shared" ref="S26:AF26" si="18">SUM(S13:S18)</f>
        <v>1604.5714285714284</v>
      </c>
      <c r="T26" s="16">
        <f t="shared" si="18"/>
        <v>426.28571428571422</v>
      </c>
      <c r="U26" s="16">
        <f t="shared" si="18"/>
        <v>306.14285714285711</v>
      </c>
      <c r="V26" s="16">
        <f t="shared" si="18"/>
        <v>2360.7142857142862</v>
      </c>
      <c r="W26" s="16">
        <f t="shared" si="18"/>
        <v>37.857142857142861</v>
      </c>
      <c r="X26" s="16">
        <f t="shared" si="18"/>
        <v>7.4285714285714279</v>
      </c>
      <c r="Y26" s="16">
        <f t="shared" si="18"/>
        <v>211.14285714285717</v>
      </c>
      <c r="Z26" s="16">
        <f t="shared" si="18"/>
        <v>125.57142857142858</v>
      </c>
      <c r="AA26" s="16">
        <f t="shared" si="18"/>
        <v>75.857142857142847</v>
      </c>
      <c r="AB26" s="16">
        <f t="shared" si="18"/>
        <v>154</v>
      </c>
      <c r="AC26" s="16">
        <f t="shared" si="18"/>
        <v>9695.7142857142844</v>
      </c>
      <c r="AD26" s="16">
        <f t="shared" si="18"/>
        <v>4.1428571428571423</v>
      </c>
      <c r="AE26" s="32">
        <f t="shared" si="18"/>
        <v>5313.7142857142862</v>
      </c>
      <c r="AF26" s="32">
        <f t="shared" si="18"/>
        <v>15009.428571428572</v>
      </c>
    </row>
    <row r="27" spans="2:32" ht="23.1" customHeight="1" x14ac:dyDescent="0.25">
      <c r="B27" s="23" t="s">
        <v>54</v>
      </c>
      <c r="C27" s="49">
        <f>AVERAGE('29.07 Nsambya-ClockTower'!C27,'30.07 Nsambya-ClockTower'!C27,'31.07 Nsambya-ClockTower'!C27,'02.08 Nsambya-ClockTower'!C27,'01.08 Nsambya-ClockTower-24h'!C27,'03.08 Nsambya-ClockTower-24h'!C27,'04.08 Nsambya-ClockTower'!C27)</f>
        <v>54.714285714285715</v>
      </c>
      <c r="D27" s="49">
        <f>AVERAGE('29.07 Nsambya-ClockTower'!D27,'30.07 Nsambya-ClockTower'!D27,'31.07 Nsambya-ClockTower'!D27,'02.08 Nsambya-ClockTower'!D27,'01.08 Nsambya-ClockTower-24h'!D27,'03.08 Nsambya-ClockTower-24h'!D27,'04.08 Nsambya-ClockTower'!D27)</f>
        <v>13.571428571428571</v>
      </c>
      <c r="E27" s="49">
        <f>AVERAGE('29.07 Nsambya-ClockTower'!E27,'30.07 Nsambya-ClockTower'!E27,'31.07 Nsambya-ClockTower'!E27,'02.08 Nsambya-ClockTower'!E27,'01.08 Nsambya-ClockTower-24h'!E27,'03.08 Nsambya-ClockTower-24h'!E27,'04.08 Nsambya-ClockTower'!E27)</f>
        <v>10.857142857142858</v>
      </c>
      <c r="F27" s="49">
        <f>AVERAGE('29.07 Nsambya-ClockTower'!F27,'30.07 Nsambya-ClockTower'!F27,'31.07 Nsambya-ClockTower'!F27,'02.08 Nsambya-ClockTower'!F27,'01.08 Nsambya-ClockTower-24h'!F27,'03.08 Nsambya-ClockTower-24h'!F27,'04.08 Nsambya-ClockTower'!F27)</f>
        <v>109.42857142857143</v>
      </c>
      <c r="G27" s="49">
        <f>AVERAGE('29.07 Nsambya-ClockTower'!G27,'30.07 Nsambya-ClockTower'!G27,'31.07 Nsambya-ClockTower'!G27,'02.08 Nsambya-ClockTower'!G27,'01.08 Nsambya-ClockTower-24h'!G27,'03.08 Nsambya-ClockTower-24h'!G27,'04.08 Nsambya-ClockTower'!G27)</f>
        <v>1.4285714285714286</v>
      </c>
      <c r="H27" s="49">
        <f>AVERAGE('29.07 Nsambya-ClockTower'!H27,'30.07 Nsambya-ClockTower'!H27,'31.07 Nsambya-ClockTower'!H27,'02.08 Nsambya-ClockTower'!H27,'01.08 Nsambya-ClockTower-24h'!H27,'03.08 Nsambya-ClockTower-24h'!H27,'04.08 Nsambya-ClockTower'!H27)</f>
        <v>0.7142857142857143</v>
      </c>
      <c r="I27" s="49">
        <f>AVERAGE('29.07 Nsambya-ClockTower'!I27,'30.07 Nsambya-ClockTower'!I27,'31.07 Nsambya-ClockTower'!I27,'02.08 Nsambya-ClockTower'!I27,'01.08 Nsambya-ClockTower-24h'!I27,'03.08 Nsambya-ClockTower-24h'!I27,'04.08 Nsambya-ClockTower'!I27)</f>
        <v>7.1428571428571432</v>
      </c>
      <c r="J27" s="49">
        <f>AVERAGE('29.07 Nsambya-ClockTower'!J27,'30.07 Nsambya-ClockTower'!J27,'31.07 Nsambya-ClockTower'!J27,'02.08 Nsambya-ClockTower'!J27,'01.08 Nsambya-ClockTower-24h'!J27,'03.08 Nsambya-ClockTower-24h'!J27,'04.08 Nsambya-ClockTower'!J27)</f>
        <v>5.2857142857142856</v>
      </c>
      <c r="K27" s="49">
        <f>AVERAGE('29.07 Nsambya-ClockTower'!K27,'30.07 Nsambya-ClockTower'!K27,'31.07 Nsambya-ClockTower'!K27,'02.08 Nsambya-ClockTower'!K27,'01.08 Nsambya-ClockTower-24h'!K27,'03.08 Nsambya-ClockTower-24h'!K27,'04.08 Nsambya-ClockTower'!K27)</f>
        <v>2.4285714285714284</v>
      </c>
      <c r="L27" s="49">
        <f>AVERAGE('29.07 Nsambya-ClockTower'!L27,'30.07 Nsambya-ClockTower'!L27,'31.07 Nsambya-ClockTower'!L27,'02.08 Nsambya-ClockTower'!L27,'01.08 Nsambya-ClockTower-24h'!L27,'03.08 Nsambya-ClockTower-24h'!L27,'04.08 Nsambya-ClockTower'!L27)</f>
        <v>3.5714285714285716</v>
      </c>
      <c r="M27" s="49">
        <f>AVERAGE('29.07 Nsambya-ClockTower'!M27,'30.07 Nsambya-ClockTower'!M27,'31.07 Nsambya-ClockTower'!M27,'02.08 Nsambya-ClockTower'!M27,'01.08 Nsambya-ClockTower-24h'!M27,'03.08 Nsambya-ClockTower-24h'!M27,'04.08 Nsambya-ClockTower'!M27)</f>
        <v>425.28571428571428</v>
      </c>
      <c r="N27" s="49">
        <f>AVERAGE('29.07 Nsambya-ClockTower'!N27,'30.07 Nsambya-ClockTower'!N27,'31.07 Nsambya-ClockTower'!N27,'02.08 Nsambya-ClockTower'!N27,'01.08 Nsambya-ClockTower-24h'!N27,'03.08 Nsambya-ClockTower-24h'!N27,'04.08 Nsambya-ClockTower'!N27)</f>
        <v>0.14285714285714285</v>
      </c>
      <c r="O27" s="15">
        <f t="shared" si="0"/>
        <v>209.28571428571428</v>
      </c>
      <c r="P27" s="15">
        <f t="shared" si="1"/>
        <v>634.57142857142856</v>
      </c>
      <c r="R27" s="29" t="s">
        <v>87</v>
      </c>
      <c r="S27" s="16">
        <f t="shared" ref="S27:AF27" si="19">SUM(S19:S21)</f>
        <v>816.42857142857133</v>
      </c>
      <c r="T27" s="16">
        <f t="shared" si="19"/>
        <v>171.57142857142856</v>
      </c>
      <c r="U27" s="16">
        <f t="shared" si="19"/>
        <v>158.42857142857144</v>
      </c>
      <c r="V27" s="16">
        <f t="shared" si="19"/>
        <v>987.57142857142856</v>
      </c>
      <c r="W27" s="16">
        <f t="shared" si="19"/>
        <v>23.428571428571427</v>
      </c>
      <c r="X27" s="16">
        <f t="shared" si="19"/>
        <v>3.8571428571428568</v>
      </c>
      <c r="Y27" s="16">
        <f t="shared" si="19"/>
        <v>99.714285714285708</v>
      </c>
      <c r="Z27" s="16">
        <f t="shared" si="19"/>
        <v>75.142857142857139</v>
      </c>
      <c r="AA27" s="16">
        <f t="shared" si="19"/>
        <v>42.714285714285715</v>
      </c>
      <c r="AB27" s="16">
        <f t="shared" si="19"/>
        <v>57.857142857142854</v>
      </c>
      <c r="AC27" s="16">
        <f t="shared" si="19"/>
        <v>5478</v>
      </c>
      <c r="AD27" s="16">
        <f t="shared" si="19"/>
        <v>1.4285714285714284</v>
      </c>
      <c r="AE27" s="32">
        <f t="shared" si="19"/>
        <v>2438.1428571428569</v>
      </c>
      <c r="AF27" s="32">
        <f t="shared" si="19"/>
        <v>7916.1428571428569</v>
      </c>
    </row>
    <row r="28" spans="2:32" ht="23.1" customHeight="1" x14ac:dyDescent="0.25">
      <c r="B28" s="23" t="s">
        <v>55</v>
      </c>
      <c r="C28" s="49">
        <f>AVERAGE('29.07 Nsambya-ClockTower'!C28,'30.07 Nsambya-ClockTower'!C28,'31.07 Nsambya-ClockTower'!C28,'02.08 Nsambya-ClockTower'!C28,'01.08 Nsambya-ClockTower-24h'!C28,'03.08 Nsambya-ClockTower-24h'!C28,'04.08 Nsambya-ClockTower'!C28)</f>
        <v>64.857142857142861</v>
      </c>
      <c r="D28" s="49">
        <f>AVERAGE('29.07 Nsambya-ClockTower'!D28,'30.07 Nsambya-ClockTower'!D28,'31.07 Nsambya-ClockTower'!D28,'02.08 Nsambya-ClockTower'!D28,'01.08 Nsambya-ClockTower-24h'!D28,'03.08 Nsambya-ClockTower-24h'!D28,'04.08 Nsambya-ClockTower'!D28)</f>
        <v>14.285714285714286</v>
      </c>
      <c r="E28" s="49">
        <f>AVERAGE('29.07 Nsambya-ClockTower'!E28,'30.07 Nsambya-ClockTower'!E28,'31.07 Nsambya-ClockTower'!E28,'02.08 Nsambya-ClockTower'!E28,'01.08 Nsambya-ClockTower-24h'!E28,'03.08 Nsambya-ClockTower-24h'!E28,'04.08 Nsambya-ClockTower'!E28)</f>
        <v>11</v>
      </c>
      <c r="F28" s="49">
        <f>AVERAGE('29.07 Nsambya-ClockTower'!F28,'30.07 Nsambya-ClockTower'!F28,'31.07 Nsambya-ClockTower'!F28,'02.08 Nsambya-ClockTower'!F28,'01.08 Nsambya-ClockTower-24h'!F28,'03.08 Nsambya-ClockTower-24h'!F28,'04.08 Nsambya-ClockTower'!F28)</f>
        <v>102.28571428571429</v>
      </c>
      <c r="G28" s="49">
        <f>AVERAGE('29.07 Nsambya-ClockTower'!G28,'30.07 Nsambya-ClockTower'!G28,'31.07 Nsambya-ClockTower'!G28,'02.08 Nsambya-ClockTower'!G28,'01.08 Nsambya-ClockTower-24h'!G28,'03.08 Nsambya-ClockTower-24h'!G28,'04.08 Nsambya-ClockTower'!G28)</f>
        <v>0.8571428571428571</v>
      </c>
      <c r="H28" s="49">
        <f>AVERAGE('29.07 Nsambya-ClockTower'!H28,'30.07 Nsambya-ClockTower'!H28,'31.07 Nsambya-ClockTower'!H28,'02.08 Nsambya-ClockTower'!H28,'01.08 Nsambya-ClockTower-24h'!H28,'03.08 Nsambya-ClockTower-24h'!H28,'04.08 Nsambya-ClockTower'!H28)</f>
        <v>0.14285714285714285</v>
      </c>
      <c r="I28" s="49">
        <f>AVERAGE('29.07 Nsambya-ClockTower'!I28,'30.07 Nsambya-ClockTower'!I28,'31.07 Nsambya-ClockTower'!I28,'02.08 Nsambya-ClockTower'!I28,'01.08 Nsambya-ClockTower-24h'!I28,'03.08 Nsambya-ClockTower-24h'!I28,'04.08 Nsambya-ClockTower'!I28)</f>
        <v>7.2857142857142856</v>
      </c>
      <c r="J28" s="49">
        <f>AVERAGE('29.07 Nsambya-ClockTower'!J28,'30.07 Nsambya-ClockTower'!J28,'31.07 Nsambya-ClockTower'!J28,'02.08 Nsambya-ClockTower'!J28,'01.08 Nsambya-ClockTower-24h'!J28,'03.08 Nsambya-ClockTower-24h'!J28,'04.08 Nsambya-ClockTower'!J28)</f>
        <v>3.7142857142857144</v>
      </c>
      <c r="K28" s="49">
        <f>AVERAGE('29.07 Nsambya-ClockTower'!K28,'30.07 Nsambya-ClockTower'!K28,'31.07 Nsambya-ClockTower'!K28,'02.08 Nsambya-ClockTower'!K28,'01.08 Nsambya-ClockTower-24h'!K28,'03.08 Nsambya-ClockTower-24h'!K28,'04.08 Nsambya-ClockTower'!K28)</f>
        <v>4</v>
      </c>
      <c r="L28" s="49">
        <f>AVERAGE('29.07 Nsambya-ClockTower'!L28,'30.07 Nsambya-ClockTower'!L28,'31.07 Nsambya-ClockTower'!L28,'02.08 Nsambya-ClockTower'!L28,'01.08 Nsambya-ClockTower-24h'!L28,'03.08 Nsambya-ClockTower-24h'!L28,'04.08 Nsambya-ClockTower'!L28)</f>
        <v>3.1428571428571428</v>
      </c>
      <c r="M28" s="49">
        <f>AVERAGE('29.07 Nsambya-ClockTower'!M28,'30.07 Nsambya-ClockTower'!M28,'31.07 Nsambya-ClockTower'!M28,'02.08 Nsambya-ClockTower'!M28,'01.08 Nsambya-ClockTower-24h'!M28,'03.08 Nsambya-ClockTower-24h'!M28,'04.08 Nsambya-ClockTower'!M28)</f>
        <v>413.57142857142856</v>
      </c>
      <c r="N28" s="49">
        <f>AVERAGE('29.07 Nsambya-ClockTower'!N28,'30.07 Nsambya-ClockTower'!N28,'31.07 Nsambya-ClockTower'!N28,'02.08 Nsambya-ClockTower'!N28,'01.08 Nsambya-ClockTower-24h'!N28,'03.08 Nsambya-ClockTower-24h'!N28,'04.08 Nsambya-ClockTower'!N28)</f>
        <v>0.14285714285714285</v>
      </c>
      <c r="O28" s="15">
        <f t="shared" si="0"/>
        <v>211.71428571428572</v>
      </c>
      <c r="P28" s="15">
        <f t="shared" si="1"/>
        <v>625.28571428571422</v>
      </c>
      <c r="R28" s="5" t="s">
        <v>17</v>
      </c>
      <c r="S28" s="16">
        <f t="shared" ref="S28:AF28" si="20">SUM(S10:S21)</f>
        <v>3290.4285714285716</v>
      </c>
      <c r="T28" s="16">
        <f t="shared" si="20"/>
        <v>940.42857142857144</v>
      </c>
      <c r="U28" s="16">
        <f t="shared" si="20"/>
        <v>584</v>
      </c>
      <c r="V28" s="16">
        <f t="shared" si="20"/>
        <v>4573.4285714285716</v>
      </c>
      <c r="W28" s="16">
        <f t="shared" si="20"/>
        <v>85.714285714285708</v>
      </c>
      <c r="X28" s="16">
        <f t="shared" si="20"/>
        <v>16.857142857142858</v>
      </c>
      <c r="Y28" s="16">
        <f t="shared" si="20"/>
        <v>370.28571428571428</v>
      </c>
      <c r="Z28" s="16">
        <f t="shared" si="20"/>
        <v>237.57142857142858</v>
      </c>
      <c r="AA28" s="16">
        <f t="shared" si="20"/>
        <v>145.71428571428572</v>
      </c>
      <c r="AB28" s="16">
        <f t="shared" si="20"/>
        <v>241.42857142857142</v>
      </c>
      <c r="AC28" s="16">
        <f t="shared" si="20"/>
        <v>20668.714285714286</v>
      </c>
      <c r="AD28" s="16">
        <f t="shared" si="20"/>
        <v>8</v>
      </c>
      <c r="AE28" s="32">
        <f t="shared" si="20"/>
        <v>10493.857142857143</v>
      </c>
      <c r="AF28" s="32">
        <f t="shared" si="20"/>
        <v>31162.571428571428</v>
      </c>
    </row>
    <row r="29" spans="2:32" ht="23.1" customHeight="1" x14ac:dyDescent="0.25">
      <c r="B29" s="23" t="s">
        <v>56</v>
      </c>
      <c r="C29" s="49">
        <f>AVERAGE('29.07 Nsambya-ClockTower'!C29,'30.07 Nsambya-ClockTower'!C29,'31.07 Nsambya-ClockTower'!C29,'02.08 Nsambya-ClockTower'!C29,'01.08 Nsambya-ClockTower-24h'!C29,'03.08 Nsambya-ClockTower-24h'!C29,'04.08 Nsambya-ClockTower'!C29)</f>
        <v>69.142857142857139</v>
      </c>
      <c r="D29" s="49">
        <f>AVERAGE('29.07 Nsambya-ClockTower'!D29,'30.07 Nsambya-ClockTower'!D29,'31.07 Nsambya-ClockTower'!D29,'02.08 Nsambya-ClockTower'!D29,'01.08 Nsambya-ClockTower-24h'!D29,'03.08 Nsambya-ClockTower-24h'!D29,'04.08 Nsambya-ClockTower'!D29)</f>
        <v>26.857142857142858</v>
      </c>
      <c r="E29" s="49">
        <f>AVERAGE('29.07 Nsambya-ClockTower'!E29,'30.07 Nsambya-ClockTower'!E29,'31.07 Nsambya-ClockTower'!E29,'02.08 Nsambya-ClockTower'!E29,'01.08 Nsambya-ClockTower-24h'!E29,'03.08 Nsambya-ClockTower-24h'!E29,'04.08 Nsambya-ClockTower'!E29)</f>
        <v>11.714285714285714</v>
      </c>
      <c r="F29" s="49">
        <f>AVERAGE('29.07 Nsambya-ClockTower'!F29,'30.07 Nsambya-ClockTower'!F29,'31.07 Nsambya-ClockTower'!F29,'02.08 Nsambya-ClockTower'!F29,'01.08 Nsambya-ClockTower-24h'!F29,'03.08 Nsambya-ClockTower-24h'!F29,'04.08 Nsambya-ClockTower'!F29)</f>
        <v>91.142857142857139</v>
      </c>
      <c r="G29" s="49">
        <f>AVERAGE('29.07 Nsambya-ClockTower'!G29,'30.07 Nsambya-ClockTower'!G29,'31.07 Nsambya-ClockTower'!G29,'02.08 Nsambya-ClockTower'!G29,'01.08 Nsambya-ClockTower-24h'!G29,'03.08 Nsambya-ClockTower-24h'!G29,'04.08 Nsambya-ClockTower'!G29)</f>
        <v>1</v>
      </c>
      <c r="H29" s="49">
        <f>AVERAGE('29.07 Nsambya-ClockTower'!H29,'30.07 Nsambya-ClockTower'!H29,'31.07 Nsambya-ClockTower'!H29,'02.08 Nsambya-ClockTower'!H29,'01.08 Nsambya-ClockTower-24h'!H29,'03.08 Nsambya-ClockTower-24h'!H29,'04.08 Nsambya-ClockTower'!H29)</f>
        <v>0.42857142857142855</v>
      </c>
      <c r="I29" s="49">
        <f>AVERAGE('29.07 Nsambya-ClockTower'!I29,'30.07 Nsambya-ClockTower'!I29,'31.07 Nsambya-ClockTower'!I29,'02.08 Nsambya-ClockTower'!I29,'01.08 Nsambya-ClockTower-24h'!I29,'03.08 Nsambya-ClockTower-24h'!I29,'04.08 Nsambya-ClockTower'!I29)</f>
        <v>6.4285714285714288</v>
      </c>
      <c r="J29" s="49">
        <f>AVERAGE('29.07 Nsambya-ClockTower'!J29,'30.07 Nsambya-ClockTower'!J29,'31.07 Nsambya-ClockTower'!J29,'02.08 Nsambya-ClockTower'!J29,'01.08 Nsambya-ClockTower-24h'!J29,'03.08 Nsambya-ClockTower-24h'!J29,'04.08 Nsambya-ClockTower'!J29)</f>
        <v>6.1428571428571432</v>
      </c>
      <c r="K29" s="49">
        <f>AVERAGE('29.07 Nsambya-ClockTower'!K29,'30.07 Nsambya-ClockTower'!K29,'31.07 Nsambya-ClockTower'!K29,'02.08 Nsambya-ClockTower'!K29,'01.08 Nsambya-ClockTower-24h'!K29,'03.08 Nsambya-ClockTower-24h'!K29,'04.08 Nsambya-ClockTower'!K29)</f>
        <v>2.2857142857142856</v>
      </c>
      <c r="L29" s="49">
        <f>AVERAGE('29.07 Nsambya-ClockTower'!L29,'30.07 Nsambya-ClockTower'!L29,'31.07 Nsambya-ClockTower'!L29,'02.08 Nsambya-ClockTower'!L29,'01.08 Nsambya-ClockTower-24h'!L29,'03.08 Nsambya-ClockTower-24h'!L29,'04.08 Nsambya-ClockTower'!L29)</f>
        <v>3.2857142857142856</v>
      </c>
      <c r="M29" s="49">
        <f>AVERAGE('29.07 Nsambya-ClockTower'!M29,'30.07 Nsambya-ClockTower'!M29,'31.07 Nsambya-ClockTower'!M29,'02.08 Nsambya-ClockTower'!M29,'01.08 Nsambya-ClockTower-24h'!M29,'03.08 Nsambya-ClockTower-24h'!M29,'04.08 Nsambya-ClockTower'!M29)</f>
        <v>416.28571428571428</v>
      </c>
      <c r="N29" s="49">
        <f>AVERAGE('29.07 Nsambya-ClockTower'!N29,'30.07 Nsambya-ClockTower'!N29,'31.07 Nsambya-ClockTower'!N29,'02.08 Nsambya-ClockTower'!N29,'01.08 Nsambya-ClockTower-24h'!N29,'03.08 Nsambya-ClockTower-24h'!N29,'04.08 Nsambya-ClockTower'!N29)</f>
        <v>0.2857142857142857</v>
      </c>
      <c r="O29" s="15">
        <f t="shared" si="0"/>
        <v>218.71428571428564</v>
      </c>
      <c r="P29" s="15">
        <f t="shared" si="1"/>
        <v>635</v>
      </c>
      <c r="R29"/>
      <c r="S29" s="20"/>
      <c r="T29" s="19"/>
    </row>
    <row r="30" spans="2:32" ht="23.1" customHeight="1" x14ac:dyDescent="0.25">
      <c r="B30" s="23" t="s">
        <v>57</v>
      </c>
      <c r="C30" s="49">
        <f>AVERAGE('29.07 Nsambya-ClockTower'!C30,'30.07 Nsambya-ClockTower'!C30,'31.07 Nsambya-ClockTower'!C30,'02.08 Nsambya-ClockTower'!C30,'01.08 Nsambya-ClockTower-24h'!C30,'03.08 Nsambya-ClockTower-24h'!C30,'04.08 Nsambya-ClockTower'!C30)</f>
        <v>68.285714285714292</v>
      </c>
      <c r="D30" s="49">
        <f>AVERAGE('29.07 Nsambya-ClockTower'!D30,'30.07 Nsambya-ClockTower'!D30,'31.07 Nsambya-ClockTower'!D30,'02.08 Nsambya-ClockTower'!D30,'01.08 Nsambya-ClockTower-24h'!D30,'03.08 Nsambya-ClockTower-24h'!D30,'04.08 Nsambya-ClockTower'!D30)</f>
        <v>23.571428571428573</v>
      </c>
      <c r="E30" s="49">
        <f>AVERAGE('29.07 Nsambya-ClockTower'!E30,'30.07 Nsambya-ClockTower'!E30,'31.07 Nsambya-ClockTower'!E30,'02.08 Nsambya-ClockTower'!E30,'01.08 Nsambya-ClockTower-24h'!E30,'03.08 Nsambya-ClockTower-24h'!E30,'04.08 Nsambya-ClockTower'!E30)</f>
        <v>14.142857142857142</v>
      </c>
      <c r="F30" s="49">
        <f>AVERAGE('29.07 Nsambya-ClockTower'!F30,'30.07 Nsambya-ClockTower'!F30,'31.07 Nsambya-ClockTower'!F30,'02.08 Nsambya-ClockTower'!F30,'01.08 Nsambya-ClockTower-24h'!F30,'03.08 Nsambya-ClockTower-24h'!F30,'04.08 Nsambya-ClockTower'!F30)</f>
        <v>90.285714285714292</v>
      </c>
      <c r="G30" s="49">
        <f>AVERAGE('29.07 Nsambya-ClockTower'!G30,'30.07 Nsambya-ClockTower'!G30,'31.07 Nsambya-ClockTower'!G30,'02.08 Nsambya-ClockTower'!G30,'01.08 Nsambya-ClockTower-24h'!G30,'03.08 Nsambya-ClockTower-24h'!G30,'04.08 Nsambya-ClockTower'!G30)</f>
        <v>1.5714285714285714</v>
      </c>
      <c r="H30" s="49">
        <f>AVERAGE('29.07 Nsambya-ClockTower'!H30,'30.07 Nsambya-ClockTower'!H30,'31.07 Nsambya-ClockTower'!H30,'02.08 Nsambya-ClockTower'!H30,'01.08 Nsambya-ClockTower-24h'!H30,'03.08 Nsambya-ClockTower-24h'!H30,'04.08 Nsambya-ClockTower'!H30)</f>
        <v>0.42857142857142855</v>
      </c>
      <c r="I30" s="49">
        <f>AVERAGE('29.07 Nsambya-ClockTower'!I30,'30.07 Nsambya-ClockTower'!I30,'31.07 Nsambya-ClockTower'!I30,'02.08 Nsambya-ClockTower'!I30,'01.08 Nsambya-ClockTower-24h'!I30,'03.08 Nsambya-ClockTower-24h'!I30,'04.08 Nsambya-ClockTower'!I30)</f>
        <v>7.7142857142857144</v>
      </c>
      <c r="J30" s="49">
        <f>AVERAGE('29.07 Nsambya-ClockTower'!J30,'30.07 Nsambya-ClockTower'!J30,'31.07 Nsambya-ClockTower'!J30,'02.08 Nsambya-ClockTower'!J30,'01.08 Nsambya-ClockTower-24h'!J30,'03.08 Nsambya-ClockTower-24h'!J30,'04.08 Nsambya-ClockTower'!J30)</f>
        <v>5.4285714285714288</v>
      </c>
      <c r="K30" s="49">
        <f>AVERAGE('29.07 Nsambya-ClockTower'!K30,'30.07 Nsambya-ClockTower'!K30,'31.07 Nsambya-ClockTower'!K30,'02.08 Nsambya-ClockTower'!K30,'01.08 Nsambya-ClockTower-24h'!K30,'03.08 Nsambya-ClockTower-24h'!K30,'04.08 Nsambya-ClockTower'!K30)</f>
        <v>3</v>
      </c>
      <c r="L30" s="49">
        <f>AVERAGE('29.07 Nsambya-ClockTower'!L30,'30.07 Nsambya-ClockTower'!L30,'31.07 Nsambya-ClockTower'!L30,'02.08 Nsambya-ClockTower'!L30,'01.08 Nsambya-ClockTower-24h'!L30,'03.08 Nsambya-ClockTower-24h'!L30,'04.08 Nsambya-ClockTower'!L30)</f>
        <v>5.2857142857142856</v>
      </c>
      <c r="M30" s="49">
        <f>AVERAGE('29.07 Nsambya-ClockTower'!M30,'30.07 Nsambya-ClockTower'!M30,'31.07 Nsambya-ClockTower'!M30,'02.08 Nsambya-ClockTower'!M30,'01.08 Nsambya-ClockTower-24h'!M30,'03.08 Nsambya-ClockTower-24h'!M30,'04.08 Nsambya-ClockTower'!M30)</f>
        <v>430.57142857142856</v>
      </c>
      <c r="N30" s="49">
        <f>AVERAGE('29.07 Nsambya-ClockTower'!N30,'30.07 Nsambya-ClockTower'!N30,'31.07 Nsambya-ClockTower'!N30,'02.08 Nsambya-ClockTower'!N30,'01.08 Nsambya-ClockTower-24h'!N30,'03.08 Nsambya-ClockTower-24h'!N30,'04.08 Nsambya-ClockTower'!N30)</f>
        <v>0.2857142857142857</v>
      </c>
      <c r="O30" s="15">
        <f t="shared" si="0"/>
        <v>219.99999999999997</v>
      </c>
      <c r="P30" s="15">
        <f t="shared" si="1"/>
        <v>650.57142857142856</v>
      </c>
    </row>
    <row r="31" spans="2:32" ht="23.1" customHeight="1" x14ac:dyDescent="0.25">
      <c r="B31" s="24" t="s">
        <v>58</v>
      </c>
      <c r="C31" s="49">
        <f>AVERAGE('29.07 Nsambya-ClockTower'!C31,'30.07 Nsambya-ClockTower'!C31,'31.07 Nsambya-ClockTower'!C31,'02.08 Nsambya-ClockTower'!C31,'01.08 Nsambya-ClockTower-24h'!C31,'03.08 Nsambya-ClockTower-24h'!C31,'04.08 Nsambya-ClockTower'!C31)</f>
        <v>51.285714285714285</v>
      </c>
      <c r="D31" s="49">
        <f>AVERAGE('29.07 Nsambya-ClockTower'!D31,'30.07 Nsambya-ClockTower'!D31,'31.07 Nsambya-ClockTower'!D31,'02.08 Nsambya-ClockTower'!D31,'01.08 Nsambya-ClockTower-24h'!D31,'03.08 Nsambya-ClockTower-24h'!D31,'04.08 Nsambya-ClockTower'!D31)</f>
        <v>17.428571428571427</v>
      </c>
      <c r="E31" s="49">
        <f>AVERAGE('29.07 Nsambya-ClockTower'!E31,'30.07 Nsambya-ClockTower'!E31,'31.07 Nsambya-ClockTower'!E31,'02.08 Nsambya-ClockTower'!E31,'01.08 Nsambya-ClockTower-24h'!E31,'03.08 Nsambya-ClockTower-24h'!E31,'04.08 Nsambya-ClockTower'!E31)</f>
        <v>12.571428571428571</v>
      </c>
      <c r="F31" s="49">
        <f>AVERAGE('29.07 Nsambya-ClockTower'!F31,'30.07 Nsambya-ClockTower'!F31,'31.07 Nsambya-ClockTower'!F31,'02.08 Nsambya-ClockTower'!F31,'01.08 Nsambya-ClockTower-24h'!F31,'03.08 Nsambya-ClockTower-24h'!F31,'04.08 Nsambya-ClockTower'!F31)</f>
        <v>100.71428571428571</v>
      </c>
      <c r="G31" s="49">
        <f>AVERAGE('29.07 Nsambya-ClockTower'!G31,'30.07 Nsambya-ClockTower'!G31,'31.07 Nsambya-ClockTower'!G31,'02.08 Nsambya-ClockTower'!G31,'01.08 Nsambya-ClockTower-24h'!G31,'03.08 Nsambya-ClockTower-24h'!G31,'04.08 Nsambya-ClockTower'!G31)</f>
        <v>1.2857142857142858</v>
      </c>
      <c r="H31" s="49">
        <f>AVERAGE('29.07 Nsambya-ClockTower'!H31,'30.07 Nsambya-ClockTower'!H31,'31.07 Nsambya-ClockTower'!H31,'02.08 Nsambya-ClockTower'!H31,'01.08 Nsambya-ClockTower-24h'!H31,'03.08 Nsambya-ClockTower-24h'!H31,'04.08 Nsambya-ClockTower'!H31)</f>
        <v>0.2857142857142857</v>
      </c>
      <c r="I31" s="49">
        <f>AVERAGE('29.07 Nsambya-ClockTower'!I31,'30.07 Nsambya-ClockTower'!I31,'31.07 Nsambya-ClockTower'!I31,'02.08 Nsambya-ClockTower'!I31,'01.08 Nsambya-ClockTower-24h'!I31,'03.08 Nsambya-ClockTower-24h'!I31,'04.08 Nsambya-ClockTower'!I31)</f>
        <v>8.2857142857142865</v>
      </c>
      <c r="J31" s="49">
        <f>AVERAGE('29.07 Nsambya-ClockTower'!J31,'30.07 Nsambya-ClockTower'!J31,'31.07 Nsambya-ClockTower'!J31,'02.08 Nsambya-ClockTower'!J31,'01.08 Nsambya-ClockTower-24h'!J31,'03.08 Nsambya-ClockTower-24h'!J31,'04.08 Nsambya-ClockTower'!J31)</f>
        <v>3.8571428571428572</v>
      </c>
      <c r="K31" s="49">
        <f>AVERAGE('29.07 Nsambya-ClockTower'!K31,'30.07 Nsambya-ClockTower'!K31,'31.07 Nsambya-ClockTower'!K31,'02.08 Nsambya-ClockTower'!K31,'01.08 Nsambya-ClockTower-24h'!K31,'03.08 Nsambya-ClockTower-24h'!K31,'04.08 Nsambya-ClockTower'!K31)</f>
        <v>2.4285714285714284</v>
      </c>
      <c r="L31" s="49">
        <f>AVERAGE('29.07 Nsambya-ClockTower'!L31,'30.07 Nsambya-ClockTower'!L31,'31.07 Nsambya-ClockTower'!L31,'02.08 Nsambya-ClockTower'!L31,'01.08 Nsambya-ClockTower-24h'!L31,'03.08 Nsambya-ClockTower-24h'!L31,'04.08 Nsambya-ClockTower'!L31)</f>
        <v>4.2857142857142856</v>
      </c>
      <c r="M31" s="49">
        <f>AVERAGE('29.07 Nsambya-ClockTower'!M31,'30.07 Nsambya-ClockTower'!M31,'31.07 Nsambya-ClockTower'!M31,'02.08 Nsambya-ClockTower'!M31,'01.08 Nsambya-ClockTower-24h'!M31,'03.08 Nsambya-ClockTower-24h'!M31,'04.08 Nsambya-ClockTower'!M31)</f>
        <v>395.71428571428572</v>
      </c>
      <c r="N31" s="49">
        <f>AVERAGE('29.07 Nsambya-ClockTower'!N31,'30.07 Nsambya-ClockTower'!N31,'31.07 Nsambya-ClockTower'!N31,'02.08 Nsambya-ClockTower'!N31,'01.08 Nsambya-ClockTower-24h'!N31,'03.08 Nsambya-ClockTower-24h'!N31,'04.08 Nsambya-ClockTower'!N31)</f>
        <v>0.42857142857142855</v>
      </c>
      <c r="O31" s="15">
        <f t="shared" si="0"/>
        <v>202.8571428571428</v>
      </c>
      <c r="P31" s="15">
        <f t="shared" si="1"/>
        <v>598.57142857142856</v>
      </c>
    </row>
    <row r="32" spans="2:32" ht="23.1" customHeight="1" x14ac:dyDescent="0.25">
      <c r="B32" s="24" t="s">
        <v>59</v>
      </c>
      <c r="C32" s="49">
        <f>AVERAGE('29.07 Nsambya-ClockTower'!C32,'30.07 Nsambya-ClockTower'!C32,'31.07 Nsambya-ClockTower'!C32,'02.08 Nsambya-ClockTower'!C32,'01.08 Nsambya-ClockTower-24h'!C32,'03.08 Nsambya-ClockTower-24h'!C32,'04.08 Nsambya-ClockTower'!C32)</f>
        <v>65.285714285714292</v>
      </c>
      <c r="D32" s="49">
        <f>AVERAGE('29.07 Nsambya-ClockTower'!D32,'30.07 Nsambya-ClockTower'!D32,'31.07 Nsambya-ClockTower'!D32,'02.08 Nsambya-ClockTower'!D32,'01.08 Nsambya-ClockTower-24h'!D32,'03.08 Nsambya-ClockTower-24h'!D32,'04.08 Nsambya-ClockTower'!D32)</f>
        <v>21.285714285714285</v>
      </c>
      <c r="E32" s="49">
        <f>AVERAGE('29.07 Nsambya-ClockTower'!E32,'30.07 Nsambya-ClockTower'!E32,'31.07 Nsambya-ClockTower'!E32,'02.08 Nsambya-ClockTower'!E32,'01.08 Nsambya-ClockTower-24h'!E32,'03.08 Nsambya-ClockTower-24h'!E32,'04.08 Nsambya-ClockTower'!E32)</f>
        <v>10.857142857142858</v>
      </c>
      <c r="F32" s="49">
        <f>AVERAGE('29.07 Nsambya-ClockTower'!F32,'30.07 Nsambya-ClockTower'!F32,'31.07 Nsambya-ClockTower'!F32,'02.08 Nsambya-ClockTower'!F32,'01.08 Nsambya-ClockTower-24h'!F32,'03.08 Nsambya-ClockTower-24h'!F32,'04.08 Nsambya-ClockTower'!F32)</f>
        <v>96.857142857142861</v>
      </c>
      <c r="G32" s="49">
        <f>AVERAGE('29.07 Nsambya-ClockTower'!G32,'30.07 Nsambya-ClockTower'!G32,'31.07 Nsambya-ClockTower'!G32,'02.08 Nsambya-ClockTower'!G32,'01.08 Nsambya-ClockTower-24h'!G32,'03.08 Nsambya-ClockTower-24h'!G32,'04.08 Nsambya-ClockTower'!G32)</f>
        <v>1.1428571428571428</v>
      </c>
      <c r="H32" s="49">
        <f>AVERAGE('29.07 Nsambya-ClockTower'!H32,'30.07 Nsambya-ClockTower'!H32,'31.07 Nsambya-ClockTower'!H32,'02.08 Nsambya-ClockTower'!H32,'01.08 Nsambya-ClockTower-24h'!H32,'03.08 Nsambya-ClockTower-24h'!H32,'04.08 Nsambya-ClockTower'!H32)</f>
        <v>0.2857142857142857</v>
      </c>
      <c r="I32" s="49">
        <f>AVERAGE('29.07 Nsambya-ClockTower'!I32,'30.07 Nsambya-ClockTower'!I32,'31.07 Nsambya-ClockTower'!I32,'02.08 Nsambya-ClockTower'!I32,'01.08 Nsambya-ClockTower-24h'!I32,'03.08 Nsambya-ClockTower-24h'!I32,'04.08 Nsambya-ClockTower'!I32)</f>
        <v>6.7142857142857144</v>
      </c>
      <c r="J32" s="49">
        <f>AVERAGE('29.07 Nsambya-ClockTower'!J32,'30.07 Nsambya-ClockTower'!J32,'31.07 Nsambya-ClockTower'!J32,'02.08 Nsambya-ClockTower'!J32,'01.08 Nsambya-ClockTower-24h'!J32,'03.08 Nsambya-ClockTower-24h'!J32,'04.08 Nsambya-ClockTower'!J32)</f>
        <v>5.2857142857142856</v>
      </c>
      <c r="K32" s="49">
        <f>AVERAGE('29.07 Nsambya-ClockTower'!K32,'30.07 Nsambya-ClockTower'!K32,'31.07 Nsambya-ClockTower'!K32,'02.08 Nsambya-ClockTower'!K32,'01.08 Nsambya-ClockTower-24h'!K32,'03.08 Nsambya-ClockTower-24h'!K32,'04.08 Nsambya-ClockTower'!K32)</f>
        <v>2.5714285714285716</v>
      </c>
      <c r="L32" s="49">
        <f>AVERAGE('29.07 Nsambya-ClockTower'!L32,'30.07 Nsambya-ClockTower'!L32,'31.07 Nsambya-ClockTower'!L32,'02.08 Nsambya-ClockTower'!L32,'01.08 Nsambya-ClockTower-24h'!L32,'03.08 Nsambya-ClockTower-24h'!L32,'04.08 Nsambya-ClockTower'!L32)</f>
        <v>4.8571428571428568</v>
      </c>
      <c r="M32" s="49">
        <f>AVERAGE('29.07 Nsambya-ClockTower'!M32,'30.07 Nsambya-ClockTower'!M32,'31.07 Nsambya-ClockTower'!M32,'02.08 Nsambya-ClockTower'!M32,'01.08 Nsambya-ClockTower-24h'!M32,'03.08 Nsambya-ClockTower-24h'!M32,'04.08 Nsambya-ClockTower'!M32)</f>
        <v>387.57142857142856</v>
      </c>
      <c r="N32" s="49">
        <f>AVERAGE('29.07 Nsambya-ClockTower'!N32,'30.07 Nsambya-ClockTower'!N32,'31.07 Nsambya-ClockTower'!N32,'02.08 Nsambya-ClockTower'!N32,'01.08 Nsambya-ClockTower-24h'!N32,'03.08 Nsambya-ClockTower-24h'!N32,'04.08 Nsambya-ClockTower'!N32)</f>
        <v>0.14285714285714285</v>
      </c>
      <c r="O32" s="15">
        <f t="shared" si="0"/>
        <v>215.28571428571431</v>
      </c>
      <c r="P32" s="15">
        <f t="shared" si="1"/>
        <v>602.85714285714289</v>
      </c>
    </row>
    <row r="33" spans="2:20" ht="23.1" customHeight="1" x14ac:dyDescent="0.25">
      <c r="B33" s="23" t="s">
        <v>60</v>
      </c>
      <c r="C33" s="49">
        <f>AVERAGE('29.07 Nsambya-ClockTower'!C33,'30.07 Nsambya-ClockTower'!C33,'31.07 Nsambya-ClockTower'!C33,'02.08 Nsambya-ClockTower'!C33,'01.08 Nsambya-ClockTower-24h'!C33,'03.08 Nsambya-ClockTower-24h'!C33,'04.08 Nsambya-ClockTower'!C33)</f>
        <v>62.571428571428569</v>
      </c>
      <c r="D33" s="49">
        <f>AVERAGE('29.07 Nsambya-ClockTower'!D33,'30.07 Nsambya-ClockTower'!D33,'31.07 Nsambya-ClockTower'!D33,'02.08 Nsambya-ClockTower'!D33,'01.08 Nsambya-ClockTower-24h'!D33,'03.08 Nsambya-ClockTower-24h'!D33,'04.08 Nsambya-ClockTower'!D33)</f>
        <v>16.714285714285715</v>
      </c>
      <c r="E33" s="49">
        <f>AVERAGE('29.07 Nsambya-ClockTower'!E33,'30.07 Nsambya-ClockTower'!E33,'31.07 Nsambya-ClockTower'!E33,'02.08 Nsambya-ClockTower'!E33,'01.08 Nsambya-ClockTower-24h'!E33,'03.08 Nsambya-ClockTower-24h'!E33,'04.08 Nsambya-ClockTower'!E33)</f>
        <v>12.571428571428571</v>
      </c>
      <c r="F33" s="49">
        <f>AVERAGE('29.07 Nsambya-ClockTower'!F33,'30.07 Nsambya-ClockTower'!F33,'31.07 Nsambya-ClockTower'!F33,'02.08 Nsambya-ClockTower'!F33,'01.08 Nsambya-ClockTower-24h'!F33,'03.08 Nsambya-ClockTower-24h'!F33,'04.08 Nsambya-ClockTower'!F33)</f>
        <v>93.142857142857139</v>
      </c>
      <c r="G33" s="49">
        <f>AVERAGE('29.07 Nsambya-ClockTower'!G33,'30.07 Nsambya-ClockTower'!G33,'31.07 Nsambya-ClockTower'!G33,'02.08 Nsambya-ClockTower'!G33,'01.08 Nsambya-ClockTower-24h'!G33,'03.08 Nsambya-ClockTower-24h'!G33,'04.08 Nsambya-ClockTower'!G33)</f>
        <v>1.8571428571428572</v>
      </c>
      <c r="H33" s="49">
        <f>AVERAGE('29.07 Nsambya-ClockTower'!H33,'30.07 Nsambya-ClockTower'!H33,'31.07 Nsambya-ClockTower'!H33,'02.08 Nsambya-ClockTower'!H33,'01.08 Nsambya-ClockTower-24h'!H33,'03.08 Nsambya-ClockTower-24h'!H33,'04.08 Nsambya-ClockTower'!H33)</f>
        <v>0.8571428571428571</v>
      </c>
      <c r="I33" s="49">
        <f>AVERAGE('29.07 Nsambya-ClockTower'!I33,'30.07 Nsambya-ClockTower'!I33,'31.07 Nsambya-ClockTower'!I33,'02.08 Nsambya-ClockTower'!I33,'01.08 Nsambya-ClockTower-24h'!I33,'03.08 Nsambya-ClockTower-24h'!I33,'04.08 Nsambya-ClockTower'!I33)</f>
        <v>7</v>
      </c>
      <c r="J33" s="49">
        <f>AVERAGE('29.07 Nsambya-ClockTower'!J33,'30.07 Nsambya-ClockTower'!J33,'31.07 Nsambya-ClockTower'!J33,'02.08 Nsambya-ClockTower'!J33,'01.08 Nsambya-ClockTower-24h'!J33,'03.08 Nsambya-ClockTower-24h'!J33,'04.08 Nsambya-ClockTower'!J33)</f>
        <v>5.4285714285714288</v>
      </c>
      <c r="K33" s="49">
        <f>AVERAGE('29.07 Nsambya-ClockTower'!K33,'30.07 Nsambya-ClockTower'!K33,'31.07 Nsambya-ClockTower'!K33,'02.08 Nsambya-ClockTower'!K33,'01.08 Nsambya-ClockTower-24h'!K33,'03.08 Nsambya-ClockTower-24h'!K33,'04.08 Nsambya-ClockTower'!K33)</f>
        <v>3.1428571428571428</v>
      </c>
      <c r="L33" s="49">
        <f>AVERAGE('29.07 Nsambya-ClockTower'!L33,'30.07 Nsambya-ClockTower'!L33,'31.07 Nsambya-ClockTower'!L33,'02.08 Nsambya-ClockTower'!L33,'01.08 Nsambya-ClockTower-24h'!L33,'03.08 Nsambya-ClockTower-24h'!L33,'04.08 Nsambya-ClockTower'!L33)</f>
        <v>2.8571428571428572</v>
      </c>
      <c r="M33" s="49">
        <f>AVERAGE('29.07 Nsambya-ClockTower'!M33,'30.07 Nsambya-ClockTower'!M33,'31.07 Nsambya-ClockTower'!M33,'02.08 Nsambya-ClockTower'!M33,'01.08 Nsambya-ClockTower-24h'!M33,'03.08 Nsambya-ClockTower-24h'!M33,'04.08 Nsambya-ClockTower'!M33)</f>
        <v>411.85714285714283</v>
      </c>
      <c r="N33" s="49">
        <f>AVERAGE('29.07 Nsambya-ClockTower'!N33,'30.07 Nsambya-ClockTower'!N33,'31.07 Nsambya-ClockTower'!N33,'02.08 Nsambya-ClockTower'!N33,'01.08 Nsambya-ClockTower-24h'!N33,'03.08 Nsambya-ClockTower-24h'!N33,'04.08 Nsambya-ClockTower'!N33)</f>
        <v>0</v>
      </c>
      <c r="O33" s="15">
        <f t="shared" si="0"/>
        <v>206.14285714285714</v>
      </c>
      <c r="P33" s="15">
        <f t="shared" si="1"/>
        <v>618</v>
      </c>
    </row>
    <row r="34" spans="2:20" ht="23.1" customHeight="1" x14ac:dyDescent="0.25">
      <c r="B34" s="24" t="s">
        <v>61</v>
      </c>
      <c r="C34" s="49">
        <f>AVERAGE('29.07 Nsambya-ClockTower'!C34,'30.07 Nsambya-ClockTower'!C34,'31.07 Nsambya-ClockTower'!C34,'02.08 Nsambya-ClockTower'!C34,'01.08 Nsambya-ClockTower-24h'!C34,'03.08 Nsambya-ClockTower-24h'!C34,'04.08 Nsambya-ClockTower'!C34)</f>
        <v>75.714285714285708</v>
      </c>
      <c r="D34" s="49">
        <f>AVERAGE('29.07 Nsambya-ClockTower'!D34,'30.07 Nsambya-ClockTower'!D34,'31.07 Nsambya-ClockTower'!D34,'02.08 Nsambya-ClockTower'!D34,'01.08 Nsambya-ClockTower-24h'!D34,'03.08 Nsambya-ClockTower-24h'!D34,'04.08 Nsambya-ClockTower'!D34)</f>
        <v>19.714285714285715</v>
      </c>
      <c r="E34" s="49">
        <f>AVERAGE('29.07 Nsambya-ClockTower'!E34,'30.07 Nsambya-ClockTower'!E34,'31.07 Nsambya-ClockTower'!E34,'02.08 Nsambya-ClockTower'!E34,'01.08 Nsambya-ClockTower-24h'!E34,'03.08 Nsambya-ClockTower-24h'!E34,'04.08 Nsambya-ClockTower'!E34)</f>
        <v>12.714285714285714</v>
      </c>
      <c r="F34" s="49">
        <f>AVERAGE('29.07 Nsambya-ClockTower'!F34,'30.07 Nsambya-ClockTower'!F34,'31.07 Nsambya-ClockTower'!F34,'02.08 Nsambya-ClockTower'!F34,'01.08 Nsambya-ClockTower-24h'!F34,'03.08 Nsambya-ClockTower-24h'!F34,'04.08 Nsambya-ClockTower'!F34)</f>
        <v>96.428571428571431</v>
      </c>
      <c r="G34" s="49">
        <f>AVERAGE('29.07 Nsambya-ClockTower'!G34,'30.07 Nsambya-ClockTower'!G34,'31.07 Nsambya-ClockTower'!G34,'02.08 Nsambya-ClockTower'!G34,'01.08 Nsambya-ClockTower-24h'!G34,'03.08 Nsambya-ClockTower-24h'!G34,'04.08 Nsambya-ClockTower'!G34)</f>
        <v>0.7142857142857143</v>
      </c>
      <c r="H34" s="49">
        <f>AVERAGE('29.07 Nsambya-ClockTower'!H34,'30.07 Nsambya-ClockTower'!H34,'31.07 Nsambya-ClockTower'!H34,'02.08 Nsambya-ClockTower'!H34,'01.08 Nsambya-ClockTower-24h'!H34,'03.08 Nsambya-ClockTower-24h'!H34,'04.08 Nsambya-ClockTower'!H34)</f>
        <v>0.14285714285714285</v>
      </c>
      <c r="I34" s="49">
        <f>AVERAGE('29.07 Nsambya-ClockTower'!I34,'30.07 Nsambya-ClockTower'!I34,'31.07 Nsambya-ClockTower'!I34,'02.08 Nsambya-ClockTower'!I34,'01.08 Nsambya-ClockTower-24h'!I34,'03.08 Nsambya-ClockTower-24h'!I34,'04.08 Nsambya-ClockTower'!I34)</f>
        <v>9.4285714285714288</v>
      </c>
      <c r="J34" s="49">
        <f>AVERAGE('29.07 Nsambya-ClockTower'!J34,'30.07 Nsambya-ClockTower'!J34,'31.07 Nsambya-ClockTower'!J34,'02.08 Nsambya-ClockTower'!J34,'01.08 Nsambya-ClockTower-24h'!J34,'03.08 Nsambya-ClockTower-24h'!J34,'04.08 Nsambya-ClockTower'!J34)</f>
        <v>6.1428571428571432</v>
      </c>
      <c r="K34" s="49">
        <f>AVERAGE('29.07 Nsambya-ClockTower'!K34,'30.07 Nsambya-ClockTower'!K34,'31.07 Nsambya-ClockTower'!K34,'02.08 Nsambya-ClockTower'!K34,'01.08 Nsambya-ClockTower-24h'!K34,'03.08 Nsambya-ClockTower-24h'!K34,'04.08 Nsambya-ClockTower'!K34)</f>
        <v>4.5714285714285712</v>
      </c>
      <c r="L34" s="49">
        <f>AVERAGE('29.07 Nsambya-ClockTower'!L34,'30.07 Nsambya-ClockTower'!L34,'31.07 Nsambya-ClockTower'!L34,'02.08 Nsambya-ClockTower'!L34,'01.08 Nsambya-ClockTower-24h'!L34,'03.08 Nsambya-ClockTower-24h'!L34,'04.08 Nsambya-ClockTower'!L34)</f>
        <v>5.5714285714285712</v>
      </c>
      <c r="M34" s="49">
        <f>AVERAGE('29.07 Nsambya-ClockTower'!M34,'30.07 Nsambya-ClockTower'!M34,'31.07 Nsambya-ClockTower'!M34,'02.08 Nsambya-ClockTower'!M34,'01.08 Nsambya-ClockTower-24h'!M34,'03.08 Nsambya-ClockTower-24h'!M34,'04.08 Nsambya-ClockTower'!M34)</f>
        <v>402.42857142857144</v>
      </c>
      <c r="N34" s="49">
        <f>AVERAGE('29.07 Nsambya-ClockTower'!N34,'30.07 Nsambya-ClockTower'!N34,'31.07 Nsambya-ClockTower'!N34,'02.08 Nsambya-ClockTower'!N34,'01.08 Nsambya-ClockTower-24h'!N34,'03.08 Nsambya-ClockTower-24h'!N34,'04.08 Nsambya-ClockTower'!N34)</f>
        <v>0.42857142857142855</v>
      </c>
      <c r="O34" s="15">
        <f t="shared" si="0"/>
        <v>231.57142857142856</v>
      </c>
      <c r="P34" s="15">
        <f t="shared" si="1"/>
        <v>634</v>
      </c>
    </row>
    <row r="35" spans="2:20" ht="23.1" customHeight="1" x14ac:dyDescent="0.25">
      <c r="B35" s="24" t="s">
        <v>62</v>
      </c>
      <c r="C35" s="49">
        <f>AVERAGE('29.07 Nsambya-ClockTower'!C35,'30.07 Nsambya-ClockTower'!C35,'31.07 Nsambya-ClockTower'!C35,'02.08 Nsambya-ClockTower'!C35,'01.08 Nsambya-ClockTower-24h'!C35,'03.08 Nsambya-ClockTower-24h'!C35,'04.08 Nsambya-ClockTower'!C35)</f>
        <v>61.428571428571431</v>
      </c>
      <c r="D35" s="49">
        <f>AVERAGE('29.07 Nsambya-ClockTower'!D35,'30.07 Nsambya-ClockTower'!D35,'31.07 Nsambya-ClockTower'!D35,'02.08 Nsambya-ClockTower'!D35,'01.08 Nsambya-ClockTower-24h'!D35,'03.08 Nsambya-ClockTower-24h'!D35,'04.08 Nsambya-ClockTower'!D35)</f>
        <v>13.714285714285714</v>
      </c>
      <c r="E35" s="49">
        <f>AVERAGE('29.07 Nsambya-ClockTower'!E35,'30.07 Nsambya-ClockTower'!E35,'31.07 Nsambya-ClockTower'!E35,'02.08 Nsambya-ClockTower'!E35,'01.08 Nsambya-ClockTower-24h'!E35,'03.08 Nsambya-ClockTower-24h'!E35,'04.08 Nsambya-ClockTower'!E35)</f>
        <v>14.142857142857142</v>
      </c>
      <c r="F35" s="49">
        <f>AVERAGE('29.07 Nsambya-ClockTower'!F35,'30.07 Nsambya-ClockTower'!F35,'31.07 Nsambya-ClockTower'!F35,'02.08 Nsambya-ClockTower'!F35,'01.08 Nsambya-ClockTower-24h'!F35,'03.08 Nsambya-ClockTower-24h'!F35,'04.08 Nsambya-ClockTower'!F35)</f>
        <v>105.28571428571429</v>
      </c>
      <c r="G35" s="49">
        <f>AVERAGE('29.07 Nsambya-ClockTower'!G35,'30.07 Nsambya-ClockTower'!G35,'31.07 Nsambya-ClockTower'!G35,'02.08 Nsambya-ClockTower'!G35,'01.08 Nsambya-ClockTower-24h'!G35,'03.08 Nsambya-ClockTower-24h'!G35,'04.08 Nsambya-ClockTower'!G35)</f>
        <v>3.2857142857142856</v>
      </c>
      <c r="H35" s="49">
        <f>AVERAGE('29.07 Nsambya-ClockTower'!H35,'30.07 Nsambya-ClockTower'!H35,'31.07 Nsambya-ClockTower'!H35,'02.08 Nsambya-ClockTower'!H35,'01.08 Nsambya-ClockTower-24h'!H35,'03.08 Nsambya-ClockTower-24h'!H35,'04.08 Nsambya-ClockTower'!H35)</f>
        <v>0.14285714285714285</v>
      </c>
      <c r="I35" s="49">
        <f>AVERAGE('29.07 Nsambya-ClockTower'!I35,'30.07 Nsambya-ClockTower'!I35,'31.07 Nsambya-ClockTower'!I35,'02.08 Nsambya-ClockTower'!I35,'01.08 Nsambya-ClockTower-24h'!I35,'03.08 Nsambya-ClockTower-24h'!I35,'04.08 Nsambya-ClockTower'!I35)</f>
        <v>7.2857142857142856</v>
      </c>
      <c r="J35" s="49">
        <f>AVERAGE('29.07 Nsambya-ClockTower'!J35,'30.07 Nsambya-ClockTower'!J35,'31.07 Nsambya-ClockTower'!J35,'02.08 Nsambya-ClockTower'!J35,'01.08 Nsambya-ClockTower-24h'!J35,'03.08 Nsambya-ClockTower-24h'!J35,'04.08 Nsambya-ClockTower'!J35)</f>
        <v>4.7142857142857144</v>
      </c>
      <c r="K35" s="49">
        <f>AVERAGE('29.07 Nsambya-ClockTower'!K35,'30.07 Nsambya-ClockTower'!K35,'31.07 Nsambya-ClockTower'!K35,'02.08 Nsambya-ClockTower'!K35,'01.08 Nsambya-ClockTower-24h'!K35,'03.08 Nsambya-ClockTower-24h'!K35,'04.08 Nsambya-ClockTower'!K35)</f>
        <v>3</v>
      </c>
      <c r="L35" s="49">
        <f>AVERAGE('29.07 Nsambya-ClockTower'!L35,'30.07 Nsambya-ClockTower'!L35,'31.07 Nsambya-ClockTower'!L35,'02.08 Nsambya-ClockTower'!L35,'01.08 Nsambya-ClockTower-24h'!L35,'03.08 Nsambya-ClockTower-24h'!L35,'04.08 Nsambya-ClockTower'!L35)</f>
        <v>6.4285714285714288</v>
      </c>
      <c r="M35" s="49">
        <f>AVERAGE('29.07 Nsambya-ClockTower'!M35,'30.07 Nsambya-ClockTower'!M35,'31.07 Nsambya-ClockTower'!M35,'02.08 Nsambya-ClockTower'!M35,'01.08 Nsambya-ClockTower-24h'!M35,'03.08 Nsambya-ClockTower-24h'!M35,'04.08 Nsambya-ClockTower'!M35)</f>
        <v>385.28571428571428</v>
      </c>
      <c r="N35" s="49">
        <f>AVERAGE('29.07 Nsambya-ClockTower'!N35,'30.07 Nsambya-ClockTower'!N35,'31.07 Nsambya-ClockTower'!N35,'02.08 Nsambya-ClockTower'!N35,'01.08 Nsambya-ClockTower-24h'!N35,'03.08 Nsambya-ClockTower-24h'!N35,'04.08 Nsambya-ClockTower'!N35)</f>
        <v>0.14285714285714285</v>
      </c>
      <c r="O35" s="15">
        <f t="shared" si="0"/>
        <v>219.57142857142853</v>
      </c>
      <c r="P35" s="15">
        <f t="shared" si="1"/>
        <v>604.85714285714278</v>
      </c>
    </row>
    <row r="36" spans="2:20" ht="23.1" customHeight="1" x14ac:dyDescent="0.25">
      <c r="B36" s="24" t="s">
        <v>63</v>
      </c>
      <c r="C36" s="49">
        <f>AVERAGE('29.07 Nsambya-ClockTower'!C36,'30.07 Nsambya-ClockTower'!C36,'31.07 Nsambya-ClockTower'!C36,'02.08 Nsambya-ClockTower'!C36,'01.08 Nsambya-ClockTower-24h'!C36,'03.08 Nsambya-ClockTower-24h'!C36,'04.08 Nsambya-ClockTower'!C36)</f>
        <v>61.428571428571431</v>
      </c>
      <c r="D36" s="49">
        <f>AVERAGE('29.07 Nsambya-ClockTower'!D36,'30.07 Nsambya-ClockTower'!D36,'31.07 Nsambya-ClockTower'!D36,'02.08 Nsambya-ClockTower'!D36,'01.08 Nsambya-ClockTower-24h'!D36,'03.08 Nsambya-ClockTower-24h'!D36,'04.08 Nsambya-ClockTower'!D36)</f>
        <v>15.428571428571429</v>
      </c>
      <c r="E36" s="49">
        <f>AVERAGE('29.07 Nsambya-ClockTower'!E36,'30.07 Nsambya-ClockTower'!E36,'31.07 Nsambya-ClockTower'!E36,'02.08 Nsambya-ClockTower'!E36,'01.08 Nsambya-ClockTower-24h'!E36,'03.08 Nsambya-ClockTower-24h'!E36,'04.08 Nsambya-ClockTower'!E36)</f>
        <v>13.571428571428571</v>
      </c>
      <c r="F36" s="49">
        <f>AVERAGE('29.07 Nsambya-ClockTower'!F36,'30.07 Nsambya-ClockTower'!F36,'31.07 Nsambya-ClockTower'!F36,'02.08 Nsambya-ClockTower'!F36,'01.08 Nsambya-ClockTower-24h'!F36,'03.08 Nsambya-ClockTower-24h'!F36,'04.08 Nsambya-ClockTower'!F36)</f>
        <v>87</v>
      </c>
      <c r="G36" s="49">
        <f>AVERAGE('29.07 Nsambya-ClockTower'!G36,'30.07 Nsambya-ClockTower'!G36,'31.07 Nsambya-ClockTower'!G36,'02.08 Nsambya-ClockTower'!G36,'01.08 Nsambya-ClockTower-24h'!G36,'03.08 Nsambya-ClockTower-24h'!G36,'04.08 Nsambya-ClockTower'!G36)</f>
        <v>2.4285714285714284</v>
      </c>
      <c r="H36" s="49">
        <f>AVERAGE('29.07 Nsambya-ClockTower'!H36,'30.07 Nsambya-ClockTower'!H36,'31.07 Nsambya-ClockTower'!H36,'02.08 Nsambya-ClockTower'!H36,'01.08 Nsambya-ClockTower-24h'!H36,'03.08 Nsambya-ClockTower-24h'!H36,'04.08 Nsambya-ClockTower'!H36)</f>
        <v>0.14285714285714285</v>
      </c>
      <c r="I36" s="49">
        <f>AVERAGE('29.07 Nsambya-ClockTower'!I36,'30.07 Nsambya-ClockTower'!I36,'31.07 Nsambya-ClockTower'!I36,'02.08 Nsambya-ClockTower'!I36,'01.08 Nsambya-ClockTower-24h'!I36,'03.08 Nsambya-ClockTower-24h'!I36,'04.08 Nsambya-ClockTower'!I36)</f>
        <v>8</v>
      </c>
      <c r="J36" s="49">
        <f>AVERAGE('29.07 Nsambya-ClockTower'!J36,'30.07 Nsambya-ClockTower'!J36,'31.07 Nsambya-ClockTower'!J36,'02.08 Nsambya-ClockTower'!J36,'01.08 Nsambya-ClockTower-24h'!J36,'03.08 Nsambya-ClockTower-24h'!J36,'04.08 Nsambya-ClockTower'!J36)</f>
        <v>3.5714285714285716</v>
      </c>
      <c r="K36" s="49">
        <f>AVERAGE('29.07 Nsambya-ClockTower'!K36,'30.07 Nsambya-ClockTower'!K36,'31.07 Nsambya-ClockTower'!K36,'02.08 Nsambya-ClockTower'!K36,'01.08 Nsambya-ClockTower-24h'!K36,'03.08 Nsambya-ClockTower-24h'!K36,'04.08 Nsambya-ClockTower'!K36)</f>
        <v>3.1428571428571428</v>
      </c>
      <c r="L36" s="49">
        <f>AVERAGE('29.07 Nsambya-ClockTower'!L36,'30.07 Nsambya-ClockTower'!L36,'31.07 Nsambya-ClockTower'!L36,'02.08 Nsambya-ClockTower'!L36,'01.08 Nsambya-ClockTower-24h'!L36,'03.08 Nsambya-ClockTower-24h'!L36,'04.08 Nsambya-ClockTower'!L36)</f>
        <v>4.1428571428571432</v>
      </c>
      <c r="M36" s="49">
        <f>AVERAGE('29.07 Nsambya-ClockTower'!M36,'30.07 Nsambya-ClockTower'!M36,'31.07 Nsambya-ClockTower'!M36,'02.08 Nsambya-ClockTower'!M36,'01.08 Nsambya-ClockTower-24h'!M36,'03.08 Nsambya-ClockTower-24h'!M36,'04.08 Nsambya-ClockTower'!M36)</f>
        <v>391.85714285714283</v>
      </c>
      <c r="N36" s="49">
        <f>AVERAGE('29.07 Nsambya-ClockTower'!N36,'30.07 Nsambya-ClockTower'!N36,'31.07 Nsambya-ClockTower'!N36,'02.08 Nsambya-ClockTower'!N36,'01.08 Nsambya-ClockTower-24h'!N36,'03.08 Nsambya-ClockTower-24h'!N36,'04.08 Nsambya-ClockTower'!N36)</f>
        <v>0.14285714285714285</v>
      </c>
      <c r="O36" s="15">
        <f t="shared" si="0"/>
        <v>199</v>
      </c>
      <c r="P36" s="15">
        <f t="shared" si="1"/>
        <v>590.85714285714278</v>
      </c>
    </row>
    <row r="37" spans="2:20" ht="23.1" customHeight="1" x14ac:dyDescent="0.25">
      <c r="B37" s="23" t="s">
        <v>64</v>
      </c>
      <c r="C37" s="49">
        <f>AVERAGE('29.07 Nsambya-ClockTower'!C37,'30.07 Nsambya-ClockTower'!C37,'31.07 Nsambya-ClockTower'!C37,'02.08 Nsambya-ClockTower'!C37,'01.08 Nsambya-ClockTower-24h'!C37,'03.08 Nsambya-ClockTower-24h'!C37,'04.08 Nsambya-ClockTower'!C37)</f>
        <v>73.142857142857139</v>
      </c>
      <c r="D37" s="49">
        <f>AVERAGE('29.07 Nsambya-ClockTower'!D37,'30.07 Nsambya-ClockTower'!D37,'31.07 Nsambya-ClockTower'!D37,'02.08 Nsambya-ClockTower'!D37,'01.08 Nsambya-ClockTower-24h'!D37,'03.08 Nsambya-ClockTower-24h'!D37,'04.08 Nsambya-ClockTower'!D37)</f>
        <v>16.714285714285715</v>
      </c>
      <c r="E37" s="49">
        <f>AVERAGE('29.07 Nsambya-ClockTower'!E37,'30.07 Nsambya-ClockTower'!E37,'31.07 Nsambya-ClockTower'!E37,'02.08 Nsambya-ClockTower'!E37,'01.08 Nsambya-ClockTower-24h'!E37,'03.08 Nsambya-ClockTower-24h'!E37,'04.08 Nsambya-ClockTower'!E37)</f>
        <v>13</v>
      </c>
      <c r="F37" s="49">
        <f>AVERAGE('29.07 Nsambya-ClockTower'!F37,'30.07 Nsambya-ClockTower'!F37,'31.07 Nsambya-ClockTower'!F37,'02.08 Nsambya-ClockTower'!F37,'01.08 Nsambya-ClockTower-24h'!F37,'03.08 Nsambya-ClockTower-24h'!F37,'04.08 Nsambya-ClockTower'!F37)</f>
        <v>112</v>
      </c>
      <c r="G37" s="49">
        <f>AVERAGE('29.07 Nsambya-ClockTower'!G37,'30.07 Nsambya-ClockTower'!G37,'31.07 Nsambya-ClockTower'!G37,'02.08 Nsambya-ClockTower'!G37,'01.08 Nsambya-ClockTower-24h'!G37,'03.08 Nsambya-ClockTower-24h'!G37,'04.08 Nsambya-ClockTower'!G37)</f>
        <v>2.5714285714285716</v>
      </c>
      <c r="H37" s="49">
        <f>AVERAGE('29.07 Nsambya-ClockTower'!H37,'30.07 Nsambya-ClockTower'!H37,'31.07 Nsambya-ClockTower'!H37,'02.08 Nsambya-ClockTower'!H37,'01.08 Nsambya-ClockTower-24h'!H37,'03.08 Nsambya-ClockTower-24h'!H37,'04.08 Nsambya-ClockTower'!H37)</f>
        <v>0.2857142857142857</v>
      </c>
      <c r="I37" s="49">
        <f>AVERAGE('29.07 Nsambya-ClockTower'!I37,'30.07 Nsambya-ClockTower'!I37,'31.07 Nsambya-ClockTower'!I37,'02.08 Nsambya-ClockTower'!I37,'01.08 Nsambya-ClockTower-24h'!I37,'03.08 Nsambya-ClockTower-24h'!I37,'04.08 Nsambya-ClockTower'!I37)</f>
        <v>11.428571428571429</v>
      </c>
      <c r="J37" s="49">
        <f>AVERAGE('29.07 Nsambya-ClockTower'!J37,'30.07 Nsambya-ClockTower'!J37,'31.07 Nsambya-ClockTower'!J37,'02.08 Nsambya-ClockTower'!J37,'01.08 Nsambya-ClockTower-24h'!J37,'03.08 Nsambya-ClockTower-24h'!J37,'04.08 Nsambya-ClockTower'!J37)</f>
        <v>5</v>
      </c>
      <c r="K37" s="49">
        <f>AVERAGE('29.07 Nsambya-ClockTower'!K37,'30.07 Nsambya-ClockTower'!K37,'31.07 Nsambya-ClockTower'!K37,'02.08 Nsambya-ClockTower'!K37,'01.08 Nsambya-ClockTower-24h'!K37,'03.08 Nsambya-ClockTower-24h'!K37,'04.08 Nsambya-ClockTower'!K37)</f>
        <v>3.5714285714285716</v>
      </c>
      <c r="L37" s="49">
        <f>AVERAGE('29.07 Nsambya-ClockTower'!L37,'30.07 Nsambya-ClockTower'!L37,'31.07 Nsambya-ClockTower'!L37,'02.08 Nsambya-ClockTower'!L37,'01.08 Nsambya-ClockTower-24h'!L37,'03.08 Nsambya-ClockTower-24h'!L37,'04.08 Nsambya-ClockTower'!L37)</f>
        <v>3.1428571428571428</v>
      </c>
      <c r="M37" s="49">
        <f>AVERAGE('29.07 Nsambya-ClockTower'!M37,'30.07 Nsambya-ClockTower'!M37,'31.07 Nsambya-ClockTower'!M37,'02.08 Nsambya-ClockTower'!M37,'01.08 Nsambya-ClockTower-24h'!M37,'03.08 Nsambya-ClockTower-24h'!M37,'04.08 Nsambya-ClockTower'!M37)</f>
        <v>407.71428571428572</v>
      </c>
      <c r="N37" s="49">
        <f>AVERAGE('29.07 Nsambya-ClockTower'!N37,'30.07 Nsambya-ClockTower'!N37,'31.07 Nsambya-ClockTower'!N37,'02.08 Nsambya-ClockTower'!N37,'01.08 Nsambya-ClockTower-24h'!N37,'03.08 Nsambya-ClockTower-24h'!N37,'04.08 Nsambya-ClockTower'!N37)</f>
        <v>0</v>
      </c>
      <c r="O37" s="15">
        <f t="shared" si="0"/>
        <v>240.85714285714286</v>
      </c>
      <c r="P37" s="15">
        <f t="shared" si="1"/>
        <v>648.57142857142856</v>
      </c>
    </row>
    <row r="38" spans="2:20" ht="23.1" customHeight="1" x14ac:dyDescent="0.25">
      <c r="B38" s="24" t="s">
        <v>65</v>
      </c>
      <c r="C38" s="49">
        <f>AVERAGE('29.07 Nsambya-ClockTower'!C38,'30.07 Nsambya-ClockTower'!C38,'31.07 Nsambya-ClockTower'!C38,'02.08 Nsambya-ClockTower'!C38,'01.08 Nsambya-ClockTower-24h'!C38,'03.08 Nsambya-ClockTower-24h'!C38,'04.08 Nsambya-ClockTower'!C38)</f>
        <v>82.285714285714292</v>
      </c>
      <c r="D38" s="49">
        <f>AVERAGE('29.07 Nsambya-ClockTower'!D38,'30.07 Nsambya-ClockTower'!D38,'31.07 Nsambya-ClockTower'!D38,'02.08 Nsambya-ClockTower'!D38,'01.08 Nsambya-ClockTower-24h'!D38,'03.08 Nsambya-ClockTower-24h'!D38,'04.08 Nsambya-ClockTower'!D38)</f>
        <v>16.142857142857142</v>
      </c>
      <c r="E38" s="49">
        <f>AVERAGE('29.07 Nsambya-ClockTower'!E38,'30.07 Nsambya-ClockTower'!E38,'31.07 Nsambya-ClockTower'!E38,'02.08 Nsambya-ClockTower'!E38,'01.08 Nsambya-ClockTower-24h'!E38,'03.08 Nsambya-ClockTower-24h'!E38,'04.08 Nsambya-ClockTower'!E38)</f>
        <v>15</v>
      </c>
      <c r="F38" s="49">
        <f>AVERAGE('29.07 Nsambya-ClockTower'!F38,'30.07 Nsambya-ClockTower'!F38,'31.07 Nsambya-ClockTower'!F38,'02.08 Nsambya-ClockTower'!F38,'01.08 Nsambya-ClockTower-24h'!F38,'03.08 Nsambya-ClockTower-24h'!F38,'04.08 Nsambya-ClockTower'!F38)</f>
        <v>86.428571428571431</v>
      </c>
      <c r="G38" s="49">
        <f>AVERAGE('29.07 Nsambya-ClockTower'!G38,'30.07 Nsambya-ClockTower'!G38,'31.07 Nsambya-ClockTower'!G38,'02.08 Nsambya-ClockTower'!G38,'01.08 Nsambya-ClockTower-24h'!G38,'03.08 Nsambya-ClockTower-24h'!G38,'04.08 Nsambya-ClockTower'!G38)</f>
        <v>1.7142857142857142</v>
      </c>
      <c r="H38" s="49">
        <f>AVERAGE('29.07 Nsambya-ClockTower'!H38,'30.07 Nsambya-ClockTower'!H38,'31.07 Nsambya-ClockTower'!H38,'02.08 Nsambya-ClockTower'!H38,'01.08 Nsambya-ClockTower-24h'!H38,'03.08 Nsambya-ClockTower-24h'!H38,'04.08 Nsambya-ClockTower'!H38)</f>
        <v>0.14285714285714285</v>
      </c>
      <c r="I38" s="49">
        <f>AVERAGE('29.07 Nsambya-ClockTower'!I38,'30.07 Nsambya-ClockTower'!I38,'31.07 Nsambya-ClockTower'!I38,'02.08 Nsambya-ClockTower'!I38,'01.08 Nsambya-ClockTower-24h'!I38,'03.08 Nsambya-ClockTower-24h'!I38,'04.08 Nsambya-ClockTower'!I38)</f>
        <v>6.7142857142857144</v>
      </c>
      <c r="J38" s="49">
        <f>AVERAGE('29.07 Nsambya-ClockTower'!J38,'30.07 Nsambya-ClockTower'!J38,'31.07 Nsambya-ClockTower'!J38,'02.08 Nsambya-ClockTower'!J38,'01.08 Nsambya-ClockTower-24h'!J38,'03.08 Nsambya-ClockTower-24h'!J38,'04.08 Nsambya-ClockTower'!J38)</f>
        <v>4.5714285714285712</v>
      </c>
      <c r="K38" s="49">
        <f>AVERAGE('29.07 Nsambya-ClockTower'!K38,'30.07 Nsambya-ClockTower'!K38,'31.07 Nsambya-ClockTower'!K38,'02.08 Nsambya-ClockTower'!K38,'01.08 Nsambya-ClockTower-24h'!K38,'03.08 Nsambya-ClockTower-24h'!K38,'04.08 Nsambya-ClockTower'!K38)</f>
        <v>3</v>
      </c>
      <c r="L38" s="49">
        <f>AVERAGE('29.07 Nsambya-ClockTower'!L38,'30.07 Nsambya-ClockTower'!L38,'31.07 Nsambya-ClockTower'!L38,'02.08 Nsambya-ClockTower'!L38,'01.08 Nsambya-ClockTower-24h'!L38,'03.08 Nsambya-ClockTower-24h'!L38,'04.08 Nsambya-ClockTower'!L38)</f>
        <v>4.4285714285714288</v>
      </c>
      <c r="M38" s="49">
        <f>AVERAGE('29.07 Nsambya-ClockTower'!M38,'30.07 Nsambya-ClockTower'!M38,'31.07 Nsambya-ClockTower'!M38,'02.08 Nsambya-ClockTower'!M38,'01.08 Nsambya-ClockTower-24h'!M38,'03.08 Nsambya-ClockTower-24h'!M38,'04.08 Nsambya-ClockTower'!M38)</f>
        <v>395.57142857142856</v>
      </c>
      <c r="N38" s="49">
        <f>AVERAGE('29.07 Nsambya-ClockTower'!N38,'30.07 Nsambya-ClockTower'!N38,'31.07 Nsambya-ClockTower'!N38,'02.08 Nsambya-ClockTower'!N38,'01.08 Nsambya-ClockTower-24h'!N38,'03.08 Nsambya-ClockTower-24h'!N38,'04.08 Nsambya-ClockTower'!N38)</f>
        <v>0</v>
      </c>
      <c r="O38" s="15">
        <f t="shared" si="0"/>
        <v>220.42857142857144</v>
      </c>
      <c r="P38" s="15">
        <f t="shared" si="1"/>
        <v>616</v>
      </c>
    </row>
    <row r="39" spans="2:20" ht="23.1" customHeight="1" x14ac:dyDescent="0.25">
      <c r="B39" s="24" t="s">
        <v>66</v>
      </c>
      <c r="C39" s="49">
        <f>AVERAGE('29.07 Nsambya-ClockTower'!C39,'30.07 Nsambya-ClockTower'!C39,'31.07 Nsambya-ClockTower'!C39,'02.08 Nsambya-ClockTower'!C39,'01.08 Nsambya-ClockTower-24h'!C39,'03.08 Nsambya-ClockTower-24h'!C39,'04.08 Nsambya-ClockTower'!C39)</f>
        <v>62.571428571428569</v>
      </c>
      <c r="D39" s="49">
        <f>AVERAGE('29.07 Nsambya-ClockTower'!D39,'30.07 Nsambya-ClockTower'!D39,'31.07 Nsambya-ClockTower'!D39,'02.08 Nsambya-ClockTower'!D39,'01.08 Nsambya-ClockTower-24h'!D39,'03.08 Nsambya-ClockTower-24h'!D39,'04.08 Nsambya-ClockTower'!D39)</f>
        <v>15.285714285714286</v>
      </c>
      <c r="E39" s="49">
        <f>AVERAGE('29.07 Nsambya-ClockTower'!E39,'30.07 Nsambya-ClockTower'!E39,'31.07 Nsambya-ClockTower'!E39,'02.08 Nsambya-ClockTower'!E39,'01.08 Nsambya-ClockTower-24h'!E39,'03.08 Nsambya-ClockTower-24h'!E39,'04.08 Nsambya-ClockTower'!E39)</f>
        <v>14.571428571428571</v>
      </c>
      <c r="F39" s="49">
        <f>AVERAGE('29.07 Nsambya-ClockTower'!F39,'30.07 Nsambya-ClockTower'!F39,'31.07 Nsambya-ClockTower'!F39,'02.08 Nsambya-ClockTower'!F39,'01.08 Nsambya-ClockTower-24h'!F39,'03.08 Nsambya-ClockTower-24h'!F39,'04.08 Nsambya-ClockTower'!F39)</f>
        <v>104</v>
      </c>
      <c r="G39" s="49">
        <f>AVERAGE('29.07 Nsambya-ClockTower'!G39,'30.07 Nsambya-ClockTower'!G39,'31.07 Nsambya-ClockTower'!G39,'02.08 Nsambya-ClockTower'!G39,'01.08 Nsambya-ClockTower-24h'!G39,'03.08 Nsambya-ClockTower-24h'!G39,'04.08 Nsambya-ClockTower'!G39)</f>
        <v>2.1428571428571428</v>
      </c>
      <c r="H39" s="49">
        <f>AVERAGE('29.07 Nsambya-ClockTower'!H39,'30.07 Nsambya-ClockTower'!H39,'31.07 Nsambya-ClockTower'!H39,'02.08 Nsambya-ClockTower'!H39,'01.08 Nsambya-ClockTower-24h'!H39,'03.08 Nsambya-ClockTower-24h'!H39,'04.08 Nsambya-ClockTower'!H39)</f>
        <v>0.5714285714285714</v>
      </c>
      <c r="I39" s="49">
        <f>AVERAGE('29.07 Nsambya-ClockTower'!I39,'30.07 Nsambya-ClockTower'!I39,'31.07 Nsambya-ClockTower'!I39,'02.08 Nsambya-ClockTower'!I39,'01.08 Nsambya-ClockTower-24h'!I39,'03.08 Nsambya-ClockTower-24h'!I39,'04.08 Nsambya-ClockTower'!I39)</f>
        <v>9.4285714285714288</v>
      </c>
      <c r="J39" s="49">
        <f>AVERAGE('29.07 Nsambya-ClockTower'!J39,'30.07 Nsambya-ClockTower'!J39,'31.07 Nsambya-ClockTower'!J39,'02.08 Nsambya-ClockTower'!J39,'01.08 Nsambya-ClockTower-24h'!J39,'03.08 Nsambya-ClockTower-24h'!J39,'04.08 Nsambya-ClockTower'!J39)</f>
        <v>5.1428571428571432</v>
      </c>
      <c r="K39" s="49">
        <f>AVERAGE('29.07 Nsambya-ClockTower'!K39,'30.07 Nsambya-ClockTower'!K39,'31.07 Nsambya-ClockTower'!K39,'02.08 Nsambya-ClockTower'!K39,'01.08 Nsambya-ClockTower-24h'!K39,'03.08 Nsambya-ClockTower-24h'!K39,'04.08 Nsambya-ClockTower'!K39)</f>
        <v>4.5714285714285712</v>
      </c>
      <c r="L39" s="49">
        <f>AVERAGE('29.07 Nsambya-ClockTower'!L39,'30.07 Nsambya-ClockTower'!L39,'31.07 Nsambya-ClockTower'!L39,'02.08 Nsambya-ClockTower'!L39,'01.08 Nsambya-ClockTower-24h'!L39,'03.08 Nsambya-ClockTower-24h'!L39,'04.08 Nsambya-ClockTower'!L39)</f>
        <v>4</v>
      </c>
      <c r="M39" s="49">
        <f>AVERAGE('29.07 Nsambya-ClockTower'!M39,'30.07 Nsambya-ClockTower'!M39,'31.07 Nsambya-ClockTower'!M39,'02.08 Nsambya-ClockTower'!M39,'01.08 Nsambya-ClockTower-24h'!M39,'03.08 Nsambya-ClockTower-24h'!M39,'04.08 Nsambya-ClockTower'!M39)</f>
        <v>376.85714285714283</v>
      </c>
      <c r="N39" s="49">
        <f>AVERAGE('29.07 Nsambya-ClockTower'!N39,'30.07 Nsambya-ClockTower'!N39,'31.07 Nsambya-ClockTower'!N39,'02.08 Nsambya-ClockTower'!N39,'01.08 Nsambya-ClockTower-24h'!N39,'03.08 Nsambya-ClockTower-24h'!N39,'04.08 Nsambya-ClockTower'!N39)</f>
        <v>0.14285714285714285</v>
      </c>
      <c r="O39" s="15">
        <f t="shared" si="0"/>
        <v>222.42857142857144</v>
      </c>
      <c r="P39" s="15">
        <f t="shared" si="1"/>
        <v>599.28571428571422</v>
      </c>
    </row>
    <row r="40" spans="2:20" ht="23.1" customHeight="1" x14ac:dyDescent="0.25">
      <c r="B40" s="24" t="s">
        <v>67</v>
      </c>
      <c r="C40" s="49">
        <f>AVERAGE('29.07 Nsambya-ClockTower'!C40,'30.07 Nsambya-ClockTower'!C40,'31.07 Nsambya-ClockTower'!C40,'02.08 Nsambya-ClockTower'!C40,'01.08 Nsambya-ClockTower-24h'!C40,'03.08 Nsambya-ClockTower-24h'!C40,'04.08 Nsambya-ClockTower'!C40)</f>
        <v>81</v>
      </c>
      <c r="D40" s="49">
        <f>AVERAGE('29.07 Nsambya-ClockTower'!D40,'30.07 Nsambya-ClockTower'!D40,'31.07 Nsambya-ClockTower'!D40,'02.08 Nsambya-ClockTower'!D40,'01.08 Nsambya-ClockTower-24h'!D40,'03.08 Nsambya-ClockTower-24h'!D40,'04.08 Nsambya-ClockTower'!D40)</f>
        <v>18.857142857142858</v>
      </c>
      <c r="E40" s="49">
        <f>AVERAGE('29.07 Nsambya-ClockTower'!E40,'30.07 Nsambya-ClockTower'!E40,'31.07 Nsambya-ClockTower'!E40,'02.08 Nsambya-ClockTower'!E40,'01.08 Nsambya-ClockTower-24h'!E40,'03.08 Nsambya-ClockTower-24h'!E40,'04.08 Nsambya-ClockTower'!E40)</f>
        <v>15.285714285714286</v>
      </c>
      <c r="F40" s="49">
        <f>AVERAGE('29.07 Nsambya-ClockTower'!F40,'30.07 Nsambya-ClockTower'!F40,'31.07 Nsambya-ClockTower'!F40,'02.08 Nsambya-ClockTower'!F40,'01.08 Nsambya-ClockTower-24h'!F40,'03.08 Nsambya-ClockTower-24h'!F40,'04.08 Nsambya-ClockTower'!F40)</f>
        <v>99.714285714285708</v>
      </c>
      <c r="G40" s="49">
        <f>AVERAGE('29.07 Nsambya-ClockTower'!G40,'30.07 Nsambya-ClockTower'!G40,'31.07 Nsambya-ClockTower'!G40,'02.08 Nsambya-ClockTower'!G40,'01.08 Nsambya-ClockTower-24h'!G40,'03.08 Nsambya-ClockTower-24h'!G40,'04.08 Nsambya-ClockTower'!G40)</f>
        <v>1.8571428571428572</v>
      </c>
      <c r="H40" s="49">
        <f>AVERAGE('29.07 Nsambya-ClockTower'!H40,'30.07 Nsambya-ClockTower'!H40,'31.07 Nsambya-ClockTower'!H40,'02.08 Nsambya-ClockTower'!H40,'01.08 Nsambya-ClockTower-24h'!H40,'03.08 Nsambya-ClockTower-24h'!H40,'04.08 Nsambya-ClockTower'!H40)</f>
        <v>0.2857142857142857</v>
      </c>
      <c r="I40" s="49">
        <f>AVERAGE('29.07 Nsambya-ClockTower'!I40,'30.07 Nsambya-ClockTower'!I40,'31.07 Nsambya-ClockTower'!I40,'02.08 Nsambya-ClockTower'!I40,'01.08 Nsambya-ClockTower-24h'!I40,'03.08 Nsambya-ClockTower-24h'!I40,'04.08 Nsambya-ClockTower'!I40)</f>
        <v>10</v>
      </c>
      <c r="J40" s="49">
        <f>AVERAGE('29.07 Nsambya-ClockTower'!J40,'30.07 Nsambya-ClockTower'!J40,'31.07 Nsambya-ClockTower'!J40,'02.08 Nsambya-ClockTower'!J40,'01.08 Nsambya-ClockTower-24h'!J40,'03.08 Nsambya-ClockTower-24h'!J40,'04.08 Nsambya-ClockTower'!J40)</f>
        <v>4.8571428571428568</v>
      </c>
      <c r="K40" s="49">
        <f>AVERAGE('29.07 Nsambya-ClockTower'!K40,'30.07 Nsambya-ClockTower'!K40,'31.07 Nsambya-ClockTower'!K40,'02.08 Nsambya-ClockTower'!K40,'01.08 Nsambya-ClockTower-24h'!K40,'03.08 Nsambya-ClockTower-24h'!K40,'04.08 Nsambya-ClockTower'!K40)</f>
        <v>3.7142857142857144</v>
      </c>
      <c r="L40" s="49">
        <f>AVERAGE('29.07 Nsambya-ClockTower'!L40,'30.07 Nsambya-ClockTower'!L40,'31.07 Nsambya-ClockTower'!L40,'02.08 Nsambya-ClockTower'!L40,'01.08 Nsambya-ClockTower-24h'!L40,'03.08 Nsambya-ClockTower-24h'!L40,'04.08 Nsambya-ClockTower'!L40)</f>
        <v>5.5714285714285712</v>
      </c>
      <c r="M40" s="49">
        <f>AVERAGE('29.07 Nsambya-ClockTower'!M40,'30.07 Nsambya-ClockTower'!M40,'31.07 Nsambya-ClockTower'!M40,'02.08 Nsambya-ClockTower'!M40,'01.08 Nsambya-ClockTower-24h'!M40,'03.08 Nsambya-ClockTower-24h'!M40,'04.08 Nsambya-ClockTower'!M40)</f>
        <v>357.28571428571428</v>
      </c>
      <c r="N40" s="49">
        <f>AVERAGE('29.07 Nsambya-ClockTower'!N40,'30.07 Nsambya-ClockTower'!N40,'31.07 Nsambya-ClockTower'!N40,'02.08 Nsambya-ClockTower'!N40,'01.08 Nsambya-ClockTower-24h'!N40,'03.08 Nsambya-ClockTower-24h'!N40,'04.08 Nsambya-ClockTower'!N40)</f>
        <v>0.2857142857142857</v>
      </c>
      <c r="O40" s="15">
        <f t="shared" si="0"/>
        <v>241.42857142857144</v>
      </c>
      <c r="P40" s="15">
        <f t="shared" si="1"/>
        <v>598.71428571428578</v>
      </c>
    </row>
    <row r="41" spans="2:20" ht="23.1" customHeight="1" x14ac:dyDescent="0.25">
      <c r="B41" s="23" t="s">
        <v>68</v>
      </c>
      <c r="C41" s="49">
        <f>AVERAGE('29.07 Nsambya-ClockTower'!C41,'30.07 Nsambya-ClockTower'!C41,'31.07 Nsambya-ClockTower'!C41,'02.08 Nsambya-ClockTower'!C41,'01.08 Nsambya-ClockTower-24h'!C41,'03.08 Nsambya-ClockTower-24h'!C41,'04.08 Nsambya-ClockTower'!C41)</f>
        <v>86.428571428571431</v>
      </c>
      <c r="D41" s="49">
        <f>AVERAGE('29.07 Nsambya-ClockTower'!D41,'30.07 Nsambya-ClockTower'!D41,'31.07 Nsambya-ClockTower'!D41,'02.08 Nsambya-ClockTower'!D41,'01.08 Nsambya-ClockTower-24h'!D41,'03.08 Nsambya-ClockTower-24h'!D41,'04.08 Nsambya-ClockTower'!D41)</f>
        <v>34.285714285714285</v>
      </c>
      <c r="E41" s="49">
        <f>AVERAGE('29.07 Nsambya-ClockTower'!E41,'30.07 Nsambya-ClockTower'!E41,'31.07 Nsambya-ClockTower'!E41,'02.08 Nsambya-ClockTower'!E41,'01.08 Nsambya-ClockTower-24h'!E41,'03.08 Nsambya-ClockTower-24h'!E41,'04.08 Nsambya-ClockTower'!E41)</f>
        <v>20.857142857142858</v>
      </c>
      <c r="F41" s="49">
        <f>AVERAGE('29.07 Nsambya-ClockTower'!F41,'30.07 Nsambya-ClockTower'!F41,'31.07 Nsambya-ClockTower'!F41,'02.08 Nsambya-ClockTower'!F41,'01.08 Nsambya-ClockTower-24h'!F41,'03.08 Nsambya-ClockTower-24h'!F41,'04.08 Nsambya-ClockTower'!F41)</f>
        <v>103.28571428571429</v>
      </c>
      <c r="G41" s="49">
        <f>AVERAGE('29.07 Nsambya-ClockTower'!G41,'30.07 Nsambya-ClockTower'!G41,'31.07 Nsambya-ClockTower'!G41,'02.08 Nsambya-ClockTower'!G41,'01.08 Nsambya-ClockTower-24h'!G41,'03.08 Nsambya-ClockTower-24h'!G41,'04.08 Nsambya-ClockTower'!G41)</f>
        <v>1.8571428571428572</v>
      </c>
      <c r="H41" s="49">
        <f>AVERAGE('29.07 Nsambya-ClockTower'!H41,'30.07 Nsambya-ClockTower'!H41,'31.07 Nsambya-ClockTower'!H41,'02.08 Nsambya-ClockTower'!H41,'01.08 Nsambya-ClockTower-24h'!H41,'03.08 Nsambya-ClockTower-24h'!H41,'04.08 Nsambya-ClockTower'!H41)</f>
        <v>0.2857142857142857</v>
      </c>
      <c r="I41" s="49">
        <f>AVERAGE('29.07 Nsambya-ClockTower'!I41,'30.07 Nsambya-ClockTower'!I41,'31.07 Nsambya-ClockTower'!I41,'02.08 Nsambya-ClockTower'!I41,'01.08 Nsambya-ClockTower-24h'!I41,'03.08 Nsambya-ClockTower-24h'!I41,'04.08 Nsambya-ClockTower'!I41)</f>
        <v>6.4285714285714288</v>
      </c>
      <c r="J41" s="49">
        <f>AVERAGE('29.07 Nsambya-ClockTower'!J41,'30.07 Nsambya-ClockTower'!J41,'31.07 Nsambya-ClockTower'!J41,'02.08 Nsambya-ClockTower'!J41,'01.08 Nsambya-ClockTower-24h'!J41,'03.08 Nsambya-ClockTower-24h'!J41,'04.08 Nsambya-ClockTower'!J41)</f>
        <v>5.1428571428571432</v>
      </c>
      <c r="K41" s="49">
        <f>AVERAGE('29.07 Nsambya-ClockTower'!K41,'30.07 Nsambya-ClockTower'!K41,'31.07 Nsambya-ClockTower'!K41,'02.08 Nsambya-ClockTower'!K41,'01.08 Nsambya-ClockTower-24h'!K41,'03.08 Nsambya-ClockTower-24h'!K41,'04.08 Nsambya-ClockTower'!K41)</f>
        <v>3.5714285714285716</v>
      </c>
      <c r="L41" s="49">
        <f>AVERAGE('29.07 Nsambya-ClockTower'!L41,'30.07 Nsambya-ClockTower'!L41,'31.07 Nsambya-ClockTower'!L41,'02.08 Nsambya-ClockTower'!L41,'01.08 Nsambya-ClockTower-24h'!L41,'03.08 Nsambya-ClockTower-24h'!L41,'04.08 Nsambya-ClockTower'!L41)</f>
        <v>2.7142857142857144</v>
      </c>
      <c r="M41" s="49">
        <f>AVERAGE('29.07 Nsambya-ClockTower'!M41,'30.07 Nsambya-ClockTower'!M41,'31.07 Nsambya-ClockTower'!M41,'02.08 Nsambya-ClockTower'!M41,'01.08 Nsambya-ClockTower-24h'!M41,'03.08 Nsambya-ClockTower-24h'!M41,'04.08 Nsambya-ClockTower'!M41)</f>
        <v>412.42857142857144</v>
      </c>
      <c r="N41" s="49">
        <f>AVERAGE('29.07 Nsambya-ClockTower'!N41,'30.07 Nsambya-ClockTower'!N41,'31.07 Nsambya-ClockTower'!N41,'02.08 Nsambya-ClockTower'!N41,'01.08 Nsambya-ClockTower-24h'!N41,'03.08 Nsambya-ClockTower-24h'!N41,'04.08 Nsambya-ClockTower'!N41)</f>
        <v>0.14285714285714285</v>
      </c>
      <c r="O41" s="15">
        <f t="shared" si="0"/>
        <v>265.00000000000006</v>
      </c>
      <c r="P41" s="15">
        <f t="shared" si="1"/>
        <v>677.42857142857144</v>
      </c>
    </row>
    <row r="42" spans="2:20" ht="23.1" customHeight="1" x14ac:dyDescent="0.25">
      <c r="B42" s="24" t="s">
        <v>69</v>
      </c>
      <c r="C42" s="49">
        <f>AVERAGE('29.07 Nsambya-ClockTower'!C42,'30.07 Nsambya-ClockTower'!C42,'31.07 Nsambya-ClockTower'!C42,'02.08 Nsambya-ClockTower'!C42,'01.08 Nsambya-ClockTower-24h'!C42,'03.08 Nsambya-ClockTower-24h'!C42,'04.08 Nsambya-ClockTower'!C42)</f>
        <v>73</v>
      </c>
      <c r="D42" s="49">
        <f>AVERAGE('29.07 Nsambya-ClockTower'!D42,'30.07 Nsambya-ClockTower'!D42,'31.07 Nsambya-ClockTower'!D42,'02.08 Nsambya-ClockTower'!D42,'01.08 Nsambya-ClockTower-24h'!D42,'03.08 Nsambya-ClockTower-24h'!D42,'04.08 Nsambya-ClockTower'!D42)</f>
        <v>16.571428571428573</v>
      </c>
      <c r="E42" s="49">
        <f>AVERAGE('29.07 Nsambya-ClockTower'!E42,'30.07 Nsambya-ClockTower'!E42,'31.07 Nsambya-ClockTower'!E42,'02.08 Nsambya-ClockTower'!E42,'01.08 Nsambya-ClockTower-24h'!E42,'03.08 Nsambya-ClockTower-24h'!E42,'04.08 Nsambya-ClockTower'!E42)</f>
        <v>15.571428571428571</v>
      </c>
      <c r="F42" s="49">
        <f>AVERAGE('29.07 Nsambya-ClockTower'!F42,'30.07 Nsambya-ClockTower'!F42,'31.07 Nsambya-ClockTower'!F42,'02.08 Nsambya-ClockTower'!F42,'01.08 Nsambya-ClockTower-24h'!F42,'03.08 Nsambya-ClockTower-24h'!F42,'04.08 Nsambya-ClockTower'!F42)</f>
        <v>80.857142857142861</v>
      </c>
      <c r="G42" s="49">
        <f>AVERAGE('29.07 Nsambya-ClockTower'!G42,'30.07 Nsambya-ClockTower'!G42,'31.07 Nsambya-ClockTower'!G42,'02.08 Nsambya-ClockTower'!G42,'01.08 Nsambya-ClockTower-24h'!G42,'03.08 Nsambya-ClockTower-24h'!G42,'04.08 Nsambya-ClockTower'!G42)</f>
        <v>1</v>
      </c>
      <c r="H42" s="49">
        <f>AVERAGE('29.07 Nsambya-ClockTower'!H42,'30.07 Nsambya-ClockTower'!H42,'31.07 Nsambya-ClockTower'!H42,'02.08 Nsambya-ClockTower'!H42,'01.08 Nsambya-ClockTower-24h'!H42,'03.08 Nsambya-ClockTower-24h'!H42,'04.08 Nsambya-ClockTower'!H42)</f>
        <v>0.2857142857142857</v>
      </c>
      <c r="I42" s="49">
        <f>AVERAGE('29.07 Nsambya-ClockTower'!I42,'30.07 Nsambya-ClockTower'!I42,'31.07 Nsambya-ClockTower'!I42,'02.08 Nsambya-ClockTower'!I42,'01.08 Nsambya-ClockTower-24h'!I42,'03.08 Nsambya-ClockTower-24h'!I42,'04.08 Nsambya-ClockTower'!I42)</f>
        <v>28.571428571428573</v>
      </c>
      <c r="J42" s="49">
        <f>AVERAGE('29.07 Nsambya-ClockTower'!J42,'30.07 Nsambya-ClockTower'!J42,'31.07 Nsambya-ClockTower'!J42,'02.08 Nsambya-ClockTower'!J42,'01.08 Nsambya-ClockTower-24h'!J42,'03.08 Nsambya-ClockTower-24h'!J42,'04.08 Nsambya-ClockTower'!J42)</f>
        <v>5.1428571428571432</v>
      </c>
      <c r="K42" s="49">
        <f>AVERAGE('29.07 Nsambya-ClockTower'!K42,'30.07 Nsambya-ClockTower'!K42,'31.07 Nsambya-ClockTower'!K42,'02.08 Nsambya-ClockTower'!K42,'01.08 Nsambya-ClockTower-24h'!K42,'03.08 Nsambya-ClockTower-24h'!K42,'04.08 Nsambya-ClockTower'!K42)</f>
        <v>3.1428571428571428</v>
      </c>
      <c r="L42" s="49">
        <f>AVERAGE('29.07 Nsambya-ClockTower'!L42,'30.07 Nsambya-ClockTower'!L42,'31.07 Nsambya-ClockTower'!L42,'02.08 Nsambya-ClockTower'!L42,'01.08 Nsambya-ClockTower-24h'!L42,'03.08 Nsambya-ClockTower-24h'!L42,'04.08 Nsambya-ClockTower'!L42)</f>
        <v>3.7142857142857144</v>
      </c>
      <c r="M42" s="49">
        <f>AVERAGE('29.07 Nsambya-ClockTower'!M42,'30.07 Nsambya-ClockTower'!M42,'31.07 Nsambya-ClockTower'!M42,'02.08 Nsambya-ClockTower'!M42,'01.08 Nsambya-ClockTower-24h'!M42,'03.08 Nsambya-ClockTower-24h'!M42,'04.08 Nsambya-ClockTower'!M42)</f>
        <v>440.14285714285717</v>
      </c>
      <c r="N42" s="49">
        <f>AVERAGE('29.07 Nsambya-ClockTower'!N42,'30.07 Nsambya-ClockTower'!N42,'31.07 Nsambya-ClockTower'!N42,'02.08 Nsambya-ClockTower'!N42,'01.08 Nsambya-ClockTower-24h'!N42,'03.08 Nsambya-ClockTower-24h'!N42,'04.08 Nsambya-ClockTower'!N42)</f>
        <v>0.14285714285714285</v>
      </c>
      <c r="O42" s="15">
        <f t="shared" si="0"/>
        <v>228</v>
      </c>
      <c r="P42" s="15">
        <f t="shared" si="1"/>
        <v>668.14285714285711</v>
      </c>
    </row>
    <row r="43" spans="2:20" ht="23.1" customHeight="1" x14ac:dyDescent="0.25">
      <c r="B43" s="23" t="s">
        <v>70</v>
      </c>
      <c r="C43" s="49">
        <f>AVERAGE('29.07 Nsambya-ClockTower'!C43,'30.07 Nsambya-ClockTower'!C43,'31.07 Nsambya-ClockTower'!C43,'02.08 Nsambya-ClockTower'!C43,'01.08 Nsambya-ClockTower-24h'!C43,'03.08 Nsambya-ClockTower-24h'!C43,'04.08 Nsambya-ClockTower'!C43)</f>
        <v>70.857142857142861</v>
      </c>
      <c r="D43" s="49">
        <f>AVERAGE('29.07 Nsambya-ClockTower'!D43,'30.07 Nsambya-ClockTower'!D43,'31.07 Nsambya-ClockTower'!D43,'02.08 Nsambya-ClockTower'!D43,'01.08 Nsambya-ClockTower-24h'!D43,'03.08 Nsambya-ClockTower-24h'!D43,'04.08 Nsambya-ClockTower'!D43)</f>
        <v>16.428571428571427</v>
      </c>
      <c r="E43" s="49">
        <f>AVERAGE('29.07 Nsambya-ClockTower'!E43,'30.07 Nsambya-ClockTower'!E43,'31.07 Nsambya-ClockTower'!E43,'02.08 Nsambya-ClockTower'!E43,'01.08 Nsambya-ClockTower-24h'!E43,'03.08 Nsambya-ClockTower-24h'!E43,'04.08 Nsambya-ClockTower'!E43)</f>
        <v>15.571428571428571</v>
      </c>
      <c r="F43" s="49">
        <f>AVERAGE('29.07 Nsambya-ClockTower'!F43,'30.07 Nsambya-ClockTower'!F43,'31.07 Nsambya-ClockTower'!F43,'02.08 Nsambya-ClockTower'!F43,'01.08 Nsambya-ClockTower-24h'!F43,'03.08 Nsambya-ClockTower-24h'!F43,'04.08 Nsambya-ClockTower'!F43)</f>
        <v>89</v>
      </c>
      <c r="G43" s="49">
        <f>AVERAGE('29.07 Nsambya-ClockTower'!G43,'30.07 Nsambya-ClockTower'!G43,'31.07 Nsambya-ClockTower'!G43,'02.08 Nsambya-ClockTower'!G43,'01.08 Nsambya-ClockTower-24h'!G43,'03.08 Nsambya-ClockTower-24h'!G43,'04.08 Nsambya-ClockTower'!G43)</f>
        <v>0.8571428571428571</v>
      </c>
      <c r="H43" s="49">
        <f>AVERAGE('29.07 Nsambya-ClockTower'!H43,'30.07 Nsambya-ClockTower'!H43,'31.07 Nsambya-ClockTower'!H43,'02.08 Nsambya-ClockTower'!H43,'01.08 Nsambya-ClockTower-24h'!H43,'03.08 Nsambya-ClockTower-24h'!H43,'04.08 Nsambya-ClockTower'!H43)</f>
        <v>0</v>
      </c>
      <c r="I43" s="49">
        <f>AVERAGE('29.07 Nsambya-ClockTower'!I43,'30.07 Nsambya-ClockTower'!I43,'31.07 Nsambya-ClockTower'!I43,'02.08 Nsambya-ClockTower'!I43,'01.08 Nsambya-ClockTower-24h'!I43,'03.08 Nsambya-ClockTower-24h'!I43,'04.08 Nsambya-ClockTower'!I43)</f>
        <v>6.8571428571428568</v>
      </c>
      <c r="J43" s="49">
        <f>AVERAGE('29.07 Nsambya-ClockTower'!J43,'30.07 Nsambya-ClockTower'!J43,'31.07 Nsambya-ClockTower'!J43,'02.08 Nsambya-ClockTower'!J43,'01.08 Nsambya-ClockTower-24h'!J43,'03.08 Nsambya-ClockTower-24h'!J43,'04.08 Nsambya-ClockTower'!J43)</f>
        <v>9.4285714285714288</v>
      </c>
      <c r="K43" s="49">
        <f>AVERAGE('29.07 Nsambya-ClockTower'!K43,'30.07 Nsambya-ClockTower'!K43,'31.07 Nsambya-ClockTower'!K43,'02.08 Nsambya-ClockTower'!K43,'01.08 Nsambya-ClockTower-24h'!K43,'03.08 Nsambya-ClockTower-24h'!K43,'04.08 Nsambya-ClockTower'!K43)</f>
        <v>2.5714285714285716</v>
      </c>
      <c r="L43" s="49">
        <f>AVERAGE('29.07 Nsambya-ClockTower'!L43,'30.07 Nsambya-ClockTower'!L43,'31.07 Nsambya-ClockTower'!L43,'02.08 Nsambya-ClockTower'!L43,'01.08 Nsambya-ClockTower-24h'!L43,'03.08 Nsambya-ClockTower-24h'!L43,'04.08 Nsambya-ClockTower'!L43)</f>
        <v>3.4285714285714284</v>
      </c>
      <c r="M43" s="49">
        <f>AVERAGE('29.07 Nsambya-ClockTower'!M43,'30.07 Nsambya-ClockTower'!M43,'31.07 Nsambya-ClockTower'!M43,'02.08 Nsambya-ClockTower'!M43,'01.08 Nsambya-ClockTower-24h'!M43,'03.08 Nsambya-ClockTower-24h'!M43,'04.08 Nsambya-ClockTower'!M43)</f>
        <v>358.71428571428572</v>
      </c>
      <c r="N43" s="49">
        <f>AVERAGE('29.07 Nsambya-ClockTower'!N43,'30.07 Nsambya-ClockTower'!N43,'31.07 Nsambya-ClockTower'!N43,'02.08 Nsambya-ClockTower'!N43,'01.08 Nsambya-ClockTower-24h'!N43,'03.08 Nsambya-ClockTower-24h'!N43,'04.08 Nsambya-ClockTower'!N43)</f>
        <v>0.2857142857142857</v>
      </c>
      <c r="O43" s="15">
        <f t="shared" si="0"/>
        <v>215.28571428571428</v>
      </c>
      <c r="P43" s="15">
        <f t="shared" si="1"/>
        <v>574.00000000000011</v>
      </c>
    </row>
    <row r="44" spans="2:20" ht="23.1" customHeight="1" x14ac:dyDescent="0.25">
      <c r="B44" s="25" t="s">
        <v>71</v>
      </c>
      <c r="C44" s="49">
        <f>AVERAGE('29.07 Nsambya-ClockTower'!C44,'30.07 Nsambya-ClockTower'!C44,'31.07 Nsambya-ClockTower'!C44,'02.08 Nsambya-ClockTower'!C44,'01.08 Nsambya-ClockTower-24h'!C44,'03.08 Nsambya-ClockTower-24h'!C44,'04.08 Nsambya-ClockTower'!C44)</f>
        <v>61.571428571428569</v>
      </c>
      <c r="D44" s="49">
        <f>AVERAGE('29.07 Nsambya-ClockTower'!D44,'30.07 Nsambya-ClockTower'!D44,'31.07 Nsambya-ClockTower'!D44,'02.08 Nsambya-ClockTower'!D44,'01.08 Nsambya-ClockTower-24h'!D44,'03.08 Nsambya-ClockTower-24h'!D44,'04.08 Nsambya-ClockTower'!D44)</f>
        <v>14.571428571428571</v>
      </c>
      <c r="E44" s="49">
        <f>AVERAGE('29.07 Nsambya-ClockTower'!E44,'30.07 Nsambya-ClockTower'!E44,'31.07 Nsambya-ClockTower'!E44,'02.08 Nsambya-ClockTower'!E44,'01.08 Nsambya-ClockTower-24h'!E44,'03.08 Nsambya-ClockTower-24h'!E44,'04.08 Nsambya-ClockTower'!E44)</f>
        <v>10.428571428571429</v>
      </c>
      <c r="F44" s="49">
        <f>AVERAGE('29.07 Nsambya-ClockTower'!F44,'30.07 Nsambya-ClockTower'!F44,'31.07 Nsambya-ClockTower'!F44,'02.08 Nsambya-ClockTower'!F44,'01.08 Nsambya-ClockTower-24h'!F44,'03.08 Nsambya-ClockTower-24h'!F44,'04.08 Nsambya-ClockTower'!F44)</f>
        <v>87</v>
      </c>
      <c r="G44" s="49">
        <f>AVERAGE('29.07 Nsambya-ClockTower'!G44,'30.07 Nsambya-ClockTower'!G44,'31.07 Nsambya-ClockTower'!G44,'02.08 Nsambya-ClockTower'!G44,'01.08 Nsambya-ClockTower-24h'!G44,'03.08 Nsambya-ClockTower-24h'!G44,'04.08 Nsambya-ClockTower'!G44)</f>
        <v>0.8571428571428571</v>
      </c>
      <c r="H44" s="49">
        <f>AVERAGE('29.07 Nsambya-ClockTower'!H44,'30.07 Nsambya-ClockTower'!H44,'31.07 Nsambya-ClockTower'!H44,'02.08 Nsambya-ClockTower'!H44,'01.08 Nsambya-ClockTower-24h'!H44,'03.08 Nsambya-ClockTower-24h'!H44,'04.08 Nsambya-ClockTower'!H44)</f>
        <v>0.2857142857142857</v>
      </c>
      <c r="I44" s="49">
        <f>AVERAGE('29.07 Nsambya-ClockTower'!I44,'30.07 Nsambya-ClockTower'!I44,'31.07 Nsambya-ClockTower'!I44,'02.08 Nsambya-ClockTower'!I44,'01.08 Nsambya-ClockTower-24h'!I44,'03.08 Nsambya-ClockTower-24h'!I44,'04.08 Nsambya-ClockTower'!I44)</f>
        <v>10.285714285714286</v>
      </c>
      <c r="J44" s="49">
        <f>AVERAGE('29.07 Nsambya-ClockTower'!J44,'30.07 Nsambya-ClockTower'!J44,'31.07 Nsambya-ClockTower'!J44,'02.08 Nsambya-ClockTower'!J44,'01.08 Nsambya-ClockTower-24h'!J44,'03.08 Nsambya-ClockTower-24h'!J44,'04.08 Nsambya-ClockTower'!J44)</f>
        <v>6.5714285714285712</v>
      </c>
      <c r="K44" s="49">
        <f>AVERAGE('29.07 Nsambya-ClockTower'!K44,'30.07 Nsambya-ClockTower'!K44,'31.07 Nsambya-ClockTower'!K44,'02.08 Nsambya-ClockTower'!K44,'01.08 Nsambya-ClockTower-24h'!K44,'03.08 Nsambya-ClockTower-24h'!K44,'04.08 Nsambya-ClockTower'!K44)</f>
        <v>4.4285714285714288</v>
      </c>
      <c r="L44" s="49">
        <f>AVERAGE('29.07 Nsambya-ClockTower'!L44,'30.07 Nsambya-ClockTower'!L44,'31.07 Nsambya-ClockTower'!L44,'02.08 Nsambya-ClockTower'!L44,'01.08 Nsambya-ClockTower-24h'!L44,'03.08 Nsambya-ClockTower-24h'!L44,'04.08 Nsambya-ClockTower'!L44)</f>
        <v>4.1428571428571432</v>
      </c>
      <c r="M44" s="49">
        <f>AVERAGE('29.07 Nsambya-ClockTower'!M44,'30.07 Nsambya-ClockTower'!M44,'31.07 Nsambya-ClockTower'!M44,'02.08 Nsambya-ClockTower'!M44,'01.08 Nsambya-ClockTower-24h'!M44,'03.08 Nsambya-ClockTower-24h'!M44,'04.08 Nsambya-ClockTower'!M44)</f>
        <v>354.85714285714283</v>
      </c>
      <c r="N44" s="49">
        <f>AVERAGE('29.07 Nsambya-ClockTower'!N44,'30.07 Nsambya-ClockTower'!N44,'31.07 Nsambya-ClockTower'!N44,'02.08 Nsambya-ClockTower'!N44,'01.08 Nsambya-ClockTower-24h'!N44,'03.08 Nsambya-ClockTower-24h'!N44,'04.08 Nsambya-ClockTower'!N44)</f>
        <v>0.14285714285714285</v>
      </c>
      <c r="O44" s="15">
        <f t="shared" si="0"/>
        <v>200.28571428571425</v>
      </c>
      <c r="P44" s="15">
        <f t="shared" si="1"/>
        <v>555.14285714285711</v>
      </c>
    </row>
    <row r="45" spans="2:20" ht="23.1" customHeight="1" x14ac:dyDescent="0.25">
      <c r="B45" s="23" t="s">
        <v>72</v>
      </c>
      <c r="C45" s="49">
        <f>AVERAGE('29.07 Nsambya-ClockTower'!C45,'30.07 Nsambya-ClockTower'!C45,'31.07 Nsambya-ClockTower'!C45,'02.08 Nsambya-ClockTower'!C45,'01.08 Nsambya-ClockTower-24h'!C45,'03.08 Nsambya-ClockTower-24h'!C45,'04.08 Nsambya-ClockTower'!C45)</f>
        <v>68.571428571428569</v>
      </c>
      <c r="D45" s="49">
        <f>AVERAGE('29.07 Nsambya-ClockTower'!D45,'30.07 Nsambya-ClockTower'!D45,'31.07 Nsambya-ClockTower'!D45,'02.08 Nsambya-ClockTower'!D45,'01.08 Nsambya-ClockTower-24h'!D45,'03.08 Nsambya-ClockTower-24h'!D45,'04.08 Nsambya-ClockTower'!D45)</f>
        <v>24</v>
      </c>
      <c r="E45" s="49">
        <f>AVERAGE('29.07 Nsambya-ClockTower'!E45,'30.07 Nsambya-ClockTower'!E45,'31.07 Nsambya-ClockTower'!E45,'02.08 Nsambya-ClockTower'!E45,'01.08 Nsambya-ClockTower-24h'!E45,'03.08 Nsambya-ClockTower-24h'!E45,'04.08 Nsambya-ClockTower'!E45)</f>
        <v>8.4285714285714288</v>
      </c>
      <c r="F45" s="49">
        <f>AVERAGE('29.07 Nsambya-ClockTower'!F45,'30.07 Nsambya-ClockTower'!F45,'31.07 Nsambya-ClockTower'!F45,'02.08 Nsambya-ClockTower'!F45,'01.08 Nsambya-ClockTower-24h'!F45,'03.08 Nsambya-ClockTower-24h'!F45,'04.08 Nsambya-ClockTower'!F45)</f>
        <v>76.285714285714292</v>
      </c>
      <c r="G45" s="49">
        <f>AVERAGE('29.07 Nsambya-ClockTower'!G45,'30.07 Nsambya-ClockTower'!G45,'31.07 Nsambya-ClockTower'!G45,'02.08 Nsambya-ClockTower'!G45,'01.08 Nsambya-ClockTower-24h'!G45,'03.08 Nsambya-ClockTower-24h'!G45,'04.08 Nsambya-ClockTower'!G45)</f>
        <v>0.7142857142857143</v>
      </c>
      <c r="H45" s="49">
        <f>AVERAGE('29.07 Nsambya-ClockTower'!H45,'30.07 Nsambya-ClockTower'!H45,'31.07 Nsambya-ClockTower'!H45,'02.08 Nsambya-ClockTower'!H45,'01.08 Nsambya-ClockTower-24h'!H45,'03.08 Nsambya-ClockTower-24h'!H45,'04.08 Nsambya-ClockTower'!H45)</f>
        <v>0.42857142857142855</v>
      </c>
      <c r="I45" s="49">
        <f>AVERAGE('29.07 Nsambya-ClockTower'!I45,'30.07 Nsambya-ClockTower'!I45,'31.07 Nsambya-ClockTower'!I45,'02.08 Nsambya-ClockTower'!I45,'01.08 Nsambya-ClockTower-24h'!I45,'03.08 Nsambya-ClockTower-24h'!I45,'04.08 Nsambya-ClockTower'!I45)</f>
        <v>7.2857142857142856</v>
      </c>
      <c r="J45" s="49">
        <f>AVERAGE('29.07 Nsambya-ClockTower'!J45,'30.07 Nsambya-ClockTower'!J45,'31.07 Nsambya-ClockTower'!J45,'02.08 Nsambya-ClockTower'!J45,'01.08 Nsambya-ClockTower-24h'!J45,'03.08 Nsambya-ClockTower-24h'!J45,'04.08 Nsambya-ClockTower'!J45)</f>
        <v>5.8571428571428568</v>
      </c>
      <c r="K45" s="49">
        <f>AVERAGE('29.07 Nsambya-ClockTower'!K45,'30.07 Nsambya-ClockTower'!K45,'31.07 Nsambya-ClockTower'!K45,'02.08 Nsambya-ClockTower'!K45,'01.08 Nsambya-ClockTower-24h'!K45,'03.08 Nsambya-ClockTower-24h'!K45,'04.08 Nsambya-ClockTower'!K45)</f>
        <v>5.1428571428571432</v>
      </c>
      <c r="L45" s="49">
        <f>AVERAGE('29.07 Nsambya-ClockTower'!L45,'30.07 Nsambya-ClockTower'!L45,'31.07 Nsambya-ClockTower'!L45,'02.08 Nsambya-ClockTower'!L45,'01.08 Nsambya-ClockTower-24h'!L45,'03.08 Nsambya-ClockTower-24h'!L45,'04.08 Nsambya-ClockTower'!L45)</f>
        <v>4</v>
      </c>
      <c r="M45" s="49">
        <f>AVERAGE('29.07 Nsambya-ClockTower'!M45,'30.07 Nsambya-ClockTower'!M45,'31.07 Nsambya-ClockTower'!M45,'02.08 Nsambya-ClockTower'!M45,'01.08 Nsambya-ClockTower-24h'!M45,'03.08 Nsambya-ClockTower-24h'!M45,'04.08 Nsambya-ClockTower'!M45)</f>
        <v>398.14285714285717</v>
      </c>
      <c r="N45" s="49">
        <f>AVERAGE('29.07 Nsambya-ClockTower'!N45,'30.07 Nsambya-ClockTower'!N45,'31.07 Nsambya-ClockTower'!N45,'02.08 Nsambya-ClockTower'!N45,'01.08 Nsambya-ClockTower-24h'!N45,'03.08 Nsambya-ClockTower-24h'!N45,'04.08 Nsambya-ClockTower'!N45)</f>
        <v>0.14285714285714285</v>
      </c>
      <c r="O45" s="15">
        <f t="shared" si="0"/>
        <v>200.85714285714283</v>
      </c>
      <c r="P45" s="15">
        <f t="shared" si="1"/>
        <v>599</v>
      </c>
    </row>
    <row r="46" spans="2:20" ht="23.1" customHeight="1" x14ac:dyDescent="0.25">
      <c r="B46" s="24" t="s">
        <v>73</v>
      </c>
      <c r="C46" s="49">
        <f>AVERAGE('29.07 Nsambya-ClockTower'!C46,'30.07 Nsambya-ClockTower'!C46,'31.07 Nsambya-ClockTower'!C46,'02.08 Nsambya-ClockTower'!C46,'01.08 Nsambya-ClockTower-24h'!C46,'03.08 Nsambya-ClockTower-24h'!C46,'04.08 Nsambya-ClockTower'!C46)</f>
        <v>58.714285714285715</v>
      </c>
      <c r="D46" s="49">
        <f>AVERAGE('29.07 Nsambya-ClockTower'!D46,'30.07 Nsambya-ClockTower'!D46,'31.07 Nsambya-ClockTower'!D46,'02.08 Nsambya-ClockTower'!D46,'01.08 Nsambya-ClockTower-24h'!D46,'03.08 Nsambya-ClockTower-24h'!D46,'04.08 Nsambya-ClockTower'!D46)</f>
        <v>12.428571428571429</v>
      </c>
      <c r="E46" s="49">
        <f>AVERAGE('29.07 Nsambya-ClockTower'!E46,'30.07 Nsambya-ClockTower'!E46,'31.07 Nsambya-ClockTower'!E46,'02.08 Nsambya-ClockTower'!E46,'01.08 Nsambya-ClockTower-24h'!E46,'03.08 Nsambya-ClockTower-24h'!E46,'04.08 Nsambya-ClockTower'!E46)</f>
        <v>12.571428571428571</v>
      </c>
      <c r="F46" s="49">
        <f>AVERAGE('29.07 Nsambya-ClockTower'!F46,'30.07 Nsambya-ClockTower'!F46,'31.07 Nsambya-ClockTower'!F46,'02.08 Nsambya-ClockTower'!F46,'01.08 Nsambya-ClockTower-24h'!F46,'03.08 Nsambya-ClockTower-24h'!F46,'04.08 Nsambya-ClockTower'!F46)</f>
        <v>105.85714285714286</v>
      </c>
      <c r="G46" s="49">
        <f>AVERAGE('29.07 Nsambya-ClockTower'!G46,'30.07 Nsambya-ClockTower'!G46,'31.07 Nsambya-ClockTower'!G46,'02.08 Nsambya-ClockTower'!G46,'01.08 Nsambya-ClockTower-24h'!G46,'03.08 Nsambya-ClockTower-24h'!G46,'04.08 Nsambya-ClockTower'!G46)</f>
        <v>2.1428571428571428</v>
      </c>
      <c r="H46" s="49">
        <f>AVERAGE('29.07 Nsambya-ClockTower'!H46,'30.07 Nsambya-ClockTower'!H46,'31.07 Nsambya-ClockTower'!H46,'02.08 Nsambya-ClockTower'!H46,'01.08 Nsambya-ClockTower-24h'!H46,'03.08 Nsambya-ClockTower-24h'!H46,'04.08 Nsambya-ClockTower'!H46)</f>
        <v>0.14285714285714285</v>
      </c>
      <c r="I46" s="49">
        <f>AVERAGE('29.07 Nsambya-ClockTower'!I46,'30.07 Nsambya-ClockTower'!I46,'31.07 Nsambya-ClockTower'!I46,'02.08 Nsambya-ClockTower'!I46,'01.08 Nsambya-ClockTower-24h'!I46,'03.08 Nsambya-ClockTower-24h'!I46,'04.08 Nsambya-ClockTower'!I46)</f>
        <v>17</v>
      </c>
      <c r="J46" s="49">
        <f>AVERAGE('29.07 Nsambya-ClockTower'!J46,'30.07 Nsambya-ClockTower'!J46,'31.07 Nsambya-ClockTower'!J46,'02.08 Nsambya-ClockTower'!J46,'01.08 Nsambya-ClockTower-24h'!J46,'03.08 Nsambya-ClockTower-24h'!J46,'04.08 Nsambya-ClockTower'!J46)</f>
        <v>6</v>
      </c>
      <c r="K46" s="49">
        <f>AVERAGE('29.07 Nsambya-ClockTower'!K46,'30.07 Nsambya-ClockTower'!K46,'31.07 Nsambya-ClockTower'!K46,'02.08 Nsambya-ClockTower'!K46,'01.08 Nsambya-ClockTower-24h'!K46,'03.08 Nsambya-ClockTower-24h'!K46,'04.08 Nsambya-ClockTower'!K46)</f>
        <v>4.1428571428571432</v>
      </c>
      <c r="L46" s="49">
        <f>AVERAGE('29.07 Nsambya-ClockTower'!L46,'30.07 Nsambya-ClockTower'!L46,'31.07 Nsambya-ClockTower'!L46,'02.08 Nsambya-ClockTower'!L46,'01.08 Nsambya-ClockTower-24h'!L46,'03.08 Nsambya-ClockTower-24h'!L46,'04.08 Nsambya-ClockTower'!L46)</f>
        <v>4</v>
      </c>
      <c r="M46" s="49">
        <f>AVERAGE('29.07 Nsambya-ClockTower'!M46,'30.07 Nsambya-ClockTower'!M46,'31.07 Nsambya-ClockTower'!M46,'02.08 Nsambya-ClockTower'!M46,'01.08 Nsambya-ClockTower-24h'!M46,'03.08 Nsambya-ClockTower-24h'!M46,'04.08 Nsambya-ClockTower'!M46)</f>
        <v>390.14285714285717</v>
      </c>
      <c r="N46" s="49">
        <f>AVERAGE('29.07 Nsambya-ClockTower'!N46,'30.07 Nsambya-ClockTower'!N46,'31.07 Nsambya-ClockTower'!N46,'02.08 Nsambya-ClockTower'!N46,'01.08 Nsambya-ClockTower-24h'!N46,'03.08 Nsambya-ClockTower-24h'!N46,'04.08 Nsambya-ClockTower'!N46)</f>
        <v>0.14285714285714285</v>
      </c>
      <c r="O46" s="15">
        <f t="shared" si="0"/>
        <v>223.14285714285711</v>
      </c>
      <c r="P46" s="15">
        <f t="shared" si="1"/>
        <v>613.28571428571422</v>
      </c>
      <c r="R46" s="8"/>
      <c r="T46"/>
    </row>
    <row r="47" spans="2:20" ht="23.1" customHeight="1" x14ac:dyDescent="0.25">
      <c r="B47" s="24" t="s">
        <v>74</v>
      </c>
      <c r="C47" s="49">
        <f>AVERAGE('29.07 Nsambya-ClockTower'!C47,'30.07 Nsambya-ClockTower'!C47,'31.07 Nsambya-ClockTower'!C47,'02.08 Nsambya-ClockTower'!C47,'01.08 Nsambya-ClockTower-24h'!C47,'03.08 Nsambya-ClockTower-24h'!C47,'04.08 Nsambya-ClockTower'!C47)</f>
        <v>69.142857142857139</v>
      </c>
      <c r="D47" s="49">
        <f>AVERAGE('29.07 Nsambya-ClockTower'!D47,'30.07 Nsambya-ClockTower'!D47,'31.07 Nsambya-ClockTower'!D47,'02.08 Nsambya-ClockTower'!D47,'01.08 Nsambya-ClockTower-24h'!D47,'03.08 Nsambya-ClockTower-24h'!D47,'04.08 Nsambya-ClockTower'!D47)</f>
        <v>18.571428571428573</v>
      </c>
      <c r="E47" s="49">
        <f>AVERAGE('29.07 Nsambya-ClockTower'!E47,'30.07 Nsambya-ClockTower'!E47,'31.07 Nsambya-ClockTower'!E47,'02.08 Nsambya-ClockTower'!E47,'01.08 Nsambya-ClockTower-24h'!E47,'03.08 Nsambya-ClockTower-24h'!E47,'04.08 Nsambya-ClockTower'!E47)</f>
        <v>16.714285714285715</v>
      </c>
      <c r="F47" s="49">
        <f>AVERAGE('29.07 Nsambya-ClockTower'!F47,'30.07 Nsambya-ClockTower'!F47,'31.07 Nsambya-ClockTower'!F47,'02.08 Nsambya-ClockTower'!F47,'01.08 Nsambya-ClockTower-24h'!F47,'03.08 Nsambya-ClockTower-24h'!F47,'04.08 Nsambya-ClockTower'!F47)</f>
        <v>93.571428571428569</v>
      </c>
      <c r="G47" s="49">
        <f>AVERAGE('29.07 Nsambya-ClockTower'!G47,'30.07 Nsambya-ClockTower'!G47,'31.07 Nsambya-ClockTower'!G47,'02.08 Nsambya-ClockTower'!G47,'01.08 Nsambya-ClockTower-24h'!G47,'03.08 Nsambya-ClockTower-24h'!G47,'04.08 Nsambya-ClockTower'!G47)</f>
        <v>1.4285714285714286</v>
      </c>
      <c r="H47" s="49">
        <f>AVERAGE('29.07 Nsambya-ClockTower'!H47,'30.07 Nsambya-ClockTower'!H47,'31.07 Nsambya-ClockTower'!H47,'02.08 Nsambya-ClockTower'!H47,'01.08 Nsambya-ClockTower-24h'!H47,'03.08 Nsambya-ClockTower-24h'!H47,'04.08 Nsambya-ClockTower'!H47)</f>
        <v>0.2857142857142857</v>
      </c>
      <c r="I47" s="49">
        <f>AVERAGE('29.07 Nsambya-ClockTower'!I47,'30.07 Nsambya-ClockTower'!I47,'31.07 Nsambya-ClockTower'!I47,'02.08 Nsambya-ClockTower'!I47,'01.08 Nsambya-ClockTower-24h'!I47,'03.08 Nsambya-ClockTower-24h'!I47,'04.08 Nsambya-ClockTower'!I47)</f>
        <v>8.2857142857142865</v>
      </c>
      <c r="J47" s="49">
        <f>AVERAGE('29.07 Nsambya-ClockTower'!J47,'30.07 Nsambya-ClockTower'!J47,'31.07 Nsambya-ClockTower'!J47,'02.08 Nsambya-ClockTower'!J47,'01.08 Nsambya-ClockTower-24h'!J47,'03.08 Nsambya-ClockTower-24h'!J47,'04.08 Nsambya-ClockTower'!J47)</f>
        <v>7.4285714285714288</v>
      </c>
      <c r="K47" s="49">
        <f>AVERAGE('29.07 Nsambya-ClockTower'!K47,'30.07 Nsambya-ClockTower'!K47,'31.07 Nsambya-ClockTower'!K47,'02.08 Nsambya-ClockTower'!K47,'01.08 Nsambya-ClockTower-24h'!K47,'03.08 Nsambya-ClockTower-24h'!K47,'04.08 Nsambya-ClockTower'!K47)</f>
        <v>2</v>
      </c>
      <c r="L47" s="49">
        <f>AVERAGE('29.07 Nsambya-ClockTower'!L47,'30.07 Nsambya-ClockTower'!L47,'31.07 Nsambya-ClockTower'!L47,'02.08 Nsambya-ClockTower'!L47,'01.08 Nsambya-ClockTower-24h'!L47,'03.08 Nsambya-ClockTower-24h'!L47,'04.08 Nsambya-ClockTower'!L47)</f>
        <v>4.2857142857142856</v>
      </c>
      <c r="M47" s="49">
        <f>AVERAGE('29.07 Nsambya-ClockTower'!M47,'30.07 Nsambya-ClockTower'!M47,'31.07 Nsambya-ClockTower'!M47,'02.08 Nsambya-ClockTower'!M47,'01.08 Nsambya-ClockTower-24h'!M47,'03.08 Nsambya-ClockTower-24h'!M47,'04.08 Nsambya-ClockTower'!M47)</f>
        <v>399.85714285714283</v>
      </c>
      <c r="N47" s="49">
        <f>AVERAGE('29.07 Nsambya-ClockTower'!N47,'30.07 Nsambya-ClockTower'!N47,'31.07 Nsambya-ClockTower'!N47,'02.08 Nsambya-ClockTower'!N47,'01.08 Nsambya-ClockTower-24h'!N47,'03.08 Nsambya-ClockTower-24h'!N47,'04.08 Nsambya-ClockTower'!N47)</f>
        <v>0.14285714285714285</v>
      </c>
      <c r="O47" s="15">
        <f t="shared" si="0"/>
        <v>221.8571428571428</v>
      </c>
      <c r="P47" s="15">
        <f t="shared" si="1"/>
        <v>621.71428571428555</v>
      </c>
      <c r="R47" s="8"/>
      <c r="T47"/>
    </row>
    <row r="48" spans="2:20" ht="23.1" customHeight="1" x14ac:dyDescent="0.25">
      <c r="B48" s="24" t="s">
        <v>75</v>
      </c>
      <c r="C48" s="49">
        <f>AVERAGE('29.07 Nsambya-ClockTower'!C48,'30.07 Nsambya-ClockTower'!C48,'31.07 Nsambya-ClockTower'!C48,'02.08 Nsambya-ClockTower'!C48,'01.08 Nsambya-ClockTower-24h'!C48,'03.08 Nsambya-ClockTower-24h'!C48,'04.08 Nsambya-ClockTower'!C48)</f>
        <v>68</v>
      </c>
      <c r="D48" s="49">
        <f>AVERAGE('29.07 Nsambya-ClockTower'!D48,'30.07 Nsambya-ClockTower'!D48,'31.07 Nsambya-ClockTower'!D48,'02.08 Nsambya-ClockTower'!D48,'01.08 Nsambya-ClockTower-24h'!D48,'03.08 Nsambya-ClockTower-24h'!D48,'04.08 Nsambya-ClockTower'!D48)</f>
        <v>19.857142857142858</v>
      </c>
      <c r="E48" s="49">
        <f>AVERAGE('29.07 Nsambya-ClockTower'!E48,'30.07 Nsambya-ClockTower'!E48,'31.07 Nsambya-ClockTower'!E48,'02.08 Nsambya-ClockTower'!E48,'01.08 Nsambya-ClockTower-24h'!E48,'03.08 Nsambya-ClockTower-24h'!E48,'04.08 Nsambya-ClockTower'!E48)</f>
        <v>13.571428571428571</v>
      </c>
      <c r="F48" s="49">
        <f>AVERAGE('29.07 Nsambya-ClockTower'!F48,'30.07 Nsambya-ClockTower'!F48,'31.07 Nsambya-ClockTower'!F48,'02.08 Nsambya-ClockTower'!F48,'01.08 Nsambya-ClockTower-24h'!F48,'03.08 Nsambya-ClockTower-24h'!F48,'04.08 Nsambya-ClockTower'!F48)</f>
        <v>86.714285714285708</v>
      </c>
      <c r="G48" s="49">
        <f>AVERAGE('29.07 Nsambya-ClockTower'!G48,'30.07 Nsambya-ClockTower'!G48,'31.07 Nsambya-ClockTower'!G48,'02.08 Nsambya-ClockTower'!G48,'01.08 Nsambya-ClockTower-24h'!G48,'03.08 Nsambya-ClockTower-24h'!G48,'04.08 Nsambya-ClockTower'!G48)</f>
        <v>2.4285714285714284</v>
      </c>
      <c r="H48" s="49">
        <f>AVERAGE('29.07 Nsambya-ClockTower'!H48,'30.07 Nsambya-ClockTower'!H48,'31.07 Nsambya-ClockTower'!H48,'02.08 Nsambya-ClockTower'!H48,'01.08 Nsambya-ClockTower-24h'!H48,'03.08 Nsambya-ClockTower-24h'!H48,'04.08 Nsambya-ClockTower'!H48)</f>
        <v>0.2857142857142857</v>
      </c>
      <c r="I48" s="49">
        <f>AVERAGE('29.07 Nsambya-ClockTower'!I48,'30.07 Nsambya-ClockTower'!I48,'31.07 Nsambya-ClockTower'!I48,'02.08 Nsambya-ClockTower'!I48,'01.08 Nsambya-ClockTower-24h'!I48,'03.08 Nsambya-ClockTower-24h'!I48,'04.08 Nsambya-ClockTower'!I48)</f>
        <v>7.5714285714285712</v>
      </c>
      <c r="J48" s="49">
        <f>AVERAGE('29.07 Nsambya-ClockTower'!J48,'30.07 Nsambya-ClockTower'!J48,'31.07 Nsambya-ClockTower'!J48,'02.08 Nsambya-ClockTower'!J48,'01.08 Nsambya-ClockTower-24h'!J48,'03.08 Nsambya-ClockTower-24h'!J48,'04.08 Nsambya-ClockTower'!J48)</f>
        <v>6</v>
      </c>
      <c r="K48" s="49">
        <f>AVERAGE('29.07 Nsambya-ClockTower'!K48,'30.07 Nsambya-ClockTower'!K48,'31.07 Nsambya-ClockTower'!K48,'02.08 Nsambya-ClockTower'!K48,'01.08 Nsambya-ClockTower-24h'!K48,'03.08 Nsambya-ClockTower-24h'!K48,'04.08 Nsambya-ClockTower'!K48)</f>
        <v>2.8571428571428572</v>
      </c>
      <c r="L48" s="49">
        <f>AVERAGE('29.07 Nsambya-ClockTower'!L48,'30.07 Nsambya-ClockTower'!L48,'31.07 Nsambya-ClockTower'!L48,'02.08 Nsambya-ClockTower'!L48,'01.08 Nsambya-ClockTower-24h'!L48,'03.08 Nsambya-ClockTower-24h'!L48,'04.08 Nsambya-ClockTower'!L48)</f>
        <v>3.1428571428571428</v>
      </c>
      <c r="M48" s="49">
        <f>AVERAGE('29.07 Nsambya-ClockTower'!M48,'30.07 Nsambya-ClockTower'!M48,'31.07 Nsambya-ClockTower'!M48,'02.08 Nsambya-ClockTower'!M48,'01.08 Nsambya-ClockTower-24h'!M48,'03.08 Nsambya-ClockTower-24h'!M48,'04.08 Nsambya-ClockTower'!M48)</f>
        <v>428.57142857142856</v>
      </c>
      <c r="N48" s="49">
        <f>AVERAGE('29.07 Nsambya-ClockTower'!N48,'30.07 Nsambya-ClockTower'!N48,'31.07 Nsambya-ClockTower'!N48,'02.08 Nsambya-ClockTower'!N48,'01.08 Nsambya-ClockTower-24h'!N48,'03.08 Nsambya-ClockTower-24h'!N48,'04.08 Nsambya-ClockTower'!N48)</f>
        <v>0.2857142857142857</v>
      </c>
      <c r="O48" s="15">
        <f t="shared" si="0"/>
        <v>210.71428571428569</v>
      </c>
      <c r="P48" s="15">
        <f t="shared" si="1"/>
        <v>639.28571428571433</v>
      </c>
      <c r="R48" s="8"/>
      <c r="T48"/>
    </row>
    <row r="49" spans="2:20" ht="23.1" customHeight="1" x14ac:dyDescent="0.25">
      <c r="B49" s="23" t="s">
        <v>76</v>
      </c>
      <c r="C49" s="49">
        <f>AVERAGE('29.07 Nsambya-ClockTower'!C49,'30.07 Nsambya-ClockTower'!C49,'31.07 Nsambya-ClockTower'!C49,'02.08 Nsambya-ClockTower'!C49,'01.08 Nsambya-ClockTower-24h'!C49,'03.08 Nsambya-ClockTower-24h'!C49,'04.08 Nsambya-ClockTower'!C49)</f>
        <v>59.857142857142854</v>
      </c>
      <c r="D49" s="49">
        <f>AVERAGE('29.07 Nsambya-ClockTower'!D49,'30.07 Nsambya-ClockTower'!D49,'31.07 Nsambya-ClockTower'!D49,'02.08 Nsambya-ClockTower'!D49,'01.08 Nsambya-ClockTower-24h'!D49,'03.08 Nsambya-ClockTower-24h'!D49,'04.08 Nsambya-ClockTower'!D49)</f>
        <v>15</v>
      </c>
      <c r="E49" s="49">
        <f>AVERAGE('29.07 Nsambya-ClockTower'!E49,'30.07 Nsambya-ClockTower'!E49,'31.07 Nsambya-ClockTower'!E49,'02.08 Nsambya-ClockTower'!E49,'01.08 Nsambya-ClockTower-24h'!E49,'03.08 Nsambya-ClockTower-24h'!E49,'04.08 Nsambya-ClockTower'!E49)</f>
        <v>16.428571428571427</v>
      </c>
      <c r="F49" s="49">
        <f>AVERAGE('29.07 Nsambya-ClockTower'!F49,'30.07 Nsambya-ClockTower'!F49,'31.07 Nsambya-ClockTower'!F49,'02.08 Nsambya-ClockTower'!F49,'01.08 Nsambya-ClockTower-24h'!F49,'03.08 Nsambya-ClockTower-24h'!F49,'04.08 Nsambya-ClockTower'!F49)</f>
        <v>91.142857142857139</v>
      </c>
      <c r="G49" s="49">
        <f>AVERAGE('29.07 Nsambya-ClockTower'!G49,'30.07 Nsambya-ClockTower'!G49,'31.07 Nsambya-ClockTower'!G49,'02.08 Nsambya-ClockTower'!G49,'01.08 Nsambya-ClockTower-24h'!G49,'03.08 Nsambya-ClockTower-24h'!G49,'04.08 Nsambya-ClockTower'!G49)</f>
        <v>1.5714285714285714</v>
      </c>
      <c r="H49" s="49">
        <f>AVERAGE('29.07 Nsambya-ClockTower'!H49,'30.07 Nsambya-ClockTower'!H49,'31.07 Nsambya-ClockTower'!H49,'02.08 Nsambya-ClockTower'!H49,'01.08 Nsambya-ClockTower-24h'!H49,'03.08 Nsambya-ClockTower-24h'!H49,'04.08 Nsambya-ClockTower'!H49)</f>
        <v>0.42857142857142855</v>
      </c>
      <c r="I49" s="49">
        <f>AVERAGE('29.07 Nsambya-ClockTower'!I49,'30.07 Nsambya-ClockTower'!I49,'31.07 Nsambya-ClockTower'!I49,'02.08 Nsambya-ClockTower'!I49,'01.08 Nsambya-ClockTower-24h'!I49,'03.08 Nsambya-ClockTower-24h'!I49,'04.08 Nsambya-ClockTower'!I49)</f>
        <v>5.8571428571428568</v>
      </c>
      <c r="J49" s="49">
        <f>AVERAGE('29.07 Nsambya-ClockTower'!J49,'30.07 Nsambya-ClockTower'!J49,'31.07 Nsambya-ClockTower'!J49,'02.08 Nsambya-ClockTower'!J49,'01.08 Nsambya-ClockTower-24h'!J49,'03.08 Nsambya-ClockTower-24h'!J49,'04.08 Nsambya-ClockTower'!J49)</f>
        <v>4.5714285714285712</v>
      </c>
      <c r="K49" s="49">
        <f>AVERAGE('29.07 Nsambya-ClockTower'!K49,'30.07 Nsambya-ClockTower'!K49,'31.07 Nsambya-ClockTower'!K49,'02.08 Nsambya-ClockTower'!K49,'01.08 Nsambya-ClockTower-24h'!K49,'03.08 Nsambya-ClockTower-24h'!K49,'04.08 Nsambya-ClockTower'!K49)</f>
        <v>2.8571428571428572</v>
      </c>
      <c r="L49" s="49">
        <f>AVERAGE('29.07 Nsambya-ClockTower'!L49,'30.07 Nsambya-ClockTower'!L49,'31.07 Nsambya-ClockTower'!L49,'02.08 Nsambya-ClockTower'!L49,'01.08 Nsambya-ClockTower-24h'!L49,'03.08 Nsambya-ClockTower-24h'!L49,'04.08 Nsambya-ClockTower'!L49)</f>
        <v>3.2857142857142856</v>
      </c>
      <c r="M49" s="49">
        <f>AVERAGE('29.07 Nsambya-ClockTower'!M49,'30.07 Nsambya-ClockTower'!M49,'31.07 Nsambya-ClockTower'!M49,'02.08 Nsambya-ClockTower'!M49,'01.08 Nsambya-ClockTower-24h'!M49,'03.08 Nsambya-ClockTower-24h'!M49,'04.08 Nsambya-ClockTower'!M49)</f>
        <v>430.42857142857144</v>
      </c>
      <c r="N49" s="49">
        <f>AVERAGE('29.07 Nsambya-ClockTower'!N49,'30.07 Nsambya-ClockTower'!N49,'31.07 Nsambya-ClockTower'!N49,'02.08 Nsambya-ClockTower'!N49,'01.08 Nsambya-ClockTower-24h'!N49,'03.08 Nsambya-ClockTower-24h'!N49,'04.08 Nsambya-ClockTower'!N49)</f>
        <v>0.14285714285714285</v>
      </c>
      <c r="O49" s="15">
        <f t="shared" si="0"/>
        <v>201.14285714285717</v>
      </c>
      <c r="P49" s="15">
        <f t="shared" si="1"/>
        <v>631.57142857142856</v>
      </c>
      <c r="R49" s="8"/>
      <c r="T49"/>
    </row>
    <row r="50" spans="2:20" ht="23.1" customHeight="1" x14ac:dyDescent="0.25">
      <c r="B50" s="24" t="s">
        <v>77</v>
      </c>
      <c r="C50" s="49">
        <f>AVERAGE('29.07 Nsambya-ClockTower'!C50,'30.07 Nsambya-ClockTower'!C50,'31.07 Nsambya-ClockTower'!C50,'02.08 Nsambya-ClockTower'!C50,'01.08 Nsambya-ClockTower-24h'!C50,'03.08 Nsambya-ClockTower-24h'!C50,'04.08 Nsambya-ClockTower'!C50)</f>
        <v>75.714285714285708</v>
      </c>
      <c r="D50" s="49">
        <f>AVERAGE('29.07 Nsambya-ClockTower'!D50,'30.07 Nsambya-ClockTower'!D50,'31.07 Nsambya-ClockTower'!D50,'02.08 Nsambya-ClockTower'!D50,'01.08 Nsambya-ClockTower-24h'!D50,'03.08 Nsambya-ClockTower-24h'!D50,'04.08 Nsambya-ClockTower'!D50)</f>
        <v>17</v>
      </c>
      <c r="E50" s="49">
        <f>AVERAGE('29.07 Nsambya-ClockTower'!E50,'30.07 Nsambya-ClockTower'!E50,'31.07 Nsambya-ClockTower'!E50,'02.08 Nsambya-ClockTower'!E50,'01.08 Nsambya-ClockTower-24h'!E50,'03.08 Nsambya-ClockTower-24h'!E50,'04.08 Nsambya-ClockTower'!E50)</f>
        <v>12.857142857142858</v>
      </c>
      <c r="F50" s="49">
        <f>AVERAGE('29.07 Nsambya-ClockTower'!F50,'30.07 Nsambya-ClockTower'!F50,'31.07 Nsambya-ClockTower'!F50,'02.08 Nsambya-ClockTower'!F50,'01.08 Nsambya-ClockTower-24h'!F50,'03.08 Nsambya-ClockTower-24h'!F50,'04.08 Nsambya-ClockTower'!F50)</f>
        <v>83.857142857142861</v>
      </c>
      <c r="G50" s="49">
        <f>AVERAGE('29.07 Nsambya-ClockTower'!G50,'30.07 Nsambya-ClockTower'!G50,'31.07 Nsambya-ClockTower'!G50,'02.08 Nsambya-ClockTower'!G50,'01.08 Nsambya-ClockTower-24h'!G50,'03.08 Nsambya-ClockTower-24h'!G50,'04.08 Nsambya-ClockTower'!G50)</f>
        <v>1.5714285714285714</v>
      </c>
      <c r="H50" s="49">
        <f>AVERAGE('29.07 Nsambya-ClockTower'!H50,'30.07 Nsambya-ClockTower'!H50,'31.07 Nsambya-ClockTower'!H50,'02.08 Nsambya-ClockTower'!H50,'01.08 Nsambya-ClockTower-24h'!H50,'03.08 Nsambya-ClockTower-24h'!H50,'04.08 Nsambya-ClockTower'!H50)</f>
        <v>0.42857142857142855</v>
      </c>
      <c r="I50" s="49">
        <f>AVERAGE('29.07 Nsambya-ClockTower'!I50,'30.07 Nsambya-ClockTower'!I50,'31.07 Nsambya-ClockTower'!I50,'02.08 Nsambya-ClockTower'!I50,'01.08 Nsambya-ClockTower-24h'!I50,'03.08 Nsambya-ClockTower-24h'!I50,'04.08 Nsambya-ClockTower'!I50)</f>
        <v>7.8571428571428568</v>
      </c>
      <c r="J50" s="49">
        <f>AVERAGE('29.07 Nsambya-ClockTower'!J50,'30.07 Nsambya-ClockTower'!J50,'31.07 Nsambya-ClockTower'!J50,'02.08 Nsambya-ClockTower'!J50,'01.08 Nsambya-ClockTower-24h'!J50,'03.08 Nsambya-ClockTower-24h'!J50,'04.08 Nsambya-ClockTower'!J50)</f>
        <v>5.8571428571428568</v>
      </c>
      <c r="K50" s="49">
        <f>AVERAGE('29.07 Nsambya-ClockTower'!K50,'30.07 Nsambya-ClockTower'!K50,'31.07 Nsambya-ClockTower'!K50,'02.08 Nsambya-ClockTower'!K50,'01.08 Nsambya-ClockTower-24h'!K50,'03.08 Nsambya-ClockTower-24h'!K50,'04.08 Nsambya-ClockTower'!K50)</f>
        <v>1.2857142857142858</v>
      </c>
      <c r="L50" s="49">
        <f>AVERAGE('29.07 Nsambya-ClockTower'!L50,'30.07 Nsambya-ClockTower'!L50,'31.07 Nsambya-ClockTower'!L50,'02.08 Nsambya-ClockTower'!L50,'01.08 Nsambya-ClockTower-24h'!L50,'03.08 Nsambya-ClockTower-24h'!L50,'04.08 Nsambya-ClockTower'!L50)</f>
        <v>3.8571428571428572</v>
      </c>
      <c r="M50" s="49">
        <f>AVERAGE('29.07 Nsambya-ClockTower'!M50,'30.07 Nsambya-ClockTower'!M50,'31.07 Nsambya-ClockTower'!M50,'02.08 Nsambya-ClockTower'!M50,'01.08 Nsambya-ClockTower-24h'!M50,'03.08 Nsambya-ClockTower-24h'!M50,'04.08 Nsambya-ClockTower'!M50)</f>
        <v>456.71428571428572</v>
      </c>
      <c r="N50" s="49">
        <f>AVERAGE('29.07 Nsambya-ClockTower'!N50,'30.07 Nsambya-ClockTower'!N50,'31.07 Nsambya-ClockTower'!N50,'02.08 Nsambya-ClockTower'!N50,'01.08 Nsambya-ClockTower-24h'!N50,'03.08 Nsambya-ClockTower-24h'!N50,'04.08 Nsambya-ClockTower'!N50)</f>
        <v>0</v>
      </c>
      <c r="O50" s="15">
        <f t="shared" si="0"/>
        <v>210.28571428571431</v>
      </c>
      <c r="P50" s="15">
        <f t="shared" si="1"/>
        <v>667</v>
      </c>
      <c r="R50" s="8"/>
      <c r="T50"/>
    </row>
    <row r="51" spans="2:20" ht="23.1" customHeight="1" x14ac:dyDescent="0.25">
      <c r="B51" s="24" t="s">
        <v>78</v>
      </c>
      <c r="C51" s="49">
        <f>AVERAGE('29.07 Nsambya-ClockTower'!C51,'30.07 Nsambya-ClockTower'!C51,'31.07 Nsambya-ClockTower'!C51,'02.08 Nsambya-ClockTower'!C51,'01.08 Nsambya-ClockTower-24h'!C51,'03.08 Nsambya-ClockTower-24h'!C51,'04.08 Nsambya-ClockTower'!C51)</f>
        <v>74.857142857142861</v>
      </c>
      <c r="D51" s="49">
        <f>AVERAGE('29.07 Nsambya-ClockTower'!D51,'30.07 Nsambya-ClockTower'!D51,'31.07 Nsambya-ClockTower'!D51,'02.08 Nsambya-ClockTower'!D51,'01.08 Nsambya-ClockTower-24h'!D51,'03.08 Nsambya-ClockTower-24h'!D51,'04.08 Nsambya-ClockTower'!D51)</f>
        <v>18.142857142857142</v>
      </c>
      <c r="E51" s="49">
        <f>AVERAGE('29.07 Nsambya-ClockTower'!E51,'30.07 Nsambya-ClockTower'!E51,'31.07 Nsambya-ClockTower'!E51,'02.08 Nsambya-ClockTower'!E51,'01.08 Nsambya-ClockTower-24h'!E51,'03.08 Nsambya-ClockTower-24h'!E51,'04.08 Nsambya-ClockTower'!E51)</f>
        <v>10.142857142857142</v>
      </c>
      <c r="F51" s="49">
        <f>AVERAGE('29.07 Nsambya-ClockTower'!F51,'30.07 Nsambya-ClockTower'!F51,'31.07 Nsambya-ClockTower'!F51,'02.08 Nsambya-ClockTower'!F51,'01.08 Nsambya-ClockTower-24h'!F51,'03.08 Nsambya-ClockTower-24h'!F51,'04.08 Nsambya-ClockTower'!F51)</f>
        <v>78.142857142857139</v>
      </c>
      <c r="G51" s="49">
        <f>AVERAGE('29.07 Nsambya-ClockTower'!G51,'30.07 Nsambya-ClockTower'!G51,'31.07 Nsambya-ClockTower'!G51,'02.08 Nsambya-ClockTower'!G51,'01.08 Nsambya-ClockTower-24h'!G51,'03.08 Nsambya-ClockTower-24h'!G51,'04.08 Nsambya-ClockTower'!G51)</f>
        <v>1.7142857142857142</v>
      </c>
      <c r="H51" s="49">
        <f>AVERAGE('29.07 Nsambya-ClockTower'!H51,'30.07 Nsambya-ClockTower'!H51,'31.07 Nsambya-ClockTower'!H51,'02.08 Nsambya-ClockTower'!H51,'01.08 Nsambya-ClockTower-24h'!H51,'03.08 Nsambya-ClockTower-24h'!H51,'04.08 Nsambya-ClockTower'!H51)</f>
        <v>0</v>
      </c>
      <c r="I51" s="49">
        <f>AVERAGE('29.07 Nsambya-ClockTower'!I51,'30.07 Nsambya-ClockTower'!I51,'31.07 Nsambya-ClockTower'!I51,'02.08 Nsambya-ClockTower'!I51,'01.08 Nsambya-ClockTower-24h'!I51,'03.08 Nsambya-ClockTower-24h'!I51,'04.08 Nsambya-ClockTower'!I51)</f>
        <v>8</v>
      </c>
      <c r="J51" s="49">
        <f>AVERAGE('29.07 Nsambya-ClockTower'!J51,'30.07 Nsambya-ClockTower'!J51,'31.07 Nsambya-ClockTower'!J51,'02.08 Nsambya-ClockTower'!J51,'01.08 Nsambya-ClockTower-24h'!J51,'03.08 Nsambya-ClockTower-24h'!J51,'04.08 Nsambya-ClockTower'!J51)</f>
        <v>6.1428571428571432</v>
      </c>
      <c r="K51" s="49">
        <f>AVERAGE('29.07 Nsambya-ClockTower'!K51,'30.07 Nsambya-ClockTower'!K51,'31.07 Nsambya-ClockTower'!K51,'02.08 Nsambya-ClockTower'!K51,'01.08 Nsambya-ClockTower-24h'!K51,'03.08 Nsambya-ClockTower-24h'!K51,'04.08 Nsambya-ClockTower'!K51)</f>
        <v>3.5714285714285716</v>
      </c>
      <c r="L51" s="49">
        <f>AVERAGE('29.07 Nsambya-ClockTower'!L51,'30.07 Nsambya-ClockTower'!L51,'31.07 Nsambya-ClockTower'!L51,'02.08 Nsambya-ClockTower'!L51,'01.08 Nsambya-ClockTower-24h'!L51,'03.08 Nsambya-ClockTower-24h'!L51,'04.08 Nsambya-ClockTower'!L51)</f>
        <v>6.1428571428571432</v>
      </c>
      <c r="M51" s="49">
        <f>AVERAGE('29.07 Nsambya-ClockTower'!M51,'30.07 Nsambya-ClockTower'!M51,'31.07 Nsambya-ClockTower'!M51,'02.08 Nsambya-ClockTower'!M51,'01.08 Nsambya-ClockTower-24h'!M51,'03.08 Nsambya-ClockTower-24h'!M51,'04.08 Nsambya-ClockTower'!M51)</f>
        <v>456.71428571428572</v>
      </c>
      <c r="N51" s="49">
        <f>AVERAGE('29.07 Nsambya-ClockTower'!N51,'30.07 Nsambya-ClockTower'!N51,'31.07 Nsambya-ClockTower'!N51,'02.08 Nsambya-ClockTower'!N51,'01.08 Nsambya-ClockTower-24h'!N51,'03.08 Nsambya-ClockTower-24h'!N51,'04.08 Nsambya-ClockTower'!N51)</f>
        <v>0</v>
      </c>
      <c r="O51" s="15">
        <f t="shared" si="0"/>
        <v>206.85714285714286</v>
      </c>
      <c r="P51" s="15">
        <f t="shared" si="1"/>
        <v>663.57142857142856</v>
      </c>
      <c r="R51" s="8"/>
      <c r="T51"/>
    </row>
    <row r="52" spans="2:20" ht="23.1" customHeight="1" x14ac:dyDescent="0.25">
      <c r="B52" s="24" t="s">
        <v>79</v>
      </c>
      <c r="C52" s="49">
        <f>AVERAGE('29.07 Nsambya-ClockTower'!C52,'30.07 Nsambya-ClockTower'!C52,'31.07 Nsambya-ClockTower'!C52,'02.08 Nsambya-ClockTower'!C52,'01.08 Nsambya-ClockTower-24h'!C52,'03.08 Nsambya-ClockTower-24h'!C52,'04.08 Nsambya-ClockTower'!C52)</f>
        <v>69.285714285714292</v>
      </c>
      <c r="D52" s="49">
        <f>AVERAGE('29.07 Nsambya-ClockTower'!D52,'30.07 Nsambya-ClockTower'!D52,'31.07 Nsambya-ClockTower'!D52,'02.08 Nsambya-ClockTower'!D52,'01.08 Nsambya-ClockTower-24h'!D52,'03.08 Nsambya-ClockTower-24h'!D52,'04.08 Nsambya-ClockTower'!D52)</f>
        <v>15</v>
      </c>
      <c r="E52" s="49">
        <f>AVERAGE('29.07 Nsambya-ClockTower'!E52,'30.07 Nsambya-ClockTower'!E52,'31.07 Nsambya-ClockTower'!E52,'02.08 Nsambya-ClockTower'!E52,'01.08 Nsambya-ClockTower-24h'!E52,'03.08 Nsambya-ClockTower-24h'!E52,'04.08 Nsambya-ClockTower'!E52)</f>
        <v>12</v>
      </c>
      <c r="F52" s="49">
        <f>AVERAGE('29.07 Nsambya-ClockTower'!F52,'30.07 Nsambya-ClockTower'!F52,'31.07 Nsambya-ClockTower'!F52,'02.08 Nsambya-ClockTower'!F52,'01.08 Nsambya-ClockTower-24h'!F52,'03.08 Nsambya-ClockTower-24h'!F52,'04.08 Nsambya-ClockTower'!F52)</f>
        <v>81.142857142857139</v>
      </c>
      <c r="G52" s="49">
        <f>AVERAGE('29.07 Nsambya-ClockTower'!G52,'30.07 Nsambya-ClockTower'!G52,'31.07 Nsambya-ClockTower'!G52,'02.08 Nsambya-ClockTower'!G52,'01.08 Nsambya-ClockTower-24h'!G52,'03.08 Nsambya-ClockTower-24h'!G52,'04.08 Nsambya-ClockTower'!G52)</f>
        <v>1</v>
      </c>
      <c r="H52" s="49">
        <f>AVERAGE('29.07 Nsambya-ClockTower'!H52,'30.07 Nsambya-ClockTower'!H52,'31.07 Nsambya-ClockTower'!H52,'02.08 Nsambya-ClockTower'!H52,'01.08 Nsambya-ClockTower-24h'!H52,'03.08 Nsambya-ClockTower-24h'!H52,'04.08 Nsambya-ClockTower'!H52)</f>
        <v>0.2857142857142857</v>
      </c>
      <c r="I52" s="49">
        <f>AVERAGE('29.07 Nsambya-ClockTower'!I52,'30.07 Nsambya-ClockTower'!I52,'31.07 Nsambya-ClockTower'!I52,'02.08 Nsambya-ClockTower'!I52,'01.08 Nsambya-ClockTower-24h'!I52,'03.08 Nsambya-ClockTower-24h'!I52,'04.08 Nsambya-ClockTower'!I52)</f>
        <v>7.7142857142857144</v>
      </c>
      <c r="J52" s="49">
        <f>AVERAGE('29.07 Nsambya-ClockTower'!J52,'30.07 Nsambya-ClockTower'!J52,'31.07 Nsambya-ClockTower'!J52,'02.08 Nsambya-ClockTower'!J52,'01.08 Nsambya-ClockTower-24h'!J52,'03.08 Nsambya-ClockTower-24h'!J52,'04.08 Nsambya-ClockTower'!J52)</f>
        <v>3.7142857142857144</v>
      </c>
      <c r="K52" s="49">
        <f>AVERAGE('29.07 Nsambya-ClockTower'!K52,'30.07 Nsambya-ClockTower'!K52,'31.07 Nsambya-ClockTower'!K52,'02.08 Nsambya-ClockTower'!K52,'01.08 Nsambya-ClockTower-24h'!K52,'03.08 Nsambya-ClockTower-24h'!K52,'04.08 Nsambya-ClockTower'!K52)</f>
        <v>2.2857142857142856</v>
      </c>
      <c r="L52" s="49">
        <f>AVERAGE('29.07 Nsambya-ClockTower'!L52,'30.07 Nsambya-ClockTower'!L52,'31.07 Nsambya-ClockTower'!L52,'02.08 Nsambya-ClockTower'!L52,'01.08 Nsambya-ClockTower-24h'!L52,'03.08 Nsambya-ClockTower-24h'!L52,'04.08 Nsambya-ClockTower'!L52)</f>
        <v>3.4285714285714284</v>
      </c>
      <c r="M52" s="49">
        <f>AVERAGE('29.07 Nsambya-ClockTower'!M52,'30.07 Nsambya-ClockTower'!M52,'31.07 Nsambya-ClockTower'!M52,'02.08 Nsambya-ClockTower'!M52,'01.08 Nsambya-ClockTower-24h'!M52,'03.08 Nsambya-ClockTower-24h'!M52,'04.08 Nsambya-ClockTower'!M52)</f>
        <v>462.71428571428572</v>
      </c>
      <c r="N52" s="49">
        <f>AVERAGE('29.07 Nsambya-ClockTower'!N52,'30.07 Nsambya-ClockTower'!N52,'31.07 Nsambya-ClockTower'!N52,'02.08 Nsambya-ClockTower'!N52,'01.08 Nsambya-ClockTower-24h'!N52,'03.08 Nsambya-ClockTower-24h'!N52,'04.08 Nsambya-ClockTower'!N52)</f>
        <v>0</v>
      </c>
      <c r="O52" s="15">
        <f t="shared" si="0"/>
        <v>195.85714285714286</v>
      </c>
      <c r="P52" s="15">
        <f t="shared" si="1"/>
        <v>658.57142857142856</v>
      </c>
      <c r="R52" s="8"/>
      <c r="T52"/>
    </row>
    <row r="53" spans="2:20" ht="23.1" customHeight="1" x14ac:dyDescent="0.25">
      <c r="B53" s="23" t="s">
        <v>80</v>
      </c>
      <c r="C53" s="49">
        <f>AVERAGE('29.07 Nsambya-ClockTower'!C53,'30.07 Nsambya-ClockTower'!C53,'31.07 Nsambya-ClockTower'!C53,'02.08 Nsambya-ClockTower'!C53,'01.08 Nsambya-ClockTower-24h'!C53,'03.08 Nsambya-ClockTower-24h'!C53,'04.08 Nsambya-ClockTower'!C53)</f>
        <v>64.571428571428569</v>
      </c>
      <c r="D53" s="49">
        <f>AVERAGE('29.07 Nsambya-ClockTower'!D53,'30.07 Nsambya-ClockTower'!D53,'31.07 Nsambya-ClockTower'!D53,'02.08 Nsambya-ClockTower'!D53,'01.08 Nsambya-ClockTower-24h'!D53,'03.08 Nsambya-ClockTower-24h'!D53,'04.08 Nsambya-ClockTower'!D53)</f>
        <v>10.142857142857142</v>
      </c>
      <c r="E53" s="49">
        <f>AVERAGE('29.07 Nsambya-ClockTower'!E53,'30.07 Nsambya-ClockTower'!E53,'31.07 Nsambya-ClockTower'!E53,'02.08 Nsambya-ClockTower'!E53,'01.08 Nsambya-ClockTower-24h'!E53,'03.08 Nsambya-ClockTower-24h'!E53,'04.08 Nsambya-ClockTower'!E53)</f>
        <v>12.714285714285714</v>
      </c>
      <c r="F53" s="49">
        <f>AVERAGE('29.07 Nsambya-ClockTower'!F53,'30.07 Nsambya-ClockTower'!F53,'31.07 Nsambya-ClockTower'!F53,'02.08 Nsambya-ClockTower'!F53,'01.08 Nsambya-ClockTower-24h'!F53,'03.08 Nsambya-ClockTower-24h'!F53,'04.08 Nsambya-ClockTower'!F53)</f>
        <v>89.571428571428569</v>
      </c>
      <c r="G53" s="49">
        <f>AVERAGE('29.07 Nsambya-ClockTower'!G53,'30.07 Nsambya-ClockTower'!G53,'31.07 Nsambya-ClockTower'!G53,'02.08 Nsambya-ClockTower'!G53,'01.08 Nsambya-ClockTower-24h'!G53,'03.08 Nsambya-ClockTower-24h'!G53,'04.08 Nsambya-ClockTower'!G53)</f>
        <v>2.4285714285714284</v>
      </c>
      <c r="H53" s="49">
        <f>AVERAGE('29.07 Nsambya-ClockTower'!H53,'30.07 Nsambya-ClockTower'!H53,'31.07 Nsambya-ClockTower'!H53,'02.08 Nsambya-ClockTower'!H53,'01.08 Nsambya-ClockTower-24h'!H53,'03.08 Nsambya-ClockTower-24h'!H53,'04.08 Nsambya-ClockTower'!H53)</f>
        <v>0.14285714285714285</v>
      </c>
      <c r="I53" s="49">
        <f>AVERAGE('29.07 Nsambya-ClockTower'!I53,'30.07 Nsambya-ClockTower'!I53,'31.07 Nsambya-ClockTower'!I53,'02.08 Nsambya-ClockTower'!I53,'01.08 Nsambya-ClockTower-24h'!I53,'03.08 Nsambya-ClockTower-24h'!I53,'04.08 Nsambya-ClockTower'!I53)</f>
        <v>6.4285714285714288</v>
      </c>
      <c r="J53" s="49">
        <f>AVERAGE('29.07 Nsambya-ClockTower'!J53,'30.07 Nsambya-ClockTower'!J53,'31.07 Nsambya-ClockTower'!J53,'02.08 Nsambya-ClockTower'!J53,'01.08 Nsambya-ClockTower-24h'!J53,'03.08 Nsambya-ClockTower-24h'!J53,'04.08 Nsambya-ClockTower'!J53)</f>
        <v>4.1428571428571432</v>
      </c>
      <c r="K53" s="49">
        <f>AVERAGE('29.07 Nsambya-ClockTower'!K53,'30.07 Nsambya-ClockTower'!K53,'31.07 Nsambya-ClockTower'!K53,'02.08 Nsambya-ClockTower'!K53,'01.08 Nsambya-ClockTower-24h'!K53,'03.08 Nsambya-ClockTower-24h'!K53,'04.08 Nsambya-ClockTower'!K53)</f>
        <v>3.1428571428571428</v>
      </c>
      <c r="L53" s="49">
        <f>AVERAGE('29.07 Nsambya-ClockTower'!L53,'30.07 Nsambya-ClockTower'!L53,'31.07 Nsambya-ClockTower'!L53,'02.08 Nsambya-ClockTower'!L53,'01.08 Nsambya-ClockTower-24h'!L53,'03.08 Nsambya-ClockTower-24h'!L53,'04.08 Nsambya-ClockTower'!L53)</f>
        <v>4.4285714285714288</v>
      </c>
      <c r="M53" s="49">
        <f>AVERAGE('29.07 Nsambya-ClockTower'!M53,'30.07 Nsambya-ClockTower'!M53,'31.07 Nsambya-ClockTower'!M53,'02.08 Nsambya-ClockTower'!M53,'01.08 Nsambya-ClockTower-24h'!M53,'03.08 Nsambya-ClockTower-24h'!M53,'04.08 Nsambya-ClockTower'!M53)</f>
        <v>512.71428571428567</v>
      </c>
      <c r="N53" s="49">
        <f>AVERAGE('29.07 Nsambya-ClockTower'!N53,'30.07 Nsambya-ClockTower'!N53,'31.07 Nsambya-ClockTower'!N53,'02.08 Nsambya-ClockTower'!N53,'01.08 Nsambya-ClockTower-24h'!N53,'03.08 Nsambya-ClockTower-24h'!N53,'04.08 Nsambya-ClockTower'!N53)</f>
        <v>0.2857142857142857</v>
      </c>
      <c r="O53" s="15">
        <f t="shared" si="0"/>
        <v>197.99999999999994</v>
      </c>
      <c r="P53" s="15">
        <f t="shared" si="1"/>
        <v>710.71428571428567</v>
      </c>
      <c r="R53" s="8"/>
      <c r="T53"/>
    </row>
    <row r="54" spans="2:20" ht="23.1" customHeight="1" x14ac:dyDescent="0.25">
      <c r="B54" s="23" t="s">
        <v>81</v>
      </c>
      <c r="C54" s="49">
        <f>AVERAGE('29.07 Nsambya-ClockTower'!C54,'30.07 Nsambya-ClockTower'!C54,'31.07 Nsambya-ClockTower'!C54,'02.08 Nsambya-ClockTower'!C54,'01.08 Nsambya-ClockTower-24h'!C54,'03.08 Nsambya-ClockTower-24h'!C54,'04.08 Nsambya-ClockTower'!C54)</f>
        <v>64.285714285714292</v>
      </c>
      <c r="D54" s="49">
        <f>AVERAGE('29.07 Nsambya-ClockTower'!D54,'30.07 Nsambya-ClockTower'!D54,'31.07 Nsambya-ClockTower'!D54,'02.08 Nsambya-ClockTower'!D54,'01.08 Nsambya-ClockTower-24h'!D54,'03.08 Nsambya-ClockTower-24h'!D54,'04.08 Nsambya-ClockTower'!D54)</f>
        <v>10.714285714285714</v>
      </c>
      <c r="E54" s="49">
        <f>AVERAGE('29.07 Nsambya-ClockTower'!E54,'30.07 Nsambya-ClockTower'!E54,'31.07 Nsambya-ClockTower'!E54,'02.08 Nsambya-ClockTower'!E54,'01.08 Nsambya-ClockTower-24h'!E54,'03.08 Nsambya-ClockTower-24h'!E54,'04.08 Nsambya-ClockTower'!E54)</f>
        <v>9.5714285714285712</v>
      </c>
      <c r="F54" s="49">
        <f>AVERAGE('29.07 Nsambya-ClockTower'!F54,'30.07 Nsambya-ClockTower'!F54,'31.07 Nsambya-ClockTower'!F54,'02.08 Nsambya-ClockTower'!F54,'01.08 Nsambya-ClockTower-24h'!F54,'03.08 Nsambya-ClockTower-24h'!F54,'04.08 Nsambya-ClockTower'!F54)</f>
        <v>86.714285714285708</v>
      </c>
      <c r="G54" s="49">
        <f>AVERAGE('29.07 Nsambya-ClockTower'!G54,'30.07 Nsambya-ClockTower'!G54,'31.07 Nsambya-ClockTower'!G54,'02.08 Nsambya-ClockTower'!G54,'01.08 Nsambya-ClockTower-24h'!G54,'03.08 Nsambya-ClockTower-24h'!G54,'04.08 Nsambya-ClockTower'!G54)</f>
        <v>1.2857142857142858</v>
      </c>
      <c r="H54" s="49">
        <f>AVERAGE('29.07 Nsambya-ClockTower'!H54,'30.07 Nsambya-ClockTower'!H54,'31.07 Nsambya-ClockTower'!H54,'02.08 Nsambya-ClockTower'!H54,'01.08 Nsambya-ClockTower-24h'!H54,'03.08 Nsambya-ClockTower-24h'!H54,'04.08 Nsambya-ClockTower'!H54)</f>
        <v>0.7142857142857143</v>
      </c>
      <c r="I54" s="49">
        <f>AVERAGE('29.07 Nsambya-ClockTower'!I54,'30.07 Nsambya-ClockTower'!I54,'31.07 Nsambya-ClockTower'!I54,'02.08 Nsambya-ClockTower'!I54,'01.08 Nsambya-ClockTower-24h'!I54,'03.08 Nsambya-ClockTower-24h'!I54,'04.08 Nsambya-ClockTower'!I54)</f>
        <v>11</v>
      </c>
      <c r="J54" s="49">
        <f>AVERAGE('29.07 Nsambya-ClockTower'!J54,'30.07 Nsambya-ClockTower'!J54,'31.07 Nsambya-ClockTower'!J54,'02.08 Nsambya-ClockTower'!J54,'01.08 Nsambya-ClockTower-24h'!J54,'03.08 Nsambya-ClockTower-24h'!J54,'04.08 Nsambya-ClockTower'!J54)</f>
        <v>9.8571428571428577</v>
      </c>
      <c r="K54" s="49">
        <f>AVERAGE('29.07 Nsambya-ClockTower'!K54,'30.07 Nsambya-ClockTower'!K54,'31.07 Nsambya-ClockTower'!K54,'02.08 Nsambya-ClockTower'!K54,'01.08 Nsambya-ClockTower-24h'!K54,'03.08 Nsambya-ClockTower-24h'!K54,'04.08 Nsambya-ClockTower'!K54)</f>
        <v>4</v>
      </c>
      <c r="L54" s="49">
        <f>AVERAGE('29.07 Nsambya-ClockTower'!L54,'30.07 Nsambya-ClockTower'!L54,'31.07 Nsambya-ClockTower'!L54,'02.08 Nsambya-ClockTower'!L54,'01.08 Nsambya-ClockTower-24h'!L54,'03.08 Nsambya-ClockTower-24h'!L54,'04.08 Nsambya-ClockTower'!L54)</f>
        <v>6</v>
      </c>
      <c r="M54" s="49">
        <f>AVERAGE('29.07 Nsambya-ClockTower'!M54,'30.07 Nsambya-ClockTower'!M54,'31.07 Nsambya-ClockTower'!M54,'02.08 Nsambya-ClockTower'!M54,'01.08 Nsambya-ClockTower-24h'!M54,'03.08 Nsambya-ClockTower-24h'!M54,'04.08 Nsambya-ClockTower'!M54)</f>
        <v>520.14285714285711</v>
      </c>
      <c r="N54" s="49">
        <f>AVERAGE('29.07 Nsambya-ClockTower'!N54,'30.07 Nsambya-ClockTower'!N54,'31.07 Nsambya-ClockTower'!N54,'02.08 Nsambya-ClockTower'!N54,'01.08 Nsambya-ClockTower-24h'!N54,'03.08 Nsambya-ClockTower-24h'!N54,'04.08 Nsambya-ClockTower'!N54)</f>
        <v>0.2857142857142857</v>
      </c>
      <c r="O54" s="15">
        <f t="shared" si="0"/>
        <v>204.42857142857142</v>
      </c>
      <c r="P54" s="15">
        <f t="shared" si="1"/>
        <v>724.57142857142856</v>
      </c>
      <c r="R54" s="8"/>
      <c r="T54"/>
    </row>
    <row r="55" spans="2:20" ht="23.1" customHeight="1" x14ac:dyDescent="0.25">
      <c r="B55" s="23" t="s">
        <v>82</v>
      </c>
      <c r="C55" s="49">
        <f>AVERAGE('29.07 Nsambya-ClockTower'!C55,'30.07 Nsambya-ClockTower'!C55,'31.07 Nsambya-ClockTower'!C55,'02.08 Nsambya-ClockTower'!C55,'01.08 Nsambya-ClockTower-24h'!C55,'03.08 Nsambya-ClockTower-24h'!C55,'04.08 Nsambya-ClockTower'!C55)</f>
        <v>82.714285714285708</v>
      </c>
      <c r="D55" s="49">
        <f>AVERAGE('29.07 Nsambya-ClockTower'!D55,'30.07 Nsambya-ClockTower'!D55,'31.07 Nsambya-ClockTower'!D55,'02.08 Nsambya-ClockTower'!D55,'01.08 Nsambya-ClockTower-24h'!D55,'03.08 Nsambya-ClockTower-24h'!D55,'04.08 Nsambya-ClockTower'!D55)</f>
        <v>10.714285714285714</v>
      </c>
      <c r="E55" s="49">
        <f>AVERAGE('29.07 Nsambya-ClockTower'!E55,'30.07 Nsambya-ClockTower'!E55,'31.07 Nsambya-ClockTower'!E55,'02.08 Nsambya-ClockTower'!E55,'01.08 Nsambya-ClockTower-24h'!E55,'03.08 Nsambya-ClockTower-24h'!E55,'04.08 Nsambya-ClockTower'!E55)</f>
        <v>21.571428571428573</v>
      </c>
      <c r="F55" s="49">
        <f>AVERAGE('29.07 Nsambya-ClockTower'!F55,'30.07 Nsambya-ClockTower'!F55,'31.07 Nsambya-ClockTower'!F55,'02.08 Nsambya-ClockTower'!F55,'01.08 Nsambya-ClockTower-24h'!F55,'03.08 Nsambya-ClockTower-24h'!F55,'04.08 Nsambya-ClockTower'!F55)</f>
        <v>73.571428571428569</v>
      </c>
      <c r="G55" s="49">
        <f>AVERAGE('29.07 Nsambya-ClockTower'!G55,'30.07 Nsambya-ClockTower'!G55,'31.07 Nsambya-ClockTower'!G55,'02.08 Nsambya-ClockTower'!G55,'01.08 Nsambya-ClockTower-24h'!G55,'03.08 Nsambya-ClockTower-24h'!G55,'04.08 Nsambya-ClockTower'!G55)</f>
        <v>1.1428571428571428</v>
      </c>
      <c r="H55" s="49">
        <f>AVERAGE('29.07 Nsambya-ClockTower'!H55,'30.07 Nsambya-ClockTower'!H55,'31.07 Nsambya-ClockTower'!H55,'02.08 Nsambya-ClockTower'!H55,'01.08 Nsambya-ClockTower-24h'!H55,'03.08 Nsambya-ClockTower-24h'!H55,'04.08 Nsambya-ClockTower'!H55)</f>
        <v>0</v>
      </c>
      <c r="I55" s="49">
        <f>AVERAGE('29.07 Nsambya-ClockTower'!I55,'30.07 Nsambya-ClockTower'!I55,'31.07 Nsambya-ClockTower'!I55,'02.08 Nsambya-ClockTower'!I55,'01.08 Nsambya-ClockTower-24h'!I55,'03.08 Nsambya-ClockTower-24h'!I55,'04.08 Nsambya-ClockTower'!I55)</f>
        <v>6.5714285714285712</v>
      </c>
      <c r="J55" s="49">
        <f>AVERAGE('29.07 Nsambya-ClockTower'!J55,'30.07 Nsambya-ClockTower'!J55,'31.07 Nsambya-ClockTower'!J55,'02.08 Nsambya-ClockTower'!J55,'01.08 Nsambya-ClockTower-24h'!J55,'03.08 Nsambya-ClockTower-24h'!J55,'04.08 Nsambya-ClockTower'!J55)</f>
        <v>4.1428571428571432</v>
      </c>
      <c r="K55" s="49">
        <f>AVERAGE('29.07 Nsambya-ClockTower'!K55,'30.07 Nsambya-ClockTower'!K55,'31.07 Nsambya-ClockTower'!K55,'02.08 Nsambya-ClockTower'!K55,'01.08 Nsambya-ClockTower-24h'!K55,'03.08 Nsambya-ClockTower-24h'!K55,'04.08 Nsambya-ClockTower'!K55)</f>
        <v>3.1428571428571428</v>
      </c>
      <c r="L55" s="49">
        <f>AVERAGE('29.07 Nsambya-ClockTower'!L55,'30.07 Nsambya-ClockTower'!L55,'31.07 Nsambya-ClockTower'!L55,'02.08 Nsambya-ClockTower'!L55,'01.08 Nsambya-ClockTower-24h'!L55,'03.08 Nsambya-ClockTower-24h'!L55,'04.08 Nsambya-ClockTower'!L55)</f>
        <v>3.5714285714285716</v>
      </c>
      <c r="M55" s="49">
        <f>AVERAGE('29.07 Nsambya-ClockTower'!M55,'30.07 Nsambya-ClockTower'!M55,'31.07 Nsambya-ClockTower'!M55,'02.08 Nsambya-ClockTower'!M55,'01.08 Nsambya-ClockTower-24h'!M55,'03.08 Nsambya-ClockTower-24h'!M55,'04.08 Nsambya-ClockTower'!M55)</f>
        <v>485.28571428571428</v>
      </c>
      <c r="N55" s="49">
        <f>AVERAGE('29.07 Nsambya-ClockTower'!N55,'30.07 Nsambya-ClockTower'!N55,'31.07 Nsambya-ClockTower'!N55,'02.08 Nsambya-ClockTower'!N55,'01.08 Nsambya-ClockTower-24h'!N55,'03.08 Nsambya-ClockTower-24h'!N55,'04.08 Nsambya-ClockTower'!N55)</f>
        <v>0</v>
      </c>
      <c r="O55" s="15">
        <f t="shared" si="0"/>
        <v>207.14285714285714</v>
      </c>
      <c r="P55" s="15">
        <f t="shared" si="1"/>
        <v>692.42857142857144</v>
      </c>
      <c r="R55" s="8"/>
      <c r="T55"/>
    </row>
    <row r="56" spans="2:20" ht="23.1" customHeight="1" x14ac:dyDescent="0.25">
      <c r="B56" s="23" t="s">
        <v>83</v>
      </c>
      <c r="C56" s="49">
        <f>AVERAGE('29.07 Nsambya-ClockTower'!C56,'30.07 Nsambya-ClockTower'!C56,'31.07 Nsambya-ClockTower'!C56,'02.08 Nsambya-ClockTower'!C56,'01.08 Nsambya-ClockTower-24h'!C56,'03.08 Nsambya-ClockTower-24h'!C56,'04.08 Nsambya-ClockTower'!C56)</f>
        <v>74.857142857142861</v>
      </c>
      <c r="D56" s="49">
        <f>AVERAGE('29.07 Nsambya-ClockTower'!D56,'30.07 Nsambya-ClockTower'!D56,'31.07 Nsambya-ClockTower'!D56,'02.08 Nsambya-ClockTower'!D56,'01.08 Nsambya-ClockTower-24h'!D56,'03.08 Nsambya-ClockTower-24h'!D56,'04.08 Nsambya-ClockTower'!D56)</f>
        <v>14</v>
      </c>
      <c r="E56" s="49">
        <f>AVERAGE('29.07 Nsambya-ClockTower'!E56,'30.07 Nsambya-ClockTower'!E56,'31.07 Nsambya-ClockTower'!E56,'02.08 Nsambya-ClockTower'!E56,'01.08 Nsambya-ClockTower-24h'!E56,'03.08 Nsambya-ClockTower-24h'!E56,'04.08 Nsambya-ClockTower'!E56)</f>
        <v>11.285714285714286</v>
      </c>
      <c r="F56" s="49">
        <f>AVERAGE('29.07 Nsambya-ClockTower'!F56,'30.07 Nsambya-ClockTower'!F56,'31.07 Nsambya-ClockTower'!F56,'02.08 Nsambya-ClockTower'!F56,'01.08 Nsambya-ClockTower-24h'!F56,'03.08 Nsambya-ClockTower-24h'!F56,'04.08 Nsambya-ClockTower'!F56)</f>
        <v>62.714285714285715</v>
      </c>
      <c r="G56" s="49">
        <f>AVERAGE('29.07 Nsambya-ClockTower'!G56,'30.07 Nsambya-ClockTower'!G56,'31.07 Nsambya-ClockTower'!G56,'02.08 Nsambya-ClockTower'!G56,'01.08 Nsambya-ClockTower-24h'!G56,'03.08 Nsambya-ClockTower-24h'!G56,'04.08 Nsambya-ClockTower'!G56)</f>
        <v>1.5714285714285714</v>
      </c>
      <c r="H56" s="49">
        <f>AVERAGE('29.07 Nsambya-ClockTower'!H56,'30.07 Nsambya-ClockTower'!H56,'31.07 Nsambya-ClockTower'!H56,'02.08 Nsambya-ClockTower'!H56,'01.08 Nsambya-ClockTower-24h'!H56,'03.08 Nsambya-ClockTower-24h'!H56,'04.08 Nsambya-ClockTower'!H56)</f>
        <v>0.42857142857142855</v>
      </c>
      <c r="I56" s="49">
        <f>AVERAGE('29.07 Nsambya-ClockTower'!I56,'30.07 Nsambya-ClockTower'!I56,'31.07 Nsambya-ClockTower'!I56,'02.08 Nsambya-ClockTower'!I56,'01.08 Nsambya-ClockTower-24h'!I56,'03.08 Nsambya-ClockTower-24h'!I56,'04.08 Nsambya-ClockTower'!I56)</f>
        <v>7.2857142857142856</v>
      </c>
      <c r="J56" s="49">
        <f>AVERAGE('29.07 Nsambya-ClockTower'!J56,'30.07 Nsambya-ClockTower'!J56,'31.07 Nsambya-ClockTower'!J56,'02.08 Nsambya-ClockTower'!J56,'01.08 Nsambya-ClockTower-24h'!J56,'03.08 Nsambya-ClockTower-24h'!J56,'04.08 Nsambya-ClockTower'!J56)</f>
        <v>9.5714285714285712</v>
      </c>
      <c r="K56" s="49">
        <f>AVERAGE('29.07 Nsambya-ClockTower'!K56,'30.07 Nsambya-ClockTower'!K56,'31.07 Nsambya-ClockTower'!K56,'02.08 Nsambya-ClockTower'!K56,'01.08 Nsambya-ClockTower-24h'!K56,'03.08 Nsambya-ClockTower-24h'!K56,'04.08 Nsambya-ClockTower'!K56)</f>
        <v>3.8571428571428572</v>
      </c>
      <c r="L56" s="49">
        <f>AVERAGE('29.07 Nsambya-ClockTower'!L56,'30.07 Nsambya-ClockTower'!L56,'31.07 Nsambya-ClockTower'!L56,'02.08 Nsambya-ClockTower'!L56,'01.08 Nsambya-ClockTower-24h'!L56,'03.08 Nsambya-ClockTower-24h'!L56,'04.08 Nsambya-ClockTower'!L56)</f>
        <v>7.1428571428571432</v>
      </c>
      <c r="M56" s="49">
        <f>AVERAGE('29.07 Nsambya-ClockTower'!M56,'30.07 Nsambya-ClockTower'!M56,'31.07 Nsambya-ClockTower'!M56,'02.08 Nsambya-ClockTower'!M56,'01.08 Nsambya-ClockTower-24h'!M56,'03.08 Nsambya-ClockTower-24h'!M56,'04.08 Nsambya-ClockTower'!M56)</f>
        <v>454.85714285714283</v>
      </c>
      <c r="N56" s="49">
        <f>AVERAGE('29.07 Nsambya-ClockTower'!N56,'30.07 Nsambya-ClockTower'!N56,'31.07 Nsambya-ClockTower'!N56,'02.08 Nsambya-ClockTower'!N56,'01.08 Nsambya-ClockTower-24h'!N56,'03.08 Nsambya-ClockTower-24h'!N56,'04.08 Nsambya-ClockTower'!N56)</f>
        <v>0</v>
      </c>
      <c r="O56" s="15">
        <f t="shared" si="0"/>
        <v>192.71428571428572</v>
      </c>
      <c r="P56" s="15">
        <f t="shared" si="1"/>
        <v>647.57142857142856</v>
      </c>
      <c r="R56" s="8"/>
      <c r="T56"/>
    </row>
    <row r="57" spans="2:20" ht="23.1" customHeight="1" x14ac:dyDescent="0.25">
      <c r="B57" s="23" t="s">
        <v>84</v>
      </c>
      <c r="C57" s="49">
        <f>AVERAGE('29.07 Nsambya-ClockTower'!C57,'30.07 Nsambya-ClockTower'!C57,'31.07 Nsambya-ClockTower'!C57,'02.08 Nsambya-ClockTower'!C57,'01.08 Nsambya-ClockTower-24h'!C57,'03.08 Nsambya-ClockTower-24h'!C57,'04.08 Nsambya-ClockTower'!C57)</f>
        <v>54.428571428571431</v>
      </c>
      <c r="D57" s="49">
        <f>AVERAGE('29.07 Nsambya-ClockTower'!D57,'30.07 Nsambya-ClockTower'!D57,'31.07 Nsambya-ClockTower'!D57,'02.08 Nsambya-ClockTower'!D57,'01.08 Nsambya-ClockTower-24h'!D57,'03.08 Nsambya-ClockTower-24h'!D57,'04.08 Nsambya-ClockTower'!D57)</f>
        <v>10</v>
      </c>
      <c r="E57" s="49">
        <f>AVERAGE('29.07 Nsambya-ClockTower'!E57,'30.07 Nsambya-ClockTower'!E57,'31.07 Nsambya-ClockTower'!E57,'02.08 Nsambya-ClockTower'!E57,'01.08 Nsambya-ClockTower-24h'!E57,'03.08 Nsambya-ClockTower-24h'!E57,'04.08 Nsambya-ClockTower'!E57)</f>
        <v>9</v>
      </c>
      <c r="F57" s="49">
        <f>AVERAGE('29.07 Nsambya-ClockTower'!F57,'30.07 Nsambya-ClockTower'!F57,'31.07 Nsambya-ClockTower'!F57,'02.08 Nsambya-ClockTower'!F57,'01.08 Nsambya-ClockTower-24h'!F57,'03.08 Nsambya-ClockTower-24h'!F57,'04.08 Nsambya-ClockTower'!F57)</f>
        <v>54.571428571428569</v>
      </c>
      <c r="G57" s="49">
        <f>AVERAGE('29.07 Nsambya-ClockTower'!G57,'30.07 Nsambya-ClockTower'!G57,'31.07 Nsambya-ClockTower'!G57,'02.08 Nsambya-ClockTower'!G57,'01.08 Nsambya-ClockTower-24h'!G57,'03.08 Nsambya-ClockTower-24h'!G57,'04.08 Nsambya-ClockTower'!G57)</f>
        <v>5.1428571428571432</v>
      </c>
      <c r="H57" s="49">
        <f>AVERAGE('29.07 Nsambya-ClockTower'!H57,'30.07 Nsambya-ClockTower'!H57,'31.07 Nsambya-ClockTower'!H57,'02.08 Nsambya-ClockTower'!H57,'01.08 Nsambya-ClockTower-24h'!H57,'03.08 Nsambya-ClockTower-24h'!H57,'04.08 Nsambya-ClockTower'!H57)</f>
        <v>0.7142857142857143</v>
      </c>
      <c r="I57" s="49">
        <f>AVERAGE('29.07 Nsambya-ClockTower'!I57,'30.07 Nsambya-ClockTower'!I57,'31.07 Nsambya-ClockTower'!I57,'02.08 Nsambya-ClockTower'!I57,'01.08 Nsambya-ClockTower-24h'!I57,'03.08 Nsambya-ClockTower-24h'!I57,'04.08 Nsambya-ClockTower'!I57)</f>
        <v>6.1428571428571432</v>
      </c>
      <c r="J57" s="49">
        <f>AVERAGE('29.07 Nsambya-ClockTower'!J57,'30.07 Nsambya-ClockTower'!J57,'31.07 Nsambya-ClockTower'!J57,'02.08 Nsambya-ClockTower'!J57,'01.08 Nsambya-ClockTower-24h'!J57,'03.08 Nsambya-ClockTower-24h'!J57,'04.08 Nsambya-ClockTower'!J57)</f>
        <v>7.7142857142857144</v>
      </c>
      <c r="K57" s="49">
        <f>AVERAGE('29.07 Nsambya-ClockTower'!K57,'30.07 Nsambya-ClockTower'!K57,'31.07 Nsambya-ClockTower'!K57,'02.08 Nsambya-ClockTower'!K57,'01.08 Nsambya-ClockTower-24h'!K57,'03.08 Nsambya-ClockTower-24h'!K57,'04.08 Nsambya-ClockTower'!K57)</f>
        <v>9.5714285714285712</v>
      </c>
      <c r="L57" s="49">
        <f>AVERAGE('29.07 Nsambya-ClockTower'!L57,'30.07 Nsambya-ClockTower'!L57,'31.07 Nsambya-ClockTower'!L57,'02.08 Nsambya-ClockTower'!L57,'01.08 Nsambya-ClockTower-24h'!L57,'03.08 Nsambya-ClockTower-24h'!L57,'04.08 Nsambya-ClockTower'!L57)</f>
        <v>8.5714285714285712</v>
      </c>
      <c r="M57" s="49">
        <f>AVERAGE('29.07 Nsambya-ClockTower'!M57,'30.07 Nsambya-ClockTower'!M57,'31.07 Nsambya-ClockTower'!M57,'02.08 Nsambya-ClockTower'!M57,'01.08 Nsambya-ClockTower-24h'!M57,'03.08 Nsambya-ClockTower-24h'!M57,'04.08 Nsambya-ClockTower'!M57)</f>
        <v>479.85714285714283</v>
      </c>
      <c r="N57" s="49">
        <f>AVERAGE('29.07 Nsambya-ClockTower'!N57,'30.07 Nsambya-ClockTower'!N57,'31.07 Nsambya-ClockTower'!N57,'02.08 Nsambya-ClockTower'!N57,'01.08 Nsambya-ClockTower-24h'!N57,'03.08 Nsambya-ClockTower-24h'!N57,'04.08 Nsambya-ClockTower'!N57)</f>
        <v>0.14285714285714285</v>
      </c>
      <c r="O57" s="15">
        <f t="shared" si="0"/>
        <v>166.00000000000003</v>
      </c>
      <c r="P57" s="15">
        <f t="shared" si="1"/>
        <v>645.85714285714289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3290.4285714285706</v>
      </c>
      <c r="D58" s="16">
        <f t="shared" si="21"/>
        <v>940.4285714285711</v>
      </c>
      <c r="E58" s="16">
        <f t="shared" si="21"/>
        <v>584</v>
      </c>
      <c r="F58" s="16">
        <f t="shared" si="21"/>
        <v>4573.4285714285697</v>
      </c>
      <c r="G58" s="16">
        <f t="shared" si="21"/>
        <v>85.714285714285694</v>
      </c>
      <c r="H58" s="16">
        <f t="shared" si="21"/>
        <v>16.857142857142865</v>
      </c>
      <c r="I58" s="16">
        <f t="shared" si="21"/>
        <v>370.28571428571422</v>
      </c>
      <c r="J58" s="16">
        <f t="shared" si="21"/>
        <v>237.57142857142856</v>
      </c>
      <c r="K58" s="16">
        <f t="shared" si="21"/>
        <v>145.71428571428569</v>
      </c>
      <c r="L58" s="16">
        <f t="shared" si="21"/>
        <v>241.42857142857142</v>
      </c>
      <c r="M58" s="16">
        <f t="shared" si="21"/>
        <v>20668.71428571429</v>
      </c>
      <c r="N58" s="16">
        <f t="shared" si="21"/>
        <v>8.0000000000000018</v>
      </c>
      <c r="O58" s="16">
        <f t="shared" si="21"/>
        <v>10493.857142857145</v>
      </c>
      <c r="P58" s="16">
        <f t="shared" si="21"/>
        <v>31162.571428571424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0.10558912248209848</v>
      </c>
      <c r="D59" s="43">
        <f t="shared" si="22"/>
        <v>3.0178144110608873E-2</v>
      </c>
      <c r="E59" s="43">
        <f t="shared" si="22"/>
        <v>1.8740430369765932E-2</v>
      </c>
      <c r="F59" s="43">
        <f t="shared" si="22"/>
        <v>0.14676030769512874</v>
      </c>
      <c r="G59" s="43">
        <f t="shared" si="22"/>
        <v>2.7505524026075236E-3</v>
      </c>
      <c r="H59" s="43">
        <f t="shared" si="22"/>
        <v>5.409419725128133E-4</v>
      </c>
      <c r="I59" s="43">
        <f t="shared" si="22"/>
        <v>1.1882386379264502E-2</v>
      </c>
      <c r="J59" s="43">
        <f t="shared" si="22"/>
        <v>7.6236144092271868E-3</v>
      </c>
      <c r="K59" s="43">
        <f t="shared" si="22"/>
        <v>4.6759390844327902E-3</v>
      </c>
      <c r="L59" s="43">
        <f t="shared" si="22"/>
        <v>7.7473892673445262E-3</v>
      </c>
      <c r="M59" s="43">
        <f t="shared" si="22"/>
        <v>0.66325445360276547</v>
      </c>
      <c r="N59" s="43">
        <f t="shared" si="22"/>
        <v>2.5671822424336895E-4</v>
      </c>
      <c r="R59" s="8"/>
      <c r="T59"/>
    </row>
    <row r="60" spans="2:20" ht="23.1" customHeight="1" x14ac:dyDescent="0.25">
      <c r="B60" s="42" t="s">
        <v>94</v>
      </c>
      <c r="C60" s="44">
        <f>C58/$O$58</f>
        <v>0.31355759151612494</v>
      </c>
      <c r="D60" s="44">
        <f t="shared" ref="D60:N60" si="23">D58/$O$58</f>
        <v>8.9617054875641478E-2</v>
      </c>
      <c r="E60" s="44">
        <f t="shared" si="23"/>
        <v>5.5651605701294626E-2</v>
      </c>
      <c r="F60" s="44">
        <f t="shared" si="23"/>
        <v>0.43581959513729096</v>
      </c>
      <c r="G60" s="44">
        <f t="shared" si="23"/>
        <v>8.168043889622497E-3</v>
      </c>
      <c r="H60" s="44">
        <f t="shared" si="23"/>
        <v>1.6063819649590921E-3</v>
      </c>
      <c r="I60" s="44">
        <f t="shared" si="23"/>
        <v>3.5285949603169185E-2</v>
      </c>
      <c r="J60" s="44">
        <f t="shared" si="23"/>
        <v>2.2639094980737025E-2</v>
      </c>
      <c r="K60" s="44">
        <f t="shared" si="23"/>
        <v>1.3885674612358246E-2</v>
      </c>
      <c r="L60" s="44">
        <f t="shared" si="23"/>
        <v>2.3006656955770036E-2</v>
      </c>
      <c r="M60" s="44"/>
      <c r="N60" s="44">
        <f t="shared" si="23"/>
        <v>7.6235076303143336E-4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26"/>
  <sheetViews>
    <sheetView view="pageBreakPreview" topLeftCell="A4" zoomScale="60" workbookViewId="0">
      <selection activeCell="J9" sqref="J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4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2:32" ht="20.100000000000001" customHeight="1" x14ac:dyDescent="0.25">
      <c r="B2" s="55" t="s">
        <v>95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2:32" ht="20.100000000000001" customHeight="1" x14ac:dyDescent="0.25">
      <c r="B3" s="22" t="s">
        <v>96</v>
      </c>
      <c r="C3" s="59" t="str">
        <f>'04.08 Nsambya-ClockTower'!C3:G3</f>
        <v>MCC - C1 - STN50 - NSAMBYA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2" t="s">
        <v>162</v>
      </c>
      <c r="E5" s="63"/>
      <c r="F5" s="41" t="s">
        <v>1</v>
      </c>
      <c r="G5" s="60" t="str">
        <f>'Avg Week Nsambya-ClockTower'!G5:H5</f>
        <v>Gapco</v>
      </c>
      <c r="H5" s="61"/>
      <c r="I5" s="14"/>
      <c r="J5" s="2" t="s">
        <v>5</v>
      </c>
      <c r="K5" s="60" t="str">
        <f>'Avg Week Nsambya-ClockTower'!K5:L5</f>
        <v>Adong Agnes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161</v>
      </c>
      <c r="E6" s="65"/>
      <c r="F6" s="2" t="s">
        <v>2</v>
      </c>
      <c r="G6" s="64" t="s">
        <v>161</v>
      </c>
      <c r="H6" s="65"/>
      <c r="J6" s="2" t="s">
        <v>21</v>
      </c>
      <c r="K6" s="60" t="str">
        <f>'Avg Week Nsambya-ClockTower'!K6:L6</f>
        <v>Felix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3" t="s">
        <v>88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ClockTower-Nsambya'!C10+'Avg Week Nsambya-ClockTower'!C10</f>
        <v>123.85714285714286</v>
      </c>
      <c r="D10" s="49">
        <f>'Avg Week ClockTower-Nsambya'!D10+'Avg Week Nsambya-ClockTower'!D10</f>
        <v>21.571428571428573</v>
      </c>
      <c r="E10" s="49">
        <f>'Avg Week ClockTower-Nsambya'!E10+'Avg Week Nsambya-ClockTower'!E10</f>
        <v>12.714285714285714</v>
      </c>
      <c r="F10" s="49">
        <f>'Avg Week ClockTower-Nsambya'!F10+'Avg Week Nsambya-ClockTower'!F10</f>
        <v>166.85714285714283</v>
      </c>
      <c r="G10" s="49">
        <f>'Avg Week ClockTower-Nsambya'!G10+'Avg Week Nsambya-ClockTower'!G10</f>
        <v>4.7142857142857144</v>
      </c>
      <c r="H10" s="49">
        <f>'Avg Week ClockTower-Nsambya'!H10+'Avg Week Nsambya-ClockTower'!H10</f>
        <v>1.4285714285714286</v>
      </c>
      <c r="I10" s="49">
        <f>'Avg Week ClockTower-Nsambya'!I10+'Avg Week Nsambya-ClockTower'!I10</f>
        <v>10</v>
      </c>
      <c r="J10" s="49">
        <f>'Avg Week ClockTower-Nsambya'!J10+'Avg Week Nsambya-ClockTower'!J10</f>
        <v>5</v>
      </c>
      <c r="K10" s="49">
        <f>'Avg Week ClockTower-Nsambya'!K10+'Avg Week Nsambya-ClockTower'!K10</f>
        <v>3.8571428571428572</v>
      </c>
      <c r="L10" s="49">
        <f>'Avg Week ClockTower-Nsambya'!L10+'Avg Week Nsambya-ClockTower'!L10</f>
        <v>4.4285714285714288</v>
      </c>
      <c r="M10" s="49">
        <f>'Avg Week ClockTower-Nsambya'!M10+'Avg Week Nsambya-ClockTower'!M10</f>
        <v>912.28571428571422</v>
      </c>
      <c r="N10" s="49">
        <f>'Avg Week ClockTower-Nsambya'!N10+'Avg Week Nsambya-ClockTower'!N10</f>
        <v>0.14285714285714285</v>
      </c>
      <c r="O10" s="15">
        <f t="shared" ref="O10:O57" si="0">SUM(C10:L10,N10)</f>
        <v>354.57142857142861</v>
      </c>
      <c r="P10" s="15">
        <f t="shared" ref="P10:P57" si="1">SUM(C10:N10)</f>
        <v>1266.8571428571429</v>
      </c>
      <c r="R10" s="1" t="s">
        <v>6</v>
      </c>
      <c r="S10" s="17">
        <f t="shared" ref="S10:AF10" si="2">SUM(C10:C13)</f>
        <v>486</v>
      </c>
      <c r="T10" s="17">
        <f t="shared" si="2"/>
        <v>92.571428571428584</v>
      </c>
      <c r="U10" s="17">
        <f t="shared" si="2"/>
        <v>50</v>
      </c>
      <c r="V10" s="17">
        <f t="shared" si="2"/>
        <v>745.71428571428567</v>
      </c>
      <c r="W10" s="17">
        <f t="shared" si="2"/>
        <v>18.142857142857142</v>
      </c>
      <c r="X10" s="17">
        <f t="shared" si="2"/>
        <v>6.2857142857142865</v>
      </c>
      <c r="Y10" s="17">
        <f t="shared" si="2"/>
        <v>32.857142857142861</v>
      </c>
      <c r="Z10" s="17">
        <f t="shared" si="2"/>
        <v>18.571428571428569</v>
      </c>
      <c r="AA10" s="17">
        <f t="shared" si="2"/>
        <v>15.000000000000002</v>
      </c>
      <c r="AB10" s="17">
        <f t="shared" si="2"/>
        <v>15.428571428571429</v>
      </c>
      <c r="AC10" s="17">
        <f t="shared" si="2"/>
        <v>3654.1428571428569</v>
      </c>
      <c r="AD10" s="17">
        <f t="shared" si="2"/>
        <v>2.1428571428571428</v>
      </c>
      <c r="AE10" s="31">
        <f t="shared" si="2"/>
        <v>1482.7142857142858</v>
      </c>
      <c r="AF10" s="31">
        <f t="shared" si="2"/>
        <v>5136.8571428571431</v>
      </c>
    </row>
    <row r="11" spans="2:32" s="6" customFormat="1" ht="23.1" customHeight="1" x14ac:dyDescent="0.25">
      <c r="B11" s="23" t="s">
        <v>38</v>
      </c>
      <c r="C11" s="49">
        <f>'Avg Week ClockTower-Nsambya'!C11+'Avg Week Nsambya-ClockTower'!C11</f>
        <v>116.85714285714286</v>
      </c>
      <c r="D11" s="49">
        <f>'Avg Week ClockTower-Nsambya'!D11+'Avg Week Nsambya-ClockTower'!D11</f>
        <v>25.428571428571431</v>
      </c>
      <c r="E11" s="49">
        <f>'Avg Week ClockTower-Nsambya'!E11+'Avg Week Nsambya-ClockTower'!E11</f>
        <v>12.857142857142858</v>
      </c>
      <c r="F11" s="49">
        <f>'Avg Week ClockTower-Nsambya'!F11+'Avg Week Nsambya-ClockTower'!F11</f>
        <v>171</v>
      </c>
      <c r="G11" s="49">
        <f>'Avg Week ClockTower-Nsambya'!G11+'Avg Week Nsambya-ClockTower'!G11</f>
        <v>3.5714285714285712</v>
      </c>
      <c r="H11" s="49">
        <f>'Avg Week ClockTower-Nsambya'!H11+'Avg Week Nsambya-ClockTower'!H11</f>
        <v>1.5714285714285716</v>
      </c>
      <c r="I11" s="49">
        <f>'Avg Week ClockTower-Nsambya'!I11+'Avg Week Nsambya-ClockTower'!I11</f>
        <v>6.7142857142857135</v>
      </c>
      <c r="J11" s="49">
        <f>'Avg Week ClockTower-Nsambya'!J11+'Avg Week Nsambya-ClockTower'!J11</f>
        <v>2.7142857142857144</v>
      </c>
      <c r="K11" s="49">
        <f>'Avg Week ClockTower-Nsambya'!K11+'Avg Week Nsambya-ClockTower'!K11</f>
        <v>4</v>
      </c>
      <c r="L11" s="49">
        <f>'Avg Week ClockTower-Nsambya'!L11+'Avg Week Nsambya-ClockTower'!L11</f>
        <v>5.2857142857142856</v>
      </c>
      <c r="M11" s="49">
        <f>'Avg Week ClockTower-Nsambya'!M11+'Avg Week Nsambya-ClockTower'!M11</f>
        <v>814.28571428571433</v>
      </c>
      <c r="N11" s="49">
        <f>'Avg Week ClockTower-Nsambya'!N11+'Avg Week Nsambya-ClockTower'!N11</f>
        <v>0.2857142857142857</v>
      </c>
      <c r="O11" s="15">
        <f t="shared" si="0"/>
        <v>350.28571428571422</v>
      </c>
      <c r="P11" s="15">
        <f t="shared" si="1"/>
        <v>1164.5714285714284</v>
      </c>
      <c r="R11" s="1" t="s">
        <v>7</v>
      </c>
      <c r="S11" s="17">
        <f t="shared" ref="S11:AF11" si="3">SUM(C14:C17)</f>
        <v>515.28571428571433</v>
      </c>
      <c r="T11" s="17">
        <f t="shared" si="3"/>
        <v>93</v>
      </c>
      <c r="U11" s="17">
        <f t="shared" si="3"/>
        <v>52.857142857142854</v>
      </c>
      <c r="V11" s="17">
        <f t="shared" si="3"/>
        <v>704.85714285714289</v>
      </c>
      <c r="W11" s="17">
        <f t="shared" si="3"/>
        <v>19</v>
      </c>
      <c r="X11" s="17">
        <f t="shared" si="3"/>
        <v>6.5714285714285712</v>
      </c>
      <c r="Y11" s="17">
        <f t="shared" si="3"/>
        <v>32.857142857142861</v>
      </c>
      <c r="Z11" s="17">
        <f t="shared" si="3"/>
        <v>23.142857142857142</v>
      </c>
      <c r="AA11" s="17">
        <f t="shared" si="3"/>
        <v>17.857142857142854</v>
      </c>
      <c r="AB11" s="17">
        <f t="shared" si="3"/>
        <v>18.142857142857142</v>
      </c>
      <c r="AC11" s="17">
        <f t="shared" si="3"/>
        <v>3647.5714285714284</v>
      </c>
      <c r="AD11" s="17">
        <f t="shared" si="3"/>
        <v>1.5714285714285714</v>
      </c>
      <c r="AE11" s="31">
        <f t="shared" si="3"/>
        <v>1485.1428571428571</v>
      </c>
      <c r="AF11" s="31">
        <f t="shared" si="3"/>
        <v>5132.7142857142862</v>
      </c>
    </row>
    <row r="12" spans="2:32" ht="23.1" customHeight="1" x14ac:dyDescent="0.25">
      <c r="B12" s="23" t="s">
        <v>39</v>
      </c>
      <c r="C12" s="49">
        <f>'Avg Week ClockTower-Nsambya'!C12+'Avg Week Nsambya-ClockTower'!C12</f>
        <v>132.42857142857142</v>
      </c>
      <c r="D12" s="49">
        <f>'Avg Week ClockTower-Nsambya'!D12+'Avg Week Nsambya-ClockTower'!D12</f>
        <v>20.857142857142858</v>
      </c>
      <c r="E12" s="49">
        <f>'Avg Week ClockTower-Nsambya'!E12+'Avg Week Nsambya-ClockTower'!E12</f>
        <v>12.571428571428571</v>
      </c>
      <c r="F12" s="49">
        <f>'Avg Week ClockTower-Nsambya'!F12+'Avg Week Nsambya-ClockTower'!F12</f>
        <v>204.42857142857144</v>
      </c>
      <c r="G12" s="49">
        <f>'Avg Week ClockTower-Nsambya'!G12+'Avg Week Nsambya-ClockTower'!G12</f>
        <v>5.7142857142857144</v>
      </c>
      <c r="H12" s="49">
        <f>'Avg Week ClockTower-Nsambya'!H12+'Avg Week Nsambya-ClockTower'!H12</f>
        <v>1.8571428571428572</v>
      </c>
      <c r="I12" s="49">
        <f>'Avg Week ClockTower-Nsambya'!I12+'Avg Week Nsambya-ClockTower'!I12</f>
        <v>6.2857142857142856</v>
      </c>
      <c r="J12" s="49">
        <f>'Avg Week ClockTower-Nsambya'!J12+'Avg Week Nsambya-ClockTower'!J12</f>
        <v>3.2857142857142856</v>
      </c>
      <c r="K12" s="49">
        <f>'Avg Week ClockTower-Nsambya'!K12+'Avg Week Nsambya-ClockTower'!K12</f>
        <v>3.7142857142857144</v>
      </c>
      <c r="L12" s="49">
        <f>'Avg Week ClockTower-Nsambya'!L12+'Avg Week Nsambya-ClockTower'!L12</f>
        <v>2.5714285714285712</v>
      </c>
      <c r="M12" s="49">
        <f>'Avg Week ClockTower-Nsambya'!M12+'Avg Week Nsambya-ClockTower'!M12</f>
        <v>909.71428571428578</v>
      </c>
      <c r="N12" s="49">
        <f>'Avg Week ClockTower-Nsambya'!N12+'Avg Week Nsambya-ClockTower'!N12</f>
        <v>0.42857142857142855</v>
      </c>
      <c r="O12" s="15">
        <f t="shared" si="0"/>
        <v>394.14285714285717</v>
      </c>
      <c r="P12" s="15">
        <f t="shared" si="1"/>
        <v>1303.8571428571429</v>
      </c>
      <c r="R12" s="1" t="s">
        <v>8</v>
      </c>
      <c r="S12" s="17">
        <f t="shared" ref="S12:AF12" si="4">SUM(C18:C21)</f>
        <v>431.42857142857144</v>
      </c>
      <c r="T12" s="17">
        <f t="shared" si="4"/>
        <v>269.85714285714283</v>
      </c>
      <c r="U12" s="17">
        <f t="shared" si="4"/>
        <v>78.142857142857139</v>
      </c>
      <c r="V12" s="17">
        <f t="shared" si="4"/>
        <v>628.71428571428578</v>
      </c>
      <c r="W12" s="17">
        <f t="shared" si="4"/>
        <v>15.714285714285712</v>
      </c>
      <c r="X12" s="17">
        <f t="shared" si="4"/>
        <v>3.2857142857142856</v>
      </c>
      <c r="Y12" s="17">
        <f t="shared" si="4"/>
        <v>49.571428571428569</v>
      </c>
      <c r="Z12" s="17">
        <f t="shared" si="4"/>
        <v>36.571428571428569</v>
      </c>
      <c r="AA12" s="17">
        <f t="shared" si="4"/>
        <v>21.571428571428569</v>
      </c>
      <c r="AB12" s="17">
        <f t="shared" si="4"/>
        <v>19.857142857142854</v>
      </c>
      <c r="AC12" s="17">
        <f t="shared" si="4"/>
        <v>3469.8571428571431</v>
      </c>
      <c r="AD12" s="17">
        <f t="shared" si="4"/>
        <v>2.4285714285714288</v>
      </c>
      <c r="AE12" s="31">
        <f t="shared" si="4"/>
        <v>1557.1428571428571</v>
      </c>
      <c r="AF12" s="31">
        <f t="shared" si="4"/>
        <v>5027</v>
      </c>
    </row>
    <row r="13" spans="2:32" ht="23.1" customHeight="1" x14ac:dyDescent="0.25">
      <c r="B13" s="23" t="s">
        <v>40</v>
      </c>
      <c r="C13" s="49">
        <f>'Avg Week ClockTower-Nsambya'!C13+'Avg Week Nsambya-ClockTower'!C13</f>
        <v>112.85714285714286</v>
      </c>
      <c r="D13" s="49">
        <f>'Avg Week ClockTower-Nsambya'!D13+'Avg Week Nsambya-ClockTower'!D13</f>
        <v>24.714285714285715</v>
      </c>
      <c r="E13" s="49">
        <f>'Avg Week ClockTower-Nsambya'!E13+'Avg Week Nsambya-ClockTower'!E13</f>
        <v>11.857142857142858</v>
      </c>
      <c r="F13" s="49">
        <f>'Avg Week ClockTower-Nsambya'!F13+'Avg Week Nsambya-ClockTower'!F13</f>
        <v>203.42857142857144</v>
      </c>
      <c r="G13" s="49">
        <f>'Avg Week ClockTower-Nsambya'!G13+'Avg Week Nsambya-ClockTower'!G13</f>
        <v>4.1428571428571423</v>
      </c>
      <c r="H13" s="49">
        <f>'Avg Week ClockTower-Nsambya'!H13+'Avg Week Nsambya-ClockTower'!H13</f>
        <v>1.4285714285714286</v>
      </c>
      <c r="I13" s="49">
        <f>'Avg Week ClockTower-Nsambya'!I13+'Avg Week Nsambya-ClockTower'!I13</f>
        <v>9.8571428571428577</v>
      </c>
      <c r="J13" s="49">
        <f>'Avg Week ClockTower-Nsambya'!J13+'Avg Week Nsambya-ClockTower'!J13</f>
        <v>7.5714285714285712</v>
      </c>
      <c r="K13" s="49">
        <f>'Avg Week ClockTower-Nsambya'!K13+'Avg Week Nsambya-ClockTower'!K13</f>
        <v>3.4285714285714288</v>
      </c>
      <c r="L13" s="49">
        <f>'Avg Week ClockTower-Nsambya'!L13+'Avg Week Nsambya-ClockTower'!L13</f>
        <v>3.1428571428571428</v>
      </c>
      <c r="M13" s="49">
        <f>'Avg Week ClockTower-Nsambya'!M13+'Avg Week Nsambya-ClockTower'!M13</f>
        <v>1017.8571428571429</v>
      </c>
      <c r="N13" s="49">
        <f>'Avg Week ClockTower-Nsambya'!N13+'Avg Week Nsambya-ClockTower'!N13</f>
        <v>1.2857142857142856</v>
      </c>
      <c r="O13" s="15">
        <f t="shared" si="0"/>
        <v>383.71428571428578</v>
      </c>
      <c r="P13" s="15">
        <f t="shared" si="1"/>
        <v>1401.5714285714287</v>
      </c>
      <c r="R13" s="1" t="s">
        <v>9</v>
      </c>
      <c r="S13" s="17">
        <f t="shared" ref="S13:AF13" si="5">SUM(C22:C25)</f>
        <v>438.28571428571428</v>
      </c>
      <c r="T13" s="17">
        <f t="shared" si="5"/>
        <v>91.142857142857139</v>
      </c>
      <c r="U13" s="17">
        <f t="shared" si="5"/>
        <v>69.142857142857153</v>
      </c>
      <c r="V13" s="17">
        <f t="shared" si="5"/>
        <v>678</v>
      </c>
      <c r="W13" s="17">
        <f t="shared" si="5"/>
        <v>12.571428571428573</v>
      </c>
      <c r="X13" s="17">
        <f t="shared" si="5"/>
        <v>1.8571428571428572</v>
      </c>
      <c r="Y13" s="17">
        <f t="shared" si="5"/>
        <v>60</v>
      </c>
      <c r="Z13" s="17">
        <f t="shared" si="5"/>
        <v>36.571428571428569</v>
      </c>
      <c r="AA13" s="17">
        <f t="shared" si="5"/>
        <v>18.571428571428573</v>
      </c>
      <c r="AB13" s="17">
        <f t="shared" si="5"/>
        <v>25.571428571428573</v>
      </c>
      <c r="AC13" s="17">
        <f t="shared" si="5"/>
        <v>2943.5714285714284</v>
      </c>
      <c r="AD13" s="17">
        <f t="shared" si="5"/>
        <v>0.71428571428571419</v>
      </c>
      <c r="AE13" s="31">
        <f t="shared" si="5"/>
        <v>1432.4285714285716</v>
      </c>
      <c r="AF13" s="31">
        <f t="shared" si="5"/>
        <v>4376</v>
      </c>
    </row>
    <row r="14" spans="2:32" ht="23.1" customHeight="1" x14ac:dyDescent="0.25">
      <c r="B14" s="23" t="s">
        <v>41</v>
      </c>
      <c r="C14" s="49">
        <f>'Avg Week ClockTower-Nsambya'!C14+'Avg Week Nsambya-ClockTower'!C14</f>
        <v>133.71428571428572</v>
      </c>
      <c r="D14" s="49">
        <f>'Avg Week ClockTower-Nsambya'!D14+'Avg Week Nsambya-ClockTower'!D14</f>
        <v>20.571428571428569</v>
      </c>
      <c r="E14" s="49">
        <f>'Avg Week ClockTower-Nsambya'!E14+'Avg Week Nsambya-ClockTower'!E14</f>
        <v>10.714285714285715</v>
      </c>
      <c r="F14" s="49">
        <f>'Avg Week ClockTower-Nsambya'!F14+'Avg Week Nsambya-ClockTower'!F14</f>
        <v>192.85714285714286</v>
      </c>
      <c r="G14" s="49">
        <f>'Avg Week ClockTower-Nsambya'!G14+'Avg Week Nsambya-ClockTower'!G14</f>
        <v>5</v>
      </c>
      <c r="H14" s="49">
        <f>'Avg Week ClockTower-Nsambya'!H14+'Avg Week Nsambya-ClockTower'!H14</f>
        <v>1.4285714285714284</v>
      </c>
      <c r="I14" s="49">
        <f>'Avg Week ClockTower-Nsambya'!I14+'Avg Week Nsambya-ClockTower'!I14</f>
        <v>9.1428571428571423</v>
      </c>
      <c r="J14" s="49">
        <f>'Avg Week ClockTower-Nsambya'!J14+'Avg Week Nsambya-ClockTower'!J14</f>
        <v>5.8571428571428568</v>
      </c>
      <c r="K14" s="49">
        <f>'Avg Week ClockTower-Nsambya'!K14+'Avg Week Nsambya-ClockTower'!K14</f>
        <v>4.8571428571428568</v>
      </c>
      <c r="L14" s="49">
        <f>'Avg Week ClockTower-Nsambya'!L14+'Avg Week Nsambya-ClockTower'!L14</f>
        <v>4</v>
      </c>
      <c r="M14" s="49">
        <f>'Avg Week ClockTower-Nsambya'!M14+'Avg Week Nsambya-ClockTower'!M14</f>
        <v>1003.4285714285714</v>
      </c>
      <c r="N14" s="49">
        <f>'Avg Week ClockTower-Nsambya'!N14+'Avg Week Nsambya-ClockTower'!N14</f>
        <v>0.2857142857142857</v>
      </c>
      <c r="O14" s="15">
        <f t="shared" si="0"/>
        <v>388.42857142857144</v>
      </c>
      <c r="P14" s="15">
        <f t="shared" si="1"/>
        <v>1391.8571428571429</v>
      </c>
      <c r="R14" s="1" t="s">
        <v>10</v>
      </c>
      <c r="S14" s="17">
        <f t="shared" ref="S14:AF14" si="6">SUM(C26:C29)</f>
        <v>447.42857142857144</v>
      </c>
      <c r="T14" s="17">
        <f t="shared" si="6"/>
        <v>134.42857142857144</v>
      </c>
      <c r="U14" s="17">
        <f t="shared" si="6"/>
        <v>78.428571428571431</v>
      </c>
      <c r="V14" s="17">
        <f t="shared" si="6"/>
        <v>611.85714285714289</v>
      </c>
      <c r="W14" s="17">
        <f t="shared" si="6"/>
        <v>9.1428571428571423</v>
      </c>
      <c r="X14" s="17">
        <f t="shared" si="6"/>
        <v>2.2857142857142856</v>
      </c>
      <c r="Y14" s="17">
        <f t="shared" si="6"/>
        <v>51.571428571428569</v>
      </c>
      <c r="Z14" s="17">
        <f t="shared" si="6"/>
        <v>41</v>
      </c>
      <c r="AA14" s="17">
        <f t="shared" si="6"/>
        <v>21.285714285714285</v>
      </c>
      <c r="AB14" s="17">
        <f t="shared" si="6"/>
        <v>85.857142857142861</v>
      </c>
      <c r="AC14" s="17">
        <f t="shared" si="6"/>
        <v>3074</v>
      </c>
      <c r="AD14" s="17">
        <f t="shared" si="6"/>
        <v>1.1428571428571428</v>
      </c>
      <c r="AE14" s="31">
        <f t="shared" si="6"/>
        <v>1484.4285714285716</v>
      </c>
      <c r="AF14" s="31">
        <f t="shared" si="6"/>
        <v>4558.4285714285716</v>
      </c>
    </row>
    <row r="15" spans="2:32" ht="23.1" customHeight="1" x14ac:dyDescent="0.25">
      <c r="B15" s="23" t="s">
        <v>42</v>
      </c>
      <c r="C15" s="49">
        <f>'Avg Week ClockTower-Nsambya'!C15+'Avg Week Nsambya-ClockTower'!C15</f>
        <v>132.14285714285714</v>
      </c>
      <c r="D15" s="49">
        <f>'Avg Week ClockTower-Nsambya'!D15+'Avg Week Nsambya-ClockTower'!D15</f>
        <v>24</v>
      </c>
      <c r="E15" s="49">
        <f>'Avg Week ClockTower-Nsambya'!E15+'Avg Week Nsambya-ClockTower'!E15</f>
        <v>14.142857142857142</v>
      </c>
      <c r="F15" s="49">
        <f>'Avg Week ClockTower-Nsambya'!F15+'Avg Week Nsambya-ClockTower'!F15</f>
        <v>176.14285714285717</v>
      </c>
      <c r="G15" s="49">
        <f>'Avg Week ClockTower-Nsambya'!G15+'Avg Week Nsambya-ClockTower'!G15</f>
        <v>3.7142857142857144</v>
      </c>
      <c r="H15" s="49">
        <f>'Avg Week ClockTower-Nsambya'!H15+'Avg Week Nsambya-ClockTower'!H15</f>
        <v>1.8571428571428572</v>
      </c>
      <c r="I15" s="49">
        <f>'Avg Week ClockTower-Nsambya'!I15+'Avg Week Nsambya-ClockTower'!I15</f>
        <v>6.8571428571428577</v>
      </c>
      <c r="J15" s="49">
        <f>'Avg Week ClockTower-Nsambya'!J15+'Avg Week Nsambya-ClockTower'!J15</f>
        <v>5.5714285714285712</v>
      </c>
      <c r="K15" s="49">
        <f>'Avg Week ClockTower-Nsambya'!K15+'Avg Week Nsambya-ClockTower'!K15</f>
        <v>4.2857142857142856</v>
      </c>
      <c r="L15" s="49">
        <f>'Avg Week ClockTower-Nsambya'!L15+'Avg Week Nsambya-ClockTower'!L15</f>
        <v>7</v>
      </c>
      <c r="M15" s="49">
        <f>'Avg Week ClockTower-Nsambya'!M15+'Avg Week Nsambya-ClockTower'!M15</f>
        <v>889</v>
      </c>
      <c r="N15" s="49">
        <f>'Avg Week ClockTower-Nsambya'!N15+'Avg Week Nsambya-ClockTower'!N15</f>
        <v>0.2857142857142857</v>
      </c>
      <c r="O15" s="15">
        <f t="shared" si="0"/>
        <v>375.99999999999994</v>
      </c>
      <c r="P15" s="15">
        <f t="shared" si="1"/>
        <v>1265</v>
      </c>
      <c r="R15" s="1" t="s">
        <v>11</v>
      </c>
      <c r="S15" s="17">
        <f t="shared" ref="S15:AF15" si="7">SUM(C30:C33)</f>
        <v>479.57142857142856</v>
      </c>
      <c r="T15" s="17">
        <f t="shared" si="7"/>
        <v>180.28571428571428</v>
      </c>
      <c r="U15" s="17">
        <f t="shared" si="7"/>
        <v>106.28571428571429</v>
      </c>
      <c r="V15" s="17">
        <f t="shared" si="7"/>
        <v>608.14285714285722</v>
      </c>
      <c r="W15" s="17">
        <f t="shared" si="7"/>
        <v>9.2857142857142847</v>
      </c>
      <c r="X15" s="17">
        <f t="shared" si="7"/>
        <v>3.4285714285714279</v>
      </c>
      <c r="Y15" s="17">
        <f t="shared" si="7"/>
        <v>55.285714285714278</v>
      </c>
      <c r="Z15" s="17">
        <f t="shared" si="7"/>
        <v>38.142857142857146</v>
      </c>
      <c r="AA15" s="17">
        <f t="shared" si="7"/>
        <v>23.571428571428573</v>
      </c>
      <c r="AB15" s="17">
        <f t="shared" si="7"/>
        <v>30.714285714285715</v>
      </c>
      <c r="AC15" s="17">
        <f t="shared" si="7"/>
        <v>2880.4285714285716</v>
      </c>
      <c r="AD15" s="17">
        <f t="shared" si="7"/>
        <v>1.2857142857142856</v>
      </c>
      <c r="AE15" s="31">
        <f t="shared" si="7"/>
        <v>1535.9999999999998</v>
      </c>
      <c r="AF15" s="31">
        <f t="shared" si="7"/>
        <v>4416.4285714285716</v>
      </c>
    </row>
    <row r="16" spans="2:32" ht="23.1" customHeight="1" x14ac:dyDescent="0.25">
      <c r="B16" s="23" t="s">
        <v>43</v>
      </c>
      <c r="C16" s="49">
        <f>'Avg Week ClockTower-Nsambya'!C16+'Avg Week Nsambya-ClockTower'!C16</f>
        <v>123</v>
      </c>
      <c r="D16" s="49">
        <f>'Avg Week ClockTower-Nsambya'!D16+'Avg Week Nsambya-ClockTower'!D16</f>
        <v>25.571428571428569</v>
      </c>
      <c r="E16" s="49">
        <f>'Avg Week ClockTower-Nsambya'!E16+'Avg Week Nsambya-ClockTower'!E16</f>
        <v>12.285714285714285</v>
      </c>
      <c r="F16" s="49">
        <f>'Avg Week ClockTower-Nsambya'!F16+'Avg Week Nsambya-ClockTower'!F16</f>
        <v>160.14285714285717</v>
      </c>
      <c r="G16" s="49">
        <f>'Avg Week ClockTower-Nsambya'!G16+'Avg Week Nsambya-ClockTower'!G16</f>
        <v>5.5714285714285712</v>
      </c>
      <c r="H16" s="49">
        <f>'Avg Week ClockTower-Nsambya'!H16+'Avg Week Nsambya-ClockTower'!H16</f>
        <v>1.1428571428571428</v>
      </c>
      <c r="I16" s="49">
        <f>'Avg Week ClockTower-Nsambya'!I16+'Avg Week Nsambya-ClockTower'!I16</f>
        <v>7.4285714285714288</v>
      </c>
      <c r="J16" s="49">
        <f>'Avg Week ClockTower-Nsambya'!J16+'Avg Week Nsambya-ClockTower'!J16</f>
        <v>5</v>
      </c>
      <c r="K16" s="49">
        <f>'Avg Week ClockTower-Nsambya'!K16+'Avg Week Nsambya-ClockTower'!K16</f>
        <v>4.1428571428571423</v>
      </c>
      <c r="L16" s="49">
        <f>'Avg Week ClockTower-Nsambya'!L16+'Avg Week Nsambya-ClockTower'!L16</f>
        <v>3.2857142857142856</v>
      </c>
      <c r="M16" s="49">
        <f>'Avg Week ClockTower-Nsambya'!M16+'Avg Week Nsambya-ClockTower'!M16</f>
        <v>820.28571428571422</v>
      </c>
      <c r="N16" s="49">
        <f>'Avg Week ClockTower-Nsambya'!N16+'Avg Week Nsambya-ClockTower'!N16</f>
        <v>0.5714285714285714</v>
      </c>
      <c r="O16" s="15">
        <f t="shared" si="0"/>
        <v>348.14285714285717</v>
      </c>
      <c r="P16" s="15">
        <f t="shared" si="1"/>
        <v>1168.4285714285716</v>
      </c>
      <c r="R16" s="1" t="s">
        <v>12</v>
      </c>
      <c r="S16" s="17">
        <f t="shared" ref="S16:AF16" si="8">SUM(C34:C37)</f>
        <v>508.42857142857133</v>
      </c>
      <c r="T16" s="17">
        <f t="shared" si="8"/>
        <v>175.71428571428572</v>
      </c>
      <c r="U16" s="17">
        <f t="shared" si="8"/>
        <v>112.71428571428572</v>
      </c>
      <c r="V16" s="17">
        <f t="shared" si="8"/>
        <v>613.42857142857144</v>
      </c>
      <c r="W16" s="17">
        <f t="shared" si="8"/>
        <v>12.857142857142858</v>
      </c>
      <c r="X16" s="17">
        <f t="shared" si="8"/>
        <v>2.2857142857142856</v>
      </c>
      <c r="Y16" s="17">
        <f t="shared" si="8"/>
        <v>62.714285714285708</v>
      </c>
      <c r="Z16" s="17">
        <f t="shared" si="8"/>
        <v>40.428571428571431</v>
      </c>
      <c r="AA16" s="17">
        <f t="shared" si="8"/>
        <v>28</v>
      </c>
      <c r="AB16" s="17">
        <f t="shared" si="8"/>
        <v>34.571428571428577</v>
      </c>
      <c r="AC16" s="17">
        <f t="shared" si="8"/>
        <v>2936.4285714285716</v>
      </c>
      <c r="AD16" s="17">
        <f t="shared" si="8"/>
        <v>1.4285714285714284</v>
      </c>
      <c r="AE16" s="31">
        <f t="shared" si="8"/>
        <v>1592.5714285714287</v>
      </c>
      <c r="AF16" s="31">
        <f t="shared" si="8"/>
        <v>4529</v>
      </c>
    </row>
    <row r="17" spans="2:32" ht="23.1" customHeight="1" x14ac:dyDescent="0.25">
      <c r="B17" s="23" t="s">
        <v>44</v>
      </c>
      <c r="C17" s="49">
        <f>'Avg Week ClockTower-Nsambya'!C17+'Avg Week Nsambya-ClockTower'!C17</f>
        <v>126.42857142857142</v>
      </c>
      <c r="D17" s="49">
        <f>'Avg Week ClockTower-Nsambya'!D17+'Avg Week Nsambya-ClockTower'!D17</f>
        <v>22.857142857142858</v>
      </c>
      <c r="E17" s="49">
        <f>'Avg Week ClockTower-Nsambya'!E17+'Avg Week Nsambya-ClockTower'!E17</f>
        <v>15.714285714285715</v>
      </c>
      <c r="F17" s="49">
        <f>'Avg Week ClockTower-Nsambya'!F17+'Avg Week Nsambya-ClockTower'!F17</f>
        <v>175.71428571428572</v>
      </c>
      <c r="G17" s="49">
        <f>'Avg Week ClockTower-Nsambya'!G17+'Avg Week Nsambya-ClockTower'!G17</f>
        <v>4.7142857142857144</v>
      </c>
      <c r="H17" s="49">
        <f>'Avg Week ClockTower-Nsambya'!H17+'Avg Week Nsambya-ClockTower'!H17</f>
        <v>2.1428571428571428</v>
      </c>
      <c r="I17" s="49">
        <f>'Avg Week ClockTower-Nsambya'!I17+'Avg Week Nsambya-ClockTower'!I17</f>
        <v>9.428571428571427</v>
      </c>
      <c r="J17" s="49">
        <f>'Avg Week ClockTower-Nsambya'!J17+'Avg Week Nsambya-ClockTower'!J17</f>
        <v>6.7142857142857144</v>
      </c>
      <c r="K17" s="49">
        <f>'Avg Week ClockTower-Nsambya'!K17+'Avg Week Nsambya-ClockTower'!K17</f>
        <v>4.5714285714285712</v>
      </c>
      <c r="L17" s="49">
        <f>'Avg Week ClockTower-Nsambya'!L17+'Avg Week Nsambya-ClockTower'!L17</f>
        <v>3.8571428571428568</v>
      </c>
      <c r="M17" s="49">
        <f>'Avg Week ClockTower-Nsambya'!M17+'Avg Week Nsambya-ClockTower'!M17</f>
        <v>934.85714285714289</v>
      </c>
      <c r="N17" s="49">
        <f>'Avg Week ClockTower-Nsambya'!N17+'Avg Week Nsambya-ClockTower'!N17</f>
        <v>0.42857142857142855</v>
      </c>
      <c r="O17" s="15">
        <f t="shared" si="0"/>
        <v>372.57142857142861</v>
      </c>
      <c r="P17" s="15">
        <f t="shared" si="1"/>
        <v>1307.4285714285713</v>
      </c>
      <c r="R17" s="1" t="s">
        <v>13</v>
      </c>
      <c r="S17" s="17">
        <f t="shared" ref="S17:AF17" si="9">SUM(C38:C41)</f>
        <v>592.71428571428578</v>
      </c>
      <c r="T17" s="17">
        <f t="shared" si="9"/>
        <v>162.71428571428572</v>
      </c>
      <c r="U17" s="17">
        <f t="shared" si="9"/>
        <v>111.42857142857143</v>
      </c>
      <c r="V17" s="17">
        <f t="shared" si="9"/>
        <v>575.28571428571422</v>
      </c>
      <c r="W17" s="17">
        <f t="shared" si="9"/>
        <v>11.571428571428571</v>
      </c>
      <c r="X17" s="17">
        <f t="shared" si="9"/>
        <v>1.4285714285714284</v>
      </c>
      <c r="Y17" s="17">
        <f t="shared" si="9"/>
        <v>67.571428571428569</v>
      </c>
      <c r="Z17" s="17">
        <f t="shared" si="9"/>
        <v>40.428571428571431</v>
      </c>
      <c r="AA17" s="17">
        <f t="shared" si="9"/>
        <v>26</v>
      </c>
      <c r="AB17" s="17">
        <f t="shared" si="9"/>
        <v>33.857142857142861</v>
      </c>
      <c r="AC17" s="17">
        <f t="shared" si="9"/>
        <v>2961.1428571428569</v>
      </c>
      <c r="AD17" s="17">
        <f t="shared" si="9"/>
        <v>2.714285714285714</v>
      </c>
      <c r="AE17" s="31">
        <f t="shared" si="9"/>
        <v>1625.7142857142858</v>
      </c>
      <c r="AF17" s="31">
        <f t="shared" si="9"/>
        <v>4586.8571428571431</v>
      </c>
    </row>
    <row r="18" spans="2:32" ht="23.1" customHeight="1" x14ac:dyDescent="0.25">
      <c r="B18" s="23" t="s">
        <v>45</v>
      </c>
      <c r="C18" s="49">
        <f>'Avg Week ClockTower-Nsambya'!C18+'Avg Week Nsambya-ClockTower'!C18</f>
        <v>112.71428571428572</v>
      </c>
      <c r="D18" s="49">
        <f>'Avg Week ClockTower-Nsambya'!D18+'Avg Week Nsambya-ClockTower'!D18</f>
        <v>30.285714285714285</v>
      </c>
      <c r="E18" s="49">
        <f>'Avg Week ClockTower-Nsambya'!E18+'Avg Week Nsambya-ClockTower'!E18</f>
        <v>15.714285714285715</v>
      </c>
      <c r="F18" s="49">
        <f>'Avg Week ClockTower-Nsambya'!F18+'Avg Week Nsambya-ClockTower'!F18</f>
        <v>174.42857142857144</v>
      </c>
      <c r="G18" s="49">
        <f>'Avg Week ClockTower-Nsambya'!G18+'Avg Week Nsambya-ClockTower'!G18</f>
        <v>3.8571428571428568</v>
      </c>
      <c r="H18" s="49">
        <f>'Avg Week ClockTower-Nsambya'!H18+'Avg Week Nsambya-ClockTower'!H18</f>
        <v>0.5714285714285714</v>
      </c>
      <c r="I18" s="49">
        <f>'Avg Week ClockTower-Nsambya'!I18+'Avg Week Nsambya-ClockTower'!I18</f>
        <v>11</v>
      </c>
      <c r="J18" s="49">
        <f>'Avg Week ClockTower-Nsambya'!J18+'Avg Week Nsambya-ClockTower'!J18</f>
        <v>7.7142857142857135</v>
      </c>
      <c r="K18" s="49">
        <f>'Avg Week ClockTower-Nsambya'!K18+'Avg Week Nsambya-ClockTower'!K18</f>
        <v>6.1428571428571423</v>
      </c>
      <c r="L18" s="49">
        <f>'Avg Week ClockTower-Nsambya'!L18+'Avg Week Nsambya-ClockTower'!L18</f>
        <v>4.7142857142857135</v>
      </c>
      <c r="M18" s="49">
        <f>'Avg Week ClockTower-Nsambya'!M18+'Avg Week Nsambya-ClockTower'!M18</f>
        <v>930.85714285714289</v>
      </c>
      <c r="N18" s="49">
        <f>'Avg Week ClockTower-Nsambya'!N18+'Avg Week Nsambya-ClockTower'!N18</f>
        <v>0.42857142857142855</v>
      </c>
      <c r="O18" s="15">
        <f t="shared" si="0"/>
        <v>367.57142857142861</v>
      </c>
      <c r="P18" s="15">
        <f t="shared" si="1"/>
        <v>1298.4285714285713</v>
      </c>
      <c r="R18" s="1" t="s">
        <v>14</v>
      </c>
      <c r="S18" s="17">
        <f t="shared" ref="S18:AF18" si="10">SUM(C42:C45)</f>
        <v>562.85714285714289</v>
      </c>
      <c r="T18" s="17">
        <f t="shared" si="10"/>
        <v>168.71428571428572</v>
      </c>
      <c r="U18" s="17">
        <f t="shared" si="10"/>
        <v>101.85714285714285</v>
      </c>
      <c r="V18" s="17">
        <f t="shared" si="10"/>
        <v>537.71428571428578</v>
      </c>
      <c r="W18" s="17">
        <f t="shared" si="10"/>
        <v>8</v>
      </c>
      <c r="X18" s="17">
        <f t="shared" si="10"/>
        <v>2.7142857142857144</v>
      </c>
      <c r="Y18" s="17">
        <f t="shared" si="10"/>
        <v>86.142857142857139</v>
      </c>
      <c r="Z18" s="17">
        <f t="shared" si="10"/>
        <v>51.142857142857146</v>
      </c>
      <c r="AA18" s="17">
        <f t="shared" si="10"/>
        <v>26.285714285714288</v>
      </c>
      <c r="AB18" s="17">
        <f t="shared" si="10"/>
        <v>29</v>
      </c>
      <c r="AC18" s="17">
        <f t="shared" si="10"/>
        <v>3018</v>
      </c>
      <c r="AD18" s="17">
        <f t="shared" si="10"/>
        <v>0.99999999999999989</v>
      </c>
      <c r="AE18" s="31">
        <f t="shared" si="10"/>
        <v>1575.4285714285716</v>
      </c>
      <c r="AF18" s="31">
        <f t="shared" si="10"/>
        <v>4593.4285714285716</v>
      </c>
    </row>
    <row r="19" spans="2:32" ht="23.1" customHeight="1" x14ac:dyDescent="0.25">
      <c r="B19" s="23" t="s">
        <v>46</v>
      </c>
      <c r="C19" s="49">
        <f>'Avg Week ClockTower-Nsambya'!C19+'Avg Week Nsambya-ClockTower'!C19</f>
        <v>132.28571428571428</v>
      </c>
      <c r="D19" s="49">
        <f>'Avg Week ClockTower-Nsambya'!D19+'Avg Week Nsambya-ClockTower'!D19</f>
        <v>188.85714285714286</v>
      </c>
      <c r="E19" s="49">
        <f>'Avg Week ClockTower-Nsambya'!E19+'Avg Week Nsambya-ClockTower'!E19</f>
        <v>29.714285714285712</v>
      </c>
      <c r="F19" s="49">
        <f>'Avg Week ClockTower-Nsambya'!F19+'Avg Week Nsambya-ClockTower'!F19</f>
        <v>148</v>
      </c>
      <c r="G19" s="49">
        <f>'Avg Week ClockTower-Nsambya'!G19+'Avg Week Nsambya-ClockTower'!G19</f>
        <v>3</v>
      </c>
      <c r="H19" s="49">
        <f>'Avg Week ClockTower-Nsambya'!H19+'Avg Week Nsambya-ClockTower'!H19</f>
        <v>0.71428571428571419</v>
      </c>
      <c r="I19" s="49">
        <f>'Avg Week ClockTower-Nsambya'!I19+'Avg Week Nsambya-ClockTower'!I19</f>
        <v>8.5714285714285712</v>
      </c>
      <c r="J19" s="49">
        <f>'Avg Week ClockTower-Nsambya'!J19+'Avg Week Nsambya-ClockTower'!J19</f>
        <v>8.4285714285714288</v>
      </c>
      <c r="K19" s="49">
        <f>'Avg Week ClockTower-Nsambya'!K19+'Avg Week Nsambya-ClockTower'!K19</f>
        <v>5.8571428571428577</v>
      </c>
      <c r="L19" s="49">
        <f>'Avg Week ClockTower-Nsambya'!L19+'Avg Week Nsambya-ClockTower'!L19</f>
        <v>5.5714285714285712</v>
      </c>
      <c r="M19" s="49">
        <f>'Avg Week ClockTower-Nsambya'!M19+'Avg Week Nsambya-ClockTower'!M19</f>
        <v>888.85714285714289</v>
      </c>
      <c r="N19" s="49">
        <f>'Avg Week ClockTower-Nsambya'!N19+'Avg Week Nsambya-ClockTower'!N19</f>
        <v>0.85714285714285721</v>
      </c>
      <c r="O19" s="15">
        <f t="shared" si="0"/>
        <v>531.85714285714289</v>
      </c>
      <c r="P19" s="15">
        <f t="shared" si="1"/>
        <v>1420.7142857142858</v>
      </c>
      <c r="R19" s="1" t="s">
        <v>15</v>
      </c>
      <c r="S19" s="17">
        <f t="shared" ref="S19:AF19" si="11">SUM(C46:C49)</f>
        <v>514.00000000000011</v>
      </c>
      <c r="T19" s="17">
        <f t="shared" si="11"/>
        <v>206.14285714285717</v>
      </c>
      <c r="U19" s="17">
        <f t="shared" si="11"/>
        <v>117.71428571428572</v>
      </c>
      <c r="V19" s="17">
        <f t="shared" si="11"/>
        <v>572.57142857142856</v>
      </c>
      <c r="W19" s="17">
        <f t="shared" si="11"/>
        <v>14.285714285714286</v>
      </c>
      <c r="X19" s="17">
        <f t="shared" si="11"/>
        <v>3.5714285714285712</v>
      </c>
      <c r="Y19" s="17">
        <f t="shared" si="11"/>
        <v>77.285714285714292</v>
      </c>
      <c r="Z19" s="17">
        <f t="shared" si="11"/>
        <v>40.857142857142861</v>
      </c>
      <c r="AA19" s="17">
        <f t="shared" si="11"/>
        <v>25.285714285714285</v>
      </c>
      <c r="AB19" s="17">
        <f t="shared" si="11"/>
        <v>27.857142857142858</v>
      </c>
      <c r="AC19" s="17">
        <f t="shared" si="11"/>
        <v>3260</v>
      </c>
      <c r="AD19" s="17">
        <f t="shared" si="11"/>
        <v>1.2857142857142856</v>
      </c>
      <c r="AE19" s="31">
        <f t="shared" si="11"/>
        <v>1600.8571428571427</v>
      </c>
      <c r="AF19" s="31">
        <f t="shared" si="11"/>
        <v>4860.8571428571422</v>
      </c>
    </row>
    <row r="20" spans="2:32" ht="23.1" customHeight="1" x14ac:dyDescent="0.25">
      <c r="B20" s="23" t="s">
        <v>47</v>
      </c>
      <c r="C20" s="49">
        <f>'Avg Week ClockTower-Nsambya'!C20+'Avg Week Nsambya-ClockTower'!C20</f>
        <v>96.428571428571431</v>
      </c>
      <c r="D20" s="49">
        <f>'Avg Week ClockTower-Nsambya'!D20+'Avg Week Nsambya-ClockTower'!D20</f>
        <v>27.428571428571427</v>
      </c>
      <c r="E20" s="49">
        <f>'Avg Week ClockTower-Nsambya'!E20+'Avg Week Nsambya-ClockTower'!E20</f>
        <v>17.285714285714285</v>
      </c>
      <c r="F20" s="49">
        <f>'Avg Week ClockTower-Nsambya'!F20+'Avg Week Nsambya-ClockTower'!F20</f>
        <v>155.85714285714286</v>
      </c>
      <c r="G20" s="49">
        <f>'Avg Week ClockTower-Nsambya'!G20+'Avg Week Nsambya-ClockTower'!G20</f>
        <v>3.5714285714285712</v>
      </c>
      <c r="H20" s="49">
        <f>'Avg Week ClockTower-Nsambya'!H20+'Avg Week Nsambya-ClockTower'!H20</f>
        <v>1.5714285714285716</v>
      </c>
      <c r="I20" s="49">
        <f>'Avg Week ClockTower-Nsambya'!I20+'Avg Week Nsambya-ClockTower'!I20</f>
        <v>17.142857142857142</v>
      </c>
      <c r="J20" s="49">
        <f>'Avg Week ClockTower-Nsambya'!J20+'Avg Week Nsambya-ClockTower'!J20</f>
        <v>10.571428571428571</v>
      </c>
      <c r="K20" s="49">
        <f>'Avg Week ClockTower-Nsambya'!K20+'Avg Week Nsambya-ClockTower'!K20</f>
        <v>5.2857142857142856</v>
      </c>
      <c r="L20" s="49">
        <f>'Avg Week ClockTower-Nsambya'!L20+'Avg Week Nsambya-ClockTower'!L20</f>
        <v>6.2857142857142856</v>
      </c>
      <c r="M20" s="49">
        <f>'Avg Week ClockTower-Nsambya'!M20+'Avg Week Nsambya-ClockTower'!M20</f>
        <v>867.28571428571422</v>
      </c>
      <c r="N20" s="49">
        <f>'Avg Week ClockTower-Nsambya'!N20+'Avg Week Nsambya-ClockTower'!N20</f>
        <v>0.5714285714285714</v>
      </c>
      <c r="O20" s="15">
        <f t="shared" si="0"/>
        <v>341.99999999999994</v>
      </c>
      <c r="P20" s="15">
        <f t="shared" si="1"/>
        <v>1209.2857142857142</v>
      </c>
      <c r="R20" s="1" t="s">
        <v>16</v>
      </c>
      <c r="S20" s="17">
        <f t="shared" ref="S20:AF20" si="12">SUM(C50:C53)</f>
        <v>579.42857142857133</v>
      </c>
      <c r="T20" s="17">
        <f t="shared" si="12"/>
        <v>178.28571428571428</v>
      </c>
      <c r="U20" s="17">
        <f t="shared" si="12"/>
        <v>91.142857142857139</v>
      </c>
      <c r="V20" s="17">
        <f t="shared" si="12"/>
        <v>540.57142857142856</v>
      </c>
      <c r="W20" s="17">
        <f t="shared" si="12"/>
        <v>13.142857142857142</v>
      </c>
      <c r="X20" s="17">
        <f t="shared" si="12"/>
        <v>1.1428571428571428</v>
      </c>
      <c r="Y20" s="17">
        <f t="shared" si="12"/>
        <v>48.428571428571431</v>
      </c>
      <c r="Z20" s="17">
        <f t="shared" si="12"/>
        <v>34.285714285714285</v>
      </c>
      <c r="AA20" s="17">
        <f t="shared" si="12"/>
        <v>18.142857142857146</v>
      </c>
      <c r="AB20" s="17">
        <f t="shared" si="12"/>
        <v>28.285714285714285</v>
      </c>
      <c r="AC20" s="17">
        <f t="shared" si="12"/>
        <v>3515.7142857142853</v>
      </c>
      <c r="AD20" s="17">
        <f t="shared" si="12"/>
        <v>0.5714285714285714</v>
      </c>
      <c r="AE20" s="31">
        <f t="shared" si="12"/>
        <v>1533.4285714285713</v>
      </c>
      <c r="AF20" s="31">
        <f t="shared" si="12"/>
        <v>5049.1428571428569</v>
      </c>
    </row>
    <row r="21" spans="2:32" ht="23.1" customHeight="1" x14ac:dyDescent="0.25">
      <c r="B21" s="23" t="s">
        <v>48</v>
      </c>
      <c r="C21" s="49">
        <f>'Avg Week ClockTower-Nsambya'!C21+'Avg Week Nsambya-ClockTower'!C21</f>
        <v>90</v>
      </c>
      <c r="D21" s="49">
        <f>'Avg Week ClockTower-Nsambya'!D21+'Avg Week Nsambya-ClockTower'!D21</f>
        <v>23.285714285714285</v>
      </c>
      <c r="E21" s="49">
        <f>'Avg Week ClockTower-Nsambya'!E21+'Avg Week Nsambya-ClockTower'!E21</f>
        <v>15.428571428571429</v>
      </c>
      <c r="F21" s="49">
        <f>'Avg Week ClockTower-Nsambya'!F21+'Avg Week Nsambya-ClockTower'!F21</f>
        <v>150.42857142857144</v>
      </c>
      <c r="G21" s="49">
        <f>'Avg Week ClockTower-Nsambya'!G21+'Avg Week Nsambya-ClockTower'!G21</f>
        <v>5.2857142857142856</v>
      </c>
      <c r="H21" s="49">
        <f>'Avg Week ClockTower-Nsambya'!H21+'Avg Week Nsambya-ClockTower'!H21</f>
        <v>0.42857142857142855</v>
      </c>
      <c r="I21" s="49">
        <f>'Avg Week ClockTower-Nsambya'!I21+'Avg Week Nsambya-ClockTower'!I21</f>
        <v>12.857142857142858</v>
      </c>
      <c r="J21" s="49">
        <f>'Avg Week ClockTower-Nsambya'!J21+'Avg Week Nsambya-ClockTower'!J21</f>
        <v>9.8571428571428577</v>
      </c>
      <c r="K21" s="49">
        <f>'Avg Week ClockTower-Nsambya'!K21+'Avg Week Nsambya-ClockTower'!K21</f>
        <v>4.2857142857142856</v>
      </c>
      <c r="L21" s="49">
        <f>'Avg Week ClockTower-Nsambya'!L21+'Avg Week Nsambya-ClockTower'!L21</f>
        <v>3.2857142857142856</v>
      </c>
      <c r="M21" s="49">
        <f>'Avg Week ClockTower-Nsambya'!M21+'Avg Week Nsambya-ClockTower'!M21</f>
        <v>782.85714285714289</v>
      </c>
      <c r="N21" s="49">
        <f>'Avg Week ClockTower-Nsambya'!N21+'Avg Week Nsambya-ClockTower'!N21</f>
        <v>0.5714285714285714</v>
      </c>
      <c r="O21" s="15">
        <f t="shared" si="0"/>
        <v>315.71428571428561</v>
      </c>
      <c r="P21" s="15">
        <f t="shared" si="1"/>
        <v>1098.5714285714287</v>
      </c>
      <c r="R21" s="36" t="s">
        <v>20</v>
      </c>
      <c r="S21" s="34">
        <f t="shared" ref="S21:AF21" si="13">SUM(C54:C57)</f>
        <v>474.28571428571428</v>
      </c>
      <c r="T21" s="17">
        <f t="shared" si="13"/>
        <v>149.42857142857142</v>
      </c>
      <c r="U21" s="17">
        <f t="shared" si="13"/>
        <v>100.57142857142857</v>
      </c>
      <c r="V21" s="17">
        <f t="shared" si="13"/>
        <v>470.42857142857144</v>
      </c>
      <c r="W21" s="17">
        <f t="shared" si="13"/>
        <v>14.142857142857142</v>
      </c>
      <c r="X21" s="17">
        <f t="shared" si="13"/>
        <v>4</v>
      </c>
      <c r="Y21" s="17">
        <f t="shared" si="13"/>
        <v>57.714285714285722</v>
      </c>
      <c r="Z21" s="17">
        <f t="shared" si="13"/>
        <v>45.285714285714292</v>
      </c>
      <c r="AA21" s="17">
        <f t="shared" si="13"/>
        <v>26.428571428571427</v>
      </c>
      <c r="AB21" s="17">
        <f t="shared" si="13"/>
        <v>32</v>
      </c>
      <c r="AC21" s="17">
        <f t="shared" si="13"/>
        <v>3859.9999999999995</v>
      </c>
      <c r="AD21" s="17">
        <f t="shared" si="13"/>
        <v>1.5714285714285712</v>
      </c>
      <c r="AE21" s="31">
        <f t="shared" si="13"/>
        <v>1375.8571428571427</v>
      </c>
      <c r="AF21" s="31">
        <f t="shared" si="13"/>
        <v>5235.8571428571422</v>
      </c>
    </row>
    <row r="22" spans="2:32" ht="23.1" customHeight="1" x14ac:dyDescent="0.25">
      <c r="B22" s="23" t="s">
        <v>49</v>
      </c>
      <c r="C22" s="49">
        <f>'Avg Week ClockTower-Nsambya'!C22+'Avg Week Nsambya-ClockTower'!C22</f>
        <v>91.428571428571416</v>
      </c>
      <c r="D22" s="49">
        <f>'Avg Week ClockTower-Nsambya'!D22+'Avg Week Nsambya-ClockTower'!D22</f>
        <v>24.142857142857142</v>
      </c>
      <c r="E22" s="49">
        <f>'Avg Week ClockTower-Nsambya'!E22+'Avg Week Nsambya-ClockTower'!E22</f>
        <v>15.428571428571431</v>
      </c>
      <c r="F22" s="49">
        <f>'Avg Week ClockTower-Nsambya'!F22+'Avg Week Nsambya-ClockTower'!F22</f>
        <v>152.85714285714286</v>
      </c>
      <c r="G22" s="49">
        <f>'Avg Week ClockTower-Nsambya'!G22+'Avg Week Nsambya-ClockTower'!G22</f>
        <v>2.4285714285714288</v>
      </c>
      <c r="H22" s="49">
        <f>'Avg Week ClockTower-Nsambya'!H22+'Avg Week Nsambya-ClockTower'!H22</f>
        <v>0.42857142857142855</v>
      </c>
      <c r="I22" s="49">
        <f>'Avg Week ClockTower-Nsambya'!I22+'Avg Week Nsambya-ClockTower'!I22</f>
        <v>12.285714285714286</v>
      </c>
      <c r="J22" s="49">
        <f>'Avg Week ClockTower-Nsambya'!J22+'Avg Week Nsambya-ClockTower'!J22</f>
        <v>7.2857142857142865</v>
      </c>
      <c r="K22" s="49">
        <f>'Avg Week ClockTower-Nsambya'!K22+'Avg Week Nsambya-ClockTower'!K22</f>
        <v>5.4285714285714288</v>
      </c>
      <c r="L22" s="49">
        <f>'Avg Week ClockTower-Nsambya'!L22+'Avg Week Nsambya-ClockTower'!L22</f>
        <v>7</v>
      </c>
      <c r="M22" s="49">
        <f>'Avg Week ClockTower-Nsambya'!M22+'Avg Week Nsambya-ClockTower'!M22</f>
        <v>787.14285714285711</v>
      </c>
      <c r="N22" s="49">
        <f>'Avg Week ClockTower-Nsambya'!N22+'Avg Week Nsambya-ClockTower'!N22</f>
        <v>0.2857142857142857</v>
      </c>
      <c r="O22" s="15">
        <f t="shared" si="0"/>
        <v>319.00000000000006</v>
      </c>
      <c r="P22" s="15">
        <f t="shared" si="1"/>
        <v>1106.1428571428571</v>
      </c>
      <c r="R22" s="38" t="s">
        <v>90</v>
      </c>
      <c r="S22" s="39">
        <f>MAX(S10:S12)</f>
        <v>515.28571428571433</v>
      </c>
      <c r="T22" s="39">
        <f t="shared" ref="T22:AF22" si="14">MAX(T10:T12)</f>
        <v>269.85714285714283</v>
      </c>
      <c r="U22" s="39">
        <f t="shared" si="14"/>
        <v>78.142857142857139</v>
      </c>
      <c r="V22" s="39">
        <f t="shared" si="14"/>
        <v>745.71428571428567</v>
      </c>
      <c r="W22" s="39">
        <f t="shared" si="14"/>
        <v>19</v>
      </c>
      <c r="X22" s="39">
        <f t="shared" si="14"/>
        <v>6.5714285714285712</v>
      </c>
      <c r="Y22" s="39">
        <f t="shared" si="14"/>
        <v>49.571428571428569</v>
      </c>
      <c r="Z22" s="39">
        <f t="shared" si="14"/>
        <v>36.571428571428569</v>
      </c>
      <c r="AA22" s="39">
        <f t="shared" si="14"/>
        <v>21.571428571428569</v>
      </c>
      <c r="AB22" s="39">
        <f t="shared" si="14"/>
        <v>19.857142857142854</v>
      </c>
      <c r="AC22" s="39">
        <f t="shared" si="14"/>
        <v>3654.1428571428569</v>
      </c>
      <c r="AD22" s="39">
        <f t="shared" si="14"/>
        <v>2.4285714285714288</v>
      </c>
      <c r="AE22" s="40">
        <f t="shared" si="14"/>
        <v>1557.1428571428571</v>
      </c>
      <c r="AF22" s="40">
        <f t="shared" si="14"/>
        <v>5136.8571428571431</v>
      </c>
    </row>
    <row r="23" spans="2:32" ht="23.1" customHeight="1" x14ac:dyDescent="0.25">
      <c r="B23" s="23" t="s">
        <v>50</v>
      </c>
      <c r="C23" s="49">
        <f>'Avg Week ClockTower-Nsambya'!C23+'Avg Week Nsambya-ClockTower'!C23</f>
        <v>120.28571428571428</v>
      </c>
      <c r="D23" s="49">
        <f>'Avg Week ClockTower-Nsambya'!D23+'Avg Week Nsambya-ClockTower'!D23</f>
        <v>25.714285714285715</v>
      </c>
      <c r="E23" s="49">
        <f>'Avg Week ClockTower-Nsambya'!E23+'Avg Week Nsambya-ClockTower'!E23</f>
        <v>18.857142857142858</v>
      </c>
      <c r="F23" s="49">
        <f>'Avg Week ClockTower-Nsambya'!F23+'Avg Week Nsambya-ClockTower'!F23</f>
        <v>164.14285714285714</v>
      </c>
      <c r="G23" s="49">
        <f>'Avg Week ClockTower-Nsambya'!G23+'Avg Week Nsambya-ClockTower'!G23</f>
        <v>2.7142857142857144</v>
      </c>
      <c r="H23" s="49">
        <f>'Avg Week ClockTower-Nsambya'!H23+'Avg Week Nsambya-ClockTower'!H23</f>
        <v>0.71428571428571419</v>
      </c>
      <c r="I23" s="49">
        <f>'Avg Week ClockTower-Nsambya'!I23+'Avg Week Nsambya-ClockTower'!I23</f>
        <v>15.428571428571427</v>
      </c>
      <c r="J23" s="49">
        <f>'Avg Week ClockTower-Nsambya'!J23+'Avg Week Nsambya-ClockTower'!J23</f>
        <v>8.2857142857142847</v>
      </c>
      <c r="K23" s="49">
        <f>'Avg Week ClockTower-Nsambya'!K23+'Avg Week Nsambya-ClockTower'!K23</f>
        <v>4.4285714285714288</v>
      </c>
      <c r="L23" s="49">
        <f>'Avg Week ClockTower-Nsambya'!L23+'Avg Week Nsambya-ClockTower'!L23</f>
        <v>6.2857142857142856</v>
      </c>
      <c r="M23" s="49">
        <f>'Avg Week ClockTower-Nsambya'!M23+'Avg Week Nsambya-ClockTower'!M23</f>
        <v>745.57142857142856</v>
      </c>
      <c r="N23" s="49">
        <f>'Avg Week ClockTower-Nsambya'!N23+'Avg Week Nsambya-ClockTower'!N23</f>
        <v>0.14285714285714285</v>
      </c>
      <c r="O23" s="15">
        <f t="shared" si="0"/>
        <v>367.00000000000006</v>
      </c>
      <c r="P23" s="15">
        <f t="shared" si="1"/>
        <v>1112.5714285714287</v>
      </c>
      <c r="R23" s="38" t="s">
        <v>91</v>
      </c>
      <c r="S23" s="39">
        <f>MAX(S13:S18)</f>
        <v>592.71428571428578</v>
      </c>
      <c r="T23" s="39">
        <f t="shared" ref="T23:AF23" si="15">MAX(T13:T18)</f>
        <v>180.28571428571428</v>
      </c>
      <c r="U23" s="39">
        <f t="shared" si="15"/>
        <v>112.71428571428572</v>
      </c>
      <c r="V23" s="39">
        <f t="shared" si="15"/>
        <v>678</v>
      </c>
      <c r="W23" s="39">
        <f t="shared" si="15"/>
        <v>12.857142857142858</v>
      </c>
      <c r="X23" s="39">
        <f t="shared" si="15"/>
        <v>3.4285714285714279</v>
      </c>
      <c r="Y23" s="39">
        <f t="shared" si="15"/>
        <v>86.142857142857139</v>
      </c>
      <c r="Z23" s="39">
        <f t="shared" si="15"/>
        <v>51.142857142857146</v>
      </c>
      <c r="AA23" s="39">
        <f t="shared" si="15"/>
        <v>28</v>
      </c>
      <c r="AB23" s="39">
        <f t="shared" si="15"/>
        <v>85.857142857142861</v>
      </c>
      <c r="AC23" s="39">
        <f t="shared" si="15"/>
        <v>3074</v>
      </c>
      <c r="AD23" s="39">
        <f t="shared" si="15"/>
        <v>2.714285714285714</v>
      </c>
      <c r="AE23" s="40">
        <f t="shared" si="15"/>
        <v>1625.7142857142858</v>
      </c>
      <c r="AF23" s="40">
        <f t="shared" si="15"/>
        <v>4593.4285714285716</v>
      </c>
    </row>
    <row r="24" spans="2:32" ht="23.1" customHeight="1" x14ac:dyDescent="0.25">
      <c r="B24" s="23" t="s">
        <v>51</v>
      </c>
      <c r="C24" s="49">
        <f>'Avg Week ClockTower-Nsambya'!C24+'Avg Week Nsambya-ClockTower'!C24</f>
        <v>117.14285714285714</v>
      </c>
      <c r="D24" s="49">
        <f>'Avg Week ClockTower-Nsambya'!D24+'Avg Week Nsambya-ClockTower'!D24</f>
        <v>19.428571428571431</v>
      </c>
      <c r="E24" s="49">
        <f>'Avg Week ClockTower-Nsambya'!E24+'Avg Week Nsambya-ClockTower'!E24</f>
        <v>19</v>
      </c>
      <c r="F24" s="49">
        <f>'Avg Week ClockTower-Nsambya'!F24+'Avg Week Nsambya-ClockTower'!F24</f>
        <v>191.85714285714283</v>
      </c>
      <c r="G24" s="49">
        <f>'Avg Week ClockTower-Nsambya'!G24+'Avg Week Nsambya-ClockTower'!G24</f>
        <v>4.7142857142857144</v>
      </c>
      <c r="H24" s="49">
        <f>'Avg Week ClockTower-Nsambya'!H24+'Avg Week Nsambya-ClockTower'!H24</f>
        <v>0.42857142857142855</v>
      </c>
      <c r="I24" s="49">
        <f>'Avg Week ClockTower-Nsambya'!I24+'Avg Week Nsambya-ClockTower'!I24</f>
        <v>14.428571428571427</v>
      </c>
      <c r="J24" s="49">
        <f>'Avg Week ClockTower-Nsambya'!J24+'Avg Week Nsambya-ClockTower'!J24</f>
        <v>9.7142857142857153</v>
      </c>
      <c r="K24" s="49">
        <f>'Avg Week ClockTower-Nsambya'!K24+'Avg Week Nsambya-ClockTower'!K24</f>
        <v>5</v>
      </c>
      <c r="L24" s="49">
        <f>'Avg Week ClockTower-Nsambya'!L24+'Avg Week Nsambya-ClockTower'!L24</f>
        <v>6.4285714285714288</v>
      </c>
      <c r="M24" s="49">
        <f>'Avg Week ClockTower-Nsambya'!M24+'Avg Week Nsambya-ClockTower'!M24</f>
        <v>700.57142857142856</v>
      </c>
      <c r="N24" s="49">
        <f>'Avg Week ClockTower-Nsambya'!N24+'Avg Week Nsambya-ClockTower'!N24</f>
        <v>0.14285714285714285</v>
      </c>
      <c r="O24" s="15">
        <f t="shared" si="0"/>
        <v>388.28571428571433</v>
      </c>
      <c r="P24" s="15">
        <f t="shared" si="1"/>
        <v>1088.8571428571429</v>
      </c>
      <c r="R24" s="38" t="s">
        <v>92</v>
      </c>
      <c r="S24" s="39">
        <f>MAX(S19:S21)</f>
        <v>579.42857142857133</v>
      </c>
      <c r="T24" s="39">
        <f t="shared" ref="T24:AF24" si="16">MAX(T19:T21)</f>
        <v>206.14285714285717</v>
      </c>
      <c r="U24" s="39">
        <f t="shared" si="16"/>
        <v>117.71428571428572</v>
      </c>
      <c r="V24" s="39">
        <f t="shared" si="16"/>
        <v>572.57142857142856</v>
      </c>
      <c r="W24" s="39">
        <f t="shared" si="16"/>
        <v>14.285714285714286</v>
      </c>
      <c r="X24" s="39">
        <f t="shared" si="16"/>
        <v>4</v>
      </c>
      <c r="Y24" s="39">
        <f t="shared" si="16"/>
        <v>77.285714285714292</v>
      </c>
      <c r="Z24" s="39">
        <f t="shared" si="16"/>
        <v>45.285714285714292</v>
      </c>
      <c r="AA24" s="39">
        <f t="shared" si="16"/>
        <v>26.428571428571427</v>
      </c>
      <c r="AB24" s="39">
        <f t="shared" si="16"/>
        <v>32</v>
      </c>
      <c r="AC24" s="39">
        <f t="shared" si="16"/>
        <v>3859.9999999999995</v>
      </c>
      <c r="AD24" s="39">
        <f t="shared" si="16"/>
        <v>1.5714285714285712</v>
      </c>
      <c r="AE24" s="40">
        <f t="shared" si="16"/>
        <v>1600.8571428571427</v>
      </c>
      <c r="AF24" s="40">
        <f t="shared" si="16"/>
        <v>5235.8571428571422</v>
      </c>
    </row>
    <row r="25" spans="2:32" ht="23.1" customHeight="1" x14ac:dyDescent="0.25">
      <c r="B25" s="23" t="s">
        <v>52</v>
      </c>
      <c r="C25" s="49">
        <f>'Avg Week ClockTower-Nsambya'!C25+'Avg Week Nsambya-ClockTower'!C25</f>
        <v>109.42857142857143</v>
      </c>
      <c r="D25" s="49">
        <f>'Avg Week ClockTower-Nsambya'!D25+'Avg Week Nsambya-ClockTower'!D25</f>
        <v>21.857142857142854</v>
      </c>
      <c r="E25" s="49">
        <f>'Avg Week ClockTower-Nsambya'!E25+'Avg Week Nsambya-ClockTower'!E25</f>
        <v>15.857142857142858</v>
      </c>
      <c r="F25" s="49">
        <f>'Avg Week ClockTower-Nsambya'!F25+'Avg Week Nsambya-ClockTower'!F25</f>
        <v>169.14285714285714</v>
      </c>
      <c r="G25" s="49">
        <f>'Avg Week ClockTower-Nsambya'!G25+'Avg Week Nsambya-ClockTower'!G25</f>
        <v>2.7142857142857144</v>
      </c>
      <c r="H25" s="49">
        <f>'Avg Week ClockTower-Nsambya'!H25+'Avg Week Nsambya-ClockTower'!H25</f>
        <v>0.2857142857142857</v>
      </c>
      <c r="I25" s="49">
        <f>'Avg Week ClockTower-Nsambya'!I25+'Avg Week Nsambya-ClockTower'!I25</f>
        <v>17.857142857142858</v>
      </c>
      <c r="J25" s="49">
        <f>'Avg Week ClockTower-Nsambya'!J25+'Avg Week Nsambya-ClockTower'!J25</f>
        <v>11.285714285714285</v>
      </c>
      <c r="K25" s="49">
        <f>'Avg Week ClockTower-Nsambya'!K25+'Avg Week Nsambya-ClockTower'!K25</f>
        <v>3.7142857142857144</v>
      </c>
      <c r="L25" s="49">
        <f>'Avg Week ClockTower-Nsambya'!L25+'Avg Week Nsambya-ClockTower'!L25</f>
        <v>5.8571428571428577</v>
      </c>
      <c r="M25" s="49">
        <f>'Avg Week ClockTower-Nsambya'!M25+'Avg Week Nsambya-ClockTower'!M25</f>
        <v>710.28571428571422</v>
      </c>
      <c r="N25" s="49">
        <f>'Avg Week ClockTower-Nsambya'!N25+'Avg Week Nsambya-ClockTower'!N25</f>
        <v>0.14285714285714285</v>
      </c>
      <c r="O25" s="15">
        <f t="shared" si="0"/>
        <v>358.14285714285711</v>
      </c>
      <c r="P25" s="15">
        <f t="shared" si="1"/>
        <v>1068.4285714285713</v>
      </c>
      <c r="R25" s="37" t="s">
        <v>85</v>
      </c>
      <c r="S25" s="35">
        <f t="shared" ref="S25:AF25" si="17">SUM(S10:S12)</f>
        <v>1432.7142857142858</v>
      </c>
      <c r="T25" s="16">
        <f t="shared" si="17"/>
        <v>455.42857142857144</v>
      </c>
      <c r="U25" s="16">
        <f t="shared" si="17"/>
        <v>181</v>
      </c>
      <c r="V25" s="16">
        <f t="shared" si="17"/>
        <v>2079.2857142857142</v>
      </c>
      <c r="W25" s="16">
        <f t="shared" si="17"/>
        <v>52.857142857142847</v>
      </c>
      <c r="X25" s="16">
        <f t="shared" si="17"/>
        <v>16.142857142857142</v>
      </c>
      <c r="Y25" s="16">
        <f t="shared" si="17"/>
        <v>115.28571428571429</v>
      </c>
      <c r="Z25" s="16">
        <f t="shared" si="17"/>
        <v>78.285714285714278</v>
      </c>
      <c r="AA25" s="16">
        <f t="shared" si="17"/>
        <v>54.428571428571423</v>
      </c>
      <c r="AB25" s="16">
        <f t="shared" si="17"/>
        <v>53.428571428571423</v>
      </c>
      <c r="AC25" s="16">
        <f t="shared" si="17"/>
        <v>10771.571428571428</v>
      </c>
      <c r="AD25" s="16">
        <f t="shared" si="17"/>
        <v>6.1428571428571432</v>
      </c>
      <c r="AE25" s="32">
        <f t="shared" si="17"/>
        <v>4525</v>
      </c>
      <c r="AF25" s="32">
        <f t="shared" si="17"/>
        <v>15296.571428571429</v>
      </c>
    </row>
    <row r="26" spans="2:32" ht="23.1" customHeight="1" x14ac:dyDescent="0.25">
      <c r="B26" s="23" t="s">
        <v>53</v>
      </c>
      <c r="C26" s="49">
        <f>'Avg Week ClockTower-Nsambya'!C26+'Avg Week Nsambya-ClockTower'!C26</f>
        <v>110.71428571428572</v>
      </c>
      <c r="D26" s="49">
        <f>'Avg Week ClockTower-Nsambya'!D26+'Avg Week Nsambya-ClockTower'!D26</f>
        <v>27.857142857142858</v>
      </c>
      <c r="E26" s="49">
        <f>'Avg Week ClockTower-Nsambya'!E26+'Avg Week Nsambya-ClockTower'!E26</f>
        <v>18.142857142857142</v>
      </c>
      <c r="F26" s="49">
        <f>'Avg Week ClockTower-Nsambya'!F26+'Avg Week Nsambya-ClockTower'!F26</f>
        <v>162.28571428571428</v>
      </c>
      <c r="G26" s="49">
        <f>'Avg Week ClockTower-Nsambya'!G26+'Avg Week Nsambya-ClockTower'!G26</f>
        <v>3.1428571428571428</v>
      </c>
      <c r="H26" s="49">
        <f>'Avg Week ClockTower-Nsambya'!H26+'Avg Week Nsambya-ClockTower'!H26</f>
        <v>0.2857142857142857</v>
      </c>
      <c r="I26" s="49">
        <f>'Avg Week ClockTower-Nsambya'!I26+'Avg Week Nsambya-ClockTower'!I26</f>
        <v>16.142857142857142</v>
      </c>
      <c r="J26" s="49">
        <f>'Avg Week ClockTower-Nsambya'!J26+'Avg Week Nsambya-ClockTower'!J26</f>
        <v>11.714285714285715</v>
      </c>
      <c r="K26" s="49">
        <f>'Avg Week ClockTower-Nsambya'!K26+'Avg Week Nsambya-ClockTower'!K26</f>
        <v>6</v>
      </c>
      <c r="L26" s="49">
        <f>'Avg Week ClockTower-Nsambya'!L26+'Avg Week Nsambya-ClockTower'!L26</f>
        <v>66.857142857142861</v>
      </c>
      <c r="M26" s="49">
        <f>'Avg Week ClockTower-Nsambya'!M26+'Avg Week Nsambya-ClockTower'!M26</f>
        <v>741.42857142857144</v>
      </c>
      <c r="N26" s="49">
        <f>'Avg Week ClockTower-Nsambya'!N26+'Avg Week Nsambya-ClockTower'!N26</f>
        <v>0.2857142857142857</v>
      </c>
      <c r="O26" s="15">
        <f t="shared" si="0"/>
        <v>423.4285714285715</v>
      </c>
      <c r="P26" s="15">
        <f t="shared" si="1"/>
        <v>1164.8571428571429</v>
      </c>
      <c r="R26" s="28" t="s">
        <v>86</v>
      </c>
      <c r="S26" s="16">
        <f t="shared" ref="S26:AF26" si="18">SUM(S13:S18)</f>
        <v>3029.2857142857147</v>
      </c>
      <c r="T26" s="16">
        <f t="shared" si="18"/>
        <v>913.00000000000023</v>
      </c>
      <c r="U26" s="16">
        <f t="shared" si="18"/>
        <v>579.85714285714289</v>
      </c>
      <c r="V26" s="16">
        <f t="shared" si="18"/>
        <v>3624.4285714285716</v>
      </c>
      <c r="W26" s="16">
        <f t="shared" si="18"/>
        <v>63.428571428571431</v>
      </c>
      <c r="X26" s="16">
        <f t="shared" si="18"/>
        <v>14</v>
      </c>
      <c r="Y26" s="16">
        <f t="shared" si="18"/>
        <v>383.28571428571422</v>
      </c>
      <c r="Z26" s="16">
        <f t="shared" si="18"/>
        <v>247.71428571428575</v>
      </c>
      <c r="AA26" s="16">
        <f t="shared" si="18"/>
        <v>143.71428571428572</v>
      </c>
      <c r="AB26" s="16">
        <f t="shared" si="18"/>
        <v>239.57142857142858</v>
      </c>
      <c r="AC26" s="16">
        <f t="shared" si="18"/>
        <v>17813.571428571428</v>
      </c>
      <c r="AD26" s="16">
        <f t="shared" si="18"/>
        <v>8.2857142857142847</v>
      </c>
      <c r="AE26" s="32">
        <f t="shared" si="18"/>
        <v>9246.5714285714275</v>
      </c>
      <c r="AF26" s="32">
        <f t="shared" si="18"/>
        <v>27060.142857142862</v>
      </c>
    </row>
    <row r="27" spans="2:32" ht="23.1" customHeight="1" x14ac:dyDescent="0.25">
      <c r="B27" s="23" t="s">
        <v>54</v>
      </c>
      <c r="C27" s="49">
        <f>'Avg Week ClockTower-Nsambya'!C27+'Avg Week Nsambya-ClockTower'!C27</f>
        <v>101.28571428571428</v>
      </c>
      <c r="D27" s="49">
        <f>'Avg Week ClockTower-Nsambya'!D27+'Avg Week Nsambya-ClockTower'!D27</f>
        <v>30</v>
      </c>
      <c r="E27" s="49">
        <f>'Avg Week ClockTower-Nsambya'!E27+'Avg Week Nsambya-ClockTower'!E27</f>
        <v>18.142857142857142</v>
      </c>
      <c r="F27" s="49">
        <f>'Avg Week ClockTower-Nsambya'!F27+'Avg Week Nsambya-ClockTower'!F27</f>
        <v>161.42857142857144</v>
      </c>
      <c r="G27" s="49">
        <f>'Avg Week ClockTower-Nsambya'!G27+'Avg Week Nsambya-ClockTower'!G27</f>
        <v>1.8571428571428572</v>
      </c>
      <c r="H27" s="49">
        <f>'Avg Week ClockTower-Nsambya'!H27+'Avg Week Nsambya-ClockTower'!H27</f>
        <v>1</v>
      </c>
      <c r="I27" s="49">
        <f>'Avg Week ClockTower-Nsambya'!I27+'Avg Week Nsambya-ClockTower'!I27</f>
        <v>12.142857142857142</v>
      </c>
      <c r="J27" s="49">
        <f>'Avg Week ClockTower-Nsambya'!J27+'Avg Week Nsambya-ClockTower'!J27</f>
        <v>9.5714285714285712</v>
      </c>
      <c r="K27" s="49">
        <f>'Avg Week ClockTower-Nsambya'!K27+'Avg Week Nsambya-ClockTower'!K27</f>
        <v>5.1428571428571423</v>
      </c>
      <c r="L27" s="49">
        <f>'Avg Week ClockTower-Nsambya'!L27+'Avg Week Nsambya-ClockTower'!L27</f>
        <v>6.7142857142857144</v>
      </c>
      <c r="M27" s="49">
        <f>'Avg Week ClockTower-Nsambya'!M27+'Avg Week Nsambya-ClockTower'!M27</f>
        <v>788.57142857142856</v>
      </c>
      <c r="N27" s="49">
        <f>'Avg Week ClockTower-Nsambya'!N27+'Avg Week Nsambya-ClockTower'!N27</f>
        <v>0.14285714285714285</v>
      </c>
      <c r="O27" s="15">
        <f t="shared" si="0"/>
        <v>347.4285714285715</v>
      </c>
      <c r="P27" s="15">
        <f t="shared" si="1"/>
        <v>1136</v>
      </c>
      <c r="R27" s="29" t="s">
        <v>87</v>
      </c>
      <c r="S27" s="16">
        <f t="shared" ref="S27:AF27" si="19">SUM(S19:S21)</f>
        <v>1567.7142857142858</v>
      </c>
      <c r="T27" s="16">
        <f t="shared" si="19"/>
        <v>533.85714285714289</v>
      </c>
      <c r="U27" s="16">
        <f t="shared" si="19"/>
        <v>309.42857142857144</v>
      </c>
      <c r="V27" s="16">
        <f t="shared" si="19"/>
        <v>1583.5714285714284</v>
      </c>
      <c r="W27" s="16">
        <f t="shared" si="19"/>
        <v>41.571428571428569</v>
      </c>
      <c r="X27" s="16">
        <f t="shared" si="19"/>
        <v>8.7142857142857135</v>
      </c>
      <c r="Y27" s="16">
        <f t="shared" si="19"/>
        <v>183.42857142857144</v>
      </c>
      <c r="Z27" s="16">
        <f t="shared" si="19"/>
        <v>120.42857142857143</v>
      </c>
      <c r="AA27" s="16">
        <f t="shared" si="19"/>
        <v>69.857142857142861</v>
      </c>
      <c r="AB27" s="16">
        <f t="shared" si="19"/>
        <v>88.142857142857139</v>
      </c>
      <c r="AC27" s="16">
        <f t="shared" si="19"/>
        <v>10635.714285714284</v>
      </c>
      <c r="AD27" s="16">
        <f t="shared" si="19"/>
        <v>3.4285714285714279</v>
      </c>
      <c r="AE27" s="32">
        <f t="shared" si="19"/>
        <v>4510.1428571428569</v>
      </c>
      <c r="AF27" s="32">
        <f t="shared" si="19"/>
        <v>15145.857142857141</v>
      </c>
    </row>
    <row r="28" spans="2:32" ht="23.1" customHeight="1" x14ac:dyDescent="0.25">
      <c r="B28" s="23" t="s">
        <v>55</v>
      </c>
      <c r="C28" s="49">
        <f>'Avg Week ClockTower-Nsambya'!C28+'Avg Week Nsambya-ClockTower'!C28</f>
        <v>114.28571428571429</v>
      </c>
      <c r="D28" s="49">
        <f>'Avg Week ClockTower-Nsambya'!D28+'Avg Week Nsambya-ClockTower'!D28</f>
        <v>34.428571428571431</v>
      </c>
      <c r="E28" s="49">
        <f>'Avg Week ClockTower-Nsambya'!E28+'Avg Week Nsambya-ClockTower'!E28</f>
        <v>21.714285714285715</v>
      </c>
      <c r="F28" s="49">
        <f>'Avg Week ClockTower-Nsambya'!F28+'Avg Week Nsambya-ClockTower'!F28</f>
        <v>147</v>
      </c>
      <c r="G28" s="49">
        <f>'Avg Week ClockTower-Nsambya'!G28+'Avg Week Nsambya-ClockTower'!G28</f>
        <v>1.8571428571428572</v>
      </c>
      <c r="H28" s="49">
        <f>'Avg Week ClockTower-Nsambya'!H28+'Avg Week Nsambya-ClockTower'!H28</f>
        <v>0.14285714285714285</v>
      </c>
      <c r="I28" s="49">
        <f>'Avg Week ClockTower-Nsambya'!I28+'Avg Week Nsambya-ClockTower'!I28</f>
        <v>11.857142857142858</v>
      </c>
      <c r="J28" s="49">
        <f>'Avg Week ClockTower-Nsambya'!J28+'Avg Week Nsambya-ClockTower'!J28</f>
        <v>9.5714285714285712</v>
      </c>
      <c r="K28" s="49">
        <f>'Avg Week ClockTower-Nsambya'!K28+'Avg Week Nsambya-ClockTower'!K28</f>
        <v>5.8571428571428577</v>
      </c>
      <c r="L28" s="49">
        <f>'Avg Week ClockTower-Nsambya'!L28+'Avg Week Nsambya-ClockTower'!L28</f>
        <v>6</v>
      </c>
      <c r="M28" s="49">
        <f>'Avg Week ClockTower-Nsambya'!M28+'Avg Week Nsambya-ClockTower'!M28</f>
        <v>769.14285714285711</v>
      </c>
      <c r="N28" s="49">
        <f>'Avg Week ClockTower-Nsambya'!N28+'Avg Week Nsambya-ClockTower'!N28</f>
        <v>0.14285714285714285</v>
      </c>
      <c r="O28" s="15">
        <f t="shared" si="0"/>
        <v>352.85714285714283</v>
      </c>
      <c r="P28" s="15">
        <f t="shared" si="1"/>
        <v>1121.9999999999998</v>
      </c>
      <c r="R28" s="5" t="s">
        <v>17</v>
      </c>
      <c r="S28" s="16">
        <f t="shared" ref="S28:AF28" si="20">SUM(S10:S21)</f>
        <v>6029.7142857142862</v>
      </c>
      <c r="T28" s="16">
        <f t="shared" si="20"/>
        <v>1902.2857142857142</v>
      </c>
      <c r="U28" s="16">
        <f t="shared" si="20"/>
        <v>1070.2857142857144</v>
      </c>
      <c r="V28" s="16">
        <f t="shared" si="20"/>
        <v>7287.2857142857147</v>
      </c>
      <c r="W28" s="16">
        <f t="shared" si="20"/>
        <v>157.85714285714283</v>
      </c>
      <c r="X28" s="16">
        <f t="shared" si="20"/>
        <v>38.857142857142854</v>
      </c>
      <c r="Y28" s="16">
        <f t="shared" si="20"/>
        <v>682</v>
      </c>
      <c r="Z28" s="16">
        <f t="shared" si="20"/>
        <v>446.42857142857144</v>
      </c>
      <c r="AA28" s="16">
        <f t="shared" si="20"/>
        <v>267.99999999999994</v>
      </c>
      <c r="AB28" s="16">
        <f t="shared" si="20"/>
        <v>381.14285714285711</v>
      </c>
      <c r="AC28" s="16">
        <f t="shared" si="20"/>
        <v>39220.857142857138</v>
      </c>
      <c r="AD28" s="16">
        <f t="shared" si="20"/>
        <v>17.857142857142854</v>
      </c>
      <c r="AE28" s="32">
        <f t="shared" si="20"/>
        <v>18281.714285714286</v>
      </c>
      <c r="AF28" s="32">
        <f t="shared" si="20"/>
        <v>57502.571428571435</v>
      </c>
    </row>
    <row r="29" spans="2:32" ht="23.1" customHeight="1" x14ac:dyDescent="0.25">
      <c r="B29" s="23" t="s">
        <v>56</v>
      </c>
      <c r="C29" s="49">
        <f>'Avg Week ClockTower-Nsambya'!C29+'Avg Week Nsambya-ClockTower'!C29</f>
        <v>121.14285714285714</v>
      </c>
      <c r="D29" s="49">
        <f>'Avg Week ClockTower-Nsambya'!D29+'Avg Week Nsambya-ClockTower'!D29</f>
        <v>42.142857142857146</v>
      </c>
      <c r="E29" s="49">
        <f>'Avg Week ClockTower-Nsambya'!E29+'Avg Week Nsambya-ClockTower'!E29</f>
        <v>20.428571428571427</v>
      </c>
      <c r="F29" s="49">
        <f>'Avg Week ClockTower-Nsambya'!F29+'Avg Week Nsambya-ClockTower'!F29</f>
        <v>141.14285714285714</v>
      </c>
      <c r="G29" s="49">
        <f>'Avg Week ClockTower-Nsambya'!G29+'Avg Week Nsambya-ClockTower'!G29</f>
        <v>2.2857142857142856</v>
      </c>
      <c r="H29" s="49">
        <f>'Avg Week ClockTower-Nsambya'!H29+'Avg Week Nsambya-ClockTower'!H29</f>
        <v>0.8571428571428571</v>
      </c>
      <c r="I29" s="49">
        <f>'Avg Week ClockTower-Nsambya'!I29+'Avg Week Nsambya-ClockTower'!I29</f>
        <v>11.428571428571429</v>
      </c>
      <c r="J29" s="49">
        <f>'Avg Week ClockTower-Nsambya'!J29+'Avg Week Nsambya-ClockTower'!J29</f>
        <v>10.142857142857142</v>
      </c>
      <c r="K29" s="49">
        <f>'Avg Week ClockTower-Nsambya'!K29+'Avg Week Nsambya-ClockTower'!K29</f>
        <v>4.2857142857142856</v>
      </c>
      <c r="L29" s="49">
        <f>'Avg Week ClockTower-Nsambya'!L29+'Avg Week Nsambya-ClockTower'!L29</f>
        <v>6.2857142857142856</v>
      </c>
      <c r="M29" s="49">
        <f>'Avg Week ClockTower-Nsambya'!M29+'Avg Week Nsambya-ClockTower'!M29</f>
        <v>774.85714285714289</v>
      </c>
      <c r="N29" s="49">
        <f>'Avg Week ClockTower-Nsambya'!N29+'Avg Week Nsambya-ClockTower'!N29</f>
        <v>0.5714285714285714</v>
      </c>
      <c r="O29" s="15">
        <f t="shared" si="0"/>
        <v>360.71428571428567</v>
      </c>
      <c r="P29" s="15">
        <f t="shared" si="1"/>
        <v>1135.5714285714287</v>
      </c>
      <c r="R29"/>
      <c r="S29" s="20"/>
      <c r="T29" s="19"/>
    </row>
    <row r="30" spans="2:32" ht="23.1" customHeight="1" x14ac:dyDescent="0.25">
      <c r="B30" s="23" t="s">
        <v>57</v>
      </c>
      <c r="C30" s="49">
        <f>'Avg Week ClockTower-Nsambya'!C30+'Avg Week Nsambya-ClockTower'!C30</f>
        <v>118.14285714285714</v>
      </c>
      <c r="D30" s="49">
        <f>'Avg Week ClockTower-Nsambya'!D30+'Avg Week Nsambya-ClockTower'!D30</f>
        <v>48.857142857142861</v>
      </c>
      <c r="E30" s="49">
        <f>'Avg Week ClockTower-Nsambya'!E30+'Avg Week Nsambya-ClockTower'!E30</f>
        <v>21.714285714285715</v>
      </c>
      <c r="F30" s="49">
        <f>'Avg Week ClockTower-Nsambya'!F30+'Avg Week Nsambya-ClockTower'!F30</f>
        <v>146</v>
      </c>
      <c r="G30" s="49">
        <f>'Avg Week ClockTower-Nsambya'!G30+'Avg Week Nsambya-ClockTower'!G30</f>
        <v>2.5714285714285712</v>
      </c>
      <c r="H30" s="49">
        <f>'Avg Week ClockTower-Nsambya'!H30+'Avg Week Nsambya-ClockTower'!H30</f>
        <v>0.8571428571428571</v>
      </c>
      <c r="I30" s="49">
        <f>'Avg Week ClockTower-Nsambya'!I30+'Avg Week Nsambya-ClockTower'!I30</f>
        <v>15</v>
      </c>
      <c r="J30" s="49">
        <f>'Avg Week ClockTower-Nsambya'!J30+'Avg Week Nsambya-ClockTower'!J30</f>
        <v>9.1428571428571423</v>
      </c>
      <c r="K30" s="49">
        <f>'Avg Week ClockTower-Nsambya'!K30+'Avg Week Nsambya-ClockTower'!K30</f>
        <v>5.8571428571428577</v>
      </c>
      <c r="L30" s="49">
        <f>'Avg Week ClockTower-Nsambya'!L30+'Avg Week Nsambya-ClockTower'!L30</f>
        <v>7.7142857142857135</v>
      </c>
      <c r="M30" s="49">
        <f>'Avg Week ClockTower-Nsambya'!M30+'Avg Week Nsambya-ClockTower'!M30</f>
        <v>682.85714285714289</v>
      </c>
      <c r="N30" s="49">
        <f>'Avg Week ClockTower-Nsambya'!N30+'Avg Week Nsambya-ClockTower'!N30</f>
        <v>0.2857142857142857</v>
      </c>
      <c r="O30" s="15">
        <f t="shared" si="0"/>
        <v>376.14285714285711</v>
      </c>
      <c r="P30" s="15">
        <f t="shared" si="1"/>
        <v>1059</v>
      </c>
    </row>
    <row r="31" spans="2:32" ht="23.1" customHeight="1" x14ac:dyDescent="0.25">
      <c r="B31" s="24" t="s">
        <v>58</v>
      </c>
      <c r="C31" s="49">
        <f>'Avg Week ClockTower-Nsambya'!C31+'Avg Week Nsambya-ClockTower'!C31</f>
        <v>109.57142857142857</v>
      </c>
      <c r="D31" s="49">
        <f>'Avg Week ClockTower-Nsambya'!D31+'Avg Week Nsambya-ClockTower'!D31</f>
        <v>45</v>
      </c>
      <c r="E31" s="49">
        <f>'Avg Week ClockTower-Nsambya'!E31+'Avg Week Nsambya-ClockTower'!E31</f>
        <v>30.285714285714285</v>
      </c>
      <c r="F31" s="49">
        <f>'Avg Week ClockTower-Nsambya'!F31+'Avg Week Nsambya-ClockTower'!F31</f>
        <v>155.42857142857142</v>
      </c>
      <c r="G31" s="49">
        <f>'Avg Week ClockTower-Nsambya'!G31+'Avg Week Nsambya-ClockTower'!G31</f>
        <v>1.8571428571428572</v>
      </c>
      <c r="H31" s="49">
        <f>'Avg Week ClockTower-Nsambya'!H31+'Avg Week Nsambya-ClockTower'!H31</f>
        <v>0.71428571428571419</v>
      </c>
      <c r="I31" s="49">
        <f>'Avg Week ClockTower-Nsambya'!I31+'Avg Week Nsambya-ClockTower'!I31</f>
        <v>14.857142857142858</v>
      </c>
      <c r="J31" s="49">
        <f>'Avg Week ClockTower-Nsambya'!J31+'Avg Week Nsambya-ClockTower'!J31</f>
        <v>7.5714285714285712</v>
      </c>
      <c r="K31" s="49">
        <f>'Avg Week ClockTower-Nsambya'!K31+'Avg Week Nsambya-ClockTower'!K31</f>
        <v>4.8571428571428568</v>
      </c>
      <c r="L31" s="49">
        <f>'Avg Week ClockTower-Nsambya'!L31+'Avg Week Nsambya-ClockTower'!L31</f>
        <v>7.2857142857142856</v>
      </c>
      <c r="M31" s="49">
        <f>'Avg Week ClockTower-Nsambya'!M31+'Avg Week Nsambya-ClockTower'!M31</f>
        <v>753.85714285714289</v>
      </c>
      <c r="N31" s="49">
        <f>'Avg Week ClockTower-Nsambya'!N31+'Avg Week Nsambya-ClockTower'!N31</f>
        <v>0.5714285714285714</v>
      </c>
      <c r="O31" s="15">
        <f t="shared" si="0"/>
        <v>377.99999999999983</v>
      </c>
      <c r="P31" s="15">
        <f t="shared" si="1"/>
        <v>1131.8571428571429</v>
      </c>
    </row>
    <row r="32" spans="2:32" ht="23.1" customHeight="1" x14ac:dyDescent="0.25">
      <c r="B32" s="24" t="s">
        <v>59</v>
      </c>
      <c r="C32" s="49">
        <f>'Avg Week ClockTower-Nsambya'!C32+'Avg Week Nsambya-ClockTower'!C32</f>
        <v>121.85714285714286</v>
      </c>
      <c r="D32" s="49">
        <f>'Avg Week ClockTower-Nsambya'!D32+'Avg Week Nsambya-ClockTower'!D32</f>
        <v>47.714285714285708</v>
      </c>
      <c r="E32" s="49">
        <f>'Avg Week ClockTower-Nsambya'!E32+'Avg Week Nsambya-ClockTower'!E32</f>
        <v>26.714285714285715</v>
      </c>
      <c r="F32" s="49">
        <f>'Avg Week ClockTower-Nsambya'!F32+'Avg Week Nsambya-ClockTower'!F32</f>
        <v>156.85714285714286</v>
      </c>
      <c r="G32" s="49">
        <f>'Avg Week ClockTower-Nsambya'!G32+'Avg Week Nsambya-ClockTower'!G32</f>
        <v>1.5714285714285714</v>
      </c>
      <c r="H32" s="49">
        <f>'Avg Week ClockTower-Nsambya'!H32+'Avg Week Nsambya-ClockTower'!H32</f>
        <v>0.42857142857142855</v>
      </c>
      <c r="I32" s="49">
        <f>'Avg Week ClockTower-Nsambya'!I32+'Avg Week Nsambya-ClockTower'!I32</f>
        <v>12.285714285714285</v>
      </c>
      <c r="J32" s="49">
        <f>'Avg Week ClockTower-Nsambya'!J32+'Avg Week Nsambya-ClockTower'!J32</f>
        <v>10</v>
      </c>
      <c r="K32" s="49">
        <f>'Avg Week ClockTower-Nsambya'!K32+'Avg Week Nsambya-ClockTower'!K32</f>
        <v>6.1428571428571432</v>
      </c>
      <c r="L32" s="49">
        <f>'Avg Week ClockTower-Nsambya'!L32+'Avg Week Nsambya-ClockTower'!L32</f>
        <v>7.8571428571428568</v>
      </c>
      <c r="M32" s="49">
        <f>'Avg Week ClockTower-Nsambya'!M32+'Avg Week Nsambya-ClockTower'!M32</f>
        <v>690.57142857142856</v>
      </c>
      <c r="N32" s="49">
        <f>'Avg Week ClockTower-Nsambya'!N32+'Avg Week Nsambya-ClockTower'!N32</f>
        <v>0.2857142857142857</v>
      </c>
      <c r="O32" s="15">
        <f t="shared" si="0"/>
        <v>391.71428571428567</v>
      </c>
      <c r="P32" s="15">
        <f t="shared" si="1"/>
        <v>1082.2857142857142</v>
      </c>
    </row>
    <row r="33" spans="2:20" ht="23.1" customHeight="1" x14ac:dyDescent="0.25">
      <c r="B33" s="23" t="s">
        <v>60</v>
      </c>
      <c r="C33" s="49">
        <f>'Avg Week ClockTower-Nsambya'!C33+'Avg Week Nsambya-ClockTower'!C33</f>
        <v>130</v>
      </c>
      <c r="D33" s="49">
        <f>'Avg Week ClockTower-Nsambya'!D33+'Avg Week Nsambya-ClockTower'!D33</f>
        <v>38.714285714285715</v>
      </c>
      <c r="E33" s="49">
        <f>'Avg Week ClockTower-Nsambya'!E33+'Avg Week Nsambya-ClockTower'!E33</f>
        <v>27.571428571428569</v>
      </c>
      <c r="F33" s="49">
        <f>'Avg Week ClockTower-Nsambya'!F33+'Avg Week Nsambya-ClockTower'!F33</f>
        <v>149.85714285714286</v>
      </c>
      <c r="G33" s="49">
        <f>'Avg Week ClockTower-Nsambya'!G33+'Avg Week Nsambya-ClockTower'!G33</f>
        <v>3.2857142857142856</v>
      </c>
      <c r="H33" s="49">
        <f>'Avg Week ClockTower-Nsambya'!H33+'Avg Week Nsambya-ClockTower'!H33</f>
        <v>1.4285714285714284</v>
      </c>
      <c r="I33" s="49">
        <f>'Avg Week ClockTower-Nsambya'!I33+'Avg Week Nsambya-ClockTower'!I33</f>
        <v>13.142857142857142</v>
      </c>
      <c r="J33" s="49">
        <f>'Avg Week ClockTower-Nsambya'!J33+'Avg Week Nsambya-ClockTower'!J33</f>
        <v>11.428571428571429</v>
      </c>
      <c r="K33" s="49">
        <f>'Avg Week ClockTower-Nsambya'!K33+'Avg Week Nsambya-ClockTower'!K33</f>
        <v>6.7142857142857144</v>
      </c>
      <c r="L33" s="49">
        <f>'Avg Week ClockTower-Nsambya'!L33+'Avg Week Nsambya-ClockTower'!L33</f>
        <v>7.8571428571428577</v>
      </c>
      <c r="M33" s="49">
        <f>'Avg Week ClockTower-Nsambya'!M33+'Avg Week Nsambya-ClockTower'!M33</f>
        <v>753.14285714285711</v>
      </c>
      <c r="N33" s="49">
        <f>'Avg Week ClockTower-Nsambya'!N33+'Avg Week Nsambya-ClockTower'!N33</f>
        <v>0.14285714285714285</v>
      </c>
      <c r="O33" s="15">
        <f t="shared" si="0"/>
        <v>390.14285714285717</v>
      </c>
      <c r="P33" s="15">
        <f t="shared" si="1"/>
        <v>1143.2857142857142</v>
      </c>
    </row>
    <row r="34" spans="2:20" ht="23.1" customHeight="1" x14ac:dyDescent="0.25">
      <c r="B34" s="24" t="s">
        <v>61</v>
      </c>
      <c r="C34" s="49">
        <f>'Avg Week ClockTower-Nsambya'!C34+'Avg Week Nsambya-ClockTower'!C34</f>
        <v>129.42857142857142</v>
      </c>
      <c r="D34" s="49">
        <f>'Avg Week ClockTower-Nsambya'!D34+'Avg Week Nsambya-ClockTower'!D34</f>
        <v>48.714285714285715</v>
      </c>
      <c r="E34" s="49">
        <f>'Avg Week ClockTower-Nsambya'!E34+'Avg Week Nsambya-ClockTower'!E34</f>
        <v>27.714285714285715</v>
      </c>
      <c r="F34" s="49">
        <f>'Avg Week ClockTower-Nsambya'!F34+'Avg Week Nsambya-ClockTower'!F34</f>
        <v>150.14285714285714</v>
      </c>
      <c r="G34" s="49">
        <f>'Avg Week ClockTower-Nsambya'!G34+'Avg Week Nsambya-ClockTower'!G34</f>
        <v>1.4285714285714286</v>
      </c>
      <c r="H34" s="49">
        <f>'Avg Week ClockTower-Nsambya'!H34+'Avg Week Nsambya-ClockTower'!H34</f>
        <v>0.71428571428571419</v>
      </c>
      <c r="I34" s="49">
        <f>'Avg Week ClockTower-Nsambya'!I34+'Avg Week Nsambya-ClockTower'!I34</f>
        <v>16.857142857142858</v>
      </c>
      <c r="J34" s="49">
        <f>'Avg Week ClockTower-Nsambya'!J34+'Avg Week Nsambya-ClockTower'!J34</f>
        <v>13.142857142857142</v>
      </c>
      <c r="K34" s="49">
        <f>'Avg Week ClockTower-Nsambya'!K34+'Avg Week Nsambya-ClockTower'!K34</f>
        <v>8.5714285714285712</v>
      </c>
      <c r="L34" s="49">
        <f>'Avg Week ClockTower-Nsambya'!L34+'Avg Week Nsambya-ClockTower'!L34</f>
        <v>10.142857142857142</v>
      </c>
      <c r="M34" s="49">
        <f>'Avg Week ClockTower-Nsambya'!M34+'Avg Week Nsambya-ClockTower'!M34</f>
        <v>797.57142857142867</v>
      </c>
      <c r="N34" s="49">
        <f>'Avg Week ClockTower-Nsambya'!N34+'Avg Week Nsambya-ClockTower'!N34</f>
        <v>0.71428571428571419</v>
      </c>
      <c r="O34" s="15">
        <f t="shared" si="0"/>
        <v>407.57142857142861</v>
      </c>
      <c r="P34" s="15">
        <f t="shared" si="1"/>
        <v>1205.1428571428573</v>
      </c>
    </row>
    <row r="35" spans="2:20" ht="23.1" customHeight="1" x14ac:dyDescent="0.25">
      <c r="B35" s="24" t="s">
        <v>62</v>
      </c>
      <c r="C35" s="49">
        <f>'Avg Week ClockTower-Nsambya'!C35+'Avg Week Nsambya-ClockTower'!C35</f>
        <v>128.71428571428572</v>
      </c>
      <c r="D35" s="49">
        <f>'Avg Week ClockTower-Nsambya'!D35+'Avg Week Nsambya-ClockTower'!D35</f>
        <v>45.714285714285715</v>
      </c>
      <c r="E35" s="49">
        <f>'Avg Week ClockTower-Nsambya'!E35+'Avg Week Nsambya-ClockTower'!E35</f>
        <v>31.571428571428569</v>
      </c>
      <c r="F35" s="49">
        <f>'Avg Week ClockTower-Nsambya'!F35+'Avg Week Nsambya-ClockTower'!F35</f>
        <v>158.14285714285714</v>
      </c>
      <c r="G35" s="49">
        <f>'Avg Week ClockTower-Nsambya'!G35+'Avg Week Nsambya-ClockTower'!G35</f>
        <v>4.4285714285714288</v>
      </c>
      <c r="H35" s="49">
        <f>'Avg Week ClockTower-Nsambya'!H35+'Avg Week Nsambya-ClockTower'!H35</f>
        <v>0.2857142857142857</v>
      </c>
      <c r="I35" s="49">
        <f>'Avg Week ClockTower-Nsambya'!I35+'Avg Week Nsambya-ClockTower'!I35</f>
        <v>12.428571428571429</v>
      </c>
      <c r="J35" s="49">
        <f>'Avg Week ClockTower-Nsambya'!J35+'Avg Week Nsambya-ClockTower'!J35</f>
        <v>8.2857142857142865</v>
      </c>
      <c r="K35" s="49">
        <f>'Avg Week ClockTower-Nsambya'!K35+'Avg Week Nsambya-ClockTower'!K35</f>
        <v>6.5714285714285712</v>
      </c>
      <c r="L35" s="49">
        <f>'Avg Week ClockTower-Nsambya'!L35+'Avg Week Nsambya-ClockTower'!L35</f>
        <v>10.285714285714286</v>
      </c>
      <c r="M35" s="49">
        <f>'Avg Week ClockTower-Nsambya'!M35+'Avg Week Nsambya-ClockTower'!M35</f>
        <v>689</v>
      </c>
      <c r="N35" s="49">
        <f>'Avg Week ClockTower-Nsambya'!N35+'Avg Week Nsambya-ClockTower'!N35</f>
        <v>0.42857142857142855</v>
      </c>
      <c r="O35" s="15">
        <f t="shared" si="0"/>
        <v>406.85714285714283</v>
      </c>
      <c r="P35" s="15">
        <f t="shared" si="1"/>
        <v>1095.8571428571427</v>
      </c>
    </row>
    <row r="36" spans="2:20" ht="23.1" customHeight="1" x14ac:dyDescent="0.25">
      <c r="B36" s="24" t="s">
        <v>63</v>
      </c>
      <c r="C36" s="49">
        <f>'Avg Week ClockTower-Nsambya'!C36+'Avg Week Nsambya-ClockTower'!C36</f>
        <v>123.14285714285714</v>
      </c>
      <c r="D36" s="49">
        <f>'Avg Week ClockTower-Nsambya'!D36+'Avg Week Nsambya-ClockTower'!D36</f>
        <v>44</v>
      </c>
      <c r="E36" s="49">
        <f>'Avg Week ClockTower-Nsambya'!E36+'Avg Week Nsambya-ClockTower'!E36</f>
        <v>27.428571428571431</v>
      </c>
      <c r="F36" s="49">
        <f>'Avg Week ClockTower-Nsambya'!F36+'Avg Week Nsambya-ClockTower'!F36</f>
        <v>138.71428571428572</v>
      </c>
      <c r="G36" s="49">
        <f>'Avg Week ClockTower-Nsambya'!G36+'Avg Week Nsambya-ClockTower'!G36</f>
        <v>3.4285714285714284</v>
      </c>
      <c r="H36" s="49">
        <f>'Avg Week ClockTower-Nsambya'!H36+'Avg Week Nsambya-ClockTower'!H36</f>
        <v>0.71428571428571419</v>
      </c>
      <c r="I36" s="49">
        <f>'Avg Week ClockTower-Nsambya'!I36+'Avg Week Nsambya-ClockTower'!I36</f>
        <v>15.571428571428571</v>
      </c>
      <c r="J36" s="49">
        <f>'Avg Week ClockTower-Nsambya'!J36+'Avg Week Nsambya-ClockTower'!J36</f>
        <v>8</v>
      </c>
      <c r="K36" s="49">
        <f>'Avg Week ClockTower-Nsambya'!K36+'Avg Week Nsambya-ClockTower'!K36</f>
        <v>6.2857142857142856</v>
      </c>
      <c r="L36" s="49">
        <f>'Avg Week ClockTower-Nsambya'!L36+'Avg Week Nsambya-ClockTower'!L36</f>
        <v>7.8571428571428577</v>
      </c>
      <c r="M36" s="49">
        <f>'Avg Week ClockTower-Nsambya'!M36+'Avg Week Nsambya-ClockTower'!M36</f>
        <v>734.14285714285711</v>
      </c>
      <c r="N36" s="49">
        <f>'Avg Week ClockTower-Nsambya'!N36+'Avg Week Nsambya-ClockTower'!N36</f>
        <v>0.14285714285714285</v>
      </c>
      <c r="O36" s="15">
        <f t="shared" si="0"/>
        <v>375.28571428571428</v>
      </c>
      <c r="P36" s="15">
        <f t="shared" si="1"/>
        <v>1109.4285714285713</v>
      </c>
    </row>
    <row r="37" spans="2:20" ht="23.1" customHeight="1" x14ac:dyDescent="0.25">
      <c r="B37" s="23" t="s">
        <v>64</v>
      </c>
      <c r="C37" s="49">
        <f>'Avg Week ClockTower-Nsambya'!C37+'Avg Week Nsambya-ClockTower'!C37</f>
        <v>127.14285714285714</v>
      </c>
      <c r="D37" s="49">
        <f>'Avg Week ClockTower-Nsambya'!D37+'Avg Week Nsambya-ClockTower'!D37</f>
        <v>37.285714285714292</v>
      </c>
      <c r="E37" s="49">
        <f>'Avg Week ClockTower-Nsambya'!E37+'Avg Week Nsambya-ClockTower'!E37</f>
        <v>26</v>
      </c>
      <c r="F37" s="49">
        <f>'Avg Week ClockTower-Nsambya'!F37+'Avg Week Nsambya-ClockTower'!F37</f>
        <v>166.42857142857144</v>
      </c>
      <c r="G37" s="49">
        <f>'Avg Week ClockTower-Nsambya'!G37+'Avg Week Nsambya-ClockTower'!G37</f>
        <v>3.5714285714285716</v>
      </c>
      <c r="H37" s="49">
        <f>'Avg Week ClockTower-Nsambya'!H37+'Avg Week Nsambya-ClockTower'!H37</f>
        <v>0.5714285714285714</v>
      </c>
      <c r="I37" s="49">
        <f>'Avg Week ClockTower-Nsambya'!I37+'Avg Week Nsambya-ClockTower'!I37</f>
        <v>17.857142857142858</v>
      </c>
      <c r="J37" s="49">
        <f>'Avg Week ClockTower-Nsambya'!J37+'Avg Week Nsambya-ClockTower'!J37</f>
        <v>11</v>
      </c>
      <c r="K37" s="49">
        <f>'Avg Week ClockTower-Nsambya'!K37+'Avg Week Nsambya-ClockTower'!K37</f>
        <v>6.5714285714285712</v>
      </c>
      <c r="L37" s="49">
        <f>'Avg Week ClockTower-Nsambya'!L37+'Avg Week Nsambya-ClockTower'!L37</f>
        <v>6.2857142857142856</v>
      </c>
      <c r="M37" s="49">
        <f>'Avg Week ClockTower-Nsambya'!M37+'Avg Week Nsambya-ClockTower'!M37</f>
        <v>715.71428571428578</v>
      </c>
      <c r="N37" s="49">
        <f>'Avg Week ClockTower-Nsambya'!N37+'Avg Week Nsambya-ClockTower'!N37</f>
        <v>0.14285714285714285</v>
      </c>
      <c r="O37" s="15">
        <f t="shared" si="0"/>
        <v>402.85714285714283</v>
      </c>
      <c r="P37" s="15">
        <f t="shared" si="1"/>
        <v>1118.5714285714287</v>
      </c>
    </row>
    <row r="38" spans="2:20" ht="23.1" customHeight="1" x14ac:dyDescent="0.25">
      <c r="B38" s="24" t="s">
        <v>65</v>
      </c>
      <c r="C38" s="49">
        <f>'Avg Week ClockTower-Nsambya'!C38+'Avg Week Nsambya-ClockTower'!C38</f>
        <v>158.28571428571428</v>
      </c>
      <c r="D38" s="49">
        <f>'Avg Week ClockTower-Nsambya'!D38+'Avg Week Nsambya-ClockTower'!D38</f>
        <v>41.428571428571431</v>
      </c>
      <c r="E38" s="49">
        <f>'Avg Week ClockTower-Nsambya'!E38+'Avg Week Nsambya-ClockTower'!E38</f>
        <v>27.857142857142858</v>
      </c>
      <c r="F38" s="49">
        <f>'Avg Week ClockTower-Nsambya'!F38+'Avg Week Nsambya-ClockTower'!F38</f>
        <v>133</v>
      </c>
      <c r="G38" s="49">
        <f>'Avg Week ClockTower-Nsambya'!G38+'Avg Week Nsambya-ClockTower'!G38</f>
        <v>2.5714285714285712</v>
      </c>
      <c r="H38" s="49">
        <f>'Avg Week ClockTower-Nsambya'!H38+'Avg Week Nsambya-ClockTower'!H38</f>
        <v>0.14285714285714285</v>
      </c>
      <c r="I38" s="49">
        <f>'Avg Week ClockTower-Nsambya'!I38+'Avg Week Nsambya-ClockTower'!I38</f>
        <v>14.428571428571429</v>
      </c>
      <c r="J38" s="49">
        <f>'Avg Week ClockTower-Nsambya'!J38+'Avg Week Nsambya-ClockTower'!J38</f>
        <v>9.2857142857142847</v>
      </c>
      <c r="K38" s="49">
        <f>'Avg Week ClockTower-Nsambya'!K38+'Avg Week Nsambya-ClockTower'!K38</f>
        <v>4.8571428571428577</v>
      </c>
      <c r="L38" s="49">
        <f>'Avg Week ClockTower-Nsambya'!L38+'Avg Week Nsambya-ClockTower'!L38</f>
        <v>9.4285714285714288</v>
      </c>
      <c r="M38" s="49">
        <f>'Avg Week ClockTower-Nsambya'!M38+'Avg Week Nsambya-ClockTower'!M38</f>
        <v>781.14285714285711</v>
      </c>
      <c r="N38" s="49">
        <f>'Avg Week ClockTower-Nsambya'!N38+'Avg Week Nsambya-ClockTower'!N38</f>
        <v>1.2857142857142858</v>
      </c>
      <c r="O38" s="15">
        <f t="shared" si="0"/>
        <v>402.57142857142856</v>
      </c>
      <c r="P38" s="15">
        <f t="shared" si="1"/>
        <v>1183.7142857142856</v>
      </c>
    </row>
    <row r="39" spans="2:20" ht="23.1" customHeight="1" x14ac:dyDescent="0.25">
      <c r="B39" s="24" t="s">
        <v>66</v>
      </c>
      <c r="C39" s="49">
        <f>'Avg Week ClockTower-Nsambya'!C39+'Avg Week Nsambya-ClockTower'!C39</f>
        <v>132.71428571428572</v>
      </c>
      <c r="D39" s="49">
        <f>'Avg Week ClockTower-Nsambya'!D39+'Avg Week Nsambya-ClockTower'!D39</f>
        <v>36.285714285714285</v>
      </c>
      <c r="E39" s="49">
        <f>'Avg Week ClockTower-Nsambya'!E39+'Avg Week Nsambya-ClockTower'!E39</f>
        <v>27.142857142857142</v>
      </c>
      <c r="F39" s="49">
        <f>'Avg Week ClockTower-Nsambya'!F39+'Avg Week Nsambya-ClockTower'!F39</f>
        <v>151.42857142857144</v>
      </c>
      <c r="G39" s="49">
        <f>'Avg Week ClockTower-Nsambya'!G39+'Avg Week Nsambya-ClockTower'!G39</f>
        <v>3.5714285714285712</v>
      </c>
      <c r="H39" s="49">
        <f>'Avg Week ClockTower-Nsambya'!H39+'Avg Week Nsambya-ClockTower'!H39</f>
        <v>0.5714285714285714</v>
      </c>
      <c r="I39" s="49">
        <f>'Avg Week ClockTower-Nsambya'!I39+'Avg Week Nsambya-ClockTower'!I39</f>
        <v>18.428571428571431</v>
      </c>
      <c r="J39" s="49">
        <f>'Avg Week ClockTower-Nsambya'!J39+'Avg Week Nsambya-ClockTower'!J39</f>
        <v>10.714285714285715</v>
      </c>
      <c r="K39" s="49">
        <f>'Avg Week ClockTower-Nsambya'!K39+'Avg Week Nsambya-ClockTower'!K39</f>
        <v>7.1428571428571423</v>
      </c>
      <c r="L39" s="49">
        <f>'Avg Week ClockTower-Nsambya'!L39+'Avg Week Nsambya-ClockTower'!L39</f>
        <v>7.5714285714285712</v>
      </c>
      <c r="M39" s="49">
        <f>'Avg Week ClockTower-Nsambya'!M39+'Avg Week Nsambya-ClockTower'!M39</f>
        <v>753.42857142857133</v>
      </c>
      <c r="N39" s="49">
        <f>'Avg Week ClockTower-Nsambya'!N39+'Avg Week Nsambya-ClockTower'!N39</f>
        <v>0.71428571428571419</v>
      </c>
      <c r="O39" s="15">
        <f t="shared" si="0"/>
        <v>396.28571428571428</v>
      </c>
      <c r="P39" s="15">
        <f t="shared" si="1"/>
        <v>1149.7142857142858</v>
      </c>
    </row>
    <row r="40" spans="2:20" ht="23.1" customHeight="1" x14ac:dyDescent="0.25">
      <c r="B40" s="24" t="s">
        <v>67</v>
      </c>
      <c r="C40" s="49">
        <f>'Avg Week ClockTower-Nsambya'!C40+'Avg Week Nsambya-ClockTower'!C40</f>
        <v>145.85714285714286</v>
      </c>
      <c r="D40" s="49">
        <f>'Avg Week ClockTower-Nsambya'!D40+'Avg Week Nsambya-ClockTower'!D40</f>
        <v>34.142857142857146</v>
      </c>
      <c r="E40" s="49">
        <f>'Avg Week ClockTower-Nsambya'!E40+'Avg Week Nsambya-ClockTower'!E40</f>
        <v>24</v>
      </c>
      <c r="F40" s="49">
        <f>'Avg Week ClockTower-Nsambya'!F40+'Avg Week Nsambya-ClockTower'!F40</f>
        <v>140.14285714285714</v>
      </c>
      <c r="G40" s="49">
        <f>'Avg Week ClockTower-Nsambya'!G40+'Avg Week Nsambya-ClockTower'!G40</f>
        <v>2.5714285714285716</v>
      </c>
      <c r="H40" s="49">
        <f>'Avg Week ClockTower-Nsambya'!H40+'Avg Week Nsambya-ClockTower'!H40</f>
        <v>0.42857142857142855</v>
      </c>
      <c r="I40" s="49">
        <f>'Avg Week ClockTower-Nsambya'!I40+'Avg Week Nsambya-ClockTower'!I40</f>
        <v>18.142857142857142</v>
      </c>
      <c r="J40" s="49">
        <f>'Avg Week ClockTower-Nsambya'!J40+'Avg Week Nsambya-ClockTower'!J40</f>
        <v>10.285714285714285</v>
      </c>
      <c r="K40" s="49">
        <f>'Avg Week ClockTower-Nsambya'!K40+'Avg Week Nsambya-ClockTower'!K40</f>
        <v>7.4285714285714288</v>
      </c>
      <c r="L40" s="49">
        <f>'Avg Week ClockTower-Nsambya'!L40+'Avg Week Nsambya-ClockTower'!L40</f>
        <v>10</v>
      </c>
      <c r="M40" s="49">
        <f>'Avg Week ClockTower-Nsambya'!M40+'Avg Week Nsambya-ClockTower'!M40</f>
        <v>708.71428571428578</v>
      </c>
      <c r="N40" s="49">
        <f>'Avg Week ClockTower-Nsambya'!N40+'Avg Week Nsambya-ClockTower'!N40</f>
        <v>0.2857142857142857</v>
      </c>
      <c r="O40" s="15">
        <f t="shared" si="0"/>
        <v>393.28571428571428</v>
      </c>
      <c r="P40" s="15">
        <f t="shared" si="1"/>
        <v>1102</v>
      </c>
    </row>
    <row r="41" spans="2:20" ht="23.1" customHeight="1" x14ac:dyDescent="0.25">
      <c r="B41" s="23" t="s">
        <v>68</v>
      </c>
      <c r="C41" s="49">
        <f>'Avg Week ClockTower-Nsambya'!C41+'Avg Week Nsambya-ClockTower'!C41</f>
        <v>155.85714285714286</v>
      </c>
      <c r="D41" s="49">
        <f>'Avg Week ClockTower-Nsambya'!D41+'Avg Week Nsambya-ClockTower'!D41</f>
        <v>50.857142857142861</v>
      </c>
      <c r="E41" s="49">
        <f>'Avg Week ClockTower-Nsambya'!E41+'Avg Week Nsambya-ClockTower'!E41</f>
        <v>32.428571428571431</v>
      </c>
      <c r="F41" s="49">
        <f>'Avg Week ClockTower-Nsambya'!F41+'Avg Week Nsambya-ClockTower'!F41</f>
        <v>150.71428571428572</v>
      </c>
      <c r="G41" s="49">
        <f>'Avg Week ClockTower-Nsambya'!G41+'Avg Week Nsambya-ClockTower'!G41</f>
        <v>2.8571428571428572</v>
      </c>
      <c r="H41" s="49">
        <f>'Avg Week ClockTower-Nsambya'!H41+'Avg Week Nsambya-ClockTower'!H41</f>
        <v>0.2857142857142857</v>
      </c>
      <c r="I41" s="49">
        <f>'Avg Week ClockTower-Nsambya'!I41+'Avg Week Nsambya-ClockTower'!I41</f>
        <v>16.571428571428569</v>
      </c>
      <c r="J41" s="49">
        <f>'Avg Week ClockTower-Nsambya'!J41+'Avg Week Nsambya-ClockTower'!J41</f>
        <v>10.142857142857142</v>
      </c>
      <c r="K41" s="49">
        <f>'Avg Week ClockTower-Nsambya'!K41+'Avg Week Nsambya-ClockTower'!K41</f>
        <v>6.5714285714285712</v>
      </c>
      <c r="L41" s="49">
        <f>'Avg Week ClockTower-Nsambya'!L41+'Avg Week Nsambya-ClockTower'!L41</f>
        <v>6.8571428571428577</v>
      </c>
      <c r="M41" s="49">
        <f>'Avg Week ClockTower-Nsambya'!M41+'Avg Week Nsambya-ClockTower'!M41</f>
        <v>717.85714285714289</v>
      </c>
      <c r="N41" s="49">
        <f>'Avg Week ClockTower-Nsambya'!N41+'Avg Week Nsambya-ClockTower'!N41</f>
        <v>0.42857142857142855</v>
      </c>
      <c r="O41" s="15">
        <f t="shared" si="0"/>
        <v>433.57142857142856</v>
      </c>
      <c r="P41" s="15">
        <f t="shared" si="1"/>
        <v>1151.4285714285713</v>
      </c>
    </row>
    <row r="42" spans="2:20" ht="23.1" customHeight="1" x14ac:dyDescent="0.25">
      <c r="B42" s="24" t="s">
        <v>69</v>
      </c>
      <c r="C42" s="49">
        <f>'Avg Week ClockTower-Nsambya'!C42+'Avg Week Nsambya-ClockTower'!C42</f>
        <v>137.85714285714286</v>
      </c>
      <c r="D42" s="49">
        <f>'Avg Week ClockTower-Nsambya'!D42+'Avg Week Nsambya-ClockTower'!D42</f>
        <v>37.571428571428569</v>
      </c>
      <c r="E42" s="49">
        <f>'Avg Week ClockTower-Nsambya'!E42+'Avg Week Nsambya-ClockTower'!E42</f>
        <v>26.857142857142858</v>
      </c>
      <c r="F42" s="49">
        <f>'Avg Week ClockTower-Nsambya'!F42+'Avg Week Nsambya-ClockTower'!F42</f>
        <v>136.71428571428572</v>
      </c>
      <c r="G42" s="49">
        <f>'Avg Week ClockTower-Nsambya'!G42+'Avg Week Nsambya-ClockTower'!G42</f>
        <v>2</v>
      </c>
      <c r="H42" s="49">
        <f>'Avg Week ClockTower-Nsambya'!H42+'Avg Week Nsambya-ClockTower'!H42</f>
        <v>1</v>
      </c>
      <c r="I42" s="49">
        <f>'Avg Week ClockTower-Nsambya'!I42+'Avg Week Nsambya-ClockTower'!I42</f>
        <v>36.857142857142861</v>
      </c>
      <c r="J42" s="49">
        <f>'Avg Week ClockTower-Nsambya'!J42+'Avg Week Nsambya-ClockTower'!J42</f>
        <v>11.142857142857142</v>
      </c>
      <c r="K42" s="49">
        <f>'Avg Week ClockTower-Nsambya'!K42+'Avg Week Nsambya-ClockTower'!K42</f>
        <v>6.4285714285714288</v>
      </c>
      <c r="L42" s="49">
        <f>'Avg Week ClockTower-Nsambya'!L42+'Avg Week Nsambya-ClockTower'!L42</f>
        <v>7.7142857142857144</v>
      </c>
      <c r="M42" s="49">
        <f>'Avg Week ClockTower-Nsambya'!M42+'Avg Week Nsambya-ClockTower'!M42</f>
        <v>769.71428571428578</v>
      </c>
      <c r="N42" s="49">
        <f>'Avg Week ClockTower-Nsambya'!N42+'Avg Week Nsambya-ClockTower'!N42</f>
        <v>0.2857142857142857</v>
      </c>
      <c r="O42" s="15">
        <f t="shared" si="0"/>
        <v>404.4285714285715</v>
      </c>
      <c r="P42" s="15">
        <f t="shared" si="1"/>
        <v>1174.1428571428573</v>
      </c>
    </row>
    <row r="43" spans="2:20" ht="23.1" customHeight="1" x14ac:dyDescent="0.25">
      <c r="B43" s="23" t="s">
        <v>70</v>
      </c>
      <c r="C43" s="49">
        <f>'Avg Week ClockTower-Nsambya'!C43+'Avg Week Nsambya-ClockTower'!C43</f>
        <v>139.28571428571428</v>
      </c>
      <c r="D43" s="49">
        <f>'Avg Week ClockTower-Nsambya'!D43+'Avg Week Nsambya-ClockTower'!D43</f>
        <v>34.857142857142854</v>
      </c>
      <c r="E43" s="49">
        <f>'Avg Week ClockTower-Nsambya'!E43+'Avg Week Nsambya-ClockTower'!E43</f>
        <v>25.571428571428569</v>
      </c>
      <c r="F43" s="49">
        <f>'Avg Week ClockTower-Nsambya'!F43+'Avg Week Nsambya-ClockTower'!F43</f>
        <v>142.14285714285714</v>
      </c>
      <c r="G43" s="49">
        <f>'Avg Week ClockTower-Nsambya'!G43+'Avg Week Nsambya-ClockTower'!G43</f>
        <v>1.1428571428571428</v>
      </c>
      <c r="H43" s="49">
        <f>'Avg Week ClockTower-Nsambya'!H43+'Avg Week Nsambya-ClockTower'!H43</f>
        <v>0</v>
      </c>
      <c r="I43" s="49">
        <f>'Avg Week ClockTower-Nsambya'!I43+'Avg Week Nsambya-ClockTower'!I43</f>
        <v>17.142857142857142</v>
      </c>
      <c r="J43" s="49">
        <f>'Avg Week ClockTower-Nsambya'!J43+'Avg Week Nsambya-ClockTower'!J43</f>
        <v>15.285714285714285</v>
      </c>
      <c r="K43" s="49">
        <f>'Avg Week ClockTower-Nsambya'!K43+'Avg Week Nsambya-ClockTower'!K43</f>
        <v>5.5714285714285712</v>
      </c>
      <c r="L43" s="49">
        <f>'Avg Week ClockTower-Nsambya'!L43+'Avg Week Nsambya-ClockTower'!L43</f>
        <v>6.2857142857142856</v>
      </c>
      <c r="M43" s="49">
        <f>'Avg Week ClockTower-Nsambya'!M43+'Avg Week Nsambya-ClockTower'!M43</f>
        <v>696.85714285714289</v>
      </c>
      <c r="N43" s="49">
        <f>'Avg Week ClockTower-Nsambya'!N43+'Avg Week Nsambya-ClockTower'!N43</f>
        <v>0.2857142857142857</v>
      </c>
      <c r="O43" s="15">
        <f t="shared" si="0"/>
        <v>387.57142857142861</v>
      </c>
      <c r="P43" s="15">
        <f t="shared" si="1"/>
        <v>1084.4285714285716</v>
      </c>
    </row>
    <row r="44" spans="2:20" ht="23.1" customHeight="1" x14ac:dyDescent="0.25">
      <c r="B44" s="25" t="s">
        <v>71</v>
      </c>
      <c r="C44" s="49">
        <f>'Avg Week ClockTower-Nsambya'!C44+'Avg Week Nsambya-ClockTower'!C44</f>
        <v>133</v>
      </c>
      <c r="D44" s="49">
        <f>'Avg Week ClockTower-Nsambya'!D44+'Avg Week Nsambya-ClockTower'!D44</f>
        <v>42.857142857142854</v>
      </c>
      <c r="E44" s="49">
        <f>'Avg Week ClockTower-Nsambya'!E44+'Avg Week Nsambya-ClockTower'!E44</f>
        <v>27.857142857142854</v>
      </c>
      <c r="F44" s="49">
        <f>'Avg Week ClockTower-Nsambya'!F44+'Avg Week Nsambya-ClockTower'!F44</f>
        <v>136</v>
      </c>
      <c r="G44" s="49">
        <f>'Avg Week ClockTower-Nsambya'!G44+'Avg Week Nsambya-ClockTower'!G44</f>
        <v>2.8571428571428572</v>
      </c>
      <c r="H44" s="49">
        <f>'Avg Week ClockTower-Nsambya'!H44+'Avg Week Nsambya-ClockTower'!H44</f>
        <v>0.8571428571428571</v>
      </c>
      <c r="I44" s="49">
        <f>'Avg Week ClockTower-Nsambya'!I44+'Avg Week Nsambya-ClockTower'!I44</f>
        <v>18.285714285714285</v>
      </c>
      <c r="J44" s="49">
        <f>'Avg Week ClockTower-Nsambya'!J44+'Avg Week Nsambya-ClockTower'!J44</f>
        <v>12</v>
      </c>
      <c r="K44" s="49">
        <f>'Avg Week ClockTower-Nsambya'!K44+'Avg Week Nsambya-ClockTower'!K44</f>
        <v>6.4285714285714288</v>
      </c>
      <c r="L44" s="49">
        <f>'Avg Week ClockTower-Nsambya'!L44+'Avg Week Nsambya-ClockTower'!L44</f>
        <v>7.1428571428571432</v>
      </c>
      <c r="M44" s="49">
        <f>'Avg Week ClockTower-Nsambya'!M44+'Avg Week Nsambya-ClockTower'!M44</f>
        <v>772</v>
      </c>
      <c r="N44" s="49">
        <f>'Avg Week ClockTower-Nsambya'!N44+'Avg Week Nsambya-ClockTower'!N44</f>
        <v>0.14285714285714285</v>
      </c>
      <c r="O44" s="15">
        <f t="shared" si="0"/>
        <v>387.42857142857144</v>
      </c>
      <c r="P44" s="15">
        <f t="shared" si="1"/>
        <v>1159.4285714285713</v>
      </c>
    </row>
    <row r="45" spans="2:20" ht="23.1" customHeight="1" x14ac:dyDescent="0.25">
      <c r="B45" s="23" t="s">
        <v>72</v>
      </c>
      <c r="C45" s="49">
        <f>'Avg Week ClockTower-Nsambya'!C45+'Avg Week Nsambya-ClockTower'!C45</f>
        <v>152.71428571428572</v>
      </c>
      <c r="D45" s="49">
        <f>'Avg Week ClockTower-Nsambya'!D45+'Avg Week Nsambya-ClockTower'!D45</f>
        <v>53.428571428571431</v>
      </c>
      <c r="E45" s="49">
        <f>'Avg Week ClockTower-Nsambya'!E45+'Avg Week Nsambya-ClockTower'!E45</f>
        <v>21.571428571428569</v>
      </c>
      <c r="F45" s="49">
        <f>'Avg Week ClockTower-Nsambya'!F45+'Avg Week Nsambya-ClockTower'!F45</f>
        <v>122.85714285714286</v>
      </c>
      <c r="G45" s="49">
        <f>'Avg Week ClockTower-Nsambya'!G45+'Avg Week Nsambya-ClockTower'!G45</f>
        <v>2</v>
      </c>
      <c r="H45" s="49">
        <f>'Avg Week ClockTower-Nsambya'!H45+'Avg Week Nsambya-ClockTower'!H45</f>
        <v>0.8571428571428571</v>
      </c>
      <c r="I45" s="49">
        <f>'Avg Week ClockTower-Nsambya'!I45+'Avg Week Nsambya-ClockTower'!I45</f>
        <v>13.857142857142858</v>
      </c>
      <c r="J45" s="49">
        <f>'Avg Week ClockTower-Nsambya'!J45+'Avg Week Nsambya-ClockTower'!J45</f>
        <v>12.714285714285714</v>
      </c>
      <c r="K45" s="49">
        <f>'Avg Week ClockTower-Nsambya'!K45+'Avg Week Nsambya-ClockTower'!K45</f>
        <v>7.8571428571428577</v>
      </c>
      <c r="L45" s="49">
        <f>'Avg Week ClockTower-Nsambya'!L45+'Avg Week Nsambya-ClockTower'!L45</f>
        <v>7.8571428571428577</v>
      </c>
      <c r="M45" s="49">
        <f>'Avg Week ClockTower-Nsambya'!M45+'Avg Week Nsambya-ClockTower'!M45</f>
        <v>779.42857142857144</v>
      </c>
      <c r="N45" s="49">
        <f>'Avg Week ClockTower-Nsambya'!N45+'Avg Week Nsambya-ClockTower'!N45</f>
        <v>0.2857142857142857</v>
      </c>
      <c r="O45" s="15">
        <f t="shared" si="0"/>
        <v>395.99999999999989</v>
      </c>
      <c r="P45" s="15">
        <f t="shared" si="1"/>
        <v>1175.4285714285713</v>
      </c>
    </row>
    <row r="46" spans="2:20" ht="23.1" customHeight="1" x14ac:dyDescent="0.25">
      <c r="B46" s="24" t="s">
        <v>73</v>
      </c>
      <c r="C46" s="49">
        <f>'Avg Week ClockTower-Nsambya'!C46+'Avg Week Nsambya-ClockTower'!C46</f>
        <v>126.85714285714286</v>
      </c>
      <c r="D46" s="49">
        <f>'Avg Week ClockTower-Nsambya'!D46+'Avg Week Nsambya-ClockTower'!D46</f>
        <v>44</v>
      </c>
      <c r="E46" s="49">
        <f>'Avg Week ClockTower-Nsambya'!E46+'Avg Week Nsambya-ClockTower'!E46</f>
        <v>22.714285714285715</v>
      </c>
      <c r="F46" s="49">
        <f>'Avg Week ClockTower-Nsambya'!F46+'Avg Week Nsambya-ClockTower'!F46</f>
        <v>162.57142857142858</v>
      </c>
      <c r="G46" s="49">
        <f>'Avg Week ClockTower-Nsambya'!G46+'Avg Week Nsambya-ClockTower'!G46</f>
        <v>3.7142857142857144</v>
      </c>
      <c r="H46" s="49">
        <f>'Avg Week ClockTower-Nsambya'!H46+'Avg Week Nsambya-ClockTower'!H46</f>
        <v>0.5714285714285714</v>
      </c>
      <c r="I46" s="49">
        <f>'Avg Week ClockTower-Nsambya'!I46+'Avg Week Nsambya-ClockTower'!I46</f>
        <v>25</v>
      </c>
      <c r="J46" s="49">
        <f>'Avg Week ClockTower-Nsambya'!J46+'Avg Week Nsambya-ClockTower'!J46</f>
        <v>10.714285714285715</v>
      </c>
      <c r="K46" s="49">
        <f>'Avg Week ClockTower-Nsambya'!K46+'Avg Week Nsambya-ClockTower'!K46</f>
        <v>8.1428571428571423</v>
      </c>
      <c r="L46" s="49">
        <f>'Avg Week ClockTower-Nsambya'!L46+'Avg Week Nsambya-ClockTower'!L46</f>
        <v>7.7142857142857144</v>
      </c>
      <c r="M46" s="49">
        <f>'Avg Week ClockTower-Nsambya'!M46+'Avg Week Nsambya-ClockTower'!M46</f>
        <v>804.85714285714289</v>
      </c>
      <c r="N46" s="49">
        <f>'Avg Week ClockTower-Nsambya'!N46+'Avg Week Nsambya-ClockTower'!N46</f>
        <v>0.2857142857142857</v>
      </c>
      <c r="O46" s="15">
        <f t="shared" si="0"/>
        <v>412.28571428571433</v>
      </c>
      <c r="P46" s="15">
        <f t="shared" si="1"/>
        <v>1217.1428571428571</v>
      </c>
      <c r="R46" s="8"/>
      <c r="T46"/>
    </row>
    <row r="47" spans="2:20" ht="23.1" customHeight="1" x14ac:dyDescent="0.25">
      <c r="B47" s="24" t="s">
        <v>74</v>
      </c>
      <c r="C47" s="49">
        <f>'Avg Week ClockTower-Nsambya'!C47+'Avg Week Nsambya-ClockTower'!C47</f>
        <v>133.42857142857144</v>
      </c>
      <c r="D47" s="49">
        <f>'Avg Week ClockTower-Nsambya'!D47+'Avg Week Nsambya-ClockTower'!D47</f>
        <v>55.285714285714292</v>
      </c>
      <c r="E47" s="49">
        <f>'Avg Week ClockTower-Nsambya'!E47+'Avg Week Nsambya-ClockTower'!E47</f>
        <v>33.857142857142861</v>
      </c>
      <c r="F47" s="49">
        <f>'Avg Week ClockTower-Nsambya'!F47+'Avg Week Nsambya-ClockTower'!F47</f>
        <v>147.85714285714286</v>
      </c>
      <c r="G47" s="49">
        <f>'Avg Week ClockTower-Nsambya'!G47+'Avg Week Nsambya-ClockTower'!G47</f>
        <v>2.7142857142857144</v>
      </c>
      <c r="H47" s="49">
        <f>'Avg Week ClockTower-Nsambya'!H47+'Avg Week Nsambya-ClockTower'!H47</f>
        <v>0.5714285714285714</v>
      </c>
      <c r="I47" s="49">
        <f>'Avg Week ClockTower-Nsambya'!I47+'Avg Week Nsambya-ClockTower'!I47</f>
        <v>20</v>
      </c>
      <c r="J47" s="49">
        <f>'Avg Week ClockTower-Nsambya'!J47+'Avg Week Nsambya-ClockTower'!J47</f>
        <v>12.857142857142858</v>
      </c>
      <c r="K47" s="49">
        <f>'Avg Week ClockTower-Nsambya'!K47+'Avg Week Nsambya-ClockTower'!K47</f>
        <v>5.2857142857142856</v>
      </c>
      <c r="L47" s="49">
        <f>'Avg Week ClockTower-Nsambya'!L47+'Avg Week Nsambya-ClockTower'!L47</f>
        <v>7.8571428571428577</v>
      </c>
      <c r="M47" s="49">
        <f>'Avg Week ClockTower-Nsambya'!M47+'Avg Week Nsambya-ClockTower'!M47</f>
        <v>804.14285714285711</v>
      </c>
      <c r="N47" s="49">
        <f>'Avg Week ClockTower-Nsambya'!N47+'Avg Week Nsambya-ClockTower'!N47</f>
        <v>0.2857142857142857</v>
      </c>
      <c r="O47" s="15">
        <f t="shared" si="0"/>
        <v>419.99999999999994</v>
      </c>
      <c r="P47" s="15">
        <f t="shared" si="1"/>
        <v>1224.1428571428569</v>
      </c>
      <c r="R47" s="8"/>
      <c r="T47"/>
    </row>
    <row r="48" spans="2:20" ht="23.1" customHeight="1" x14ac:dyDescent="0.25">
      <c r="B48" s="24" t="s">
        <v>75</v>
      </c>
      <c r="C48" s="49">
        <f>'Avg Week ClockTower-Nsambya'!C48+'Avg Week Nsambya-ClockTower'!C48</f>
        <v>130.85714285714286</v>
      </c>
      <c r="D48" s="49">
        <f>'Avg Week ClockTower-Nsambya'!D48+'Avg Week Nsambya-ClockTower'!D48</f>
        <v>52.285714285714292</v>
      </c>
      <c r="E48" s="49">
        <f>'Avg Week ClockTower-Nsambya'!E48+'Avg Week Nsambya-ClockTower'!E48</f>
        <v>26.142857142857142</v>
      </c>
      <c r="F48" s="49">
        <f>'Avg Week ClockTower-Nsambya'!F48+'Avg Week Nsambya-ClockTower'!F48</f>
        <v>125.28571428571428</v>
      </c>
      <c r="G48" s="49">
        <f>'Avg Week ClockTower-Nsambya'!G48+'Avg Week Nsambya-ClockTower'!G48</f>
        <v>4.2857142857142856</v>
      </c>
      <c r="H48" s="49">
        <f>'Avg Week ClockTower-Nsambya'!H48+'Avg Week Nsambya-ClockTower'!H48</f>
        <v>1.4285714285714284</v>
      </c>
      <c r="I48" s="49">
        <f>'Avg Week ClockTower-Nsambya'!I48+'Avg Week Nsambya-ClockTower'!I48</f>
        <v>16.428571428571431</v>
      </c>
      <c r="J48" s="49">
        <f>'Avg Week ClockTower-Nsambya'!J48+'Avg Week Nsambya-ClockTower'!J48</f>
        <v>9.8571428571428577</v>
      </c>
      <c r="K48" s="49">
        <f>'Avg Week ClockTower-Nsambya'!K48+'Avg Week Nsambya-ClockTower'!K48</f>
        <v>6</v>
      </c>
      <c r="L48" s="49">
        <f>'Avg Week ClockTower-Nsambya'!L48+'Avg Week Nsambya-ClockTower'!L48</f>
        <v>7</v>
      </c>
      <c r="M48" s="49">
        <f>'Avg Week ClockTower-Nsambya'!M48+'Avg Week Nsambya-ClockTower'!M48</f>
        <v>818</v>
      </c>
      <c r="N48" s="49">
        <f>'Avg Week ClockTower-Nsambya'!N48+'Avg Week Nsambya-ClockTower'!N48</f>
        <v>0.5714285714285714</v>
      </c>
      <c r="O48" s="15">
        <f t="shared" si="0"/>
        <v>380.14285714285711</v>
      </c>
      <c r="P48" s="15">
        <f t="shared" si="1"/>
        <v>1198.1428571428571</v>
      </c>
      <c r="R48" s="8"/>
      <c r="T48"/>
    </row>
    <row r="49" spans="2:20" ht="23.1" customHeight="1" x14ac:dyDescent="0.25">
      <c r="B49" s="23" t="s">
        <v>76</v>
      </c>
      <c r="C49" s="49">
        <f>'Avg Week ClockTower-Nsambya'!C49+'Avg Week Nsambya-ClockTower'!C49</f>
        <v>122.85714285714286</v>
      </c>
      <c r="D49" s="49">
        <f>'Avg Week ClockTower-Nsambya'!D49+'Avg Week Nsambya-ClockTower'!D49</f>
        <v>54.571428571428569</v>
      </c>
      <c r="E49" s="49">
        <f>'Avg Week ClockTower-Nsambya'!E49+'Avg Week Nsambya-ClockTower'!E49</f>
        <v>35</v>
      </c>
      <c r="F49" s="49">
        <f>'Avg Week ClockTower-Nsambya'!F49+'Avg Week Nsambya-ClockTower'!F49</f>
        <v>136.85714285714286</v>
      </c>
      <c r="G49" s="49">
        <f>'Avg Week ClockTower-Nsambya'!G49+'Avg Week Nsambya-ClockTower'!G49</f>
        <v>3.5714285714285712</v>
      </c>
      <c r="H49" s="49">
        <f>'Avg Week ClockTower-Nsambya'!H49+'Avg Week Nsambya-ClockTower'!H49</f>
        <v>1</v>
      </c>
      <c r="I49" s="49">
        <f>'Avg Week ClockTower-Nsambya'!I49+'Avg Week Nsambya-ClockTower'!I49</f>
        <v>15.857142857142858</v>
      </c>
      <c r="J49" s="49">
        <f>'Avg Week ClockTower-Nsambya'!J49+'Avg Week Nsambya-ClockTower'!J49</f>
        <v>7.4285714285714288</v>
      </c>
      <c r="K49" s="49">
        <f>'Avg Week ClockTower-Nsambya'!K49+'Avg Week Nsambya-ClockTower'!K49</f>
        <v>5.8571428571428577</v>
      </c>
      <c r="L49" s="49">
        <f>'Avg Week ClockTower-Nsambya'!L49+'Avg Week Nsambya-ClockTower'!L49</f>
        <v>5.2857142857142856</v>
      </c>
      <c r="M49" s="49">
        <f>'Avg Week ClockTower-Nsambya'!M49+'Avg Week Nsambya-ClockTower'!M49</f>
        <v>833</v>
      </c>
      <c r="N49" s="49">
        <f>'Avg Week ClockTower-Nsambya'!N49+'Avg Week Nsambya-ClockTower'!N49</f>
        <v>0.14285714285714285</v>
      </c>
      <c r="O49" s="15">
        <f t="shared" si="0"/>
        <v>388.42857142857144</v>
      </c>
      <c r="P49" s="15">
        <f t="shared" si="1"/>
        <v>1221.4285714285713</v>
      </c>
      <c r="R49" s="8"/>
      <c r="T49"/>
    </row>
    <row r="50" spans="2:20" ht="23.1" customHeight="1" x14ac:dyDescent="0.25">
      <c r="B50" s="24" t="s">
        <v>77</v>
      </c>
      <c r="C50" s="49">
        <f>'Avg Week ClockTower-Nsambya'!C50+'Avg Week Nsambya-ClockTower'!C50</f>
        <v>137.57142857142856</v>
      </c>
      <c r="D50" s="49">
        <f>'Avg Week ClockTower-Nsambya'!D50+'Avg Week Nsambya-ClockTower'!D50</f>
        <v>46.285714285714285</v>
      </c>
      <c r="E50" s="49">
        <f>'Avg Week ClockTower-Nsambya'!E50+'Avg Week Nsambya-ClockTower'!E50</f>
        <v>22.857142857142858</v>
      </c>
      <c r="F50" s="49">
        <f>'Avg Week ClockTower-Nsambya'!F50+'Avg Week Nsambya-ClockTower'!F50</f>
        <v>145.71428571428572</v>
      </c>
      <c r="G50" s="49">
        <f>'Avg Week ClockTower-Nsambya'!G50+'Avg Week Nsambya-ClockTower'!G50</f>
        <v>3.5714285714285712</v>
      </c>
      <c r="H50" s="49">
        <f>'Avg Week ClockTower-Nsambya'!H50+'Avg Week Nsambya-ClockTower'!H50</f>
        <v>0.71428571428571419</v>
      </c>
      <c r="I50" s="49">
        <f>'Avg Week ClockTower-Nsambya'!I50+'Avg Week Nsambya-ClockTower'!I50</f>
        <v>12.285714285714285</v>
      </c>
      <c r="J50" s="49">
        <f>'Avg Week ClockTower-Nsambya'!J50+'Avg Week Nsambya-ClockTower'!J50</f>
        <v>10</v>
      </c>
      <c r="K50" s="49">
        <f>'Avg Week ClockTower-Nsambya'!K50+'Avg Week Nsambya-ClockTower'!K50</f>
        <v>3.5714285714285712</v>
      </c>
      <c r="L50" s="49">
        <f>'Avg Week ClockTower-Nsambya'!L50+'Avg Week Nsambya-ClockTower'!L50</f>
        <v>6.7142857142857144</v>
      </c>
      <c r="M50" s="49">
        <f>'Avg Week ClockTower-Nsambya'!M50+'Avg Week Nsambya-ClockTower'!M50</f>
        <v>888</v>
      </c>
      <c r="N50" s="49">
        <f>'Avg Week ClockTower-Nsambya'!N50+'Avg Week Nsambya-ClockTower'!N50</f>
        <v>0</v>
      </c>
      <c r="O50" s="15">
        <f t="shared" si="0"/>
        <v>389.28571428571428</v>
      </c>
      <c r="P50" s="15">
        <f t="shared" si="1"/>
        <v>1277.2857142857142</v>
      </c>
      <c r="R50" s="8"/>
      <c r="T50"/>
    </row>
    <row r="51" spans="2:20" ht="23.1" customHeight="1" x14ac:dyDescent="0.25">
      <c r="B51" s="24" t="s">
        <v>78</v>
      </c>
      <c r="C51" s="49">
        <f>'Avg Week ClockTower-Nsambya'!C51+'Avg Week Nsambya-ClockTower'!C51</f>
        <v>152</v>
      </c>
      <c r="D51" s="49">
        <f>'Avg Week ClockTower-Nsambya'!D51+'Avg Week Nsambya-ClockTower'!D51</f>
        <v>46.857142857142861</v>
      </c>
      <c r="E51" s="49">
        <f>'Avg Week ClockTower-Nsambya'!E51+'Avg Week Nsambya-ClockTower'!E51</f>
        <v>21.285714285714285</v>
      </c>
      <c r="F51" s="49">
        <f>'Avg Week ClockTower-Nsambya'!F51+'Avg Week Nsambya-ClockTower'!F51</f>
        <v>124.57142857142857</v>
      </c>
      <c r="G51" s="49">
        <f>'Avg Week ClockTower-Nsambya'!G51+'Avg Week Nsambya-ClockTower'!G51</f>
        <v>2.5714285714285712</v>
      </c>
      <c r="H51" s="49">
        <f>'Avg Week ClockTower-Nsambya'!H51+'Avg Week Nsambya-ClockTower'!H51</f>
        <v>0</v>
      </c>
      <c r="I51" s="49">
        <f>'Avg Week ClockTower-Nsambya'!I51+'Avg Week Nsambya-ClockTower'!I51</f>
        <v>13.285714285714285</v>
      </c>
      <c r="J51" s="49">
        <f>'Avg Week ClockTower-Nsambya'!J51+'Avg Week Nsambya-ClockTower'!J51</f>
        <v>10</v>
      </c>
      <c r="K51" s="49">
        <f>'Avg Week ClockTower-Nsambya'!K51+'Avg Week Nsambya-ClockTower'!K51</f>
        <v>6.1428571428571432</v>
      </c>
      <c r="L51" s="49">
        <f>'Avg Week ClockTower-Nsambya'!L51+'Avg Week Nsambya-ClockTower'!L51</f>
        <v>9</v>
      </c>
      <c r="M51" s="49">
        <f>'Avg Week ClockTower-Nsambya'!M51+'Avg Week Nsambya-ClockTower'!M51</f>
        <v>880.57142857142856</v>
      </c>
      <c r="N51" s="49">
        <f>'Avg Week ClockTower-Nsambya'!N51+'Avg Week Nsambya-ClockTower'!N51</f>
        <v>0.2857142857142857</v>
      </c>
      <c r="O51" s="15">
        <f t="shared" si="0"/>
        <v>386</v>
      </c>
      <c r="P51" s="15">
        <f t="shared" si="1"/>
        <v>1266.5714285714284</v>
      </c>
      <c r="R51" s="8"/>
      <c r="T51"/>
    </row>
    <row r="52" spans="2:20" ht="23.1" customHeight="1" x14ac:dyDescent="0.25">
      <c r="B52" s="24" t="s">
        <v>79</v>
      </c>
      <c r="C52" s="49">
        <f>'Avg Week ClockTower-Nsambya'!C52+'Avg Week Nsambya-ClockTower'!C52</f>
        <v>153.57142857142858</v>
      </c>
      <c r="D52" s="49">
        <f>'Avg Week ClockTower-Nsambya'!D52+'Avg Week Nsambya-ClockTower'!D52</f>
        <v>39.857142857142861</v>
      </c>
      <c r="E52" s="49">
        <f>'Avg Week ClockTower-Nsambya'!E52+'Avg Week Nsambya-ClockTower'!E52</f>
        <v>22.285714285714285</v>
      </c>
      <c r="F52" s="49">
        <f>'Avg Week ClockTower-Nsambya'!F52+'Avg Week Nsambya-ClockTower'!F52</f>
        <v>137.57142857142856</v>
      </c>
      <c r="G52" s="49">
        <f>'Avg Week ClockTower-Nsambya'!G52+'Avg Week Nsambya-ClockTower'!G52</f>
        <v>1.7142857142857144</v>
      </c>
      <c r="H52" s="49">
        <f>'Avg Week ClockTower-Nsambya'!H52+'Avg Week Nsambya-ClockTower'!H52</f>
        <v>0.2857142857142857</v>
      </c>
      <c r="I52" s="49">
        <f>'Avg Week ClockTower-Nsambya'!I52+'Avg Week Nsambya-ClockTower'!I52</f>
        <v>12.428571428571429</v>
      </c>
      <c r="J52" s="49">
        <f>'Avg Week ClockTower-Nsambya'!J52+'Avg Week Nsambya-ClockTower'!J52</f>
        <v>6.7142857142857144</v>
      </c>
      <c r="K52" s="49">
        <f>'Avg Week ClockTower-Nsambya'!K52+'Avg Week Nsambya-ClockTower'!K52</f>
        <v>3.4285714285714284</v>
      </c>
      <c r="L52" s="49">
        <f>'Avg Week ClockTower-Nsambya'!L52+'Avg Week Nsambya-ClockTower'!L52</f>
        <v>6</v>
      </c>
      <c r="M52" s="49">
        <f>'Avg Week ClockTower-Nsambya'!M52+'Avg Week Nsambya-ClockTower'!M52</f>
        <v>772.14285714285711</v>
      </c>
      <c r="N52" s="49">
        <f>'Avg Week ClockTower-Nsambya'!N52+'Avg Week Nsambya-ClockTower'!N52</f>
        <v>0</v>
      </c>
      <c r="O52" s="15">
        <f t="shared" si="0"/>
        <v>383.85714285714289</v>
      </c>
      <c r="P52" s="15">
        <f t="shared" si="1"/>
        <v>1156</v>
      </c>
      <c r="R52" s="8"/>
      <c r="T52"/>
    </row>
    <row r="53" spans="2:20" ht="23.1" customHeight="1" x14ac:dyDescent="0.25">
      <c r="B53" s="23" t="s">
        <v>80</v>
      </c>
      <c r="C53" s="49">
        <f>'Avg Week ClockTower-Nsambya'!C53+'Avg Week Nsambya-ClockTower'!C53</f>
        <v>136.28571428571428</v>
      </c>
      <c r="D53" s="49">
        <f>'Avg Week ClockTower-Nsambya'!D53+'Avg Week Nsambya-ClockTower'!D53</f>
        <v>45.285714285714292</v>
      </c>
      <c r="E53" s="49">
        <f>'Avg Week ClockTower-Nsambya'!E53+'Avg Week Nsambya-ClockTower'!E53</f>
        <v>24.714285714285715</v>
      </c>
      <c r="F53" s="49">
        <f>'Avg Week ClockTower-Nsambya'!F53+'Avg Week Nsambya-ClockTower'!F53</f>
        <v>132.71428571428572</v>
      </c>
      <c r="G53" s="49">
        <f>'Avg Week ClockTower-Nsambya'!G53+'Avg Week Nsambya-ClockTower'!G53</f>
        <v>5.2857142857142856</v>
      </c>
      <c r="H53" s="49">
        <f>'Avg Week ClockTower-Nsambya'!H53+'Avg Week Nsambya-ClockTower'!H53</f>
        <v>0.14285714285714285</v>
      </c>
      <c r="I53" s="49">
        <f>'Avg Week ClockTower-Nsambya'!I53+'Avg Week Nsambya-ClockTower'!I53</f>
        <v>10.428571428571429</v>
      </c>
      <c r="J53" s="49">
        <f>'Avg Week ClockTower-Nsambya'!J53+'Avg Week Nsambya-ClockTower'!J53</f>
        <v>7.5714285714285712</v>
      </c>
      <c r="K53" s="49">
        <f>'Avg Week ClockTower-Nsambya'!K53+'Avg Week Nsambya-ClockTower'!K53</f>
        <v>5</v>
      </c>
      <c r="L53" s="49">
        <f>'Avg Week ClockTower-Nsambya'!L53+'Avg Week Nsambya-ClockTower'!L53</f>
        <v>6.5714285714285712</v>
      </c>
      <c r="M53" s="49">
        <f>'Avg Week ClockTower-Nsambya'!M53+'Avg Week Nsambya-ClockTower'!M53</f>
        <v>975</v>
      </c>
      <c r="N53" s="49">
        <f>'Avg Week ClockTower-Nsambya'!N53+'Avg Week Nsambya-ClockTower'!N53</f>
        <v>0.2857142857142857</v>
      </c>
      <c r="O53" s="15">
        <f t="shared" si="0"/>
        <v>374.28571428571428</v>
      </c>
      <c r="P53" s="15">
        <f t="shared" si="1"/>
        <v>1349.2857142857142</v>
      </c>
      <c r="R53" s="8"/>
      <c r="T53"/>
    </row>
    <row r="54" spans="2:20" ht="23.1" customHeight="1" x14ac:dyDescent="0.25">
      <c r="B54" s="23" t="s">
        <v>81</v>
      </c>
      <c r="C54" s="49">
        <f>'Avg Week ClockTower-Nsambya'!C54+'Avg Week Nsambya-ClockTower'!C54</f>
        <v>128.85714285714286</v>
      </c>
      <c r="D54" s="49">
        <f>'Avg Week ClockTower-Nsambya'!D54+'Avg Week Nsambya-ClockTower'!D54</f>
        <v>40.714285714285715</v>
      </c>
      <c r="E54" s="49">
        <f>'Avg Week ClockTower-Nsambya'!E54+'Avg Week Nsambya-ClockTower'!E54</f>
        <v>23.571428571428569</v>
      </c>
      <c r="F54" s="49">
        <f>'Avg Week ClockTower-Nsambya'!F54+'Avg Week Nsambya-ClockTower'!F54</f>
        <v>143.57142857142856</v>
      </c>
      <c r="G54" s="49">
        <f>'Avg Week ClockTower-Nsambya'!G54+'Avg Week Nsambya-ClockTower'!G54</f>
        <v>2.2857142857142856</v>
      </c>
      <c r="H54" s="49">
        <f>'Avg Week ClockTower-Nsambya'!H54+'Avg Week Nsambya-ClockTower'!H54</f>
        <v>0.7142857142857143</v>
      </c>
      <c r="I54" s="49">
        <f>'Avg Week ClockTower-Nsambya'!I54+'Avg Week Nsambya-ClockTower'!I54</f>
        <v>20.857142857142858</v>
      </c>
      <c r="J54" s="49">
        <f>'Avg Week ClockTower-Nsambya'!J54+'Avg Week Nsambya-ClockTower'!J54</f>
        <v>15.285714285714286</v>
      </c>
      <c r="K54" s="49">
        <f>'Avg Week ClockTower-Nsambya'!K54+'Avg Week Nsambya-ClockTower'!K54</f>
        <v>5.5714285714285712</v>
      </c>
      <c r="L54" s="49">
        <f>'Avg Week ClockTower-Nsambya'!L54+'Avg Week Nsambya-ClockTower'!L54</f>
        <v>7.8571428571428577</v>
      </c>
      <c r="M54" s="49">
        <f>'Avg Week ClockTower-Nsambya'!M54+'Avg Week Nsambya-ClockTower'!M54</f>
        <v>1034.2857142857142</v>
      </c>
      <c r="N54" s="49">
        <f>'Avg Week ClockTower-Nsambya'!N54+'Avg Week Nsambya-ClockTower'!N54</f>
        <v>0.71428571428571419</v>
      </c>
      <c r="O54" s="15">
        <f t="shared" si="0"/>
        <v>389.99999999999994</v>
      </c>
      <c r="P54" s="15">
        <f t="shared" si="1"/>
        <v>1424.2857142857142</v>
      </c>
      <c r="R54" s="8"/>
      <c r="T54"/>
    </row>
    <row r="55" spans="2:20" ht="23.1" customHeight="1" x14ac:dyDescent="0.25">
      <c r="B55" s="23" t="s">
        <v>82</v>
      </c>
      <c r="C55" s="49">
        <f>'Avg Week ClockTower-Nsambya'!C55+'Avg Week Nsambya-ClockTower'!C55</f>
        <v>130.14285714285714</v>
      </c>
      <c r="D55" s="49">
        <f>'Avg Week ClockTower-Nsambya'!D55+'Avg Week Nsambya-ClockTower'!D55</f>
        <v>37.857142857142854</v>
      </c>
      <c r="E55" s="49">
        <f>'Avg Week ClockTower-Nsambya'!E55+'Avg Week Nsambya-ClockTower'!E55</f>
        <v>33.571428571428569</v>
      </c>
      <c r="F55" s="49">
        <f>'Avg Week ClockTower-Nsambya'!F55+'Avg Week Nsambya-ClockTower'!F55</f>
        <v>104</v>
      </c>
      <c r="G55" s="49">
        <f>'Avg Week ClockTower-Nsambya'!G55+'Avg Week Nsambya-ClockTower'!G55</f>
        <v>2.5714285714285712</v>
      </c>
      <c r="H55" s="49">
        <f>'Avg Week ClockTower-Nsambya'!H55+'Avg Week Nsambya-ClockTower'!H55</f>
        <v>0.2857142857142857</v>
      </c>
      <c r="I55" s="49">
        <f>'Avg Week ClockTower-Nsambya'!I55+'Avg Week Nsambya-ClockTower'!I55</f>
        <v>12</v>
      </c>
      <c r="J55" s="49">
        <f>'Avg Week ClockTower-Nsambya'!J55+'Avg Week Nsambya-ClockTower'!J55</f>
        <v>6.8571428571428577</v>
      </c>
      <c r="K55" s="49">
        <f>'Avg Week ClockTower-Nsambya'!K55+'Avg Week Nsambya-ClockTower'!K55</f>
        <v>3.7142857142857144</v>
      </c>
      <c r="L55" s="49">
        <f>'Avg Week ClockTower-Nsambya'!L55+'Avg Week Nsambya-ClockTower'!L55</f>
        <v>5.1428571428571432</v>
      </c>
      <c r="M55" s="49">
        <f>'Avg Week ClockTower-Nsambya'!M55+'Avg Week Nsambya-ClockTower'!M55</f>
        <v>983.14285714285711</v>
      </c>
      <c r="N55" s="49">
        <f>'Avg Week ClockTower-Nsambya'!N55+'Avg Week Nsambya-ClockTower'!N55</f>
        <v>0</v>
      </c>
      <c r="O55" s="15">
        <f t="shared" si="0"/>
        <v>336.14285714285711</v>
      </c>
      <c r="P55" s="15">
        <f t="shared" si="1"/>
        <v>1319.2857142857142</v>
      </c>
      <c r="R55" s="8"/>
      <c r="T55"/>
    </row>
    <row r="56" spans="2:20" ht="23.1" customHeight="1" x14ac:dyDescent="0.25">
      <c r="B56" s="23" t="s">
        <v>83</v>
      </c>
      <c r="C56" s="49">
        <f>'Avg Week ClockTower-Nsambya'!C56+'Avg Week Nsambya-ClockTower'!C56</f>
        <v>121.57142857142858</v>
      </c>
      <c r="D56" s="49">
        <f>'Avg Week ClockTower-Nsambya'!D56+'Avg Week Nsambya-ClockTower'!D56</f>
        <v>39.571428571428569</v>
      </c>
      <c r="E56" s="49">
        <f>'Avg Week ClockTower-Nsambya'!E56+'Avg Week Nsambya-ClockTower'!E56</f>
        <v>23.428571428571431</v>
      </c>
      <c r="F56" s="49">
        <f>'Avg Week ClockTower-Nsambya'!F56+'Avg Week Nsambya-ClockTower'!F56</f>
        <v>111.71428571428572</v>
      </c>
      <c r="G56" s="49">
        <f>'Avg Week ClockTower-Nsambya'!G56+'Avg Week Nsambya-ClockTower'!G56</f>
        <v>3.4285714285714288</v>
      </c>
      <c r="H56" s="49">
        <f>'Avg Week ClockTower-Nsambya'!H56+'Avg Week Nsambya-ClockTower'!H56</f>
        <v>1.5714285714285714</v>
      </c>
      <c r="I56" s="49">
        <f>'Avg Week ClockTower-Nsambya'!I56+'Avg Week Nsambya-ClockTower'!I56</f>
        <v>14.285714285714285</v>
      </c>
      <c r="J56" s="49">
        <f>'Avg Week ClockTower-Nsambya'!J56+'Avg Week Nsambya-ClockTower'!J56</f>
        <v>12.285714285714285</v>
      </c>
      <c r="K56" s="49">
        <f>'Avg Week ClockTower-Nsambya'!K56+'Avg Week Nsambya-ClockTower'!K56</f>
        <v>5.8571428571428577</v>
      </c>
      <c r="L56" s="49">
        <f>'Avg Week ClockTower-Nsambya'!L56+'Avg Week Nsambya-ClockTower'!L56</f>
        <v>9.2857142857142865</v>
      </c>
      <c r="M56" s="49">
        <f>'Avg Week ClockTower-Nsambya'!M56+'Avg Week Nsambya-ClockTower'!M56</f>
        <v>880.28571428571422</v>
      </c>
      <c r="N56" s="49">
        <f>'Avg Week ClockTower-Nsambya'!N56+'Avg Week Nsambya-ClockTower'!N56</f>
        <v>0.2857142857142857</v>
      </c>
      <c r="O56" s="15">
        <f t="shared" si="0"/>
        <v>343.28571428571428</v>
      </c>
      <c r="P56" s="15">
        <f t="shared" si="1"/>
        <v>1223.5714285714284</v>
      </c>
      <c r="R56" s="8"/>
      <c r="T56"/>
    </row>
    <row r="57" spans="2:20" ht="23.1" customHeight="1" x14ac:dyDescent="0.25">
      <c r="B57" s="23" t="s">
        <v>84</v>
      </c>
      <c r="C57" s="49">
        <f>'Avg Week ClockTower-Nsambya'!C57+'Avg Week Nsambya-ClockTower'!C57</f>
        <v>93.714285714285722</v>
      </c>
      <c r="D57" s="49">
        <f>'Avg Week ClockTower-Nsambya'!D57+'Avg Week Nsambya-ClockTower'!D57</f>
        <v>31.285714285714285</v>
      </c>
      <c r="E57" s="49">
        <f>'Avg Week ClockTower-Nsambya'!E57+'Avg Week Nsambya-ClockTower'!E57</f>
        <v>20</v>
      </c>
      <c r="F57" s="49">
        <f>'Avg Week ClockTower-Nsambya'!F57+'Avg Week Nsambya-ClockTower'!F57</f>
        <v>111.14285714285714</v>
      </c>
      <c r="G57" s="49">
        <f>'Avg Week ClockTower-Nsambya'!G57+'Avg Week Nsambya-ClockTower'!G57</f>
        <v>5.8571428571428577</v>
      </c>
      <c r="H57" s="49">
        <f>'Avg Week ClockTower-Nsambya'!H57+'Avg Week Nsambya-ClockTower'!H57</f>
        <v>1.4285714285714286</v>
      </c>
      <c r="I57" s="49">
        <f>'Avg Week ClockTower-Nsambya'!I57+'Avg Week Nsambya-ClockTower'!I57</f>
        <v>10.571428571428573</v>
      </c>
      <c r="J57" s="49">
        <f>'Avg Week ClockTower-Nsambya'!J57+'Avg Week Nsambya-ClockTower'!J57</f>
        <v>10.857142857142858</v>
      </c>
      <c r="K57" s="49">
        <f>'Avg Week ClockTower-Nsambya'!K57+'Avg Week Nsambya-ClockTower'!K57</f>
        <v>11.285714285714285</v>
      </c>
      <c r="L57" s="49">
        <f>'Avg Week ClockTower-Nsambya'!L57+'Avg Week Nsambya-ClockTower'!L57</f>
        <v>9.7142857142857135</v>
      </c>
      <c r="M57" s="49">
        <f>'Avg Week ClockTower-Nsambya'!M57+'Avg Week Nsambya-ClockTower'!M57</f>
        <v>962.28571428571422</v>
      </c>
      <c r="N57" s="49">
        <f>'Avg Week ClockTower-Nsambya'!N57+'Avg Week Nsambya-ClockTower'!N57</f>
        <v>0.5714285714285714</v>
      </c>
      <c r="O57" s="15">
        <f t="shared" si="0"/>
        <v>306.42857142857133</v>
      </c>
      <c r="P57" s="15">
        <f t="shared" si="1"/>
        <v>1268.7142857142856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6029.7142857142853</v>
      </c>
      <c r="D58" s="16">
        <f t="shared" si="21"/>
        <v>1902.2857142857142</v>
      </c>
      <c r="E58" s="16">
        <f t="shared" si="21"/>
        <v>1070.2857142857144</v>
      </c>
      <c r="F58" s="16">
        <f t="shared" si="21"/>
        <v>7287.2857142857119</v>
      </c>
      <c r="G58" s="16">
        <f t="shared" si="21"/>
        <v>157.85714285714289</v>
      </c>
      <c r="H58" s="16">
        <f t="shared" si="21"/>
        <v>38.857142857142861</v>
      </c>
      <c r="I58" s="16">
        <f t="shared" si="21"/>
        <v>682.00000000000011</v>
      </c>
      <c r="J58" s="16">
        <f t="shared" si="21"/>
        <v>446.42857142857139</v>
      </c>
      <c r="K58" s="16">
        <f t="shared" si="21"/>
        <v>268</v>
      </c>
      <c r="L58" s="16">
        <f t="shared" si="21"/>
        <v>381.14285714285705</v>
      </c>
      <c r="M58" s="16">
        <f t="shared" si="21"/>
        <v>39220.857142857152</v>
      </c>
      <c r="N58" s="16">
        <f t="shared" si="21"/>
        <v>17.857142857142861</v>
      </c>
      <c r="O58" s="16">
        <f t="shared" si="21"/>
        <v>18281.714285714286</v>
      </c>
      <c r="P58" s="16">
        <f t="shared" si="21"/>
        <v>57502.57142857142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0.10485990688615168</v>
      </c>
      <c r="D59" s="43">
        <f t="shared" si="22"/>
        <v>3.308175038134941E-2</v>
      </c>
      <c r="E59" s="43">
        <f t="shared" si="22"/>
        <v>1.8612832221167754E-2</v>
      </c>
      <c r="F59" s="43">
        <f t="shared" si="22"/>
        <v>0.12672973630992898</v>
      </c>
      <c r="G59" s="43">
        <f t="shared" si="22"/>
        <v>2.7452188473558957E-3</v>
      </c>
      <c r="H59" s="43">
        <f t="shared" si="22"/>
        <v>6.7574617781068194E-4</v>
      </c>
      <c r="I59" s="43">
        <f t="shared" si="22"/>
        <v>1.1860339164956601E-2</v>
      </c>
      <c r="J59" s="43">
        <f t="shared" si="22"/>
        <v>7.7636279619793403E-3</v>
      </c>
      <c r="K59" s="43">
        <f t="shared" si="22"/>
        <v>4.660661138135438E-3</v>
      </c>
      <c r="L59" s="43">
        <f t="shared" si="22"/>
        <v>6.628275008819481E-3</v>
      </c>
      <c r="M59" s="43">
        <f t="shared" si="22"/>
        <v>0.68207136078386588</v>
      </c>
      <c r="N59" s="43">
        <f t="shared" si="22"/>
        <v>3.105451184791737E-4</v>
      </c>
      <c r="R59" s="8"/>
      <c r="T59"/>
    </row>
    <row r="60" spans="2:20" ht="23.1" customHeight="1" x14ac:dyDescent="0.25">
      <c r="B60" s="42" t="s">
        <v>94</v>
      </c>
      <c r="C60" s="44">
        <f>C58/$O$58</f>
        <v>0.32982214859500514</v>
      </c>
      <c r="D60" s="44">
        <f t="shared" ref="D60:N60" si="23">D58/$O$58</f>
        <v>0.10405401181508454</v>
      </c>
      <c r="E60" s="44">
        <f t="shared" si="23"/>
        <v>5.8544056512362087E-2</v>
      </c>
      <c r="F60" s="44">
        <f t="shared" si="23"/>
        <v>0.39861063357609461</v>
      </c>
      <c r="G60" s="44">
        <f t="shared" si="23"/>
        <v>8.6347013409183281E-3</v>
      </c>
      <c r="H60" s="44">
        <f t="shared" si="23"/>
        <v>2.1254649454568188E-3</v>
      </c>
      <c r="I60" s="44">
        <f t="shared" si="23"/>
        <v>3.7305035476510491E-2</v>
      </c>
      <c r="J60" s="44">
        <f t="shared" si="23"/>
        <v>2.4419404244678519E-2</v>
      </c>
      <c r="K60" s="44">
        <f t="shared" si="23"/>
        <v>1.4659456756165411E-2</v>
      </c>
      <c r="L60" s="44">
        <f t="shared" si="23"/>
        <v>2.0848310567936731E-2</v>
      </c>
      <c r="M60" s="44"/>
      <c r="N60" s="44">
        <f t="shared" si="23"/>
        <v>9.7677616978714111E-4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ClockTower-Nsambya</vt:lpstr>
      <vt:lpstr>29.07 Nsambya-ClockTower</vt:lpstr>
      <vt:lpstr>30.07 ClockTower-Nsambya</vt:lpstr>
      <vt:lpstr>30.07 Nsambya-ClockTower</vt:lpstr>
      <vt:lpstr>31.07 ClockTower-Nsambya</vt:lpstr>
      <vt:lpstr>31.07 Nsambya-ClockTower</vt:lpstr>
      <vt:lpstr>01.08 ClockTower-Nsambya-24h</vt:lpstr>
      <vt:lpstr>01.08 Nsambya-ClockTower-24h</vt:lpstr>
      <vt:lpstr>02.08 ClockTower-Nsambya</vt:lpstr>
      <vt:lpstr>02.08 Nsambya-ClockTower</vt:lpstr>
      <vt:lpstr>03.08 ClockTower-Nsambya-24h</vt:lpstr>
      <vt:lpstr>03.08 Nsambya-ClockTower-24h</vt:lpstr>
      <vt:lpstr>04.08 ClockTower-Nsambya</vt:lpstr>
      <vt:lpstr>04.08 Nsambya-ClockTower</vt:lpstr>
      <vt:lpstr>Avg Week ClockTower-Nsambya</vt:lpstr>
      <vt:lpstr>Avg Week Nsambya-ClockTower</vt:lpstr>
      <vt:lpstr>Avg Week Nsambya-ClockTowe-2Dir</vt:lpstr>
      <vt:lpstr>'01.08 ClockTower-Nsambya-24h'!Print_Area</vt:lpstr>
      <vt:lpstr>'01.08 Nsambya-ClockTower-24h'!Print_Area</vt:lpstr>
      <vt:lpstr>'02.08 ClockTower-Nsambya'!Print_Area</vt:lpstr>
      <vt:lpstr>'02.08 Nsambya-ClockTower'!Print_Area</vt:lpstr>
      <vt:lpstr>'03.08 ClockTower-Nsambya-24h'!Print_Area</vt:lpstr>
      <vt:lpstr>'03.08 Nsambya-ClockTower-24h'!Print_Area</vt:lpstr>
      <vt:lpstr>'04.08 ClockTower-Nsambya'!Print_Area</vt:lpstr>
      <vt:lpstr>'04.08 Nsambya-ClockTower'!Print_Area</vt:lpstr>
      <vt:lpstr>'29.07 ClockTower-Nsambya'!Print_Area</vt:lpstr>
      <vt:lpstr>'29.07 Nsambya-ClockTower'!Print_Area</vt:lpstr>
      <vt:lpstr>'30.07 ClockTower-Nsambya'!Print_Area</vt:lpstr>
      <vt:lpstr>'30.07 Nsambya-ClockTower'!Print_Area</vt:lpstr>
      <vt:lpstr>'31.07 ClockTower-Nsambya'!Print_Area</vt:lpstr>
      <vt:lpstr>'31.07 Nsambya-ClockTower'!Print_Area</vt:lpstr>
      <vt:lpstr>'Avg Week ClockTower-Nsambya'!Print_Area</vt:lpstr>
      <vt:lpstr>'Avg Week Nsambya-ClockTowe-2Dir'!Print_Area</vt:lpstr>
      <vt:lpstr>'Avg Week Nsambya-ClockTower'!Print_Area</vt:lpstr>
      <vt:lpstr>'01.08 ClockTower-Nsambya-24h'!Print_Titles</vt:lpstr>
      <vt:lpstr>'01.08 Nsambya-ClockTower-24h'!Print_Titles</vt:lpstr>
      <vt:lpstr>'02.08 ClockTower-Nsambya'!Print_Titles</vt:lpstr>
      <vt:lpstr>'02.08 Nsambya-ClockTower'!Print_Titles</vt:lpstr>
      <vt:lpstr>'03.08 ClockTower-Nsambya-24h'!Print_Titles</vt:lpstr>
      <vt:lpstr>'03.08 Nsambya-ClockTower-24h'!Print_Titles</vt:lpstr>
      <vt:lpstr>'04.08 ClockTower-Nsambya'!Print_Titles</vt:lpstr>
      <vt:lpstr>'04.08 Nsambya-ClockTower'!Print_Titles</vt:lpstr>
      <vt:lpstr>'29.07 ClockTower-Nsambya'!Print_Titles</vt:lpstr>
      <vt:lpstr>'29.07 Nsambya-ClockTower'!Print_Titles</vt:lpstr>
      <vt:lpstr>'30.07 ClockTower-Nsambya'!Print_Titles</vt:lpstr>
      <vt:lpstr>'30.07 Nsambya-ClockTower'!Print_Titles</vt:lpstr>
      <vt:lpstr>'31.07 ClockTower-Nsambya'!Print_Titles</vt:lpstr>
      <vt:lpstr>'31.07 Nsambya-ClockTower'!Print_Titles</vt:lpstr>
      <vt:lpstr>'Avg Week ClockTower-Nsambya'!Print_Titles</vt:lpstr>
      <vt:lpstr>'Avg Week Nsambya-ClockTowe-2Dir'!Print_Titles</vt:lpstr>
      <vt:lpstr>'Avg Week Nsambya-ClockTower'!Print_Titles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STEWARD CONSUTANCY</cp:lastModifiedBy>
  <cp:lastPrinted>2019-07-25T18:18:41Z</cp:lastPrinted>
  <dcterms:created xsi:type="dcterms:W3CDTF">2010-07-06T07:39:49Z</dcterms:created>
  <dcterms:modified xsi:type="dcterms:W3CDTF">2019-08-01T02:31:37Z</dcterms:modified>
</cp:coreProperties>
</file>