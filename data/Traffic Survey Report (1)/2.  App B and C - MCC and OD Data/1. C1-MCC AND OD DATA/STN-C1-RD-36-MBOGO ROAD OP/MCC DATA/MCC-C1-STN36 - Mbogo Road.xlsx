
<file path=[Content_Types].xml><?xml version="1.0" encoding="utf-8"?>
<Types xmlns="http://schemas.openxmlformats.org/package/2006/content-types">
  <Override PartName="/xl/worksheets/sheet13.xml" ContentType="application/vnd.openxmlformats-officedocument.spreadsheetml.worksheet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17.xml" ContentType="application/vnd.openxmlformats-officedocument.drawing+xml"/>
  <Default Extension="xml" ContentType="application/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29.xml" ContentType="application/vnd.openxmlformats-officedocument.drawingml.chart+xml"/>
  <Override PartName="/xl/charts/chart49.xml" ContentType="application/vnd.openxmlformats-officedocument.drawingml.chart+xml"/>
  <Override PartName="/xl/drawings/drawing15.xml" ContentType="application/vnd.openxmlformats-officedocument.drawing+xml"/>
  <Override PartName="/xl/charts/chart58.xml" ContentType="application/vnd.openxmlformats-officedocument.drawingml.chart+xml"/>
  <Override PartName="/xl/worksheets/sheet3.xml" ContentType="application/vnd.openxmlformats-officedocument.spreadsheetml.worksheet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harts/chart36.xml" ContentType="application/vnd.openxmlformats-officedocument.drawingml.chart+xml"/>
  <Override PartName="/xl/charts/chart38.xml" ContentType="application/vnd.openxmlformats-officedocument.drawingml.chart+xml"/>
  <Override PartName="/xl/drawings/drawing13.xml" ContentType="application/vnd.openxmlformats-officedocument.drawing+xml"/>
  <Override PartName="/xl/charts/chart47.xml" ContentType="application/vnd.openxmlformats-officedocument.drawingml.chart+xml"/>
  <Override PartName="/xl/charts/chart56.xml" ContentType="application/vnd.openxmlformats-officedocument.drawingml.chart+xml"/>
  <Override PartName="/xl/worksheets/sheet1.xml" ContentType="application/vnd.openxmlformats-officedocument.spreadsheetml.worksheet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charts/chart34.xml" ContentType="application/vnd.openxmlformats-officedocument.drawingml.chart+xml"/>
  <Override PartName="/xl/drawings/drawing11.xml" ContentType="application/vnd.openxmlformats-officedocument.drawing+xml"/>
  <Override PartName="/xl/charts/chart45.xml" ContentType="application/vnd.openxmlformats-officedocument.drawingml.chart+xml"/>
  <Override PartName="/xl/charts/chart54.xml" ContentType="application/vnd.openxmlformats-officedocument.drawingml.chart+xml"/>
  <Override PartName="/xl/charts/chart63.xml" ContentType="application/vnd.openxmlformats-officedocument.drawingml.chart+xml"/>
  <Override PartName="/xl/sharedStrings.xml" ContentType="application/vnd.openxmlformats-officedocument.spreadsheetml.sharedStrings+xml"/>
  <Override PartName="/xl/charts/chart14.xml" ContentType="application/vnd.openxmlformats-officedocument.drawingml.chart+xml"/>
  <Override PartName="/xl/charts/chart23.xml" ContentType="application/vnd.openxmlformats-officedocument.drawingml.chart+xml"/>
  <Override PartName="/xl/charts/chart32.xml" ContentType="application/vnd.openxmlformats-officedocument.drawingml.chart+xml"/>
  <Override PartName="/xl/charts/chart43.xml" ContentType="application/vnd.openxmlformats-officedocument.drawingml.chart+xml"/>
  <Override PartName="/xl/charts/chart52.xml" ContentType="application/vnd.openxmlformats-officedocument.drawingml.chart+xml"/>
  <Override PartName="/xl/charts/chart61.xml" ContentType="application/vnd.openxmlformats-officedocument.drawingml.chart+xml"/>
  <Override PartName="/xl/charts/chart9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30.xml" ContentType="application/vnd.openxmlformats-officedocument.drawingml.chart+xml"/>
  <Override PartName="/xl/charts/chart41.xml" ContentType="application/vnd.openxmlformats-officedocument.drawingml.chart+xml"/>
  <Override PartName="/xl/charts/chart50.xml" ContentType="application/vnd.openxmlformats-officedocument.drawingml.chart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drawings/drawing9.xml" ContentType="application/vnd.openxmlformats-officedocument.drawing+xml"/>
  <Override PartName="/xl/worksheets/sheet14.xml" ContentType="application/vnd.openxmlformats-officedocument.spreadsheetml.worksheet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Default Extension="emf" ContentType="image/x-emf"/>
  <Default Extension="jpeg" ContentType="image/jpeg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charts/chart59.xml" ContentType="application/vnd.openxmlformats-officedocument.drawingml.chart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39.xml" ContentType="application/vnd.openxmlformats-officedocument.drawingml.chart+xml"/>
  <Override PartName="/xl/charts/chart48.xml" ContentType="application/vnd.openxmlformats-officedocument.drawingml.chart+xml"/>
  <Override PartName="/xl/drawings/drawing16.xml" ContentType="application/vnd.openxmlformats-officedocument.drawing+xml"/>
  <Override PartName="/xl/charts/chart57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charts/chart37.xml" ContentType="application/vnd.openxmlformats-officedocument.drawingml.chart+xml"/>
  <Override PartName="/xl/charts/chart46.xml" ContentType="application/vnd.openxmlformats-officedocument.drawingml.chart+xml"/>
  <Override PartName="/xl/drawings/drawing14.xml" ContentType="application/vnd.openxmlformats-officedocument.drawing+xml"/>
  <Override PartName="/xl/charts/chart55.xml" ContentType="application/vnd.openxmlformats-officedocument.drawingml.chart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harts/chart35.xml" ContentType="application/vnd.openxmlformats-officedocument.drawingml.chart+xml"/>
  <Override PartName="/xl/drawings/drawing12.xml" ContentType="application/vnd.openxmlformats-officedocument.drawing+xml"/>
  <Override PartName="/xl/charts/chart44.xml" ContentType="application/vnd.openxmlformats-officedocument.drawingml.chart+xml"/>
  <Override PartName="/xl/charts/chart53.xml" ContentType="application/vnd.openxmlformats-officedocument.drawingml.chart+xml"/>
  <Override PartName="/xl/charts/chart64.xml" ContentType="application/vnd.openxmlformats-officedocument.drawingml.chart+xml"/>
  <Override PartName="/xl/calcChain.xml" ContentType="application/vnd.openxmlformats-officedocument.spreadsheetml.calcChain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24.xml" ContentType="application/vnd.openxmlformats-officedocument.drawingml.chart+xml"/>
  <Override PartName="/xl/drawings/drawing10.xml" ContentType="application/vnd.openxmlformats-officedocument.drawing+xml"/>
  <Override PartName="/xl/charts/chart33.xml" ContentType="application/vnd.openxmlformats-officedocument.drawingml.chart+xml"/>
  <Override PartName="/xl/charts/chart42.xml" ContentType="application/vnd.openxmlformats-officedocument.drawingml.chart+xml"/>
  <Override PartName="/xl/charts/chart51.xml" ContentType="application/vnd.openxmlformats-officedocument.drawingml.chart+xml"/>
  <Override PartName="/xl/charts/chart62.xml" ContentType="application/vnd.openxmlformats-officedocument.drawingml.chart+xml"/>
  <Override PartName="/xl/worksheets/sheet17.xml" ContentType="application/vnd.openxmlformats-officedocument.spreadsheetml.worksheet+xml"/>
  <Override PartName="/xl/charts/chart8.xml" ContentType="application/vnd.openxmlformats-officedocument.drawingml.chart+xml"/>
  <Override PartName="/xl/charts/chart11.xml" ContentType="application/vnd.openxmlformats-officedocument.drawingml.chart+xml"/>
  <Override PartName="/xl/charts/chart22.xml" ContentType="application/vnd.openxmlformats-officedocument.drawingml.chart+xml"/>
  <Override PartName="/xl/charts/chart31.xml" ContentType="application/vnd.openxmlformats-officedocument.drawingml.chart+xml"/>
  <Override PartName="/xl/charts/chart40.xml" ContentType="application/vnd.openxmlformats-officedocument.drawingml.chart+xml"/>
  <Override PartName="/xl/charts/chart60.xml" ContentType="application/vnd.openxmlformats-officedocument.drawingml.chart+xml"/>
  <Override PartName="/docProps/core.xml" ContentType="application/vnd.openxmlformats-package.core-properties+xml"/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drawings/drawing8.xml" ContentType="application/vnd.openxmlformats-officedocument.drawing+xml"/>
  <Override PartName="/xl/worksheets/sheet11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 defaultThemeVersion="124226"/>
  <bookViews>
    <workbookView xWindow="0" yWindow="0" windowWidth="15600" windowHeight="10920" tabRatio="940" firstSheet="13" activeTab="16"/>
  </bookViews>
  <sheets>
    <sheet name="29.07 Najjeera-Kiwatule" sheetId="93" r:id="rId1"/>
    <sheet name="29.07 Kiwatule-Najjeera" sheetId="94" r:id="rId2"/>
    <sheet name="30.07 Najjeera-Kiwatule" sheetId="97" r:id="rId3"/>
    <sheet name="30.07 Kiwatule-Najjeera" sheetId="98" r:id="rId4"/>
    <sheet name="31.07 Najjeera-Kiwatule" sheetId="99" r:id="rId5"/>
    <sheet name="31.07 Kiwatule-Najjeera" sheetId="100" r:id="rId6"/>
    <sheet name="01.08 Najjeera-Kiwatule-24h" sheetId="101" r:id="rId7"/>
    <sheet name="01.08 Kiwatule-Najjeera-24h" sheetId="109" r:id="rId8"/>
    <sheet name="02.08 Najjeera-Kiwatule" sheetId="95" r:id="rId9"/>
    <sheet name="02.08 Kiwatule-Najjeera" sheetId="96" r:id="rId10"/>
    <sheet name="03.08 Najjeera-Kiwatule-24h" sheetId="105" r:id="rId11"/>
    <sheet name="03.08 Kiwatule-Najjeera-24h" sheetId="110" r:id="rId12"/>
    <sheet name="04.08 Najjeera-Kiwatule" sheetId="103" r:id="rId13"/>
    <sheet name="04.08 Kiwatule-Najjeera" sheetId="104" r:id="rId14"/>
    <sheet name="Avg Week Najjeera-Kiwatule" sheetId="107" r:id="rId15"/>
    <sheet name="Avg Week Kiwatule-Najjeera" sheetId="108" r:id="rId16"/>
    <sheet name="Avg Week Kiwatule-Najjeera-2Dir" sheetId="111" r:id="rId17"/>
  </sheets>
  <definedNames>
    <definedName name="_xlnm.Print_Area" localSheetId="7">'01.08 Kiwatule-Najjeera-24h'!$A$1:$AF$108</definedName>
    <definedName name="_xlnm.Print_Area" localSheetId="6">'01.08 Najjeera-Kiwatule-24h'!$A$1:$AF$108</definedName>
    <definedName name="_xlnm.Print_Area" localSheetId="9">'02.08 Kiwatule-Najjeera'!$A$1:$AF$60</definedName>
    <definedName name="_xlnm.Print_Area" localSheetId="8">'02.08 Najjeera-Kiwatule'!$A$1:$AF$60</definedName>
    <definedName name="_xlnm.Print_Area" localSheetId="11">'03.08 Kiwatule-Najjeera-24h'!$A$1:$AF$108</definedName>
    <definedName name="_xlnm.Print_Area" localSheetId="10">'03.08 Najjeera-Kiwatule-24h'!$A$1:$AF$108</definedName>
    <definedName name="_xlnm.Print_Area" localSheetId="13">'04.08 Kiwatule-Najjeera'!$A$1:$AF$60</definedName>
    <definedName name="_xlnm.Print_Area" localSheetId="12">'04.08 Najjeera-Kiwatule'!$A$1:$AF$60</definedName>
    <definedName name="_xlnm.Print_Area" localSheetId="1">'29.07 Kiwatule-Najjeera'!$A$1:$AF$60</definedName>
    <definedName name="_xlnm.Print_Area" localSheetId="0">'29.07 Najjeera-Kiwatule'!$A$1:$AF$60</definedName>
    <definedName name="_xlnm.Print_Area" localSheetId="3">'30.07 Kiwatule-Najjeera'!$A$1:$AF$60</definedName>
    <definedName name="_xlnm.Print_Area" localSheetId="2">'30.07 Najjeera-Kiwatule'!$A$1:$AF$60</definedName>
    <definedName name="_xlnm.Print_Area" localSheetId="5">'31.07 Kiwatule-Najjeera'!$A$1:$AF$60</definedName>
    <definedName name="_xlnm.Print_Area" localSheetId="4">'31.07 Najjeera-Kiwatule'!$A$1:$AF$60</definedName>
    <definedName name="_xlnm.Print_Area" localSheetId="15">'Avg Week Kiwatule-Najjeera'!$A$1:$AF$108</definedName>
    <definedName name="_xlnm.Print_Area" localSheetId="16">'Avg Week Kiwatule-Najjeera-2Dir'!$A$1:$AF$108</definedName>
    <definedName name="_xlnm.Print_Area" localSheetId="14">'Avg Week Najjeera-Kiwatule'!$A$1:$AF$108</definedName>
    <definedName name="_xlnm.Print_Titles" localSheetId="7">'01.08 Kiwatule-Najjeera-24h'!$1:$8</definedName>
    <definedName name="_xlnm.Print_Titles" localSheetId="6">'01.08 Najjeera-Kiwatule-24h'!$1:$8</definedName>
    <definedName name="_xlnm.Print_Titles" localSheetId="9">'02.08 Kiwatule-Najjeera'!$1:$8</definedName>
    <definedName name="_xlnm.Print_Titles" localSheetId="8">'02.08 Najjeera-Kiwatule'!$1:$8</definedName>
    <definedName name="_xlnm.Print_Titles" localSheetId="11">'03.08 Kiwatule-Najjeera-24h'!$1:$8</definedName>
    <definedName name="_xlnm.Print_Titles" localSheetId="10">'03.08 Najjeera-Kiwatule-24h'!$1:$8</definedName>
    <definedName name="_xlnm.Print_Titles" localSheetId="13">'04.08 Kiwatule-Najjeera'!$1:$8</definedName>
    <definedName name="_xlnm.Print_Titles" localSheetId="12">'04.08 Najjeera-Kiwatule'!$1:$8</definedName>
    <definedName name="_xlnm.Print_Titles" localSheetId="1">'29.07 Kiwatule-Najjeera'!$1:$8</definedName>
    <definedName name="_xlnm.Print_Titles" localSheetId="0">'29.07 Najjeera-Kiwatule'!$1:$8</definedName>
    <definedName name="_xlnm.Print_Titles" localSheetId="3">'30.07 Kiwatule-Najjeera'!$1:$8</definedName>
    <definedName name="_xlnm.Print_Titles" localSheetId="2">'30.07 Najjeera-Kiwatule'!$1:$8</definedName>
    <definedName name="_xlnm.Print_Titles" localSheetId="5">'31.07 Kiwatule-Najjeera'!$1:$8</definedName>
    <definedName name="_xlnm.Print_Titles" localSheetId="4">'31.07 Najjeera-Kiwatule'!$1:$8</definedName>
    <definedName name="_xlnm.Print_Titles" localSheetId="15">'Avg Week Kiwatule-Najjeera'!$1:$8</definedName>
    <definedName name="_xlnm.Print_Titles" localSheetId="16">'Avg Week Kiwatule-Najjeera-2Dir'!$1:$8</definedName>
    <definedName name="_xlnm.Print_Titles" localSheetId="14">'Avg Week Najjeera-Kiwatule'!$1:$8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P106" i="107"/>
  <c r="O106"/>
  <c r="N106"/>
  <c r="M106"/>
  <c r="L106"/>
  <c r="K106"/>
  <c r="J106"/>
  <c r="I106"/>
  <c r="H106"/>
  <c r="G106"/>
  <c r="F106"/>
  <c r="E106"/>
  <c r="D106"/>
  <c r="C106"/>
  <c r="P106" i="108"/>
  <c r="O106"/>
  <c r="N106"/>
  <c r="M106"/>
  <c r="L106"/>
  <c r="K106"/>
  <c r="J106"/>
  <c r="I106"/>
  <c r="H106"/>
  <c r="G106"/>
  <c r="F106"/>
  <c r="E106"/>
  <c r="D106"/>
  <c r="C106"/>
  <c r="P106" i="111"/>
  <c r="O106"/>
  <c r="N106"/>
  <c r="M106"/>
  <c r="L106"/>
  <c r="K106"/>
  <c r="J106"/>
  <c r="I106"/>
  <c r="H106"/>
  <c r="G106"/>
  <c r="F106"/>
  <c r="E106"/>
  <c r="D106"/>
  <c r="C106"/>
  <c r="AF41"/>
  <c r="AF42" s="1"/>
  <c r="AE41"/>
  <c r="AE42" s="1"/>
  <c r="AD41"/>
  <c r="AD42" s="1"/>
  <c r="AC41"/>
  <c r="AC42" s="1"/>
  <c r="AB41"/>
  <c r="AB42" s="1"/>
  <c r="AA41"/>
  <c r="AA42" s="1"/>
  <c r="Z41"/>
  <c r="Z42" s="1"/>
  <c r="Y41"/>
  <c r="Y42" s="1"/>
  <c r="X41"/>
  <c r="X42" s="1"/>
  <c r="W41"/>
  <c r="W42" s="1"/>
  <c r="V41"/>
  <c r="V42" s="1"/>
  <c r="U41"/>
  <c r="U42" s="1"/>
  <c r="T41"/>
  <c r="T42" s="1"/>
  <c r="S41"/>
  <c r="S42" s="1"/>
  <c r="T22"/>
  <c r="U22"/>
  <c r="V22"/>
  <c r="W22"/>
  <c r="X22"/>
  <c r="Y22"/>
  <c r="Z22"/>
  <c r="AA22"/>
  <c r="AB22"/>
  <c r="AC22"/>
  <c r="AD22"/>
  <c r="AE22"/>
  <c r="AF22"/>
  <c r="T23"/>
  <c r="U23"/>
  <c r="V23"/>
  <c r="W23"/>
  <c r="X23"/>
  <c r="Y23"/>
  <c r="Z23"/>
  <c r="AA23"/>
  <c r="AB23"/>
  <c r="AC23"/>
  <c r="AD23"/>
  <c r="AE23"/>
  <c r="AF23"/>
  <c r="T24"/>
  <c r="U24"/>
  <c r="V24"/>
  <c r="W24"/>
  <c r="X24"/>
  <c r="Y24"/>
  <c r="Z24"/>
  <c r="AA24"/>
  <c r="AB24"/>
  <c r="AC24"/>
  <c r="AD24"/>
  <c r="AE24"/>
  <c r="AF24"/>
  <c r="T25"/>
  <c r="U25"/>
  <c r="V25"/>
  <c r="W25"/>
  <c r="X25"/>
  <c r="Y25"/>
  <c r="Z25"/>
  <c r="AA25"/>
  <c r="AB25"/>
  <c r="AC25"/>
  <c r="AD25"/>
  <c r="AE25"/>
  <c r="AF25"/>
  <c r="T26"/>
  <c r="U26"/>
  <c r="V26"/>
  <c r="W26"/>
  <c r="X26"/>
  <c r="Y26"/>
  <c r="Z26"/>
  <c r="AA26"/>
  <c r="AB26"/>
  <c r="AC26"/>
  <c r="AD26"/>
  <c r="AE26"/>
  <c r="AF26"/>
  <c r="T27"/>
  <c r="U27"/>
  <c r="V27"/>
  <c r="W27"/>
  <c r="X27"/>
  <c r="Y27"/>
  <c r="Z27"/>
  <c r="AA27"/>
  <c r="AB27"/>
  <c r="AC27"/>
  <c r="AD27"/>
  <c r="AE27"/>
  <c r="AF27"/>
  <c r="T28"/>
  <c r="U28"/>
  <c r="V28"/>
  <c r="W28"/>
  <c r="X28"/>
  <c r="Y28"/>
  <c r="Z28"/>
  <c r="AA28"/>
  <c r="AB28"/>
  <c r="AC28"/>
  <c r="AD28"/>
  <c r="AE28"/>
  <c r="AF28"/>
  <c r="T29"/>
  <c r="U29"/>
  <c r="V29"/>
  <c r="W29"/>
  <c r="X29"/>
  <c r="Y29"/>
  <c r="Z29"/>
  <c r="AA29"/>
  <c r="AB29"/>
  <c r="AC29"/>
  <c r="AD29"/>
  <c r="AE29"/>
  <c r="AF29"/>
  <c r="T30"/>
  <c r="U30"/>
  <c r="V30"/>
  <c r="W30"/>
  <c r="X30"/>
  <c r="Y30"/>
  <c r="Z30"/>
  <c r="AA30"/>
  <c r="AB30"/>
  <c r="AC30"/>
  <c r="AD30"/>
  <c r="AE30"/>
  <c r="AF30"/>
  <c r="T31"/>
  <c r="U31"/>
  <c r="V31"/>
  <c r="W31"/>
  <c r="X31"/>
  <c r="Y31"/>
  <c r="Z31"/>
  <c r="AA31"/>
  <c r="AB31"/>
  <c r="AC31"/>
  <c r="AD31"/>
  <c r="AE31"/>
  <c r="AF31"/>
  <c r="T32"/>
  <c r="U32"/>
  <c r="V32"/>
  <c r="W32"/>
  <c r="X32"/>
  <c r="Y32"/>
  <c r="Z32"/>
  <c r="AA32"/>
  <c r="AB32"/>
  <c r="AC32"/>
  <c r="AD32"/>
  <c r="AE32"/>
  <c r="AF32"/>
  <c r="T33"/>
  <c r="U33"/>
  <c r="V33"/>
  <c r="W33"/>
  <c r="X33"/>
  <c r="Y33"/>
  <c r="Z33"/>
  <c r="AA33"/>
  <c r="AB33"/>
  <c r="AC33"/>
  <c r="AD33"/>
  <c r="AE33"/>
  <c r="AF33"/>
  <c r="S33"/>
  <c r="S32"/>
  <c r="S31"/>
  <c r="S30"/>
  <c r="S29"/>
  <c r="S28"/>
  <c r="S27"/>
  <c r="S26"/>
  <c r="S25"/>
  <c r="S24"/>
  <c r="S23"/>
  <c r="S22"/>
  <c r="P59"/>
  <c r="P60"/>
  <c r="P61"/>
  <c r="P62"/>
  <c r="P63"/>
  <c r="P64"/>
  <c r="P65"/>
  <c r="P66"/>
  <c r="P67"/>
  <c r="P68"/>
  <c r="P69"/>
  <c r="P70"/>
  <c r="P71"/>
  <c r="P72"/>
  <c r="P73"/>
  <c r="P74"/>
  <c r="P75"/>
  <c r="P76"/>
  <c r="P77"/>
  <c r="P78"/>
  <c r="P79"/>
  <c r="P80"/>
  <c r="P81"/>
  <c r="P82"/>
  <c r="P83"/>
  <c r="P84"/>
  <c r="P85"/>
  <c r="P86"/>
  <c r="P87"/>
  <c r="P88"/>
  <c r="P89"/>
  <c r="P90"/>
  <c r="P91"/>
  <c r="P92"/>
  <c r="P93"/>
  <c r="P94"/>
  <c r="P95"/>
  <c r="P96"/>
  <c r="P97"/>
  <c r="P98"/>
  <c r="P99"/>
  <c r="P100"/>
  <c r="P101"/>
  <c r="P102"/>
  <c r="P103"/>
  <c r="P104"/>
  <c r="P105"/>
  <c r="P58"/>
  <c r="O59"/>
  <c r="O60"/>
  <c r="O61"/>
  <c r="O62"/>
  <c r="O63"/>
  <c r="O64"/>
  <c r="O65"/>
  <c r="O66"/>
  <c r="O67"/>
  <c r="O68"/>
  <c r="O69"/>
  <c r="O70"/>
  <c r="O71"/>
  <c r="O72"/>
  <c r="O73"/>
  <c r="O74"/>
  <c r="O75"/>
  <c r="O76"/>
  <c r="O77"/>
  <c r="O78"/>
  <c r="O79"/>
  <c r="O80"/>
  <c r="O81"/>
  <c r="O82"/>
  <c r="O83"/>
  <c r="O84"/>
  <c r="O85"/>
  <c r="O86"/>
  <c r="O87"/>
  <c r="O88"/>
  <c r="O89"/>
  <c r="O90"/>
  <c r="O91"/>
  <c r="O92"/>
  <c r="O93"/>
  <c r="O94"/>
  <c r="O95"/>
  <c r="O96"/>
  <c r="O97"/>
  <c r="O98"/>
  <c r="O99"/>
  <c r="O100"/>
  <c r="O101"/>
  <c r="O102"/>
  <c r="O103"/>
  <c r="O104"/>
  <c r="O105"/>
  <c r="O58"/>
  <c r="D58"/>
  <c r="E58"/>
  <c r="F58"/>
  <c r="G58"/>
  <c r="H58"/>
  <c r="I58"/>
  <c r="J58"/>
  <c r="K58"/>
  <c r="L58"/>
  <c r="M58"/>
  <c r="N58"/>
  <c r="D59"/>
  <c r="E59"/>
  <c r="F59"/>
  <c r="G59"/>
  <c r="H59"/>
  <c r="I59"/>
  <c r="J59"/>
  <c r="K59"/>
  <c r="L59"/>
  <c r="M59"/>
  <c r="N59"/>
  <c r="D60"/>
  <c r="E60"/>
  <c r="F60"/>
  <c r="G60"/>
  <c r="H60"/>
  <c r="I60"/>
  <c r="J60"/>
  <c r="K60"/>
  <c r="L60"/>
  <c r="M60"/>
  <c r="N60"/>
  <c r="D61"/>
  <c r="E61"/>
  <c r="F61"/>
  <c r="G61"/>
  <c r="H61"/>
  <c r="I61"/>
  <c r="J61"/>
  <c r="K61"/>
  <c r="L61"/>
  <c r="M61"/>
  <c r="N61"/>
  <c r="D62"/>
  <c r="E62"/>
  <c r="F62"/>
  <c r="G62"/>
  <c r="H62"/>
  <c r="I62"/>
  <c r="J62"/>
  <c r="K62"/>
  <c r="L62"/>
  <c r="M62"/>
  <c r="N62"/>
  <c r="D63"/>
  <c r="E63"/>
  <c r="F63"/>
  <c r="G63"/>
  <c r="H63"/>
  <c r="I63"/>
  <c r="J63"/>
  <c r="K63"/>
  <c r="L63"/>
  <c r="M63"/>
  <c r="N63"/>
  <c r="D64"/>
  <c r="E64"/>
  <c r="F64"/>
  <c r="G64"/>
  <c r="H64"/>
  <c r="I64"/>
  <c r="J64"/>
  <c r="K64"/>
  <c r="L64"/>
  <c r="M64"/>
  <c r="N64"/>
  <c r="D65"/>
  <c r="E65"/>
  <c r="F65"/>
  <c r="G65"/>
  <c r="H65"/>
  <c r="I65"/>
  <c r="J65"/>
  <c r="K65"/>
  <c r="L65"/>
  <c r="M65"/>
  <c r="N65"/>
  <c r="D66"/>
  <c r="E66"/>
  <c r="F66"/>
  <c r="G66"/>
  <c r="H66"/>
  <c r="I66"/>
  <c r="J66"/>
  <c r="K66"/>
  <c r="L66"/>
  <c r="M66"/>
  <c r="N66"/>
  <c r="D67"/>
  <c r="E67"/>
  <c r="F67"/>
  <c r="G67"/>
  <c r="H67"/>
  <c r="I67"/>
  <c r="J67"/>
  <c r="K67"/>
  <c r="L67"/>
  <c r="M67"/>
  <c r="N67"/>
  <c r="D68"/>
  <c r="E68"/>
  <c r="F68"/>
  <c r="G68"/>
  <c r="H68"/>
  <c r="I68"/>
  <c r="J68"/>
  <c r="K68"/>
  <c r="L68"/>
  <c r="M68"/>
  <c r="N68"/>
  <c r="D69"/>
  <c r="E69"/>
  <c r="F69"/>
  <c r="G69"/>
  <c r="H69"/>
  <c r="I69"/>
  <c r="J69"/>
  <c r="K69"/>
  <c r="L69"/>
  <c r="M69"/>
  <c r="N69"/>
  <c r="D70"/>
  <c r="E70"/>
  <c r="F70"/>
  <c r="G70"/>
  <c r="H70"/>
  <c r="I70"/>
  <c r="J70"/>
  <c r="K70"/>
  <c r="L70"/>
  <c r="M70"/>
  <c r="N70"/>
  <c r="D71"/>
  <c r="E71"/>
  <c r="F71"/>
  <c r="G71"/>
  <c r="H71"/>
  <c r="I71"/>
  <c r="J71"/>
  <c r="K71"/>
  <c r="L71"/>
  <c r="M71"/>
  <c r="N71"/>
  <c r="D72"/>
  <c r="E72"/>
  <c r="F72"/>
  <c r="G72"/>
  <c r="H72"/>
  <c r="I72"/>
  <c r="J72"/>
  <c r="K72"/>
  <c r="L72"/>
  <c r="M72"/>
  <c r="N72"/>
  <c r="D73"/>
  <c r="E73"/>
  <c r="F73"/>
  <c r="G73"/>
  <c r="H73"/>
  <c r="I73"/>
  <c r="J73"/>
  <c r="K73"/>
  <c r="L73"/>
  <c r="M73"/>
  <c r="N73"/>
  <c r="D74"/>
  <c r="E74"/>
  <c r="F74"/>
  <c r="G74"/>
  <c r="H74"/>
  <c r="I74"/>
  <c r="J74"/>
  <c r="K74"/>
  <c r="L74"/>
  <c r="M74"/>
  <c r="N74"/>
  <c r="D75"/>
  <c r="E75"/>
  <c r="F75"/>
  <c r="G75"/>
  <c r="H75"/>
  <c r="I75"/>
  <c r="J75"/>
  <c r="K75"/>
  <c r="L75"/>
  <c r="M75"/>
  <c r="N75"/>
  <c r="D76"/>
  <c r="E76"/>
  <c r="F76"/>
  <c r="G76"/>
  <c r="H76"/>
  <c r="I76"/>
  <c r="J76"/>
  <c r="K76"/>
  <c r="L76"/>
  <c r="M76"/>
  <c r="N76"/>
  <c r="D77"/>
  <c r="E77"/>
  <c r="F77"/>
  <c r="G77"/>
  <c r="H77"/>
  <c r="I77"/>
  <c r="J77"/>
  <c r="K77"/>
  <c r="L77"/>
  <c r="M77"/>
  <c r="N77"/>
  <c r="D78"/>
  <c r="E78"/>
  <c r="F78"/>
  <c r="G78"/>
  <c r="H78"/>
  <c r="I78"/>
  <c r="J78"/>
  <c r="K78"/>
  <c r="L78"/>
  <c r="M78"/>
  <c r="N78"/>
  <c r="D79"/>
  <c r="E79"/>
  <c r="F79"/>
  <c r="G79"/>
  <c r="H79"/>
  <c r="I79"/>
  <c r="J79"/>
  <c r="K79"/>
  <c r="L79"/>
  <c r="M79"/>
  <c r="N79"/>
  <c r="D80"/>
  <c r="E80"/>
  <c r="F80"/>
  <c r="G80"/>
  <c r="H80"/>
  <c r="I80"/>
  <c r="J80"/>
  <c r="K80"/>
  <c r="L80"/>
  <c r="M80"/>
  <c r="N80"/>
  <c r="D81"/>
  <c r="E81"/>
  <c r="F81"/>
  <c r="G81"/>
  <c r="H81"/>
  <c r="I81"/>
  <c r="J81"/>
  <c r="K81"/>
  <c r="L81"/>
  <c r="M81"/>
  <c r="N81"/>
  <c r="D82"/>
  <c r="E82"/>
  <c r="F82"/>
  <c r="G82"/>
  <c r="H82"/>
  <c r="I82"/>
  <c r="J82"/>
  <c r="K82"/>
  <c r="L82"/>
  <c r="M82"/>
  <c r="N82"/>
  <c r="D83"/>
  <c r="E83"/>
  <c r="F83"/>
  <c r="G83"/>
  <c r="H83"/>
  <c r="I83"/>
  <c r="J83"/>
  <c r="K83"/>
  <c r="L83"/>
  <c r="M83"/>
  <c r="N83"/>
  <c r="D84"/>
  <c r="E84"/>
  <c r="F84"/>
  <c r="G84"/>
  <c r="H84"/>
  <c r="I84"/>
  <c r="J84"/>
  <c r="K84"/>
  <c r="L84"/>
  <c r="M84"/>
  <c r="N84"/>
  <c r="D85"/>
  <c r="E85"/>
  <c r="F85"/>
  <c r="G85"/>
  <c r="H85"/>
  <c r="I85"/>
  <c r="J85"/>
  <c r="K85"/>
  <c r="L85"/>
  <c r="M85"/>
  <c r="N85"/>
  <c r="D86"/>
  <c r="E86"/>
  <c r="F86"/>
  <c r="G86"/>
  <c r="H86"/>
  <c r="I86"/>
  <c r="J86"/>
  <c r="K86"/>
  <c r="L86"/>
  <c r="M86"/>
  <c r="N86"/>
  <c r="D87"/>
  <c r="E87"/>
  <c r="F87"/>
  <c r="G87"/>
  <c r="H87"/>
  <c r="I87"/>
  <c r="J87"/>
  <c r="K87"/>
  <c r="L87"/>
  <c r="M87"/>
  <c r="N87"/>
  <c r="D88"/>
  <c r="E88"/>
  <c r="F88"/>
  <c r="G88"/>
  <c r="H88"/>
  <c r="I88"/>
  <c r="J88"/>
  <c r="K88"/>
  <c r="L88"/>
  <c r="M88"/>
  <c r="N88"/>
  <c r="D89"/>
  <c r="E89"/>
  <c r="F89"/>
  <c r="G89"/>
  <c r="H89"/>
  <c r="I89"/>
  <c r="J89"/>
  <c r="K89"/>
  <c r="L89"/>
  <c r="M89"/>
  <c r="N89"/>
  <c r="D90"/>
  <c r="E90"/>
  <c r="F90"/>
  <c r="G90"/>
  <c r="H90"/>
  <c r="I90"/>
  <c r="J90"/>
  <c r="K90"/>
  <c r="L90"/>
  <c r="M90"/>
  <c r="N90"/>
  <c r="D91"/>
  <c r="E91"/>
  <c r="F91"/>
  <c r="G91"/>
  <c r="H91"/>
  <c r="I91"/>
  <c r="J91"/>
  <c r="K91"/>
  <c r="L91"/>
  <c r="M91"/>
  <c r="N91"/>
  <c r="D92"/>
  <c r="E92"/>
  <c r="F92"/>
  <c r="G92"/>
  <c r="H92"/>
  <c r="I92"/>
  <c r="J92"/>
  <c r="K92"/>
  <c r="L92"/>
  <c r="M92"/>
  <c r="N92"/>
  <c r="D93"/>
  <c r="E93"/>
  <c r="F93"/>
  <c r="G93"/>
  <c r="H93"/>
  <c r="I93"/>
  <c r="J93"/>
  <c r="K93"/>
  <c r="L93"/>
  <c r="M93"/>
  <c r="N93"/>
  <c r="D94"/>
  <c r="E94"/>
  <c r="F94"/>
  <c r="G94"/>
  <c r="H94"/>
  <c r="I94"/>
  <c r="J94"/>
  <c r="K94"/>
  <c r="L94"/>
  <c r="M94"/>
  <c r="N94"/>
  <c r="D95"/>
  <c r="E95"/>
  <c r="F95"/>
  <c r="G95"/>
  <c r="H95"/>
  <c r="I95"/>
  <c r="J95"/>
  <c r="K95"/>
  <c r="L95"/>
  <c r="M95"/>
  <c r="N95"/>
  <c r="D96"/>
  <c r="E96"/>
  <c r="F96"/>
  <c r="G96"/>
  <c r="H96"/>
  <c r="I96"/>
  <c r="J96"/>
  <c r="K96"/>
  <c r="L96"/>
  <c r="M96"/>
  <c r="N96"/>
  <c r="D97"/>
  <c r="E97"/>
  <c r="F97"/>
  <c r="G97"/>
  <c r="H97"/>
  <c r="I97"/>
  <c r="J97"/>
  <c r="K97"/>
  <c r="L97"/>
  <c r="M97"/>
  <c r="N97"/>
  <c r="D98"/>
  <c r="E98"/>
  <c r="F98"/>
  <c r="G98"/>
  <c r="H98"/>
  <c r="I98"/>
  <c r="J98"/>
  <c r="K98"/>
  <c r="L98"/>
  <c r="M98"/>
  <c r="N98"/>
  <c r="D99"/>
  <c r="E99"/>
  <c r="F99"/>
  <c r="G99"/>
  <c r="H99"/>
  <c r="I99"/>
  <c r="J99"/>
  <c r="K99"/>
  <c r="L99"/>
  <c r="M99"/>
  <c r="N99"/>
  <c r="D100"/>
  <c r="E100"/>
  <c r="F100"/>
  <c r="G100"/>
  <c r="H100"/>
  <c r="I100"/>
  <c r="J100"/>
  <c r="K100"/>
  <c r="L100"/>
  <c r="M100"/>
  <c r="N100"/>
  <c r="D101"/>
  <c r="E101"/>
  <c r="F101"/>
  <c r="G101"/>
  <c r="H101"/>
  <c r="I101"/>
  <c r="J101"/>
  <c r="K101"/>
  <c r="L101"/>
  <c r="M101"/>
  <c r="N101"/>
  <c r="D102"/>
  <c r="E102"/>
  <c r="F102"/>
  <c r="G102"/>
  <c r="H102"/>
  <c r="I102"/>
  <c r="J102"/>
  <c r="K102"/>
  <c r="L102"/>
  <c r="M102"/>
  <c r="N102"/>
  <c r="D103"/>
  <c r="E103"/>
  <c r="F103"/>
  <c r="G103"/>
  <c r="H103"/>
  <c r="I103"/>
  <c r="J103"/>
  <c r="K103"/>
  <c r="L103"/>
  <c r="M103"/>
  <c r="N103"/>
  <c r="D104"/>
  <c r="E104"/>
  <c r="F104"/>
  <c r="G104"/>
  <c r="H104"/>
  <c r="I104"/>
  <c r="J104"/>
  <c r="K104"/>
  <c r="L104"/>
  <c r="M104"/>
  <c r="N104"/>
  <c r="D105"/>
  <c r="E105"/>
  <c r="F105"/>
  <c r="G105"/>
  <c r="H105"/>
  <c r="I105"/>
  <c r="J105"/>
  <c r="K105"/>
  <c r="L105"/>
  <c r="M105"/>
  <c r="N105"/>
  <c r="C59"/>
  <c r="C60"/>
  <c r="C61"/>
  <c r="C62"/>
  <c r="C63"/>
  <c r="C64"/>
  <c r="C65"/>
  <c r="C66"/>
  <c r="C67"/>
  <c r="C68"/>
  <c r="C69"/>
  <c r="C70"/>
  <c r="C71"/>
  <c r="C72"/>
  <c r="C73"/>
  <c r="C74"/>
  <c r="C75"/>
  <c r="C76"/>
  <c r="C77"/>
  <c r="C78"/>
  <c r="C79"/>
  <c r="C80"/>
  <c r="C81"/>
  <c r="C82"/>
  <c r="C83"/>
  <c r="C84"/>
  <c r="C85"/>
  <c r="C86"/>
  <c r="C87"/>
  <c r="C88"/>
  <c r="C89"/>
  <c r="C90"/>
  <c r="C91"/>
  <c r="C92"/>
  <c r="C93"/>
  <c r="C94"/>
  <c r="C95"/>
  <c r="C96"/>
  <c r="C97"/>
  <c r="C98"/>
  <c r="C99"/>
  <c r="C100"/>
  <c r="C101"/>
  <c r="C102"/>
  <c r="C103"/>
  <c r="C104"/>
  <c r="C105"/>
  <c r="C58"/>
  <c r="AF41" i="108"/>
  <c r="AF42" s="1"/>
  <c r="AE41"/>
  <c r="AE42" s="1"/>
  <c r="AD41"/>
  <c r="AD42" s="1"/>
  <c r="AC41"/>
  <c r="AC42" s="1"/>
  <c r="AB41"/>
  <c r="AB42" s="1"/>
  <c r="AA41"/>
  <c r="AA42" s="1"/>
  <c r="Z41"/>
  <c r="Z42" s="1"/>
  <c r="Y41"/>
  <c r="Y42" s="1"/>
  <c r="X41"/>
  <c r="X42" s="1"/>
  <c r="W41"/>
  <c r="W42" s="1"/>
  <c r="V41"/>
  <c r="V42" s="1"/>
  <c r="U41"/>
  <c r="U42" s="1"/>
  <c r="T41"/>
  <c r="T42" s="1"/>
  <c r="S41"/>
  <c r="S42" s="1"/>
  <c r="D58"/>
  <c r="T22" s="1"/>
  <c r="E58"/>
  <c r="U22" s="1"/>
  <c r="F58"/>
  <c r="V22" s="1"/>
  <c r="G58"/>
  <c r="W22" s="1"/>
  <c r="H58"/>
  <c r="X22" s="1"/>
  <c r="I58"/>
  <c r="Y22" s="1"/>
  <c r="J58"/>
  <c r="Z22" s="1"/>
  <c r="K58"/>
  <c r="AA22" s="1"/>
  <c r="L58"/>
  <c r="AB22" s="1"/>
  <c r="M58"/>
  <c r="AC22" s="1"/>
  <c r="N58"/>
  <c r="AD22" s="1"/>
  <c r="D59"/>
  <c r="E59"/>
  <c r="F59"/>
  <c r="G59"/>
  <c r="H59"/>
  <c r="I59"/>
  <c r="J59"/>
  <c r="K59"/>
  <c r="L59"/>
  <c r="M59"/>
  <c r="N59"/>
  <c r="D60"/>
  <c r="E60"/>
  <c r="F60"/>
  <c r="G60"/>
  <c r="H60"/>
  <c r="I60"/>
  <c r="J60"/>
  <c r="K60"/>
  <c r="L60"/>
  <c r="M60"/>
  <c r="N60"/>
  <c r="D61"/>
  <c r="E61"/>
  <c r="F61"/>
  <c r="G61"/>
  <c r="H61"/>
  <c r="I61"/>
  <c r="J61"/>
  <c r="K61"/>
  <c r="L61"/>
  <c r="M61"/>
  <c r="N61"/>
  <c r="D62"/>
  <c r="T23" s="1"/>
  <c r="E62"/>
  <c r="U23" s="1"/>
  <c r="F62"/>
  <c r="V23" s="1"/>
  <c r="G62"/>
  <c r="W23" s="1"/>
  <c r="H62"/>
  <c r="X23" s="1"/>
  <c r="I62"/>
  <c r="Y23" s="1"/>
  <c r="J62"/>
  <c r="Z23" s="1"/>
  <c r="K62"/>
  <c r="AA23" s="1"/>
  <c r="L62"/>
  <c r="AB23" s="1"/>
  <c r="M62"/>
  <c r="AC23" s="1"/>
  <c r="N62"/>
  <c r="AD23" s="1"/>
  <c r="D63"/>
  <c r="E63"/>
  <c r="F63"/>
  <c r="G63"/>
  <c r="H63"/>
  <c r="I63"/>
  <c r="J63"/>
  <c r="K63"/>
  <c r="L63"/>
  <c r="M63"/>
  <c r="N63"/>
  <c r="D64"/>
  <c r="E64"/>
  <c r="F64"/>
  <c r="G64"/>
  <c r="H64"/>
  <c r="I64"/>
  <c r="J64"/>
  <c r="K64"/>
  <c r="L64"/>
  <c r="M64"/>
  <c r="N64"/>
  <c r="D65"/>
  <c r="E65"/>
  <c r="F65"/>
  <c r="G65"/>
  <c r="H65"/>
  <c r="I65"/>
  <c r="J65"/>
  <c r="K65"/>
  <c r="L65"/>
  <c r="M65"/>
  <c r="N65"/>
  <c r="D66"/>
  <c r="T24" s="1"/>
  <c r="E66"/>
  <c r="U24" s="1"/>
  <c r="F66"/>
  <c r="V24" s="1"/>
  <c r="G66"/>
  <c r="W24" s="1"/>
  <c r="H66"/>
  <c r="X24" s="1"/>
  <c r="I66"/>
  <c r="Y24" s="1"/>
  <c r="J66"/>
  <c r="Z24" s="1"/>
  <c r="K66"/>
  <c r="AA24" s="1"/>
  <c r="L66"/>
  <c r="AB24" s="1"/>
  <c r="M66"/>
  <c r="AC24" s="1"/>
  <c r="N66"/>
  <c r="AD24" s="1"/>
  <c r="D67"/>
  <c r="E67"/>
  <c r="F67"/>
  <c r="G67"/>
  <c r="H67"/>
  <c r="I67"/>
  <c r="J67"/>
  <c r="K67"/>
  <c r="L67"/>
  <c r="M67"/>
  <c r="N67"/>
  <c r="D68"/>
  <c r="E68"/>
  <c r="F68"/>
  <c r="G68"/>
  <c r="H68"/>
  <c r="I68"/>
  <c r="J68"/>
  <c r="K68"/>
  <c r="L68"/>
  <c r="M68"/>
  <c r="N68"/>
  <c r="D69"/>
  <c r="E69"/>
  <c r="F69"/>
  <c r="G69"/>
  <c r="H69"/>
  <c r="I69"/>
  <c r="J69"/>
  <c r="K69"/>
  <c r="L69"/>
  <c r="M69"/>
  <c r="N69"/>
  <c r="D70"/>
  <c r="T25" s="1"/>
  <c r="E70"/>
  <c r="U25" s="1"/>
  <c r="F70"/>
  <c r="V25" s="1"/>
  <c r="G70"/>
  <c r="W25" s="1"/>
  <c r="H70"/>
  <c r="X25" s="1"/>
  <c r="I70"/>
  <c r="Y25" s="1"/>
  <c r="J70"/>
  <c r="Z25" s="1"/>
  <c r="K70"/>
  <c r="AA25" s="1"/>
  <c r="L70"/>
  <c r="AB25" s="1"/>
  <c r="M70"/>
  <c r="AC25" s="1"/>
  <c r="N70"/>
  <c r="AD25" s="1"/>
  <c r="D71"/>
  <c r="E71"/>
  <c r="F71"/>
  <c r="G71"/>
  <c r="H71"/>
  <c r="I71"/>
  <c r="J71"/>
  <c r="K71"/>
  <c r="L71"/>
  <c r="M71"/>
  <c r="N71"/>
  <c r="D72"/>
  <c r="E72"/>
  <c r="F72"/>
  <c r="G72"/>
  <c r="H72"/>
  <c r="I72"/>
  <c r="J72"/>
  <c r="K72"/>
  <c r="L72"/>
  <c r="M72"/>
  <c r="N72"/>
  <c r="D73"/>
  <c r="E73"/>
  <c r="F73"/>
  <c r="G73"/>
  <c r="H73"/>
  <c r="I73"/>
  <c r="J73"/>
  <c r="K73"/>
  <c r="L73"/>
  <c r="M73"/>
  <c r="N73"/>
  <c r="D74"/>
  <c r="T26" s="1"/>
  <c r="E74"/>
  <c r="U26" s="1"/>
  <c r="F74"/>
  <c r="V26" s="1"/>
  <c r="G74"/>
  <c r="W26" s="1"/>
  <c r="H74"/>
  <c r="X26" s="1"/>
  <c r="I74"/>
  <c r="Y26" s="1"/>
  <c r="J74"/>
  <c r="Z26" s="1"/>
  <c r="K74"/>
  <c r="AA26" s="1"/>
  <c r="L74"/>
  <c r="AB26" s="1"/>
  <c r="M74"/>
  <c r="AC26" s="1"/>
  <c r="N74"/>
  <c r="AD26" s="1"/>
  <c r="D75"/>
  <c r="E75"/>
  <c r="F75"/>
  <c r="G75"/>
  <c r="H75"/>
  <c r="I75"/>
  <c r="J75"/>
  <c r="K75"/>
  <c r="L75"/>
  <c r="M75"/>
  <c r="N75"/>
  <c r="D76"/>
  <c r="E76"/>
  <c r="F76"/>
  <c r="G76"/>
  <c r="H76"/>
  <c r="I76"/>
  <c r="J76"/>
  <c r="K76"/>
  <c r="L76"/>
  <c r="M76"/>
  <c r="N76"/>
  <c r="D77"/>
  <c r="E77"/>
  <c r="F77"/>
  <c r="G77"/>
  <c r="H77"/>
  <c r="I77"/>
  <c r="J77"/>
  <c r="K77"/>
  <c r="L77"/>
  <c r="M77"/>
  <c r="N77"/>
  <c r="D78"/>
  <c r="T27" s="1"/>
  <c r="E78"/>
  <c r="U27" s="1"/>
  <c r="F78"/>
  <c r="V27" s="1"/>
  <c r="G78"/>
  <c r="W27" s="1"/>
  <c r="H78"/>
  <c r="X27" s="1"/>
  <c r="I78"/>
  <c r="Y27" s="1"/>
  <c r="J78"/>
  <c r="Z27" s="1"/>
  <c r="K78"/>
  <c r="AA27" s="1"/>
  <c r="L78"/>
  <c r="AB27" s="1"/>
  <c r="M78"/>
  <c r="AC27" s="1"/>
  <c r="N78"/>
  <c r="AD27" s="1"/>
  <c r="D79"/>
  <c r="E79"/>
  <c r="F79"/>
  <c r="G79"/>
  <c r="H79"/>
  <c r="I79"/>
  <c r="J79"/>
  <c r="K79"/>
  <c r="L79"/>
  <c r="M79"/>
  <c r="N79"/>
  <c r="D80"/>
  <c r="E80"/>
  <c r="F80"/>
  <c r="G80"/>
  <c r="H80"/>
  <c r="I80"/>
  <c r="J80"/>
  <c r="K80"/>
  <c r="L80"/>
  <c r="M80"/>
  <c r="N80"/>
  <c r="D81"/>
  <c r="E81"/>
  <c r="F81"/>
  <c r="G81"/>
  <c r="H81"/>
  <c r="I81"/>
  <c r="J81"/>
  <c r="K81"/>
  <c r="L81"/>
  <c r="M81"/>
  <c r="N81"/>
  <c r="D82"/>
  <c r="T28" s="1"/>
  <c r="E82"/>
  <c r="U28" s="1"/>
  <c r="F82"/>
  <c r="V28" s="1"/>
  <c r="G82"/>
  <c r="W28" s="1"/>
  <c r="H82"/>
  <c r="X28" s="1"/>
  <c r="I82"/>
  <c r="Y28" s="1"/>
  <c r="J82"/>
  <c r="Z28" s="1"/>
  <c r="K82"/>
  <c r="AA28" s="1"/>
  <c r="L82"/>
  <c r="AB28" s="1"/>
  <c r="M82"/>
  <c r="AC28" s="1"/>
  <c r="N82"/>
  <c r="AD28" s="1"/>
  <c r="D83"/>
  <c r="E83"/>
  <c r="F83"/>
  <c r="G83"/>
  <c r="H83"/>
  <c r="I83"/>
  <c r="J83"/>
  <c r="K83"/>
  <c r="L83"/>
  <c r="M83"/>
  <c r="N83"/>
  <c r="D84"/>
  <c r="E84"/>
  <c r="F84"/>
  <c r="G84"/>
  <c r="H84"/>
  <c r="I84"/>
  <c r="J84"/>
  <c r="K84"/>
  <c r="L84"/>
  <c r="M84"/>
  <c r="N84"/>
  <c r="D85"/>
  <c r="E85"/>
  <c r="F85"/>
  <c r="G85"/>
  <c r="H85"/>
  <c r="I85"/>
  <c r="J85"/>
  <c r="K85"/>
  <c r="L85"/>
  <c r="M85"/>
  <c r="N85"/>
  <c r="D86"/>
  <c r="T29" s="1"/>
  <c r="E86"/>
  <c r="U29" s="1"/>
  <c r="F86"/>
  <c r="V29" s="1"/>
  <c r="G86"/>
  <c r="W29" s="1"/>
  <c r="H86"/>
  <c r="X29" s="1"/>
  <c r="I86"/>
  <c r="Y29" s="1"/>
  <c r="J86"/>
  <c r="Z29" s="1"/>
  <c r="K86"/>
  <c r="AA29" s="1"/>
  <c r="L86"/>
  <c r="AB29" s="1"/>
  <c r="M86"/>
  <c r="AC29" s="1"/>
  <c r="N86"/>
  <c r="AD29" s="1"/>
  <c r="D87"/>
  <c r="E87"/>
  <c r="F87"/>
  <c r="G87"/>
  <c r="H87"/>
  <c r="I87"/>
  <c r="J87"/>
  <c r="K87"/>
  <c r="L87"/>
  <c r="M87"/>
  <c r="N87"/>
  <c r="D88"/>
  <c r="E88"/>
  <c r="F88"/>
  <c r="G88"/>
  <c r="H88"/>
  <c r="I88"/>
  <c r="J88"/>
  <c r="K88"/>
  <c r="L88"/>
  <c r="M88"/>
  <c r="N88"/>
  <c r="D89"/>
  <c r="E89"/>
  <c r="F89"/>
  <c r="G89"/>
  <c r="H89"/>
  <c r="I89"/>
  <c r="J89"/>
  <c r="K89"/>
  <c r="L89"/>
  <c r="M89"/>
  <c r="N89"/>
  <c r="D90"/>
  <c r="T30" s="1"/>
  <c r="E90"/>
  <c r="U30" s="1"/>
  <c r="F90"/>
  <c r="V30" s="1"/>
  <c r="G90"/>
  <c r="W30" s="1"/>
  <c r="H90"/>
  <c r="X30" s="1"/>
  <c r="I90"/>
  <c r="Y30" s="1"/>
  <c r="J90"/>
  <c r="Z30" s="1"/>
  <c r="K90"/>
  <c r="AA30" s="1"/>
  <c r="L90"/>
  <c r="AB30" s="1"/>
  <c r="M90"/>
  <c r="AC30" s="1"/>
  <c r="N90"/>
  <c r="AD30" s="1"/>
  <c r="D91"/>
  <c r="E91"/>
  <c r="F91"/>
  <c r="G91"/>
  <c r="H91"/>
  <c r="I91"/>
  <c r="J91"/>
  <c r="K91"/>
  <c r="L91"/>
  <c r="M91"/>
  <c r="N91"/>
  <c r="D92"/>
  <c r="E92"/>
  <c r="F92"/>
  <c r="G92"/>
  <c r="H92"/>
  <c r="I92"/>
  <c r="J92"/>
  <c r="K92"/>
  <c r="L92"/>
  <c r="M92"/>
  <c r="N92"/>
  <c r="D93"/>
  <c r="E93"/>
  <c r="F93"/>
  <c r="G93"/>
  <c r="H93"/>
  <c r="I93"/>
  <c r="J93"/>
  <c r="K93"/>
  <c r="L93"/>
  <c r="M93"/>
  <c r="N93"/>
  <c r="D94"/>
  <c r="T31" s="1"/>
  <c r="E94"/>
  <c r="U31" s="1"/>
  <c r="F94"/>
  <c r="V31" s="1"/>
  <c r="G94"/>
  <c r="W31" s="1"/>
  <c r="H94"/>
  <c r="X31" s="1"/>
  <c r="I94"/>
  <c r="Y31" s="1"/>
  <c r="J94"/>
  <c r="Z31" s="1"/>
  <c r="K94"/>
  <c r="AA31" s="1"/>
  <c r="L94"/>
  <c r="AB31" s="1"/>
  <c r="M94"/>
  <c r="AC31" s="1"/>
  <c r="N94"/>
  <c r="AD31" s="1"/>
  <c r="D95"/>
  <c r="E95"/>
  <c r="F95"/>
  <c r="G95"/>
  <c r="H95"/>
  <c r="I95"/>
  <c r="J95"/>
  <c r="K95"/>
  <c r="L95"/>
  <c r="M95"/>
  <c r="N95"/>
  <c r="D96"/>
  <c r="E96"/>
  <c r="F96"/>
  <c r="G96"/>
  <c r="H96"/>
  <c r="I96"/>
  <c r="J96"/>
  <c r="K96"/>
  <c r="L96"/>
  <c r="M96"/>
  <c r="N96"/>
  <c r="D97"/>
  <c r="E97"/>
  <c r="F97"/>
  <c r="G97"/>
  <c r="H97"/>
  <c r="I97"/>
  <c r="J97"/>
  <c r="K97"/>
  <c r="L97"/>
  <c r="M97"/>
  <c r="N97"/>
  <c r="D98"/>
  <c r="T32" s="1"/>
  <c r="E98"/>
  <c r="U32" s="1"/>
  <c r="F98"/>
  <c r="V32" s="1"/>
  <c r="G98"/>
  <c r="W32" s="1"/>
  <c r="H98"/>
  <c r="X32" s="1"/>
  <c r="I98"/>
  <c r="Y32" s="1"/>
  <c r="J98"/>
  <c r="Z32" s="1"/>
  <c r="K98"/>
  <c r="AA32" s="1"/>
  <c r="L98"/>
  <c r="AB32" s="1"/>
  <c r="M98"/>
  <c r="AC32" s="1"/>
  <c r="N98"/>
  <c r="AD32" s="1"/>
  <c r="D99"/>
  <c r="E99"/>
  <c r="F99"/>
  <c r="G99"/>
  <c r="H99"/>
  <c r="I99"/>
  <c r="J99"/>
  <c r="K99"/>
  <c r="L99"/>
  <c r="M99"/>
  <c r="N99"/>
  <c r="D100"/>
  <c r="E100"/>
  <c r="F100"/>
  <c r="G100"/>
  <c r="H100"/>
  <c r="I100"/>
  <c r="J100"/>
  <c r="K100"/>
  <c r="L100"/>
  <c r="M100"/>
  <c r="N100"/>
  <c r="D101"/>
  <c r="E101"/>
  <c r="F101"/>
  <c r="G101"/>
  <c r="H101"/>
  <c r="I101"/>
  <c r="J101"/>
  <c r="K101"/>
  <c r="L101"/>
  <c r="M101"/>
  <c r="N101"/>
  <c r="D102"/>
  <c r="T33" s="1"/>
  <c r="E102"/>
  <c r="U33" s="1"/>
  <c r="F102"/>
  <c r="V33" s="1"/>
  <c r="G102"/>
  <c r="W33" s="1"/>
  <c r="H102"/>
  <c r="X33" s="1"/>
  <c r="I102"/>
  <c r="Y33" s="1"/>
  <c r="J102"/>
  <c r="Z33" s="1"/>
  <c r="K102"/>
  <c r="AA33" s="1"/>
  <c r="L102"/>
  <c r="AB33" s="1"/>
  <c r="M102"/>
  <c r="AC33" s="1"/>
  <c r="N102"/>
  <c r="AD33" s="1"/>
  <c r="D103"/>
  <c r="E103"/>
  <c r="F103"/>
  <c r="G103"/>
  <c r="H103"/>
  <c r="I103"/>
  <c r="J103"/>
  <c r="K103"/>
  <c r="L103"/>
  <c r="M103"/>
  <c r="N103"/>
  <c r="D104"/>
  <c r="E104"/>
  <c r="F104"/>
  <c r="G104"/>
  <c r="H104"/>
  <c r="I104"/>
  <c r="J104"/>
  <c r="K104"/>
  <c r="L104"/>
  <c r="M104"/>
  <c r="N104"/>
  <c r="D105"/>
  <c r="E105"/>
  <c r="F105"/>
  <c r="G105"/>
  <c r="H105"/>
  <c r="I105"/>
  <c r="J105"/>
  <c r="K105"/>
  <c r="L105"/>
  <c r="M105"/>
  <c r="N105"/>
  <c r="C59"/>
  <c r="P59" s="1"/>
  <c r="C60"/>
  <c r="O60" s="1"/>
  <c r="C61"/>
  <c r="P61" s="1"/>
  <c r="C62"/>
  <c r="O62" s="1"/>
  <c r="C63"/>
  <c r="P63" s="1"/>
  <c r="C64"/>
  <c r="O64" s="1"/>
  <c r="C65"/>
  <c r="P65" s="1"/>
  <c r="C66"/>
  <c r="S24" s="1"/>
  <c r="C67"/>
  <c r="P67" s="1"/>
  <c r="C68"/>
  <c r="O68" s="1"/>
  <c r="C69"/>
  <c r="P69" s="1"/>
  <c r="C70"/>
  <c r="O70" s="1"/>
  <c r="C71"/>
  <c r="P71" s="1"/>
  <c r="C72"/>
  <c r="O72" s="1"/>
  <c r="C73"/>
  <c r="P73" s="1"/>
  <c r="C74"/>
  <c r="S26" s="1"/>
  <c r="C75"/>
  <c r="P75" s="1"/>
  <c r="C76"/>
  <c r="O76" s="1"/>
  <c r="C77"/>
  <c r="P77" s="1"/>
  <c r="C78"/>
  <c r="O78" s="1"/>
  <c r="C79"/>
  <c r="P79" s="1"/>
  <c r="C80"/>
  <c r="O80" s="1"/>
  <c r="C81"/>
  <c r="P81" s="1"/>
  <c r="C82"/>
  <c r="S28" s="1"/>
  <c r="C83"/>
  <c r="P83" s="1"/>
  <c r="C84"/>
  <c r="O84" s="1"/>
  <c r="C85"/>
  <c r="P85" s="1"/>
  <c r="C86"/>
  <c r="O86" s="1"/>
  <c r="C87"/>
  <c r="P87" s="1"/>
  <c r="C88"/>
  <c r="O88" s="1"/>
  <c r="C89"/>
  <c r="P89" s="1"/>
  <c r="C90"/>
  <c r="S30" s="1"/>
  <c r="C91"/>
  <c r="P91" s="1"/>
  <c r="C92"/>
  <c r="O92" s="1"/>
  <c r="C93"/>
  <c r="P93" s="1"/>
  <c r="C94"/>
  <c r="O94" s="1"/>
  <c r="C95"/>
  <c r="P95" s="1"/>
  <c r="C96"/>
  <c r="O96" s="1"/>
  <c r="C97"/>
  <c r="P97" s="1"/>
  <c r="C98"/>
  <c r="S32" s="1"/>
  <c r="C99"/>
  <c r="P99" s="1"/>
  <c r="C100"/>
  <c r="O100" s="1"/>
  <c r="C101"/>
  <c r="P101" s="1"/>
  <c r="C102"/>
  <c r="O102" s="1"/>
  <c r="C103"/>
  <c r="P103" s="1"/>
  <c r="C104"/>
  <c r="O104" s="1"/>
  <c r="C105"/>
  <c r="P105" s="1"/>
  <c r="C58"/>
  <c r="S22" s="1"/>
  <c r="S33" i="107"/>
  <c r="AF41"/>
  <c r="AF42" s="1"/>
  <c r="AE41"/>
  <c r="AE42" s="1"/>
  <c r="AD41"/>
  <c r="AD42" s="1"/>
  <c r="AC41"/>
  <c r="AC42" s="1"/>
  <c r="AB41"/>
  <c r="AB42" s="1"/>
  <c r="AA41"/>
  <c r="AA42" s="1"/>
  <c r="Z41"/>
  <c r="Z42" s="1"/>
  <c r="Y41"/>
  <c r="Y42" s="1"/>
  <c r="X41"/>
  <c r="X42" s="1"/>
  <c r="W41"/>
  <c r="W42" s="1"/>
  <c r="V41"/>
  <c r="V42" s="1"/>
  <c r="U41"/>
  <c r="U42" s="1"/>
  <c r="T41"/>
  <c r="T42" s="1"/>
  <c r="S41"/>
  <c r="S42" s="1"/>
  <c r="S32"/>
  <c r="T32"/>
  <c r="U32"/>
  <c r="V32"/>
  <c r="W32"/>
  <c r="X32"/>
  <c r="Y32"/>
  <c r="Z32"/>
  <c r="AA32"/>
  <c r="AB32"/>
  <c r="AC32"/>
  <c r="AD32"/>
  <c r="AE32"/>
  <c r="AF32"/>
  <c r="S22"/>
  <c r="S23"/>
  <c r="S24"/>
  <c r="T22"/>
  <c r="U22"/>
  <c r="V22"/>
  <c r="W22"/>
  <c r="X22"/>
  <c r="Y22"/>
  <c r="Z22"/>
  <c r="AA22"/>
  <c r="AB22"/>
  <c r="AC22"/>
  <c r="AD22"/>
  <c r="AE22"/>
  <c r="AF22"/>
  <c r="T23"/>
  <c r="U23"/>
  <c r="V23"/>
  <c r="W23"/>
  <c r="X23"/>
  <c r="Y23"/>
  <c r="Z23"/>
  <c r="AA23"/>
  <c r="AB23"/>
  <c r="AC23"/>
  <c r="AD23"/>
  <c r="AE23"/>
  <c r="AF23"/>
  <c r="T24"/>
  <c r="U24"/>
  <c r="V24"/>
  <c r="W24"/>
  <c r="X24"/>
  <c r="Y24"/>
  <c r="Z24"/>
  <c r="AA24"/>
  <c r="AB24"/>
  <c r="AC24"/>
  <c r="AD24"/>
  <c r="AE24"/>
  <c r="AF24"/>
  <c r="T25"/>
  <c r="U25"/>
  <c r="V25"/>
  <c r="W25"/>
  <c r="X25"/>
  <c r="Y25"/>
  <c r="Z25"/>
  <c r="AA25"/>
  <c r="AB25"/>
  <c r="AC25"/>
  <c r="AD25"/>
  <c r="AE25"/>
  <c r="AF25"/>
  <c r="T26"/>
  <c r="U26"/>
  <c r="V26"/>
  <c r="W26"/>
  <c r="X26"/>
  <c r="Y26"/>
  <c r="Z26"/>
  <c r="AA26"/>
  <c r="AB26"/>
  <c r="AC26"/>
  <c r="AD26"/>
  <c r="AE26"/>
  <c r="AF26"/>
  <c r="T27"/>
  <c r="U27"/>
  <c r="V27"/>
  <c r="W27"/>
  <c r="X27"/>
  <c r="Y27"/>
  <c r="Z27"/>
  <c r="AA27"/>
  <c r="AB27"/>
  <c r="AC27"/>
  <c r="AD27"/>
  <c r="AE27"/>
  <c r="AF27"/>
  <c r="T28"/>
  <c r="U28"/>
  <c r="V28"/>
  <c r="W28"/>
  <c r="X28"/>
  <c r="Y28"/>
  <c r="Z28"/>
  <c r="AA28"/>
  <c r="AB28"/>
  <c r="AC28"/>
  <c r="AD28"/>
  <c r="AE28"/>
  <c r="AF28"/>
  <c r="T29"/>
  <c r="U29"/>
  <c r="V29"/>
  <c r="W29"/>
  <c r="X29"/>
  <c r="Y29"/>
  <c r="Z29"/>
  <c r="AA29"/>
  <c r="AB29"/>
  <c r="AC29"/>
  <c r="AD29"/>
  <c r="AE29"/>
  <c r="AF29"/>
  <c r="T30"/>
  <c r="U30"/>
  <c r="V30"/>
  <c r="W30"/>
  <c r="X30"/>
  <c r="Y30"/>
  <c r="Z30"/>
  <c r="AA30"/>
  <c r="AB30"/>
  <c r="AC30"/>
  <c r="AD30"/>
  <c r="AE30"/>
  <c r="AF30"/>
  <c r="T31"/>
  <c r="U31"/>
  <c r="V31"/>
  <c r="W31"/>
  <c r="X31"/>
  <c r="Y31"/>
  <c r="Z31"/>
  <c r="AA31"/>
  <c r="AB31"/>
  <c r="AC31"/>
  <c r="AD31"/>
  <c r="AE31"/>
  <c r="AF31"/>
  <c r="T33"/>
  <c r="U33"/>
  <c r="V33"/>
  <c r="W33"/>
  <c r="X33"/>
  <c r="Y33"/>
  <c r="Z33"/>
  <c r="AA33"/>
  <c r="AB33"/>
  <c r="AC33"/>
  <c r="AD33"/>
  <c r="AE33"/>
  <c r="AF33"/>
  <c r="S25"/>
  <c r="S26"/>
  <c r="S27"/>
  <c r="S28"/>
  <c r="S29"/>
  <c r="S30"/>
  <c r="S31"/>
  <c r="O58"/>
  <c r="O59"/>
  <c r="O60"/>
  <c r="O61"/>
  <c r="O62"/>
  <c r="O63"/>
  <c r="O64"/>
  <c r="O65"/>
  <c r="O66"/>
  <c r="O67"/>
  <c r="O68"/>
  <c r="O69"/>
  <c r="O70"/>
  <c r="O71"/>
  <c r="O72"/>
  <c r="O73"/>
  <c r="O74"/>
  <c r="O75"/>
  <c r="O76"/>
  <c r="O77"/>
  <c r="O78"/>
  <c r="O79"/>
  <c r="O80"/>
  <c r="O81"/>
  <c r="O82"/>
  <c r="O83"/>
  <c r="O84"/>
  <c r="O85"/>
  <c r="O86"/>
  <c r="O87"/>
  <c r="O88"/>
  <c r="O89"/>
  <c r="O90"/>
  <c r="O91"/>
  <c r="O92"/>
  <c r="O93"/>
  <c r="O94"/>
  <c r="O95"/>
  <c r="O96"/>
  <c r="O97"/>
  <c r="O98"/>
  <c r="O99"/>
  <c r="O100"/>
  <c r="O101"/>
  <c r="O102"/>
  <c r="O103"/>
  <c r="O104"/>
  <c r="O105"/>
  <c r="P58"/>
  <c r="P59"/>
  <c r="P60"/>
  <c r="P61"/>
  <c r="P62"/>
  <c r="P63"/>
  <c r="P64"/>
  <c r="P65"/>
  <c r="P66"/>
  <c r="P67"/>
  <c r="P68"/>
  <c r="P69"/>
  <c r="P70"/>
  <c r="P71"/>
  <c r="P72"/>
  <c r="P73"/>
  <c r="P74"/>
  <c r="P75"/>
  <c r="P76"/>
  <c r="P77"/>
  <c r="P78"/>
  <c r="P79"/>
  <c r="P80"/>
  <c r="P81"/>
  <c r="P82"/>
  <c r="P83"/>
  <c r="P84"/>
  <c r="P85"/>
  <c r="P86"/>
  <c r="P87"/>
  <c r="P88"/>
  <c r="P89"/>
  <c r="P90"/>
  <c r="P91"/>
  <c r="P92"/>
  <c r="P93"/>
  <c r="P94"/>
  <c r="P95"/>
  <c r="P96"/>
  <c r="P97"/>
  <c r="P98"/>
  <c r="P99"/>
  <c r="P100"/>
  <c r="P101"/>
  <c r="P102"/>
  <c r="P103"/>
  <c r="P104"/>
  <c r="P105"/>
  <c r="D58"/>
  <c r="E58"/>
  <c r="F58"/>
  <c r="G58"/>
  <c r="H58"/>
  <c r="I58"/>
  <c r="J58"/>
  <c r="K58"/>
  <c r="L58"/>
  <c r="M58"/>
  <c r="N58"/>
  <c r="D59"/>
  <c r="E59"/>
  <c r="F59"/>
  <c r="G59"/>
  <c r="H59"/>
  <c r="I59"/>
  <c r="J59"/>
  <c r="K59"/>
  <c r="L59"/>
  <c r="M59"/>
  <c r="N59"/>
  <c r="D60"/>
  <c r="E60"/>
  <c r="F60"/>
  <c r="G60"/>
  <c r="H60"/>
  <c r="I60"/>
  <c r="J60"/>
  <c r="K60"/>
  <c r="L60"/>
  <c r="M60"/>
  <c r="N60"/>
  <c r="D61"/>
  <c r="E61"/>
  <c r="F61"/>
  <c r="G61"/>
  <c r="H61"/>
  <c r="I61"/>
  <c r="J61"/>
  <c r="K61"/>
  <c r="L61"/>
  <c r="M61"/>
  <c r="N61"/>
  <c r="D62"/>
  <c r="E62"/>
  <c r="F62"/>
  <c r="G62"/>
  <c r="H62"/>
  <c r="I62"/>
  <c r="J62"/>
  <c r="K62"/>
  <c r="L62"/>
  <c r="M62"/>
  <c r="N62"/>
  <c r="D63"/>
  <c r="E63"/>
  <c r="F63"/>
  <c r="G63"/>
  <c r="H63"/>
  <c r="I63"/>
  <c r="J63"/>
  <c r="K63"/>
  <c r="L63"/>
  <c r="M63"/>
  <c r="N63"/>
  <c r="D64"/>
  <c r="E64"/>
  <c r="F64"/>
  <c r="G64"/>
  <c r="H64"/>
  <c r="I64"/>
  <c r="J64"/>
  <c r="K64"/>
  <c r="L64"/>
  <c r="M64"/>
  <c r="N64"/>
  <c r="D65"/>
  <c r="E65"/>
  <c r="F65"/>
  <c r="G65"/>
  <c r="H65"/>
  <c r="I65"/>
  <c r="J65"/>
  <c r="K65"/>
  <c r="L65"/>
  <c r="M65"/>
  <c r="N65"/>
  <c r="D66"/>
  <c r="E66"/>
  <c r="F66"/>
  <c r="G66"/>
  <c r="H66"/>
  <c r="I66"/>
  <c r="J66"/>
  <c r="K66"/>
  <c r="L66"/>
  <c r="M66"/>
  <c r="N66"/>
  <c r="D67"/>
  <c r="E67"/>
  <c r="F67"/>
  <c r="G67"/>
  <c r="H67"/>
  <c r="I67"/>
  <c r="J67"/>
  <c r="K67"/>
  <c r="L67"/>
  <c r="M67"/>
  <c r="N67"/>
  <c r="D68"/>
  <c r="E68"/>
  <c r="F68"/>
  <c r="G68"/>
  <c r="H68"/>
  <c r="I68"/>
  <c r="J68"/>
  <c r="K68"/>
  <c r="L68"/>
  <c r="M68"/>
  <c r="N68"/>
  <c r="D69"/>
  <c r="E69"/>
  <c r="F69"/>
  <c r="G69"/>
  <c r="H69"/>
  <c r="I69"/>
  <c r="J69"/>
  <c r="K69"/>
  <c r="L69"/>
  <c r="M69"/>
  <c r="N69"/>
  <c r="D70"/>
  <c r="E70"/>
  <c r="F70"/>
  <c r="G70"/>
  <c r="H70"/>
  <c r="I70"/>
  <c r="J70"/>
  <c r="K70"/>
  <c r="L70"/>
  <c r="M70"/>
  <c r="N70"/>
  <c r="D71"/>
  <c r="E71"/>
  <c r="F71"/>
  <c r="G71"/>
  <c r="H71"/>
  <c r="I71"/>
  <c r="J71"/>
  <c r="K71"/>
  <c r="L71"/>
  <c r="M71"/>
  <c r="N71"/>
  <c r="D72"/>
  <c r="E72"/>
  <c r="F72"/>
  <c r="G72"/>
  <c r="H72"/>
  <c r="I72"/>
  <c r="J72"/>
  <c r="K72"/>
  <c r="L72"/>
  <c r="M72"/>
  <c r="N72"/>
  <c r="D73"/>
  <c r="E73"/>
  <c r="F73"/>
  <c r="G73"/>
  <c r="H73"/>
  <c r="I73"/>
  <c r="J73"/>
  <c r="K73"/>
  <c r="L73"/>
  <c r="M73"/>
  <c r="N73"/>
  <c r="D74"/>
  <c r="E74"/>
  <c r="F74"/>
  <c r="G74"/>
  <c r="H74"/>
  <c r="I74"/>
  <c r="J74"/>
  <c r="K74"/>
  <c r="L74"/>
  <c r="M74"/>
  <c r="N74"/>
  <c r="D75"/>
  <c r="E75"/>
  <c r="F75"/>
  <c r="G75"/>
  <c r="H75"/>
  <c r="I75"/>
  <c r="J75"/>
  <c r="K75"/>
  <c r="L75"/>
  <c r="M75"/>
  <c r="N75"/>
  <c r="D76"/>
  <c r="E76"/>
  <c r="F76"/>
  <c r="G76"/>
  <c r="H76"/>
  <c r="I76"/>
  <c r="J76"/>
  <c r="K76"/>
  <c r="L76"/>
  <c r="M76"/>
  <c r="N76"/>
  <c r="D77"/>
  <c r="E77"/>
  <c r="F77"/>
  <c r="G77"/>
  <c r="H77"/>
  <c r="I77"/>
  <c r="J77"/>
  <c r="K77"/>
  <c r="L77"/>
  <c r="M77"/>
  <c r="N77"/>
  <c r="D78"/>
  <c r="E78"/>
  <c r="F78"/>
  <c r="G78"/>
  <c r="H78"/>
  <c r="I78"/>
  <c r="J78"/>
  <c r="K78"/>
  <c r="L78"/>
  <c r="M78"/>
  <c r="N78"/>
  <c r="D79"/>
  <c r="E79"/>
  <c r="F79"/>
  <c r="G79"/>
  <c r="H79"/>
  <c r="I79"/>
  <c r="J79"/>
  <c r="K79"/>
  <c r="L79"/>
  <c r="M79"/>
  <c r="N79"/>
  <c r="D80"/>
  <c r="E80"/>
  <c r="F80"/>
  <c r="G80"/>
  <c r="H80"/>
  <c r="I80"/>
  <c r="J80"/>
  <c r="K80"/>
  <c r="L80"/>
  <c r="M80"/>
  <c r="N80"/>
  <c r="D81"/>
  <c r="E81"/>
  <c r="F81"/>
  <c r="G81"/>
  <c r="H81"/>
  <c r="I81"/>
  <c r="J81"/>
  <c r="K81"/>
  <c r="L81"/>
  <c r="M81"/>
  <c r="N81"/>
  <c r="D82"/>
  <c r="E82"/>
  <c r="F82"/>
  <c r="G82"/>
  <c r="H82"/>
  <c r="I82"/>
  <c r="J82"/>
  <c r="K82"/>
  <c r="L82"/>
  <c r="M82"/>
  <c r="N82"/>
  <c r="D83"/>
  <c r="E83"/>
  <c r="F83"/>
  <c r="G83"/>
  <c r="H83"/>
  <c r="I83"/>
  <c r="J83"/>
  <c r="K83"/>
  <c r="L83"/>
  <c r="M83"/>
  <c r="N83"/>
  <c r="D84"/>
  <c r="E84"/>
  <c r="F84"/>
  <c r="G84"/>
  <c r="H84"/>
  <c r="I84"/>
  <c r="J84"/>
  <c r="K84"/>
  <c r="L84"/>
  <c r="M84"/>
  <c r="N84"/>
  <c r="D85"/>
  <c r="E85"/>
  <c r="F85"/>
  <c r="G85"/>
  <c r="H85"/>
  <c r="I85"/>
  <c r="J85"/>
  <c r="K85"/>
  <c r="L85"/>
  <c r="M85"/>
  <c r="N85"/>
  <c r="D86"/>
  <c r="E86"/>
  <c r="F86"/>
  <c r="G86"/>
  <c r="H86"/>
  <c r="I86"/>
  <c r="J86"/>
  <c r="K86"/>
  <c r="L86"/>
  <c r="M86"/>
  <c r="N86"/>
  <c r="D87"/>
  <c r="E87"/>
  <c r="F87"/>
  <c r="G87"/>
  <c r="H87"/>
  <c r="I87"/>
  <c r="J87"/>
  <c r="K87"/>
  <c r="L87"/>
  <c r="M87"/>
  <c r="N87"/>
  <c r="D88"/>
  <c r="E88"/>
  <c r="F88"/>
  <c r="G88"/>
  <c r="H88"/>
  <c r="I88"/>
  <c r="J88"/>
  <c r="K88"/>
  <c r="L88"/>
  <c r="M88"/>
  <c r="N88"/>
  <c r="D89"/>
  <c r="E89"/>
  <c r="F89"/>
  <c r="G89"/>
  <c r="H89"/>
  <c r="I89"/>
  <c r="J89"/>
  <c r="K89"/>
  <c r="L89"/>
  <c r="M89"/>
  <c r="N89"/>
  <c r="D90"/>
  <c r="E90"/>
  <c r="F90"/>
  <c r="G90"/>
  <c r="H90"/>
  <c r="I90"/>
  <c r="J90"/>
  <c r="K90"/>
  <c r="L90"/>
  <c r="M90"/>
  <c r="N90"/>
  <c r="D91"/>
  <c r="E91"/>
  <c r="F91"/>
  <c r="G91"/>
  <c r="H91"/>
  <c r="I91"/>
  <c r="J91"/>
  <c r="K91"/>
  <c r="L91"/>
  <c r="M91"/>
  <c r="N91"/>
  <c r="D92"/>
  <c r="E92"/>
  <c r="F92"/>
  <c r="G92"/>
  <c r="H92"/>
  <c r="I92"/>
  <c r="J92"/>
  <c r="K92"/>
  <c r="L92"/>
  <c r="M92"/>
  <c r="N92"/>
  <c r="D93"/>
  <c r="E93"/>
  <c r="F93"/>
  <c r="G93"/>
  <c r="H93"/>
  <c r="I93"/>
  <c r="J93"/>
  <c r="K93"/>
  <c r="L93"/>
  <c r="M93"/>
  <c r="N93"/>
  <c r="D94"/>
  <c r="E94"/>
  <c r="F94"/>
  <c r="G94"/>
  <c r="H94"/>
  <c r="I94"/>
  <c r="J94"/>
  <c r="K94"/>
  <c r="L94"/>
  <c r="M94"/>
  <c r="N94"/>
  <c r="D95"/>
  <c r="E95"/>
  <c r="F95"/>
  <c r="G95"/>
  <c r="H95"/>
  <c r="I95"/>
  <c r="J95"/>
  <c r="K95"/>
  <c r="L95"/>
  <c r="M95"/>
  <c r="N95"/>
  <c r="D96"/>
  <c r="E96"/>
  <c r="F96"/>
  <c r="G96"/>
  <c r="H96"/>
  <c r="I96"/>
  <c r="J96"/>
  <c r="K96"/>
  <c r="L96"/>
  <c r="M96"/>
  <c r="N96"/>
  <c r="D97"/>
  <c r="E97"/>
  <c r="F97"/>
  <c r="G97"/>
  <c r="H97"/>
  <c r="I97"/>
  <c r="J97"/>
  <c r="K97"/>
  <c r="L97"/>
  <c r="M97"/>
  <c r="N97"/>
  <c r="D98"/>
  <c r="E98"/>
  <c r="F98"/>
  <c r="G98"/>
  <c r="H98"/>
  <c r="I98"/>
  <c r="J98"/>
  <c r="K98"/>
  <c r="L98"/>
  <c r="M98"/>
  <c r="N98"/>
  <c r="D99"/>
  <c r="E99"/>
  <c r="F99"/>
  <c r="G99"/>
  <c r="H99"/>
  <c r="I99"/>
  <c r="J99"/>
  <c r="K99"/>
  <c r="L99"/>
  <c r="M99"/>
  <c r="N99"/>
  <c r="D100"/>
  <c r="E100"/>
  <c r="F100"/>
  <c r="G100"/>
  <c r="H100"/>
  <c r="I100"/>
  <c r="J100"/>
  <c r="K100"/>
  <c r="L100"/>
  <c r="M100"/>
  <c r="N100"/>
  <c r="D101"/>
  <c r="E101"/>
  <c r="F101"/>
  <c r="G101"/>
  <c r="H101"/>
  <c r="I101"/>
  <c r="J101"/>
  <c r="K101"/>
  <c r="L101"/>
  <c r="M101"/>
  <c r="N101"/>
  <c r="D102"/>
  <c r="E102"/>
  <c r="F102"/>
  <c r="G102"/>
  <c r="H102"/>
  <c r="I102"/>
  <c r="J102"/>
  <c r="K102"/>
  <c r="L102"/>
  <c r="M102"/>
  <c r="N102"/>
  <c r="D103"/>
  <c r="E103"/>
  <c r="F103"/>
  <c r="G103"/>
  <c r="H103"/>
  <c r="I103"/>
  <c r="J103"/>
  <c r="K103"/>
  <c r="L103"/>
  <c r="M103"/>
  <c r="N103"/>
  <c r="D104"/>
  <c r="E104"/>
  <c r="F104"/>
  <c r="G104"/>
  <c r="H104"/>
  <c r="I104"/>
  <c r="J104"/>
  <c r="K104"/>
  <c r="L104"/>
  <c r="M104"/>
  <c r="N104"/>
  <c r="D105"/>
  <c r="E105"/>
  <c r="F105"/>
  <c r="G105"/>
  <c r="H105"/>
  <c r="I105"/>
  <c r="J105"/>
  <c r="K105"/>
  <c r="L105"/>
  <c r="M105"/>
  <c r="N105"/>
  <c r="C59"/>
  <c r="C60"/>
  <c r="C61"/>
  <c r="C62"/>
  <c r="C63"/>
  <c r="C64"/>
  <c r="C65"/>
  <c r="C66"/>
  <c r="C67"/>
  <c r="C68"/>
  <c r="C69"/>
  <c r="C70"/>
  <c r="C71"/>
  <c r="C72"/>
  <c r="C73"/>
  <c r="C74"/>
  <c r="C75"/>
  <c r="C76"/>
  <c r="C77"/>
  <c r="C78"/>
  <c r="C79"/>
  <c r="C80"/>
  <c r="C81"/>
  <c r="C82"/>
  <c r="C83"/>
  <c r="C84"/>
  <c r="C85"/>
  <c r="C86"/>
  <c r="C87"/>
  <c r="C88"/>
  <c r="C89"/>
  <c r="C90"/>
  <c r="C91"/>
  <c r="C92"/>
  <c r="C93"/>
  <c r="C94"/>
  <c r="C95"/>
  <c r="C96"/>
  <c r="C97"/>
  <c r="C98"/>
  <c r="C99"/>
  <c r="C100"/>
  <c r="C101"/>
  <c r="C102"/>
  <c r="C103"/>
  <c r="C104"/>
  <c r="C105"/>
  <c r="C58"/>
  <c r="K6" i="94"/>
  <c r="C3"/>
  <c r="O105" i="108" l="1"/>
  <c r="O103"/>
  <c r="AE33" s="1"/>
  <c r="O101"/>
  <c r="O99"/>
  <c r="O97"/>
  <c r="O95"/>
  <c r="AE31" s="1"/>
  <c r="O93"/>
  <c r="O91"/>
  <c r="O89"/>
  <c r="O87"/>
  <c r="AE29" s="1"/>
  <c r="O85"/>
  <c r="O83"/>
  <c r="O81"/>
  <c r="O79"/>
  <c r="AE27" s="1"/>
  <c r="O77"/>
  <c r="O75"/>
  <c r="O73"/>
  <c r="O71"/>
  <c r="AE25" s="1"/>
  <c r="O69"/>
  <c r="O67"/>
  <c r="O65"/>
  <c r="O63"/>
  <c r="AE23" s="1"/>
  <c r="O61"/>
  <c r="O59"/>
  <c r="P104"/>
  <c r="P102"/>
  <c r="AF33" s="1"/>
  <c r="P100"/>
  <c r="P98"/>
  <c r="AF32" s="1"/>
  <c r="P96"/>
  <c r="P94"/>
  <c r="AF31" s="1"/>
  <c r="P92"/>
  <c r="P90"/>
  <c r="AF30" s="1"/>
  <c r="P88"/>
  <c r="P86"/>
  <c r="AF29" s="1"/>
  <c r="P84"/>
  <c r="P82"/>
  <c r="AF28" s="1"/>
  <c r="P80"/>
  <c r="P78"/>
  <c r="AF27" s="1"/>
  <c r="P76"/>
  <c r="P74"/>
  <c r="AF26" s="1"/>
  <c r="P72"/>
  <c r="P70"/>
  <c r="AF25" s="1"/>
  <c r="P68"/>
  <c r="P66"/>
  <c r="AF24" s="1"/>
  <c r="P64"/>
  <c r="P62"/>
  <c r="AF23" s="1"/>
  <c r="P60"/>
  <c r="P58"/>
  <c r="AF22" s="1"/>
  <c r="S23"/>
  <c r="S25"/>
  <c r="S27"/>
  <c r="S29"/>
  <c r="S31"/>
  <c r="S33"/>
  <c r="O58"/>
  <c r="AE22" s="1"/>
  <c r="O98"/>
  <c r="AE32" s="1"/>
  <c r="O90"/>
  <c r="AE30" s="1"/>
  <c r="O82"/>
  <c r="AE28" s="1"/>
  <c r="O74"/>
  <c r="AE26" s="1"/>
  <c r="O66"/>
  <c r="AE24" s="1"/>
  <c r="K6" i="98"/>
  <c r="K6" i="99" s="1"/>
  <c r="K6" i="100" s="1"/>
  <c r="K6" i="109" s="1"/>
  <c r="K6" i="110" s="1"/>
  <c r="K6" i="103" s="1"/>
  <c r="G5" i="98"/>
  <c r="G5" i="99" s="1"/>
  <c r="G5" i="100" s="1"/>
  <c r="G5" i="101" s="1"/>
  <c r="G5" i="109" s="1"/>
  <c r="G5" i="105" s="1"/>
  <c r="G5" i="110" s="1"/>
  <c r="G5" i="103" s="1"/>
  <c r="K6" i="97"/>
  <c r="G5"/>
  <c r="G5" i="96"/>
  <c r="G5" i="95"/>
  <c r="G5" i="94"/>
  <c r="G6" i="104"/>
  <c r="G6" i="108" s="1"/>
  <c r="G6" i="110"/>
  <c r="G6" i="100"/>
  <c r="G6" i="98"/>
  <c r="G6" i="96"/>
  <c r="G6" i="109" s="1"/>
  <c r="G6" i="103"/>
  <c r="G6" i="107" s="1"/>
  <c r="G6" i="105"/>
  <c r="G6" i="101"/>
  <c r="G6" i="99"/>
  <c r="G6" i="97"/>
  <c r="G6" i="95"/>
  <c r="D6" i="104"/>
  <c r="D6" i="108" s="1"/>
  <c r="D6" i="110"/>
  <c r="D6" i="109"/>
  <c r="D6" i="100"/>
  <c r="D6" i="98"/>
  <c r="D6" i="96"/>
  <c r="D6" i="103"/>
  <c r="D6" i="107" s="1"/>
  <c r="D6" i="105"/>
  <c r="D6" i="101"/>
  <c r="D6" i="99"/>
  <c r="D6" i="97"/>
  <c r="D6" i="95"/>
  <c r="D5" i="104"/>
  <c r="D5" i="110"/>
  <c r="D5" i="109"/>
  <c r="D5" i="100"/>
  <c r="D5" i="98"/>
  <c r="D5" i="96"/>
  <c r="D5" i="94"/>
  <c r="K6" i="104" l="1"/>
  <c r="K6" i="108" s="1"/>
  <c r="K6" i="111" s="1"/>
  <c r="K6" i="107"/>
  <c r="K5"/>
  <c r="K5" i="108"/>
  <c r="K5" i="111" s="1"/>
  <c r="G5" i="107"/>
  <c r="G5" i="104"/>
  <c r="G5" i="108" s="1"/>
  <c r="G5" i="111" s="1"/>
  <c r="AC33" i="110"/>
  <c r="AA33"/>
  <c r="Y33"/>
  <c r="W33"/>
  <c r="U33"/>
  <c r="S33"/>
  <c r="AA32"/>
  <c r="W32"/>
  <c r="S32"/>
  <c r="AC31"/>
  <c r="AA31"/>
  <c r="Y31"/>
  <c r="W31"/>
  <c r="U31"/>
  <c r="S31"/>
  <c r="AA30"/>
  <c r="W30"/>
  <c r="S30"/>
  <c r="AC29"/>
  <c r="AA29"/>
  <c r="Y29"/>
  <c r="W29"/>
  <c r="U29"/>
  <c r="S29"/>
  <c r="AA28"/>
  <c r="W28"/>
  <c r="S28"/>
  <c r="AC27"/>
  <c r="AA27"/>
  <c r="Y27"/>
  <c r="W27"/>
  <c r="U27"/>
  <c r="S27"/>
  <c r="AA26"/>
  <c r="W26"/>
  <c r="S26"/>
  <c r="AC25"/>
  <c r="AA25"/>
  <c r="Y25"/>
  <c r="W25"/>
  <c r="U25"/>
  <c r="S25"/>
  <c r="AA24"/>
  <c r="W24"/>
  <c r="S24"/>
  <c r="AC23"/>
  <c r="AA23"/>
  <c r="Y23"/>
  <c r="W23"/>
  <c r="U23"/>
  <c r="S23"/>
  <c r="AA22"/>
  <c r="W22"/>
  <c r="S22"/>
  <c r="AA21"/>
  <c r="W21"/>
  <c r="S21"/>
  <c r="AA20"/>
  <c r="W20"/>
  <c r="S20"/>
  <c r="AA19"/>
  <c r="W19"/>
  <c r="S19"/>
  <c r="AA18"/>
  <c r="Y18"/>
  <c r="W18"/>
  <c r="U18"/>
  <c r="S18"/>
  <c r="AC17"/>
  <c r="AB17"/>
  <c r="AA17"/>
  <c r="Z17"/>
  <c r="Y17"/>
  <c r="X17"/>
  <c r="W17"/>
  <c r="V17"/>
  <c r="U17"/>
  <c r="T17"/>
  <c r="AD16"/>
  <c r="AC16"/>
  <c r="AB16"/>
  <c r="AA16"/>
  <c r="Z16"/>
  <c r="Y16"/>
  <c r="X16"/>
  <c r="W16"/>
  <c r="V16"/>
  <c r="U16"/>
  <c r="T16"/>
  <c r="S16"/>
  <c r="AD17"/>
  <c r="C3"/>
  <c r="AC33" i="109"/>
  <c r="AA33"/>
  <c r="Y33"/>
  <c r="W33"/>
  <c r="U33"/>
  <c r="AA32"/>
  <c r="Y32"/>
  <c r="W32"/>
  <c r="U32"/>
  <c r="S32"/>
  <c r="AC31"/>
  <c r="AA31"/>
  <c r="Y31"/>
  <c r="W31"/>
  <c r="U31"/>
  <c r="AC30"/>
  <c r="AA30"/>
  <c r="Y30"/>
  <c r="W30"/>
  <c r="U30"/>
  <c r="S30"/>
  <c r="AC29"/>
  <c r="AA29"/>
  <c r="Y29"/>
  <c r="W29"/>
  <c r="U29"/>
  <c r="AC28"/>
  <c r="AA28"/>
  <c r="Y28"/>
  <c r="W28"/>
  <c r="U28"/>
  <c r="S28"/>
  <c r="AC27"/>
  <c r="AA27"/>
  <c r="Y27"/>
  <c r="W27"/>
  <c r="U27"/>
  <c r="AC26"/>
  <c r="AA26"/>
  <c r="Y26"/>
  <c r="W26"/>
  <c r="U26"/>
  <c r="S26"/>
  <c r="AC25"/>
  <c r="AA25"/>
  <c r="Y25"/>
  <c r="W25"/>
  <c r="U25"/>
  <c r="AC24"/>
  <c r="AA24"/>
  <c r="Y24"/>
  <c r="W24"/>
  <c r="U24"/>
  <c r="S24"/>
  <c r="AC23"/>
  <c r="AA23"/>
  <c r="Y23"/>
  <c r="W23"/>
  <c r="U23"/>
  <c r="AC22"/>
  <c r="AA22"/>
  <c r="Y22"/>
  <c r="W22"/>
  <c r="S22"/>
  <c r="AC21"/>
  <c r="AA21"/>
  <c r="Y21"/>
  <c r="W21"/>
  <c r="U21"/>
  <c r="S21"/>
  <c r="AC20"/>
  <c r="AA20"/>
  <c r="Y20"/>
  <c r="W20"/>
  <c r="U20"/>
  <c r="S20"/>
  <c r="AC19"/>
  <c r="AC39" s="1"/>
  <c r="AA19"/>
  <c r="Y19"/>
  <c r="Y39" s="1"/>
  <c r="W19"/>
  <c r="U19"/>
  <c r="U39" s="1"/>
  <c r="S19"/>
  <c r="AC18"/>
  <c r="AA18"/>
  <c r="Y18"/>
  <c r="W18"/>
  <c r="U18"/>
  <c r="S18"/>
  <c r="AB17"/>
  <c r="AA17"/>
  <c r="Z17"/>
  <c r="Y17"/>
  <c r="X17"/>
  <c r="W17"/>
  <c r="V17"/>
  <c r="U17"/>
  <c r="T17"/>
  <c r="AD16"/>
  <c r="AC16"/>
  <c r="AB16"/>
  <c r="AA16"/>
  <c r="Z16"/>
  <c r="Y16"/>
  <c r="X16"/>
  <c r="W16"/>
  <c r="V16"/>
  <c r="U16"/>
  <c r="T16"/>
  <c r="Z15"/>
  <c r="AD14"/>
  <c r="AD17"/>
  <c r="C3"/>
  <c r="C3" i="104"/>
  <c r="C3" i="103"/>
  <c r="C3" i="105"/>
  <c r="C3" i="101"/>
  <c r="C3" i="100"/>
  <c r="C3" i="99"/>
  <c r="C3" i="98"/>
  <c r="C3" i="97"/>
  <c r="C3" i="96"/>
  <c r="C3" i="95"/>
  <c r="AC33" i="105"/>
  <c r="AB33"/>
  <c r="Z33"/>
  <c r="Y33"/>
  <c r="X33"/>
  <c r="W33"/>
  <c r="V33"/>
  <c r="U33"/>
  <c r="T33"/>
  <c r="AD32"/>
  <c r="AC32"/>
  <c r="AB32"/>
  <c r="AA32"/>
  <c r="Z32"/>
  <c r="Y32"/>
  <c r="X32"/>
  <c r="W32"/>
  <c r="V32"/>
  <c r="U32"/>
  <c r="T32"/>
  <c r="AD31"/>
  <c r="AC31"/>
  <c r="AB31"/>
  <c r="AA31"/>
  <c r="Z31"/>
  <c r="Y31"/>
  <c r="X31"/>
  <c r="W31"/>
  <c r="V31"/>
  <c r="U31"/>
  <c r="T31"/>
  <c r="AD30"/>
  <c r="AC30"/>
  <c r="AB30"/>
  <c r="AA30"/>
  <c r="Z30"/>
  <c r="Y30"/>
  <c r="X30"/>
  <c r="W30"/>
  <c r="V30"/>
  <c r="U30"/>
  <c r="T30"/>
  <c r="AC29"/>
  <c r="AB29"/>
  <c r="AA29"/>
  <c r="Z29"/>
  <c r="Y29"/>
  <c r="X29"/>
  <c r="W29"/>
  <c r="V29"/>
  <c r="U29"/>
  <c r="T29"/>
  <c r="AD28"/>
  <c r="AC28"/>
  <c r="AB28"/>
  <c r="AA28"/>
  <c r="Z28"/>
  <c r="Y28"/>
  <c r="X28"/>
  <c r="W28"/>
  <c r="V28"/>
  <c r="U28"/>
  <c r="T28"/>
  <c r="AD27"/>
  <c r="AC27"/>
  <c r="AB27"/>
  <c r="AA27"/>
  <c r="Z27"/>
  <c r="Y27"/>
  <c r="X27"/>
  <c r="W27"/>
  <c r="V27"/>
  <c r="U27"/>
  <c r="T27"/>
  <c r="AD26"/>
  <c r="AC26"/>
  <c r="AB26"/>
  <c r="AA26"/>
  <c r="Z26"/>
  <c r="Y26"/>
  <c r="X26"/>
  <c r="W26"/>
  <c r="V26"/>
  <c r="U26"/>
  <c r="T26"/>
  <c r="AD25"/>
  <c r="AC25"/>
  <c r="AB25"/>
  <c r="AA25"/>
  <c r="Z25"/>
  <c r="Y25"/>
  <c r="X25"/>
  <c r="W25"/>
  <c r="V25"/>
  <c r="U25"/>
  <c r="T25"/>
  <c r="AD24"/>
  <c r="AC24"/>
  <c r="AB24"/>
  <c r="AA24"/>
  <c r="Z24"/>
  <c r="X24"/>
  <c r="W24"/>
  <c r="V24"/>
  <c r="U24"/>
  <c r="T24"/>
  <c r="AD23"/>
  <c r="AC23"/>
  <c r="AB23"/>
  <c r="AA23"/>
  <c r="Z23"/>
  <c r="Y23"/>
  <c r="X23"/>
  <c r="V23"/>
  <c r="U23"/>
  <c r="AD22"/>
  <c r="AC22"/>
  <c r="AB22"/>
  <c r="AA22"/>
  <c r="Z22"/>
  <c r="Y22"/>
  <c r="X22"/>
  <c r="W22"/>
  <c r="V22"/>
  <c r="U22"/>
  <c r="T22"/>
  <c r="S22"/>
  <c r="AD21"/>
  <c r="AC21"/>
  <c r="AB21"/>
  <c r="AA21"/>
  <c r="Z21"/>
  <c r="Y21"/>
  <c r="X21"/>
  <c r="W21"/>
  <c r="V21"/>
  <c r="U21"/>
  <c r="T21"/>
  <c r="AD20"/>
  <c r="AC20"/>
  <c r="AA20"/>
  <c r="Z20"/>
  <c r="Y20"/>
  <c r="X20"/>
  <c r="W20"/>
  <c r="V20"/>
  <c r="S20"/>
  <c r="AD19"/>
  <c r="AD39" s="1"/>
  <c r="AC19"/>
  <c r="AB19"/>
  <c r="AA19"/>
  <c r="AA39" s="1"/>
  <c r="Z19"/>
  <c r="Z39" s="1"/>
  <c r="Y19"/>
  <c r="X19"/>
  <c r="X39" s="1"/>
  <c r="W19"/>
  <c r="W39" s="1"/>
  <c r="V19"/>
  <c r="V39" s="1"/>
  <c r="U19"/>
  <c r="T19"/>
  <c r="S19"/>
  <c r="AD18"/>
  <c r="AC18"/>
  <c r="AB18"/>
  <c r="AA18"/>
  <c r="Z18"/>
  <c r="Y18"/>
  <c r="X18"/>
  <c r="W18"/>
  <c r="V18"/>
  <c r="U18"/>
  <c r="T18"/>
  <c r="S18"/>
  <c r="AD17"/>
  <c r="AC17"/>
  <c r="AB17"/>
  <c r="AA17"/>
  <c r="Z17"/>
  <c r="Y17"/>
  <c r="X17"/>
  <c r="W17"/>
  <c r="V17"/>
  <c r="U17"/>
  <c r="T17"/>
  <c r="S17"/>
  <c r="AD16"/>
  <c r="AC16"/>
  <c r="AB16"/>
  <c r="AA16"/>
  <c r="Z16"/>
  <c r="Y16"/>
  <c r="X16"/>
  <c r="W16"/>
  <c r="V16"/>
  <c r="U16"/>
  <c r="T16"/>
  <c r="S16"/>
  <c r="AD33"/>
  <c r="X12"/>
  <c r="AB11"/>
  <c r="X11"/>
  <c r="T11"/>
  <c r="AA21" i="104"/>
  <c r="AC20"/>
  <c r="AA20"/>
  <c r="Y20"/>
  <c r="W20"/>
  <c r="U20"/>
  <c r="AA19"/>
  <c r="AC18"/>
  <c r="AA18"/>
  <c r="Y18"/>
  <c r="W18"/>
  <c r="U18"/>
  <c r="AA17"/>
  <c r="AC16"/>
  <c r="AA16"/>
  <c r="Y16"/>
  <c r="W16"/>
  <c r="U16"/>
  <c r="AA15"/>
  <c r="AD14"/>
  <c r="AC14"/>
  <c r="AB14"/>
  <c r="AA14"/>
  <c r="Z14"/>
  <c r="Y14"/>
  <c r="X14"/>
  <c r="W14"/>
  <c r="V14"/>
  <c r="U14"/>
  <c r="S14"/>
  <c r="AC13"/>
  <c r="AA13"/>
  <c r="Y13"/>
  <c r="W13"/>
  <c r="U13"/>
  <c r="AD12"/>
  <c r="Z12"/>
  <c r="V12"/>
  <c r="AD11"/>
  <c r="Z11"/>
  <c r="V11"/>
  <c r="AB16" i="103"/>
  <c r="Z16"/>
  <c r="X16"/>
  <c r="V16"/>
  <c r="T16"/>
  <c r="AD15"/>
  <c r="AB15"/>
  <c r="Z15"/>
  <c r="X15"/>
  <c r="V15"/>
  <c r="T15"/>
  <c r="AD14"/>
  <c r="AC14"/>
  <c r="AA14"/>
  <c r="Z14"/>
  <c r="Y14"/>
  <c r="W14"/>
  <c r="V14"/>
  <c r="U14"/>
  <c r="AD13"/>
  <c r="Z13"/>
  <c r="V13"/>
  <c r="AD21"/>
  <c r="AC21"/>
  <c r="AB21"/>
  <c r="AA21"/>
  <c r="Z21"/>
  <c r="Y21"/>
  <c r="X21"/>
  <c r="W21"/>
  <c r="V21"/>
  <c r="U21"/>
  <c r="T21"/>
  <c r="S21"/>
  <c r="AD20"/>
  <c r="AC20"/>
  <c r="AB20"/>
  <c r="AA20"/>
  <c r="Z20"/>
  <c r="Y20"/>
  <c r="X20"/>
  <c r="W20"/>
  <c r="V20"/>
  <c r="U20"/>
  <c r="T20"/>
  <c r="S20"/>
  <c r="AD19"/>
  <c r="AD27" s="1"/>
  <c r="AC19"/>
  <c r="AB19"/>
  <c r="AB27" s="1"/>
  <c r="AA19"/>
  <c r="AA27" s="1"/>
  <c r="Z19"/>
  <c r="Z27" s="1"/>
  <c r="Y19"/>
  <c r="Y27" s="1"/>
  <c r="X19"/>
  <c r="X27" s="1"/>
  <c r="W19"/>
  <c r="W27" s="1"/>
  <c r="V19"/>
  <c r="V27" s="1"/>
  <c r="U19"/>
  <c r="U24" s="1"/>
  <c r="T19"/>
  <c r="S19"/>
  <c r="S27" s="1"/>
  <c r="AD18"/>
  <c r="AC18"/>
  <c r="AB18"/>
  <c r="AA18"/>
  <c r="Z18"/>
  <c r="Y18"/>
  <c r="X18"/>
  <c r="W18"/>
  <c r="V18"/>
  <c r="U18"/>
  <c r="T18"/>
  <c r="S18"/>
  <c r="AD12"/>
  <c r="AC12"/>
  <c r="AB12"/>
  <c r="AA12"/>
  <c r="Z12"/>
  <c r="Y12"/>
  <c r="X12"/>
  <c r="W12"/>
  <c r="V12"/>
  <c r="U12"/>
  <c r="T12"/>
  <c r="AD17"/>
  <c r="AC17"/>
  <c r="AB17"/>
  <c r="AA17"/>
  <c r="Z17"/>
  <c r="Y17"/>
  <c r="X17"/>
  <c r="W17"/>
  <c r="V17"/>
  <c r="U17"/>
  <c r="T17"/>
  <c r="S17"/>
  <c r="AD16"/>
  <c r="AD21" i="101"/>
  <c r="AC21"/>
  <c r="AB21"/>
  <c r="AA21"/>
  <c r="Z21"/>
  <c r="Y21"/>
  <c r="W21"/>
  <c r="V21"/>
  <c r="U21"/>
  <c r="T21"/>
  <c r="S21"/>
  <c r="AD20"/>
  <c r="AC20"/>
  <c r="AB20"/>
  <c r="AA20"/>
  <c r="Z20"/>
  <c r="Y20"/>
  <c r="X20"/>
  <c r="W20"/>
  <c r="V20"/>
  <c r="U20"/>
  <c r="T20"/>
  <c r="S20"/>
  <c r="AD19"/>
  <c r="AC19"/>
  <c r="AB19"/>
  <c r="AA19"/>
  <c r="Z19"/>
  <c r="Y19"/>
  <c r="X19"/>
  <c r="W19"/>
  <c r="W39" s="1"/>
  <c r="V19"/>
  <c r="V39" s="1"/>
  <c r="U19"/>
  <c r="T19"/>
  <c r="S19"/>
  <c r="S39" s="1"/>
  <c r="AD18"/>
  <c r="AC18"/>
  <c r="AB18"/>
  <c r="AA18"/>
  <c r="Z18"/>
  <c r="Y18"/>
  <c r="X18"/>
  <c r="W18"/>
  <c r="V18"/>
  <c r="U18"/>
  <c r="T18"/>
  <c r="S18"/>
  <c r="AD17"/>
  <c r="AC17"/>
  <c r="AB17"/>
  <c r="AA17"/>
  <c r="Y17"/>
  <c r="X17"/>
  <c r="W17"/>
  <c r="V17"/>
  <c r="U17"/>
  <c r="T17"/>
  <c r="AD16"/>
  <c r="AC16"/>
  <c r="AB16"/>
  <c r="AA16"/>
  <c r="Z16"/>
  <c r="Y16"/>
  <c r="X16"/>
  <c r="W16"/>
  <c r="V16"/>
  <c r="U16"/>
  <c r="T16"/>
  <c r="S16"/>
  <c r="AD15"/>
  <c r="AC15"/>
  <c r="AB15"/>
  <c r="AA15"/>
  <c r="Z15"/>
  <c r="X15"/>
  <c r="W15"/>
  <c r="V15"/>
  <c r="T15"/>
  <c r="S15"/>
  <c r="AD14"/>
  <c r="AC14"/>
  <c r="AA14"/>
  <c r="Z14"/>
  <c r="W14"/>
  <c r="U14"/>
  <c r="AD13"/>
  <c r="AD38" s="1"/>
  <c r="V13"/>
  <c r="AA21" i="100"/>
  <c r="AC20"/>
  <c r="AA20"/>
  <c r="Y20"/>
  <c r="W20"/>
  <c r="AA19"/>
  <c r="AC18"/>
  <c r="AA18"/>
  <c r="Y18"/>
  <c r="W18"/>
  <c r="U18"/>
  <c r="AA17"/>
  <c r="AC16"/>
  <c r="Y16"/>
  <c r="W16"/>
  <c r="U16"/>
  <c r="AA15"/>
  <c r="AD14"/>
  <c r="AC14"/>
  <c r="AB14"/>
  <c r="AA14"/>
  <c r="Z14"/>
  <c r="X14"/>
  <c r="W14"/>
  <c r="V14"/>
  <c r="U14"/>
  <c r="S14"/>
  <c r="AC13"/>
  <c r="AA13"/>
  <c r="W13"/>
  <c r="U13"/>
  <c r="AB12"/>
  <c r="T12"/>
  <c r="AB11"/>
  <c r="X11"/>
  <c r="T11"/>
  <c r="AD21" i="99"/>
  <c r="AC21"/>
  <c r="AB21"/>
  <c r="AA21"/>
  <c r="Z21"/>
  <c r="Y21"/>
  <c r="X21"/>
  <c r="W21"/>
  <c r="V21"/>
  <c r="U21"/>
  <c r="T21"/>
  <c r="S21"/>
  <c r="AD20"/>
  <c r="AA20"/>
  <c r="Z20"/>
  <c r="W20"/>
  <c r="V20"/>
  <c r="U20"/>
  <c r="T20"/>
  <c r="S20"/>
  <c r="AD19"/>
  <c r="AD27" s="1"/>
  <c r="AC19"/>
  <c r="AB19"/>
  <c r="AA19"/>
  <c r="AA27" s="1"/>
  <c r="Z19"/>
  <c r="Y19"/>
  <c r="X19"/>
  <c r="W19"/>
  <c r="W27" s="1"/>
  <c r="V19"/>
  <c r="V27" s="1"/>
  <c r="U19"/>
  <c r="T19"/>
  <c r="T27" s="1"/>
  <c r="S19"/>
  <c r="S27" s="1"/>
  <c r="AD18"/>
  <c r="AC18"/>
  <c r="AB18"/>
  <c r="AA18"/>
  <c r="Z18"/>
  <c r="Y18"/>
  <c r="X18"/>
  <c r="W18"/>
  <c r="V18"/>
  <c r="U18"/>
  <c r="T18"/>
  <c r="S18"/>
  <c r="AD17"/>
  <c r="AC17"/>
  <c r="AB17"/>
  <c r="AA17"/>
  <c r="Z17"/>
  <c r="Y17"/>
  <c r="X17"/>
  <c r="W17"/>
  <c r="V17"/>
  <c r="U17"/>
  <c r="T17"/>
  <c r="S17"/>
  <c r="AD16"/>
  <c r="AC16"/>
  <c r="AB16"/>
  <c r="AA16"/>
  <c r="Z16"/>
  <c r="Y16"/>
  <c r="X16"/>
  <c r="V16"/>
  <c r="U16"/>
  <c r="T16"/>
  <c r="S16"/>
  <c r="AD15"/>
  <c r="AC15"/>
  <c r="AB15"/>
  <c r="AA15"/>
  <c r="Z15"/>
  <c r="Y15"/>
  <c r="X15"/>
  <c r="W15"/>
  <c r="V15"/>
  <c r="T15"/>
  <c r="S15"/>
  <c r="AD14"/>
  <c r="AC14"/>
  <c r="AA14"/>
  <c r="Z14"/>
  <c r="Y14"/>
  <c r="W14"/>
  <c r="U14"/>
  <c r="V13"/>
  <c r="AC21" i="98"/>
  <c r="AB21"/>
  <c r="AA21"/>
  <c r="Y21"/>
  <c r="X21"/>
  <c r="W21"/>
  <c r="U21"/>
  <c r="AC20"/>
  <c r="AB20"/>
  <c r="AA20"/>
  <c r="Z20"/>
  <c r="Y20"/>
  <c r="X20"/>
  <c r="V20"/>
  <c r="U20"/>
  <c r="T20"/>
  <c r="AD19"/>
  <c r="AC19"/>
  <c r="AA19"/>
  <c r="Y19"/>
  <c r="X19"/>
  <c r="W19"/>
  <c r="V19"/>
  <c r="U19"/>
  <c r="T19"/>
  <c r="AC18"/>
  <c r="AB18"/>
  <c r="AA18"/>
  <c r="Z18"/>
  <c r="Y18"/>
  <c r="X18"/>
  <c r="W18"/>
  <c r="U18"/>
  <c r="AD17"/>
  <c r="AC17"/>
  <c r="AA17"/>
  <c r="Z17"/>
  <c r="Y17"/>
  <c r="X17"/>
  <c r="W17"/>
  <c r="V17"/>
  <c r="U17"/>
  <c r="T17"/>
  <c r="AD16"/>
  <c r="AB16"/>
  <c r="AA16"/>
  <c r="Z16"/>
  <c r="Y16"/>
  <c r="X16"/>
  <c r="W16"/>
  <c r="V16"/>
  <c r="U16"/>
  <c r="T16"/>
  <c r="AD15"/>
  <c r="AC15"/>
  <c r="AB15"/>
  <c r="AA15"/>
  <c r="Z15"/>
  <c r="Y15"/>
  <c r="X15"/>
  <c r="W15"/>
  <c r="U15"/>
  <c r="T15"/>
  <c r="AD14"/>
  <c r="AC14"/>
  <c r="AB14"/>
  <c r="AA14"/>
  <c r="Z14"/>
  <c r="Y14"/>
  <c r="X14"/>
  <c r="W14"/>
  <c r="U14"/>
  <c r="T14"/>
  <c r="AC13"/>
  <c r="AB13"/>
  <c r="AA13"/>
  <c r="Z13"/>
  <c r="Y13"/>
  <c r="X13"/>
  <c r="W13"/>
  <c r="V13"/>
  <c r="U13"/>
  <c r="T13"/>
  <c r="AD21"/>
  <c r="AC18" i="97"/>
  <c r="AA18"/>
  <c r="Z18"/>
  <c r="Y18"/>
  <c r="X18"/>
  <c r="W18"/>
  <c r="V18"/>
  <c r="U18"/>
  <c r="T18"/>
  <c r="AD17"/>
  <c r="AC17"/>
  <c r="AB17"/>
  <c r="AA17"/>
  <c r="Z17"/>
  <c r="Y17"/>
  <c r="X17"/>
  <c r="V17"/>
  <c r="T17"/>
  <c r="S17"/>
  <c r="AB16"/>
  <c r="AA16"/>
  <c r="Z16"/>
  <c r="Y16"/>
  <c r="W16"/>
  <c r="V16"/>
  <c r="U16"/>
  <c r="T16"/>
  <c r="S16"/>
  <c r="AD15"/>
  <c r="AC15"/>
  <c r="AB15"/>
  <c r="AA15"/>
  <c r="Z15"/>
  <c r="X15"/>
  <c r="W15"/>
  <c r="V15"/>
  <c r="U15"/>
  <c r="T15"/>
  <c r="S15"/>
  <c r="AD14"/>
  <c r="AC14"/>
  <c r="AB14"/>
  <c r="AA14"/>
  <c r="Z14"/>
  <c r="Y14"/>
  <c r="X14"/>
  <c r="W14"/>
  <c r="U14"/>
  <c r="T14"/>
  <c r="S14"/>
  <c r="AD13"/>
  <c r="AC13"/>
  <c r="AB13"/>
  <c r="AA13"/>
  <c r="Z13"/>
  <c r="Y13"/>
  <c r="X13"/>
  <c r="W13"/>
  <c r="U13"/>
  <c r="T13"/>
  <c r="AD21"/>
  <c r="AC21"/>
  <c r="AB21"/>
  <c r="AA21"/>
  <c r="Z21"/>
  <c r="Y21"/>
  <c r="X21"/>
  <c r="W21"/>
  <c r="V21"/>
  <c r="U21"/>
  <c r="T21"/>
  <c r="S21"/>
  <c r="AD20"/>
  <c r="AC20"/>
  <c r="AB20"/>
  <c r="AA20"/>
  <c r="Z20"/>
  <c r="Y20"/>
  <c r="X20"/>
  <c r="W20"/>
  <c r="V20"/>
  <c r="U20"/>
  <c r="T20"/>
  <c r="S20"/>
  <c r="AD19"/>
  <c r="AD27" s="1"/>
  <c r="AC19"/>
  <c r="AB19"/>
  <c r="AB27" s="1"/>
  <c r="AA19"/>
  <c r="Z19"/>
  <c r="Z27" s="1"/>
  <c r="Y19"/>
  <c r="X19"/>
  <c r="X27" s="1"/>
  <c r="W19"/>
  <c r="V19"/>
  <c r="V27" s="1"/>
  <c r="U19"/>
  <c r="T19"/>
  <c r="T27" s="1"/>
  <c r="S19"/>
  <c r="AD18"/>
  <c r="W17"/>
  <c r="AC11"/>
  <c r="AC21" i="96"/>
  <c r="AB21"/>
  <c r="AA21"/>
  <c r="Z21"/>
  <c r="X21"/>
  <c r="W21"/>
  <c r="V21"/>
  <c r="U21"/>
  <c r="T21"/>
  <c r="AD20"/>
  <c r="AC20"/>
  <c r="AB20"/>
  <c r="AA20"/>
  <c r="Z20"/>
  <c r="Y20"/>
  <c r="X20"/>
  <c r="V20"/>
  <c r="U20"/>
  <c r="T20"/>
  <c r="AD19"/>
  <c r="AC19"/>
  <c r="AB19"/>
  <c r="AA19"/>
  <c r="Z19"/>
  <c r="Y19"/>
  <c r="X19"/>
  <c r="W19"/>
  <c r="V19"/>
  <c r="U19"/>
  <c r="T19"/>
  <c r="AD18"/>
  <c r="AC18"/>
  <c r="AB18"/>
  <c r="Z18"/>
  <c r="X18"/>
  <c r="W18"/>
  <c r="V18"/>
  <c r="U18"/>
  <c r="T18"/>
  <c r="AD17"/>
  <c r="AC17"/>
  <c r="AB17"/>
  <c r="AA17"/>
  <c r="Z17"/>
  <c r="Y17"/>
  <c r="X17"/>
  <c r="V17"/>
  <c r="T17"/>
  <c r="AB16"/>
  <c r="AA16"/>
  <c r="Z16"/>
  <c r="X16"/>
  <c r="V16"/>
  <c r="U16"/>
  <c r="AD15"/>
  <c r="AC15"/>
  <c r="AB15"/>
  <c r="AA15"/>
  <c r="Z15"/>
  <c r="Y15"/>
  <c r="W15"/>
  <c r="V15"/>
  <c r="U15"/>
  <c r="T15"/>
  <c r="AD14"/>
  <c r="AB14"/>
  <c r="AA14"/>
  <c r="Z14"/>
  <c r="Y14"/>
  <c r="X14"/>
  <c r="W14"/>
  <c r="V14"/>
  <c r="T14"/>
  <c r="AD13"/>
  <c r="AC13"/>
  <c r="AA13"/>
  <c r="Z13"/>
  <c r="Y13"/>
  <c r="X13"/>
  <c r="W13"/>
  <c r="V13"/>
  <c r="U13"/>
  <c r="T13"/>
  <c r="AD21"/>
  <c r="AB21" i="95"/>
  <c r="AA21"/>
  <c r="Z21"/>
  <c r="Y21"/>
  <c r="X21"/>
  <c r="U21"/>
  <c r="T21"/>
  <c r="AD20"/>
  <c r="AB20"/>
  <c r="AA20"/>
  <c r="Z20"/>
  <c r="Y20"/>
  <c r="X20"/>
  <c r="W20"/>
  <c r="V20"/>
  <c r="T20"/>
  <c r="S20"/>
  <c r="AD19"/>
  <c r="AC19"/>
  <c r="AB19"/>
  <c r="AA19"/>
  <c r="Y19"/>
  <c r="X19"/>
  <c r="W19"/>
  <c r="U19"/>
  <c r="AD18"/>
  <c r="AB18"/>
  <c r="AA18"/>
  <c r="Y18"/>
  <c r="X18"/>
  <c r="W18"/>
  <c r="V18"/>
  <c r="U18"/>
  <c r="T18"/>
  <c r="AD17"/>
  <c r="AA17"/>
  <c r="Z17"/>
  <c r="Y17"/>
  <c r="X17"/>
  <c r="W17"/>
  <c r="V17"/>
  <c r="U17"/>
  <c r="T17"/>
  <c r="AD16"/>
  <c r="AA16"/>
  <c r="Z16"/>
  <c r="X16"/>
  <c r="W16"/>
  <c r="V16"/>
  <c r="U16"/>
  <c r="T16"/>
  <c r="AD15"/>
  <c r="AC15"/>
  <c r="AA15"/>
  <c r="Z15"/>
  <c r="Y15"/>
  <c r="X15"/>
  <c r="W15"/>
  <c r="U15"/>
  <c r="T15"/>
  <c r="AD14"/>
  <c r="AC14"/>
  <c r="AA14"/>
  <c r="Z14"/>
  <c r="Y14"/>
  <c r="X14"/>
  <c r="W14"/>
  <c r="V14"/>
  <c r="T14"/>
  <c r="AD13"/>
  <c r="AC13"/>
  <c r="AB13"/>
  <c r="AA13"/>
  <c r="W13"/>
  <c r="V13"/>
  <c r="U13"/>
  <c r="T13"/>
  <c r="AD21"/>
  <c r="AC20"/>
  <c r="T19"/>
  <c r="X26" i="98" l="1"/>
  <c r="T27" i="103"/>
  <c r="AA39" i="101"/>
  <c r="AA26" i="95"/>
  <c r="Z39" i="101"/>
  <c r="AB39"/>
  <c r="AD39"/>
  <c r="W26" i="95"/>
  <c r="AD26"/>
  <c r="C3" i="108"/>
  <c r="C3" i="111"/>
  <c r="C3" i="107"/>
  <c r="X15" i="96"/>
  <c r="X23" s="1"/>
  <c r="AD16" i="97"/>
  <c r="AD23" s="1"/>
  <c r="U20" i="100"/>
  <c r="T20" i="105"/>
  <c r="T39" s="1"/>
  <c r="AC17" i="95"/>
  <c r="AB13" i="96"/>
  <c r="AB26" s="1"/>
  <c r="AB16" i="95"/>
  <c r="T18" i="98"/>
  <c r="T26" s="1"/>
  <c r="Z21"/>
  <c r="T16" i="96"/>
  <c r="T26" s="1"/>
  <c r="AB20" i="99"/>
  <c r="AB27" s="1"/>
  <c r="X21" i="101"/>
  <c r="X39" s="1"/>
  <c r="U20" i="105"/>
  <c r="U39" s="1"/>
  <c r="AA33"/>
  <c r="U22" i="109"/>
  <c r="W20" i="96"/>
  <c r="W24" s="1"/>
  <c r="V14" i="101"/>
  <c r="V38" s="1"/>
  <c r="Y13" i="95"/>
  <c r="V14" i="97"/>
  <c r="S17" i="101"/>
  <c r="T23" i="105"/>
  <c r="Z27" i="99"/>
  <c r="Y16" i="96"/>
  <c r="AC32" i="109"/>
  <c r="AC18" i="110"/>
  <c r="W21" i="95"/>
  <c r="AC21"/>
  <c r="AC24" s="1"/>
  <c r="AB17" i="98"/>
  <c r="AB23" s="1"/>
  <c r="W16" i="96"/>
  <c r="AB26" i="98"/>
  <c r="AD18"/>
  <c r="AC16" i="97"/>
  <c r="AB19" i="98"/>
  <c r="AB27" s="1"/>
  <c r="S14" i="94"/>
  <c r="S15"/>
  <c r="W15"/>
  <c r="S16"/>
  <c r="W17"/>
  <c r="W19"/>
  <c r="AA19"/>
  <c r="S20"/>
  <c r="U20"/>
  <c r="W20"/>
  <c r="Y20"/>
  <c r="AA20"/>
  <c r="AC21"/>
  <c r="AC14" i="96"/>
  <c r="W14" i="94"/>
  <c r="S17"/>
  <c r="S18"/>
  <c r="S19"/>
  <c r="AC19"/>
  <c r="S21"/>
  <c r="U21"/>
  <c r="W21"/>
  <c r="Y21"/>
  <c r="X12" i="100"/>
  <c r="S39" i="110"/>
  <c r="AA39"/>
  <c r="T12"/>
  <c r="V12"/>
  <c r="X12"/>
  <c r="Z12"/>
  <c r="AB12"/>
  <c r="AD12"/>
  <c r="U12"/>
  <c r="W12"/>
  <c r="Y12"/>
  <c r="AA12"/>
  <c r="AC12"/>
  <c r="P21"/>
  <c r="T13"/>
  <c r="V13"/>
  <c r="X13"/>
  <c r="Z13"/>
  <c r="AB13"/>
  <c r="AD13"/>
  <c r="U13"/>
  <c r="W13"/>
  <c r="Y13"/>
  <c r="AA13"/>
  <c r="AC13"/>
  <c r="P25"/>
  <c r="T14"/>
  <c r="V14"/>
  <c r="X14"/>
  <c r="Z14"/>
  <c r="AB14"/>
  <c r="AD14"/>
  <c r="U14"/>
  <c r="W14"/>
  <c r="Y14"/>
  <c r="AA14"/>
  <c r="AC14"/>
  <c r="P29"/>
  <c r="T15"/>
  <c r="V15"/>
  <c r="X15"/>
  <c r="Z15"/>
  <c r="AB15"/>
  <c r="AD15"/>
  <c r="U15"/>
  <c r="W15"/>
  <c r="Y15"/>
  <c r="AA15"/>
  <c r="AC15"/>
  <c r="P33"/>
  <c r="P45"/>
  <c r="P49"/>
  <c r="P53"/>
  <c r="P59"/>
  <c r="P63"/>
  <c r="P67"/>
  <c r="P71"/>
  <c r="P75"/>
  <c r="P79"/>
  <c r="P83"/>
  <c r="P87"/>
  <c r="P91"/>
  <c r="X20" i="99"/>
  <c r="X27" s="1"/>
  <c r="F13" i="108"/>
  <c r="J13"/>
  <c r="N13"/>
  <c r="J14"/>
  <c r="N14"/>
  <c r="F15"/>
  <c r="N15"/>
  <c r="J16"/>
  <c r="F17"/>
  <c r="N17"/>
  <c r="J18"/>
  <c r="N18"/>
  <c r="F19"/>
  <c r="N19"/>
  <c r="F20"/>
  <c r="J20"/>
  <c r="F21"/>
  <c r="AB15" i="95"/>
  <c r="U17" i="97"/>
  <c r="U26" s="1"/>
  <c r="J21" i="108"/>
  <c r="N21"/>
  <c r="J22"/>
  <c r="N22"/>
  <c r="F23"/>
  <c r="N23"/>
  <c r="J24"/>
  <c r="H46"/>
  <c r="J46"/>
  <c r="L46"/>
  <c r="N46"/>
  <c r="D47"/>
  <c r="F47"/>
  <c r="H47"/>
  <c r="J47"/>
  <c r="L47"/>
  <c r="N47"/>
  <c r="D48"/>
  <c r="F48"/>
  <c r="H48"/>
  <c r="J48"/>
  <c r="L48"/>
  <c r="N48"/>
  <c r="D49"/>
  <c r="F49"/>
  <c r="H49"/>
  <c r="J49"/>
  <c r="L49"/>
  <c r="N49"/>
  <c r="D50"/>
  <c r="F50"/>
  <c r="H50"/>
  <c r="J50"/>
  <c r="L50"/>
  <c r="N50"/>
  <c r="D51"/>
  <c r="F51"/>
  <c r="H51"/>
  <c r="J51"/>
  <c r="L51"/>
  <c r="N51"/>
  <c r="D52"/>
  <c r="F52"/>
  <c r="H52"/>
  <c r="J52"/>
  <c r="L52"/>
  <c r="N52"/>
  <c r="D53"/>
  <c r="F53"/>
  <c r="H53"/>
  <c r="J53"/>
  <c r="L53"/>
  <c r="N53"/>
  <c r="D54"/>
  <c r="F54"/>
  <c r="H54"/>
  <c r="J54"/>
  <c r="L54"/>
  <c r="N54"/>
  <c r="D55"/>
  <c r="F55"/>
  <c r="H55"/>
  <c r="J55"/>
  <c r="L55"/>
  <c r="N55"/>
  <c r="D56"/>
  <c r="F56"/>
  <c r="H56"/>
  <c r="J56"/>
  <c r="L56"/>
  <c r="N56"/>
  <c r="D57"/>
  <c r="F57"/>
  <c r="H57"/>
  <c r="J57"/>
  <c r="L57"/>
  <c r="N57"/>
  <c r="I47"/>
  <c r="M48"/>
  <c r="I51"/>
  <c r="M52"/>
  <c r="I55"/>
  <c r="M56"/>
  <c r="E10"/>
  <c r="G10"/>
  <c r="I10"/>
  <c r="K10"/>
  <c r="M10"/>
  <c r="C11"/>
  <c r="E11"/>
  <c r="G11"/>
  <c r="I11"/>
  <c r="K11"/>
  <c r="M11"/>
  <c r="C13"/>
  <c r="E13"/>
  <c r="G13"/>
  <c r="I13"/>
  <c r="K13"/>
  <c r="M13"/>
  <c r="C14"/>
  <c r="E14"/>
  <c r="G14"/>
  <c r="I14"/>
  <c r="K14"/>
  <c r="M14"/>
  <c r="C15"/>
  <c r="E15"/>
  <c r="G15"/>
  <c r="I15"/>
  <c r="K15"/>
  <c r="M15"/>
  <c r="C16"/>
  <c r="E16"/>
  <c r="G16"/>
  <c r="I16"/>
  <c r="K16"/>
  <c r="M16"/>
  <c r="C17"/>
  <c r="E17"/>
  <c r="G17"/>
  <c r="I17"/>
  <c r="K17"/>
  <c r="M17"/>
  <c r="C18"/>
  <c r="E18"/>
  <c r="G18"/>
  <c r="I18"/>
  <c r="K18"/>
  <c r="M18"/>
  <c r="C24"/>
  <c r="E24"/>
  <c r="G24"/>
  <c r="I24"/>
  <c r="K24"/>
  <c r="M24"/>
  <c r="C25"/>
  <c r="E25"/>
  <c r="G25"/>
  <c r="I25"/>
  <c r="K25"/>
  <c r="M25"/>
  <c r="E26"/>
  <c r="I26"/>
  <c r="M26"/>
  <c r="C27"/>
  <c r="E27"/>
  <c r="G27"/>
  <c r="I27"/>
  <c r="K27"/>
  <c r="M27"/>
  <c r="C28"/>
  <c r="E28"/>
  <c r="G28"/>
  <c r="I28"/>
  <c r="K28"/>
  <c r="M28"/>
  <c r="C29"/>
  <c r="E29"/>
  <c r="G29"/>
  <c r="I29"/>
  <c r="K29"/>
  <c r="M29"/>
  <c r="E30"/>
  <c r="I30"/>
  <c r="M30"/>
  <c r="C31"/>
  <c r="E31"/>
  <c r="G31"/>
  <c r="I31"/>
  <c r="K31"/>
  <c r="M31"/>
  <c r="C32"/>
  <c r="E32"/>
  <c r="G32"/>
  <c r="I32"/>
  <c r="K32"/>
  <c r="M32"/>
  <c r="C33"/>
  <c r="E33"/>
  <c r="G33"/>
  <c r="I33"/>
  <c r="K33"/>
  <c r="M33"/>
  <c r="E34"/>
  <c r="G34"/>
  <c r="I34"/>
  <c r="M34"/>
  <c r="C35"/>
  <c r="E35"/>
  <c r="G35"/>
  <c r="I35"/>
  <c r="K35"/>
  <c r="M35"/>
  <c r="C36"/>
  <c r="E36"/>
  <c r="G36"/>
  <c r="I36"/>
  <c r="P23" i="110"/>
  <c r="S13"/>
  <c r="P31"/>
  <c r="S15"/>
  <c r="K36" i="108"/>
  <c r="M36"/>
  <c r="C37"/>
  <c r="E37"/>
  <c r="G37"/>
  <c r="I37"/>
  <c r="K37"/>
  <c r="M37"/>
  <c r="E38"/>
  <c r="I38"/>
  <c r="K38"/>
  <c r="M38"/>
  <c r="C39"/>
  <c r="E39"/>
  <c r="G39"/>
  <c r="I39"/>
  <c r="K39"/>
  <c r="M39"/>
  <c r="C40"/>
  <c r="E40"/>
  <c r="G40"/>
  <c r="I40"/>
  <c r="K40"/>
  <c r="M40"/>
  <c r="C41"/>
  <c r="E41"/>
  <c r="G41"/>
  <c r="I41"/>
  <c r="K41"/>
  <c r="M41"/>
  <c r="E42"/>
  <c r="G42"/>
  <c r="I42"/>
  <c r="M42"/>
  <c r="C43"/>
  <c r="E43"/>
  <c r="G43"/>
  <c r="I43"/>
  <c r="K43"/>
  <c r="M43"/>
  <c r="C44"/>
  <c r="E44"/>
  <c r="G44"/>
  <c r="I44"/>
  <c r="K44"/>
  <c r="M44"/>
  <c r="C45"/>
  <c r="E45"/>
  <c r="G45"/>
  <c r="I45"/>
  <c r="K45"/>
  <c r="M45"/>
  <c r="E46"/>
  <c r="I46"/>
  <c r="E47"/>
  <c r="M47"/>
  <c r="I48"/>
  <c r="E49"/>
  <c r="M49"/>
  <c r="E51"/>
  <c r="M51"/>
  <c r="I52"/>
  <c r="E53"/>
  <c r="M53"/>
  <c r="E55"/>
  <c r="M55"/>
  <c r="I56"/>
  <c r="E57"/>
  <c r="M57"/>
  <c r="E48"/>
  <c r="I49"/>
  <c r="E52"/>
  <c r="I53"/>
  <c r="E56"/>
  <c r="I57"/>
  <c r="X10" i="110"/>
  <c r="P13"/>
  <c r="P15"/>
  <c r="W11"/>
  <c r="AA14" i="94"/>
  <c r="K26" i="108"/>
  <c r="AA15" i="94"/>
  <c r="K30" i="108"/>
  <c r="AA16" i="94"/>
  <c r="K34" i="108"/>
  <c r="AA18" i="94"/>
  <c r="K42" i="108"/>
  <c r="M54"/>
  <c r="M50"/>
  <c r="M46"/>
  <c r="C42"/>
  <c r="C34"/>
  <c r="C26"/>
  <c r="F10"/>
  <c r="J10"/>
  <c r="N10"/>
  <c r="D11"/>
  <c r="F11"/>
  <c r="H11"/>
  <c r="J11"/>
  <c r="L11"/>
  <c r="N11"/>
  <c r="D12"/>
  <c r="F12"/>
  <c r="J12"/>
  <c r="P19" i="110"/>
  <c r="S12"/>
  <c r="E54" i="108"/>
  <c r="E50"/>
  <c r="C46"/>
  <c r="C38"/>
  <c r="C30"/>
  <c r="C47"/>
  <c r="G47"/>
  <c r="K47"/>
  <c r="C48"/>
  <c r="G48"/>
  <c r="K48"/>
  <c r="C49"/>
  <c r="G49"/>
  <c r="K49"/>
  <c r="C51"/>
  <c r="G51"/>
  <c r="K51"/>
  <c r="C52"/>
  <c r="G52"/>
  <c r="K52"/>
  <c r="C53"/>
  <c r="G53"/>
  <c r="K53"/>
  <c r="K54"/>
  <c r="C55"/>
  <c r="G55"/>
  <c r="K55"/>
  <c r="C56"/>
  <c r="G56"/>
  <c r="K56"/>
  <c r="C57"/>
  <c r="G57"/>
  <c r="K57"/>
  <c r="N12"/>
  <c r="F14"/>
  <c r="J15"/>
  <c r="N16"/>
  <c r="F18"/>
  <c r="J19"/>
  <c r="N20"/>
  <c r="J23"/>
  <c r="N24"/>
  <c r="F24"/>
  <c r="Z13" i="109"/>
  <c r="P12" i="110"/>
  <c r="F16" i="108"/>
  <c r="J17"/>
  <c r="I54"/>
  <c r="I50"/>
  <c r="C12"/>
  <c r="E12"/>
  <c r="G12"/>
  <c r="I12"/>
  <c r="K12"/>
  <c r="M12"/>
  <c r="C19"/>
  <c r="E19"/>
  <c r="G19"/>
  <c r="I19"/>
  <c r="K19"/>
  <c r="M19"/>
  <c r="C20"/>
  <c r="E20"/>
  <c r="G20"/>
  <c r="I20"/>
  <c r="K20"/>
  <c r="M20"/>
  <c r="C21"/>
  <c r="E21"/>
  <c r="G21"/>
  <c r="I21"/>
  <c r="K21"/>
  <c r="M21"/>
  <c r="C22"/>
  <c r="E22"/>
  <c r="G22"/>
  <c r="I22"/>
  <c r="K22"/>
  <c r="M22"/>
  <c r="C23"/>
  <c r="E23"/>
  <c r="G23"/>
  <c r="I23"/>
  <c r="K23"/>
  <c r="M23"/>
  <c r="D106" i="110"/>
  <c r="L106"/>
  <c r="P27"/>
  <c r="S14"/>
  <c r="G54" i="108"/>
  <c r="C54"/>
  <c r="K50"/>
  <c r="G50"/>
  <c r="C50"/>
  <c r="K46"/>
  <c r="G46"/>
  <c r="G38"/>
  <c r="G30"/>
  <c r="G26"/>
  <c r="F22"/>
  <c r="H12"/>
  <c r="L12"/>
  <c r="D13"/>
  <c r="H13"/>
  <c r="L13"/>
  <c r="D14"/>
  <c r="H14"/>
  <c r="L14"/>
  <c r="D15"/>
  <c r="H15"/>
  <c r="L15"/>
  <c r="D16"/>
  <c r="H16"/>
  <c r="L16"/>
  <c r="D17"/>
  <c r="H17"/>
  <c r="L17"/>
  <c r="D18"/>
  <c r="H18"/>
  <c r="L18"/>
  <c r="D19"/>
  <c r="H19"/>
  <c r="L19"/>
  <c r="D20"/>
  <c r="H20"/>
  <c r="L20"/>
  <c r="D21"/>
  <c r="H21"/>
  <c r="L21"/>
  <c r="D22"/>
  <c r="H22"/>
  <c r="L22"/>
  <c r="D23"/>
  <c r="H23"/>
  <c r="L23"/>
  <c r="D24"/>
  <c r="H24"/>
  <c r="L24"/>
  <c r="D25"/>
  <c r="F25"/>
  <c r="H25"/>
  <c r="J25"/>
  <c r="L25"/>
  <c r="N25"/>
  <c r="D26"/>
  <c r="F26"/>
  <c r="H26"/>
  <c r="J26"/>
  <c r="L26"/>
  <c r="N26"/>
  <c r="D27"/>
  <c r="F27"/>
  <c r="H27"/>
  <c r="J27"/>
  <c r="L27"/>
  <c r="N27"/>
  <c r="D28"/>
  <c r="F28"/>
  <c r="H28"/>
  <c r="J28"/>
  <c r="L28"/>
  <c r="N28"/>
  <c r="D29"/>
  <c r="F29"/>
  <c r="H29"/>
  <c r="J29"/>
  <c r="L29"/>
  <c r="N29"/>
  <c r="D30"/>
  <c r="F30"/>
  <c r="H30"/>
  <c r="J30"/>
  <c r="L30"/>
  <c r="N30"/>
  <c r="D31"/>
  <c r="F31"/>
  <c r="H31"/>
  <c r="J31"/>
  <c r="L31"/>
  <c r="N31"/>
  <c r="D32"/>
  <c r="F32"/>
  <c r="H32"/>
  <c r="J32"/>
  <c r="L32"/>
  <c r="N32"/>
  <c r="D33"/>
  <c r="F33"/>
  <c r="H33"/>
  <c r="J33"/>
  <c r="L33"/>
  <c r="N33"/>
  <c r="D34"/>
  <c r="F34"/>
  <c r="H34"/>
  <c r="J34"/>
  <c r="L34"/>
  <c r="N34"/>
  <c r="D35"/>
  <c r="F35"/>
  <c r="H35"/>
  <c r="J35"/>
  <c r="L35"/>
  <c r="N35"/>
  <c r="D36"/>
  <c r="F36"/>
  <c r="H36"/>
  <c r="J36"/>
  <c r="L36"/>
  <c r="N36"/>
  <c r="D37"/>
  <c r="F37"/>
  <c r="H37"/>
  <c r="J37"/>
  <c r="L37"/>
  <c r="N37"/>
  <c r="D38"/>
  <c r="F38"/>
  <c r="H38"/>
  <c r="J38"/>
  <c r="L38"/>
  <c r="N38"/>
  <c r="D39"/>
  <c r="F39"/>
  <c r="H39"/>
  <c r="J39"/>
  <c r="L39"/>
  <c r="N39"/>
  <c r="D40"/>
  <c r="F40"/>
  <c r="H40"/>
  <c r="J40"/>
  <c r="L40"/>
  <c r="N40"/>
  <c r="D41"/>
  <c r="F41"/>
  <c r="H41"/>
  <c r="J41"/>
  <c r="L41"/>
  <c r="N41"/>
  <c r="D42"/>
  <c r="F42"/>
  <c r="H42"/>
  <c r="J42"/>
  <c r="L42"/>
  <c r="N42"/>
  <c r="D43"/>
  <c r="F43"/>
  <c r="H43"/>
  <c r="J43"/>
  <c r="L43"/>
  <c r="N43"/>
  <c r="D44"/>
  <c r="F44"/>
  <c r="H44"/>
  <c r="J44"/>
  <c r="L44"/>
  <c r="N44"/>
  <c r="D45"/>
  <c r="F45"/>
  <c r="H45"/>
  <c r="J45"/>
  <c r="L45"/>
  <c r="N45"/>
  <c r="D46"/>
  <c r="T19" s="1"/>
  <c r="F46"/>
  <c r="V19" s="1"/>
  <c r="V12" i="109"/>
  <c r="AD12"/>
  <c r="P14" i="110"/>
  <c r="U11"/>
  <c r="Y11"/>
  <c r="AA11"/>
  <c r="AC11"/>
  <c r="X16" i="97"/>
  <c r="X26" s="1"/>
  <c r="W23" i="105"/>
  <c r="S11" i="109"/>
  <c r="AC17"/>
  <c r="V14"/>
  <c r="W10" i="110"/>
  <c r="P11"/>
  <c r="S11"/>
  <c r="T11"/>
  <c r="V11"/>
  <c r="X11"/>
  <c r="Z11"/>
  <c r="AB11"/>
  <c r="AD11"/>
  <c r="L10" i="108"/>
  <c r="H10"/>
  <c r="D10"/>
  <c r="V13" i="109"/>
  <c r="AD13"/>
  <c r="V15"/>
  <c r="AD15"/>
  <c r="C10" i="108"/>
  <c r="AA11" i="109"/>
  <c r="Z12"/>
  <c r="Z14"/>
  <c r="S10" i="110"/>
  <c r="V18"/>
  <c r="X18"/>
  <c r="Z18"/>
  <c r="AB18"/>
  <c r="AD18"/>
  <c r="P18"/>
  <c r="W39"/>
  <c r="P20"/>
  <c r="P22"/>
  <c r="P24"/>
  <c r="P26"/>
  <c r="P28"/>
  <c r="P30"/>
  <c r="P32"/>
  <c r="P34"/>
  <c r="P35"/>
  <c r="P36"/>
  <c r="P37"/>
  <c r="P38"/>
  <c r="P39"/>
  <c r="P40"/>
  <c r="P41"/>
  <c r="P42"/>
  <c r="O44"/>
  <c r="U19"/>
  <c r="Y19"/>
  <c r="AC19"/>
  <c r="O48"/>
  <c r="U20"/>
  <c r="Y20"/>
  <c r="AC20"/>
  <c r="O52"/>
  <c r="U21"/>
  <c r="Y21"/>
  <c r="AC21"/>
  <c r="O56"/>
  <c r="O58"/>
  <c r="U22"/>
  <c r="Y22"/>
  <c r="AC22"/>
  <c r="O62"/>
  <c r="O66"/>
  <c r="U24"/>
  <c r="Y24"/>
  <c r="AC24"/>
  <c r="O70"/>
  <c r="O74"/>
  <c r="U26"/>
  <c r="Y26"/>
  <c r="AC26"/>
  <c r="O78"/>
  <c r="O82"/>
  <c r="U28"/>
  <c r="Y28"/>
  <c r="AC28"/>
  <c r="O86"/>
  <c r="O90"/>
  <c r="U30"/>
  <c r="Y30"/>
  <c r="AC30"/>
  <c r="O94"/>
  <c r="O98"/>
  <c r="U32"/>
  <c r="Y32"/>
  <c r="AC32"/>
  <c r="O102"/>
  <c r="AD13" i="99"/>
  <c r="AD26" s="1"/>
  <c r="P44" i="110"/>
  <c r="P48"/>
  <c r="V19"/>
  <c r="X19"/>
  <c r="Z19"/>
  <c r="AB19"/>
  <c r="AD19"/>
  <c r="P52"/>
  <c r="V20"/>
  <c r="X20"/>
  <c r="Z20"/>
  <c r="AB20"/>
  <c r="AD20"/>
  <c r="P56"/>
  <c r="P62"/>
  <c r="P70"/>
  <c r="P78"/>
  <c r="P86"/>
  <c r="P94"/>
  <c r="P102"/>
  <c r="S13" i="97"/>
  <c r="T12" i="109"/>
  <c r="X12"/>
  <c r="AB12"/>
  <c r="P20"/>
  <c r="T13"/>
  <c r="X13"/>
  <c r="AB13"/>
  <c r="P24"/>
  <c r="T14"/>
  <c r="X14"/>
  <c r="AB14"/>
  <c r="P28"/>
  <c r="T15"/>
  <c r="X15"/>
  <c r="AB15"/>
  <c r="P32"/>
  <c r="E106" i="110"/>
  <c r="G106"/>
  <c r="I106"/>
  <c r="K106"/>
  <c r="M106"/>
  <c r="AA10"/>
  <c r="P17"/>
  <c r="S17"/>
  <c r="S35" s="1"/>
  <c r="P43"/>
  <c r="O46"/>
  <c r="P46"/>
  <c r="P47"/>
  <c r="O50"/>
  <c r="P50"/>
  <c r="P51"/>
  <c r="O54"/>
  <c r="P54"/>
  <c r="P55"/>
  <c r="P58"/>
  <c r="P66"/>
  <c r="P74"/>
  <c r="P82"/>
  <c r="P90"/>
  <c r="P98"/>
  <c r="P57"/>
  <c r="V21"/>
  <c r="X21"/>
  <c r="Z21"/>
  <c r="AB21"/>
  <c r="AD21"/>
  <c r="O60"/>
  <c r="P60"/>
  <c r="P61"/>
  <c r="V22"/>
  <c r="X22"/>
  <c r="Z22"/>
  <c r="AB22"/>
  <c r="AD22"/>
  <c r="O64"/>
  <c r="P64"/>
  <c r="P65"/>
  <c r="V23"/>
  <c r="X23"/>
  <c r="Z23"/>
  <c r="AB23"/>
  <c r="AD23"/>
  <c r="O68"/>
  <c r="P68"/>
  <c r="P69"/>
  <c r="V24"/>
  <c r="X24"/>
  <c r="Z24"/>
  <c r="AB24"/>
  <c r="AD24"/>
  <c r="O72"/>
  <c r="P72"/>
  <c r="P73"/>
  <c r="V25"/>
  <c r="X25"/>
  <c r="Z25"/>
  <c r="AB25"/>
  <c r="AD25"/>
  <c r="O76"/>
  <c r="P76"/>
  <c r="P77"/>
  <c r="V26"/>
  <c r="X26"/>
  <c r="Z26"/>
  <c r="AB26"/>
  <c r="AD26"/>
  <c r="O80"/>
  <c r="P80"/>
  <c r="P81"/>
  <c r="V27"/>
  <c r="X27"/>
  <c r="Z27"/>
  <c r="AB27"/>
  <c r="AD27"/>
  <c r="O84"/>
  <c r="P84"/>
  <c r="P85"/>
  <c r="V28"/>
  <c r="X28"/>
  <c r="Z28"/>
  <c r="AB28"/>
  <c r="AD28"/>
  <c r="O88"/>
  <c r="P88"/>
  <c r="P89"/>
  <c r="V29"/>
  <c r="X29"/>
  <c r="Z29"/>
  <c r="AB29"/>
  <c r="AD29"/>
  <c r="O92"/>
  <c r="P92"/>
  <c r="P93"/>
  <c r="V30"/>
  <c r="X30"/>
  <c r="Z30"/>
  <c r="O96"/>
  <c r="P96"/>
  <c r="P97"/>
  <c r="O100"/>
  <c r="P100"/>
  <c r="P101"/>
  <c r="O104"/>
  <c r="P104"/>
  <c r="P105"/>
  <c r="S38"/>
  <c r="U38"/>
  <c r="W38"/>
  <c r="C106"/>
  <c r="P10"/>
  <c r="O10"/>
  <c r="U10"/>
  <c r="Y10"/>
  <c r="AC10"/>
  <c r="O11"/>
  <c r="O12"/>
  <c r="O13"/>
  <c r="O14"/>
  <c r="O15"/>
  <c r="P16"/>
  <c r="O16"/>
  <c r="O17"/>
  <c r="O18"/>
  <c r="O19"/>
  <c r="O20"/>
  <c r="O21"/>
  <c r="O22"/>
  <c r="O23"/>
  <c r="O24"/>
  <c r="O25"/>
  <c r="O26"/>
  <c r="O27"/>
  <c r="O28"/>
  <c r="O29"/>
  <c r="O30"/>
  <c r="S36"/>
  <c r="W36"/>
  <c r="AA36"/>
  <c r="H106"/>
  <c r="C106" i="109"/>
  <c r="E106"/>
  <c r="G106"/>
  <c r="I106"/>
  <c r="K106"/>
  <c r="M106"/>
  <c r="P11"/>
  <c r="W11"/>
  <c r="P18"/>
  <c r="U12"/>
  <c r="W12"/>
  <c r="Y12"/>
  <c r="AA12"/>
  <c r="AC12"/>
  <c r="P22"/>
  <c r="U13"/>
  <c r="W13"/>
  <c r="Y13"/>
  <c r="AA13"/>
  <c r="AC13"/>
  <c r="P26"/>
  <c r="U14"/>
  <c r="W14"/>
  <c r="Y14"/>
  <c r="AA14"/>
  <c r="AC14"/>
  <c r="P30"/>
  <c r="U15"/>
  <c r="U38" s="1"/>
  <c r="W15"/>
  <c r="Y15"/>
  <c r="AA15"/>
  <c r="AC15"/>
  <c r="P34"/>
  <c r="P35"/>
  <c r="P36"/>
  <c r="P37"/>
  <c r="P38"/>
  <c r="P39"/>
  <c r="P40"/>
  <c r="P41"/>
  <c r="P42"/>
  <c r="O44"/>
  <c r="S39"/>
  <c r="AA39"/>
  <c r="O48"/>
  <c r="O52"/>
  <c r="O56"/>
  <c r="O58"/>
  <c r="O62"/>
  <c r="O66"/>
  <c r="O70"/>
  <c r="O74"/>
  <c r="O78"/>
  <c r="O82"/>
  <c r="O86"/>
  <c r="O90"/>
  <c r="O94"/>
  <c r="O98"/>
  <c r="O102"/>
  <c r="F106" i="110"/>
  <c r="J106"/>
  <c r="N106"/>
  <c r="T10"/>
  <c r="V10"/>
  <c r="Z10"/>
  <c r="AB10"/>
  <c r="AD10"/>
  <c r="T18"/>
  <c r="T19"/>
  <c r="T20"/>
  <c r="T21"/>
  <c r="T22"/>
  <c r="T23"/>
  <c r="T24"/>
  <c r="T25"/>
  <c r="T26"/>
  <c r="T27"/>
  <c r="T28"/>
  <c r="T29"/>
  <c r="T30"/>
  <c r="O31"/>
  <c r="O32"/>
  <c r="O33"/>
  <c r="O34"/>
  <c r="O35"/>
  <c r="O36"/>
  <c r="O37"/>
  <c r="O38"/>
  <c r="O39"/>
  <c r="O40"/>
  <c r="O41"/>
  <c r="O42"/>
  <c r="AB30"/>
  <c r="AD30"/>
  <c r="P95"/>
  <c r="T31"/>
  <c r="V31"/>
  <c r="X31"/>
  <c r="Z31"/>
  <c r="AB31"/>
  <c r="AD31"/>
  <c r="P99"/>
  <c r="T32"/>
  <c r="V32"/>
  <c r="X32"/>
  <c r="Z32"/>
  <c r="AB32"/>
  <c r="AD32"/>
  <c r="P103"/>
  <c r="T33"/>
  <c r="V33"/>
  <c r="X33"/>
  <c r="Z33"/>
  <c r="AB33"/>
  <c r="AD33"/>
  <c r="O43"/>
  <c r="O45"/>
  <c r="O47"/>
  <c r="O49"/>
  <c r="O51"/>
  <c r="O53"/>
  <c r="O55"/>
  <c r="O57"/>
  <c r="O59"/>
  <c r="O61"/>
  <c r="O63"/>
  <c r="O65"/>
  <c r="O67"/>
  <c r="O69"/>
  <c r="O71"/>
  <c r="O73"/>
  <c r="O75"/>
  <c r="O77"/>
  <c r="O79"/>
  <c r="O81"/>
  <c r="O83"/>
  <c r="O85"/>
  <c r="O87"/>
  <c r="O89"/>
  <c r="O91"/>
  <c r="O93"/>
  <c r="O95"/>
  <c r="O97"/>
  <c r="O99"/>
  <c r="O101"/>
  <c r="O103"/>
  <c r="O105"/>
  <c r="V19" i="95"/>
  <c r="Y14" i="101"/>
  <c r="V15" i="98"/>
  <c r="W39" i="109"/>
  <c r="X10"/>
  <c r="P12"/>
  <c r="S12"/>
  <c r="P13"/>
  <c r="S13"/>
  <c r="P14"/>
  <c r="U11"/>
  <c r="Y11"/>
  <c r="AC11"/>
  <c r="S14"/>
  <c r="P15"/>
  <c r="S15"/>
  <c r="P16"/>
  <c r="S16"/>
  <c r="T11"/>
  <c r="V11"/>
  <c r="X11"/>
  <c r="Z11"/>
  <c r="AB11"/>
  <c r="AD11"/>
  <c r="P19"/>
  <c r="P21"/>
  <c r="P23"/>
  <c r="S23"/>
  <c r="P25"/>
  <c r="S25"/>
  <c r="P27"/>
  <c r="S27"/>
  <c r="P29"/>
  <c r="S29"/>
  <c r="P31"/>
  <c r="S31"/>
  <c r="P33"/>
  <c r="S33"/>
  <c r="S17"/>
  <c r="P45"/>
  <c r="V18"/>
  <c r="X18"/>
  <c r="Z18"/>
  <c r="AB18"/>
  <c r="AD18"/>
  <c r="P49"/>
  <c r="P53"/>
  <c r="P59"/>
  <c r="P63"/>
  <c r="P67"/>
  <c r="P71"/>
  <c r="P75"/>
  <c r="P79"/>
  <c r="P83"/>
  <c r="P87"/>
  <c r="P91"/>
  <c r="P44"/>
  <c r="P48"/>
  <c r="V19"/>
  <c r="X19"/>
  <c r="Z19"/>
  <c r="AB19"/>
  <c r="AD19"/>
  <c r="P52"/>
  <c r="V20"/>
  <c r="X20"/>
  <c r="Z20"/>
  <c r="AB20"/>
  <c r="AD20"/>
  <c r="P56"/>
  <c r="P62"/>
  <c r="P70"/>
  <c r="P78"/>
  <c r="P86"/>
  <c r="P94"/>
  <c r="P102"/>
  <c r="D106"/>
  <c r="L106"/>
  <c r="P17"/>
  <c r="P43"/>
  <c r="O46"/>
  <c r="P46"/>
  <c r="P47"/>
  <c r="O50"/>
  <c r="P50"/>
  <c r="P51"/>
  <c r="O54"/>
  <c r="P54"/>
  <c r="P55"/>
  <c r="P58"/>
  <c r="P66"/>
  <c r="P74"/>
  <c r="P82"/>
  <c r="P90"/>
  <c r="P98"/>
  <c r="P57"/>
  <c r="V21"/>
  <c r="X21"/>
  <c r="Z21"/>
  <c r="AB21"/>
  <c r="AD21"/>
  <c r="O60"/>
  <c r="P60"/>
  <c r="P61"/>
  <c r="V22"/>
  <c r="X22"/>
  <c r="Z22"/>
  <c r="AB22"/>
  <c r="AD22"/>
  <c r="O64"/>
  <c r="P64"/>
  <c r="P65"/>
  <c r="V23"/>
  <c r="X23"/>
  <c r="Z23"/>
  <c r="AB23"/>
  <c r="AD23"/>
  <c r="O68"/>
  <c r="P68"/>
  <c r="P69"/>
  <c r="V24"/>
  <c r="X24"/>
  <c r="Z24"/>
  <c r="AB24"/>
  <c r="AD24"/>
  <c r="O72"/>
  <c r="P72"/>
  <c r="P73"/>
  <c r="V25"/>
  <c r="X25"/>
  <c r="Z25"/>
  <c r="AB25"/>
  <c r="AD25"/>
  <c r="O76"/>
  <c r="P76"/>
  <c r="P77"/>
  <c r="V26"/>
  <c r="X26"/>
  <c r="Z26"/>
  <c r="AB26"/>
  <c r="AD26"/>
  <c r="O80"/>
  <c r="P80"/>
  <c r="P81"/>
  <c r="V27"/>
  <c r="X27"/>
  <c r="Z27"/>
  <c r="AB27"/>
  <c r="AD27"/>
  <c r="O84"/>
  <c r="P84"/>
  <c r="P85"/>
  <c r="V28"/>
  <c r="X28"/>
  <c r="Z28"/>
  <c r="AB28"/>
  <c r="AD28"/>
  <c r="O88"/>
  <c r="P88"/>
  <c r="P89"/>
  <c r="V29"/>
  <c r="X29"/>
  <c r="Z29"/>
  <c r="AB29"/>
  <c r="AD29"/>
  <c r="O92"/>
  <c r="P92"/>
  <c r="P93"/>
  <c r="V30"/>
  <c r="X30"/>
  <c r="Z30"/>
  <c r="O96"/>
  <c r="P96"/>
  <c r="P97"/>
  <c r="O100"/>
  <c r="P100"/>
  <c r="P101"/>
  <c r="O104"/>
  <c r="P104"/>
  <c r="P105"/>
  <c r="V39"/>
  <c r="V21" i="98"/>
  <c r="V27" s="1"/>
  <c r="AD29" i="105"/>
  <c r="O10" i="109"/>
  <c r="S10"/>
  <c r="U10"/>
  <c r="W10"/>
  <c r="Y10"/>
  <c r="AA10"/>
  <c r="AC10"/>
  <c r="O11"/>
  <c r="O12"/>
  <c r="O13"/>
  <c r="O14"/>
  <c r="O15"/>
  <c r="O16"/>
  <c r="O17"/>
  <c r="O18"/>
  <c r="O19"/>
  <c r="O20"/>
  <c r="O21"/>
  <c r="O22"/>
  <c r="O23"/>
  <c r="O24"/>
  <c r="O25"/>
  <c r="O26"/>
  <c r="O27"/>
  <c r="O28"/>
  <c r="O29"/>
  <c r="O30"/>
  <c r="S36"/>
  <c r="W36"/>
  <c r="AA36"/>
  <c r="H106"/>
  <c r="F106"/>
  <c r="J106"/>
  <c r="N106"/>
  <c r="P10"/>
  <c r="T10"/>
  <c r="V10"/>
  <c r="Z10"/>
  <c r="AB10"/>
  <c r="AD10"/>
  <c r="T18"/>
  <c r="T19"/>
  <c r="T20"/>
  <c r="T21"/>
  <c r="T22"/>
  <c r="T23"/>
  <c r="T24"/>
  <c r="T25"/>
  <c r="T26"/>
  <c r="T27"/>
  <c r="T28"/>
  <c r="T29"/>
  <c r="T30"/>
  <c r="O31"/>
  <c r="O32"/>
  <c r="O33"/>
  <c r="O34"/>
  <c r="O35"/>
  <c r="O36"/>
  <c r="U36"/>
  <c r="Y36"/>
  <c r="AC36"/>
  <c r="O37"/>
  <c r="O38"/>
  <c r="O39"/>
  <c r="O40"/>
  <c r="O41"/>
  <c r="O42"/>
  <c r="AB30"/>
  <c r="AD30"/>
  <c r="P95"/>
  <c r="T31"/>
  <c r="V31"/>
  <c r="X31"/>
  <c r="Z31"/>
  <c r="AB31"/>
  <c r="AD31"/>
  <c r="P99"/>
  <c r="T32"/>
  <c r="V32"/>
  <c r="X32"/>
  <c r="Z32"/>
  <c r="AB32"/>
  <c r="AD32"/>
  <c r="P103"/>
  <c r="T33"/>
  <c r="V33"/>
  <c r="X33"/>
  <c r="Z33"/>
  <c r="AB33"/>
  <c r="AD33"/>
  <c r="O43"/>
  <c r="O45"/>
  <c r="O47"/>
  <c r="O49"/>
  <c r="O51"/>
  <c r="O53"/>
  <c r="O55"/>
  <c r="O57"/>
  <c r="O59"/>
  <c r="O61"/>
  <c r="O63"/>
  <c r="O65"/>
  <c r="O67"/>
  <c r="O69"/>
  <c r="O71"/>
  <c r="O73"/>
  <c r="O75"/>
  <c r="O77"/>
  <c r="O79"/>
  <c r="O81"/>
  <c r="O83"/>
  <c r="O85"/>
  <c r="O87"/>
  <c r="O89"/>
  <c r="O91"/>
  <c r="O93"/>
  <c r="O95"/>
  <c r="O97"/>
  <c r="O99"/>
  <c r="O101"/>
  <c r="O103"/>
  <c r="O105"/>
  <c r="V13" i="97"/>
  <c r="U15" i="99"/>
  <c r="Z17" i="101"/>
  <c r="S21" i="105"/>
  <c r="S39" s="1"/>
  <c r="Y24"/>
  <c r="U20" i="95"/>
  <c r="AB20" i="105"/>
  <c r="AB39" s="1"/>
  <c r="U13" i="94"/>
  <c r="W13"/>
  <c r="Y13"/>
  <c r="AA13"/>
  <c r="AC13"/>
  <c r="Y15"/>
  <c r="AC15"/>
  <c r="U16"/>
  <c r="Y16"/>
  <c r="AC16"/>
  <c r="U17"/>
  <c r="AC17"/>
  <c r="Y18"/>
  <c r="AC18"/>
  <c r="U19"/>
  <c r="V14"/>
  <c r="X14"/>
  <c r="Z14"/>
  <c r="AB14"/>
  <c r="AD14"/>
  <c r="AA21"/>
  <c r="T13" i="105"/>
  <c r="AB13"/>
  <c r="T14"/>
  <c r="V14"/>
  <c r="X14"/>
  <c r="Z14"/>
  <c r="AB14"/>
  <c r="AD14"/>
  <c r="W15"/>
  <c r="Y39"/>
  <c r="T12"/>
  <c r="V12"/>
  <c r="Z12"/>
  <c r="AB12"/>
  <c r="AD12"/>
  <c r="V13"/>
  <c r="X13"/>
  <c r="Z13"/>
  <c r="AD13"/>
  <c r="V11"/>
  <c r="Z11"/>
  <c r="AD11"/>
  <c r="AC39"/>
  <c r="U12"/>
  <c r="W12"/>
  <c r="Y12"/>
  <c r="AA12"/>
  <c r="AC12"/>
  <c r="P16"/>
  <c r="U11"/>
  <c r="W11"/>
  <c r="Y11"/>
  <c r="AA11"/>
  <c r="AC11"/>
  <c r="O17"/>
  <c r="O18"/>
  <c r="O19"/>
  <c r="O20"/>
  <c r="P21"/>
  <c r="P22"/>
  <c r="U13"/>
  <c r="W13"/>
  <c r="Y13"/>
  <c r="AA13"/>
  <c r="AC13"/>
  <c r="S14"/>
  <c r="U14"/>
  <c r="W14"/>
  <c r="Y14"/>
  <c r="AA14"/>
  <c r="AC14"/>
  <c r="S15"/>
  <c r="AA15"/>
  <c r="U15"/>
  <c r="Y15"/>
  <c r="Y38" s="1"/>
  <c r="AC15"/>
  <c r="P12"/>
  <c r="S12"/>
  <c r="P13"/>
  <c r="S13"/>
  <c r="S38" s="1"/>
  <c r="P14"/>
  <c r="P15"/>
  <c r="P32"/>
  <c r="P34"/>
  <c r="P35"/>
  <c r="P36"/>
  <c r="P37"/>
  <c r="P38"/>
  <c r="P39"/>
  <c r="P40"/>
  <c r="P41"/>
  <c r="P42"/>
  <c r="P43"/>
  <c r="P44"/>
  <c r="P45"/>
  <c r="P46"/>
  <c r="P47"/>
  <c r="P48"/>
  <c r="P49"/>
  <c r="P50"/>
  <c r="P51"/>
  <c r="P52"/>
  <c r="P53"/>
  <c r="P54"/>
  <c r="P55"/>
  <c r="P56"/>
  <c r="P57"/>
  <c r="P58"/>
  <c r="P59"/>
  <c r="P60"/>
  <c r="P61"/>
  <c r="P63"/>
  <c r="P64"/>
  <c r="P65"/>
  <c r="P67"/>
  <c r="P68"/>
  <c r="P69"/>
  <c r="P71"/>
  <c r="P72"/>
  <c r="P73"/>
  <c r="P75"/>
  <c r="P76"/>
  <c r="P77"/>
  <c r="P79"/>
  <c r="P80"/>
  <c r="P81"/>
  <c r="P83"/>
  <c r="P84"/>
  <c r="P85"/>
  <c r="P87"/>
  <c r="P88"/>
  <c r="P89"/>
  <c r="P91"/>
  <c r="P92"/>
  <c r="P93"/>
  <c r="P95"/>
  <c r="P96"/>
  <c r="P97"/>
  <c r="P98"/>
  <c r="P99"/>
  <c r="P100"/>
  <c r="P101"/>
  <c r="P103"/>
  <c r="P104"/>
  <c r="P105"/>
  <c r="P62"/>
  <c r="S23"/>
  <c r="P66"/>
  <c r="S24"/>
  <c r="P70"/>
  <c r="S25"/>
  <c r="P74"/>
  <c r="S26"/>
  <c r="P78"/>
  <c r="S27"/>
  <c r="P82"/>
  <c r="S28"/>
  <c r="P86"/>
  <c r="S29"/>
  <c r="P90"/>
  <c r="S30"/>
  <c r="I106"/>
  <c r="K106"/>
  <c r="M106"/>
  <c r="P11"/>
  <c r="P23"/>
  <c r="P24"/>
  <c r="P25"/>
  <c r="P26"/>
  <c r="P27"/>
  <c r="P28"/>
  <c r="P29"/>
  <c r="P30"/>
  <c r="T15"/>
  <c r="V15"/>
  <c r="X15"/>
  <c r="Z15"/>
  <c r="AB15"/>
  <c r="AD15"/>
  <c r="S11"/>
  <c r="P94"/>
  <c r="S31"/>
  <c r="P102"/>
  <c r="S33"/>
  <c r="H106"/>
  <c r="J106"/>
  <c r="L106"/>
  <c r="N106"/>
  <c r="P17"/>
  <c r="P18"/>
  <c r="P19"/>
  <c r="P20"/>
  <c r="S32"/>
  <c r="P31"/>
  <c r="P33"/>
  <c r="D106"/>
  <c r="T10"/>
  <c r="F106"/>
  <c r="V10"/>
  <c r="C106"/>
  <c r="P10"/>
  <c r="S10"/>
  <c r="O10"/>
  <c r="E106"/>
  <c r="U10"/>
  <c r="G106"/>
  <c r="W10"/>
  <c r="Y10"/>
  <c r="AA10"/>
  <c r="AC10"/>
  <c r="O11"/>
  <c r="O12"/>
  <c r="O13"/>
  <c r="O14"/>
  <c r="O15"/>
  <c r="O16"/>
  <c r="O21"/>
  <c r="O22"/>
  <c r="O23"/>
  <c r="O24"/>
  <c r="O25"/>
  <c r="O26"/>
  <c r="O27"/>
  <c r="O28"/>
  <c r="O29"/>
  <c r="O30"/>
  <c r="O31"/>
  <c r="O32"/>
  <c r="O33"/>
  <c r="O34"/>
  <c r="O35"/>
  <c r="O36"/>
  <c r="W36"/>
  <c r="Y36"/>
  <c r="AA36"/>
  <c r="AC36"/>
  <c r="O37"/>
  <c r="O38"/>
  <c r="O39"/>
  <c r="O40"/>
  <c r="O41"/>
  <c r="O42"/>
  <c r="O43"/>
  <c r="O44"/>
  <c r="O45"/>
  <c r="O46"/>
  <c r="O47"/>
  <c r="O48"/>
  <c r="O49"/>
  <c r="O50"/>
  <c r="O51"/>
  <c r="O52"/>
  <c r="O53"/>
  <c r="O54"/>
  <c r="O55"/>
  <c r="O56"/>
  <c r="O57"/>
  <c r="O58"/>
  <c r="O59"/>
  <c r="O60"/>
  <c r="O61"/>
  <c r="O62"/>
  <c r="O63"/>
  <c r="O64"/>
  <c r="O65"/>
  <c r="O66"/>
  <c r="O67"/>
  <c r="O68"/>
  <c r="O69"/>
  <c r="O70"/>
  <c r="O71"/>
  <c r="O72"/>
  <c r="O73"/>
  <c r="O74"/>
  <c r="O75"/>
  <c r="O76"/>
  <c r="O77"/>
  <c r="O78"/>
  <c r="O79"/>
  <c r="O80"/>
  <c r="O81"/>
  <c r="O82"/>
  <c r="O83"/>
  <c r="O84"/>
  <c r="X10"/>
  <c r="Z10"/>
  <c r="AB10"/>
  <c r="AD10"/>
  <c r="T36"/>
  <c r="V36"/>
  <c r="X36"/>
  <c r="Z36"/>
  <c r="AD36"/>
  <c r="O85"/>
  <c r="O86"/>
  <c r="O87"/>
  <c r="O88"/>
  <c r="O89"/>
  <c r="O90"/>
  <c r="O91"/>
  <c r="O92"/>
  <c r="O93"/>
  <c r="O94"/>
  <c r="O95"/>
  <c r="O96"/>
  <c r="O97"/>
  <c r="O98"/>
  <c r="O99"/>
  <c r="O100"/>
  <c r="O101"/>
  <c r="O102"/>
  <c r="O103"/>
  <c r="O104"/>
  <c r="O105"/>
  <c r="D106" i="101"/>
  <c r="F106"/>
  <c r="H106"/>
  <c r="J106"/>
  <c r="L106"/>
  <c r="N106"/>
  <c r="M106"/>
  <c r="K106"/>
  <c r="I106"/>
  <c r="G106"/>
  <c r="E106"/>
  <c r="C106"/>
  <c r="U17" i="96"/>
  <c r="V18" i="98"/>
  <c r="AC16" i="96"/>
  <c r="U18" i="94"/>
  <c r="AC16" i="95"/>
  <c r="AB18" i="97"/>
  <c r="AB26" s="1"/>
  <c r="AC20" i="99"/>
  <c r="AC24" s="1"/>
  <c r="AD20" i="98"/>
  <c r="AD27" s="1"/>
  <c r="U14" i="95"/>
  <c r="U26" s="1"/>
  <c r="T39" i="101"/>
  <c r="AC18" i="95"/>
  <c r="W16" i="99"/>
  <c r="Y20"/>
  <c r="Y27" s="1"/>
  <c r="AC16" i="98"/>
  <c r="AC23" s="1"/>
  <c r="AD13"/>
  <c r="U14" i="96"/>
  <c r="AC32" i="101"/>
  <c r="AA32"/>
  <c r="Y32"/>
  <c r="W32"/>
  <c r="U32"/>
  <c r="AC30"/>
  <c r="AA30"/>
  <c r="Y30"/>
  <c r="W30"/>
  <c r="U30"/>
  <c r="AC28"/>
  <c r="AA28"/>
  <c r="Y28"/>
  <c r="W28"/>
  <c r="U28"/>
  <c r="AC26"/>
  <c r="AA26"/>
  <c r="Y26"/>
  <c r="W26"/>
  <c r="U26"/>
  <c r="AC24"/>
  <c r="AA24"/>
  <c r="Y24"/>
  <c r="W24"/>
  <c r="U24"/>
  <c r="AC22"/>
  <c r="AA22"/>
  <c r="Y22"/>
  <c r="W22"/>
  <c r="U22"/>
  <c r="AD33"/>
  <c r="AB33"/>
  <c r="Z33"/>
  <c r="X33"/>
  <c r="V33"/>
  <c r="T33"/>
  <c r="AD31"/>
  <c r="AB31"/>
  <c r="Z31"/>
  <c r="X31"/>
  <c r="V31"/>
  <c r="T31"/>
  <c r="AD29"/>
  <c r="AB29"/>
  <c r="Z29"/>
  <c r="X29"/>
  <c r="V29"/>
  <c r="T29"/>
  <c r="AD27"/>
  <c r="AB27"/>
  <c r="Z27"/>
  <c r="X27"/>
  <c r="V27"/>
  <c r="T27"/>
  <c r="AD25"/>
  <c r="AB25"/>
  <c r="Z25"/>
  <c r="X25"/>
  <c r="V25"/>
  <c r="T25"/>
  <c r="AD23"/>
  <c r="AC33"/>
  <c r="AA33"/>
  <c r="Y33"/>
  <c r="W33"/>
  <c r="U33"/>
  <c r="AC31"/>
  <c r="AA31"/>
  <c r="Y31"/>
  <c r="W31"/>
  <c r="U31"/>
  <c r="AC29"/>
  <c r="AA29"/>
  <c r="Y29"/>
  <c r="W29"/>
  <c r="U29"/>
  <c r="AC27"/>
  <c r="AA27"/>
  <c r="Y27"/>
  <c r="W27"/>
  <c r="U27"/>
  <c r="AC25"/>
  <c r="AA25"/>
  <c r="Y25"/>
  <c r="W25"/>
  <c r="U25"/>
  <c r="AC23"/>
  <c r="AA23"/>
  <c r="Y23"/>
  <c r="W23"/>
  <c r="U23"/>
  <c r="AD32"/>
  <c r="AB32"/>
  <c r="Z32"/>
  <c r="X32"/>
  <c r="V32"/>
  <c r="T32"/>
  <c r="AD30"/>
  <c r="AB30"/>
  <c r="Z30"/>
  <c r="X30"/>
  <c r="V30"/>
  <c r="T30"/>
  <c r="AD28"/>
  <c r="AB28"/>
  <c r="Z28"/>
  <c r="X28"/>
  <c r="V28"/>
  <c r="T28"/>
  <c r="AD26"/>
  <c r="AB26"/>
  <c r="Z26"/>
  <c r="X26"/>
  <c r="V26"/>
  <c r="T26"/>
  <c r="AD24"/>
  <c r="AB24"/>
  <c r="Z24"/>
  <c r="X24"/>
  <c r="V24"/>
  <c r="T24"/>
  <c r="AB23"/>
  <c r="Z23"/>
  <c r="X23"/>
  <c r="V23"/>
  <c r="T23"/>
  <c r="AD22"/>
  <c r="AB22"/>
  <c r="Z22"/>
  <c r="X22"/>
  <c r="V22"/>
  <c r="T22"/>
  <c r="S33"/>
  <c r="S32"/>
  <c r="S31"/>
  <c r="S30"/>
  <c r="S29"/>
  <c r="S28"/>
  <c r="S27"/>
  <c r="S26"/>
  <c r="S25"/>
  <c r="S24"/>
  <c r="AB17" i="95"/>
  <c r="S22" i="101"/>
  <c r="S23"/>
  <c r="Z19" i="95"/>
  <c r="Z27" s="1"/>
  <c r="V14" i="98"/>
  <c r="AA16" i="100"/>
  <c r="AA26" s="1"/>
  <c r="Z13" i="95"/>
  <c r="V14" i="99"/>
  <c r="V26" s="1"/>
  <c r="T21" i="98"/>
  <c r="T27" s="1"/>
  <c r="AB14" i="95"/>
  <c r="U15" i="101"/>
  <c r="P105"/>
  <c r="Y17" i="94"/>
  <c r="P77" i="101"/>
  <c r="P22" i="104"/>
  <c r="P23"/>
  <c r="P24"/>
  <c r="O30"/>
  <c r="O34"/>
  <c r="O38"/>
  <c r="O42"/>
  <c r="O46"/>
  <c r="O50"/>
  <c r="O54"/>
  <c r="P69" i="101"/>
  <c r="P91"/>
  <c r="U15" i="94"/>
  <c r="W17" i="96"/>
  <c r="Z19" i="98"/>
  <c r="AC24" i="103"/>
  <c r="P81" i="101"/>
  <c r="P63"/>
  <c r="P97"/>
  <c r="P73"/>
  <c r="Y19" i="94"/>
  <c r="P95" i="101"/>
  <c r="P79"/>
  <c r="P71"/>
  <c r="P59"/>
  <c r="P101"/>
  <c r="P88"/>
  <c r="P83"/>
  <c r="P75"/>
  <c r="P67"/>
  <c r="Y14" i="100"/>
  <c r="P99" i="101"/>
  <c r="P93"/>
  <c r="P85"/>
  <c r="P65"/>
  <c r="P103"/>
  <c r="P61"/>
  <c r="O104"/>
  <c r="O102"/>
  <c r="O100"/>
  <c r="O98"/>
  <c r="O96"/>
  <c r="O94"/>
  <c r="O92"/>
  <c r="O89"/>
  <c r="O86"/>
  <c r="O84"/>
  <c r="O82"/>
  <c r="O80"/>
  <c r="O78"/>
  <c r="O76"/>
  <c r="O74"/>
  <c r="O72"/>
  <c r="O70"/>
  <c r="O68"/>
  <c r="O66"/>
  <c r="O64"/>
  <c r="O62"/>
  <c r="O60"/>
  <c r="O58"/>
  <c r="O105"/>
  <c r="P104"/>
  <c r="O103"/>
  <c r="P102"/>
  <c r="AF33" s="1"/>
  <c r="O101"/>
  <c r="P100"/>
  <c r="O99"/>
  <c r="P98"/>
  <c r="AF32" s="1"/>
  <c r="O97"/>
  <c r="P96"/>
  <c r="O95"/>
  <c r="P94"/>
  <c r="O93"/>
  <c r="P92"/>
  <c r="O91"/>
  <c r="P90"/>
  <c r="O90"/>
  <c r="P89"/>
  <c r="O88"/>
  <c r="P87"/>
  <c r="O87"/>
  <c r="P86"/>
  <c r="O85"/>
  <c r="P84"/>
  <c r="O83"/>
  <c r="P82"/>
  <c r="AF28" s="1"/>
  <c r="O81"/>
  <c r="P80"/>
  <c r="O79"/>
  <c r="P78"/>
  <c r="O77"/>
  <c r="P76"/>
  <c r="O75"/>
  <c r="P74"/>
  <c r="O73"/>
  <c r="P72"/>
  <c r="O71"/>
  <c r="P70"/>
  <c r="AF25" s="1"/>
  <c r="O69"/>
  <c r="P68"/>
  <c r="O67"/>
  <c r="P66"/>
  <c r="O65"/>
  <c r="P64"/>
  <c r="O63"/>
  <c r="P62"/>
  <c r="O61"/>
  <c r="P60"/>
  <c r="O59"/>
  <c r="P58"/>
  <c r="Y18" i="96"/>
  <c r="AC14" i="94"/>
  <c r="Y13" i="100"/>
  <c r="Y15" i="97"/>
  <c r="Y23" s="1"/>
  <c r="Y16" i="95"/>
  <c r="AA18" i="96"/>
  <c r="AA23" s="1"/>
  <c r="W20" i="98"/>
  <c r="W24" s="1"/>
  <c r="AD16" i="96"/>
  <c r="AD23" s="1"/>
  <c r="Z18" i="95"/>
  <c r="Z26" s="1"/>
  <c r="Y14" i="94"/>
  <c r="Y21" i="96"/>
  <c r="Y24" s="1"/>
  <c r="Y15" i="101"/>
  <c r="AA17" i="94"/>
  <c r="V21" i="95"/>
  <c r="X13"/>
  <c r="X23" s="1"/>
  <c r="W16" i="94"/>
  <c r="AC20"/>
  <c r="V15" i="95"/>
  <c r="V26" s="1"/>
  <c r="U14" i="94"/>
  <c r="P17" i="104"/>
  <c r="S17"/>
  <c r="V11" i="103"/>
  <c r="AD12" i="101"/>
  <c r="AD11" i="103"/>
  <c r="T11" i="104"/>
  <c r="X11"/>
  <c r="AB11"/>
  <c r="U12" i="101"/>
  <c r="W12"/>
  <c r="Y12"/>
  <c r="AA12"/>
  <c r="AC12"/>
  <c r="V26" i="103"/>
  <c r="AD26"/>
  <c r="T10" i="104"/>
  <c r="F58"/>
  <c r="X10"/>
  <c r="J58"/>
  <c r="AB10"/>
  <c r="N58"/>
  <c r="P14"/>
  <c r="U11"/>
  <c r="W11"/>
  <c r="Y11"/>
  <c r="AA11"/>
  <c r="AC11"/>
  <c r="P18"/>
  <c r="U12"/>
  <c r="W12"/>
  <c r="Y12"/>
  <c r="AA12"/>
  <c r="AC12"/>
  <c r="T12"/>
  <c r="X12"/>
  <c r="AB12"/>
  <c r="P21"/>
  <c r="S21"/>
  <c r="V11" i="101"/>
  <c r="T11" i="103"/>
  <c r="X11"/>
  <c r="Z11"/>
  <c r="AB11"/>
  <c r="S13" i="104"/>
  <c r="S15"/>
  <c r="S19"/>
  <c r="AC36" i="101"/>
  <c r="Y24" i="103"/>
  <c r="AC27"/>
  <c r="T14"/>
  <c r="X14"/>
  <c r="AB14"/>
  <c r="W15" i="104"/>
  <c r="W17"/>
  <c r="W19"/>
  <c r="W21"/>
  <c r="W18" i="94"/>
  <c r="D58" i="103"/>
  <c r="F58"/>
  <c r="H58"/>
  <c r="J58"/>
  <c r="L58"/>
  <c r="N58"/>
  <c r="Z26"/>
  <c r="U11"/>
  <c r="W11"/>
  <c r="Y11"/>
  <c r="AA11"/>
  <c r="AC11"/>
  <c r="T13"/>
  <c r="T26" s="1"/>
  <c r="X13"/>
  <c r="X23" s="1"/>
  <c r="AB13"/>
  <c r="AB26" s="1"/>
  <c r="P25"/>
  <c r="P26"/>
  <c r="P27"/>
  <c r="U27"/>
  <c r="P11" i="104"/>
  <c r="W10"/>
  <c r="S11"/>
  <c r="P12"/>
  <c r="S12"/>
  <c r="P13"/>
  <c r="P15"/>
  <c r="P16"/>
  <c r="P19"/>
  <c r="P20"/>
  <c r="X26" i="103"/>
  <c r="AA26" i="104"/>
  <c r="P34"/>
  <c r="P42"/>
  <c r="P50"/>
  <c r="V11" i="99"/>
  <c r="T12"/>
  <c r="V12"/>
  <c r="X12"/>
  <c r="Z12"/>
  <c r="AB12"/>
  <c r="AD12"/>
  <c r="T12" i="101"/>
  <c r="V12"/>
  <c r="X12"/>
  <c r="Z12"/>
  <c r="AB12"/>
  <c r="E58" i="103"/>
  <c r="G58"/>
  <c r="I58"/>
  <c r="K58"/>
  <c r="M58"/>
  <c r="P11"/>
  <c r="P12"/>
  <c r="P13"/>
  <c r="P14"/>
  <c r="P15"/>
  <c r="P16"/>
  <c r="P17"/>
  <c r="P18"/>
  <c r="P19"/>
  <c r="P20"/>
  <c r="P21"/>
  <c r="P22"/>
  <c r="U13"/>
  <c r="W13"/>
  <c r="Y13"/>
  <c r="AA13"/>
  <c r="AC13"/>
  <c r="P23"/>
  <c r="P24"/>
  <c r="P28"/>
  <c r="P29"/>
  <c r="P30"/>
  <c r="P31"/>
  <c r="U15"/>
  <c r="W15"/>
  <c r="Y15"/>
  <c r="AA15"/>
  <c r="AC15"/>
  <c r="P32"/>
  <c r="P33"/>
  <c r="P34"/>
  <c r="P35"/>
  <c r="U16"/>
  <c r="W16"/>
  <c r="Y16"/>
  <c r="AA16"/>
  <c r="S10" i="104"/>
  <c r="S16"/>
  <c r="S18"/>
  <c r="S20"/>
  <c r="U15"/>
  <c r="Y15"/>
  <c r="AC15"/>
  <c r="P30"/>
  <c r="U17"/>
  <c r="Y17"/>
  <c r="AC17"/>
  <c r="P38"/>
  <c r="U19"/>
  <c r="Y19"/>
  <c r="AC19"/>
  <c r="P46"/>
  <c r="U21"/>
  <c r="Y21"/>
  <c r="AC21"/>
  <c r="P54"/>
  <c r="AC16" i="103"/>
  <c r="P36"/>
  <c r="P37"/>
  <c r="P39"/>
  <c r="P40"/>
  <c r="P41"/>
  <c r="P42"/>
  <c r="P43"/>
  <c r="P44"/>
  <c r="P45"/>
  <c r="P46"/>
  <c r="P47"/>
  <c r="P48"/>
  <c r="P49"/>
  <c r="P50"/>
  <c r="P51"/>
  <c r="P52"/>
  <c r="P53"/>
  <c r="P54"/>
  <c r="P55"/>
  <c r="P56"/>
  <c r="P57"/>
  <c r="E58" i="104"/>
  <c r="G58"/>
  <c r="I58"/>
  <c r="K58"/>
  <c r="M58"/>
  <c r="AA10"/>
  <c r="V13"/>
  <c r="X13"/>
  <c r="Z13"/>
  <c r="AB13"/>
  <c r="AD13"/>
  <c r="P27"/>
  <c r="P28"/>
  <c r="P29"/>
  <c r="O32"/>
  <c r="P32"/>
  <c r="P33"/>
  <c r="O36"/>
  <c r="P36"/>
  <c r="P37"/>
  <c r="O40"/>
  <c r="P40"/>
  <c r="P41"/>
  <c r="O44"/>
  <c r="P44"/>
  <c r="P45"/>
  <c r="O48"/>
  <c r="P48"/>
  <c r="P49"/>
  <c r="O52"/>
  <c r="P52"/>
  <c r="P53"/>
  <c r="O56"/>
  <c r="P56"/>
  <c r="P57"/>
  <c r="P10" i="103"/>
  <c r="C58"/>
  <c r="O10"/>
  <c r="U10"/>
  <c r="Y10"/>
  <c r="AC10"/>
  <c r="O11"/>
  <c r="O12"/>
  <c r="O13"/>
  <c r="O14"/>
  <c r="O15"/>
  <c r="O16"/>
  <c r="O17"/>
  <c r="O18"/>
  <c r="O19"/>
  <c r="O20"/>
  <c r="O21"/>
  <c r="O22"/>
  <c r="O23"/>
  <c r="O24"/>
  <c r="O25"/>
  <c r="O26"/>
  <c r="O27"/>
  <c r="O28"/>
  <c r="O29"/>
  <c r="O31"/>
  <c r="O33"/>
  <c r="O35"/>
  <c r="O37"/>
  <c r="T11" i="101"/>
  <c r="X11"/>
  <c r="Z11"/>
  <c r="AB11"/>
  <c r="AD11"/>
  <c r="Y39"/>
  <c r="Y36"/>
  <c r="S10" i="103"/>
  <c r="W10"/>
  <c r="AA10"/>
  <c r="S11"/>
  <c r="S12"/>
  <c r="S13"/>
  <c r="S14"/>
  <c r="S15"/>
  <c r="S16"/>
  <c r="S24"/>
  <c r="W24"/>
  <c r="AA24"/>
  <c r="O30"/>
  <c r="O32"/>
  <c r="O34"/>
  <c r="O36"/>
  <c r="P38"/>
  <c r="O38"/>
  <c r="O39"/>
  <c r="O40"/>
  <c r="O41"/>
  <c r="O42"/>
  <c r="O43"/>
  <c r="O44"/>
  <c r="O45"/>
  <c r="O46"/>
  <c r="O47"/>
  <c r="O48"/>
  <c r="O49"/>
  <c r="O50"/>
  <c r="O51"/>
  <c r="O52"/>
  <c r="O53"/>
  <c r="O54"/>
  <c r="O55"/>
  <c r="O56"/>
  <c r="O57"/>
  <c r="AA27" i="104"/>
  <c r="AA24"/>
  <c r="AA23"/>
  <c r="P25"/>
  <c r="T13"/>
  <c r="P26"/>
  <c r="T14"/>
  <c r="H58"/>
  <c r="Z13" i="101"/>
  <c r="T10" i="103"/>
  <c r="V10"/>
  <c r="X10"/>
  <c r="Z10"/>
  <c r="AB10"/>
  <c r="AD10"/>
  <c r="V23"/>
  <c r="Z23"/>
  <c r="AD23"/>
  <c r="T24"/>
  <c r="V24"/>
  <c r="X24"/>
  <c r="Z24"/>
  <c r="AB24"/>
  <c r="AD24"/>
  <c r="C58" i="104"/>
  <c r="P10"/>
  <c r="O10"/>
  <c r="U10"/>
  <c r="Y10"/>
  <c r="AC10"/>
  <c r="O11"/>
  <c r="O12"/>
  <c r="O13"/>
  <c r="O14"/>
  <c r="O15"/>
  <c r="O16"/>
  <c r="O17"/>
  <c r="O18"/>
  <c r="O19"/>
  <c r="O20"/>
  <c r="O21"/>
  <c r="O22"/>
  <c r="O23"/>
  <c r="O24"/>
  <c r="P31"/>
  <c r="T15"/>
  <c r="V15"/>
  <c r="X15"/>
  <c r="Z15"/>
  <c r="AB15"/>
  <c r="AD15"/>
  <c r="P35"/>
  <c r="T16"/>
  <c r="V16"/>
  <c r="X16"/>
  <c r="Z16"/>
  <c r="AB16"/>
  <c r="AD16"/>
  <c r="P39"/>
  <c r="T17"/>
  <c r="V17"/>
  <c r="X17"/>
  <c r="Z17"/>
  <c r="AB17"/>
  <c r="AD17"/>
  <c r="P43"/>
  <c r="T18"/>
  <c r="V18"/>
  <c r="X18"/>
  <c r="Z18"/>
  <c r="AB18"/>
  <c r="AD18"/>
  <c r="P47"/>
  <c r="T19"/>
  <c r="V19"/>
  <c r="X19"/>
  <c r="Z19"/>
  <c r="AB19"/>
  <c r="AD19"/>
  <c r="P51"/>
  <c r="T20"/>
  <c r="V20"/>
  <c r="X20"/>
  <c r="Z20"/>
  <c r="AB20"/>
  <c r="AD20"/>
  <c r="P55"/>
  <c r="T21"/>
  <c r="V21"/>
  <c r="X21"/>
  <c r="Z21"/>
  <c r="AB21"/>
  <c r="AD21"/>
  <c r="D58"/>
  <c r="L58"/>
  <c r="V10"/>
  <c r="Z10"/>
  <c r="AD10"/>
  <c r="O25"/>
  <c r="O26"/>
  <c r="O27"/>
  <c r="O28"/>
  <c r="O29"/>
  <c r="O31"/>
  <c r="O33"/>
  <c r="O35"/>
  <c r="O37"/>
  <c r="O39"/>
  <c r="O41"/>
  <c r="O43"/>
  <c r="O45"/>
  <c r="O47"/>
  <c r="O49"/>
  <c r="O51"/>
  <c r="O53"/>
  <c r="O55"/>
  <c r="O57"/>
  <c r="AB12" i="98"/>
  <c r="U36" i="101"/>
  <c r="U39"/>
  <c r="AC39"/>
  <c r="T14"/>
  <c r="X14"/>
  <c r="AB14"/>
  <c r="U11"/>
  <c r="W11"/>
  <c r="Y11"/>
  <c r="AA11"/>
  <c r="AC11"/>
  <c r="T13"/>
  <c r="X13"/>
  <c r="AB13"/>
  <c r="P25"/>
  <c r="P26"/>
  <c r="P27"/>
  <c r="AA12" i="97"/>
  <c r="T12" i="98"/>
  <c r="P21" i="100"/>
  <c r="P23"/>
  <c r="P24"/>
  <c r="O34"/>
  <c r="O42"/>
  <c r="O50"/>
  <c r="O54"/>
  <c r="P11" i="101"/>
  <c r="P12"/>
  <c r="P13"/>
  <c r="P14"/>
  <c r="P15"/>
  <c r="P16"/>
  <c r="P17"/>
  <c r="P18"/>
  <c r="P19"/>
  <c r="P20"/>
  <c r="P21"/>
  <c r="P22"/>
  <c r="U13"/>
  <c r="W13"/>
  <c r="W35" s="1"/>
  <c r="Y13"/>
  <c r="AA13"/>
  <c r="AA35" s="1"/>
  <c r="AC13"/>
  <c r="AC35" s="1"/>
  <c r="P23"/>
  <c r="P24"/>
  <c r="P28"/>
  <c r="P29"/>
  <c r="P31"/>
  <c r="P32"/>
  <c r="P33"/>
  <c r="P34"/>
  <c r="P35"/>
  <c r="P36"/>
  <c r="P37"/>
  <c r="P38"/>
  <c r="P39"/>
  <c r="P40"/>
  <c r="P41"/>
  <c r="P42"/>
  <c r="P43"/>
  <c r="P44"/>
  <c r="P45"/>
  <c r="P46"/>
  <c r="P47"/>
  <c r="P48"/>
  <c r="P49"/>
  <c r="P50"/>
  <c r="P51"/>
  <c r="P52"/>
  <c r="P53"/>
  <c r="P54"/>
  <c r="P55"/>
  <c r="P56"/>
  <c r="P57"/>
  <c r="AC11" i="95"/>
  <c r="O38" i="100"/>
  <c r="S17"/>
  <c r="P10" i="101"/>
  <c r="O10"/>
  <c r="U10"/>
  <c r="Y10"/>
  <c r="AC10"/>
  <c r="O11"/>
  <c r="O12"/>
  <c r="O13"/>
  <c r="O14"/>
  <c r="O15"/>
  <c r="O16"/>
  <c r="O17"/>
  <c r="O18"/>
  <c r="O19"/>
  <c r="O20"/>
  <c r="O21"/>
  <c r="O22"/>
  <c r="O23"/>
  <c r="O24"/>
  <c r="O25"/>
  <c r="O26"/>
  <c r="O27"/>
  <c r="O28"/>
  <c r="O29"/>
  <c r="U11" i="97"/>
  <c r="S10" i="101"/>
  <c r="W10"/>
  <c r="AA10"/>
  <c r="S11"/>
  <c r="S12"/>
  <c r="S13"/>
  <c r="S14"/>
  <c r="S36"/>
  <c r="W36"/>
  <c r="AA36"/>
  <c r="P30"/>
  <c r="O30"/>
  <c r="O31"/>
  <c r="O32"/>
  <c r="O33"/>
  <c r="O34"/>
  <c r="O35"/>
  <c r="O36"/>
  <c r="O37"/>
  <c r="O38"/>
  <c r="O39"/>
  <c r="O40"/>
  <c r="O41"/>
  <c r="O42"/>
  <c r="O43"/>
  <c r="O44"/>
  <c r="O45"/>
  <c r="O46"/>
  <c r="O47"/>
  <c r="O48"/>
  <c r="O49"/>
  <c r="O50"/>
  <c r="O51"/>
  <c r="O52"/>
  <c r="O53"/>
  <c r="O54"/>
  <c r="O55"/>
  <c r="O56"/>
  <c r="O57"/>
  <c r="U11" i="96"/>
  <c r="W11"/>
  <c r="Y11"/>
  <c r="AA11"/>
  <c r="AC11"/>
  <c r="Y11" i="97"/>
  <c r="T11" i="99"/>
  <c r="X11"/>
  <c r="Z11"/>
  <c r="AB11"/>
  <c r="AD11"/>
  <c r="U12"/>
  <c r="W12"/>
  <c r="Y12"/>
  <c r="AA12"/>
  <c r="AC12"/>
  <c r="P17" i="100"/>
  <c r="T10" i="101"/>
  <c r="V10"/>
  <c r="X10"/>
  <c r="Z10"/>
  <c r="AB10"/>
  <c r="AD10"/>
  <c r="AD35"/>
  <c r="T36"/>
  <c r="V36"/>
  <c r="X36"/>
  <c r="Z36"/>
  <c r="AB36"/>
  <c r="AD36"/>
  <c r="V27" i="96"/>
  <c r="S11" i="97"/>
  <c r="W11"/>
  <c r="AA11"/>
  <c r="S12"/>
  <c r="U12"/>
  <c r="W12"/>
  <c r="Y12"/>
  <c r="AC12"/>
  <c r="Z13" i="99"/>
  <c r="Z26" s="1"/>
  <c r="T10" i="100"/>
  <c r="T22" s="1"/>
  <c r="X10"/>
  <c r="AB10"/>
  <c r="AB22" s="1"/>
  <c r="V11"/>
  <c r="Z11"/>
  <c r="AD11"/>
  <c r="U12"/>
  <c r="W12"/>
  <c r="Y12"/>
  <c r="AA12"/>
  <c r="AC12"/>
  <c r="V12"/>
  <c r="Z12"/>
  <c r="AD12"/>
  <c r="P22"/>
  <c r="S13"/>
  <c r="O30"/>
  <c r="S15"/>
  <c r="W15"/>
  <c r="W17"/>
  <c r="O46"/>
  <c r="S19"/>
  <c r="W19"/>
  <c r="W21"/>
  <c r="U11" i="95"/>
  <c r="Y11"/>
  <c r="P13" i="96"/>
  <c r="P20"/>
  <c r="P22"/>
  <c r="P23"/>
  <c r="P24"/>
  <c r="O25"/>
  <c r="O26"/>
  <c r="O27"/>
  <c r="O28"/>
  <c r="O29"/>
  <c r="O31"/>
  <c r="O32"/>
  <c r="O33"/>
  <c r="O34"/>
  <c r="O35"/>
  <c r="O36"/>
  <c r="O37"/>
  <c r="O39"/>
  <c r="O40"/>
  <c r="O41"/>
  <c r="O43"/>
  <c r="O44"/>
  <c r="O45"/>
  <c r="O47"/>
  <c r="O48"/>
  <c r="O49"/>
  <c r="O50"/>
  <c r="O51"/>
  <c r="O52"/>
  <c r="O53"/>
  <c r="O55"/>
  <c r="O56"/>
  <c r="O57"/>
  <c r="C58" i="97"/>
  <c r="E58"/>
  <c r="G58"/>
  <c r="I58"/>
  <c r="K58"/>
  <c r="M58"/>
  <c r="O11"/>
  <c r="O12"/>
  <c r="O13"/>
  <c r="T11"/>
  <c r="V11"/>
  <c r="X11"/>
  <c r="Z11"/>
  <c r="AB11"/>
  <c r="AD11"/>
  <c r="O16"/>
  <c r="O17"/>
  <c r="X11" i="98"/>
  <c r="V12"/>
  <c r="X12"/>
  <c r="Z12"/>
  <c r="AD12"/>
  <c r="D58" i="99"/>
  <c r="F58"/>
  <c r="H58"/>
  <c r="J58"/>
  <c r="L58"/>
  <c r="N58"/>
  <c r="U24"/>
  <c r="U27"/>
  <c r="T14"/>
  <c r="X14"/>
  <c r="AB14"/>
  <c r="F58" i="100"/>
  <c r="J58"/>
  <c r="N58"/>
  <c r="P14"/>
  <c r="S11"/>
  <c r="U11"/>
  <c r="W11"/>
  <c r="Y11"/>
  <c r="AA11"/>
  <c r="AC11"/>
  <c r="P18"/>
  <c r="S12"/>
  <c r="S21"/>
  <c r="U11" i="99"/>
  <c r="W11"/>
  <c r="Y11"/>
  <c r="AA11"/>
  <c r="AC11"/>
  <c r="T13"/>
  <c r="X13"/>
  <c r="AB13"/>
  <c r="P25"/>
  <c r="P26"/>
  <c r="P27"/>
  <c r="P11" i="100"/>
  <c r="W10"/>
  <c r="P12"/>
  <c r="P13"/>
  <c r="P15"/>
  <c r="P16"/>
  <c r="P19"/>
  <c r="P20"/>
  <c r="P34"/>
  <c r="P42"/>
  <c r="P50"/>
  <c r="O14" i="97"/>
  <c r="O15"/>
  <c r="P20" i="98"/>
  <c r="P23"/>
  <c r="P24"/>
  <c r="O25"/>
  <c r="O27"/>
  <c r="O28"/>
  <c r="O29"/>
  <c r="O30"/>
  <c r="O31"/>
  <c r="O32"/>
  <c r="O33"/>
  <c r="O35"/>
  <c r="O36"/>
  <c r="O37"/>
  <c r="O38"/>
  <c r="O39"/>
  <c r="O40"/>
  <c r="O41"/>
  <c r="O43"/>
  <c r="O44"/>
  <c r="O45"/>
  <c r="O47"/>
  <c r="O48"/>
  <c r="O49"/>
  <c r="O50"/>
  <c r="O51"/>
  <c r="O52"/>
  <c r="O53"/>
  <c r="O55"/>
  <c r="O56"/>
  <c r="O57"/>
  <c r="E58" i="99"/>
  <c r="G58"/>
  <c r="I58"/>
  <c r="K58"/>
  <c r="M58"/>
  <c r="P11"/>
  <c r="P12"/>
  <c r="P13"/>
  <c r="P14"/>
  <c r="P15"/>
  <c r="P16"/>
  <c r="P17"/>
  <c r="P18"/>
  <c r="P19"/>
  <c r="P20"/>
  <c r="P21"/>
  <c r="P22"/>
  <c r="U13"/>
  <c r="W13"/>
  <c r="Y13"/>
  <c r="Y26" s="1"/>
  <c r="AA13"/>
  <c r="AA26" s="1"/>
  <c r="AC13"/>
  <c r="AC23" s="1"/>
  <c r="P23"/>
  <c r="P24"/>
  <c r="P28"/>
  <c r="P29"/>
  <c r="P30"/>
  <c r="P31"/>
  <c r="P32"/>
  <c r="P33"/>
  <c r="P34"/>
  <c r="P35"/>
  <c r="S10" i="100"/>
  <c r="S16"/>
  <c r="S18"/>
  <c r="S20"/>
  <c r="U15"/>
  <c r="Y15"/>
  <c r="AC15"/>
  <c r="P30"/>
  <c r="U17"/>
  <c r="Y17"/>
  <c r="AC17"/>
  <c r="P38"/>
  <c r="U19"/>
  <c r="Y19"/>
  <c r="AC19"/>
  <c r="P46"/>
  <c r="U21"/>
  <c r="Y21"/>
  <c r="AC21"/>
  <c r="P54"/>
  <c r="P36" i="99"/>
  <c r="P37"/>
  <c r="P38"/>
  <c r="P39"/>
  <c r="P40"/>
  <c r="P41"/>
  <c r="P42"/>
  <c r="P43"/>
  <c r="P44"/>
  <c r="P45"/>
  <c r="P46"/>
  <c r="P47"/>
  <c r="P48"/>
  <c r="P49"/>
  <c r="P50"/>
  <c r="P51"/>
  <c r="P52"/>
  <c r="P53"/>
  <c r="P54"/>
  <c r="P55"/>
  <c r="P56"/>
  <c r="P57"/>
  <c r="E58" i="100"/>
  <c r="G58"/>
  <c r="I58"/>
  <c r="K58"/>
  <c r="M58"/>
  <c r="AA10"/>
  <c r="V13"/>
  <c r="X13"/>
  <c r="Z13"/>
  <c r="AB13"/>
  <c r="AD13"/>
  <c r="P27"/>
  <c r="P28"/>
  <c r="P29"/>
  <c r="O32"/>
  <c r="P32"/>
  <c r="P33"/>
  <c r="O36"/>
  <c r="P36"/>
  <c r="P37"/>
  <c r="O40"/>
  <c r="P40"/>
  <c r="P41"/>
  <c r="O44"/>
  <c r="P44"/>
  <c r="P45"/>
  <c r="O48"/>
  <c r="P48"/>
  <c r="P49"/>
  <c r="O52"/>
  <c r="P52"/>
  <c r="P53"/>
  <c r="O56"/>
  <c r="P56"/>
  <c r="P57"/>
  <c r="P10" i="99"/>
  <c r="C58"/>
  <c r="O10"/>
  <c r="U10"/>
  <c r="Y10"/>
  <c r="AC10"/>
  <c r="O11"/>
  <c r="O12"/>
  <c r="O13"/>
  <c r="O14"/>
  <c r="O15"/>
  <c r="O16"/>
  <c r="O17"/>
  <c r="O18"/>
  <c r="O19"/>
  <c r="O20"/>
  <c r="O21"/>
  <c r="O22"/>
  <c r="O23"/>
  <c r="O24"/>
  <c r="O25"/>
  <c r="O26"/>
  <c r="O27"/>
  <c r="S10"/>
  <c r="W10"/>
  <c r="AA10"/>
  <c r="S11"/>
  <c r="S12"/>
  <c r="S13"/>
  <c r="S14"/>
  <c r="S24"/>
  <c r="W24"/>
  <c r="AA24"/>
  <c r="O28"/>
  <c r="O29"/>
  <c r="O30"/>
  <c r="O31"/>
  <c r="O32"/>
  <c r="O33"/>
  <c r="O34"/>
  <c r="O35"/>
  <c r="O36"/>
  <c r="O37"/>
  <c r="O38"/>
  <c r="O39"/>
  <c r="O40"/>
  <c r="O41"/>
  <c r="O42"/>
  <c r="O43"/>
  <c r="O44"/>
  <c r="O45"/>
  <c r="O46"/>
  <c r="O47"/>
  <c r="O48"/>
  <c r="O49"/>
  <c r="O50"/>
  <c r="O51"/>
  <c r="O52"/>
  <c r="O53"/>
  <c r="O54"/>
  <c r="O55"/>
  <c r="O56"/>
  <c r="O57"/>
  <c r="AA27" i="100"/>
  <c r="AA24"/>
  <c r="P25"/>
  <c r="T13"/>
  <c r="P26"/>
  <c r="T14"/>
  <c r="H58"/>
  <c r="P45" i="97"/>
  <c r="P46"/>
  <c r="P47"/>
  <c r="P48"/>
  <c r="T11" i="98"/>
  <c r="V11"/>
  <c r="Z11"/>
  <c r="AB11"/>
  <c r="AD11"/>
  <c r="T10" i="99"/>
  <c r="V10"/>
  <c r="X10"/>
  <c r="Z10"/>
  <c r="AB10"/>
  <c r="AD10"/>
  <c r="T24"/>
  <c r="V24"/>
  <c r="Z24"/>
  <c r="AD24"/>
  <c r="C58" i="100"/>
  <c r="P10"/>
  <c r="O10"/>
  <c r="U10"/>
  <c r="Y10"/>
  <c r="AC10"/>
  <c r="O11"/>
  <c r="O12"/>
  <c r="O13"/>
  <c r="O14"/>
  <c r="O15"/>
  <c r="O16"/>
  <c r="O17"/>
  <c r="O18"/>
  <c r="O19"/>
  <c r="O20"/>
  <c r="O21"/>
  <c r="O22"/>
  <c r="O23"/>
  <c r="O24"/>
  <c r="P31"/>
  <c r="T15"/>
  <c r="V15"/>
  <c r="X15"/>
  <c r="Z15"/>
  <c r="AB15"/>
  <c r="AD15"/>
  <c r="P35"/>
  <c r="T16"/>
  <c r="V16"/>
  <c r="X16"/>
  <c r="Z16"/>
  <c r="AB16"/>
  <c r="AD16"/>
  <c r="P39"/>
  <c r="T17"/>
  <c r="V17"/>
  <c r="X17"/>
  <c r="Z17"/>
  <c r="AB17"/>
  <c r="AD17"/>
  <c r="P43"/>
  <c r="T18"/>
  <c r="V18"/>
  <c r="X18"/>
  <c r="Z18"/>
  <c r="AB18"/>
  <c r="AD18"/>
  <c r="P47"/>
  <c r="T19"/>
  <c r="V19"/>
  <c r="X19"/>
  <c r="Z19"/>
  <c r="AB19"/>
  <c r="AD19"/>
  <c r="P51"/>
  <c r="T20"/>
  <c r="V20"/>
  <c r="X20"/>
  <c r="Z20"/>
  <c r="AB20"/>
  <c r="AD20"/>
  <c r="P55"/>
  <c r="T21"/>
  <c r="V21"/>
  <c r="X21"/>
  <c r="Z21"/>
  <c r="AB21"/>
  <c r="AD21"/>
  <c r="D58"/>
  <c r="L58"/>
  <c r="V10"/>
  <c r="Z10"/>
  <c r="AD10"/>
  <c r="O25"/>
  <c r="O26"/>
  <c r="O27"/>
  <c r="O28"/>
  <c r="O29"/>
  <c r="O31"/>
  <c r="O33"/>
  <c r="O35"/>
  <c r="O37"/>
  <c r="O39"/>
  <c r="O41"/>
  <c r="O43"/>
  <c r="O45"/>
  <c r="O47"/>
  <c r="O49"/>
  <c r="O51"/>
  <c r="O53"/>
  <c r="O55"/>
  <c r="O57"/>
  <c r="O46" i="98"/>
  <c r="S19"/>
  <c r="T12" i="97"/>
  <c r="V12"/>
  <c r="X12"/>
  <c r="Z12"/>
  <c r="AB12"/>
  <c r="AD12"/>
  <c r="U11" i="98"/>
  <c r="W11"/>
  <c r="Y11"/>
  <c r="AA11"/>
  <c r="AC11"/>
  <c r="S15"/>
  <c r="V12" i="94"/>
  <c r="S11" i="95"/>
  <c r="W11"/>
  <c r="AA11"/>
  <c r="Z12"/>
  <c r="O20" i="97"/>
  <c r="O22"/>
  <c r="O23"/>
  <c r="O24"/>
  <c r="O25"/>
  <c r="O26"/>
  <c r="O27"/>
  <c r="O28"/>
  <c r="O29"/>
  <c r="O30"/>
  <c r="O31"/>
  <c r="O32"/>
  <c r="O33"/>
  <c r="O34"/>
  <c r="O35"/>
  <c r="O37"/>
  <c r="O38"/>
  <c r="O39"/>
  <c r="O40"/>
  <c r="O41"/>
  <c r="O42"/>
  <c r="O43"/>
  <c r="O44"/>
  <c r="P17" i="98"/>
  <c r="U12"/>
  <c r="W12"/>
  <c r="Y12"/>
  <c r="AA12"/>
  <c r="AC12"/>
  <c r="W26" i="97"/>
  <c r="AA26"/>
  <c r="P15" i="98"/>
  <c r="S11"/>
  <c r="P19"/>
  <c r="S12"/>
  <c r="U27"/>
  <c r="P22"/>
  <c r="S13"/>
  <c r="U26"/>
  <c r="W26"/>
  <c r="Y26"/>
  <c r="AA26"/>
  <c r="O26"/>
  <c r="S14"/>
  <c r="O34"/>
  <c r="S16"/>
  <c r="O42"/>
  <c r="S18"/>
  <c r="O54"/>
  <c r="S21"/>
  <c r="T11" i="95"/>
  <c r="V11"/>
  <c r="X11"/>
  <c r="Z11"/>
  <c r="AB11"/>
  <c r="AD11"/>
  <c r="D58" i="97"/>
  <c r="F58"/>
  <c r="H58"/>
  <c r="J58"/>
  <c r="L58"/>
  <c r="N58"/>
  <c r="T26"/>
  <c r="Z26"/>
  <c r="AD26"/>
  <c r="O18"/>
  <c r="S18"/>
  <c r="O19"/>
  <c r="S27"/>
  <c r="U27"/>
  <c r="W27"/>
  <c r="Y27"/>
  <c r="AA27"/>
  <c r="AC27"/>
  <c r="O21"/>
  <c r="P40"/>
  <c r="P41"/>
  <c r="P42"/>
  <c r="P43"/>
  <c r="P44"/>
  <c r="D58" i="98"/>
  <c r="F58"/>
  <c r="H58"/>
  <c r="J58"/>
  <c r="L58"/>
  <c r="N58"/>
  <c r="Z26"/>
  <c r="S17"/>
  <c r="S20"/>
  <c r="O45" i="97"/>
  <c r="O46"/>
  <c r="O47"/>
  <c r="O48"/>
  <c r="O49"/>
  <c r="O50"/>
  <c r="O51"/>
  <c r="O52"/>
  <c r="O53"/>
  <c r="O54"/>
  <c r="O55"/>
  <c r="O56"/>
  <c r="O57"/>
  <c r="C58" i="98"/>
  <c r="E58"/>
  <c r="G58"/>
  <c r="I58"/>
  <c r="K58"/>
  <c r="M58"/>
  <c r="P11"/>
  <c r="P12"/>
  <c r="P13"/>
  <c r="P14"/>
  <c r="P16"/>
  <c r="P18"/>
  <c r="P21"/>
  <c r="P43"/>
  <c r="P44"/>
  <c r="P45"/>
  <c r="P46"/>
  <c r="P47"/>
  <c r="P48"/>
  <c r="P49"/>
  <c r="P50"/>
  <c r="P51"/>
  <c r="P52"/>
  <c r="Z11" i="94"/>
  <c r="AD12"/>
  <c r="V12" i="95"/>
  <c r="AD12"/>
  <c r="T11" i="96"/>
  <c r="V11"/>
  <c r="X11"/>
  <c r="Z11"/>
  <c r="AB11"/>
  <c r="AD11"/>
  <c r="P10" i="97"/>
  <c r="T10"/>
  <c r="V10"/>
  <c r="X10"/>
  <c r="Z10"/>
  <c r="AB10"/>
  <c r="AD10"/>
  <c r="P11"/>
  <c r="P12"/>
  <c r="P13"/>
  <c r="P14"/>
  <c r="P15"/>
  <c r="P16"/>
  <c r="P17"/>
  <c r="P18"/>
  <c r="P19"/>
  <c r="P20"/>
  <c r="P21"/>
  <c r="P22"/>
  <c r="P23"/>
  <c r="T23"/>
  <c r="Z23"/>
  <c r="P24"/>
  <c r="T24"/>
  <c r="V24"/>
  <c r="X24"/>
  <c r="Z24"/>
  <c r="AB24"/>
  <c r="AD24"/>
  <c r="P25"/>
  <c r="P26"/>
  <c r="P27"/>
  <c r="P28"/>
  <c r="P29"/>
  <c r="P30"/>
  <c r="P31"/>
  <c r="P32"/>
  <c r="P33"/>
  <c r="P34"/>
  <c r="P35"/>
  <c r="S12" i="96"/>
  <c r="W12"/>
  <c r="AA12"/>
  <c r="O10" i="97"/>
  <c r="S10"/>
  <c r="U10"/>
  <c r="W10"/>
  <c r="Y10"/>
  <c r="AA10"/>
  <c r="AC10"/>
  <c r="W23"/>
  <c r="AA23"/>
  <c r="S24"/>
  <c r="U24"/>
  <c r="W24"/>
  <c r="Y24"/>
  <c r="AA24"/>
  <c r="AC24"/>
  <c r="O36"/>
  <c r="P36"/>
  <c r="P37"/>
  <c r="P38"/>
  <c r="P39"/>
  <c r="P49"/>
  <c r="P50"/>
  <c r="P51"/>
  <c r="P52"/>
  <c r="P53"/>
  <c r="P54"/>
  <c r="P55"/>
  <c r="P56"/>
  <c r="P57"/>
  <c r="O10" i="98"/>
  <c r="S10"/>
  <c r="U10"/>
  <c r="W10"/>
  <c r="Y10"/>
  <c r="AA10"/>
  <c r="AC10"/>
  <c r="O11"/>
  <c r="O12"/>
  <c r="O13"/>
  <c r="O14"/>
  <c r="O15"/>
  <c r="O16"/>
  <c r="O17"/>
  <c r="O18"/>
  <c r="O19"/>
  <c r="Y27"/>
  <c r="Y24"/>
  <c r="AA27"/>
  <c r="AA24"/>
  <c r="AC27"/>
  <c r="AC24"/>
  <c r="O20"/>
  <c r="O21"/>
  <c r="O22"/>
  <c r="O23"/>
  <c r="U23"/>
  <c r="W23"/>
  <c r="Y23"/>
  <c r="AA23"/>
  <c r="O24"/>
  <c r="U24"/>
  <c r="P10"/>
  <c r="T10"/>
  <c r="V10"/>
  <c r="X10"/>
  <c r="Z10"/>
  <c r="AB10"/>
  <c r="AD10"/>
  <c r="X27"/>
  <c r="X24"/>
  <c r="X23"/>
  <c r="Z23"/>
  <c r="P25"/>
  <c r="P26"/>
  <c r="P27"/>
  <c r="P28"/>
  <c r="P29"/>
  <c r="P30"/>
  <c r="P31"/>
  <c r="P32"/>
  <c r="P33"/>
  <c r="P34"/>
  <c r="P35"/>
  <c r="P36"/>
  <c r="P37"/>
  <c r="P38"/>
  <c r="P39"/>
  <c r="P40"/>
  <c r="P41"/>
  <c r="P42"/>
  <c r="P53"/>
  <c r="P54"/>
  <c r="P55"/>
  <c r="P56"/>
  <c r="P57"/>
  <c r="O42" i="96"/>
  <c r="S18"/>
  <c r="T11" i="94"/>
  <c r="V11"/>
  <c r="X11"/>
  <c r="AB11"/>
  <c r="AD11"/>
  <c r="T12"/>
  <c r="X12"/>
  <c r="Z12"/>
  <c r="AB12"/>
  <c r="D58" i="95"/>
  <c r="F58"/>
  <c r="H58"/>
  <c r="J58"/>
  <c r="L58"/>
  <c r="N58"/>
  <c r="T26"/>
  <c r="AD27"/>
  <c r="S13" i="96"/>
  <c r="P14"/>
  <c r="S11"/>
  <c r="S14"/>
  <c r="T12" i="95"/>
  <c r="X12"/>
  <c r="AB12"/>
  <c r="P21"/>
  <c r="P22"/>
  <c r="P23"/>
  <c r="P24"/>
  <c r="P25"/>
  <c r="P26"/>
  <c r="P27"/>
  <c r="P28"/>
  <c r="P29"/>
  <c r="P30"/>
  <c r="P31"/>
  <c r="P32"/>
  <c r="P33"/>
  <c r="P34"/>
  <c r="P35"/>
  <c r="O37"/>
  <c r="O39"/>
  <c r="O40"/>
  <c r="O41"/>
  <c r="O42"/>
  <c r="O43"/>
  <c r="O44"/>
  <c r="O45"/>
  <c r="O47"/>
  <c r="O48"/>
  <c r="O49"/>
  <c r="O50"/>
  <c r="O51"/>
  <c r="O52"/>
  <c r="O53"/>
  <c r="O54"/>
  <c r="O55"/>
  <c r="O56"/>
  <c r="O57"/>
  <c r="C58" i="96"/>
  <c r="E58"/>
  <c r="G58"/>
  <c r="I58"/>
  <c r="K58"/>
  <c r="M58"/>
  <c r="P11"/>
  <c r="S10" i="94"/>
  <c r="W10"/>
  <c r="P18" i="95"/>
  <c r="T27"/>
  <c r="X27"/>
  <c r="AB27"/>
  <c r="P20"/>
  <c r="U12"/>
  <c r="W12"/>
  <c r="Y12"/>
  <c r="AA12"/>
  <c r="AC12"/>
  <c r="P12" i="96"/>
  <c r="P16"/>
  <c r="P18"/>
  <c r="U12"/>
  <c r="Y12"/>
  <c r="AC12"/>
  <c r="T12"/>
  <c r="V12"/>
  <c r="X12"/>
  <c r="Z12"/>
  <c r="AB12"/>
  <c r="AD12"/>
  <c r="O38" i="95"/>
  <c r="S17"/>
  <c r="O46"/>
  <c r="S19"/>
  <c r="Y27"/>
  <c r="AA27"/>
  <c r="O30" i="96"/>
  <c r="S15"/>
  <c r="O38"/>
  <c r="S17"/>
  <c r="O46"/>
  <c r="S19"/>
  <c r="U27"/>
  <c r="O54"/>
  <c r="S21"/>
  <c r="P14" i="94"/>
  <c r="U11"/>
  <c r="W11"/>
  <c r="Y11"/>
  <c r="AA11"/>
  <c r="AC11"/>
  <c r="P16"/>
  <c r="P18"/>
  <c r="U12"/>
  <c r="W12"/>
  <c r="Y12"/>
  <c r="AA12"/>
  <c r="AC12"/>
  <c r="P20"/>
  <c r="P22"/>
  <c r="P23"/>
  <c r="P24"/>
  <c r="O30"/>
  <c r="O34"/>
  <c r="O38"/>
  <c r="O42"/>
  <c r="O46"/>
  <c r="O50"/>
  <c r="O54"/>
  <c r="C58" i="95"/>
  <c r="E58"/>
  <c r="G58"/>
  <c r="I58"/>
  <c r="K58"/>
  <c r="M58"/>
  <c r="P11"/>
  <c r="P12"/>
  <c r="S12"/>
  <c r="P13"/>
  <c r="S13"/>
  <c r="P14"/>
  <c r="S14"/>
  <c r="P15"/>
  <c r="S15"/>
  <c r="P16"/>
  <c r="S16"/>
  <c r="S18"/>
  <c r="S21"/>
  <c r="S16" i="96"/>
  <c r="T27"/>
  <c r="S20"/>
  <c r="P17" i="95"/>
  <c r="P19"/>
  <c r="P49"/>
  <c r="P50"/>
  <c r="P51"/>
  <c r="P52"/>
  <c r="P53"/>
  <c r="P54"/>
  <c r="P55"/>
  <c r="P56"/>
  <c r="P57"/>
  <c r="D58" i="96"/>
  <c r="F58"/>
  <c r="H58"/>
  <c r="J58"/>
  <c r="L58"/>
  <c r="N58"/>
  <c r="V26"/>
  <c r="X26"/>
  <c r="Z26"/>
  <c r="P15"/>
  <c r="P17"/>
  <c r="P19"/>
  <c r="P21"/>
  <c r="O10" i="95"/>
  <c r="S10"/>
  <c r="U10"/>
  <c r="W10"/>
  <c r="Y10"/>
  <c r="AA10"/>
  <c r="AC10"/>
  <c r="O11"/>
  <c r="O12"/>
  <c r="O13"/>
  <c r="O14"/>
  <c r="O15"/>
  <c r="O16"/>
  <c r="O17"/>
  <c r="O18"/>
  <c r="O19"/>
  <c r="O20"/>
  <c r="O21"/>
  <c r="O22"/>
  <c r="O23"/>
  <c r="W23"/>
  <c r="AA23"/>
  <c r="O24"/>
  <c r="Y24"/>
  <c r="AA24"/>
  <c r="O25"/>
  <c r="O26"/>
  <c r="O27"/>
  <c r="O28"/>
  <c r="O29"/>
  <c r="O30"/>
  <c r="O31"/>
  <c r="O32"/>
  <c r="O33"/>
  <c r="O34"/>
  <c r="O35"/>
  <c r="O36"/>
  <c r="P36"/>
  <c r="T10" i="94"/>
  <c r="F58"/>
  <c r="X10"/>
  <c r="J58"/>
  <c r="AB10"/>
  <c r="N58"/>
  <c r="P11"/>
  <c r="S11"/>
  <c r="P12"/>
  <c r="S12"/>
  <c r="P13"/>
  <c r="S13"/>
  <c r="P15"/>
  <c r="P17"/>
  <c r="P19"/>
  <c r="P21"/>
  <c r="P10" i="95"/>
  <c r="T10"/>
  <c r="V10"/>
  <c r="X10"/>
  <c r="Z10"/>
  <c r="AB10"/>
  <c r="AD10"/>
  <c r="T23"/>
  <c r="AD23"/>
  <c r="T24"/>
  <c r="X24"/>
  <c r="AB24"/>
  <c r="AD24"/>
  <c r="P37"/>
  <c r="P38"/>
  <c r="P39"/>
  <c r="P40"/>
  <c r="P41"/>
  <c r="P42"/>
  <c r="P43"/>
  <c r="P44"/>
  <c r="P45"/>
  <c r="P46"/>
  <c r="P47"/>
  <c r="P48"/>
  <c r="O10" i="96"/>
  <c r="S10"/>
  <c r="U10"/>
  <c r="W10"/>
  <c r="Y10"/>
  <c r="AA10"/>
  <c r="AC10"/>
  <c r="O11"/>
  <c r="O12"/>
  <c r="O13"/>
  <c r="O14"/>
  <c r="O15"/>
  <c r="O16"/>
  <c r="O17"/>
  <c r="O18"/>
  <c r="O19"/>
  <c r="AA27"/>
  <c r="AA24"/>
  <c r="AC27"/>
  <c r="AC24"/>
  <c r="O20"/>
  <c r="O21"/>
  <c r="O22"/>
  <c r="O23"/>
  <c r="O24"/>
  <c r="U24"/>
  <c r="P10"/>
  <c r="T10"/>
  <c r="V10"/>
  <c r="X10"/>
  <c r="Z10"/>
  <c r="AB10"/>
  <c r="AD10"/>
  <c r="X27"/>
  <c r="X24"/>
  <c r="Z27"/>
  <c r="Z24"/>
  <c r="AB27"/>
  <c r="AB24"/>
  <c r="AD27"/>
  <c r="AD24"/>
  <c r="V23"/>
  <c r="Z23"/>
  <c r="T24"/>
  <c r="V24"/>
  <c r="P25"/>
  <c r="P26"/>
  <c r="P27"/>
  <c r="P28"/>
  <c r="P29"/>
  <c r="P30"/>
  <c r="P31"/>
  <c r="P32"/>
  <c r="P33"/>
  <c r="P34"/>
  <c r="P35"/>
  <c r="P36"/>
  <c r="P37"/>
  <c r="P38"/>
  <c r="P39"/>
  <c r="P40"/>
  <c r="P41"/>
  <c r="P42"/>
  <c r="P43"/>
  <c r="P44"/>
  <c r="P45"/>
  <c r="P46"/>
  <c r="P47"/>
  <c r="P48"/>
  <c r="P49"/>
  <c r="P50"/>
  <c r="P51"/>
  <c r="P52"/>
  <c r="P53"/>
  <c r="P54"/>
  <c r="P55"/>
  <c r="P56"/>
  <c r="P57"/>
  <c r="P30" i="94"/>
  <c r="P34"/>
  <c r="P38"/>
  <c r="P42"/>
  <c r="P46"/>
  <c r="P50"/>
  <c r="P54"/>
  <c r="E58"/>
  <c r="G58"/>
  <c r="I58"/>
  <c r="K58"/>
  <c r="M58"/>
  <c r="AA10"/>
  <c r="V13"/>
  <c r="X13"/>
  <c r="Z13"/>
  <c r="AB13"/>
  <c r="AD13"/>
  <c r="P27"/>
  <c r="P28"/>
  <c r="P29"/>
  <c r="O32"/>
  <c r="P32"/>
  <c r="P33"/>
  <c r="O36"/>
  <c r="P36"/>
  <c r="P37"/>
  <c r="O40"/>
  <c r="P40"/>
  <c r="P41"/>
  <c r="O44"/>
  <c r="P44"/>
  <c r="P45"/>
  <c r="O48"/>
  <c r="P48"/>
  <c r="P49"/>
  <c r="O52"/>
  <c r="P52"/>
  <c r="P53"/>
  <c r="O56"/>
  <c r="P56"/>
  <c r="P57"/>
  <c r="P25"/>
  <c r="T13"/>
  <c r="P26"/>
  <c r="T14"/>
  <c r="H58"/>
  <c r="C58"/>
  <c r="P10"/>
  <c r="O10"/>
  <c r="U10"/>
  <c r="Y10"/>
  <c r="AC10"/>
  <c r="O11"/>
  <c r="O12"/>
  <c r="O13"/>
  <c r="O14"/>
  <c r="O15"/>
  <c r="O16"/>
  <c r="O17"/>
  <c r="O18"/>
  <c r="O19"/>
  <c r="O20"/>
  <c r="O21"/>
  <c r="O22"/>
  <c r="O23"/>
  <c r="O24"/>
  <c r="P31"/>
  <c r="T15"/>
  <c r="V15"/>
  <c r="X15"/>
  <c r="Z15"/>
  <c r="AB15"/>
  <c r="AD15"/>
  <c r="P35"/>
  <c r="T16"/>
  <c r="V16"/>
  <c r="X16"/>
  <c r="Z16"/>
  <c r="AB16"/>
  <c r="AD16"/>
  <c r="P39"/>
  <c r="T17"/>
  <c r="V17"/>
  <c r="X17"/>
  <c r="Z17"/>
  <c r="AB17"/>
  <c r="AD17"/>
  <c r="P43"/>
  <c r="T18"/>
  <c r="V18"/>
  <c r="X18"/>
  <c r="Z18"/>
  <c r="AB18"/>
  <c r="AD18"/>
  <c r="P47"/>
  <c r="T19"/>
  <c r="V19"/>
  <c r="X19"/>
  <c r="Z19"/>
  <c r="AB19"/>
  <c r="AD19"/>
  <c r="P51"/>
  <c r="T20"/>
  <c r="V20"/>
  <c r="X20"/>
  <c r="Z20"/>
  <c r="AB20"/>
  <c r="AD20"/>
  <c r="P55"/>
  <c r="T21"/>
  <c r="V21"/>
  <c r="X21"/>
  <c r="Z21"/>
  <c r="AB21"/>
  <c r="AD21"/>
  <c r="D58"/>
  <c r="L58"/>
  <c r="V10"/>
  <c r="Z10"/>
  <c r="AD10"/>
  <c r="O25"/>
  <c r="O26"/>
  <c r="O27"/>
  <c r="O28"/>
  <c r="O29"/>
  <c r="O31"/>
  <c r="O33"/>
  <c r="O35"/>
  <c r="O37"/>
  <c r="O39"/>
  <c r="O41"/>
  <c r="O43"/>
  <c r="O45"/>
  <c r="O47"/>
  <c r="O49"/>
  <c r="O51"/>
  <c r="O53"/>
  <c r="O55"/>
  <c r="O57"/>
  <c r="C11" i="107"/>
  <c r="D11"/>
  <c r="E11"/>
  <c r="F11"/>
  <c r="G11"/>
  <c r="H11"/>
  <c r="I11"/>
  <c r="J11"/>
  <c r="K11"/>
  <c r="L11"/>
  <c r="M11"/>
  <c r="N11"/>
  <c r="C12"/>
  <c r="D12"/>
  <c r="E12"/>
  <c r="F12"/>
  <c r="G12"/>
  <c r="H12"/>
  <c r="I12"/>
  <c r="J12"/>
  <c r="K12"/>
  <c r="L12"/>
  <c r="M12"/>
  <c r="N12"/>
  <c r="C13"/>
  <c r="D13"/>
  <c r="E13"/>
  <c r="F13"/>
  <c r="G13"/>
  <c r="H13"/>
  <c r="I13"/>
  <c r="J13"/>
  <c r="K13"/>
  <c r="L13"/>
  <c r="M13"/>
  <c r="N13"/>
  <c r="C14"/>
  <c r="D14"/>
  <c r="E14"/>
  <c r="F14"/>
  <c r="G14"/>
  <c r="H14"/>
  <c r="I14"/>
  <c r="J14"/>
  <c r="K14"/>
  <c r="L14"/>
  <c r="M14"/>
  <c r="N14"/>
  <c r="C15"/>
  <c r="D15"/>
  <c r="E15"/>
  <c r="F15"/>
  <c r="G15"/>
  <c r="H15"/>
  <c r="I15"/>
  <c r="J15"/>
  <c r="K15"/>
  <c r="L15"/>
  <c r="M15"/>
  <c r="N15"/>
  <c r="C16"/>
  <c r="D16"/>
  <c r="E16"/>
  <c r="F16"/>
  <c r="G16"/>
  <c r="H16"/>
  <c r="I16"/>
  <c r="J16"/>
  <c r="K16"/>
  <c r="L16"/>
  <c r="M16"/>
  <c r="N16"/>
  <c r="C17"/>
  <c r="D17"/>
  <c r="E17"/>
  <c r="F17"/>
  <c r="G17"/>
  <c r="H17"/>
  <c r="I17"/>
  <c r="J17"/>
  <c r="K17"/>
  <c r="L17"/>
  <c r="M17"/>
  <c r="N17"/>
  <c r="C18"/>
  <c r="D18"/>
  <c r="E18"/>
  <c r="F18"/>
  <c r="G18"/>
  <c r="H18"/>
  <c r="I18"/>
  <c r="J18"/>
  <c r="K18"/>
  <c r="L18"/>
  <c r="M18"/>
  <c r="N18"/>
  <c r="C19"/>
  <c r="D19"/>
  <c r="E19"/>
  <c r="F19"/>
  <c r="G19"/>
  <c r="H19"/>
  <c r="I19"/>
  <c r="J19"/>
  <c r="K19"/>
  <c r="L19"/>
  <c r="M19"/>
  <c r="N19"/>
  <c r="C20"/>
  <c r="D20"/>
  <c r="E20"/>
  <c r="F20"/>
  <c r="G20"/>
  <c r="H20"/>
  <c r="I20"/>
  <c r="J20"/>
  <c r="K20"/>
  <c r="L20"/>
  <c r="M20"/>
  <c r="N20"/>
  <c r="C21"/>
  <c r="D21"/>
  <c r="E21"/>
  <c r="F21"/>
  <c r="G21"/>
  <c r="H21"/>
  <c r="I21"/>
  <c r="J21"/>
  <c r="K21"/>
  <c r="L21"/>
  <c r="M21"/>
  <c r="N21"/>
  <c r="C22"/>
  <c r="D22"/>
  <c r="E22"/>
  <c r="F22"/>
  <c r="G22"/>
  <c r="H22"/>
  <c r="I22"/>
  <c r="J22"/>
  <c r="K22"/>
  <c r="L22"/>
  <c r="M22"/>
  <c r="N22"/>
  <c r="C23"/>
  <c r="D23"/>
  <c r="E23"/>
  <c r="F23"/>
  <c r="G23"/>
  <c r="H23"/>
  <c r="I23"/>
  <c r="J23"/>
  <c r="K23"/>
  <c r="L23"/>
  <c r="M23"/>
  <c r="N23"/>
  <c r="C24"/>
  <c r="D24"/>
  <c r="E24"/>
  <c r="F24"/>
  <c r="G24"/>
  <c r="H24"/>
  <c r="I24"/>
  <c r="J24"/>
  <c r="K24"/>
  <c r="L24"/>
  <c r="M24"/>
  <c r="N24"/>
  <c r="C25"/>
  <c r="D25"/>
  <c r="E25"/>
  <c r="F25"/>
  <c r="G25"/>
  <c r="H25"/>
  <c r="I25"/>
  <c r="J25"/>
  <c r="K25"/>
  <c r="L25"/>
  <c r="M25"/>
  <c r="N25"/>
  <c r="C26"/>
  <c r="D26"/>
  <c r="E26"/>
  <c r="F26"/>
  <c r="G26"/>
  <c r="H26"/>
  <c r="I26"/>
  <c r="J26"/>
  <c r="K26"/>
  <c r="L26"/>
  <c r="M26"/>
  <c r="N26"/>
  <c r="C27"/>
  <c r="D27"/>
  <c r="E27"/>
  <c r="F27"/>
  <c r="G27"/>
  <c r="H27"/>
  <c r="I27"/>
  <c r="J27"/>
  <c r="K27"/>
  <c r="L27"/>
  <c r="M27"/>
  <c r="N27"/>
  <c r="C28"/>
  <c r="D28"/>
  <c r="E28"/>
  <c r="F28"/>
  <c r="G28"/>
  <c r="H28"/>
  <c r="I28"/>
  <c r="J28"/>
  <c r="K28"/>
  <c r="L28"/>
  <c r="M28"/>
  <c r="N28"/>
  <c r="C29"/>
  <c r="D29"/>
  <c r="E29"/>
  <c r="F29"/>
  <c r="G29"/>
  <c r="H29"/>
  <c r="I29"/>
  <c r="J29"/>
  <c r="K29"/>
  <c r="L29"/>
  <c r="M29"/>
  <c r="N29"/>
  <c r="C30"/>
  <c r="D30"/>
  <c r="E30"/>
  <c r="F30"/>
  <c r="G30"/>
  <c r="H30"/>
  <c r="I30"/>
  <c r="J30"/>
  <c r="K30"/>
  <c r="L30"/>
  <c r="M30"/>
  <c r="N30"/>
  <c r="C31"/>
  <c r="D31"/>
  <c r="E31"/>
  <c r="F31"/>
  <c r="G31"/>
  <c r="H31"/>
  <c r="I31"/>
  <c r="J31"/>
  <c r="K31"/>
  <c r="L31"/>
  <c r="M31"/>
  <c r="N31"/>
  <c r="C32"/>
  <c r="D32"/>
  <c r="E32"/>
  <c r="F32"/>
  <c r="G32"/>
  <c r="H32"/>
  <c r="I32"/>
  <c r="J32"/>
  <c r="K32"/>
  <c r="L32"/>
  <c r="M32"/>
  <c r="N32"/>
  <c r="C33"/>
  <c r="D33"/>
  <c r="E33"/>
  <c r="F33"/>
  <c r="G33"/>
  <c r="H33"/>
  <c r="I33"/>
  <c r="J33"/>
  <c r="K33"/>
  <c r="L33"/>
  <c r="M33"/>
  <c r="N33"/>
  <c r="C34"/>
  <c r="D34"/>
  <c r="E34"/>
  <c r="F34"/>
  <c r="G34"/>
  <c r="H34"/>
  <c r="I34"/>
  <c r="J34"/>
  <c r="K34"/>
  <c r="L34"/>
  <c r="M34"/>
  <c r="N34"/>
  <c r="C35"/>
  <c r="D35"/>
  <c r="E35"/>
  <c r="F35"/>
  <c r="G35"/>
  <c r="H35"/>
  <c r="I35"/>
  <c r="J35"/>
  <c r="K35"/>
  <c r="L35"/>
  <c r="M35"/>
  <c r="N35"/>
  <c r="C36"/>
  <c r="D36"/>
  <c r="E36"/>
  <c r="F36"/>
  <c r="G36"/>
  <c r="H36"/>
  <c r="I36"/>
  <c r="J36"/>
  <c r="K36"/>
  <c r="L36"/>
  <c r="M36"/>
  <c r="N36"/>
  <c r="C37"/>
  <c r="D37"/>
  <c r="E37"/>
  <c r="F37"/>
  <c r="G37"/>
  <c r="H37"/>
  <c r="I37"/>
  <c r="J37"/>
  <c r="K37"/>
  <c r="L37"/>
  <c r="M37"/>
  <c r="N37"/>
  <c r="C38"/>
  <c r="D38"/>
  <c r="E38"/>
  <c r="F38"/>
  <c r="G38"/>
  <c r="H38"/>
  <c r="I38"/>
  <c r="J38"/>
  <c r="K38"/>
  <c r="L38"/>
  <c r="M38"/>
  <c r="N38"/>
  <c r="C39"/>
  <c r="D39"/>
  <c r="E39"/>
  <c r="F39"/>
  <c r="G39"/>
  <c r="H39"/>
  <c r="I39"/>
  <c r="J39"/>
  <c r="K39"/>
  <c r="L39"/>
  <c r="M39"/>
  <c r="N39"/>
  <c r="C40"/>
  <c r="D40"/>
  <c r="E40"/>
  <c r="F40"/>
  <c r="G40"/>
  <c r="H40"/>
  <c r="I40"/>
  <c r="J40"/>
  <c r="K40"/>
  <c r="L40"/>
  <c r="M40"/>
  <c r="N40"/>
  <c r="C41"/>
  <c r="D41"/>
  <c r="E41"/>
  <c r="F41"/>
  <c r="G41"/>
  <c r="H41"/>
  <c r="I41"/>
  <c r="J41"/>
  <c r="K41"/>
  <c r="L41"/>
  <c r="M41"/>
  <c r="N41"/>
  <c r="C42"/>
  <c r="D42"/>
  <c r="E42"/>
  <c r="F42"/>
  <c r="G42"/>
  <c r="H42"/>
  <c r="I42"/>
  <c r="J42"/>
  <c r="K42"/>
  <c r="L42"/>
  <c r="M42"/>
  <c r="N42"/>
  <c r="C43"/>
  <c r="D43"/>
  <c r="E43"/>
  <c r="F43"/>
  <c r="G43"/>
  <c r="H43"/>
  <c r="I43"/>
  <c r="J43"/>
  <c r="K43"/>
  <c r="L43"/>
  <c r="M43"/>
  <c r="N43"/>
  <c r="C44"/>
  <c r="D44"/>
  <c r="E44"/>
  <c r="F44"/>
  <c r="G44"/>
  <c r="H44"/>
  <c r="I44"/>
  <c r="J44"/>
  <c r="K44"/>
  <c r="L44"/>
  <c r="M44"/>
  <c r="N44"/>
  <c r="C45"/>
  <c r="D45"/>
  <c r="E45"/>
  <c r="F45"/>
  <c r="G45"/>
  <c r="H45"/>
  <c r="I45"/>
  <c r="J45"/>
  <c r="K45"/>
  <c r="L45"/>
  <c r="M45"/>
  <c r="N45"/>
  <c r="C46"/>
  <c r="D46"/>
  <c r="E46"/>
  <c r="F46"/>
  <c r="G46"/>
  <c r="H46"/>
  <c r="I46"/>
  <c r="J46"/>
  <c r="K46"/>
  <c r="L46"/>
  <c r="M46"/>
  <c r="N46"/>
  <c r="C47"/>
  <c r="D47"/>
  <c r="E47"/>
  <c r="F47"/>
  <c r="G47"/>
  <c r="H47"/>
  <c r="I47"/>
  <c r="J47"/>
  <c r="K47"/>
  <c r="L47"/>
  <c r="M47"/>
  <c r="N47"/>
  <c r="C48"/>
  <c r="D48"/>
  <c r="E48"/>
  <c r="F48"/>
  <c r="G48"/>
  <c r="H48"/>
  <c r="I48"/>
  <c r="J48"/>
  <c r="K48"/>
  <c r="L48"/>
  <c r="M48"/>
  <c r="N48"/>
  <c r="C49"/>
  <c r="D49"/>
  <c r="E49"/>
  <c r="F49"/>
  <c r="G49"/>
  <c r="H49"/>
  <c r="I49"/>
  <c r="J49"/>
  <c r="K49"/>
  <c r="L49"/>
  <c r="M49"/>
  <c r="N49"/>
  <c r="C50"/>
  <c r="D50"/>
  <c r="E50"/>
  <c r="F50"/>
  <c r="G50"/>
  <c r="H50"/>
  <c r="I50"/>
  <c r="J50"/>
  <c r="K50"/>
  <c r="L50"/>
  <c r="M50"/>
  <c r="N50"/>
  <c r="C51"/>
  <c r="D51"/>
  <c r="E51"/>
  <c r="F51"/>
  <c r="G51"/>
  <c r="H51"/>
  <c r="I51"/>
  <c r="J51"/>
  <c r="K51"/>
  <c r="L51"/>
  <c r="M51"/>
  <c r="N51"/>
  <c r="C52"/>
  <c r="D52"/>
  <c r="E52"/>
  <c r="F52"/>
  <c r="G52"/>
  <c r="H52"/>
  <c r="I52"/>
  <c r="J52"/>
  <c r="K52"/>
  <c r="L52"/>
  <c r="M52"/>
  <c r="N52"/>
  <c r="C53"/>
  <c r="D53"/>
  <c r="E53"/>
  <c r="F53"/>
  <c r="G53"/>
  <c r="H53"/>
  <c r="I53"/>
  <c r="J53"/>
  <c r="K53"/>
  <c r="L53"/>
  <c r="M53"/>
  <c r="N53"/>
  <c r="C54"/>
  <c r="D54"/>
  <c r="E54"/>
  <c r="F54"/>
  <c r="G54"/>
  <c r="H54"/>
  <c r="I54"/>
  <c r="J54"/>
  <c r="K54"/>
  <c r="L54"/>
  <c r="M54"/>
  <c r="N54"/>
  <c r="C55"/>
  <c r="D55"/>
  <c r="E55"/>
  <c r="F55"/>
  <c r="G55"/>
  <c r="H55"/>
  <c r="I55"/>
  <c r="J55"/>
  <c r="K55"/>
  <c r="L55"/>
  <c r="M55"/>
  <c r="N55"/>
  <c r="C56"/>
  <c r="D56"/>
  <c r="E56"/>
  <c r="F56"/>
  <c r="G56"/>
  <c r="H56"/>
  <c r="I56"/>
  <c r="J56"/>
  <c r="K56"/>
  <c r="L56"/>
  <c r="M56"/>
  <c r="N56"/>
  <c r="C57"/>
  <c r="D57"/>
  <c r="E57"/>
  <c r="F57"/>
  <c r="G57"/>
  <c r="H57"/>
  <c r="I57"/>
  <c r="J57"/>
  <c r="K57"/>
  <c r="L57"/>
  <c r="M57"/>
  <c r="N57"/>
  <c r="D10"/>
  <c r="E10"/>
  <c r="F10"/>
  <c r="G10"/>
  <c r="H10"/>
  <c r="I10"/>
  <c r="J10"/>
  <c r="K10"/>
  <c r="L10"/>
  <c r="M10"/>
  <c r="N10"/>
  <c r="C10"/>
  <c r="AB23" i="96" l="1"/>
  <c r="AC26" i="95"/>
  <c r="T23" i="96"/>
  <c r="W27"/>
  <c r="T23" i="98"/>
  <c r="Z24"/>
  <c r="V35" i="101"/>
  <c r="U36" i="105"/>
  <c r="Y26" i="95"/>
  <c r="AB24" i="99"/>
  <c r="V26" i="97"/>
  <c r="Y26" i="96"/>
  <c r="U27" i="94"/>
  <c r="AC27" i="95"/>
  <c r="AD23" i="98"/>
  <c r="AB39" i="109"/>
  <c r="L10" i="111"/>
  <c r="J10"/>
  <c r="D10"/>
  <c r="M57"/>
  <c r="I57"/>
  <c r="G57"/>
  <c r="M56"/>
  <c r="K56"/>
  <c r="I56"/>
  <c r="C56"/>
  <c r="G55"/>
  <c r="E55"/>
  <c r="K54"/>
  <c r="I54"/>
  <c r="G54"/>
  <c r="I53"/>
  <c r="G53"/>
  <c r="E53"/>
  <c r="M52"/>
  <c r="K52"/>
  <c r="C52"/>
  <c r="M51"/>
  <c r="G51"/>
  <c r="M50"/>
  <c r="K50"/>
  <c r="E50"/>
  <c r="C50"/>
  <c r="M49"/>
  <c r="K49"/>
  <c r="I49"/>
  <c r="C49"/>
  <c r="M48"/>
  <c r="I48"/>
  <c r="G48"/>
  <c r="K47"/>
  <c r="E47"/>
  <c r="C47"/>
  <c r="G46"/>
  <c r="E46"/>
  <c r="K45"/>
  <c r="G45"/>
  <c r="C45"/>
  <c r="K44"/>
  <c r="G44"/>
  <c r="C44"/>
  <c r="K43"/>
  <c r="G43"/>
  <c r="C43"/>
  <c r="K42"/>
  <c r="I42"/>
  <c r="E42"/>
  <c r="C42"/>
  <c r="K41"/>
  <c r="G41"/>
  <c r="C41"/>
  <c r="K40"/>
  <c r="G40"/>
  <c r="C40"/>
  <c r="K39"/>
  <c r="G39"/>
  <c r="C39"/>
  <c r="K38"/>
  <c r="E38"/>
  <c r="C38"/>
  <c r="S24" i="94"/>
  <c r="C10" i="111"/>
  <c r="M10"/>
  <c r="I10"/>
  <c r="E10"/>
  <c r="L57"/>
  <c r="H57"/>
  <c r="D57"/>
  <c r="L56"/>
  <c r="H56"/>
  <c r="D56"/>
  <c r="L55"/>
  <c r="H55"/>
  <c r="D55"/>
  <c r="L54"/>
  <c r="H54"/>
  <c r="D54"/>
  <c r="L53"/>
  <c r="H53"/>
  <c r="D53"/>
  <c r="L52"/>
  <c r="H52"/>
  <c r="D52"/>
  <c r="L51"/>
  <c r="H51"/>
  <c r="D51"/>
  <c r="L50"/>
  <c r="H50"/>
  <c r="D50"/>
  <c r="L49"/>
  <c r="H49"/>
  <c r="D49"/>
  <c r="L48"/>
  <c r="H48"/>
  <c r="D48"/>
  <c r="L47"/>
  <c r="H47"/>
  <c r="D47"/>
  <c r="L46"/>
  <c r="H46"/>
  <c r="D46"/>
  <c r="L45"/>
  <c r="H45"/>
  <c r="D45"/>
  <c r="L44"/>
  <c r="H44"/>
  <c r="D44"/>
  <c r="L43"/>
  <c r="H43"/>
  <c r="D43"/>
  <c r="L42"/>
  <c r="H42"/>
  <c r="D42"/>
  <c r="L41"/>
  <c r="H41"/>
  <c r="D41"/>
  <c r="L40"/>
  <c r="H40"/>
  <c r="D40"/>
  <c r="L39"/>
  <c r="H39"/>
  <c r="D39"/>
  <c r="L38"/>
  <c r="H38"/>
  <c r="D38"/>
  <c r="L37"/>
  <c r="H37"/>
  <c r="D37"/>
  <c r="L36"/>
  <c r="H36"/>
  <c r="D36"/>
  <c r="L35"/>
  <c r="H35"/>
  <c r="D35"/>
  <c r="L34"/>
  <c r="H34"/>
  <c r="D34"/>
  <c r="L33"/>
  <c r="H33"/>
  <c r="D33"/>
  <c r="L32"/>
  <c r="H32"/>
  <c r="D32"/>
  <c r="L31"/>
  <c r="H31"/>
  <c r="D31"/>
  <c r="L30"/>
  <c r="H30"/>
  <c r="D30"/>
  <c r="L29"/>
  <c r="H29"/>
  <c r="D29"/>
  <c r="L28"/>
  <c r="H28"/>
  <c r="D28"/>
  <c r="L27"/>
  <c r="H27"/>
  <c r="D27"/>
  <c r="L26"/>
  <c r="H26"/>
  <c r="D26"/>
  <c r="L25"/>
  <c r="H25"/>
  <c r="D25"/>
  <c r="H24"/>
  <c r="F24"/>
  <c r="N23"/>
  <c r="L23"/>
  <c r="J23"/>
  <c r="D23"/>
  <c r="N22"/>
  <c r="H22"/>
  <c r="N21"/>
  <c r="L21"/>
  <c r="F21"/>
  <c r="D21"/>
  <c r="H20"/>
  <c r="F20"/>
  <c r="L19"/>
  <c r="J19"/>
  <c r="F19"/>
  <c r="D19"/>
  <c r="J18"/>
  <c r="H18"/>
  <c r="L17"/>
  <c r="J17"/>
  <c r="F17"/>
  <c r="D17"/>
  <c r="N16"/>
  <c r="H16"/>
  <c r="N15"/>
  <c r="L15"/>
  <c r="D15"/>
  <c r="N14"/>
  <c r="H14"/>
  <c r="F14"/>
  <c r="N13"/>
  <c r="L13"/>
  <c r="F13"/>
  <c r="D13"/>
  <c r="H12"/>
  <c r="F12"/>
  <c r="N11"/>
  <c r="J11"/>
  <c r="F11"/>
  <c r="AD21" i="108"/>
  <c r="Z20"/>
  <c r="W27" i="95"/>
  <c r="W24"/>
  <c r="K37" i="111"/>
  <c r="G37"/>
  <c r="C37"/>
  <c r="K36"/>
  <c r="G36"/>
  <c r="C36"/>
  <c r="K35"/>
  <c r="G35"/>
  <c r="C35"/>
  <c r="K34"/>
  <c r="I34"/>
  <c r="E34"/>
  <c r="K33"/>
  <c r="G33"/>
  <c r="C33"/>
  <c r="K32"/>
  <c r="G32"/>
  <c r="C32"/>
  <c r="K31"/>
  <c r="G31"/>
  <c r="C31"/>
  <c r="K30"/>
  <c r="I30"/>
  <c r="G30"/>
  <c r="M29"/>
  <c r="I29"/>
  <c r="E29"/>
  <c r="M28"/>
  <c r="I28"/>
  <c r="E28"/>
  <c r="M27"/>
  <c r="I27"/>
  <c r="E27"/>
  <c r="M26"/>
  <c r="K26"/>
  <c r="E26"/>
  <c r="C26"/>
  <c r="K25"/>
  <c r="G25"/>
  <c r="C25"/>
  <c r="K24"/>
  <c r="G24"/>
  <c r="C24"/>
  <c r="K23"/>
  <c r="G23"/>
  <c r="C23"/>
  <c r="K22"/>
  <c r="G22"/>
  <c r="C22"/>
  <c r="K21"/>
  <c r="G21"/>
  <c r="C21"/>
  <c r="K20"/>
  <c r="G20"/>
  <c r="C20"/>
  <c r="K19"/>
  <c r="G19"/>
  <c r="C19"/>
  <c r="K18"/>
  <c r="G18"/>
  <c r="C18"/>
  <c r="K17"/>
  <c r="G17"/>
  <c r="C17"/>
  <c r="K16"/>
  <c r="G16"/>
  <c r="C16"/>
  <c r="K15"/>
  <c r="G15"/>
  <c r="C15"/>
  <c r="K14"/>
  <c r="G14"/>
  <c r="C14"/>
  <c r="K13"/>
  <c r="G13"/>
  <c r="C13"/>
  <c r="K12"/>
  <c r="G12"/>
  <c r="C12"/>
  <c r="K11"/>
  <c r="G11"/>
  <c r="C11"/>
  <c r="AB24" i="98"/>
  <c r="W26" i="96"/>
  <c r="V21" i="108"/>
  <c r="AD19"/>
  <c r="Z21"/>
  <c r="AD20"/>
  <c r="V20"/>
  <c r="V36" s="1"/>
  <c r="Z19"/>
  <c r="AC26" i="97"/>
  <c r="AC23"/>
  <c r="N57" i="111"/>
  <c r="J57"/>
  <c r="F57"/>
  <c r="N56"/>
  <c r="J56"/>
  <c r="F56"/>
  <c r="N55"/>
  <c r="J55"/>
  <c r="F55"/>
  <c r="N54"/>
  <c r="J54"/>
  <c r="F54"/>
  <c r="N53"/>
  <c r="J53"/>
  <c r="F53"/>
  <c r="N52"/>
  <c r="J52"/>
  <c r="F52"/>
  <c r="N51"/>
  <c r="J51"/>
  <c r="F51"/>
  <c r="N50"/>
  <c r="J50"/>
  <c r="F50"/>
  <c r="N49"/>
  <c r="J49"/>
  <c r="F49"/>
  <c r="N48"/>
  <c r="J48"/>
  <c r="F48"/>
  <c r="N47"/>
  <c r="J47"/>
  <c r="F47"/>
  <c r="N46"/>
  <c r="J46"/>
  <c r="F46"/>
  <c r="N45"/>
  <c r="J45"/>
  <c r="F45"/>
  <c r="N44"/>
  <c r="J44"/>
  <c r="F44"/>
  <c r="N43"/>
  <c r="J43"/>
  <c r="F43"/>
  <c r="N42"/>
  <c r="J42"/>
  <c r="F42"/>
  <c r="N41"/>
  <c r="J41"/>
  <c r="F41"/>
  <c r="N40"/>
  <c r="J40"/>
  <c r="F40"/>
  <c r="N39"/>
  <c r="J39"/>
  <c r="F39"/>
  <c r="N38"/>
  <c r="J38"/>
  <c r="F38"/>
  <c r="N37"/>
  <c r="J37"/>
  <c r="F37"/>
  <c r="N36"/>
  <c r="J36"/>
  <c r="F36"/>
  <c r="N35"/>
  <c r="J35"/>
  <c r="F35"/>
  <c r="N34"/>
  <c r="J34"/>
  <c r="F34"/>
  <c r="N33"/>
  <c r="J33"/>
  <c r="F33"/>
  <c r="N32"/>
  <c r="J32"/>
  <c r="F32"/>
  <c r="N31"/>
  <c r="J31"/>
  <c r="F31"/>
  <c r="N30"/>
  <c r="J30"/>
  <c r="F30"/>
  <c r="N29"/>
  <c r="J29"/>
  <c r="F29"/>
  <c r="N28"/>
  <c r="J28"/>
  <c r="F28"/>
  <c r="N27"/>
  <c r="J27"/>
  <c r="F27"/>
  <c r="N26"/>
  <c r="J26"/>
  <c r="F26"/>
  <c r="N25"/>
  <c r="J25"/>
  <c r="F25"/>
  <c r="N24"/>
  <c r="L24"/>
  <c r="J24"/>
  <c r="D24"/>
  <c r="H23"/>
  <c r="F23"/>
  <c r="L22"/>
  <c r="J22"/>
  <c r="F22"/>
  <c r="D22"/>
  <c r="T13" s="1"/>
  <c r="J21"/>
  <c r="H21"/>
  <c r="N20"/>
  <c r="L20"/>
  <c r="J20"/>
  <c r="D20"/>
  <c r="N19"/>
  <c r="H19"/>
  <c r="N18"/>
  <c r="AD12" s="1"/>
  <c r="L18"/>
  <c r="F18"/>
  <c r="D18"/>
  <c r="T12" s="1"/>
  <c r="N17"/>
  <c r="H17"/>
  <c r="L16"/>
  <c r="J16"/>
  <c r="F16"/>
  <c r="D16"/>
  <c r="J15"/>
  <c r="H15"/>
  <c r="F15"/>
  <c r="L14"/>
  <c r="J14"/>
  <c r="D14"/>
  <c r="J13"/>
  <c r="H13"/>
  <c r="N12"/>
  <c r="L12"/>
  <c r="J12"/>
  <c r="D12"/>
  <c r="L11"/>
  <c r="H11"/>
  <c r="D11"/>
  <c r="AC24" i="94"/>
  <c r="Y24"/>
  <c r="S27"/>
  <c r="AA38" i="110"/>
  <c r="W24" i="94"/>
  <c r="N10" i="111"/>
  <c r="H10"/>
  <c r="F10"/>
  <c r="K57"/>
  <c r="E57"/>
  <c r="C57"/>
  <c r="G56"/>
  <c r="E56"/>
  <c r="M55"/>
  <c r="K55"/>
  <c r="I55"/>
  <c r="C55"/>
  <c r="M54"/>
  <c r="E54"/>
  <c r="C54"/>
  <c r="M53"/>
  <c r="K53"/>
  <c r="C53"/>
  <c r="I52"/>
  <c r="G52"/>
  <c r="E52"/>
  <c r="K51"/>
  <c r="I51"/>
  <c r="E51"/>
  <c r="C51"/>
  <c r="I50"/>
  <c r="G50"/>
  <c r="G49"/>
  <c r="E49"/>
  <c r="K48"/>
  <c r="E48"/>
  <c r="C48"/>
  <c r="M47"/>
  <c r="I47"/>
  <c r="G47"/>
  <c r="M46"/>
  <c r="K46"/>
  <c r="I46"/>
  <c r="C46"/>
  <c r="M45"/>
  <c r="I45"/>
  <c r="E45"/>
  <c r="M44"/>
  <c r="I44"/>
  <c r="E44"/>
  <c r="M43"/>
  <c r="I43"/>
  <c r="E43"/>
  <c r="M42"/>
  <c r="G42"/>
  <c r="M41"/>
  <c r="I41"/>
  <c r="E41"/>
  <c r="M40"/>
  <c r="I40"/>
  <c r="E40"/>
  <c r="M39"/>
  <c r="I39"/>
  <c r="E39"/>
  <c r="M38"/>
  <c r="I38"/>
  <c r="G38"/>
  <c r="M37"/>
  <c r="W27" i="94"/>
  <c r="S26"/>
  <c r="U23" i="97"/>
  <c r="AA27" i="94"/>
  <c r="U27" i="95"/>
  <c r="U24"/>
  <c r="I37" i="111"/>
  <c r="E37"/>
  <c r="M36"/>
  <c r="I36"/>
  <c r="E36"/>
  <c r="M35"/>
  <c r="I35"/>
  <c r="E35"/>
  <c r="M34"/>
  <c r="G34"/>
  <c r="C34"/>
  <c r="M33"/>
  <c r="I33"/>
  <c r="E33"/>
  <c r="M32"/>
  <c r="I32"/>
  <c r="E32"/>
  <c r="M31"/>
  <c r="I31"/>
  <c r="E31"/>
  <c r="M30"/>
  <c r="E30"/>
  <c r="C30"/>
  <c r="K29"/>
  <c r="G29"/>
  <c r="C29"/>
  <c r="K28"/>
  <c r="G28"/>
  <c r="C28"/>
  <c r="K27"/>
  <c r="G27"/>
  <c r="C27"/>
  <c r="I26"/>
  <c r="G26"/>
  <c r="M25"/>
  <c r="I25"/>
  <c r="E25"/>
  <c r="M24"/>
  <c r="I24"/>
  <c r="E24"/>
  <c r="M23"/>
  <c r="I23"/>
  <c r="E23"/>
  <c r="M22"/>
  <c r="I22"/>
  <c r="E22"/>
  <c r="M21"/>
  <c r="I21"/>
  <c r="E21"/>
  <c r="M20"/>
  <c r="I20"/>
  <c r="E20"/>
  <c r="M19"/>
  <c r="I19"/>
  <c r="E19"/>
  <c r="M18"/>
  <c r="I18"/>
  <c r="E18"/>
  <c r="M17"/>
  <c r="I17"/>
  <c r="E17"/>
  <c r="M16"/>
  <c r="I16"/>
  <c r="E16"/>
  <c r="M15"/>
  <c r="I15"/>
  <c r="E15"/>
  <c r="M14"/>
  <c r="I14"/>
  <c r="E14"/>
  <c r="M13"/>
  <c r="I13"/>
  <c r="E13"/>
  <c r="M12"/>
  <c r="I12"/>
  <c r="E12"/>
  <c r="M11"/>
  <c r="I11"/>
  <c r="E11"/>
  <c r="X22" i="100"/>
  <c r="AC26" i="96"/>
  <c r="V10" i="108"/>
  <c r="AB21"/>
  <c r="X21"/>
  <c r="T21"/>
  <c r="AB20"/>
  <c r="X20"/>
  <c r="T20"/>
  <c r="AB19"/>
  <c r="X19"/>
  <c r="AA35" i="110"/>
  <c r="W35"/>
  <c r="Z39"/>
  <c r="AD38"/>
  <c r="Z38"/>
  <c r="V38"/>
  <c r="X37"/>
  <c r="V12" i="108"/>
  <c r="V11"/>
  <c r="AD10"/>
  <c r="AD36" i="110"/>
  <c r="V36"/>
  <c r="AC35" i="109"/>
  <c r="AD11" i="108"/>
  <c r="AC38" i="110"/>
  <c r="K10" i="111"/>
  <c r="G10"/>
  <c r="T38" i="110"/>
  <c r="AC36"/>
  <c r="Y35"/>
  <c r="AC35"/>
  <c r="U35"/>
  <c r="U26" i="99"/>
  <c r="Y38" i="110"/>
  <c r="X36"/>
  <c r="X24" i="99"/>
  <c r="U23"/>
  <c r="S36" i="105"/>
  <c r="T38" i="109"/>
  <c r="AD38"/>
  <c r="Z38"/>
  <c r="Z35" i="110"/>
  <c r="AB38"/>
  <c r="X35"/>
  <c r="AB36"/>
  <c r="X34"/>
  <c r="W37"/>
  <c r="Z11" i="108"/>
  <c r="AA35" i="109"/>
  <c r="U36" i="110"/>
  <c r="V35" i="109"/>
  <c r="X11" i="108"/>
  <c r="S41" i="110"/>
  <c r="Z10" i="108"/>
  <c r="W12"/>
  <c r="AF32" i="110"/>
  <c r="S35" i="109"/>
  <c r="T11" i="108"/>
  <c r="AA12"/>
  <c r="V24" i="98"/>
  <c r="X23" i="97"/>
  <c r="AD23" i="99"/>
  <c r="AB38" i="109"/>
  <c r="AD35" i="110"/>
  <c r="V35"/>
  <c r="AA40"/>
  <c r="Y36"/>
  <c r="S37"/>
  <c r="X10" i="108"/>
  <c r="W40" i="110"/>
  <c r="AD36" i="109"/>
  <c r="Z39"/>
  <c r="S26" i="97"/>
  <c r="AF33" i="110"/>
  <c r="AF31"/>
  <c r="AB35"/>
  <c r="X38"/>
  <c r="AA41"/>
  <c r="AA42" s="1"/>
  <c r="W41"/>
  <c r="T10" i="108"/>
  <c r="AB10"/>
  <c r="AF12" i="109"/>
  <c r="AE33" i="110"/>
  <c r="AE32"/>
  <c r="AE31"/>
  <c r="AE30"/>
  <c r="AE29"/>
  <c r="AE28"/>
  <c r="AE27"/>
  <c r="AE26"/>
  <c r="AE25"/>
  <c r="AE24"/>
  <c r="AE23"/>
  <c r="AE22"/>
  <c r="AE21"/>
  <c r="AE20"/>
  <c r="AE19"/>
  <c r="AA37"/>
  <c r="AD39" i="109"/>
  <c r="Z36"/>
  <c r="V36"/>
  <c r="AC38"/>
  <c r="U35"/>
  <c r="AD39" i="110"/>
  <c r="Z36"/>
  <c r="V39"/>
  <c r="S40"/>
  <c r="S42" s="1"/>
  <c r="V38" i="109"/>
  <c r="X35"/>
  <c r="AA34" i="110"/>
  <c r="W34"/>
  <c r="S34"/>
  <c r="AF30"/>
  <c r="AB39"/>
  <c r="X40"/>
  <c r="AF15"/>
  <c r="AF14"/>
  <c r="AF13"/>
  <c r="Z35" i="109"/>
  <c r="AD35"/>
  <c r="X34"/>
  <c r="T35" i="110"/>
  <c r="Y38" i="109"/>
  <c r="AC39" i="110"/>
  <c r="U39"/>
  <c r="AF17"/>
  <c r="AF16"/>
  <c r="Z38" i="101"/>
  <c r="Y35" i="109"/>
  <c r="X39" i="110"/>
  <c r="AF11"/>
  <c r="Y39"/>
  <c r="AF12"/>
  <c r="AA38" i="109"/>
  <c r="W38"/>
  <c r="AF29" i="110"/>
  <c r="AF28"/>
  <c r="AF27"/>
  <c r="AF26"/>
  <c r="AF25"/>
  <c r="AF24"/>
  <c r="AF23"/>
  <c r="AF22"/>
  <c r="AF18"/>
  <c r="AF30" i="109"/>
  <c r="X39"/>
  <c r="X37"/>
  <c r="X41" i="110"/>
  <c r="AF21"/>
  <c r="AF20"/>
  <c r="AF19"/>
  <c r="AF15" i="109"/>
  <c r="AF14"/>
  <c r="AF13"/>
  <c r="AE18" i="110"/>
  <c r="AE17"/>
  <c r="T39"/>
  <c r="T36"/>
  <c r="AD41"/>
  <c r="AD40"/>
  <c r="AD37"/>
  <c r="AD34"/>
  <c r="Z41"/>
  <c r="Z40"/>
  <c r="Z37"/>
  <c r="Z34"/>
  <c r="AF17" i="109"/>
  <c r="AF16"/>
  <c r="AE11" i="110"/>
  <c r="Y41"/>
  <c r="Y40"/>
  <c r="Y37"/>
  <c r="Y34"/>
  <c r="O106"/>
  <c r="J108" s="1"/>
  <c r="AE10"/>
  <c r="AF10"/>
  <c r="P106"/>
  <c r="N107" s="1"/>
  <c r="T41"/>
  <c r="T40"/>
  <c r="T37"/>
  <c r="T34"/>
  <c r="AC27" i="99"/>
  <c r="W38" i="101"/>
  <c r="U35"/>
  <c r="V27" i="95"/>
  <c r="AE33" i="109"/>
  <c r="AE32"/>
  <c r="AE31"/>
  <c r="AE30"/>
  <c r="AE29"/>
  <c r="AF32"/>
  <c r="AB35"/>
  <c r="W35"/>
  <c r="AF11"/>
  <c r="S38"/>
  <c r="AE16" i="110"/>
  <c r="AB41"/>
  <c r="AB40"/>
  <c r="AB37"/>
  <c r="AB34"/>
  <c r="V41"/>
  <c r="V40"/>
  <c r="V37"/>
  <c r="V34"/>
  <c r="AE15"/>
  <c r="AE14"/>
  <c r="AE13"/>
  <c r="AE12"/>
  <c r="AC41"/>
  <c r="AC40"/>
  <c r="AC37"/>
  <c r="AC34"/>
  <c r="U41"/>
  <c r="U40"/>
  <c r="U37"/>
  <c r="U34"/>
  <c r="AB36" i="109"/>
  <c r="X36"/>
  <c r="X40"/>
  <c r="V23" i="97"/>
  <c r="AD38" i="105"/>
  <c r="AF33" i="109"/>
  <c r="AF31"/>
  <c r="X38"/>
  <c r="X41"/>
  <c r="X42" s="1"/>
  <c r="T35"/>
  <c r="AF29"/>
  <c r="AF28"/>
  <c r="AF27"/>
  <c r="AF26"/>
  <c r="AF25"/>
  <c r="AF24"/>
  <c r="AF23"/>
  <c r="AF22"/>
  <c r="AF18"/>
  <c r="AF21"/>
  <c r="AF20"/>
  <c r="AF19"/>
  <c r="T39"/>
  <c r="T36"/>
  <c r="AD41"/>
  <c r="AD40"/>
  <c r="AD37"/>
  <c r="AD34"/>
  <c r="Z41"/>
  <c r="Z40"/>
  <c r="Z37"/>
  <c r="Z34"/>
  <c r="T41"/>
  <c r="T40"/>
  <c r="T37"/>
  <c r="T34"/>
  <c r="AE15"/>
  <c r="AE14"/>
  <c r="AE13"/>
  <c r="AE12"/>
  <c r="AE11"/>
  <c r="AC41"/>
  <c r="AC40"/>
  <c r="AC37"/>
  <c r="AC34"/>
  <c r="Y41"/>
  <c r="Y40"/>
  <c r="Y37"/>
  <c r="Y34"/>
  <c r="U41"/>
  <c r="U40"/>
  <c r="U37"/>
  <c r="U34"/>
  <c r="O106"/>
  <c r="AE10"/>
  <c r="AE28"/>
  <c r="AE27"/>
  <c r="AE26"/>
  <c r="AE25"/>
  <c r="AE24"/>
  <c r="AE23"/>
  <c r="AE22"/>
  <c r="AE21"/>
  <c r="AE20"/>
  <c r="AE19"/>
  <c r="AE18"/>
  <c r="AE17"/>
  <c r="AE16"/>
  <c r="AB41"/>
  <c r="AB40"/>
  <c r="AB37"/>
  <c r="AB34"/>
  <c r="V41"/>
  <c r="V40"/>
  <c r="V37"/>
  <c r="V34"/>
  <c r="AF10"/>
  <c r="P106"/>
  <c r="J107" s="1"/>
  <c r="AA41"/>
  <c r="AA40"/>
  <c r="AA37"/>
  <c r="AA34"/>
  <c r="W41"/>
  <c r="W40"/>
  <c r="W37"/>
  <c r="W34"/>
  <c r="S41"/>
  <c r="S40"/>
  <c r="S37"/>
  <c r="S34"/>
  <c r="AD13" i="108"/>
  <c r="AA24" i="94"/>
  <c r="AC23" i="96"/>
  <c r="AB36" i="105"/>
  <c r="P16" i="108"/>
  <c r="Z13"/>
  <c r="O56"/>
  <c r="S15"/>
  <c r="T17"/>
  <c r="O11"/>
  <c r="X18"/>
  <c r="AB15"/>
  <c r="O57"/>
  <c r="P40"/>
  <c r="AB17"/>
  <c r="O35"/>
  <c r="X16"/>
  <c r="T15"/>
  <c r="O10"/>
  <c r="AA26" i="94"/>
  <c r="AB18" i="108"/>
  <c r="T18"/>
  <c r="X17"/>
  <c r="AB16"/>
  <c r="T16"/>
  <c r="X15"/>
  <c r="P29"/>
  <c r="T13"/>
  <c r="AC11"/>
  <c r="Y12"/>
  <c r="O16"/>
  <c r="Y10"/>
  <c r="P49"/>
  <c r="P22"/>
  <c r="O49"/>
  <c r="P43"/>
  <c r="AD18"/>
  <c r="Z18"/>
  <c r="V18"/>
  <c r="AD16"/>
  <c r="Z16"/>
  <c r="V16"/>
  <c r="O28"/>
  <c r="W15"/>
  <c r="W19"/>
  <c r="S20"/>
  <c r="AA20"/>
  <c r="W21"/>
  <c r="O36"/>
  <c r="S13"/>
  <c r="O20"/>
  <c r="AA15"/>
  <c r="AA17"/>
  <c r="Y19"/>
  <c r="U20"/>
  <c r="AC20"/>
  <c r="Y21"/>
  <c r="P57"/>
  <c r="P55"/>
  <c r="P52"/>
  <c r="P35"/>
  <c r="P21"/>
  <c r="O13"/>
  <c r="P12"/>
  <c r="AA10"/>
  <c r="O53"/>
  <c r="O48"/>
  <c r="P46"/>
  <c r="O38"/>
  <c r="P45"/>
  <c r="P38"/>
  <c r="P32"/>
  <c r="O30"/>
  <c r="AB13"/>
  <c r="X13"/>
  <c r="O31"/>
  <c r="P24"/>
  <c r="P17"/>
  <c r="O14"/>
  <c r="O43"/>
  <c r="S11"/>
  <c r="P56"/>
  <c r="O55"/>
  <c r="P53"/>
  <c r="P51"/>
  <c r="P48"/>
  <c r="W18"/>
  <c r="O39"/>
  <c r="P37"/>
  <c r="W16"/>
  <c r="P27"/>
  <c r="AC12"/>
  <c r="U12"/>
  <c r="Y11"/>
  <c r="Y34" s="1"/>
  <c r="P13"/>
  <c r="O12"/>
  <c r="P11"/>
  <c r="AC10"/>
  <c r="P10"/>
  <c r="AF10" s="1"/>
  <c r="O52"/>
  <c r="P47"/>
  <c r="P26"/>
  <c r="U24" i="94"/>
  <c r="AC26"/>
  <c r="O51" i="108"/>
  <c r="O47"/>
  <c r="O26"/>
  <c r="O22"/>
  <c r="O18"/>
  <c r="U10"/>
  <c r="P54"/>
  <c r="O50"/>
  <c r="W14"/>
  <c r="W17"/>
  <c r="AA19"/>
  <c r="W20"/>
  <c r="S21"/>
  <c r="U19"/>
  <c r="AA14"/>
  <c r="AA16"/>
  <c r="AA18"/>
  <c r="AC19"/>
  <c r="Y20"/>
  <c r="U21"/>
  <c r="AC21"/>
  <c r="Z12"/>
  <c r="O44"/>
  <c r="AB14"/>
  <c r="X14"/>
  <c r="T14"/>
  <c r="V13"/>
  <c r="AA13"/>
  <c r="O46"/>
  <c r="S18"/>
  <c r="S16"/>
  <c r="S14"/>
  <c r="O45"/>
  <c r="P41"/>
  <c r="P39"/>
  <c r="AD17"/>
  <c r="Z17"/>
  <c r="V17"/>
  <c r="O37"/>
  <c r="O32"/>
  <c r="AD15"/>
  <c r="Z15"/>
  <c r="P30"/>
  <c r="P28"/>
  <c r="P25"/>
  <c r="P23"/>
  <c r="O21"/>
  <c r="P19"/>
  <c r="P44"/>
  <c r="O40"/>
  <c r="P36"/>
  <c r="P33"/>
  <c r="P31"/>
  <c r="O29"/>
  <c r="O27"/>
  <c r="O24"/>
  <c r="W13"/>
  <c r="P20"/>
  <c r="O17"/>
  <c r="P15"/>
  <c r="AA11"/>
  <c r="P14"/>
  <c r="AA21"/>
  <c r="W10"/>
  <c r="S10"/>
  <c r="S19"/>
  <c r="S17"/>
  <c r="AD12"/>
  <c r="AD14"/>
  <c r="Z14"/>
  <c r="V14"/>
  <c r="X12"/>
  <c r="AC18"/>
  <c r="Y18"/>
  <c r="U18"/>
  <c r="AC17"/>
  <c r="Y17"/>
  <c r="AC16"/>
  <c r="Y16"/>
  <c r="U16"/>
  <c r="Y14"/>
  <c r="AC13"/>
  <c r="Y13"/>
  <c r="U13"/>
  <c r="W11"/>
  <c r="AB11"/>
  <c r="O41"/>
  <c r="O33"/>
  <c r="O25"/>
  <c r="V15"/>
  <c r="O23"/>
  <c r="O19"/>
  <c r="O15"/>
  <c r="P50"/>
  <c r="P42"/>
  <c r="P34"/>
  <c r="S12"/>
  <c r="O54"/>
  <c r="O42"/>
  <c r="O34"/>
  <c r="P18"/>
  <c r="AB12"/>
  <c r="T12"/>
  <c r="U17"/>
  <c r="AC15"/>
  <c r="Y15"/>
  <c r="U15"/>
  <c r="AC14"/>
  <c r="U14"/>
  <c r="U11"/>
  <c r="Z38" i="105"/>
  <c r="V38"/>
  <c r="AC15" i="107"/>
  <c r="W15"/>
  <c r="U15"/>
  <c r="AC10"/>
  <c r="W10"/>
  <c r="U10"/>
  <c r="X38" i="105"/>
  <c r="O57" i="107"/>
  <c r="Y15"/>
  <c r="Z11"/>
  <c r="AC35" i="105"/>
  <c r="U38"/>
  <c r="AD21" i="107"/>
  <c r="AB21"/>
  <c r="Z21"/>
  <c r="X21"/>
  <c r="V21"/>
  <c r="T21"/>
  <c r="AD20"/>
  <c r="Z20"/>
  <c r="V20"/>
  <c r="AB19"/>
  <c r="X19"/>
  <c r="T19"/>
  <c r="AB18"/>
  <c r="X18"/>
  <c r="V18"/>
  <c r="AD17"/>
  <c r="Z17"/>
  <c r="V17"/>
  <c r="O37"/>
  <c r="P36"/>
  <c r="P35"/>
  <c r="AB16"/>
  <c r="X16"/>
  <c r="T16"/>
  <c r="O32"/>
  <c r="P31"/>
  <c r="AB15"/>
  <c r="X15"/>
  <c r="T15"/>
  <c r="P28"/>
  <c r="AD14"/>
  <c r="Z14"/>
  <c r="V14"/>
  <c r="O25"/>
  <c r="AD13"/>
  <c r="Z13"/>
  <c r="V13"/>
  <c r="O19"/>
  <c r="AB12"/>
  <c r="Z12"/>
  <c r="V12"/>
  <c r="T12"/>
  <c r="P18"/>
  <c r="O17"/>
  <c r="O15"/>
  <c r="AD11"/>
  <c r="AB11"/>
  <c r="T11"/>
  <c r="P14"/>
  <c r="AB20"/>
  <c r="X20"/>
  <c r="T20"/>
  <c r="AD19"/>
  <c r="AD39" s="1"/>
  <c r="Z19"/>
  <c r="V19"/>
  <c r="V39" s="1"/>
  <c r="AD18"/>
  <c r="Z18"/>
  <c r="T18"/>
  <c r="AB17"/>
  <c r="X17"/>
  <c r="T17"/>
  <c r="AD16"/>
  <c r="Z16"/>
  <c r="V16"/>
  <c r="P33"/>
  <c r="O33"/>
  <c r="AD15"/>
  <c r="Z15"/>
  <c r="V15"/>
  <c r="O29"/>
  <c r="O27"/>
  <c r="AB14"/>
  <c r="X14"/>
  <c r="T14"/>
  <c r="P24"/>
  <c r="AB13"/>
  <c r="X13"/>
  <c r="P22"/>
  <c r="T13"/>
  <c r="O22"/>
  <c r="O20"/>
  <c r="AD12"/>
  <c r="X12"/>
  <c r="X11"/>
  <c r="V11"/>
  <c r="O13"/>
  <c r="O11"/>
  <c r="AB10"/>
  <c r="Z10"/>
  <c r="X10"/>
  <c r="T10"/>
  <c r="P57"/>
  <c r="P56"/>
  <c r="O56"/>
  <c r="P55"/>
  <c r="O55"/>
  <c r="AC21"/>
  <c r="AA21"/>
  <c r="Y21"/>
  <c r="W21"/>
  <c r="U21"/>
  <c r="S21"/>
  <c r="P54"/>
  <c r="O54"/>
  <c r="P53"/>
  <c r="O53"/>
  <c r="O52"/>
  <c r="P52"/>
  <c r="O51"/>
  <c r="P51"/>
  <c r="AC20"/>
  <c r="AA20"/>
  <c r="Y20"/>
  <c r="W20"/>
  <c r="U20"/>
  <c r="O50"/>
  <c r="P50"/>
  <c r="S20"/>
  <c r="P49"/>
  <c r="O49"/>
  <c r="P48"/>
  <c r="O48"/>
  <c r="P47"/>
  <c r="O47"/>
  <c r="AC19"/>
  <c r="AA19"/>
  <c r="Y19"/>
  <c r="W19"/>
  <c r="U19"/>
  <c r="U36" s="1"/>
  <c r="S19"/>
  <c r="S36" s="1"/>
  <c r="O46"/>
  <c r="P46"/>
  <c r="P45"/>
  <c r="O45"/>
  <c r="O44"/>
  <c r="P44"/>
  <c r="O43"/>
  <c r="P43"/>
  <c r="AC18"/>
  <c r="AA18"/>
  <c r="Y18"/>
  <c r="W18"/>
  <c r="U18"/>
  <c r="O42"/>
  <c r="P42"/>
  <c r="S18"/>
  <c r="P41"/>
  <c r="O41"/>
  <c r="P40"/>
  <c r="P39"/>
  <c r="AC17"/>
  <c r="Y17"/>
  <c r="W17"/>
  <c r="U17"/>
  <c r="O38"/>
  <c r="P37"/>
  <c r="O36"/>
  <c r="O35"/>
  <c r="O34"/>
  <c r="P32"/>
  <c r="O31"/>
  <c r="P29"/>
  <c r="O28"/>
  <c r="P27"/>
  <c r="P25"/>
  <c r="O24"/>
  <c r="P23"/>
  <c r="P21"/>
  <c r="P17"/>
  <c r="O40"/>
  <c r="AA17"/>
  <c r="S17"/>
  <c r="AC16"/>
  <c r="AA16"/>
  <c r="Y16"/>
  <c r="W16"/>
  <c r="U16"/>
  <c r="AA15"/>
  <c r="S15"/>
  <c r="AC14"/>
  <c r="AA14"/>
  <c r="Y14"/>
  <c r="W14"/>
  <c r="U14"/>
  <c r="S14"/>
  <c r="AC13"/>
  <c r="AA13"/>
  <c r="Y13"/>
  <c r="W13"/>
  <c r="U13"/>
  <c r="S13"/>
  <c r="P20"/>
  <c r="P19"/>
  <c r="AC12"/>
  <c r="AA12"/>
  <c r="Y12"/>
  <c r="W12"/>
  <c r="U12"/>
  <c r="S12"/>
  <c r="P16"/>
  <c r="P15"/>
  <c r="AC11"/>
  <c r="AA11"/>
  <c r="Y11"/>
  <c r="W11"/>
  <c r="U11"/>
  <c r="S11"/>
  <c r="P13"/>
  <c r="P12"/>
  <c r="P11"/>
  <c r="O39"/>
  <c r="O26"/>
  <c r="O23"/>
  <c r="O21"/>
  <c r="O18"/>
  <c r="O16"/>
  <c r="O14"/>
  <c r="O12"/>
  <c r="P26"/>
  <c r="P38"/>
  <c r="P30"/>
  <c r="S16"/>
  <c r="P34"/>
  <c r="O30"/>
  <c r="Y10"/>
  <c r="AB38" i="105"/>
  <c r="T38"/>
  <c r="AD10" i="107"/>
  <c r="V10"/>
  <c r="AA10"/>
  <c r="P10"/>
  <c r="S10"/>
  <c r="O10"/>
  <c r="X35" i="105"/>
  <c r="U39" i="107"/>
  <c r="AC23" i="95"/>
  <c r="U23" i="96"/>
  <c r="AA35" i="105"/>
  <c r="AD26" i="98"/>
  <c r="U35" i="105"/>
  <c r="AB35"/>
  <c r="T35"/>
  <c r="AE12"/>
  <c r="AF33"/>
  <c r="AF31"/>
  <c r="AF13"/>
  <c r="AC38"/>
  <c r="AA38"/>
  <c r="W38"/>
  <c r="W35"/>
  <c r="S35"/>
  <c r="AF11"/>
  <c r="AF32"/>
  <c r="Y35"/>
  <c r="AF15"/>
  <c r="AF30"/>
  <c r="AF29"/>
  <c r="AF28"/>
  <c r="AF27"/>
  <c r="AF26"/>
  <c r="AF25"/>
  <c r="AF24"/>
  <c r="AF23"/>
  <c r="AF22"/>
  <c r="AF21"/>
  <c r="AF20"/>
  <c r="AF19"/>
  <c r="AF18"/>
  <c r="AF17"/>
  <c r="AF16"/>
  <c r="AF14"/>
  <c r="AD35"/>
  <c r="Z35"/>
  <c r="V35"/>
  <c r="AF12"/>
  <c r="AD41"/>
  <c r="AD40"/>
  <c r="AD37"/>
  <c r="AD34"/>
  <c r="Z41"/>
  <c r="Z40"/>
  <c r="Z37"/>
  <c r="Z34"/>
  <c r="AE28"/>
  <c r="AE27"/>
  <c r="AE26"/>
  <c r="AE25"/>
  <c r="AE24"/>
  <c r="AE23"/>
  <c r="AE22"/>
  <c r="AE21"/>
  <c r="AE20"/>
  <c r="AE19"/>
  <c r="AE18"/>
  <c r="AE17"/>
  <c r="AE16"/>
  <c r="AE15"/>
  <c r="AE14"/>
  <c r="AE13"/>
  <c r="AE11"/>
  <c r="AC41"/>
  <c r="AC40"/>
  <c r="AC37"/>
  <c r="AC34"/>
  <c r="Y41"/>
  <c r="Y40"/>
  <c r="Y37"/>
  <c r="Y34"/>
  <c r="W41"/>
  <c r="W40"/>
  <c r="W37"/>
  <c r="W34"/>
  <c r="U41"/>
  <c r="U40"/>
  <c r="U37"/>
  <c r="U34"/>
  <c r="O106"/>
  <c r="G108" s="1"/>
  <c r="AE10"/>
  <c r="P106"/>
  <c r="G107" s="1"/>
  <c r="AF10"/>
  <c r="V41"/>
  <c r="V40"/>
  <c r="V37"/>
  <c r="V34"/>
  <c r="T41"/>
  <c r="T40"/>
  <c r="T37"/>
  <c r="T34"/>
  <c r="AE33"/>
  <c r="AE32"/>
  <c r="AE31"/>
  <c r="AE30"/>
  <c r="AE29"/>
  <c r="AB41"/>
  <c r="AB40"/>
  <c r="AB37"/>
  <c r="AB34"/>
  <c r="X41"/>
  <c r="X40"/>
  <c r="X37"/>
  <c r="X34"/>
  <c r="AA41"/>
  <c r="AA40"/>
  <c r="AA37"/>
  <c r="AA34"/>
  <c r="S41"/>
  <c r="S40"/>
  <c r="S37"/>
  <c r="S34"/>
  <c r="AD24" i="98"/>
  <c r="AC26"/>
  <c r="AA23" i="100"/>
  <c r="O106" i="101"/>
  <c r="C108" s="1"/>
  <c r="Y24" i="99"/>
  <c r="P106" i="101"/>
  <c r="U26" i="96"/>
  <c r="AB23" i="97"/>
  <c r="W26" i="99"/>
  <c r="U26" i="94"/>
  <c r="V26" i="98"/>
  <c r="U23" i="95"/>
  <c r="V41" i="101"/>
  <c r="AB41"/>
  <c r="X41"/>
  <c r="T41"/>
  <c r="W41"/>
  <c r="AC41"/>
  <c r="U41"/>
  <c r="AD41"/>
  <c r="Z41"/>
  <c r="AA41"/>
  <c r="Y41"/>
  <c r="S41"/>
  <c r="AE30"/>
  <c r="AE31"/>
  <c r="AE32"/>
  <c r="AE33"/>
  <c r="AF22"/>
  <c r="AF23"/>
  <c r="AF24"/>
  <c r="AF26"/>
  <c r="AF27"/>
  <c r="AF29"/>
  <c r="AF30"/>
  <c r="AF31"/>
  <c r="AE22"/>
  <c r="AE23"/>
  <c r="AE24"/>
  <c r="AE25"/>
  <c r="AE26"/>
  <c r="AE27"/>
  <c r="AE28"/>
  <c r="AE29"/>
  <c r="AB23" i="95"/>
  <c r="Y24" i="100"/>
  <c r="AB26" i="95"/>
  <c r="Z24"/>
  <c r="V23" i="99"/>
  <c r="V23" i="98"/>
  <c r="Z27"/>
  <c r="T24"/>
  <c r="Y27" i="94"/>
  <c r="Y23" i="96"/>
  <c r="Y26" i="94"/>
  <c r="Y23" i="95"/>
  <c r="AF13" i="104"/>
  <c r="W23" i="96"/>
  <c r="AA26"/>
  <c r="Y26" i="97"/>
  <c r="AD26" i="96"/>
  <c r="AC23" i="94"/>
  <c r="W27" i="98"/>
  <c r="V24" i="95"/>
  <c r="Y27" i="96"/>
  <c r="Z23" i="95"/>
  <c r="AC27" i="94"/>
  <c r="AA23"/>
  <c r="X26" i="95"/>
  <c r="X38" i="101"/>
  <c r="Y23" i="94"/>
  <c r="Y38" i="101"/>
  <c r="W26" i="94"/>
  <c r="X35" i="101"/>
  <c r="AB38"/>
  <c r="T38"/>
  <c r="AB35"/>
  <c r="T35"/>
  <c r="U23" i="94"/>
  <c r="AC24" i="104"/>
  <c r="W28"/>
  <c r="V23" i="95"/>
  <c r="W23" i="104"/>
  <c r="X25"/>
  <c r="S24"/>
  <c r="AB25"/>
  <c r="W23" i="94"/>
  <c r="U24" i="104"/>
  <c r="AC23"/>
  <c r="S25"/>
  <c r="AA26" i="103"/>
  <c r="Y26"/>
  <c r="W25" i="104"/>
  <c r="W27"/>
  <c r="W26"/>
  <c r="AC27"/>
  <c r="U23"/>
  <c r="AF16" i="103"/>
  <c r="AC26"/>
  <c r="U26"/>
  <c r="AF12" i="104"/>
  <c r="AA28"/>
  <c r="AF11"/>
  <c r="AB22"/>
  <c r="T22"/>
  <c r="AB23" i="103"/>
  <c r="T23"/>
  <c r="W24" i="104"/>
  <c r="X22"/>
  <c r="AA38" i="101"/>
  <c r="T25" i="104"/>
  <c r="W22"/>
  <c r="S28"/>
  <c r="AA25"/>
  <c r="S27"/>
  <c r="Y27"/>
  <c r="W26" i="103"/>
  <c r="AC38" i="101"/>
  <c r="Y35"/>
  <c r="U38"/>
  <c r="AF18" i="104"/>
  <c r="AA22"/>
  <c r="S22"/>
  <c r="AC26"/>
  <c r="U26"/>
  <c r="Y23" i="103"/>
  <c r="U23"/>
  <c r="AF14"/>
  <c r="S26" i="104"/>
  <c r="AC23" i="103"/>
  <c r="AF15"/>
  <c r="AA23"/>
  <c r="W23"/>
  <c r="AF20" i="104"/>
  <c r="AF16"/>
  <c r="Y23" i="100"/>
  <c r="AE15" i="103"/>
  <c r="AF21" i="104"/>
  <c r="AF19"/>
  <c r="Y24"/>
  <c r="AF17"/>
  <c r="AF15"/>
  <c r="Y26"/>
  <c r="AD23"/>
  <c r="Z26"/>
  <c r="V23"/>
  <c r="Z23"/>
  <c r="AF13" i="103"/>
  <c r="AF12"/>
  <c r="AF11"/>
  <c r="W28" i="100"/>
  <c r="AB26" i="99"/>
  <c r="T26"/>
  <c r="AF13" i="100"/>
  <c r="Z35" i="101"/>
  <c r="AB23" i="104"/>
  <c r="X26"/>
  <c r="T28"/>
  <c r="Y23"/>
  <c r="AF14"/>
  <c r="AD26"/>
  <c r="V26"/>
  <c r="S23"/>
  <c r="AF17" i="103"/>
  <c r="AF21"/>
  <c r="AF20"/>
  <c r="AF19"/>
  <c r="AF18"/>
  <c r="U27" i="104"/>
  <c r="Z28"/>
  <c r="Z25"/>
  <c r="Z22"/>
  <c r="AB27"/>
  <c r="AB24"/>
  <c r="X27"/>
  <c r="X24"/>
  <c r="T24"/>
  <c r="T27"/>
  <c r="AE13"/>
  <c r="Y28"/>
  <c r="Y25"/>
  <c r="Y22"/>
  <c r="O58"/>
  <c r="L60" s="1"/>
  <c r="AE10"/>
  <c r="AF10"/>
  <c r="P58"/>
  <c r="L59" s="1"/>
  <c r="AD28" i="103"/>
  <c r="AD25"/>
  <c r="AD22"/>
  <c r="Z28"/>
  <c r="Z25"/>
  <c r="Z22"/>
  <c r="V28"/>
  <c r="V25"/>
  <c r="V22"/>
  <c r="X28" i="104"/>
  <c r="X23"/>
  <c r="AE21" i="103"/>
  <c r="AE20"/>
  <c r="AE19"/>
  <c r="AE18"/>
  <c r="AE17"/>
  <c r="S26"/>
  <c r="S23"/>
  <c r="W28"/>
  <c r="W25"/>
  <c r="W22"/>
  <c r="Y28"/>
  <c r="Y25"/>
  <c r="Y22"/>
  <c r="O58"/>
  <c r="C60" s="1"/>
  <c r="AE10"/>
  <c r="AC26" i="99"/>
  <c r="AE21" i="104"/>
  <c r="AE20"/>
  <c r="AE19"/>
  <c r="AE18"/>
  <c r="AE17"/>
  <c r="AE16"/>
  <c r="AE15"/>
  <c r="AE14"/>
  <c r="AD28"/>
  <c r="AD25"/>
  <c r="AD22"/>
  <c r="V28"/>
  <c r="V25"/>
  <c r="V22"/>
  <c r="AD27"/>
  <c r="AD24"/>
  <c r="Z27"/>
  <c r="Z24"/>
  <c r="V27"/>
  <c r="V24"/>
  <c r="AB28"/>
  <c r="AB26"/>
  <c r="AE12"/>
  <c r="AE11"/>
  <c r="AC28"/>
  <c r="AC25"/>
  <c r="AC22"/>
  <c r="U28"/>
  <c r="U25"/>
  <c r="U22"/>
  <c r="AB28" i="103"/>
  <c r="AB25"/>
  <c r="AB22"/>
  <c r="X28"/>
  <c r="X25"/>
  <c r="X22"/>
  <c r="T28"/>
  <c r="T25"/>
  <c r="T22"/>
  <c r="T23" i="104"/>
  <c r="T26"/>
  <c r="AE16" i="103"/>
  <c r="AA28"/>
  <c r="AA25"/>
  <c r="AA22"/>
  <c r="S28"/>
  <c r="S25"/>
  <c r="S22"/>
  <c r="AE14"/>
  <c r="AE13"/>
  <c r="AE12"/>
  <c r="AE11"/>
  <c r="AC28"/>
  <c r="AC25"/>
  <c r="AC22"/>
  <c r="U28"/>
  <c r="U25"/>
  <c r="U22"/>
  <c r="P58"/>
  <c r="AF10"/>
  <c r="AC24" i="100"/>
  <c r="U24"/>
  <c r="AC23"/>
  <c r="U23"/>
  <c r="T25"/>
  <c r="AB23" i="99"/>
  <c r="T23"/>
  <c r="AA22" i="100"/>
  <c r="X26" i="99"/>
  <c r="W27" i="100"/>
  <c r="AF15" i="101"/>
  <c r="AF14"/>
  <c r="AF13"/>
  <c r="AF12"/>
  <c r="AF11"/>
  <c r="X23" i="99"/>
  <c r="X25" i="100"/>
  <c r="AA25"/>
  <c r="S24"/>
  <c r="AF21" i="101"/>
  <c r="AF20"/>
  <c r="AF19"/>
  <c r="AF18"/>
  <c r="AF17"/>
  <c r="AF16"/>
  <c r="AB40"/>
  <c r="AB37"/>
  <c r="AB34"/>
  <c r="X40"/>
  <c r="X37"/>
  <c r="X34"/>
  <c r="T40"/>
  <c r="T37"/>
  <c r="T34"/>
  <c r="AE21"/>
  <c r="AE20"/>
  <c r="AE19"/>
  <c r="AE18"/>
  <c r="AE17"/>
  <c r="AE16"/>
  <c r="AE15"/>
  <c r="S38"/>
  <c r="S35"/>
  <c r="W40"/>
  <c r="W37"/>
  <c r="W34"/>
  <c r="AE14"/>
  <c r="AE13"/>
  <c r="AE12"/>
  <c r="AE11"/>
  <c r="AC40"/>
  <c r="AC37"/>
  <c r="AC34"/>
  <c r="U40"/>
  <c r="U37"/>
  <c r="U34"/>
  <c r="AF10"/>
  <c r="S23" i="98"/>
  <c r="Z23" i="99"/>
  <c r="Y23"/>
  <c r="S22" i="100"/>
  <c r="W26"/>
  <c r="AD40" i="101"/>
  <c r="AD37"/>
  <c r="AD34"/>
  <c r="Z40"/>
  <c r="Z37"/>
  <c r="Z34"/>
  <c r="V40"/>
  <c r="V37"/>
  <c r="V34"/>
  <c r="AA40"/>
  <c r="AA37"/>
  <c r="AA34"/>
  <c r="S40"/>
  <c r="S37"/>
  <c r="S34"/>
  <c r="Y40"/>
  <c r="Y37"/>
  <c r="Y34"/>
  <c r="AE10"/>
  <c r="AE12" i="97"/>
  <c r="Y27" i="100"/>
  <c r="Y26"/>
  <c r="AF13" i="96"/>
  <c r="AE19"/>
  <c r="AE17"/>
  <c r="AE15"/>
  <c r="S23"/>
  <c r="T25" i="94"/>
  <c r="AE18" i="96"/>
  <c r="S23" i="97"/>
  <c r="AB25" i="100"/>
  <c r="W23"/>
  <c r="AA28"/>
  <c r="AA23" i="99"/>
  <c r="W23"/>
  <c r="AF12" i="100"/>
  <c r="W25"/>
  <c r="S28"/>
  <c r="AF11"/>
  <c r="W24"/>
  <c r="S23"/>
  <c r="X25" i="94"/>
  <c r="S26" i="100"/>
  <c r="AE16" i="96"/>
  <c r="AE21"/>
  <c r="AF11" i="98"/>
  <c r="AE18" i="97"/>
  <c r="AE19" i="98"/>
  <c r="AE21" i="100"/>
  <c r="AE20"/>
  <c r="AE19"/>
  <c r="AE18"/>
  <c r="AE17"/>
  <c r="AE16"/>
  <c r="AE15"/>
  <c r="AF20"/>
  <c r="AF18"/>
  <c r="AF16"/>
  <c r="AB23"/>
  <c r="W22"/>
  <c r="AC27"/>
  <c r="AC26"/>
  <c r="U26"/>
  <c r="S27"/>
  <c r="S25"/>
  <c r="AF14" i="99"/>
  <c r="AE20" i="96"/>
  <c r="AE14"/>
  <c r="S23" i="95"/>
  <c r="S25" i="94"/>
  <c r="X23" i="100"/>
  <c r="AB28"/>
  <c r="AF21" i="99"/>
  <c r="AF20"/>
  <c r="AF19"/>
  <c r="AF18"/>
  <c r="AF17"/>
  <c r="U27" i="100"/>
  <c r="AF16" i="99"/>
  <c r="AF15"/>
  <c r="AF13"/>
  <c r="AF12"/>
  <c r="AF11"/>
  <c r="AE15" i="98"/>
  <c r="AF13" i="94"/>
  <c r="S23"/>
  <c r="X22"/>
  <c r="AE21" i="98"/>
  <c r="AE18"/>
  <c r="AE16"/>
  <c r="AE14"/>
  <c r="AF21" i="100"/>
  <c r="AF19"/>
  <c r="AF17"/>
  <c r="AD26"/>
  <c r="Z23"/>
  <c r="V26"/>
  <c r="AF15"/>
  <c r="AB26"/>
  <c r="X26"/>
  <c r="AF14"/>
  <c r="AE20" i="98"/>
  <c r="AE24" s="1"/>
  <c r="AE17"/>
  <c r="AE11" i="97"/>
  <c r="AE14" i="100"/>
  <c r="AD28"/>
  <c r="AD25"/>
  <c r="AD22"/>
  <c r="V28"/>
  <c r="V25"/>
  <c r="V22"/>
  <c r="AD27"/>
  <c r="AD24"/>
  <c r="Z27"/>
  <c r="Z24"/>
  <c r="V27"/>
  <c r="V24"/>
  <c r="AE12"/>
  <c r="AE11"/>
  <c r="AC28"/>
  <c r="AC25"/>
  <c r="AC22"/>
  <c r="U28"/>
  <c r="U25"/>
  <c r="U22"/>
  <c r="AB28" i="99"/>
  <c r="AB25"/>
  <c r="AB22"/>
  <c r="X28"/>
  <c r="X25"/>
  <c r="X22"/>
  <c r="T28"/>
  <c r="T25"/>
  <c r="T22"/>
  <c r="AD23" i="100"/>
  <c r="Z26"/>
  <c r="V23"/>
  <c r="T23"/>
  <c r="T26"/>
  <c r="S26" i="99"/>
  <c r="S23"/>
  <c r="W28"/>
  <c r="W25"/>
  <c r="W22"/>
  <c r="Y28"/>
  <c r="Y25"/>
  <c r="Y22"/>
  <c r="O58"/>
  <c r="C60" s="1"/>
  <c r="AE10"/>
  <c r="AA25" i="94"/>
  <c r="AF12" i="95"/>
  <c r="S24" i="96"/>
  <c r="S26"/>
  <c r="AF20" i="98"/>
  <c r="AF13"/>
  <c r="AF19" i="97"/>
  <c r="AE16"/>
  <c r="Z28" i="100"/>
  <c r="Z25"/>
  <c r="Z22"/>
  <c r="AB27"/>
  <c r="AB24"/>
  <c r="X27"/>
  <c r="X24"/>
  <c r="T24"/>
  <c r="T27"/>
  <c r="T28"/>
  <c r="AE13"/>
  <c r="Y28"/>
  <c r="Y25"/>
  <c r="Y22"/>
  <c r="O58"/>
  <c r="AE10"/>
  <c r="AF10"/>
  <c r="P58"/>
  <c r="H59" s="1"/>
  <c r="AD28" i="99"/>
  <c r="AD25"/>
  <c r="AD22"/>
  <c r="Z28"/>
  <c r="Z25"/>
  <c r="Z22"/>
  <c r="V28"/>
  <c r="V25"/>
  <c r="V22"/>
  <c r="X28" i="100"/>
  <c r="AE21" i="99"/>
  <c r="AE20"/>
  <c r="AE19"/>
  <c r="AE18"/>
  <c r="AE17"/>
  <c r="AE16"/>
  <c r="AE15"/>
  <c r="AA28"/>
  <c r="AA25"/>
  <c r="AA22"/>
  <c r="S28"/>
  <c r="S25"/>
  <c r="S22"/>
  <c r="AE14"/>
  <c r="AE13"/>
  <c r="AE12"/>
  <c r="AE11"/>
  <c r="AC28"/>
  <c r="AC25"/>
  <c r="AC22"/>
  <c r="U28"/>
  <c r="U25"/>
  <c r="U22"/>
  <c r="P58"/>
  <c r="AF10"/>
  <c r="AF12" i="98"/>
  <c r="S24"/>
  <c r="AE17" i="97"/>
  <c r="AE15"/>
  <c r="AE14"/>
  <c r="AE13"/>
  <c r="AF18"/>
  <c r="S27" i="98"/>
  <c r="AB22" i="94"/>
  <c r="T22"/>
  <c r="AF18" i="98"/>
  <c r="AF19"/>
  <c r="AE21" i="97"/>
  <c r="AE20"/>
  <c r="AE19"/>
  <c r="S26" i="98"/>
  <c r="AF21"/>
  <c r="AF17"/>
  <c r="AF16"/>
  <c r="AF15"/>
  <c r="AF14"/>
  <c r="AD28"/>
  <c r="AD25"/>
  <c r="AD22"/>
  <c r="Z28"/>
  <c r="Z25"/>
  <c r="Z22"/>
  <c r="V28"/>
  <c r="V25"/>
  <c r="V22"/>
  <c r="P58"/>
  <c r="AF10"/>
  <c r="AA28"/>
  <c r="AA25"/>
  <c r="AA22"/>
  <c r="W28"/>
  <c r="W25"/>
  <c r="W22"/>
  <c r="S28"/>
  <c r="S25"/>
  <c r="S22"/>
  <c r="AF21" i="97"/>
  <c r="AF20"/>
  <c r="AC28"/>
  <c r="AC25"/>
  <c r="AC22"/>
  <c r="Y28"/>
  <c r="Y25"/>
  <c r="Y22"/>
  <c r="U28"/>
  <c r="U25"/>
  <c r="U22"/>
  <c r="O58"/>
  <c r="AE10"/>
  <c r="AB28"/>
  <c r="AB25"/>
  <c r="AB22"/>
  <c r="X28"/>
  <c r="X25"/>
  <c r="X22"/>
  <c r="T28"/>
  <c r="T25"/>
  <c r="T22"/>
  <c r="AF12" i="96"/>
  <c r="W25" i="94"/>
  <c r="AB28" i="98"/>
  <c r="AB25"/>
  <c r="AB22"/>
  <c r="X28"/>
  <c r="X25"/>
  <c r="X22"/>
  <c r="T28"/>
  <c r="T25"/>
  <c r="T22"/>
  <c r="AE13"/>
  <c r="AE12"/>
  <c r="AE11"/>
  <c r="AC28"/>
  <c r="AC25"/>
  <c r="AC22"/>
  <c r="Y28"/>
  <c r="Y25"/>
  <c r="Y22"/>
  <c r="U28"/>
  <c r="U25"/>
  <c r="U22"/>
  <c r="O58"/>
  <c r="AE10"/>
  <c r="AF17" i="97"/>
  <c r="AA28"/>
  <c r="AA25"/>
  <c r="AA22"/>
  <c r="W28"/>
  <c r="W25"/>
  <c r="W22"/>
  <c r="S28"/>
  <c r="S25"/>
  <c r="S22"/>
  <c r="AF16"/>
  <c r="AF15"/>
  <c r="AF14"/>
  <c r="AF13"/>
  <c r="AF12"/>
  <c r="AF11"/>
  <c r="AD28"/>
  <c r="AD25"/>
  <c r="AD22"/>
  <c r="Z28"/>
  <c r="Z25"/>
  <c r="Z22"/>
  <c r="V28"/>
  <c r="V25"/>
  <c r="V22"/>
  <c r="P58"/>
  <c r="AF10"/>
  <c r="AE21" i="95"/>
  <c r="AE20"/>
  <c r="AB25" i="94"/>
  <c r="W22"/>
  <c r="AF11"/>
  <c r="W28"/>
  <c r="AE19" i="95"/>
  <c r="AE17"/>
  <c r="AE18"/>
  <c r="AF15"/>
  <c r="AF14"/>
  <c r="AF13"/>
  <c r="AF11" i="96"/>
  <c r="S27" i="95"/>
  <c r="S28" i="94"/>
  <c r="AA28"/>
  <c r="AF12"/>
  <c r="AF16" i="95"/>
  <c r="AF21"/>
  <c r="AF20"/>
  <c r="S26"/>
  <c r="AF20" i="94"/>
  <c r="AF18"/>
  <c r="AF16"/>
  <c r="AF14"/>
  <c r="AA22"/>
  <c r="S22"/>
  <c r="S24" i="95"/>
  <c r="AF11"/>
  <c r="S27" i="96"/>
  <c r="AF21"/>
  <c r="AF20"/>
  <c r="AF19"/>
  <c r="AF18"/>
  <c r="AF17"/>
  <c r="AF16"/>
  <c r="AF15"/>
  <c r="AF14"/>
  <c r="AD28"/>
  <c r="AD25"/>
  <c r="AD22"/>
  <c r="Z28"/>
  <c r="Z25"/>
  <c r="Z22"/>
  <c r="V28"/>
  <c r="V25"/>
  <c r="V22"/>
  <c r="P58"/>
  <c r="AF10"/>
  <c r="AA28"/>
  <c r="AA25"/>
  <c r="AA22"/>
  <c r="W28"/>
  <c r="W25"/>
  <c r="W22"/>
  <c r="S28"/>
  <c r="S25"/>
  <c r="S22"/>
  <c r="AB28" i="95"/>
  <c r="AB25"/>
  <c r="AB22"/>
  <c r="X28"/>
  <c r="X25"/>
  <c r="X22"/>
  <c r="T28"/>
  <c r="T25"/>
  <c r="T22"/>
  <c r="AE13"/>
  <c r="AE12"/>
  <c r="AE11"/>
  <c r="AC28"/>
  <c r="AC25"/>
  <c r="AC22"/>
  <c r="Y28"/>
  <c r="Y25"/>
  <c r="Y22"/>
  <c r="U28"/>
  <c r="U25"/>
  <c r="U22"/>
  <c r="O58"/>
  <c r="AE10"/>
  <c r="AB28" i="96"/>
  <c r="AB25"/>
  <c r="AB22"/>
  <c r="X28"/>
  <c r="X25"/>
  <c r="X22"/>
  <c r="T28"/>
  <c r="T25"/>
  <c r="T22"/>
  <c r="AE13"/>
  <c r="AE12"/>
  <c r="AE11"/>
  <c r="AC28"/>
  <c r="AC25"/>
  <c r="AC22"/>
  <c r="Y28"/>
  <c r="Y25"/>
  <c r="Y22"/>
  <c r="U28"/>
  <c r="U25"/>
  <c r="U22"/>
  <c r="O58"/>
  <c r="AE10"/>
  <c r="AF19" i="95"/>
  <c r="AF18"/>
  <c r="AF17"/>
  <c r="AD28"/>
  <c r="AD25"/>
  <c r="AD22"/>
  <c r="Z28"/>
  <c r="Z25"/>
  <c r="Z22"/>
  <c r="V28"/>
  <c r="V25"/>
  <c r="V22"/>
  <c r="P58"/>
  <c r="AF10"/>
  <c r="AE16"/>
  <c r="AE15"/>
  <c r="AE14"/>
  <c r="AA28"/>
  <c r="AA25"/>
  <c r="AA22"/>
  <c r="W28"/>
  <c r="W25"/>
  <c r="W22"/>
  <c r="S28"/>
  <c r="S25"/>
  <c r="S22"/>
  <c r="AB23" i="94"/>
  <c r="X26"/>
  <c r="AB28"/>
  <c r="X28"/>
  <c r="X23"/>
  <c r="AF21"/>
  <c r="AF19"/>
  <c r="AF17"/>
  <c r="AD23"/>
  <c r="Z26"/>
  <c r="V23"/>
  <c r="AF15"/>
  <c r="AB26"/>
  <c r="T28"/>
  <c r="Z28"/>
  <c r="Z25"/>
  <c r="Z22"/>
  <c r="AD27"/>
  <c r="AD24"/>
  <c r="Z27"/>
  <c r="Z24"/>
  <c r="V27"/>
  <c r="V24"/>
  <c r="AE12"/>
  <c r="AE11"/>
  <c r="AC28"/>
  <c r="AC25"/>
  <c r="AC22"/>
  <c r="U28"/>
  <c r="U25"/>
  <c r="U22"/>
  <c r="AD26"/>
  <c r="Z23"/>
  <c r="V26"/>
  <c r="AE21"/>
  <c r="AE20"/>
  <c r="AE19"/>
  <c r="AE18"/>
  <c r="AE17"/>
  <c r="AE16"/>
  <c r="AE15"/>
  <c r="AE14"/>
  <c r="AD28"/>
  <c r="AD25"/>
  <c r="AD22"/>
  <c r="V28"/>
  <c r="V25"/>
  <c r="V22"/>
  <c r="AB27"/>
  <c r="AB24"/>
  <c r="X27"/>
  <c r="X24"/>
  <c r="T24"/>
  <c r="T27"/>
  <c r="AE13"/>
  <c r="Y28"/>
  <c r="Y25"/>
  <c r="Y22"/>
  <c r="O58"/>
  <c r="C60" s="1"/>
  <c r="AE10"/>
  <c r="AF10"/>
  <c r="P58"/>
  <c r="H59" s="1"/>
  <c r="T23"/>
  <c r="T26"/>
  <c r="Z21" i="93"/>
  <c r="AD20"/>
  <c r="V20"/>
  <c r="Z19"/>
  <c r="AD18"/>
  <c r="V18"/>
  <c r="Z17"/>
  <c r="AD16"/>
  <c r="V16"/>
  <c r="Z15"/>
  <c r="AD14"/>
  <c r="V14"/>
  <c r="Z13"/>
  <c r="AD12"/>
  <c r="V12"/>
  <c r="Z11"/>
  <c r="AD21"/>
  <c r="V21"/>
  <c r="Z20"/>
  <c r="AD19"/>
  <c r="V19"/>
  <c r="Z18"/>
  <c r="AD17"/>
  <c r="V17"/>
  <c r="Z16"/>
  <c r="AD15"/>
  <c r="V15"/>
  <c r="Z14"/>
  <c r="AD13"/>
  <c r="V13"/>
  <c r="Z12"/>
  <c r="AD11"/>
  <c r="V11"/>
  <c r="AB21"/>
  <c r="X21"/>
  <c r="T21"/>
  <c r="AB20"/>
  <c r="X20"/>
  <c r="T20"/>
  <c r="AB19"/>
  <c r="X19"/>
  <c r="T19"/>
  <c r="AB18"/>
  <c r="X18"/>
  <c r="T18"/>
  <c r="AB17"/>
  <c r="X17"/>
  <c r="T17"/>
  <c r="AB16"/>
  <c r="X16"/>
  <c r="T16"/>
  <c r="AB15"/>
  <c r="X15"/>
  <c r="T15"/>
  <c r="AB14"/>
  <c r="X14"/>
  <c r="T14"/>
  <c r="AB13"/>
  <c r="X13"/>
  <c r="T13"/>
  <c r="AB12"/>
  <c r="X12"/>
  <c r="T12"/>
  <c r="AB11"/>
  <c r="X11"/>
  <c r="T11"/>
  <c r="AC21"/>
  <c r="AA21"/>
  <c r="Y21"/>
  <c r="W21"/>
  <c r="U21"/>
  <c r="S21"/>
  <c r="AC20"/>
  <c r="AA20"/>
  <c r="Y20"/>
  <c r="W20"/>
  <c r="U20"/>
  <c r="S20"/>
  <c r="AC19"/>
  <c r="AA19"/>
  <c r="Y19"/>
  <c r="W19"/>
  <c r="U19"/>
  <c r="S19"/>
  <c r="AC18"/>
  <c r="AA18"/>
  <c r="Y18"/>
  <c r="W18"/>
  <c r="U18"/>
  <c r="S18"/>
  <c r="AC17"/>
  <c r="AA17"/>
  <c r="Y17"/>
  <c r="W17"/>
  <c r="U17"/>
  <c r="S17"/>
  <c r="AC16"/>
  <c r="AA16"/>
  <c r="Y16"/>
  <c r="W16"/>
  <c r="U16"/>
  <c r="S16"/>
  <c r="AC15"/>
  <c r="AA15"/>
  <c r="Y15"/>
  <c r="W15"/>
  <c r="U15"/>
  <c r="S15"/>
  <c r="AC14"/>
  <c r="AA14"/>
  <c r="Y14"/>
  <c r="W14"/>
  <c r="U14"/>
  <c r="S14"/>
  <c r="AC13"/>
  <c r="AA13"/>
  <c r="Y13"/>
  <c r="W13"/>
  <c r="U13"/>
  <c r="S13"/>
  <c r="AC12"/>
  <c r="AA12"/>
  <c r="Y12"/>
  <c r="W12"/>
  <c r="U12"/>
  <c r="S12"/>
  <c r="AC11"/>
  <c r="AA11"/>
  <c r="Y11"/>
  <c r="W11"/>
  <c r="U11"/>
  <c r="S11"/>
  <c r="S10"/>
  <c r="AC10"/>
  <c r="AA10"/>
  <c r="Y10"/>
  <c r="W10"/>
  <c r="U10"/>
  <c r="AD10"/>
  <c r="AB10"/>
  <c r="Z10"/>
  <c r="X10"/>
  <c r="V10"/>
  <c r="V22" s="1"/>
  <c r="T10"/>
  <c r="P34"/>
  <c r="P50"/>
  <c r="P18"/>
  <c r="N58"/>
  <c r="P42"/>
  <c r="P26"/>
  <c r="P56"/>
  <c r="P46"/>
  <c r="P38"/>
  <c r="P30"/>
  <c r="P22"/>
  <c r="P14"/>
  <c r="F58"/>
  <c r="P10"/>
  <c r="P52"/>
  <c r="P48"/>
  <c r="P44"/>
  <c r="P40"/>
  <c r="P36"/>
  <c r="P32"/>
  <c r="P28"/>
  <c r="P24"/>
  <c r="P23"/>
  <c r="P20"/>
  <c r="P16"/>
  <c r="P12"/>
  <c r="P54"/>
  <c r="P51"/>
  <c r="P49"/>
  <c r="P35"/>
  <c r="P33"/>
  <c r="P31"/>
  <c r="P21"/>
  <c r="P19"/>
  <c r="P17"/>
  <c r="P15"/>
  <c r="P13"/>
  <c r="P11"/>
  <c r="P47"/>
  <c r="P45"/>
  <c r="P43"/>
  <c r="P41"/>
  <c r="P39"/>
  <c r="P37"/>
  <c r="P29"/>
  <c r="P27"/>
  <c r="P25"/>
  <c r="K58"/>
  <c r="G58"/>
  <c r="P57"/>
  <c r="P55"/>
  <c r="H58"/>
  <c r="D58"/>
  <c r="L58"/>
  <c r="P53"/>
  <c r="J58"/>
  <c r="E58"/>
  <c r="I58"/>
  <c r="O27"/>
  <c r="O29"/>
  <c r="O31"/>
  <c r="O33"/>
  <c r="O35"/>
  <c r="O37"/>
  <c r="O39"/>
  <c r="O41"/>
  <c r="O43"/>
  <c r="O45"/>
  <c r="O47"/>
  <c r="O49"/>
  <c r="O51"/>
  <c r="O53"/>
  <c r="O55"/>
  <c r="O57"/>
  <c r="M58"/>
  <c r="O10"/>
  <c r="O11"/>
  <c r="O12"/>
  <c r="O13"/>
  <c r="O14"/>
  <c r="O15"/>
  <c r="O16"/>
  <c r="O17"/>
  <c r="O18"/>
  <c r="O19"/>
  <c r="O20"/>
  <c r="O21"/>
  <c r="O22"/>
  <c r="O23"/>
  <c r="O24"/>
  <c r="O25"/>
  <c r="O26"/>
  <c r="O28"/>
  <c r="O30"/>
  <c r="O32"/>
  <c r="O34"/>
  <c r="O36"/>
  <c r="O38"/>
  <c r="O40"/>
  <c r="O42"/>
  <c r="O44"/>
  <c r="O46"/>
  <c r="O48"/>
  <c r="O50"/>
  <c r="O52"/>
  <c r="O54"/>
  <c r="O56"/>
  <c r="C58"/>
  <c r="T11" i="111" l="1"/>
  <c r="V17"/>
  <c r="AA12"/>
  <c r="X14"/>
  <c r="AD11"/>
  <c r="T17"/>
  <c r="AB19"/>
  <c r="AA15"/>
  <c r="O47"/>
  <c r="Z14"/>
  <c r="AD19"/>
  <c r="W11"/>
  <c r="U14"/>
  <c r="AB15"/>
  <c r="X18"/>
  <c r="T21"/>
  <c r="AA18"/>
  <c r="AD36" i="108"/>
  <c r="AB12" i="111"/>
  <c r="S18"/>
  <c r="Y14"/>
  <c r="S15"/>
  <c r="W17"/>
  <c r="W18"/>
  <c r="Y19"/>
  <c r="O52"/>
  <c r="AC20"/>
  <c r="AA21"/>
  <c r="X11"/>
  <c r="V13"/>
  <c r="AD13"/>
  <c r="V15"/>
  <c r="AD15"/>
  <c r="Z16"/>
  <c r="AD17"/>
  <c r="Z18"/>
  <c r="V19"/>
  <c r="Z20"/>
  <c r="V21"/>
  <c r="AD21"/>
  <c r="Z36" i="108"/>
  <c r="S11" i="111"/>
  <c r="AA11"/>
  <c r="S12"/>
  <c r="W12"/>
  <c r="S13"/>
  <c r="AA13"/>
  <c r="T14"/>
  <c r="AB14"/>
  <c r="X15"/>
  <c r="T15"/>
  <c r="X16"/>
  <c r="T16"/>
  <c r="AB16"/>
  <c r="X17"/>
  <c r="AB17"/>
  <c r="T18"/>
  <c r="AB18"/>
  <c r="T19"/>
  <c r="X20"/>
  <c r="T20"/>
  <c r="AB20"/>
  <c r="X21"/>
  <c r="S17"/>
  <c r="AA17"/>
  <c r="W13"/>
  <c r="AC14"/>
  <c r="X13"/>
  <c r="AB21"/>
  <c r="Z10"/>
  <c r="V39" i="108"/>
  <c r="U19" i="111"/>
  <c r="AC21"/>
  <c r="Y21"/>
  <c r="W15"/>
  <c r="AA16"/>
  <c r="O12"/>
  <c r="P26"/>
  <c r="V11"/>
  <c r="X12"/>
  <c r="Z12"/>
  <c r="P46"/>
  <c r="S10"/>
  <c r="AB36" i="108"/>
  <c r="AD37"/>
  <c r="P10" i="111"/>
  <c r="X19"/>
  <c r="W10"/>
  <c r="O22"/>
  <c r="P31"/>
  <c r="W16"/>
  <c r="V10"/>
  <c r="T10"/>
  <c r="AB10"/>
  <c r="Z11"/>
  <c r="AB11"/>
  <c r="V12"/>
  <c r="AB13"/>
  <c r="Z13"/>
  <c r="V14"/>
  <c r="AD14"/>
  <c r="Z15"/>
  <c r="V16"/>
  <c r="AD16"/>
  <c r="Z17"/>
  <c r="V18"/>
  <c r="AD18"/>
  <c r="Z19"/>
  <c r="V20"/>
  <c r="AD20"/>
  <c r="Z21"/>
  <c r="AD39" i="108"/>
  <c r="Z39"/>
  <c r="O34" i="111"/>
  <c r="P17"/>
  <c r="O21"/>
  <c r="O37"/>
  <c r="P41"/>
  <c r="O42"/>
  <c r="U20"/>
  <c r="P53"/>
  <c r="X10"/>
  <c r="T39" i="108"/>
  <c r="U10" i="111"/>
  <c r="AC10"/>
  <c r="P13"/>
  <c r="O14"/>
  <c r="O15"/>
  <c r="O17"/>
  <c r="O19"/>
  <c r="P20"/>
  <c r="P25"/>
  <c r="O26"/>
  <c r="P28"/>
  <c r="P30"/>
  <c r="O32"/>
  <c r="P33"/>
  <c r="U16"/>
  <c r="AC16"/>
  <c r="Y16"/>
  <c r="P38"/>
  <c r="P39"/>
  <c r="O40"/>
  <c r="P44"/>
  <c r="S19"/>
  <c r="AA19"/>
  <c r="P47"/>
  <c r="P50"/>
  <c r="P51"/>
  <c r="Y20"/>
  <c r="P54"/>
  <c r="O55"/>
  <c r="U21"/>
  <c r="P23"/>
  <c r="O23"/>
  <c r="Y18"/>
  <c r="O43"/>
  <c r="O49"/>
  <c r="P49"/>
  <c r="W21"/>
  <c r="P56"/>
  <c r="O10"/>
  <c r="C108" i="110"/>
  <c r="P15" i="111"/>
  <c r="O28"/>
  <c r="O35"/>
  <c r="O25"/>
  <c r="O44"/>
  <c r="O54"/>
  <c r="AD10"/>
  <c r="P36"/>
  <c r="O57"/>
  <c r="X36" i="108"/>
  <c r="V34"/>
  <c r="O11" i="111"/>
  <c r="Y10"/>
  <c r="O13"/>
  <c r="Y11"/>
  <c r="U11"/>
  <c r="AC11"/>
  <c r="O16"/>
  <c r="Y12"/>
  <c r="U12"/>
  <c r="AC12"/>
  <c r="O20"/>
  <c r="P21"/>
  <c r="Y13"/>
  <c r="U13"/>
  <c r="AC13"/>
  <c r="P24"/>
  <c r="W14"/>
  <c r="AA14"/>
  <c r="P29"/>
  <c r="O30"/>
  <c r="AC15"/>
  <c r="Y15"/>
  <c r="U15"/>
  <c r="O33"/>
  <c r="P34"/>
  <c r="P35"/>
  <c r="O36"/>
  <c r="P37"/>
  <c r="O38"/>
  <c r="AC17"/>
  <c r="Y17"/>
  <c r="U17"/>
  <c r="O41"/>
  <c r="P42"/>
  <c r="U18"/>
  <c r="AC18"/>
  <c r="P45"/>
  <c r="O46"/>
  <c r="AC19"/>
  <c r="O48"/>
  <c r="W19"/>
  <c r="O50"/>
  <c r="O51"/>
  <c r="AA20"/>
  <c r="W20"/>
  <c r="O53"/>
  <c r="P55"/>
  <c r="O56"/>
  <c r="P57"/>
  <c r="P14"/>
  <c r="P16"/>
  <c r="O18"/>
  <c r="S14"/>
  <c r="O27"/>
  <c r="O29"/>
  <c r="S16"/>
  <c r="O39"/>
  <c r="P48"/>
  <c r="S20"/>
  <c r="P52"/>
  <c r="P12"/>
  <c r="P19"/>
  <c r="O24"/>
  <c r="O31"/>
  <c r="O45"/>
  <c r="S21"/>
  <c r="P11"/>
  <c r="P18"/>
  <c r="P22"/>
  <c r="P27"/>
  <c r="P32"/>
  <c r="P40"/>
  <c r="P43"/>
  <c r="X39" i="108"/>
  <c r="T36"/>
  <c r="AB39"/>
  <c r="V37"/>
  <c r="T34"/>
  <c r="F108" i="110"/>
  <c r="AA10" i="111"/>
  <c r="H108" i="110"/>
  <c r="N108"/>
  <c r="X34" i="108"/>
  <c r="AE39" i="110"/>
  <c r="W42"/>
  <c r="Z34" i="108"/>
  <c r="AE36" i="110"/>
  <c r="F107"/>
  <c r="C107"/>
  <c r="H107"/>
  <c r="T42"/>
  <c r="Y42"/>
  <c r="X42"/>
  <c r="AF36"/>
  <c r="AF39"/>
  <c r="AF35"/>
  <c r="AF38"/>
  <c r="U42"/>
  <c r="AC42"/>
  <c r="AE38"/>
  <c r="AE35"/>
  <c r="V42"/>
  <c r="AB42"/>
  <c r="M107"/>
  <c r="D107"/>
  <c r="L107"/>
  <c r="E107"/>
  <c r="G107"/>
  <c r="I107"/>
  <c r="K107"/>
  <c r="AE41"/>
  <c r="AE40"/>
  <c r="AE37"/>
  <c r="AE34"/>
  <c r="Z42"/>
  <c r="AD42"/>
  <c r="AF41"/>
  <c r="AF40"/>
  <c r="AF37"/>
  <c r="AF34"/>
  <c r="D108"/>
  <c r="L108"/>
  <c r="E108"/>
  <c r="G108"/>
  <c r="I108"/>
  <c r="K108"/>
  <c r="J107"/>
  <c r="H107" i="109"/>
  <c r="U42"/>
  <c r="Y42"/>
  <c r="AC42"/>
  <c r="AF39"/>
  <c r="AF36"/>
  <c r="AF38"/>
  <c r="AF35"/>
  <c r="M107"/>
  <c r="D107"/>
  <c r="L107"/>
  <c r="C107"/>
  <c r="E107"/>
  <c r="G107"/>
  <c r="I107"/>
  <c r="K107"/>
  <c r="D108"/>
  <c r="L108"/>
  <c r="C108"/>
  <c r="E108"/>
  <c r="G108"/>
  <c r="I108"/>
  <c r="K108"/>
  <c r="F108"/>
  <c r="N107"/>
  <c r="S42"/>
  <c r="W42"/>
  <c r="AA42"/>
  <c r="H108"/>
  <c r="J108"/>
  <c r="AF41"/>
  <c r="AF40"/>
  <c r="AF37"/>
  <c r="AF34"/>
  <c r="V42"/>
  <c r="AB42"/>
  <c r="AE39"/>
  <c r="AE36"/>
  <c r="AE41"/>
  <c r="AE40"/>
  <c r="AE37"/>
  <c r="AE34"/>
  <c r="AE38"/>
  <c r="AE35"/>
  <c r="F107"/>
  <c r="N108"/>
  <c r="T42"/>
  <c r="Z42"/>
  <c r="AD42"/>
  <c r="AE21" i="108"/>
  <c r="AD38"/>
  <c r="AE20" i="107"/>
  <c r="T39"/>
  <c r="AB39"/>
  <c r="Z37" i="108"/>
  <c r="Z38"/>
  <c r="AF11"/>
  <c r="AC36"/>
  <c r="Y39"/>
  <c r="AF21"/>
  <c r="AC34"/>
  <c r="AE10"/>
  <c r="AF19"/>
  <c r="U39"/>
  <c r="W36"/>
  <c r="T38"/>
  <c r="Y37"/>
  <c r="AD34" i="107"/>
  <c r="S38"/>
  <c r="AC34"/>
  <c r="V34"/>
  <c r="AD40" i="108"/>
  <c r="AA39"/>
  <c r="AA35"/>
  <c r="T35"/>
  <c r="AB35"/>
  <c r="AE12"/>
  <c r="X38"/>
  <c r="AC37"/>
  <c r="X40"/>
  <c r="AE18"/>
  <c r="S37"/>
  <c r="AE19"/>
  <c r="W39"/>
  <c r="AD38" i="107"/>
  <c r="X35" i="108"/>
  <c r="AF20"/>
  <c r="AE17"/>
  <c r="AC40"/>
  <c r="AA40"/>
  <c r="AE14"/>
  <c r="AF14"/>
  <c r="AE15"/>
  <c r="V38"/>
  <c r="AF17"/>
  <c r="S35"/>
  <c r="Y36"/>
  <c r="AC39"/>
  <c r="AE20"/>
  <c r="AE13"/>
  <c r="H108"/>
  <c r="U36"/>
  <c r="V36" i="107"/>
  <c r="AD37"/>
  <c r="AD35"/>
  <c r="C107"/>
  <c r="V37"/>
  <c r="Y37"/>
  <c r="W34"/>
  <c r="U40" i="108"/>
  <c r="AF12"/>
  <c r="AF18"/>
  <c r="AA38"/>
  <c r="AE11"/>
  <c r="AD36" i="107"/>
  <c r="Y34"/>
  <c r="Z40"/>
  <c r="AB35"/>
  <c r="Z36"/>
  <c r="AD34" i="108"/>
  <c r="U37"/>
  <c r="AB38"/>
  <c r="AB40"/>
  <c r="S38"/>
  <c r="S40"/>
  <c r="AA34"/>
  <c r="Y40"/>
  <c r="V35"/>
  <c r="AD35"/>
  <c r="AF13"/>
  <c r="AF15"/>
  <c r="AE16"/>
  <c r="Z40"/>
  <c r="F107" i="105"/>
  <c r="AE12" i="107"/>
  <c r="AE16"/>
  <c r="AF18"/>
  <c r="S39" i="108"/>
  <c r="S36"/>
  <c r="W38"/>
  <c r="W35"/>
  <c r="H107"/>
  <c r="V40"/>
  <c r="Z35"/>
  <c r="U34"/>
  <c r="T40"/>
  <c r="S34"/>
  <c r="AF16"/>
  <c r="AA37"/>
  <c r="AA36"/>
  <c r="AB34"/>
  <c r="AB37"/>
  <c r="W40"/>
  <c r="W37"/>
  <c r="W34"/>
  <c r="Y38"/>
  <c r="Y35"/>
  <c r="T37"/>
  <c r="X37"/>
  <c r="Y40" i="107"/>
  <c r="AE14"/>
  <c r="AE18"/>
  <c r="T38"/>
  <c r="V38"/>
  <c r="X36"/>
  <c r="U37"/>
  <c r="U38" i="108"/>
  <c r="U35"/>
  <c r="AC38"/>
  <c r="AC35"/>
  <c r="X35" i="107"/>
  <c r="T36"/>
  <c r="AB36"/>
  <c r="AC40"/>
  <c r="E107" i="105"/>
  <c r="V40" i="107"/>
  <c r="Z37"/>
  <c r="AE10"/>
  <c r="AF10"/>
  <c r="AC38"/>
  <c r="D107" i="105"/>
  <c r="C107"/>
  <c r="Z34" i="107"/>
  <c r="AE15"/>
  <c r="S35"/>
  <c r="U40"/>
  <c r="AC37"/>
  <c r="U35"/>
  <c r="Y35"/>
  <c r="AC35"/>
  <c r="AE19"/>
  <c r="AE21"/>
  <c r="X40"/>
  <c r="AB40"/>
  <c r="X38"/>
  <c r="Z35"/>
  <c r="AF35" i="105"/>
  <c r="AE17" i="107"/>
  <c r="AE13"/>
  <c r="AF15"/>
  <c r="H108"/>
  <c r="T40"/>
  <c r="AE11"/>
  <c r="V35"/>
  <c r="AD40"/>
  <c r="AB38"/>
  <c r="X39"/>
  <c r="Z39"/>
  <c r="W40"/>
  <c r="D108" i="105"/>
  <c r="F108"/>
  <c r="C108"/>
  <c r="E108"/>
  <c r="U34" i="107"/>
  <c r="T35"/>
  <c r="Z38"/>
  <c r="U38"/>
  <c r="Y38"/>
  <c r="W37"/>
  <c r="AF16"/>
  <c r="AF14"/>
  <c r="W38"/>
  <c r="W35"/>
  <c r="AA35"/>
  <c r="AA38"/>
  <c r="Y39"/>
  <c r="Y36"/>
  <c r="AC39"/>
  <c r="AC36"/>
  <c r="AF19"/>
  <c r="AF21"/>
  <c r="T37"/>
  <c r="T34"/>
  <c r="AF13"/>
  <c r="AF17"/>
  <c r="W39"/>
  <c r="W36"/>
  <c r="AA36"/>
  <c r="AA39"/>
  <c r="S39"/>
  <c r="AF20"/>
  <c r="X37"/>
  <c r="X34"/>
  <c r="AB34"/>
  <c r="AB37"/>
  <c r="AF11"/>
  <c r="AF12"/>
  <c r="AA40"/>
  <c r="AA37"/>
  <c r="AA34"/>
  <c r="S37"/>
  <c r="S40"/>
  <c r="S34"/>
  <c r="AF38" i="105"/>
  <c r="T42"/>
  <c r="V42"/>
  <c r="U42"/>
  <c r="W42"/>
  <c r="Y42"/>
  <c r="AC42"/>
  <c r="AF39"/>
  <c r="AF36"/>
  <c r="M107"/>
  <c r="N107"/>
  <c r="I107"/>
  <c r="K107"/>
  <c r="H107"/>
  <c r="J107"/>
  <c r="L107"/>
  <c r="I108"/>
  <c r="K108"/>
  <c r="H108"/>
  <c r="J108"/>
  <c r="L108"/>
  <c r="N108"/>
  <c r="AE38"/>
  <c r="AE35"/>
  <c r="AE39"/>
  <c r="AE36"/>
  <c r="S42"/>
  <c r="AA42"/>
  <c r="X42"/>
  <c r="AB42"/>
  <c r="AF41"/>
  <c r="AF40"/>
  <c r="AF37"/>
  <c r="AF34"/>
  <c r="AE41"/>
  <c r="AE40"/>
  <c r="AE37"/>
  <c r="AE34"/>
  <c r="Z42"/>
  <c r="AD42"/>
  <c r="Z42" i="101"/>
  <c r="U42"/>
  <c r="W42"/>
  <c r="X42"/>
  <c r="Y42"/>
  <c r="V42"/>
  <c r="AA42"/>
  <c r="AD42"/>
  <c r="AC42"/>
  <c r="T42"/>
  <c r="AB42"/>
  <c r="S42"/>
  <c r="AF41"/>
  <c r="AE41"/>
  <c r="AF23" i="104"/>
  <c r="AF27"/>
  <c r="H60"/>
  <c r="C60"/>
  <c r="AF26"/>
  <c r="AF24"/>
  <c r="H59"/>
  <c r="AF26" i="103"/>
  <c r="AF23"/>
  <c r="H60" i="94"/>
  <c r="C59" i="104"/>
  <c r="AF27" i="103"/>
  <c r="AF24"/>
  <c r="M59"/>
  <c r="D59"/>
  <c r="H59"/>
  <c r="L59"/>
  <c r="E59"/>
  <c r="G59"/>
  <c r="I59"/>
  <c r="K59"/>
  <c r="F59"/>
  <c r="J59"/>
  <c r="N59"/>
  <c r="AE27" i="104"/>
  <c r="AE24"/>
  <c r="E60" i="103"/>
  <c r="G60"/>
  <c r="I60"/>
  <c r="K60"/>
  <c r="F60"/>
  <c r="J60"/>
  <c r="N60"/>
  <c r="D60"/>
  <c r="H60"/>
  <c r="L60"/>
  <c r="AF22" i="104"/>
  <c r="AF28"/>
  <c r="AF25"/>
  <c r="F60"/>
  <c r="E60"/>
  <c r="G60"/>
  <c r="I60"/>
  <c r="K60"/>
  <c r="J60"/>
  <c r="N60"/>
  <c r="AE26"/>
  <c r="AE23"/>
  <c r="D60"/>
  <c r="AF35" i="101"/>
  <c r="AF28" i="103"/>
  <c r="AF25"/>
  <c r="AF22"/>
  <c r="AE26"/>
  <c r="AE23"/>
  <c r="C59"/>
  <c r="AE28"/>
  <c r="AE25"/>
  <c r="AE22"/>
  <c r="AE27"/>
  <c r="AE24"/>
  <c r="F59" i="104"/>
  <c r="M59"/>
  <c r="J59"/>
  <c r="E59"/>
  <c r="G59"/>
  <c r="I59"/>
  <c r="K59"/>
  <c r="N59"/>
  <c r="AE28"/>
  <c r="AE25"/>
  <c r="AE22"/>
  <c r="D59"/>
  <c r="AF24" i="100"/>
  <c r="AE27" i="96"/>
  <c r="AF36" i="101"/>
  <c r="AF39"/>
  <c r="AF38"/>
  <c r="F108"/>
  <c r="J108"/>
  <c r="N108"/>
  <c r="E108"/>
  <c r="G108"/>
  <c r="I108"/>
  <c r="K108"/>
  <c r="D108"/>
  <c r="H108"/>
  <c r="L108"/>
  <c r="E107"/>
  <c r="G107"/>
  <c r="I107"/>
  <c r="K107"/>
  <c r="D107"/>
  <c r="H107"/>
  <c r="L107"/>
  <c r="M107"/>
  <c r="F107"/>
  <c r="J107"/>
  <c r="N107"/>
  <c r="AE39"/>
  <c r="AE36"/>
  <c r="AF23" i="100"/>
  <c r="AE24" i="96"/>
  <c r="AE27" i="100"/>
  <c r="C107" i="101"/>
  <c r="AE40"/>
  <c r="AE37"/>
  <c r="AE34"/>
  <c r="AF40"/>
  <c r="AF37"/>
  <c r="AF34"/>
  <c r="AE38"/>
  <c r="AE35"/>
  <c r="AE26" i="97"/>
  <c r="AF27"/>
  <c r="AE24" i="100"/>
  <c r="AF26"/>
  <c r="AF27"/>
  <c r="AF23" i="99"/>
  <c r="AF26"/>
  <c r="AF24"/>
  <c r="AF27"/>
  <c r="AE23" i="97"/>
  <c r="D59" i="100"/>
  <c r="AE27" i="98"/>
  <c r="AF28" i="99"/>
  <c r="AF25"/>
  <c r="AF22"/>
  <c r="AE26"/>
  <c r="AE23"/>
  <c r="AE27"/>
  <c r="AE24"/>
  <c r="AF22" i="100"/>
  <c r="AF28"/>
  <c r="AF25"/>
  <c r="N60"/>
  <c r="J60"/>
  <c r="F60"/>
  <c r="E60"/>
  <c r="G60"/>
  <c r="I60"/>
  <c r="K60"/>
  <c r="AE26"/>
  <c r="AE23"/>
  <c r="E60" i="99"/>
  <c r="G60"/>
  <c r="I60"/>
  <c r="K60"/>
  <c r="F60"/>
  <c r="J60"/>
  <c r="N60"/>
  <c r="D60"/>
  <c r="H60"/>
  <c r="L60"/>
  <c r="C60" i="100"/>
  <c r="L60"/>
  <c r="M59" i="99"/>
  <c r="D59"/>
  <c r="H59"/>
  <c r="L59"/>
  <c r="E59"/>
  <c r="G59"/>
  <c r="I59"/>
  <c r="K59"/>
  <c r="F59"/>
  <c r="J59"/>
  <c r="N59"/>
  <c r="F59" i="100"/>
  <c r="J59"/>
  <c r="E59"/>
  <c r="G59"/>
  <c r="I59"/>
  <c r="K59"/>
  <c r="N59"/>
  <c r="M59"/>
  <c r="AE28"/>
  <c r="AE25"/>
  <c r="AE22"/>
  <c r="D60"/>
  <c r="C59" i="99"/>
  <c r="AE28"/>
  <c r="AE25"/>
  <c r="AE22"/>
  <c r="H60" i="100"/>
  <c r="C59"/>
  <c r="L59"/>
  <c r="AF24" i="97"/>
  <c r="AF23" i="98"/>
  <c r="AF27"/>
  <c r="AE27" i="97"/>
  <c r="AE24"/>
  <c r="AF28"/>
  <c r="AF25"/>
  <c r="AF22"/>
  <c r="C60" i="98"/>
  <c r="E60"/>
  <c r="G60"/>
  <c r="I60"/>
  <c r="K60"/>
  <c r="D60"/>
  <c r="F60"/>
  <c r="H60"/>
  <c r="J60"/>
  <c r="L60"/>
  <c r="N60"/>
  <c r="AE26"/>
  <c r="AE23"/>
  <c r="AE28" i="97"/>
  <c r="AE25"/>
  <c r="AE22"/>
  <c r="AF28" i="98"/>
  <c r="AF25"/>
  <c r="AF22"/>
  <c r="AF26"/>
  <c r="M59" i="97"/>
  <c r="D59"/>
  <c r="F59"/>
  <c r="H59"/>
  <c r="J59"/>
  <c r="L59"/>
  <c r="N59"/>
  <c r="C59"/>
  <c r="E59"/>
  <c r="G59"/>
  <c r="I59"/>
  <c r="K59"/>
  <c r="AF26"/>
  <c r="AF23"/>
  <c r="AE28" i="98"/>
  <c r="AE25"/>
  <c r="AE22"/>
  <c r="D60" i="97"/>
  <c r="F60"/>
  <c r="H60"/>
  <c r="J60"/>
  <c r="L60"/>
  <c r="N60"/>
  <c r="C60"/>
  <c r="E60"/>
  <c r="G60"/>
  <c r="I60"/>
  <c r="K60"/>
  <c r="C59" i="98"/>
  <c r="E59"/>
  <c r="G59"/>
  <c r="I59"/>
  <c r="K59"/>
  <c r="D59"/>
  <c r="F59"/>
  <c r="H59"/>
  <c r="J59"/>
  <c r="L59"/>
  <c r="N59"/>
  <c r="M59"/>
  <c r="AF24"/>
  <c r="AE27" i="95"/>
  <c r="AE24"/>
  <c r="AF23" i="94"/>
  <c r="AF27"/>
  <c r="AF26" i="96"/>
  <c r="AF24" i="94"/>
  <c r="AF26"/>
  <c r="AF26" i="95"/>
  <c r="AF28"/>
  <c r="AF25"/>
  <c r="AF22"/>
  <c r="AE28" i="96"/>
  <c r="AE25"/>
  <c r="AE22"/>
  <c r="C60" i="95"/>
  <c r="E60"/>
  <c r="G60"/>
  <c r="I60"/>
  <c r="K60"/>
  <c r="D60"/>
  <c r="F60"/>
  <c r="H60"/>
  <c r="J60"/>
  <c r="L60"/>
  <c r="N60"/>
  <c r="AE26"/>
  <c r="AE23"/>
  <c r="C59" i="96"/>
  <c r="E59"/>
  <c r="G59"/>
  <c r="I59"/>
  <c r="K59"/>
  <c r="D59"/>
  <c r="F59"/>
  <c r="H59"/>
  <c r="J59"/>
  <c r="L59"/>
  <c r="N59"/>
  <c r="M59"/>
  <c r="AF23" i="95"/>
  <c r="AF23" i="96"/>
  <c r="L60" i="94"/>
  <c r="M59" i="95"/>
  <c r="C59"/>
  <c r="E59"/>
  <c r="G59"/>
  <c r="I59"/>
  <c r="K59"/>
  <c r="D59"/>
  <c r="F59"/>
  <c r="H59"/>
  <c r="J59"/>
  <c r="L59"/>
  <c r="N59"/>
  <c r="AF27"/>
  <c r="AF24"/>
  <c r="C60" i="96"/>
  <c r="E60"/>
  <c r="G60"/>
  <c r="I60"/>
  <c r="K60"/>
  <c r="D60"/>
  <c r="F60"/>
  <c r="H60"/>
  <c r="J60"/>
  <c r="L60"/>
  <c r="N60"/>
  <c r="AE26"/>
  <c r="AE23"/>
  <c r="AE28" i="95"/>
  <c r="AE25"/>
  <c r="AE22"/>
  <c r="AF28" i="96"/>
  <c r="AF25"/>
  <c r="AF22"/>
  <c r="AF27"/>
  <c r="AF24"/>
  <c r="E59" i="94"/>
  <c r="G59"/>
  <c r="I59"/>
  <c r="K59"/>
  <c r="F59"/>
  <c r="J59"/>
  <c r="N59"/>
  <c r="M59"/>
  <c r="AE28"/>
  <c r="AE25"/>
  <c r="AE22"/>
  <c r="D59"/>
  <c r="AF22"/>
  <c r="AF28"/>
  <c r="AF25"/>
  <c r="F60"/>
  <c r="J60"/>
  <c r="N60"/>
  <c r="E60"/>
  <c r="G60"/>
  <c r="I60"/>
  <c r="K60"/>
  <c r="AE26"/>
  <c r="AE23"/>
  <c r="D60"/>
  <c r="AE27"/>
  <c r="AE24"/>
  <c r="C59"/>
  <c r="L59"/>
  <c r="T22" i="93"/>
  <c r="X22"/>
  <c r="AB22"/>
  <c r="U22"/>
  <c r="Y22"/>
  <c r="AC22"/>
  <c r="Z24"/>
  <c r="W26"/>
  <c r="W23"/>
  <c r="AA26"/>
  <c r="AA23"/>
  <c r="W27"/>
  <c r="W24"/>
  <c r="AA27"/>
  <c r="AA24"/>
  <c r="T26"/>
  <c r="T23"/>
  <c r="AB26"/>
  <c r="AB23"/>
  <c r="T27"/>
  <c r="T24"/>
  <c r="AB27"/>
  <c r="AB24"/>
  <c r="V26"/>
  <c r="V23"/>
  <c r="AD27"/>
  <c r="AD24"/>
  <c r="Z22"/>
  <c r="AD22"/>
  <c r="W22"/>
  <c r="AA22"/>
  <c r="U26"/>
  <c r="U23"/>
  <c r="Y26"/>
  <c r="Y23"/>
  <c r="AC26"/>
  <c r="AC23"/>
  <c r="U27"/>
  <c r="U24"/>
  <c r="Y27"/>
  <c r="Y24"/>
  <c r="AC27"/>
  <c r="AC24"/>
  <c r="X23"/>
  <c r="X24"/>
  <c r="AD23"/>
  <c r="V24"/>
  <c r="Z23"/>
  <c r="S27"/>
  <c r="S24"/>
  <c r="S26"/>
  <c r="S23"/>
  <c r="S22"/>
  <c r="Z27"/>
  <c r="T28"/>
  <c r="T25"/>
  <c r="X28"/>
  <c r="X25"/>
  <c r="AB28"/>
  <c r="AB25"/>
  <c r="U28"/>
  <c r="U25"/>
  <c r="Y28"/>
  <c r="Y25"/>
  <c r="AC28"/>
  <c r="AC25"/>
  <c r="V28"/>
  <c r="V25"/>
  <c r="Z28"/>
  <c r="Z25"/>
  <c r="AD28"/>
  <c r="AD25"/>
  <c r="W28"/>
  <c r="W25"/>
  <c r="AA28"/>
  <c r="AA25"/>
  <c r="S28"/>
  <c r="S25"/>
  <c r="X26"/>
  <c r="X27"/>
  <c r="AD26"/>
  <c r="V27"/>
  <c r="Z26"/>
  <c r="AF10"/>
  <c r="AF16"/>
  <c r="AF18"/>
  <c r="AF14"/>
  <c r="AF20"/>
  <c r="AF13"/>
  <c r="AF11"/>
  <c r="AF12"/>
  <c r="AF15"/>
  <c r="AF17"/>
  <c r="AF19"/>
  <c r="P58"/>
  <c r="G59" s="1"/>
  <c r="AF21"/>
  <c r="AE20"/>
  <c r="AE18"/>
  <c r="AE16"/>
  <c r="AE14"/>
  <c r="AE12"/>
  <c r="AE11"/>
  <c r="O58"/>
  <c r="C60" s="1"/>
  <c r="AE10"/>
  <c r="AE21"/>
  <c r="AE19"/>
  <c r="AE17"/>
  <c r="AE15"/>
  <c r="AE13"/>
  <c r="AD37" i="111" l="1"/>
  <c r="X34"/>
  <c r="AD39"/>
  <c r="T34"/>
  <c r="W37"/>
  <c r="X36"/>
  <c r="Z39"/>
  <c r="AD38"/>
  <c r="V40"/>
  <c r="AA35"/>
  <c r="AF12"/>
  <c r="S34"/>
  <c r="T39"/>
  <c r="AC34"/>
  <c r="AD34"/>
  <c r="T37"/>
  <c r="AE15"/>
  <c r="AF19"/>
  <c r="AE12"/>
  <c r="AA36"/>
  <c r="AF14"/>
  <c r="AE14"/>
  <c r="AF11"/>
  <c r="AE18"/>
  <c r="Z37"/>
  <c r="T38"/>
  <c r="AF10"/>
  <c r="AF34" s="1"/>
  <c r="W36"/>
  <c r="Y40"/>
  <c r="U36"/>
  <c r="Z36"/>
  <c r="V35"/>
  <c r="AB40"/>
  <c r="X39"/>
  <c r="S37"/>
  <c r="AB36"/>
  <c r="AE20"/>
  <c r="AE10"/>
  <c r="X35"/>
  <c r="S40"/>
  <c r="Z38"/>
  <c r="AE13"/>
  <c r="V34"/>
  <c r="W35"/>
  <c r="AC35"/>
  <c r="AB38"/>
  <c r="W40"/>
  <c r="V39"/>
  <c r="AD40"/>
  <c r="X40"/>
  <c r="V38"/>
  <c r="AB39"/>
  <c r="AB37"/>
  <c r="W34"/>
  <c r="AF15"/>
  <c r="AF13"/>
  <c r="AE21"/>
  <c r="W38"/>
  <c r="X38"/>
  <c r="AF20"/>
  <c r="S36"/>
  <c r="AE11"/>
  <c r="U39"/>
  <c r="Z35"/>
  <c r="Z40"/>
  <c r="V37"/>
  <c r="T36"/>
  <c r="T40"/>
  <c r="AB35"/>
  <c r="AA38"/>
  <c r="V36"/>
  <c r="AD35"/>
  <c r="X37"/>
  <c r="AC39"/>
  <c r="Y39"/>
  <c r="U35"/>
  <c r="AD36"/>
  <c r="AE19"/>
  <c r="U40"/>
  <c r="Z34"/>
  <c r="T35"/>
  <c r="AB34"/>
  <c r="U34"/>
  <c r="AF17"/>
  <c r="AC36"/>
  <c r="Y36"/>
  <c r="U37"/>
  <c r="AA39"/>
  <c r="S39"/>
  <c r="S38"/>
  <c r="Y38"/>
  <c r="AF16"/>
  <c r="K108"/>
  <c r="N107"/>
  <c r="AF21"/>
  <c r="W39"/>
  <c r="AE17"/>
  <c r="AC38"/>
  <c r="U38"/>
  <c r="AC40"/>
  <c r="Y37"/>
  <c r="AE16"/>
  <c r="Y35"/>
  <c r="S35"/>
  <c r="AF18"/>
  <c r="Y34"/>
  <c r="AC37"/>
  <c r="K107"/>
  <c r="AA37"/>
  <c r="AA40"/>
  <c r="AA34"/>
  <c r="M107" i="107"/>
  <c r="AF37" i="111"/>
  <c r="AF39" i="108"/>
  <c r="F108" i="107"/>
  <c r="J107" i="108"/>
  <c r="AF42" i="110"/>
  <c r="AE42"/>
  <c r="AE42" i="109"/>
  <c r="AF42"/>
  <c r="K107" i="107"/>
  <c r="C108"/>
  <c r="L107" i="108"/>
  <c r="G107"/>
  <c r="L107" i="107"/>
  <c r="G108" i="108"/>
  <c r="AE39"/>
  <c r="AE37"/>
  <c r="F108"/>
  <c r="AE36"/>
  <c r="AF36"/>
  <c r="AF34"/>
  <c r="C108"/>
  <c r="K108"/>
  <c r="N108"/>
  <c r="AF40"/>
  <c r="K108" i="107"/>
  <c r="L108" i="108"/>
  <c r="D108"/>
  <c r="I108"/>
  <c r="E108"/>
  <c r="J108"/>
  <c r="AF37"/>
  <c r="AE38"/>
  <c r="AE39" i="107"/>
  <c r="AF35" i="108"/>
  <c r="AE35"/>
  <c r="D107" i="107"/>
  <c r="G107"/>
  <c r="J107"/>
  <c r="N108"/>
  <c r="G108"/>
  <c r="D107" i="108"/>
  <c r="M107"/>
  <c r="K107"/>
  <c r="L108" i="107"/>
  <c r="AE40" i="108"/>
  <c r="AF40" i="107"/>
  <c r="F107"/>
  <c r="I107"/>
  <c r="E107"/>
  <c r="N107"/>
  <c r="C107" i="108"/>
  <c r="AE34"/>
  <c r="N107"/>
  <c r="F107"/>
  <c r="I107"/>
  <c r="E107"/>
  <c r="H107" i="107"/>
  <c r="AF38" i="108"/>
  <c r="AE37" i="107"/>
  <c r="AE35"/>
  <c r="AF34"/>
  <c r="AE40"/>
  <c r="AE38"/>
  <c r="AE36"/>
  <c r="AE34"/>
  <c r="D108"/>
  <c r="J108"/>
  <c r="I108"/>
  <c r="E108"/>
  <c r="AF37"/>
  <c r="AF35"/>
  <c r="AF38"/>
  <c r="AF36"/>
  <c r="AF39"/>
  <c r="AE42" i="105"/>
  <c r="AF42"/>
  <c r="AE42" i="101"/>
  <c r="AF42"/>
  <c r="M59" i="93"/>
  <c r="N60"/>
  <c r="G60"/>
  <c r="E60"/>
  <c r="H60"/>
  <c r="J60"/>
  <c r="F60"/>
  <c r="D60"/>
  <c r="K60"/>
  <c r="L60"/>
  <c r="I60"/>
  <c r="AE24"/>
  <c r="AE22"/>
  <c r="AF23"/>
  <c r="AE23"/>
  <c r="AF24"/>
  <c r="AF22"/>
  <c r="AE26"/>
  <c r="AF27"/>
  <c r="AF28"/>
  <c r="AF25"/>
  <c r="AE27"/>
  <c r="AE28"/>
  <c r="AE25"/>
  <c r="AF26"/>
  <c r="D59"/>
  <c r="C59"/>
  <c r="L59"/>
  <c r="F59"/>
  <c r="J59"/>
  <c r="E59"/>
  <c r="H59"/>
  <c r="K59"/>
  <c r="N59"/>
  <c r="I59"/>
  <c r="E108" i="111" l="1"/>
  <c r="AE34"/>
  <c r="F108"/>
  <c r="AE39"/>
  <c r="AE37"/>
  <c r="H107"/>
  <c r="F107"/>
  <c r="E107"/>
  <c r="C107"/>
  <c r="I107"/>
  <c r="AE40"/>
  <c r="AF40"/>
  <c r="N108"/>
  <c r="H108"/>
  <c r="C108"/>
  <c r="AE35"/>
  <c r="AE36"/>
  <c r="AF36"/>
  <c r="M107"/>
  <c r="D107"/>
  <c r="L107"/>
  <c r="G107"/>
  <c r="J107"/>
  <c r="AF38"/>
  <c r="AF39"/>
  <c r="AE38"/>
  <c r="J108"/>
  <c r="I108"/>
  <c r="D108"/>
  <c r="L108"/>
  <c r="G108"/>
  <c r="AF35"/>
</calcChain>
</file>

<file path=xl/sharedStrings.xml><?xml version="1.0" encoding="utf-8"?>
<sst xmlns="http://schemas.openxmlformats.org/spreadsheetml/2006/main" count="2342" uniqueCount="185">
  <si>
    <t>Time / Veh Type</t>
  </si>
  <si>
    <t xml:space="preserve">  Location</t>
  </si>
  <si>
    <t xml:space="preserve">  Dir. To</t>
  </si>
  <si>
    <t>Date</t>
  </si>
  <si>
    <t>Dir. From</t>
  </si>
  <si>
    <t>Surveyor</t>
  </si>
  <si>
    <t>0700-0800</t>
  </si>
  <si>
    <t>0800-0900</t>
  </si>
  <si>
    <t>0900-1000</t>
  </si>
  <si>
    <t>1000-1100</t>
  </si>
  <si>
    <t>1100-1200</t>
  </si>
  <si>
    <t>1200-1300</t>
  </si>
  <si>
    <t>1300-1400</t>
  </si>
  <si>
    <t>1400-1500</t>
  </si>
  <si>
    <t>1500-1600</t>
  </si>
  <si>
    <t>1600-1700</t>
  </si>
  <si>
    <t>1700-1800</t>
  </si>
  <si>
    <t>12 Hours</t>
  </si>
  <si>
    <t>Totals</t>
  </si>
  <si>
    <t>Time</t>
  </si>
  <si>
    <t>1800-1900</t>
  </si>
  <si>
    <t>Supervisor</t>
  </si>
  <si>
    <t>Total All</t>
  </si>
  <si>
    <t>Consultancy services for Preparation of Expressway Development Master Plan (EDMP) for Uganda</t>
  </si>
  <si>
    <t>1. Car</t>
  </si>
  <si>
    <t>2. Station Wagon</t>
  </si>
  <si>
    <t>3. Pickups</t>
  </si>
  <si>
    <t>4. Minibus, matatu</t>
  </si>
  <si>
    <t xml:space="preserve">5. Medium bus </t>
  </si>
  <si>
    <t>6. Large Bus</t>
  </si>
  <si>
    <t xml:space="preserve">7. Light Truck </t>
  </si>
  <si>
    <t xml:space="preserve">8. Medium Truck </t>
  </si>
  <si>
    <t xml:space="preserve">9. Heavy truck </t>
  </si>
  <si>
    <t xml:space="preserve">10. Truck Trailer </t>
  </si>
  <si>
    <t>11. Motorcycles</t>
  </si>
  <si>
    <t>12. Tractors, Graders</t>
  </si>
  <si>
    <t>Total Excl M/Cycles</t>
  </si>
  <si>
    <t>07.00 - 07.15</t>
  </si>
  <si>
    <t>07.15 - 07.30</t>
  </si>
  <si>
    <t>07.30 - 07.45</t>
  </si>
  <si>
    <t>07.45 - 08.00</t>
  </si>
  <si>
    <t>08.00 - 08.15</t>
  </si>
  <si>
    <t>08.15 - 08.30</t>
  </si>
  <si>
    <t>08.30 - 08.45</t>
  </si>
  <si>
    <t>08.45 - 9.00</t>
  </si>
  <si>
    <t>09.00 - 09.15</t>
  </si>
  <si>
    <t>09.15 - 09.30</t>
  </si>
  <si>
    <t>09.30 - 09.45</t>
  </si>
  <si>
    <t>09.45 - 10.00</t>
  </si>
  <si>
    <t>10.00 - 10.15</t>
  </si>
  <si>
    <t>10.15 - 10.30</t>
  </si>
  <si>
    <t>10.30 - 10.45</t>
  </si>
  <si>
    <t>10.45 - 11.00</t>
  </si>
  <si>
    <t>11.00 - 11.15</t>
  </si>
  <si>
    <t>11.15 - 11.30</t>
  </si>
  <si>
    <t>11.30 - 11.45</t>
  </si>
  <si>
    <t>11.45 - 12.00</t>
  </si>
  <si>
    <t>12.00 - 12.15</t>
  </si>
  <si>
    <t>12.15 - 12.30</t>
  </si>
  <si>
    <t>12.30 - 12.45</t>
  </si>
  <si>
    <t>12.45 - 13.00</t>
  </si>
  <si>
    <t>13.00 - 13.15</t>
  </si>
  <si>
    <t>13.15 - 13.30</t>
  </si>
  <si>
    <t>13.30 - 13.45</t>
  </si>
  <si>
    <t>13.45 - 14.00</t>
  </si>
  <si>
    <t>14.00 - 14.15</t>
  </si>
  <si>
    <t>14.15 - 14.30</t>
  </si>
  <si>
    <t>14.30 - 14.45</t>
  </si>
  <si>
    <t>14.45 - 15.00</t>
  </si>
  <si>
    <t>15.00 - 15.15</t>
  </si>
  <si>
    <t>15.15 - 15.30</t>
  </si>
  <si>
    <t>15.30 - 15.45</t>
  </si>
  <si>
    <t>15.45 - 16.00</t>
  </si>
  <si>
    <t>16.00 - 16.15</t>
  </si>
  <si>
    <t>16.15 -16.30</t>
  </si>
  <si>
    <t>16.30 -16.45</t>
  </si>
  <si>
    <t>16.45 -17.00</t>
  </si>
  <si>
    <t>17.00 -17.15</t>
  </si>
  <si>
    <t>17.15 -17.30</t>
  </si>
  <si>
    <t>17.30 -17.45</t>
  </si>
  <si>
    <t>17.45 -18.00</t>
  </si>
  <si>
    <t>18.00 - 18.15</t>
  </si>
  <si>
    <t>18.15 - 18.30</t>
  </si>
  <si>
    <t>18.30 - 18.45</t>
  </si>
  <si>
    <t>18.45 - 19.00</t>
  </si>
  <si>
    <t>AM Period</t>
  </si>
  <si>
    <t>IP Period</t>
  </si>
  <si>
    <t>PM Period</t>
  </si>
  <si>
    <t>SUMMARY TRAFFIC VOLUMES</t>
  </si>
  <si>
    <t>Total Excl M/ Cycles</t>
  </si>
  <si>
    <t>AM Peak Hr</t>
  </si>
  <si>
    <t>IP Peak Hr</t>
  </si>
  <si>
    <t>PM Peak Hr</t>
  </si>
  <si>
    <t>%ges + MCs</t>
  </si>
  <si>
    <t>%ges w/o MCs</t>
  </si>
  <si>
    <t>MANUAL CLASSIFIED COUNT (MCC)</t>
  </si>
  <si>
    <t>ROAD NAME:</t>
  </si>
  <si>
    <t>12. Tractors</t>
  </si>
  <si>
    <t>11. Motor cycles</t>
  </si>
  <si>
    <t>19.00 - 19.15</t>
  </si>
  <si>
    <t>19.15 - 19.30</t>
  </si>
  <si>
    <t>19.30 - 19.45</t>
  </si>
  <si>
    <t>19.45 - 20.00</t>
  </si>
  <si>
    <t>21.00 - 21.15</t>
  </si>
  <si>
    <t>21.15 - 21.30</t>
  </si>
  <si>
    <t>21.30 - 21.45</t>
  </si>
  <si>
    <t>21.45 - 22.00</t>
  </si>
  <si>
    <t>20.00 - 20.15</t>
  </si>
  <si>
    <t>20.15 - 20.30</t>
  </si>
  <si>
    <t>20.30 - 20.45</t>
  </si>
  <si>
    <t>22.00 - 22.15</t>
  </si>
  <si>
    <t>22.15 - 22.30</t>
  </si>
  <si>
    <t>22.30 - 22.45</t>
  </si>
  <si>
    <t>22.45 - 23.00</t>
  </si>
  <si>
    <t>23.00 - 23.15</t>
  </si>
  <si>
    <t>23.15 - 23.30</t>
  </si>
  <si>
    <t>23.30 - 23.45</t>
  </si>
  <si>
    <t>23.45 - 00.00</t>
  </si>
  <si>
    <t>00.00 - 00.15</t>
  </si>
  <si>
    <t>00.15 - 00.30</t>
  </si>
  <si>
    <t>00.30 - 00.45</t>
  </si>
  <si>
    <t>00.45 - 01.00</t>
  </si>
  <si>
    <t>01.00 - 01.15</t>
  </si>
  <si>
    <t>01.15 - 01.30</t>
  </si>
  <si>
    <t>01.30 - 01.45</t>
  </si>
  <si>
    <t>01.45 - 02.00</t>
  </si>
  <si>
    <t>02.00 - 02.15</t>
  </si>
  <si>
    <t>02.15 - 02.30</t>
  </si>
  <si>
    <t>02.30 - 02.45</t>
  </si>
  <si>
    <t>02.45 - 03.00</t>
  </si>
  <si>
    <t>03.00 - 03.15</t>
  </si>
  <si>
    <t>03.15 - 03.30</t>
  </si>
  <si>
    <t>03.30 - 03.45</t>
  </si>
  <si>
    <t>03.45 - 04.00</t>
  </si>
  <si>
    <t>04.00 - 04.15</t>
  </si>
  <si>
    <t>04.15 - 04.30</t>
  </si>
  <si>
    <t>04.30 - 04.45</t>
  </si>
  <si>
    <t>04.45 - 05.00</t>
  </si>
  <si>
    <t>05.00 - 05.15</t>
  </si>
  <si>
    <t>05.15 - 05.30</t>
  </si>
  <si>
    <t>05.30 - 05.45</t>
  </si>
  <si>
    <t>05.45 - 06.00</t>
  </si>
  <si>
    <t>06.00 - 06.15</t>
  </si>
  <si>
    <t>06.15 - 06.30</t>
  </si>
  <si>
    <t>06.30 - 06.45</t>
  </si>
  <si>
    <t>06.45 - 07.00</t>
  </si>
  <si>
    <t>1900-2000</t>
  </si>
  <si>
    <t>2000-2100</t>
  </si>
  <si>
    <t>2100-2200</t>
  </si>
  <si>
    <t>2200-2300</t>
  </si>
  <si>
    <t>2300-0000</t>
  </si>
  <si>
    <t>0000-0100</t>
  </si>
  <si>
    <t>0100-0200</t>
  </si>
  <si>
    <t>0200-0300</t>
  </si>
  <si>
    <t>0300-0400</t>
  </si>
  <si>
    <t>0400-0500</t>
  </si>
  <si>
    <t>0500-0600</t>
  </si>
  <si>
    <t>0600-0700</t>
  </si>
  <si>
    <t>20.45 - 21.00</t>
  </si>
  <si>
    <t>24 Hrs/ADT</t>
  </si>
  <si>
    <t>NEF</t>
  </si>
  <si>
    <t>BOTH DIRECTIONS</t>
  </si>
  <si>
    <t>AVERAGE WEEK</t>
  </si>
  <si>
    <t>Steven</t>
  </si>
  <si>
    <t>*</t>
  </si>
  <si>
    <t>MCC - C1 - STN36 - MBOGO ROAD</t>
  </si>
  <si>
    <t>Najjeera</t>
  </si>
  <si>
    <t>Kiwatule</t>
  </si>
  <si>
    <t>29.07.19</t>
  </si>
  <si>
    <t>U Save Kiwatule</t>
  </si>
  <si>
    <t>03.08.19</t>
  </si>
  <si>
    <t>04.08.19</t>
  </si>
  <si>
    <t>Joan</t>
  </si>
  <si>
    <t>Olupot &amp; Anthony</t>
  </si>
  <si>
    <t>Pauline &amp; Beteth</t>
  </si>
  <si>
    <t>1.08.19</t>
  </si>
  <si>
    <t>Anthony</t>
  </si>
  <si>
    <t>Steven &amp; Joan</t>
  </si>
  <si>
    <t>Beteth</t>
  </si>
  <si>
    <t>Olupot</t>
  </si>
  <si>
    <t>02.08.19</t>
  </si>
  <si>
    <t>31.07.19</t>
  </si>
  <si>
    <t>30.07.19</t>
  </si>
  <si>
    <t xml:space="preserve">Anthony </t>
  </si>
  <si>
    <t>24 Hours</t>
  </si>
</sst>
</file>

<file path=xl/styles.xml><?xml version="1.0" encoding="utf-8"?>
<styleSheet xmlns="http://schemas.openxmlformats.org/spreadsheetml/2006/main">
  <numFmts count="4">
    <numFmt numFmtId="41" formatCode="_(* #,##0_);_(* \(#,##0\);_(* &quot;-&quot;_);_(@_)"/>
    <numFmt numFmtId="164" formatCode="0.0%"/>
    <numFmt numFmtId="165" formatCode="0.000"/>
    <numFmt numFmtId="166" formatCode="_-* #,##0_-;\-* #,##0_-;_-* &quot;-&quot;_-;_-@_-"/>
  </numFmts>
  <fonts count="1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Arial"/>
      <family val="2"/>
    </font>
    <font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Calibri"/>
      <family val="2"/>
      <scheme val="minor"/>
    </font>
    <font>
      <b/>
      <sz val="12"/>
      <color theme="1"/>
      <name val="Arial"/>
      <family val="2"/>
    </font>
    <font>
      <i/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6"/>
      <name val="Arial"/>
      <family val="2"/>
    </font>
    <font>
      <sz val="8"/>
      <name val="Calibri"/>
      <family val="2"/>
      <scheme val="minor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9FCD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72">
    <xf numFmtId="0" fontId="0" fillId="0" borderId="0" xfId="0"/>
    <xf numFmtId="0" fontId="0" fillId="0" borderId="1" xfId="0" applyBorder="1"/>
    <xf numFmtId="0" fontId="1" fillId="0" borderId="0" xfId="0" applyFont="1"/>
    <xf numFmtId="0" fontId="0" fillId="0" borderId="0" xfId="0" applyBorder="1"/>
    <xf numFmtId="0" fontId="1" fillId="0" borderId="0" xfId="0" applyFont="1" applyAlignment="1"/>
    <xf numFmtId="0" fontId="1" fillId="0" borderId="1" xfId="0" applyFont="1" applyBorder="1"/>
    <xf numFmtId="9" fontId="0" fillId="0" borderId="0" xfId="1" applyFont="1"/>
    <xf numFmtId="0" fontId="0" fillId="0" borderId="0" xfId="0" applyFont="1" applyFill="1"/>
    <xf numFmtId="0" fontId="0" fillId="0" borderId="0" xfId="0" applyFont="1" applyFill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0" xfId="0" applyFont="1"/>
    <xf numFmtId="1" fontId="0" fillId="0" borderId="1" xfId="0" applyNumberFormat="1" applyFill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64" fontId="0" fillId="0" borderId="0" xfId="0" applyNumberForma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8" fillId="0" borderId="5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wrapText="1"/>
    </xf>
    <xf numFmtId="0" fontId="9" fillId="3" borderId="4" xfId="0" applyFont="1" applyFill="1" applyBorder="1" applyAlignment="1">
      <alignment horizontal="center" vertical="center" wrapText="1"/>
    </xf>
    <xf numFmtId="1" fontId="0" fillId="3" borderId="1" xfId="0" applyNumberFormat="1" applyFill="1" applyBorder="1" applyAlignment="1">
      <alignment horizontal="center"/>
    </xf>
    <xf numFmtId="1" fontId="1" fillId="3" borderId="1" xfId="0" applyNumberFormat="1" applyFont="1" applyFill="1" applyBorder="1" applyAlignment="1">
      <alignment horizontal="center"/>
    </xf>
    <xf numFmtId="0" fontId="0" fillId="0" borderId="5" xfId="0" applyFont="1" applyFill="1" applyBorder="1"/>
    <xf numFmtId="1" fontId="0" fillId="0" borderId="4" xfId="0" applyNumberForma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0" fontId="0" fillId="0" borderId="4" xfId="0" applyBorder="1"/>
    <xf numFmtId="0" fontId="1" fillId="0" borderId="8" xfId="0" applyFont="1" applyBorder="1" applyAlignment="1">
      <alignment wrapText="1"/>
    </xf>
    <xf numFmtId="0" fontId="11" fillId="0" borderId="9" xfId="0" applyFont="1" applyFill="1" applyBorder="1"/>
    <xf numFmtId="1" fontId="11" fillId="0" borderId="9" xfId="0" applyNumberFormat="1" applyFont="1" applyFill="1" applyBorder="1" applyAlignment="1">
      <alignment horizontal="center"/>
    </xf>
    <xf numFmtId="1" fontId="1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8" fillId="0" borderId="7" xfId="0" applyFont="1" applyFill="1" applyBorder="1" applyAlignment="1">
      <alignment horizontal="center" vertical="center"/>
    </xf>
    <xf numFmtId="164" fontId="1" fillId="0" borderId="4" xfId="1" applyNumberFormat="1" applyFont="1" applyBorder="1" applyAlignment="1">
      <alignment horizontal="center"/>
    </xf>
    <xf numFmtId="10" fontId="1" fillId="0" borderId="9" xfId="1" applyNumberFormat="1" applyFont="1" applyBorder="1"/>
    <xf numFmtId="0" fontId="7" fillId="0" borderId="1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165" fontId="1" fillId="0" borderId="1" xfId="0" applyNumberFormat="1" applyFont="1" applyBorder="1" applyAlignment="1">
      <alignment horizontal="center"/>
    </xf>
    <xf numFmtId="1" fontId="0" fillId="0" borderId="1" xfId="0" applyNumberFormat="1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1" fontId="0" fillId="3" borderId="4" xfId="0" applyNumberFormat="1" applyFill="1" applyBorder="1" applyAlignment="1">
      <alignment horizontal="center"/>
    </xf>
    <xf numFmtId="1" fontId="0" fillId="0" borderId="1" xfId="0" applyNumberFormat="1" applyFont="1" applyFill="1" applyBorder="1" applyAlignment="1">
      <alignment horizontal="center"/>
    </xf>
    <xf numFmtId="1" fontId="0" fillId="3" borderId="1" xfId="0" applyNumberFormat="1" applyFont="1" applyFill="1" applyBorder="1" applyAlignment="1">
      <alignment horizontal="center"/>
    </xf>
    <xf numFmtId="165" fontId="1" fillId="3" borderId="1" xfId="0" applyNumberFormat="1" applyFont="1" applyFill="1" applyBorder="1" applyAlignment="1">
      <alignment horizontal="center"/>
    </xf>
    <xf numFmtId="166" fontId="1" fillId="0" borderId="1" xfId="2" applyNumberFormat="1" applyFont="1" applyBorder="1" applyAlignment="1">
      <alignment horizontal="center"/>
    </xf>
    <xf numFmtId="166" fontId="1" fillId="3" borderId="1" xfId="2" applyNumberFormat="1" applyFont="1" applyFill="1" applyBorder="1" applyAlignment="1">
      <alignment horizontal="center"/>
    </xf>
    <xf numFmtId="0" fontId="8" fillId="2" borderId="2" xfId="0" applyFont="1" applyFill="1" applyBorder="1" applyAlignment="1">
      <alignment horizontal="left" vertical="center" wrapText="1"/>
    </xf>
    <xf numFmtId="0" fontId="8" fillId="2" borderId="3" xfId="0" applyFont="1" applyFill="1" applyBorder="1" applyAlignment="1">
      <alignment horizontal="left" vertical="center" wrapText="1"/>
    </xf>
    <xf numFmtId="0" fontId="10" fillId="0" borderId="6" xfId="0" applyFont="1" applyFill="1" applyBorder="1" applyAlignment="1">
      <alignment horizont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8" fillId="0" borderId="2" xfId="0" applyFont="1" applyFill="1" applyBorder="1" applyAlignment="1">
      <alignment horizontal="left" vertical="center" wrapText="1"/>
    </xf>
    <xf numFmtId="0" fontId="8" fillId="0" borderId="3" xfId="0" applyFont="1" applyFill="1" applyBorder="1" applyAlignment="1">
      <alignment horizontal="left" vertical="center" wrapText="1"/>
    </xf>
    <xf numFmtId="0" fontId="2" fillId="0" borderId="9" xfId="0" applyFont="1" applyFill="1" applyBorder="1" applyAlignment="1">
      <alignment horizontal="center"/>
    </xf>
    <xf numFmtId="0" fontId="8" fillId="0" borderId="2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5" fillId="0" borderId="2" xfId="0" applyFont="1" applyBorder="1" applyAlignment="1">
      <alignment horizontal="left" vertical="center" wrapText="1"/>
    </xf>
    <xf numFmtId="0" fontId="15" fillId="0" borderId="3" xfId="0" applyFont="1" applyBorder="1" applyAlignment="1">
      <alignment horizontal="left" vertical="center" wrapText="1"/>
    </xf>
  </cellXfs>
  <cellStyles count="3">
    <cellStyle name="Comma [0]" xfId="2" builtinId="6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9FCD2"/>
      <color rgb="FFF0F2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398"/>
          <c:y val="2.6504260748158488E-2"/>
        </c:manualLayout>
      </c:layout>
      <c:spPr>
        <a:noFill/>
        <a:ln>
          <a:noFill/>
        </a:ln>
        <a:effectLst/>
      </c:spPr>
    </c:title>
    <c:plotArea>
      <c:layout/>
      <c:lineChart>
        <c:grouping val="standard"/>
        <c:ser>
          <c:idx val="0"/>
          <c:order val="0"/>
          <c:tx>
            <c:strRef>
              <c:f>'29.07 Najjeera-Kiwatule'!$AE$9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'29.07 Najjeera-Kiwatule'!$R$10:$R$21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'29.07 Najjeera-Kiwatule'!$AE$10:$AE$21</c:f>
              <c:numCache>
                <c:formatCode>0</c:formatCode>
                <c:ptCount val="12"/>
                <c:pt idx="0">
                  <c:v>624</c:v>
                </c:pt>
                <c:pt idx="1">
                  <c:v>630</c:v>
                </c:pt>
                <c:pt idx="2">
                  <c:v>525</c:v>
                </c:pt>
                <c:pt idx="3">
                  <c:v>563</c:v>
                </c:pt>
                <c:pt idx="4">
                  <c:v>551</c:v>
                </c:pt>
                <c:pt idx="5">
                  <c:v>455</c:v>
                </c:pt>
                <c:pt idx="6">
                  <c:v>405</c:v>
                </c:pt>
                <c:pt idx="7">
                  <c:v>314</c:v>
                </c:pt>
                <c:pt idx="8">
                  <c:v>354</c:v>
                </c:pt>
                <c:pt idx="9">
                  <c:v>394</c:v>
                </c:pt>
                <c:pt idx="10">
                  <c:v>373</c:v>
                </c:pt>
                <c:pt idx="11">
                  <c:v>337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A2E1-4581-8355-9A9D08B6A3D4}"/>
            </c:ext>
          </c:extLst>
        </c:ser>
        <c:ser>
          <c:idx val="1"/>
          <c:order val="1"/>
          <c:tx>
            <c:strRef>
              <c:f>'29.07 Najjeera-Kiwatule'!$AF$9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'29.07 Najjeera-Kiwatule'!$R$10:$R$21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'29.07 Najjeera-Kiwatule'!$AF$10:$AF$21</c:f>
              <c:numCache>
                <c:formatCode>0</c:formatCode>
                <c:ptCount val="12"/>
                <c:pt idx="0">
                  <c:v>994</c:v>
                </c:pt>
                <c:pt idx="1">
                  <c:v>910</c:v>
                </c:pt>
                <c:pt idx="2">
                  <c:v>901</c:v>
                </c:pt>
                <c:pt idx="3">
                  <c:v>898</c:v>
                </c:pt>
                <c:pt idx="4">
                  <c:v>886</c:v>
                </c:pt>
                <c:pt idx="5">
                  <c:v>714</c:v>
                </c:pt>
                <c:pt idx="6">
                  <c:v>665</c:v>
                </c:pt>
                <c:pt idx="7">
                  <c:v>599</c:v>
                </c:pt>
                <c:pt idx="8">
                  <c:v>671</c:v>
                </c:pt>
                <c:pt idx="9">
                  <c:v>667</c:v>
                </c:pt>
                <c:pt idx="10">
                  <c:v>675</c:v>
                </c:pt>
                <c:pt idx="11">
                  <c:v>693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A2E1-4581-8355-9A9D08B6A3D4}"/>
            </c:ext>
          </c:extLst>
        </c:ser>
        <c:marker val="1"/>
        <c:axId val="87360640"/>
        <c:axId val="87362560"/>
      </c:lineChart>
      <c:catAx>
        <c:axId val="87360640"/>
        <c:scaling>
          <c:orientation val="minMax"/>
        </c:scaling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7362560"/>
        <c:crosses val="autoZero"/>
        <c:auto val="1"/>
        <c:lblAlgn val="ctr"/>
        <c:lblOffset val="100"/>
      </c:catAx>
      <c:valAx>
        <c:axId val="87362560"/>
        <c:scaling>
          <c:orientation val="minMax"/>
          <c:min val="0"/>
        </c:scaling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spPr>
            <a:noFill/>
            <a:ln>
              <a:noFill/>
            </a:ln>
            <a:effectLst/>
          </c:spPr>
        </c:title>
        <c:numFmt formatCode="0" sourceLinked="1"/>
        <c:maj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7360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322" l="0.70000000000000062" r="0.70000000000000062" t="0.75000000000000322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spPr>
        <a:noFill/>
        <a:ln>
          <a:noFill/>
        </a:ln>
        <a:effectLst/>
      </c:spPr>
    </c:title>
    <c:view3D>
      <c:rotX val="30"/>
      <c:depthPercent val="100"/>
      <c:perspective val="30"/>
    </c:view3D>
    <c:floor>
      <c:spPr>
        <a:noFill/>
        <a:ln>
          <a:noFill/>
        </a:ln>
        <a:effectLst/>
        <a:sp3d/>
      </c:spPr>
    </c:floor>
    <c:sideWall>
      <c:spPr>
        <a:noFill/>
        <a:ln>
          <a:noFill/>
        </a:ln>
        <a:effectLst/>
        <a:sp3d/>
      </c:spPr>
    </c:sideWall>
    <c:backWall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966C-49DF-A540-BEECCA775C95}"/>
              </c:ext>
            </c:extLst>
          </c:dPt>
          <c:dPt>
            <c:idx val="1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966C-49DF-A540-BEECCA775C95}"/>
              </c:ext>
            </c:extLst>
          </c:dPt>
          <c:dPt>
            <c:idx val="2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966C-49DF-A540-BEECCA775C95}"/>
              </c:ext>
            </c:extLst>
          </c:dPt>
          <c:dPt>
            <c:idx val="3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966C-49DF-A540-BEECCA775C95}"/>
              </c:ext>
            </c:extLst>
          </c:dPt>
          <c:dPt>
            <c:idx val="4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966C-49DF-A540-BEECCA775C95}"/>
              </c:ext>
            </c:extLst>
          </c:dPt>
          <c:dPt>
            <c:idx val="5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966C-49DF-A540-BEECCA775C95}"/>
              </c:ext>
            </c:extLst>
          </c:dPt>
          <c:dPt>
            <c:idx val="6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966C-49DF-A540-BEECCA775C95}"/>
              </c:ext>
            </c:extLst>
          </c:dPt>
          <c:dPt>
            <c:idx val="7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F-966C-49DF-A540-BEECCA775C95}"/>
              </c:ext>
            </c:extLst>
          </c:dPt>
          <c:dPt>
            <c:idx val="8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1-966C-49DF-A540-BEECCA775C95}"/>
              </c:ext>
            </c:extLst>
          </c:dPt>
          <c:dPt>
            <c:idx val="9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3-966C-49DF-A540-BEECCA775C95}"/>
              </c:ext>
            </c:extLst>
          </c:dPt>
          <c:dPt>
            <c:idx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5-966C-49DF-A540-BEECCA775C95}"/>
              </c:ext>
            </c:extLst>
          </c:dPt>
          <c:dPt>
            <c:idx val="11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7-966C-49DF-A540-BEECCA775C95}"/>
              </c:ext>
            </c:extLst>
          </c:dPt>
          <c:dLbls>
            <c:dLbl>
              <c:idx val="10"/>
              <c:layout>
                <c:manualLayout>
                  <c:x val="-2.6175304576939895E-2"/>
                  <c:y val="-3.2434080003295201E-2"/>
                </c:manualLayout>
              </c:layout>
              <c:showVal val="1"/>
              <c:showCatNam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966C-49DF-A540-BEECCA775C9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Val val="1"/>
            <c:showCatName val="1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'29.07 Najjeera-Kiwatule'!$C$9:$N$9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'29.07 Najjeera-Kiwatule'!$C$59:$N$59</c:f>
              <c:numCache>
                <c:formatCode>0.0%</c:formatCode>
                <c:ptCount val="12"/>
                <c:pt idx="0">
                  <c:v>0.37787123908120351</c:v>
                </c:pt>
                <c:pt idx="1">
                  <c:v>6.0174700744095762E-2</c:v>
                </c:pt>
                <c:pt idx="2">
                  <c:v>4.874366440202739E-2</c:v>
                </c:pt>
                <c:pt idx="3">
                  <c:v>8.0125094359969798E-2</c:v>
                </c:pt>
                <c:pt idx="4">
                  <c:v>9.7055968942089935E-4</c:v>
                </c:pt>
                <c:pt idx="5">
                  <c:v>0</c:v>
                </c:pt>
                <c:pt idx="6">
                  <c:v>1.639167475466408E-2</c:v>
                </c:pt>
                <c:pt idx="7">
                  <c:v>7.1174377224199285E-3</c:v>
                </c:pt>
                <c:pt idx="8">
                  <c:v>3.6665588267011753E-3</c:v>
                </c:pt>
                <c:pt idx="9">
                  <c:v>7.5487975843847735E-4</c:v>
                </c:pt>
                <c:pt idx="10">
                  <c:v>0.40418419066105898</c:v>
                </c:pt>
                <c:pt idx="1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8-966C-49DF-A540-BEECCA775C95}"/>
            </c:ext>
          </c:extLst>
        </c:ser>
      </c:pie3DChart>
      <c:spPr>
        <a:noFill/>
        <a:ln>
          <a:noFill/>
        </a:ln>
        <a:effectLst/>
      </c:spPr>
    </c:plotArea>
    <c:plotVisOnly val="1"/>
    <c:dispBlanksAs val="zero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3" l="0.70000000000000062" r="0.70000000000000062" t="0.750000000000003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spPr>
        <a:noFill/>
        <a:ln>
          <a:noFill/>
        </a:ln>
        <a:effectLst/>
      </c:spPr>
    </c:title>
    <c:view3D>
      <c:rotX val="30"/>
      <c:depthPercent val="100"/>
      <c:perspective val="30"/>
    </c:view3D>
    <c:floor>
      <c:spPr>
        <a:noFill/>
        <a:ln>
          <a:noFill/>
        </a:ln>
        <a:effectLst/>
        <a:sp3d/>
      </c:spPr>
    </c:floor>
    <c:sideWall>
      <c:spPr>
        <a:noFill/>
        <a:ln>
          <a:noFill/>
        </a:ln>
        <a:effectLst/>
        <a:sp3d/>
      </c:spPr>
    </c:sideWall>
    <c:backWall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EE16-490A-B833-4EE796B330D7}"/>
              </c:ext>
            </c:extLst>
          </c:dPt>
          <c:dPt>
            <c:idx val="1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EE16-490A-B833-4EE796B330D7}"/>
              </c:ext>
            </c:extLst>
          </c:dPt>
          <c:dPt>
            <c:idx val="2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EE16-490A-B833-4EE796B330D7}"/>
              </c:ext>
            </c:extLst>
          </c:dPt>
          <c:dPt>
            <c:idx val="3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EE16-490A-B833-4EE796B330D7}"/>
              </c:ext>
            </c:extLst>
          </c:dPt>
          <c:dPt>
            <c:idx val="4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EE16-490A-B833-4EE796B330D7}"/>
              </c:ext>
            </c:extLst>
          </c:dPt>
          <c:dPt>
            <c:idx val="5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EE16-490A-B833-4EE796B330D7}"/>
              </c:ext>
            </c:extLst>
          </c:dPt>
          <c:dPt>
            <c:idx val="6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EE16-490A-B833-4EE796B330D7}"/>
              </c:ext>
            </c:extLst>
          </c:dPt>
          <c:dPt>
            <c:idx val="7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F-EE16-490A-B833-4EE796B330D7}"/>
              </c:ext>
            </c:extLst>
          </c:dPt>
          <c:dPt>
            <c:idx val="8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1-EE16-490A-B833-4EE796B330D7}"/>
              </c:ext>
            </c:extLst>
          </c:dPt>
          <c:dPt>
            <c:idx val="9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3-EE16-490A-B833-4EE796B330D7}"/>
              </c:ext>
            </c:extLst>
          </c:dPt>
          <c:dPt>
            <c:idx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5-EE16-490A-B833-4EE796B330D7}"/>
              </c:ext>
            </c:extLst>
          </c:dPt>
          <c:dPt>
            <c:idx val="11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7-EE16-490A-B833-4EE796B330D7}"/>
              </c:ext>
            </c:extLst>
          </c:dPt>
          <c:dLbls>
            <c:dLbl>
              <c:idx val="10"/>
              <c:layout>
                <c:manualLayout>
                  <c:x val="-2.6175304576939895E-2"/>
                  <c:y val="-3.2434080003295201E-2"/>
                </c:manualLayout>
              </c:layout>
              <c:showVal val="1"/>
              <c:showCatNam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E16-490A-B833-4EE796B330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Val val="1"/>
            <c:showCatName val="1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'29.07 Najjeera-Kiwatule'!$C$9:$N$9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'29.07 Najjeera-Kiwatule'!$C$60:$N$60</c:f>
              <c:numCache>
                <c:formatCode>0.00%</c:formatCode>
                <c:ptCount val="12"/>
                <c:pt idx="0">
                  <c:v>0.6342081447963801</c:v>
                </c:pt>
                <c:pt idx="1">
                  <c:v>0.10099547511312217</c:v>
                </c:pt>
                <c:pt idx="2">
                  <c:v>8.1809954751131217E-2</c:v>
                </c:pt>
                <c:pt idx="3">
                  <c:v>0.13447963800904977</c:v>
                </c:pt>
                <c:pt idx="4">
                  <c:v>1.6289592760180996E-3</c:v>
                </c:pt>
                <c:pt idx="5">
                  <c:v>0</c:v>
                </c:pt>
                <c:pt idx="6">
                  <c:v>2.7511312217194571E-2</c:v>
                </c:pt>
                <c:pt idx="7">
                  <c:v>1.1945701357466063E-2</c:v>
                </c:pt>
                <c:pt idx="8">
                  <c:v>6.1538461538461538E-3</c:v>
                </c:pt>
                <c:pt idx="9">
                  <c:v>1.2669683257918551E-3</c:v>
                </c:pt>
                <c:pt idx="1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8-EE16-490A-B833-4EE796B330D7}"/>
            </c:ext>
          </c:extLst>
        </c:ser>
      </c:pie3DChart>
      <c:spPr>
        <a:noFill/>
        <a:ln>
          <a:noFill/>
        </a:ln>
        <a:effectLst/>
      </c:spPr>
    </c:plotArea>
    <c:plotVisOnly val="1"/>
    <c:dispBlanksAs val="zero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3" l="0.70000000000000062" r="0.70000000000000062" t="0.750000000000003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398"/>
          <c:y val="2.6504260748158488E-2"/>
        </c:manualLayout>
      </c:layout>
      <c:spPr>
        <a:noFill/>
        <a:ln>
          <a:noFill/>
        </a:ln>
        <a:effectLst/>
      </c:spPr>
    </c:title>
    <c:plotArea>
      <c:layout/>
      <c:lineChart>
        <c:grouping val="standard"/>
        <c:ser>
          <c:idx val="0"/>
          <c:order val="0"/>
          <c:tx>
            <c:strRef>
              <c:f>'29.07 Kiwatule-Najjeera'!$AE$9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'29.07 Kiwatule-Najjeera'!$R$10:$R$21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'29.07 Kiwatule-Najjeera'!$AE$10:$AE$21</c:f>
              <c:numCache>
                <c:formatCode>0</c:formatCode>
                <c:ptCount val="12"/>
                <c:pt idx="0">
                  <c:v>119</c:v>
                </c:pt>
                <c:pt idx="1">
                  <c:v>90</c:v>
                </c:pt>
                <c:pt idx="2">
                  <c:v>223</c:v>
                </c:pt>
                <c:pt idx="3">
                  <c:v>314</c:v>
                </c:pt>
                <c:pt idx="4">
                  <c:v>323</c:v>
                </c:pt>
                <c:pt idx="5">
                  <c:v>260</c:v>
                </c:pt>
                <c:pt idx="6">
                  <c:v>281</c:v>
                </c:pt>
                <c:pt idx="7">
                  <c:v>278</c:v>
                </c:pt>
                <c:pt idx="8">
                  <c:v>382</c:v>
                </c:pt>
                <c:pt idx="9">
                  <c:v>529</c:v>
                </c:pt>
                <c:pt idx="10">
                  <c:v>475</c:v>
                </c:pt>
                <c:pt idx="11">
                  <c:v>581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A89C-45BB-88A7-B65865997A3E}"/>
            </c:ext>
          </c:extLst>
        </c:ser>
        <c:ser>
          <c:idx val="1"/>
          <c:order val="1"/>
          <c:tx>
            <c:strRef>
              <c:f>'29.07 Kiwatule-Najjeera'!$AF$9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'29.07 Kiwatule-Najjeera'!$R$10:$R$21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'29.07 Kiwatule-Najjeera'!$AF$10:$AF$21</c:f>
              <c:numCache>
                <c:formatCode>0</c:formatCode>
                <c:ptCount val="12"/>
                <c:pt idx="0">
                  <c:v>173</c:v>
                </c:pt>
                <c:pt idx="1">
                  <c:v>125</c:v>
                </c:pt>
                <c:pt idx="2">
                  <c:v>447</c:v>
                </c:pt>
                <c:pt idx="3">
                  <c:v>571</c:v>
                </c:pt>
                <c:pt idx="4">
                  <c:v>501</c:v>
                </c:pt>
                <c:pt idx="5">
                  <c:v>391</c:v>
                </c:pt>
                <c:pt idx="6">
                  <c:v>420</c:v>
                </c:pt>
                <c:pt idx="7">
                  <c:v>470</c:v>
                </c:pt>
                <c:pt idx="8">
                  <c:v>671</c:v>
                </c:pt>
                <c:pt idx="9">
                  <c:v>759</c:v>
                </c:pt>
                <c:pt idx="10">
                  <c:v>720</c:v>
                </c:pt>
                <c:pt idx="11">
                  <c:v>836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A89C-45BB-88A7-B65865997A3E}"/>
            </c:ext>
          </c:extLst>
        </c:ser>
        <c:marker val="1"/>
        <c:axId val="87616128"/>
        <c:axId val="87638784"/>
      </c:lineChart>
      <c:catAx>
        <c:axId val="87616128"/>
        <c:scaling>
          <c:orientation val="minMax"/>
        </c:scaling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7638784"/>
        <c:crosses val="autoZero"/>
        <c:auto val="1"/>
        <c:lblAlgn val="ctr"/>
        <c:lblOffset val="100"/>
      </c:catAx>
      <c:valAx>
        <c:axId val="87638784"/>
        <c:scaling>
          <c:orientation val="minMax"/>
          <c:min val="0"/>
        </c:scaling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spPr>
            <a:noFill/>
            <a:ln>
              <a:noFill/>
            </a:ln>
            <a:effectLst/>
          </c:spPr>
        </c:title>
        <c:numFmt formatCode="0" sourceLinked="1"/>
        <c:maj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7616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322" l="0.70000000000000062" r="0.70000000000000062" t="0.75000000000000322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spPr>
        <a:noFill/>
        <a:ln>
          <a:noFill/>
        </a:ln>
        <a:effectLst/>
      </c:spPr>
    </c:title>
    <c:view3D>
      <c:rotX val="30"/>
      <c:depthPercent val="100"/>
      <c:perspective val="30"/>
    </c:view3D>
    <c:floor>
      <c:spPr>
        <a:noFill/>
        <a:ln>
          <a:noFill/>
        </a:ln>
        <a:effectLst/>
        <a:sp3d/>
      </c:spPr>
    </c:floor>
    <c:sideWall>
      <c:spPr>
        <a:noFill/>
        <a:ln>
          <a:noFill/>
        </a:ln>
        <a:effectLst/>
        <a:sp3d/>
      </c:spPr>
    </c:sideWall>
    <c:backWall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E8B9-4D32-9FA4-C5B7B71D021F}"/>
              </c:ext>
            </c:extLst>
          </c:dPt>
          <c:dPt>
            <c:idx val="1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E8B9-4D32-9FA4-C5B7B71D021F}"/>
              </c:ext>
            </c:extLst>
          </c:dPt>
          <c:dPt>
            <c:idx val="2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E8B9-4D32-9FA4-C5B7B71D021F}"/>
              </c:ext>
            </c:extLst>
          </c:dPt>
          <c:dPt>
            <c:idx val="3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E8B9-4D32-9FA4-C5B7B71D021F}"/>
              </c:ext>
            </c:extLst>
          </c:dPt>
          <c:dPt>
            <c:idx val="4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E8B9-4D32-9FA4-C5B7B71D021F}"/>
              </c:ext>
            </c:extLst>
          </c:dPt>
          <c:dPt>
            <c:idx val="5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E8B9-4D32-9FA4-C5B7B71D021F}"/>
              </c:ext>
            </c:extLst>
          </c:dPt>
          <c:dPt>
            <c:idx val="6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E8B9-4D32-9FA4-C5B7B71D021F}"/>
              </c:ext>
            </c:extLst>
          </c:dPt>
          <c:dPt>
            <c:idx val="7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F-E8B9-4D32-9FA4-C5B7B71D021F}"/>
              </c:ext>
            </c:extLst>
          </c:dPt>
          <c:dPt>
            <c:idx val="8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1-E8B9-4D32-9FA4-C5B7B71D021F}"/>
              </c:ext>
            </c:extLst>
          </c:dPt>
          <c:dPt>
            <c:idx val="9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3-E8B9-4D32-9FA4-C5B7B71D021F}"/>
              </c:ext>
            </c:extLst>
          </c:dPt>
          <c:dPt>
            <c:idx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5-E8B9-4D32-9FA4-C5B7B71D021F}"/>
              </c:ext>
            </c:extLst>
          </c:dPt>
          <c:dPt>
            <c:idx val="11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7-E8B9-4D32-9FA4-C5B7B71D021F}"/>
              </c:ext>
            </c:extLst>
          </c:dPt>
          <c:dLbls>
            <c:dLbl>
              <c:idx val="10"/>
              <c:layout>
                <c:manualLayout>
                  <c:x val="-2.6175304576939895E-2"/>
                  <c:y val="-3.2434080003295201E-2"/>
                </c:manualLayout>
              </c:layout>
              <c:showVal val="1"/>
              <c:showCatNam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8B9-4D32-9FA4-C5B7B71D021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Val val="1"/>
            <c:showCatName val="1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'29.07 Kiwatule-Najjeera'!$C$9:$N$9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'29.07 Kiwatule-Najjeera'!$C$59:$N$59</c:f>
              <c:numCache>
                <c:formatCode>0.0%</c:formatCode>
                <c:ptCount val="12"/>
                <c:pt idx="0">
                  <c:v>0.33744247205785666</c:v>
                </c:pt>
                <c:pt idx="1">
                  <c:v>6.0815253122945431E-2</c:v>
                </c:pt>
                <c:pt idx="2">
                  <c:v>2.514792899408284E-2</c:v>
                </c:pt>
                <c:pt idx="3">
                  <c:v>0.14562787639710717</c:v>
                </c:pt>
                <c:pt idx="4">
                  <c:v>7.2320841551610782E-3</c:v>
                </c:pt>
                <c:pt idx="5">
                  <c:v>1.8080210387902695E-3</c:v>
                </c:pt>
                <c:pt idx="6">
                  <c:v>4.8159105851413544E-2</c:v>
                </c:pt>
                <c:pt idx="7">
                  <c:v>4.9309664694280079E-3</c:v>
                </c:pt>
                <c:pt idx="8">
                  <c:v>2.136752136752137E-3</c:v>
                </c:pt>
                <c:pt idx="9">
                  <c:v>3.2873109796186721E-4</c:v>
                </c:pt>
                <c:pt idx="10">
                  <c:v>0.36637080867850097</c:v>
                </c:pt>
                <c:pt idx="1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8-E8B9-4D32-9FA4-C5B7B71D021F}"/>
            </c:ext>
          </c:extLst>
        </c:ser>
      </c:pie3DChart>
      <c:spPr>
        <a:noFill/>
        <a:ln>
          <a:noFill/>
        </a:ln>
        <a:effectLst/>
      </c:spPr>
    </c:plotArea>
    <c:plotVisOnly val="1"/>
    <c:dispBlanksAs val="zero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3" l="0.70000000000000062" r="0.70000000000000062" t="0.750000000000003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9093"/>
          <c:y val="2.2960226637323802E-2"/>
        </c:manualLayout>
      </c:layout>
      <c:spPr>
        <a:noFill/>
        <a:ln>
          <a:noFill/>
        </a:ln>
        <a:effectLst/>
      </c:spPr>
    </c:title>
    <c:plotArea>
      <c:layout/>
      <c:lineChart>
        <c:grouping val="standard"/>
        <c:ser>
          <c:idx val="0"/>
          <c:order val="0"/>
          <c:tx>
            <c:strRef>
              <c:f>'29.07 Kiwatule-Najjeera'!$S$9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'29.07 Kiwatule-Najjeera'!$R$10:$R$21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'29.07 Kiwatule-Najjeera'!$S$10:$S$21</c:f>
              <c:numCache>
                <c:formatCode>0</c:formatCode>
                <c:ptCount val="12"/>
                <c:pt idx="0">
                  <c:v>44</c:v>
                </c:pt>
                <c:pt idx="1">
                  <c:v>29</c:v>
                </c:pt>
                <c:pt idx="2">
                  <c:v>106</c:v>
                </c:pt>
                <c:pt idx="3">
                  <c:v>152</c:v>
                </c:pt>
                <c:pt idx="4">
                  <c:v>134</c:v>
                </c:pt>
                <c:pt idx="5">
                  <c:v>93</c:v>
                </c:pt>
                <c:pt idx="6">
                  <c:v>110</c:v>
                </c:pt>
                <c:pt idx="7">
                  <c:v>162</c:v>
                </c:pt>
                <c:pt idx="8">
                  <c:v>207</c:v>
                </c:pt>
                <c:pt idx="9">
                  <c:v>285</c:v>
                </c:pt>
                <c:pt idx="10">
                  <c:v>311</c:v>
                </c:pt>
                <c:pt idx="11">
                  <c:v>420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651-40BE-9A1E-5B6943FE144C}"/>
            </c:ext>
          </c:extLst>
        </c:ser>
        <c:ser>
          <c:idx val="1"/>
          <c:order val="1"/>
          <c:tx>
            <c:strRef>
              <c:f>'29.07 Kiwatule-Najjeera'!$T$9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'29.07 Kiwatule-Najjeera'!$R$10:$R$21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'29.07 Kiwatule-Najjeera'!$T$10:$T$21</c:f>
              <c:numCache>
                <c:formatCode>0</c:formatCode>
                <c:ptCount val="12"/>
                <c:pt idx="0">
                  <c:v>15</c:v>
                </c:pt>
                <c:pt idx="1">
                  <c:v>6</c:v>
                </c:pt>
                <c:pt idx="2">
                  <c:v>16</c:v>
                </c:pt>
                <c:pt idx="3">
                  <c:v>23</c:v>
                </c:pt>
                <c:pt idx="4">
                  <c:v>15</c:v>
                </c:pt>
                <c:pt idx="5">
                  <c:v>25</c:v>
                </c:pt>
                <c:pt idx="6">
                  <c:v>28</c:v>
                </c:pt>
                <c:pt idx="7">
                  <c:v>26</c:v>
                </c:pt>
                <c:pt idx="8">
                  <c:v>33</c:v>
                </c:pt>
                <c:pt idx="9">
                  <c:v>71</c:v>
                </c:pt>
                <c:pt idx="10">
                  <c:v>56</c:v>
                </c:pt>
                <c:pt idx="11">
                  <c:v>56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4651-40BE-9A1E-5B6943FE144C}"/>
            </c:ext>
          </c:extLst>
        </c:ser>
        <c:ser>
          <c:idx val="2"/>
          <c:order val="2"/>
          <c:tx>
            <c:strRef>
              <c:f>'29.07 Kiwatule-Najjeera'!$U$9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'29.07 Kiwatule-Najjeera'!$U$10:$U$21</c:f>
              <c:numCache>
                <c:formatCode>0</c:formatCode>
                <c:ptCount val="12"/>
                <c:pt idx="0">
                  <c:v>3</c:v>
                </c:pt>
                <c:pt idx="1">
                  <c:v>3</c:v>
                </c:pt>
                <c:pt idx="2">
                  <c:v>5</c:v>
                </c:pt>
                <c:pt idx="3">
                  <c:v>14</c:v>
                </c:pt>
                <c:pt idx="4">
                  <c:v>10</c:v>
                </c:pt>
                <c:pt idx="5">
                  <c:v>5</c:v>
                </c:pt>
                <c:pt idx="6">
                  <c:v>12</c:v>
                </c:pt>
                <c:pt idx="7">
                  <c:v>12</c:v>
                </c:pt>
                <c:pt idx="8">
                  <c:v>20</c:v>
                </c:pt>
                <c:pt idx="9">
                  <c:v>28</c:v>
                </c:pt>
                <c:pt idx="10">
                  <c:v>18</c:v>
                </c:pt>
                <c:pt idx="11">
                  <c:v>23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4651-40BE-9A1E-5B6943FE144C}"/>
            </c:ext>
          </c:extLst>
        </c:ser>
        <c:ser>
          <c:idx val="3"/>
          <c:order val="3"/>
          <c:tx>
            <c:strRef>
              <c:f>'29.07 Kiwatule-Najjeera'!$V$9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'29.07 Kiwatule-Najjeera'!$V$10:$V$21</c:f>
              <c:numCache>
                <c:formatCode>0</c:formatCode>
                <c:ptCount val="12"/>
                <c:pt idx="0">
                  <c:v>47</c:v>
                </c:pt>
                <c:pt idx="1">
                  <c:v>42</c:v>
                </c:pt>
                <c:pt idx="2">
                  <c:v>74</c:v>
                </c:pt>
                <c:pt idx="3">
                  <c:v>92</c:v>
                </c:pt>
                <c:pt idx="4">
                  <c:v>100</c:v>
                </c:pt>
                <c:pt idx="5">
                  <c:v>98</c:v>
                </c:pt>
                <c:pt idx="6">
                  <c:v>100</c:v>
                </c:pt>
                <c:pt idx="7">
                  <c:v>42</c:v>
                </c:pt>
                <c:pt idx="8">
                  <c:v>79</c:v>
                </c:pt>
                <c:pt idx="9">
                  <c:v>102</c:v>
                </c:pt>
                <c:pt idx="10">
                  <c:v>55</c:v>
                </c:pt>
                <c:pt idx="11">
                  <c:v>55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4651-40BE-9A1E-5B6943FE144C}"/>
            </c:ext>
          </c:extLst>
        </c:ser>
        <c:ser>
          <c:idx val="4"/>
          <c:order val="4"/>
          <c:tx>
            <c:strRef>
              <c:f>'29.07 Kiwatule-Najjeera'!$W$9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'29.07 Kiwatule-Najjeera'!$W$10:$W$21</c:f>
              <c:numCache>
                <c:formatCode>0</c:formatCode>
                <c:ptCount val="12"/>
                <c:pt idx="0">
                  <c:v>3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6</c:v>
                </c:pt>
                <c:pt idx="5">
                  <c:v>5</c:v>
                </c:pt>
                <c:pt idx="6">
                  <c:v>9</c:v>
                </c:pt>
                <c:pt idx="7">
                  <c:v>3</c:v>
                </c:pt>
                <c:pt idx="8">
                  <c:v>4</c:v>
                </c:pt>
                <c:pt idx="9">
                  <c:v>6</c:v>
                </c:pt>
                <c:pt idx="10">
                  <c:v>5</c:v>
                </c:pt>
                <c:pt idx="11">
                  <c:v>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4651-40BE-9A1E-5B6943FE144C}"/>
            </c:ext>
          </c:extLst>
        </c:ser>
        <c:ser>
          <c:idx val="5"/>
          <c:order val="5"/>
          <c:tx>
            <c:strRef>
              <c:f>'29.07 Kiwatule-Najjeera'!$X$9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'29.07 Kiwatule-Najjeera'!$X$10:$X$21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</c:v>
                </c:pt>
                <c:pt idx="5">
                  <c:v>2</c:v>
                </c:pt>
                <c:pt idx="6">
                  <c:v>2</c:v>
                </c:pt>
                <c:pt idx="7">
                  <c:v>1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4651-40BE-9A1E-5B6943FE144C}"/>
            </c:ext>
          </c:extLst>
        </c:ser>
        <c:ser>
          <c:idx val="6"/>
          <c:order val="6"/>
          <c:tx>
            <c:strRef>
              <c:f>'29.07 Kiwatule-Najjeera'!$Y$9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'29.07 Kiwatule-Najjeera'!$Y$10:$Y$21</c:f>
              <c:numCache>
                <c:formatCode>0</c:formatCode>
                <c:ptCount val="12"/>
                <c:pt idx="0">
                  <c:v>6</c:v>
                </c:pt>
                <c:pt idx="1">
                  <c:v>9</c:v>
                </c:pt>
                <c:pt idx="2">
                  <c:v>22</c:v>
                </c:pt>
                <c:pt idx="3">
                  <c:v>31</c:v>
                </c:pt>
                <c:pt idx="4">
                  <c:v>51</c:v>
                </c:pt>
                <c:pt idx="5">
                  <c:v>27</c:v>
                </c:pt>
                <c:pt idx="6">
                  <c:v>14</c:v>
                </c:pt>
                <c:pt idx="7">
                  <c:v>25</c:v>
                </c:pt>
                <c:pt idx="8">
                  <c:v>34</c:v>
                </c:pt>
                <c:pt idx="9">
                  <c:v>29</c:v>
                </c:pt>
                <c:pt idx="10">
                  <c:v>25</c:v>
                </c:pt>
                <c:pt idx="11">
                  <c:v>20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4651-40BE-9A1E-5B6943FE144C}"/>
            </c:ext>
          </c:extLst>
        </c:ser>
        <c:ser>
          <c:idx val="7"/>
          <c:order val="7"/>
          <c:tx>
            <c:strRef>
              <c:f>'29.07 Kiwatule-Najjeera'!$Z$9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'29.07 Kiwatule-Najjeera'!$Z$10:$Z$21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1</c:v>
                </c:pt>
                <c:pt idx="9">
                  <c:v>5</c:v>
                </c:pt>
                <c:pt idx="10">
                  <c:v>4</c:v>
                </c:pt>
                <c:pt idx="11">
                  <c:v>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7-4651-40BE-9A1E-5B6943FE144C}"/>
            </c:ext>
          </c:extLst>
        </c:ser>
        <c:ser>
          <c:idx val="8"/>
          <c:order val="8"/>
          <c:tx>
            <c:strRef>
              <c:f>'29.07 Kiwatule-Najjeera'!$AA$9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'29.07 Kiwatule-Najjeera'!$AA$10:$AA$21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8-4651-40BE-9A1E-5B6943FE144C}"/>
            </c:ext>
          </c:extLst>
        </c:ser>
        <c:ser>
          <c:idx val="9"/>
          <c:order val="9"/>
          <c:tx>
            <c:strRef>
              <c:f>'29.07 Kiwatule-Najjeera'!$AB$9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'29.07 Kiwatule-Najjeera'!$AB$10:$AB$21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9-4651-40BE-9A1E-5B6943FE144C}"/>
            </c:ext>
          </c:extLst>
        </c:ser>
        <c:ser>
          <c:idx val="10"/>
          <c:order val="10"/>
          <c:tx>
            <c:strRef>
              <c:f>'29.07 Kiwatule-Najjeera'!$AC$9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'29.07 Kiwatule-Najjeera'!$AC$10:$AC$21</c:f>
              <c:numCache>
                <c:formatCode>0</c:formatCode>
                <c:ptCount val="12"/>
                <c:pt idx="0">
                  <c:v>54</c:v>
                </c:pt>
                <c:pt idx="1">
                  <c:v>35</c:v>
                </c:pt>
                <c:pt idx="2">
                  <c:v>224</c:v>
                </c:pt>
                <c:pt idx="3">
                  <c:v>257</c:v>
                </c:pt>
                <c:pt idx="4">
                  <c:v>178</c:v>
                </c:pt>
                <c:pt idx="5">
                  <c:v>131</c:v>
                </c:pt>
                <c:pt idx="6">
                  <c:v>139</c:v>
                </c:pt>
                <c:pt idx="7">
                  <c:v>192</c:v>
                </c:pt>
                <c:pt idx="8">
                  <c:v>289</c:v>
                </c:pt>
                <c:pt idx="9">
                  <c:v>230</c:v>
                </c:pt>
                <c:pt idx="10">
                  <c:v>245</c:v>
                </c:pt>
                <c:pt idx="11">
                  <c:v>255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4651-40BE-9A1E-5B6943FE144C}"/>
            </c:ext>
          </c:extLst>
        </c:ser>
        <c:ser>
          <c:idx val="11"/>
          <c:order val="11"/>
          <c:tx>
            <c:strRef>
              <c:f>'29.07 Kiwatule-Najjeera'!$AD$9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'29.07 Kiwatule-Najjeera'!$AD$10:$AD$21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B-4651-40BE-9A1E-5B6943FE144C}"/>
            </c:ext>
          </c:extLst>
        </c:ser>
        <c:marker val="1"/>
        <c:axId val="88973696"/>
        <c:axId val="88975232"/>
      </c:lineChart>
      <c:catAx>
        <c:axId val="88973696"/>
        <c:scaling>
          <c:orientation val="minMax"/>
        </c:scaling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8975232"/>
        <c:crosses val="autoZero"/>
        <c:auto val="1"/>
        <c:lblAlgn val="ctr"/>
        <c:lblOffset val="100"/>
      </c:catAx>
      <c:valAx>
        <c:axId val="88975232"/>
        <c:scaling>
          <c:orientation val="minMax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spPr>
            <a:noFill/>
            <a:ln>
              <a:noFill/>
            </a:ln>
            <a:effectLst/>
          </c:spPr>
        </c:title>
        <c:numFmt formatCode="0" sourceLinked="1"/>
        <c:maj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8973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3" l="0.70000000000000062" r="0.70000000000000062" t="0.750000000000003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spPr>
        <a:noFill/>
        <a:ln>
          <a:noFill/>
        </a:ln>
        <a:effectLst/>
      </c:spPr>
    </c:title>
    <c:view3D>
      <c:rotX val="30"/>
      <c:depthPercent val="100"/>
      <c:perspective val="30"/>
    </c:view3D>
    <c:floor>
      <c:spPr>
        <a:noFill/>
        <a:ln>
          <a:noFill/>
        </a:ln>
        <a:effectLst/>
        <a:sp3d/>
      </c:spPr>
    </c:floor>
    <c:sideWall>
      <c:spPr>
        <a:noFill/>
        <a:ln>
          <a:noFill/>
        </a:ln>
        <a:effectLst/>
        <a:sp3d/>
      </c:spPr>
    </c:sideWall>
    <c:backWall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4F2F-4319-A1B1-A94A163849D9}"/>
              </c:ext>
            </c:extLst>
          </c:dPt>
          <c:dPt>
            <c:idx val="1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4F2F-4319-A1B1-A94A163849D9}"/>
              </c:ext>
            </c:extLst>
          </c:dPt>
          <c:dPt>
            <c:idx val="2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4F2F-4319-A1B1-A94A163849D9}"/>
              </c:ext>
            </c:extLst>
          </c:dPt>
          <c:dPt>
            <c:idx val="3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4F2F-4319-A1B1-A94A163849D9}"/>
              </c:ext>
            </c:extLst>
          </c:dPt>
          <c:dPt>
            <c:idx val="4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4F2F-4319-A1B1-A94A163849D9}"/>
              </c:ext>
            </c:extLst>
          </c:dPt>
          <c:dPt>
            <c:idx val="5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4F2F-4319-A1B1-A94A163849D9}"/>
              </c:ext>
            </c:extLst>
          </c:dPt>
          <c:dPt>
            <c:idx val="6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4F2F-4319-A1B1-A94A163849D9}"/>
              </c:ext>
            </c:extLst>
          </c:dPt>
          <c:dPt>
            <c:idx val="7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F-4F2F-4319-A1B1-A94A163849D9}"/>
              </c:ext>
            </c:extLst>
          </c:dPt>
          <c:dPt>
            <c:idx val="8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1-4F2F-4319-A1B1-A94A163849D9}"/>
              </c:ext>
            </c:extLst>
          </c:dPt>
          <c:dPt>
            <c:idx val="9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3-4F2F-4319-A1B1-A94A163849D9}"/>
              </c:ext>
            </c:extLst>
          </c:dPt>
          <c:dPt>
            <c:idx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5-4F2F-4319-A1B1-A94A163849D9}"/>
              </c:ext>
            </c:extLst>
          </c:dPt>
          <c:dPt>
            <c:idx val="11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7-4F2F-4319-A1B1-A94A163849D9}"/>
              </c:ext>
            </c:extLst>
          </c:dPt>
          <c:dLbls>
            <c:dLbl>
              <c:idx val="10"/>
              <c:layout>
                <c:manualLayout>
                  <c:x val="-2.6175304576939895E-2"/>
                  <c:y val="-3.2434080003295201E-2"/>
                </c:manualLayout>
              </c:layout>
              <c:showVal val="1"/>
              <c:showCatNam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F2F-4319-A1B1-A94A163849D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Val val="1"/>
            <c:showCatName val="1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'29.07 Kiwatule-Najjeera'!$C$9:$N$9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'29.07 Kiwatule-Najjeera'!$C$60:$N$60</c:f>
              <c:numCache>
                <c:formatCode>0.00%</c:formatCode>
                <c:ptCount val="12"/>
                <c:pt idx="0">
                  <c:v>0.53255512321660181</c:v>
                </c:pt>
                <c:pt idx="1">
                  <c:v>9.5979247730220499E-2</c:v>
                </c:pt>
                <c:pt idx="2">
                  <c:v>3.9688715953307391E-2</c:v>
                </c:pt>
                <c:pt idx="3">
                  <c:v>0.22983138780804149</c:v>
                </c:pt>
                <c:pt idx="4">
                  <c:v>1.1413748378728923E-2</c:v>
                </c:pt>
                <c:pt idx="5">
                  <c:v>2.8534370946822307E-3</c:v>
                </c:pt>
                <c:pt idx="6">
                  <c:v>7.600518806744487E-2</c:v>
                </c:pt>
                <c:pt idx="7">
                  <c:v>7.7821011673151752E-3</c:v>
                </c:pt>
                <c:pt idx="8">
                  <c:v>3.3722438391699094E-3</c:v>
                </c:pt>
                <c:pt idx="9">
                  <c:v>5.1880674448767834E-4</c:v>
                </c:pt>
                <c:pt idx="1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8-4F2F-4319-A1B1-A94A163849D9}"/>
            </c:ext>
          </c:extLst>
        </c:ser>
      </c:pie3DChart>
      <c:spPr>
        <a:noFill/>
        <a:ln>
          <a:noFill/>
        </a:ln>
        <a:effectLst/>
      </c:spPr>
    </c:plotArea>
    <c:plotVisOnly val="1"/>
    <c:dispBlanksAs val="zero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3" l="0.70000000000000062" r="0.70000000000000062" t="0.750000000000003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398"/>
          <c:y val="2.6504260748158488E-2"/>
        </c:manualLayout>
      </c:layout>
      <c:spPr>
        <a:noFill/>
        <a:ln>
          <a:noFill/>
        </a:ln>
        <a:effectLst/>
      </c:spPr>
    </c:title>
    <c:plotArea>
      <c:layout/>
      <c:lineChart>
        <c:grouping val="standard"/>
        <c:ser>
          <c:idx val="0"/>
          <c:order val="0"/>
          <c:tx>
            <c:strRef>
              <c:f>'30.07 Najjeera-Kiwatule'!$AE$9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'30.07 Najjeera-Kiwatule'!$R$10:$R$21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'30.07 Najjeera-Kiwatule'!$AE$10:$AE$21</c:f>
              <c:numCache>
                <c:formatCode>0</c:formatCode>
                <c:ptCount val="12"/>
                <c:pt idx="0">
                  <c:v>755</c:v>
                </c:pt>
                <c:pt idx="1">
                  <c:v>793</c:v>
                </c:pt>
                <c:pt idx="2">
                  <c:v>470</c:v>
                </c:pt>
                <c:pt idx="3">
                  <c:v>432</c:v>
                </c:pt>
                <c:pt idx="4">
                  <c:v>472</c:v>
                </c:pt>
                <c:pt idx="5">
                  <c:v>433</c:v>
                </c:pt>
                <c:pt idx="6">
                  <c:v>368</c:v>
                </c:pt>
                <c:pt idx="7">
                  <c:v>276</c:v>
                </c:pt>
                <c:pt idx="8">
                  <c:v>360</c:v>
                </c:pt>
                <c:pt idx="9">
                  <c:v>399</c:v>
                </c:pt>
                <c:pt idx="10">
                  <c:v>357</c:v>
                </c:pt>
                <c:pt idx="11">
                  <c:v>303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A6D8-486C-94F6-6CD386BE52F0}"/>
            </c:ext>
          </c:extLst>
        </c:ser>
        <c:ser>
          <c:idx val="1"/>
          <c:order val="1"/>
          <c:tx>
            <c:strRef>
              <c:f>'30.07 Najjeera-Kiwatule'!$AF$9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'30.07 Najjeera-Kiwatule'!$R$10:$R$21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'30.07 Najjeera-Kiwatule'!$AF$10:$AF$21</c:f>
              <c:numCache>
                <c:formatCode>0</c:formatCode>
                <c:ptCount val="12"/>
                <c:pt idx="0">
                  <c:v>1210</c:v>
                </c:pt>
                <c:pt idx="1">
                  <c:v>1288</c:v>
                </c:pt>
                <c:pt idx="2">
                  <c:v>905</c:v>
                </c:pt>
                <c:pt idx="3">
                  <c:v>842</c:v>
                </c:pt>
                <c:pt idx="4">
                  <c:v>905</c:v>
                </c:pt>
                <c:pt idx="5">
                  <c:v>783</c:v>
                </c:pt>
                <c:pt idx="6">
                  <c:v>820</c:v>
                </c:pt>
                <c:pt idx="7">
                  <c:v>586</c:v>
                </c:pt>
                <c:pt idx="8">
                  <c:v>647</c:v>
                </c:pt>
                <c:pt idx="9">
                  <c:v>693</c:v>
                </c:pt>
                <c:pt idx="10">
                  <c:v>760</c:v>
                </c:pt>
                <c:pt idx="11">
                  <c:v>778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A6D8-486C-94F6-6CD386BE52F0}"/>
            </c:ext>
          </c:extLst>
        </c:ser>
        <c:marker val="1"/>
        <c:axId val="89131648"/>
        <c:axId val="89260800"/>
      </c:lineChart>
      <c:catAx>
        <c:axId val="89131648"/>
        <c:scaling>
          <c:orientation val="minMax"/>
        </c:scaling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9260800"/>
        <c:crosses val="autoZero"/>
        <c:auto val="1"/>
        <c:lblAlgn val="ctr"/>
        <c:lblOffset val="100"/>
      </c:catAx>
      <c:valAx>
        <c:axId val="89260800"/>
        <c:scaling>
          <c:orientation val="minMax"/>
          <c:min val="0"/>
        </c:scaling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spPr>
            <a:noFill/>
            <a:ln>
              <a:noFill/>
            </a:ln>
            <a:effectLst/>
          </c:spPr>
        </c:title>
        <c:numFmt formatCode="0" sourceLinked="1"/>
        <c:maj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9131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322" l="0.70000000000000062" r="0.70000000000000062" t="0.75000000000000322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spPr>
        <a:noFill/>
        <a:ln>
          <a:noFill/>
        </a:ln>
        <a:effectLst/>
      </c:spPr>
    </c:title>
    <c:view3D>
      <c:rotX val="30"/>
      <c:depthPercent val="100"/>
      <c:perspective val="30"/>
    </c:view3D>
    <c:floor>
      <c:spPr>
        <a:noFill/>
        <a:ln>
          <a:noFill/>
        </a:ln>
        <a:effectLst/>
        <a:sp3d/>
      </c:spPr>
    </c:floor>
    <c:sideWall>
      <c:spPr>
        <a:noFill/>
        <a:ln>
          <a:noFill/>
        </a:ln>
        <a:effectLst/>
        <a:sp3d/>
      </c:spPr>
    </c:sideWall>
    <c:backWall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7B3F-4B31-952A-3E8EFBAD12A4}"/>
              </c:ext>
            </c:extLst>
          </c:dPt>
          <c:dPt>
            <c:idx val="1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7B3F-4B31-952A-3E8EFBAD12A4}"/>
              </c:ext>
            </c:extLst>
          </c:dPt>
          <c:dPt>
            <c:idx val="2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7B3F-4B31-952A-3E8EFBAD12A4}"/>
              </c:ext>
            </c:extLst>
          </c:dPt>
          <c:dPt>
            <c:idx val="3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7B3F-4B31-952A-3E8EFBAD12A4}"/>
              </c:ext>
            </c:extLst>
          </c:dPt>
          <c:dPt>
            <c:idx val="4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7B3F-4B31-952A-3E8EFBAD12A4}"/>
              </c:ext>
            </c:extLst>
          </c:dPt>
          <c:dPt>
            <c:idx val="5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7B3F-4B31-952A-3E8EFBAD12A4}"/>
              </c:ext>
            </c:extLst>
          </c:dPt>
          <c:dPt>
            <c:idx val="6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7B3F-4B31-952A-3E8EFBAD12A4}"/>
              </c:ext>
            </c:extLst>
          </c:dPt>
          <c:dPt>
            <c:idx val="7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F-7B3F-4B31-952A-3E8EFBAD12A4}"/>
              </c:ext>
            </c:extLst>
          </c:dPt>
          <c:dPt>
            <c:idx val="8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1-7B3F-4B31-952A-3E8EFBAD12A4}"/>
              </c:ext>
            </c:extLst>
          </c:dPt>
          <c:dPt>
            <c:idx val="9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3-7B3F-4B31-952A-3E8EFBAD12A4}"/>
              </c:ext>
            </c:extLst>
          </c:dPt>
          <c:dPt>
            <c:idx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5-7B3F-4B31-952A-3E8EFBAD12A4}"/>
              </c:ext>
            </c:extLst>
          </c:dPt>
          <c:dPt>
            <c:idx val="11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7-7B3F-4B31-952A-3E8EFBAD12A4}"/>
              </c:ext>
            </c:extLst>
          </c:dPt>
          <c:dLbls>
            <c:dLbl>
              <c:idx val="10"/>
              <c:layout>
                <c:manualLayout>
                  <c:x val="-2.6175304576939895E-2"/>
                  <c:y val="-3.2434080003295201E-2"/>
                </c:manualLayout>
              </c:layout>
              <c:showVal val="1"/>
              <c:showCatNam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7B3F-4B31-952A-3E8EFBAD12A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Val val="1"/>
            <c:showCatName val="1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'30.07 Najjeera-Kiwatule'!$C$9:$N$9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'30.07 Najjeera-Kiwatule'!$C$59:$N$59</c:f>
              <c:numCache>
                <c:formatCode>0.0%</c:formatCode>
                <c:ptCount val="12"/>
                <c:pt idx="0">
                  <c:v>0.36194577664676519</c:v>
                </c:pt>
                <c:pt idx="1">
                  <c:v>5.0406185768816676E-2</c:v>
                </c:pt>
                <c:pt idx="2">
                  <c:v>2.5643535284330037E-2</c:v>
                </c:pt>
                <c:pt idx="3">
                  <c:v>6.5381227366154454E-2</c:v>
                </c:pt>
                <c:pt idx="4">
                  <c:v>1.1745130664578642E-3</c:v>
                </c:pt>
                <c:pt idx="5">
                  <c:v>0</c:v>
                </c:pt>
                <c:pt idx="6">
                  <c:v>1.810707644122541E-2</c:v>
                </c:pt>
                <c:pt idx="7">
                  <c:v>5.1874327101889012E-3</c:v>
                </c:pt>
                <c:pt idx="8">
                  <c:v>1.957521777429774E-3</c:v>
                </c:pt>
                <c:pt idx="9">
                  <c:v>3.9150435548595478E-4</c:v>
                </c:pt>
                <c:pt idx="10">
                  <c:v>0.46970735049427426</c:v>
                </c:pt>
                <c:pt idx="11">
                  <c:v>9.7876088871488696E-5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8-7B3F-4B31-952A-3E8EFBAD12A4}"/>
            </c:ext>
          </c:extLst>
        </c:ser>
      </c:pie3DChart>
      <c:spPr>
        <a:noFill/>
        <a:ln>
          <a:noFill/>
        </a:ln>
        <a:effectLst/>
      </c:spPr>
    </c:plotArea>
    <c:plotVisOnly val="1"/>
    <c:dispBlanksAs val="zero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3" l="0.70000000000000062" r="0.70000000000000062" t="0.750000000000003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9093"/>
          <c:y val="2.2960226637323802E-2"/>
        </c:manualLayout>
      </c:layout>
      <c:spPr>
        <a:noFill/>
        <a:ln>
          <a:noFill/>
        </a:ln>
        <a:effectLst/>
      </c:spPr>
    </c:title>
    <c:plotArea>
      <c:layout/>
      <c:lineChart>
        <c:grouping val="standard"/>
        <c:ser>
          <c:idx val="0"/>
          <c:order val="0"/>
          <c:tx>
            <c:strRef>
              <c:f>'30.07 Najjeera-Kiwatule'!$S$9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'30.07 Najjeera-Kiwatule'!$R$10:$R$21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'30.07 Najjeera-Kiwatule'!$S$10:$S$21</c:f>
              <c:numCache>
                <c:formatCode>0</c:formatCode>
                <c:ptCount val="12"/>
                <c:pt idx="0">
                  <c:v>586</c:v>
                </c:pt>
                <c:pt idx="1">
                  <c:v>578</c:v>
                </c:pt>
                <c:pt idx="2">
                  <c:v>318</c:v>
                </c:pt>
                <c:pt idx="3">
                  <c:v>294</c:v>
                </c:pt>
                <c:pt idx="4">
                  <c:v>318</c:v>
                </c:pt>
                <c:pt idx="5">
                  <c:v>296</c:v>
                </c:pt>
                <c:pt idx="6">
                  <c:v>232</c:v>
                </c:pt>
                <c:pt idx="7">
                  <c:v>173</c:v>
                </c:pt>
                <c:pt idx="8">
                  <c:v>221</c:v>
                </c:pt>
                <c:pt idx="9">
                  <c:v>245</c:v>
                </c:pt>
                <c:pt idx="10">
                  <c:v>229</c:v>
                </c:pt>
                <c:pt idx="11">
                  <c:v>208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EEE7-484C-BD81-92E397547986}"/>
            </c:ext>
          </c:extLst>
        </c:ser>
        <c:ser>
          <c:idx val="1"/>
          <c:order val="1"/>
          <c:tx>
            <c:strRef>
              <c:f>'30.07 Najjeera-Kiwatule'!$T$9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'30.07 Najjeera-Kiwatule'!$R$10:$R$21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'30.07 Najjeera-Kiwatule'!$T$10:$T$21</c:f>
              <c:numCache>
                <c:formatCode>0</c:formatCode>
                <c:ptCount val="12"/>
                <c:pt idx="0">
                  <c:v>59</c:v>
                </c:pt>
                <c:pt idx="1">
                  <c:v>82</c:v>
                </c:pt>
                <c:pt idx="2">
                  <c:v>51</c:v>
                </c:pt>
                <c:pt idx="3">
                  <c:v>45</c:v>
                </c:pt>
                <c:pt idx="4">
                  <c:v>49</c:v>
                </c:pt>
                <c:pt idx="5">
                  <c:v>30</c:v>
                </c:pt>
                <c:pt idx="6">
                  <c:v>35</c:v>
                </c:pt>
                <c:pt idx="7">
                  <c:v>31</c:v>
                </c:pt>
                <c:pt idx="8">
                  <c:v>32</c:v>
                </c:pt>
                <c:pt idx="9">
                  <c:v>41</c:v>
                </c:pt>
                <c:pt idx="10">
                  <c:v>33</c:v>
                </c:pt>
                <c:pt idx="11">
                  <c:v>27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EEE7-484C-BD81-92E397547986}"/>
            </c:ext>
          </c:extLst>
        </c:ser>
        <c:ser>
          <c:idx val="2"/>
          <c:order val="2"/>
          <c:tx>
            <c:strRef>
              <c:f>'30.07 Najjeera-Kiwatule'!$U$9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'30.07 Najjeera-Kiwatule'!$U$10:$U$21</c:f>
              <c:numCache>
                <c:formatCode>0</c:formatCode>
                <c:ptCount val="12"/>
                <c:pt idx="0">
                  <c:v>28</c:v>
                </c:pt>
                <c:pt idx="1">
                  <c:v>26</c:v>
                </c:pt>
                <c:pt idx="2">
                  <c:v>30</c:v>
                </c:pt>
                <c:pt idx="3">
                  <c:v>24</c:v>
                </c:pt>
                <c:pt idx="4">
                  <c:v>33</c:v>
                </c:pt>
                <c:pt idx="5">
                  <c:v>23</c:v>
                </c:pt>
                <c:pt idx="6">
                  <c:v>26</c:v>
                </c:pt>
                <c:pt idx="7">
                  <c:v>11</c:v>
                </c:pt>
                <c:pt idx="8">
                  <c:v>22</c:v>
                </c:pt>
                <c:pt idx="9">
                  <c:v>17</c:v>
                </c:pt>
                <c:pt idx="10">
                  <c:v>13</c:v>
                </c:pt>
                <c:pt idx="11">
                  <c:v>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EEE7-484C-BD81-92E397547986}"/>
            </c:ext>
          </c:extLst>
        </c:ser>
        <c:ser>
          <c:idx val="3"/>
          <c:order val="3"/>
          <c:tx>
            <c:strRef>
              <c:f>'30.07 Najjeera-Kiwatule'!$V$9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'30.07 Najjeera-Kiwatule'!$V$10:$V$21</c:f>
              <c:numCache>
                <c:formatCode>0</c:formatCode>
                <c:ptCount val="12"/>
                <c:pt idx="0">
                  <c:v>71</c:v>
                </c:pt>
                <c:pt idx="1">
                  <c:v>90</c:v>
                </c:pt>
                <c:pt idx="2">
                  <c:v>52</c:v>
                </c:pt>
                <c:pt idx="3">
                  <c:v>49</c:v>
                </c:pt>
                <c:pt idx="4">
                  <c:v>48</c:v>
                </c:pt>
                <c:pt idx="5">
                  <c:v>59</c:v>
                </c:pt>
                <c:pt idx="6">
                  <c:v>54</c:v>
                </c:pt>
                <c:pt idx="7">
                  <c:v>46</c:v>
                </c:pt>
                <c:pt idx="8">
                  <c:v>50</c:v>
                </c:pt>
                <c:pt idx="9">
                  <c:v>55</c:v>
                </c:pt>
                <c:pt idx="10">
                  <c:v>52</c:v>
                </c:pt>
                <c:pt idx="11">
                  <c:v>42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EEE7-484C-BD81-92E397547986}"/>
            </c:ext>
          </c:extLst>
        </c:ser>
        <c:ser>
          <c:idx val="4"/>
          <c:order val="4"/>
          <c:tx>
            <c:strRef>
              <c:f>'30.07 Najjeera-Kiwatule'!$W$9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'30.07 Najjeera-Kiwatule'!$W$10:$W$21</c:f>
              <c:numCache>
                <c:formatCode>0</c:formatCode>
                <c:ptCount val="12"/>
                <c:pt idx="0">
                  <c:v>2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3</c:v>
                </c:pt>
                <c:pt idx="11">
                  <c:v>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EEE7-484C-BD81-92E397547986}"/>
            </c:ext>
          </c:extLst>
        </c:ser>
        <c:ser>
          <c:idx val="5"/>
          <c:order val="5"/>
          <c:tx>
            <c:strRef>
              <c:f>'30.07 Najjeera-Kiwatule'!$X$9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'30.07 Najjeera-Kiwatule'!$X$10:$X$21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EEE7-484C-BD81-92E397547986}"/>
            </c:ext>
          </c:extLst>
        </c:ser>
        <c:ser>
          <c:idx val="6"/>
          <c:order val="6"/>
          <c:tx>
            <c:strRef>
              <c:f>'30.07 Najjeera-Kiwatule'!$Y$9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'30.07 Najjeera-Kiwatule'!$Y$10:$Y$21</c:f>
              <c:numCache>
                <c:formatCode>0</c:formatCode>
                <c:ptCount val="12"/>
                <c:pt idx="0">
                  <c:v>8</c:v>
                </c:pt>
                <c:pt idx="1">
                  <c:v>11</c:v>
                </c:pt>
                <c:pt idx="2">
                  <c:v>15</c:v>
                </c:pt>
                <c:pt idx="3">
                  <c:v>15</c:v>
                </c:pt>
                <c:pt idx="4">
                  <c:v>17</c:v>
                </c:pt>
                <c:pt idx="5">
                  <c:v>15</c:v>
                </c:pt>
                <c:pt idx="6">
                  <c:v>16</c:v>
                </c:pt>
                <c:pt idx="7">
                  <c:v>10</c:v>
                </c:pt>
                <c:pt idx="8">
                  <c:v>23</c:v>
                </c:pt>
                <c:pt idx="9">
                  <c:v>23</c:v>
                </c:pt>
                <c:pt idx="10">
                  <c:v>21</c:v>
                </c:pt>
                <c:pt idx="11">
                  <c:v>11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EEE7-484C-BD81-92E397547986}"/>
            </c:ext>
          </c:extLst>
        </c:ser>
        <c:ser>
          <c:idx val="7"/>
          <c:order val="7"/>
          <c:tx>
            <c:strRef>
              <c:f>'30.07 Najjeera-Kiwatule'!$Z$9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'30.07 Najjeera-Kiwatule'!$Z$10:$Z$21</c:f>
              <c:numCache>
                <c:formatCode>0</c:formatCode>
                <c:ptCount val="12"/>
                <c:pt idx="0">
                  <c:v>0</c:v>
                </c:pt>
                <c:pt idx="1">
                  <c:v>4</c:v>
                </c:pt>
                <c:pt idx="2">
                  <c:v>2</c:v>
                </c:pt>
                <c:pt idx="3">
                  <c:v>4</c:v>
                </c:pt>
                <c:pt idx="4">
                  <c:v>3</c:v>
                </c:pt>
                <c:pt idx="5">
                  <c:v>6</c:v>
                </c:pt>
                <c:pt idx="6">
                  <c:v>3</c:v>
                </c:pt>
                <c:pt idx="7">
                  <c:v>2</c:v>
                </c:pt>
                <c:pt idx="8">
                  <c:v>8</c:v>
                </c:pt>
                <c:pt idx="9">
                  <c:v>14</c:v>
                </c:pt>
                <c:pt idx="10">
                  <c:v>3</c:v>
                </c:pt>
                <c:pt idx="11">
                  <c:v>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7-EEE7-484C-BD81-92E397547986}"/>
            </c:ext>
          </c:extLst>
        </c:ser>
        <c:ser>
          <c:idx val="8"/>
          <c:order val="8"/>
          <c:tx>
            <c:strRef>
              <c:f>'30.07 Najjeera-Kiwatule'!$AA$9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'30.07 Najjeera-Kiwatule'!$AA$10:$AA$21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2</c:v>
                </c:pt>
                <c:pt idx="3">
                  <c:v>1</c:v>
                </c:pt>
                <c:pt idx="4">
                  <c:v>3</c:v>
                </c:pt>
                <c:pt idx="5">
                  <c:v>4</c:v>
                </c:pt>
                <c:pt idx="6">
                  <c:v>2</c:v>
                </c:pt>
                <c:pt idx="7">
                  <c:v>1</c:v>
                </c:pt>
                <c:pt idx="8">
                  <c:v>1</c:v>
                </c:pt>
                <c:pt idx="9">
                  <c:v>2</c:v>
                </c:pt>
                <c:pt idx="10">
                  <c:v>3</c:v>
                </c:pt>
                <c:pt idx="1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8-EEE7-484C-BD81-92E397547986}"/>
            </c:ext>
          </c:extLst>
        </c:ser>
        <c:ser>
          <c:idx val="9"/>
          <c:order val="9"/>
          <c:tx>
            <c:strRef>
              <c:f>'30.07 Najjeera-Kiwatule'!$AB$9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'30.07 Najjeera-Kiwatule'!$AB$10:$AB$21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9-EEE7-484C-BD81-92E397547986}"/>
            </c:ext>
          </c:extLst>
        </c:ser>
        <c:ser>
          <c:idx val="10"/>
          <c:order val="10"/>
          <c:tx>
            <c:strRef>
              <c:f>'30.07 Najjeera-Kiwatule'!$AC$9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'30.07 Najjeera-Kiwatule'!$AC$10:$AC$21</c:f>
              <c:numCache>
                <c:formatCode>0</c:formatCode>
                <c:ptCount val="12"/>
                <c:pt idx="0">
                  <c:v>455</c:v>
                </c:pt>
                <c:pt idx="1">
                  <c:v>495</c:v>
                </c:pt>
                <c:pt idx="2">
                  <c:v>435</c:v>
                </c:pt>
                <c:pt idx="3">
                  <c:v>410</c:v>
                </c:pt>
                <c:pt idx="4">
                  <c:v>433</c:v>
                </c:pt>
                <c:pt idx="5">
                  <c:v>350</c:v>
                </c:pt>
                <c:pt idx="6">
                  <c:v>452</c:v>
                </c:pt>
                <c:pt idx="7">
                  <c:v>310</c:v>
                </c:pt>
                <c:pt idx="8">
                  <c:v>287</c:v>
                </c:pt>
                <c:pt idx="9">
                  <c:v>294</c:v>
                </c:pt>
                <c:pt idx="10">
                  <c:v>403</c:v>
                </c:pt>
                <c:pt idx="11">
                  <c:v>475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EEE7-484C-BD81-92E397547986}"/>
            </c:ext>
          </c:extLst>
        </c:ser>
        <c:ser>
          <c:idx val="11"/>
          <c:order val="11"/>
          <c:tx>
            <c:strRef>
              <c:f>'30.07 Najjeera-Kiwatule'!$AD$9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'30.07 Najjeera-Kiwatule'!$AD$10:$AD$21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B-EEE7-484C-BD81-92E397547986}"/>
            </c:ext>
          </c:extLst>
        </c:ser>
        <c:marker val="1"/>
        <c:axId val="90636672"/>
        <c:axId val="90638208"/>
      </c:lineChart>
      <c:catAx>
        <c:axId val="90636672"/>
        <c:scaling>
          <c:orientation val="minMax"/>
        </c:scaling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0638208"/>
        <c:crosses val="autoZero"/>
        <c:auto val="1"/>
        <c:lblAlgn val="ctr"/>
        <c:lblOffset val="100"/>
      </c:catAx>
      <c:valAx>
        <c:axId val="90638208"/>
        <c:scaling>
          <c:orientation val="minMax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spPr>
            <a:noFill/>
            <a:ln>
              <a:noFill/>
            </a:ln>
            <a:effectLst/>
          </c:spPr>
        </c:title>
        <c:numFmt formatCode="0" sourceLinked="1"/>
        <c:maj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0636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3" l="0.70000000000000062" r="0.70000000000000062" t="0.750000000000003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spPr>
        <a:noFill/>
        <a:ln>
          <a:noFill/>
        </a:ln>
        <a:effectLst/>
      </c:spPr>
    </c:title>
    <c:view3D>
      <c:rotX val="30"/>
      <c:depthPercent val="100"/>
      <c:perspective val="30"/>
    </c:view3D>
    <c:floor>
      <c:spPr>
        <a:noFill/>
        <a:ln>
          <a:noFill/>
        </a:ln>
        <a:effectLst/>
        <a:sp3d/>
      </c:spPr>
    </c:floor>
    <c:sideWall>
      <c:spPr>
        <a:noFill/>
        <a:ln>
          <a:noFill/>
        </a:ln>
        <a:effectLst/>
        <a:sp3d/>
      </c:spPr>
    </c:sideWall>
    <c:backWall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D13E-4D2A-8551-63DD0883CC0B}"/>
              </c:ext>
            </c:extLst>
          </c:dPt>
          <c:dPt>
            <c:idx val="1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D13E-4D2A-8551-63DD0883CC0B}"/>
              </c:ext>
            </c:extLst>
          </c:dPt>
          <c:dPt>
            <c:idx val="2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D13E-4D2A-8551-63DD0883CC0B}"/>
              </c:ext>
            </c:extLst>
          </c:dPt>
          <c:dPt>
            <c:idx val="3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D13E-4D2A-8551-63DD0883CC0B}"/>
              </c:ext>
            </c:extLst>
          </c:dPt>
          <c:dPt>
            <c:idx val="4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D13E-4D2A-8551-63DD0883CC0B}"/>
              </c:ext>
            </c:extLst>
          </c:dPt>
          <c:dPt>
            <c:idx val="5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D13E-4D2A-8551-63DD0883CC0B}"/>
              </c:ext>
            </c:extLst>
          </c:dPt>
          <c:dPt>
            <c:idx val="6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D13E-4D2A-8551-63DD0883CC0B}"/>
              </c:ext>
            </c:extLst>
          </c:dPt>
          <c:dPt>
            <c:idx val="7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F-D13E-4D2A-8551-63DD0883CC0B}"/>
              </c:ext>
            </c:extLst>
          </c:dPt>
          <c:dPt>
            <c:idx val="8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1-D13E-4D2A-8551-63DD0883CC0B}"/>
              </c:ext>
            </c:extLst>
          </c:dPt>
          <c:dPt>
            <c:idx val="9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3-D13E-4D2A-8551-63DD0883CC0B}"/>
              </c:ext>
            </c:extLst>
          </c:dPt>
          <c:dPt>
            <c:idx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5-D13E-4D2A-8551-63DD0883CC0B}"/>
              </c:ext>
            </c:extLst>
          </c:dPt>
          <c:dPt>
            <c:idx val="11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7-D13E-4D2A-8551-63DD0883CC0B}"/>
              </c:ext>
            </c:extLst>
          </c:dPt>
          <c:dLbls>
            <c:dLbl>
              <c:idx val="10"/>
              <c:layout>
                <c:manualLayout>
                  <c:x val="-2.6175304576939895E-2"/>
                  <c:y val="-3.2434080003295201E-2"/>
                </c:manualLayout>
              </c:layout>
              <c:showVal val="1"/>
              <c:showCatNam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13E-4D2A-8551-63DD0883CC0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Val val="1"/>
            <c:showCatName val="1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'30.07 Najjeera-Kiwatule'!$C$9:$N$9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'30.07 Najjeera-Kiwatule'!$C$60:$N$60</c:f>
              <c:numCache>
                <c:formatCode>0.00%</c:formatCode>
                <c:ptCount val="12"/>
                <c:pt idx="0">
                  <c:v>0.68253968253968256</c:v>
                </c:pt>
                <c:pt idx="1">
                  <c:v>9.5053525286083421E-2</c:v>
                </c:pt>
                <c:pt idx="2">
                  <c:v>4.8357327427094872E-2</c:v>
                </c:pt>
                <c:pt idx="3">
                  <c:v>0.12329272794389073</c:v>
                </c:pt>
                <c:pt idx="4">
                  <c:v>2.2148394241417496E-3</c:v>
                </c:pt>
                <c:pt idx="5">
                  <c:v>0</c:v>
                </c:pt>
                <c:pt idx="6">
                  <c:v>3.4145441122185309E-2</c:v>
                </c:pt>
                <c:pt idx="7">
                  <c:v>9.782207456626061E-3</c:v>
                </c:pt>
                <c:pt idx="8">
                  <c:v>3.6913990402362494E-3</c:v>
                </c:pt>
                <c:pt idx="9">
                  <c:v>7.3827980804724988E-4</c:v>
                </c:pt>
                <c:pt idx="11">
                  <c:v>1.8456995201181247E-4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8-D13E-4D2A-8551-63DD0883CC0B}"/>
            </c:ext>
          </c:extLst>
        </c:ser>
      </c:pie3DChart>
      <c:spPr>
        <a:noFill/>
        <a:ln>
          <a:noFill/>
        </a:ln>
        <a:effectLst/>
      </c:spPr>
    </c:plotArea>
    <c:plotVisOnly val="1"/>
    <c:dispBlanksAs val="zero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3" l="0.70000000000000062" r="0.70000000000000062" t="0.750000000000003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398"/>
          <c:y val="2.6504260748158488E-2"/>
        </c:manualLayout>
      </c:layout>
      <c:spPr>
        <a:noFill/>
        <a:ln>
          <a:noFill/>
        </a:ln>
        <a:effectLst/>
      </c:spPr>
    </c:title>
    <c:plotArea>
      <c:layout/>
      <c:lineChart>
        <c:grouping val="standard"/>
        <c:ser>
          <c:idx val="0"/>
          <c:order val="0"/>
          <c:tx>
            <c:strRef>
              <c:f>'30.07 Kiwatule-Najjeera'!$AE$9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'30.07 Kiwatule-Najjeera'!$R$10:$R$21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'30.07 Kiwatule-Najjeera'!$AE$10:$AE$21</c:f>
              <c:numCache>
                <c:formatCode>0</c:formatCode>
                <c:ptCount val="12"/>
                <c:pt idx="0">
                  <c:v>266</c:v>
                </c:pt>
                <c:pt idx="1">
                  <c:v>210</c:v>
                </c:pt>
                <c:pt idx="2">
                  <c:v>184</c:v>
                </c:pt>
                <c:pt idx="3">
                  <c:v>159</c:v>
                </c:pt>
                <c:pt idx="4">
                  <c:v>236</c:v>
                </c:pt>
                <c:pt idx="5">
                  <c:v>259</c:v>
                </c:pt>
                <c:pt idx="6">
                  <c:v>309</c:v>
                </c:pt>
                <c:pt idx="7">
                  <c:v>201</c:v>
                </c:pt>
                <c:pt idx="8">
                  <c:v>419</c:v>
                </c:pt>
                <c:pt idx="9">
                  <c:v>586</c:v>
                </c:pt>
                <c:pt idx="10">
                  <c:v>668</c:v>
                </c:pt>
                <c:pt idx="11">
                  <c:v>798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E57-4E01-B444-33D7FA1808CD}"/>
            </c:ext>
          </c:extLst>
        </c:ser>
        <c:ser>
          <c:idx val="1"/>
          <c:order val="1"/>
          <c:tx>
            <c:strRef>
              <c:f>'30.07 Kiwatule-Najjeera'!$AF$9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'30.07 Kiwatule-Najjeera'!$R$10:$R$21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'30.07 Kiwatule-Najjeera'!$AF$10:$AF$21</c:f>
              <c:numCache>
                <c:formatCode>0</c:formatCode>
                <c:ptCount val="12"/>
                <c:pt idx="0">
                  <c:v>416</c:v>
                </c:pt>
                <c:pt idx="1">
                  <c:v>436</c:v>
                </c:pt>
                <c:pt idx="2">
                  <c:v>410</c:v>
                </c:pt>
                <c:pt idx="3">
                  <c:v>260</c:v>
                </c:pt>
                <c:pt idx="4">
                  <c:v>379</c:v>
                </c:pt>
                <c:pt idx="5">
                  <c:v>401</c:v>
                </c:pt>
                <c:pt idx="6">
                  <c:v>442</c:v>
                </c:pt>
                <c:pt idx="7">
                  <c:v>281</c:v>
                </c:pt>
                <c:pt idx="8">
                  <c:v>552</c:v>
                </c:pt>
                <c:pt idx="9">
                  <c:v>778</c:v>
                </c:pt>
                <c:pt idx="10">
                  <c:v>952</c:v>
                </c:pt>
                <c:pt idx="11">
                  <c:v>1122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4E57-4E01-B444-33D7FA1808CD}"/>
            </c:ext>
          </c:extLst>
        </c:ser>
        <c:marker val="1"/>
        <c:axId val="91040384"/>
        <c:axId val="91079424"/>
      </c:lineChart>
      <c:catAx>
        <c:axId val="91040384"/>
        <c:scaling>
          <c:orientation val="minMax"/>
        </c:scaling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1079424"/>
        <c:crosses val="autoZero"/>
        <c:auto val="1"/>
        <c:lblAlgn val="ctr"/>
        <c:lblOffset val="100"/>
      </c:catAx>
      <c:valAx>
        <c:axId val="91079424"/>
        <c:scaling>
          <c:orientation val="minMax"/>
          <c:min val="0"/>
        </c:scaling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spPr>
            <a:noFill/>
            <a:ln>
              <a:noFill/>
            </a:ln>
            <a:effectLst/>
          </c:spPr>
        </c:title>
        <c:numFmt formatCode="0" sourceLinked="1"/>
        <c:maj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1040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322" l="0.70000000000000062" r="0.70000000000000062" t="0.75000000000000322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spPr>
        <a:noFill/>
        <a:ln>
          <a:noFill/>
        </a:ln>
        <a:effectLst/>
      </c:spPr>
    </c:title>
    <c:view3D>
      <c:rotX val="30"/>
      <c:depthPercent val="100"/>
      <c:perspective val="30"/>
    </c:view3D>
    <c:floor>
      <c:spPr>
        <a:noFill/>
        <a:ln>
          <a:noFill/>
        </a:ln>
        <a:effectLst/>
        <a:sp3d/>
      </c:spPr>
    </c:floor>
    <c:sideWall>
      <c:spPr>
        <a:noFill/>
        <a:ln>
          <a:noFill/>
        </a:ln>
        <a:effectLst/>
        <a:sp3d/>
      </c:spPr>
    </c:sideWall>
    <c:backWall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5161-4E7D-9CEC-CABF73E743EC}"/>
              </c:ext>
            </c:extLst>
          </c:dPt>
          <c:dPt>
            <c:idx val="1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5161-4E7D-9CEC-CABF73E743EC}"/>
              </c:ext>
            </c:extLst>
          </c:dPt>
          <c:dPt>
            <c:idx val="2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5161-4E7D-9CEC-CABF73E743EC}"/>
              </c:ext>
            </c:extLst>
          </c:dPt>
          <c:dPt>
            <c:idx val="3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5161-4E7D-9CEC-CABF73E743EC}"/>
              </c:ext>
            </c:extLst>
          </c:dPt>
          <c:dPt>
            <c:idx val="4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5161-4E7D-9CEC-CABF73E743EC}"/>
              </c:ext>
            </c:extLst>
          </c:dPt>
          <c:dPt>
            <c:idx val="5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5161-4E7D-9CEC-CABF73E743EC}"/>
              </c:ext>
            </c:extLst>
          </c:dPt>
          <c:dPt>
            <c:idx val="6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5161-4E7D-9CEC-CABF73E743EC}"/>
              </c:ext>
            </c:extLst>
          </c:dPt>
          <c:dPt>
            <c:idx val="7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F-5161-4E7D-9CEC-CABF73E743EC}"/>
              </c:ext>
            </c:extLst>
          </c:dPt>
          <c:dPt>
            <c:idx val="8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1-5161-4E7D-9CEC-CABF73E743EC}"/>
              </c:ext>
            </c:extLst>
          </c:dPt>
          <c:dPt>
            <c:idx val="9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3-5161-4E7D-9CEC-CABF73E743EC}"/>
              </c:ext>
            </c:extLst>
          </c:dPt>
          <c:dPt>
            <c:idx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5-5161-4E7D-9CEC-CABF73E743EC}"/>
              </c:ext>
            </c:extLst>
          </c:dPt>
          <c:dPt>
            <c:idx val="11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7-5161-4E7D-9CEC-CABF73E743EC}"/>
              </c:ext>
            </c:extLst>
          </c:dPt>
          <c:dLbls>
            <c:dLbl>
              <c:idx val="10"/>
              <c:layout>
                <c:manualLayout>
                  <c:x val="-2.6175304576939895E-2"/>
                  <c:y val="-3.2434080003295201E-2"/>
                </c:manualLayout>
              </c:layout>
              <c:showVal val="1"/>
              <c:showCatNam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161-4E7D-9CEC-CABF73E743E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Val val="1"/>
            <c:showCatName val="1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'30.07 Kiwatule-Najjeera'!$C$9:$N$9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'30.07 Kiwatule-Najjeera'!$C$59:$N$59</c:f>
              <c:numCache>
                <c:formatCode>0.0%</c:formatCode>
                <c:ptCount val="12"/>
                <c:pt idx="0">
                  <c:v>0.42121636335355422</c:v>
                </c:pt>
                <c:pt idx="1">
                  <c:v>6.9684243272670712E-2</c:v>
                </c:pt>
                <c:pt idx="2">
                  <c:v>2.6909317156634003E-2</c:v>
                </c:pt>
                <c:pt idx="3">
                  <c:v>0.10623736195364754</c:v>
                </c:pt>
                <c:pt idx="4">
                  <c:v>3.5775392751594337E-3</c:v>
                </c:pt>
                <c:pt idx="5">
                  <c:v>1.5554518587649713E-4</c:v>
                </c:pt>
                <c:pt idx="6">
                  <c:v>3.5930937937470833E-2</c:v>
                </c:pt>
                <c:pt idx="7">
                  <c:v>3.2664489034064394E-3</c:v>
                </c:pt>
                <c:pt idx="8">
                  <c:v>9.3327111525898275E-4</c:v>
                </c:pt>
                <c:pt idx="9">
                  <c:v>1.5554518587649713E-4</c:v>
                </c:pt>
                <c:pt idx="10">
                  <c:v>0.33193342666044484</c:v>
                </c:pt>
                <c:pt idx="1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8-5161-4E7D-9CEC-CABF73E743EC}"/>
            </c:ext>
          </c:extLst>
        </c:ser>
      </c:pie3DChart>
      <c:spPr>
        <a:noFill/>
        <a:ln>
          <a:noFill/>
        </a:ln>
        <a:effectLst/>
      </c:spPr>
    </c:plotArea>
    <c:plotVisOnly val="1"/>
    <c:dispBlanksAs val="zero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3" l="0.70000000000000062" r="0.70000000000000062" t="0.750000000000003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spPr>
        <a:noFill/>
        <a:ln>
          <a:noFill/>
        </a:ln>
        <a:effectLst/>
      </c:spPr>
    </c:title>
    <c:view3D>
      <c:rotX val="30"/>
      <c:depthPercent val="100"/>
      <c:perspective val="30"/>
    </c:view3D>
    <c:floor>
      <c:spPr>
        <a:noFill/>
        <a:ln>
          <a:noFill/>
        </a:ln>
        <a:effectLst/>
        <a:sp3d/>
      </c:spPr>
    </c:floor>
    <c:sideWall>
      <c:spPr>
        <a:noFill/>
        <a:ln>
          <a:noFill/>
        </a:ln>
        <a:effectLst/>
        <a:sp3d/>
      </c:spPr>
    </c:sideWall>
    <c:backWall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6E42-4CDD-86E3-A4C2F2E44AF9}"/>
              </c:ext>
            </c:extLst>
          </c:dPt>
          <c:dPt>
            <c:idx val="1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6E42-4CDD-86E3-A4C2F2E44AF9}"/>
              </c:ext>
            </c:extLst>
          </c:dPt>
          <c:dPt>
            <c:idx val="2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6E42-4CDD-86E3-A4C2F2E44AF9}"/>
              </c:ext>
            </c:extLst>
          </c:dPt>
          <c:dPt>
            <c:idx val="3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6E42-4CDD-86E3-A4C2F2E44AF9}"/>
              </c:ext>
            </c:extLst>
          </c:dPt>
          <c:dPt>
            <c:idx val="4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6E42-4CDD-86E3-A4C2F2E44AF9}"/>
              </c:ext>
            </c:extLst>
          </c:dPt>
          <c:dPt>
            <c:idx val="5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6E42-4CDD-86E3-A4C2F2E44AF9}"/>
              </c:ext>
            </c:extLst>
          </c:dPt>
          <c:dPt>
            <c:idx val="6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6E42-4CDD-86E3-A4C2F2E44AF9}"/>
              </c:ext>
            </c:extLst>
          </c:dPt>
          <c:dPt>
            <c:idx val="7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F-6E42-4CDD-86E3-A4C2F2E44AF9}"/>
              </c:ext>
            </c:extLst>
          </c:dPt>
          <c:dPt>
            <c:idx val="8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1-6E42-4CDD-86E3-A4C2F2E44AF9}"/>
              </c:ext>
            </c:extLst>
          </c:dPt>
          <c:dPt>
            <c:idx val="9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3-6E42-4CDD-86E3-A4C2F2E44AF9}"/>
              </c:ext>
            </c:extLst>
          </c:dPt>
          <c:dPt>
            <c:idx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5-6E42-4CDD-86E3-A4C2F2E44AF9}"/>
              </c:ext>
            </c:extLst>
          </c:dPt>
          <c:dPt>
            <c:idx val="11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7-6E42-4CDD-86E3-A4C2F2E44AF9}"/>
              </c:ext>
            </c:extLst>
          </c:dPt>
          <c:dLbls>
            <c:dLbl>
              <c:idx val="10"/>
              <c:layout>
                <c:manualLayout>
                  <c:x val="-2.6175304576939895E-2"/>
                  <c:y val="-3.2434080003295201E-2"/>
                </c:manualLayout>
              </c:layout>
              <c:showVal val="1"/>
              <c:showCatNam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E42-4CDD-86E3-A4C2F2E44AF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Val val="1"/>
            <c:showCatName val="1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'30.07 Kiwatule-Najjeera'!$C$9:$N$9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'30.07 Kiwatule-Najjeera'!$C$60:$N$60</c:f>
              <c:numCache>
                <c:formatCode>0.00%</c:formatCode>
                <c:ptCount val="12"/>
                <c:pt idx="0">
                  <c:v>0.63050058207217696</c:v>
                </c:pt>
                <c:pt idx="1">
                  <c:v>0.10430733410942956</c:v>
                </c:pt>
                <c:pt idx="2">
                  <c:v>4.0279394644935969E-2</c:v>
                </c:pt>
                <c:pt idx="3">
                  <c:v>0.15902211874272409</c:v>
                </c:pt>
                <c:pt idx="4">
                  <c:v>5.3550640279394646E-3</c:v>
                </c:pt>
                <c:pt idx="5">
                  <c:v>2.3282887077997672E-4</c:v>
                </c:pt>
                <c:pt idx="6">
                  <c:v>5.3783469150174623E-2</c:v>
                </c:pt>
                <c:pt idx="7">
                  <c:v>4.889406286379511E-3</c:v>
                </c:pt>
                <c:pt idx="8">
                  <c:v>1.3969732246798604E-3</c:v>
                </c:pt>
                <c:pt idx="9">
                  <c:v>2.3282887077997672E-4</c:v>
                </c:pt>
                <c:pt idx="1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8-6E42-4CDD-86E3-A4C2F2E44AF9}"/>
            </c:ext>
          </c:extLst>
        </c:ser>
      </c:pie3DChart>
      <c:spPr>
        <a:noFill/>
        <a:ln>
          <a:noFill/>
        </a:ln>
        <a:effectLst/>
      </c:spPr>
    </c:plotArea>
    <c:plotVisOnly val="1"/>
    <c:dispBlanksAs val="zero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3" l="0.70000000000000062" r="0.70000000000000062" t="0.750000000000003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398"/>
          <c:y val="2.6504260748158488E-2"/>
        </c:manualLayout>
      </c:layout>
      <c:spPr>
        <a:noFill/>
        <a:ln>
          <a:noFill/>
        </a:ln>
        <a:effectLst/>
      </c:spPr>
    </c:title>
    <c:plotArea>
      <c:layout/>
      <c:lineChart>
        <c:grouping val="standard"/>
        <c:ser>
          <c:idx val="0"/>
          <c:order val="0"/>
          <c:tx>
            <c:strRef>
              <c:f>'31.07 Najjeera-Kiwatule'!$AE$9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'31.07 Najjeera-Kiwatule'!$R$10:$R$21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'31.07 Najjeera-Kiwatule'!$AE$10:$AE$21</c:f>
              <c:numCache>
                <c:formatCode>0</c:formatCode>
                <c:ptCount val="12"/>
                <c:pt idx="0">
                  <c:v>835</c:v>
                </c:pt>
                <c:pt idx="1">
                  <c:v>801</c:v>
                </c:pt>
                <c:pt idx="2">
                  <c:v>546</c:v>
                </c:pt>
                <c:pt idx="3">
                  <c:v>500</c:v>
                </c:pt>
                <c:pt idx="4">
                  <c:v>451</c:v>
                </c:pt>
                <c:pt idx="5">
                  <c:v>346</c:v>
                </c:pt>
                <c:pt idx="6">
                  <c:v>463</c:v>
                </c:pt>
                <c:pt idx="7">
                  <c:v>370</c:v>
                </c:pt>
                <c:pt idx="8">
                  <c:v>381</c:v>
                </c:pt>
                <c:pt idx="9">
                  <c:v>429</c:v>
                </c:pt>
                <c:pt idx="10">
                  <c:v>350</c:v>
                </c:pt>
                <c:pt idx="11">
                  <c:v>256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61-4EFF-B3FE-B7ED65A6BB38}"/>
            </c:ext>
          </c:extLst>
        </c:ser>
        <c:ser>
          <c:idx val="1"/>
          <c:order val="1"/>
          <c:tx>
            <c:strRef>
              <c:f>'31.07 Najjeera-Kiwatule'!$AF$9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'31.07 Najjeera-Kiwatule'!$R$10:$R$21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'31.07 Najjeera-Kiwatule'!$AF$10:$AF$21</c:f>
              <c:numCache>
                <c:formatCode>0</c:formatCode>
                <c:ptCount val="12"/>
                <c:pt idx="0">
                  <c:v>1285</c:v>
                </c:pt>
                <c:pt idx="1">
                  <c:v>1383</c:v>
                </c:pt>
                <c:pt idx="2">
                  <c:v>1022</c:v>
                </c:pt>
                <c:pt idx="3">
                  <c:v>838</c:v>
                </c:pt>
                <c:pt idx="4">
                  <c:v>776</c:v>
                </c:pt>
                <c:pt idx="5">
                  <c:v>702</c:v>
                </c:pt>
                <c:pt idx="6">
                  <c:v>787</c:v>
                </c:pt>
                <c:pt idx="7">
                  <c:v>729</c:v>
                </c:pt>
                <c:pt idx="8">
                  <c:v>666</c:v>
                </c:pt>
                <c:pt idx="9">
                  <c:v>751</c:v>
                </c:pt>
                <c:pt idx="10">
                  <c:v>750</c:v>
                </c:pt>
                <c:pt idx="11">
                  <c:v>671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4C61-4EFF-B3FE-B7ED65A6BB38}"/>
            </c:ext>
          </c:extLst>
        </c:ser>
        <c:marker val="1"/>
        <c:axId val="91681152"/>
        <c:axId val="91683072"/>
      </c:lineChart>
      <c:catAx>
        <c:axId val="91681152"/>
        <c:scaling>
          <c:orientation val="minMax"/>
        </c:scaling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1683072"/>
        <c:crosses val="autoZero"/>
        <c:auto val="1"/>
        <c:lblAlgn val="ctr"/>
        <c:lblOffset val="100"/>
      </c:catAx>
      <c:valAx>
        <c:axId val="91683072"/>
        <c:scaling>
          <c:orientation val="minMax"/>
          <c:min val="0"/>
        </c:scaling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spPr>
            <a:noFill/>
            <a:ln>
              <a:noFill/>
            </a:ln>
            <a:effectLst/>
          </c:spPr>
        </c:title>
        <c:numFmt formatCode="0" sourceLinked="1"/>
        <c:maj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1681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322" l="0.70000000000000062" r="0.70000000000000062" t="0.75000000000000322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spPr>
        <a:noFill/>
        <a:ln>
          <a:noFill/>
        </a:ln>
        <a:effectLst/>
      </c:spPr>
    </c:title>
    <c:view3D>
      <c:rotX val="30"/>
      <c:depthPercent val="100"/>
      <c:perspective val="30"/>
    </c:view3D>
    <c:floor>
      <c:spPr>
        <a:noFill/>
        <a:ln>
          <a:noFill/>
        </a:ln>
        <a:effectLst/>
        <a:sp3d/>
      </c:spPr>
    </c:floor>
    <c:sideWall>
      <c:spPr>
        <a:noFill/>
        <a:ln>
          <a:noFill/>
        </a:ln>
        <a:effectLst/>
        <a:sp3d/>
      </c:spPr>
    </c:sideWall>
    <c:backWall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4385-42DE-9260-DCACDBA6D289}"/>
              </c:ext>
            </c:extLst>
          </c:dPt>
          <c:dPt>
            <c:idx val="1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4385-42DE-9260-DCACDBA6D289}"/>
              </c:ext>
            </c:extLst>
          </c:dPt>
          <c:dPt>
            <c:idx val="2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4385-42DE-9260-DCACDBA6D289}"/>
              </c:ext>
            </c:extLst>
          </c:dPt>
          <c:dPt>
            <c:idx val="3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4385-42DE-9260-DCACDBA6D289}"/>
              </c:ext>
            </c:extLst>
          </c:dPt>
          <c:dPt>
            <c:idx val="4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4385-42DE-9260-DCACDBA6D289}"/>
              </c:ext>
            </c:extLst>
          </c:dPt>
          <c:dPt>
            <c:idx val="5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4385-42DE-9260-DCACDBA6D289}"/>
              </c:ext>
            </c:extLst>
          </c:dPt>
          <c:dPt>
            <c:idx val="6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4385-42DE-9260-DCACDBA6D289}"/>
              </c:ext>
            </c:extLst>
          </c:dPt>
          <c:dPt>
            <c:idx val="7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F-4385-42DE-9260-DCACDBA6D289}"/>
              </c:ext>
            </c:extLst>
          </c:dPt>
          <c:dPt>
            <c:idx val="8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1-4385-42DE-9260-DCACDBA6D289}"/>
              </c:ext>
            </c:extLst>
          </c:dPt>
          <c:dPt>
            <c:idx val="9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3-4385-42DE-9260-DCACDBA6D289}"/>
              </c:ext>
            </c:extLst>
          </c:dPt>
          <c:dPt>
            <c:idx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5-4385-42DE-9260-DCACDBA6D289}"/>
              </c:ext>
            </c:extLst>
          </c:dPt>
          <c:dPt>
            <c:idx val="11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7-4385-42DE-9260-DCACDBA6D289}"/>
              </c:ext>
            </c:extLst>
          </c:dPt>
          <c:dLbls>
            <c:dLbl>
              <c:idx val="10"/>
              <c:layout>
                <c:manualLayout>
                  <c:x val="-2.6175304576939895E-2"/>
                  <c:y val="-3.2434080003295201E-2"/>
                </c:manualLayout>
              </c:layout>
              <c:showVal val="1"/>
              <c:showCatNam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385-42DE-9260-DCACDBA6D28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Val val="1"/>
            <c:showCatName val="1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'31.07 Najjeera-Kiwatule'!$C$9:$N$9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'31.07 Najjeera-Kiwatule'!$C$59:$N$59</c:f>
              <c:numCache>
                <c:formatCode>0.0%</c:formatCode>
                <c:ptCount val="12"/>
                <c:pt idx="0">
                  <c:v>0.37519305019305021</c:v>
                </c:pt>
                <c:pt idx="1">
                  <c:v>5.0386100386100384E-2</c:v>
                </c:pt>
                <c:pt idx="2">
                  <c:v>3.1177606177606176E-2</c:v>
                </c:pt>
                <c:pt idx="3">
                  <c:v>6.9208494208494203E-2</c:v>
                </c:pt>
                <c:pt idx="4">
                  <c:v>1.5444015444015444E-3</c:v>
                </c:pt>
                <c:pt idx="5">
                  <c:v>0</c:v>
                </c:pt>
                <c:pt idx="6">
                  <c:v>2.0656370656370656E-2</c:v>
                </c:pt>
                <c:pt idx="7">
                  <c:v>3.281853281853282E-3</c:v>
                </c:pt>
                <c:pt idx="8">
                  <c:v>7.722007722007722E-4</c:v>
                </c:pt>
                <c:pt idx="9">
                  <c:v>6.7567567567567571E-4</c:v>
                </c:pt>
                <c:pt idx="10">
                  <c:v>0.44710424710424712</c:v>
                </c:pt>
                <c:pt idx="1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8-4385-42DE-9260-DCACDBA6D289}"/>
            </c:ext>
          </c:extLst>
        </c:ser>
      </c:pie3DChart>
      <c:spPr>
        <a:noFill/>
        <a:ln>
          <a:noFill/>
        </a:ln>
        <a:effectLst/>
      </c:spPr>
    </c:plotArea>
    <c:plotVisOnly val="1"/>
    <c:dispBlanksAs val="zero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3" l="0.70000000000000062" r="0.70000000000000062" t="0.750000000000003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9093"/>
          <c:y val="2.2960226637323802E-2"/>
        </c:manualLayout>
      </c:layout>
      <c:spPr>
        <a:noFill/>
        <a:ln>
          <a:noFill/>
        </a:ln>
        <a:effectLst/>
      </c:spPr>
    </c:title>
    <c:plotArea>
      <c:layout/>
      <c:lineChart>
        <c:grouping val="standard"/>
        <c:ser>
          <c:idx val="0"/>
          <c:order val="0"/>
          <c:tx>
            <c:strRef>
              <c:f>'31.07 Najjeera-Kiwatule'!$S$9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'31.07 Najjeera-Kiwatule'!$R$10:$R$21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'31.07 Najjeera-Kiwatule'!$S$10:$S$21</c:f>
              <c:numCache>
                <c:formatCode>0</c:formatCode>
                <c:ptCount val="12"/>
                <c:pt idx="0">
                  <c:v>655</c:v>
                </c:pt>
                <c:pt idx="1">
                  <c:v>580</c:v>
                </c:pt>
                <c:pt idx="2">
                  <c:v>395</c:v>
                </c:pt>
                <c:pt idx="3">
                  <c:v>317</c:v>
                </c:pt>
                <c:pt idx="4">
                  <c:v>275</c:v>
                </c:pt>
                <c:pt idx="5">
                  <c:v>226</c:v>
                </c:pt>
                <c:pt idx="6">
                  <c:v>317</c:v>
                </c:pt>
                <c:pt idx="7">
                  <c:v>239</c:v>
                </c:pt>
                <c:pt idx="8">
                  <c:v>245</c:v>
                </c:pt>
                <c:pt idx="9">
                  <c:v>282</c:v>
                </c:pt>
                <c:pt idx="10">
                  <c:v>211</c:v>
                </c:pt>
                <c:pt idx="11">
                  <c:v>145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F565-49B4-8ABB-8A67B7CF0463}"/>
            </c:ext>
          </c:extLst>
        </c:ser>
        <c:ser>
          <c:idx val="1"/>
          <c:order val="1"/>
          <c:tx>
            <c:strRef>
              <c:f>'31.07 Najjeera-Kiwatule'!$T$9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'31.07 Najjeera-Kiwatule'!$R$10:$R$21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'31.07 Najjeera-Kiwatule'!$T$10:$T$21</c:f>
              <c:numCache>
                <c:formatCode>0</c:formatCode>
                <c:ptCount val="12"/>
                <c:pt idx="0">
                  <c:v>60</c:v>
                </c:pt>
                <c:pt idx="1">
                  <c:v>83</c:v>
                </c:pt>
                <c:pt idx="2">
                  <c:v>47</c:v>
                </c:pt>
                <c:pt idx="3">
                  <c:v>62</c:v>
                </c:pt>
                <c:pt idx="4">
                  <c:v>41</c:v>
                </c:pt>
                <c:pt idx="5">
                  <c:v>32</c:v>
                </c:pt>
                <c:pt idx="6">
                  <c:v>35</c:v>
                </c:pt>
                <c:pt idx="7">
                  <c:v>30</c:v>
                </c:pt>
                <c:pt idx="8">
                  <c:v>35</c:v>
                </c:pt>
                <c:pt idx="9">
                  <c:v>48</c:v>
                </c:pt>
                <c:pt idx="10">
                  <c:v>29</c:v>
                </c:pt>
                <c:pt idx="11">
                  <c:v>20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F565-49B4-8ABB-8A67B7CF0463}"/>
            </c:ext>
          </c:extLst>
        </c:ser>
        <c:ser>
          <c:idx val="2"/>
          <c:order val="2"/>
          <c:tx>
            <c:strRef>
              <c:f>'31.07 Najjeera-Kiwatule'!$U$9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'31.07 Najjeera-Kiwatule'!$U$10:$U$21</c:f>
              <c:numCache>
                <c:formatCode>0</c:formatCode>
                <c:ptCount val="12"/>
                <c:pt idx="0">
                  <c:v>30</c:v>
                </c:pt>
                <c:pt idx="1">
                  <c:v>29</c:v>
                </c:pt>
                <c:pt idx="2">
                  <c:v>31</c:v>
                </c:pt>
                <c:pt idx="3">
                  <c:v>37</c:v>
                </c:pt>
                <c:pt idx="4">
                  <c:v>33</c:v>
                </c:pt>
                <c:pt idx="5">
                  <c:v>13</c:v>
                </c:pt>
                <c:pt idx="6">
                  <c:v>27</c:v>
                </c:pt>
                <c:pt idx="7">
                  <c:v>21</c:v>
                </c:pt>
                <c:pt idx="8">
                  <c:v>28</c:v>
                </c:pt>
                <c:pt idx="9">
                  <c:v>32</c:v>
                </c:pt>
                <c:pt idx="10">
                  <c:v>24</c:v>
                </c:pt>
                <c:pt idx="11">
                  <c:v>18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F565-49B4-8ABB-8A67B7CF0463}"/>
            </c:ext>
          </c:extLst>
        </c:ser>
        <c:ser>
          <c:idx val="3"/>
          <c:order val="3"/>
          <c:tx>
            <c:strRef>
              <c:f>'31.07 Najjeera-Kiwatule'!$V$9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'31.07 Najjeera-Kiwatule'!$V$10:$V$21</c:f>
              <c:numCache>
                <c:formatCode>0</c:formatCode>
                <c:ptCount val="12"/>
                <c:pt idx="0">
                  <c:v>78</c:v>
                </c:pt>
                <c:pt idx="1">
                  <c:v>82</c:v>
                </c:pt>
                <c:pt idx="2">
                  <c:v>54</c:v>
                </c:pt>
                <c:pt idx="3">
                  <c:v>59</c:v>
                </c:pt>
                <c:pt idx="4">
                  <c:v>66</c:v>
                </c:pt>
                <c:pt idx="5">
                  <c:v>52</c:v>
                </c:pt>
                <c:pt idx="6">
                  <c:v>58</c:v>
                </c:pt>
                <c:pt idx="7">
                  <c:v>54</c:v>
                </c:pt>
                <c:pt idx="8">
                  <c:v>55</c:v>
                </c:pt>
                <c:pt idx="9">
                  <c:v>53</c:v>
                </c:pt>
                <c:pt idx="10">
                  <c:v>56</c:v>
                </c:pt>
                <c:pt idx="11">
                  <c:v>50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F565-49B4-8ABB-8A67B7CF0463}"/>
            </c:ext>
          </c:extLst>
        </c:ser>
        <c:ser>
          <c:idx val="4"/>
          <c:order val="4"/>
          <c:tx>
            <c:strRef>
              <c:f>'31.07 Najjeera-Kiwatule'!$W$9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'31.07 Najjeera-Kiwatule'!$W$10:$W$21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1</c:v>
                </c:pt>
                <c:pt idx="10">
                  <c:v>6</c:v>
                </c:pt>
                <c:pt idx="11">
                  <c:v>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F565-49B4-8ABB-8A67B7CF0463}"/>
            </c:ext>
          </c:extLst>
        </c:ser>
        <c:ser>
          <c:idx val="5"/>
          <c:order val="5"/>
          <c:tx>
            <c:strRef>
              <c:f>'31.07 Najjeera-Kiwatule'!$X$9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'31.07 Najjeera-Kiwatule'!$X$10:$X$21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F565-49B4-8ABB-8A67B7CF0463}"/>
            </c:ext>
          </c:extLst>
        </c:ser>
        <c:ser>
          <c:idx val="6"/>
          <c:order val="6"/>
          <c:tx>
            <c:strRef>
              <c:f>'31.07 Najjeera-Kiwatule'!$Y$9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'31.07 Najjeera-Kiwatule'!$Y$10:$Y$21</c:f>
              <c:numCache>
                <c:formatCode>0</c:formatCode>
                <c:ptCount val="12"/>
                <c:pt idx="0">
                  <c:v>10</c:v>
                </c:pt>
                <c:pt idx="1">
                  <c:v>17</c:v>
                </c:pt>
                <c:pt idx="2">
                  <c:v>16</c:v>
                </c:pt>
                <c:pt idx="3">
                  <c:v>19</c:v>
                </c:pt>
                <c:pt idx="4">
                  <c:v>26</c:v>
                </c:pt>
                <c:pt idx="5">
                  <c:v>20</c:v>
                </c:pt>
                <c:pt idx="6">
                  <c:v>21</c:v>
                </c:pt>
                <c:pt idx="7">
                  <c:v>22</c:v>
                </c:pt>
                <c:pt idx="8">
                  <c:v>14</c:v>
                </c:pt>
                <c:pt idx="9">
                  <c:v>12</c:v>
                </c:pt>
                <c:pt idx="10">
                  <c:v>21</c:v>
                </c:pt>
                <c:pt idx="11">
                  <c:v>16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F565-49B4-8ABB-8A67B7CF0463}"/>
            </c:ext>
          </c:extLst>
        </c:ser>
        <c:ser>
          <c:idx val="7"/>
          <c:order val="7"/>
          <c:tx>
            <c:strRef>
              <c:f>'31.07 Najjeera-Kiwatule'!$Z$9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'31.07 Najjeera-Kiwatule'!$Z$10:$Z$21</c:f>
              <c:numCache>
                <c:formatCode>0</c:formatCode>
                <c:ptCount val="12"/>
                <c:pt idx="0">
                  <c:v>1</c:v>
                </c:pt>
                <c:pt idx="1">
                  <c:v>7</c:v>
                </c:pt>
                <c:pt idx="2">
                  <c:v>2</c:v>
                </c:pt>
                <c:pt idx="3">
                  <c:v>2</c:v>
                </c:pt>
                <c:pt idx="4">
                  <c:v>8</c:v>
                </c:pt>
                <c:pt idx="5">
                  <c:v>3</c:v>
                </c:pt>
                <c:pt idx="6">
                  <c:v>4</c:v>
                </c:pt>
                <c:pt idx="7">
                  <c:v>2</c:v>
                </c:pt>
                <c:pt idx="8">
                  <c:v>1</c:v>
                </c:pt>
                <c:pt idx="9">
                  <c:v>0</c:v>
                </c:pt>
                <c:pt idx="10">
                  <c:v>2</c:v>
                </c:pt>
                <c:pt idx="11">
                  <c:v>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7-F565-49B4-8ABB-8A67B7CF0463}"/>
            </c:ext>
          </c:extLst>
        </c:ser>
        <c:ser>
          <c:idx val="8"/>
          <c:order val="8"/>
          <c:tx>
            <c:strRef>
              <c:f>'31.07 Najjeera-Kiwatule'!$AA$9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'31.07 Najjeera-Kiwatule'!$AA$10:$AA$21</c:f>
              <c:numCache>
                <c:formatCode>0</c:formatCode>
                <c:ptCount val="12"/>
                <c:pt idx="0">
                  <c:v>0</c:v>
                </c:pt>
                <c:pt idx="1">
                  <c:v>3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8-F565-49B4-8ABB-8A67B7CF0463}"/>
            </c:ext>
          </c:extLst>
        </c:ser>
        <c:ser>
          <c:idx val="9"/>
          <c:order val="9"/>
          <c:tx>
            <c:strRef>
              <c:f>'31.07 Najjeera-Kiwatule'!$AB$9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'31.07 Najjeera-Kiwatule'!$AB$10:$AB$21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9-F565-49B4-8ABB-8A67B7CF0463}"/>
            </c:ext>
          </c:extLst>
        </c:ser>
        <c:ser>
          <c:idx val="10"/>
          <c:order val="10"/>
          <c:tx>
            <c:strRef>
              <c:f>'31.07 Najjeera-Kiwatule'!$AC$9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'31.07 Najjeera-Kiwatule'!$AC$10:$AC$21</c:f>
              <c:numCache>
                <c:formatCode>0</c:formatCode>
                <c:ptCount val="12"/>
                <c:pt idx="0">
                  <c:v>450</c:v>
                </c:pt>
                <c:pt idx="1">
                  <c:v>582</c:v>
                </c:pt>
                <c:pt idx="2">
                  <c:v>476</c:v>
                </c:pt>
                <c:pt idx="3">
                  <c:v>338</c:v>
                </c:pt>
                <c:pt idx="4">
                  <c:v>325</c:v>
                </c:pt>
                <c:pt idx="5">
                  <c:v>356</c:v>
                </c:pt>
                <c:pt idx="6">
                  <c:v>324</c:v>
                </c:pt>
                <c:pt idx="7">
                  <c:v>359</c:v>
                </c:pt>
                <c:pt idx="8">
                  <c:v>285</c:v>
                </c:pt>
                <c:pt idx="9">
                  <c:v>322</c:v>
                </c:pt>
                <c:pt idx="10">
                  <c:v>400</c:v>
                </c:pt>
                <c:pt idx="11">
                  <c:v>415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F565-49B4-8ABB-8A67B7CF0463}"/>
            </c:ext>
          </c:extLst>
        </c:ser>
        <c:ser>
          <c:idx val="11"/>
          <c:order val="11"/>
          <c:tx>
            <c:strRef>
              <c:f>'31.07 Najjeera-Kiwatule'!$AD$9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'31.07 Najjeera-Kiwatule'!$AD$10:$AD$21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B-F565-49B4-8ABB-8A67B7CF0463}"/>
            </c:ext>
          </c:extLst>
        </c:ser>
        <c:marker val="1"/>
        <c:axId val="92526464"/>
        <c:axId val="92528000"/>
      </c:lineChart>
      <c:catAx>
        <c:axId val="92526464"/>
        <c:scaling>
          <c:orientation val="minMax"/>
        </c:scaling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2528000"/>
        <c:crosses val="autoZero"/>
        <c:auto val="1"/>
        <c:lblAlgn val="ctr"/>
        <c:lblOffset val="100"/>
      </c:catAx>
      <c:valAx>
        <c:axId val="92528000"/>
        <c:scaling>
          <c:orientation val="minMax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spPr>
            <a:noFill/>
            <a:ln>
              <a:noFill/>
            </a:ln>
            <a:effectLst/>
          </c:spPr>
        </c:title>
        <c:numFmt formatCode="0" sourceLinked="1"/>
        <c:maj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2526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3" l="0.70000000000000062" r="0.70000000000000062" t="0.750000000000003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spPr>
        <a:noFill/>
        <a:ln>
          <a:noFill/>
        </a:ln>
        <a:effectLst/>
      </c:spPr>
    </c:title>
    <c:view3D>
      <c:rotX val="30"/>
      <c:depthPercent val="100"/>
      <c:perspective val="30"/>
    </c:view3D>
    <c:floor>
      <c:spPr>
        <a:noFill/>
        <a:ln>
          <a:noFill/>
        </a:ln>
        <a:effectLst/>
        <a:sp3d/>
      </c:spPr>
    </c:floor>
    <c:sideWall>
      <c:spPr>
        <a:noFill/>
        <a:ln>
          <a:noFill/>
        </a:ln>
        <a:effectLst/>
        <a:sp3d/>
      </c:spPr>
    </c:sideWall>
    <c:backWall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F7C5-4DCE-BEC7-0690C330694A}"/>
              </c:ext>
            </c:extLst>
          </c:dPt>
          <c:dPt>
            <c:idx val="1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F7C5-4DCE-BEC7-0690C330694A}"/>
              </c:ext>
            </c:extLst>
          </c:dPt>
          <c:dPt>
            <c:idx val="2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F7C5-4DCE-BEC7-0690C330694A}"/>
              </c:ext>
            </c:extLst>
          </c:dPt>
          <c:dPt>
            <c:idx val="3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F7C5-4DCE-BEC7-0690C330694A}"/>
              </c:ext>
            </c:extLst>
          </c:dPt>
          <c:dPt>
            <c:idx val="4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F7C5-4DCE-BEC7-0690C330694A}"/>
              </c:ext>
            </c:extLst>
          </c:dPt>
          <c:dPt>
            <c:idx val="5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F7C5-4DCE-BEC7-0690C330694A}"/>
              </c:ext>
            </c:extLst>
          </c:dPt>
          <c:dPt>
            <c:idx val="6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F7C5-4DCE-BEC7-0690C330694A}"/>
              </c:ext>
            </c:extLst>
          </c:dPt>
          <c:dPt>
            <c:idx val="7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F-F7C5-4DCE-BEC7-0690C330694A}"/>
              </c:ext>
            </c:extLst>
          </c:dPt>
          <c:dPt>
            <c:idx val="8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1-F7C5-4DCE-BEC7-0690C330694A}"/>
              </c:ext>
            </c:extLst>
          </c:dPt>
          <c:dPt>
            <c:idx val="9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3-F7C5-4DCE-BEC7-0690C330694A}"/>
              </c:ext>
            </c:extLst>
          </c:dPt>
          <c:dPt>
            <c:idx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5-F7C5-4DCE-BEC7-0690C330694A}"/>
              </c:ext>
            </c:extLst>
          </c:dPt>
          <c:dPt>
            <c:idx val="11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7-F7C5-4DCE-BEC7-0690C330694A}"/>
              </c:ext>
            </c:extLst>
          </c:dPt>
          <c:dLbls>
            <c:dLbl>
              <c:idx val="10"/>
              <c:layout>
                <c:manualLayout>
                  <c:x val="-2.6175304576939895E-2"/>
                  <c:y val="-3.2434080003295201E-2"/>
                </c:manualLayout>
              </c:layout>
              <c:showVal val="1"/>
              <c:showCatNam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F7C5-4DCE-BEC7-0690C330694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Val val="1"/>
            <c:showCatName val="1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'31.07 Najjeera-Kiwatule'!$C$9:$N$9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'31.07 Najjeera-Kiwatule'!$C$60:$N$60</c:f>
              <c:numCache>
                <c:formatCode>0.00%</c:formatCode>
                <c:ptCount val="12"/>
                <c:pt idx="0">
                  <c:v>0.67859636871508378</c:v>
                </c:pt>
                <c:pt idx="1">
                  <c:v>9.1131284916201122E-2</c:v>
                </c:pt>
                <c:pt idx="2">
                  <c:v>5.6389664804469275E-2</c:v>
                </c:pt>
                <c:pt idx="3">
                  <c:v>0.12517458100558659</c:v>
                </c:pt>
                <c:pt idx="4">
                  <c:v>2.7932960893854749E-3</c:v>
                </c:pt>
                <c:pt idx="5">
                  <c:v>0</c:v>
                </c:pt>
                <c:pt idx="6">
                  <c:v>3.7360335195530725E-2</c:v>
                </c:pt>
                <c:pt idx="7">
                  <c:v>5.9357541899441339E-3</c:v>
                </c:pt>
                <c:pt idx="8">
                  <c:v>1.3966480446927375E-3</c:v>
                </c:pt>
                <c:pt idx="9">
                  <c:v>1.2220670391061453E-3</c:v>
                </c:pt>
                <c:pt idx="1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8-F7C5-4DCE-BEC7-0690C330694A}"/>
            </c:ext>
          </c:extLst>
        </c:ser>
      </c:pie3DChart>
      <c:spPr>
        <a:noFill/>
        <a:ln>
          <a:noFill/>
        </a:ln>
        <a:effectLst/>
      </c:spPr>
    </c:plotArea>
    <c:plotVisOnly val="1"/>
    <c:dispBlanksAs val="zero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3" l="0.70000000000000062" r="0.70000000000000062" t="0.750000000000003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398"/>
          <c:y val="2.6504260748158488E-2"/>
        </c:manualLayout>
      </c:layout>
      <c:spPr>
        <a:noFill/>
        <a:ln>
          <a:noFill/>
        </a:ln>
        <a:effectLst/>
      </c:spPr>
    </c:title>
    <c:plotArea>
      <c:layout/>
      <c:lineChart>
        <c:grouping val="standard"/>
        <c:ser>
          <c:idx val="0"/>
          <c:order val="0"/>
          <c:tx>
            <c:strRef>
              <c:f>'31.07 Kiwatule-Najjeera'!$AE$9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'31.07 Kiwatule-Najjeera'!$R$10:$R$21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'31.07 Kiwatule-Najjeera'!$AE$10:$AE$21</c:f>
              <c:numCache>
                <c:formatCode>0</c:formatCode>
                <c:ptCount val="12"/>
                <c:pt idx="0">
                  <c:v>314</c:v>
                </c:pt>
                <c:pt idx="1">
                  <c:v>317</c:v>
                </c:pt>
                <c:pt idx="2">
                  <c:v>252</c:v>
                </c:pt>
                <c:pt idx="3">
                  <c:v>282</c:v>
                </c:pt>
                <c:pt idx="4">
                  <c:v>335</c:v>
                </c:pt>
                <c:pt idx="5">
                  <c:v>312</c:v>
                </c:pt>
                <c:pt idx="6">
                  <c:v>356</c:v>
                </c:pt>
                <c:pt idx="7">
                  <c:v>409</c:v>
                </c:pt>
                <c:pt idx="8">
                  <c:v>395</c:v>
                </c:pt>
                <c:pt idx="9">
                  <c:v>537</c:v>
                </c:pt>
                <c:pt idx="10">
                  <c:v>509</c:v>
                </c:pt>
                <c:pt idx="11">
                  <c:v>703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8463-4278-A5CC-74015684B17F}"/>
            </c:ext>
          </c:extLst>
        </c:ser>
        <c:ser>
          <c:idx val="1"/>
          <c:order val="1"/>
          <c:tx>
            <c:strRef>
              <c:f>'31.07 Kiwatule-Najjeera'!$AF$9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'31.07 Kiwatule-Najjeera'!$R$10:$R$21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'31.07 Kiwatule-Najjeera'!$AF$10:$AF$21</c:f>
              <c:numCache>
                <c:formatCode>0</c:formatCode>
                <c:ptCount val="12"/>
                <c:pt idx="0">
                  <c:v>481</c:v>
                </c:pt>
                <c:pt idx="1">
                  <c:v>581</c:v>
                </c:pt>
                <c:pt idx="2">
                  <c:v>459</c:v>
                </c:pt>
                <c:pt idx="3">
                  <c:v>426</c:v>
                </c:pt>
                <c:pt idx="4">
                  <c:v>505</c:v>
                </c:pt>
                <c:pt idx="5">
                  <c:v>513</c:v>
                </c:pt>
                <c:pt idx="6">
                  <c:v>531</c:v>
                </c:pt>
                <c:pt idx="7">
                  <c:v>569</c:v>
                </c:pt>
                <c:pt idx="8">
                  <c:v>558</c:v>
                </c:pt>
                <c:pt idx="9">
                  <c:v>736</c:v>
                </c:pt>
                <c:pt idx="10">
                  <c:v>744</c:v>
                </c:pt>
                <c:pt idx="11">
                  <c:v>1001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8463-4278-A5CC-74015684B17F}"/>
            </c:ext>
          </c:extLst>
        </c:ser>
        <c:marker val="1"/>
        <c:axId val="93114752"/>
        <c:axId val="93116672"/>
      </c:lineChart>
      <c:catAx>
        <c:axId val="93114752"/>
        <c:scaling>
          <c:orientation val="minMax"/>
        </c:scaling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3116672"/>
        <c:crosses val="autoZero"/>
        <c:auto val="1"/>
        <c:lblAlgn val="ctr"/>
        <c:lblOffset val="100"/>
      </c:catAx>
      <c:valAx>
        <c:axId val="93116672"/>
        <c:scaling>
          <c:orientation val="minMax"/>
          <c:min val="0"/>
        </c:scaling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spPr>
            <a:noFill/>
            <a:ln>
              <a:noFill/>
            </a:ln>
            <a:effectLst/>
          </c:spPr>
        </c:title>
        <c:numFmt formatCode="0" sourceLinked="1"/>
        <c:maj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311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322" l="0.70000000000000062" r="0.70000000000000062" t="0.75000000000000322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spPr>
        <a:noFill/>
        <a:ln>
          <a:noFill/>
        </a:ln>
        <a:effectLst/>
      </c:spPr>
    </c:title>
    <c:view3D>
      <c:rotX val="30"/>
      <c:depthPercent val="100"/>
      <c:perspective val="30"/>
    </c:view3D>
    <c:floor>
      <c:spPr>
        <a:noFill/>
        <a:ln>
          <a:noFill/>
        </a:ln>
        <a:effectLst/>
        <a:sp3d/>
      </c:spPr>
    </c:floor>
    <c:sideWall>
      <c:spPr>
        <a:noFill/>
        <a:ln>
          <a:noFill/>
        </a:ln>
        <a:effectLst/>
        <a:sp3d/>
      </c:spPr>
    </c:sideWall>
    <c:backWall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5838-4AD2-B02D-63FE1AB93A14}"/>
              </c:ext>
            </c:extLst>
          </c:dPt>
          <c:dPt>
            <c:idx val="1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5838-4AD2-B02D-63FE1AB93A14}"/>
              </c:ext>
            </c:extLst>
          </c:dPt>
          <c:dPt>
            <c:idx val="2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5838-4AD2-B02D-63FE1AB93A14}"/>
              </c:ext>
            </c:extLst>
          </c:dPt>
          <c:dPt>
            <c:idx val="3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5838-4AD2-B02D-63FE1AB93A14}"/>
              </c:ext>
            </c:extLst>
          </c:dPt>
          <c:dPt>
            <c:idx val="4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5838-4AD2-B02D-63FE1AB93A14}"/>
              </c:ext>
            </c:extLst>
          </c:dPt>
          <c:dPt>
            <c:idx val="5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5838-4AD2-B02D-63FE1AB93A14}"/>
              </c:ext>
            </c:extLst>
          </c:dPt>
          <c:dPt>
            <c:idx val="6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5838-4AD2-B02D-63FE1AB93A14}"/>
              </c:ext>
            </c:extLst>
          </c:dPt>
          <c:dPt>
            <c:idx val="7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F-5838-4AD2-B02D-63FE1AB93A14}"/>
              </c:ext>
            </c:extLst>
          </c:dPt>
          <c:dPt>
            <c:idx val="8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1-5838-4AD2-B02D-63FE1AB93A14}"/>
              </c:ext>
            </c:extLst>
          </c:dPt>
          <c:dPt>
            <c:idx val="9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3-5838-4AD2-B02D-63FE1AB93A14}"/>
              </c:ext>
            </c:extLst>
          </c:dPt>
          <c:dPt>
            <c:idx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5-5838-4AD2-B02D-63FE1AB93A14}"/>
              </c:ext>
            </c:extLst>
          </c:dPt>
          <c:dPt>
            <c:idx val="11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7-5838-4AD2-B02D-63FE1AB93A14}"/>
              </c:ext>
            </c:extLst>
          </c:dPt>
          <c:dLbls>
            <c:dLbl>
              <c:idx val="10"/>
              <c:layout>
                <c:manualLayout>
                  <c:x val="-2.6175304576939895E-2"/>
                  <c:y val="-3.2434080003295201E-2"/>
                </c:manualLayout>
              </c:layout>
              <c:showVal val="1"/>
              <c:showCatNam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838-4AD2-B02D-63FE1AB93A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Val val="1"/>
            <c:showCatName val="1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'31.07 Kiwatule-Najjeera'!$C$9:$N$9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'31.07 Kiwatule-Najjeera'!$C$59:$N$59</c:f>
              <c:numCache>
                <c:formatCode>0.0%</c:formatCode>
                <c:ptCount val="12"/>
                <c:pt idx="0">
                  <c:v>0.36936936936936937</c:v>
                </c:pt>
                <c:pt idx="1">
                  <c:v>7.8125E-2</c:v>
                </c:pt>
                <c:pt idx="2">
                  <c:v>2.0692567567567568E-2</c:v>
                </c:pt>
                <c:pt idx="3">
                  <c:v>0.14667792792792791</c:v>
                </c:pt>
                <c:pt idx="4">
                  <c:v>3.8006756756756759E-3</c:v>
                </c:pt>
                <c:pt idx="5">
                  <c:v>5.6306306306306306E-4</c:v>
                </c:pt>
                <c:pt idx="6">
                  <c:v>3.6036036036036036E-2</c:v>
                </c:pt>
                <c:pt idx="7">
                  <c:v>6.1936936936936937E-3</c:v>
                </c:pt>
                <c:pt idx="8">
                  <c:v>1.5484234234234234E-3</c:v>
                </c:pt>
                <c:pt idx="9">
                  <c:v>1.5484234234234234E-3</c:v>
                </c:pt>
                <c:pt idx="10">
                  <c:v>0.33544481981981983</c:v>
                </c:pt>
                <c:pt idx="1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8-5838-4AD2-B02D-63FE1AB93A14}"/>
            </c:ext>
          </c:extLst>
        </c:ser>
      </c:pie3DChart>
      <c:spPr>
        <a:noFill/>
        <a:ln>
          <a:noFill/>
        </a:ln>
        <a:effectLst/>
      </c:spPr>
    </c:plotArea>
    <c:plotVisOnly val="1"/>
    <c:dispBlanksAs val="zero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3" l="0.70000000000000062" r="0.70000000000000062" t="0.750000000000003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9093"/>
          <c:y val="2.2960226637323802E-2"/>
        </c:manualLayout>
      </c:layout>
      <c:spPr>
        <a:noFill/>
        <a:ln>
          <a:noFill/>
        </a:ln>
        <a:effectLst/>
      </c:spPr>
    </c:title>
    <c:plotArea>
      <c:layout/>
      <c:lineChart>
        <c:grouping val="standard"/>
        <c:ser>
          <c:idx val="0"/>
          <c:order val="0"/>
          <c:tx>
            <c:strRef>
              <c:f>'31.07 Kiwatule-Najjeera'!$S$9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'31.07 Kiwatule-Najjeera'!$R$10:$R$21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'31.07 Kiwatule-Najjeera'!$S$10:$S$21</c:f>
              <c:numCache>
                <c:formatCode>0</c:formatCode>
                <c:ptCount val="12"/>
                <c:pt idx="0">
                  <c:v>169</c:v>
                </c:pt>
                <c:pt idx="1">
                  <c:v>155</c:v>
                </c:pt>
                <c:pt idx="2">
                  <c:v>107</c:v>
                </c:pt>
                <c:pt idx="3">
                  <c:v>115</c:v>
                </c:pt>
                <c:pt idx="4">
                  <c:v>154</c:v>
                </c:pt>
                <c:pt idx="5">
                  <c:v>140</c:v>
                </c:pt>
                <c:pt idx="6">
                  <c:v>171</c:v>
                </c:pt>
                <c:pt idx="7">
                  <c:v>212</c:v>
                </c:pt>
                <c:pt idx="8">
                  <c:v>200</c:v>
                </c:pt>
                <c:pt idx="9">
                  <c:v>367</c:v>
                </c:pt>
                <c:pt idx="10">
                  <c:v>344</c:v>
                </c:pt>
                <c:pt idx="11">
                  <c:v>490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8ACD-4E4E-9939-9E943A18B54F}"/>
            </c:ext>
          </c:extLst>
        </c:ser>
        <c:ser>
          <c:idx val="1"/>
          <c:order val="1"/>
          <c:tx>
            <c:strRef>
              <c:f>'31.07 Kiwatule-Najjeera'!$T$9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'31.07 Kiwatule-Najjeera'!$R$10:$R$21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'31.07 Kiwatule-Najjeera'!$T$10:$T$21</c:f>
              <c:numCache>
                <c:formatCode>0</c:formatCode>
                <c:ptCount val="12"/>
                <c:pt idx="0">
                  <c:v>33</c:v>
                </c:pt>
                <c:pt idx="1">
                  <c:v>34</c:v>
                </c:pt>
                <c:pt idx="2">
                  <c:v>18</c:v>
                </c:pt>
                <c:pt idx="3">
                  <c:v>24</c:v>
                </c:pt>
                <c:pt idx="4">
                  <c:v>24</c:v>
                </c:pt>
                <c:pt idx="5">
                  <c:v>32</c:v>
                </c:pt>
                <c:pt idx="6">
                  <c:v>40</c:v>
                </c:pt>
                <c:pt idx="7">
                  <c:v>45</c:v>
                </c:pt>
                <c:pt idx="8">
                  <c:v>56</c:v>
                </c:pt>
                <c:pt idx="9">
                  <c:v>68</c:v>
                </c:pt>
                <c:pt idx="10">
                  <c:v>58</c:v>
                </c:pt>
                <c:pt idx="11">
                  <c:v>123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8ACD-4E4E-9939-9E943A18B54F}"/>
            </c:ext>
          </c:extLst>
        </c:ser>
        <c:ser>
          <c:idx val="2"/>
          <c:order val="2"/>
          <c:tx>
            <c:strRef>
              <c:f>'31.07 Kiwatule-Najjeera'!$U$9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'31.07 Kiwatule-Najjeera'!$U$10:$U$21</c:f>
              <c:numCache>
                <c:formatCode>0</c:formatCode>
                <c:ptCount val="12"/>
                <c:pt idx="0">
                  <c:v>10</c:v>
                </c:pt>
                <c:pt idx="1">
                  <c:v>6</c:v>
                </c:pt>
                <c:pt idx="2">
                  <c:v>11</c:v>
                </c:pt>
                <c:pt idx="3">
                  <c:v>12</c:v>
                </c:pt>
                <c:pt idx="4">
                  <c:v>11</c:v>
                </c:pt>
                <c:pt idx="5">
                  <c:v>13</c:v>
                </c:pt>
                <c:pt idx="6">
                  <c:v>13</c:v>
                </c:pt>
                <c:pt idx="7">
                  <c:v>16</c:v>
                </c:pt>
                <c:pt idx="8">
                  <c:v>7</c:v>
                </c:pt>
                <c:pt idx="9">
                  <c:v>16</c:v>
                </c:pt>
                <c:pt idx="10">
                  <c:v>17</c:v>
                </c:pt>
                <c:pt idx="11">
                  <c:v>15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8ACD-4E4E-9939-9E943A18B54F}"/>
            </c:ext>
          </c:extLst>
        </c:ser>
        <c:ser>
          <c:idx val="3"/>
          <c:order val="3"/>
          <c:tx>
            <c:strRef>
              <c:f>'31.07 Kiwatule-Najjeera'!$V$9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'31.07 Kiwatule-Najjeera'!$V$10:$V$21</c:f>
              <c:numCache>
                <c:formatCode>0</c:formatCode>
                <c:ptCount val="12"/>
                <c:pt idx="0">
                  <c:v>88</c:v>
                </c:pt>
                <c:pt idx="1">
                  <c:v>103</c:v>
                </c:pt>
                <c:pt idx="2">
                  <c:v>84</c:v>
                </c:pt>
                <c:pt idx="3">
                  <c:v>96</c:v>
                </c:pt>
                <c:pt idx="4">
                  <c:v>111</c:v>
                </c:pt>
                <c:pt idx="5">
                  <c:v>90</c:v>
                </c:pt>
                <c:pt idx="6">
                  <c:v>93</c:v>
                </c:pt>
                <c:pt idx="7">
                  <c:v>120</c:v>
                </c:pt>
                <c:pt idx="8">
                  <c:v>100</c:v>
                </c:pt>
                <c:pt idx="9">
                  <c:v>53</c:v>
                </c:pt>
                <c:pt idx="10">
                  <c:v>53</c:v>
                </c:pt>
                <c:pt idx="11">
                  <c:v>51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8ACD-4E4E-9939-9E943A18B54F}"/>
            </c:ext>
          </c:extLst>
        </c:ser>
        <c:ser>
          <c:idx val="4"/>
          <c:order val="4"/>
          <c:tx>
            <c:strRef>
              <c:f>'31.07 Kiwatule-Najjeera'!$W$9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'31.07 Kiwatule-Najjeera'!$W$10:$W$21</c:f>
              <c:numCache>
                <c:formatCode>0</c:formatCode>
                <c:ptCount val="12"/>
                <c:pt idx="0">
                  <c:v>0</c:v>
                </c:pt>
                <c:pt idx="1">
                  <c:v>2</c:v>
                </c:pt>
                <c:pt idx="2">
                  <c:v>3</c:v>
                </c:pt>
                <c:pt idx="3">
                  <c:v>2</c:v>
                </c:pt>
                <c:pt idx="4">
                  <c:v>2</c:v>
                </c:pt>
                <c:pt idx="5">
                  <c:v>4</c:v>
                </c:pt>
                <c:pt idx="6">
                  <c:v>4</c:v>
                </c:pt>
                <c:pt idx="7">
                  <c:v>3</c:v>
                </c:pt>
                <c:pt idx="8">
                  <c:v>3</c:v>
                </c:pt>
                <c:pt idx="9">
                  <c:v>0</c:v>
                </c:pt>
                <c:pt idx="10">
                  <c:v>1</c:v>
                </c:pt>
                <c:pt idx="11">
                  <c:v>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8ACD-4E4E-9939-9E943A18B54F}"/>
            </c:ext>
          </c:extLst>
        </c:ser>
        <c:ser>
          <c:idx val="5"/>
          <c:order val="5"/>
          <c:tx>
            <c:strRef>
              <c:f>'31.07 Kiwatule-Najjeera'!$X$9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'31.07 Kiwatule-Najjeera'!$X$10:$X$21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8ACD-4E4E-9939-9E943A18B54F}"/>
            </c:ext>
          </c:extLst>
        </c:ser>
        <c:ser>
          <c:idx val="6"/>
          <c:order val="6"/>
          <c:tx>
            <c:strRef>
              <c:f>'31.07 Kiwatule-Najjeera'!$Y$9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'31.07 Kiwatule-Najjeera'!$Y$10:$Y$21</c:f>
              <c:numCache>
                <c:formatCode>0</c:formatCode>
                <c:ptCount val="12"/>
                <c:pt idx="0">
                  <c:v>11</c:v>
                </c:pt>
                <c:pt idx="1">
                  <c:v>11</c:v>
                </c:pt>
                <c:pt idx="2">
                  <c:v>25</c:v>
                </c:pt>
                <c:pt idx="3">
                  <c:v>26</c:v>
                </c:pt>
                <c:pt idx="4">
                  <c:v>28</c:v>
                </c:pt>
                <c:pt idx="5">
                  <c:v>27</c:v>
                </c:pt>
                <c:pt idx="6">
                  <c:v>28</c:v>
                </c:pt>
                <c:pt idx="7">
                  <c:v>8</c:v>
                </c:pt>
                <c:pt idx="8">
                  <c:v>22</c:v>
                </c:pt>
                <c:pt idx="9">
                  <c:v>26</c:v>
                </c:pt>
                <c:pt idx="10">
                  <c:v>27</c:v>
                </c:pt>
                <c:pt idx="11">
                  <c:v>17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8ACD-4E4E-9939-9E943A18B54F}"/>
            </c:ext>
          </c:extLst>
        </c:ser>
        <c:ser>
          <c:idx val="7"/>
          <c:order val="7"/>
          <c:tx>
            <c:strRef>
              <c:f>'31.07 Kiwatule-Najjeera'!$Z$9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'31.07 Kiwatule-Najjeera'!$Z$10:$Z$21</c:f>
              <c:numCache>
                <c:formatCode>0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5</c:v>
                </c:pt>
                <c:pt idx="6">
                  <c:v>7</c:v>
                </c:pt>
                <c:pt idx="7">
                  <c:v>4</c:v>
                </c:pt>
                <c:pt idx="8">
                  <c:v>6</c:v>
                </c:pt>
                <c:pt idx="9">
                  <c:v>4</c:v>
                </c:pt>
                <c:pt idx="10">
                  <c:v>8</c:v>
                </c:pt>
                <c:pt idx="11">
                  <c:v>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7-8ACD-4E4E-9939-9E943A18B54F}"/>
            </c:ext>
          </c:extLst>
        </c:ser>
        <c:ser>
          <c:idx val="8"/>
          <c:order val="8"/>
          <c:tx>
            <c:strRef>
              <c:f>'31.07 Kiwatule-Najjeera'!$AA$9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'31.07 Kiwatule-Najjeera'!$AA$10:$AA$21</c:f>
              <c:numCache>
                <c:formatCode>0</c:formatCode>
                <c:ptCount val="12"/>
                <c:pt idx="0">
                  <c:v>0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8-8ACD-4E4E-9939-9E943A18B54F}"/>
            </c:ext>
          </c:extLst>
        </c:ser>
        <c:ser>
          <c:idx val="9"/>
          <c:order val="9"/>
          <c:tx>
            <c:strRef>
              <c:f>'31.07 Kiwatule-Najjeera'!$AB$9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'31.07 Kiwatule-Najjeera'!$AB$10:$AB$21</c:f>
              <c:numCache>
                <c:formatCode>0</c:formatCode>
                <c:ptCount val="12"/>
                <c:pt idx="0">
                  <c:v>2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9-8ACD-4E4E-9939-9E943A18B54F}"/>
            </c:ext>
          </c:extLst>
        </c:ser>
        <c:ser>
          <c:idx val="10"/>
          <c:order val="10"/>
          <c:tx>
            <c:strRef>
              <c:f>'31.07 Kiwatule-Najjeera'!$AC$9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'31.07 Kiwatule-Najjeera'!$AC$10:$AC$21</c:f>
              <c:numCache>
                <c:formatCode>0</c:formatCode>
                <c:ptCount val="12"/>
                <c:pt idx="0">
                  <c:v>167</c:v>
                </c:pt>
                <c:pt idx="1">
                  <c:v>264</c:v>
                </c:pt>
                <c:pt idx="2">
                  <c:v>207</c:v>
                </c:pt>
                <c:pt idx="3">
                  <c:v>144</c:v>
                </c:pt>
                <c:pt idx="4">
                  <c:v>170</c:v>
                </c:pt>
                <c:pt idx="5">
                  <c:v>201</c:v>
                </c:pt>
                <c:pt idx="6">
                  <c:v>175</c:v>
                </c:pt>
                <c:pt idx="7">
                  <c:v>160</c:v>
                </c:pt>
                <c:pt idx="8">
                  <c:v>163</c:v>
                </c:pt>
                <c:pt idx="9">
                  <c:v>199</c:v>
                </c:pt>
                <c:pt idx="10">
                  <c:v>235</c:v>
                </c:pt>
                <c:pt idx="11">
                  <c:v>298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ACD-4E4E-9939-9E943A18B54F}"/>
            </c:ext>
          </c:extLst>
        </c:ser>
        <c:ser>
          <c:idx val="11"/>
          <c:order val="11"/>
          <c:tx>
            <c:strRef>
              <c:f>'31.07 Kiwatule-Najjeera'!$AD$9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'31.07 Kiwatule-Najjeera'!$AD$10:$AD$21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B-8ACD-4E4E-9939-9E943A18B54F}"/>
            </c:ext>
          </c:extLst>
        </c:ser>
        <c:marker val="1"/>
        <c:axId val="93419392"/>
        <c:axId val="93420928"/>
      </c:lineChart>
      <c:catAx>
        <c:axId val="93419392"/>
        <c:scaling>
          <c:orientation val="minMax"/>
        </c:scaling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3420928"/>
        <c:crosses val="autoZero"/>
        <c:auto val="1"/>
        <c:lblAlgn val="ctr"/>
        <c:lblOffset val="100"/>
      </c:catAx>
      <c:valAx>
        <c:axId val="93420928"/>
        <c:scaling>
          <c:orientation val="minMax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spPr>
            <a:noFill/>
            <a:ln>
              <a:noFill/>
            </a:ln>
            <a:effectLst/>
          </c:spPr>
        </c:title>
        <c:numFmt formatCode="0" sourceLinked="1"/>
        <c:maj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3419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3" l="0.70000000000000062" r="0.70000000000000062" t="0.750000000000003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spPr>
        <a:noFill/>
        <a:ln>
          <a:noFill/>
        </a:ln>
        <a:effectLst/>
      </c:spPr>
    </c:title>
    <c:view3D>
      <c:rotX val="30"/>
      <c:depthPercent val="100"/>
      <c:perspective val="30"/>
    </c:view3D>
    <c:floor>
      <c:spPr>
        <a:noFill/>
        <a:ln>
          <a:noFill/>
        </a:ln>
        <a:effectLst/>
        <a:sp3d/>
      </c:spPr>
    </c:floor>
    <c:sideWall>
      <c:spPr>
        <a:noFill/>
        <a:ln>
          <a:noFill/>
        </a:ln>
        <a:effectLst/>
        <a:sp3d/>
      </c:spPr>
    </c:sideWall>
    <c:backWall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5B51-4D84-891B-06C3FCEF4330}"/>
              </c:ext>
            </c:extLst>
          </c:dPt>
          <c:dPt>
            <c:idx val="1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5B51-4D84-891B-06C3FCEF4330}"/>
              </c:ext>
            </c:extLst>
          </c:dPt>
          <c:dPt>
            <c:idx val="2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5B51-4D84-891B-06C3FCEF4330}"/>
              </c:ext>
            </c:extLst>
          </c:dPt>
          <c:dPt>
            <c:idx val="3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5B51-4D84-891B-06C3FCEF4330}"/>
              </c:ext>
            </c:extLst>
          </c:dPt>
          <c:dPt>
            <c:idx val="4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5B51-4D84-891B-06C3FCEF4330}"/>
              </c:ext>
            </c:extLst>
          </c:dPt>
          <c:dPt>
            <c:idx val="5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5B51-4D84-891B-06C3FCEF4330}"/>
              </c:ext>
            </c:extLst>
          </c:dPt>
          <c:dPt>
            <c:idx val="6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5B51-4D84-891B-06C3FCEF4330}"/>
              </c:ext>
            </c:extLst>
          </c:dPt>
          <c:dPt>
            <c:idx val="7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F-5B51-4D84-891B-06C3FCEF4330}"/>
              </c:ext>
            </c:extLst>
          </c:dPt>
          <c:dPt>
            <c:idx val="8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1-5B51-4D84-891B-06C3FCEF4330}"/>
              </c:ext>
            </c:extLst>
          </c:dPt>
          <c:dPt>
            <c:idx val="9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3-5B51-4D84-891B-06C3FCEF4330}"/>
              </c:ext>
            </c:extLst>
          </c:dPt>
          <c:dPt>
            <c:idx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5-5B51-4D84-891B-06C3FCEF4330}"/>
              </c:ext>
            </c:extLst>
          </c:dPt>
          <c:dPt>
            <c:idx val="11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7-5B51-4D84-891B-06C3FCEF4330}"/>
              </c:ext>
            </c:extLst>
          </c:dPt>
          <c:dLbls>
            <c:dLbl>
              <c:idx val="10"/>
              <c:layout>
                <c:manualLayout>
                  <c:x val="-2.6175304576939895E-2"/>
                  <c:y val="-3.2434080003295201E-2"/>
                </c:manualLayout>
              </c:layout>
              <c:showVal val="1"/>
              <c:showCatNam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B51-4D84-891B-06C3FCEF433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Val val="1"/>
            <c:showCatName val="1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'31.07 Kiwatule-Najjeera'!$C$9:$N$9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'31.07 Kiwatule-Najjeera'!$C$60:$N$60</c:f>
              <c:numCache>
                <c:formatCode>0.00%</c:formatCode>
                <c:ptCount val="12"/>
                <c:pt idx="0">
                  <c:v>0.55581444609192965</c:v>
                </c:pt>
                <c:pt idx="1">
                  <c:v>0.11755983901715739</c:v>
                </c:pt>
                <c:pt idx="2">
                  <c:v>3.1137470874814659E-2</c:v>
                </c:pt>
                <c:pt idx="3">
                  <c:v>0.22071595001059097</c:v>
                </c:pt>
                <c:pt idx="4">
                  <c:v>5.7191273035373863E-3</c:v>
                </c:pt>
                <c:pt idx="5">
                  <c:v>8.4727811904257574E-4</c:v>
                </c:pt>
                <c:pt idx="6">
                  <c:v>5.4225799618724847E-2</c:v>
                </c:pt>
                <c:pt idx="7">
                  <c:v>9.3200593094683332E-3</c:v>
                </c:pt>
                <c:pt idx="8">
                  <c:v>2.3300148273670833E-3</c:v>
                </c:pt>
                <c:pt idx="9">
                  <c:v>2.3300148273670833E-3</c:v>
                </c:pt>
                <c:pt idx="1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8-5B51-4D84-891B-06C3FCEF4330}"/>
            </c:ext>
          </c:extLst>
        </c:ser>
      </c:pie3DChart>
      <c:spPr>
        <a:noFill/>
        <a:ln>
          <a:noFill/>
        </a:ln>
        <a:effectLst/>
      </c:spPr>
    </c:plotArea>
    <c:plotVisOnly val="1"/>
    <c:dispBlanksAs val="zero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3" l="0.70000000000000062" r="0.70000000000000062" t="0.750000000000003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91E-2"/>
        </c:manualLayout>
      </c:layout>
      <c:spPr>
        <a:noFill/>
        <a:ln>
          <a:noFill/>
        </a:ln>
        <a:effectLst/>
      </c:spPr>
    </c:title>
    <c:plotArea>
      <c:layout/>
      <c:lineChart>
        <c:grouping val="standard"/>
        <c:ser>
          <c:idx val="0"/>
          <c:order val="0"/>
          <c:tx>
            <c:strRef>
              <c:f>'01.08 Najjeera-Kiwatule-24h'!$AE$9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'01.08 Najjeera-Kiwatule-24h'!$R$10:$R$33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'01.08 Najjeera-Kiwatule-24h'!$AE$10:$AE$33</c:f>
              <c:numCache>
                <c:formatCode>0</c:formatCode>
                <c:ptCount val="24"/>
                <c:pt idx="0">
                  <c:v>848</c:v>
                </c:pt>
                <c:pt idx="1">
                  <c:v>673</c:v>
                </c:pt>
                <c:pt idx="2">
                  <c:v>557</c:v>
                </c:pt>
                <c:pt idx="3">
                  <c:v>544</c:v>
                </c:pt>
                <c:pt idx="4">
                  <c:v>484</c:v>
                </c:pt>
                <c:pt idx="5">
                  <c:v>867</c:v>
                </c:pt>
                <c:pt idx="6">
                  <c:v>286</c:v>
                </c:pt>
                <c:pt idx="7">
                  <c:v>327</c:v>
                </c:pt>
                <c:pt idx="8">
                  <c:v>362</c:v>
                </c:pt>
                <c:pt idx="9">
                  <c:v>340</c:v>
                </c:pt>
                <c:pt idx="10">
                  <c:v>433</c:v>
                </c:pt>
                <c:pt idx="11">
                  <c:v>258</c:v>
                </c:pt>
                <c:pt idx="12">
                  <c:v>238</c:v>
                </c:pt>
                <c:pt idx="13">
                  <c:v>162</c:v>
                </c:pt>
                <c:pt idx="14">
                  <c:v>153</c:v>
                </c:pt>
                <c:pt idx="15">
                  <c:v>185</c:v>
                </c:pt>
                <c:pt idx="16">
                  <c:v>160</c:v>
                </c:pt>
                <c:pt idx="17">
                  <c:v>116</c:v>
                </c:pt>
                <c:pt idx="18">
                  <c:v>40</c:v>
                </c:pt>
                <c:pt idx="19">
                  <c:v>47</c:v>
                </c:pt>
                <c:pt idx="20">
                  <c:v>42</c:v>
                </c:pt>
                <c:pt idx="21">
                  <c:v>74</c:v>
                </c:pt>
                <c:pt idx="22">
                  <c:v>245</c:v>
                </c:pt>
                <c:pt idx="23">
                  <c:v>665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DFC2-4A7B-9B5C-FEA0112544F4}"/>
            </c:ext>
          </c:extLst>
        </c:ser>
        <c:ser>
          <c:idx val="1"/>
          <c:order val="1"/>
          <c:tx>
            <c:strRef>
              <c:f>'01.08 Najjeera-Kiwatule-24h'!$AF$9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'01.08 Najjeera-Kiwatule-24h'!$R$10:$R$33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'01.08 Najjeera-Kiwatule-24h'!$AF$10:$AF$33</c:f>
              <c:numCache>
                <c:formatCode>0</c:formatCode>
                <c:ptCount val="24"/>
                <c:pt idx="0">
                  <c:v>1358</c:v>
                </c:pt>
                <c:pt idx="1">
                  <c:v>1120</c:v>
                </c:pt>
                <c:pt idx="2">
                  <c:v>1028</c:v>
                </c:pt>
                <c:pt idx="3">
                  <c:v>883</c:v>
                </c:pt>
                <c:pt idx="4">
                  <c:v>828</c:v>
                </c:pt>
                <c:pt idx="5">
                  <c:v>1192</c:v>
                </c:pt>
                <c:pt idx="6">
                  <c:v>514</c:v>
                </c:pt>
                <c:pt idx="7">
                  <c:v>593</c:v>
                </c:pt>
                <c:pt idx="8">
                  <c:v>575</c:v>
                </c:pt>
                <c:pt idx="9">
                  <c:v>573</c:v>
                </c:pt>
                <c:pt idx="10">
                  <c:v>776</c:v>
                </c:pt>
                <c:pt idx="11">
                  <c:v>626</c:v>
                </c:pt>
                <c:pt idx="12">
                  <c:v>656</c:v>
                </c:pt>
                <c:pt idx="13">
                  <c:v>662</c:v>
                </c:pt>
                <c:pt idx="14">
                  <c:v>473</c:v>
                </c:pt>
                <c:pt idx="15">
                  <c:v>516</c:v>
                </c:pt>
                <c:pt idx="16">
                  <c:v>383</c:v>
                </c:pt>
                <c:pt idx="17">
                  <c:v>218</c:v>
                </c:pt>
                <c:pt idx="18">
                  <c:v>108</c:v>
                </c:pt>
                <c:pt idx="19">
                  <c:v>80</c:v>
                </c:pt>
                <c:pt idx="20">
                  <c:v>87</c:v>
                </c:pt>
                <c:pt idx="21">
                  <c:v>117</c:v>
                </c:pt>
                <c:pt idx="22">
                  <c:v>343</c:v>
                </c:pt>
                <c:pt idx="23">
                  <c:v>841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DFC2-4A7B-9B5C-FEA0112544F4}"/>
            </c:ext>
          </c:extLst>
        </c:ser>
        <c:marker val="1"/>
        <c:axId val="93684864"/>
        <c:axId val="93686784"/>
      </c:lineChart>
      <c:catAx>
        <c:axId val="93684864"/>
        <c:scaling>
          <c:orientation val="minMax"/>
        </c:scaling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3686784"/>
        <c:crosses val="autoZero"/>
        <c:auto val="1"/>
        <c:lblAlgn val="ctr"/>
        <c:lblOffset val="100"/>
      </c:catAx>
      <c:valAx>
        <c:axId val="93686784"/>
        <c:scaling>
          <c:orientation val="minMax"/>
          <c:min val="0"/>
        </c:scaling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spPr>
            <a:noFill/>
            <a:ln>
              <a:noFill/>
            </a:ln>
            <a:effectLst/>
          </c:spPr>
        </c:title>
        <c:numFmt formatCode="0" sourceLinked="1"/>
        <c:maj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3684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322" l="0.70000000000000062" r="0.70000000000000062" t="0.75000000000000322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spPr>
        <a:noFill/>
        <a:ln>
          <a:noFill/>
        </a:ln>
        <a:effectLst/>
      </c:spPr>
    </c:title>
    <c:view3D>
      <c:rotX val="30"/>
      <c:depthPercent val="100"/>
      <c:perspective val="30"/>
    </c:view3D>
    <c:floor>
      <c:spPr>
        <a:noFill/>
        <a:ln>
          <a:noFill/>
        </a:ln>
        <a:effectLst/>
        <a:sp3d/>
      </c:spPr>
    </c:floor>
    <c:sideWall>
      <c:spPr>
        <a:noFill/>
        <a:ln>
          <a:noFill/>
        </a:ln>
        <a:effectLst/>
        <a:sp3d/>
      </c:spPr>
    </c:sideWall>
    <c:backWall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543B-4B95-BFC1-AB46B6A1DAB2}"/>
              </c:ext>
            </c:extLst>
          </c:dPt>
          <c:dPt>
            <c:idx val="1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543B-4B95-BFC1-AB46B6A1DAB2}"/>
              </c:ext>
            </c:extLst>
          </c:dPt>
          <c:dPt>
            <c:idx val="2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543B-4B95-BFC1-AB46B6A1DAB2}"/>
              </c:ext>
            </c:extLst>
          </c:dPt>
          <c:dPt>
            <c:idx val="3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543B-4B95-BFC1-AB46B6A1DAB2}"/>
              </c:ext>
            </c:extLst>
          </c:dPt>
          <c:dPt>
            <c:idx val="4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543B-4B95-BFC1-AB46B6A1DAB2}"/>
              </c:ext>
            </c:extLst>
          </c:dPt>
          <c:dPt>
            <c:idx val="5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543B-4B95-BFC1-AB46B6A1DAB2}"/>
              </c:ext>
            </c:extLst>
          </c:dPt>
          <c:dPt>
            <c:idx val="6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543B-4B95-BFC1-AB46B6A1DAB2}"/>
              </c:ext>
            </c:extLst>
          </c:dPt>
          <c:dPt>
            <c:idx val="7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F-543B-4B95-BFC1-AB46B6A1DAB2}"/>
              </c:ext>
            </c:extLst>
          </c:dPt>
          <c:dPt>
            <c:idx val="8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1-543B-4B95-BFC1-AB46B6A1DAB2}"/>
              </c:ext>
            </c:extLst>
          </c:dPt>
          <c:dPt>
            <c:idx val="9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3-543B-4B95-BFC1-AB46B6A1DAB2}"/>
              </c:ext>
            </c:extLst>
          </c:dPt>
          <c:dPt>
            <c:idx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5-543B-4B95-BFC1-AB46B6A1DAB2}"/>
              </c:ext>
            </c:extLst>
          </c:dPt>
          <c:dPt>
            <c:idx val="11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7-543B-4B95-BFC1-AB46B6A1DAB2}"/>
              </c:ext>
            </c:extLst>
          </c:dPt>
          <c:dLbls>
            <c:dLbl>
              <c:idx val="10"/>
              <c:layout>
                <c:manualLayout>
                  <c:x val="-2.6175304576939895E-2"/>
                  <c:y val="-3.2434080003295201E-2"/>
                </c:manualLayout>
              </c:layout>
              <c:showVal val="1"/>
              <c:showCatNam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43B-4B95-BFC1-AB46B6A1DAB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Val val="1"/>
            <c:showCatName val="1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'01.08 Najjeera-Kiwatule-24h'!$C$9:$N$9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'01.08 Najjeera-Kiwatule-24h'!$C$107:$N$107</c:f>
              <c:numCache>
                <c:formatCode>0.0%</c:formatCode>
                <c:ptCount val="12"/>
                <c:pt idx="0">
                  <c:v>0.38350515463917528</c:v>
                </c:pt>
                <c:pt idx="1">
                  <c:v>5.0584192439862542E-2</c:v>
                </c:pt>
                <c:pt idx="2">
                  <c:v>3.0309278350515462E-2</c:v>
                </c:pt>
                <c:pt idx="3">
                  <c:v>6.7628865979381447E-2</c:v>
                </c:pt>
                <c:pt idx="4">
                  <c:v>2.6116838487972509E-3</c:v>
                </c:pt>
                <c:pt idx="5">
                  <c:v>2.7491408934707902E-4</c:v>
                </c:pt>
                <c:pt idx="6">
                  <c:v>1.8075601374570448E-2</c:v>
                </c:pt>
                <c:pt idx="7">
                  <c:v>2.268041237113402E-3</c:v>
                </c:pt>
                <c:pt idx="8">
                  <c:v>1.5120274914089348E-3</c:v>
                </c:pt>
                <c:pt idx="9">
                  <c:v>2.0618556701030929E-4</c:v>
                </c:pt>
                <c:pt idx="10">
                  <c:v>0.44288659793814433</c:v>
                </c:pt>
                <c:pt idx="11">
                  <c:v>1.3745704467353951E-4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8-543B-4B95-BFC1-AB46B6A1DAB2}"/>
            </c:ext>
          </c:extLst>
        </c:ser>
      </c:pie3DChart>
      <c:spPr>
        <a:noFill/>
        <a:ln>
          <a:noFill/>
        </a:ln>
        <a:effectLst/>
      </c:spPr>
    </c:plotArea>
    <c:plotVisOnly val="1"/>
    <c:dispBlanksAs val="zero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3" l="0.70000000000000062" r="0.70000000000000062" t="0.750000000000003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spPr>
        <a:noFill/>
        <a:ln>
          <a:noFill/>
        </a:ln>
        <a:effectLst/>
      </c:spPr>
    </c:title>
    <c:view3D>
      <c:rotX val="30"/>
      <c:depthPercent val="100"/>
      <c:perspective val="30"/>
    </c:view3D>
    <c:floor>
      <c:spPr>
        <a:noFill/>
        <a:ln>
          <a:noFill/>
        </a:ln>
        <a:effectLst/>
        <a:sp3d/>
      </c:spPr>
    </c:floor>
    <c:sideWall>
      <c:spPr>
        <a:noFill/>
        <a:ln>
          <a:noFill/>
        </a:ln>
        <a:effectLst/>
        <a:sp3d/>
      </c:spPr>
    </c:sideWall>
    <c:backWall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4889-4F07-A028-107AA614C720}"/>
              </c:ext>
            </c:extLst>
          </c:dPt>
          <c:dPt>
            <c:idx val="1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4889-4F07-A028-107AA614C720}"/>
              </c:ext>
            </c:extLst>
          </c:dPt>
          <c:dPt>
            <c:idx val="2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4889-4F07-A028-107AA614C720}"/>
              </c:ext>
            </c:extLst>
          </c:dPt>
          <c:dPt>
            <c:idx val="3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4889-4F07-A028-107AA614C720}"/>
              </c:ext>
            </c:extLst>
          </c:dPt>
          <c:dPt>
            <c:idx val="4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4889-4F07-A028-107AA614C720}"/>
              </c:ext>
            </c:extLst>
          </c:dPt>
          <c:dPt>
            <c:idx val="5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4889-4F07-A028-107AA614C720}"/>
              </c:ext>
            </c:extLst>
          </c:dPt>
          <c:dPt>
            <c:idx val="6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4889-4F07-A028-107AA614C720}"/>
              </c:ext>
            </c:extLst>
          </c:dPt>
          <c:dPt>
            <c:idx val="7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F-4889-4F07-A028-107AA614C720}"/>
              </c:ext>
            </c:extLst>
          </c:dPt>
          <c:dPt>
            <c:idx val="8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1-4889-4F07-A028-107AA614C720}"/>
              </c:ext>
            </c:extLst>
          </c:dPt>
          <c:dPt>
            <c:idx val="9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3-4889-4F07-A028-107AA614C720}"/>
              </c:ext>
            </c:extLst>
          </c:dPt>
          <c:dPt>
            <c:idx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5-4889-4F07-A028-107AA614C720}"/>
              </c:ext>
            </c:extLst>
          </c:dPt>
          <c:dPt>
            <c:idx val="11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7-4889-4F07-A028-107AA614C720}"/>
              </c:ext>
            </c:extLst>
          </c:dPt>
          <c:dLbls>
            <c:dLbl>
              <c:idx val="10"/>
              <c:layout>
                <c:manualLayout>
                  <c:x val="-2.6175304576939895E-2"/>
                  <c:y val="-3.2434080003295201E-2"/>
                </c:manualLayout>
              </c:layout>
              <c:showVal val="1"/>
              <c:showCatNam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889-4F07-A028-107AA614C72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Val val="1"/>
            <c:showCatName val="1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'01.08 Najjeera-Kiwatule-24h'!$C$9:$N$9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'01.08 Najjeera-Kiwatule-24h'!$C$108:$N$108</c:f>
              <c:numCache>
                <c:formatCode>0.00%</c:formatCode>
                <c:ptCount val="12"/>
                <c:pt idx="0">
                  <c:v>0.68837897853441898</c:v>
                </c:pt>
                <c:pt idx="1">
                  <c:v>9.0796940537873183E-2</c:v>
                </c:pt>
                <c:pt idx="2">
                  <c:v>5.4404145077720206E-2</c:v>
                </c:pt>
                <c:pt idx="3">
                  <c:v>0.12139156180606958</c:v>
                </c:pt>
                <c:pt idx="4">
                  <c:v>4.6878855169010612E-3</c:v>
                </c:pt>
                <c:pt idx="5">
                  <c:v>4.9346163335800639E-4</c:v>
                </c:pt>
                <c:pt idx="6">
                  <c:v>3.2445102393288919E-2</c:v>
                </c:pt>
                <c:pt idx="7">
                  <c:v>4.0710584752035525E-3</c:v>
                </c:pt>
                <c:pt idx="8">
                  <c:v>2.7140389834690352E-3</c:v>
                </c:pt>
                <c:pt idx="9">
                  <c:v>3.7009622501850479E-4</c:v>
                </c:pt>
                <c:pt idx="11">
                  <c:v>2.467308166790032E-4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8-4889-4F07-A028-107AA614C720}"/>
            </c:ext>
          </c:extLst>
        </c:ser>
      </c:pie3DChart>
      <c:spPr>
        <a:noFill/>
        <a:ln>
          <a:noFill/>
        </a:ln>
        <a:effectLst/>
      </c:spPr>
    </c:plotArea>
    <c:plotVisOnly val="1"/>
    <c:dispBlanksAs val="zero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3" l="0.70000000000000062" r="0.70000000000000062" t="0.750000000000003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91E-2"/>
        </c:manualLayout>
      </c:layout>
      <c:spPr>
        <a:noFill/>
        <a:ln>
          <a:noFill/>
        </a:ln>
        <a:effectLst/>
      </c:spPr>
    </c:title>
    <c:plotArea>
      <c:layout/>
      <c:lineChart>
        <c:grouping val="standard"/>
        <c:ser>
          <c:idx val="0"/>
          <c:order val="0"/>
          <c:tx>
            <c:strRef>
              <c:f>'01.08 Kiwatule-Najjeera-24h'!$AE$9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'01.08 Kiwatule-Najjeera-24h'!$R$10:$R$33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'01.08 Kiwatule-Najjeera-24h'!$AE$10:$AE$33</c:f>
              <c:numCache>
                <c:formatCode>0</c:formatCode>
                <c:ptCount val="24"/>
                <c:pt idx="0">
                  <c:v>309</c:v>
                </c:pt>
                <c:pt idx="1">
                  <c:v>256</c:v>
                </c:pt>
                <c:pt idx="2">
                  <c:v>253</c:v>
                </c:pt>
                <c:pt idx="3">
                  <c:v>237</c:v>
                </c:pt>
                <c:pt idx="4">
                  <c:v>358</c:v>
                </c:pt>
                <c:pt idx="5">
                  <c:v>294</c:v>
                </c:pt>
                <c:pt idx="6">
                  <c:v>271</c:v>
                </c:pt>
                <c:pt idx="7">
                  <c:v>285</c:v>
                </c:pt>
                <c:pt idx="8">
                  <c:v>381</c:v>
                </c:pt>
                <c:pt idx="9">
                  <c:v>610</c:v>
                </c:pt>
                <c:pt idx="10">
                  <c:v>609</c:v>
                </c:pt>
                <c:pt idx="11">
                  <c:v>644</c:v>
                </c:pt>
                <c:pt idx="12">
                  <c:v>589</c:v>
                </c:pt>
                <c:pt idx="13">
                  <c:v>647</c:v>
                </c:pt>
                <c:pt idx="14">
                  <c:v>710</c:v>
                </c:pt>
                <c:pt idx="15">
                  <c:v>677</c:v>
                </c:pt>
                <c:pt idx="16">
                  <c:v>401</c:v>
                </c:pt>
                <c:pt idx="17">
                  <c:v>195</c:v>
                </c:pt>
                <c:pt idx="18">
                  <c:v>88</c:v>
                </c:pt>
                <c:pt idx="19">
                  <c:v>74</c:v>
                </c:pt>
                <c:pt idx="20">
                  <c:v>50</c:v>
                </c:pt>
                <c:pt idx="21">
                  <c:v>70</c:v>
                </c:pt>
                <c:pt idx="22">
                  <c:v>97</c:v>
                </c:pt>
                <c:pt idx="23">
                  <c:v>192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8D7C-43E4-8D98-AF01AC8ABB92}"/>
            </c:ext>
          </c:extLst>
        </c:ser>
        <c:ser>
          <c:idx val="1"/>
          <c:order val="1"/>
          <c:tx>
            <c:strRef>
              <c:f>'01.08 Kiwatule-Najjeera-24h'!$AF$9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'01.08 Kiwatule-Najjeera-24h'!$R$10:$R$33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'01.08 Kiwatule-Najjeera-24h'!$AF$10:$AF$33</c:f>
              <c:numCache>
                <c:formatCode>0</c:formatCode>
                <c:ptCount val="24"/>
                <c:pt idx="0">
                  <c:v>445</c:v>
                </c:pt>
                <c:pt idx="1">
                  <c:v>416</c:v>
                </c:pt>
                <c:pt idx="2">
                  <c:v>491</c:v>
                </c:pt>
                <c:pt idx="3">
                  <c:v>416</c:v>
                </c:pt>
                <c:pt idx="4">
                  <c:v>564</c:v>
                </c:pt>
                <c:pt idx="5">
                  <c:v>435</c:v>
                </c:pt>
                <c:pt idx="6">
                  <c:v>419</c:v>
                </c:pt>
                <c:pt idx="7">
                  <c:v>373</c:v>
                </c:pt>
                <c:pt idx="8">
                  <c:v>551</c:v>
                </c:pt>
                <c:pt idx="9">
                  <c:v>745</c:v>
                </c:pt>
                <c:pt idx="10">
                  <c:v>793</c:v>
                </c:pt>
                <c:pt idx="11">
                  <c:v>869</c:v>
                </c:pt>
                <c:pt idx="12">
                  <c:v>739</c:v>
                </c:pt>
                <c:pt idx="13">
                  <c:v>853</c:v>
                </c:pt>
                <c:pt idx="14">
                  <c:v>819</c:v>
                </c:pt>
                <c:pt idx="15">
                  <c:v>814</c:v>
                </c:pt>
                <c:pt idx="16">
                  <c:v>512</c:v>
                </c:pt>
                <c:pt idx="17">
                  <c:v>315</c:v>
                </c:pt>
                <c:pt idx="18">
                  <c:v>136</c:v>
                </c:pt>
                <c:pt idx="19">
                  <c:v>110</c:v>
                </c:pt>
                <c:pt idx="20">
                  <c:v>89</c:v>
                </c:pt>
                <c:pt idx="21">
                  <c:v>111</c:v>
                </c:pt>
                <c:pt idx="22">
                  <c:v>136</c:v>
                </c:pt>
                <c:pt idx="23">
                  <c:v>240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8D7C-43E4-8D98-AF01AC8ABB92}"/>
            </c:ext>
          </c:extLst>
        </c:ser>
        <c:marker val="1"/>
        <c:axId val="94112384"/>
        <c:axId val="94114560"/>
      </c:lineChart>
      <c:catAx>
        <c:axId val="94112384"/>
        <c:scaling>
          <c:orientation val="minMax"/>
        </c:scaling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4114560"/>
        <c:crosses val="autoZero"/>
        <c:auto val="1"/>
        <c:lblAlgn val="ctr"/>
        <c:lblOffset val="100"/>
      </c:catAx>
      <c:valAx>
        <c:axId val="94114560"/>
        <c:scaling>
          <c:orientation val="minMax"/>
          <c:min val="0"/>
        </c:scaling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spPr>
            <a:noFill/>
            <a:ln>
              <a:noFill/>
            </a:ln>
            <a:effectLst/>
          </c:spPr>
        </c:title>
        <c:numFmt formatCode="0" sourceLinked="1"/>
        <c:maj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4112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322" l="0.70000000000000062" r="0.70000000000000062" t="0.75000000000000322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spPr>
        <a:noFill/>
        <a:ln>
          <a:noFill/>
        </a:ln>
        <a:effectLst/>
      </c:spPr>
    </c:title>
    <c:view3D>
      <c:rotX val="30"/>
      <c:depthPercent val="100"/>
      <c:perspective val="30"/>
    </c:view3D>
    <c:floor>
      <c:spPr>
        <a:noFill/>
        <a:ln>
          <a:noFill/>
        </a:ln>
        <a:effectLst/>
        <a:sp3d/>
      </c:spPr>
    </c:floor>
    <c:sideWall>
      <c:spPr>
        <a:noFill/>
        <a:ln>
          <a:noFill/>
        </a:ln>
        <a:effectLst/>
        <a:sp3d/>
      </c:spPr>
    </c:sideWall>
    <c:backWall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B533-467E-9052-E80B684A022A}"/>
              </c:ext>
            </c:extLst>
          </c:dPt>
          <c:dPt>
            <c:idx val="1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B533-467E-9052-E80B684A022A}"/>
              </c:ext>
            </c:extLst>
          </c:dPt>
          <c:dPt>
            <c:idx val="2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B533-467E-9052-E80B684A022A}"/>
              </c:ext>
            </c:extLst>
          </c:dPt>
          <c:dPt>
            <c:idx val="3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B533-467E-9052-E80B684A022A}"/>
              </c:ext>
            </c:extLst>
          </c:dPt>
          <c:dPt>
            <c:idx val="4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B533-467E-9052-E80B684A022A}"/>
              </c:ext>
            </c:extLst>
          </c:dPt>
          <c:dPt>
            <c:idx val="5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B533-467E-9052-E80B684A022A}"/>
              </c:ext>
            </c:extLst>
          </c:dPt>
          <c:dPt>
            <c:idx val="6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B533-467E-9052-E80B684A022A}"/>
              </c:ext>
            </c:extLst>
          </c:dPt>
          <c:dPt>
            <c:idx val="7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F-B533-467E-9052-E80B684A022A}"/>
              </c:ext>
            </c:extLst>
          </c:dPt>
          <c:dPt>
            <c:idx val="8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1-B533-467E-9052-E80B684A022A}"/>
              </c:ext>
            </c:extLst>
          </c:dPt>
          <c:dPt>
            <c:idx val="9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3-B533-467E-9052-E80B684A022A}"/>
              </c:ext>
            </c:extLst>
          </c:dPt>
          <c:dPt>
            <c:idx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5-B533-467E-9052-E80B684A022A}"/>
              </c:ext>
            </c:extLst>
          </c:dPt>
          <c:dPt>
            <c:idx val="11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7-B533-467E-9052-E80B684A022A}"/>
              </c:ext>
            </c:extLst>
          </c:dPt>
          <c:dLbls>
            <c:dLbl>
              <c:idx val="10"/>
              <c:layout>
                <c:manualLayout>
                  <c:x val="-2.6175304576939895E-2"/>
                  <c:y val="-3.2434080003295201E-2"/>
                </c:manualLayout>
              </c:layout>
              <c:showVal val="1"/>
              <c:showCatNam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B533-467E-9052-E80B684A022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Val val="1"/>
            <c:showCatName val="1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'01.08 Kiwatule-Najjeera-24h'!$C$9:$N$9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'01.08 Kiwatule-Najjeera-24h'!$C$107:$N$107</c:f>
              <c:numCache>
                <c:formatCode>0.0%</c:formatCode>
                <c:ptCount val="12"/>
                <c:pt idx="0">
                  <c:v>0.50136072337810555</c:v>
                </c:pt>
                <c:pt idx="1">
                  <c:v>6.5841453779299453E-2</c:v>
                </c:pt>
                <c:pt idx="2">
                  <c:v>2.7653410587305766E-2</c:v>
                </c:pt>
                <c:pt idx="3">
                  <c:v>9.9552278114300757E-2</c:v>
                </c:pt>
                <c:pt idx="4">
                  <c:v>3.2481783864454395E-3</c:v>
                </c:pt>
                <c:pt idx="5">
                  <c:v>1.7557721007813187E-4</c:v>
                </c:pt>
                <c:pt idx="6">
                  <c:v>2.5458695461329121E-2</c:v>
                </c:pt>
                <c:pt idx="7">
                  <c:v>2.8092353612501099E-3</c:v>
                </c:pt>
                <c:pt idx="8">
                  <c:v>1.6679834957422526E-3</c:v>
                </c:pt>
                <c:pt idx="9">
                  <c:v>5.267316302343956E-4</c:v>
                </c:pt>
                <c:pt idx="10">
                  <c:v>0.27161794399086997</c:v>
                </c:pt>
                <c:pt idx="11">
                  <c:v>8.7788605039065934E-5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8-B533-467E-9052-E80B684A022A}"/>
            </c:ext>
          </c:extLst>
        </c:ser>
      </c:pie3DChart>
      <c:spPr>
        <a:noFill/>
        <a:ln>
          <a:noFill/>
        </a:ln>
        <a:effectLst/>
      </c:spPr>
    </c:plotArea>
    <c:plotVisOnly val="1"/>
    <c:dispBlanksAs val="zero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3" l="0.70000000000000062" r="0.70000000000000062" t="0.750000000000003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spPr>
        <a:noFill/>
        <a:ln>
          <a:noFill/>
        </a:ln>
        <a:effectLst/>
      </c:spPr>
    </c:title>
    <c:view3D>
      <c:rotX val="30"/>
      <c:depthPercent val="100"/>
      <c:perspective val="30"/>
    </c:view3D>
    <c:floor>
      <c:spPr>
        <a:noFill/>
        <a:ln>
          <a:noFill/>
        </a:ln>
        <a:effectLst/>
        <a:sp3d/>
      </c:spPr>
    </c:floor>
    <c:sideWall>
      <c:spPr>
        <a:noFill/>
        <a:ln>
          <a:noFill/>
        </a:ln>
        <a:effectLst/>
        <a:sp3d/>
      </c:spPr>
    </c:sideWall>
    <c:backWall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5529-4064-B18B-726F86F6119F}"/>
              </c:ext>
            </c:extLst>
          </c:dPt>
          <c:dPt>
            <c:idx val="1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5529-4064-B18B-726F86F6119F}"/>
              </c:ext>
            </c:extLst>
          </c:dPt>
          <c:dPt>
            <c:idx val="2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5529-4064-B18B-726F86F6119F}"/>
              </c:ext>
            </c:extLst>
          </c:dPt>
          <c:dPt>
            <c:idx val="3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5529-4064-B18B-726F86F6119F}"/>
              </c:ext>
            </c:extLst>
          </c:dPt>
          <c:dPt>
            <c:idx val="4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5529-4064-B18B-726F86F6119F}"/>
              </c:ext>
            </c:extLst>
          </c:dPt>
          <c:dPt>
            <c:idx val="5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5529-4064-B18B-726F86F6119F}"/>
              </c:ext>
            </c:extLst>
          </c:dPt>
          <c:dPt>
            <c:idx val="6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5529-4064-B18B-726F86F6119F}"/>
              </c:ext>
            </c:extLst>
          </c:dPt>
          <c:dPt>
            <c:idx val="7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F-5529-4064-B18B-726F86F6119F}"/>
              </c:ext>
            </c:extLst>
          </c:dPt>
          <c:dPt>
            <c:idx val="8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1-5529-4064-B18B-726F86F6119F}"/>
              </c:ext>
            </c:extLst>
          </c:dPt>
          <c:dPt>
            <c:idx val="9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3-5529-4064-B18B-726F86F6119F}"/>
              </c:ext>
            </c:extLst>
          </c:dPt>
          <c:dPt>
            <c:idx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5-5529-4064-B18B-726F86F6119F}"/>
              </c:ext>
            </c:extLst>
          </c:dPt>
          <c:dPt>
            <c:idx val="11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7-5529-4064-B18B-726F86F6119F}"/>
              </c:ext>
            </c:extLst>
          </c:dPt>
          <c:dLbls>
            <c:dLbl>
              <c:idx val="10"/>
              <c:layout>
                <c:manualLayout>
                  <c:x val="-2.6175304576939895E-2"/>
                  <c:y val="-3.2434080003295201E-2"/>
                </c:manualLayout>
              </c:layout>
              <c:showVal val="1"/>
              <c:showCatNam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529-4064-B18B-726F86F6119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Val val="1"/>
            <c:showCatName val="1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'01.08 Kiwatule-Najjeera-24h'!$C$9:$N$9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'01.08 Kiwatule-Najjeera-24h'!$C$108:$N$108</c:f>
              <c:numCache>
                <c:formatCode>0.00%</c:formatCode>
                <c:ptCount val="12"/>
                <c:pt idx="0">
                  <c:v>0.68832107990840063</c:v>
                </c:pt>
                <c:pt idx="1">
                  <c:v>9.0394118356032296E-2</c:v>
                </c:pt>
                <c:pt idx="2">
                  <c:v>3.7965529709533569E-2</c:v>
                </c:pt>
                <c:pt idx="3">
                  <c:v>0.13667590695432083</c:v>
                </c:pt>
                <c:pt idx="4">
                  <c:v>4.459443172230927E-3</c:v>
                </c:pt>
                <c:pt idx="5">
                  <c:v>2.4105098228275281E-4</c:v>
                </c:pt>
                <c:pt idx="6">
                  <c:v>3.4952392430999159E-2</c:v>
                </c:pt>
                <c:pt idx="7">
                  <c:v>3.8568157165240449E-3</c:v>
                </c:pt>
                <c:pt idx="8">
                  <c:v>2.2899843316861518E-3</c:v>
                </c:pt>
                <c:pt idx="9">
                  <c:v>7.2315294684825845E-4</c:v>
                </c:pt>
                <c:pt idx="11">
                  <c:v>1.205254911413764E-4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8-5529-4064-B18B-726F86F6119F}"/>
            </c:ext>
          </c:extLst>
        </c:ser>
      </c:pie3DChart>
      <c:spPr>
        <a:noFill/>
        <a:ln>
          <a:noFill/>
        </a:ln>
        <a:effectLst/>
      </c:spPr>
    </c:plotArea>
    <c:plotVisOnly val="1"/>
    <c:dispBlanksAs val="zero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3" l="0.70000000000000062" r="0.70000000000000062" t="0.750000000000003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398"/>
          <c:y val="2.6504260748158488E-2"/>
        </c:manualLayout>
      </c:layout>
      <c:spPr>
        <a:noFill/>
        <a:ln>
          <a:noFill/>
        </a:ln>
        <a:effectLst/>
      </c:spPr>
    </c:title>
    <c:plotArea>
      <c:layout/>
      <c:lineChart>
        <c:grouping val="standard"/>
        <c:ser>
          <c:idx val="0"/>
          <c:order val="0"/>
          <c:tx>
            <c:strRef>
              <c:f>'02.08 Najjeera-Kiwatule'!$AE$9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'02.08 Najjeera-Kiwatule'!$R$10:$R$21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'02.08 Najjeera-Kiwatule'!$AE$10:$AE$21</c:f>
              <c:numCache>
                <c:formatCode>0</c:formatCode>
                <c:ptCount val="12"/>
                <c:pt idx="0">
                  <c:v>835</c:v>
                </c:pt>
                <c:pt idx="1">
                  <c:v>762</c:v>
                </c:pt>
                <c:pt idx="2">
                  <c:v>469</c:v>
                </c:pt>
                <c:pt idx="3">
                  <c:v>519</c:v>
                </c:pt>
                <c:pt idx="4">
                  <c:v>384</c:v>
                </c:pt>
                <c:pt idx="5">
                  <c:v>403</c:v>
                </c:pt>
                <c:pt idx="6">
                  <c:v>347</c:v>
                </c:pt>
                <c:pt idx="7">
                  <c:v>482</c:v>
                </c:pt>
                <c:pt idx="8">
                  <c:v>421</c:v>
                </c:pt>
                <c:pt idx="9">
                  <c:v>288</c:v>
                </c:pt>
                <c:pt idx="10">
                  <c:v>394</c:v>
                </c:pt>
                <c:pt idx="11">
                  <c:v>361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56D6-4B77-8026-30DBF41B753F}"/>
            </c:ext>
          </c:extLst>
        </c:ser>
        <c:ser>
          <c:idx val="1"/>
          <c:order val="1"/>
          <c:tx>
            <c:strRef>
              <c:f>'02.08 Najjeera-Kiwatule'!$AF$9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'02.08 Najjeera-Kiwatule'!$R$10:$R$21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'02.08 Najjeera-Kiwatule'!$AF$10:$AF$21</c:f>
              <c:numCache>
                <c:formatCode>0</c:formatCode>
                <c:ptCount val="12"/>
                <c:pt idx="0">
                  <c:v>1185</c:v>
                </c:pt>
                <c:pt idx="1">
                  <c:v>1131</c:v>
                </c:pt>
                <c:pt idx="2">
                  <c:v>839</c:v>
                </c:pt>
                <c:pt idx="3">
                  <c:v>869</c:v>
                </c:pt>
                <c:pt idx="4">
                  <c:v>723</c:v>
                </c:pt>
                <c:pt idx="5">
                  <c:v>741</c:v>
                </c:pt>
                <c:pt idx="6">
                  <c:v>689</c:v>
                </c:pt>
                <c:pt idx="7">
                  <c:v>785</c:v>
                </c:pt>
                <c:pt idx="8">
                  <c:v>681</c:v>
                </c:pt>
                <c:pt idx="9">
                  <c:v>655</c:v>
                </c:pt>
                <c:pt idx="10">
                  <c:v>759</c:v>
                </c:pt>
                <c:pt idx="11">
                  <c:v>899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56D6-4B77-8026-30DBF41B753F}"/>
            </c:ext>
          </c:extLst>
        </c:ser>
        <c:marker val="1"/>
        <c:axId val="94268800"/>
        <c:axId val="94279168"/>
      </c:lineChart>
      <c:catAx>
        <c:axId val="94268800"/>
        <c:scaling>
          <c:orientation val="minMax"/>
        </c:scaling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4279168"/>
        <c:crosses val="autoZero"/>
        <c:auto val="1"/>
        <c:lblAlgn val="ctr"/>
        <c:lblOffset val="100"/>
      </c:catAx>
      <c:valAx>
        <c:axId val="94279168"/>
        <c:scaling>
          <c:orientation val="minMax"/>
          <c:min val="0"/>
        </c:scaling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spPr>
            <a:noFill/>
            <a:ln>
              <a:noFill/>
            </a:ln>
            <a:effectLst/>
          </c:spPr>
        </c:title>
        <c:numFmt formatCode="0" sourceLinked="1"/>
        <c:maj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4268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322" l="0.70000000000000062" r="0.70000000000000062" t="0.75000000000000322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spPr>
        <a:noFill/>
        <a:ln>
          <a:noFill/>
        </a:ln>
        <a:effectLst/>
      </c:spPr>
    </c:title>
    <c:view3D>
      <c:rotX val="30"/>
      <c:depthPercent val="100"/>
      <c:perspective val="30"/>
    </c:view3D>
    <c:floor>
      <c:spPr>
        <a:noFill/>
        <a:ln>
          <a:noFill/>
        </a:ln>
        <a:effectLst/>
        <a:sp3d/>
      </c:spPr>
    </c:floor>
    <c:sideWall>
      <c:spPr>
        <a:noFill/>
        <a:ln>
          <a:noFill/>
        </a:ln>
        <a:effectLst/>
        <a:sp3d/>
      </c:spPr>
    </c:sideWall>
    <c:backWall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F5BA-447C-A3CB-236E1F2B31F3}"/>
              </c:ext>
            </c:extLst>
          </c:dPt>
          <c:dPt>
            <c:idx val="1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F5BA-447C-A3CB-236E1F2B31F3}"/>
              </c:ext>
            </c:extLst>
          </c:dPt>
          <c:dPt>
            <c:idx val="2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F5BA-447C-A3CB-236E1F2B31F3}"/>
              </c:ext>
            </c:extLst>
          </c:dPt>
          <c:dPt>
            <c:idx val="3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F5BA-447C-A3CB-236E1F2B31F3}"/>
              </c:ext>
            </c:extLst>
          </c:dPt>
          <c:dPt>
            <c:idx val="4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F5BA-447C-A3CB-236E1F2B31F3}"/>
              </c:ext>
            </c:extLst>
          </c:dPt>
          <c:dPt>
            <c:idx val="5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F5BA-447C-A3CB-236E1F2B31F3}"/>
              </c:ext>
            </c:extLst>
          </c:dPt>
          <c:dPt>
            <c:idx val="6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F5BA-447C-A3CB-236E1F2B31F3}"/>
              </c:ext>
            </c:extLst>
          </c:dPt>
          <c:dPt>
            <c:idx val="7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F-F5BA-447C-A3CB-236E1F2B31F3}"/>
              </c:ext>
            </c:extLst>
          </c:dPt>
          <c:dPt>
            <c:idx val="8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1-F5BA-447C-A3CB-236E1F2B31F3}"/>
              </c:ext>
            </c:extLst>
          </c:dPt>
          <c:dPt>
            <c:idx val="9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3-F5BA-447C-A3CB-236E1F2B31F3}"/>
              </c:ext>
            </c:extLst>
          </c:dPt>
          <c:dPt>
            <c:idx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5-F5BA-447C-A3CB-236E1F2B31F3}"/>
              </c:ext>
            </c:extLst>
          </c:dPt>
          <c:dPt>
            <c:idx val="11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7-F5BA-447C-A3CB-236E1F2B31F3}"/>
              </c:ext>
            </c:extLst>
          </c:dPt>
          <c:dLbls>
            <c:dLbl>
              <c:idx val="10"/>
              <c:layout>
                <c:manualLayout>
                  <c:x val="-2.6175304576939895E-2"/>
                  <c:y val="-3.2434080003295201E-2"/>
                </c:manualLayout>
              </c:layout>
              <c:showVal val="1"/>
              <c:showCatNam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F5BA-447C-A3CB-236E1F2B31F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Val val="1"/>
            <c:showCatName val="1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'02.08 Najjeera-Kiwatule'!$C$9:$N$9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'02.08 Najjeera-Kiwatule'!$C$59:$N$59</c:f>
              <c:numCache>
                <c:formatCode>0.0%</c:formatCode>
                <c:ptCount val="12"/>
                <c:pt idx="0">
                  <c:v>0.39624347127360388</c:v>
                </c:pt>
                <c:pt idx="1">
                  <c:v>5.1024507834471676E-2</c:v>
                </c:pt>
                <c:pt idx="2">
                  <c:v>3.364805142627561E-2</c:v>
                </c:pt>
                <c:pt idx="3">
                  <c:v>6.2575331458417038E-2</c:v>
                </c:pt>
                <c:pt idx="4">
                  <c:v>1.3057452792286058E-3</c:v>
                </c:pt>
                <c:pt idx="5">
                  <c:v>3.013258336681398E-4</c:v>
                </c:pt>
                <c:pt idx="6">
                  <c:v>2.0188830855765366E-2</c:v>
                </c:pt>
                <c:pt idx="7">
                  <c:v>2.9128163921253516E-3</c:v>
                </c:pt>
                <c:pt idx="8">
                  <c:v>5.0220972278023301E-4</c:v>
                </c:pt>
                <c:pt idx="9">
                  <c:v>2.008838891120932E-4</c:v>
                </c:pt>
                <c:pt idx="10">
                  <c:v>0.43099638408999597</c:v>
                </c:pt>
                <c:pt idx="11">
                  <c:v>1.004419445560466E-4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8-F5BA-447C-A3CB-236E1F2B31F3}"/>
            </c:ext>
          </c:extLst>
        </c:ser>
      </c:pie3DChart>
      <c:spPr>
        <a:noFill/>
        <a:ln>
          <a:noFill/>
        </a:ln>
        <a:effectLst/>
      </c:spPr>
    </c:plotArea>
    <c:plotVisOnly val="1"/>
    <c:dispBlanksAs val="zero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3" l="0.70000000000000062" r="0.70000000000000062" t="0.750000000000003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9093"/>
          <c:y val="2.2960226637323802E-2"/>
        </c:manualLayout>
      </c:layout>
      <c:spPr>
        <a:noFill/>
        <a:ln>
          <a:noFill/>
        </a:ln>
        <a:effectLst/>
      </c:spPr>
    </c:title>
    <c:plotArea>
      <c:layout/>
      <c:lineChart>
        <c:grouping val="standard"/>
        <c:ser>
          <c:idx val="0"/>
          <c:order val="0"/>
          <c:tx>
            <c:strRef>
              <c:f>'02.08 Najjeera-Kiwatule'!$S$9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'02.08 Najjeera-Kiwatule'!$R$10:$R$21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'02.08 Najjeera-Kiwatule'!$S$10:$S$21</c:f>
              <c:numCache>
                <c:formatCode>0</c:formatCode>
                <c:ptCount val="12"/>
                <c:pt idx="0">
                  <c:v>655</c:v>
                </c:pt>
                <c:pt idx="1">
                  <c:v>580</c:v>
                </c:pt>
                <c:pt idx="2">
                  <c:v>333</c:v>
                </c:pt>
                <c:pt idx="3">
                  <c:v>330</c:v>
                </c:pt>
                <c:pt idx="4">
                  <c:v>251</c:v>
                </c:pt>
                <c:pt idx="5">
                  <c:v>249</c:v>
                </c:pt>
                <c:pt idx="6">
                  <c:v>227</c:v>
                </c:pt>
                <c:pt idx="7">
                  <c:v>320</c:v>
                </c:pt>
                <c:pt idx="8">
                  <c:v>305</c:v>
                </c:pt>
                <c:pt idx="9">
                  <c:v>196</c:v>
                </c:pt>
                <c:pt idx="10">
                  <c:v>239</c:v>
                </c:pt>
                <c:pt idx="11">
                  <c:v>260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6D54-447E-B68D-E1368766DED9}"/>
            </c:ext>
          </c:extLst>
        </c:ser>
        <c:ser>
          <c:idx val="1"/>
          <c:order val="1"/>
          <c:tx>
            <c:strRef>
              <c:f>'02.08 Najjeera-Kiwatule'!$T$9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'02.08 Najjeera-Kiwatule'!$R$10:$R$21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'02.08 Najjeera-Kiwatule'!$T$10:$T$21</c:f>
              <c:numCache>
                <c:formatCode>0</c:formatCode>
                <c:ptCount val="12"/>
                <c:pt idx="0">
                  <c:v>56</c:v>
                </c:pt>
                <c:pt idx="1">
                  <c:v>63</c:v>
                </c:pt>
                <c:pt idx="2">
                  <c:v>44</c:v>
                </c:pt>
                <c:pt idx="3">
                  <c:v>62</c:v>
                </c:pt>
                <c:pt idx="4">
                  <c:v>36</c:v>
                </c:pt>
                <c:pt idx="5">
                  <c:v>46</c:v>
                </c:pt>
                <c:pt idx="6">
                  <c:v>33</c:v>
                </c:pt>
                <c:pt idx="7">
                  <c:v>34</c:v>
                </c:pt>
                <c:pt idx="8">
                  <c:v>37</c:v>
                </c:pt>
                <c:pt idx="9">
                  <c:v>28</c:v>
                </c:pt>
                <c:pt idx="10">
                  <c:v>43</c:v>
                </c:pt>
                <c:pt idx="11">
                  <c:v>26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6D54-447E-B68D-E1368766DED9}"/>
            </c:ext>
          </c:extLst>
        </c:ser>
        <c:ser>
          <c:idx val="2"/>
          <c:order val="2"/>
          <c:tx>
            <c:strRef>
              <c:f>'02.08 Najjeera-Kiwatule'!$U$9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'02.08 Najjeera-Kiwatule'!$U$10:$U$21</c:f>
              <c:numCache>
                <c:formatCode>0</c:formatCode>
                <c:ptCount val="12"/>
                <c:pt idx="0">
                  <c:v>35</c:v>
                </c:pt>
                <c:pt idx="1">
                  <c:v>27</c:v>
                </c:pt>
                <c:pt idx="2">
                  <c:v>32</c:v>
                </c:pt>
                <c:pt idx="3">
                  <c:v>38</c:v>
                </c:pt>
                <c:pt idx="4">
                  <c:v>26</c:v>
                </c:pt>
                <c:pt idx="5">
                  <c:v>32</c:v>
                </c:pt>
                <c:pt idx="6">
                  <c:v>18</c:v>
                </c:pt>
                <c:pt idx="7">
                  <c:v>30</c:v>
                </c:pt>
                <c:pt idx="8">
                  <c:v>23</c:v>
                </c:pt>
                <c:pt idx="9">
                  <c:v>16</c:v>
                </c:pt>
                <c:pt idx="10">
                  <c:v>42</c:v>
                </c:pt>
                <c:pt idx="11">
                  <c:v>16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6D54-447E-B68D-E1368766DED9}"/>
            </c:ext>
          </c:extLst>
        </c:ser>
        <c:ser>
          <c:idx val="3"/>
          <c:order val="3"/>
          <c:tx>
            <c:strRef>
              <c:f>'02.08 Najjeera-Kiwatule'!$V$9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'02.08 Najjeera-Kiwatule'!$V$10:$V$21</c:f>
              <c:numCache>
                <c:formatCode>0</c:formatCode>
                <c:ptCount val="12"/>
                <c:pt idx="0">
                  <c:v>82</c:v>
                </c:pt>
                <c:pt idx="1">
                  <c:v>73</c:v>
                </c:pt>
                <c:pt idx="2">
                  <c:v>49</c:v>
                </c:pt>
                <c:pt idx="3">
                  <c:v>62</c:v>
                </c:pt>
                <c:pt idx="4">
                  <c:v>44</c:v>
                </c:pt>
                <c:pt idx="5">
                  <c:v>52</c:v>
                </c:pt>
                <c:pt idx="6">
                  <c:v>36</c:v>
                </c:pt>
                <c:pt idx="7">
                  <c:v>72</c:v>
                </c:pt>
                <c:pt idx="8">
                  <c:v>37</c:v>
                </c:pt>
                <c:pt idx="9">
                  <c:v>26</c:v>
                </c:pt>
                <c:pt idx="10">
                  <c:v>48</c:v>
                </c:pt>
                <c:pt idx="11">
                  <c:v>42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D54-447E-B68D-E1368766DED9}"/>
            </c:ext>
          </c:extLst>
        </c:ser>
        <c:ser>
          <c:idx val="4"/>
          <c:order val="4"/>
          <c:tx>
            <c:strRef>
              <c:f>'02.08 Najjeera-Kiwatule'!$W$9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'02.08 Najjeera-Kiwatule'!$W$10:$W$21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3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1</c:v>
                </c:pt>
                <c:pt idx="8">
                  <c:v>0</c:v>
                </c:pt>
                <c:pt idx="9">
                  <c:v>1</c:v>
                </c:pt>
                <c:pt idx="10">
                  <c:v>2</c:v>
                </c:pt>
                <c:pt idx="11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6D54-447E-B68D-E1368766DED9}"/>
            </c:ext>
          </c:extLst>
        </c:ser>
        <c:ser>
          <c:idx val="5"/>
          <c:order val="5"/>
          <c:tx>
            <c:strRef>
              <c:f>'02.08 Najjeera-Kiwatule'!$X$9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'02.08 Najjeera-Kiwatule'!$X$10:$X$21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6D54-447E-B68D-E1368766DED9}"/>
            </c:ext>
          </c:extLst>
        </c:ser>
        <c:ser>
          <c:idx val="6"/>
          <c:order val="6"/>
          <c:tx>
            <c:strRef>
              <c:f>'02.08 Najjeera-Kiwatule'!$Y$9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'02.08 Najjeera-Kiwatule'!$Y$10:$Y$21</c:f>
              <c:numCache>
                <c:formatCode>0</c:formatCode>
                <c:ptCount val="12"/>
                <c:pt idx="0">
                  <c:v>5</c:v>
                </c:pt>
                <c:pt idx="1">
                  <c:v>16</c:v>
                </c:pt>
                <c:pt idx="2">
                  <c:v>5</c:v>
                </c:pt>
                <c:pt idx="3">
                  <c:v>19</c:v>
                </c:pt>
                <c:pt idx="4">
                  <c:v>20</c:v>
                </c:pt>
                <c:pt idx="5">
                  <c:v>21</c:v>
                </c:pt>
                <c:pt idx="6">
                  <c:v>22</c:v>
                </c:pt>
                <c:pt idx="7">
                  <c:v>22</c:v>
                </c:pt>
                <c:pt idx="8">
                  <c:v>17</c:v>
                </c:pt>
                <c:pt idx="9">
                  <c:v>20</c:v>
                </c:pt>
                <c:pt idx="10">
                  <c:v>20</c:v>
                </c:pt>
                <c:pt idx="11">
                  <c:v>14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6D54-447E-B68D-E1368766DED9}"/>
            </c:ext>
          </c:extLst>
        </c:ser>
        <c:ser>
          <c:idx val="7"/>
          <c:order val="7"/>
          <c:tx>
            <c:strRef>
              <c:f>'02.08 Najjeera-Kiwatule'!$Z$9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'02.08 Najjeera-Kiwatule'!$Z$10:$Z$21</c:f>
              <c:numCache>
                <c:formatCode>0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  <c:pt idx="4">
                  <c:v>6</c:v>
                </c:pt>
                <c:pt idx="5">
                  <c:v>3</c:v>
                </c:pt>
                <c:pt idx="6">
                  <c:v>5</c:v>
                </c:pt>
                <c:pt idx="7">
                  <c:v>3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7-6D54-447E-B68D-E1368766DED9}"/>
            </c:ext>
          </c:extLst>
        </c:ser>
        <c:ser>
          <c:idx val="8"/>
          <c:order val="8"/>
          <c:tx>
            <c:strRef>
              <c:f>'02.08 Najjeera-Kiwatule'!$AA$9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'02.08 Najjeera-Kiwatule'!$AA$10:$AA$21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8-6D54-447E-B68D-E1368766DED9}"/>
            </c:ext>
          </c:extLst>
        </c:ser>
        <c:ser>
          <c:idx val="9"/>
          <c:order val="9"/>
          <c:tx>
            <c:strRef>
              <c:f>'02.08 Najjeera-Kiwatule'!$AB$9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'02.08 Najjeera-Kiwatule'!$AB$10:$AB$21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9-6D54-447E-B68D-E1368766DED9}"/>
            </c:ext>
          </c:extLst>
        </c:ser>
        <c:ser>
          <c:idx val="10"/>
          <c:order val="10"/>
          <c:tx>
            <c:strRef>
              <c:f>'02.08 Najjeera-Kiwatule'!$AC$9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'02.08 Najjeera-Kiwatule'!$AC$10:$AC$21</c:f>
              <c:numCache>
                <c:formatCode>0</c:formatCode>
                <c:ptCount val="12"/>
                <c:pt idx="0">
                  <c:v>350</c:v>
                </c:pt>
                <c:pt idx="1">
                  <c:v>369</c:v>
                </c:pt>
                <c:pt idx="2">
                  <c:v>370</c:v>
                </c:pt>
                <c:pt idx="3">
                  <c:v>350</c:v>
                </c:pt>
                <c:pt idx="4">
                  <c:v>339</c:v>
                </c:pt>
                <c:pt idx="5">
                  <c:v>338</c:v>
                </c:pt>
                <c:pt idx="6">
                  <c:v>342</c:v>
                </c:pt>
                <c:pt idx="7">
                  <c:v>303</c:v>
                </c:pt>
                <c:pt idx="8">
                  <c:v>260</c:v>
                </c:pt>
                <c:pt idx="9">
                  <c:v>367</c:v>
                </c:pt>
                <c:pt idx="10">
                  <c:v>365</c:v>
                </c:pt>
                <c:pt idx="11">
                  <c:v>538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6D54-447E-B68D-E1368766DED9}"/>
            </c:ext>
          </c:extLst>
        </c:ser>
        <c:ser>
          <c:idx val="11"/>
          <c:order val="11"/>
          <c:tx>
            <c:strRef>
              <c:f>'02.08 Najjeera-Kiwatule'!$AD$9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'02.08 Najjeera-Kiwatule'!$AD$10:$AD$21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B-6D54-447E-B68D-E1368766DED9}"/>
            </c:ext>
          </c:extLst>
        </c:ser>
        <c:marker val="1"/>
        <c:axId val="98071680"/>
        <c:axId val="98073216"/>
      </c:lineChart>
      <c:catAx>
        <c:axId val="98071680"/>
        <c:scaling>
          <c:orientation val="minMax"/>
        </c:scaling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8073216"/>
        <c:crosses val="autoZero"/>
        <c:auto val="1"/>
        <c:lblAlgn val="ctr"/>
        <c:lblOffset val="100"/>
      </c:catAx>
      <c:valAx>
        <c:axId val="98073216"/>
        <c:scaling>
          <c:orientation val="minMax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spPr>
            <a:noFill/>
            <a:ln>
              <a:noFill/>
            </a:ln>
            <a:effectLst/>
          </c:spPr>
        </c:title>
        <c:numFmt formatCode="0" sourceLinked="1"/>
        <c:maj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8071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3" l="0.70000000000000062" r="0.70000000000000062" t="0.750000000000003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spPr>
        <a:noFill/>
        <a:ln>
          <a:noFill/>
        </a:ln>
        <a:effectLst/>
      </c:spPr>
    </c:title>
    <c:view3D>
      <c:rotX val="30"/>
      <c:depthPercent val="100"/>
      <c:perspective val="30"/>
    </c:view3D>
    <c:floor>
      <c:spPr>
        <a:noFill/>
        <a:ln>
          <a:noFill/>
        </a:ln>
        <a:effectLst/>
        <a:sp3d/>
      </c:spPr>
    </c:floor>
    <c:sideWall>
      <c:spPr>
        <a:noFill/>
        <a:ln>
          <a:noFill/>
        </a:ln>
        <a:effectLst/>
        <a:sp3d/>
      </c:spPr>
    </c:sideWall>
    <c:backWall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CB73-46DF-8DE2-8B27C2F90D10}"/>
              </c:ext>
            </c:extLst>
          </c:dPt>
          <c:dPt>
            <c:idx val="1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CB73-46DF-8DE2-8B27C2F90D10}"/>
              </c:ext>
            </c:extLst>
          </c:dPt>
          <c:dPt>
            <c:idx val="2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CB73-46DF-8DE2-8B27C2F90D10}"/>
              </c:ext>
            </c:extLst>
          </c:dPt>
          <c:dPt>
            <c:idx val="3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CB73-46DF-8DE2-8B27C2F90D10}"/>
              </c:ext>
            </c:extLst>
          </c:dPt>
          <c:dPt>
            <c:idx val="4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CB73-46DF-8DE2-8B27C2F90D10}"/>
              </c:ext>
            </c:extLst>
          </c:dPt>
          <c:dPt>
            <c:idx val="5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CB73-46DF-8DE2-8B27C2F90D10}"/>
              </c:ext>
            </c:extLst>
          </c:dPt>
          <c:dPt>
            <c:idx val="6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CB73-46DF-8DE2-8B27C2F90D10}"/>
              </c:ext>
            </c:extLst>
          </c:dPt>
          <c:dPt>
            <c:idx val="7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F-CB73-46DF-8DE2-8B27C2F90D10}"/>
              </c:ext>
            </c:extLst>
          </c:dPt>
          <c:dPt>
            <c:idx val="8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1-CB73-46DF-8DE2-8B27C2F90D10}"/>
              </c:ext>
            </c:extLst>
          </c:dPt>
          <c:dPt>
            <c:idx val="9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3-CB73-46DF-8DE2-8B27C2F90D10}"/>
              </c:ext>
            </c:extLst>
          </c:dPt>
          <c:dPt>
            <c:idx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5-CB73-46DF-8DE2-8B27C2F90D10}"/>
              </c:ext>
            </c:extLst>
          </c:dPt>
          <c:dPt>
            <c:idx val="11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7-CB73-46DF-8DE2-8B27C2F90D10}"/>
              </c:ext>
            </c:extLst>
          </c:dPt>
          <c:dLbls>
            <c:dLbl>
              <c:idx val="10"/>
              <c:layout>
                <c:manualLayout>
                  <c:x val="-2.6175304576939895E-2"/>
                  <c:y val="-3.2434080003295201E-2"/>
                </c:manualLayout>
              </c:layout>
              <c:showVal val="1"/>
              <c:showCatNam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B73-46DF-8DE2-8B27C2F90D1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Val val="1"/>
            <c:showCatName val="1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'02.08 Najjeera-Kiwatule'!$C$9:$N$9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'02.08 Najjeera-Kiwatule'!$C$60:$N$60</c:f>
              <c:numCache>
                <c:formatCode>0.00%</c:formatCode>
                <c:ptCount val="12"/>
                <c:pt idx="0">
                  <c:v>0.69638128861429838</c:v>
                </c:pt>
                <c:pt idx="1">
                  <c:v>8.9673433362753754E-2</c:v>
                </c:pt>
                <c:pt idx="2">
                  <c:v>5.9135039717563988E-2</c:v>
                </c:pt>
                <c:pt idx="3">
                  <c:v>0.10997352162400706</c:v>
                </c:pt>
                <c:pt idx="4">
                  <c:v>2.294792586054722E-3</c:v>
                </c:pt>
                <c:pt idx="5">
                  <c:v>5.2956751985878199E-4</c:v>
                </c:pt>
                <c:pt idx="6">
                  <c:v>3.5481023830538395E-2</c:v>
                </c:pt>
                <c:pt idx="7">
                  <c:v>5.1191526919682259E-3</c:v>
                </c:pt>
                <c:pt idx="8">
                  <c:v>8.8261253309797002E-4</c:v>
                </c:pt>
                <c:pt idx="9">
                  <c:v>3.5304501323918798E-4</c:v>
                </c:pt>
                <c:pt idx="11">
                  <c:v>1.7652250661959399E-4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8-CB73-46DF-8DE2-8B27C2F90D10}"/>
            </c:ext>
          </c:extLst>
        </c:ser>
      </c:pie3DChart>
      <c:spPr>
        <a:noFill/>
        <a:ln>
          <a:noFill/>
        </a:ln>
        <a:effectLst/>
      </c:spPr>
    </c:plotArea>
    <c:plotVisOnly val="1"/>
    <c:dispBlanksAs val="zero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3" l="0.70000000000000062" r="0.70000000000000062" t="0.750000000000003" header="0.30000000000000032" footer="0.3000000000000003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398"/>
          <c:y val="2.6504260748158488E-2"/>
        </c:manualLayout>
      </c:layout>
      <c:spPr>
        <a:noFill/>
        <a:ln>
          <a:noFill/>
        </a:ln>
        <a:effectLst/>
      </c:spPr>
    </c:title>
    <c:plotArea>
      <c:layout/>
      <c:lineChart>
        <c:grouping val="standard"/>
        <c:ser>
          <c:idx val="0"/>
          <c:order val="0"/>
          <c:tx>
            <c:strRef>
              <c:f>'02.08 Kiwatule-Najjeera'!$AE$9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'02.08 Kiwatule-Najjeera'!$R$10:$R$21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'02.08 Kiwatule-Najjeera'!$AE$10:$AE$21</c:f>
              <c:numCache>
                <c:formatCode>0</c:formatCode>
                <c:ptCount val="12"/>
                <c:pt idx="0">
                  <c:v>275</c:v>
                </c:pt>
                <c:pt idx="1">
                  <c:v>233</c:v>
                </c:pt>
                <c:pt idx="2">
                  <c:v>219</c:v>
                </c:pt>
                <c:pt idx="3">
                  <c:v>265</c:v>
                </c:pt>
                <c:pt idx="4">
                  <c:v>223</c:v>
                </c:pt>
                <c:pt idx="5">
                  <c:v>324</c:v>
                </c:pt>
                <c:pt idx="6">
                  <c:v>180</c:v>
                </c:pt>
                <c:pt idx="7">
                  <c:v>289</c:v>
                </c:pt>
                <c:pt idx="8">
                  <c:v>253</c:v>
                </c:pt>
                <c:pt idx="9">
                  <c:v>309</c:v>
                </c:pt>
                <c:pt idx="10">
                  <c:v>542</c:v>
                </c:pt>
                <c:pt idx="11">
                  <c:v>721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7D5F-499C-8247-FFF3D6EFDA44}"/>
            </c:ext>
          </c:extLst>
        </c:ser>
        <c:ser>
          <c:idx val="1"/>
          <c:order val="1"/>
          <c:tx>
            <c:strRef>
              <c:f>'02.08 Kiwatule-Najjeera'!$AF$9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'02.08 Kiwatule-Najjeera'!$R$10:$R$21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'02.08 Kiwatule-Najjeera'!$AF$10:$AF$21</c:f>
              <c:numCache>
                <c:formatCode>0</c:formatCode>
                <c:ptCount val="12"/>
                <c:pt idx="0">
                  <c:v>451</c:v>
                </c:pt>
                <c:pt idx="1">
                  <c:v>416</c:v>
                </c:pt>
                <c:pt idx="2">
                  <c:v>350</c:v>
                </c:pt>
                <c:pt idx="3">
                  <c:v>395</c:v>
                </c:pt>
                <c:pt idx="4">
                  <c:v>359</c:v>
                </c:pt>
                <c:pt idx="5">
                  <c:v>454</c:v>
                </c:pt>
                <c:pt idx="6">
                  <c:v>271</c:v>
                </c:pt>
                <c:pt idx="7">
                  <c:v>404</c:v>
                </c:pt>
                <c:pt idx="8">
                  <c:v>384</c:v>
                </c:pt>
                <c:pt idx="9">
                  <c:v>429</c:v>
                </c:pt>
                <c:pt idx="10">
                  <c:v>787</c:v>
                </c:pt>
                <c:pt idx="11">
                  <c:v>1044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7D5F-499C-8247-FFF3D6EFDA44}"/>
            </c:ext>
          </c:extLst>
        </c:ser>
        <c:marker val="1"/>
        <c:axId val="98286976"/>
        <c:axId val="98293248"/>
      </c:lineChart>
      <c:catAx>
        <c:axId val="98286976"/>
        <c:scaling>
          <c:orientation val="minMax"/>
        </c:scaling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8293248"/>
        <c:crosses val="autoZero"/>
        <c:auto val="1"/>
        <c:lblAlgn val="ctr"/>
        <c:lblOffset val="100"/>
      </c:catAx>
      <c:valAx>
        <c:axId val="98293248"/>
        <c:scaling>
          <c:orientation val="minMax"/>
          <c:min val="0"/>
        </c:scaling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spPr>
            <a:noFill/>
            <a:ln>
              <a:noFill/>
            </a:ln>
            <a:effectLst/>
          </c:spPr>
        </c:title>
        <c:numFmt formatCode="0" sourceLinked="1"/>
        <c:maj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8286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322" l="0.70000000000000062" r="0.70000000000000062" t="0.75000000000000322" header="0.30000000000000032" footer="0.3000000000000003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spPr>
        <a:noFill/>
        <a:ln>
          <a:noFill/>
        </a:ln>
        <a:effectLst/>
      </c:spPr>
    </c:title>
    <c:view3D>
      <c:rotX val="30"/>
      <c:depthPercent val="100"/>
      <c:perspective val="30"/>
    </c:view3D>
    <c:floor>
      <c:spPr>
        <a:noFill/>
        <a:ln>
          <a:noFill/>
        </a:ln>
        <a:effectLst/>
        <a:sp3d/>
      </c:spPr>
    </c:floor>
    <c:sideWall>
      <c:spPr>
        <a:noFill/>
        <a:ln>
          <a:noFill/>
        </a:ln>
        <a:effectLst/>
        <a:sp3d/>
      </c:spPr>
    </c:sideWall>
    <c:backWall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CAD9-43D2-B994-F66788B4CE12}"/>
              </c:ext>
            </c:extLst>
          </c:dPt>
          <c:dPt>
            <c:idx val="1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CAD9-43D2-B994-F66788B4CE12}"/>
              </c:ext>
            </c:extLst>
          </c:dPt>
          <c:dPt>
            <c:idx val="2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CAD9-43D2-B994-F66788B4CE12}"/>
              </c:ext>
            </c:extLst>
          </c:dPt>
          <c:dPt>
            <c:idx val="3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CAD9-43D2-B994-F66788B4CE12}"/>
              </c:ext>
            </c:extLst>
          </c:dPt>
          <c:dPt>
            <c:idx val="4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CAD9-43D2-B994-F66788B4CE12}"/>
              </c:ext>
            </c:extLst>
          </c:dPt>
          <c:dPt>
            <c:idx val="5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CAD9-43D2-B994-F66788B4CE12}"/>
              </c:ext>
            </c:extLst>
          </c:dPt>
          <c:dPt>
            <c:idx val="6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CAD9-43D2-B994-F66788B4CE12}"/>
              </c:ext>
            </c:extLst>
          </c:dPt>
          <c:dPt>
            <c:idx val="7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F-CAD9-43D2-B994-F66788B4CE12}"/>
              </c:ext>
            </c:extLst>
          </c:dPt>
          <c:dPt>
            <c:idx val="8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1-CAD9-43D2-B994-F66788B4CE12}"/>
              </c:ext>
            </c:extLst>
          </c:dPt>
          <c:dPt>
            <c:idx val="9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3-CAD9-43D2-B994-F66788B4CE12}"/>
              </c:ext>
            </c:extLst>
          </c:dPt>
          <c:dPt>
            <c:idx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5-CAD9-43D2-B994-F66788B4CE12}"/>
              </c:ext>
            </c:extLst>
          </c:dPt>
          <c:dPt>
            <c:idx val="11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7-CAD9-43D2-B994-F66788B4CE12}"/>
              </c:ext>
            </c:extLst>
          </c:dPt>
          <c:dLbls>
            <c:dLbl>
              <c:idx val="10"/>
              <c:layout>
                <c:manualLayout>
                  <c:x val="-2.6175304576939895E-2"/>
                  <c:y val="-3.2434080003295201E-2"/>
                </c:manualLayout>
              </c:layout>
              <c:showVal val="1"/>
              <c:showCatNam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AD9-43D2-B994-F66788B4CE1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Val val="1"/>
            <c:showCatName val="1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'02.08 Kiwatule-Najjeera'!$C$9:$N$9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'02.08 Kiwatule-Najjeera'!$C$59:$N$59</c:f>
              <c:numCache>
                <c:formatCode>0.0%</c:formatCode>
                <c:ptCount val="12"/>
                <c:pt idx="0">
                  <c:v>0.37935236768802227</c:v>
                </c:pt>
                <c:pt idx="1">
                  <c:v>8.2346796657381621E-2</c:v>
                </c:pt>
                <c:pt idx="2">
                  <c:v>3.8649025069637882E-2</c:v>
                </c:pt>
                <c:pt idx="3">
                  <c:v>0.11438022284122562</c:v>
                </c:pt>
                <c:pt idx="4">
                  <c:v>7.4860724233983284E-3</c:v>
                </c:pt>
                <c:pt idx="5">
                  <c:v>2.0891364902506965E-3</c:v>
                </c:pt>
                <c:pt idx="6">
                  <c:v>3.3077994428969359E-2</c:v>
                </c:pt>
                <c:pt idx="7">
                  <c:v>5.5710306406685237E-3</c:v>
                </c:pt>
                <c:pt idx="8">
                  <c:v>3.6559888579387185E-3</c:v>
                </c:pt>
                <c:pt idx="9">
                  <c:v>6.9637883008356546E-4</c:v>
                </c:pt>
                <c:pt idx="10">
                  <c:v>0.33269498607242337</c:v>
                </c:pt>
                <c:pt idx="1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8-CAD9-43D2-B994-F66788B4CE12}"/>
            </c:ext>
          </c:extLst>
        </c:ser>
      </c:pie3DChart>
      <c:spPr>
        <a:noFill/>
        <a:ln>
          <a:noFill/>
        </a:ln>
        <a:effectLst/>
      </c:spPr>
    </c:plotArea>
    <c:plotVisOnly val="1"/>
    <c:dispBlanksAs val="zero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3" l="0.70000000000000062" r="0.70000000000000062" t="0.750000000000003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9093"/>
          <c:y val="2.2960226637323802E-2"/>
        </c:manualLayout>
      </c:layout>
      <c:spPr>
        <a:noFill/>
        <a:ln>
          <a:noFill/>
        </a:ln>
        <a:effectLst/>
      </c:spPr>
    </c:title>
    <c:plotArea>
      <c:layout/>
      <c:lineChart>
        <c:grouping val="standard"/>
        <c:ser>
          <c:idx val="0"/>
          <c:order val="0"/>
          <c:tx>
            <c:strRef>
              <c:f>'02.08 Kiwatule-Najjeera'!$S$9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'02.08 Kiwatule-Najjeera'!$R$10:$R$21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'02.08 Kiwatule-Najjeera'!$S$10:$S$21</c:f>
              <c:numCache>
                <c:formatCode>0</c:formatCode>
                <c:ptCount val="12"/>
                <c:pt idx="0">
                  <c:v>153</c:v>
                </c:pt>
                <c:pt idx="1">
                  <c:v>121</c:v>
                </c:pt>
                <c:pt idx="2">
                  <c:v>96</c:v>
                </c:pt>
                <c:pt idx="3">
                  <c:v>121</c:v>
                </c:pt>
                <c:pt idx="4">
                  <c:v>106</c:v>
                </c:pt>
                <c:pt idx="5">
                  <c:v>146</c:v>
                </c:pt>
                <c:pt idx="6">
                  <c:v>75</c:v>
                </c:pt>
                <c:pt idx="7">
                  <c:v>157</c:v>
                </c:pt>
                <c:pt idx="8">
                  <c:v>139</c:v>
                </c:pt>
                <c:pt idx="9">
                  <c:v>200</c:v>
                </c:pt>
                <c:pt idx="10">
                  <c:v>360</c:v>
                </c:pt>
                <c:pt idx="11">
                  <c:v>505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5232-4340-AED5-CD3F6DAF145D}"/>
            </c:ext>
          </c:extLst>
        </c:ser>
        <c:ser>
          <c:idx val="1"/>
          <c:order val="1"/>
          <c:tx>
            <c:strRef>
              <c:f>'02.08 Kiwatule-Najjeera'!$T$9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'02.08 Kiwatule-Najjeera'!$R$10:$R$21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'02.08 Kiwatule-Najjeera'!$T$10:$T$21</c:f>
              <c:numCache>
                <c:formatCode>0</c:formatCode>
                <c:ptCount val="12"/>
                <c:pt idx="0">
                  <c:v>20</c:v>
                </c:pt>
                <c:pt idx="1">
                  <c:v>18</c:v>
                </c:pt>
                <c:pt idx="2">
                  <c:v>22</c:v>
                </c:pt>
                <c:pt idx="3">
                  <c:v>64</c:v>
                </c:pt>
                <c:pt idx="4">
                  <c:v>43</c:v>
                </c:pt>
                <c:pt idx="5">
                  <c:v>43</c:v>
                </c:pt>
                <c:pt idx="6">
                  <c:v>30</c:v>
                </c:pt>
                <c:pt idx="7">
                  <c:v>43</c:v>
                </c:pt>
                <c:pt idx="8">
                  <c:v>31</c:v>
                </c:pt>
                <c:pt idx="9">
                  <c:v>34</c:v>
                </c:pt>
                <c:pt idx="10">
                  <c:v>61</c:v>
                </c:pt>
                <c:pt idx="11">
                  <c:v>64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5232-4340-AED5-CD3F6DAF145D}"/>
            </c:ext>
          </c:extLst>
        </c:ser>
        <c:ser>
          <c:idx val="2"/>
          <c:order val="2"/>
          <c:tx>
            <c:strRef>
              <c:f>'02.08 Kiwatule-Najjeera'!$U$9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'02.08 Kiwatule-Najjeera'!$U$10:$U$21</c:f>
              <c:numCache>
                <c:formatCode>0</c:formatCode>
                <c:ptCount val="12"/>
                <c:pt idx="0">
                  <c:v>10</c:v>
                </c:pt>
                <c:pt idx="1">
                  <c:v>10</c:v>
                </c:pt>
                <c:pt idx="2">
                  <c:v>11</c:v>
                </c:pt>
                <c:pt idx="3">
                  <c:v>13</c:v>
                </c:pt>
                <c:pt idx="4">
                  <c:v>14</c:v>
                </c:pt>
                <c:pt idx="5">
                  <c:v>23</c:v>
                </c:pt>
                <c:pt idx="6">
                  <c:v>8</c:v>
                </c:pt>
                <c:pt idx="7">
                  <c:v>37</c:v>
                </c:pt>
                <c:pt idx="8">
                  <c:v>21</c:v>
                </c:pt>
                <c:pt idx="9">
                  <c:v>14</c:v>
                </c:pt>
                <c:pt idx="10">
                  <c:v>29</c:v>
                </c:pt>
                <c:pt idx="11">
                  <c:v>32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5232-4340-AED5-CD3F6DAF145D}"/>
            </c:ext>
          </c:extLst>
        </c:ser>
        <c:ser>
          <c:idx val="3"/>
          <c:order val="3"/>
          <c:tx>
            <c:strRef>
              <c:f>'02.08 Kiwatule-Najjeera'!$V$9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'02.08 Kiwatule-Najjeera'!$V$10:$V$21</c:f>
              <c:numCache>
                <c:formatCode>0</c:formatCode>
                <c:ptCount val="12"/>
                <c:pt idx="0">
                  <c:v>77</c:v>
                </c:pt>
                <c:pt idx="1">
                  <c:v>71</c:v>
                </c:pt>
                <c:pt idx="2">
                  <c:v>64</c:v>
                </c:pt>
                <c:pt idx="3">
                  <c:v>46</c:v>
                </c:pt>
                <c:pt idx="4">
                  <c:v>38</c:v>
                </c:pt>
                <c:pt idx="5">
                  <c:v>75</c:v>
                </c:pt>
                <c:pt idx="6">
                  <c:v>43</c:v>
                </c:pt>
                <c:pt idx="7">
                  <c:v>25</c:v>
                </c:pt>
                <c:pt idx="8">
                  <c:v>39</c:v>
                </c:pt>
                <c:pt idx="9">
                  <c:v>43</c:v>
                </c:pt>
                <c:pt idx="10">
                  <c:v>66</c:v>
                </c:pt>
                <c:pt idx="11">
                  <c:v>70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5232-4340-AED5-CD3F6DAF145D}"/>
            </c:ext>
          </c:extLst>
        </c:ser>
        <c:ser>
          <c:idx val="4"/>
          <c:order val="4"/>
          <c:tx>
            <c:strRef>
              <c:f>'02.08 Kiwatule-Najjeera'!$W$9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'02.08 Kiwatule-Najjeera'!$W$10:$W$21</c:f>
              <c:numCache>
                <c:formatCode>0</c:formatCode>
                <c:ptCount val="12"/>
                <c:pt idx="0">
                  <c:v>2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0</c:v>
                </c:pt>
                <c:pt idx="5">
                  <c:v>2</c:v>
                </c:pt>
                <c:pt idx="6">
                  <c:v>5</c:v>
                </c:pt>
                <c:pt idx="7">
                  <c:v>6</c:v>
                </c:pt>
                <c:pt idx="8">
                  <c:v>4</c:v>
                </c:pt>
                <c:pt idx="9">
                  <c:v>2</c:v>
                </c:pt>
                <c:pt idx="10">
                  <c:v>8</c:v>
                </c:pt>
                <c:pt idx="11">
                  <c:v>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5232-4340-AED5-CD3F6DAF145D}"/>
            </c:ext>
          </c:extLst>
        </c:ser>
        <c:ser>
          <c:idx val="5"/>
          <c:order val="5"/>
          <c:tx>
            <c:strRef>
              <c:f>'02.08 Kiwatule-Najjeera'!$X$9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'02.08 Kiwatule-Najjeera'!$X$10:$X$21</c:f>
              <c:numCache>
                <c:formatCode>0</c:formatCode>
                <c:ptCount val="12"/>
                <c:pt idx="0">
                  <c:v>0</c:v>
                </c:pt>
                <c:pt idx="1">
                  <c:v>2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3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  <c:pt idx="10">
                  <c:v>1</c:v>
                </c:pt>
                <c:pt idx="11">
                  <c:v>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5232-4340-AED5-CD3F6DAF145D}"/>
            </c:ext>
          </c:extLst>
        </c:ser>
        <c:ser>
          <c:idx val="6"/>
          <c:order val="6"/>
          <c:tx>
            <c:strRef>
              <c:f>'02.08 Kiwatule-Najjeera'!$Y$9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'02.08 Kiwatule-Najjeera'!$Y$10:$Y$21</c:f>
              <c:numCache>
                <c:formatCode>0</c:formatCode>
                <c:ptCount val="12"/>
                <c:pt idx="0">
                  <c:v>9</c:v>
                </c:pt>
                <c:pt idx="1">
                  <c:v>4</c:v>
                </c:pt>
                <c:pt idx="2">
                  <c:v>21</c:v>
                </c:pt>
                <c:pt idx="3">
                  <c:v>14</c:v>
                </c:pt>
                <c:pt idx="4">
                  <c:v>18</c:v>
                </c:pt>
                <c:pt idx="5">
                  <c:v>26</c:v>
                </c:pt>
                <c:pt idx="6">
                  <c:v>13</c:v>
                </c:pt>
                <c:pt idx="7">
                  <c:v>16</c:v>
                </c:pt>
                <c:pt idx="8">
                  <c:v>14</c:v>
                </c:pt>
                <c:pt idx="9">
                  <c:v>12</c:v>
                </c:pt>
                <c:pt idx="10">
                  <c:v>13</c:v>
                </c:pt>
                <c:pt idx="11">
                  <c:v>30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5232-4340-AED5-CD3F6DAF145D}"/>
            </c:ext>
          </c:extLst>
        </c:ser>
        <c:ser>
          <c:idx val="7"/>
          <c:order val="7"/>
          <c:tx>
            <c:strRef>
              <c:f>'02.08 Kiwatule-Najjeera'!$Z$9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'02.08 Kiwatule-Najjeera'!$Z$10:$Z$21</c:f>
              <c:numCache>
                <c:formatCode>0</c:formatCode>
                <c:ptCount val="12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4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2</c:v>
                </c:pt>
                <c:pt idx="9">
                  <c:v>2</c:v>
                </c:pt>
                <c:pt idx="10">
                  <c:v>3</c:v>
                </c:pt>
                <c:pt idx="11">
                  <c:v>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7-5232-4340-AED5-CD3F6DAF145D}"/>
            </c:ext>
          </c:extLst>
        </c:ser>
        <c:ser>
          <c:idx val="8"/>
          <c:order val="8"/>
          <c:tx>
            <c:strRef>
              <c:f>'02.08 Kiwatule-Najjeera'!$AA$9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'02.08 Kiwatule-Najjeera'!$AA$10:$AA$21</c:f>
              <c:numCache>
                <c:formatCode>0</c:formatCode>
                <c:ptCount val="12"/>
                <c:pt idx="0">
                  <c:v>2</c:v>
                </c:pt>
                <c:pt idx="1">
                  <c:v>3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6</c:v>
                </c:pt>
                <c:pt idx="6">
                  <c:v>0</c:v>
                </c:pt>
                <c:pt idx="7">
                  <c:v>0</c:v>
                </c:pt>
                <c:pt idx="8">
                  <c:v>2</c:v>
                </c:pt>
                <c:pt idx="9">
                  <c:v>2</c:v>
                </c:pt>
                <c:pt idx="10">
                  <c:v>1</c:v>
                </c:pt>
                <c:pt idx="11">
                  <c:v>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8-5232-4340-AED5-CD3F6DAF145D}"/>
            </c:ext>
          </c:extLst>
        </c:ser>
        <c:ser>
          <c:idx val="9"/>
          <c:order val="9"/>
          <c:tx>
            <c:strRef>
              <c:f>'02.08 Kiwatule-Najjeera'!$AB$9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'02.08 Kiwatule-Najjeera'!$AB$10:$AB$21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9-5232-4340-AED5-CD3F6DAF145D}"/>
            </c:ext>
          </c:extLst>
        </c:ser>
        <c:ser>
          <c:idx val="10"/>
          <c:order val="10"/>
          <c:tx>
            <c:strRef>
              <c:f>'02.08 Kiwatule-Najjeera'!$AC$9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'02.08 Kiwatule-Najjeera'!$AC$10:$AC$21</c:f>
              <c:numCache>
                <c:formatCode>0</c:formatCode>
                <c:ptCount val="12"/>
                <c:pt idx="0">
                  <c:v>176</c:v>
                </c:pt>
                <c:pt idx="1">
                  <c:v>183</c:v>
                </c:pt>
                <c:pt idx="2">
                  <c:v>131</c:v>
                </c:pt>
                <c:pt idx="3">
                  <c:v>130</c:v>
                </c:pt>
                <c:pt idx="4">
                  <c:v>136</c:v>
                </c:pt>
                <c:pt idx="5">
                  <c:v>130</c:v>
                </c:pt>
                <c:pt idx="6">
                  <c:v>91</c:v>
                </c:pt>
                <c:pt idx="7">
                  <c:v>115</c:v>
                </c:pt>
                <c:pt idx="8">
                  <c:v>131</c:v>
                </c:pt>
                <c:pt idx="9">
                  <c:v>120</c:v>
                </c:pt>
                <c:pt idx="10">
                  <c:v>245</c:v>
                </c:pt>
                <c:pt idx="11">
                  <c:v>323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5232-4340-AED5-CD3F6DAF145D}"/>
            </c:ext>
          </c:extLst>
        </c:ser>
        <c:ser>
          <c:idx val="11"/>
          <c:order val="11"/>
          <c:tx>
            <c:strRef>
              <c:f>'02.08 Kiwatule-Najjeera'!$AD$9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'02.08 Kiwatule-Najjeera'!$AD$10:$AD$21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B-5232-4340-AED5-CD3F6DAF145D}"/>
            </c:ext>
          </c:extLst>
        </c:ser>
        <c:marker val="1"/>
        <c:axId val="98837632"/>
        <c:axId val="98839168"/>
      </c:lineChart>
      <c:catAx>
        <c:axId val="98837632"/>
        <c:scaling>
          <c:orientation val="minMax"/>
        </c:scaling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8839168"/>
        <c:crosses val="autoZero"/>
        <c:auto val="1"/>
        <c:lblAlgn val="ctr"/>
        <c:lblOffset val="100"/>
      </c:catAx>
      <c:valAx>
        <c:axId val="98839168"/>
        <c:scaling>
          <c:orientation val="minMax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spPr>
            <a:noFill/>
            <a:ln>
              <a:noFill/>
            </a:ln>
            <a:effectLst/>
          </c:spPr>
        </c:title>
        <c:numFmt formatCode="0" sourceLinked="1"/>
        <c:maj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8837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3" l="0.70000000000000062" r="0.70000000000000062" t="0.750000000000003" header="0.30000000000000032" footer="0.3000000000000003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spPr>
        <a:noFill/>
        <a:ln>
          <a:noFill/>
        </a:ln>
        <a:effectLst/>
      </c:spPr>
    </c:title>
    <c:view3D>
      <c:rotX val="30"/>
      <c:depthPercent val="100"/>
      <c:perspective val="30"/>
    </c:view3D>
    <c:floor>
      <c:spPr>
        <a:noFill/>
        <a:ln>
          <a:noFill/>
        </a:ln>
        <a:effectLst/>
        <a:sp3d/>
      </c:spPr>
    </c:floor>
    <c:sideWall>
      <c:spPr>
        <a:noFill/>
        <a:ln>
          <a:noFill/>
        </a:ln>
        <a:effectLst/>
        <a:sp3d/>
      </c:spPr>
    </c:sideWall>
    <c:backWall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C496-4C9C-BA89-19C872160E0D}"/>
              </c:ext>
            </c:extLst>
          </c:dPt>
          <c:dPt>
            <c:idx val="1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C496-4C9C-BA89-19C872160E0D}"/>
              </c:ext>
            </c:extLst>
          </c:dPt>
          <c:dPt>
            <c:idx val="2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C496-4C9C-BA89-19C872160E0D}"/>
              </c:ext>
            </c:extLst>
          </c:dPt>
          <c:dPt>
            <c:idx val="3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C496-4C9C-BA89-19C872160E0D}"/>
              </c:ext>
            </c:extLst>
          </c:dPt>
          <c:dPt>
            <c:idx val="4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C496-4C9C-BA89-19C872160E0D}"/>
              </c:ext>
            </c:extLst>
          </c:dPt>
          <c:dPt>
            <c:idx val="5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C496-4C9C-BA89-19C872160E0D}"/>
              </c:ext>
            </c:extLst>
          </c:dPt>
          <c:dPt>
            <c:idx val="6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C496-4C9C-BA89-19C872160E0D}"/>
              </c:ext>
            </c:extLst>
          </c:dPt>
          <c:dPt>
            <c:idx val="7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F-C496-4C9C-BA89-19C872160E0D}"/>
              </c:ext>
            </c:extLst>
          </c:dPt>
          <c:dPt>
            <c:idx val="8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1-C496-4C9C-BA89-19C872160E0D}"/>
              </c:ext>
            </c:extLst>
          </c:dPt>
          <c:dPt>
            <c:idx val="9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3-C496-4C9C-BA89-19C872160E0D}"/>
              </c:ext>
            </c:extLst>
          </c:dPt>
          <c:dPt>
            <c:idx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5-C496-4C9C-BA89-19C872160E0D}"/>
              </c:ext>
            </c:extLst>
          </c:dPt>
          <c:dPt>
            <c:idx val="11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7-C496-4C9C-BA89-19C872160E0D}"/>
              </c:ext>
            </c:extLst>
          </c:dPt>
          <c:dLbls>
            <c:dLbl>
              <c:idx val="10"/>
              <c:layout>
                <c:manualLayout>
                  <c:x val="-2.6175304576939895E-2"/>
                  <c:y val="-3.2434080003295201E-2"/>
                </c:manualLayout>
              </c:layout>
              <c:showVal val="1"/>
              <c:showCatNam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496-4C9C-BA89-19C872160E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Val val="1"/>
            <c:showCatName val="1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'02.08 Kiwatule-Najjeera'!$C$9:$N$9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'02.08 Kiwatule-Najjeera'!$C$60:$N$60</c:f>
              <c:numCache>
                <c:formatCode>0.00%</c:formatCode>
                <c:ptCount val="12"/>
                <c:pt idx="0">
                  <c:v>0.56848421601878429</c:v>
                </c:pt>
                <c:pt idx="1">
                  <c:v>0.1234020349595617</c:v>
                </c:pt>
                <c:pt idx="2">
                  <c:v>5.7918079833028956E-2</c:v>
                </c:pt>
                <c:pt idx="3">
                  <c:v>0.17140620923558569</c:v>
                </c:pt>
                <c:pt idx="4">
                  <c:v>1.1218366814505609E-2</c:v>
                </c:pt>
                <c:pt idx="5">
                  <c:v>3.1307070180015655E-3</c:v>
                </c:pt>
                <c:pt idx="6">
                  <c:v>4.9569527785024783E-2</c:v>
                </c:pt>
                <c:pt idx="7">
                  <c:v>8.348552048004174E-3</c:v>
                </c:pt>
                <c:pt idx="8">
                  <c:v>5.4787372815027395E-3</c:v>
                </c:pt>
                <c:pt idx="9">
                  <c:v>1.0435690060005217E-3</c:v>
                </c:pt>
                <c:pt idx="1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8-C496-4C9C-BA89-19C872160E0D}"/>
            </c:ext>
          </c:extLst>
        </c:ser>
      </c:pie3DChart>
      <c:spPr>
        <a:noFill/>
        <a:ln>
          <a:noFill/>
        </a:ln>
        <a:effectLst/>
      </c:spPr>
    </c:plotArea>
    <c:plotVisOnly val="1"/>
    <c:dispBlanksAs val="zero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3" l="0.70000000000000062" r="0.70000000000000062" t="0.750000000000003" header="0.30000000000000032" footer="0.3000000000000003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91E-2"/>
        </c:manualLayout>
      </c:layout>
      <c:spPr>
        <a:noFill/>
        <a:ln>
          <a:noFill/>
        </a:ln>
        <a:effectLst/>
      </c:spPr>
    </c:title>
    <c:plotArea>
      <c:layout/>
      <c:lineChart>
        <c:grouping val="standard"/>
        <c:ser>
          <c:idx val="0"/>
          <c:order val="0"/>
          <c:tx>
            <c:strRef>
              <c:f>'03.08 Najjeera-Kiwatule-24h'!$AE$9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'03.08 Najjeera-Kiwatule-24h'!$R$10:$R$33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'03.08 Najjeera-Kiwatule-24h'!$AE$10:$AE$33</c:f>
              <c:numCache>
                <c:formatCode>0</c:formatCode>
                <c:ptCount val="24"/>
                <c:pt idx="0">
                  <c:v>427</c:v>
                </c:pt>
                <c:pt idx="1">
                  <c:v>692</c:v>
                </c:pt>
                <c:pt idx="2">
                  <c:v>614</c:v>
                </c:pt>
                <c:pt idx="3">
                  <c:v>476</c:v>
                </c:pt>
                <c:pt idx="4">
                  <c:v>451</c:v>
                </c:pt>
                <c:pt idx="5">
                  <c:v>412</c:v>
                </c:pt>
                <c:pt idx="6">
                  <c:v>410</c:v>
                </c:pt>
                <c:pt idx="7">
                  <c:v>363</c:v>
                </c:pt>
                <c:pt idx="8">
                  <c:v>302</c:v>
                </c:pt>
                <c:pt idx="9">
                  <c:v>388</c:v>
                </c:pt>
                <c:pt idx="10">
                  <c:v>341</c:v>
                </c:pt>
                <c:pt idx="11">
                  <c:v>413</c:v>
                </c:pt>
                <c:pt idx="12">
                  <c:v>491</c:v>
                </c:pt>
                <c:pt idx="13">
                  <c:v>391</c:v>
                </c:pt>
                <c:pt idx="14">
                  <c:v>341</c:v>
                </c:pt>
                <c:pt idx="15">
                  <c:v>295</c:v>
                </c:pt>
                <c:pt idx="16">
                  <c:v>302</c:v>
                </c:pt>
                <c:pt idx="17">
                  <c:v>254</c:v>
                </c:pt>
                <c:pt idx="18">
                  <c:v>205</c:v>
                </c:pt>
                <c:pt idx="19">
                  <c:v>137</c:v>
                </c:pt>
                <c:pt idx="20">
                  <c:v>146</c:v>
                </c:pt>
                <c:pt idx="21">
                  <c:v>153</c:v>
                </c:pt>
                <c:pt idx="22">
                  <c:v>140</c:v>
                </c:pt>
                <c:pt idx="23">
                  <c:v>196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DB9B-4793-84FD-99A5405B7AD3}"/>
            </c:ext>
          </c:extLst>
        </c:ser>
        <c:ser>
          <c:idx val="1"/>
          <c:order val="1"/>
          <c:tx>
            <c:strRef>
              <c:f>'03.08 Najjeera-Kiwatule-24h'!$AF$9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'03.08 Najjeera-Kiwatule-24h'!$R$10:$R$33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'03.08 Najjeera-Kiwatule-24h'!$AF$10:$AF$33</c:f>
              <c:numCache>
                <c:formatCode>0</c:formatCode>
                <c:ptCount val="24"/>
                <c:pt idx="0">
                  <c:v>704</c:v>
                </c:pt>
                <c:pt idx="1">
                  <c:v>1076</c:v>
                </c:pt>
                <c:pt idx="2">
                  <c:v>983</c:v>
                </c:pt>
                <c:pt idx="3">
                  <c:v>861</c:v>
                </c:pt>
                <c:pt idx="4">
                  <c:v>803</c:v>
                </c:pt>
                <c:pt idx="5">
                  <c:v>696</c:v>
                </c:pt>
                <c:pt idx="6">
                  <c:v>686</c:v>
                </c:pt>
                <c:pt idx="7">
                  <c:v>683</c:v>
                </c:pt>
                <c:pt idx="8">
                  <c:v>639</c:v>
                </c:pt>
                <c:pt idx="9">
                  <c:v>676</c:v>
                </c:pt>
                <c:pt idx="10">
                  <c:v>661</c:v>
                </c:pt>
                <c:pt idx="11">
                  <c:v>675</c:v>
                </c:pt>
                <c:pt idx="12">
                  <c:v>997</c:v>
                </c:pt>
                <c:pt idx="13">
                  <c:v>790</c:v>
                </c:pt>
                <c:pt idx="14">
                  <c:v>709</c:v>
                </c:pt>
                <c:pt idx="15">
                  <c:v>561</c:v>
                </c:pt>
                <c:pt idx="16">
                  <c:v>544</c:v>
                </c:pt>
                <c:pt idx="17">
                  <c:v>396</c:v>
                </c:pt>
                <c:pt idx="18">
                  <c:v>346</c:v>
                </c:pt>
                <c:pt idx="19">
                  <c:v>235</c:v>
                </c:pt>
                <c:pt idx="20">
                  <c:v>232</c:v>
                </c:pt>
                <c:pt idx="21">
                  <c:v>253</c:v>
                </c:pt>
                <c:pt idx="22">
                  <c:v>208</c:v>
                </c:pt>
                <c:pt idx="23">
                  <c:v>323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DB9B-4793-84FD-99A5405B7AD3}"/>
            </c:ext>
          </c:extLst>
        </c:ser>
        <c:marker val="1"/>
        <c:axId val="99099008"/>
        <c:axId val="99100928"/>
      </c:lineChart>
      <c:catAx>
        <c:axId val="99099008"/>
        <c:scaling>
          <c:orientation val="minMax"/>
        </c:scaling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9100928"/>
        <c:crosses val="autoZero"/>
        <c:auto val="1"/>
        <c:lblAlgn val="ctr"/>
        <c:lblOffset val="100"/>
      </c:catAx>
      <c:valAx>
        <c:axId val="99100928"/>
        <c:scaling>
          <c:orientation val="minMax"/>
          <c:min val="0"/>
        </c:scaling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spPr>
            <a:noFill/>
            <a:ln>
              <a:noFill/>
            </a:ln>
            <a:effectLst/>
          </c:spPr>
        </c:title>
        <c:numFmt formatCode="0" sourceLinked="1"/>
        <c:maj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9099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322" l="0.70000000000000062" r="0.70000000000000062" t="0.75000000000000322" header="0.30000000000000032" footer="0.3000000000000003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spPr>
        <a:noFill/>
        <a:ln>
          <a:noFill/>
        </a:ln>
        <a:effectLst/>
      </c:spPr>
    </c:title>
    <c:view3D>
      <c:rotX val="30"/>
      <c:depthPercent val="100"/>
      <c:perspective val="30"/>
    </c:view3D>
    <c:floor>
      <c:spPr>
        <a:noFill/>
        <a:ln>
          <a:noFill/>
        </a:ln>
        <a:effectLst/>
        <a:sp3d/>
      </c:spPr>
    </c:floor>
    <c:sideWall>
      <c:spPr>
        <a:noFill/>
        <a:ln>
          <a:noFill/>
        </a:ln>
        <a:effectLst/>
        <a:sp3d/>
      </c:spPr>
    </c:sideWall>
    <c:backWall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CC19-40B6-88F6-F149CBCFBC0F}"/>
              </c:ext>
            </c:extLst>
          </c:dPt>
          <c:dPt>
            <c:idx val="1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CC19-40B6-88F6-F149CBCFBC0F}"/>
              </c:ext>
            </c:extLst>
          </c:dPt>
          <c:dPt>
            <c:idx val="2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CC19-40B6-88F6-F149CBCFBC0F}"/>
              </c:ext>
            </c:extLst>
          </c:dPt>
          <c:dPt>
            <c:idx val="3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CC19-40B6-88F6-F149CBCFBC0F}"/>
              </c:ext>
            </c:extLst>
          </c:dPt>
          <c:dPt>
            <c:idx val="4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CC19-40B6-88F6-F149CBCFBC0F}"/>
              </c:ext>
            </c:extLst>
          </c:dPt>
          <c:dPt>
            <c:idx val="5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CC19-40B6-88F6-F149CBCFBC0F}"/>
              </c:ext>
            </c:extLst>
          </c:dPt>
          <c:dPt>
            <c:idx val="6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CC19-40B6-88F6-F149CBCFBC0F}"/>
              </c:ext>
            </c:extLst>
          </c:dPt>
          <c:dPt>
            <c:idx val="7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F-CC19-40B6-88F6-F149CBCFBC0F}"/>
              </c:ext>
            </c:extLst>
          </c:dPt>
          <c:dPt>
            <c:idx val="8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1-CC19-40B6-88F6-F149CBCFBC0F}"/>
              </c:ext>
            </c:extLst>
          </c:dPt>
          <c:dPt>
            <c:idx val="9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3-CC19-40B6-88F6-F149CBCFBC0F}"/>
              </c:ext>
            </c:extLst>
          </c:dPt>
          <c:dPt>
            <c:idx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5-CC19-40B6-88F6-F149CBCFBC0F}"/>
              </c:ext>
            </c:extLst>
          </c:dPt>
          <c:dPt>
            <c:idx val="11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7-CC19-40B6-88F6-F149CBCFBC0F}"/>
              </c:ext>
            </c:extLst>
          </c:dPt>
          <c:dLbls>
            <c:dLbl>
              <c:idx val="10"/>
              <c:layout>
                <c:manualLayout>
                  <c:x val="-2.6175304576939895E-2"/>
                  <c:y val="-3.2434080003295201E-2"/>
                </c:manualLayout>
              </c:layout>
              <c:showVal val="1"/>
              <c:showCatNam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C19-40B6-88F6-F149CBCFBC0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Val val="1"/>
            <c:showCatName val="1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'03.08 Najjeera-Kiwatule-24h'!$C$9:$N$9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'03.08 Najjeera-Kiwatule-24h'!$C$107:$N$107</c:f>
              <c:numCache>
                <c:formatCode>0.0%</c:formatCode>
                <c:ptCount val="12"/>
                <c:pt idx="0">
                  <c:v>0.38827441134559271</c:v>
                </c:pt>
                <c:pt idx="1">
                  <c:v>6.6227861844337377E-2</c:v>
                </c:pt>
                <c:pt idx="2">
                  <c:v>3.3181787337992805E-2</c:v>
                </c:pt>
                <c:pt idx="3">
                  <c:v>5.5506548144127026E-2</c:v>
                </c:pt>
                <c:pt idx="4">
                  <c:v>2.0356924747234851E-4</c:v>
                </c:pt>
                <c:pt idx="5">
                  <c:v>0</c:v>
                </c:pt>
                <c:pt idx="6">
                  <c:v>1.9406934925697224E-2</c:v>
                </c:pt>
                <c:pt idx="7">
                  <c:v>1.967836058899369E-3</c:v>
                </c:pt>
                <c:pt idx="8">
                  <c:v>1.0178462373617427E-3</c:v>
                </c:pt>
                <c:pt idx="9">
                  <c:v>1.3571283164823234E-4</c:v>
                </c:pt>
                <c:pt idx="10">
                  <c:v>0.43407749202687113</c:v>
                </c:pt>
                <c:pt idx="1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8-CC19-40B6-88F6-F149CBCFBC0F}"/>
            </c:ext>
          </c:extLst>
        </c:ser>
      </c:pie3DChart>
      <c:spPr>
        <a:noFill/>
        <a:ln>
          <a:noFill/>
        </a:ln>
        <a:effectLst/>
      </c:spPr>
    </c:plotArea>
    <c:plotVisOnly val="1"/>
    <c:dispBlanksAs val="zero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3" l="0.70000000000000062" r="0.70000000000000062" t="0.750000000000003" header="0.30000000000000032" footer="0.3000000000000003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spPr>
        <a:noFill/>
        <a:ln>
          <a:noFill/>
        </a:ln>
        <a:effectLst/>
      </c:spPr>
    </c:title>
    <c:view3D>
      <c:rotX val="30"/>
      <c:depthPercent val="100"/>
      <c:perspective val="30"/>
    </c:view3D>
    <c:floor>
      <c:spPr>
        <a:noFill/>
        <a:ln>
          <a:noFill/>
        </a:ln>
        <a:effectLst/>
        <a:sp3d/>
      </c:spPr>
    </c:floor>
    <c:sideWall>
      <c:spPr>
        <a:noFill/>
        <a:ln>
          <a:noFill/>
        </a:ln>
        <a:effectLst/>
        <a:sp3d/>
      </c:spPr>
    </c:sideWall>
    <c:backWall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6F34-448D-935B-A3D0702D3518}"/>
              </c:ext>
            </c:extLst>
          </c:dPt>
          <c:dPt>
            <c:idx val="1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6F34-448D-935B-A3D0702D3518}"/>
              </c:ext>
            </c:extLst>
          </c:dPt>
          <c:dPt>
            <c:idx val="2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6F34-448D-935B-A3D0702D3518}"/>
              </c:ext>
            </c:extLst>
          </c:dPt>
          <c:dPt>
            <c:idx val="3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6F34-448D-935B-A3D0702D3518}"/>
              </c:ext>
            </c:extLst>
          </c:dPt>
          <c:dPt>
            <c:idx val="4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6F34-448D-935B-A3D0702D3518}"/>
              </c:ext>
            </c:extLst>
          </c:dPt>
          <c:dPt>
            <c:idx val="5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6F34-448D-935B-A3D0702D3518}"/>
              </c:ext>
            </c:extLst>
          </c:dPt>
          <c:dPt>
            <c:idx val="6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6F34-448D-935B-A3D0702D3518}"/>
              </c:ext>
            </c:extLst>
          </c:dPt>
          <c:dPt>
            <c:idx val="7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F-6F34-448D-935B-A3D0702D3518}"/>
              </c:ext>
            </c:extLst>
          </c:dPt>
          <c:dPt>
            <c:idx val="8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1-6F34-448D-935B-A3D0702D3518}"/>
              </c:ext>
            </c:extLst>
          </c:dPt>
          <c:dPt>
            <c:idx val="9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3-6F34-448D-935B-A3D0702D3518}"/>
              </c:ext>
            </c:extLst>
          </c:dPt>
          <c:dPt>
            <c:idx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5-6F34-448D-935B-A3D0702D3518}"/>
              </c:ext>
            </c:extLst>
          </c:dPt>
          <c:dPt>
            <c:idx val="11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7-6F34-448D-935B-A3D0702D3518}"/>
              </c:ext>
            </c:extLst>
          </c:dPt>
          <c:dLbls>
            <c:dLbl>
              <c:idx val="10"/>
              <c:layout>
                <c:manualLayout>
                  <c:x val="-2.6175304576939895E-2"/>
                  <c:y val="-3.2434080003295201E-2"/>
                </c:manualLayout>
              </c:layout>
              <c:showVal val="1"/>
              <c:showCatNam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F34-448D-935B-A3D0702D351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Val val="1"/>
            <c:showCatName val="1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'03.08 Najjeera-Kiwatule-24h'!$C$9:$N$9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'03.08 Najjeera-Kiwatule-24h'!$C$108:$N$108</c:f>
              <c:numCache>
                <c:formatCode>0.00%</c:formatCode>
                <c:ptCount val="12"/>
                <c:pt idx="0">
                  <c:v>0.68609112709832132</c:v>
                </c:pt>
                <c:pt idx="1">
                  <c:v>0.1170263788968825</c:v>
                </c:pt>
                <c:pt idx="2">
                  <c:v>5.8633093525179855E-2</c:v>
                </c:pt>
                <c:pt idx="3">
                  <c:v>9.8081534772182261E-2</c:v>
                </c:pt>
                <c:pt idx="4">
                  <c:v>3.5971223021582735E-4</c:v>
                </c:pt>
                <c:pt idx="5">
                  <c:v>0</c:v>
                </c:pt>
                <c:pt idx="6">
                  <c:v>3.4292565947242205E-2</c:v>
                </c:pt>
                <c:pt idx="7">
                  <c:v>3.4772182254196641E-3</c:v>
                </c:pt>
                <c:pt idx="8">
                  <c:v>1.7985611510791368E-3</c:v>
                </c:pt>
                <c:pt idx="9">
                  <c:v>2.3980815347721823E-4</c:v>
                </c:pt>
                <c:pt idx="1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8-6F34-448D-935B-A3D0702D3518}"/>
            </c:ext>
          </c:extLst>
        </c:ser>
      </c:pie3DChart>
      <c:spPr>
        <a:noFill/>
        <a:ln>
          <a:noFill/>
        </a:ln>
        <a:effectLst/>
      </c:spPr>
    </c:plotArea>
    <c:plotVisOnly val="1"/>
    <c:dispBlanksAs val="zero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3" l="0.70000000000000062" r="0.70000000000000062" t="0.750000000000003" header="0.30000000000000032" footer="0.3000000000000003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91E-2"/>
        </c:manualLayout>
      </c:layout>
      <c:spPr>
        <a:noFill/>
        <a:ln>
          <a:noFill/>
        </a:ln>
        <a:effectLst/>
      </c:spPr>
    </c:title>
    <c:plotArea>
      <c:layout/>
      <c:lineChart>
        <c:grouping val="standard"/>
        <c:ser>
          <c:idx val="0"/>
          <c:order val="0"/>
          <c:tx>
            <c:strRef>
              <c:f>'03.08 Kiwatule-Najjeera-24h'!$AE$9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'03.08 Kiwatule-Najjeera-24h'!$R$10:$R$33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'03.08 Kiwatule-Najjeera-24h'!$AE$10:$AE$33</c:f>
              <c:numCache>
                <c:formatCode>0</c:formatCode>
                <c:ptCount val="24"/>
                <c:pt idx="0">
                  <c:v>235</c:v>
                </c:pt>
                <c:pt idx="1">
                  <c:v>362</c:v>
                </c:pt>
                <c:pt idx="2">
                  <c:v>299</c:v>
                </c:pt>
                <c:pt idx="3">
                  <c:v>301</c:v>
                </c:pt>
                <c:pt idx="4">
                  <c:v>301</c:v>
                </c:pt>
                <c:pt idx="5">
                  <c:v>239</c:v>
                </c:pt>
                <c:pt idx="6">
                  <c:v>219</c:v>
                </c:pt>
                <c:pt idx="7">
                  <c:v>323</c:v>
                </c:pt>
                <c:pt idx="8">
                  <c:v>373</c:v>
                </c:pt>
                <c:pt idx="9">
                  <c:v>432</c:v>
                </c:pt>
                <c:pt idx="10">
                  <c:v>599</c:v>
                </c:pt>
                <c:pt idx="11">
                  <c:v>540</c:v>
                </c:pt>
                <c:pt idx="12">
                  <c:v>498</c:v>
                </c:pt>
                <c:pt idx="13">
                  <c:v>542</c:v>
                </c:pt>
                <c:pt idx="14">
                  <c:v>689</c:v>
                </c:pt>
                <c:pt idx="15">
                  <c:v>682</c:v>
                </c:pt>
                <c:pt idx="16">
                  <c:v>651</c:v>
                </c:pt>
                <c:pt idx="17">
                  <c:v>461</c:v>
                </c:pt>
                <c:pt idx="18">
                  <c:v>231</c:v>
                </c:pt>
                <c:pt idx="19">
                  <c:v>255</c:v>
                </c:pt>
                <c:pt idx="20">
                  <c:v>192</c:v>
                </c:pt>
                <c:pt idx="21">
                  <c:v>127</c:v>
                </c:pt>
                <c:pt idx="22">
                  <c:v>109</c:v>
                </c:pt>
                <c:pt idx="23">
                  <c:v>137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83B5-43D7-8A8D-1950D8303871}"/>
            </c:ext>
          </c:extLst>
        </c:ser>
        <c:ser>
          <c:idx val="1"/>
          <c:order val="1"/>
          <c:tx>
            <c:strRef>
              <c:f>'03.08 Kiwatule-Najjeera-24h'!$AF$9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'03.08 Kiwatule-Najjeera-24h'!$R$10:$R$33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'03.08 Kiwatule-Najjeera-24h'!$AF$10:$AF$33</c:f>
              <c:numCache>
                <c:formatCode>0</c:formatCode>
                <c:ptCount val="24"/>
                <c:pt idx="0">
                  <c:v>326</c:v>
                </c:pt>
                <c:pt idx="1">
                  <c:v>537</c:v>
                </c:pt>
                <c:pt idx="2">
                  <c:v>504</c:v>
                </c:pt>
                <c:pt idx="3">
                  <c:v>416</c:v>
                </c:pt>
                <c:pt idx="4">
                  <c:v>416</c:v>
                </c:pt>
                <c:pt idx="5">
                  <c:v>379</c:v>
                </c:pt>
                <c:pt idx="6">
                  <c:v>378</c:v>
                </c:pt>
                <c:pt idx="7">
                  <c:v>458</c:v>
                </c:pt>
                <c:pt idx="8">
                  <c:v>528</c:v>
                </c:pt>
                <c:pt idx="9">
                  <c:v>583</c:v>
                </c:pt>
                <c:pt idx="10">
                  <c:v>964</c:v>
                </c:pt>
                <c:pt idx="11">
                  <c:v>775</c:v>
                </c:pt>
                <c:pt idx="12">
                  <c:v>1005</c:v>
                </c:pt>
                <c:pt idx="13">
                  <c:v>850</c:v>
                </c:pt>
                <c:pt idx="14">
                  <c:v>986</c:v>
                </c:pt>
                <c:pt idx="15">
                  <c:v>1019</c:v>
                </c:pt>
                <c:pt idx="16">
                  <c:v>929</c:v>
                </c:pt>
                <c:pt idx="17">
                  <c:v>662</c:v>
                </c:pt>
                <c:pt idx="18">
                  <c:v>344</c:v>
                </c:pt>
                <c:pt idx="19">
                  <c:v>344</c:v>
                </c:pt>
                <c:pt idx="20">
                  <c:v>277</c:v>
                </c:pt>
                <c:pt idx="21">
                  <c:v>206</c:v>
                </c:pt>
                <c:pt idx="22">
                  <c:v>177</c:v>
                </c:pt>
                <c:pt idx="23">
                  <c:v>251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83B5-43D7-8A8D-1950D8303871}"/>
            </c:ext>
          </c:extLst>
        </c:ser>
        <c:marker val="1"/>
        <c:axId val="101033856"/>
        <c:axId val="101044224"/>
      </c:lineChart>
      <c:catAx>
        <c:axId val="101033856"/>
        <c:scaling>
          <c:orientation val="minMax"/>
        </c:scaling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1044224"/>
        <c:crosses val="autoZero"/>
        <c:auto val="1"/>
        <c:lblAlgn val="ctr"/>
        <c:lblOffset val="100"/>
      </c:catAx>
      <c:valAx>
        <c:axId val="101044224"/>
        <c:scaling>
          <c:orientation val="minMax"/>
          <c:min val="0"/>
        </c:scaling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spPr>
            <a:noFill/>
            <a:ln>
              <a:noFill/>
            </a:ln>
            <a:effectLst/>
          </c:spPr>
        </c:title>
        <c:numFmt formatCode="0" sourceLinked="1"/>
        <c:maj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1033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322" l="0.70000000000000062" r="0.70000000000000062" t="0.75000000000000322" header="0.30000000000000032" footer="0.3000000000000003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spPr>
        <a:noFill/>
        <a:ln>
          <a:noFill/>
        </a:ln>
        <a:effectLst/>
      </c:spPr>
    </c:title>
    <c:view3D>
      <c:rotX val="30"/>
      <c:depthPercent val="100"/>
      <c:perspective val="30"/>
    </c:view3D>
    <c:floor>
      <c:spPr>
        <a:noFill/>
        <a:ln>
          <a:noFill/>
        </a:ln>
        <a:effectLst/>
        <a:sp3d/>
      </c:spPr>
    </c:floor>
    <c:sideWall>
      <c:spPr>
        <a:noFill/>
        <a:ln>
          <a:noFill/>
        </a:ln>
        <a:effectLst/>
        <a:sp3d/>
      </c:spPr>
    </c:sideWall>
    <c:backWall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4CC2-41FB-AB6C-D0315A687D35}"/>
              </c:ext>
            </c:extLst>
          </c:dPt>
          <c:dPt>
            <c:idx val="1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4CC2-41FB-AB6C-D0315A687D35}"/>
              </c:ext>
            </c:extLst>
          </c:dPt>
          <c:dPt>
            <c:idx val="2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4CC2-41FB-AB6C-D0315A687D35}"/>
              </c:ext>
            </c:extLst>
          </c:dPt>
          <c:dPt>
            <c:idx val="3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4CC2-41FB-AB6C-D0315A687D35}"/>
              </c:ext>
            </c:extLst>
          </c:dPt>
          <c:dPt>
            <c:idx val="4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4CC2-41FB-AB6C-D0315A687D35}"/>
              </c:ext>
            </c:extLst>
          </c:dPt>
          <c:dPt>
            <c:idx val="5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4CC2-41FB-AB6C-D0315A687D35}"/>
              </c:ext>
            </c:extLst>
          </c:dPt>
          <c:dPt>
            <c:idx val="6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4CC2-41FB-AB6C-D0315A687D35}"/>
              </c:ext>
            </c:extLst>
          </c:dPt>
          <c:dPt>
            <c:idx val="7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F-4CC2-41FB-AB6C-D0315A687D35}"/>
              </c:ext>
            </c:extLst>
          </c:dPt>
          <c:dPt>
            <c:idx val="8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1-4CC2-41FB-AB6C-D0315A687D35}"/>
              </c:ext>
            </c:extLst>
          </c:dPt>
          <c:dPt>
            <c:idx val="9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3-4CC2-41FB-AB6C-D0315A687D35}"/>
              </c:ext>
            </c:extLst>
          </c:dPt>
          <c:dPt>
            <c:idx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5-4CC2-41FB-AB6C-D0315A687D35}"/>
              </c:ext>
            </c:extLst>
          </c:dPt>
          <c:dPt>
            <c:idx val="11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7-4CC2-41FB-AB6C-D0315A687D35}"/>
              </c:ext>
            </c:extLst>
          </c:dPt>
          <c:dLbls>
            <c:dLbl>
              <c:idx val="10"/>
              <c:layout>
                <c:manualLayout>
                  <c:x val="-2.6175304576939895E-2"/>
                  <c:y val="-3.2434080003295201E-2"/>
                </c:manualLayout>
              </c:layout>
              <c:showVal val="1"/>
              <c:showCatNam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CC2-41FB-AB6C-D0315A687D3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Val val="1"/>
            <c:showCatName val="1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'03.08 Kiwatule-Najjeera-24h'!$C$9:$N$9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'03.08 Kiwatule-Najjeera-24h'!$C$107:$N$107</c:f>
              <c:numCache>
                <c:formatCode>0.0%</c:formatCode>
                <c:ptCount val="12"/>
                <c:pt idx="0">
                  <c:v>0.40108156827399727</c:v>
                </c:pt>
                <c:pt idx="1">
                  <c:v>0.10432627309598919</c:v>
                </c:pt>
                <c:pt idx="2">
                  <c:v>3.0268889890340996E-2</c:v>
                </c:pt>
                <c:pt idx="3">
                  <c:v>8.7877422262280305E-2</c:v>
                </c:pt>
                <c:pt idx="4">
                  <c:v>1.9528316058284513E-3</c:v>
                </c:pt>
                <c:pt idx="5">
                  <c:v>7.5108907916478891E-4</c:v>
                </c:pt>
                <c:pt idx="6">
                  <c:v>2.929247408742677E-2</c:v>
                </c:pt>
                <c:pt idx="7">
                  <c:v>3.3047919483250713E-3</c:v>
                </c:pt>
                <c:pt idx="8">
                  <c:v>1.3519603424966202E-3</c:v>
                </c:pt>
                <c:pt idx="9">
                  <c:v>5.2576235541535224E-4</c:v>
                </c:pt>
                <c:pt idx="10">
                  <c:v>0.33926693705873517</c:v>
                </c:pt>
                <c:pt idx="1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8-4CC2-41FB-AB6C-D0315A687D35}"/>
            </c:ext>
          </c:extLst>
        </c:ser>
      </c:pie3DChart>
      <c:spPr>
        <a:noFill/>
        <a:ln>
          <a:noFill/>
        </a:ln>
        <a:effectLst/>
      </c:spPr>
    </c:plotArea>
    <c:plotVisOnly val="1"/>
    <c:dispBlanksAs val="zero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3" l="0.70000000000000062" r="0.70000000000000062" t="0.750000000000003" header="0.30000000000000032" footer="0.3000000000000003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spPr>
        <a:noFill/>
        <a:ln>
          <a:noFill/>
        </a:ln>
        <a:effectLst/>
      </c:spPr>
    </c:title>
    <c:view3D>
      <c:rotX val="30"/>
      <c:depthPercent val="100"/>
      <c:perspective val="30"/>
    </c:view3D>
    <c:floor>
      <c:spPr>
        <a:noFill/>
        <a:ln>
          <a:noFill/>
        </a:ln>
        <a:effectLst/>
        <a:sp3d/>
      </c:spPr>
    </c:floor>
    <c:sideWall>
      <c:spPr>
        <a:noFill/>
        <a:ln>
          <a:noFill/>
        </a:ln>
        <a:effectLst/>
        <a:sp3d/>
      </c:spPr>
    </c:sideWall>
    <c:backWall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477A-4202-BB82-6DE350EE311C}"/>
              </c:ext>
            </c:extLst>
          </c:dPt>
          <c:dPt>
            <c:idx val="1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477A-4202-BB82-6DE350EE311C}"/>
              </c:ext>
            </c:extLst>
          </c:dPt>
          <c:dPt>
            <c:idx val="2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477A-4202-BB82-6DE350EE311C}"/>
              </c:ext>
            </c:extLst>
          </c:dPt>
          <c:dPt>
            <c:idx val="3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477A-4202-BB82-6DE350EE311C}"/>
              </c:ext>
            </c:extLst>
          </c:dPt>
          <c:dPt>
            <c:idx val="4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477A-4202-BB82-6DE350EE311C}"/>
              </c:ext>
            </c:extLst>
          </c:dPt>
          <c:dPt>
            <c:idx val="5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477A-4202-BB82-6DE350EE311C}"/>
              </c:ext>
            </c:extLst>
          </c:dPt>
          <c:dPt>
            <c:idx val="6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477A-4202-BB82-6DE350EE311C}"/>
              </c:ext>
            </c:extLst>
          </c:dPt>
          <c:dPt>
            <c:idx val="7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F-477A-4202-BB82-6DE350EE311C}"/>
              </c:ext>
            </c:extLst>
          </c:dPt>
          <c:dPt>
            <c:idx val="8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1-477A-4202-BB82-6DE350EE311C}"/>
              </c:ext>
            </c:extLst>
          </c:dPt>
          <c:dPt>
            <c:idx val="9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3-477A-4202-BB82-6DE350EE311C}"/>
              </c:ext>
            </c:extLst>
          </c:dPt>
          <c:dPt>
            <c:idx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5-477A-4202-BB82-6DE350EE311C}"/>
              </c:ext>
            </c:extLst>
          </c:dPt>
          <c:dPt>
            <c:idx val="11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7-477A-4202-BB82-6DE350EE311C}"/>
              </c:ext>
            </c:extLst>
          </c:dPt>
          <c:dLbls>
            <c:dLbl>
              <c:idx val="10"/>
              <c:layout>
                <c:manualLayout>
                  <c:x val="-2.6175304576939895E-2"/>
                  <c:y val="-3.2434080003295201E-2"/>
                </c:manualLayout>
              </c:layout>
              <c:showVal val="1"/>
              <c:showCatNam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77A-4202-BB82-6DE350EE31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Val val="1"/>
            <c:showCatName val="1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'03.08 Kiwatule-Najjeera-24h'!$C$9:$N$9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'03.08 Kiwatule-Najjeera-24h'!$C$108:$N$108</c:f>
              <c:numCache>
                <c:formatCode>0.00%</c:formatCode>
                <c:ptCount val="12"/>
                <c:pt idx="0">
                  <c:v>0.60702512220075022</c:v>
                </c:pt>
                <c:pt idx="1">
                  <c:v>0.15789473684210525</c:v>
                </c:pt>
                <c:pt idx="2">
                  <c:v>4.5811071956348752E-2</c:v>
                </c:pt>
                <c:pt idx="3">
                  <c:v>0.13299988632488349</c:v>
                </c:pt>
                <c:pt idx="4">
                  <c:v>2.9555530294418553E-3</c:v>
                </c:pt>
                <c:pt idx="5">
                  <c:v>1.1367511651699442E-3</c:v>
                </c:pt>
                <c:pt idx="6">
                  <c:v>4.4333295441627826E-2</c:v>
                </c:pt>
                <c:pt idx="7">
                  <c:v>5.001705126747755E-3</c:v>
                </c:pt>
                <c:pt idx="8">
                  <c:v>2.0461520973058997E-3</c:v>
                </c:pt>
                <c:pt idx="9">
                  <c:v>7.9572581561896099E-4</c:v>
                </c:pt>
                <c:pt idx="1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8-477A-4202-BB82-6DE350EE311C}"/>
            </c:ext>
          </c:extLst>
        </c:ser>
      </c:pie3DChart>
      <c:spPr>
        <a:noFill/>
        <a:ln>
          <a:noFill/>
        </a:ln>
        <a:effectLst/>
      </c:spPr>
    </c:plotArea>
    <c:plotVisOnly val="1"/>
    <c:dispBlanksAs val="zero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3" l="0.70000000000000062" r="0.70000000000000062" t="0.750000000000003" header="0.30000000000000032" footer="0.3000000000000003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398"/>
          <c:y val="2.6504260748158488E-2"/>
        </c:manualLayout>
      </c:layout>
      <c:spPr>
        <a:noFill/>
        <a:ln>
          <a:noFill/>
        </a:ln>
        <a:effectLst/>
      </c:spPr>
    </c:title>
    <c:plotArea>
      <c:layout/>
      <c:lineChart>
        <c:grouping val="standard"/>
        <c:ser>
          <c:idx val="0"/>
          <c:order val="0"/>
          <c:tx>
            <c:strRef>
              <c:f>'04.08 Najjeera-Kiwatule'!$AE$9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'04.08 Najjeera-Kiwatule'!$R$10:$R$21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'04.08 Najjeera-Kiwatule'!$AE$10:$AE$21</c:f>
              <c:numCache>
                <c:formatCode>0</c:formatCode>
                <c:ptCount val="12"/>
                <c:pt idx="0">
                  <c:v>330</c:v>
                </c:pt>
                <c:pt idx="1">
                  <c:v>418</c:v>
                </c:pt>
                <c:pt idx="2">
                  <c:v>573</c:v>
                </c:pt>
                <c:pt idx="3">
                  <c:v>626</c:v>
                </c:pt>
                <c:pt idx="4">
                  <c:v>579</c:v>
                </c:pt>
                <c:pt idx="5">
                  <c:v>516</c:v>
                </c:pt>
                <c:pt idx="6">
                  <c:v>388</c:v>
                </c:pt>
                <c:pt idx="7">
                  <c:v>407</c:v>
                </c:pt>
                <c:pt idx="8">
                  <c:v>433</c:v>
                </c:pt>
                <c:pt idx="9">
                  <c:v>396</c:v>
                </c:pt>
                <c:pt idx="10">
                  <c:v>448</c:v>
                </c:pt>
                <c:pt idx="11">
                  <c:v>406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15C8-45AB-8CEF-A7108B6754B8}"/>
            </c:ext>
          </c:extLst>
        </c:ser>
        <c:ser>
          <c:idx val="1"/>
          <c:order val="1"/>
          <c:tx>
            <c:strRef>
              <c:f>'04.08 Najjeera-Kiwatule'!$AF$9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'04.08 Najjeera-Kiwatule'!$R$10:$R$21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'04.08 Najjeera-Kiwatule'!$AF$10:$AF$21</c:f>
              <c:numCache>
                <c:formatCode>0</c:formatCode>
                <c:ptCount val="12"/>
                <c:pt idx="0">
                  <c:v>524</c:v>
                </c:pt>
                <c:pt idx="1">
                  <c:v>694</c:v>
                </c:pt>
                <c:pt idx="2">
                  <c:v>813</c:v>
                </c:pt>
                <c:pt idx="3">
                  <c:v>996</c:v>
                </c:pt>
                <c:pt idx="4">
                  <c:v>857</c:v>
                </c:pt>
                <c:pt idx="5">
                  <c:v>905</c:v>
                </c:pt>
                <c:pt idx="6">
                  <c:v>686</c:v>
                </c:pt>
                <c:pt idx="7">
                  <c:v>758</c:v>
                </c:pt>
                <c:pt idx="8">
                  <c:v>739</c:v>
                </c:pt>
                <c:pt idx="9">
                  <c:v>660</c:v>
                </c:pt>
                <c:pt idx="10">
                  <c:v>823</c:v>
                </c:pt>
                <c:pt idx="11">
                  <c:v>695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15C8-45AB-8CEF-A7108B6754B8}"/>
            </c:ext>
          </c:extLst>
        </c:ser>
        <c:marker val="1"/>
        <c:axId val="102840960"/>
        <c:axId val="102851328"/>
      </c:lineChart>
      <c:catAx>
        <c:axId val="102840960"/>
        <c:scaling>
          <c:orientation val="minMax"/>
        </c:scaling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2851328"/>
        <c:crosses val="autoZero"/>
        <c:auto val="1"/>
        <c:lblAlgn val="ctr"/>
        <c:lblOffset val="100"/>
      </c:catAx>
      <c:valAx>
        <c:axId val="102851328"/>
        <c:scaling>
          <c:orientation val="minMax"/>
          <c:min val="0"/>
        </c:scaling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spPr>
            <a:noFill/>
            <a:ln>
              <a:noFill/>
            </a:ln>
            <a:effectLst/>
          </c:spPr>
        </c:title>
        <c:numFmt formatCode="0" sourceLinked="1"/>
        <c:maj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2840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322" l="0.70000000000000062" r="0.70000000000000062" t="0.75000000000000322" header="0.30000000000000032" footer="0.3000000000000003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spPr>
        <a:noFill/>
        <a:ln>
          <a:noFill/>
        </a:ln>
        <a:effectLst/>
      </c:spPr>
    </c:title>
    <c:view3D>
      <c:rotX val="30"/>
      <c:depthPercent val="100"/>
      <c:perspective val="30"/>
    </c:view3D>
    <c:floor>
      <c:spPr>
        <a:noFill/>
        <a:ln>
          <a:noFill/>
        </a:ln>
        <a:effectLst/>
        <a:sp3d/>
      </c:spPr>
    </c:floor>
    <c:sideWall>
      <c:spPr>
        <a:noFill/>
        <a:ln>
          <a:noFill/>
        </a:ln>
        <a:effectLst/>
        <a:sp3d/>
      </c:spPr>
    </c:sideWall>
    <c:backWall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C085-4D7B-92D4-0FE0B8706BF0}"/>
              </c:ext>
            </c:extLst>
          </c:dPt>
          <c:dPt>
            <c:idx val="1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C085-4D7B-92D4-0FE0B8706BF0}"/>
              </c:ext>
            </c:extLst>
          </c:dPt>
          <c:dPt>
            <c:idx val="2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C085-4D7B-92D4-0FE0B8706BF0}"/>
              </c:ext>
            </c:extLst>
          </c:dPt>
          <c:dPt>
            <c:idx val="3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C085-4D7B-92D4-0FE0B8706BF0}"/>
              </c:ext>
            </c:extLst>
          </c:dPt>
          <c:dPt>
            <c:idx val="4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C085-4D7B-92D4-0FE0B8706BF0}"/>
              </c:ext>
            </c:extLst>
          </c:dPt>
          <c:dPt>
            <c:idx val="5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C085-4D7B-92D4-0FE0B8706BF0}"/>
              </c:ext>
            </c:extLst>
          </c:dPt>
          <c:dPt>
            <c:idx val="6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C085-4D7B-92D4-0FE0B8706BF0}"/>
              </c:ext>
            </c:extLst>
          </c:dPt>
          <c:dPt>
            <c:idx val="7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F-C085-4D7B-92D4-0FE0B8706BF0}"/>
              </c:ext>
            </c:extLst>
          </c:dPt>
          <c:dPt>
            <c:idx val="8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1-C085-4D7B-92D4-0FE0B8706BF0}"/>
              </c:ext>
            </c:extLst>
          </c:dPt>
          <c:dPt>
            <c:idx val="9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3-C085-4D7B-92D4-0FE0B8706BF0}"/>
              </c:ext>
            </c:extLst>
          </c:dPt>
          <c:dPt>
            <c:idx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5-C085-4D7B-92D4-0FE0B8706BF0}"/>
              </c:ext>
            </c:extLst>
          </c:dPt>
          <c:dPt>
            <c:idx val="11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7-C085-4D7B-92D4-0FE0B8706BF0}"/>
              </c:ext>
            </c:extLst>
          </c:dPt>
          <c:dLbls>
            <c:dLbl>
              <c:idx val="10"/>
              <c:layout>
                <c:manualLayout>
                  <c:x val="-2.6175304576939895E-2"/>
                  <c:y val="-3.2434080003295201E-2"/>
                </c:manualLayout>
              </c:layout>
              <c:showVal val="1"/>
              <c:showCatNam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085-4D7B-92D4-0FE0B8706BF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Val val="1"/>
            <c:showCatName val="1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'04.08 Najjeera-Kiwatule'!$C$9:$N$9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'04.08 Najjeera-Kiwatule'!$C$59:$N$59</c:f>
              <c:numCache>
                <c:formatCode>0.0%</c:formatCode>
                <c:ptCount val="12"/>
                <c:pt idx="0">
                  <c:v>0.44469945355191259</c:v>
                </c:pt>
                <c:pt idx="1">
                  <c:v>5.7158469945355193E-2</c:v>
                </c:pt>
                <c:pt idx="2">
                  <c:v>3.1912568306010927E-2</c:v>
                </c:pt>
                <c:pt idx="3">
                  <c:v>5.3661202185792352E-2</c:v>
                </c:pt>
                <c:pt idx="4">
                  <c:v>3.2786885245901639E-4</c:v>
                </c:pt>
                <c:pt idx="5">
                  <c:v>0</c:v>
                </c:pt>
                <c:pt idx="6">
                  <c:v>1.1584699453551913E-2</c:v>
                </c:pt>
                <c:pt idx="7">
                  <c:v>2.6229508196721311E-3</c:v>
                </c:pt>
                <c:pt idx="8">
                  <c:v>9.8360655737704918E-4</c:v>
                </c:pt>
                <c:pt idx="9">
                  <c:v>3.2786885245901639E-4</c:v>
                </c:pt>
                <c:pt idx="10">
                  <c:v>0.39672131147540984</c:v>
                </c:pt>
                <c:pt idx="1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8-C085-4D7B-92D4-0FE0B8706BF0}"/>
            </c:ext>
          </c:extLst>
        </c:ser>
      </c:pie3DChart>
      <c:spPr>
        <a:noFill/>
        <a:ln>
          <a:noFill/>
        </a:ln>
        <a:effectLst/>
      </c:spPr>
    </c:plotArea>
    <c:plotVisOnly val="1"/>
    <c:dispBlanksAs val="zero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3" l="0.70000000000000062" r="0.70000000000000062" t="0.750000000000003" header="0.30000000000000032" footer="0.3000000000000003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9093"/>
          <c:y val="2.2960226637323802E-2"/>
        </c:manualLayout>
      </c:layout>
      <c:spPr>
        <a:noFill/>
        <a:ln>
          <a:noFill/>
        </a:ln>
        <a:effectLst/>
      </c:spPr>
    </c:title>
    <c:plotArea>
      <c:layout/>
      <c:lineChart>
        <c:grouping val="standard"/>
        <c:ser>
          <c:idx val="0"/>
          <c:order val="0"/>
          <c:tx>
            <c:strRef>
              <c:f>'04.08 Najjeera-Kiwatule'!$S$9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'04.08 Najjeera-Kiwatule'!$R$10:$R$21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'04.08 Najjeera-Kiwatule'!$S$10:$S$21</c:f>
              <c:numCache>
                <c:formatCode>0</c:formatCode>
                <c:ptCount val="12"/>
                <c:pt idx="0">
                  <c:v>237</c:v>
                </c:pt>
                <c:pt idx="1">
                  <c:v>290</c:v>
                </c:pt>
                <c:pt idx="2">
                  <c:v>423</c:v>
                </c:pt>
                <c:pt idx="3">
                  <c:v>449</c:v>
                </c:pt>
                <c:pt idx="4">
                  <c:v>425</c:v>
                </c:pt>
                <c:pt idx="5">
                  <c:v>389</c:v>
                </c:pt>
                <c:pt idx="6">
                  <c:v>290</c:v>
                </c:pt>
                <c:pt idx="7">
                  <c:v>302</c:v>
                </c:pt>
                <c:pt idx="8">
                  <c:v>323</c:v>
                </c:pt>
                <c:pt idx="9">
                  <c:v>293</c:v>
                </c:pt>
                <c:pt idx="10">
                  <c:v>343</c:v>
                </c:pt>
                <c:pt idx="11">
                  <c:v>305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28B-46B4-90C5-4BE58AC1B7CD}"/>
            </c:ext>
          </c:extLst>
        </c:ser>
        <c:ser>
          <c:idx val="1"/>
          <c:order val="1"/>
          <c:tx>
            <c:strRef>
              <c:f>'04.08 Najjeera-Kiwatule'!$T$9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'04.08 Najjeera-Kiwatule'!$R$10:$R$21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'04.08 Najjeera-Kiwatule'!$T$10:$T$21</c:f>
              <c:numCache>
                <c:formatCode>0</c:formatCode>
                <c:ptCount val="12"/>
                <c:pt idx="0">
                  <c:v>19</c:v>
                </c:pt>
                <c:pt idx="1">
                  <c:v>39</c:v>
                </c:pt>
                <c:pt idx="2">
                  <c:v>56</c:v>
                </c:pt>
                <c:pt idx="3">
                  <c:v>66</c:v>
                </c:pt>
                <c:pt idx="4">
                  <c:v>56</c:v>
                </c:pt>
                <c:pt idx="5">
                  <c:v>49</c:v>
                </c:pt>
                <c:pt idx="6">
                  <c:v>45</c:v>
                </c:pt>
                <c:pt idx="7">
                  <c:v>36</c:v>
                </c:pt>
                <c:pt idx="8">
                  <c:v>47</c:v>
                </c:pt>
                <c:pt idx="9">
                  <c:v>33</c:v>
                </c:pt>
                <c:pt idx="10">
                  <c:v>41</c:v>
                </c:pt>
                <c:pt idx="11">
                  <c:v>36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428B-46B4-90C5-4BE58AC1B7CD}"/>
            </c:ext>
          </c:extLst>
        </c:ser>
        <c:ser>
          <c:idx val="2"/>
          <c:order val="2"/>
          <c:tx>
            <c:strRef>
              <c:f>'04.08 Najjeera-Kiwatule'!$U$9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'04.08 Najjeera-Kiwatule'!$U$10:$U$21</c:f>
              <c:numCache>
                <c:formatCode>0</c:formatCode>
                <c:ptCount val="12"/>
                <c:pt idx="0">
                  <c:v>21</c:v>
                </c:pt>
                <c:pt idx="1">
                  <c:v>20</c:v>
                </c:pt>
                <c:pt idx="2">
                  <c:v>25</c:v>
                </c:pt>
                <c:pt idx="3">
                  <c:v>42</c:v>
                </c:pt>
                <c:pt idx="4">
                  <c:v>35</c:v>
                </c:pt>
                <c:pt idx="5">
                  <c:v>19</c:v>
                </c:pt>
                <c:pt idx="6">
                  <c:v>15</c:v>
                </c:pt>
                <c:pt idx="7">
                  <c:v>24</c:v>
                </c:pt>
                <c:pt idx="8">
                  <c:v>13</c:v>
                </c:pt>
                <c:pt idx="9">
                  <c:v>33</c:v>
                </c:pt>
                <c:pt idx="10">
                  <c:v>23</c:v>
                </c:pt>
                <c:pt idx="11">
                  <c:v>22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428B-46B4-90C5-4BE58AC1B7CD}"/>
            </c:ext>
          </c:extLst>
        </c:ser>
        <c:ser>
          <c:idx val="3"/>
          <c:order val="3"/>
          <c:tx>
            <c:strRef>
              <c:f>'04.08 Najjeera-Kiwatule'!$V$9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'04.08 Najjeera-Kiwatule'!$V$10:$V$21</c:f>
              <c:numCache>
                <c:formatCode>0</c:formatCode>
                <c:ptCount val="12"/>
                <c:pt idx="0">
                  <c:v>43</c:v>
                </c:pt>
                <c:pt idx="1">
                  <c:v>59</c:v>
                </c:pt>
                <c:pt idx="2">
                  <c:v>53</c:v>
                </c:pt>
                <c:pt idx="3">
                  <c:v>52</c:v>
                </c:pt>
                <c:pt idx="4">
                  <c:v>49</c:v>
                </c:pt>
                <c:pt idx="5">
                  <c:v>44</c:v>
                </c:pt>
                <c:pt idx="6">
                  <c:v>32</c:v>
                </c:pt>
                <c:pt idx="7">
                  <c:v>31</c:v>
                </c:pt>
                <c:pt idx="8">
                  <c:v>33</c:v>
                </c:pt>
                <c:pt idx="9">
                  <c:v>27</c:v>
                </c:pt>
                <c:pt idx="10">
                  <c:v>33</c:v>
                </c:pt>
                <c:pt idx="11">
                  <c:v>35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428B-46B4-90C5-4BE58AC1B7CD}"/>
            </c:ext>
          </c:extLst>
        </c:ser>
        <c:ser>
          <c:idx val="4"/>
          <c:order val="4"/>
          <c:tx>
            <c:strRef>
              <c:f>'04.08 Najjeera-Kiwatule'!$W$9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'04.08 Najjeera-Kiwatule'!$W$10:$W$21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428B-46B4-90C5-4BE58AC1B7CD}"/>
            </c:ext>
          </c:extLst>
        </c:ser>
        <c:ser>
          <c:idx val="5"/>
          <c:order val="5"/>
          <c:tx>
            <c:strRef>
              <c:f>'04.08 Najjeera-Kiwatule'!$X$9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'04.08 Najjeera-Kiwatule'!$X$10:$X$21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428B-46B4-90C5-4BE58AC1B7CD}"/>
            </c:ext>
          </c:extLst>
        </c:ser>
        <c:ser>
          <c:idx val="6"/>
          <c:order val="6"/>
          <c:tx>
            <c:strRef>
              <c:f>'04.08 Najjeera-Kiwatule'!$Y$9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'04.08 Najjeera-Kiwatule'!$Y$10:$Y$21</c:f>
              <c:numCache>
                <c:formatCode>0</c:formatCode>
                <c:ptCount val="12"/>
                <c:pt idx="0">
                  <c:v>7</c:v>
                </c:pt>
                <c:pt idx="1">
                  <c:v>8</c:v>
                </c:pt>
                <c:pt idx="2">
                  <c:v>14</c:v>
                </c:pt>
                <c:pt idx="3">
                  <c:v>13</c:v>
                </c:pt>
                <c:pt idx="4">
                  <c:v>10</c:v>
                </c:pt>
                <c:pt idx="5">
                  <c:v>9</c:v>
                </c:pt>
                <c:pt idx="6">
                  <c:v>6</c:v>
                </c:pt>
                <c:pt idx="7">
                  <c:v>11</c:v>
                </c:pt>
                <c:pt idx="8">
                  <c:v>10</c:v>
                </c:pt>
                <c:pt idx="9">
                  <c:v>8</c:v>
                </c:pt>
                <c:pt idx="10">
                  <c:v>6</c:v>
                </c:pt>
                <c:pt idx="11">
                  <c:v>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428B-46B4-90C5-4BE58AC1B7CD}"/>
            </c:ext>
          </c:extLst>
        </c:ser>
        <c:ser>
          <c:idx val="7"/>
          <c:order val="7"/>
          <c:tx>
            <c:strRef>
              <c:f>'04.08 Najjeera-Kiwatule'!$Z$9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'04.08 Najjeera-Kiwatule'!$Z$10:$Z$21</c:f>
              <c:numCache>
                <c:formatCode>0</c:formatCode>
                <c:ptCount val="12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4</c:v>
                </c:pt>
                <c:pt idx="5">
                  <c:v>4</c:v>
                </c:pt>
                <c:pt idx="6">
                  <c:v>0</c:v>
                </c:pt>
                <c:pt idx="7">
                  <c:v>2</c:v>
                </c:pt>
                <c:pt idx="8">
                  <c:v>5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7-428B-46B4-90C5-4BE58AC1B7CD}"/>
            </c:ext>
          </c:extLst>
        </c:ser>
        <c:ser>
          <c:idx val="8"/>
          <c:order val="8"/>
          <c:tx>
            <c:strRef>
              <c:f>'04.08 Najjeera-Kiwatule'!$AA$9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'04.08 Najjeera-Kiwatule'!$AA$10:$AA$21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2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8-428B-46B4-90C5-4BE58AC1B7CD}"/>
            </c:ext>
          </c:extLst>
        </c:ser>
        <c:ser>
          <c:idx val="9"/>
          <c:order val="9"/>
          <c:tx>
            <c:strRef>
              <c:f>'04.08 Najjeera-Kiwatule'!$AB$9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'04.08 Najjeera-Kiwatule'!$AB$10:$AB$21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9-428B-46B4-90C5-4BE58AC1B7CD}"/>
            </c:ext>
          </c:extLst>
        </c:ser>
        <c:ser>
          <c:idx val="10"/>
          <c:order val="10"/>
          <c:tx>
            <c:strRef>
              <c:f>'04.08 Najjeera-Kiwatule'!$AC$9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'04.08 Najjeera-Kiwatule'!$AC$10:$AC$21</c:f>
              <c:numCache>
                <c:formatCode>0</c:formatCode>
                <c:ptCount val="12"/>
                <c:pt idx="0">
                  <c:v>194</c:v>
                </c:pt>
                <c:pt idx="1">
                  <c:v>276</c:v>
                </c:pt>
                <c:pt idx="2">
                  <c:v>240</c:v>
                </c:pt>
                <c:pt idx="3">
                  <c:v>370</c:v>
                </c:pt>
                <c:pt idx="4">
                  <c:v>278</c:v>
                </c:pt>
                <c:pt idx="5">
                  <c:v>389</c:v>
                </c:pt>
                <c:pt idx="6">
                  <c:v>298</c:v>
                </c:pt>
                <c:pt idx="7">
                  <c:v>351</c:v>
                </c:pt>
                <c:pt idx="8">
                  <c:v>306</c:v>
                </c:pt>
                <c:pt idx="9">
                  <c:v>264</c:v>
                </c:pt>
                <c:pt idx="10">
                  <c:v>375</c:v>
                </c:pt>
                <c:pt idx="11">
                  <c:v>289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428B-46B4-90C5-4BE58AC1B7CD}"/>
            </c:ext>
          </c:extLst>
        </c:ser>
        <c:ser>
          <c:idx val="11"/>
          <c:order val="11"/>
          <c:tx>
            <c:strRef>
              <c:f>'04.08 Najjeera-Kiwatule'!$AD$9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'04.08 Najjeera-Kiwatule'!$AD$10:$AD$21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B-428B-46B4-90C5-4BE58AC1B7CD}"/>
            </c:ext>
          </c:extLst>
        </c:ser>
        <c:marker val="1"/>
        <c:axId val="102994304"/>
        <c:axId val="102995840"/>
      </c:lineChart>
      <c:catAx>
        <c:axId val="102994304"/>
        <c:scaling>
          <c:orientation val="minMax"/>
        </c:scaling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2995840"/>
        <c:crosses val="autoZero"/>
        <c:auto val="1"/>
        <c:lblAlgn val="ctr"/>
        <c:lblOffset val="100"/>
      </c:catAx>
      <c:valAx>
        <c:axId val="102995840"/>
        <c:scaling>
          <c:orientation val="minMax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spPr>
            <a:noFill/>
            <a:ln>
              <a:noFill/>
            </a:ln>
            <a:effectLst/>
          </c:spPr>
        </c:title>
        <c:numFmt formatCode="0" sourceLinked="1"/>
        <c:maj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2994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3" l="0.70000000000000062" r="0.70000000000000062" t="0.750000000000003" header="0.30000000000000032" footer="0.3000000000000003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spPr>
        <a:noFill/>
        <a:ln>
          <a:noFill/>
        </a:ln>
        <a:effectLst/>
      </c:spPr>
    </c:title>
    <c:view3D>
      <c:rotX val="30"/>
      <c:depthPercent val="100"/>
      <c:perspective val="30"/>
    </c:view3D>
    <c:floor>
      <c:spPr>
        <a:noFill/>
        <a:ln>
          <a:noFill/>
        </a:ln>
        <a:effectLst/>
        <a:sp3d/>
      </c:spPr>
    </c:floor>
    <c:sideWall>
      <c:spPr>
        <a:noFill/>
        <a:ln>
          <a:noFill/>
        </a:ln>
        <a:effectLst/>
        <a:sp3d/>
      </c:spPr>
    </c:sideWall>
    <c:backWall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DC12-4217-8AB6-47C18865D9D7}"/>
              </c:ext>
            </c:extLst>
          </c:dPt>
          <c:dPt>
            <c:idx val="1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DC12-4217-8AB6-47C18865D9D7}"/>
              </c:ext>
            </c:extLst>
          </c:dPt>
          <c:dPt>
            <c:idx val="2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DC12-4217-8AB6-47C18865D9D7}"/>
              </c:ext>
            </c:extLst>
          </c:dPt>
          <c:dPt>
            <c:idx val="3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DC12-4217-8AB6-47C18865D9D7}"/>
              </c:ext>
            </c:extLst>
          </c:dPt>
          <c:dPt>
            <c:idx val="4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DC12-4217-8AB6-47C18865D9D7}"/>
              </c:ext>
            </c:extLst>
          </c:dPt>
          <c:dPt>
            <c:idx val="5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DC12-4217-8AB6-47C18865D9D7}"/>
              </c:ext>
            </c:extLst>
          </c:dPt>
          <c:dPt>
            <c:idx val="6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DC12-4217-8AB6-47C18865D9D7}"/>
              </c:ext>
            </c:extLst>
          </c:dPt>
          <c:dPt>
            <c:idx val="7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F-DC12-4217-8AB6-47C18865D9D7}"/>
              </c:ext>
            </c:extLst>
          </c:dPt>
          <c:dPt>
            <c:idx val="8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1-DC12-4217-8AB6-47C18865D9D7}"/>
              </c:ext>
            </c:extLst>
          </c:dPt>
          <c:dPt>
            <c:idx val="9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3-DC12-4217-8AB6-47C18865D9D7}"/>
              </c:ext>
            </c:extLst>
          </c:dPt>
          <c:dPt>
            <c:idx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5-DC12-4217-8AB6-47C18865D9D7}"/>
              </c:ext>
            </c:extLst>
          </c:dPt>
          <c:dPt>
            <c:idx val="11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7-DC12-4217-8AB6-47C18865D9D7}"/>
              </c:ext>
            </c:extLst>
          </c:dPt>
          <c:dLbls>
            <c:dLbl>
              <c:idx val="10"/>
              <c:layout>
                <c:manualLayout>
                  <c:x val="-2.6175304576939895E-2"/>
                  <c:y val="-3.2434080003295201E-2"/>
                </c:manualLayout>
              </c:layout>
              <c:showVal val="1"/>
              <c:showCatNam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C12-4217-8AB6-47C18865D9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Val val="1"/>
            <c:showCatName val="1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'04.08 Najjeera-Kiwatule'!$C$9:$N$9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'04.08 Najjeera-Kiwatule'!$C$60:$N$60</c:f>
              <c:numCache>
                <c:formatCode>0.00%</c:formatCode>
                <c:ptCount val="12"/>
                <c:pt idx="0">
                  <c:v>0.73713768115942024</c:v>
                </c:pt>
                <c:pt idx="1">
                  <c:v>9.4746376811594202E-2</c:v>
                </c:pt>
                <c:pt idx="2">
                  <c:v>5.2898550724637679E-2</c:v>
                </c:pt>
                <c:pt idx="3">
                  <c:v>8.8949275362318836E-2</c:v>
                </c:pt>
                <c:pt idx="4">
                  <c:v>5.4347826086956522E-4</c:v>
                </c:pt>
                <c:pt idx="5">
                  <c:v>0</c:v>
                </c:pt>
                <c:pt idx="6">
                  <c:v>1.9202898550724639E-2</c:v>
                </c:pt>
                <c:pt idx="7">
                  <c:v>4.3478260869565218E-3</c:v>
                </c:pt>
                <c:pt idx="8">
                  <c:v>1.6304347826086956E-3</c:v>
                </c:pt>
                <c:pt idx="9">
                  <c:v>5.4347826086956522E-4</c:v>
                </c:pt>
                <c:pt idx="1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8-DC12-4217-8AB6-47C18865D9D7}"/>
            </c:ext>
          </c:extLst>
        </c:ser>
      </c:pie3DChart>
      <c:spPr>
        <a:noFill/>
        <a:ln>
          <a:noFill/>
        </a:ln>
        <a:effectLst/>
      </c:spPr>
    </c:plotArea>
    <c:plotVisOnly val="1"/>
    <c:dispBlanksAs val="zero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3" l="0.70000000000000062" r="0.70000000000000062" t="0.750000000000003" header="0.30000000000000032" footer="0.30000000000000032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398"/>
          <c:y val="2.6504260748158488E-2"/>
        </c:manualLayout>
      </c:layout>
      <c:spPr>
        <a:noFill/>
        <a:ln>
          <a:noFill/>
        </a:ln>
        <a:effectLst/>
      </c:spPr>
    </c:title>
    <c:plotArea>
      <c:layout/>
      <c:lineChart>
        <c:grouping val="standard"/>
        <c:ser>
          <c:idx val="0"/>
          <c:order val="0"/>
          <c:tx>
            <c:strRef>
              <c:f>'04.08 Kiwatule-Najjeera'!$AE$9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'04.08 Kiwatule-Najjeera'!$R$10:$R$21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'04.08 Kiwatule-Najjeera'!$AE$10:$AE$21</c:f>
              <c:numCache>
                <c:formatCode>0</c:formatCode>
                <c:ptCount val="12"/>
                <c:pt idx="0">
                  <c:v>126</c:v>
                </c:pt>
                <c:pt idx="1">
                  <c:v>162</c:v>
                </c:pt>
                <c:pt idx="2">
                  <c:v>239</c:v>
                </c:pt>
                <c:pt idx="3">
                  <c:v>301</c:v>
                </c:pt>
                <c:pt idx="4">
                  <c:v>346</c:v>
                </c:pt>
                <c:pt idx="5">
                  <c:v>421</c:v>
                </c:pt>
                <c:pt idx="6">
                  <c:v>490</c:v>
                </c:pt>
                <c:pt idx="7">
                  <c:v>457</c:v>
                </c:pt>
                <c:pt idx="8">
                  <c:v>400</c:v>
                </c:pt>
                <c:pt idx="9">
                  <c:v>387</c:v>
                </c:pt>
                <c:pt idx="10">
                  <c:v>413</c:v>
                </c:pt>
                <c:pt idx="11">
                  <c:v>352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C9DE-43FB-B018-4B429EDDE76A}"/>
            </c:ext>
          </c:extLst>
        </c:ser>
        <c:ser>
          <c:idx val="1"/>
          <c:order val="1"/>
          <c:tx>
            <c:strRef>
              <c:f>'04.08 Kiwatule-Najjeera'!$AF$9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'04.08 Kiwatule-Najjeera'!$R$10:$R$21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'04.08 Kiwatule-Najjeera'!$AF$10:$AF$21</c:f>
              <c:numCache>
                <c:formatCode>0</c:formatCode>
                <c:ptCount val="12"/>
                <c:pt idx="0">
                  <c:v>302</c:v>
                </c:pt>
                <c:pt idx="1">
                  <c:v>445</c:v>
                </c:pt>
                <c:pt idx="2">
                  <c:v>489</c:v>
                </c:pt>
                <c:pt idx="3">
                  <c:v>664</c:v>
                </c:pt>
                <c:pt idx="4">
                  <c:v>611</c:v>
                </c:pt>
                <c:pt idx="5">
                  <c:v>776</c:v>
                </c:pt>
                <c:pt idx="6">
                  <c:v>845</c:v>
                </c:pt>
                <c:pt idx="7">
                  <c:v>667</c:v>
                </c:pt>
                <c:pt idx="8">
                  <c:v>710</c:v>
                </c:pt>
                <c:pt idx="9">
                  <c:v>620</c:v>
                </c:pt>
                <c:pt idx="10">
                  <c:v>650</c:v>
                </c:pt>
                <c:pt idx="11">
                  <c:v>629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C9DE-43FB-B018-4B429EDDE76A}"/>
            </c:ext>
          </c:extLst>
        </c:ser>
        <c:marker val="1"/>
        <c:axId val="103303808"/>
        <c:axId val="103314176"/>
      </c:lineChart>
      <c:catAx>
        <c:axId val="103303808"/>
        <c:scaling>
          <c:orientation val="minMax"/>
        </c:scaling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3314176"/>
        <c:crosses val="autoZero"/>
        <c:auto val="1"/>
        <c:lblAlgn val="ctr"/>
        <c:lblOffset val="100"/>
      </c:catAx>
      <c:valAx>
        <c:axId val="103314176"/>
        <c:scaling>
          <c:orientation val="minMax"/>
          <c:min val="0"/>
        </c:scaling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spPr>
            <a:noFill/>
            <a:ln>
              <a:noFill/>
            </a:ln>
            <a:effectLst/>
          </c:spPr>
        </c:title>
        <c:numFmt formatCode="0" sourceLinked="1"/>
        <c:maj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3303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322" l="0.70000000000000062" r="0.70000000000000062" t="0.75000000000000322" header="0.30000000000000032" footer="0.30000000000000032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spPr>
        <a:noFill/>
        <a:ln>
          <a:noFill/>
        </a:ln>
        <a:effectLst/>
      </c:spPr>
    </c:title>
    <c:view3D>
      <c:rotX val="30"/>
      <c:depthPercent val="100"/>
      <c:perspective val="30"/>
    </c:view3D>
    <c:floor>
      <c:spPr>
        <a:noFill/>
        <a:ln>
          <a:noFill/>
        </a:ln>
        <a:effectLst/>
        <a:sp3d/>
      </c:spPr>
    </c:floor>
    <c:sideWall>
      <c:spPr>
        <a:noFill/>
        <a:ln>
          <a:noFill/>
        </a:ln>
        <a:effectLst/>
        <a:sp3d/>
      </c:spPr>
    </c:sideWall>
    <c:backWall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A85F-4049-90B5-622F08A1EAA3}"/>
              </c:ext>
            </c:extLst>
          </c:dPt>
          <c:dPt>
            <c:idx val="1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A85F-4049-90B5-622F08A1EAA3}"/>
              </c:ext>
            </c:extLst>
          </c:dPt>
          <c:dPt>
            <c:idx val="2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A85F-4049-90B5-622F08A1EAA3}"/>
              </c:ext>
            </c:extLst>
          </c:dPt>
          <c:dPt>
            <c:idx val="3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A85F-4049-90B5-622F08A1EAA3}"/>
              </c:ext>
            </c:extLst>
          </c:dPt>
          <c:dPt>
            <c:idx val="4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A85F-4049-90B5-622F08A1EAA3}"/>
              </c:ext>
            </c:extLst>
          </c:dPt>
          <c:dPt>
            <c:idx val="5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A85F-4049-90B5-622F08A1EAA3}"/>
              </c:ext>
            </c:extLst>
          </c:dPt>
          <c:dPt>
            <c:idx val="6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A85F-4049-90B5-622F08A1EAA3}"/>
              </c:ext>
            </c:extLst>
          </c:dPt>
          <c:dPt>
            <c:idx val="7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F-A85F-4049-90B5-622F08A1EAA3}"/>
              </c:ext>
            </c:extLst>
          </c:dPt>
          <c:dPt>
            <c:idx val="8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1-A85F-4049-90B5-622F08A1EAA3}"/>
              </c:ext>
            </c:extLst>
          </c:dPt>
          <c:dPt>
            <c:idx val="9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3-A85F-4049-90B5-622F08A1EAA3}"/>
              </c:ext>
            </c:extLst>
          </c:dPt>
          <c:dPt>
            <c:idx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5-A85F-4049-90B5-622F08A1EAA3}"/>
              </c:ext>
            </c:extLst>
          </c:dPt>
          <c:dPt>
            <c:idx val="11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7-A85F-4049-90B5-622F08A1EAA3}"/>
              </c:ext>
            </c:extLst>
          </c:dPt>
          <c:dLbls>
            <c:dLbl>
              <c:idx val="10"/>
              <c:layout>
                <c:manualLayout>
                  <c:x val="-2.6175304576939895E-2"/>
                  <c:y val="-3.2434080003295201E-2"/>
                </c:manualLayout>
              </c:layout>
              <c:showVal val="1"/>
              <c:showCatNam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A85F-4049-90B5-622F08A1EAA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Val val="1"/>
            <c:showCatName val="1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'04.08 Kiwatule-Najjeera'!$C$9:$N$9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'04.08 Kiwatule-Najjeera'!$C$59:$N$59</c:f>
              <c:numCache>
                <c:formatCode>0.0%</c:formatCode>
                <c:ptCount val="12"/>
                <c:pt idx="0">
                  <c:v>0.37756479481641469</c:v>
                </c:pt>
                <c:pt idx="1">
                  <c:v>5.5615550755939526E-2</c:v>
                </c:pt>
                <c:pt idx="2">
                  <c:v>2.3623110151187905E-2</c:v>
                </c:pt>
                <c:pt idx="3">
                  <c:v>7.1004319654427647E-2</c:v>
                </c:pt>
                <c:pt idx="4">
                  <c:v>4.0496760259179265E-4</c:v>
                </c:pt>
                <c:pt idx="5">
                  <c:v>0</c:v>
                </c:pt>
                <c:pt idx="6">
                  <c:v>2.159827213822894E-2</c:v>
                </c:pt>
                <c:pt idx="7">
                  <c:v>2.0248380129589635E-3</c:v>
                </c:pt>
                <c:pt idx="8">
                  <c:v>6.7494600431965439E-4</c:v>
                </c:pt>
                <c:pt idx="9">
                  <c:v>1.3498920086393089E-4</c:v>
                </c:pt>
                <c:pt idx="10">
                  <c:v>0.44735421166306694</c:v>
                </c:pt>
                <c:pt idx="1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8-A85F-4049-90B5-622F08A1EAA3}"/>
            </c:ext>
          </c:extLst>
        </c:ser>
      </c:pie3DChart>
      <c:spPr>
        <a:noFill/>
        <a:ln>
          <a:noFill/>
        </a:ln>
        <a:effectLst/>
      </c:spPr>
    </c:plotArea>
    <c:plotVisOnly val="1"/>
    <c:dispBlanksAs val="zero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3" l="0.70000000000000062" r="0.70000000000000062" t="0.750000000000003" header="0.30000000000000032" footer="0.30000000000000032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9093"/>
          <c:y val="2.2960226637323802E-2"/>
        </c:manualLayout>
      </c:layout>
      <c:spPr>
        <a:noFill/>
        <a:ln>
          <a:noFill/>
        </a:ln>
        <a:effectLst/>
      </c:spPr>
    </c:title>
    <c:plotArea>
      <c:layout/>
      <c:lineChart>
        <c:grouping val="standard"/>
        <c:ser>
          <c:idx val="0"/>
          <c:order val="0"/>
          <c:tx>
            <c:strRef>
              <c:f>'04.08 Kiwatule-Najjeera'!$S$9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'04.08 Kiwatule-Najjeera'!$R$10:$R$21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'04.08 Kiwatule-Najjeera'!$S$10:$S$21</c:f>
              <c:numCache>
                <c:formatCode>0</c:formatCode>
                <c:ptCount val="12"/>
                <c:pt idx="0">
                  <c:v>51</c:v>
                </c:pt>
                <c:pt idx="1">
                  <c:v>93</c:v>
                </c:pt>
                <c:pt idx="2">
                  <c:v>125</c:v>
                </c:pt>
                <c:pt idx="3">
                  <c:v>200</c:v>
                </c:pt>
                <c:pt idx="4">
                  <c:v>236</c:v>
                </c:pt>
                <c:pt idx="5">
                  <c:v>261</c:v>
                </c:pt>
                <c:pt idx="6">
                  <c:v>377</c:v>
                </c:pt>
                <c:pt idx="7">
                  <c:v>353</c:v>
                </c:pt>
                <c:pt idx="8">
                  <c:v>303</c:v>
                </c:pt>
                <c:pt idx="9">
                  <c:v>285</c:v>
                </c:pt>
                <c:pt idx="10">
                  <c:v>275</c:v>
                </c:pt>
                <c:pt idx="11">
                  <c:v>238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5793-4957-A836-ECDA67D2C747}"/>
            </c:ext>
          </c:extLst>
        </c:ser>
        <c:ser>
          <c:idx val="1"/>
          <c:order val="1"/>
          <c:tx>
            <c:strRef>
              <c:f>'04.08 Kiwatule-Najjeera'!$T$9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'04.08 Kiwatule-Najjeera'!$R$10:$R$21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'04.08 Kiwatule-Najjeera'!$T$10:$T$21</c:f>
              <c:numCache>
                <c:formatCode>0</c:formatCode>
                <c:ptCount val="12"/>
                <c:pt idx="0">
                  <c:v>14</c:v>
                </c:pt>
                <c:pt idx="1">
                  <c:v>11</c:v>
                </c:pt>
                <c:pt idx="2">
                  <c:v>24</c:v>
                </c:pt>
                <c:pt idx="3">
                  <c:v>23</c:v>
                </c:pt>
                <c:pt idx="4">
                  <c:v>39</c:v>
                </c:pt>
                <c:pt idx="5">
                  <c:v>68</c:v>
                </c:pt>
                <c:pt idx="6">
                  <c:v>39</c:v>
                </c:pt>
                <c:pt idx="7">
                  <c:v>48</c:v>
                </c:pt>
                <c:pt idx="8">
                  <c:v>26</c:v>
                </c:pt>
                <c:pt idx="9">
                  <c:v>43</c:v>
                </c:pt>
                <c:pt idx="10">
                  <c:v>43</c:v>
                </c:pt>
                <c:pt idx="11">
                  <c:v>34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5793-4957-A836-ECDA67D2C747}"/>
            </c:ext>
          </c:extLst>
        </c:ser>
        <c:ser>
          <c:idx val="2"/>
          <c:order val="2"/>
          <c:tx>
            <c:strRef>
              <c:f>'04.08 Kiwatule-Najjeera'!$U$9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'04.08 Kiwatule-Najjeera'!$U$10:$U$21</c:f>
              <c:numCache>
                <c:formatCode>0</c:formatCode>
                <c:ptCount val="12"/>
                <c:pt idx="0">
                  <c:v>9</c:v>
                </c:pt>
                <c:pt idx="1">
                  <c:v>6</c:v>
                </c:pt>
                <c:pt idx="2">
                  <c:v>12</c:v>
                </c:pt>
                <c:pt idx="3">
                  <c:v>9</c:v>
                </c:pt>
                <c:pt idx="4">
                  <c:v>18</c:v>
                </c:pt>
                <c:pt idx="5">
                  <c:v>19</c:v>
                </c:pt>
                <c:pt idx="6">
                  <c:v>16</c:v>
                </c:pt>
                <c:pt idx="7">
                  <c:v>19</c:v>
                </c:pt>
                <c:pt idx="8">
                  <c:v>12</c:v>
                </c:pt>
                <c:pt idx="9">
                  <c:v>14</c:v>
                </c:pt>
                <c:pt idx="10">
                  <c:v>20</c:v>
                </c:pt>
                <c:pt idx="11">
                  <c:v>21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5793-4957-A836-ECDA67D2C747}"/>
            </c:ext>
          </c:extLst>
        </c:ser>
        <c:ser>
          <c:idx val="3"/>
          <c:order val="3"/>
          <c:tx>
            <c:strRef>
              <c:f>'04.08 Kiwatule-Najjeera'!$V$9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'04.08 Kiwatule-Najjeera'!$V$10:$V$21</c:f>
              <c:numCache>
                <c:formatCode>0</c:formatCode>
                <c:ptCount val="12"/>
                <c:pt idx="0">
                  <c:v>38</c:v>
                </c:pt>
                <c:pt idx="1">
                  <c:v>47</c:v>
                </c:pt>
                <c:pt idx="2">
                  <c:v>58</c:v>
                </c:pt>
                <c:pt idx="3">
                  <c:v>47</c:v>
                </c:pt>
                <c:pt idx="4">
                  <c:v>33</c:v>
                </c:pt>
                <c:pt idx="5">
                  <c:v>59</c:v>
                </c:pt>
                <c:pt idx="6">
                  <c:v>36</c:v>
                </c:pt>
                <c:pt idx="7">
                  <c:v>22</c:v>
                </c:pt>
                <c:pt idx="8">
                  <c:v>42</c:v>
                </c:pt>
                <c:pt idx="9">
                  <c:v>33</c:v>
                </c:pt>
                <c:pt idx="10">
                  <c:v>67</c:v>
                </c:pt>
                <c:pt idx="11">
                  <c:v>44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5793-4957-A836-ECDA67D2C747}"/>
            </c:ext>
          </c:extLst>
        </c:ser>
        <c:ser>
          <c:idx val="4"/>
          <c:order val="4"/>
          <c:tx>
            <c:strRef>
              <c:f>'04.08 Kiwatule-Najjeera'!$W$9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'04.08 Kiwatule-Najjeera'!$W$10:$W$21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5793-4957-A836-ECDA67D2C747}"/>
            </c:ext>
          </c:extLst>
        </c:ser>
        <c:ser>
          <c:idx val="5"/>
          <c:order val="5"/>
          <c:tx>
            <c:strRef>
              <c:f>'04.08 Kiwatule-Najjeera'!$X$9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'04.08 Kiwatule-Najjeera'!$X$10:$X$21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5793-4957-A836-ECDA67D2C747}"/>
            </c:ext>
          </c:extLst>
        </c:ser>
        <c:ser>
          <c:idx val="6"/>
          <c:order val="6"/>
          <c:tx>
            <c:strRef>
              <c:f>'04.08 Kiwatule-Najjeera'!$Y$9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'04.08 Kiwatule-Najjeera'!$Y$10:$Y$21</c:f>
              <c:numCache>
                <c:formatCode>0</c:formatCode>
                <c:ptCount val="12"/>
                <c:pt idx="0">
                  <c:v>11</c:v>
                </c:pt>
                <c:pt idx="1">
                  <c:v>5</c:v>
                </c:pt>
                <c:pt idx="2">
                  <c:v>18</c:v>
                </c:pt>
                <c:pt idx="3">
                  <c:v>19</c:v>
                </c:pt>
                <c:pt idx="4">
                  <c:v>16</c:v>
                </c:pt>
                <c:pt idx="5">
                  <c:v>12</c:v>
                </c:pt>
                <c:pt idx="6">
                  <c:v>18</c:v>
                </c:pt>
                <c:pt idx="7">
                  <c:v>13</c:v>
                </c:pt>
                <c:pt idx="8">
                  <c:v>17</c:v>
                </c:pt>
                <c:pt idx="9">
                  <c:v>10</c:v>
                </c:pt>
                <c:pt idx="10">
                  <c:v>8</c:v>
                </c:pt>
                <c:pt idx="11">
                  <c:v>13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5793-4957-A836-ECDA67D2C747}"/>
            </c:ext>
          </c:extLst>
        </c:ser>
        <c:ser>
          <c:idx val="7"/>
          <c:order val="7"/>
          <c:tx>
            <c:strRef>
              <c:f>'04.08 Kiwatule-Najjeera'!$Z$9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'04.08 Kiwatule-Najjeera'!$Z$10:$Z$21</c:f>
              <c:numCache>
                <c:formatCode>0</c:formatCode>
                <c:ptCount val="12"/>
                <c:pt idx="0">
                  <c:v>2</c:v>
                </c:pt>
                <c:pt idx="1">
                  <c:v>0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1</c:v>
                </c:pt>
                <c:pt idx="8">
                  <c:v>0</c:v>
                </c:pt>
                <c:pt idx="9">
                  <c:v>2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7-5793-4957-A836-ECDA67D2C747}"/>
            </c:ext>
          </c:extLst>
        </c:ser>
        <c:ser>
          <c:idx val="8"/>
          <c:order val="8"/>
          <c:tx>
            <c:strRef>
              <c:f>'04.08 Kiwatule-Najjeera'!$AA$9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'04.08 Kiwatule-Najjeera'!$AA$10:$AA$21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8-5793-4957-A836-ECDA67D2C747}"/>
            </c:ext>
          </c:extLst>
        </c:ser>
        <c:ser>
          <c:idx val="9"/>
          <c:order val="9"/>
          <c:tx>
            <c:strRef>
              <c:f>'04.08 Kiwatule-Najjeera'!$AB$9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'04.08 Kiwatule-Najjeera'!$AB$10:$AB$21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9-5793-4957-A836-ECDA67D2C747}"/>
            </c:ext>
          </c:extLst>
        </c:ser>
        <c:ser>
          <c:idx val="10"/>
          <c:order val="10"/>
          <c:tx>
            <c:strRef>
              <c:f>'04.08 Kiwatule-Najjeera'!$AC$9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'04.08 Kiwatule-Najjeera'!$AC$10:$AC$21</c:f>
              <c:numCache>
                <c:formatCode>0</c:formatCode>
                <c:ptCount val="12"/>
                <c:pt idx="0">
                  <c:v>176</c:v>
                </c:pt>
                <c:pt idx="1">
                  <c:v>283</c:v>
                </c:pt>
                <c:pt idx="2">
                  <c:v>250</c:v>
                </c:pt>
                <c:pt idx="3">
                  <c:v>363</c:v>
                </c:pt>
                <c:pt idx="4">
                  <c:v>265</c:v>
                </c:pt>
                <c:pt idx="5">
                  <c:v>355</c:v>
                </c:pt>
                <c:pt idx="6">
                  <c:v>355</c:v>
                </c:pt>
                <c:pt idx="7">
                  <c:v>210</c:v>
                </c:pt>
                <c:pt idx="8">
                  <c:v>310</c:v>
                </c:pt>
                <c:pt idx="9">
                  <c:v>233</c:v>
                </c:pt>
                <c:pt idx="10">
                  <c:v>237</c:v>
                </c:pt>
                <c:pt idx="11">
                  <c:v>277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5793-4957-A836-ECDA67D2C747}"/>
            </c:ext>
          </c:extLst>
        </c:ser>
        <c:ser>
          <c:idx val="11"/>
          <c:order val="11"/>
          <c:tx>
            <c:strRef>
              <c:f>'04.08 Kiwatule-Najjeera'!$AD$9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'04.08 Kiwatule-Najjeera'!$AD$10:$AD$21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B-5793-4957-A836-ECDA67D2C747}"/>
            </c:ext>
          </c:extLst>
        </c:ser>
        <c:marker val="1"/>
        <c:axId val="103514496"/>
        <c:axId val="103516032"/>
      </c:lineChart>
      <c:catAx>
        <c:axId val="103514496"/>
        <c:scaling>
          <c:orientation val="minMax"/>
        </c:scaling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3516032"/>
        <c:crosses val="autoZero"/>
        <c:auto val="1"/>
        <c:lblAlgn val="ctr"/>
        <c:lblOffset val="100"/>
      </c:catAx>
      <c:valAx>
        <c:axId val="103516032"/>
        <c:scaling>
          <c:orientation val="minMax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spPr>
            <a:noFill/>
            <a:ln>
              <a:noFill/>
            </a:ln>
            <a:effectLst/>
          </c:spPr>
        </c:title>
        <c:numFmt formatCode="0" sourceLinked="1"/>
        <c:maj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3514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3" l="0.70000000000000062" r="0.70000000000000062" t="0.750000000000003" header="0.30000000000000032" footer="0.30000000000000032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spPr>
        <a:noFill/>
        <a:ln>
          <a:noFill/>
        </a:ln>
        <a:effectLst/>
      </c:spPr>
    </c:title>
    <c:view3D>
      <c:rotX val="30"/>
      <c:depthPercent val="100"/>
      <c:perspective val="30"/>
    </c:view3D>
    <c:floor>
      <c:spPr>
        <a:noFill/>
        <a:ln>
          <a:noFill/>
        </a:ln>
        <a:effectLst/>
        <a:sp3d/>
      </c:spPr>
    </c:floor>
    <c:sideWall>
      <c:spPr>
        <a:noFill/>
        <a:ln>
          <a:noFill/>
        </a:ln>
        <a:effectLst/>
        <a:sp3d/>
      </c:spPr>
    </c:sideWall>
    <c:backWall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ACB0-4F20-A91A-776340154943}"/>
              </c:ext>
            </c:extLst>
          </c:dPt>
          <c:dPt>
            <c:idx val="1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ACB0-4F20-A91A-776340154943}"/>
              </c:ext>
            </c:extLst>
          </c:dPt>
          <c:dPt>
            <c:idx val="2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ACB0-4F20-A91A-776340154943}"/>
              </c:ext>
            </c:extLst>
          </c:dPt>
          <c:dPt>
            <c:idx val="3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ACB0-4F20-A91A-776340154943}"/>
              </c:ext>
            </c:extLst>
          </c:dPt>
          <c:dPt>
            <c:idx val="4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ACB0-4F20-A91A-776340154943}"/>
              </c:ext>
            </c:extLst>
          </c:dPt>
          <c:dPt>
            <c:idx val="5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ACB0-4F20-A91A-776340154943}"/>
              </c:ext>
            </c:extLst>
          </c:dPt>
          <c:dPt>
            <c:idx val="6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ACB0-4F20-A91A-776340154943}"/>
              </c:ext>
            </c:extLst>
          </c:dPt>
          <c:dPt>
            <c:idx val="7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F-ACB0-4F20-A91A-776340154943}"/>
              </c:ext>
            </c:extLst>
          </c:dPt>
          <c:dPt>
            <c:idx val="8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1-ACB0-4F20-A91A-776340154943}"/>
              </c:ext>
            </c:extLst>
          </c:dPt>
          <c:dPt>
            <c:idx val="9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3-ACB0-4F20-A91A-776340154943}"/>
              </c:ext>
            </c:extLst>
          </c:dPt>
          <c:dPt>
            <c:idx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5-ACB0-4F20-A91A-776340154943}"/>
              </c:ext>
            </c:extLst>
          </c:dPt>
          <c:dPt>
            <c:idx val="11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7-ACB0-4F20-A91A-776340154943}"/>
              </c:ext>
            </c:extLst>
          </c:dPt>
          <c:dLbls>
            <c:dLbl>
              <c:idx val="10"/>
              <c:layout>
                <c:manualLayout>
                  <c:x val="-2.6175304576939895E-2"/>
                  <c:y val="-3.2434080003295201E-2"/>
                </c:manualLayout>
              </c:layout>
              <c:showVal val="1"/>
              <c:showCatNam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ACB0-4F20-A91A-77634015494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Val val="1"/>
            <c:showCatName val="1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'04.08 Kiwatule-Najjeera'!$C$9:$N$9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'04.08 Kiwatule-Najjeera'!$C$60:$N$60</c:f>
              <c:numCache>
                <c:formatCode>0.00%</c:formatCode>
                <c:ptCount val="12"/>
                <c:pt idx="0">
                  <c:v>0.68319491939423549</c:v>
                </c:pt>
                <c:pt idx="1">
                  <c:v>0.10063507572056668</c:v>
                </c:pt>
                <c:pt idx="2">
                  <c:v>4.2745481191988274E-2</c:v>
                </c:pt>
                <c:pt idx="3">
                  <c:v>0.12848070346849047</c:v>
                </c:pt>
                <c:pt idx="4">
                  <c:v>7.3277967757694185E-4</c:v>
                </c:pt>
                <c:pt idx="5">
                  <c:v>0</c:v>
                </c:pt>
                <c:pt idx="6">
                  <c:v>3.9081582804103565E-2</c:v>
                </c:pt>
                <c:pt idx="7">
                  <c:v>3.6638983878847092E-3</c:v>
                </c:pt>
                <c:pt idx="8">
                  <c:v>1.2212994626282364E-3</c:v>
                </c:pt>
                <c:pt idx="9">
                  <c:v>2.4425989252564728E-4</c:v>
                </c:pt>
                <c:pt idx="1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8-ACB0-4F20-A91A-776340154943}"/>
            </c:ext>
          </c:extLst>
        </c:ser>
      </c:pie3DChart>
      <c:spPr>
        <a:noFill/>
        <a:ln>
          <a:noFill/>
        </a:ln>
        <a:effectLst/>
      </c:spPr>
    </c:plotArea>
    <c:plotVisOnly val="1"/>
    <c:dispBlanksAs val="zero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3" l="0.70000000000000062" r="0.70000000000000062" t="0.750000000000003" header="0.30000000000000032" footer="0.30000000000000032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398"/>
          <c:y val="2.6504260748158488E-2"/>
        </c:manualLayout>
      </c:layout>
      <c:spPr>
        <a:noFill/>
        <a:ln>
          <a:noFill/>
        </a:ln>
        <a:effectLst/>
      </c:spPr>
    </c:title>
    <c:plotArea>
      <c:layout/>
      <c:lineChart>
        <c:grouping val="standard"/>
        <c:ser>
          <c:idx val="0"/>
          <c:order val="0"/>
          <c:tx>
            <c:strRef>
              <c:f>'Avg Week Najjeera-Kiwatule'!$AE$9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'Avg Week Najjeera-Kiwatule'!$R$10:$R$21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'Avg Week Najjeera-Kiwatule'!$AE$10:$AE$21</c:f>
              <c:numCache>
                <c:formatCode>0</c:formatCode>
                <c:ptCount val="12"/>
                <c:pt idx="0">
                  <c:v>664.85714285714289</c:v>
                </c:pt>
                <c:pt idx="1">
                  <c:v>681.28571428571411</c:v>
                </c:pt>
                <c:pt idx="2">
                  <c:v>536.28571428571422</c:v>
                </c:pt>
                <c:pt idx="3">
                  <c:v>522.85714285714278</c:v>
                </c:pt>
                <c:pt idx="4">
                  <c:v>481.71428571428572</c:v>
                </c:pt>
                <c:pt idx="5">
                  <c:v>490.28571428571422</c:v>
                </c:pt>
                <c:pt idx="6">
                  <c:v>381.00000000000006</c:v>
                </c:pt>
                <c:pt idx="7">
                  <c:v>362.71428571428578</c:v>
                </c:pt>
                <c:pt idx="8">
                  <c:v>373.28571428571428</c:v>
                </c:pt>
                <c:pt idx="9">
                  <c:v>376.28571428571433</c:v>
                </c:pt>
                <c:pt idx="10">
                  <c:v>385.14285714285711</c:v>
                </c:pt>
                <c:pt idx="11">
                  <c:v>333.42857142857144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2E85-422C-8502-C8D950B820C5}"/>
            </c:ext>
          </c:extLst>
        </c:ser>
        <c:ser>
          <c:idx val="1"/>
          <c:order val="1"/>
          <c:tx>
            <c:strRef>
              <c:f>'Avg Week Najjeera-Kiwatule'!$AF$9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'Avg Week Najjeera-Kiwatule'!$R$10:$R$21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'Avg Week Najjeera-Kiwatule'!$AF$10:$AF$21</c:f>
              <c:numCache>
                <c:formatCode>0</c:formatCode>
                <c:ptCount val="12"/>
                <c:pt idx="0">
                  <c:v>1037.1428571428573</c:v>
                </c:pt>
                <c:pt idx="1">
                  <c:v>1086</c:v>
                </c:pt>
                <c:pt idx="2">
                  <c:v>927.28571428571422</c:v>
                </c:pt>
                <c:pt idx="3">
                  <c:v>883.85714285714278</c:v>
                </c:pt>
                <c:pt idx="4">
                  <c:v>825.42857142857144</c:v>
                </c:pt>
                <c:pt idx="5">
                  <c:v>818.99999999999989</c:v>
                </c:pt>
                <c:pt idx="6">
                  <c:v>692.42857142857144</c:v>
                </c:pt>
                <c:pt idx="7">
                  <c:v>676.14285714285711</c:v>
                </c:pt>
                <c:pt idx="8">
                  <c:v>659.71428571428567</c:v>
                </c:pt>
                <c:pt idx="9">
                  <c:v>667.85714285714278</c:v>
                </c:pt>
                <c:pt idx="10">
                  <c:v>743.42857142857133</c:v>
                </c:pt>
                <c:pt idx="11">
                  <c:v>719.57142857142867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2E85-422C-8502-C8D950B820C5}"/>
            </c:ext>
          </c:extLst>
        </c:ser>
        <c:marker val="1"/>
        <c:axId val="103848576"/>
        <c:axId val="103854848"/>
      </c:lineChart>
      <c:catAx>
        <c:axId val="103848576"/>
        <c:scaling>
          <c:orientation val="minMax"/>
        </c:scaling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3854848"/>
        <c:crosses val="autoZero"/>
        <c:auto val="1"/>
        <c:lblAlgn val="ctr"/>
        <c:lblOffset val="100"/>
      </c:catAx>
      <c:valAx>
        <c:axId val="103854848"/>
        <c:scaling>
          <c:orientation val="minMax"/>
          <c:min val="0"/>
        </c:scaling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/>
          <c:spPr>
            <a:noFill/>
            <a:ln>
              <a:noFill/>
            </a:ln>
            <a:effectLst/>
          </c:spPr>
        </c:title>
        <c:numFmt formatCode="0" sourceLinked="1"/>
        <c:maj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3848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322" l="0.70000000000000062" r="0.70000000000000062" t="0.75000000000000322" header="0.30000000000000032" footer="0.30000000000000032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layout/>
      <c:spPr>
        <a:noFill/>
        <a:ln>
          <a:noFill/>
        </a:ln>
        <a:effectLst/>
      </c:spPr>
    </c:title>
    <c:view3D>
      <c:rotX val="30"/>
      <c:depthPercent val="100"/>
      <c:perspective val="30"/>
    </c:view3D>
    <c:floor>
      <c:spPr>
        <a:noFill/>
        <a:ln>
          <a:noFill/>
        </a:ln>
        <a:effectLst/>
        <a:sp3d/>
      </c:spPr>
    </c:floor>
    <c:sideWall>
      <c:spPr>
        <a:noFill/>
        <a:ln>
          <a:noFill/>
        </a:ln>
        <a:effectLst/>
        <a:sp3d/>
      </c:spPr>
    </c:sideWall>
    <c:backWall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15E7-413A-BC41-2C6194EF8EC3}"/>
              </c:ext>
            </c:extLst>
          </c:dPt>
          <c:dPt>
            <c:idx val="1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15E7-413A-BC41-2C6194EF8EC3}"/>
              </c:ext>
            </c:extLst>
          </c:dPt>
          <c:dPt>
            <c:idx val="2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15E7-413A-BC41-2C6194EF8EC3}"/>
              </c:ext>
            </c:extLst>
          </c:dPt>
          <c:dPt>
            <c:idx val="3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15E7-413A-BC41-2C6194EF8EC3}"/>
              </c:ext>
            </c:extLst>
          </c:dPt>
          <c:dPt>
            <c:idx val="4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15E7-413A-BC41-2C6194EF8EC3}"/>
              </c:ext>
            </c:extLst>
          </c:dPt>
          <c:dPt>
            <c:idx val="5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15E7-413A-BC41-2C6194EF8EC3}"/>
              </c:ext>
            </c:extLst>
          </c:dPt>
          <c:dPt>
            <c:idx val="6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15E7-413A-BC41-2C6194EF8EC3}"/>
              </c:ext>
            </c:extLst>
          </c:dPt>
          <c:dPt>
            <c:idx val="7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F-15E7-413A-BC41-2C6194EF8EC3}"/>
              </c:ext>
            </c:extLst>
          </c:dPt>
          <c:dPt>
            <c:idx val="8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1-15E7-413A-BC41-2C6194EF8EC3}"/>
              </c:ext>
            </c:extLst>
          </c:dPt>
          <c:dPt>
            <c:idx val="9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3-15E7-413A-BC41-2C6194EF8EC3}"/>
              </c:ext>
            </c:extLst>
          </c:dPt>
          <c:dPt>
            <c:idx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5-15E7-413A-BC41-2C6194EF8EC3}"/>
              </c:ext>
            </c:extLst>
          </c:dPt>
          <c:dPt>
            <c:idx val="11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7-15E7-413A-BC41-2C6194EF8EC3}"/>
              </c:ext>
            </c:extLst>
          </c:dPt>
          <c:dLbls>
            <c:dLbl>
              <c:idx val="10"/>
              <c:layout>
                <c:manualLayout>
                  <c:x val="-2.6175304576939895E-2"/>
                  <c:y val="-3.2434080003295201E-2"/>
                </c:manualLayout>
              </c:layout>
              <c:showVal val="1"/>
              <c:showCatNam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15E7-413A-BC41-2C6194EF8EC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Val val="1"/>
            <c:showCatName val="1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'Avg Week Najjeera-Kiwatule'!$C$9:$N$9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Najjeera-Kiwatule'!$C$107:$N$107</c:f>
              <c:numCache>
                <c:formatCode>0.0%</c:formatCode>
                <c:ptCount val="12"/>
                <c:pt idx="0">
                  <c:v>0.38368394593862992</c:v>
                </c:pt>
                <c:pt idx="1">
                  <c:v>5.6294591929464996E-2</c:v>
                </c:pt>
                <c:pt idx="2">
                  <c:v>2.9718285349678061E-2</c:v>
                </c:pt>
                <c:pt idx="3">
                  <c:v>6.1186411183510897E-2</c:v>
                </c:pt>
                <c:pt idx="4">
                  <c:v>1.3196310833542798E-3</c:v>
                </c:pt>
                <c:pt idx="5">
                  <c:v>6.7673388889963066E-5</c:v>
                </c:pt>
                <c:pt idx="6">
                  <c:v>1.6744329936773716E-2</c:v>
                </c:pt>
                <c:pt idx="7">
                  <c:v>2.8567837738548707E-3</c:v>
                </c:pt>
                <c:pt idx="8">
                  <c:v>1.2132871865271951E-3</c:v>
                </c:pt>
                <c:pt idx="9">
                  <c:v>2.9486262302055329E-4</c:v>
                </c:pt>
                <c:pt idx="10">
                  <c:v>0.44655735803089774</c:v>
                </c:pt>
                <c:pt idx="11">
                  <c:v>6.2839575397822853E-5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8-15E7-413A-BC41-2C6194EF8EC3}"/>
            </c:ext>
          </c:extLst>
        </c:ser>
      </c:pie3DChart>
      <c:spPr>
        <a:noFill/>
        <a:ln>
          <a:noFill/>
        </a:ln>
        <a:effectLst/>
      </c:spPr>
    </c:plotArea>
    <c:plotVisOnly val="1"/>
    <c:dispBlanksAs val="zero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3" l="0.70000000000000062" r="0.70000000000000062" t="0.750000000000003" header="0.30000000000000032" footer="0.30000000000000032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9093"/>
          <c:y val="2.2960226637323802E-2"/>
        </c:manualLayout>
      </c:layout>
      <c:spPr>
        <a:noFill/>
        <a:ln>
          <a:noFill/>
        </a:ln>
        <a:effectLst/>
      </c:spPr>
    </c:title>
    <c:plotArea>
      <c:layout/>
      <c:lineChart>
        <c:grouping val="standard"/>
        <c:ser>
          <c:idx val="0"/>
          <c:order val="0"/>
          <c:tx>
            <c:strRef>
              <c:f>'Avg Week Najjeera-Kiwatule'!$S$9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'Avg Week Najjeera-Kiwatule'!$R$10:$R$21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'Avg Week Najjeera-Kiwatule'!$S$10:$S$21</c:f>
              <c:numCache>
                <c:formatCode>0</c:formatCode>
                <c:ptCount val="12"/>
                <c:pt idx="0">
                  <c:v>479.14285714285711</c:v>
                </c:pt>
                <c:pt idx="1">
                  <c:v>481.28571428571433</c:v>
                </c:pt>
                <c:pt idx="2">
                  <c:v>381.14285714285717</c:v>
                </c:pt>
                <c:pt idx="3">
                  <c:v>347.42857142857139</c:v>
                </c:pt>
                <c:pt idx="4">
                  <c:v>320.28571428571433</c:v>
                </c:pt>
                <c:pt idx="5">
                  <c:v>335.71428571428567</c:v>
                </c:pt>
                <c:pt idx="6">
                  <c:v>254.14285714285714</c:v>
                </c:pt>
                <c:pt idx="7">
                  <c:v>241.57142857142856</c:v>
                </c:pt>
                <c:pt idx="8">
                  <c:v>249.85714285714286</c:v>
                </c:pt>
                <c:pt idx="9">
                  <c:v>254.28571428571428</c:v>
                </c:pt>
                <c:pt idx="10">
                  <c:v>250.85714285714283</c:v>
                </c:pt>
                <c:pt idx="11">
                  <c:v>217.42857142857144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2668-4FCD-A619-4501F07B66D1}"/>
            </c:ext>
          </c:extLst>
        </c:ser>
        <c:ser>
          <c:idx val="1"/>
          <c:order val="1"/>
          <c:tx>
            <c:strRef>
              <c:f>'Avg Week Najjeera-Kiwatule'!$T$9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'Avg Week Najjeera-Kiwatule'!$R$10:$R$21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'Avg Week Najjeera-Kiwatule'!$T$10:$T$21</c:f>
              <c:numCache>
                <c:formatCode>0</c:formatCode>
                <c:ptCount val="12"/>
                <c:pt idx="0">
                  <c:v>57.857142857142861</c:v>
                </c:pt>
                <c:pt idx="1">
                  <c:v>68.857142857142861</c:v>
                </c:pt>
                <c:pt idx="2">
                  <c:v>55</c:v>
                </c:pt>
                <c:pt idx="3">
                  <c:v>57.999999999999993</c:v>
                </c:pt>
                <c:pt idx="4">
                  <c:v>48</c:v>
                </c:pt>
                <c:pt idx="5">
                  <c:v>49.714285714285708</c:v>
                </c:pt>
                <c:pt idx="6">
                  <c:v>34.571428571428569</c:v>
                </c:pt>
                <c:pt idx="7">
                  <c:v>30.571428571428569</c:v>
                </c:pt>
                <c:pt idx="8">
                  <c:v>34.142857142857139</c:v>
                </c:pt>
                <c:pt idx="9">
                  <c:v>33.857142857142861</c:v>
                </c:pt>
                <c:pt idx="10">
                  <c:v>35.857142857142854</c:v>
                </c:pt>
                <c:pt idx="11">
                  <c:v>28.428571428571431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2668-4FCD-A619-4501F07B66D1}"/>
            </c:ext>
          </c:extLst>
        </c:ser>
        <c:ser>
          <c:idx val="2"/>
          <c:order val="2"/>
          <c:tx>
            <c:strRef>
              <c:f>'Avg Week Najjeera-Kiwatule'!$U$9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'Avg Week Najjeera-Kiwatule'!$U$10:$U$21</c:f>
              <c:numCache>
                <c:formatCode>0</c:formatCode>
                <c:ptCount val="12"/>
                <c:pt idx="0">
                  <c:v>38.571428571428569</c:v>
                </c:pt>
                <c:pt idx="1">
                  <c:v>32</c:v>
                </c:pt>
                <c:pt idx="2">
                  <c:v>29.428571428571431</c:v>
                </c:pt>
                <c:pt idx="3">
                  <c:v>36.285714285714292</c:v>
                </c:pt>
                <c:pt idx="4">
                  <c:v>35.714285714285715</c:v>
                </c:pt>
                <c:pt idx="5">
                  <c:v>29.142857142857142</c:v>
                </c:pt>
                <c:pt idx="6">
                  <c:v>25.428571428571431</c:v>
                </c:pt>
                <c:pt idx="7">
                  <c:v>21.571428571428573</c:v>
                </c:pt>
                <c:pt idx="8">
                  <c:v>22.285714285714285</c:v>
                </c:pt>
                <c:pt idx="9">
                  <c:v>25.571428571428569</c:v>
                </c:pt>
                <c:pt idx="10">
                  <c:v>27.142857142857142</c:v>
                </c:pt>
                <c:pt idx="11">
                  <c:v>20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2668-4FCD-A619-4501F07B66D1}"/>
            </c:ext>
          </c:extLst>
        </c:ser>
        <c:ser>
          <c:idx val="3"/>
          <c:order val="3"/>
          <c:tx>
            <c:strRef>
              <c:f>'Avg Week Najjeera-Kiwatule'!$V$9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'Avg Week Najjeera-Kiwatule'!$V$10:$V$21</c:f>
              <c:numCache>
                <c:formatCode>0</c:formatCode>
                <c:ptCount val="12"/>
                <c:pt idx="0">
                  <c:v>76</c:v>
                </c:pt>
                <c:pt idx="1">
                  <c:v>81.285714285714292</c:v>
                </c:pt>
                <c:pt idx="2">
                  <c:v>54</c:v>
                </c:pt>
                <c:pt idx="3">
                  <c:v>58.142857142857146</c:v>
                </c:pt>
                <c:pt idx="4">
                  <c:v>54.428571428571423</c:v>
                </c:pt>
                <c:pt idx="5">
                  <c:v>53.428571428571431</c:v>
                </c:pt>
                <c:pt idx="6">
                  <c:v>42.857142857142847</c:v>
                </c:pt>
                <c:pt idx="7">
                  <c:v>46.857142857142861</c:v>
                </c:pt>
                <c:pt idx="8">
                  <c:v>43.857142857142854</c:v>
                </c:pt>
                <c:pt idx="9">
                  <c:v>39.571428571428569</c:v>
                </c:pt>
                <c:pt idx="10">
                  <c:v>47</c:v>
                </c:pt>
                <c:pt idx="11">
                  <c:v>49.714285714285715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2668-4FCD-A619-4501F07B66D1}"/>
            </c:ext>
          </c:extLst>
        </c:ser>
        <c:ser>
          <c:idx val="4"/>
          <c:order val="4"/>
          <c:tx>
            <c:strRef>
              <c:f>'Avg Week Najjeera-Kiwatule'!$W$9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'Avg Week Najjeera-Kiwatule'!$W$10:$W$21</c:f>
              <c:numCache>
                <c:formatCode>0</c:formatCode>
                <c:ptCount val="12"/>
                <c:pt idx="0">
                  <c:v>1.1428571428571428</c:v>
                </c:pt>
                <c:pt idx="1">
                  <c:v>0.42857142857142855</c:v>
                </c:pt>
                <c:pt idx="2">
                  <c:v>0.71428571428571419</c:v>
                </c:pt>
                <c:pt idx="3">
                  <c:v>0.5714285714285714</c:v>
                </c:pt>
                <c:pt idx="4">
                  <c:v>0</c:v>
                </c:pt>
                <c:pt idx="5">
                  <c:v>0</c:v>
                </c:pt>
                <c:pt idx="6">
                  <c:v>0.8571428571428571</c:v>
                </c:pt>
                <c:pt idx="7">
                  <c:v>0.71428571428571419</c:v>
                </c:pt>
                <c:pt idx="8">
                  <c:v>0.2857142857142857</c:v>
                </c:pt>
                <c:pt idx="9">
                  <c:v>0.71428571428571419</c:v>
                </c:pt>
                <c:pt idx="10">
                  <c:v>3.7142857142857144</c:v>
                </c:pt>
                <c:pt idx="11">
                  <c:v>1.8571428571428572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2668-4FCD-A619-4501F07B66D1}"/>
            </c:ext>
          </c:extLst>
        </c:ser>
        <c:ser>
          <c:idx val="5"/>
          <c:order val="5"/>
          <c:tx>
            <c:strRef>
              <c:f>'Avg Week Najjeera-Kiwatule'!$X$9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'Avg Week Najjeera-Kiwatule'!$X$10:$X$21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0.42857142857142855</c:v>
                </c:pt>
                <c:pt idx="7">
                  <c:v>0</c:v>
                </c:pt>
                <c:pt idx="8">
                  <c:v>0</c:v>
                </c:pt>
                <c:pt idx="9">
                  <c:v>0.42857142857142855</c:v>
                </c:pt>
                <c:pt idx="10">
                  <c:v>0.14285714285714285</c:v>
                </c:pt>
                <c:pt idx="1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2668-4FCD-A619-4501F07B66D1}"/>
            </c:ext>
          </c:extLst>
        </c:ser>
        <c:ser>
          <c:idx val="6"/>
          <c:order val="6"/>
          <c:tx>
            <c:strRef>
              <c:f>'Avg Week Najjeera-Kiwatule'!$Y$9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'Avg Week Najjeera-Kiwatule'!$Y$10:$Y$21</c:f>
              <c:numCache>
                <c:formatCode>0</c:formatCode>
                <c:ptCount val="12"/>
                <c:pt idx="0">
                  <c:v>8.7142857142857153</c:v>
                </c:pt>
                <c:pt idx="1">
                  <c:v>13.142857142857142</c:v>
                </c:pt>
                <c:pt idx="2">
                  <c:v>13.142857142857142</c:v>
                </c:pt>
                <c:pt idx="3">
                  <c:v>15.714285714285715</c:v>
                </c:pt>
                <c:pt idx="4">
                  <c:v>15.857142857142858</c:v>
                </c:pt>
                <c:pt idx="5">
                  <c:v>16.285714285714285</c:v>
                </c:pt>
                <c:pt idx="6">
                  <c:v>17.857142857142858</c:v>
                </c:pt>
                <c:pt idx="7">
                  <c:v>17.714285714285715</c:v>
                </c:pt>
                <c:pt idx="8">
                  <c:v>17.428571428571427</c:v>
                </c:pt>
                <c:pt idx="9">
                  <c:v>16.571428571428573</c:v>
                </c:pt>
                <c:pt idx="10">
                  <c:v>16.571428571428569</c:v>
                </c:pt>
                <c:pt idx="11">
                  <c:v>13.428571428571427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2668-4FCD-A619-4501F07B66D1}"/>
            </c:ext>
          </c:extLst>
        </c:ser>
        <c:ser>
          <c:idx val="7"/>
          <c:order val="7"/>
          <c:tx>
            <c:strRef>
              <c:f>'Avg Week Najjeera-Kiwatule'!$Z$9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'Avg Week Najjeera-Kiwatule'!$Z$10:$Z$21</c:f>
              <c:numCache>
                <c:formatCode>0</c:formatCode>
                <c:ptCount val="12"/>
                <c:pt idx="0">
                  <c:v>2.4285714285714284</c:v>
                </c:pt>
                <c:pt idx="1">
                  <c:v>2.7142857142857144</c:v>
                </c:pt>
                <c:pt idx="2">
                  <c:v>1.8571428571428572</c:v>
                </c:pt>
                <c:pt idx="3">
                  <c:v>5.2857142857142865</c:v>
                </c:pt>
                <c:pt idx="4">
                  <c:v>4.7142857142857135</c:v>
                </c:pt>
                <c:pt idx="5">
                  <c:v>4.1428571428571432</c:v>
                </c:pt>
                <c:pt idx="6">
                  <c:v>3.1428571428571428</c:v>
                </c:pt>
                <c:pt idx="7">
                  <c:v>2.2857142857142856</c:v>
                </c:pt>
                <c:pt idx="8">
                  <c:v>3.2857142857142856</c:v>
                </c:pt>
                <c:pt idx="9">
                  <c:v>3.2857142857142856</c:v>
                </c:pt>
                <c:pt idx="10">
                  <c:v>1.7142857142857142</c:v>
                </c:pt>
                <c:pt idx="11">
                  <c:v>1.857142857142857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7-2668-4FCD-A619-4501F07B66D1}"/>
            </c:ext>
          </c:extLst>
        </c:ser>
        <c:ser>
          <c:idx val="8"/>
          <c:order val="8"/>
          <c:tx>
            <c:strRef>
              <c:f>'Avg Week Najjeera-Kiwatule'!$AA$9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'Avg Week Najjeera-Kiwatule'!$AA$10:$AA$21</c:f>
              <c:numCache>
                <c:formatCode>0</c:formatCode>
                <c:ptCount val="12"/>
                <c:pt idx="0">
                  <c:v>0.5714285714285714</c:v>
                </c:pt>
                <c:pt idx="1">
                  <c:v>1.1428571428571428</c:v>
                </c:pt>
                <c:pt idx="2">
                  <c:v>0.85714285714285698</c:v>
                </c:pt>
                <c:pt idx="3">
                  <c:v>0.99999999999999989</c:v>
                </c:pt>
                <c:pt idx="4">
                  <c:v>2.1428571428571428</c:v>
                </c:pt>
                <c:pt idx="5">
                  <c:v>1.7142857142857142</c:v>
                </c:pt>
                <c:pt idx="6">
                  <c:v>1.4285714285714284</c:v>
                </c:pt>
                <c:pt idx="7">
                  <c:v>0.8571428571428571</c:v>
                </c:pt>
                <c:pt idx="8">
                  <c:v>1.4285714285714284</c:v>
                </c:pt>
                <c:pt idx="9">
                  <c:v>1.5714285714285714</c:v>
                </c:pt>
                <c:pt idx="10">
                  <c:v>2</c:v>
                </c:pt>
                <c:pt idx="11">
                  <c:v>0.71428571428571419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8-2668-4FCD-A619-4501F07B66D1}"/>
            </c:ext>
          </c:extLst>
        </c:ser>
        <c:ser>
          <c:idx val="9"/>
          <c:order val="9"/>
          <c:tx>
            <c:strRef>
              <c:f>'Avg Week Najjeera-Kiwatule'!$AB$9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'Avg Week Najjeera-Kiwatule'!$AB$10:$AB$21</c:f>
              <c:numCache>
                <c:formatCode>0</c:formatCode>
                <c:ptCount val="12"/>
                <c:pt idx="0">
                  <c:v>0.42857142857142855</c:v>
                </c:pt>
                <c:pt idx="1">
                  <c:v>0.2857142857142857</c:v>
                </c:pt>
                <c:pt idx="2">
                  <c:v>0.14285714285714285</c:v>
                </c:pt>
                <c:pt idx="3">
                  <c:v>0.42857142857142855</c:v>
                </c:pt>
                <c:pt idx="4">
                  <c:v>0.5714285714285714</c:v>
                </c:pt>
                <c:pt idx="5">
                  <c:v>0.14285714285714285</c:v>
                </c:pt>
                <c:pt idx="6">
                  <c:v>0.2857142857142857</c:v>
                </c:pt>
                <c:pt idx="7">
                  <c:v>0.5714285714285714</c:v>
                </c:pt>
                <c:pt idx="8">
                  <c:v>0.42857142857142855</c:v>
                </c:pt>
                <c:pt idx="9">
                  <c:v>0.42857142857142855</c:v>
                </c:pt>
                <c:pt idx="10">
                  <c:v>0.14285714285714285</c:v>
                </c:pt>
                <c:pt idx="1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9-2668-4FCD-A619-4501F07B66D1}"/>
            </c:ext>
          </c:extLst>
        </c:ser>
        <c:ser>
          <c:idx val="10"/>
          <c:order val="10"/>
          <c:tx>
            <c:strRef>
              <c:f>'Avg Week Najjeera-Kiwatule'!$AC$9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'Avg Week Najjeera-Kiwatule'!$AC$10:$AC$21</c:f>
              <c:numCache>
                <c:formatCode>0</c:formatCode>
                <c:ptCount val="12"/>
                <c:pt idx="0">
                  <c:v>372.28571428571428</c:v>
                </c:pt>
                <c:pt idx="1">
                  <c:v>404.71428571428567</c:v>
                </c:pt>
                <c:pt idx="2">
                  <c:v>391</c:v>
                </c:pt>
                <c:pt idx="3">
                  <c:v>361</c:v>
                </c:pt>
                <c:pt idx="4">
                  <c:v>343.71428571428567</c:v>
                </c:pt>
                <c:pt idx="5">
                  <c:v>328.71428571428572</c:v>
                </c:pt>
                <c:pt idx="6">
                  <c:v>311.42857142857144</c:v>
                </c:pt>
                <c:pt idx="7">
                  <c:v>313.42857142857144</c:v>
                </c:pt>
                <c:pt idx="8">
                  <c:v>286.42857142857144</c:v>
                </c:pt>
                <c:pt idx="9">
                  <c:v>291.57142857142856</c:v>
                </c:pt>
                <c:pt idx="10">
                  <c:v>358.28571428571428</c:v>
                </c:pt>
                <c:pt idx="11">
                  <c:v>386.14285714285711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2668-4FCD-A619-4501F07B66D1}"/>
            </c:ext>
          </c:extLst>
        </c:ser>
        <c:ser>
          <c:idx val="11"/>
          <c:order val="11"/>
          <c:tx>
            <c:strRef>
              <c:f>'Avg Week Najjeera-Kiwatule'!$AD$9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'Avg Week Najjeera-Kiwatule'!$AD$10:$AD$21</c:f>
              <c:numCache>
                <c:formatCode>0</c:formatCode>
                <c:ptCount val="12"/>
                <c:pt idx="0">
                  <c:v>0</c:v>
                </c:pt>
                <c:pt idx="1">
                  <c:v>0.14285714285714285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0.2857142857142857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B-2668-4FCD-A619-4501F07B66D1}"/>
            </c:ext>
          </c:extLst>
        </c:ser>
        <c:marker val="1"/>
        <c:axId val="104104320"/>
        <c:axId val="104105856"/>
      </c:lineChart>
      <c:catAx>
        <c:axId val="104104320"/>
        <c:scaling>
          <c:orientation val="minMax"/>
        </c:scaling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4105856"/>
        <c:crosses val="autoZero"/>
        <c:auto val="1"/>
        <c:lblAlgn val="ctr"/>
        <c:lblOffset val="100"/>
      </c:catAx>
      <c:valAx>
        <c:axId val="104105856"/>
        <c:scaling>
          <c:orientation val="minMax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layout/>
          <c:spPr>
            <a:noFill/>
            <a:ln>
              <a:noFill/>
            </a:ln>
            <a:effectLst/>
          </c:spPr>
        </c:title>
        <c:numFmt formatCode="0" sourceLinked="1"/>
        <c:maj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4104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3" l="0.70000000000000062" r="0.70000000000000062" t="0.750000000000003" header="0.30000000000000032" footer="0.30000000000000032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spPr>
        <a:noFill/>
        <a:ln>
          <a:noFill/>
        </a:ln>
        <a:effectLst/>
      </c:spPr>
    </c:title>
    <c:view3D>
      <c:rotX val="30"/>
      <c:depthPercent val="100"/>
      <c:perspective val="30"/>
    </c:view3D>
    <c:floor>
      <c:spPr>
        <a:noFill/>
        <a:ln>
          <a:noFill/>
        </a:ln>
        <a:effectLst/>
        <a:sp3d/>
      </c:spPr>
    </c:floor>
    <c:sideWall>
      <c:spPr>
        <a:noFill/>
        <a:ln>
          <a:noFill/>
        </a:ln>
        <a:effectLst/>
        <a:sp3d/>
      </c:spPr>
    </c:sideWall>
    <c:backWall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D80A-4F64-9F70-B5B6C796803E}"/>
              </c:ext>
            </c:extLst>
          </c:dPt>
          <c:dPt>
            <c:idx val="1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D80A-4F64-9F70-B5B6C796803E}"/>
              </c:ext>
            </c:extLst>
          </c:dPt>
          <c:dPt>
            <c:idx val="2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D80A-4F64-9F70-B5B6C796803E}"/>
              </c:ext>
            </c:extLst>
          </c:dPt>
          <c:dPt>
            <c:idx val="3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D80A-4F64-9F70-B5B6C796803E}"/>
              </c:ext>
            </c:extLst>
          </c:dPt>
          <c:dPt>
            <c:idx val="4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D80A-4F64-9F70-B5B6C796803E}"/>
              </c:ext>
            </c:extLst>
          </c:dPt>
          <c:dPt>
            <c:idx val="5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D80A-4F64-9F70-B5B6C796803E}"/>
              </c:ext>
            </c:extLst>
          </c:dPt>
          <c:dPt>
            <c:idx val="6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D80A-4F64-9F70-B5B6C796803E}"/>
              </c:ext>
            </c:extLst>
          </c:dPt>
          <c:dPt>
            <c:idx val="7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F-D80A-4F64-9F70-B5B6C796803E}"/>
              </c:ext>
            </c:extLst>
          </c:dPt>
          <c:dPt>
            <c:idx val="8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1-D80A-4F64-9F70-B5B6C796803E}"/>
              </c:ext>
            </c:extLst>
          </c:dPt>
          <c:dPt>
            <c:idx val="9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3-D80A-4F64-9F70-B5B6C796803E}"/>
              </c:ext>
            </c:extLst>
          </c:dPt>
          <c:dPt>
            <c:idx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5-D80A-4F64-9F70-B5B6C796803E}"/>
              </c:ext>
            </c:extLst>
          </c:dPt>
          <c:dPt>
            <c:idx val="11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7-D80A-4F64-9F70-B5B6C796803E}"/>
              </c:ext>
            </c:extLst>
          </c:dPt>
          <c:dLbls>
            <c:dLbl>
              <c:idx val="10"/>
              <c:layout>
                <c:manualLayout>
                  <c:x val="-2.6175304576939895E-2"/>
                  <c:y val="-3.2434080003295201E-2"/>
                </c:manualLayout>
              </c:layout>
              <c:showVal val="1"/>
              <c:showCatNam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80A-4F64-9F70-B5B6C796803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Val val="1"/>
            <c:showCatName val="1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'Avg Week Najjeera-Kiwatule'!$C$9:$N$9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Najjeera-Kiwatule'!$C$108:$N$108</c:f>
              <c:numCache>
                <c:formatCode>0.00%</c:formatCode>
                <c:ptCount val="12"/>
                <c:pt idx="0">
                  <c:v>0.69326776949010449</c:v>
                </c:pt>
                <c:pt idx="1">
                  <c:v>0.10171712054780166</c:v>
                </c:pt>
                <c:pt idx="2">
                  <c:v>5.369713696787605E-2</c:v>
                </c:pt>
                <c:pt idx="3">
                  <c:v>0.11055601166873377</c:v>
                </c:pt>
                <c:pt idx="4">
                  <c:v>2.3844044229391938E-3</c:v>
                </c:pt>
                <c:pt idx="5">
                  <c:v>1.2227714989431764E-4</c:v>
                </c:pt>
                <c:pt idx="6">
                  <c:v>3.0254860516708303E-2</c:v>
                </c:pt>
                <c:pt idx="7">
                  <c:v>5.1618425419672678E-3</c:v>
                </c:pt>
                <c:pt idx="8">
                  <c:v>2.1922546159624094E-3</c:v>
                </c:pt>
                <c:pt idx="9">
                  <c:v>5.3277901025381238E-4</c:v>
                </c:pt>
                <c:pt idx="11">
                  <c:v>1.1354306775900924E-4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8-D80A-4F64-9F70-B5B6C796803E}"/>
            </c:ext>
          </c:extLst>
        </c:ser>
      </c:pie3DChart>
      <c:spPr>
        <a:noFill/>
        <a:ln>
          <a:noFill/>
        </a:ln>
        <a:effectLst/>
      </c:spPr>
    </c:plotArea>
    <c:plotVisOnly val="1"/>
    <c:dispBlanksAs val="zero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3" l="0.70000000000000062" r="0.70000000000000062" t="0.750000000000003" header="0.30000000000000032" footer="0.30000000000000032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398"/>
          <c:y val="2.6504260748158488E-2"/>
        </c:manualLayout>
      </c:layout>
      <c:spPr>
        <a:noFill/>
        <a:ln>
          <a:noFill/>
        </a:ln>
        <a:effectLst/>
      </c:spPr>
    </c:title>
    <c:plotArea>
      <c:layout/>
      <c:lineChart>
        <c:grouping val="standard"/>
        <c:ser>
          <c:idx val="0"/>
          <c:order val="0"/>
          <c:tx>
            <c:strRef>
              <c:f>'Avg Week Kiwatule-Najjeera'!$AE$9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'Avg Week Kiwatule-Najjeera'!$R$10:$R$21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'Avg Week Kiwatule-Najjeera'!$AE$10:$AE$21</c:f>
              <c:numCache>
                <c:formatCode>0</c:formatCode>
                <c:ptCount val="12"/>
                <c:pt idx="0">
                  <c:v>234.85714285714286</c:v>
                </c:pt>
                <c:pt idx="1">
                  <c:v>232.85714285714286</c:v>
                </c:pt>
                <c:pt idx="2">
                  <c:v>238.42857142857144</c:v>
                </c:pt>
                <c:pt idx="3">
                  <c:v>265.57142857142856</c:v>
                </c:pt>
                <c:pt idx="4">
                  <c:v>303.14285714285717</c:v>
                </c:pt>
                <c:pt idx="5">
                  <c:v>301.28571428571428</c:v>
                </c:pt>
                <c:pt idx="6">
                  <c:v>300.85714285714283</c:v>
                </c:pt>
                <c:pt idx="7">
                  <c:v>320.28571428571433</c:v>
                </c:pt>
                <c:pt idx="8">
                  <c:v>371.85714285714289</c:v>
                </c:pt>
                <c:pt idx="9">
                  <c:v>484.28571428571422</c:v>
                </c:pt>
                <c:pt idx="10">
                  <c:v>545</c:v>
                </c:pt>
                <c:pt idx="11">
                  <c:v>619.85714285714266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36F8-46F1-A26B-8380F37E487A}"/>
            </c:ext>
          </c:extLst>
        </c:ser>
        <c:ser>
          <c:idx val="1"/>
          <c:order val="1"/>
          <c:tx>
            <c:strRef>
              <c:f>'Avg Week Kiwatule-Najjeera'!$AF$9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'Avg Week Kiwatule-Najjeera'!$R$10:$R$21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'Avg Week Kiwatule-Najjeera'!$AF$10:$AF$21</c:f>
              <c:numCache>
                <c:formatCode>0</c:formatCode>
                <c:ptCount val="12"/>
                <c:pt idx="0">
                  <c:v>370.57142857142856</c:v>
                </c:pt>
                <c:pt idx="1">
                  <c:v>422.28571428571428</c:v>
                </c:pt>
                <c:pt idx="2">
                  <c:v>450.00000000000006</c:v>
                </c:pt>
                <c:pt idx="3">
                  <c:v>449.71428571428572</c:v>
                </c:pt>
                <c:pt idx="4">
                  <c:v>476.42857142857144</c:v>
                </c:pt>
                <c:pt idx="5">
                  <c:v>478.42857142857144</c:v>
                </c:pt>
                <c:pt idx="6">
                  <c:v>472.28571428571422</c:v>
                </c:pt>
                <c:pt idx="7">
                  <c:v>460.28571428571428</c:v>
                </c:pt>
                <c:pt idx="8">
                  <c:v>564.85714285714289</c:v>
                </c:pt>
                <c:pt idx="9">
                  <c:v>664.28571428571422</c:v>
                </c:pt>
                <c:pt idx="10">
                  <c:v>801.42857142857144</c:v>
                </c:pt>
                <c:pt idx="11">
                  <c:v>896.57142857142844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36F8-46F1-A26B-8380F37E487A}"/>
            </c:ext>
          </c:extLst>
        </c:ser>
        <c:marker val="1"/>
        <c:axId val="104430208"/>
        <c:axId val="104448768"/>
      </c:lineChart>
      <c:catAx>
        <c:axId val="104430208"/>
        <c:scaling>
          <c:orientation val="minMax"/>
        </c:scaling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4448768"/>
        <c:crosses val="autoZero"/>
        <c:auto val="1"/>
        <c:lblAlgn val="ctr"/>
        <c:lblOffset val="100"/>
      </c:catAx>
      <c:valAx>
        <c:axId val="104448768"/>
        <c:scaling>
          <c:orientation val="minMax"/>
          <c:min val="0"/>
        </c:scaling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/>
          <c:spPr>
            <a:noFill/>
            <a:ln>
              <a:noFill/>
            </a:ln>
            <a:effectLst/>
          </c:spPr>
        </c:title>
        <c:numFmt formatCode="0" sourceLinked="1"/>
        <c:maj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4430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322" l="0.70000000000000062" r="0.70000000000000062" t="0.75000000000000322" header="0.30000000000000032" footer="0.30000000000000032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layout/>
      <c:spPr>
        <a:noFill/>
        <a:ln>
          <a:noFill/>
        </a:ln>
        <a:effectLst/>
      </c:spPr>
    </c:title>
    <c:view3D>
      <c:rotX val="30"/>
      <c:depthPercent val="100"/>
      <c:perspective val="30"/>
    </c:view3D>
    <c:floor>
      <c:spPr>
        <a:noFill/>
        <a:ln>
          <a:noFill/>
        </a:ln>
        <a:effectLst/>
        <a:sp3d/>
      </c:spPr>
    </c:floor>
    <c:sideWall>
      <c:spPr>
        <a:noFill/>
        <a:ln>
          <a:noFill/>
        </a:ln>
        <a:effectLst/>
        <a:sp3d/>
      </c:spPr>
    </c:sideWall>
    <c:backWall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3B84-4A7D-9CBD-0C2ADBE1B04D}"/>
              </c:ext>
            </c:extLst>
          </c:dPt>
          <c:dPt>
            <c:idx val="1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3B84-4A7D-9CBD-0C2ADBE1B04D}"/>
              </c:ext>
            </c:extLst>
          </c:dPt>
          <c:dPt>
            <c:idx val="2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3B84-4A7D-9CBD-0C2ADBE1B04D}"/>
              </c:ext>
            </c:extLst>
          </c:dPt>
          <c:dPt>
            <c:idx val="3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3B84-4A7D-9CBD-0C2ADBE1B04D}"/>
              </c:ext>
            </c:extLst>
          </c:dPt>
          <c:dPt>
            <c:idx val="4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3B84-4A7D-9CBD-0C2ADBE1B04D}"/>
              </c:ext>
            </c:extLst>
          </c:dPt>
          <c:dPt>
            <c:idx val="5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3B84-4A7D-9CBD-0C2ADBE1B04D}"/>
              </c:ext>
            </c:extLst>
          </c:dPt>
          <c:dPt>
            <c:idx val="6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3B84-4A7D-9CBD-0C2ADBE1B04D}"/>
              </c:ext>
            </c:extLst>
          </c:dPt>
          <c:dPt>
            <c:idx val="7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F-3B84-4A7D-9CBD-0C2ADBE1B04D}"/>
              </c:ext>
            </c:extLst>
          </c:dPt>
          <c:dPt>
            <c:idx val="8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1-3B84-4A7D-9CBD-0C2ADBE1B04D}"/>
              </c:ext>
            </c:extLst>
          </c:dPt>
          <c:dPt>
            <c:idx val="9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3-3B84-4A7D-9CBD-0C2ADBE1B04D}"/>
              </c:ext>
            </c:extLst>
          </c:dPt>
          <c:dPt>
            <c:idx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5-3B84-4A7D-9CBD-0C2ADBE1B04D}"/>
              </c:ext>
            </c:extLst>
          </c:dPt>
          <c:dPt>
            <c:idx val="11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7-3B84-4A7D-9CBD-0C2ADBE1B04D}"/>
              </c:ext>
            </c:extLst>
          </c:dPt>
          <c:dLbls>
            <c:dLbl>
              <c:idx val="10"/>
              <c:layout>
                <c:manualLayout>
                  <c:x val="-2.6175304576939895E-2"/>
                  <c:y val="-3.2434080003295201E-2"/>
                </c:manualLayout>
              </c:layout>
              <c:showVal val="1"/>
              <c:showCatNam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3B84-4A7D-9CBD-0C2ADBE1B04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Val val="1"/>
            <c:showCatName val="1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'Avg Week Kiwatule-Najjeera'!$C$9:$N$9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Kiwatule-Najjeera'!$C$107:$N$107</c:f>
              <c:numCache>
                <c:formatCode>0.0%</c:formatCode>
                <c:ptCount val="12"/>
                <c:pt idx="0">
                  <c:v>0.4408253517254021</c:v>
                </c:pt>
                <c:pt idx="1">
                  <c:v>8.4545850327666011E-2</c:v>
                </c:pt>
                <c:pt idx="2">
                  <c:v>2.7015260528848357E-2</c:v>
                </c:pt>
                <c:pt idx="3">
                  <c:v>8.9254617111956369E-2</c:v>
                </c:pt>
                <c:pt idx="4">
                  <c:v>2.6694468631135141E-3</c:v>
                </c:pt>
                <c:pt idx="5">
                  <c:v>5.1555840703909064E-4</c:v>
                </c:pt>
                <c:pt idx="6">
                  <c:v>2.4088034462215288E-2</c:v>
                </c:pt>
                <c:pt idx="7">
                  <c:v>3.1277210027038172E-3</c:v>
                </c:pt>
                <c:pt idx="8">
                  <c:v>1.1800559094450299E-3</c:v>
                </c:pt>
                <c:pt idx="9">
                  <c:v>4.2390357912103004E-4</c:v>
                </c:pt>
                <c:pt idx="10">
                  <c:v>0.32631410109527509</c:v>
                </c:pt>
                <c:pt idx="11">
                  <c:v>4.0098987214151499E-5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8-3B84-4A7D-9CBD-0C2ADBE1B04D}"/>
            </c:ext>
          </c:extLst>
        </c:ser>
      </c:pie3DChart>
      <c:spPr>
        <a:noFill/>
        <a:ln>
          <a:noFill/>
        </a:ln>
        <a:effectLst/>
      </c:spPr>
    </c:plotArea>
    <c:plotVisOnly val="1"/>
    <c:dispBlanksAs val="zero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3" l="0.70000000000000062" r="0.70000000000000062" t="0.750000000000003" header="0.30000000000000032" footer="0.30000000000000032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9093"/>
          <c:y val="2.2960226637323802E-2"/>
        </c:manualLayout>
      </c:layout>
      <c:spPr>
        <a:noFill/>
        <a:ln>
          <a:noFill/>
        </a:ln>
        <a:effectLst/>
      </c:spPr>
    </c:title>
    <c:plotArea>
      <c:layout/>
      <c:lineChart>
        <c:grouping val="standard"/>
        <c:ser>
          <c:idx val="0"/>
          <c:order val="0"/>
          <c:tx>
            <c:strRef>
              <c:f>'Avg Week Kiwatule-Najjeera'!$S$9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'Avg Week Kiwatule-Najjeera'!$R$10:$R$21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'Avg Week Kiwatule-Najjeera'!$S$10:$S$21</c:f>
              <c:numCache>
                <c:formatCode>0</c:formatCode>
                <c:ptCount val="12"/>
                <c:pt idx="0">
                  <c:v>113.57142857142858</c:v>
                </c:pt>
                <c:pt idx="1">
                  <c:v>110.57142857142856</c:v>
                </c:pt>
                <c:pt idx="2">
                  <c:v>110.42857142857143</c:v>
                </c:pt>
                <c:pt idx="3">
                  <c:v>136.57142857142858</c:v>
                </c:pt>
                <c:pt idx="4">
                  <c:v>151.57142857142856</c:v>
                </c:pt>
                <c:pt idx="5">
                  <c:v>150.14285714285714</c:v>
                </c:pt>
                <c:pt idx="6">
                  <c:v>166.14285714285717</c:v>
                </c:pt>
                <c:pt idx="7">
                  <c:v>182.14285714285714</c:v>
                </c:pt>
                <c:pt idx="8">
                  <c:v>230.57142857142856</c:v>
                </c:pt>
                <c:pt idx="9">
                  <c:v>330.14285714285711</c:v>
                </c:pt>
                <c:pt idx="10">
                  <c:v>372.85714285714289</c:v>
                </c:pt>
                <c:pt idx="11">
                  <c:v>429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7AB2-4E89-BB96-27269775CB4B}"/>
            </c:ext>
          </c:extLst>
        </c:ser>
        <c:ser>
          <c:idx val="1"/>
          <c:order val="1"/>
          <c:tx>
            <c:strRef>
              <c:f>'Avg Week Kiwatule-Najjeera'!$T$9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'Avg Week Kiwatule-Najjeera'!$R$10:$R$21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'Avg Week Kiwatule-Najjeera'!$T$10:$T$21</c:f>
              <c:numCache>
                <c:formatCode>0</c:formatCode>
                <c:ptCount val="12"/>
                <c:pt idx="0">
                  <c:v>24.285714285714285</c:v>
                </c:pt>
                <c:pt idx="1">
                  <c:v>18.857142857142858</c:v>
                </c:pt>
                <c:pt idx="2">
                  <c:v>21.285714285714288</c:v>
                </c:pt>
                <c:pt idx="3">
                  <c:v>27.285714285714285</c:v>
                </c:pt>
                <c:pt idx="4">
                  <c:v>31</c:v>
                </c:pt>
                <c:pt idx="5">
                  <c:v>35.714285714285708</c:v>
                </c:pt>
                <c:pt idx="6">
                  <c:v>31</c:v>
                </c:pt>
                <c:pt idx="7">
                  <c:v>41.857142857142854</c:v>
                </c:pt>
                <c:pt idx="8">
                  <c:v>35.428571428571431</c:v>
                </c:pt>
                <c:pt idx="9">
                  <c:v>57.285714285714292</c:v>
                </c:pt>
                <c:pt idx="10">
                  <c:v>63.142857142857146</c:v>
                </c:pt>
                <c:pt idx="11">
                  <c:v>70.571428571428569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7AB2-4E89-BB96-27269775CB4B}"/>
            </c:ext>
          </c:extLst>
        </c:ser>
        <c:ser>
          <c:idx val="2"/>
          <c:order val="2"/>
          <c:tx>
            <c:strRef>
              <c:f>'Avg Week Kiwatule-Najjeera'!$U$9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'Avg Week Kiwatule-Najjeera'!$U$10:$U$21</c:f>
              <c:numCache>
                <c:formatCode>0</c:formatCode>
                <c:ptCount val="12"/>
                <c:pt idx="0">
                  <c:v>10.571428571428571</c:v>
                </c:pt>
                <c:pt idx="1">
                  <c:v>8.8571428571428577</c:v>
                </c:pt>
                <c:pt idx="2">
                  <c:v>10.428571428571427</c:v>
                </c:pt>
                <c:pt idx="3">
                  <c:v>11.428571428571427</c:v>
                </c:pt>
                <c:pt idx="4">
                  <c:v>13</c:v>
                </c:pt>
                <c:pt idx="5">
                  <c:v>13.571428571428571</c:v>
                </c:pt>
                <c:pt idx="6">
                  <c:v>11.428571428571429</c:v>
                </c:pt>
                <c:pt idx="7">
                  <c:v>15.714285714285715</c:v>
                </c:pt>
                <c:pt idx="8">
                  <c:v>17.285714285714288</c:v>
                </c:pt>
                <c:pt idx="9">
                  <c:v>18.714285714285715</c:v>
                </c:pt>
                <c:pt idx="10">
                  <c:v>25.428571428571431</c:v>
                </c:pt>
                <c:pt idx="11">
                  <c:v>26.428571428571427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7AB2-4E89-BB96-27269775CB4B}"/>
            </c:ext>
          </c:extLst>
        </c:ser>
        <c:ser>
          <c:idx val="3"/>
          <c:order val="3"/>
          <c:tx>
            <c:strRef>
              <c:f>'Avg Week Kiwatule-Najjeera'!$V$9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'Avg Week Kiwatule-Najjeera'!$V$10:$V$21</c:f>
              <c:numCache>
                <c:formatCode>0</c:formatCode>
                <c:ptCount val="12"/>
                <c:pt idx="0">
                  <c:v>70</c:v>
                </c:pt>
                <c:pt idx="1">
                  <c:v>75.714285714285722</c:v>
                </c:pt>
                <c:pt idx="2">
                  <c:v>69.428571428571431</c:v>
                </c:pt>
                <c:pt idx="3">
                  <c:v>63.571428571428569</c:v>
                </c:pt>
                <c:pt idx="4">
                  <c:v>72.571428571428569</c:v>
                </c:pt>
                <c:pt idx="5">
                  <c:v>71.571428571428569</c:v>
                </c:pt>
                <c:pt idx="6">
                  <c:v>64.571428571428569</c:v>
                </c:pt>
                <c:pt idx="7">
                  <c:v>53.285714285714285</c:v>
                </c:pt>
                <c:pt idx="8">
                  <c:v>57</c:v>
                </c:pt>
                <c:pt idx="9">
                  <c:v>53.428571428571423</c:v>
                </c:pt>
                <c:pt idx="10">
                  <c:v>59</c:v>
                </c:pt>
                <c:pt idx="11">
                  <c:v>64.285714285714292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7AB2-4E89-BB96-27269775CB4B}"/>
            </c:ext>
          </c:extLst>
        </c:ser>
        <c:ser>
          <c:idx val="4"/>
          <c:order val="4"/>
          <c:tx>
            <c:strRef>
              <c:f>'Avg Week Kiwatule-Najjeera'!$W$9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'Avg Week Kiwatule-Najjeera'!$W$10:$W$21</c:f>
              <c:numCache>
                <c:formatCode>0</c:formatCode>
                <c:ptCount val="12"/>
                <c:pt idx="0">
                  <c:v>1.857142857142857</c:v>
                </c:pt>
                <c:pt idx="1">
                  <c:v>1.4285714285714284</c:v>
                </c:pt>
                <c:pt idx="2">
                  <c:v>1.5714285714285712</c:v>
                </c:pt>
                <c:pt idx="3">
                  <c:v>1.7142857142857142</c:v>
                </c:pt>
                <c:pt idx="4">
                  <c:v>1.5714285714285714</c:v>
                </c:pt>
                <c:pt idx="5">
                  <c:v>3</c:v>
                </c:pt>
                <c:pt idx="6">
                  <c:v>3.4285714285714284</c:v>
                </c:pt>
                <c:pt idx="7">
                  <c:v>1.9999999999999998</c:v>
                </c:pt>
                <c:pt idx="8">
                  <c:v>2.5714285714285712</c:v>
                </c:pt>
                <c:pt idx="9">
                  <c:v>1.4285714285714284</c:v>
                </c:pt>
                <c:pt idx="10">
                  <c:v>3</c:v>
                </c:pt>
                <c:pt idx="11">
                  <c:v>3.714285714285714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7AB2-4E89-BB96-27269775CB4B}"/>
            </c:ext>
          </c:extLst>
        </c:ser>
        <c:ser>
          <c:idx val="5"/>
          <c:order val="5"/>
          <c:tx>
            <c:strRef>
              <c:f>'Avg Week Kiwatule-Najjeera'!$X$9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'Avg Week Kiwatule-Najjeera'!$X$10:$X$21</c:f>
              <c:numCache>
                <c:formatCode>0</c:formatCode>
                <c:ptCount val="12"/>
                <c:pt idx="0">
                  <c:v>0</c:v>
                </c:pt>
                <c:pt idx="1">
                  <c:v>0.42857142857142855</c:v>
                </c:pt>
                <c:pt idx="2">
                  <c:v>0</c:v>
                </c:pt>
                <c:pt idx="3">
                  <c:v>0.42857142857142855</c:v>
                </c:pt>
                <c:pt idx="4">
                  <c:v>0.5714285714285714</c:v>
                </c:pt>
                <c:pt idx="5">
                  <c:v>0.2857142857142857</c:v>
                </c:pt>
                <c:pt idx="6">
                  <c:v>0.71428571428571419</c:v>
                </c:pt>
                <c:pt idx="7">
                  <c:v>0.5714285714285714</c:v>
                </c:pt>
                <c:pt idx="8">
                  <c:v>0.42857142857142855</c:v>
                </c:pt>
                <c:pt idx="9">
                  <c:v>0.14285714285714285</c:v>
                </c:pt>
                <c:pt idx="10">
                  <c:v>0.42857142857142855</c:v>
                </c:pt>
                <c:pt idx="11">
                  <c:v>1.4285714285714286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7AB2-4E89-BB96-27269775CB4B}"/>
            </c:ext>
          </c:extLst>
        </c:ser>
        <c:ser>
          <c:idx val="6"/>
          <c:order val="6"/>
          <c:tx>
            <c:strRef>
              <c:f>'Avg Week Kiwatule-Najjeera'!$Y$9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'Avg Week Kiwatule-Najjeera'!$Y$10:$Y$21</c:f>
              <c:numCache>
                <c:formatCode>0</c:formatCode>
                <c:ptCount val="12"/>
                <c:pt idx="0">
                  <c:v>12.142857142857142</c:v>
                </c:pt>
                <c:pt idx="1">
                  <c:v>13.857142857142858</c:v>
                </c:pt>
                <c:pt idx="2">
                  <c:v>22.571428571428569</c:v>
                </c:pt>
                <c:pt idx="3">
                  <c:v>21.142857142857142</c:v>
                </c:pt>
                <c:pt idx="4">
                  <c:v>28</c:v>
                </c:pt>
                <c:pt idx="5">
                  <c:v>21.857142857142858</c:v>
                </c:pt>
                <c:pt idx="6">
                  <c:v>20</c:v>
                </c:pt>
                <c:pt idx="7">
                  <c:v>20.857142857142858</c:v>
                </c:pt>
                <c:pt idx="8">
                  <c:v>24.285714285714288</c:v>
                </c:pt>
                <c:pt idx="9">
                  <c:v>18.571428571428569</c:v>
                </c:pt>
                <c:pt idx="10">
                  <c:v>17.571428571428573</c:v>
                </c:pt>
                <c:pt idx="11">
                  <c:v>21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7AB2-4E89-BB96-27269775CB4B}"/>
            </c:ext>
          </c:extLst>
        </c:ser>
        <c:ser>
          <c:idx val="7"/>
          <c:order val="7"/>
          <c:tx>
            <c:strRef>
              <c:f>'Avg Week Kiwatule-Najjeera'!$Z$9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'Avg Week Kiwatule-Najjeera'!$Z$10:$Z$21</c:f>
              <c:numCache>
                <c:formatCode>0</c:formatCode>
                <c:ptCount val="12"/>
                <c:pt idx="0">
                  <c:v>1.4285714285714284</c:v>
                </c:pt>
                <c:pt idx="1">
                  <c:v>1.2857142857142856</c:v>
                </c:pt>
                <c:pt idx="2">
                  <c:v>1.7142857142857144</c:v>
                </c:pt>
                <c:pt idx="3">
                  <c:v>2.5714285714285712</c:v>
                </c:pt>
                <c:pt idx="4">
                  <c:v>2.8571428571428568</c:v>
                </c:pt>
                <c:pt idx="5">
                  <c:v>2.5714285714285712</c:v>
                </c:pt>
                <c:pt idx="6">
                  <c:v>3.1428571428571428</c:v>
                </c:pt>
                <c:pt idx="7">
                  <c:v>2.8571428571428572</c:v>
                </c:pt>
                <c:pt idx="8">
                  <c:v>2.7142857142857144</c:v>
                </c:pt>
                <c:pt idx="9">
                  <c:v>2.4285714285714288</c:v>
                </c:pt>
                <c:pt idx="10">
                  <c:v>2.8571428571428572</c:v>
                </c:pt>
                <c:pt idx="11">
                  <c:v>1.5714285714285714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7-7AB2-4E89-BB96-27269775CB4B}"/>
            </c:ext>
          </c:extLst>
        </c:ser>
        <c:ser>
          <c:idx val="8"/>
          <c:order val="8"/>
          <c:tx>
            <c:strRef>
              <c:f>'Avg Week Kiwatule-Najjeera'!$AA$9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'Avg Week Kiwatule-Najjeera'!$AA$10:$AA$21</c:f>
              <c:numCache>
                <c:formatCode>0</c:formatCode>
                <c:ptCount val="12"/>
                <c:pt idx="0">
                  <c:v>0.5714285714285714</c:v>
                </c:pt>
                <c:pt idx="1">
                  <c:v>1.4285714285714284</c:v>
                </c:pt>
                <c:pt idx="2">
                  <c:v>0.71428571428571419</c:v>
                </c:pt>
                <c:pt idx="3">
                  <c:v>0.5714285714285714</c:v>
                </c:pt>
                <c:pt idx="4">
                  <c:v>1.2857142857142856</c:v>
                </c:pt>
                <c:pt idx="5">
                  <c:v>2.4285714285714284</c:v>
                </c:pt>
                <c:pt idx="6">
                  <c:v>0.2857142857142857</c:v>
                </c:pt>
                <c:pt idx="7">
                  <c:v>0.5714285714285714</c:v>
                </c:pt>
                <c:pt idx="8">
                  <c:v>1.1428571428571428</c:v>
                </c:pt>
                <c:pt idx="9">
                  <c:v>2</c:v>
                </c:pt>
                <c:pt idx="10">
                  <c:v>0.42857142857142855</c:v>
                </c:pt>
                <c:pt idx="11">
                  <c:v>1.2857142857142856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8-7AB2-4E89-BB96-27269775CB4B}"/>
            </c:ext>
          </c:extLst>
        </c:ser>
        <c:ser>
          <c:idx val="9"/>
          <c:order val="9"/>
          <c:tx>
            <c:strRef>
              <c:f>'Avg Week Kiwatule-Najjeera'!$AB$9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'Avg Week Kiwatule-Najjeera'!$AB$10:$AB$21</c:f>
              <c:numCache>
                <c:formatCode>0</c:formatCode>
                <c:ptCount val="12"/>
                <c:pt idx="0">
                  <c:v>0.42857142857142855</c:v>
                </c:pt>
                <c:pt idx="1">
                  <c:v>0.42857142857142855</c:v>
                </c:pt>
                <c:pt idx="2">
                  <c:v>0.2857142857142857</c:v>
                </c:pt>
                <c:pt idx="3">
                  <c:v>0.2857142857142857</c:v>
                </c:pt>
                <c:pt idx="4">
                  <c:v>0.71428571428571419</c:v>
                </c:pt>
                <c:pt idx="5">
                  <c:v>0.14285714285714285</c:v>
                </c:pt>
                <c:pt idx="6">
                  <c:v>0.14285714285714285</c:v>
                </c:pt>
                <c:pt idx="7">
                  <c:v>0.42857142857142855</c:v>
                </c:pt>
                <c:pt idx="8">
                  <c:v>0.42857142857142855</c:v>
                </c:pt>
                <c:pt idx="9">
                  <c:v>0.14285714285714285</c:v>
                </c:pt>
                <c:pt idx="10">
                  <c:v>0.2857142857142857</c:v>
                </c:pt>
                <c:pt idx="11">
                  <c:v>0.5714285714285714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9-7AB2-4E89-BB96-27269775CB4B}"/>
            </c:ext>
          </c:extLst>
        </c:ser>
        <c:ser>
          <c:idx val="10"/>
          <c:order val="10"/>
          <c:tx>
            <c:strRef>
              <c:f>'Avg Week Kiwatule-Najjeera'!$AC$9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'Avg Week Kiwatule-Najjeera'!$AC$10:$AC$21</c:f>
              <c:numCache>
                <c:formatCode>0</c:formatCode>
                <c:ptCount val="12"/>
                <c:pt idx="0">
                  <c:v>135.71428571428572</c:v>
                </c:pt>
                <c:pt idx="1">
                  <c:v>189.42857142857142</c:v>
                </c:pt>
                <c:pt idx="2">
                  <c:v>211.57142857142856</c:v>
                </c:pt>
                <c:pt idx="3">
                  <c:v>184.14285714285714</c:v>
                </c:pt>
                <c:pt idx="4">
                  <c:v>173.28571428571431</c:v>
                </c:pt>
                <c:pt idx="5">
                  <c:v>177.14285714285714</c:v>
                </c:pt>
                <c:pt idx="6">
                  <c:v>171.42857142857142</c:v>
                </c:pt>
                <c:pt idx="7">
                  <c:v>140</c:v>
                </c:pt>
                <c:pt idx="8">
                  <c:v>193</c:v>
                </c:pt>
                <c:pt idx="9">
                  <c:v>180</c:v>
                </c:pt>
                <c:pt idx="10">
                  <c:v>256.42857142857144</c:v>
                </c:pt>
                <c:pt idx="11">
                  <c:v>276.71428571428572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7AB2-4E89-BB96-27269775CB4B}"/>
            </c:ext>
          </c:extLst>
        </c:ser>
        <c:ser>
          <c:idx val="11"/>
          <c:order val="11"/>
          <c:tx>
            <c:strRef>
              <c:f>'Avg Week Kiwatule-Najjeera'!$AD$9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'Avg Week Kiwatule-Najjeera'!$AD$10:$AD$21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B-7AB2-4E89-BB96-27269775CB4B}"/>
            </c:ext>
          </c:extLst>
        </c:ser>
        <c:marker val="1"/>
        <c:axId val="104743296"/>
        <c:axId val="104744832"/>
      </c:lineChart>
      <c:catAx>
        <c:axId val="104743296"/>
        <c:scaling>
          <c:orientation val="minMax"/>
        </c:scaling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4744832"/>
        <c:crosses val="autoZero"/>
        <c:auto val="1"/>
        <c:lblAlgn val="ctr"/>
        <c:lblOffset val="100"/>
      </c:catAx>
      <c:valAx>
        <c:axId val="104744832"/>
        <c:scaling>
          <c:orientation val="minMax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layout/>
          <c:spPr>
            <a:noFill/>
            <a:ln>
              <a:noFill/>
            </a:ln>
            <a:effectLst/>
          </c:spPr>
        </c:title>
        <c:numFmt formatCode="0" sourceLinked="1"/>
        <c:maj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4743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3" l="0.70000000000000062" r="0.70000000000000062" t="0.750000000000003" header="0.30000000000000032" footer="0.30000000000000032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layout/>
      <c:spPr>
        <a:noFill/>
        <a:ln>
          <a:noFill/>
        </a:ln>
        <a:effectLst/>
      </c:spPr>
    </c:title>
    <c:view3D>
      <c:rotX val="30"/>
      <c:depthPercent val="100"/>
      <c:perspective val="30"/>
    </c:view3D>
    <c:floor>
      <c:spPr>
        <a:noFill/>
        <a:ln>
          <a:noFill/>
        </a:ln>
        <a:effectLst/>
        <a:sp3d/>
      </c:spPr>
    </c:floor>
    <c:sideWall>
      <c:spPr>
        <a:noFill/>
        <a:ln>
          <a:noFill/>
        </a:ln>
        <a:effectLst/>
        <a:sp3d/>
      </c:spPr>
    </c:sideWall>
    <c:backWall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B8A-48E6-9C2F-F83D2727468E}"/>
              </c:ext>
            </c:extLst>
          </c:dPt>
          <c:dPt>
            <c:idx val="1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B8A-48E6-9C2F-F83D2727468E}"/>
              </c:ext>
            </c:extLst>
          </c:dPt>
          <c:dPt>
            <c:idx val="2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B8A-48E6-9C2F-F83D2727468E}"/>
              </c:ext>
            </c:extLst>
          </c:dPt>
          <c:dPt>
            <c:idx val="3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B8A-48E6-9C2F-F83D2727468E}"/>
              </c:ext>
            </c:extLst>
          </c:dPt>
          <c:dPt>
            <c:idx val="4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B8A-48E6-9C2F-F83D2727468E}"/>
              </c:ext>
            </c:extLst>
          </c:dPt>
          <c:dPt>
            <c:idx val="5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8B8A-48E6-9C2F-F83D2727468E}"/>
              </c:ext>
            </c:extLst>
          </c:dPt>
          <c:dPt>
            <c:idx val="6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8B8A-48E6-9C2F-F83D2727468E}"/>
              </c:ext>
            </c:extLst>
          </c:dPt>
          <c:dPt>
            <c:idx val="7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F-8B8A-48E6-9C2F-F83D2727468E}"/>
              </c:ext>
            </c:extLst>
          </c:dPt>
          <c:dPt>
            <c:idx val="8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1-8B8A-48E6-9C2F-F83D2727468E}"/>
              </c:ext>
            </c:extLst>
          </c:dPt>
          <c:dPt>
            <c:idx val="9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3-8B8A-48E6-9C2F-F83D2727468E}"/>
              </c:ext>
            </c:extLst>
          </c:dPt>
          <c:dPt>
            <c:idx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5-8B8A-48E6-9C2F-F83D2727468E}"/>
              </c:ext>
            </c:extLst>
          </c:dPt>
          <c:dPt>
            <c:idx val="11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7-8B8A-48E6-9C2F-F83D2727468E}"/>
              </c:ext>
            </c:extLst>
          </c:dPt>
          <c:dLbls>
            <c:dLbl>
              <c:idx val="10"/>
              <c:layout>
                <c:manualLayout>
                  <c:x val="-2.6175304576939895E-2"/>
                  <c:y val="-3.2434080003295201E-2"/>
                </c:manualLayout>
              </c:layout>
              <c:showVal val="1"/>
              <c:showCatNam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8B8A-48E6-9C2F-F83D2727468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Val val="1"/>
            <c:showCatName val="1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'Avg Week Kiwatule-Najjeera'!$C$9:$N$9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Kiwatule-Najjeera'!$C$108:$N$108</c:f>
              <c:numCache>
                <c:formatCode>0.00%</c:formatCode>
                <c:ptCount val="12"/>
                <c:pt idx="0">
                  <c:v>0.65434849154790664</c:v>
                </c:pt>
                <c:pt idx="1">
                  <c:v>0.12549743206013403</c:v>
                </c:pt>
                <c:pt idx="2">
                  <c:v>4.0100676847726273E-2</c:v>
                </c:pt>
                <c:pt idx="3">
                  <c:v>0.13248699023842728</c:v>
                </c:pt>
                <c:pt idx="4">
                  <c:v>3.9624502567939864E-3</c:v>
                </c:pt>
                <c:pt idx="5">
                  <c:v>7.6528009251386009E-4</c:v>
                </c:pt>
                <c:pt idx="6">
                  <c:v>3.5755586544675345E-2</c:v>
                </c:pt>
                <c:pt idx="7">
                  <c:v>4.6426992279174177E-3</c:v>
                </c:pt>
                <c:pt idx="8">
                  <c:v>1.7516411006428356E-3</c:v>
                </c:pt>
                <c:pt idx="9">
                  <c:v>6.2923029828917379E-4</c:v>
                </c:pt>
                <c:pt idx="11">
                  <c:v>5.9521784973300229E-5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8-8B8A-48E6-9C2F-F83D2727468E}"/>
            </c:ext>
          </c:extLst>
        </c:ser>
      </c:pie3DChart>
      <c:spPr>
        <a:noFill/>
        <a:ln>
          <a:noFill/>
        </a:ln>
        <a:effectLst/>
      </c:spPr>
    </c:plotArea>
    <c:plotVisOnly val="1"/>
    <c:dispBlanksAs val="zero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3" l="0.70000000000000062" r="0.70000000000000062" t="0.750000000000003" header="0.30000000000000032" footer="0.30000000000000032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layout/>
      <c:spPr>
        <a:noFill/>
        <a:ln>
          <a:noFill/>
        </a:ln>
        <a:effectLst/>
      </c:spPr>
    </c:title>
    <c:view3D>
      <c:rotX val="30"/>
      <c:depthPercent val="100"/>
      <c:perspective val="30"/>
    </c:view3D>
    <c:floor>
      <c:spPr>
        <a:noFill/>
        <a:ln>
          <a:noFill/>
        </a:ln>
        <a:effectLst/>
        <a:sp3d/>
      </c:spPr>
    </c:floor>
    <c:sideWall>
      <c:spPr>
        <a:noFill/>
        <a:ln>
          <a:noFill/>
        </a:ln>
        <a:effectLst/>
        <a:sp3d/>
      </c:spPr>
    </c:sideWall>
    <c:backWall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D9B1-462A-9165-7345BB810963}"/>
              </c:ext>
            </c:extLst>
          </c:dPt>
          <c:dPt>
            <c:idx val="1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D9B1-462A-9165-7345BB810963}"/>
              </c:ext>
            </c:extLst>
          </c:dPt>
          <c:dPt>
            <c:idx val="2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D9B1-462A-9165-7345BB810963}"/>
              </c:ext>
            </c:extLst>
          </c:dPt>
          <c:dPt>
            <c:idx val="3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D9B1-462A-9165-7345BB810963}"/>
              </c:ext>
            </c:extLst>
          </c:dPt>
          <c:dPt>
            <c:idx val="4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D9B1-462A-9165-7345BB810963}"/>
              </c:ext>
            </c:extLst>
          </c:dPt>
          <c:dPt>
            <c:idx val="5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D9B1-462A-9165-7345BB810963}"/>
              </c:ext>
            </c:extLst>
          </c:dPt>
          <c:dPt>
            <c:idx val="6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D9B1-462A-9165-7345BB810963}"/>
              </c:ext>
            </c:extLst>
          </c:dPt>
          <c:dPt>
            <c:idx val="7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F-D9B1-462A-9165-7345BB810963}"/>
              </c:ext>
            </c:extLst>
          </c:dPt>
          <c:dPt>
            <c:idx val="8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1-D9B1-462A-9165-7345BB810963}"/>
              </c:ext>
            </c:extLst>
          </c:dPt>
          <c:dPt>
            <c:idx val="9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3-D9B1-462A-9165-7345BB810963}"/>
              </c:ext>
            </c:extLst>
          </c:dPt>
          <c:dPt>
            <c:idx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5-D9B1-462A-9165-7345BB810963}"/>
              </c:ext>
            </c:extLst>
          </c:dPt>
          <c:dPt>
            <c:idx val="11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7-D9B1-462A-9165-7345BB810963}"/>
              </c:ext>
            </c:extLst>
          </c:dPt>
          <c:dLbls>
            <c:dLbl>
              <c:idx val="10"/>
              <c:layout>
                <c:manualLayout>
                  <c:x val="-2.6175304576939895E-2"/>
                  <c:y val="-3.2434080003295201E-2"/>
                </c:manualLayout>
              </c:layout>
              <c:showVal val="1"/>
              <c:showCatNam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9B1-462A-9165-7345BB81096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Val val="1"/>
            <c:showCatName val="1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'Avg Week Kiwatule-Najjeera-2Dir'!$C$9:$N$9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Kiwatule-Najjeera-2Dir'!$C$107:$N$107</c:f>
              <c:numCache>
                <c:formatCode>0.0%</c:formatCode>
                <c:ptCount val="12"/>
                <c:pt idx="0">
                  <c:v>0.40983473327670639</c:v>
                </c:pt>
                <c:pt idx="1">
                  <c:v>6.9223791696815265E-2</c:v>
                </c:pt>
                <c:pt idx="2">
                  <c:v>2.8481244953387656E-2</c:v>
                </c:pt>
                <c:pt idx="3">
                  <c:v>7.4031836914461899E-2</c:v>
                </c:pt>
                <c:pt idx="4">
                  <c:v>1.9373748177976321E-3</c:v>
                </c:pt>
                <c:pt idx="5">
                  <c:v>2.7264814756556671E-4</c:v>
                </c:pt>
                <c:pt idx="6">
                  <c:v>2.0105179266157024E-2</c:v>
                </c:pt>
                <c:pt idx="7">
                  <c:v>2.9807783055966278E-3</c:v>
                </c:pt>
                <c:pt idx="8">
                  <c:v>1.1980788792063843E-3</c:v>
                </c:pt>
                <c:pt idx="9">
                  <c:v>3.5391826847453372E-4</c:v>
                </c:pt>
                <c:pt idx="10">
                  <c:v>0.39152798313776072</c:v>
                </c:pt>
                <c:pt idx="11">
                  <c:v>5.2432336070301283E-5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8-D9B1-462A-9165-7345BB810963}"/>
            </c:ext>
          </c:extLst>
        </c:ser>
      </c:pie3DChart>
      <c:spPr>
        <a:noFill/>
        <a:ln>
          <a:noFill/>
        </a:ln>
        <a:effectLst/>
      </c:spPr>
    </c:plotArea>
    <c:plotVisOnly val="1"/>
    <c:dispBlanksAs val="zero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3" l="0.70000000000000062" r="0.70000000000000062" t="0.750000000000003" header="0.30000000000000032" footer="0.30000000000000032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9093"/>
          <c:y val="2.2960226637323802E-2"/>
        </c:manualLayout>
      </c:layout>
      <c:spPr>
        <a:noFill/>
        <a:ln>
          <a:noFill/>
        </a:ln>
        <a:effectLst/>
      </c:spPr>
    </c:title>
    <c:plotArea>
      <c:layout/>
      <c:lineChart>
        <c:grouping val="standard"/>
        <c:ser>
          <c:idx val="0"/>
          <c:order val="0"/>
          <c:tx>
            <c:strRef>
              <c:f>'Avg Week Kiwatule-Najjeera-2Dir'!$S$9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'Avg Week Kiwatule-Najjeera-2Dir'!$R$10:$R$21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'Avg Week Kiwatule-Najjeera-2Dir'!$S$10:$S$21</c:f>
              <c:numCache>
                <c:formatCode>0</c:formatCode>
                <c:ptCount val="12"/>
                <c:pt idx="0">
                  <c:v>592.71428571428578</c:v>
                </c:pt>
                <c:pt idx="1">
                  <c:v>591.85714285714289</c:v>
                </c:pt>
                <c:pt idx="2">
                  <c:v>491.57142857142856</c:v>
                </c:pt>
                <c:pt idx="3">
                  <c:v>484</c:v>
                </c:pt>
                <c:pt idx="4">
                  <c:v>471.85714285714283</c:v>
                </c:pt>
                <c:pt idx="5">
                  <c:v>485.85714285714289</c:v>
                </c:pt>
                <c:pt idx="6">
                  <c:v>420.28571428571433</c:v>
                </c:pt>
                <c:pt idx="7">
                  <c:v>423.71428571428572</c:v>
                </c:pt>
                <c:pt idx="8">
                  <c:v>480.42857142857139</c:v>
                </c:pt>
                <c:pt idx="9">
                  <c:v>584.42857142857133</c:v>
                </c:pt>
                <c:pt idx="10">
                  <c:v>623.71428571428578</c:v>
                </c:pt>
                <c:pt idx="11">
                  <c:v>646.42857142857144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D6E8-49CE-9A67-22D6951BE8EE}"/>
            </c:ext>
          </c:extLst>
        </c:ser>
        <c:ser>
          <c:idx val="1"/>
          <c:order val="1"/>
          <c:tx>
            <c:strRef>
              <c:f>'Avg Week Kiwatule-Najjeera-2Dir'!$T$9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'Avg Week Kiwatule-Najjeera-2Dir'!$R$10:$R$21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'Avg Week Kiwatule-Najjeera-2Dir'!$T$10:$T$21</c:f>
              <c:numCache>
                <c:formatCode>0</c:formatCode>
                <c:ptCount val="12"/>
                <c:pt idx="0">
                  <c:v>82.142857142857139</c:v>
                </c:pt>
                <c:pt idx="1">
                  <c:v>87.714285714285708</c:v>
                </c:pt>
                <c:pt idx="2">
                  <c:v>76.285714285714278</c:v>
                </c:pt>
                <c:pt idx="3">
                  <c:v>85.285714285714292</c:v>
                </c:pt>
                <c:pt idx="4">
                  <c:v>79</c:v>
                </c:pt>
                <c:pt idx="5">
                  <c:v>85.428571428571416</c:v>
                </c:pt>
                <c:pt idx="6">
                  <c:v>65.571428571428584</c:v>
                </c:pt>
                <c:pt idx="7">
                  <c:v>72.428571428571416</c:v>
                </c:pt>
                <c:pt idx="8">
                  <c:v>69.571428571428584</c:v>
                </c:pt>
                <c:pt idx="9">
                  <c:v>91.142857142857139</c:v>
                </c:pt>
                <c:pt idx="10">
                  <c:v>99</c:v>
                </c:pt>
                <c:pt idx="11">
                  <c:v>99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D6E8-49CE-9A67-22D6951BE8EE}"/>
            </c:ext>
          </c:extLst>
        </c:ser>
        <c:ser>
          <c:idx val="2"/>
          <c:order val="2"/>
          <c:tx>
            <c:strRef>
              <c:f>'Avg Week Kiwatule-Najjeera-2Dir'!$U$9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'Avg Week Kiwatule-Najjeera-2Dir'!$U$10:$U$21</c:f>
              <c:numCache>
                <c:formatCode>0</c:formatCode>
                <c:ptCount val="12"/>
                <c:pt idx="0">
                  <c:v>49.142857142857146</c:v>
                </c:pt>
                <c:pt idx="1">
                  <c:v>40.857142857142861</c:v>
                </c:pt>
                <c:pt idx="2">
                  <c:v>39.857142857142861</c:v>
                </c:pt>
                <c:pt idx="3">
                  <c:v>47.714285714285722</c:v>
                </c:pt>
                <c:pt idx="4">
                  <c:v>48.714285714285708</c:v>
                </c:pt>
                <c:pt idx="5">
                  <c:v>42.714285714285708</c:v>
                </c:pt>
                <c:pt idx="6">
                  <c:v>36.857142857142861</c:v>
                </c:pt>
                <c:pt idx="7">
                  <c:v>37.285714285714292</c:v>
                </c:pt>
                <c:pt idx="8">
                  <c:v>39.571428571428569</c:v>
                </c:pt>
                <c:pt idx="9">
                  <c:v>44.285714285714278</c:v>
                </c:pt>
                <c:pt idx="10">
                  <c:v>52.571428571428569</c:v>
                </c:pt>
                <c:pt idx="11">
                  <c:v>46.428571428571416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D6E8-49CE-9A67-22D6951BE8EE}"/>
            </c:ext>
          </c:extLst>
        </c:ser>
        <c:ser>
          <c:idx val="3"/>
          <c:order val="3"/>
          <c:tx>
            <c:strRef>
              <c:f>'Avg Week Kiwatule-Najjeera-2Dir'!$V$9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'Avg Week Kiwatule-Najjeera-2Dir'!$V$10:$V$21</c:f>
              <c:numCache>
                <c:formatCode>0</c:formatCode>
                <c:ptCount val="12"/>
                <c:pt idx="0">
                  <c:v>146</c:v>
                </c:pt>
                <c:pt idx="1">
                  <c:v>157</c:v>
                </c:pt>
                <c:pt idx="2">
                  <c:v>123.42857142857142</c:v>
                </c:pt>
                <c:pt idx="3">
                  <c:v>121.71428571428571</c:v>
                </c:pt>
                <c:pt idx="4">
                  <c:v>127</c:v>
                </c:pt>
                <c:pt idx="5">
                  <c:v>125.00000000000001</c:v>
                </c:pt>
                <c:pt idx="6">
                  <c:v>107.42857142857143</c:v>
                </c:pt>
                <c:pt idx="7">
                  <c:v>100.14285714285715</c:v>
                </c:pt>
                <c:pt idx="8">
                  <c:v>100.85714285714286</c:v>
                </c:pt>
                <c:pt idx="9">
                  <c:v>93</c:v>
                </c:pt>
                <c:pt idx="10">
                  <c:v>106</c:v>
                </c:pt>
                <c:pt idx="11">
                  <c:v>114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D6E8-49CE-9A67-22D6951BE8EE}"/>
            </c:ext>
          </c:extLst>
        </c:ser>
        <c:ser>
          <c:idx val="4"/>
          <c:order val="4"/>
          <c:tx>
            <c:strRef>
              <c:f>'Avg Week Kiwatule-Najjeera-2Dir'!$W$9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'Avg Week Kiwatule-Najjeera-2Dir'!$W$10:$W$21</c:f>
              <c:numCache>
                <c:formatCode>0</c:formatCode>
                <c:ptCount val="12"/>
                <c:pt idx="0">
                  <c:v>3</c:v>
                </c:pt>
                <c:pt idx="1">
                  <c:v>1.8571428571428572</c:v>
                </c:pt>
                <c:pt idx="2">
                  <c:v>2.2857142857142856</c:v>
                </c:pt>
                <c:pt idx="3">
                  <c:v>2.2857142857142856</c:v>
                </c:pt>
                <c:pt idx="4">
                  <c:v>1.5714285714285714</c:v>
                </c:pt>
                <c:pt idx="5">
                  <c:v>3</c:v>
                </c:pt>
                <c:pt idx="6">
                  <c:v>4.2857142857142847</c:v>
                </c:pt>
                <c:pt idx="7">
                  <c:v>2.7142857142857144</c:v>
                </c:pt>
                <c:pt idx="8">
                  <c:v>2.8571428571428568</c:v>
                </c:pt>
                <c:pt idx="9">
                  <c:v>2.1428571428571428</c:v>
                </c:pt>
                <c:pt idx="10">
                  <c:v>6.7142857142857144</c:v>
                </c:pt>
                <c:pt idx="11">
                  <c:v>5.5714285714285721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D6E8-49CE-9A67-22D6951BE8EE}"/>
            </c:ext>
          </c:extLst>
        </c:ser>
        <c:ser>
          <c:idx val="5"/>
          <c:order val="5"/>
          <c:tx>
            <c:strRef>
              <c:f>'Avg Week Kiwatule-Najjeera-2Dir'!$X$9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'Avg Week Kiwatule-Najjeera-2Dir'!$X$10:$X$21</c:f>
              <c:numCache>
                <c:formatCode>0</c:formatCode>
                <c:ptCount val="12"/>
                <c:pt idx="0">
                  <c:v>0</c:v>
                </c:pt>
                <c:pt idx="1">
                  <c:v>0.42857142857142855</c:v>
                </c:pt>
                <c:pt idx="2">
                  <c:v>0</c:v>
                </c:pt>
                <c:pt idx="3">
                  <c:v>0.42857142857142855</c:v>
                </c:pt>
                <c:pt idx="4">
                  <c:v>0.5714285714285714</c:v>
                </c:pt>
                <c:pt idx="5">
                  <c:v>0.2857142857142857</c:v>
                </c:pt>
                <c:pt idx="6">
                  <c:v>1.1428571428571428</c:v>
                </c:pt>
                <c:pt idx="7">
                  <c:v>0.5714285714285714</c:v>
                </c:pt>
                <c:pt idx="8">
                  <c:v>0.42857142857142855</c:v>
                </c:pt>
                <c:pt idx="9">
                  <c:v>0.5714285714285714</c:v>
                </c:pt>
                <c:pt idx="10">
                  <c:v>0.5714285714285714</c:v>
                </c:pt>
                <c:pt idx="11">
                  <c:v>1.4285714285714286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D6E8-49CE-9A67-22D6951BE8EE}"/>
            </c:ext>
          </c:extLst>
        </c:ser>
        <c:ser>
          <c:idx val="6"/>
          <c:order val="6"/>
          <c:tx>
            <c:strRef>
              <c:f>'Avg Week Kiwatule-Najjeera-2Dir'!$Y$9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'Avg Week Kiwatule-Najjeera-2Dir'!$Y$10:$Y$21</c:f>
              <c:numCache>
                <c:formatCode>0</c:formatCode>
                <c:ptCount val="12"/>
                <c:pt idx="0">
                  <c:v>20.857142857142858</c:v>
                </c:pt>
                <c:pt idx="1">
                  <c:v>26.999999999999996</c:v>
                </c:pt>
                <c:pt idx="2">
                  <c:v>35.714285714285715</c:v>
                </c:pt>
                <c:pt idx="3">
                  <c:v>36.857142857142861</c:v>
                </c:pt>
                <c:pt idx="4">
                  <c:v>43.857142857142861</c:v>
                </c:pt>
                <c:pt idx="5">
                  <c:v>38.142857142857139</c:v>
                </c:pt>
                <c:pt idx="6">
                  <c:v>37.857142857142861</c:v>
                </c:pt>
                <c:pt idx="7">
                  <c:v>38.571428571428569</c:v>
                </c:pt>
                <c:pt idx="8">
                  <c:v>41.714285714285715</c:v>
                </c:pt>
                <c:pt idx="9">
                  <c:v>35.142857142857139</c:v>
                </c:pt>
                <c:pt idx="10">
                  <c:v>34.142857142857139</c:v>
                </c:pt>
                <c:pt idx="11">
                  <c:v>34.428571428571431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D6E8-49CE-9A67-22D6951BE8EE}"/>
            </c:ext>
          </c:extLst>
        </c:ser>
        <c:ser>
          <c:idx val="7"/>
          <c:order val="7"/>
          <c:tx>
            <c:strRef>
              <c:f>'Avg Week Kiwatule-Najjeera-2Dir'!$Z$9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'Avg Week Kiwatule-Najjeera-2Dir'!$Z$10:$Z$21</c:f>
              <c:numCache>
                <c:formatCode>0</c:formatCode>
                <c:ptCount val="12"/>
                <c:pt idx="0">
                  <c:v>3.8571428571428572</c:v>
                </c:pt>
                <c:pt idx="1">
                  <c:v>3.9999999999999996</c:v>
                </c:pt>
                <c:pt idx="2">
                  <c:v>3.5714285714285712</c:v>
                </c:pt>
                <c:pt idx="3">
                  <c:v>7.8571428571428568</c:v>
                </c:pt>
                <c:pt idx="4">
                  <c:v>7.5714285714285712</c:v>
                </c:pt>
                <c:pt idx="5">
                  <c:v>6.7142857142857135</c:v>
                </c:pt>
                <c:pt idx="6">
                  <c:v>6.2857142857142847</c:v>
                </c:pt>
                <c:pt idx="7">
                  <c:v>5.1428571428571432</c:v>
                </c:pt>
                <c:pt idx="8">
                  <c:v>6</c:v>
                </c:pt>
                <c:pt idx="9">
                  <c:v>5.7142857142857144</c:v>
                </c:pt>
                <c:pt idx="10">
                  <c:v>4.5714285714285712</c:v>
                </c:pt>
                <c:pt idx="11">
                  <c:v>3.4285714285714284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7-D6E8-49CE-9A67-22D6951BE8EE}"/>
            </c:ext>
          </c:extLst>
        </c:ser>
        <c:ser>
          <c:idx val="8"/>
          <c:order val="8"/>
          <c:tx>
            <c:strRef>
              <c:f>'Avg Week Kiwatule-Najjeera-2Dir'!$AA$9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'Avg Week Kiwatule-Najjeera-2Dir'!$AA$10:$AA$21</c:f>
              <c:numCache>
                <c:formatCode>0</c:formatCode>
                <c:ptCount val="12"/>
                <c:pt idx="0">
                  <c:v>1.1428571428571428</c:v>
                </c:pt>
                <c:pt idx="1">
                  <c:v>2.5714285714285712</c:v>
                </c:pt>
                <c:pt idx="2">
                  <c:v>1.5714285714285714</c:v>
                </c:pt>
                <c:pt idx="3">
                  <c:v>1.5714285714285712</c:v>
                </c:pt>
                <c:pt idx="4">
                  <c:v>3.4285714285714284</c:v>
                </c:pt>
                <c:pt idx="5">
                  <c:v>4.1428571428571423</c:v>
                </c:pt>
                <c:pt idx="6">
                  <c:v>1.7142857142857144</c:v>
                </c:pt>
                <c:pt idx="7">
                  <c:v>1.4285714285714284</c:v>
                </c:pt>
                <c:pt idx="8">
                  <c:v>2.5714285714285712</c:v>
                </c:pt>
                <c:pt idx="9">
                  <c:v>3.5714285714285712</c:v>
                </c:pt>
                <c:pt idx="10">
                  <c:v>2.4285714285714284</c:v>
                </c:pt>
                <c:pt idx="11">
                  <c:v>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8-D6E8-49CE-9A67-22D6951BE8EE}"/>
            </c:ext>
          </c:extLst>
        </c:ser>
        <c:ser>
          <c:idx val="9"/>
          <c:order val="9"/>
          <c:tx>
            <c:strRef>
              <c:f>'Avg Week Kiwatule-Najjeera-2Dir'!$AB$9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'Avg Week Kiwatule-Najjeera-2Dir'!$AB$10:$AB$21</c:f>
              <c:numCache>
                <c:formatCode>0</c:formatCode>
                <c:ptCount val="12"/>
                <c:pt idx="0">
                  <c:v>0.85714285714285698</c:v>
                </c:pt>
                <c:pt idx="1">
                  <c:v>0.71428571428571419</c:v>
                </c:pt>
                <c:pt idx="2">
                  <c:v>0.42857142857142855</c:v>
                </c:pt>
                <c:pt idx="3">
                  <c:v>0.71428571428571419</c:v>
                </c:pt>
                <c:pt idx="4">
                  <c:v>1.2857142857142856</c:v>
                </c:pt>
                <c:pt idx="5">
                  <c:v>0.2857142857142857</c:v>
                </c:pt>
                <c:pt idx="6">
                  <c:v>0.42857142857142855</c:v>
                </c:pt>
                <c:pt idx="7">
                  <c:v>0.99999999999999989</c:v>
                </c:pt>
                <c:pt idx="8">
                  <c:v>0.85714285714285698</c:v>
                </c:pt>
                <c:pt idx="9">
                  <c:v>0.5714285714285714</c:v>
                </c:pt>
                <c:pt idx="10">
                  <c:v>0.42857142857142855</c:v>
                </c:pt>
                <c:pt idx="11">
                  <c:v>0.5714285714285714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9-D6E8-49CE-9A67-22D6951BE8EE}"/>
            </c:ext>
          </c:extLst>
        </c:ser>
        <c:ser>
          <c:idx val="10"/>
          <c:order val="10"/>
          <c:tx>
            <c:strRef>
              <c:f>'Avg Week Kiwatule-Najjeera-2Dir'!$AC$9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'Avg Week Kiwatule-Najjeera-2Dir'!$AC$10:$AC$21</c:f>
              <c:numCache>
                <c:formatCode>0</c:formatCode>
                <c:ptCount val="12"/>
                <c:pt idx="0">
                  <c:v>508</c:v>
                </c:pt>
                <c:pt idx="1">
                  <c:v>594.14285714285722</c:v>
                </c:pt>
                <c:pt idx="2">
                  <c:v>602.57142857142856</c:v>
                </c:pt>
                <c:pt idx="3">
                  <c:v>545.14285714285711</c:v>
                </c:pt>
                <c:pt idx="4">
                  <c:v>517</c:v>
                </c:pt>
                <c:pt idx="5">
                  <c:v>505.85714285714289</c:v>
                </c:pt>
                <c:pt idx="6">
                  <c:v>482.85714285714283</c:v>
                </c:pt>
                <c:pt idx="7">
                  <c:v>453.42857142857144</c:v>
                </c:pt>
                <c:pt idx="8">
                  <c:v>479.42857142857144</c:v>
                </c:pt>
                <c:pt idx="9">
                  <c:v>471.57142857142861</c:v>
                </c:pt>
                <c:pt idx="10">
                  <c:v>614.71428571428567</c:v>
                </c:pt>
                <c:pt idx="11">
                  <c:v>662.85714285714289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D6E8-49CE-9A67-22D6951BE8EE}"/>
            </c:ext>
          </c:extLst>
        </c:ser>
        <c:ser>
          <c:idx val="11"/>
          <c:order val="11"/>
          <c:tx>
            <c:strRef>
              <c:f>'Avg Week Kiwatule-Najjeera-2Dir'!$AD$9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'Avg Week Kiwatule-Najjeera-2Dir'!$AD$10:$AD$21</c:f>
              <c:numCache>
                <c:formatCode>0</c:formatCode>
                <c:ptCount val="12"/>
                <c:pt idx="0">
                  <c:v>0</c:v>
                </c:pt>
                <c:pt idx="1">
                  <c:v>0.14285714285714285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0.2857142857142857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B-D6E8-49CE-9A67-22D6951BE8EE}"/>
            </c:ext>
          </c:extLst>
        </c:ser>
        <c:marker val="1"/>
        <c:axId val="107284352"/>
        <c:axId val="107285888"/>
      </c:lineChart>
      <c:catAx>
        <c:axId val="107284352"/>
        <c:scaling>
          <c:orientation val="minMax"/>
        </c:scaling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7285888"/>
        <c:crosses val="autoZero"/>
        <c:auto val="1"/>
        <c:lblAlgn val="ctr"/>
        <c:lblOffset val="100"/>
      </c:catAx>
      <c:valAx>
        <c:axId val="107285888"/>
        <c:scaling>
          <c:orientation val="minMax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layout/>
          <c:spPr>
            <a:noFill/>
            <a:ln>
              <a:noFill/>
            </a:ln>
            <a:effectLst/>
          </c:spPr>
        </c:title>
        <c:numFmt formatCode="0" sourceLinked="1"/>
        <c:maj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7284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3" l="0.70000000000000062" r="0.70000000000000062" t="0.750000000000003" header="0.30000000000000032" footer="0.30000000000000032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layout/>
      <c:spPr>
        <a:noFill/>
        <a:ln>
          <a:noFill/>
        </a:ln>
        <a:effectLst/>
      </c:spPr>
    </c:title>
    <c:view3D>
      <c:rotX val="30"/>
      <c:depthPercent val="100"/>
      <c:perspective val="30"/>
    </c:view3D>
    <c:floor>
      <c:spPr>
        <a:noFill/>
        <a:ln>
          <a:noFill/>
        </a:ln>
        <a:effectLst/>
        <a:sp3d/>
      </c:spPr>
    </c:floor>
    <c:sideWall>
      <c:spPr>
        <a:noFill/>
        <a:ln>
          <a:noFill/>
        </a:ln>
        <a:effectLst/>
        <a:sp3d/>
      </c:spPr>
    </c:sideWall>
    <c:backWall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0EAD-440A-938B-73199DDCAD0D}"/>
              </c:ext>
            </c:extLst>
          </c:dPt>
          <c:dPt>
            <c:idx val="1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0EAD-440A-938B-73199DDCAD0D}"/>
              </c:ext>
            </c:extLst>
          </c:dPt>
          <c:dPt>
            <c:idx val="2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0EAD-440A-938B-73199DDCAD0D}"/>
              </c:ext>
            </c:extLst>
          </c:dPt>
          <c:dPt>
            <c:idx val="3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0EAD-440A-938B-73199DDCAD0D}"/>
              </c:ext>
            </c:extLst>
          </c:dPt>
          <c:dPt>
            <c:idx val="4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0EAD-440A-938B-73199DDCAD0D}"/>
              </c:ext>
            </c:extLst>
          </c:dPt>
          <c:dPt>
            <c:idx val="5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0EAD-440A-938B-73199DDCAD0D}"/>
              </c:ext>
            </c:extLst>
          </c:dPt>
          <c:dPt>
            <c:idx val="6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0EAD-440A-938B-73199DDCAD0D}"/>
              </c:ext>
            </c:extLst>
          </c:dPt>
          <c:dPt>
            <c:idx val="7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F-0EAD-440A-938B-73199DDCAD0D}"/>
              </c:ext>
            </c:extLst>
          </c:dPt>
          <c:dPt>
            <c:idx val="8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1-0EAD-440A-938B-73199DDCAD0D}"/>
              </c:ext>
            </c:extLst>
          </c:dPt>
          <c:dPt>
            <c:idx val="9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3-0EAD-440A-938B-73199DDCAD0D}"/>
              </c:ext>
            </c:extLst>
          </c:dPt>
          <c:dPt>
            <c:idx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5-0EAD-440A-938B-73199DDCAD0D}"/>
              </c:ext>
            </c:extLst>
          </c:dPt>
          <c:dPt>
            <c:idx val="11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7-0EAD-440A-938B-73199DDCAD0D}"/>
              </c:ext>
            </c:extLst>
          </c:dPt>
          <c:dLbls>
            <c:dLbl>
              <c:idx val="10"/>
              <c:layout>
                <c:manualLayout>
                  <c:x val="-2.6175304576939895E-2"/>
                  <c:y val="-3.2434080003295201E-2"/>
                </c:manualLayout>
              </c:layout>
              <c:showVal val="1"/>
              <c:showCatNam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0EAD-440A-938B-73199DDCAD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Val val="1"/>
            <c:showCatName val="1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'Avg Week Kiwatule-Najjeera-2Dir'!$C$9:$N$9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Kiwatule-Najjeera-2Dir'!$C$108:$N$108</c:f>
              <c:numCache>
                <c:formatCode>0.00%</c:formatCode>
                <c:ptCount val="12"/>
                <c:pt idx="0">
                  <c:v>0.67354738084774524</c:v>
                </c:pt>
                <c:pt idx="1">
                  <c:v>0.11376659859197406</c:v>
                </c:pt>
                <c:pt idx="2">
                  <c:v>4.6807813940662996E-2</c:v>
                </c:pt>
                <c:pt idx="3">
                  <c:v>0.12166843316185404</c:v>
                </c:pt>
                <c:pt idx="4">
                  <c:v>3.1839998621272041E-3</c:v>
                </c:pt>
                <c:pt idx="5">
                  <c:v>4.4808658411533059E-4</c:v>
                </c:pt>
                <c:pt idx="6">
                  <c:v>3.3042077053658366E-2</c:v>
                </c:pt>
                <c:pt idx="7">
                  <c:v>4.8987927513377966E-3</c:v>
                </c:pt>
                <c:pt idx="8">
                  <c:v>1.9689958551990972E-3</c:v>
                </c:pt>
                <c:pt idx="9">
                  <c:v>5.8165085438047724E-4</c:v>
                </c:pt>
                <c:pt idx="11">
                  <c:v>8.6170496945255884E-5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8-0EAD-440A-938B-73199DDCAD0D}"/>
            </c:ext>
          </c:extLst>
        </c:ser>
      </c:pie3DChart>
      <c:spPr>
        <a:noFill/>
        <a:ln>
          <a:noFill/>
        </a:ln>
        <a:effectLst/>
      </c:spPr>
    </c:plotArea>
    <c:plotVisOnly val="1"/>
    <c:dispBlanksAs val="zero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3" l="0.70000000000000062" r="0.70000000000000062" t="0.750000000000003" header="0.30000000000000032" footer="0.30000000000000032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37"/>
          <c:y val="2.6504260748158488E-2"/>
        </c:manualLayout>
      </c:layout>
      <c:spPr>
        <a:noFill/>
        <a:ln>
          <a:noFill/>
        </a:ln>
        <a:effectLst/>
      </c:spPr>
    </c:title>
    <c:plotArea>
      <c:layout/>
      <c:lineChart>
        <c:grouping val="standard"/>
        <c:ser>
          <c:idx val="0"/>
          <c:order val="0"/>
          <c:tx>
            <c:strRef>
              <c:f>'Avg Week Kiwatule-Najjeera-2Dir'!$AE$9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'Avg Week Kiwatule-Najjeera-2Dir'!$R$10:$R$33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Kiwatule-Najjeera-2Dir'!$AE$10:$AE$33</c:f>
              <c:numCache>
                <c:formatCode>0</c:formatCode>
                <c:ptCount val="24"/>
                <c:pt idx="0">
                  <c:v>899.71428571428578</c:v>
                </c:pt>
                <c:pt idx="1">
                  <c:v>914.14285714285711</c:v>
                </c:pt>
                <c:pt idx="2">
                  <c:v>774.71428571428555</c:v>
                </c:pt>
                <c:pt idx="3">
                  <c:v>788.42857142857133</c:v>
                </c:pt>
                <c:pt idx="4">
                  <c:v>784.85714285714266</c:v>
                </c:pt>
                <c:pt idx="5">
                  <c:v>791.57142857142856</c:v>
                </c:pt>
                <c:pt idx="6">
                  <c:v>681.85714285714289</c:v>
                </c:pt>
                <c:pt idx="7">
                  <c:v>682.99999999999989</c:v>
                </c:pt>
                <c:pt idx="8">
                  <c:v>745.14285714285711</c:v>
                </c:pt>
                <c:pt idx="9">
                  <c:v>860.57142857142856</c:v>
                </c:pt>
                <c:pt idx="10">
                  <c:v>930.14285714285722</c:v>
                </c:pt>
                <c:pt idx="11">
                  <c:v>953.28571428571433</c:v>
                </c:pt>
                <c:pt idx="12">
                  <c:v>908</c:v>
                </c:pt>
                <c:pt idx="13">
                  <c:v>871</c:v>
                </c:pt>
                <c:pt idx="14">
                  <c:v>946.5</c:v>
                </c:pt>
                <c:pt idx="15">
                  <c:v>919.5</c:v>
                </c:pt>
                <c:pt idx="16">
                  <c:v>757</c:v>
                </c:pt>
                <c:pt idx="17">
                  <c:v>513</c:v>
                </c:pt>
                <c:pt idx="18">
                  <c:v>282</c:v>
                </c:pt>
                <c:pt idx="19">
                  <c:v>256.5</c:v>
                </c:pt>
                <c:pt idx="20">
                  <c:v>215</c:v>
                </c:pt>
                <c:pt idx="21">
                  <c:v>212</c:v>
                </c:pt>
                <c:pt idx="22">
                  <c:v>295.5</c:v>
                </c:pt>
                <c:pt idx="23">
                  <c:v>595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9289-4DCF-B882-877A22CF008F}"/>
            </c:ext>
          </c:extLst>
        </c:ser>
        <c:ser>
          <c:idx val="1"/>
          <c:order val="1"/>
          <c:tx>
            <c:strRef>
              <c:f>'Avg Week Kiwatule-Najjeera-2Dir'!$AF$9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'Avg Week Kiwatule-Najjeera-2Dir'!$R$10:$R$33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Kiwatule-Najjeera-2Dir'!$AF$10:$AF$33</c:f>
              <c:numCache>
                <c:formatCode>0</c:formatCode>
                <c:ptCount val="24"/>
                <c:pt idx="0">
                  <c:v>1407.7142857142858</c:v>
                </c:pt>
                <c:pt idx="1">
                  <c:v>1508.2857142857142</c:v>
                </c:pt>
                <c:pt idx="2">
                  <c:v>1377.2857142857142</c:v>
                </c:pt>
                <c:pt idx="3">
                  <c:v>1333.5714285714284</c:v>
                </c:pt>
                <c:pt idx="4">
                  <c:v>1301.8571428571427</c:v>
                </c:pt>
                <c:pt idx="5">
                  <c:v>1297.4285714285716</c:v>
                </c:pt>
                <c:pt idx="6">
                  <c:v>1164.7142857142858</c:v>
                </c:pt>
                <c:pt idx="7">
                  <c:v>1136.4285714285713</c:v>
                </c:pt>
                <c:pt idx="8">
                  <c:v>1224.5714285714287</c:v>
                </c:pt>
                <c:pt idx="9">
                  <c:v>1332.1428571428573</c:v>
                </c:pt>
                <c:pt idx="10">
                  <c:v>1544.8571428571429</c:v>
                </c:pt>
                <c:pt idx="11">
                  <c:v>1616.1428571428573</c:v>
                </c:pt>
                <c:pt idx="12">
                  <c:v>1698.5</c:v>
                </c:pt>
                <c:pt idx="13">
                  <c:v>1577.5</c:v>
                </c:pt>
                <c:pt idx="14">
                  <c:v>1493.5</c:v>
                </c:pt>
                <c:pt idx="15">
                  <c:v>1455</c:v>
                </c:pt>
                <c:pt idx="16">
                  <c:v>1184</c:v>
                </c:pt>
                <c:pt idx="17">
                  <c:v>795.5</c:v>
                </c:pt>
                <c:pt idx="18">
                  <c:v>467</c:v>
                </c:pt>
                <c:pt idx="19">
                  <c:v>384.5</c:v>
                </c:pt>
                <c:pt idx="20">
                  <c:v>342.5</c:v>
                </c:pt>
                <c:pt idx="21">
                  <c:v>343.5</c:v>
                </c:pt>
                <c:pt idx="22">
                  <c:v>432</c:v>
                </c:pt>
                <c:pt idx="23">
                  <c:v>827.5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9289-4DCF-B882-877A22CF008F}"/>
            </c:ext>
          </c:extLst>
        </c:ser>
        <c:ser>
          <c:idx val="5"/>
          <c:order val="2"/>
          <c:tx>
            <c:strRef>
              <c:f>'Avg Week Kiwatule-Najjeera-2Dir'!$AC$9</c:f>
              <c:strCache>
                <c:ptCount val="1"/>
                <c:pt idx="0">
                  <c:v>11. Motorcycles</c:v>
                </c:pt>
              </c:strCache>
            </c:strRef>
          </c:tx>
          <c:cat>
            <c:strRef>
              <c:f>'Avg Week Kiwatule-Najjeera-2Dir'!$R$10:$R$33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Kiwatule-Najjeera-2Dir'!$AC$10:$AC$33</c:f>
              <c:numCache>
                <c:formatCode>0</c:formatCode>
                <c:ptCount val="24"/>
                <c:pt idx="0">
                  <c:v>508</c:v>
                </c:pt>
                <c:pt idx="1">
                  <c:v>594.14285714285722</c:v>
                </c:pt>
                <c:pt idx="2">
                  <c:v>602.57142857142856</c:v>
                </c:pt>
                <c:pt idx="3">
                  <c:v>545.14285714285711</c:v>
                </c:pt>
                <c:pt idx="4">
                  <c:v>517</c:v>
                </c:pt>
                <c:pt idx="5">
                  <c:v>505.85714285714289</c:v>
                </c:pt>
                <c:pt idx="6">
                  <c:v>482.85714285714283</c:v>
                </c:pt>
                <c:pt idx="7">
                  <c:v>453.42857142857144</c:v>
                </c:pt>
                <c:pt idx="8">
                  <c:v>479.42857142857144</c:v>
                </c:pt>
                <c:pt idx="9">
                  <c:v>471.57142857142861</c:v>
                </c:pt>
                <c:pt idx="10">
                  <c:v>614.71428571428567</c:v>
                </c:pt>
                <c:pt idx="11">
                  <c:v>662.85714285714289</c:v>
                </c:pt>
                <c:pt idx="12">
                  <c:v>790.5</c:v>
                </c:pt>
                <c:pt idx="13">
                  <c:v>706.5</c:v>
                </c:pt>
                <c:pt idx="14">
                  <c:v>547</c:v>
                </c:pt>
                <c:pt idx="15">
                  <c:v>535.5</c:v>
                </c:pt>
                <c:pt idx="16">
                  <c:v>427</c:v>
                </c:pt>
                <c:pt idx="17">
                  <c:v>282.5</c:v>
                </c:pt>
                <c:pt idx="18">
                  <c:v>185</c:v>
                </c:pt>
                <c:pt idx="19">
                  <c:v>128</c:v>
                </c:pt>
                <c:pt idx="20">
                  <c:v>127.5</c:v>
                </c:pt>
                <c:pt idx="21">
                  <c:v>131.5</c:v>
                </c:pt>
                <c:pt idx="22">
                  <c:v>136.5</c:v>
                </c:pt>
                <c:pt idx="23">
                  <c:v>232.5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A0DC-4269-83A4-9C67FBDC4481}"/>
            </c:ext>
          </c:extLst>
        </c:ser>
        <c:marker val="1"/>
        <c:axId val="107435136"/>
        <c:axId val="107436672"/>
      </c:lineChart>
      <c:catAx>
        <c:axId val="107435136"/>
        <c:scaling>
          <c:orientation val="minMax"/>
        </c:scaling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7436672"/>
        <c:crosses val="autoZero"/>
        <c:auto val="1"/>
        <c:lblAlgn val="ctr"/>
        <c:lblOffset val="100"/>
      </c:catAx>
      <c:valAx>
        <c:axId val="107436672"/>
        <c:scaling>
          <c:orientation val="minMax"/>
          <c:min val="0"/>
        </c:scaling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/>
          <c:spPr>
            <a:noFill/>
            <a:ln>
              <a:noFill/>
            </a:ln>
            <a:effectLst/>
          </c:spPr>
        </c:title>
        <c:numFmt formatCode="0" sourceLinked="1"/>
        <c:maj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7435136"/>
        <c:crosses val="autoZero"/>
        <c:crossBetween val="between"/>
        <c:majorUnit val="250"/>
      </c:valAx>
      <c:spPr>
        <a:noFill/>
        <a:ln>
          <a:noFill/>
        </a:ln>
        <a:effectLst/>
      </c:spPr>
    </c:plotArea>
    <c:legend>
      <c:legendPos val="b"/>
      <c:layout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Average Daily Traffic (ADT)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77"/>
          <c:y val="2.2543146495173142E-2"/>
        </c:manualLayout>
      </c:layout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.28983112308329878"/>
          <c:y val="0.10451566293824627"/>
          <c:w val="0.64701098217985964"/>
          <c:h val="0.78282496245212663"/>
        </c:manualLayout>
      </c:layout>
      <c:barChart>
        <c:barDir val="bar"/>
        <c:grouping val="clustered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'Avg Week Kiwatule-Najjeera-2Dir'!$S$9:$AF$9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'Avg Week Kiwatule-Najjeera-2Dir'!$S$41:$AF$41</c:f>
              <c:numCache>
                <c:formatCode>_-* #,##0_-;\-* #,##0_-;_-* "-"_-;_-@_-</c:formatCode>
                <c:ptCount val="14"/>
                <c:pt idx="0">
                  <c:v>11166.357142857145</c:v>
                </c:pt>
                <c:pt idx="1">
                  <c:v>1886.0714285714284</c:v>
                </c:pt>
                <c:pt idx="2">
                  <c:v>776</c:v>
                </c:pt>
                <c:pt idx="3">
                  <c:v>2017.0714285714284</c:v>
                </c:pt>
                <c:pt idx="4">
                  <c:v>52.785714285714285</c:v>
                </c:pt>
                <c:pt idx="5">
                  <c:v>7.4285714285714279</c:v>
                </c:pt>
                <c:pt idx="6">
                  <c:v>547.78571428571422</c:v>
                </c:pt>
                <c:pt idx="7">
                  <c:v>81.214285714285708</c:v>
                </c:pt>
                <c:pt idx="8">
                  <c:v>32.642857142857139</c:v>
                </c:pt>
                <c:pt idx="9">
                  <c:v>9.6428571428571423</c:v>
                </c:pt>
                <c:pt idx="10">
                  <c:v>10667.571428571428</c:v>
                </c:pt>
                <c:pt idx="11">
                  <c:v>1.4285714285714286</c:v>
                </c:pt>
                <c:pt idx="12">
                  <c:v>16578.428571428572</c:v>
                </c:pt>
                <c:pt idx="13">
                  <c:v>27246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684-4A20-879A-D9A0A0F90507}"/>
            </c:ext>
          </c:extLst>
        </c:ser>
        <c:dLbls>
          <c:showVal val="1"/>
        </c:dLbls>
        <c:gapWidth val="100"/>
        <c:axId val="107456384"/>
        <c:axId val="107457920"/>
      </c:barChart>
      <c:catAx>
        <c:axId val="107456384"/>
        <c:scaling>
          <c:orientation val="minMax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7457920"/>
        <c:crosses val="autoZero"/>
        <c:auto val="1"/>
        <c:lblAlgn val="ctr"/>
        <c:lblOffset val="100"/>
      </c:catAx>
      <c:valAx>
        <c:axId val="107457920"/>
        <c:scaling>
          <c:orientation val="minMax"/>
        </c:scaling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_-;_-@_-" sourceLinked="1"/>
        <c:maj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7456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Night Equivalent Factors (NEF)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77"/>
          <c:y val="2.2543146495173142E-2"/>
        </c:manualLayout>
      </c:layout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.28983112308329878"/>
          <c:y val="0.10451566293824627"/>
          <c:w val="0.64701098217985964"/>
          <c:h val="0.78282496245212663"/>
        </c:manualLayout>
      </c:layout>
      <c:barChart>
        <c:barDir val="bar"/>
        <c:grouping val="clustered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'Avg Week Kiwatule-Najjeera-2Dir'!$S$9:$AF$9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'Avg Week Kiwatule-Najjeera-2Dir'!$S$42:$AF$42</c:f>
              <c:numCache>
                <c:formatCode>0.000</c:formatCode>
                <c:ptCount val="14"/>
                <c:pt idx="0">
                  <c:v>1.7733222923000136</c:v>
                </c:pt>
                <c:pt idx="1">
                  <c:v>1.9001871042026484</c:v>
                </c:pt>
                <c:pt idx="2">
                  <c:v>1.4752851711026616</c:v>
                </c:pt>
                <c:pt idx="3">
                  <c:v>1.4189026228519748</c:v>
                </c:pt>
                <c:pt idx="4">
                  <c:v>1.3787313432835822</c:v>
                </c:pt>
                <c:pt idx="5">
                  <c:v>1.1555555555555557</c:v>
                </c:pt>
                <c:pt idx="6">
                  <c:v>1.291077441077441</c:v>
                </c:pt>
                <c:pt idx="7">
                  <c:v>1.2549668874172186</c:v>
                </c:pt>
                <c:pt idx="8">
                  <c:v>1.1598984771573606</c:v>
                </c:pt>
                <c:pt idx="9">
                  <c:v>1.1842105263157894</c:v>
                </c:pt>
                <c:pt idx="10">
                  <c:v>1.657080087876972</c:v>
                </c:pt>
                <c:pt idx="11">
                  <c:v>3.3333333333333335</c:v>
                </c:pt>
                <c:pt idx="12">
                  <c:v>1.6903950358328965</c:v>
                </c:pt>
                <c:pt idx="13">
                  <c:v>1.6771929824561405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684-4A20-879A-D9A0A0F90507}"/>
            </c:ext>
          </c:extLst>
        </c:ser>
        <c:dLbls>
          <c:showVal val="1"/>
        </c:dLbls>
        <c:gapWidth val="100"/>
        <c:axId val="107588608"/>
        <c:axId val="107705088"/>
      </c:barChart>
      <c:catAx>
        <c:axId val="107588608"/>
        <c:scaling>
          <c:orientation val="minMax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7705088"/>
        <c:crosses val="autoZero"/>
        <c:auto val="1"/>
        <c:lblAlgn val="ctr"/>
        <c:lblOffset val="100"/>
      </c:catAx>
      <c:valAx>
        <c:axId val="107705088"/>
        <c:scaling>
          <c:orientation val="minMax"/>
        </c:scaling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7588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" Type="http://schemas.openxmlformats.org/officeDocument/2006/relationships/chart" Target="../charts/chart1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3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7.xml"/><Relationship Id="rId1" Type="http://schemas.openxmlformats.org/officeDocument/2006/relationships/chart" Target="../charts/chart4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6.xml"/><Relationship Id="rId10" Type="http://schemas.openxmlformats.org/officeDocument/2006/relationships/image" Target="../media/image13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11.xml"/><Relationship Id="rId1" Type="http://schemas.openxmlformats.org/officeDocument/2006/relationships/chart" Target="../charts/chart8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10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" Type="http://schemas.openxmlformats.org/officeDocument/2006/relationships/chart" Target="../charts/chart12.xml"/><Relationship Id="rId6" Type="http://schemas.openxmlformats.org/officeDocument/2006/relationships/image" Target="../media/image5.emf"/><Relationship Id="rId11" Type="http://schemas.openxmlformats.org/officeDocument/2006/relationships/image" Target="../media/image15.jpeg"/><Relationship Id="rId5" Type="http://schemas.openxmlformats.org/officeDocument/2006/relationships/image" Target="../media/image4.emf"/><Relationship Id="rId15" Type="http://schemas.openxmlformats.org/officeDocument/2006/relationships/chart" Target="../charts/chart14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13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18.xml"/><Relationship Id="rId1" Type="http://schemas.openxmlformats.org/officeDocument/2006/relationships/chart" Target="../charts/chart15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17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16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22.xml"/><Relationship Id="rId1" Type="http://schemas.openxmlformats.org/officeDocument/2006/relationships/chart" Target="../charts/chart19.xml"/><Relationship Id="rId6" Type="http://schemas.openxmlformats.org/officeDocument/2006/relationships/image" Target="../media/image5.emf"/><Relationship Id="rId11" Type="http://schemas.openxmlformats.org/officeDocument/2006/relationships/image" Target="../media/image15.jpeg"/><Relationship Id="rId5" Type="http://schemas.openxmlformats.org/officeDocument/2006/relationships/image" Target="../media/image4.emf"/><Relationship Id="rId15" Type="http://schemas.openxmlformats.org/officeDocument/2006/relationships/chart" Target="../charts/chart21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0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6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" Type="http://schemas.openxmlformats.org/officeDocument/2006/relationships/chart" Target="../charts/chart23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25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4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" Type="http://schemas.openxmlformats.org/officeDocument/2006/relationships/chart" Target="../charts/chart26.xml"/><Relationship Id="rId6" Type="http://schemas.openxmlformats.org/officeDocument/2006/relationships/image" Target="../media/image5.emf"/><Relationship Id="rId11" Type="http://schemas.openxmlformats.org/officeDocument/2006/relationships/image" Target="../media/image17.jpeg"/><Relationship Id="rId5" Type="http://schemas.openxmlformats.org/officeDocument/2006/relationships/image" Target="../media/image4.emf"/><Relationship Id="rId15" Type="http://schemas.openxmlformats.org/officeDocument/2006/relationships/chart" Target="../charts/chart28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7.xml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32.xml"/><Relationship Id="rId1" Type="http://schemas.openxmlformats.org/officeDocument/2006/relationships/chart" Target="../charts/chart29.xml"/><Relationship Id="rId6" Type="http://schemas.openxmlformats.org/officeDocument/2006/relationships/image" Target="../media/image5.emf"/><Relationship Id="rId11" Type="http://schemas.openxmlformats.org/officeDocument/2006/relationships/image" Target="../media/image15.jpeg"/><Relationship Id="rId5" Type="http://schemas.openxmlformats.org/officeDocument/2006/relationships/image" Target="../media/image4.emf"/><Relationship Id="rId15" Type="http://schemas.openxmlformats.org/officeDocument/2006/relationships/chart" Target="../charts/chart31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30.xml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8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36.xml"/><Relationship Id="rId1" Type="http://schemas.openxmlformats.org/officeDocument/2006/relationships/chart" Target="../charts/chart33.xml"/><Relationship Id="rId6" Type="http://schemas.openxmlformats.org/officeDocument/2006/relationships/image" Target="../media/image5.emf"/><Relationship Id="rId11" Type="http://schemas.openxmlformats.org/officeDocument/2006/relationships/image" Target="../media/image15.jpeg"/><Relationship Id="rId5" Type="http://schemas.openxmlformats.org/officeDocument/2006/relationships/image" Target="../media/image4.emf"/><Relationship Id="rId15" Type="http://schemas.openxmlformats.org/officeDocument/2006/relationships/chart" Target="../charts/chart35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34.xml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" Type="http://schemas.openxmlformats.org/officeDocument/2006/relationships/chart" Target="../charts/chart37.xml"/><Relationship Id="rId6" Type="http://schemas.openxmlformats.org/officeDocument/2006/relationships/image" Target="../media/image5.emf"/><Relationship Id="rId11" Type="http://schemas.openxmlformats.org/officeDocument/2006/relationships/image" Target="../media/image17.jpeg"/><Relationship Id="rId5" Type="http://schemas.openxmlformats.org/officeDocument/2006/relationships/image" Target="../media/image4.emf"/><Relationship Id="rId15" Type="http://schemas.openxmlformats.org/officeDocument/2006/relationships/chart" Target="../charts/chart39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38.xml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" Type="http://schemas.openxmlformats.org/officeDocument/2006/relationships/chart" Target="../charts/chart40.xml"/><Relationship Id="rId6" Type="http://schemas.openxmlformats.org/officeDocument/2006/relationships/image" Target="../media/image5.emf"/><Relationship Id="rId11" Type="http://schemas.openxmlformats.org/officeDocument/2006/relationships/image" Target="../media/image15.jpeg"/><Relationship Id="rId5" Type="http://schemas.openxmlformats.org/officeDocument/2006/relationships/image" Target="../media/image4.emf"/><Relationship Id="rId15" Type="http://schemas.openxmlformats.org/officeDocument/2006/relationships/chart" Target="../charts/chart42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41.xml"/></Relationships>
</file>

<file path=xl/drawings/_rels/drawing13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46.xml"/><Relationship Id="rId1" Type="http://schemas.openxmlformats.org/officeDocument/2006/relationships/chart" Target="../charts/chart43.xml"/><Relationship Id="rId6" Type="http://schemas.openxmlformats.org/officeDocument/2006/relationships/image" Target="../media/image5.emf"/><Relationship Id="rId11" Type="http://schemas.openxmlformats.org/officeDocument/2006/relationships/image" Target="../media/image15.jpeg"/><Relationship Id="rId5" Type="http://schemas.openxmlformats.org/officeDocument/2006/relationships/image" Target="../media/image4.emf"/><Relationship Id="rId15" Type="http://schemas.openxmlformats.org/officeDocument/2006/relationships/chart" Target="../charts/chart45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44.xml"/></Relationships>
</file>

<file path=xl/drawings/_rels/drawing14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50.xml"/><Relationship Id="rId1" Type="http://schemas.openxmlformats.org/officeDocument/2006/relationships/chart" Target="../charts/chart47.xml"/><Relationship Id="rId6" Type="http://schemas.openxmlformats.org/officeDocument/2006/relationships/image" Target="../media/image5.emf"/><Relationship Id="rId11" Type="http://schemas.openxmlformats.org/officeDocument/2006/relationships/image" Target="../media/image15.jpeg"/><Relationship Id="rId5" Type="http://schemas.openxmlformats.org/officeDocument/2006/relationships/image" Target="../media/image4.emf"/><Relationship Id="rId15" Type="http://schemas.openxmlformats.org/officeDocument/2006/relationships/chart" Target="../charts/chart49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48.xml"/></Relationships>
</file>

<file path=xl/drawings/_rels/drawing15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54.xml"/><Relationship Id="rId1" Type="http://schemas.openxmlformats.org/officeDocument/2006/relationships/chart" Target="../charts/chart51.xml"/><Relationship Id="rId6" Type="http://schemas.openxmlformats.org/officeDocument/2006/relationships/image" Target="../media/image5.emf"/><Relationship Id="rId11" Type="http://schemas.openxmlformats.org/officeDocument/2006/relationships/image" Target="../media/image15.jpeg"/><Relationship Id="rId5" Type="http://schemas.openxmlformats.org/officeDocument/2006/relationships/image" Target="../media/image4.emf"/><Relationship Id="rId15" Type="http://schemas.openxmlformats.org/officeDocument/2006/relationships/chart" Target="../charts/chart53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52.xml"/></Relationships>
</file>

<file path=xl/drawings/_rels/drawing16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58.xml"/><Relationship Id="rId1" Type="http://schemas.openxmlformats.org/officeDocument/2006/relationships/chart" Target="../charts/chart55.xml"/><Relationship Id="rId6" Type="http://schemas.openxmlformats.org/officeDocument/2006/relationships/image" Target="../media/image5.emf"/><Relationship Id="rId11" Type="http://schemas.openxmlformats.org/officeDocument/2006/relationships/image" Target="../media/image15.jpeg"/><Relationship Id="rId5" Type="http://schemas.openxmlformats.org/officeDocument/2006/relationships/image" Target="../media/image4.emf"/><Relationship Id="rId15" Type="http://schemas.openxmlformats.org/officeDocument/2006/relationships/chart" Target="../charts/chart57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56.xml"/></Relationships>
</file>

<file path=xl/drawings/_rels/drawing17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chart" Target="../charts/chart59.xml"/><Relationship Id="rId18" Type="http://schemas.openxmlformats.org/officeDocument/2006/relationships/chart" Target="../charts/chart64.xml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9.jpeg"/><Relationship Id="rId17" Type="http://schemas.openxmlformats.org/officeDocument/2006/relationships/chart" Target="../charts/chart63.xml"/><Relationship Id="rId2" Type="http://schemas.openxmlformats.org/officeDocument/2006/relationships/image" Target="../media/image2.emf"/><Relationship Id="rId16" Type="http://schemas.openxmlformats.org/officeDocument/2006/relationships/chart" Target="../charts/chart62.xml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jpeg"/><Relationship Id="rId5" Type="http://schemas.openxmlformats.org/officeDocument/2006/relationships/image" Target="../media/image5.emf"/><Relationship Id="rId15" Type="http://schemas.openxmlformats.org/officeDocument/2006/relationships/chart" Target="../charts/chart61.xml"/><Relationship Id="rId10" Type="http://schemas.openxmlformats.org/officeDocument/2006/relationships/image" Target="../media/image15.jpeg"/><Relationship Id="rId4" Type="http://schemas.openxmlformats.org/officeDocument/2006/relationships/image" Target="../media/image4.emf"/><Relationship Id="rId9" Type="http://schemas.openxmlformats.org/officeDocument/2006/relationships/image" Target="../media/image9.jpeg"/><Relationship Id="rId14" Type="http://schemas.openxmlformats.org/officeDocument/2006/relationships/chart" Target="../charts/chart6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211CFC8F-8205-41F9-9B66-3FB509C1B3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B69668C2-2D94-4C8C-96DE-2CD1278FFA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33500" y="1673906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="" xmlns:a16="http://schemas.microsoft.com/office/drawing/2014/main" id="{2C5BC59C-7E3C-4E1F-91A2-6F538DE49D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117311" y="1670737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="" xmlns:a16="http://schemas.microsoft.com/office/drawing/2014/main" id="{2B6741EE-101A-4A6F-997F-922F9E44B8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025475" y="1687514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="" xmlns:a16="http://schemas.microsoft.com/office/drawing/2014/main" id="{B1DAA80F-C131-44FF-BDF1-CA9E99769D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627613" y="1691935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="" xmlns:a16="http://schemas.microsoft.com/office/drawing/2014/main" id="{D7F46918-8C1C-4569-909D-FD12E8C597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469001" y="1736837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="" xmlns:a16="http://schemas.microsoft.com/office/drawing/2014/main" id="{EF735D66-9CA4-4254-B9CE-F7C19D9AC2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170720" y="1702028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="" xmlns:a16="http://schemas.microsoft.com/office/drawing/2014/main" id="{AF74CF17-906F-46A6-B2D3-E4FB5B997C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042565" y="1674812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="" xmlns:a16="http://schemas.microsoft.com/office/drawing/2014/main" id="{7A836CBE-E43B-4747-B456-ED2BC6AB95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510155" y="1646689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="" xmlns:a16="http://schemas.microsoft.com/office/drawing/2014/main" id="{23D52FEC-A071-4566-B75B-A8B46F3354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4861479" y="1693368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="" xmlns:a16="http://schemas.microsoft.com/office/drawing/2014/main" id="{9522811C-AE7E-45C3-999C-EFC5CE53D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797259" y="1646690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="" xmlns:a16="http://schemas.microsoft.com/office/drawing/2014/main" id="{C3FAFA0F-5253-46F9-B5E5-09FCA768E3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163548" y="1666875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="" xmlns:a16="http://schemas.microsoft.com/office/drawing/2014/main" id="{5E2D3460-AF99-4CF8-B315-BC15BD18C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237448" y="1615168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="" xmlns:a16="http://schemas.microsoft.com/office/drawing/2014/main" id="{7CCF053B-5EE4-4D1D-9765-55AB84E67D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="" xmlns:a16="http://schemas.microsoft.com/office/drawing/2014/main" id="{9D8383C4-2A7E-4FD9-8219-0A81ADCB04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2C2C0347-031E-41BF-9698-B9D2F9703D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74A14BA3-34AF-404D-9061-B4634F44D4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="" xmlns:a16="http://schemas.microsoft.com/office/drawing/2014/main" id="{DBFC2162-A6BC-4391-9A69-3D8C5544F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="" xmlns:a16="http://schemas.microsoft.com/office/drawing/2014/main" id="{9E3FA3AE-9984-4154-B374-4610ED1E6D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="" xmlns:a16="http://schemas.microsoft.com/office/drawing/2014/main" id="{E2528374-C385-4D0B-BC3C-A1B06CB69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="" xmlns:a16="http://schemas.microsoft.com/office/drawing/2014/main" id="{C3FE29D3-8F89-4F3F-84DA-37414C1B5B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="" xmlns:a16="http://schemas.microsoft.com/office/drawing/2014/main" id="{82C67768-AB9B-43C5-9CF9-EED2366D95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="" xmlns:a16="http://schemas.microsoft.com/office/drawing/2014/main" id="{AF28159B-FC13-4FCA-ADF6-4FEC6C3824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="" xmlns:a16="http://schemas.microsoft.com/office/drawing/2014/main" id="{E30E89F1-CD3B-4869-AE97-8EFA49009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="" xmlns:a16="http://schemas.microsoft.com/office/drawing/2014/main" id="{16B891E8-B6FF-4446-BB0E-8326D5C83C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="" xmlns:a16="http://schemas.microsoft.com/office/drawing/2014/main" id="{F3A3F91A-FB1F-4FA7-8EC9-86727745CB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="" xmlns:a16="http://schemas.microsoft.com/office/drawing/2014/main" id="{AC9AAF4C-3770-465C-8BD4-005CF82346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="" xmlns:a16="http://schemas.microsoft.com/office/drawing/2014/main" id="{795FF5EB-DAD7-4CB9-A84F-7E6DCE4CA1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="" xmlns:a16="http://schemas.microsoft.com/office/drawing/2014/main" id="{C3A10EFF-54D3-42C6-A641-4F2C5D8BB0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="" xmlns:a16="http://schemas.microsoft.com/office/drawing/2014/main" id="{2897E610-198F-4797-B1DD-819E571F08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="" xmlns:a16="http://schemas.microsoft.com/office/drawing/2014/main" id="{98581BB7-4A56-4ADF-96B2-6F63A98F5A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9C61C7AC-8404-4FB2-9E2A-96A3009AB2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0685E319-E1D8-4517-B949-556C3CE302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="" xmlns:a16="http://schemas.microsoft.com/office/drawing/2014/main" id="{3BB457DF-B5A1-410D-9BB1-A95BB7E5D9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="" xmlns:a16="http://schemas.microsoft.com/office/drawing/2014/main" id="{230BB277-1955-4EDC-9A5C-BC7DCD1244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="" xmlns:a16="http://schemas.microsoft.com/office/drawing/2014/main" id="{CE017E93-72EF-48E2-831E-CD7D7EEB4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="" xmlns:a16="http://schemas.microsoft.com/office/drawing/2014/main" id="{7DFF92E4-C563-4536-987C-D24D1C7463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="" xmlns:a16="http://schemas.microsoft.com/office/drawing/2014/main" id="{79BCA9A5-16A1-413D-8FBC-CB7CC854FD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="" xmlns:a16="http://schemas.microsoft.com/office/drawing/2014/main" id="{B408C7D7-F161-4A8D-ACEC-EB041736E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="" xmlns:a16="http://schemas.microsoft.com/office/drawing/2014/main" id="{497CD0D3-73F8-42EC-85C5-3E1C385FA7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="" xmlns:a16="http://schemas.microsoft.com/office/drawing/2014/main" id="{3FD549FA-B008-417E-BF85-75D96392B8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="" xmlns:a16="http://schemas.microsoft.com/office/drawing/2014/main" id="{0D5A0C7D-7BAB-4935-8EE1-FEC5A375CD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="" xmlns:a16="http://schemas.microsoft.com/office/drawing/2014/main" id="{91C839DE-231F-4ACD-86F3-F59FB50EF0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="" xmlns:a16="http://schemas.microsoft.com/office/drawing/2014/main" id="{2D641106-2317-4F80-87C7-C13B5FB048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="" xmlns:a16="http://schemas.microsoft.com/office/drawing/2014/main" id="{E4D0AED3-3098-4D8D-B25D-9F5581AA5D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="" xmlns:a16="http://schemas.microsoft.com/office/drawing/2014/main" id="{E3CB3AE0-43BD-4850-9667-0DE1DC5258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="" xmlns:a16="http://schemas.microsoft.com/office/drawing/2014/main" id="{EEA84219-10C6-4B19-97B2-1D4D595AB4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E9B00FFE-DD09-45A9-B33F-4C450DB096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6173AE11-444F-4EC3-B71E-F539F0647A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="" xmlns:a16="http://schemas.microsoft.com/office/drawing/2014/main" id="{4FD4C580-EC77-4048-AC2B-2BD67560D2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="" xmlns:a16="http://schemas.microsoft.com/office/drawing/2014/main" id="{39518047-B158-4835-92F8-EAC36AEE48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="" xmlns:a16="http://schemas.microsoft.com/office/drawing/2014/main" id="{D97311B7-08BF-42A8-ACEC-0D016FD3D5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="" xmlns:a16="http://schemas.microsoft.com/office/drawing/2014/main" id="{2A0F041C-2D0D-4BAC-ACDD-966BB38494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="" xmlns:a16="http://schemas.microsoft.com/office/drawing/2014/main" id="{0FD4D835-662A-4596-8863-F9E128B037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="" xmlns:a16="http://schemas.microsoft.com/office/drawing/2014/main" id="{5DCEF17B-C14E-47EA-AF5C-30EE46F71D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="" xmlns:a16="http://schemas.microsoft.com/office/drawing/2014/main" id="{ACA8A7C0-DB2A-4BCE-8988-68C272C05D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="" xmlns:a16="http://schemas.microsoft.com/office/drawing/2014/main" id="{210A3017-8013-4BF0-B56E-544ABCD026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="" xmlns:a16="http://schemas.microsoft.com/office/drawing/2014/main" id="{A2E5C341-0FBD-4FBD-A30D-34D8094520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="" xmlns:a16="http://schemas.microsoft.com/office/drawing/2014/main" id="{41FAE38C-A41A-46F2-AA04-7F38CF91F9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="" xmlns:a16="http://schemas.microsoft.com/office/drawing/2014/main" id="{3486FF56-DA39-420A-9E58-7B3F931CC9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="" xmlns:a16="http://schemas.microsoft.com/office/drawing/2014/main" id="{2313355F-B328-417E-8CC5-FCD157B1FE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="" xmlns:a16="http://schemas.microsoft.com/office/drawing/2014/main" id="{F5BCD592-340E-492C-96BD-36C9FC5425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6C078940-D67E-4802-9FBB-4F55C4BD16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D0530FB7-75AB-4825-A797-D7AA75235D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="" xmlns:a16="http://schemas.microsoft.com/office/drawing/2014/main" id="{135A41DF-59D0-4AD7-92C6-E962F44A87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="" xmlns:a16="http://schemas.microsoft.com/office/drawing/2014/main" id="{FCCC58F1-3EDC-423C-B2A6-04BAD9A48C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="" xmlns:a16="http://schemas.microsoft.com/office/drawing/2014/main" id="{CDBBFF5B-347F-438A-8A35-2E65D31C3D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="" xmlns:a16="http://schemas.microsoft.com/office/drawing/2014/main" id="{8A571D3F-AFC5-4A01-A84E-8CEB978B6B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="" xmlns:a16="http://schemas.microsoft.com/office/drawing/2014/main" id="{86F93436-8CDE-45F1-868D-1F76FB4087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="" xmlns:a16="http://schemas.microsoft.com/office/drawing/2014/main" id="{6F520AE7-EC71-4888-B58B-81185D1654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="" xmlns:a16="http://schemas.microsoft.com/office/drawing/2014/main" id="{B92A2E0E-4AE9-4466-BC9C-5763893482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="" xmlns:a16="http://schemas.microsoft.com/office/drawing/2014/main" id="{D090FDE7-E4CB-4E22-B076-5707B6D0E8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="" xmlns:a16="http://schemas.microsoft.com/office/drawing/2014/main" id="{F4AD34A0-4ABD-4539-AB95-A0B25A4F58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="" xmlns:a16="http://schemas.microsoft.com/office/drawing/2014/main" id="{D73990A3-EB40-4A65-9507-E2A0F49D17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="" xmlns:a16="http://schemas.microsoft.com/office/drawing/2014/main" id="{E3078063-06B0-4C57-8381-301B07C378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="" xmlns:a16="http://schemas.microsoft.com/office/drawing/2014/main" id="{F4096C3F-CC05-4533-A944-12E0A90C97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="" xmlns:a16="http://schemas.microsoft.com/office/drawing/2014/main" id="{A82EA7F7-7ED0-4466-A41A-9E4F7CA51E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="" xmlns:a16="http://schemas.microsoft.com/office/drawing/2014/main" id="{D05ED10C-2476-4BCE-8984-47C0B6FAA0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70FDDE2E-EA38-4B4D-8F37-64E25CE883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62A60D40-9565-4BE5-885C-69774B7BDB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="" xmlns:a16="http://schemas.microsoft.com/office/drawing/2014/main" id="{08DA518A-CF2C-4098-A02A-1FEED12B5F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="" xmlns:a16="http://schemas.microsoft.com/office/drawing/2014/main" id="{FD7427E8-FCCB-4B05-902E-94004146B6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="" xmlns:a16="http://schemas.microsoft.com/office/drawing/2014/main" id="{C457C5FA-4230-45D3-9BEA-5E77FB0BF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="" xmlns:a16="http://schemas.microsoft.com/office/drawing/2014/main" id="{30933819-0678-4844-93F6-365B817E19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="" xmlns:a16="http://schemas.microsoft.com/office/drawing/2014/main" id="{02CCF32F-F899-4E8E-B169-C557ED0E33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="" xmlns:a16="http://schemas.microsoft.com/office/drawing/2014/main" id="{0923289F-04AC-42EC-BEB0-F19B76801E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="" xmlns:a16="http://schemas.microsoft.com/office/drawing/2014/main" id="{BC56928B-5F6F-4CA9-95A8-F399437D49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="" xmlns:a16="http://schemas.microsoft.com/office/drawing/2014/main" id="{CFF91CBE-F1A9-4733-8633-AD10A781A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="" xmlns:a16="http://schemas.microsoft.com/office/drawing/2014/main" id="{C6E00A70-5769-4FF4-BE23-24F31F7307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="" xmlns:a16="http://schemas.microsoft.com/office/drawing/2014/main" id="{96B68D07-B3D3-4201-B269-156425BE3D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="" xmlns:a16="http://schemas.microsoft.com/office/drawing/2014/main" id="{C49B6ACB-2E8A-4F79-8D8F-272D6FB94C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="" xmlns:a16="http://schemas.microsoft.com/office/drawing/2014/main" id="{81D804CD-FF7D-4398-800E-A1697F34FD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="" xmlns:a16="http://schemas.microsoft.com/office/drawing/2014/main" id="{124A468D-B7E9-45D8-994D-4AB3845E96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="" xmlns:a16="http://schemas.microsoft.com/office/drawing/2014/main" id="{6B99EDFE-EFBB-4B74-9F4F-C15AA0D8AF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8D5A5A00-3F3E-4DBA-AD14-690787A24F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695E51A4-0F43-47FB-BCAE-F51F8BAACF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="" xmlns:a16="http://schemas.microsoft.com/office/drawing/2014/main" id="{D630DFB9-D4D4-4CDE-A91B-F1DC724995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="" xmlns:a16="http://schemas.microsoft.com/office/drawing/2014/main" id="{E932A2E4-E7EE-409F-AC15-01426DB593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="" xmlns:a16="http://schemas.microsoft.com/office/drawing/2014/main" id="{8FE05EDC-131A-4C10-9500-FACF491A9A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="" xmlns:a16="http://schemas.microsoft.com/office/drawing/2014/main" id="{C5C7BC54-4C0E-49B3-A8E3-B116B62A4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="" xmlns:a16="http://schemas.microsoft.com/office/drawing/2014/main" id="{B51489E6-558E-4134-87C8-4C1F569F60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="" xmlns:a16="http://schemas.microsoft.com/office/drawing/2014/main" id="{09A18647-F6CB-4D27-8E90-6AF05A1712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="" xmlns:a16="http://schemas.microsoft.com/office/drawing/2014/main" id="{690289A6-A003-456F-90CE-D799661B1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="" xmlns:a16="http://schemas.microsoft.com/office/drawing/2014/main" id="{90214C5D-5BBD-405E-BE0F-3B23F9C84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="" xmlns:a16="http://schemas.microsoft.com/office/drawing/2014/main" id="{92887784-3C03-4F6B-9C5B-394BAA31B6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="" xmlns:a16="http://schemas.microsoft.com/office/drawing/2014/main" id="{3BBA41DC-5511-41C0-B5A4-3930BD242F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="" xmlns:a16="http://schemas.microsoft.com/office/drawing/2014/main" id="{FA733BC1-F32D-4BE4-972B-658A1C0D2B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="" xmlns:a16="http://schemas.microsoft.com/office/drawing/2014/main" id="{30AC53BB-20A6-473E-8FE0-88E6F885D6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7" name="Chart 16">
          <a:extLst>
            <a:ext uri="{FF2B5EF4-FFF2-40B4-BE49-F238E27FC236}">
              <a16:creationId xmlns="" xmlns:a16="http://schemas.microsoft.com/office/drawing/2014/main" id="{709E55AF-4406-4A38-AA5A-2F1F9B7080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CBE5B84F-E7F9-4888-8364-5155D46635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AB9F8FE3-434C-498C-B69C-5D6653FA2A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="" xmlns:a16="http://schemas.microsoft.com/office/drawing/2014/main" id="{792E213C-AC12-4AB2-8177-5988196C59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="" xmlns:a16="http://schemas.microsoft.com/office/drawing/2014/main" id="{46E9F966-108A-437A-BA82-30567CD847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="" xmlns:a16="http://schemas.microsoft.com/office/drawing/2014/main" id="{333210A5-3608-4FA6-A870-15F7A148EC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="" xmlns:a16="http://schemas.microsoft.com/office/drawing/2014/main" id="{AD2E9C6A-86FC-43C8-ACC5-4E8F1D7C16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="" xmlns:a16="http://schemas.microsoft.com/office/drawing/2014/main" id="{23849C80-1C79-4E58-BCA0-DADFCCC7DD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="" xmlns:a16="http://schemas.microsoft.com/office/drawing/2014/main" id="{91F0B3A3-2D65-4925-A130-ACE32C1696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="" xmlns:a16="http://schemas.microsoft.com/office/drawing/2014/main" id="{B5C815D1-3DC3-49D4-8EC4-F0F9844C71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="" xmlns:a16="http://schemas.microsoft.com/office/drawing/2014/main" id="{27392CC8-C478-4740-9F98-E794DD0671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="" xmlns:a16="http://schemas.microsoft.com/office/drawing/2014/main" id="{F394D704-B477-44ED-9B81-731CE82146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="" xmlns:a16="http://schemas.microsoft.com/office/drawing/2014/main" id="{D99B64C7-FCB5-4657-9490-6332A3AC50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="" xmlns:a16="http://schemas.microsoft.com/office/drawing/2014/main" id="{3180EDBA-E56F-4F40-8629-7FA88E9F3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="" xmlns:a16="http://schemas.microsoft.com/office/drawing/2014/main" id="{41715DD5-608D-41A8-9BD9-0CBABB14A2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6" name="Chart 15">
          <a:extLst>
            <a:ext uri="{FF2B5EF4-FFF2-40B4-BE49-F238E27FC236}">
              <a16:creationId xmlns="" xmlns:a16="http://schemas.microsoft.com/office/drawing/2014/main" id="{E418EF71-2456-4AC3-8C28-8D9EEDDA71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DCD83B4B-FDF8-4F87-8F75-60637E0F59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EF2E341C-99E0-4E94-B000-EF651B159E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="" xmlns:a16="http://schemas.microsoft.com/office/drawing/2014/main" id="{4357BF90-5E78-4CE9-8F6D-17919CF931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="" xmlns:a16="http://schemas.microsoft.com/office/drawing/2014/main" id="{D2510501-ECDE-4C26-91A3-A96646FDA7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="" xmlns:a16="http://schemas.microsoft.com/office/drawing/2014/main" id="{D27C0573-D332-492A-A3A7-3FE018587C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="" xmlns:a16="http://schemas.microsoft.com/office/drawing/2014/main" id="{0F8BE280-8189-4E91-A8F8-A2BBBB1D1F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="" xmlns:a16="http://schemas.microsoft.com/office/drawing/2014/main" id="{0908D9BF-8405-4431-A904-8C08188A36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="" xmlns:a16="http://schemas.microsoft.com/office/drawing/2014/main" id="{7D73E152-1E1E-4B07-9426-D9D662F02C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="" xmlns:a16="http://schemas.microsoft.com/office/drawing/2014/main" id="{FF81ADE5-C017-481D-AC00-CAB3F2681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="" xmlns:a16="http://schemas.microsoft.com/office/drawing/2014/main" id="{BA66D135-723A-4789-B7B4-ECA20A0FFC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="" xmlns:a16="http://schemas.microsoft.com/office/drawing/2014/main" id="{8A303E91-D188-4198-9869-D6544838D9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="" xmlns:a16="http://schemas.microsoft.com/office/drawing/2014/main" id="{B3035FD1-0A58-44C6-B7CB-2E208566C2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="" xmlns:a16="http://schemas.microsoft.com/office/drawing/2014/main" id="{F414DE2D-8B57-4FC6-B505-2EE9020AA5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="" xmlns:a16="http://schemas.microsoft.com/office/drawing/2014/main" id="{B1441D28-4BFD-464B-AA5C-64C94D1712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="" xmlns:a16="http://schemas.microsoft.com/office/drawing/2014/main" id="{4812AF20-09AA-4DDA-9975-7AE7B3E294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="" xmlns:a16="http://schemas.microsoft.com/office/drawing/2014/main" id="{E2C644DC-E669-4020-AC88-491A3FEAB6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5AE50EFE-1DE0-4F36-B48C-A69FF36114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C5EBDA1F-EC34-4EA9-976D-6289DE0FB9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="" xmlns:a16="http://schemas.microsoft.com/office/drawing/2014/main" id="{A8A6D516-6369-4DF7-976B-FBD3A1EF04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="" xmlns:a16="http://schemas.microsoft.com/office/drawing/2014/main" id="{C2BF08E9-0317-45DF-9764-5E2AFD153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="" xmlns:a16="http://schemas.microsoft.com/office/drawing/2014/main" id="{78647EFF-C4C1-44C3-AC8E-F40BB82E12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="" xmlns:a16="http://schemas.microsoft.com/office/drawing/2014/main" id="{8484C3A2-0AA3-4E8E-A647-EBD805BB49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="" xmlns:a16="http://schemas.microsoft.com/office/drawing/2014/main" id="{72C3E48D-2F03-4F5E-8402-482EEA7BC3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="" xmlns:a16="http://schemas.microsoft.com/office/drawing/2014/main" id="{77F25959-7B9A-4DD0-8D16-556A4E809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="" xmlns:a16="http://schemas.microsoft.com/office/drawing/2014/main" id="{5A704E06-1314-4D2D-8CBA-81BD622C6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="" xmlns:a16="http://schemas.microsoft.com/office/drawing/2014/main" id="{0F8145C8-FE4D-4244-A206-AA0C05319B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="" xmlns:a16="http://schemas.microsoft.com/office/drawing/2014/main" id="{79485777-7D50-46B6-965E-65B58F2D54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="" xmlns:a16="http://schemas.microsoft.com/office/drawing/2014/main" id="{A656E12E-5B01-4152-825E-79993A11E0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="" xmlns:a16="http://schemas.microsoft.com/office/drawing/2014/main" id="{D957C12B-D8EF-4055-B4D0-7E0011F8E1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="" xmlns:a16="http://schemas.microsoft.com/office/drawing/2014/main" id="{EF5C02A8-A5EC-4B9F-85CB-E1BEE4C52D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="" xmlns:a16="http://schemas.microsoft.com/office/drawing/2014/main" id="{D6B69222-0397-44E0-9C74-708D4A6DBD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="" xmlns:a16="http://schemas.microsoft.com/office/drawing/2014/main" id="{62A5628F-C824-44D7-A41E-75796BEF00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5A000981-BCC2-455D-92B1-84DD7DCCBD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F067BD92-CB62-48CA-9DD0-D7D774A437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="" xmlns:a16="http://schemas.microsoft.com/office/drawing/2014/main" id="{39B28062-6AFE-4011-AC68-49C6148E77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="" xmlns:a16="http://schemas.microsoft.com/office/drawing/2014/main" id="{06BBE398-A56C-48CA-BFC1-610BFA1F68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="" xmlns:a16="http://schemas.microsoft.com/office/drawing/2014/main" id="{DE16943D-B516-40D0-9F97-98CDF8795F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="" xmlns:a16="http://schemas.microsoft.com/office/drawing/2014/main" id="{13D749C9-5906-4CCA-B152-603DD1B861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="" xmlns:a16="http://schemas.microsoft.com/office/drawing/2014/main" id="{D11ACD35-E8D5-49D7-8A70-A0EE7F2387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="" xmlns:a16="http://schemas.microsoft.com/office/drawing/2014/main" id="{A3A3C7FF-69D9-458C-90FE-961D7820FC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="" xmlns:a16="http://schemas.microsoft.com/office/drawing/2014/main" id="{36C6BECF-838E-467B-9866-1751A3FA86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="" xmlns:a16="http://schemas.microsoft.com/office/drawing/2014/main" id="{48C437B6-5E45-41B7-A976-1F2FE4714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="" xmlns:a16="http://schemas.microsoft.com/office/drawing/2014/main" id="{4B44EA52-C439-4105-8E19-92FF5E0EEE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="" xmlns:a16="http://schemas.microsoft.com/office/drawing/2014/main" id="{792DAE31-610C-4B7C-92D5-87E8242420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="" xmlns:a16="http://schemas.microsoft.com/office/drawing/2014/main" id="{BC5A4F1F-083B-416F-92CC-4CB874426E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="" xmlns:a16="http://schemas.microsoft.com/office/drawing/2014/main" id="{28D37E80-8382-43D6-89E4-90052E5CA7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6" name="Chart 15">
          <a:extLst>
            <a:ext uri="{FF2B5EF4-FFF2-40B4-BE49-F238E27FC236}">
              <a16:creationId xmlns="" xmlns:a16="http://schemas.microsoft.com/office/drawing/2014/main" id="{9B672CC8-D710-48E5-AB41-49A38A9B5F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5090FA51-49AF-4CA3-893F-A6307CD377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AF387249-FF27-4F30-987E-FC22E7B52B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="" xmlns:a16="http://schemas.microsoft.com/office/drawing/2014/main" id="{BA32569C-9E75-463F-ACBE-CF56B22E1B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="" xmlns:a16="http://schemas.microsoft.com/office/drawing/2014/main" id="{792D3384-2668-4564-822A-662D7C8E54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="" xmlns:a16="http://schemas.microsoft.com/office/drawing/2014/main" id="{E13CE831-D300-49E1-8F9A-D08884AEE1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="" xmlns:a16="http://schemas.microsoft.com/office/drawing/2014/main" id="{29E34F9B-964E-4D0D-A88C-FC65CFB865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="" xmlns:a16="http://schemas.microsoft.com/office/drawing/2014/main" id="{ED160651-F549-4C3F-909F-ED55905A27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="" xmlns:a16="http://schemas.microsoft.com/office/drawing/2014/main" id="{00F2A909-B6DE-424E-A030-5AE73C58F1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="" xmlns:a16="http://schemas.microsoft.com/office/drawing/2014/main" id="{973ED4A3-7329-4B47-96A7-1D4BAF08AB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="" xmlns:a16="http://schemas.microsoft.com/office/drawing/2014/main" id="{58E7A2BB-1E98-4723-BFA1-4F9AE59328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="" xmlns:a16="http://schemas.microsoft.com/office/drawing/2014/main" id="{88646930-FD6D-4C3B-BCD4-B71CD49281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="" xmlns:a16="http://schemas.microsoft.com/office/drawing/2014/main" id="{E787FB74-CC8A-46EC-9323-5806E88426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="" xmlns:a16="http://schemas.microsoft.com/office/drawing/2014/main" id="{FA5AD1D5-6AEB-4429-B00D-A6CE4C8EDD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="" xmlns:a16="http://schemas.microsoft.com/office/drawing/2014/main" id="{5F200170-D06E-4657-AE7F-2C965A096B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6" name="Chart 15">
          <a:extLst>
            <a:ext uri="{FF2B5EF4-FFF2-40B4-BE49-F238E27FC236}">
              <a16:creationId xmlns="" xmlns:a16="http://schemas.microsoft.com/office/drawing/2014/main" id="{D7BEA8A8-6B06-44C3-9B82-A3448FA4E5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53769D03-56A4-48BA-B708-B148277AB3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62B164D1-D3A6-4F49-9915-40FB592F1B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="" xmlns:a16="http://schemas.microsoft.com/office/drawing/2014/main" id="{3CE22DE1-2830-460C-AD37-672B9EDF9D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="" xmlns:a16="http://schemas.microsoft.com/office/drawing/2014/main" id="{F4B4FF9F-7500-457A-A8E0-459FE0B6B5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="" xmlns:a16="http://schemas.microsoft.com/office/drawing/2014/main" id="{D0ABC7C4-EBC7-43FB-81F4-8FD3DD6945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="" xmlns:a16="http://schemas.microsoft.com/office/drawing/2014/main" id="{41605433-CB66-4379-9010-6F98A56B22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="" xmlns:a16="http://schemas.microsoft.com/office/drawing/2014/main" id="{49160004-F210-483C-B162-76455BE521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="" xmlns:a16="http://schemas.microsoft.com/office/drawing/2014/main" id="{11BE1DF2-A9D8-4961-907D-55040170AD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="" xmlns:a16="http://schemas.microsoft.com/office/drawing/2014/main" id="{AB691F47-86A4-4229-906C-ECE96BF798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="" xmlns:a16="http://schemas.microsoft.com/office/drawing/2014/main" id="{0DDFCDC9-1F96-4F74-B537-4F2AFC05E9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="" xmlns:a16="http://schemas.microsoft.com/office/drawing/2014/main" id="{D5EF5D29-A47E-4AF8-85B3-1374B4F6A7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="" xmlns:a16="http://schemas.microsoft.com/office/drawing/2014/main" id="{ACABD53E-2D47-4AB7-9914-01C65DBFFA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="" xmlns:a16="http://schemas.microsoft.com/office/drawing/2014/main" id="{70D1C830-FF5D-4624-ABBF-4B163D9A5D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="" xmlns:a16="http://schemas.microsoft.com/office/drawing/2014/main" id="{9FCDC906-6885-45D8-83E7-FFBB67A632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="" xmlns:a16="http://schemas.microsoft.com/office/drawing/2014/main" id="{EE1C5C6E-100B-42E3-92B6-502B45D5AB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="" xmlns:a16="http://schemas.microsoft.com/office/drawing/2014/main" id="{A8EE9ABE-75B0-4BCE-B434-CB5CBADB77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D24D07F7-A505-4739-B386-7B6D7DD089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60BBC979-15AA-4A11-9224-18E0E7CF6E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="" xmlns:a16="http://schemas.microsoft.com/office/drawing/2014/main" id="{41B8E3D4-7E5F-418C-BBAF-8F5F6270B8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="" xmlns:a16="http://schemas.microsoft.com/office/drawing/2014/main" id="{0D05A13E-1128-4A13-B522-6EF66121E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="" xmlns:a16="http://schemas.microsoft.com/office/drawing/2014/main" id="{207A79A5-DE2C-43B6-93E8-029BEE79CC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="" xmlns:a16="http://schemas.microsoft.com/office/drawing/2014/main" id="{6335A27C-6117-4ADE-BAD3-8B5E13539C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="" xmlns:a16="http://schemas.microsoft.com/office/drawing/2014/main" id="{E099A6C3-B976-4FB8-8A58-5E45F6D0F1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="" xmlns:a16="http://schemas.microsoft.com/office/drawing/2014/main" id="{8EA27B75-11E2-47C3-92D0-E1274591C9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="" xmlns:a16="http://schemas.microsoft.com/office/drawing/2014/main" id="{2DE68A34-6B83-4CE1-B89D-93C3D05F7C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="" xmlns:a16="http://schemas.microsoft.com/office/drawing/2014/main" id="{AA6CD2C4-2193-49F0-A361-74A7AAA290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="" xmlns:a16="http://schemas.microsoft.com/office/drawing/2014/main" id="{89D090DF-78EB-40DF-8A6D-54E8002AB2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="" xmlns:a16="http://schemas.microsoft.com/office/drawing/2014/main" id="{8CC2D505-B814-4153-9006-3734F69121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="" xmlns:a16="http://schemas.microsoft.com/office/drawing/2014/main" id="{9849053B-C2A2-4B10-B63A-9FD0112A14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="" xmlns:a16="http://schemas.microsoft.com/office/drawing/2014/main" id="{F75497C2-F34C-49E6-A4E9-41E13AD164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="" xmlns:a16="http://schemas.microsoft.com/office/drawing/2014/main" id="{944922A7-8790-46BB-B71A-6BD4B4C9DF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="" xmlns:a16="http://schemas.microsoft.com/office/drawing/2014/main" id="{7F0904D3-4B8A-474B-86E5-F1190B2850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178711</xdr:colOff>
      <xdr:row>49</xdr:row>
      <xdr:rowOff>244474</xdr:rowOff>
    </xdr:from>
    <xdr:to>
      <xdr:col>24</xdr:col>
      <xdr:colOff>619126</xdr:colOff>
      <xdr:row>64</xdr:row>
      <xdr:rowOff>37649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406C45E2-77C7-4510-884F-FEF0715DDB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219AEE80-7130-4FE5-8DCD-05DF10B8C2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="" xmlns:a16="http://schemas.microsoft.com/office/drawing/2014/main" id="{B3E1E659-91F2-4594-978C-33DD6417A5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="" xmlns:a16="http://schemas.microsoft.com/office/drawing/2014/main" id="{82B73A80-E2E3-4174-B73D-D61B63E600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="" xmlns:a16="http://schemas.microsoft.com/office/drawing/2014/main" id="{7E46CF73-4595-47F7-B47F-2B24A9AA94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="" xmlns:a16="http://schemas.microsoft.com/office/drawing/2014/main" id="{D7AF59A5-69EA-4554-923B-279A64D6C4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="" xmlns:a16="http://schemas.microsoft.com/office/drawing/2014/main" id="{400AE0E0-9A4F-45E2-BBB2-010A32C6E9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="" xmlns:a16="http://schemas.microsoft.com/office/drawing/2014/main" id="{47AD0C11-87DE-4860-AEB0-7F2EB944A6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="" xmlns:a16="http://schemas.microsoft.com/office/drawing/2014/main" id="{DB53AA64-9B63-48C4-86C6-C93F947459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="" xmlns:a16="http://schemas.microsoft.com/office/drawing/2014/main" id="{FA31503D-49F8-4886-9D79-D1CF778316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="" xmlns:a16="http://schemas.microsoft.com/office/drawing/2014/main" id="{D89B662C-1BD4-43B0-ACB7-D5C2088AE0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="" xmlns:a16="http://schemas.microsoft.com/office/drawing/2014/main" id="{C2C04AF1-D698-4B62-BF42-BE1F9D58FB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="" xmlns:a16="http://schemas.microsoft.com/office/drawing/2014/main" id="{906F0358-DE0D-42DF-9D85-A89ACE8339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25</xdr:col>
      <xdr:colOff>47625</xdr:colOff>
      <xdr:row>50</xdr:row>
      <xdr:rowOff>25400</xdr:rowOff>
    </xdr:from>
    <xdr:to>
      <xdr:col>32</xdr:col>
      <xdr:colOff>222249</xdr:colOff>
      <xdr:row>64</xdr:row>
      <xdr:rowOff>111125</xdr:rowOff>
    </xdr:to>
    <xdr:graphicFrame macro="">
      <xdr:nvGraphicFramePr>
        <xdr:cNvPr id="15" name="Chart 14">
          <a:extLst>
            <a:ext uri="{FF2B5EF4-FFF2-40B4-BE49-F238E27FC236}">
              <a16:creationId xmlns="" xmlns:a16="http://schemas.microsoft.com/office/drawing/2014/main" id="{872B518F-3318-457A-AD2F-F257EB81D5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107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="" xmlns:a16="http://schemas.microsoft.com/office/drawing/2014/main" id="{70528A59-0010-4D7E-82B3-4199F0C179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396875</xdr:colOff>
      <xdr:row>65</xdr:row>
      <xdr:rowOff>238125</xdr:rowOff>
    </xdr:from>
    <xdr:to>
      <xdr:col>31</xdr:col>
      <xdr:colOff>682624</xdr:colOff>
      <xdr:row>79</xdr:row>
      <xdr:rowOff>254000</xdr:rowOff>
    </xdr:to>
    <xdr:graphicFrame macro="">
      <xdr:nvGraphicFramePr>
        <xdr:cNvPr id="17" name="Chart 16">
          <a:extLst>
            <a:ext uri="{FF2B5EF4-FFF2-40B4-BE49-F238E27FC236}">
              <a16:creationId xmlns="" xmlns:a16="http://schemas.microsoft.com/office/drawing/2014/main" id="{F07B1E9E-4942-4AD4-98C8-E1AF836600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4086</xdr:colOff>
      <xdr:row>46</xdr:row>
      <xdr:rowOff>38099</xdr:rowOff>
    </xdr:from>
    <xdr:to>
      <xdr:col>24</xdr:col>
      <xdr:colOff>285751</xdr:colOff>
      <xdr:row>60</xdr:row>
      <xdr:rowOff>117024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70B270C2-815D-4851-AC3C-4EA46B2C64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1A68EABE-F73F-486D-BB3C-5805225122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="" xmlns:a16="http://schemas.microsoft.com/office/drawing/2014/main" id="{F9A39479-5D94-439F-AAAE-4B1288B89B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="" xmlns:a16="http://schemas.microsoft.com/office/drawing/2014/main" id="{0A639D45-A3C5-49D6-8FD7-337DBA8703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="" xmlns:a16="http://schemas.microsoft.com/office/drawing/2014/main" id="{A32685D6-892C-43F5-AFA8-62F9167E79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="" xmlns:a16="http://schemas.microsoft.com/office/drawing/2014/main" id="{CCB110D7-9219-4421-AE6E-5DABBB7FCC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="" xmlns:a16="http://schemas.microsoft.com/office/drawing/2014/main" id="{DCC9CC16-C5B8-4879-9435-5E3796BA4A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="" xmlns:a16="http://schemas.microsoft.com/office/drawing/2014/main" id="{A9D0DABC-8D47-4952-A548-79AF3DF1FA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="" xmlns:a16="http://schemas.microsoft.com/office/drawing/2014/main" id="{AF999087-E9AB-4F93-B9EF-BE24ADD193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="" xmlns:a16="http://schemas.microsoft.com/office/drawing/2014/main" id="{6963AAD9-4121-45A3-93F6-094DAF14FE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="" xmlns:a16="http://schemas.microsoft.com/office/drawing/2014/main" id="{9B7D99CA-796E-4A36-B9D3-FD180F1A83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="" xmlns:a16="http://schemas.microsoft.com/office/drawing/2014/main" id="{7C936931-6EFD-4A74-AEA9-47EEB365E2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="" xmlns:a16="http://schemas.microsoft.com/office/drawing/2014/main" id="{F200DC7B-A120-4F30-A5FF-185ED29C03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555625</xdr:colOff>
      <xdr:row>46</xdr:row>
      <xdr:rowOff>88900</xdr:rowOff>
    </xdr:from>
    <xdr:to>
      <xdr:col>32</xdr:col>
      <xdr:colOff>15874</xdr:colOff>
      <xdr:row>60</xdr:row>
      <xdr:rowOff>174625</xdr:rowOff>
    </xdr:to>
    <xdr:graphicFrame macro="">
      <xdr:nvGraphicFramePr>
        <xdr:cNvPr id="15" name="Chart 14">
          <a:extLst>
            <a:ext uri="{FF2B5EF4-FFF2-40B4-BE49-F238E27FC236}">
              <a16:creationId xmlns="" xmlns:a16="http://schemas.microsoft.com/office/drawing/2014/main" id="{57033F9A-A642-43E1-B688-5FBA3AD22A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107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="" xmlns:a16="http://schemas.microsoft.com/office/drawing/2014/main" id="{BB52FC5F-8151-4468-9056-5691CAE9EC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17</xdr:col>
      <xdr:colOff>111125</xdr:colOff>
      <xdr:row>62</xdr:row>
      <xdr:rowOff>111125</xdr:rowOff>
    </xdr:from>
    <xdr:to>
      <xdr:col>24</xdr:col>
      <xdr:colOff>603250</xdr:colOff>
      <xdr:row>77</xdr:row>
      <xdr:rowOff>79375</xdr:rowOff>
    </xdr:to>
    <xdr:graphicFrame macro="">
      <xdr:nvGraphicFramePr>
        <xdr:cNvPr id="17" name="Chart 16">
          <a:extLst>
            <a:ext uri="{FF2B5EF4-FFF2-40B4-BE49-F238E27FC236}">
              <a16:creationId xmlns="" xmlns:a16="http://schemas.microsoft.com/office/drawing/2014/main" id="{0288892E-53EA-4DAD-967C-F738DF767C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9092412C-BA1C-4D34-B971-DE0C210453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="" xmlns:a16="http://schemas.microsoft.com/office/drawing/2014/main" id="{213F6493-22B5-43D3-89E3-9CBBD5F672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="" xmlns:a16="http://schemas.microsoft.com/office/drawing/2014/main" id="{66A6F653-AFF5-4987-B236-C85A1CE131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="" xmlns:a16="http://schemas.microsoft.com/office/drawing/2014/main" id="{BB621B9F-62A3-4E5A-AFD4-DC12703D4B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="" xmlns:a16="http://schemas.microsoft.com/office/drawing/2014/main" id="{2AE15982-C002-4BDF-96C3-22A45DA5C7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="" xmlns:a16="http://schemas.microsoft.com/office/drawing/2014/main" id="{B3C3AB7B-75D5-418A-958E-EACBF65A12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="" xmlns:a16="http://schemas.microsoft.com/office/drawing/2014/main" id="{60CF7CE4-A85A-4C22-9DC3-5893508098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="" xmlns:a16="http://schemas.microsoft.com/office/drawing/2014/main" id="{E90AC934-2ABE-477D-8A15-38EFC09415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="" xmlns:a16="http://schemas.microsoft.com/office/drawing/2014/main" id="{2E53BA24-BE44-430F-9803-6A8B6CB29F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="" xmlns:a16="http://schemas.microsoft.com/office/drawing/2014/main" id="{11BA8E67-A1DD-42EA-85BC-CB4649F507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="" xmlns:a16="http://schemas.microsoft.com/office/drawing/2014/main" id="{FAA7FF40-C1FE-4D4D-88B0-F8E6F92136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="" xmlns:a16="http://schemas.microsoft.com/office/drawing/2014/main" id="{165D294B-6A53-4A12-9BC4-B2A9462DB2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61</xdr:row>
      <xdr:rowOff>215900</xdr:rowOff>
    </xdr:from>
    <xdr:to>
      <xdr:col>23</xdr:col>
      <xdr:colOff>682624</xdr:colOff>
      <xdr:row>76</xdr:row>
      <xdr:rowOff>15875</xdr:rowOff>
    </xdr:to>
    <xdr:graphicFrame macro="">
      <xdr:nvGraphicFramePr>
        <xdr:cNvPr id="15" name="Chart 14">
          <a:extLst>
            <a:ext uri="{FF2B5EF4-FFF2-40B4-BE49-F238E27FC236}">
              <a16:creationId xmlns="" xmlns:a16="http://schemas.microsoft.com/office/drawing/2014/main" id="{9829EB85-A50A-4379-94F7-6C2E31DC19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107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="" xmlns:a16="http://schemas.microsoft.com/office/drawing/2014/main" id="{D8F92F88-806A-4199-BEC1-803EE1E419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17</xdr:col>
      <xdr:colOff>15876</xdr:colOff>
      <xdr:row>76</xdr:row>
      <xdr:rowOff>238125</xdr:rowOff>
    </xdr:from>
    <xdr:to>
      <xdr:col>23</xdr:col>
      <xdr:colOff>619126</xdr:colOff>
      <xdr:row>93</xdr:row>
      <xdr:rowOff>174625</xdr:rowOff>
    </xdr:to>
    <xdr:graphicFrame macro="">
      <xdr:nvGraphicFramePr>
        <xdr:cNvPr id="17" name="Chart 16">
          <a:extLst>
            <a:ext uri="{FF2B5EF4-FFF2-40B4-BE49-F238E27FC236}">
              <a16:creationId xmlns="" xmlns:a16="http://schemas.microsoft.com/office/drawing/2014/main" id="{603DD9D7-E468-486E-B0CF-46B1770E47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18</xdr:col>
      <xdr:colOff>0</xdr:colOff>
      <xdr:row>45</xdr:row>
      <xdr:rowOff>0</xdr:rowOff>
    </xdr:from>
    <xdr:to>
      <xdr:col>29</xdr:col>
      <xdr:colOff>440414</xdr:colOff>
      <xdr:row>60</xdr:row>
      <xdr:rowOff>215903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xmlns="" id="{1F3C755B-FA06-4641-8226-864954F6E9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24</xdr:col>
      <xdr:colOff>95250</xdr:colOff>
      <xdr:row>61</xdr:row>
      <xdr:rowOff>111125</xdr:rowOff>
    </xdr:from>
    <xdr:to>
      <xdr:col>31</xdr:col>
      <xdr:colOff>79375</xdr:colOff>
      <xdr:row>77</xdr:row>
      <xdr:rowOff>109538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xmlns="" id="{23627A04-1E0E-4C3A-8B25-FA92ABCB63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24</xdr:col>
      <xdr:colOff>111125</xdr:colOff>
      <xdr:row>78</xdr:row>
      <xdr:rowOff>15875</xdr:rowOff>
    </xdr:from>
    <xdr:to>
      <xdr:col>31</xdr:col>
      <xdr:colOff>95250</xdr:colOff>
      <xdr:row>94</xdr:row>
      <xdr:rowOff>30163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xmlns="" id="{7CD2BF54-C297-4A9B-8975-0C4CE3D1A6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AF126"/>
  <sheetViews>
    <sheetView view="pageBreakPreview" zoomScale="60" workbookViewId="0">
      <selection activeCell="M57" sqref="M57"/>
    </sheetView>
  </sheetViews>
  <sheetFormatPr defaultColWidth="15" defaultRowHeight="20.100000000000001" customHeight="1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>
      <c r="B1" s="60" t="s">
        <v>23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</row>
    <row r="2" spans="2:32" ht="20.100000000000001" customHeight="1">
      <c r="B2" s="61" t="s">
        <v>95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</row>
    <row r="3" spans="2:32" ht="20.100000000000001" customHeight="1">
      <c r="B3" s="21" t="s">
        <v>96</v>
      </c>
      <c r="C3" s="62" t="s">
        <v>165</v>
      </c>
      <c r="D3" s="62"/>
      <c r="E3" s="62"/>
      <c r="F3" s="62"/>
      <c r="G3" s="62"/>
      <c r="H3" s="21"/>
      <c r="I3" s="21"/>
      <c r="J3" s="21"/>
      <c r="K3" s="21"/>
      <c r="L3" s="21"/>
      <c r="M3" s="21"/>
      <c r="N3" s="21"/>
      <c r="O3" s="21"/>
      <c r="P3" s="21"/>
    </row>
    <row r="4" spans="2:32" ht="20.100000000000001" customHeight="1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>
      <c r="C5" s="4" t="s">
        <v>3</v>
      </c>
      <c r="D5" s="36" t="s">
        <v>168</v>
      </c>
      <c r="E5" s="3"/>
      <c r="F5" s="41" t="s">
        <v>1</v>
      </c>
      <c r="G5" s="57" t="s">
        <v>169</v>
      </c>
      <c r="H5" s="58"/>
      <c r="I5" s="14"/>
      <c r="J5" s="2" t="s">
        <v>5</v>
      </c>
      <c r="K5" s="57" t="s">
        <v>183</v>
      </c>
      <c r="L5" s="58"/>
      <c r="M5" s="10"/>
      <c r="N5" s="10"/>
      <c r="O5" s="3"/>
      <c r="P5" s="3"/>
    </row>
    <row r="6" spans="2:32" ht="23.25" customHeight="1">
      <c r="C6" s="2" t="s">
        <v>4</v>
      </c>
      <c r="D6" s="57" t="s">
        <v>166</v>
      </c>
      <c r="E6" s="58"/>
      <c r="F6" s="2" t="s">
        <v>2</v>
      </c>
      <c r="G6" s="57" t="s">
        <v>167</v>
      </c>
      <c r="H6" s="58"/>
      <c r="J6" s="2" t="s">
        <v>21</v>
      </c>
      <c r="K6" s="57" t="s">
        <v>163</v>
      </c>
      <c r="L6" s="58"/>
      <c r="M6" s="10"/>
      <c r="N6" s="10"/>
      <c r="O6" s="3"/>
      <c r="P6" s="3"/>
    </row>
    <row r="7" spans="2:32" ht="20.100000000000001" customHeight="1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9" t="s">
        <v>88</v>
      </c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</row>
    <row r="9" spans="2:32" ht="51.75" customHeight="1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>
      <c r="B10" s="23" t="s">
        <v>37</v>
      </c>
      <c r="C10" s="50">
        <v>94</v>
      </c>
      <c r="D10" s="50">
        <v>19</v>
      </c>
      <c r="E10" s="50">
        <v>11</v>
      </c>
      <c r="F10" s="50">
        <v>22</v>
      </c>
      <c r="G10" s="50">
        <v>0</v>
      </c>
      <c r="H10" s="50">
        <v>0</v>
      </c>
      <c r="I10" s="50">
        <v>2</v>
      </c>
      <c r="J10" s="50">
        <v>4</v>
      </c>
      <c r="K10" s="50">
        <v>1</v>
      </c>
      <c r="L10" s="50">
        <v>2</v>
      </c>
      <c r="M10" s="50">
        <v>80</v>
      </c>
      <c r="N10" s="50">
        <v>0</v>
      </c>
      <c r="O10" s="15">
        <f t="shared" ref="O10:O57" si="0">SUM(C10:L10,N10)</f>
        <v>155</v>
      </c>
      <c r="P10" s="15">
        <f t="shared" ref="P10:P57" si="1">SUM(C10:N10)</f>
        <v>235</v>
      </c>
      <c r="R10" s="1" t="s">
        <v>6</v>
      </c>
      <c r="S10" s="17">
        <f t="shared" ref="S10:AF10" si="2">SUM(C10:C13)</f>
        <v>383</v>
      </c>
      <c r="T10" s="17">
        <f t="shared" si="2"/>
        <v>80</v>
      </c>
      <c r="U10" s="17">
        <f t="shared" si="2"/>
        <v>59</v>
      </c>
      <c r="V10" s="17">
        <f t="shared" si="2"/>
        <v>75</v>
      </c>
      <c r="W10" s="17">
        <f t="shared" si="2"/>
        <v>0</v>
      </c>
      <c r="X10" s="17">
        <f t="shared" si="2"/>
        <v>0</v>
      </c>
      <c r="Y10" s="17">
        <f t="shared" si="2"/>
        <v>11</v>
      </c>
      <c r="Z10" s="17">
        <f t="shared" si="2"/>
        <v>10</v>
      </c>
      <c r="AA10" s="17">
        <f t="shared" si="2"/>
        <v>3</v>
      </c>
      <c r="AB10" s="17">
        <f t="shared" si="2"/>
        <v>3</v>
      </c>
      <c r="AC10" s="17">
        <f t="shared" si="2"/>
        <v>370</v>
      </c>
      <c r="AD10" s="17">
        <f t="shared" si="2"/>
        <v>0</v>
      </c>
      <c r="AE10" s="31">
        <f t="shared" si="2"/>
        <v>624</v>
      </c>
      <c r="AF10" s="31">
        <f t="shared" si="2"/>
        <v>994</v>
      </c>
    </row>
    <row r="11" spans="2:32" s="6" customFormat="1" ht="23.1" customHeight="1">
      <c r="B11" s="23" t="s">
        <v>38</v>
      </c>
      <c r="C11" s="50">
        <v>93</v>
      </c>
      <c r="D11" s="50">
        <v>22</v>
      </c>
      <c r="E11" s="50">
        <v>16</v>
      </c>
      <c r="F11" s="50">
        <v>13</v>
      </c>
      <c r="G11" s="50">
        <v>0</v>
      </c>
      <c r="H11" s="50">
        <v>0</v>
      </c>
      <c r="I11" s="50">
        <v>1</v>
      </c>
      <c r="J11" s="50">
        <v>0</v>
      </c>
      <c r="K11" s="50">
        <v>2</v>
      </c>
      <c r="L11" s="50">
        <v>0</v>
      </c>
      <c r="M11" s="50">
        <v>100</v>
      </c>
      <c r="N11" s="50">
        <v>0</v>
      </c>
      <c r="O11" s="15">
        <f t="shared" si="0"/>
        <v>147</v>
      </c>
      <c r="P11" s="15">
        <f t="shared" si="1"/>
        <v>247</v>
      </c>
      <c r="R11" s="1" t="s">
        <v>7</v>
      </c>
      <c r="S11" s="17">
        <f t="shared" ref="S11:AF11" si="3">SUM(C14:C17)</f>
        <v>346</v>
      </c>
      <c r="T11" s="17">
        <f t="shared" si="3"/>
        <v>97</v>
      </c>
      <c r="U11" s="17">
        <f t="shared" si="3"/>
        <v>61</v>
      </c>
      <c r="V11" s="17">
        <f t="shared" si="3"/>
        <v>108</v>
      </c>
      <c r="W11" s="17">
        <f t="shared" si="3"/>
        <v>0</v>
      </c>
      <c r="X11" s="17">
        <f t="shared" si="3"/>
        <v>0</v>
      </c>
      <c r="Y11" s="17">
        <f t="shared" si="3"/>
        <v>9</v>
      </c>
      <c r="Z11" s="17">
        <f t="shared" si="3"/>
        <v>3</v>
      </c>
      <c r="AA11" s="17">
        <f t="shared" si="3"/>
        <v>4</v>
      </c>
      <c r="AB11" s="17">
        <f t="shared" si="3"/>
        <v>2</v>
      </c>
      <c r="AC11" s="17">
        <f t="shared" si="3"/>
        <v>280</v>
      </c>
      <c r="AD11" s="17">
        <f t="shared" si="3"/>
        <v>0</v>
      </c>
      <c r="AE11" s="31">
        <f t="shared" si="3"/>
        <v>630</v>
      </c>
      <c r="AF11" s="31">
        <f t="shared" si="3"/>
        <v>910</v>
      </c>
    </row>
    <row r="12" spans="2:32" ht="23.1" customHeight="1">
      <c r="B12" s="23" t="s">
        <v>39</v>
      </c>
      <c r="C12" s="50">
        <v>96</v>
      </c>
      <c r="D12" s="50">
        <v>18</v>
      </c>
      <c r="E12" s="50">
        <v>13</v>
      </c>
      <c r="F12" s="50">
        <v>19</v>
      </c>
      <c r="G12" s="50">
        <v>0</v>
      </c>
      <c r="H12" s="50">
        <v>0</v>
      </c>
      <c r="I12" s="50">
        <v>6</v>
      </c>
      <c r="J12" s="50">
        <v>5</v>
      </c>
      <c r="K12" s="50">
        <v>0</v>
      </c>
      <c r="L12" s="50">
        <v>1</v>
      </c>
      <c r="M12" s="50">
        <v>110</v>
      </c>
      <c r="N12" s="50">
        <v>0</v>
      </c>
      <c r="O12" s="15">
        <f t="shared" si="0"/>
        <v>158</v>
      </c>
      <c r="P12" s="15">
        <f t="shared" si="1"/>
        <v>268</v>
      </c>
      <c r="R12" s="1" t="s">
        <v>8</v>
      </c>
      <c r="S12" s="17">
        <f t="shared" ref="S12:AF12" si="4">SUM(C18:C21)</f>
        <v>364</v>
      </c>
      <c r="T12" s="17">
        <f t="shared" si="4"/>
        <v>55</v>
      </c>
      <c r="U12" s="17">
        <f t="shared" si="4"/>
        <v>38</v>
      </c>
      <c r="V12" s="17">
        <f t="shared" si="4"/>
        <v>58</v>
      </c>
      <c r="W12" s="17">
        <f t="shared" si="4"/>
        <v>0</v>
      </c>
      <c r="X12" s="17">
        <f t="shared" si="4"/>
        <v>0</v>
      </c>
      <c r="Y12" s="17">
        <f t="shared" si="4"/>
        <v>9</v>
      </c>
      <c r="Z12" s="17">
        <f t="shared" si="4"/>
        <v>1</v>
      </c>
      <c r="AA12" s="17">
        <f t="shared" si="4"/>
        <v>0</v>
      </c>
      <c r="AB12" s="17">
        <f t="shared" si="4"/>
        <v>0</v>
      </c>
      <c r="AC12" s="17">
        <f t="shared" si="4"/>
        <v>376</v>
      </c>
      <c r="AD12" s="17">
        <f t="shared" si="4"/>
        <v>0</v>
      </c>
      <c r="AE12" s="31">
        <f t="shared" si="4"/>
        <v>525</v>
      </c>
      <c r="AF12" s="31">
        <f t="shared" si="4"/>
        <v>901</v>
      </c>
    </row>
    <row r="13" spans="2:32" ht="23.1" customHeight="1">
      <c r="B13" s="23" t="s">
        <v>40</v>
      </c>
      <c r="C13" s="50">
        <v>100</v>
      </c>
      <c r="D13" s="50">
        <v>21</v>
      </c>
      <c r="E13" s="50">
        <v>19</v>
      </c>
      <c r="F13" s="50">
        <v>21</v>
      </c>
      <c r="G13" s="50">
        <v>0</v>
      </c>
      <c r="H13" s="50">
        <v>0</v>
      </c>
      <c r="I13" s="50">
        <v>2</v>
      </c>
      <c r="J13" s="50">
        <v>1</v>
      </c>
      <c r="K13" s="50">
        <v>0</v>
      </c>
      <c r="L13" s="50">
        <v>0</v>
      </c>
      <c r="M13" s="50">
        <v>80</v>
      </c>
      <c r="N13" s="50">
        <v>0</v>
      </c>
      <c r="O13" s="15">
        <f t="shared" si="0"/>
        <v>164</v>
      </c>
      <c r="P13" s="15">
        <f t="shared" si="1"/>
        <v>244</v>
      </c>
      <c r="R13" s="1" t="s">
        <v>9</v>
      </c>
      <c r="S13" s="17">
        <f t="shared" ref="S13:AF13" si="5">SUM(C22:C25)</f>
        <v>372</v>
      </c>
      <c r="T13" s="17">
        <f t="shared" si="5"/>
        <v>61</v>
      </c>
      <c r="U13" s="17">
        <f t="shared" si="5"/>
        <v>40</v>
      </c>
      <c r="V13" s="17">
        <f t="shared" si="5"/>
        <v>64</v>
      </c>
      <c r="W13" s="17">
        <f t="shared" si="5"/>
        <v>0</v>
      </c>
      <c r="X13" s="17">
        <f t="shared" si="5"/>
        <v>0</v>
      </c>
      <c r="Y13" s="17">
        <f t="shared" si="5"/>
        <v>10</v>
      </c>
      <c r="Z13" s="17">
        <f t="shared" si="5"/>
        <v>15</v>
      </c>
      <c r="AA13" s="17">
        <f t="shared" si="5"/>
        <v>1</v>
      </c>
      <c r="AB13" s="17">
        <f t="shared" si="5"/>
        <v>0</v>
      </c>
      <c r="AC13" s="17">
        <f t="shared" si="5"/>
        <v>335</v>
      </c>
      <c r="AD13" s="17">
        <f t="shared" si="5"/>
        <v>0</v>
      </c>
      <c r="AE13" s="31">
        <f t="shared" si="5"/>
        <v>563</v>
      </c>
      <c r="AF13" s="31">
        <f t="shared" si="5"/>
        <v>898</v>
      </c>
    </row>
    <row r="14" spans="2:32" ht="23.1" customHeight="1">
      <c r="B14" s="23" t="s">
        <v>41</v>
      </c>
      <c r="C14" s="50">
        <v>86</v>
      </c>
      <c r="D14" s="50">
        <v>28</v>
      </c>
      <c r="E14" s="50">
        <v>11</v>
      </c>
      <c r="F14" s="50">
        <v>32</v>
      </c>
      <c r="G14" s="50">
        <v>0</v>
      </c>
      <c r="H14" s="50">
        <v>0</v>
      </c>
      <c r="I14" s="50">
        <v>4</v>
      </c>
      <c r="J14" s="50">
        <v>1</v>
      </c>
      <c r="K14" s="50">
        <v>3</v>
      </c>
      <c r="L14" s="50">
        <v>0</v>
      </c>
      <c r="M14" s="50">
        <v>65</v>
      </c>
      <c r="N14" s="50">
        <v>0</v>
      </c>
      <c r="O14" s="15">
        <f t="shared" si="0"/>
        <v>165</v>
      </c>
      <c r="P14" s="15">
        <f t="shared" si="1"/>
        <v>230</v>
      </c>
      <c r="R14" s="1" t="s">
        <v>10</v>
      </c>
      <c r="S14" s="17">
        <f t="shared" ref="S14:AF14" si="6">SUM(C26:C29)</f>
        <v>370</v>
      </c>
      <c r="T14" s="17">
        <f t="shared" si="6"/>
        <v>42</v>
      </c>
      <c r="U14" s="17">
        <f t="shared" si="6"/>
        <v>46</v>
      </c>
      <c r="V14" s="17">
        <f t="shared" si="6"/>
        <v>70</v>
      </c>
      <c r="W14" s="17">
        <f t="shared" si="6"/>
        <v>0</v>
      </c>
      <c r="X14" s="17">
        <f t="shared" si="6"/>
        <v>0</v>
      </c>
      <c r="Y14" s="17">
        <f t="shared" si="6"/>
        <v>11</v>
      </c>
      <c r="Z14" s="17">
        <f t="shared" si="6"/>
        <v>6</v>
      </c>
      <c r="AA14" s="17">
        <f t="shared" si="6"/>
        <v>5</v>
      </c>
      <c r="AB14" s="17">
        <f t="shared" si="6"/>
        <v>1</v>
      </c>
      <c r="AC14" s="17">
        <f t="shared" si="6"/>
        <v>335</v>
      </c>
      <c r="AD14" s="17">
        <f t="shared" si="6"/>
        <v>0</v>
      </c>
      <c r="AE14" s="31">
        <f t="shared" si="6"/>
        <v>551</v>
      </c>
      <c r="AF14" s="31">
        <f t="shared" si="6"/>
        <v>886</v>
      </c>
    </row>
    <row r="15" spans="2:32" ht="23.1" customHeight="1">
      <c r="B15" s="23" t="s">
        <v>42</v>
      </c>
      <c r="C15" s="50">
        <v>77</v>
      </c>
      <c r="D15" s="50">
        <v>13</v>
      </c>
      <c r="E15" s="50">
        <v>15</v>
      </c>
      <c r="F15" s="50">
        <v>28</v>
      </c>
      <c r="G15" s="50">
        <v>0</v>
      </c>
      <c r="H15" s="50">
        <v>0</v>
      </c>
      <c r="I15" s="50">
        <v>2</v>
      </c>
      <c r="J15" s="50">
        <v>0</v>
      </c>
      <c r="K15" s="50">
        <v>0</v>
      </c>
      <c r="L15" s="50">
        <v>0</v>
      </c>
      <c r="M15" s="50">
        <v>75</v>
      </c>
      <c r="N15" s="50">
        <v>0</v>
      </c>
      <c r="O15" s="15">
        <f t="shared" si="0"/>
        <v>135</v>
      </c>
      <c r="P15" s="15">
        <f t="shared" si="1"/>
        <v>210</v>
      </c>
      <c r="R15" s="1" t="s">
        <v>11</v>
      </c>
      <c r="S15" s="17">
        <f t="shared" ref="S15:AF15" si="7">SUM(C30:C33)</f>
        <v>295</v>
      </c>
      <c r="T15" s="17">
        <f t="shared" si="7"/>
        <v>48</v>
      </c>
      <c r="U15" s="17">
        <f t="shared" si="7"/>
        <v>33</v>
      </c>
      <c r="V15" s="17">
        <f t="shared" si="7"/>
        <v>51</v>
      </c>
      <c r="W15" s="17">
        <f t="shared" si="7"/>
        <v>0</v>
      </c>
      <c r="X15" s="17">
        <f t="shared" si="7"/>
        <v>0</v>
      </c>
      <c r="Y15" s="17">
        <f t="shared" si="7"/>
        <v>15</v>
      </c>
      <c r="Z15" s="17">
        <f t="shared" si="7"/>
        <v>8</v>
      </c>
      <c r="AA15" s="17">
        <f t="shared" si="7"/>
        <v>4</v>
      </c>
      <c r="AB15" s="17">
        <f t="shared" si="7"/>
        <v>1</v>
      </c>
      <c r="AC15" s="17">
        <f t="shared" si="7"/>
        <v>259</v>
      </c>
      <c r="AD15" s="17">
        <f t="shared" si="7"/>
        <v>0</v>
      </c>
      <c r="AE15" s="31">
        <f t="shared" si="7"/>
        <v>455</v>
      </c>
      <c r="AF15" s="31">
        <f t="shared" si="7"/>
        <v>714</v>
      </c>
    </row>
    <row r="16" spans="2:32" ht="23.1" customHeight="1">
      <c r="B16" s="23" t="s">
        <v>43</v>
      </c>
      <c r="C16" s="50">
        <v>75</v>
      </c>
      <c r="D16" s="50">
        <v>22</v>
      </c>
      <c r="E16" s="50">
        <v>19</v>
      </c>
      <c r="F16" s="50">
        <v>21</v>
      </c>
      <c r="G16" s="50">
        <v>0</v>
      </c>
      <c r="H16" s="50">
        <v>0</v>
      </c>
      <c r="I16" s="50">
        <v>0</v>
      </c>
      <c r="J16" s="50">
        <v>0</v>
      </c>
      <c r="K16" s="50">
        <v>1</v>
      </c>
      <c r="L16" s="50">
        <v>2</v>
      </c>
      <c r="M16" s="50">
        <v>80</v>
      </c>
      <c r="N16" s="50">
        <v>0</v>
      </c>
      <c r="O16" s="15">
        <f t="shared" si="0"/>
        <v>140</v>
      </c>
      <c r="P16" s="15">
        <f t="shared" si="1"/>
        <v>220</v>
      </c>
      <c r="R16" s="1" t="s">
        <v>12</v>
      </c>
      <c r="S16" s="17">
        <f t="shared" ref="S16:AF16" si="8">SUM(C34:C37)</f>
        <v>263</v>
      </c>
      <c r="T16" s="17">
        <f t="shared" si="8"/>
        <v>30</v>
      </c>
      <c r="U16" s="17">
        <f t="shared" si="8"/>
        <v>37</v>
      </c>
      <c r="V16" s="17">
        <f t="shared" si="8"/>
        <v>51</v>
      </c>
      <c r="W16" s="17">
        <f t="shared" si="8"/>
        <v>1</v>
      </c>
      <c r="X16" s="17">
        <f t="shared" si="8"/>
        <v>0</v>
      </c>
      <c r="Y16" s="17">
        <f t="shared" si="8"/>
        <v>13</v>
      </c>
      <c r="Z16" s="17">
        <f t="shared" si="8"/>
        <v>6</v>
      </c>
      <c r="AA16" s="17">
        <f t="shared" si="8"/>
        <v>4</v>
      </c>
      <c r="AB16" s="17">
        <f t="shared" si="8"/>
        <v>0</v>
      </c>
      <c r="AC16" s="17">
        <f t="shared" si="8"/>
        <v>260</v>
      </c>
      <c r="AD16" s="17">
        <f t="shared" si="8"/>
        <v>0</v>
      </c>
      <c r="AE16" s="31">
        <f t="shared" si="8"/>
        <v>405</v>
      </c>
      <c r="AF16" s="31">
        <f t="shared" si="8"/>
        <v>665</v>
      </c>
    </row>
    <row r="17" spans="2:32" ht="23.1" customHeight="1">
      <c r="B17" s="23" t="s">
        <v>44</v>
      </c>
      <c r="C17" s="50">
        <v>108</v>
      </c>
      <c r="D17" s="50">
        <v>34</v>
      </c>
      <c r="E17" s="50">
        <v>16</v>
      </c>
      <c r="F17" s="50">
        <v>27</v>
      </c>
      <c r="G17" s="50">
        <v>0</v>
      </c>
      <c r="H17" s="50">
        <v>0</v>
      </c>
      <c r="I17" s="50">
        <v>3</v>
      </c>
      <c r="J17" s="50">
        <v>2</v>
      </c>
      <c r="K17" s="50">
        <v>0</v>
      </c>
      <c r="L17" s="50">
        <v>0</v>
      </c>
      <c r="M17" s="50">
        <v>60</v>
      </c>
      <c r="N17" s="50">
        <v>0</v>
      </c>
      <c r="O17" s="15">
        <f t="shared" si="0"/>
        <v>190</v>
      </c>
      <c r="P17" s="15">
        <f t="shared" si="1"/>
        <v>250</v>
      </c>
      <c r="R17" s="1" t="s">
        <v>13</v>
      </c>
      <c r="S17" s="17">
        <f t="shared" ref="S17:AF17" si="9">SUM(C38:C41)</f>
        <v>192</v>
      </c>
      <c r="T17" s="17">
        <f t="shared" si="9"/>
        <v>29</v>
      </c>
      <c r="U17" s="17">
        <f t="shared" si="9"/>
        <v>22</v>
      </c>
      <c r="V17" s="17">
        <f t="shared" si="9"/>
        <v>46</v>
      </c>
      <c r="W17" s="17">
        <f t="shared" si="9"/>
        <v>0</v>
      </c>
      <c r="X17" s="17">
        <f t="shared" si="9"/>
        <v>0</v>
      </c>
      <c r="Y17" s="17">
        <f t="shared" si="9"/>
        <v>16</v>
      </c>
      <c r="Z17" s="17">
        <f t="shared" si="9"/>
        <v>6</v>
      </c>
      <c r="AA17" s="17">
        <f t="shared" si="9"/>
        <v>3</v>
      </c>
      <c r="AB17" s="17">
        <f t="shared" si="9"/>
        <v>0</v>
      </c>
      <c r="AC17" s="17">
        <f t="shared" si="9"/>
        <v>285</v>
      </c>
      <c r="AD17" s="17">
        <f t="shared" si="9"/>
        <v>0</v>
      </c>
      <c r="AE17" s="31">
        <f t="shared" si="9"/>
        <v>314</v>
      </c>
      <c r="AF17" s="31">
        <f t="shared" si="9"/>
        <v>599</v>
      </c>
    </row>
    <row r="18" spans="2:32" ht="23.1" customHeight="1">
      <c r="B18" s="23" t="s">
        <v>45</v>
      </c>
      <c r="C18" s="50">
        <v>55</v>
      </c>
      <c r="D18" s="50">
        <v>9</v>
      </c>
      <c r="E18" s="50">
        <v>2</v>
      </c>
      <c r="F18" s="50">
        <v>7</v>
      </c>
      <c r="G18" s="50">
        <v>0</v>
      </c>
      <c r="H18" s="50">
        <v>0</v>
      </c>
      <c r="I18" s="50">
        <v>0</v>
      </c>
      <c r="J18" s="50">
        <v>1</v>
      </c>
      <c r="K18" s="50">
        <v>0</v>
      </c>
      <c r="L18" s="50">
        <v>0</v>
      </c>
      <c r="M18" s="50">
        <v>90</v>
      </c>
      <c r="N18" s="50">
        <v>0</v>
      </c>
      <c r="O18" s="15">
        <f t="shared" si="0"/>
        <v>74</v>
      </c>
      <c r="P18" s="15">
        <f t="shared" si="1"/>
        <v>164</v>
      </c>
      <c r="R18" s="1" t="s">
        <v>14</v>
      </c>
      <c r="S18" s="17">
        <f t="shared" ref="S18:AF18" si="10">SUM(C42:C45)</f>
        <v>232</v>
      </c>
      <c r="T18" s="17">
        <f t="shared" si="10"/>
        <v>31</v>
      </c>
      <c r="U18" s="17">
        <f t="shared" si="10"/>
        <v>25</v>
      </c>
      <c r="V18" s="17">
        <f t="shared" si="10"/>
        <v>37</v>
      </c>
      <c r="W18" s="17">
        <f t="shared" si="10"/>
        <v>0</v>
      </c>
      <c r="X18" s="17">
        <f t="shared" si="10"/>
        <v>0</v>
      </c>
      <c r="Y18" s="17">
        <f t="shared" si="10"/>
        <v>23</v>
      </c>
      <c r="Z18" s="17">
        <f t="shared" si="10"/>
        <v>4</v>
      </c>
      <c r="AA18" s="17">
        <f t="shared" si="10"/>
        <v>2</v>
      </c>
      <c r="AB18" s="17">
        <f t="shared" si="10"/>
        <v>0</v>
      </c>
      <c r="AC18" s="17">
        <f t="shared" si="10"/>
        <v>317</v>
      </c>
      <c r="AD18" s="17">
        <f t="shared" si="10"/>
        <v>0</v>
      </c>
      <c r="AE18" s="31">
        <f t="shared" si="10"/>
        <v>354</v>
      </c>
      <c r="AF18" s="31">
        <f t="shared" si="10"/>
        <v>671</v>
      </c>
    </row>
    <row r="19" spans="2:32" ht="23.1" customHeight="1">
      <c r="B19" s="23" t="s">
        <v>46</v>
      </c>
      <c r="C19" s="50">
        <v>81</v>
      </c>
      <c r="D19" s="50">
        <v>9</v>
      </c>
      <c r="E19" s="50">
        <v>12</v>
      </c>
      <c r="F19" s="50">
        <v>13</v>
      </c>
      <c r="G19" s="50">
        <v>0</v>
      </c>
      <c r="H19" s="50">
        <v>0</v>
      </c>
      <c r="I19" s="50">
        <v>2</v>
      </c>
      <c r="J19" s="50">
        <v>0</v>
      </c>
      <c r="K19" s="50">
        <v>0</v>
      </c>
      <c r="L19" s="50">
        <v>0</v>
      </c>
      <c r="M19" s="50">
        <v>75</v>
      </c>
      <c r="N19" s="50">
        <v>0</v>
      </c>
      <c r="O19" s="15">
        <f t="shared" si="0"/>
        <v>117</v>
      </c>
      <c r="P19" s="15">
        <f t="shared" si="1"/>
        <v>192</v>
      </c>
      <c r="R19" s="1" t="s">
        <v>15</v>
      </c>
      <c r="S19" s="17">
        <f t="shared" ref="S19:AF19" si="11">SUM(C46:C49)</f>
        <v>264</v>
      </c>
      <c r="T19" s="17">
        <f t="shared" si="11"/>
        <v>34</v>
      </c>
      <c r="U19" s="17">
        <f t="shared" si="11"/>
        <v>32</v>
      </c>
      <c r="V19" s="17">
        <f t="shared" si="11"/>
        <v>45</v>
      </c>
      <c r="W19" s="17">
        <f t="shared" si="11"/>
        <v>1</v>
      </c>
      <c r="X19" s="17">
        <f t="shared" si="11"/>
        <v>0</v>
      </c>
      <c r="Y19" s="17">
        <f t="shared" si="11"/>
        <v>13</v>
      </c>
      <c r="Z19" s="17">
        <f t="shared" si="11"/>
        <v>2</v>
      </c>
      <c r="AA19" s="17">
        <f t="shared" si="11"/>
        <v>3</v>
      </c>
      <c r="AB19" s="17">
        <f t="shared" si="11"/>
        <v>0</v>
      </c>
      <c r="AC19" s="17">
        <f t="shared" si="11"/>
        <v>273</v>
      </c>
      <c r="AD19" s="17">
        <f t="shared" si="11"/>
        <v>0</v>
      </c>
      <c r="AE19" s="31">
        <f t="shared" si="11"/>
        <v>394</v>
      </c>
      <c r="AF19" s="31">
        <f t="shared" si="11"/>
        <v>667</v>
      </c>
    </row>
    <row r="20" spans="2:32" ht="23.1" customHeight="1">
      <c r="B20" s="23" t="s">
        <v>47</v>
      </c>
      <c r="C20" s="50">
        <v>110</v>
      </c>
      <c r="D20" s="50">
        <v>11</v>
      </c>
      <c r="E20" s="50">
        <v>15</v>
      </c>
      <c r="F20" s="50">
        <v>17</v>
      </c>
      <c r="G20" s="50">
        <v>0</v>
      </c>
      <c r="H20" s="50">
        <v>0</v>
      </c>
      <c r="I20" s="50">
        <v>3</v>
      </c>
      <c r="J20" s="50">
        <v>0</v>
      </c>
      <c r="K20" s="50">
        <v>0</v>
      </c>
      <c r="L20" s="50">
        <v>0</v>
      </c>
      <c r="M20" s="50">
        <v>111</v>
      </c>
      <c r="N20" s="50">
        <v>0</v>
      </c>
      <c r="O20" s="15">
        <f t="shared" si="0"/>
        <v>156</v>
      </c>
      <c r="P20" s="15">
        <f t="shared" si="1"/>
        <v>267</v>
      </c>
      <c r="R20" s="1" t="s">
        <v>16</v>
      </c>
      <c r="S20" s="17">
        <f t="shared" ref="S20:AF20" si="12">SUM(C50:C53)</f>
        <v>242</v>
      </c>
      <c r="T20" s="17">
        <f t="shared" si="12"/>
        <v>26</v>
      </c>
      <c r="U20" s="17">
        <f t="shared" si="12"/>
        <v>28</v>
      </c>
      <c r="V20" s="17">
        <f t="shared" si="12"/>
        <v>51</v>
      </c>
      <c r="W20" s="17">
        <f t="shared" si="12"/>
        <v>6</v>
      </c>
      <c r="X20" s="17">
        <f t="shared" si="12"/>
        <v>0</v>
      </c>
      <c r="Y20" s="17">
        <f t="shared" si="12"/>
        <v>12</v>
      </c>
      <c r="Z20" s="17">
        <f t="shared" si="12"/>
        <v>3</v>
      </c>
      <c r="AA20" s="17">
        <f t="shared" si="12"/>
        <v>5</v>
      </c>
      <c r="AB20" s="17">
        <f t="shared" si="12"/>
        <v>0</v>
      </c>
      <c r="AC20" s="17">
        <f t="shared" si="12"/>
        <v>302</v>
      </c>
      <c r="AD20" s="17">
        <f t="shared" si="12"/>
        <v>0</v>
      </c>
      <c r="AE20" s="31">
        <f t="shared" si="12"/>
        <v>373</v>
      </c>
      <c r="AF20" s="31">
        <f t="shared" si="12"/>
        <v>675</v>
      </c>
    </row>
    <row r="21" spans="2:32" ht="23.1" customHeight="1">
      <c r="B21" s="23" t="s">
        <v>48</v>
      </c>
      <c r="C21" s="50">
        <v>118</v>
      </c>
      <c r="D21" s="50">
        <v>26</v>
      </c>
      <c r="E21" s="50">
        <v>9</v>
      </c>
      <c r="F21" s="50">
        <v>21</v>
      </c>
      <c r="G21" s="50">
        <v>0</v>
      </c>
      <c r="H21" s="50">
        <v>0</v>
      </c>
      <c r="I21" s="50">
        <v>4</v>
      </c>
      <c r="J21" s="50">
        <v>0</v>
      </c>
      <c r="K21" s="50">
        <v>0</v>
      </c>
      <c r="L21" s="50">
        <v>0</v>
      </c>
      <c r="M21" s="50">
        <v>100</v>
      </c>
      <c r="N21" s="50">
        <v>0</v>
      </c>
      <c r="O21" s="15">
        <f t="shared" si="0"/>
        <v>178</v>
      </c>
      <c r="P21" s="15">
        <f t="shared" si="1"/>
        <v>278</v>
      </c>
      <c r="R21" s="36" t="s">
        <v>20</v>
      </c>
      <c r="S21" s="34">
        <f t="shared" ref="S21:AF21" si="13">SUM(C54:C57)</f>
        <v>181</v>
      </c>
      <c r="T21" s="17">
        <f t="shared" si="13"/>
        <v>25</v>
      </c>
      <c r="U21" s="17">
        <f t="shared" si="13"/>
        <v>31</v>
      </c>
      <c r="V21" s="17">
        <f t="shared" si="13"/>
        <v>87</v>
      </c>
      <c r="W21" s="17">
        <f t="shared" si="13"/>
        <v>1</v>
      </c>
      <c r="X21" s="17">
        <f t="shared" si="13"/>
        <v>0</v>
      </c>
      <c r="Y21" s="17">
        <f t="shared" si="13"/>
        <v>10</v>
      </c>
      <c r="Z21" s="17">
        <f t="shared" si="13"/>
        <v>2</v>
      </c>
      <c r="AA21" s="17">
        <f t="shared" si="13"/>
        <v>0</v>
      </c>
      <c r="AB21" s="17">
        <f t="shared" si="13"/>
        <v>0</v>
      </c>
      <c r="AC21" s="17">
        <f t="shared" si="13"/>
        <v>356</v>
      </c>
      <c r="AD21" s="17">
        <f t="shared" si="13"/>
        <v>0</v>
      </c>
      <c r="AE21" s="31">
        <f t="shared" si="13"/>
        <v>337</v>
      </c>
      <c r="AF21" s="31">
        <f t="shared" si="13"/>
        <v>693</v>
      </c>
    </row>
    <row r="22" spans="2:32" ht="23.1" customHeight="1">
      <c r="B22" s="23" t="s">
        <v>49</v>
      </c>
      <c r="C22" s="50">
        <v>100</v>
      </c>
      <c r="D22" s="50">
        <v>12</v>
      </c>
      <c r="E22" s="50">
        <v>7</v>
      </c>
      <c r="F22" s="50">
        <v>15</v>
      </c>
      <c r="G22" s="50">
        <v>0</v>
      </c>
      <c r="H22" s="50">
        <v>0</v>
      </c>
      <c r="I22" s="50">
        <v>4</v>
      </c>
      <c r="J22" s="50">
        <v>3</v>
      </c>
      <c r="K22" s="50">
        <v>0</v>
      </c>
      <c r="L22" s="50">
        <v>0</v>
      </c>
      <c r="M22" s="50">
        <v>85</v>
      </c>
      <c r="N22" s="50">
        <v>0</v>
      </c>
      <c r="O22" s="15">
        <f t="shared" si="0"/>
        <v>141</v>
      </c>
      <c r="P22" s="15">
        <f t="shared" si="1"/>
        <v>226</v>
      </c>
      <c r="R22" s="38" t="s">
        <v>90</v>
      </c>
      <c r="S22" s="39">
        <f>MAX(S10:S12)</f>
        <v>383</v>
      </c>
      <c r="T22" s="39">
        <f t="shared" ref="T22:AF22" si="14">MAX(T10:T12)</f>
        <v>97</v>
      </c>
      <c r="U22" s="39">
        <f t="shared" si="14"/>
        <v>61</v>
      </c>
      <c r="V22" s="39">
        <f t="shared" si="14"/>
        <v>108</v>
      </c>
      <c r="W22" s="39">
        <f t="shared" si="14"/>
        <v>0</v>
      </c>
      <c r="X22" s="39">
        <f t="shared" si="14"/>
        <v>0</v>
      </c>
      <c r="Y22" s="39">
        <f t="shared" si="14"/>
        <v>11</v>
      </c>
      <c r="Z22" s="39">
        <f t="shared" si="14"/>
        <v>10</v>
      </c>
      <c r="AA22" s="39">
        <f t="shared" si="14"/>
        <v>4</v>
      </c>
      <c r="AB22" s="39">
        <f t="shared" si="14"/>
        <v>3</v>
      </c>
      <c r="AC22" s="39">
        <f t="shared" si="14"/>
        <v>376</v>
      </c>
      <c r="AD22" s="39">
        <f t="shared" si="14"/>
        <v>0</v>
      </c>
      <c r="AE22" s="40">
        <f t="shared" si="14"/>
        <v>630</v>
      </c>
      <c r="AF22" s="40">
        <f t="shared" si="14"/>
        <v>994</v>
      </c>
    </row>
    <row r="23" spans="2:32" ht="23.1" customHeight="1">
      <c r="B23" s="23" t="s">
        <v>50</v>
      </c>
      <c r="C23" s="50">
        <v>91</v>
      </c>
      <c r="D23" s="50">
        <v>24</v>
      </c>
      <c r="E23" s="50">
        <v>9</v>
      </c>
      <c r="F23" s="50">
        <v>17</v>
      </c>
      <c r="G23" s="50">
        <v>0</v>
      </c>
      <c r="H23" s="50">
        <v>0</v>
      </c>
      <c r="I23" s="50">
        <v>2</v>
      </c>
      <c r="J23" s="50">
        <v>6</v>
      </c>
      <c r="K23" s="50">
        <v>0</v>
      </c>
      <c r="L23" s="50">
        <v>0</v>
      </c>
      <c r="M23" s="50">
        <v>80</v>
      </c>
      <c r="N23" s="50">
        <v>0</v>
      </c>
      <c r="O23" s="15">
        <f t="shared" si="0"/>
        <v>149</v>
      </c>
      <c r="P23" s="15">
        <f t="shared" si="1"/>
        <v>229</v>
      </c>
      <c r="R23" s="38" t="s">
        <v>91</v>
      </c>
      <c r="S23" s="39">
        <f>MAX(S13:S18)</f>
        <v>372</v>
      </c>
      <c r="T23" s="39">
        <f t="shared" ref="T23:AF23" si="15">MAX(T13:T18)</f>
        <v>61</v>
      </c>
      <c r="U23" s="39">
        <f t="shared" si="15"/>
        <v>46</v>
      </c>
      <c r="V23" s="39">
        <f t="shared" si="15"/>
        <v>70</v>
      </c>
      <c r="W23" s="39">
        <f t="shared" si="15"/>
        <v>1</v>
      </c>
      <c r="X23" s="39">
        <f t="shared" si="15"/>
        <v>0</v>
      </c>
      <c r="Y23" s="39">
        <f t="shared" si="15"/>
        <v>23</v>
      </c>
      <c r="Z23" s="39">
        <f t="shared" si="15"/>
        <v>15</v>
      </c>
      <c r="AA23" s="39">
        <f t="shared" si="15"/>
        <v>5</v>
      </c>
      <c r="AB23" s="39">
        <f t="shared" si="15"/>
        <v>1</v>
      </c>
      <c r="AC23" s="39">
        <f t="shared" si="15"/>
        <v>335</v>
      </c>
      <c r="AD23" s="39">
        <f t="shared" si="15"/>
        <v>0</v>
      </c>
      <c r="AE23" s="40">
        <f t="shared" si="15"/>
        <v>563</v>
      </c>
      <c r="AF23" s="40">
        <f t="shared" si="15"/>
        <v>898</v>
      </c>
    </row>
    <row r="24" spans="2:32" ht="23.1" customHeight="1">
      <c r="B24" s="23" t="s">
        <v>51</v>
      </c>
      <c r="C24" s="50">
        <v>91</v>
      </c>
      <c r="D24" s="50">
        <v>10</v>
      </c>
      <c r="E24" s="50">
        <v>15</v>
      </c>
      <c r="F24" s="50">
        <v>15</v>
      </c>
      <c r="G24" s="50">
        <v>0</v>
      </c>
      <c r="H24" s="50">
        <v>0</v>
      </c>
      <c r="I24" s="50">
        <v>2</v>
      </c>
      <c r="J24" s="50">
        <v>1</v>
      </c>
      <c r="K24" s="50">
        <v>1</v>
      </c>
      <c r="L24" s="50">
        <v>0</v>
      </c>
      <c r="M24" s="50">
        <v>90</v>
      </c>
      <c r="N24" s="50">
        <v>0</v>
      </c>
      <c r="O24" s="15">
        <f t="shared" si="0"/>
        <v>135</v>
      </c>
      <c r="P24" s="15">
        <f t="shared" si="1"/>
        <v>225</v>
      </c>
      <c r="R24" s="38" t="s">
        <v>92</v>
      </c>
      <c r="S24" s="39">
        <f>MAX(S19:S21)</f>
        <v>264</v>
      </c>
      <c r="T24" s="39">
        <f t="shared" ref="T24:AF24" si="16">MAX(T19:T21)</f>
        <v>34</v>
      </c>
      <c r="U24" s="39">
        <f t="shared" si="16"/>
        <v>32</v>
      </c>
      <c r="V24" s="39">
        <f t="shared" si="16"/>
        <v>87</v>
      </c>
      <c r="W24" s="39">
        <f t="shared" si="16"/>
        <v>6</v>
      </c>
      <c r="X24" s="39">
        <f t="shared" si="16"/>
        <v>0</v>
      </c>
      <c r="Y24" s="39">
        <f t="shared" si="16"/>
        <v>13</v>
      </c>
      <c r="Z24" s="39">
        <f t="shared" si="16"/>
        <v>3</v>
      </c>
      <c r="AA24" s="39">
        <f t="shared" si="16"/>
        <v>5</v>
      </c>
      <c r="AB24" s="39">
        <f t="shared" si="16"/>
        <v>0</v>
      </c>
      <c r="AC24" s="39">
        <f t="shared" si="16"/>
        <v>356</v>
      </c>
      <c r="AD24" s="39">
        <f t="shared" si="16"/>
        <v>0</v>
      </c>
      <c r="AE24" s="40">
        <f t="shared" si="16"/>
        <v>394</v>
      </c>
      <c r="AF24" s="40">
        <f t="shared" si="16"/>
        <v>693</v>
      </c>
    </row>
    <row r="25" spans="2:32" ht="23.1" customHeight="1">
      <c r="B25" s="23" t="s">
        <v>52</v>
      </c>
      <c r="C25" s="50">
        <v>90</v>
      </c>
      <c r="D25" s="50">
        <v>15</v>
      </c>
      <c r="E25" s="50">
        <v>9</v>
      </c>
      <c r="F25" s="50">
        <v>17</v>
      </c>
      <c r="G25" s="50">
        <v>0</v>
      </c>
      <c r="H25" s="50">
        <v>0</v>
      </c>
      <c r="I25" s="50">
        <v>2</v>
      </c>
      <c r="J25" s="50">
        <v>5</v>
      </c>
      <c r="K25" s="50">
        <v>0</v>
      </c>
      <c r="L25" s="50">
        <v>0</v>
      </c>
      <c r="M25" s="50">
        <v>80</v>
      </c>
      <c r="N25" s="50">
        <v>0</v>
      </c>
      <c r="O25" s="15">
        <f t="shared" si="0"/>
        <v>138</v>
      </c>
      <c r="P25" s="15">
        <f t="shared" si="1"/>
        <v>218</v>
      </c>
      <c r="R25" s="37" t="s">
        <v>85</v>
      </c>
      <c r="S25" s="35">
        <f t="shared" ref="S25:AF25" si="17">SUM(S10:S12)</f>
        <v>1093</v>
      </c>
      <c r="T25" s="16">
        <f t="shared" si="17"/>
        <v>232</v>
      </c>
      <c r="U25" s="16">
        <f t="shared" si="17"/>
        <v>158</v>
      </c>
      <c r="V25" s="16">
        <f t="shared" si="17"/>
        <v>241</v>
      </c>
      <c r="W25" s="16">
        <f t="shared" si="17"/>
        <v>0</v>
      </c>
      <c r="X25" s="16">
        <f t="shared" si="17"/>
        <v>0</v>
      </c>
      <c r="Y25" s="16">
        <f t="shared" si="17"/>
        <v>29</v>
      </c>
      <c r="Z25" s="16">
        <f t="shared" si="17"/>
        <v>14</v>
      </c>
      <c r="AA25" s="16">
        <f t="shared" si="17"/>
        <v>7</v>
      </c>
      <c r="AB25" s="16">
        <f t="shared" si="17"/>
        <v>5</v>
      </c>
      <c r="AC25" s="16">
        <f t="shared" si="17"/>
        <v>1026</v>
      </c>
      <c r="AD25" s="16">
        <f t="shared" si="17"/>
        <v>0</v>
      </c>
      <c r="AE25" s="32">
        <f t="shared" si="17"/>
        <v>1779</v>
      </c>
      <c r="AF25" s="32">
        <f t="shared" si="17"/>
        <v>2805</v>
      </c>
    </row>
    <row r="26" spans="2:32" ht="23.1" customHeight="1">
      <c r="B26" s="23" t="s">
        <v>53</v>
      </c>
      <c r="C26" s="50">
        <v>126</v>
      </c>
      <c r="D26" s="50">
        <v>14</v>
      </c>
      <c r="E26" s="50">
        <v>18</v>
      </c>
      <c r="F26" s="50">
        <v>24</v>
      </c>
      <c r="G26" s="50">
        <v>0</v>
      </c>
      <c r="H26" s="50">
        <v>0</v>
      </c>
      <c r="I26" s="50">
        <v>3</v>
      </c>
      <c r="J26" s="50">
        <v>1</v>
      </c>
      <c r="K26" s="50">
        <v>2</v>
      </c>
      <c r="L26" s="50">
        <v>0</v>
      </c>
      <c r="M26" s="50">
        <v>85</v>
      </c>
      <c r="N26" s="50">
        <v>0</v>
      </c>
      <c r="O26" s="15">
        <f t="shared" si="0"/>
        <v>188</v>
      </c>
      <c r="P26" s="15">
        <f t="shared" si="1"/>
        <v>273</v>
      </c>
      <c r="R26" s="28" t="s">
        <v>86</v>
      </c>
      <c r="S26" s="16">
        <f t="shared" ref="S26:AF26" si="18">SUM(S13:S18)</f>
        <v>1724</v>
      </c>
      <c r="T26" s="16">
        <f t="shared" si="18"/>
        <v>241</v>
      </c>
      <c r="U26" s="16">
        <f t="shared" si="18"/>
        <v>203</v>
      </c>
      <c r="V26" s="16">
        <f t="shared" si="18"/>
        <v>319</v>
      </c>
      <c r="W26" s="16">
        <f t="shared" si="18"/>
        <v>1</v>
      </c>
      <c r="X26" s="16">
        <f t="shared" si="18"/>
        <v>0</v>
      </c>
      <c r="Y26" s="16">
        <f t="shared" si="18"/>
        <v>88</v>
      </c>
      <c r="Z26" s="16">
        <f t="shared" si="18"/>
        <v>45</v>
      </c>
      <c r="AA26" s="16">
        <f t="shared" si="18"/>
        <v>19</v>
      </c>
      <c r="AB26" s="16">
        <f t="shared" si="18"/>
        <v>2</v>
      </c>
      <c r="AC26" s="16">
        <f t="shared" si="18"/>
        <v>1791</v>
      </c>
      <c r="AD26" s="16">
        <f t="shared" si="18"/>
        <v>0</v>
      </c>
      <c r="AE26" s="32">
        <f t="shared" si="18"/>
        <v>2642</v>
      </c>
      <c r="AF26" s="32">
        <f t="shared" si="18"/>
        <v>4433</v>
      </c>
    </row>
    <row r="27" spans="2:32" ht="23.1" customHeight="1">
      <c r="B27" s="23" t="s">
        <v>54</v>
      </c>
      <c r="C27" s="50">
        <v>107</v>
      </c>
      <c r="D27" s="50">
        <v>14</v>
      </c>
      <c r="E27" s="50">
        <v>12</v>
      </c>
      <c r="F27" s="50">
        <v>13</v>
      </c>
      <c r="G27" s="50">
        <v>0</v>
      </c>
      <c r="H27" s="50">
        <v>0</v>
      </c>
      <c r="I27" s="50">
        <v>4</v>
      </c>
      <c r="J27" s="50">
        <v>2</v>
      </c>
      <c r="K27" s="50">
        <v>2</v>
      </c>
      <c r="L27" s="50">
        <v>0</v>
      </c>
      <c r="M27" s="50">
        <v>75</v>
      </c>
      <c r="N27" s="50">
        <v>0</v>
      </c>
      <c r="O27" s="15">
        <f t="shared" si="0"/>
        <v>154</v>
      </c>
      <c r="P27" s="15">
        <f t="shared" si="1"/>
        <v>229</v>
      </c>
      <c r="R27" s="29" t="s">
        <v>87</v>
      </c>
      <c r="S27" s="16">
        <f t="shared" ref="S27:AF27" si="19">SUM(S19:S21)</f>
        <v>687</v>
      </c>
      <c r="T27" s="16">
        <f t="shared" si="19"/>
        <v>85</v>
      </c>
      <c r="U27" s="16">
        <f t="shared" si="19"/>
        <v>91</v>
      </c>
      <c r="V27" s="16">
        <f t="shared" si="19"/>
        <v>183</v>
      </c>
      <c r="W27" s="16">
        <f t="shared" si="19"/>
        <v>8</v>
      </c>
      <c r="X27" s="16">
        <f t="shared" si="19"/>
        <v>0</v>
      </c>
      <c r="Y27" s="16">
        <f t="shared" si="19"/>
        <v>35</v>
      </c>
      <c r="Z27" s="16">
        <f t="shared" si="19"/>
        <v>7</v>
      </c>
      <c r="AA27" s="16">
        <f t="shared" si="19"/>
        <v>8</v>
      </c>
      <c r="AB27" s="16">
        <f t="shared" si="19"/>
        <v>0</v>
      </c>
      <c r="AC27" s="16">
        <f t="shared" si="19"/>
        <v>931</v>
      </c>
      <c r="AD27" s="16">
        <f t="shared" si="19"/>
        <v>0</v>
      </c>
      <c r="AE27" s="32">
        <f t="shared" si="19"/>
        <v>1104</v>
      </c>
      <c r="AF27" s="32">
        <f t="shared" si="19"/>
        <v>2035</v>
      </c>
    </row>
    <row r="28" spans="2:32" ht="23.1" customHeight="1">
      <c r="B28" s="23" t="s">
        <v>55</v>
      </c>
      <c r="C28" s="50">
        <v>60</v>
      </c>
      <c r="D28" s="50">
        <v>6</v>
      </c>
      <c r="E28" s="50">
        <v>8</v>
      </c>
      <c r="F28" s="50">
        <v>16</v>
      </c>
      <c r="G28" s="50">
        <v>0</v>
      </c>
      <c r="H28" s="50">
        <v>0</v>
      </c>
      <c r="I28" s="50">
        <v>3</v>
      </c>
      <c r="J28" s="50">
        <v>0</v>
      </c>
      <c r="K28" s="50">
        <v>0</v>
      </c>
      <c r="L28" s="50">
        <v>0</v>
      </c>
      <c r="M28" s="50">
        <v>120</v>
      </c>
      <c r="N28" s="50">
        <v>0</v>
      </c>
      <c r="O28" s="15">
        <f t="shared" si="0"/>
        <v>93</v>
      </c>
      <c r="P28" s="15">
        <f t="shared" si="1"/>
        <v>213</v>
      </c>
      <c r="R28" s="5" t="s">
        <v>17</v>
      </c>
      <c r="S28" s="16">
        <f t="shared" ref="S28:AF28" si="20">SUM(S10:S21)</f>
        <v>3504</v>
      </c>
      <c r="T28" s="16">
        <f t="shared" si="20"/>
        <v>558</v>
      </c>
      <c r="U28" s="16">
        <f t="shared" si="20"/>
        <v>452</v>
      </c>
      <c r="V28" s="16">
        <f t="shared" si="20"/>
        <v>743</v>
      </c>
      <c r="W28" s="16">
        <f t="shared" si="20"/>
        <v>9</v>
      </c>
      <c r="X28" s="16">
        <f t="shared" si="20"/>
        <v>0</v>
      </c>
      <c r="Y28" s="16">
        <f t="shared" si="20"/>
        <v>152</v>
      </c>
      <c r="Z28" s="16">
        <f t="shared" si="20"/>
        <v>66</v>
      </c>
      <c r="AA28" s="16">
        <f t="shared" si="20"/>
        <v>34</v>
      </c>
      <c r="AB28" s="16">
        <f t="shared" si="20"/>
        <v>7</v>
      </c>
      <c r="AC28" s="16">
        <f t="shared" si="20"/>
        <v>3748</v>
      </c>
      <c r="AD28" s="16">
        <f t="shared" si="20"/>
        <v>0</v>
      </c>
      <c r="AE28" s="32">
        <f t="shared" si="20"/>
        <v>5525</v>
      </c>
      <c r="AF28" s="32">
        <f t="shared" si="20"/>
        <v>9273</v>
      </c>
    </row>
    <row r="29" spans="2:32" ht="23.1" customHeight="1">
      <c r="B29" s="23" t="s">
        <v>56</v>
      </c>
      <c r="C29" s="50">
        <v>77</v>
      </c>
      <c r="D29" s="50">
        <v>8</v>
      </c>
      <c r="E29" s="50">
        <v>8</v>
      </c>
      <c r="F29" s="50">
        <v>17</v>
      </c>
      <c r="G29" s="50">
        <v>0</v>
      </c>
      <c r="H29" s="50">
        <v>0</v>
      </c>
      <c r="I29" s="50">
        <v>1</v>
      </c>
      <c r="J29" s="50">
        <v>3</v>
      </c>
      <c r="K29" s="50">
        <v>1</v>
      </c>
      <c r="L29" s="50">
        <v>1</v>
      </c>
      <c r="M29" s="50">
        <v>55</v>
      </c>
      <c r="N29" s="50">
        <v>0</v>
      </c>
      <c r="O29" s="15">
        <f t="shared" si="0"/>
        <v>116</v>
      </c>
      <c r="P29" s="15">
        <f t="shared" si="1"/>
        <v>171</v>
      </c>
      <c r="R29"/>
      <c r="S29" s="20"/>
      <c r="T29" s="19"/>
    </row>
    <row r="30" spans="2:32" ht="23.1" customHeight="1">
      <c r="B30" s="23" t="s">
        <v>57</v>
      </c>
      <c r="C30" s="50">
        <v>54</v>
      </c>
      <c r="D30" s="50">
        <v>14</v>
      </c>
      <c r="E30" s="50">
        <v>7</v>
      </c>
      <c r="F30" s="50">
        <v>11</v>
      </c>
      <c r="G30" s="50">
        <v>0</v>
      </c>
      <c r="H30" s="50">
        <v>0</v>
      </c>
      <c r="I30" s="50">
        <v>5</v>
      </c>
      <c r="J30" s="50">
        <v>4</v>
      </c>
      <c r="K30" s="50">
        <v>1</v>
      </c>
      <c r="L30" s="50">
        <v>0</v>
      </c>
      <c r="M30" s="50">
        <v>65</v>
      </c>
      <c r="N30" s="50">
        <v>0</v>
      </c>
      <c r="O30" s="15">
        <f t="shared" si="0"/>
        <v>96</v>
      </c>
      <c r="P30" s="15">
        <f t="shared" si="1"/>
        <v>161</v>
      </c>
    </row>
    <row r="31" spans="2:32" ht="23.1" customHeight="1">
      <c r="B31" s="24" t="s">
        <v>58</v>
      </c>
      <c r="C31" s="50">
        <v>106</v>
      </c>
      <c r="D31" s="50">
        <v>13</v>
      </c>
      <c r="E31" s="50">
        <v>5</v>
      </c>
      <c r="F31" s="50">
        <v>12</v>
      </c>
      <c r="G31" s="50">
        <v>0</v>
      </c>
      <c r="H31" s="50">
        <v>0</v>
      </c>
      <c r="I31" s="50">
        <v>4</v>
      </c>
      <c r="J31" s="50">
        <v>1</v>
      </c>
      <c r="K31" s="50">
        <v>1</v>
      </c>
      <c r="L31" s="50">
        <v>1</v>
      </c>
      <c r="M31" s="50">
        <v>65</v>
      </c>
      <c r="N31" s="50">
        <v>0</v>
      </c>
      <c r="O31" s="15">
        <f t="shared" si="0"/>
        <v>143</v>
      </c>
      <c r="P31" s="15">
        <f t="shared" si="1"/>
        <v>208</v>
      </c>
    </row>
    <row r="32" spans="2:32" ht="23.1" customHeight="1">
      <c r="B32" s="24" t="s">
        <v>59</v>
      </c>
      <c r="C32" s="50">
        <v>60</v>
      </c>
      <c r="D32" s="50">
        <v>10</v>
      </c>
      <c r="E32" s="50">
        <v>11</v>
      </c>
      <c r="F32" s="50">
        <v>15</v>
      </c>
      <c r="G32" s="50">
        <v>0</v>
      </c>
      <c r="H32" s="50">
        <v>0</v>
      </c>
      <c r="I32" s="50">
        <v>1</v>
      </c>
      <c r="J32" s="50">
        <v>2</v>
      </c>
      <c r="K32" s="50">
        <v>0</v>
      </c>
      <c r="L32" s="50">
        <v>0</v>
      </c>
      <c r="M32" s="50">
        <v>72</v>
      </c>
      <c r="N32" s="50">
        <v>0</v>
      </c>
      <c r="O32" s="15">
        <f t="shared" si="0"/>
        <v>99</v>
      </c>
      <c r="P32" s="15">
        <f t="shared" si="1"/>
        <v>171</v>
      </c>
    </row>
    <row r="33" spans="2:20" ht="23.1" customHeight="1">
      <c r="B33" s="23" t="s">
        <v>60</v>
      </c>
      <c r="C33" s="50">
        <v>75</v>
      </c>
      <c r="D33" s="50">
        <v>11</v>
      </c>
      <c r="E33" s="50">
        <v>10</v>
      </c>
      <c r="F33" s="50">
        <v>13</v>
      </c>
      <c r="G33" s="50">
        <v>0</v>
      </c>
      <c r="H33" s="50">
        <v>0</v>
      </c>
      <c r="I33" s="50">
        <v>5</v>
      </c>
      <c r="J33" s="50">
        <v>1</v>
      </c>
      <c r="K33" s="50">
        <v>2</v>
      </c>
      <c r="L33" s="50">
        <v>0</v>
      </c>
      <c r="M33" s="50">
        <v>57</v>
      </c>
      <c r="N33" s="50">
        <v>0</v>
      </c>
      <c r="O33" s="15">
        <f t="shared" si="0"/>
        <v>117</v>
      </c>
      <c r="P33" s="15">
        <f t="shared" si="1"/>
        <v>174</v>
      </c>
    </row>
    <row r="34" spans="2:20" ht="23.1" customHeight="1">
      <c r="B34" s="24" t="s">
        <v>61</v>
      </c>
      <c r="C34" s="50">
        <v>70</v>
      </c>
      <c r="D34" s="50">
        <v>6</v>
      </c>
      <c r="E34" s="50">
        <v>10</v>
      </c>
      <c r="F34" s="50">
        <v>12</v>
      </c>
      <c r="G34" s="50">
        <v>0</v>
      </c>
      <c r="H34" s="50">
        <v>0</v>
      </c>
      <c r="I34" s="50">
        <v>3</v>
      </c>
      <c r="J34" s="50">
        <v>1</v>
      </c>
      <c r="K34" s="50">
        <v>2</v>
      </c>
      <c r="L34" s="50">
        <v>0</v>
      </c>
      <c r="M34" s="50">
        <v>70</v>
      </c>
      <c r="N34" s="50">
        <v>0</v>
      </c>
      <c r="O34" s="15">
        <f t="shared" si="0"/>
        <v>104</v>
      </c>
      <c r="P34" s="15">
        <f t="shared" si="1"/>
        <v>174</v>
      </c>
    </row>
    <row r="35" spans="2:20" ht="23.1" customHeight="1">
      <c r="B35" s="24" t="s">
        <v>62</v>
      </c>
      <c r="C35" s="50">
        <v>62</v>
      </c>
      <c r="D35" s="50">
        <v>8</v>
      </c>
      <c r="E35" s="50">
        <v>8</v>
      </c>
      <c r="F35" s="50">
        <v>12</v>
      </c>
      <c r="G35" s="50">
        <v>0</v>
      </c>
      <c r="H35" s="50">
        <v>0</v>
      </c>
      <c r="I35" s="50">
        <v>4</v>
      </c>
      <c r="J35" s="50">
        <v>1</v>
      </c>
      <c r="K35" s="50">
        <v>1</v>
      </c>
      <c r="L35" s="50">
        <v>0</v>
      </c>
      <c r="M35" s="50">
        <v>85</v>
      </c>
      <c r="N35" s="50">
        <v>0</v>
      </c>
      <c r="O35" s="15">
        <f t="shared" si="0"/>
        <v>96</v>
      </c>
      <c r="P35" s="15">
        <f t="shared" si="1"/>
        <v>181</v>
      </c>
    </row>
    <row r="36" spans="2:20" ht="23.1" customHeight="1">
      <c r="B36" s="24" t="s">
        <v>63</v>
      </c>
      <c r="C36" s="50">
        <v>58</v>
      </c>
      <c r="D36" s="50">
        <v>6</v>
      </c>
      <c r="E36" s="50">
        <v>9</v>
      </c>
      <c r="F36" s="50">
        <v>14</v>
      </c>
      <c r="G36" s="50">
        <v>1</v>
      </c>
      <c r="H36" s="50">
        <v>0</v>
      </c>
      <c r="I36" s="50">
        <v>3</v>
      </c>
      <c r="J36" s="50">
        <v>1</v>
      </c>
      <c r="K36" s="50">
        <v>1</v>
      </c>
      <c r="L36" s="50">
        <v>0</v>
      </c>
      <c r="M36" s="50">
        <v>50</v>
      </c>
      <c r="N36" s="50">
        <v>0</v>
      </c>
      <c r="O36" s="15">
        <f t="shared" si="0"/>
        <v>93</v>
      </c>
      <c r="P36" s="15">
        <f t="shared" si="1"/>
        <v>143</v>
      </c>
    </row>
    <row r="37" spans="2:20" ht="23.1" customHeight="1">
      <c r="B37" s="23" t="s">
        <v>64</v>
      </c>
      <c r="C37" s="50">
        <v>73</v>
      </c>
      <c r="D37" s="50">
        <v>10</v>
      </c>
      <c r="E37" s="50">
        <v>10</v>
      </c>
      <c r="F37" s="50">
        <v>13</v>
      </c>
      <c r="G37" s="50">
        <v>0</v>
      </c>
      <c r="H37" s="50">
        <v>0</v>
      </c>
      <c r="I37" s="50">
        <v>3</v>
      </c>
      <c r="J37" s="50">
        <v>3</v>
      </c>
      <c r="K37" s="50">
        <v>0</v>
      </c>
      <c r="L37" s="50">
        <v>0</v>
      </c>
      <c r="M37" s="50">
        <v>55</v>
      </c>
      <c r="N37" s="50">
        <v>0</v>
      </c>
      <c r="O37" s="15">
        <f t="shared" si="0"/>
        <v>112</v>
      </c>
      <c r="P37" s="15">
        <f t="shared" si="1"/>
        <v>167</v>
      </c>
    </row>
    <row r="38" spans="2:20" ht="23.1" customHeight="1">
      <c r="B38" s="24" t="s">
        <v>65</v>
      </c>
      <c r="C38" s="50">
        <v>57</v>
      </c>
      <c r="D38" s="50">
        <v>9</v>
      </c>
      <c r="E38" s="50">
        <v>6</v>
      </c>
      <c r="F38" s="50">
        <v>11</v>
      </c>
      <c r="G38" s="50">
        <v>0</v>
      </c>
      <c r="H38" s="50">
        <v>0</v>
      </c>
      <c r="I38" s="50">
        <v>6</v>
      </c>
      <c r="J38" s="50">
        <v>3</v>
      </c>
      <c r="K38" s="50">
        <v>2</v>
      </c>
      <c r="L38" s="50">
        <v>0</v>
      </c>
      <c r="M38" s="50">
        <v>80</v>
      </c>
      <c r="N38" s="50">
        <v>0</v>
      </c>
      <c r="O38" s="15">
        <f t="shared" si="0"/>
        <v>94</v>
      </c>
      <c r="P38" s="15">
        <f t="shared" si="1"/>
        <v>174</v>
      </c>
    </row>
    <row r="39" spans="2:20" ht="23.1" customHeight="1">
      <c r="B39" s="24" t="s">
        <v>66</v>
      </c>
      <c r="C39" s="50">
        <v>30</v>
      </c>
      <c r="D39" s="50">
        <v>3</v>
      </c>
      <c r="E39" s="50">
        <v>3</v>
      </c>
      <c r="F39" s="50">
        <v>6</v>
      </c>
      <c r="G39" s="50">
        <v>0</v>
      </c>
      <c r="H39" s="50">
        <v>0</v>
      </c>
      <c r="I39" s="50">
        <v>4</v>
      </c>
      <c r="J39" s="50">
        <v>1</v>
      </c>
      <c r="K39" s="50">
        <v>1</v>
      </c>
      <c r="L39" s="50">
        <v>0</v>
      </c>
      <c r="M39" s="50">
        <v>72</v>
      </c>
      <c r="N39" s="50">
        <v>0</v>
      </c>
      <c r="O39" s="15">
        <f t="shared" si="0"/>
        <v>48</v>
      </c>
      <c r="P39" s="15">
        <f t="shared" si="1"/>
        <v>120</v>
      </c>
    </row>
    <row r="40" spans="2:20" ht="23.1" customHeight="1">
      <c r="B40" s="24" t="s">
        <v>67</v>
      </c>
      <c r="C40" s="50">
        <v>62</v>
      </c>
      <c r="D40" s="50">
        <v>11</v>
      </c>
      <c r="E40" s="50">
        <v>7</v>
      </c>
      <c r="F40" s="50">
        <v>12</v>
      </c>
      <c r="G40" s="50">
        <v>0</v>
      </c>
      <c r="H40" s="50">
        <v>0</v>
      </c>
      <c r="I40" s="50">
        <v>3</v>
      </c>
      <c r="J40" s="50">
        <v>2</v>
      </c>
      <c r="K40" s="50">
        <v>0</v>
      </c>
      <c r="L40" s="50">
        <v>0</v>
      </c>
      <c r="M40" s="50">
        <v>64</v>
      </c>
      <c r="N40" s="50">
        <v>0</v>
      </c>
      <c r="O40" s="15">
        <f t="shared" si="0"/>
        <v>97</v>
      </c>
      <c r="P40" s="15">
        <f t="shared" si="1"/>
        <v>161</v>
      </c>
    </row>
    <row r="41" spans="2:20" ht="23.1" customHeight="1">
      <c r="B41" s="23" t="s">
        <v>68</v>
      </c>
      <c r="C41" s="50">
        <v>43</v>
      </c>
      <c r="D41" s="50">
        <v>6</v>
      </c>
      <c r="E41" s="50">
        <v>6</v>
      </c>
      <c r="F41" s="50">
        <v>17</v>
      </c>
      <c r="G41" s="50">
        <v>0</v>
      </c>
      <c r="H41" s="50">
        <v>0</v>
      </c>
      <c r="I41" s="50">
        <v>3</v>
      </c>
      <c r="J41" s="50">
        <v>0</v>
      </c>
      <c r="K41" s="50">
        <v>0</v>
      </c>
      <c r="L41" s="50">
        <v>0</v>
      </c>
      <c r="M41" s="50">
        <v>69</v>
      </c>
      <c r="N41" s="50">
        <v>0</v>
      </c>
      <c r="O41" s="15">
        <f t="shared" si="0"/>
        <v>75</v>
      </c>
      <c r="P41" s="15">
        <f t="shared" si="1"/>
        <v>144</v>
      </c>
    </row>
    <row r="42" spans="2:20" ht="23.1" customHeight="1">
      <c r="B42" s="24" t="s">
        <v>69</v>
      </c>
      <c r="C42" s="50">
        <v>65</v>
      </c>
      <c r="D42" s="50">
        <v>5</v>
      </c>
      <c r="E42" s="50">
        <v>6</v>
      </c>
      <c r="F42" s="50">
        <v>9</v>
      </c>
      <c r="G42" s="50">
        <v>0</v>
      </c>
      <c r="H42" s="50">
        <v>0</v>
      </c>
      <c r="I42" s="50">
        <v>7</v>
      </c>
      <c r="J42" s="50">
        <v>0</v>
      </c>
      <c r="K42" s="50">
        <v>0</v>
      </c>
      <c r="L42" s="50">
        <v>0</v>
      </c>
      <c r="M42" s="50">
        <v>87</v>
      </c>
      <c r="N42" s="50">
        <v>0</v>
      </c>
      <c r="O42" s="15">
        <f t="shared" si="0"/>
        <v>92</v>
      </c>
      <c r="P42" s="15">
        <f t="shared" si="1"/>
        <v>179</v>
      </c>
    </row>
    <row r="43" spans="2:20" ht="23.1" customHeight="1">
      <c r="B43" s="23" t="s">
        <v>70</v>
      </c>
      <c r="C43" s="50">
        <v>60</v>
      </c>
      <c r="D43" s="50">
        <v>6</v>
      </c>
      <c r="E43" s="50">
        <v>7</v>
      </c>
      <c r="F43" s="50">
        <v>8</v>
      </c>
      <c r="G43" s="50">
        <v>0</v>
      </c>
      <c r="H43" s="50">
        <v>0</v>
      </c>
      <c r="I43" s="50">
        <v>4</v>
      </c>
      <c r="J43" s="50">
        <v>1</v>
      </c>
      <c r="K43" s="50">
        <v>0</v>
      </c>
      <c r="L43" s="50">
        <v>0</v>
      </c>
      <c r="M43" s="50">
        <v>100</v>
      </c>
      <c r="N43" s="50">
        <v>0</v>
      </c>
      <c r="O43" s="15">
        <f t="shared" si="0"/>
        <v>86</v>
      </c>
      <c r="P43" s="15">
        <f t="shared" si="1"/>
        <v>186</v>
      </c>
    </row>
    <row r="44" spans="2:20" ht="23.1" customHeight="1">
      <c r="B44" s="25" t="s">
        <v>71</v>
      </c>
      <c r="C44" s="50">
        <v>43</v>
      </c>
      <c r="D44" s="50">
        <v>9</v>
      </c>
      <c r="E44" s="50">
        <v>5</v>
      </c>
      <c r="F44" s="50">
        <v>9</v>
      </c>
      <c r="G44" s="50">
        <v>0</v>
      </c>
      <c r="H44" s="50">
        <v>0</v>
      </c>
      <c r="I44" s="50">
        <v>8</v>
      </c>
      <c r="J44" s="50">
        <v>0</v>
      </c>
      <c r="K44" s="50">
        <v>2</v>
      </c>
      <c r="L44" s="50">
        <v>0</v>
      </c>
      <c r="M44" s="50">
        <v>70</v>
      </c>
      <c r="N44" s="50">
        <v>0</v>
      </c>
      <c r="O44" s="15">
        <f t="shared" si="0"/>
        <v>76</v>
      </c>
      <c r="P44" s="15">
        <f t="shared" si="1"/>
        <v>146</v>
      </c>
    </row>
    <row r="45" spans="2:20" ht="23.1" customHeight="1">
      <c r="B45" s="23" t="s">
        <v>72</v>
      </c>
      <c r="C45" s="50">
        <v>64</v>
      </c>
      <c r="D45" s="50">
        <v>11</v>
      </c>
      <c r="E45" s="50">
        <v>7</v>
      </c>
      <c r="F45" s="50">
        <v>11</v>
      </c>
      <c r="G45" s="50">
        <v>0</v>
      </c>
      <c r="H45" s="50">
        <v>0</v>
      </c>
      <c r="I45" s="50">
        <v>4</v>
      </c>
      <c r="J45" s="50">
        <v>3</v>
      </c>
      <c r="K45" s="50">
        <v>0</v>
      </c>
      <c r="L45" s="50">
        <v>0</v>
      </c>
      <c r="M45" s="50">
        <v>60</v>
      </c>
      <c r="N45" s="50">
        <v>0</v>
      </c>
      <c r="O45" s="15">
        <f t="shared" si="0"/>
        <v>100</v>
      </c>
      <c r="P45" s="15">
        <f t="shared" si="1"/>
        <v>160</v>
      </c>
    </row>
    <row r="46" spans="2:20" ht="23.1" customHeight="1">
      <c r="B46" s="24" t="s">
        <v>73</v>
      </c>
      <c r="C46" s="50">
        <v>63</v>
      </c>
      <c r="D46" s="50">
        <v>7</v>
      </c>
      <c r="E46" s="50">
        <v>5</v>
      </c>
      <c r="F46" s="50">
        <v>8</v>
      </c>
      <c r="G46" s="50">
        <v>0</v>
      </c>
      <c r="H46" s="50">
        <v>0</v>
      </c>
      <c r="I46" s="50">
        <v>3</v>
      </c>
      <c r="J46" s="50">
        <v>0</v>
      </c>
      <c r="K46" s="50">
        <v>3</v>
      </c>
      <c r="L46" s="50">
        <v>0</v>
      </c>
      <c r="M46" s="50">
        <v>73</v>
      </c>
      <c r="N46" s="50">
        <v>0</v>
      </c>
      <c r="O46" s="15">
        <f t="shared" si="0"/>
        <v>89</v>
      </c>
      <c r="P46" s="15">
        <f t="shared" si="1"/>
        <v>162</v>
      </c>
      <c r="R46" s="8"/>
      <c r="T46"/>
    </row>
    <row r="47" spans="2:20" ht="23.1" customHeight="1">
      <c r="B47" s="24" t="s">
        <v>74</v>
      </c>
      <c r="C47" s="50">
        <v>70</v>
      </c>
      <c r="D47" s="50">
        <v>12</v>
      </c>
      <c r="E47" s="50">
        <v>7</v>
      </c>
      <c r="F47" s="50">
        <v>14</v>
      </c>
      <c r="G47" s="50">
        <v>0</v>
      </c>
      <c r="H47" s="50">
        <v>0</v>
      </c>
      <c r="I47" s="50">
        <v>3</v>
      </c>
      <c r="J47" s="50">
        <v>0</v>
      </c>
      <c r="K47" s="50">
        <v>0</v>
      </c>
      <c r="L47" s="50">
        <v>0</v>
      </c>
      <c r="M47" s="50">
        <v>55</v>
      </c>
      <c r="N47" s="50">
        <v>0</v>
      </c>
      <c r="O47" s="15">
        <f t="shared" si="0"/>
        <v>106</v>
      </c>
      <c r="P47" s="15">
        <f t="shared" si="1"/>
        <v>161</v>
      </c>
      <c r="R47" s="8"/>
      <c r="T47"/>
    </row>
    <row r="48" spans="2:20" ht="23.1" customHeight="1">
      <c r="B48" s="24" t="s">
        <v>75</v>
      </c>
      <c r="C48" s="50">
        <v>75</v>
      </c>
      <c r="D48" s="50">
        <v>8</v>
      </c>
      <c r="E48" s="50">
        <v>12</v>
      </c>
      <c r="F48" s="50">
        <v>10</v>
      </c>
      <c r="G48" s="50">
        <v>0</v>
      </c>
      <c r="H48" s="50">
        <v>0</v>
      </c>
      <c r="I48" s="50">
        <v>5</v>
      </c>
      <c r="J48" s="50">
        <v>2</v>
      </c>
      <c r="K48" s="50">
        <v>0</v>
      </c>
      <c r="L48" s="50">
        <v>0</v>
      </c>
      <c r="M48" s="50">
        <v>70</v>
      </c>
      <c r="N48" s="50">
        <v>0</v>
      </c>
      <c r="O48" s="15">
        <f t="shared" si="0"/>
        <v>112</v>
      </c>
      <c r="P48" s="15">
        <f t="shared" si="1"/>
        <v>182</v>
      </c>
      <c r="R48" s="8"/>
      <c r="T48"/>
    </row>
    <row r="49" spans="2:20" ht="23.1" customHeight="1">
      <c r="B49" s="23" t="s">
        <v>76</v>
      </c>
      <c r="C49" s="50">
        <v>56</v>
      </c>
      <c r="D49" s="50">
        <v>7</v>
      </c>
      <c r="E49" s="50">
        <v>8</v>
      </c>
      <c r="F49" s="50">
        <v>13</v>
      </c>
      <c r="G49" s="50">
        <v>1</v>
      </c>
      <c r="H49" s="50">
        <v>0</v>
      </c>
      <c r="I49" s="50">
        <v>2</v>
      </c>
      <c r="J49" s="50">
        <v>0</v>
      </c>
      <c r="K49" s="50">
        <v>0</v>
      </c>
      <c r="L49" s="50">
        <v>0</v>
      </c>
      <c r="M49" s="50">
        <v>75</v>
      </c>
      <c r="N49" s="50">
        <v>0</v>
      </c>
      <c r="O49" s="15">
        <f t="shared" si="0"/>
        <v>87</v>
      </c>
      <c r="P49" s="15">
        <f t="shared" si="1"/>
        <v>162</v>
      </c>
      <c r="R49" s="8"/>
      <c r="T49"/>
    </row>
    <row r="50" spans="2:20" ht="23.1" customHeight="1">
      <c r="B50" s="24" t="s">
        <v>77</v>
      </c>
      <c r="C50" s="50">
        <v>45</v>
      </c>
      <c r="D50" s="50">
        <v>4</v>
      </c>
      <c r="E50" s="50">
        <v>9</v>
      </c>
      <c r="F50" s="50">
        <v>7</v>
      </c>
      <c r="G50" s="50">
        <v>0</v>
      </c>
      <c r="H50" s="50">
        <v>0</v>
      </c>
      <c r="I50" s="50">
        <v>4</v>
      </c>
      <c r="J50" s="50">
        <v>1</v>
      </c>
      <c r="K50" s="50">
        <v>0</v>
      </c>
      <c r="L50" s="50">
        <v>0</v>
      </c>
      <c r="M50" s="50">
        <v>70</v>
      </c>
      <c r="N50" s="50">
        <v>0</v>
      </c>
      <c r="O50" s="15">
        <f t="shared" si="0"/>
        <v>70</v>
      </c>
      <c r="P50" s="15">
        <f t="shared" si="1"/>
        <v>140</v>
      </c>
      <c r="R50" s="8"/>
      <c r="T50"/>
    </row>
    <row r="51" spans="2:20" ht="23.1" customHeight="1">
      <c r="B51" s="24" t="s">
        <v>78</v>
      </c>
      <c r="C51" s="50">
        <v>82</v>
      </c>
      <c r="D51" s="50">
        <v>9</v>
      </c>
      <c r="E51" s="50">
        <v>5</v>
      </c>
      <c r="F51" s="50">
        <v>16</v>
      </c>
      <c r="G51" s="50">
        <v>2</v>
      </c>
      <c r="H51" s="50">
        <v>0</v>
      </c>
      <c r="I51" s="50">
        <v>6</v>
      </c>
      <c r="J51" s="50">
        <v>2</v>
      </c>
      <c r="K51" s="50">
        <v>2</v>
      </c>
      <c r="L51" s="50">
        <v>0</v>
      </c>
      <c r="M51" s="50">
        <v>87</v>
      </c>
      <c r="N51" s="50">
        <v>0</v>
      </c>
      <c r="O51" s="15">
        <f t="shared" si="0"/>
        <v>124</v>
      </c>
      <c r="P51" s="15">
        <f t="shared" si="1"/>
        <v>211</v>
      </c>
      <c r="R51" s="8"/>
      <c r="T51"/>
    </row>
    <row r="52" spans="2:20" ht="23.1" customHeight="1">
      <c r="B52" s="24" t="s">
        <v>79</v>
      </c>
      <c r="C52" s="50">
        <v>89</v>
      </c>
      <c r="D52" s="50">
        <v>9</v>
      </c>
      <c r="E52" s="50">
        <v>10</v>
      </c>
      <c r="F52" s="50">
        <v>16</v>
      </c>
      <c r="G52" s="50">
        <v>1</v>
      </c>
      <c r="H52" s="50">
        <v>0</v>
      </c>
      <c r="I52" s="50">
        <v>1</v>
      </c>
      <c r="J52" s="50">
        <v>0</v>
      </c>
      <c r="K52" s="50">
        <v>1</v>
      </c>
      <c r="L52" s="50">
        <v>0</v>
      </c>
      <c r="M52" s="50">
        <v>65</v>
      </c>
      <c r="N52" s="50">
        <v>0</v>
      </c>
      <c r="O52" s="15">
        <f t="shared" si="0"/>
        <v>127</v>
      </c>
      <c r="P52" s="15">
        <f t="shared" si="1"/>
        <v>192</v>
      </c>
      <c r="R52" s="8"/>
      <c r="T52"/>
    </row>
    <row r="53" spans="2:20" ht="23.1" customHeight="1">
      <c r="B53" s="23" t="s">
        <v>80</v>
      </c>
      <c r="C53" s="50">
        <v>26</v>
      </c>
      <c r="D53" s="50">
        <v>4</v>
      </c>
      <c r="E53" s="50">
        <v>4</v>
      </c>
      <c r="F53" s="50">
        <v>12</v>
      </c>
      <c r="G53" s="50">
        <v>3</v>
      </c>
      <c r="H53" s="50">
        <v>0</v>
      </c>
      <c r="I53" s="50">
        <v>1</v>
      </c>
      <c r="J53" s="50">
        <v>0</v>
      </c>
      <c r="K53" s="50">
        <v>2</v>
      </c>
      <c r="L53" s="50">
        <v>0</v>
      </c>
      <c r="M53" s="50">
        <v>80</v>
      </c>
      <c r="N53" s="50">
        <v>0</v>
      </c>
      <c r="O53" s="15">
        <f t="shared" si="0"/>
        <v>52</v>
      </c>
      <c r="P53" s="15">
        <f t="shared" si="1"/>
        <v>132</v>
      </c>
      <c r="R53" s="8"/>
      <c r="T53"/>
    </row>
    <row r="54" spans="2:20" ht="23.1" customHeight="1">
      <c r="B54" s="23" t="s">
        <v>81</v>
      </c>
      <c r="C54" s="50">
        <v>49</v>
      </c>
      <c r="D54" s="50">
        <v>8</v>
      </c>
      <c r="E54" s="50">
        <v>4</v>
      </c>
      <c r="F54" s="50">
        <v>15</v>
      </c>
      <c r="G54" s="50">
        <v>0</v>
      </c>
      <c r="H54" s="50">
        <v>0</v>
      </c>
      <c r="I54" s="50">
        <v>2</v>
      </c>
      <c r="J54" s="50">
        <v>0</v>
      </c>
      <c r="K54" s="50">
        <v>0</v>
      </c>
      <c r="L54" s="50">
        <v>0</v>
      </c>
      <c r="M54" s="50">
        <v>86</v>
      </c>
      <c r="N54" s="50">
        <v>0</v>
      </c>
      <c r="O54" s="15">
        <f t="shared" si="0"/>
        <v>78</v>
      </c>
      <c r="P54" s="15">
        <f t="shared" si="1"/>
        <v>164</v>
      </c>
      <c r="R54" s="8"/>
      <c r="T54"/>
    </row>
    <row r="55" spans="2:20" ht="23.1" customHeight="1">
      <c r="B55" s="23" t="s">
        <v>82</v>
      </c>
      <c r="C55" s="50">
        <v>37</v>
      </c>
      <c r="D55" s="50">
        <v>8</v>
      </c>
      <c r="E55" s="50">
        <v>6</v>
      </c>
      <c r="F55" s="50">
        <v>19</v>
      </c>
      <c r="G55" s="50">
        <v>0</v>
      </c>
      <c r="H55" s="50">
        <v>0</v>
      </c>
      <c r="I55" s="50">
        <v>6</v>
      </c>
      <c r="J55" s="50">
        <v>1</v>
      </c>
      <c r="K55" s="50">
        <v>0</v>
      </c>
      <c r="L55" s="50">
        <v>0</v>
      </c>
      <c r="M55" s="50">
        <v>100</v>
      </c>
      <c r="N55" s="50">
        <v>0</v>
      </c>
      <c r="O55" s="15">
        <f t="shared" si="0"/>
        <v>77</v>
      </c>
      <c r="P55" s="15">
        <f t="shared" si="1"/>
        <v>177</v>
      </c>
      <c r="R55" s="8"/>
      <c r="T55"/>
    </row>
    <row r="56" spans="2:20" ht="23.1" customHeight="1">
      <c r="B56" s="23" t="s">
        <v>83</v>
      </c>
      <c r="C56" s="50">
        <v>52</v>
      </c>
      <c r="D56" s="50">
        <v>4</v>
      </c>
      <c r="E56" s="50">
        <v>7</v>
      </c>
      <c r="F56" s="50">
        <v>18</v>
      </c>
      <c r="G56" s="50">
        <v>1</v>
      </c>
      <c r="H56" s="50">
        <v>0</v>
      </c>
      <c r="I56" s="50">
        <v>1</v>
      </c>
      <c r="J56" s="50">
        <v>1</v>
      </c>
      <c r="K56" s="50">
        <v>0</v>
      </c>
      <c r="L56" s="50">
        <v>0</v>
      </c>
      <c r="M56" s="50">
        <v>80</v>
      </c>
      <c r="N56" s="50">
        <v>0</v>
      </c>
      <c r="O56" s="15">
        <f t="shared" si="0"/>
        <v>84</v>
      </c>
      <c r="P56" s="15">
        <f t="shared" si="1"/>
        <v>164</v>
      </c>
      <c r="R56" s="8"/>
      <c r="T56"/>
    </row>
    <row r="57" spans="2:20" ht="23.1" customHeight="1">
      <c r="B57" s="23" t="s">
        <v>84</v>
      </c>
      <c r="C57" s="50">
        <v>43</v>
      </c>
      <c r="D57" s="50">
        <v>5</v>
      </c>
      <c r="E57" s="50">
        <v>14</v>
      </c>
      <c r="F57" s="50">
        <v>35</v>
      </c>
      <c r="G57" s="50">
        <v>0</v>
      </c>
      <c r="H57" s="50">
        <v>0</v>
      </c>
      <c r="I57" s="50">
        <v>1</v>
      </c>
      <c r="J57" s="50">
        <v>0</v>
      </c>
      <c r="K57" s="50">
        <v>0</v>
      </c>
      <c r="L57" s="50">
        <v>0</v>
      </c>
      <c r="M57" s="50">
        <v>90</v>
      </c>
      <c r="N57" s="50">
        <v>0</v>
      </c>
      <c r="O57" s="15">
        <f t="shared" si="0"/>
        <v>98</v>
      </c>
      <c r="P57" s="15">
        <f t="shared" si="1"/>
        <v>188</v>
      </c>
      <c r="R57" s="8"/>
      <c r="T57"/>
    </row>
    <row r="58" spans="2:20" ht="23.1" customHeight="1">
      <c r="B58" s="26" t="s">
        <v>18</v>
      </c>
      <c r="C58" s="16">
        <f t="shared" ref="C58:P58" si="21">SUM(C10:C57)</f>
        <v>3504</v>
      </c>
      <c r="D58" s="16">
        <f t="shared" si="21"/>
        <v>558</v>
      </c>
      <c r="E58" s="16">
        <f t="shared" si="21"/>
        <v>452</v>
      </c>
      <c r="F58" s="16">
        <f t="shared" si="21"/>
        <v>743</v>
      </c>
      <c r="G58" s="16">
        <f t="shared" si="21"/>
        <v>9</v>
      </c>
      <c r="H58" s="16">
        <f t="shared" si="21"/>
        <v>0</v>
      </c>
      <c r="I58" s="16">
        <f t="shared" si="21"/>
        <v>152</v>
      </c>
      <c r="J58" s="16">
        <f t="shared" si="21"/>
        <v>66</v>
      </c>
      <c r="K58" s="16">
        <f t="shared" si="21"/>
        <v>34</v>
      </c>
      <c r="L58" s="16">
        <f t="shared" si="21"/>
        <v>7</v>
      </c>
      <c r="M58" s="16">
        <f t="shared" si="21"/>
        <v>3748</v>
      </c>
      <c r="N58" s="16">
        <f t="shared" si="21"/>
        <v>0</v>
      </c>
      <c r="O58" s="16">
        <f t="shared" si="21"/>
        <v>5525</v>
      </c>
      <c r="P58" s="16">
        <f t="shared" si="21"/>
        <v>9273</v>
      </c>
      <c r="R58" s="8"/>
      <c r="T58"/>
    </row>
    <row r="59" spans="2:20" ht="23.1" customHeight="1">
      <c r="B59" s="26" t="s">
        <v>93</v>
      </c>
      <c r="C59" s="43">
        <f t="shared" ref="C59:N59" si="22">C58/$P$58</f>
        <v>0.37787123908120351</v>
      </c>
      <c r="D59" s="43">
        <f t="shared" si="22"/>
        <v>6.0174700744095762E-2</v>
      </c>
      <c r="E59" s="43">
        <f t="shared" si="22"/>
        <v>4.874366440202739E-2</v>
      </c>
      <c r="F59" s="43">
        <f t="shared" si="22"/>
        <v>8.0125094359969798E-2</v>
      </c>
      <c r="G59" s="43">
        <f t="shared" si="22"/>
        <v>9.7055968942089935E-4</v>
      </c>
      <c r="H59" s="43">
        <f t="shared" si="22"/>
        <v>0</v>
      </c>
      <c r="I59" s="43">
        <f t="shared" si="22"/>
        <v>1.639167475466408E-2</v>
      </c>
      <c r="J59" s="43">
        <f t="shared" si="22"/>
        <v>7.1174377224199285E-3</v>
      </c>
      <c r="K59" s="43">
        <f t="shared" si="22"/>
        <v>3.6665588267011753E-3</v>
      </c>
      <c r="L59" s="43">
        <f t="shared" si="22"/>
        <v>7.5487975843847735E-4</v>
      </c>
      <c r="M59" s="43">
        <f t="shared" si="22"/>
        <v>0.40418419066105898</v>
      </c>
      <c r="N59" s="43">
        <f t="shared" si="22"/>
        <v>0</v>
      </c>
      <c r="R59" s="8"/>
      <c r="T59"/>
    </row>
    <row r="60" spans="2:20" ht="23.1" customHeight="1">
      <c r="B60" s="42" t="s">
        <v>94</v>
      </c>
      <c r="C60" s="44">
        <f>C58/$O$58</f>
        <v>0.6342081447963801</v>
      </c>
      <c r="D60" s="44">
        <f t="shared" ref="D60:N60" si="23">D58/$O$58</f>
        <v>0.10099547511312217</v>
      </c>
      <c r="E60" s="44">
        <f t="shared" si="23"/>
        <v>8.1809954751131217E-2</v>
      </c>
      <c r="F60" s="44">
        <f t="shared" si="23"/>
        <v>0.13447963800904977</v>
      </c>
      <c r="G60" s="44">
        <f t="shared" si="23"/>
        <v>1.6289592760180996E-3</v>
      </c>
      <c r="H60" s="44">
        <f t="shared" si="23"/>
        <v>0</v>
      </c>
      <c r="I60" s="44">
        <f t="shared" si="23"/>
        <v>2.7511312217194571E-2</v>
      </c>
      <c r="J60" s="44">
        <f t="shared" si="23"/>
        <v>1.1945701357466063E-2</v>
      </c>
      <c r="K60" s="44">
        <f t="shared" si="23"/>
        <v>6.1538461538461538E-3</v>
      </c>
      <c r="L60" s="44">
        <f t="shared" si="23"/>
        <v>1.2669683257918551E-3</v>
      </c>
      <c r="M60" s="44"/>
      <c r="N60" s="44">
        <f t="shared" si="23"/>
        <v>0</v>
      </c>
      <c r="Q60" s="7"/>
      <c r="R60" s="8"/>
      <c r="T60"/>
    </row>
    <row r="61" spans="2:20" ht="20.100000000000001" customHeight="1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G5:H5"/>
    <mergeCell ref="G6:H6"/>
    <mergeCell ref="R8:AF8"/>
    <mergeCell ref="B1:AE1"/>
    <mergeCell ref="B2:AE2"/>
    <mergeCell ref="C3:G3"/>
    <mergeCell ref="D6:E6"/>
    <mergeCell ref="K6:L6"/>
    <mergeCell ref="K5:L5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1:AF126"/>
  <sheetViews>
    <sheetView view="pageBreakPreview" topLeftCell="A34" zoomScale="60" workbookViewId="0">
      <selection activeCell="M57" sqref="M57"/>
    </sheetView>
  </sheetViews>
  <sheetFormatPr defaultColWidth="15" defaultRowHeight="20.100000000000001" customHeight="1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>
      <c r="B1" s="60" t="s">
        <v>23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</row>
    <row r="2" spans="2:32" ht="20.100000000000001" customHeight="1">
      <c r="B2" s="61" t="s">
        <v>95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</row>
    <row r="3" spans="2:32" ht="20.100000000000001" customHeight="1">
      <c r="B3" s="22" t="s">
        <v>96</v>
      </c>
      <c r="C3" s="65" t="str">
        <f>'29.07 Najjeera-Kiwatule'!C3:G3</f>
        <v>MCC - C1 - STN36 - MBOGO ROAD</v>
      </c>
      <c r="D3" s="65"/>
      <c r="E3" s="65"/>
      <c r="F3" s="65"/>
      <c r="G3" s="65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>
      <c r="C5" s="4" t="s">
        <v>3</v>
      </c>
      <c r="D5" s="36" t="str">
        <f>'29.07 Najjeera-Kiwatule'!D5</f>
        <v>29.07.19</v>
      </c>
      <c r="E5" s="3"/>
      <c r="F5" s="41" t="s">
        <v>1</v>
      </c>
      <c r="G5" s="63" t="str">
        <f>'29.07 Najjeera-Kiwatule'!G5:H5</f>
        <v>U Save Kiwatule</v>
      </c>
      <c r="H5" s="64"/>
      <c r="I5" s="14"/>
      <c r="J5" s="2" t="s">
        <v>5</v>
      </c>
      <c r="K5" s="63" t="s">
        <v>178</v>
      </c>
      <c r="L5" s="64"/>
      <c r="M5" s="10"/>
      <c r="N5" s="10"/>
      <c r="O5" s="3"/>
      <c r="P5" s="3"/>
    </row>
    <row r="6" spans="2:32" ht="23.25" customHeight="1">
      <c r="C6" s="2" t="s">
        <v>4</v>
      </c>
      <c r="D6" s="57" t="s">
        <v>167</v>
      </c>
      <c r="E6" s="58"/>
      <c r="F6" s="2" t="s">
        <v>2</v>
      </c>
      <c r="G6" s="57" t="s">
        <v>166</v>
      </c>
      <c r="H6" s="58"/>
      <c r="J6" s="2" t="s">
        <v>21</v>
      </c>
      <c r="K6" s="63" t="str">
        <f>'29.07 Najjeera-Kiwatule'!K6:L6</f>
        <v>Steven</v>
      </c>
      <c r="L6" s="64"/>
      <c r="M6" s="10"/>
      <c r="N6" s="10"/>
      <c r="O6" s="3"/>
      <c r="P6" s="3"/>
    </row>
    <row r="7" spans="2:32" ht="20.100000000000001" customHeight="1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9" t="s">
        <v>88</v>
      </c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</row>
    <row r="9" spans="2:32" ht="51.75" customHeight="1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>
      <c r="B10" s="23" t="s">
        <v>37</v>
      </c>
      <c r="C10" s="50">
        <v>15</v>
      </c>
      <c r="D10" s="50">
        <v>7</v>
      </c>
      <c r="E10" s="50">
        <v>1</v>
      </c>
      <c r="F10" s="50">
        <v>15</v>
      </c>
      <c r="G10" s="50">
        <v>2</v>
      </c>
      <c r="H10" s="50">
        <v>0</v>
      </c>
      <c r="I10" s="50">
        <v>3</v>
      </c>
      <c r="J10" s="50">
        <v>0</v>
      </c>
      <c r="K10" s="50">
        <v>0</v>
      </c>
      <c r="L10" s="50">
        <v>0</v>
      </c>
      <c r="M10" s="50">
        <v>22</v>
      </c>
      <c r="N10" s="50">
        <v>0</v>
      </c>
      <c r="O10" s="15">
        <f t="shared" ref="O10:O57" si="0">SUM(C10:L10,N10)</f>
        <v>43</v>
      </c>
      <c r="P10" s="15">
        <f t="shared" ref="P10:P57" si="1">SUM(C10:N10)</f>
        <v>65</v>
      </c>
      <c r="R10" s="1" t="s">
        <v>6</v>
      </c>
      <c r="S10" s="17">
        <f t="shared" ref="S10:AF10" si="2">SUM(C10:C13)</f>
        <v>44</v>
      </c>
      <c r="T10" s="17">
        <f t="shared" si="2"/>
        <v>15</v>
      </c>
      <c r="U10" s="17">
        <f t="shared" si="2"/>
        <v>3</v>
      </c>
      <c r="V10" s="17">
        <f t="shared" si="2"/>
        <v>47</v>
      </c>
      <c r="W10" s="17">
        <f t="shared" si="2"/>
        <v>3</v>
      </c>
      <c r="X10" s="17">
        <f t="shared" si="2"/>
        <v>0</v>
      </c>
      <c r="Y10" s="17">
        <f t="shared" si="2"/>
        <v>6</v>
      </c>
      <c r="Z10" s="17">
        <f t="shared" si="2"/>
        <v>1</v>
      </c>
      <c r="AA10" s="17">
        <f t="shared" si="2"/>
        <v>0</v>
      </c>
      <c r="AB10" s="17">
        <f t="shared" si="2"/>
        <v>0</v>
      </c>
      <c r="AC10" s="17">
        <f t="shared" si="2"/>
        <v>54</v>
      </c>
      <c r="AD10" s="17">
        <f t="shared" si="2"/>
        <v>0</v>
      </c>
      <c r="AE10" s="31">
        <f t="shared" si="2"/>
        <v>119</v>
      </c>
      <c r="AF10" s="31">
        <f t="shared" si="2"/>
        <v>173</v>
      </c>
    </row>
    <row r="11" spans="2:32" s="6" customFormat="1" ht="23.1" customHeight="1">
      <c r="B11" s="23" t="s">
        <v>38</v>
      </c>
      <c r="C11" s="50">
        <v>8</v>
      </c>
      <c r="D11" s="50">
        <v>4</v>
      </c>
      <c r="E11" s="50">
        <v>0</v>
      </c>
      <c r="F11" s="50">
        <v>10</v>
      </c>
      <c r="G11" s="50">
        <v>0</v>
      </c>
      <c r="H11" s="50">
        <v>0</v>
      </c>
      <c r="I11" s="50">
        <v>1</v>
      </c>
      <c r="J11" s="50">
        <v>1</v>
      </c>
      <c r="K11" s="50">
        <v>0</v>
      </c>
      <c r="L11" s="50">
        <v>0</v>
      </c>
      <c r="M11" s="50">
        <v>13</v>
      </c>
      <c r="N11" s="50">
        <v>0</v>
      </c>
      <c r="O11" s="15">
        <f t="shared" si="0"/>
        <v>24</v>
      </c>
      <c r="P11" s="15">
        <f t="shared" si="1"/>
        <v>37</v>
      </c>
      <c r="R11" s="1" t="s">
        <v>7</v>
      </c>
      <c r="S11" s="17">
        <f t="shared" ref="S11:AF11" si="3">SUM(C14:C17)</f>
        <v>29</v>
      </c>
      <c r="T11" s="17">
        <f t="shared" si="3"/>
        <v>6</v>
      </c>
      <c r="U11" s="17">
        <f t="shared" si="3"/>
        <v>3</v>
      </c>
      <c r="V11" s="17">
        <f t="shared" si="3"/>
        <v>42</v>
      </c>
      <c r="W11" s="17">
        <f t="shared" si="3"/>
        <v>1</v>
      </c>
      <c r="X11" s="17">
        <f t="shared" si="3"/>
        <v>0</v>
      </c>
      <c r="Y11" s="17">
        <f t="shared" si="3"/>
        <v>9</v>
      </c>
      <c r="Z11" s="17">
        <f t="shared" si="3"/>
        <v>0</v>
      </c>
      <c r="AA11" s="17">
        <f t="shared" si="3"/>
        <v>0</v>
      </c>
      <c r="AB11" s="17">
        <f t="shared" si="3"/>
        <v>0</v>
      </c>
      <c r="AC11" s="17">
        <f t="shared" si="3"/>
        <v>35</v>
      </c>
      <c r="AD11" s="17">
        <f t="shared" si="3"/>
        <v>0</v>
      </c>
      <c r="AE11" s="31">
        <f t="shared" si="3"/>
        <v>90</v>
      </c>
      <c r="AF11" s="31">
        <f t="shared" si="3"/>
        <v>125</v>
      </c>
    </row>
    <row r="12" spans="2:32" ht="23.1" customHeight="1">
      <c r="B12" s="23" t="s">
        <v>39</v>
      </c>
      <c r="C12" s="50">
        <v>12</v>
      </c>
      <c r="D12" s="50">
        <v>3</v>
      </c>
      <c r="E12" s="50">
        <v>2</v>
      </c>
      <c r="F12" s="50">
        <v>13</v>
      </c>
      <c r="G12" s="50">
        <v>1</v>
      </c>
      <c r="H12" s="50">
        <v>0</v>
      </c>
      <c r="I12" s="50">
        <v>2</v>
      </c>
      <c r="J12" s="50">
        <v>0</v>
      </c>
      <c r="K12" s="50">
        <v>0</v>
      </c>
      <c r="L12" s="50">
        <v>0</v>
      </c>
      <c r="M12" s="50">
        <v>10</v>
      </c>
      <c r="N12" s="50">
        <v>0</v>
      </c>
      <c r="O12" s="15">
        <f t="shared" si="0"/>
        <v>33</v>
      </c>
      <c r="P12" s="15">
        <f t="shared" si="1"/>
        <v>43</v>
      </c>
      <c r="R12" s="1" t="s">
        <v>8</v>
      </c>
      <c r="S12" s="17">
        <f t="shared" ref="S12:AF12" si="4">SUM(C18:C21)</f>
        <v>106</v>
      </c>
      <c r="T12" s="17">
        <f t="shared" si="4"/>
        <v>16</v>
      </c>
      <c r="U12" s="17">
        <f t="shared" si="4"/>
        <v>5</v>
      </c>
      <c r="V12" s="17">
        <f t="shared" si="4"/>
        <v>74</v>
      </c>
      <c r="W12" s="17">
        <f t="shared" si="4"/>
        <v>0</v>
      </c>
      <c r="X12" s="17">
        <f t="shared" si="4"/>
        <v>0</v>
      </c>
      <c r="Y12" s="17">
        <f t="shared" si="4"/>
        <v>22</v>
      </c>
      <c r="Z12" s="17">
        <f t="shared" si="4"/>
        <v>0</v>
      </c>
      <c r="AA12" s="17">
        <f t="shared" si="4"/>
        <v>0</v>
      </c>
      <c r="AB12" s="17">
        <f t="shared" si="4"/>
        <v>0</v>
      </c>
      <c r="AC12" s="17">
        <f t="shared" si="4"/>
        <v>224</v>
      </c>
      <c r="AD12" s="17">
        <f t="shared" si="4"/>
        <v>0</v>
      </c>
      <c r="AE12" s="31">
        <f t="shared" si="4"/>
        <v>223</v>
      </c>
      <c r="AF12" s="31">
        <f t="shared" si="4"/>
        <v>447</v>
      </c>
    </row>
    <row r="13" spans="2:32" ht="23.1" customHeight="1">
      <c r="B13" s="23" t="s">
        <v>40</v>
      </c>
      <c r="C13" s="50">
        <v>9</v>
      </c>
      <c r="D13" s="50">
        <v>1</v>
      </c>
      <c r="E13" s="50">
        <v>0</v>
      </c>
      <c r="F13" s="50">
        <v>9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9</v>
      </c>
      <c r="N13" s="50">
        <v>0</v>
      </c>
      <c r="O13" s="15">
        <f t="shared" si="0"/>
        <v>19</v>
      </c>
      <c r="P13" s="15">
        <f t="shared" si="1"/>
        <v>28</v>
      </c>
      <c r="R13" s="1" t="s">
        <v>9</v>
      </c>
      <c r="S13" s="17">
        <f t="shared" ref="S13:AF13" si="5">SUM(C22:C25)</f>
        <v>152</v>
      </c>
      <c r="T13" s="17">
        <f t="shared" si="5"/>
        <v>23</v>
      </c>
      <c r="U13" s="17">
        <f t="shared" si="5"/>
        <v>14</v>
      </c>
      <c r="V13" s="17">
        <f t="shared" si="5"/>
        <v>92</v>
      </c>
      <c r="W13" s="17">
        <f t="shared" si="5"/>
        <v>0</v>
      </c>
      <c r="X13" s="17">
        <f t="shared" si="5"/>
        <v>0</v>
      </c>
      <c r="Y13" s="17">
        <f t="shared" si="5"/>
        <v>31</v>
      </c>
      <c r="Z13" s="17">
        <f t="shared" si="5"/>
        <v>2</v>
      </c>
      <c r="AA13" s="17">
        <f t="shared" si="5"/>
        <v>0</v>
      </c>
      <c r="AB13" s="17">
        <f t="shared" si="5"/>
        <v>0</v>
      </c>
      <c r="AC13" s="17">
        <f t="shared" si="5"/>
        <v>257</v>
      </c>
      <c r="AD13" s="17">
        <f t="shared" si="5"/>
        <v>0</v>
      </c>
      <c r="AE13" s="31">
        <f t="shared" si="5"/>
        <v>314</v>
      </c>
      <c r="AF13" s="31">
        <f t="shared" si="5"/>
        <v>571</v>
      </c>
    </row>
    <row r="14" spans="2:32" ht="23.1" customHeight="1">
      <c r="B14" s="23" t="s">
        <v>41</v>
      </c>
      <c r="C14" s="50">
        <v>10</v>
      </c>
      <c r="D14" s="50">
        <v>3</v>
      </c>
      <c r="E14" s="50">
        <v>1</v>
      </c>
      <c r="F14" s="50">
        <v>15</v>
      </c>
      <c r="G14" s="50">
        <v>0</v>
      </c>
      <c r="H14" s="50">
        <v>0</v>
      </c>
      <c r="I14" s="50">
        <v>5</v>
      </c>
      <c r="J14" s="50">
        <v>0</v>
      </c>
      <c r="K14" s="50">
        <v>0</v>
      </c>
      <c r="L14" s="50">
        <v>0</v>
      </c>
      <c r="M14" s="50">
        <v>10</v>
      </c>
      <c r="N14" s="50">
        <v>0</v>
      </c>
      <c r="O14" s="15">
        <f t="shared" si="0"/>
        <v>34</v>
      </c>
      <c r="P14" s="15">
        <f t="shared" si="1"/>
        <v>44</v>
      </c>
      <c r="R14" s="1" t="s">
        <v>10</v>
      </c>
      <c r="S14" s="17">
        <f t="shared" ref="S14:AF14" si="6">SUM(C26:C29)</f>
        <v>134</v>
      </c>
      <c r="T14" s="17">
        <f t="shared" si="6"/>
        <v>15</v>
      </c>
      <c r="U14" s="17">
        <f t="shared" si="6"/>
        <v>10</v>
      </c>
      <c r="V14" s="17">
        <f t="shared" si="6"/>
        <v>100</v>
      </c>
      <c r="W14" s="17">
        <f t="shared" si="6"/>
        <v>6</v>
      </c>
      <c r="X14" s="17">
        <f t="shared" si="6"/>
        <v>3</v>
      </c>
      <c r="Y14" s="17">
        <f t="shared" si="6"/>
        <v>51</v>
      </c>
      <c r="Z14" s="17">
        <f t="shared" si="6"/>
        <v>2</v>
      </c>
      <c r="AA14" s="17">
        <f t="shared" si="6"/>
        <v>2</v>
      </c>
      <c r="AB14" s="17">
        <f t="shared" si="6"/>
        <v>0</v>
      </c>
      <c r="AC14" s="17">
        <f t="shared" si="6"/>
        <v>178</v>
      </c>
      <c r="AD14" s="17">
        <f t="shared" si="6"/>
        <v>0</v>
      </c>
      <c r="AE14" s="31">
        <f t="shared" si="6"/>
        <v>323</v>
      </c>
      <c r="AF14" s="31">
        <f t="shared" si="6"/>
        <v>501</v>
      </c>
    </row>
    <row r="15" spans="2:32" ht="23.1" customHeight="1">
      <c r="B15" s="23" t="s">
        <v>42</v>
      </c>
      <c r="C15" s="50">
        <v>4</v>
      </c>
      <c r="D15" s="50">
        <v>1</v>
      </c>
      <c r="E15" s="50">
        <v>0</v>
      </c>
      <c r="F15" s="50">
        <v>9</v>
      </c>
      <c r="G15" s="50">
        <v>1</v>
      </c>
      <c r="H15" s="50">
        <v>0</v>
      </c>
      <c r="I15" s="50">
        <v>3</v>
      </c>
      <c r="J15" s="50">
        <v>0</v>
      </c>
      <c r="K15" s="50">
        <v>0</v>
      </c>
      <c r="L15" s="50">
        <v>0</v>
      </c>
      <c r="M15" s="50">
        <v>8</v>
      </c>
      <c r="N15" s="50">
        <v>0</v>
      </c>
      <c r="O15" s="15">
        <f t="shared" si="0"/>
        <v>18</v>
      </c>
      <c r="P15" s="15">
        <f t="shared" si="1"/>
        <v>26</v>
      </c>
      <c r="R15" s="1" t="s">
        <v>11</v>
      </c>
      <c r="S15" s="17">
        <f t="shared" ref="S15:AF15" si="7">SUM(C30:C33)</f>
        <v>93</v>
      </c>
      <c r="T15" s="17">
        <f t="shared" si="7"/>
        <v>25</v>
      </c>
      <c r="U15" s="17">
        <f t="shared" si="7"/>
        <v>5</v>
      </c>
      <c r="V15" s="17">
        <f t="shared" si="7"/>
        <v>98</v>
      </c>
      <c r="W15" s="17">
        <f t="shared" si="7"/>
        <v>5</v>
      </c>
      <c r="X15" s="17">
        <f t="shared" si="7"/>
        <v>2</v>
      </c>
      <c r="Y15" s="17">
        <f t="shared" si="7"/>
        <v>27</v>
      </c>
      <c r="Z15" s="17">
        <f t="shared" si="7"/>
        <v>3</v>
      </c>
      <c r="AA15" s="17">
        <f t="shared" si="7"/>
        <v>2</v>
      </c>
      <c r="AB15" s="17">
        <f t="shared" si="7"/>
        <v>0</v>
      </c>
      <c r="AC15" s="17">
        <f t="shared" si="7"/>
        <v>131</v>
      </c>
      <c r="AD15" s="17">
        <f t="shared" si="7"/>
        <v>0</v>
      </c>
      <c r="AE15" s="31">
        <f t="shared" si="7"/>
        <v>260</v>
      </c>
      <c r="AF15" s="31">
        <f t="shared" si="7"/>
        <v>391</v>
      </c>
    </row>
    <row r="16" spans="2:32" ht="23.1" customHeight="1">
      <c r="B16" s="23" t="s">
        <v>43</v>
      </c>
      <c r="C16" s="50">
        <v>6</v>
      </c>
      <c r="D16" s="50">
        <v>0</v>
      </c>
      <c r="E16" s="50">
        <v>0</v>
      </c>
      <c r="F16" s="50">
        <v>10</v>
      </c>
      <c r="G16" s="50">
        <v>0</v>
      </c>
      <c r="H16" s="50">
        <v>0</v>
      </c>
      <c r="I16" s="50">
        <v>1</v>
      </c>
      <c r="J16" s="50">
        <v>0</v>
      </c>
      <c r="K16" s="50">
        <v>0</v>
      </c>
      <c r="L16" s="50">
        <v>0</v>
      </c>
      <c r="M16" s="50">
        <v>9</v>
      </c>
      <c r="N16" s="50">
        <v>0</v>
      </c>
      <c r="O16" s="15">
        <f t="shared" si="0"/>
        <v>17</v>
      </c>
      <c r="P16" s="15">
        <f t="shared" si="1"/>
        <v>26</v>
      </c>
      <c r="R16" s="1" t="s">
        <v>12</v>
      </c>
      <c r="S16" s="17">
        <f t="shared" ref="S16:AF16" si="8">SUM(C34:C37)</f>
        <v>110</v>
      </c>
      <c r="T16" s="17">
        <f t="shared" si="8"/>
        <v>28</v>
      </c>
      <c r="U16" s="17">
        <f t="shared" si="8"/>
        <v>12</v>
      </c>
      <c r="V16" s="17">
        <f t="shared" si="8"/>
        <v>100</v>
      </c>
      <c r="W16" s="17">
        <f t="shared" si="8"/>
        <v>9</v>
      </c>
      <c r="X16" s="17">
        <f t="shared" si="8"/>
        <v>2</v>
      </c>
      <c r="Y16" s="17">
        <f t="shared" si="8"/>
        <v>14</v>
      </c>
      <c r="Z16" s="17">
        <f t="shared" si="8"/>
        <v>4</v>
      </c>
      <c r="AA16" s="17">
        <f t="shared" si="8"/>
        <v>2</v>
      </c>
      <c r="AB16" s="17">
        <f t="shared" si="8"/>
        <v>0</v>
      </c>
      <c r="AC16" s="17">
        <f t="shared" si="8"/>
        <v>139</v>
      </c>
      <c r="AD16" s="17">
        <f t="shared" si="8"/>
        <v>0</v>
      </c>
      <c r="AE16" s="31">
        <f t="shared" si="8"/>
        <v>281</v>
      </c>
      <c r="AF16" s="31">
        <f t="shared" si="8"/>
        <v>420</v>
      </c>
    </row>
    <row r="17" spans="2:32" ht="23.1" customHeight="1">
      <c r="B17" s="23" t="s">
        <v>44</v>
      </c>
      <c r="C17" s="50">
        <v>9</v>
      </c>
      <c r="D17" s="50">
        <v>2</v>
      </c>
      <c r="E17" s="50">
        <v>2</v>
      </c>
      <c r="F17" s="50">
        <v>8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8</v>
      </c>
      <c r="N17" s="50">
        <v>0</v>
      </c>
      <c r="O17" s="15">
        <f t="shared" si="0"/>
        <v>21</v>
      </c>
      <c r="P17" s="15">
        <f t="shared" si="1"/>
        <v>29</v>
      </c>
      <c r="R17" s="1" t="s">
        <v>13</v>
      </c>
      <c r="S17" s="17">
        <f t="shared" ref="S17:AF17" si="9">SUM(C38:C41)</f>
        <v>162</v>
      </c>
      <c r="T17" s="17">
        <f t="shared" si="9"/>
        <v>26</v>
      </c>
      <c r="U17" s="17">
        <f t="shared" si="9"/>
        <v>12</v>
      </c>
      <c r="V17" s="17">
        <f t="shared" si="9"/>
        <v>42</v>
      </c>
      <c r="W17" s="17">
        <f t="shared" si="9"/>
        <v>3</v>
      </c>
      <c r="X17" s="17">
        <f t="shared" si="9"/>
        <v>1</v>
      </c>
      <c r="Y17" s="17">
        <f t="shared" si="9"/>
        <v>25</v>
      </c>
      <c r="Z17" s="17">
        <f t="shared" si="9"/>
        <v>5</v>
      </c>
      <c r="AA17" s="17">
        <f t="shared" si="9"/>
        <v>2</v>
      </c>
      <c r="AB17" s="17">
        <f t="shared" si="9"/>
        <v>0</v>
      </c>
      <c r="AC17" s="17">
        <f t="shared" si="9"/>
        <v>192</v>
      </c>
      <c r="AD17" s="17">
        <f t="shared" si="9"/>
        <v>0</v>
      </c>
      <c r="AE17" s="31">
        <f t="shared" si="9"/>
        <v>278</v>
      </c>
      <c r="AF17" s="31">
        <f t="shared" si="9"/>
        <v>470</v>
      </c>
    </row>
    <row r="18" spans="2:32" ht="23.1" customHeight="1">
      <c r="B18" s="23" t="s">
        <v>45</v>
      </c>
      <c r="C18" s="50">
        <v>18</v>
      </c>
      <c r="D18" s="50">
        <v>0</v>
      </c>
      <c r="E18" s="50">
        <v>0</v>
      </c>
      <c r="F18" s="50">
        <v>20</v>
      </c>
      <c r="G18" s="50">
        <v>0</v>
      </c>
      <c r="H18" s="50">
        <v>0</v>
      </c>
      <c r="I18" s="50">
        <v>1</v>
      </c>
      <c r="J18" s="50">
        <v>0</v>
      </c>
      <c r="K18" s="50">
        <v>0</v>
      </c>
      <c r="L18" s="50">
        <v>0</v>
      </c>
      <c r="M18" s="50">
        <v>40</v>
      </c>
      <c r="N18" s="50">
        <v>0</v>
      </c>
      <c r="O18" s="15">
        <f t="shared" si="0"/>
        <v>39</v>
      </c>
      <c r="P18" s="15">
        <f t="shared" si="1"/>
        <v>79</v>
      </c>
      <c r="R18" s="1" t="s">
        <v>14</v>
      </c>
      <c r="S18" s="17">
        <f t="shared" ref="S18:AF18" si="10">SUM(C42:C45)</f>
        <v>207</v>
      </c>
      <c r="T18" s="17">
        <f t="shared" si="10"/>
        <v>33</v>
      </c>
      <c r="U18" s="17">
        <f t="shared" si="10"/>
        <v>20</v>
      </c>
      <c r="V18" s="17">
        <f t="shared" si="10"/>
        <v>79</v>
      </c>
      <c r="W18" s="17">
        <f t="shared" si="10"/>
        <v>4</v>
      </c>
      <c r="X18" s="17">
        <f t="shared" si="10"/>
        <v>0</v>
      </c>
      <c r="Y18" s="17">
        <f t="shared" si="10"/>
        <v>34</v>
      </c>
      <c r="Z18" s="17">
        <f t="shared" si="10"/>
        <v>1</v>
      </c>
      <c r="AA18" s="17">
        <f t="shared" si="10"/>
        <v>2</v>
      </c>
      <c r="AB18" s="17">
        <f t="shared" si="10"/>
        <v>2</v>
      </c>
      <c r="AC18" s="17">
        <f t="shared" si="10"/>
        <v>289</v>
      </c>
      <c r="AD18" s="17">
        <f t="shared" si="10"/>
        <v>0</v>
      </c>
      <c r="AE18" s="31">
        <f t="shared" si="10"/>
        <v>382</v>
      </c>
      <c r="AF18" s="31">
        <f t="shared" si="10"/>
        <v>671</v>
      </c>
    </row>
    <row r="19" spans="2:32" ht="23.1" customHeight="1">
      <c r="B19" s="23" t="s">
        <v>46</v>
      </c>
      <c r="C19" s="50">
        <v>37</v>
      </c>
      <c r="D19" s="50">
        <v>9</v>
      </c>
      <c r="E19" s="50">
        <v>2</v>
      </c>
      <c r="F19" s="50">
        <v>15</v>
      </c>
      <c r="G19" s="50">
        <v>0</v>
      </c>
      <c r="H19" s="50">
        <v>0</v>
      </c>
      <c r="I19" s="50">
        <v>9</v>
      </c>
      <c r="J19" s="50">
        <v>0</v>
      </c>
      <c r="K19" s="50">
        <v>0</v>
      </c>
      <c r="L19" s="50">
        <v>0</v>
      </c>
      <c r="M19" s="50">
        <v>77</v>
      </c>
      <c r="N19" s="50">
        <v>0</v>
      </c>
      <c r="O19" s="15">
        <f t="shared" si="0"/>
        <v>72</v>
      </c>
      <c r="P19" s="15">
        <f t="shared" si="1"/>
        <v>149</v>
      </c>
      <c r="R19" s="1" t="s">
        <v>15</v>
      </c>
      <c r="S19" s="17">
        <f t="shared" ref="S19:AF19" si="11">SUM(C46:C49)</f>
        <v>285</v>
      </c>
      <c r="T19" s="17">
        <f t="shared" si="11"/>
        <v>71</v>
      </c>
      <c r="U19" s="17">
        <f t="shared" si="11"/>
        <v>28</v>
      </c>
      <c r="V19" s="17">
        <f t="shared" si="11"/>
        <v>102</v>
      </c>
      <c r="W19" s="17">
        <f t="shared" si="11"/>
        <v>6</v>
      </c>
      <c r="X19" s="17">
        <f t="shared" si="11"/>
        <v>1</v>
      </c>
      <c r="Y19" s="17">
        <f t="shared" si="11"/>
        <v>29</v>
      </c>
      <c r="Z19" s="17">
        <f t="shared" si="11"/>
        <v>5</v>
      </c>
      <c r="AA19" s="17">
        <f t="shared" si="11"/>
        <v>2</v>
      </c>
      <c r="AB19" s="17">
        <f t="shared" si="11"/>
        <v>0</v>
      </c>
      <c r="AC19" s="17">
        <f t="shared" si="11"/>
        <v>230</v>
      </c>
      <c r="AD19" s="17">
        <f t="shared" si="11"/>
        <v>0</v>
      </c>
      <c r="AE19" s="31">
        <f t="shared" si="11"/>
        <v>529</v>
      </c>
      <c r="AF19" s="31">
        <f t="shared" si="11"/>
        <v>759</v>
      </c>
    </row>
    <row r="20" spans="2:32" ht="23.1" customHeight="1">
      <c r="B20" s="23" t="s">
        <v>47</v>
      </c>
      <c r="C20" s="50">
        <v>19</v>
      </c>
      <c r="D20" s="50">
        <v>0</v>
      </c>
      <c r="E20" s="50">
        <v>0</v>
      </c>
      <c r="F20" s="50">
        <v>22</v>
      </c>
      <c r="G20" s="50">
        <v>0</v>
      </c>
      <c r="H20" s="50">
        <v>0</v>
      </c>
      <c r="I20" s="50">
        <v>4</v>
      </c>
      <c r="J20" s="50">
        <v>0</v>
      </c>
      <c r="K20" s="50">
        <v>0</v>
      </c>
      <c r="L20" s="50">
        <v>0</v>
      </c>
      <c r="M20" s="50">
        <v>57</v>
      </c>
      <c r="N20" s="50">
        <v>0</v>
      </c>
      <c r="O20" s="15">
        <f t="shared" si="0"/>
        <v>45</v>
      </c>
      <c r="P20" s="15">
        <f t="shared" si="1"/>
        <v>102</v>
      </c>
      <c r="R20" s="1" t="s">
        <v>16</v>
      </c>
      <c r="S20" s="17">
        <f t="shared" ref="S20:AF20" si="12">SUM(C50:C53)</f>
        <v>311</v>
      </c>
      <c r="T20" s="17">
        <f t="shared" si="12"/>
        <v>56</v>
      </c>
      <c r="U20" s="17">
        <f t="shared" si="12"/>
        <v>18</v>
      </c>
      <c r="V20" s="17">
        <f t="shared" si="12"/>
        <v>55</v>
      </c>
      <c r="W20" s="17">
        <f t="shared" si="12"/>
        <v>5</v>
      </c>
      <c r="X20" s="17">
        <f t="shared" si="12"/>
        <v>0</v>
      </c>
      <c r="Y20" s="17">
        <f t="shared" si="12"/>
        <v>25</v>
      </c>
      <c r="Z20" s="17">
        <f t="shared" si="12"/>
        <v>4</v>
      </c>
      <c r="AA20" s="17">
        <f t="shared" si="12"/>
        <v>1</v>
      </c>
      <c r="AB20" s="17">
        <f t="shared" si="12"/>
        <v>0</v>
      </c>
      <c r="AC20" s="17">
        <f t="shared" si="12"/>
        <v>245</v>
      </c>
      <c r="AD20" s="17">
        <f t="shared" si="12"/>
        <v>0</v>
      </c>
      <c r="AE20" s="31">
        <f t="shared" si="12"/>
        <v>475</v>
      </c>
      <c r="AF20" s="31">
        <f t="shared" si="12"/>
        <v>720</v>
      </c>
    </row>
    <row r="21" spans="2:32" ht="23.1" customHeight="1">
      <c r="B21" s="23" t="s">
        <v>48</v>
      </c>
      <c r="C21" s="50">
        <v>32</v>
      </c>
      <c r="D21" s="50">
        <v>7</v>
      </c>
      <c r="E21" s="50">
        <v>3</v>
      </c>
      <c r="F21" s="50">
        <v>17</v>
      </c>
      <c r="G21" s="50">
        <v>0</v>
      </c>
      <c r="H21" s="50">
        <v>0</v>
      </c>
      <c r="I21" s="50">
        <v>8</v>
      </c>
      <c r="J21" s="50">
        <v>0</v>
      </c>
      <c r="K21" s="50">
        <v>0</v>
      </c>
      <c r="L21" s="50">
        <v>0</v>
      </c>
      <c r="M21" s="50">
        <v>50</v>
      </c>
      <c r="N21" s="50">
        <v>0</v>
      </c>
      <c r="O21" s="15">
        <f t="shared" si="0"/>
        <v>67</v>
      </c>
      <c r="P21" s="15">
        <f t="shared" si="1"/>
        <v>117</v>
      </c>
      <c r="R21" s="36" t="s">
        <v>20</v>
      </c>
      <c r="S21" s="34">
        <f t="shared" ref="S21:AF21" si="13">SUM(C54:C57)</f>
        <v>420</v>
      </c>
      <c r="T21" s="17">
        <f t="shared" si="13"/>
        <v>56</v>
      </c>
      <c r="U21" s="17">
        <f t="shared" si="13"/>
        <v>23</v>
      </c>
      <c r="V21" s="17">
        <f t="shared" si="13"/>
        <v>55</v>
      </c>
      <c r="W21" s="17">
        <f t="shared" si="13"/>
        <v>2</v>
      </c>
      <c r="X21" s="17">
        <f t="shared" si="13"/>
        <v>2</v>
      </c>
      <c r="Y21" s="17">
        <f t="shared" si="13"/>
        <v>20</v>
      </c>
      <c r="Z21" s="17">
        <f t="shared" si="13"/>
        <v>3</v>
      </c>
      <c r="AA21" s="17">
        <f t="shared" si="13"/>
        <v>0</v>
      </c>
      <c r="AB21" s="17">
        <f t="shared" si="13"/>
        <v>0</v>
      </c>
      <c r="AC21" s="17">
        <f t="shared" si="13"/>
        <v>255</v>
      </c>
      <c r="AD21" s="17">
        <f t="shared" si="13"/>
        <v>0</v>
      </c>
      <c r="AE21" s="31">
        <f t="shared" si="13"/>
        <v>581</v>
      </c>
      <c r="AF21" s="31">
        <f t="shared" si="13"/>
        <v>836</v>
      </c>
    </row>
    <row r="22" spans="2:32" ht="23.1" customHeight="1">
      <c r="B22" s="23" t="s">
        <v>49</v>
      </c>
      <c r="C22" s="50">
        <v>38</v>
      </c>
      <c r="D22" s="50">
        <v>3</v>
      </c>
      <c r="E22" s="50">
        <v>4</v>
      </c>
      <c r="F22" s="50">
        <v>19</v>
      </c>
      <c r="G22" s="50">
        <v>0</v>
      </c>
      <c r="H22" s="50">
        <v>0</v>
      </c>
      <c r="I22" s="50">
        <v>8</v>
      </c>
      <c r="J22" s="50">
        <v>1</v>
      </c>
      <c r="K22" s="50">
        <v>0</v>
      </c>
      <c r="L22" s="50">
        <v>0</v>
      </c>
      <c r="M22" s="50">
        <v>55</v>
      </c>
      <c r="N22" s="50">
        <v>0</v>
      </c>
      <c r="O22" s="15">
        <f t="shared" si="0"/>
        <v>73</v>
      </c>
      <c r="P22" s="15">
        <f t="shared" si="1"/>
        <v>128</v>
      </c>
      <c r="R22" s="38" t="s">
        <v>90</v>
      </c>
      <c r="S22" s="39">
        <f>MAX(S10:S12)</f>
        <v>106</v>
      </c>
      <c r="T22" s="39">
        <f t="shared" ref="T22:AF22" si="14">MAX(T10:T12)</f>
        <v>16</v>
      </c>
      <c r="U22" s="39">
        <f t="shared" si="14"/>
        <v>5</v>
      </c>
      <c r="V22" s="39">
        <f t="shared" si="14"/>
        <v>74</v>
      </c>
      <c r="W22" s="39">
        <f t="shared" si="14"/>
        <v>3</v>
      </c>
      <c r="X22" s="39">
        <f t="shared" si="14"/>
        <v>0</v>
      </c>
      <c r="Y22" s="39">
        <f t="shared" si="14"/>
        <v>22</v>
      </c>
      <c r="Z22" s="39">
        <f t="shared" si="14"/>
        <v>1</v>
      </c>
      <c r="AA22" s="39">
        <f t="shared" si="14"/>
        <v>0</v>
      </c>
      <c r="AB22" s="39">
        <f t="shared" si="14"/>
        <v>0</v>
      </c>
      <c r="AC22" s="39">
        <f t="shared" si="14"/>
        <v>224</v>
      </c>
      <c r="AD22" s="39">
        <f t="shared" si="14"/>
        <v>0</v>
      </c>
      <c r="AE22" s="40">
        <f t="shared" si="14"/>
        <v>223</v>
      </c>
      <c r="AF22" s="40">
        <f t="shared" si="14"/>
        <v>447</v>
      </c>
    </row>
    <row r="23" spans="2:32" ht="23.1" customHeight="1">
      <c r="B23" s="23" t="s">
        <v>50</v>
      </c>
      <c r="C23" s="50">
        <v>51</v>
      </c>
      <c r="D23" s="50">
        <v>6</v>
      </c>
      <c r="E23" s="50">
        <v>3</v>
      </c>
      <c r="F23" s="50">
        <v>30</v>
      </c>
      <c r="G23" s="50">
        <v>0</v>
      </c>
      <c r="H23" s="50">
        <v>0</v>
      </c>
      <c r="I23" s="50">
        <v>6</v>
      </c>
      <c r="J23" s="50">
        <v>1</v>
      </c>
      <c r="K23" s="50">
        <v>0</v>
      </c>
      <c r="L23" s="50">
        <v>0</v>
      </c>
      <c r="M23" s="50">
        <v>74</v>
      </c>
      <c r="N23" s="50">
        <v>0</v>
      </c>
      <c r="O23" s="15">
        <f t="shared" si="0"/>
        <v>97</v>
      </c>
      <c r="P23" s="15">
        <f t="shared" si="1"/>
        <v>171</v>
      </c>
      <c r="R23" s="38" t="s">
        <v>91</v>
      </c>
      <c r="S23" s="39">
        <f>MAX(S13:S18)</f>
        <v>207</v>
      </c>
      <c r="T23" s="39">
        <f t="shared" ref="T23:AF23" si="15">MAX(T13:T18)</f>
        <v>33</v>
      </c>
      <c r="U23" s="39">
        <f t="shared" si="15"/>
        <v>20</v>
      </c>
      <c r="V23" s="39">
        <f t="shared" si="15"/>
        <v>100</v>
      </c>
      <c r="W23" s="39">
        <f t="shared" si="15"/>
        <v>9</v>
      </c>
      <c r="X23" s="39">
        <f t="shared" si="15"/>
        <v>3</v>
      </c>
      <c r="Y23" s="39">
        <f t="shared" si="15"/>
        <v>51</v>
      </c>
      <c r="Z23" s="39">
        <f t="shared" si="15"/>
        <v>5</v>
      </c>
      <c r="AA23" s="39">
        <f t="shared" si="15"/>
        <v>2</v>
      </c>
      <c r="AB23" s="39">
        <f t="shared" si="15"/>
        <v>2</v>
      </c>
      <c r="AC23" s="39">
        <f t="shared" si="15"/>
        <v>289</v>
      </c>
      <c r="AD23" s="39">
        <f t="shared" si="15"/>
        <v>0</v>
      </c>
      <c r="AE23" s="40">
        <f t="shared" si="15"/>
        <v>382</v>
      </c>
      <c r="AF23" s="40">
        <f t="shared" si="15"/>
        <v>671</v>
      </c>
    </row>
    <row r="24" spans="2:32" ht="23.1" customHeight="1">
      <c r="B24" s="23" t="s">
        <v>51</v>
      </c>
      <c r="C24" s="50">
        <v>33</v>
      </c>
      <c r="D24" s="50">
        <v>6</v>
      </c>
      <c r="E24" s="50">
        <v>2</v>
      </c>
      <c r="F24" s="50">
        <v>24</v>
      </c>
      <c r="G24" s="50">
        <v>0</v>
      </c>
      <c r="H24" s="50">
        <v>0</v>
      </c>
      <c r="I24" s="50">
        <v>12</v>
      </c>
      <c r="J24" s="50">
        <v>0</v>
      </c>
      <c r="K24" s="50">
        <v>0</v>
      </c>
      <c r="L24" s="50">
        <v>0</v>
      </c>
      <c r="M24" s="50">
        <v>81</v>
      </c>
      <c r="N24" s="50">
        <v>0</v>
      </c>
      <c r="O24" s="15">
        <f t="shared" si="0"/>
        <v>77</v>
      </c>
      <c r="P24" s="15">
        <f t="shared" si="1"/>
        <v>158</v>
      </c>
      <c r="R24" s="38" t="s">
        <v>92</v>
      </c>
      <c r="S24" s="39">
        <f>MAX(S19:S21)</f>
        <v>420</v>
      </c>
      <c r="T24" s="39">
        <f t="shared" ref="T24:AF24" si="16">MAX(T19:T21)</f>
        <v>71</v>
      </c>
      <c r="U24" s="39">
        <f t="shared" si="16"/>
        <v>28</v>
      </c>
      <c r="V24" s="39">
        <f t="shared" si="16"/>
        <v>102</v>
      </c>
      <c r="W24" s="39">
        <f t="shared" si="16"/>
        <v>6</v>
      </c>
      <c r="X24" s="39">
        <f t="shared" si="16"/>
        <v>2</v>
      </c>
      <c r="Y24" s="39">
        <f t="shared" si="16"/>
        <v>29</v>
      </c>
      <c r="Z24" s="39">
        <f t="shared" si="16"/>
        <v>5</v>
      </c>
      <c r="AA24" s="39">
        <f t="shared" si="16"/>
        <v>2</v>
      </c>
      <c r="AB24" s="39">
        <f t="shared" si="16"/>
        <v>0</v>
      </c>
      <c r="AC24" s="39">
        <f t="shared" si="16"/>
        <v>255</v>
      </c>
      <c r="AD24" s="39">
        <f t="shared" si="16"/>
        <v>0</v>
      </c>
      <c r="AE24" s="40">
        <f t="shared" si="16"/>
        <v>581</v>
      </c>
      <c r="AF24" s="40">
        <f t="shared" si="16"/>
        <v>836</v>
      </c>
    </row>
    <row r="25" spans="2:32" ht="23.1" customHeight="1">
      <c r="B25" s="23" t="s">
        <v>52</v>
      </c>
      <c r="C25" s="50">
        <v>30</v>
      </c>
      <c r="D25" s="50">
        <v>8</v>
      </c>
      <c r="E25" s="50">
        <v>5</v>
      </c>
      <c r="F25" s="50">
        <v>19</v>
      </c>
      <c r="G25" s="50">
        <v>0</v>
      </c>
      <c r="H25" s="50">
        <v>0</v>
      </c>
      <c r="I25" s="50">
        <v>5</v>
      </c>
      <c r="J25" s="50">
        <v>0</v>
      </c>
      <c r="K25" s="50">
        <v>0</v>
      </c>
      <c r="L25" s="50">
        <v>0</v>
      </c>
      <c r="M25" s="50">
        <v>47</v>
      </c>
      <c r="N25" s="50">
        <v>0</v>
      </c>
      <c r="O25" s="15">
        <f t="shared" si="0"/>
        <v>67</v>
      </c>
      <c r="P25" s="15">
        <f t="shared" si="1"/>
        <v>114</v>
      </c>
      <c r="R25" s="37" t="s">
        <v>85</v>
      </c>
      <c r="S25" s="35">
        <f t="shared" ref="S25:AF25" si="17">SUM(S10:S12)</f>
        <v>179</v>
      </c>
      <c r="T25" s="16">
        <f t="shared" si="17"/>
        <v>37</v>
      </c>
      <c r="U25" s="16">
        <f t="shared" si="17"/>
        <v>11</v>
      </c>
      <c r="V25" s="16">
        <f t="shared" si="17"/>
        <v>163</v>
      </c>
      <c r="W25" s="16">
        <f t="shared" si="17"/>
        <v>4</v>
      </c>
      <c r="X25" s="16">
        <f t="shared" si="17"/>
        <v>0</v>
      </c>
      <c r="Y25" s="16">
        <f t="shared" si="17"/>
        <v>37</v>
      </c>
      <c r="Z25" s="16">
        <f t="shared" si="17"/>
        <v>1</v>
      </c>
      <c r="AA25" s="16">
        <f t="shared" si="17"/>
        <v>0</v>
      </c>
      <c r="AB25" s="16">
        <f t="shared" si="17"/>
        <v>0</v>
      </c>
      <c r="AC25" s="16">
        <f t="shared" si="17"/>
        <v>313</v>
      </c>
      <c r="AD25" s="16">
        <f t="shared" si="17"/>
        <v>0</v>
      </c>
      <c r="AE25" s="32">
        <f t="shared" si="17"/>
        <v>432</v>
      </c>
      <c r="AF25" s="32">
        <f t="shared" si="17"/>
        <v>745</v>
      </c>
    </row>
    <row r="26" spans="2:32" ht="23.1" customHeight="1">
      <c r="B26" s="23" t="s">
        <v>53</v>
      </c>
      <c r="C26" s="50">
        <v>40</v>
      </c>
      <c r="D26" s="50">
        <v>3</v>
      </c>
      <c r="E26" s="50">
        <v>2</v>
      </c>
      <c r="F26" s="50">
        <v>18</v>
      </c>
      <c r="G26" s="50">
        <v>2</v>
      </c>
      <c r="H26" s="50">
        <v>0</v>
      </c>
      <c r="I26" s="50">
        <v>20</v>
      </c>
      <c r="J26" s="50">
        <v>0</v>
      </c>
      <c r="K26" s="50">
        <v>0</v>
      </c>
      <c r="L26" s="50">
        <v>0</v>
      </c>
      <c r="M26" s="50">
        <v>37</v>
      </c>
      <c r="N26" s="50">
        <v>0</v>
      </c>
      <c r="O26" s="15">
        <f t="shared" si="0"/>
        <v>85</v>
      </c>
      <c r="P26" s="15">
        <f t="shared" si="1"/>
        <v>122</v>
      </c>
      <c r="R26" s="28" t="s">
        <v>86</v>
      </c>
      <c r="S26" s="16">
        <f t="shared" ref="S26:AF26" si="18">SUM(S13:S18)</f>
        <v>858</v>
      </c>
      <c r="T26" s="16">
        <f t="shared" si="18"/>
        <v>150</v>
      </c>
      <c r="U26" s="16">
        <f t="shared" si="18"/>
        <v>73</v>
      </c>
      <c r="V26" s="16">
        <f t="shared" si="18"/>
        <v>511</v>
      </c>
      <c r="W26" s="16">
        <f t="shared" si="18"/>
        <v>27</v>
      </c>
      <c r="X26" s="16">
        <f t="shared" si="18"/>
        <v>8</v>
      </c>
      <c r="Y26" s="16">
        <f t="shared" si="18"/>
        <v>182</v>
      </c>
      <c r="Z26" s="16">
        <f t="shared" si="18"/>
        <v>17</v>
      </c>
      <c r="AA26" s="16">
        <f t="shared" si="18"/>
        <v>10</v>
      </c>
      <c r="AB26" s="16">
        <f t="shared" si="18"/>
        <v>2</v>
      </c>
      <c r="AC26" s="16">
        <f t="shared" si="18"/>
        <v>1186</v>
      </c>
      <c r="AD26" s="16">
        <f t="shared" si="18"/>
        <v>0</v>
      </c>
      <c r="AE26" s="32">
        <f t="shared" si="18"/>
        <v>1838</v>
      </c>
      <c r="AF26" s="32">
        <f t="shared" si="18"/>
        <v>3024</v>
      </c>
    </row>
    <row r="27" spans="2:32" ht="23.1" customHeight="1">
      <c r="B27" s="23" t="s">
        <v>54</v>
      </c>
      <c r="C27" s="50">
        <v>35</v>
      </c>
      <c r="D27" s="50">
        <v>2</v>
      </c>
      <c r="E27" s="50">
        <v>3</v>
      </c>
      <c r="F27" s="50">
        <v>26</v>
      </c>
      <c r="G27" s="50">
        <v>0</v>
      </c>
      <c r="H27" s="50">
        <v>1</v>
      </c>
      <c r="I27" s="50">
        <v>11</v>
      </c>
      <c r="J27" s="50">
        <v>1</v>
      </c>
      <c r="K27" s="50">
        <v>1</v>
      </c>
      <c r="L27" s="50">
        <v>0</v>
      </c>
      <c r="M27" s="50">
        <v>46</v>
      </c>
      <c r="N27" s="50">
        <v>0</v>
      </c>
      <c r="O27" s="15">
        <f t="shared" si="0"/>
        <v>80</v>
      </c>
      <c r="P27" s="15">
        <f t="shared" si="1"/>
        <v>126</v>
      </c>
      <c r="R27" s="29" t="s">
        <v>87</v>
      </c>
      <c r="S27" s="16">
        <f t="shared" ref="S27:AF27" si="19">SUM(S19:S21)</f>
        <v>1016</v>
      </c>
      <c r="T27" s="16">
        <f t="shared" si="19"/>
        <v>183</v>
      </c>
      <c r="U27" s="16">
        <f t="shared" si="19"/>
        <v>69</v>
      </c>
      <c r="V27" s="16">
        <f t="shared" si="19"/>
        <v>212</v>
      </c>
      <c r="W27" s="16">
        <f t="shared" si="19"/>
        <v>13</v>
      </c>
      <c r="X27" s="16">
        <f t="shared" si="19"/>
        <v>3</v>
      </c>
      <c r="Y27" s="16">
        <f t="shared" si="19"/>
        <v>74</v>
      </c>
      <c r="Z27" s="16">
        <f t="shared" si="19"/>
        <v>12</v>
      </c>
      <c r="AA27" s="16">
        <f t="shared" si="19"/>
        <v>3</v>
      </c>
      <c r="AB27" s="16">
        <f t="shared" si="19"/>
        <v>0</v>
      </c>
      <c r="AC27" s="16">
        <f t="shared" si="19"/>
        <v>730</v>
      </c>
      <c r="AD27" s="16">
        <f t="shared" si="19"/>
        <v>0</v>
      </c>
      <c r="AE27" s="32">
        <f t="shared" si="19"/>
        <v>1585</v>
      </c>
      <c r="AF27" s="32">
        <f t="shared" si="19"/>
        <v>2315</v>
      </c>
    </row>
    <row r="28" spans="2:32" ht="23.1" customHeight="1">
      <c r="B28" s="23" t="s">
        <v>55</v>
      </c>
      <c r="C28" s="50">
        <v>26</v>
      </c>
      <c r="D28" s="50">
        <v>6</v>
      </c>
      <c r="E28" s="50">
        <v>1</v>
      </c>
      <c r="F28" s="50">
        <v>29</v>
      </c>
      <c r="G28" s="50">
        <v>1</v>
      </c>
      <c r="H28" s="50">
        <v>0</v>
      </c>
      <c r="I28" s="50">
        <v>8</v>
      </c>
      <c r="J28" s="50">
        <v>1</v>
      </c>
      <c r="K28" s="50">
        <v>1</v>
      </c>
      <c r="L28" s="50">
        <v>0</v>
      </c>
      <c r="M28" s="50">
        <v>43</v>
      </c>
      <c r="N28" s="50">
        <v>0</v>
      </c>
      <c r="O28" s="15">
        <f t="shared" si="0"/>
        <v>73</v>
      </c>
      <c r="P28" s="15">
        <f t="shared" si="1"/>
        <v>116</v>
      </c>
      <c r="R28" s="5" t="s">
        <v>17</v>
      </c>
      <c r="S28" s="16">
        <f t="shared" ref="S28:AF28" si="20">SUM(S10:S21)</f>
        <v>2053</v>
      </c>
      <c r="T28" s="16">
        <f t="shared" si="20"/>
        <v>370</v>
      </c>
      <c r="U28" s="16">
        <f t="shared" si="20"/>
        <v>153</v>
      </c>
      <c r="V28" s="16">
        <f t="shared" si="20"/>
        <v>886</v>
      </c>
      <c r="W28" s="16">
        <f t="shared" si="20"/>
        <v>44</v>
      </c>
      <c r="X28" s="16">
        <f t="shared" si="20"/>
        <v>11</v>
      </c>
      <c r="Y28" s="16">
        <f t="shared" si="20"/>
        <v>293</v>
      </c>
      <c r="Z28" s="16">
        <f t="shared" si="20"/>
        <v>30</v>
      </c>
      <c r="AA28" s="16">
        <f t="shared" si="20"/>
        <v>13</v>
      </c>
      <c r="AB28" s="16">
        <f t="shared" si="20"/>
        <v>2</v>
      </c>
      <c r="AC28" s="16">
        <f t="shared" si="20"/>
        <v>2229</v>
      </c>
      <c r="AD28" s="16">
        <f t="shared" si="20"/>
        <v>0</v>
      </c>
      <c r="AE28" s="32">
        <f t="shared" si="20"/>
        <v>3855</v>
      </c>
      <c r="AF28" s="32">
        <f t="shared" si="20"/>
        <v>6084</v>
      </c>
    </row>
    <row r="29" spans="2:32" ht="23.1" customHeight="1">
      <c r="B29" s="23" t="s">
        <v>56</v>
      </c>
      <c r="C29" s="50">
        <v>33</v>
      </c>
      <c r="D29" s="50">
        <v>4</v>
      </c>
      <c r="E29" s="50">
        <v>4</v>
      </c>
      <c r="F29" s="50">
        <v>27</v>
      </c>
      <c r="G29" s="50">
        <v>3</v>
      </c>
      <c r="H29" s="50">
        <v>2</v>
      </c>
      <c r="I29" s="50">
        <v>12</v>
      </c>
      <c r="J29" s="50">
        <v>0</v>
      </c>
      <c r="K29" s="50">
        <v>0</v>
      </c>
      <c r="L29" s="50">
        <v>0</v>
      </c>
      <c r="M29" s="50">
        <v>52</v>
      </c>
      <c r="N29" s="50">
        <v>0</v>
      </c>
      <c r="O29" s="15">
        <f t="shared" si="0"/>
        <v>85</v>
      </c>
      <c r="P29" s="15">
        <f t="shared" si="1"/>
        <v>137</v>
      </c>
      <c r="R29"/>
      <c r="S29" s="20"/>
      <c r="T29" s="19"/>
    </row>
    <row r="30" spans="2:32" ht="23.1" customHeight="1">
      <c r="B30" s="23" t="s">
        <v>57</v>
      </c>
      <c r="C30" s="50">
        <v>29</v>
      </c>
      <c r="D30" s="50">
        <v>9</v>
      </c>
      <c r="E30" s="50">
        <v>0</v>
      </c>
      <c r="F30" s="50">
        <v>23</v>
      </c>
      <c r="G30" s="50">
        <v>2</v>
      </c>
      <c r="H30" s="50">
        <v>0</v>
      </c>
      <c r="I30" s="50">
        <v>7</v>
      </c>
      <c r="J30" s="50">
        <v>0</v>
      </c>
      <c r="K30" s="50">
        <v>0</v>
      </c>
      <c r="L30" s="50">
        <v>0</v>
      </c>
      <c r="M30" s="50">
        <v>44</v>
      </c>
      <c r="N30" s="50">
        <v>0</v>
      </c>
      <c r="O30" s="15">
        <f t="shared" si="0"/>
        <v>70</v>
      </c>
      <c r="P30" s="15">
        <f t="shared" si="1"/>
        <v>114</v>
      </c>
    </row>
    <row r="31" spans="2:32" ht="23.1" customHeight="1">
      <c r="B31" s="24" t="s">
        <v>58</v>
      </c>
      <c r="C31" s="50">
        <v>22</v>
      </c>
      <c r="D31" s="50">
        <v>6</v>
      </c>
      <c r="E31" s="50">
        <v>2</v>
      </c>
      <c r="F31" s="50">
        <v>29</v>
      </c>
      <c r="G31" s="50">
        <v>1</v>
      </c>
      <c r="H31" s="50">
        <v>1</v>
      </c>
      <c r="I31" s="50">
        <v>11</v>
      </c>
      <c r="J31" s="50">
        <v>2</v>
      </c>
      <c r="K31" s="50">
        <v>1</v>
      </c>
      <c r="L31" s="50">
        <v>0</v>
      </c>
      <c r="M31" s="50">
        <v>45</v>
      </c>
      <c r="N31" s="50">
        <v>0</v>
      </c>
      <c r="O31" s="15">
        <f t="shared" si="0"/>
        <v>75</v>
      </c>
      <c r="P31" s="15">
        <f t="shared" si="1"/>
        <v>120</v>
      </c>
    </row>
    <row r="32" spans="2:32" ht="23.1" customHeight="1">
      <c r="B32" s="24" t="s">
        <v>59</v>
      </c>
      <c r="C32" s="50">
        <v>33</v>
      </c>
      <c r="D32" s="50">
        <v>7</v>
      </c>
      <c r="E32" s="50">
        <v>0</v>
      </c>
      <c r="F32" s="50">
        <v>21</v>
      </c>
      <c r="G32" s="50">
        <v>0</v>
      </c>
      <c r="H32" s="50">
        <v>0</v>
      </c>
      <c r="I32" s="50">
        <v>4</v>
      </c>
      <c r="J32" s="50">
        <v>1</v>
      </c>
      <c r="K32" s="50">
        <v>0</v>
      </c>
      <c r="L32" s="50">
        <v>0</v>
      </c>
      <c r="M32" s="50">
        <v>12</v>
      </c>
      <c r="N32" s="50">
        <v>0</v>
      </c>
      <c r="O32" s="15">
        <f t="shared" si="0"/>
        <v>66</v>
      </c>
      <c r="P32" s="15">
        <f t="shared" si="1"/>
        <v>78</v>
      </c>
    </row>
    <row r="33" spans="2:20" ht="23.1" customHeight="1">
      <c r="B33" s="23" t="s">
        <v>60</v>
      </c>
      <c r="C33" s="50">
        <v>9</v>
      </c>
      <c r="D33" s="50">
        <v>3</v>
      </c>
      <c r="E33" s="50">
        <v>3</v>
      </c>
      <c r="F33" s="50">
        <v>25</v>
      </c>
      <c r="G33" s="50">
        <v>2</v>
      </c>
      <c r="H33" s="50">
        <v>1</v>
      </c>
      <c r="I33" s="50">
        <v>5</v>
      </c>
      <c r="J33" s="50">
        <v>0</v>
      </c>
      <c r="K33" s="50">
        <v>1</v>
      </c>
      <c r="L33" s="50">
        <v>0</v>
      </c>
      <c r="M33" s="50">
        <v>30</v>
      </c>
      <c r="N33" s="50">
        <v>0</v>
      </c>
      <c r="O33" s="15">
        <f t="shared" si="0"/>
        <v>49</v>
      </c>
      <c r="P33" s="15">
        <f t="shared" si="1"/>
        <v>79</v>
      </c>
    </row>
    <row r="34" spans="2:20" ht="23.1" customHeight="1">
      <c r="B34" s="24" t="s">
        <v>61</v>
      </c>
      <c r="C34" s="50">
        <v>30</v>
      </c>
      <c r="D34" s="50">
        <v>6</v>
      </c>
      <c r="E34" s="50">
        <v>1</v>
      </c>
      <c r="F34" s="50">
        <v>30</v>
      </c>
      <c r="G34" s="50">
        <v>5</v>
      </c>
      <c r="H34" s="50">
        <v>0</v>
      </c>
      <c r="I34" s="50">
        <v>1</v>
      </c>
      <c r="J34" s="50">
        <v>1</v>
      </c>
      <c r="K34" s="50">
        <v>0</v>
      </c>
      <c r="L34" s="50">
        <v>0</v>
      </c>
      <c r="M34" s="50">
        <v>35</v>
      </c>
      <c r="N34" s="50">
        <v>0</v>
      </c>
      <c r="O34" s="15">
        <f t="shared" si="0"/>
        <v>74</v>
      </c>
      <c r="P34" s="15">
        <f t="shared" si="1"/>
        <v>109</v>
      </c>
    </row>
    <row r="35" spans="2:20" ht="23.1" customHeight="1">
      <c r="B35" s="24" t="s">
        <v>62</v>
      </c>
      <c r="C35" s="50">
        <v>17</v>
      </c>
      <c r="D35" s="50">
        <v>9</v>
      </c>
      <c r="E35" s="50">
        <v>3</v>
      </c>
      <c r="F35" s="50">
        <v>10</v>
      </c>
      <c r="G35" s="50">
        <v>0</v>
      </c>
      <c r="H35" s="50">
        <v>1</v>
      </c>
      <c r="I35" s="50">
        <v>7</v>
      </c>
      <c r="J35" s="50">
        <v>0</v>
      </c>
      <c r="K35" s="50">
        <v>2</v>
      </c>
      <c r="L35" s="50">
        <v>0</v>
      </c>
      <c r="M35" s="50">
        <v>25</v>
      </c>
      <c r="N35" s="50">
        <v>0</v>
      </c>
      <c r="O35" s="15">
        <f t="shared" si="0"/>
        <v>49</v>
      </c>
      <c r="P35" s="15">
        <f t="shared" si="1"/>
        <v>74</v>
      </c>
    </row>
    <row r="36" spans="2:20" ht="23.1" customHeight="1">
      <c r="B36" s="24" t="s">
        <v>63</v>
      </c>
      <c r="C36" s="50">
        <v>20</v>
      </c>
      <c r="D36" s="50">
        <v>2</v>
      </c>
      <c r="E36" s="50">
        <v>3</v>
      </c>
      <c r="F36" s="50">
        <v>35</v>
      </c>
      <c r="G36" s="50">
        <v>3</v>
      </c>
      <c r="H36" s="50">
        <v>1</v>
      </c>
      <c r="I36" s="50">
        <v>0</v>
      </c>
      <c r="J36" s="50">
        <v>2</v>
      </c>
      <c r="K36" s="50">
        <v>0</v>
      </c>
      <c r="L36" s="50">
        <v>0</v>
      </c>
      <c r="M36" s="50">
        <v>39</v>
      </c>
      <c r="N36" s="50">
        <v>0</v>
      </c>
      <c r="O36" s="15">
        <f t="shared" si="0"/>
        <v>66</v>
      </c>
      <c r="P36" s="15">
        <f t="shared" si="1"/>
        <v>105</v>
      </c>
    </row>
    <row r="37" spans="2:20" ht="23.1" customHeight="1">
      <c r="B37" s="23" t="s">
        <v>64</v>
      </c>
      <c r="C37" s="50">
        <v>43</v>
      </c>
      <c r="D37" s="50">
        <v>11</v>
      </c>
      <c r="E37" s="50">
        <v>5</v>
      </c>
      <c r="F37" s="50">
        <v>25</v>
      </c>
      <c r="G37" s="50">
        <v>1</v>
      </c>
      <c r="H37" s="50">
        <v>0</v>
      </c>
      <c r="I37" s="50">
        <v>6</v>
      </c>
      <c r="J37" s="50">
        <v>1</v>
      </c>
      <c r="K37" s="50">
        <v>0</v>
      </c>
      <c r="L37" s="50">
        <v>0</v>
      </c>
      <c r="M37" s="50">
        <v>40</v>
      </c>
      <c r="N37" s="50">
        <v>0</v>
      </c>
      <c r="O37" s="15">
        <f t="shared" si="0"/>
        <v>92</v>
      </c>
      <c r="P37" s="15">
        <f t="shared" si="1"/>
        <v>132</v>
      </c>
    </row>
    <row r="38" spans="2:20" ht="23.1" customHeight="1">
      <c r="B38" s="24" t="s">
        <v>65</v>
      </c>
      <c r="C38" s="50">
        <v>43</v>
      </c>
      <c r="D38" s="50">
        <v>7</v>
      </c>
      <c r="E38" s="50">
        <v>2</v>
      </c>
      <c r="F38" s="50">
        <v>3</v>
      </c>
      <c r="G38" s="50">
        <v>0</v>
      </c>
      <c r="H38" s="50">
        <v>0</v>
      </c>
      <c r="I38" s="50">
        <v>11</v>
      </c>
      <c r="J38" s="50">
        <v>1</v>
      </c>
      <c r="K38" s="50">
        <v>0</v>
      </c>
      <c r="L38" s="50">
        <v>0</v>
      </c>
      <c r="M38" s="50">
        <v>60</v>
      </c>
      <c r="N38" s="50">
        <v>0</v>
      </c>
      <c r="O38" s="15">
        <f t="shared" si="0"/>
        <v>67</v>
      </c>
      <c r="P38" s="15">
        <f t="shared" si="1"/>
        <v>127</v>
      </c>
    </row>
    <row r="39" spans="2:20" ht="23.1" customHeight="1">
      <c r="B39" s="24" t="s">
        <v>66</v>
      </c>
      <c r="C39" s="50">
        <v>35</v>
      </c>
      <c r="D39" s="50">
        <v>8</v>
      </c>
      <c r="E39" s="50">
        <v>2</v>
      </c>
      <c r="F39" s="50">
        <v>20</v>
      </c>
      <c r="G39" s="50">
        <v>1</v>
      </c>
      <c r="H39" s="50">
        <v>1</v>
      </c>
      <c r="I39" s="50">
        <v>3</v>
      </c>
      <c r="J39" s="50">
        <v>0</v>
      </c>
      <c r="K39" s="50">
        <v>2</v>
      </c>
      <c r="L39" s="50">
        <v>0</v>
      </c>
      <c r="M39" s="50">
        <v>38</v>
      </c>
      <c r="N39" s="50">
        <v>0</v>
      </c>
      <c r="O39" s="15">
        <f t="shared" si="0"/>
        <v>72</v>
      </c>
      <c r="P39" s="15">
        <f t="shared" si="1"/>
        <v>110</v>
      </c>
    </row>
    <row r="40" spans="2:20" ht="23.1" customHeight="1">
      <c r="B40" s="24" t="s">
        <v>67</v>
      </c>
      <c r="C40" s="50">
        <v>43</v>
      </c>
      <c r="D40" s="50">
        <v>6</v>
      </c>
      <c r="E40" s="50">
        <v>4</v>
      </c>
      <c r="F40" s="50">
        <v>7</v>
      </c>
      <c r="G40" s="50">
        <v>2</v>
      </c>
      <c r="H40" s="50">
        <v>0</v>
      </c>
      <c r="I40" s="50">
        <v>9</v>
      </c>
      <c r="J40" s="50">
        <v>4</v>
      </c>
      <c r="K40" s="50">
        <v>0</v>
      </c>
      <c r="L40" s="50">
        <v>0</v>
      </c>
      <c r="M40" s="50">
        <v>57</v>
      </c>
      <c r="N40" s="50">
        <v>0</v>
      </c>
      <c r="O40" s="15">
        <f t="shared" si="0"/>
        <v>75</v>
      </c>
      <c r="P40" s="15">
        <f t="shared" si="1"/>
        <v>132</v>
      </c>
    </row>
    <row r="41" spans="2:20" ht="23.1" customHeight="1">
      <c r="B41" s="23" t="s">
        <v>68</v>
      </c>
      <c r="C41" s="50">
        <v>41</v>
      </c>
      <c r="D41" s="50">
        <v>5</v>
      </c>
      <c r="E41" s="50">
        <v>4</v>
      </c>
      <c r="F41" s="50">
        <v>12</v>
      </c>
      <c r="G41" s="50">
        <v>0</v>
      </c>
      <c r="H41" s="50">
        <v>0</v>
      </c>
      <c r="I41" s="50">
        <v>2</v>
      </c>
      <c r="J41" s="50">
        <v>0</v>
      </c>
      <c r="K41" s="50">
        <v>0</v>
      </c>
      <c r="L41" s="50">
        <v>0</v>
      </c>
      <c r="M41" s="50">
        <v>37</v>
      </c>
      <c r="N41" s="50">
        <v>0</v>
      </c>
      <c r="O41" s="15">
        <f t="shared" si="0"/>
        <v>64</v>
      </c>
      <c r="P41" s="15">
        <f t="shared" si="1"/>
        <v>101</v>
      </c>
    </row>
    <row r="42" spans="2:20" ht="23.1" customHeight="1">
      <c r="B42" s="24" t="s">
        <v>69</v>
      </c>
      <c r="C42" s="50">
        <v>73</v>
      </c>
      <c r="D42" s="50">
        <v>11</v>
      </c>
      <c r="E42" s="50">
        <v>4</v>
      </c>
      <c r="F42" s="50">
        <v>20</v>
      </c>
      <c r="G42" s="50">
        <v>1</v>
      </c>
      <c r="H42" s="50">
        <v>0</v>
      </c>
      <c r="I42" s="50">
        <v>8</v>
      </c>
      <c r="J42" s="50">
        <v>1</v>
      </c>
      <c r="K42" s="50">
        <v>1</v>
      </c>
      <c r="L42" s="50">
        <v>0</v>
      </c>
      <c r="M42" s="50">
        <v>84</v>
      </c>
      <c r="N42" s="50">
        <v>0</v>
      </c>
      <c r="O42" s="15">
        <f t="shared" si="0"/>
        <v>119</v>
      </c>
      <c r="P42" s="15">
        <f t="shared" si="1"/>
        <v>203</v>
      </c>
    </row>
    <row r="43" spans="2:20" ht="23.1" customHeight="1">
      <c r="B43" s="23" t="s">
        <v>70</v>
      </c>
      <c r="C43" s="50">
        <v>54</v>
      </c>
      <c r="D43" s="50">
        <v>9</v>
      </c>
      <c r="E43" s="50">
        <v>10</v>
      </c>
      <c r="F43" s="50">
        <v>18</v>
      </c>
      <c r="G43" s="50">
        <v>2</v>
      </c>
      <c r="H43" s="50">
        <v>0</v>
      </c>
      <c r="I43" s="50">
        <v>4</v>
      </c>
      <c r="J43" s="50">
        <v>0</v>
      </c>
      <c r="K43" s="50">
        <v>0</v>
      </c>
      <c r="L43" s="50">
        <v>1</v>
      </c>
      <c r="M43" s="50">
        <v>75</v>
      </c>
      <c r="N43" s="50">
        <v>0</v>
      </c>
      <c r="O43" s="15">
        <f t="shared" si="0"/>
        <v>98</v>
      </c>
      <c r="P43" s="15">
        <f t="shared" si="1"/>
        <v>173</v>
      </c>
    </row>
    <row r="44" spans="2:20" ht="23.1" customHeight="1">
      <c r="B44" s="25" t="s">
        <v>71</v>
      </c>
      <c r="C44" s="50">
        <v>65</v>
      </c>
      <c r="D44" s="50">
        <v>8</v>
      </c>
      <c r="E44" s="50">
        <v>4</v>
      </c>
      <c r="F44" s="50">
        <v>22</v>
      </c>
      <c r="G44" s="50">
        <v>1</v>
      </c>
      <c r="H44" s="50">
        <v>0</v>
      </c>
      <c r="I44" s="50">
        <v>12</v>
      </c>
      <c r="J44" s="50">
        <v>0</v>
      </c>
      <c r="K44" s="50">
        <v>0</v>
      </c>
      <c r="L44" s="50">
        <v>0</v>
      </c>
      <c r="M44" s="50">
        <v>65</v>
      </c>
      <c r="N44" s="50">
        <v>0</v>
      </c>
      <c r="O44" s="15">
        <f t="shared" si="0"/>
        <v>112</v>
      </c>
      <c r="P44" s="15">
        <f t="shared" si="1"/>
        <v>177</v>
      </c>
    </row>
    <row r="45" spans="2:20" ht="23.1" customHeight="1">
      <c r="B45" s="23" t="s">
        <v>72</v>
      </c>
      <c r="C45" s="50">
        <v>15</v>
      </c>
      <c r="D45" s="50">
        <v>5</v>
      </c>
      <c r="E45" s="50">
        <v>2</v>
      </c>
      <c r="F45" s="50">
        <v>19</v>
      </c>
      <c r="G45" s="50">
        <v>0</v>
      </c>
      <c r="H45" s="50">
        <v>0</v>
      </c>
      <c r="I45" s="50">
        <v>10</v>
      </c>
      <c r="J45" s="50">
        <v>0</v>
      </c>
      <c r="K45" s="50">
        <v>1</v>
      </c>
      <c r="L45" s="50">
        <v>1</v>
      </c>
      <c r="M45" s="50">
        <v>65</v>
      </c>
      <c r="N45" s="50">
        <v>0</v>
      </c>
      <c r="O45" s="15">
        <f t="shared" si="0"/>
        <v>53</v>
      </c>
      <c r="P45" s="15">
        <f t="shared" si="1"/>
        <v>118</v>
      </c>
    </row>
    <row r="46" spans="2:20" ht="23.1" customHeight="1">
      <c r="B46" s="24" t="s">
        <v>73</v>
      </c>
      <c r="C46" s="50">
        <v>20</v>
      </c>
      <c r="D46" s="50">
        <v>5</v>
      </c>
      <c r="E46" s="50">
        <v>4</v>
      </c>
      <c r="F46" s="50">
        <v>25</v>
      </c>
      <c r="G46" s="50">
        <v>2</v>
      </c>
      <c r="H46" s="50">
        <v>0</v>
      </c>
      <c r="I46" s="50">
        <v>12</v>
      </c>
      <c r="J46" s="50">
        <v>0</v>
      </c>
      <c r="K46" s="50">
        <v>1</v>
      </c>
      <c r="L46" s="50">
        <v>0</v>
      </c>
      <c r="M46" s="50">
        <v>40</v>
      </c>
      <c r="N46" s="50">
        <v>0</v>
      </c>
      <c r="O46" s="15">
        <f t="shared" si="0"/>
        <v>69</v>
      </c>
      <c r="P46" s="15">
        <f t="shared" si="1"/>
        <v>109</v>
      </c>
      <c r="R46" s="8"/>
      <c r="T46"/>
    </row>
    <row r="47" spans="2:20" ht="23.1" customHeight="1">
      <c r="B47" s="24" t="s">
        <v>74</v>
      </c>
      <c r="C47" s="50">
        <v>80</v>
      </c>
      <c r="D47" s="50">
        <v>21</v>
      </c>
      <c r="E47" s="50">
        <v>4</v>
      </c>
      <c r="F47" s="50">
        <v>26</v>
      </c>
      <c r="G47" s="50">
        <v>0</v>
      </c>
      <c r="H47" s="50">
        <v>1</v>
      </c>
      <c r="I47" s="50">
        <v>3</v>
      </c>
      <c r="J47" s="50">
        <v>1</v>
      </c>
      <c r="K47" s="50">
        <v>0</v>
      </c>
      <c r="L47" s="50">
        <v>0</v>
      </c>
      <c r="M47" s="50">
        <v>55</v>
      </c>
      <c r="N47" s="50">
        <v>0</v>
      </c>
      <c r="O47" s="15">
        <f t="shared" si="0"/>
        <v>136</v>
      </c>
      <c r="P47" s="15">
        <f t="shared" si="1"/>
        <v>191</v>
      </c>
      <c r="R47" s="8"/>
      <c r="T47"/>
    </row>
    <row r="48" spans="2:20" ht="23.1" customHeight="1">
      <c r="B48" s="24" t="s">
        <v>75</v>
      </c>
      <c r="C48" s="50">
        <v>95</v>
      </c>
      <c r="D48" s="50">
        <v>28</v>
      </c>
      <c r="E48" s="50">
        <v>8</v>
      </c>
      <c r="F48" s="50">
        <v>16</v>
      </c>
      <c r="G48" s="50">
        <v>2</v>
      </c>
      <c r="H48" s="50">
        <v>0</v>
      </c>
      <c r="I48" s="50">
        <v>11</v>
      </c>
      <c r="J48" s="50">
        <v>1</v>
      </c>
      <c r="K48" s="50">
        <v>1</v>
      </c>
      <c r="L48" s="50">
        <v>0</v>
      </c>
      <c r="M48" s="50">
        <v>60</v>
      </c>
      <c r="N48" s="50">
        <v>0</v>
      </c>
      <c r="O48" s="15">
        <f t="shared" si="0"/>
        <v>162</v>
      </c>
      <c r="P48" s="15">
        <f t="shared" si="1"/>
        <v>222</v>
      </c>
      <c r="R48" s="8"/>
      <c r="T48"/>
    </row>
    <row r="49" spans="2:20" ht="23.1" customHeight="1">
      <c r="B49" s="23" t="s">
        <v>76</v>
      </c>
      <c r="C49" s="50">
        <v>90</v>
      </c>
      <c r="D49" s="50">
        <v>17</v>
      </c>
      <c r="E49" s="50">
        <v>12</v>
      </c>
      <c r="F49" s="50">
        <v>35</v>
      </c>
      <c r="G49" s="50">
        <v>2</v>
      </c>
      <c r="H49" s="50">
        <v>0</v>
      </c>
      <c r="I49" s="50">
        <v>3</v>
      </c>
      <c r="J49" s="50">
        <v>3</v>
      </c>
      <c r="K49" s="50">
        <v>0</v>
      </c>
      <c r="L49" s="50">
        <v>0</v>
      </c>
      <c r="M49" s="50">
        <v>75</v>
      </c>
      <c r="N49" s="50">
        <v>0</v>
      </c>
      <c r="O49" s="15">
        <f t="shared" si="0"/>
        <v>162</v>
      </c>
      <c r="P49" s="15">
        <f t="shared" si="1"/>
        <v>237</v>
      </c>
      <c r="R49" s="8"/>
      <c r="T49"/>
    </row>
    <row r="50" spans="2:20" ht="23.1" customHeight="1">
      <c r="B50" s="24" t="s">
        <v>77</v>
      </c>
      <c r="C50" s="50">
        <v>66</v>
      </c>
      <c r="D50" s="50">
        <v>20</v>
      </c>
      <c r="E50" s="50">
        <v>6</v>
      </c>
      <c r="F50" s="50">
        <v>30</v>
      </c>
      <c r="G50" s="50">
        <v>2</v>
      </c>
      <c r="H50" s="50">
        <v>0</v>
      </c>
      <c r="I50" s="50">
        <v>6</v>
      </c>
      <c r="J50" s="50">
        <v>3</v>
      </c>
      <c r="K50" s="50">
        <v>0</v>
      </c>
      <c r="L50" s="50">
        <v>0</v>
      </c>
      <c r="M50" s="50">
        <v>50</v>
      </c>
      <c r="N50" s="50">
        <v>0</v>
      </c>
      <c r="O50" s="15">
        <f t="shared" si="0"/>
        <v>133</v>
      </c>
      <c r="P50" s="15">
        <f t="shared" si="1"/>
        <v>183</v>
      </c>
      <c r="R50" s="8"/>
      <c r="T50"/>
    </row>
    <row r="51" spans="2:20" ht="23.1" customHeight="1">
      <c r="B51" s="24" t="s">
        <v>78</v>
      </c>
      <c r="C51" s="50">
        <v>110</v>
      </c>
      <c r="D51" s="50">
        <v>9</v>
      </c>
      <c r="E51" s="50">
        <v>5</v>
      </c>
      <c r="F51" s="50">
        <v>15</v>
      </c>
      <c r="G51" s="50">
        <v>1</v>
      </c>
      <c r="H51" s="50">
        <v>0</v>
      </c>
      <c r="I51" s="50">
        <v>10</v>
      </c>
      <c r="J51" s="50">
        <v>0</v>
      </c>
      <c r="K51" s="50">
        <v>1</v>
      </c>
      <c r="L51" s="50">
        <v>0</v>
      </c>
      <c r="M51" s="50">
        <v>55</v>
      </c>
      <c r="N51" s="50">
        <v>0</v>
      </c>
      <c r="O51" s="15">
        <f t="shared" si="0"/>
        <v>151</v>
      </c>
      <c r="P51" s="15">
        <f t="shared" si="1"/>
        <v>206</v>
      </c>
      <c r="R51" s="8"/>
      <c r="T51"/>
    </row>
    <row r="52" spans="2:20" ht="23.1" customHeight="1">
      <c r="B52" s="24" t="s">
        <v>79</v>
      </c>
      <c r="C52" s="50">
        <v>85</v>
      </c>
      <c r="D52" s="50">
        <v>12</v>
      </c>
      <c r="E52" s="50">
        <v>4</v>
      </c>
      <c r="F52" s="50">
        <v>6</v>
      </c>
      <c r="G52" s="50">
        <v>0</v>
      </c>
      <c r="H52" s="50">
        <v>0</v>
      </c>
      <c r="I52" s="50">
        <v>2</v>
      </c>
      <c r="J52" s="50">
        <v>1</v>
      </c>
      <c r="K52" s="50">
        <v>0</v>
      </c>
      <c r="L52" s="50">
        <v>0</v>
      </c>
      <c r="M52" s="50">
        <v>60</v>
      </c>
      <c r="N52" s="50">
        <v>0</v>
      </c>
      <c r="O52" s="15">
        <f t="shared" si="0"/>
        <v>110</v>
      </c>
      <c r="P52" s="15">
        <f t="shared" si="1"/>
        <v>170</v>
      </c>
      <c r="R52" s="8"/>
      <c r="T52"/>
    </row>
    <row r="53" spans="2:20" ht="23.1" customHeight="1">
      <c r="B53" s="23" t="s">
        <v>80</v>
      </c>
      <c r="C53" s="50">
        <v>50</v>
      </c>
      <c r="D53" s="50">
        <v>15</v>
      </c>
      <c r="E53" s="50">
        <v>3</v>
      </c>
      <c r="F53" s="50">
        <v>4</v>
      </c>
      <c r="G53" s="50">
        <v>2</v>
      </c>
      <c r="H53" s="50">
        <v>0</v>
      </c>
      <c r="I53" s="50">
        <v>7</v>
      </c>
      <c r="J53" s="50">
        <v>0</v>
      </c>
      <c r="K53" s="50">
        <v>0</v>
      </c>
      <c r="L53" s="50">
        <v>0</v>
      </c>
      <c r="M53" s="50">
        <v>80</v>
      </c>
      <c r="N53" s="50">
        <v>0</v>
      </c>
      <c r="O53" s="15">
        <f t="shared" si="0"/>
        <v>81</v>
      </c>
      <c r="P53" s="15">
        <f t="shared" si="1"/>
        <v>161</v>
      </c>
      <c r="R53" s="8"/>
      <c r="T53"/>
    </row>
    <row r="54" spans="2:20" ht="23.1" customHeight="1">
      <c r="B54" s="23" t="s">
        <v>81</v>
      </c>
      <c r="C54" s="50">
        <v>85</v>
      </c>
      <c r="D54" s="50">
        <v>17</v>
      </c>
      <c r="E54" s="50">
        <v>4</v>
      </c>
      <c r="F54" s="50">
        <v>16</v>
      </c>
      <c r="G54" s="50">
        <v>0</v>
      </c>
      <c r="H54" s="50">
        <v>0</v>
      </c>
      <c r="I54" s="50">
        <v>4</v>
      </c>
      <c r="J54" s="50">
        <v>0</v>
      </c>
      <c r="K54" s="50">
        <v>0</v>
      </c>
      <c r="L54" s="50">
        <v>0</v>
      </c>
      <c r="M54" s="50">
        <v>50</v>
      </c>
      <c r="N54" s="50">
        <v>0</v>
      </c>
      <c r="O54" s="15">
        <f t="shared" si="0"/>
        <v>126</v>
      </c>
      <c r="P54" s="15">
        <f t="shared" si="1"/>
        <v>176</v>
      </c>
      <c r="R54" s="8"/>
      <c r="T54"/>
    </row>
    <row r="55" spans="2:20" ht="23.1" customHeight="1">
      <c r="B55" s="23" t="s">
        <v>82</v>
      </c>
      <c r="C55" s="50">
        <v>125</v>
      </c>
      <c r="D55" s="50">
        <v>20</v>
      </c>
      <c r="E55" s="50">
        <v>6</v>
      </c>
      <c r="F55" s="50">
        <v>12</v>
      </c>
      <c r="G55" s="50">
        <v>0</v>
      </c>
      <c r="H55" s="50">
        <v>1</v>
      </c>
      <c r="I55" s="50">
        <v>10</v>
      </c>
      <c r="J55" s="50">
        <v>2</v>
      </c>
      <c r="K55" s="50">
        <v>0</v>
      </c>
      <c r="L55" s="50">
        <v>0</v>
      </c>
      <c r="M55" s="50">
        <v>75</v>
      </c>
      <c r="N55" s="50">
        <v>0</v>
      </c>
      <c r="O55" s="15">
        <f t="shared" si="0"/>
        <v>176</v>
      </c>
      <c r="P55" s="15">
        <f t="shared" si="1"/>
        <v>251</v>
      </c>
      <c r="R55" s="8"/>
      <c r="T55"/>
    </row>
    <row r="56" spans="2:20" ht="23.1" customHeight="1">
      <c r="B56" s="23" t="s">
        <v>83</v>
      </c>
      <c r="C56" s="50">
        <v>120</v>
      </c>
      <c r="D56" s="50">
        <v>10</v>
      </c>
      <c r="E56" s="50">
        <v>5</v>
      </c>
      <c r="F56" s="50">
        <v>13</v>
      </c>
      <c r="G56" s="50">
        <v>2</v>
      </c>
      <c r="H56" s="50">
        <v>0</v>
      </c>
      <c r="I56" s="50">
        <v>6</v>
      </c>
      <c r="J56" s="50">
        <v>1</v>
      </c>
      <c r="K56" s="50">
        <v>0</v>
      </c>
      <c r="L56" s="50">
        <v>0</v>
      </c>
      <c r="M56" s="50">
        <v>60</v>
      </c>
      <c r="N56" s="50">
        <v>0</v>
      </c>
      <c r="O56" s="15">
        <f t="shared" si="0"/>
        <v>157</v>
      </c>
      <c r="P56" s="15">
        <f t="shared" si="1"/>
        <v>217</v>
      </c>
      <c r="R56" s="8"/>
      <c r="T56"/>
    </row>
    <row r="57" spans="2:20" ht="23.1" customHeight="1">
      <c r="B57" s="23" t="s">
        <v>84</v>
      </c>
      <c r="C57" s="50">
        <v>90</v>
      </c>
      <c r="D57" s="50">
        <v>9</v>
      </c>
      <c r="E57" s="50">
        <v>8</v>
      </c>
      <c r="F57" s="50">
        <v>14</v>
      </c>
      <c r="G57" s="50">
        <v>0</v>
      </c>
      <c r="H57" s="50">
        <v>1</v>
      </c>
      <c r="I57" s="50">
        <v>0</v>
      </c>
      <c r="J57" s="50">
        <v>0</v>
      </c>
      <c r="K57" s="50">
        <v>0</v>
      </c>
      <c r="L57" s="50">
        <v>0</v>
      </c>
      <c r="M57" s="50">
        <v>70</v>
      </c>
      <c r="N57" s="50">
        <v>0</v>
      </c>
      <c r="O57" s="15">
        <f t="shared" si="0"/>
        <v>122</v>
      </c>
      <c r="P57" s="15">
        <f t="shared" si="1"/>
        <v>192</v>
      </c>
      <c r="R57" s="8"/>
      <c r="T57"/>
    </row>
    <row r="58" spans="2:20" ht="23.1" customHeight="1">
      <c r="B58" s="26" t="s">
        <v>18</v>
      </c>
      <c r="C58" s="16">
        <f t="shared" ref="C58:P58" si="21">SUM(C10:C57)</f>
        <v>2053</v>
      </c>
      <c r="D58" s="16">
        <f t="shared" si="21"/>
        <v>370</v>
      </c>
      <c r="E58" s="16">
        <f t="shared" si="21"/>
        <v>153</v>
      </c>
      <c r="F58" s="16">
        <f t="shared" si="21"/>
        <v>886</v>
      </c>
      <c r="G58" s="16">
        <f t="shared" si="21"/>
        <v>44</v>
      </c>
      <c r="H58" s="16">
        <f t="shared" si="21"/>
        <v>11</v>
      </c>
      <c r="I58" s="16">
        <f t="shared" si="21"/>
        <v>293</v>
      </c>
      <c r="J58" s="16">
        <f t="shared" si="21"/>
        <v>30</v>
      </c>
      <c r="K58" s="16">
        <f t="shared" si="21"/>
        <v>13</v>
      </c>
      <c r="L58" s="16">
        <f t="shared" si="21"/>
        <v>2</v>
      </c>
      <c r="M58" s="16">
        <f t="shared" si="21"/>
        <v>2229</v>
      </c>
      <c r="N58" s="16">
        <f t="shared" si="21"/>
        <v>0</v>
      </c>
      <c r="O58" s="16">
        <f t="shared" si="21"/>
        <v>3855</v>
      </c>
      <c r="P58" s="16">
        <f t="shared" si="21"/>
        <v>6084</v>
      </c>
      <c r="R58" s="8"/>
      <c r="T58"/>
    </row>
    <row r="59" spans="2:20" ht="23.1" customHeight="1">
      <c r="B59" s="26" t="s">
        <v>93</v>
      </c>
      <c r="C59" s="43">
        <f t="shared" ref="C59:N59" si="22">C58/$P$58</f>
        <v>0.33744247205785666</v>
      </c>
      <c r="D59" s="43">
        <f t="shared" si="22"/>
        <v>6.0815253122945431E-2</v>
      </c>
      <c r="E59" s="43">
        <f t="shared" si="22"/>
        <v>2.514792899408284E-2</v>
      </c>
      <c r="F59" s="43">
        <f t="shared" si="22"/>
        <v>0.14562787639710717</v>
      </c>
      <c r="G59" s="43">
        <f t="shared" si="22"/>
        <v>7.2320841551610782E-3</v>
      </c>
      <c r="H59" s="43">
        <f t="shared" si="22"/>
        <v>1.8080210387902695E-3</v>
      </c>
      <c r="I59" s="43">
        <f t="shared" si="22"/>
        <v>4.8159105851413544E-2</v>
      </c>
      <c r="J59" s="43">
        <f t="shared" si="22"/>
        <v>4.9309664694280079E-3</v>
      </c>
      <c r="K59" s="43">
        <f t="shared" si="22"/>
        <v>2.136752136752137E-3</v>
      </c>
      <c r="L59" s="43">
        <f t="shared" si="22"/>
        <v>3.2873109796186721E-4</v>
      </c>
      <c r="M59" s="43">
        <f t="shared" si="22"/>
        <v>0.36637080867850097</v>
      </c>
      <c r="N59" s="43">
        <f t="shared" si="22"/>
        <v>0</v>
      </c>
      <c r="R59" s="8"/>
      <c r="T59"/>
    </row>
    <row r="60" spans="2:20" ht="23.1" customHeight="1">
      <c r="B60" s="42" t="s">
        <v>94</v>
      </c>
      <c r="C60" s="44">
        <f>C58/$O$58</f>
        <v>0.53255512321660181</v>
      </c>
      <c r="D60" s="44">
        <f t="shared" ref="D60:N60" si="23">D58/$O$58</f>
        <v>9.5979247730220499E-2</v>
      </c>
      <c r="E60" s="44">
        <f t="shared" si="23"/>
        <v>3.9688715953307391E-2</v>
      </c>
      <c r="F60" s="44">
        <f t="shared" si="23"/>
        <v>0.22983138780804149</v>
      </c>
      <c r="G60" s="44">
        <f t="shared" si="23"/>
        <v>1.1413748378728923E-2</v>
      </c>
      <c r="H60" s="44">
        <f t="shared" si="23"/>
        <v>2.8534370946822307E-3</v>
      </c>
      <c r="I60" s="44">
        <f t="shared" si="23"/>
        <v>7.600518806744487E-2</v>
      </c>
      <c r="J60" s="44">
        <f t="shared" si="23"/>
        <v>7.7821011673151752E-3</v>
      </c>
      <c r="K60" s="44">
        <f t="shared" si="23"/>
        <v>3.3722438391699094E-3</v>
      </c>
      <c r="L60" s="44">
        <f t="shared" si="23"/>
        <v>5.1880674448767834E-4</v>
      </c>
      <c r="M60" s="44"/>
      <c r="N60" s="44">
        <f t="shared" si="23"/>
        <v>0</v>
      </c>
      <c r="Q60" s="7"/>
      <c r="R60" s="8"/>
      <c r="T60"/>
    </row>
    <row r="61" spans="2:20" ht="20.100000000000001" customHeight="1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6:L6"/>
    <mergeCell ref="K5:L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B1:AF126"/>
  <sheetViews>
    <sheetView view="pageBreakPreview" zoomScale="60" workbookViewId="0">
      <selection activeCell="G62" sqref="G61:G62"/>
    </sheetView>
  </sheetViews>
  <sheetFormatPr defaultColWidth="15" defaultRowHeight="20.100000000000001" customHeight="1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>
      <c r="B1" s="60" t="s">
        <v>23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</row>
    <row r="2" spans="2:32" ht="20.100000000000001" customHeight="1">
      <c r="B2" s="61" t="s">
        <v>95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</row>
    <row r="3" spans="2:32" ht="20.100000000000001" customHeight="1">
      <c r="B3" s="22" t="s">
        <v>96</v>
      </c>
      <c r="C3" s="65" t="str">
        <f>'29.07 Najjeera-Kiwatule'!C3:G3</f>
        <v>MCC - C1 - STN36 - MBOGO ROAD</v>
      </c>
      <c r="D3" s="65"/>
      <c r="E3" s="65"/>
      <c r="F3" s="65"/>
      <c r="G3" s="65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>
      <c r="C5" s="4" t="s">
        <v>3</v>
      </c>
      <c r="D5" s="36" t="s">
        <v>182</v>
      </c>
      <c r="E5" s="3"/>
      <c r="F5" s="41" t="s">
        <v>1</v>
      </c>
      <c r="G5" s="66" t="str">
        <f>'29.07 Najjeera-Kiwatule'!G5:H5</f>
        <v>U Save Kiwatule</v>
      </c>
      <c r="H5" s="67"/>
      <c r="I5" s="14"/>
      <c r="J5" s="2" t="s">
        <v>5</v>
      </c>
      <c r="K5" s="66" t="s">
        <v>176</v>
      </c>
      <c r="L5" s="67"/>
      <c r="M5" s="10"/>
      <c r="N5" s="10"/>
      <c r="O5" s="3"/>
      <c r="P5" s="3"/>
    </row>
    <row r="6" spans="2:32" ht="23.25" customHeight="1">
      <c r="C6" s="2" t="s">
        <v>4</v>
      </c>
      <c r="D6" s="66" t="str">
        <f>'29.07 Najjeera-Kiwatule'!D6:E6</f>
        <v>Najjeera</v>
      </c>
      <c r="E6" s="67"/>
      <c r="F6" s="2" t="s">
        <v>2</v>
      </c>
      <c r="G6" s="66" t="str">
        <f>'29.07 Najjeera-Kiwatule'!G6:H6</f>
        <v>Kiwatule</v>
      </c>
      <c r="H6" s="67"/>
      <c r="J6" s="2" t="s">
        <v>21</v>
      </c>
      <c r="K6" s="66" t="str">
        <f>'29.07 Najjeera-Kiwatule'!K6:L6</f>
        <v>Steven</v>
      </c>
      <c r="L6" s="67"/>
      <c r="M6" s="10"/>
      <c r="N6" s="10"/>
      <c r="O6" s="3"/>
      <c r="P6" s="3"/>
    </row>
    <row r="7" spans="2:32" ht="20.100000000000001" customHeight="1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9" t="s">
        <v>88</v>
      </c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</row>
    <row r="9" spans="2:32" ht="51.75" customHeight="1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>
      <c r="B10" s="23" t="s">
        <v>37</v>
      </c>
      <c r="C10" s="50">
        <v>165</v>
      </c>
      <c r="D10" s="50">
        <v>25</v>
      </c>
      <c r="E10" s="50">
        <v>7</v>
      </c>
      <c r="F10" s="50">
        <v>12</v>
      </c>
      <c r="G10" s="50">
        <v>1</v>
      </c>
      <c r="H10" s="50">
        <v>0</v>
      </c>
      <c r="I10" s="50">
        <v>2</v>
      </c>
      <c r="J10" s="50">
        <v>0</v>
      </c>
      <c r="K10" s="50">
        <v>0</v>
      </c>
      <c r="L10" s="50">
        <v>0</v>
      </c>
      <c r="M10" s="50">
        <v>90</v>
      </c>
      <c r="N10" s="50">
        <v>0</v>
      </c>
      <c r="O10" s="15">
        <f t="shared" ref="O10:O57" si="0">SUM(C10:L10,N10)</f>
        <v>212</v>
      </c>
      <c r="P10" s="15">
        <f t="shared" ref="P10:P57" si="1">SUM(C10:N10)</f>
        <v>302</v>
      </c>
      <c r="R10" s="1" t="s">
        <v>6</v>
      </c>
      <c r="S10" s="17">
        <f t="shared" ref="S10:AF10" si="2">SUM(C10:C13)</f>
        <v>586</v>
      </c>
      <c r="T10" s="17">
        <f t="shared" si="2"/>
        <v>59</v>
      </c>
      <c r="U10" s="17">
        <f t="shared" si="2"/>
        <v>28</v>
      </c>
      <c r="V10" s="17">
        <f t="shared" si="2"/>
        <v>71</v>
      </c>
      <c r="W10" s="17">
        <f t="shared" si="2"/>
        <v>2</v>
      </c>
      <c r="X10" s="17">
        <f t="shared" si="2"/>
        <v>0</v>
      </c>
      <c r="Y10" s="17">
        <f t="shared" si="2"/>
        <v>8</v>
      </c>
      <c r="Z10" s="17">
        <f t="shared" si="2"/>
        <v>0</v>
      </c>
      <c r="AA10" s="17">
        <f t="shared" si="2"/>
        <v>1</v>
      </c>
      <c r="AB10" s="17">
        <f t="shared" si="2"/>
        <v>0</v>
      </c>
      <c r="AC10" s="17">
        <f t="shared" si="2"/>
        <v>455</v>
      </c>
      <c r="AD10" s="17">
        <f t="shared" si="2"/>
        <v>0</v>
      </c>
      <c r="AE10" s="31">
        <f t="shared" si="2"/>
        <v>755</v>
      </c>
      <c r="AF10" s="31">
        <f t="shared" si="2"/>
        <v>1210</v>
      </c>
    </row>
    <row r="11" spans="2:32" s="6" customFormat="1" ht="23.1" customHeight="1">
      <c r="B11" s="23" t="s">
        <v>38</v>
      </c>
      <c r="C11" s="50">
        <v>126</v>
      </c>
      <c r="D11" s="50">
        <v>9</v>
      </c>
      <c r="E11" s="50">
        <v>10</v>
      </c>
      <c r="F11" s="50">
        <v>20</v>
      </c>
      <c r="G11" s="50">
        <v>0</v>
      </c>
      <c r="H11" s="50">
        <v>0</v>
      </c>
      <c r="I11" s="50">
        <v>3</v>
      </c>
      <c r="J11" s="50">
        <v>0</v>
      </c>
      <c r="K11" s="50">
        <v>0</v>
      </c>
      <c r="L11" s="50">
        <v>0</v>
      </c>
      <c r="M11" s="50">
        <v>110</v>
      </c>
      <c r="N11" s="50">
        <v>0</v>
      </c>
      <c r="O11" s="15">
        <f t="shared" si="0"/>
        <v>168</v>
      </c>
      <c r="P11" s="15">
        <f t="shared" si="1"/>
        <v>278</v>
      </c>
      <c r="R11" s="1" t="s">
        <v>7</v>
      </c>
      <c r="S11" s="17">
        <f t="shared" ref="S11:AF11" si="3">SUM(C14:C17)</f>
        <v>578</v>
      </c>
      <c r="T11" s="17">
        <f t="shared" si="3"/>
        <v>82</v>
      </c>
      <c r="U11" s="17">
        <f t="shared" si="3"/>
        <v>26</v>
      </c>
      <c r="V11" s="17">
        <f t="shared" si="3"/>
        <v>90</v>
      </c>
      <c r="W11" s="17">
        <f t="shared" si="3"/>
        <v>2</v>
      </c>
      <c r="X11" s="17">
        <f t="shared" si="3"/>
        <v>0</v>
      </c>
      <c r="Y11" s="17">
        <f t="shared" si="3"/>
        <v>11</v>
      </c>
      <c r="Z11" s="17">
        <f t="shared" si="3"/>
        <v>4</v>
      </c>
      <c r="AA11" s="17">
        <f t="shared" si="3"/>
        <v>0</v>
      </c>
      <c r="AB11" s="17">
        <f t="shared" si="3"/>
        <v>0</v>
      </c>
      <c r="AC11" s="17">
        <f t="shared" si="3"/>
        <v>495</v>
      </c>
      <c r="AD11" s="17">
        <f t="shared" si="3"/>
        <v>0</v>
      </c>
      <c r="AE11" s="31">
        <f t="shared" si="3"/>
        <v>793</v>
      </c>
      <c r="AF11" s="31">
        <f t="shared" si="3"/>
        <v>1288</v>
      </c>
    </row>
    <row r="12" spans="2:32" ht="23.1" customHeight="1">
      <c r="B12" s="23" t="s">
        <v>39</v>
      </c>
      <c r="C12" s="50">
        <v>155</v>
      </c>
      <c r="D12" s="50">
        <v>16</v>
      </c>
      <c r="E12" s="50">
        <v>4</v>
      </c>
      <c r="F12" s="50">
        <v>15</v>
      </c>
      <c r="G12" s="50">
        <v>0</v>
      </c>
      <c r="H12" s="50">
        <v>0</v>
      </c>
      <c r="I12" s="50">
        <v>2</v>
      </c>
      <c r="J12" s="50">
        <v>0</v>
      </c>
      <c r="K12" s="50">
        <v>1</v>
      </c>
      <c r="L12" s="50">
        <v>0</v>
      </c>
      <c r="M12" s="50">
        <v>115</v>
      </c>
      <c r="N12" s="50">
        <v>0</v>
      </c>
      <c r="O12" s="15">
        <f t="shared" si="0"/>
        <v>193</v>
      </c>
      <c r="P12" s="15">
        <f t="shared" si="1"/>
        <v>308</v>
      </c>
      <c r="R12" s="1" t="s">
        <v>8</v>
      </c>
      <c r="S12" s="17">
        <f t="shared" ref="S12:AF12" si="4">SUM(C18:C21)</f>
        <v>318</v>
      </c>
      <c r="T12" s="17">
        <f t="shared" si="4"/>
        <v>51</v>
      </c>
      <c r="U12" s="17">
        <f t="shared" si="4"/>
        <v>30</v>
      </c>
      <c r="V12" s="17">
        <f t="shared" si="4"/>
        <v>52</v>
      </c>
      <c r="W12" s="17">
        <f t="shared" si="4"/>
        <v>0</v>
      </c>
      <c r="X12" s="17">
        <f t="shared" si="4"/>
        <v>0</v>
      </c>
      <c r="Y12" s="17">
        <f t="shared" si="4"/>
        <v>15</v>
      </c>
      <c r="Z12" s="17">
        <f t="shared" si="4"/>
        <v>2</v>
      </c>
      <c r="AA12" s="17">
        <f t="shared" si="4"/>
        <v>2</v>
      </c>
      <c r="AB12" s="17">
        <f t="shared" si="4"/>
        <v>0</v>
      </c>
      <c r="AC12" s="17">
        <f t="shared" si="4"/>
        <v>435</v>
      </c>
      <c r="AD12" s="17">
        <f t="shared" si="4"/>
        <v>0</v>
      </c>
      <c r="AE12" s="31">
        <f t="shared" si="4"/>
        <v>470</v>
      </c>
      <c r="AF12" s="31">
        <f t="shared" si="4"/>
        <v>905</v>
      </c>
    </row>
    <row r="13" spans="2:32" ht="23.1" customHeight="1">
      <c r="B13" s="23" t="s">
        <v>40</v>
      </c>
      <c r="C13" s="50">
        <v>140</v>
      </c>
      <c r="D13" s="50">
        <v>9</v>
      </c>
      <c r="E13" s="50">
        <v>7</v>
      </c>
      <c r="F13" s="50">
        <v>24</v>
      </c>
      <c r="G13" s="50">
        <v>1</v>
      </c>
      <c r="H13" s="50">
        <v>0</v>
      </c>
      <c r="I13" s="50">
        <v>1</v>
      </c>
      <c r="J13" s="50">
        <v>0</v>
      </c>
      <c r="K13" s="50">
        <v>0</v>
      </c>
      <c r="L13" s="50">
        <v>0</v>
      </c>
      <c r="M13" s="50">
        <v>140</v>
      </c>
      <c r="N13" s="50">
        <v>0</v>
      </c>
      <c r="O13" s="15">
        <f t="shared" si="0"/>
        <v>182</v>
      </c>
      <c r="P13" s="15">
        <f t="shared" si="1"/>
        <v>322</v>
      </c>
      <c r="R13" s="1" t="s">
        <v>9</v>
      </c>
      <c r="S13" s="17">
        <f t="shared" ref="S13:AF13" si="5">SUM(C22:C25)</f>
        <v>294</v>
      </c>
      <c r="T13" s="17">
        <f t="shared" si="5"/>
        <v>45</v>
      </c>
      <c r="U13" s="17">
        <f t="shared" si="5"/>
        <v>24</v>
      </c>
      <c r="V13" s="17">
        <f t="shared" si="5"/>
        <v>49</v>
      </c>
      <c r="W13" s="17">
        <f t="shared" si="5"/>
        <v>0</v>
      </c>
      <c r="X13" s="17">
        <f t="shared" si="5"/>
        <v>0</v>
      </c>
      <c r="Y13" s="17">
        <f t="shared" si="5"/>
        <v>15</v>
      </c>
      <c r="Z13" s="17">
        <f t="shared" si="5"/>
        <v>4</v>
      </c>
      <c r="AA13" s="17">
        <f t="shared" si="5"/>
        <v>1</v>
      </c>
      <c r="AB13" s="17">
        <f t="shared" si="5"/>
        <v>0</v>
      </c>
      <c r="AC13" s="17">
        <f t="shared" si="5"/>
        <v>410</v>
      </c>
      <c r="AD13" s="17">
        <f t="shared" si="5"/>
        <v>0</v>
      </c>
      <c r="AE13" s="31">
        <f t="shared" si="5"/>
        <v>432</v>
      </c>
      <c r="AF13" s="31">
        <f t="shared" si="5"/>
        <v>842</v>
      </c>
    </row>
    <row r="14" spans="2:32" ht="23.1" customHeight="1">
      <c r="B14" s="23" t="s">
        <v>41</v>
      </c>
      <c r="C14" s="50">
        <v>153</v>
      </c>
      <c r="D14" s="50">
        <v>15</v>
      </c>
      <c r="E14" s="50">
        <v>5</v>
      </c>
      <c r="F14" s="50">
        <v>17</v>
      </c>
      <c r="G14" s="50">
        <v>0</v>
      </c>
      <c r="H14" s="50">
        <v>0</v>
      </c>
      <c r="I14" s="50">
        <v>1</v>
      </c>
      <c r="J14" s="50">
        <v>0</v>
      </c>
      <c r="K14" s="50">
        <v>0</v>
      </c>
      <c r="L14" s="50">
        <v>0</v>
      </c>
      <c r="M14" s="50">
        <v>145</v>
      </c>
      <c r="N14" s="50">
        <v>0</v>
      </c>
      <c r="O14" s="15">
        <f t="shared" si="0"/>
        <v>191</v>
      </c>
      <c r="P14" s="15">
        <f t="shared" si="1"/>
        <v>336</v>
      </c>
      <c r="R14" s="1" t="s">
        <v>10</v>
      </c>
      <c r="S14" s="17">
        <f t="shared" ref="S14:AF14" si="6">SUM(C26:C29)</f>
        <v>318</v>
      </c>
      <c r="T14" s="17">
        <f t="shared" si="6"/>
        <v>49</v>
      </c>
      <c r="U14" s="17">
        <f t="shared" si="6"/>
        <v>33</v>
      </c>
      <c r="V14" s="17">
        <f t="shared" si="6"/>
        <v>48</v>
      </c>
      <c r="W14" s="17">
        <f t="shared" si="6"/>
        <v>0</v>
      </c>
      <c r="X14" s="17">
        <f t="shared" si="6"/>
        <v>0</v>
      </c>
      <c r="Y14" s="17">
        <f t="shared" si="6"/>
        <v>17</v>
      </c>
      <c r="Z14" s="17">
        <f t="shared" si="6"/>
        <v>3</v>
      </c>
      <c r="AA14" s="17">
        <f t="shared" si="6"/>
        <v>3</v>
      </c>
      <c r="AB14" s="17">
        <f t="shared" si="6"/>
        <v>1</v>
      </c>
      <c r="AC14" s="17">
        <f t="shared" si="6"/>
        <v>433</v>
      </c>
      <c r="AD14" s="17">
        <f t="shared" si="6"/>
        <v>0</v>
      </c>
      <c r="AE14" s="31">
        <f t="shared" si="6"/>
        <v>472</v>
      </c>
      <c r="AF14" s="31">
        <f t="shared" si="6"/>
        <v>905</v>
      </c>
    </row>
    <row r="15" spans="2:32" ht="23.1" customHeight="1">
      <c r="B15" s="23" t="s">
        <v>42</v>
      </c>
      <c r="C15" s="50">
        <v>145</v>
      </c>
      <c r="D15" s="50">
        <v>19</v>
      </c>
      <c r="E15" s="50">
        <v>4</v>
      </c>
      <c r="F15" s="50">
        <v>17</v>
      </c>
      <c r="G15" s="50">
        <v>0</v>
      </c>
      <c r="H15" s="50">
        <v>0</v>
      </c>
      <c r="I15" s="50">
        <v>5</v>
      </c>
      <c r="J15" s="50">
        <v>0</v>
      </c>
      <c r="K15" s="50">
        <v>0</v>
      </c>
      <c r="L15" s="50">
        <v>0</v>
      </c>
      <c r="M15" s="50">
        <v>135</v>
      </c>
      <c r="N15" s="50">
        <v>0</v>
      </c>
      <c r="O15" s="15">
        <f t="shared" si="0"/>
        <v>190</v>
      </c>
      <c r="P15" s="15">
        <f t="shared" si="1"/>
        <v>325</v>
      </c>
      <c r="R15" s="1" t="s">
        <v>11</v>
      </c>
      <c r="S15" s="17">
        <f t="shared" ref="S15:AF15" si="7">SUM(C30:C33)</f>
        <v>296</v>
      </c>
      <c r="T15" s="17">
        <f t="shared" si="7"/>
        <v>30</v>
      </c>
      <c r="U15" s="17">
        <f t="shared" si="7"/>
        <v>23</v>
      </c>
      <c r="V15" s="17">
        <f t="shared" si="7"/>
        <v>59</v>
      </c>
      <c r="W15" s="17">
        <f t="shared" si="7"/>
        <v>0</v>
      </c>
      <c r="X15" s="17">
        <f t="shared" si="7"/>
        <v>0</v>
      </c>
      <c r="Y15" s="17">
        <f t="shared" si="7"/>
        <v>15</v>
      </c>
      <c r="Z15" s="17">
        <f t="shared" si="7"/>
        <v>6</v>
      </c>
      <c r="AA15" s="17">
        <f t="shared" si="7"/>
        <v>4</v>
      </c>
      <c r="AB15" s="17">
        <f t="shared" si="7"/>
        <v>0</v>
      </c>
      <c r="AC15" s="17">
        <f t="shared" si="7"/>
        <v>350</v>
      </c>
      <c r="AD15" s="17">
        <f t="shared" si="7"/>
        <v>0</v>
      </c>
      <c r="AE15" s="31">
        <f t="shared" si="7"/>
        <v>433</v>
      </c>
      <c r="AF15" s="31">
        <f t="shared" si="7"/>
        <v>783</v>
      </c>
    </row>
    <row r="16" spans="2:32" ht="23.1" customHeight="1">
      <c r="B16" s="23" t="s">
        <v>43</v>
      </c>
      <c r="C16" s="50">
        <v>155</v>
      </c>
      <c r="D16" s="50">
        <v>20</v>
      </c>
      <c r="E16" s="50">
        <v>9</v>
      </c>
      <c r="F16" s="50">
        <v>27</v>
      </c>
      <c r="G16" s="50">
        <v>0</v>
      </c>
      <c r="H16" s="50">
        <v>0</v>
      </c>
      <c r="I16" s="50">
        <v>1</v>
      </c>
      <c r="J16" s="50">
        <v>3</v>
      </c>
      <c r="K16" s="50">
        <v>0</v>
      </c>
      <c r="L16" s="50">
        <v>0</v>
      </c>
      <c r="M16" s="50">
        <v>110</v>
      </c>
      <c r="N16" s="50">
        <v>0</v>
      </c>
      <c r="O16" s="15">
        <f t="shared" si="0"/>
        <v>215</v>
      </c>
      <c r="P16" s="15">
        <f t="shared" si="1"/>
        <v>325</v>
      </c>
      <c r="R16" s="1" t="s">
        <v>12</v>
      </c>
      <c r="S16" s="17">
        <f t="shared" ref="S16:AF16" si="8">SUM(C34:C37)</f>
        <v>232</v>
      </c>
      <c r="T16" s="17">
        <f t="shared" si="8"/>
        <v>35</v>
      </c>
      <c r="U16" s="17">
        <f t="shared" si="8"/>
        <v>26</v>
      </c>
      <c r="V16" s="17">
        <f t="shared" si="8"/>
        <v>54</v>
      </c>
      <c r="W16" s="17">
        <f t="shared" si="8"/>
        <v>0</v>
      </c>
      <c r="X16" s="17">
        <f t="shared" si="8"/>
        <v>0</v>
      </c>
      <c r="Y16" s="17">
        <f t="shared" si="8"/>
        <v>16</v>
      </c>
      <c r="Z16" s="17">
        <f t="shared" si="8"/>
        <v>3</v>
      </c>
      <c r="AA16" s="17">
        <f t="shared" si="8"/>
        <v>2</v>
      </c>
      <c r="AB16" s="17">
        <f t="shared" si="8"/>
        <v>0</v>
      </c>
      <c r="AC16" s="17">
        <f t="shared" si="8"/>
        <v>452</v>
      </c>
      <c r="AD16" s="17">
        <f t="shared" si="8"/>
        <v>0</v>
      </c>
      <c r="AE16" s="31">
        <f t="shared" si="8"/>
        <v>368</v>
      </c>
      <c r="AF16" s="31">
        <f t="shared" si="8"/>
        <v>820</v>
      </c>
    </row>
    <row r="17" spans="2:32" ht="23.1" customHeight="1">
      <c r="B17" s="23" t="s">
        <v>44</v>
      </c>
      <c r="C17" s="50">
        <v>125</v>
      </c>
      <c r="D17" s="50">
        <v>28</v>
      </c>
      <c r="E17" s="50">
        <v>8</v>
      </c>
      <c r="F17" s="50">
        <v>29</v>
      </c>
      <c r="G17" s="50">
        <v>2</v>
      </c>
      <c r="H17" s="50">
        <v>0</v>
      </c>
      <c r="I17" s="50">
        <v>4</v>
      </c>
      <c r="J17" s="50">
        <v>1</v>
      </c>
      <c r="K17" s="50">
        <v>0</v>
      </c>
      <c r="L17" s="50">
        <v>0</v>
      </c>
      <c r="M17" s="50">
        <v>105</v>
      </c>
      <c r="N17" s="50">
        <v>0</v>
      </c>
      <c r="O17" s="15">
        <f t="shared" si="0"/>
        <v>197</v>
      </c>
      <c r="P17" s="15">
        <f t="shared" si="1"/>
        <v>302</v>
      </c>
      <c r="R17" s="1" t="s">
        <v>13</v>
      </c>
      <c r="S17" s="17">
        <f t="shared" ref="S17:AF17" si="9">SUM(C38:C41)</f>
        <v>173</v>
      </c>
      <c r="T17" s="17">
        <f t="shared" si="9"/>
        <v>31</v>
      </c>
      <c r="U17" s="17">
        <f t="shared" si="9"/>
        <v>11</v>
      </c>
      <c r="V17" s="17">
        <f t="shared" si="9"/>
        <v>46</v>
      </c>
      <c r="W17" s="17">
        <f t="shared" si="9"/>
        <v>1</v>
      </c>
      <c r="X17" s="17">
        <f t="shared" si="9"/>
        <v>0</v>
      </c>
      <c r="Y17" s="17">
        <f t="shared" si="9"/>
        <v>10</v>
      </c>
      <c r="Z17" s="17">
        <f t="shared" si="9"/>
        <v>2</v>
      </c>
      <c r="AA17" s="17">
        <f t="shared" si="9"/>
        <v>1</v>
      </c>
      <c r="AB17" s="17">
        <f t="shared" si="9"/>
        <v>1</v>
      </c>
      <c r="AC17" s="17">
        <f t="shared" si="9"/>
        <v>310</v>
      </c>
      <c r="AD17" s="17">
        <f t="shared" si="9"/>
        <v>0</v>
      </c>
      <c r="AE17" s="31">
        <f t="shared" si="9"/>
        <v>276</v>
      </c>
      <c r="AF17" s="31">
        <f t="shared" si="9"/>
        <v>586</v>
      </c>
    </row>
    <row r="18" spans="2:32" ht="23.1" customHeight="1">
      <c r="B18" s="23" t="s">
        <v>45</v>
      </c>
      <c r="C18" s="50">
        <v>50</v>
      </c>
      <c r="D18" s="50">
        <v>8</v>
      </c>
      <c r="E18" s="50">
        <v>7</v>
      </c>
      <c r="F18" s="50">
        <v>8</v>
      </c>
      <c r="G18" s="50">
        <v>0</v>
      </c>
      <c r="H18" s="50">
        <v>0</v>
      </c>
      <c r="I18" s="50">
        <v>3</v>
      </c>
      <c r="J18" s="50">
        <v>0</v>
      </c>
      <c r="K18" s="50">
        <v>0</v>
      </c>
      <c r="L18" s="50">
        <v>0</v>
      </c>
      <c r="M18" s="50">
        <v>105</v>
      </c>
      <c r="N18" s="50">
        <v>0</v>
      </c>
      <c r="O18" s="15">
        <f t="shared" si="0"/>
        <v>76</v>
      </c>
      <c r="P18" s="15">
        <f t="shared" si="1"/>
        <v>181</v>
      </c>
      <c r="R18" s="1" t="s">
        <v>14</v>
      </c>
      <c r="S18" s="17">
        <f t="shared" ref="S18:AF18" si="10">SUM(C42:C45)</f>
        <v>221</v>
      </c>
      <c r="T18" s="17">
        <f t="shared" si="10"/>
        <v>32</v>
      </c>
      <c r="U18" s="17">
        <f t="shared" si="10"/>
        <v>22</v>
      </c>
      <c r="V18" s="17">
        <f t="shared" si="10"/>
        <v>50</v>
      </c>
      <c r="W18" s="17">
        <f t="shared" si="10"/>
        <v>1</v>
      </c>
      <c r="X18" s="17">
        <f t="shared" si="10"/>
        <v>0</v>
      </c>
      <c r="Y18" s="17">
        <f t="shared" si="10"/>
        <v>23</v>
      </c>
      <c r="Z18" s="17">
        <f t="shared" si="10"/>
        <v>8</v>
      </c>
      <c r="AA18" s="17">
        <f t="shared" si="10"/>
        <v>1</v>
      </c>
      <c r="AB18" s="17">
        <f t="shared" si="10"/>
        <v>1</v>
      </c>
      <c r="AC18" s="17">
        <f t="shared" si="10"/>
        <v>287</v>
      </c>
      <c r="AD18" s="17">
        <f t="shared" si="10"/>
        <v>1</v>
      </c>
      <c r="AE18" s="31">
        <f t="shared" si="10"/>
        <v>360</v>
      </c>
      <c r="AF18" s="31">
        <f t="shared" si="10"/>
        <v>647</v>
      </c>
    </row>
    <row r="19" spans="2:32" ht="23.1" customHeight="1">
      <c r="B19" s="23" t="s">
        <v>46</v>
      </c>
      <c r="C19" s="50">
        <v>108</v>
      </c>
      <c r="D19" s="50">
        <v>16</v>
      </c>
      <c r="E19" s="50">
        <v>7</v>
      </c>
      <c r="F19" s="50">
        <v>13</v>
      </c>
      <c r="G19" s="50">
        <v>0</v>
      </c>
      <c r="H19" s="50">
        <v>0</v>
      </c>
      <c r="I19" s="50">
        <v>5</v>
      </c>
      <c r="J19" s="50">
        <v>2</v>
      </c>
      <c r="K19" s="50">
        <v>1</v>
      </c>
      <c r="L19" s="50">
        <v>0</v>
      </c>
      <c r="M19" s="50">
        <v>100</v>
      </c>
      <c r="N19" s="50">
        <v>0</v>
      </c>
      <c r="O19" s="15">
        <f t="shared" si="0"/>
        <v>152</v>
      </c>
      <c r="P19" s="15">
        <f t="shared" si="1"/>
        <v>252</v>
      </c>
      <c r="R19" s="1" t="s">
        <v>15</v>
      </c>
      <c r="S19" s="17">
        <f t="shared" ref="S19:AF19" si="11">SUM(C46:C49)</f>
        <v>245</v>
      </c>
      <c r="T19" s="17">
        <f t="shared" si="11"/>
        <v>41</v>
      </c>
      <c r="U19" s="17">
        <f t="shared" si="11"/>
        <v>17</v>
      </c>
      <c r="V19" s="17">
        <f t="shared" si="11"/>
        <v>55</v>
      </c>
      <c r="W19" s="17">
        <f t="shared" si="11"/>
        <v>1</v>
      </c>
      <c r="X19" s="17">
        <f t="shared" si="11"/>
        <v>0</v>
      </c>
      <c r="Y19" s="17">
        <f t="shared" si="11"/>
        <v>23</v>
      </c>
      <c r="Z19" s="17">
        <f t="shared" si="11"/>
        <v>14</v>
      </c>
      <c r="AA19" s="17">
        <f t="shared" si="11"/>
        <v>2</v>
      </c>
      <c r="AB19" s="17">
        <f t="shared" si="11"/>
        <v>1</v>
      </c>
      <c r="AC19" s="17">
        <f t="shared" si="11"/>
        <v>294</v>
      </c>
      <c r="AD19" s="17">
        <f t="shared" si="11"/>
        <v>0</v>
      </c>
      <c r="AE19" s="31">
        <f t="shared" si="11"/>
        <v>399</v>
      </c>
      <c r="AF19" s="31">
        <f t="shared" si="11"/>
        <v>693</v>
      </c>
    </row>
    <row r="20" spans="2:32" ht="23.1" customHeight="1">
      <c r="B20" s="23" t="s">
        <v>47</v>
      </c>
      <c r="C20" s="50">
        <v>90</v>
      </c>
      <c r="D20" s="50">
        <v>6</v>
      </c>
      <c r="E20" s="50">
        <v>8</v>
      </c>
      <c r="F20" s="50">
        <v>17</v>
      </c>
      <c r="G20" s="50">
        <v>0</v>
      </c>
      <c r="H20" s="50">
        <v>0</v>
      </c>
      <c r="I20" s="50">
        <v>2</v>
      </c>
      <c r="J20" s="50">
        <v>0</v>
      </c>
      <c r="K20" s="50">
        <v>0</v>
      </c>
      <c r="L20" s="50">
        <v>0</v>
      </c>
      <c r="M20" s="50">
        <v>140</v>
      </c>
      <c r="N20" s="50">
        <v>0</v>
      </c>
      <c r="O20" s="15">
        <f t="shared" si="0"/>
        <v>123</v>
      </c>
      <c r="P20" s="15">
        <f t="shared" si="1"/>
        <v>263</v>
      </c>
      <c r="R20" s="1" t="s">
        <v>16</v>
      </c>
      <c r="S20" s="17">
        <f t="shared" ref="S20:AF20" si="12">SUM(C50:C53)</f>
        <v>229</v>
      </c>
      <c r="T20" s="17">
        <f t="shared" si="12"/>
        <v>33</v>
      </c>
      <c r="U20" s="17">
        <f t="shared" si="12"/>
        <v>13</v>
      </c>
      <c r="V20" s="17">
        <f t="shared" si="12"/>
        <v>52</v>
      </c>
      <c r="W20" s="17">
        <f t="shared" si="12"/>
        <v>3</v>
      </c>
      <c r="X20" s="17">
        <f t="shared" si="12"/>
        <v>0</v>
      </c>
      <c r="Y20" s="17">
        <f t="shared" si="12"/>
        <v>21</v>
      </c>
      <c r="Z20" s="17">
        <f t="shared" si="12"/>
        <v>3</v>
      </c>
      <c r="AA20" s="17">
        <f t="shared" si="12"/>
        <v>3</v>
      </c>
      <c r="AB20" s="17">
        <f t="shared" si="12"/>
        <v>0</v>
      </c>
      <c r="AC20" s="17">
        <f t="shared" si="12"/>
        <v>403</v>
      </c>
      <c r="AD20" s="17">
        <f t="shared" si="12"/>
        <v>0</v>
      </c>
      <c r="AE20" s="31">
        <f t="shared" si="12"/>
        <v>357</v>
      </c>
      <c r="AF20" s="31">
        <f t="shared" si="12"/>
        <v>760</v>
      </c>
    </row>
    <row r="21" spans="2:32" ht="23.1" customHeight="1">
      <c r="B21" s="23" t="s">
        <v>48</v>
      </c>
      <c r="C21" s="50">
        <v>70</v>
      </c>
      <c r="D21" s="50">
        <v>21</v>
      </c>
      <c r="E21" s="50">
        <v>8</v>
      </c>
      <c r="F21" s="50">
        <v>14</v>
      </c>
      <c r="G21" s="50">
        <v>0</v>
      </c>
      <c r="H21" s="50">
        <v>0</v>
      </c>
      <c r="I21" s="50">
        <v>5</v>
      </c>
      <c r="J21" s="50">
        <v>0</v>
      </c>
      <c r="K21" s="50">
        <v>1</v>
      </c>
      <c r="L21" s="50">
        <v>0</v>
      </c>
      <c r="M21" s="50">
        <v>90</v>
      </c>
      <c r="N21" s="50">
        <v>0</v>
      </c>
      <c r="O21" s="15">
        <f t="shared" si="0"/>
        <v>119</v>
      </c>
      <c r="P21" s="15">
        <f t="shared" si="1"/>
        <v>209</v>
      </c>
      <c r="R21" s="36" t="s">
        <v>20</v>
      </c>
      <c r="S21" s="34">
        <f t="shared" ref="S21:AF21" si="13">SUM(C54:C57)</f>
        <v>208</v>
      </c>
      <c r="T21" s="17">
        <f t="shared" si="13"/>
        <v>27</v>
      </c>
      <c r="U21" s="17">
        <f t="shared" si="13"/>
        <v>9</v>
      </c>
      <c r="V21" s="17">
        <f t="shared" si="13"/>
        <v>42</v>
      </c>
      <c r="W21" s="17">
        <f t="shared" si="13"/>
        <v>2</v>
      </c>
      <c r="X21" s="17">
        <f t="shared" si="13"/>
        <v>0</v>
      </c>
      <c r="Y21" s="17">
        <f t="shared" si="13"/>
        <v>11</v>
      </c>
      <c r="Z21" s="17">
        <f t="shared" si="13"/>
        <v>4</v>
      </c>
      <c r="AA21" s="17">
        <f t="shared" si="13"/>
        <v>0</v>
      </c>
      <c r="AB21" s="17">
        <f t="shared" si="13"/>
        <v>0</v>
      </c>
      <c r="AC21" s="17">
        <f t="shared" si="13"/>
        <v>475</v>
      </c>
      <c r="AD21" s="17">
        <f t="shared" si="13"/>
        <v>0</v>
      </c>
      <c r="AE21" s="31">
        <f t="shared" si="13"/>
        <v>303</v>
      </c>
      <c r="AF21" s="31">
        <f t="shared" si="13"/>
        <v>778</v>
      </c>
    </row>
    <row r="22" spans="2:32" ht="23.1" customHeight="1">
      <c r="B22" s="23" t="s">
        <v>49</v>
      </c>
      <c r="C22" s="50">
        <v>68</v>
      </c>
      <c r="D22" s="50">
        <v>6</v>
      </c>
      <c r="E22" s="50">
        <v>5</v>
      </c>
      <c r="F22" s="50">
        <v>12</v>
      </c>
      <c r="G22" s="50">
        <v>0</v>
      </c>
      <c r="H22" s="50">
        <v>0</v>
      </c>
      <c r="I22" s="50">
        <v>4</v>
      </c>
      <c r="J22" s="50">
        <v>2</v>
      </c>
      <c r="K22" s="50">
        <v>1</v>
      </c>
      <c r="L22" s="50">
        <v>0</v>
      </c>
      <c r="M22" s="50">
        <v>90</v>
      </c>
      <c r="N22" s="50">
        <v>0</v>
      </c>
      <c r="O22" s="15">
        <f t="shared" si="0"/>
        <v>98</v>
      </c>
      <c r="P22" s="15">
        <f t="shared" si="1"/>
        <v>188</v>
      </c>
      <c r="R22" s="38" t="s">
        <v>90</v>
      </c>
      <c r="S22" s="39">
        <f>MAX(S10:S12)</f>
        <v>586</v>
      </c>
      <c r="T22" s="39">
        <f t="shared" ref="T22:AF22" si="14">MAX(T10:T12)</f>
        <v>82</v>
      </c>
      <c r="U22" s="39">
        <f t="shared" si="14"/>
        <v>30</v>
      </c>
      <c r="V22" s="39">
        <f t="shared" si="14"/>
        <v>90</v>
      </c>
      <c r="W22" s="39">
        <f t="shared" si="14"/>
        <v>2</v>
      </c>
      <c r="X22" s="39">
        <f t="shared" si="14"/>
        <v>0</v>
      </c>
      <c r="Y22" s="39">
        <f t="shared" si="14"/>
        <v>15</v>
      </c>
      <c r="Z22" s="39">
        <f t="shared" si="14"/>
        <v>4</v>
      </c>
      <c r="AA22" s="39">
        <f t="shared" si="14"/>
        <v>2</v>
      </c>
      <c r="AB22" s="39">
        <f t="shared" si="14"/>
        <v>0</v>
      </c>
      <c r="AC22" s="39">
        <f t="shared" si="14"/>
        <v>495</v>
      </c>
      <c r="AD22" s="39">
        <f t="shared" si="14"/>
        <v>0</v>
      </c>
      <c r="AE22" s="40">
        <f t="shared" si="14"/>
        <v>793</v>
      </c>
      <c r="AF22" s="40">
        <f t="shared" si="14"/>
        <v>1288</v>
      </c>
    </row>
    <row r="23" spans="2:32" ht="23.1" customHeight="1">
      <c r="B23" s="23" t="s">
        <v>50</v>
      </c>
      <c r="C23" s="50">
        <v>75</v>
      </c>
      <c r="D23" s="50">
        <v>14</v>
      </c>
      <c r="E23" s="50">
        <v>8</v>
      </c>
      <c r="F23" s="50">
        <v>8</v>
      </c>
      <c r="G23" s="50">
        <v>0</v>
      </c>
      <c r="H23" s="50">
        <v>0</v>
      </c>
      <c r="I23" s="50">
        <v>3</v>
      </c>
      <c r="J23" s="50">
        <v>0</v>
      </c>
      <c r="K23" s="50">
        <v>0</v>
      </c>
      <c r="L23" s="50">
        <v>0</v>
      </c>
      <c r="M23" s="50">
        <v>110</v>
      </c>
      <c r="N23" s="50">
        <v>0</v>
      </c>
      <c r="O23" s="15">
        <f t="shared" si="0"/>
        <v>108</v>
      </c>
      <c r="P23" s="15">
        <f t="shared" si="1"/>
        <v>218</v>
      </c>
      <c r="R23" s="38" t="s">
        <v>91</v>
      </c>
      <c r="S23" s="39">
        <f>MAX(S13:S18)</f>
        <v>318</v>
      </c>
      <c r="T23" s="39">
        <f t="shared" ref="T23:AF23" si="15">MAX(T13:T18)</f>
        <v>49</v>
      </c>
      <c r="U23" s="39">
        <f t="shared" si="15"/>
        <v>33</v>
      </c>
      <c r="V23" s="39">
        <f t="shared" si="15"/>
        <v>59</v>
      </c>
      <c r="W23" s="39">
        <f t="shared" si="15"/>
        <v>1</v>
      </c>
      <c r="X23" s="39">
        <f t="shared" si="15"/>
        <v>0</v>
      </c>
      <c r="Y23" s="39">
        <f t="shared" si="15"/>
        <v>23</v>
      </c>
      <c r="Z23" s="39">
        <f t="shared" si="15"/>
        <v>8</v>
      </c>
      <c r="AA23" s="39">
        <f t="shared" si="15"/>
        <v>4</v>
      </c>
      <c r="AB23" s="39">
        <f t="shared" si="15"/>
        <v>1</v>
      </c>
      <c r="AC23" s="39">
        <f t="shared" si="15"/>
        <v>452</v>
      </c>
      <c r="AD23" s="39">
        <f t="shared" si="15"/>
        <v>1</v>
      </c>
      <c r="AE23" s="40">
        <f t="shared" si="15"/>
        <v>472</v>
      </c>
      <c r="AF23" s="40">
        <f t="shared" si="15"/>
        <v>905</v>
      </c>
    </row>
    <row r="24" spans="2:32" ht="23.1" customHeight="1">
      <c r="B24" s="23" t="s">
        <v>51</v>
      </c>
      <c r="C24" s="50">
        <v>86</v>
      </c>
      <c r="D24" s="50">
        <v>16</v>
      </c>
      <c r="E24" s="50">
        <v>8</v>
      </c>
      <c r="F24" s="50">
        <v>15</v>
      </c>
      <c r="G24" s="50">
        <v>0</v>
      </c>
      <c r="H24" s="50">
        <v>0</v>
      </c>
      <c r="I24" s="50">
        <v>2</v>
      </c>
      <c r="J24" s="50">
        <v>0</v>
      </c>
      <c r="K24" s="50">
        <v>0</v>
      </c>
      <c r="L24" s="50">
        <v>0</v>
      </c>
      <c r="M24" s="50">
        <v>100</v>
      </c>
      <c r="N24" s="50">
        <v>0</v>
      </c>
      <c r="O24" s="15">
        <f t="shared" si="0"/>
        <v>127</v>
      </c>
      <c r="P24" s="15">
        <f t="shared" si="1"/>
        <v>227</v>
      </c>
      <c r="R24" s="38" t="s">
        <v>92</v>
      </c>
      <c r="S24" s="39">
        <f>MAX(S19:S21)</f>
        <v>245</v>
      </c>
      <c r="T24" s="39">
        <f t="shared" ref="T24:AF24" si="16">MAX(T19:T21)</f>
        <v>41</v>
      </c>
      <c r="U24" s="39">
        <f t="shared" si="16"/>
        <v>17</v>
      </c>
      <c r="V24" s="39">
        <f t="shared" si="16"/>
        <v>55</v>
      </c>
      <c r="W24" s="39">
        <f t="shared" si="16"/>
        <v>3</v>
      </c>
      <c r="X24" s="39">
        <f t="shared" si="16"/>
        <v>0</v>
      </c>
      <c r="Y24" s="39">
        <f t="shared" si="16"/>
        <v>23</v>
      </c>
      <c r="Z24" s="39">
        <f t="shared" si="16"/>
        <v>14</v>
      </c>
      <c r="AA24" s="39">
        <f t="shared" si="16"/>
        <v>3</v>
      </c>
      <c r="AB24" s="39">
        <f t="shared" si="16"/>
        <v>1</v>
      </c>
      <c r="AC24" s="39">
        <f t="shared" si="16"/>
        <v>475</v>
      </c>
      <c r="AD24" s="39">
        <f t="shared" si="16"/>
        <v>0</v>
      </c>
      <c r="AE24" s="40">
        <f t="shared" si="16"/>
        <v>399</v>
      </c>
      <c r="AF24" s="40">
        <f t="shared" si="16"/>
        <v>778</v>
      </c>
    </row>
    <row r="25" spans="2:32" ht="23.1" customHeight="1">
      <c r="B25" s="23" t="s">
        <v>52</v>
      </c>
      <c r="C25" s="50">
        <v>65</v>
      </c>
      <c r="D25" s="50">
        <v>9</v>
      </c>
      <c r="E25" s="50">
        <v>3</v>
      </c>
      <c r="F25" s="50">
        <v>14</v>
      </c>
      <c r="G25" s="50">
        <v>0</v>
      </c>
      <c r="H25" s="50">
        <v>0</v>
      </c>
      <c r="I25" s="50">
        <v>6</v>
      </c>
      <c r="J25" s="50">
        <v>2</v>
      </c>
      <c r="K25" s="50">
        <v>0</v>
      </c>
      <c r="L25" s="50">
        <v>0</v>
      </c>
      <c r="M25" s="50">
        <v>110</v>
      </c>
      <c r="N25" s="50">
        <v>0</v>
      </c>
      <c r="O25" s="15">
        <f t="shared" si="0"/>
        <v>99</v>
      </c>
      <c r="P25" s="15">
        <f t="shared" si="1"/>
        <v>209</v>
      </c>
      <c r="R25" s="37" t="s">
        <v>85</v>
      </c>
      <c r="S25" s="35">
        <f t="shared" ref="S25:AF25" si="17">SUM(S10:S12)</f>
        <v>1482</v>
      </c>
      <c r="T25" s="16">
        <f t="shared" si="17"/>
        <v>192</v>
      </c>
      <c r="U25" s="16">
        <f t="shared" si="17"/>
        <v>84</v>
      </c>
      <c r="V25" s="16">
        <f t="shared" si="17"/>
        <v>213</v>
      </c>
      <c r="W25" s="16">
        <f t="shared" si="17"/>
        <v>4</v>
      </c>
      <c r="X25" s="16">
        <f t="shared" si="17"/>
        <v>0</v>
      </c>
      <c r="Y25" s="16">
        <f t="shared" si="17"/>
        <v>34</v>
      </c>
      <c r="Z25" s="16">
        <f t="shared" si="17"/>
        <v>6</v>
      </c>
      <c r="AA25" s="16">
        <f t="shared" si="17"/>
        <v>3</v>
      </c>
      <c r="AB25" s="16">
        <f t="shared" si="17"/>
        <v>0</v>
      </c>
      <c r="AC25" s="16">
        <f t="shared" si="17"/>
        <v>1385</v>
      </c>
      <c r="AD25" s="16">
        <f t="shared" si="17"/>
        <v>0</v>
      </c>
      <c r="AE25" s="32">
        <f t="shared" si="17"/>
        <v>2018</v>
      </c>
      <c r="AF25" s="32">
        <f t="shared" si="17"/>
        <v>3403</v>
      </c>
    </row>
    <row r="26" spans="2:32" ht="23.1" customHeight="1">
      <c r="B26" s="23" t="s">
        <v>53</v>
      </c>
      <c r="C26" s="50">
        <v>66</v>
      </c>
      <c r="D26" s="50">
        <v>16</v>
      </c>
      <c r="E26" s="50">
        <v>7</v>
      </c>
      <c r="F26" s="50">
        <v>13</v>
      </c>
      <c r="G26" s="50">
        <v>0</v>
      </c>
      <c r="H26" s="50">
        <v>0</v>
      </c>
      <c r="I26" s="50">
        <v>5</v>
      </c>
      <c r="J26" s="50">
        <v>2</v>
      </c>
      <c r="K26" s="50">
        <v>0</v>
      </c>
      <c r="L26" s="50">
        <v>1</v>
      </c>
      <c r="M26" s="50">
        <v>118</v>
      </c>
      <c r="N26" s="50">
        <v>0</v>
      </c>
      <c r="O26" s="15">
        <f t="shared" si="0"/>
        <v>110</v>
      </c>
      <c r="P26" s="15">
        <f t="shared" si="1"/>
        <v>228</v>
      </c>
      <c r="R26" s="28" t="s">
        <v>86</v>
      </c>
      <c r="S26" s="16">
        <f t="shared" ref="S26:AF26" si="18">SUM(S13:S18)</f>
        <v>1534</v>
      </c>
      <c r="T26" s="16">
        <f t="shared" si="18"/>
        <v>222</v>
      </c>
      <c r="U26" s="16">
        <f t="shared" si="18"/>
        <v>139</v>
      </c>
      <c r="V26" s="16">
        <f t="shared" si="18"/>
        <v>306</v>
      </c>
      <c r="W26" s="16">
        <f t="shared" si="18"/>
        <v>2</v>
      </c>
      <c r="X26" s="16">
        <f t="shared" si="18"/>
        <v>0</v>
      </c>
      <c r="Y26" s="16">
        <f t="shared" si="18"/>
        <v>96</v>
      </c>
      <c r="Z26" s="16">
        <f t="shared" si="18"/>
        <v>26</v>
      </c>
      <c r="AA26" s="16">
        <f t="shared" si="18"/>
        <v>12</v>
      </c>
      <c r="AB26" s="16">
        <f t="shared" si="18"/>
        <v>3</v>
      </c>
      <c r="AC26" s="16">
        <f t="shared" si="18"/>
        <v>2242</v>
      </c>
      <c r="AD26" s="16">
        <f t="shared" si="18"/>
        <v>1</v>
      </c>
      <c r="AE26" s="32">
        <f t="shared" si="18"/>
        <v>2341</v>
      </c>
      <c r="AF26" s="32">
        <f t="shared" si="18"/>
        <v>4583</v>
      </c>
    </row>
    <row r="27" spans="2:32" ht="23.1" customHeight="1">
      <c r="B27" s="23" t="s">
        <v>54</v>
      </c>
      <c r="C27" s="50">
        <v>93</v>
      </c>
      <c r="D27" s="50">
        <v>4</v>
      </c>
      <c r="E27" s="50">
        <v>9</v>
      </c>
      <c r="F27" s="50">
        <v>8</v>
      </c>
      <c r="G27" s="50">
        <v>0</v>
      </c>
      <c r="H27" s="50">
        <v>0</v>
      </c>
      <c r="I27" s="50">
        <v>2</v>
      </c>
      <c r="J27" s="50">
        <v>0</v>
      </c>
      <c r="K27" s="50">
        <v>0</v>
      </c>
      <c r="L27" s="50">
        <v>0</v>
      </c>
      <c r="M27" s="50">
        <v>85</v>
      </c>
      <c r="N27" s="50">
        <v>0</v>
      </c>
      <c r="O27" s="15">
        <f t="shared" si="0"/>
        <v>116</v>
      </c>
      <c r="P27" s="15">
        <f t="shared" si="1"/>
        <v>201</v>
      </c>
      <c r="R27" s="29" t="s">
        <v>87</v>
      </c>
      <c r="S27" s="16">
        <f t="shared" ref="S27:AF27" si="19">SUM(S19:S21)</f>
        <v>682</v>
      </c>
      <c r="T27" s="16">
        <f t="shared" si="19"/>
        <v>101</v>
      </c>
      <c r="U27" s="16">
        <f t="shared" si="19"/>
        <v>39</v>
      </c>
      <c r="V27" s="16">
        <f t="shared" si="19"/>
        <v>149</v>
      </c>
      <c r="W27" s="16">
        <f t="shared" si="19"/>
        <v>6</v>
      </c>
      <c r="X27" s="16">
        <f t="shared" si="19"/>
        <v>0</v>
      </c>
      <c r="Y27" s="16">
        <f t="shared" si="19"/>
        <v>55</v>
      </c>
      <c r="Z27" s="16">
        <f t="shared" si="19"/>
        <v>21</v>
      </c>
      <c r="AA27" s="16">
        <f t="shared" si="19"/>
        <v>5</v>
      </c>
      <c r="AB27" s="16">
        <f t="shared" si="19"/>
        <v>1</v>
      </c>
      <c r="AC27" s="16">
        <f t="shared" si="19"/>
        <v>1172</v>
      </c>
      <c r="AD27" s="16">
        <f t="shared" si="19"/>
        <v>0</v>
      </c>
      <c r="AE27" s="32">
        <f t="shared" si="19"/>
        <v>1059</v>
      </c>
      <c r="AF27" s="32">
        <f t="shared" si="19"/>
        <v>2231</v>
      </c>
    </row>
    <row r="28" spans="2:32" ht="23.1" customHeight="1">
      <c r="B28" s="23" t="s">
        <v>55</v>
      </c>
      <c r="C28" s="50">
        <v>83</v>
      </c>
      <c r="D28" s="50">
        <v>15</v>
      </c>
      <c r="E28" s="50">
        <v>9</v>
      </c>
      <c r="F28" s="50">
        <v>17</v>
      </c>
      <c r="G28" s="50">
        <v>0</v>
      </c>
      <c r="H28" s="50">
        <v>0</v>
      </c>
      <c r="I28" s="50">
        <v>5</v>
      </c>
      <c r="J28" s="50">
        <v>1</v>
      </c>
      <c r="K28" s="50">
        <v>2</v>
      </c>
      <c r="L28" s="50">
        <v>0</v>
      </c>
      <c r="M28" s="50">
        <v>140</v>
      </c>
      <c r="N28" s="50">
        <v>0</v>
      </c>
      <c r="O28" s="15">
        <f t="shared" si="0"/>
        <v>132</v>
      </c>
      <c r="P28" s="15">
        <f t="shared" si="1"/>
        <v>272</v>
      </c>
      <c r="R28" s="5" t="s">
        <v>17</v>
      </c>
      <c r="S28" s="16">
        <f t="shared" ref="S28:AF28" si="20">SUM(S10:S21)</f>
        <v>3698</v>
      </c>
      <c r="T28" s="16">
        <f t="shared" si="20"/>
        <v>515</v>
      </c>
      <c r="U28" s="16">
        <f t="shared" si="20"/>
        <v>262</v>
      </c>
      <c r="V28" s="16">
        <f t="shared" si="20"/>
        <v>668</v>
      </c>
      <c r="W28" s="16">
        <f t="shared" si="20"/>
        <v>12</v>
      </c>
      <c r="X28" s="16">
        <f t="shared" si="20"/>
        <v>0</v>
      </c>
      <c r="Y28" s="16">
        <f t="shared" si="20"/>
        <v>185</v>
      </c>
      <c r="Z28" s="16">
        <f t="shared" si="20"/>
        <v>53</v>
      </c>
      <c r="AA28" s="16">
        <f t="shared" si="20"/>
        <v>20</v>
      </c>
      <c r="AB28" s="16">
        <f t="shared" si="20"/>
        <v>4</v>
      </c>
      <c r="AC28" s="16">
        <f t="shared" si="20"/>
        <v>4799</v>
      </c>
      <c r="AD28" s="16">
        <f t="shared" si="20"/>
        <v>1</v>
      </c>
      <c r="AE28" s="32">
        <f t="shared" si="20"/>
        <v>5418</v>
      </c>
      <c r="AF28" s="32">
        <f t="shared" si="20"/>
        <v>10217</v>
      </c>
    </row>
    <row r="29" spans="2:32" ht="23.1" customHeight="1">
      <c r="B29" s="23" t="s">
        <v>56</v>
      </c>
      <c r="C29" s="50">
        <v>76</v>
      </c>
      <c r="D29" s="50">
        <v>14</v>
      </c>
      <c r="E29" s="50">
        <v>8</v>
      </c>
      <c r="F29" s="50">
        <v>10</v>
      </c>
      <c r="G29" s="50">
        <v>0</v>
      </c>
      <c r="H29" s="50">
        <v>0</v>
      </c>
      <c r="I29" s="50">
        <v>5</v>
      </c>
      <c r="J29" s="50">
        <v>0</v>
      </c>
      <c r="K29" s="50">
        <v>1</v>
      </c>
      <c r="L29" s="50">
        <v>0</v>
      </c>
      <c r="M29" s="50">
        <v>90</v>
      </c>
      <c r="N29" s="50">
        <v>0</v>
      </c>
      <c r="O29" s="15">
        <f t="shared" si="0"/>
        <v>114</v>
      </c>
      <c r="P29" s="15">
        <f t="shared" si="1"/>
        <v>204</v>
      </c>
      <c r="R29"/>
      <c r="S29" s="20"/>
      <c r="T29" s="19"/>
    </row>
    <row r="30" spans="2:32" ht="23.1" customHeight="1">
      <c r="B30" s="23" t="s">
        <v>57</v>
      </c>
      <c r="C30" s="50">
        <v>69</v>
      </c>
      <c r="D30" s="50">
        <v>7</v>
      </c>
      <c r="E30" s="50">
        <v>6</v>
      </c>
      <c r="F30" s="50">
        <v>10</v>
      </c>
      <c r="G30" s="50">
        <v>0</v>
      </c>
      <c r="H30" s="50">
        <v>0</v>
      </c>
      <c r="I30" s="50">
        <v>3</v>
      </c>
      <c r="J30" s="50">
        <v>2</v>
      </c>
      <c r="K30" s="50">
        <v>2</v>
      </c>
      <c r="L30" s="50">
        <v>0</v>
      </c>
      <c r="M30" s="50">
        <v>110</v>
      </c>
      <c r="N30" s="50">
        <v>0</v>
      </c>
      <c r="O30" s="15">
        <f t="shared" si="0"/>
        <v>99</v>
      </c>
      <c r="P30" s="15">
        <f t="shared" si="1"/>
        <v>209</v>
      </c>
    </row>
    <row r="31" spans="2:32" ht="23.1" customHeight="1">
      <c r="B31" s="24" t="s">
        <v>58</v>
      </c>
      <c r="C31" s="50">
        <v>87</v>
      </c>
      <c r="D31" s="50">
        <v>8</v>
      </c>
      <c r="E31" s="50">
        <v>7</v>
      </c>
      <c r="F31" s="50">
        <v>21</v>
      </c>
      <c r="G31" s="50">
        <v>0</v>
      </c>
      <c r="H31" s="50">
        <v>0</v>
      </c>
      <c r="I31" s="50">
        <v>4</v>
      </c>
      <c r="J31" s="50">
        <v>1</v>
      </c>
      <c r="K31" s="50">
        <v>1</v>
      </c>
      <c r="L31" s="50">
        <v>0</v>
      </c>
      <c r="M31" s="50">
        <v>85</v>
      </c>
      <c r="N31" s="50">
        <v>0</v>
      </c>
      <c r="O31" s="15">
        <f t="shared" si="0"/>
        <v>129</v>
      </c>
      <c r="P31" s="15">
        <f t="shared" si="1"/>
        <v>214</v>
      </c>
    </row>
    <row r="32" spans="2:32" ht="23.1" customHeight="1">
      <c r="B32" s="24" t="s">
        <v>59</v>
      </c>
      <c r="C32" s="50">
        <v>105</v>
      </c>
      <c r="D32" s="50">
        <v>12</v>
      </c>
      <c r="E32" s="50">
        <v>7</v>
      </c>
      <c r="F32" s="50">
        <v>15</v>
      </c>
      <c r="G32" s="50">
        <v>0</v>
      </c>
      <c r="H32" s="50">
        <v>0</v>
      </c>
      <c r="I32" s="50">
        <v>5</v>
      </c>
      <c r="J32" s="50">
        <v>1</v>
      </c>
      <c r="K32" s="50">
        <v>1</v>
      </c>
      <c r="L32" s="50">
        <v>0</v>
      </c>
      <c r="M32" s="50">
        <v>85</v>
      </c>
      <c r="N32" s="50">
        <v>0</v>
      </c>
      <c r="O32" s="15">
        <f t="shared" si="0"/>
        <v>146</v>
      </c>
      <c r="P32" s="15">
        <f t="shared" si="1"/>
        <v>231</v>
      </c>
    </row>
    <row r="33" spans="2:20" ht="23.1" customHeight="1">
      <c r="B33" s="23" t="s">
        <v>60</v>
      </c>
      <c r="C33" s="50">
        <v>35</v>
      </c>
      <c r="D33" s="50">
        <v>3</v>
      </c>
      <c r="E33" s="50">
        <v>3</v>
      </c>
      <c r="F33" s="50">
        <v>13</v>
      </c>
      <c r="G33" s="50">
        <v>0</v>
      </c>
      <c r="H33" s="50">
        <v>0</v>
      </c>
      <c r="I33" s="50">
        <v>3</v>
      </c>
      <c r="J33" s="50">
        <v>2</v>
      </c>
      <c r="K33" s="50">
        <v>0</v>
      </c>
      <c r="L33" s="50">
        <v>0</v>
      </c>
      <c r="M33" s="50">
        <v>70</v>
      </c>
      <c r="N33" s="50">
        <v>0</v>
      </c>
      <c r="O33" s="15">
        <f t="shared" si="0"/>
        <v>59</v>
      </c>
      <c r="P33" s="15">
        <f t="shared" si="1"/>
        <v>129</v>
      </c>
    </row>
    <row r="34" spans="2:20" ht="23.1" customHeight="1">
      <c r="B34" s="24" t="s">
        <v>61</v>
      </c>
      <c r="C34" s="50">
        <v>57</v>
      </c>
      <c r="D34" s="50">
        <v>11</v>
      </c>
      <c r="E34" s="50">
        <v>10</v>
      </c>
      <c r="F34" s="50">
        <v>20</v>
      </c>
      <c r="G34" s="50">
        <v>0</v>
      </c>
      <c r="H34" s="50">
        <v>0</v>
      </c>
      <c r="I34" s="50">
        <v>4</v>
      </c>
      <c r="J34" s="50">
        <v>1</v>
      </c>
      <c r="K34" s="50">
        <v>1</v>
      </c>
      <c r="L34" s="50">
        <v>0</v>
      </c>
      <c r="M34" s="50">
        <v>125</v>
      </c>
      <c r="N34" s="50">
        <v>0</v>
      </c>
      <c r="O34" s="15">
        <f t="shared" si="0"/>
        <v>104</v>
      </c>
      <c r="P34" s="15">
        <f t="shared" si="1"/>
        <v>229</v>
      </c>
    </row>
    <row r="35" spans="2:20" ht="23.1" customHeight="1">
      <c r="B35" s="24" t="s">
        <v>62</v>
      </c>
      <c r="C35" s="50">
        <v>60</v>
      </c>
      <c r="D35" s="50">
        <v>5</v>
      </c>
      <c r="E35" s="50">
        <v>3</v>
      </c>
      <c r="F35" s="50">
        <v>12</v>
      </c>
      <c r="G35" s="50">
        <v>0</v>
      </c>
      <c r="H35" s="50">
        <v>0</v>
      </c>
      <c r="I35" s="50">
        <v>3</v>
      </c>
      <c r="J35" s="50">
        <v>1</v>
      </c>
      <c r="K35" s="50">
        <v>1</v>
      </c>
      <c r="L35" s="50">
        <v>0</v>
      </c>
      <c r="M35" s="50">
        <v>130</v>
      </c>
      <c r="N35" s="50">
        <v>0</v>
      </c>
      <c r="O35" s="15">
        <f t="shared" si="0"/>
        <v>85</v>
      </c>
      <c r="P35" s="15">
        <f t="shared" si="1"/>
        <v>215</v>
      </c>
    </row>
    <row r="36" spans="2:20" ht="23.1" customHeight="1">
      <c r="B36" s="24" t="s">
        <v>63</v>
      </c>
      <c r="C36" s="50">
        <v>55</v>
      </c>
      <c r="D36" s="50">
        <v>9</v>
      </c>
      <c r="E36" s="50">
        <v>5</v>
      </c>
      <c r="F36" s="50">
        <v>13</v>
      </c>
      <c r="G36" s="50">
        <v>0</v>
      </c>
      <c r="H36" s="50">
        <v>0</v>
      </c>
      <c r="I36" s="50">
        <v>4</v>
      </c>
      <c r="J36" s="50">
        <v>1</v>
      </c>
      <c r="K36" s="50">
        <v>0</v>
      </c>
      <c r="L36" s="50">
        <v>0</v>
      </c>
      <c r="M36" s="50">
        <v>125</v>
      </c>
      <c r="N36" s="50">
        <v>0</v>
      </c>
      <c r="O36" s="15">
        <f t="shared" si="0"/>
        <v>87</v>
      </c>
      <c r="P36" s="15">
        <f t="shared" si="1"/>
        <v>212</v>
      </c>
    </row>
    <row r="37" spans="2:20" ht="23.1" customHeight="1">
      <c r="B37" s="23" t="s">
        <v>64</v>
      </c>
      <c r="C37" s="50">
        <v>60</v>
      </c>
      <c r="D37" s="50">
        <v>10</v>
      </c>
      <c r="E37" s="50">
        <v>8</v>
      </c>
      <c r="F37" s="50">
        <v>9</v>
      </c>
      <c r="G37" s="50">
        <v>0</v>
      </c>
      <c r="H37" s="50">
        <v>0</v>
      </c>
      <c r="I37" s="50">
        <v>5</v>
      </c>
      <c r="J37" s="50">
        <v>0</v>
      </c>
      <c r="K37" s="50">
        <v>0</v>
      </c>
      <c r="L37" s="50">
        <v>0</v>
      </c>
      <c r="M37" s="50">
        <v>72</v>
      </c>
      <c r="N37" s="50">
        <v>0</v>
      </c>
      <c r="O37" s="15">
        <f t="shared" si="0"/>
        <v>92</v>
      </c>
      <c r="P37" s="15">
        <f t="shared" si="1"/>
        <v>164</v>
      </c>
    </row>
    <row r="38" spans="2:20" ht="23.1" customHeight="1">
      <c r="B38" s="24" t="s">
        <v>65</v>
      </c>
      <c r="C38" s="50">
        <v>40</v>
      </c>
      <c r="D38" s="50">
        <v>9</v>
      </c>
      <c r="E38" s="50">
        <v>3</v>
      </c>
      <c r="F38" s="50">
        <v>9</v>
      </c>
      <c r="G38" s="50">
        <v>0</v>
      </c>
      <c r="H38" s="50">
        <v>0</v>
      </c>
      <c r="I38" s="50">
        <v>2</v>
      </c>
      <c r="J38" s="50">
        <v>0</v>
      </c>
      <c r="K38" s="50">
        <v>0</v>
      </c>
      <c r="L38" s="50">
        <v>1</v>
      </c>
      <c r="M38" s="50">
        <v>85</v>
      </c>
      <c r="N38" s="50">
        <v>0</v>
      </c>
      <c r="O38" s="15">
        <f t="shared" si="0"/>
        <v>64</v>
      </c>
      <c r="P38" s="15">
        <f t="shared" si="1"/>
        <v>149</v>
      </c>
    </row>
    <row r="39" spans="2:20" ht="23.1" customHeight="1">
      <c r="B39" s="24" t="s">
        <v>66</v>
      </c>
      <c r="C39" s="50">
        <v>53</v>
      </c>
      <c r="D39" s="50">
        <v>12</v>
      </c>
      <c r="E39" s="50">
        <v>2</v>
      </c>
      <c r="F39" s="50">
        <v>17</v>
      </c>
      <c r="G39" s="50">
        <v>0</v>
      </c>
      <c r="H39" s="50">
        <v>0</v>
      </c>
      <c r="I39" s="50">
        <v>1</v>
      </c>
      <c r="J39" s="50">
        <v>0</v>
      </c>
      <c r="K39" s="50">
        <v>0</v>
      </c>
      <c r="L39" s="50">
        <v>0</v>
      </c>
      <c r="M39" s="50">
        <v>75</v>
      </c>
      <c r="N39" s="50">
        <v>0</v>
      </c>
      <c r="O39" s="15">
        <f t="shared" si="0"/>
        <v>85</v>
      </c>
      <c r="P39" s="15">
        <f t="shared" si="1"/>
        <v>160</v>
      </c>
    </row>
    <row r="40" spans="2:20" ht="23.1" customHeight="1">
      <c r="B40" s="24" t="s">
        <v>67</v>
      </c>
      <c r="C40" s="50">
        <v>40</v>
      </c>
      <c r="D40" s="50">
        <v>6</v>
      </c>
      <c r="E40" s="50">
        <v>4</v>
      </c>
      <c r="F40" s="50">
        <v>11</v>
      </c>
      <c r="G40" s="50">
        <v>0</v>
      </c>
      <c r="H40" s="50">
        <v>0</v>
      </c>
      <c r="I40" s="50">
        <v>3</v>
      </c>
      <c r="J40" s="50">
        <v>2</v>
      </c>
      <c r="K40" s="50">
        <v>0</v>
      </c>
      <c r="L40" s="50">
        <v>0</v>
      </c>
      <c r="M40" s="50">
        <v>70</v>
      </c>
      <c r="N40" s="50">
        <v>0</v>
      </c>
      <c r="O40" s="15">
        <f t="shared" si="0"/>
        <v>66</v>
      </c>
      <c r="P40" s="15">
        <f t="shared" si="1"/>
        <v>136</v>
      </c>
    </row>
    <row r="41" spans="2:20" ht="23.1" customHeight="1">
      <c r="B41" s="23" t="s">
        <v>68</v>
      </c>
      <c r="C41" s="50">
        <v>40</v>
      </c>
      <c r="D41" s="50">
        <v>4</v>
      </c>
      <c r="E41" s="50">
        <v>2</v>
      </c>
      <c r="F41" s="50">
        <v>9</v>
      </c>
      <c r="G41" s="50">
        <v>1</v>
      </c>
      <c r="H41" s="50">
        <v>0</v>
      </c>
      <c r="I41" s="50">
        <v>4</v>
      </c>
      <c r="J41" s="50">
        <v>0</v>
      </c>
      <c r="K41" s="50">
        <v>1</v>
      </c>
      <c r="L41" s="50">
        <v>0</v>
      </c>
      <c r="M41" s="50">
        <v>80</v>
      </c>
      <c r="N41" s="50">
        <v>0</v>
      </c>
      <c r="O41" s="15">
        <f t="shared" si="0"/>
        <v>61</v>
      </c>
      <c r="P41" s="15">
        <f t="shared" si="1"/>
        <v>141</v>
      </c>
    </row>
    <row r="42" spans="2:20" ht="23.1" customHeight="1">
      <c r="B42" s="24" t="s">
        <v>69</v>
      </c>
      <c r="C42" s="50">
        <v>60</v>
      </c>
      <c r="D42" s="50">
        <v>7</v>
      </c>
      <c r="E42" s="50">
        <v>8</v>
      </c>
      <c r="F42" s="50">
        <v>15</v>
      </c>
      <c r="G42" s="50">
        <v>1</v>
      </c>
      <c r="H42" s="50">
        <v>0</v>
      </c>
      <c r="I42" s="50">
        <v>9</v>
      </c>
      <c r="J42" s="50">
        <v>3</v>
      </c>
      <c r="K42" s="50">
        <v>0</v>
      </c>
      <c r="L42" s="50">
        <v>0</v>
      </c>
      <c r="M42" s="50">
        <v>85</v>
      </c>
      <c r="N42" s="50">
        <v>1</v>
      </c>
      <c r="O42" s="15">
        <f t="shared" si="0"/>
        <v>104</v>
      </c>
      <c r="P42" s="15">
        <f t="shared" si="1"/>
        <v>189</v>
      </c>
    </row>
    <row r="43" spans="2:20" ht="23.1" customHeight="1">
      <c r="B43" s="23" t="s">
        <v>70</v>
      </c>
      <c r="C43" s="50">
        <v>40</v>
      </c>
      <c r="D43" s="50">
        <v>5</v>
      </c>
      <c r="E43" s="50">
        <v>5</v>
      </c>
      <c r="F43" s="50">
        <v>10</v>
      </c>
      <c r="G43" s="50">
        <v>0</v>
      </c>
      <c r="H43" s="50">
        <v>0</v>
      </c>
      <c r="I43" s="50">
        <v>8</v>
      </c>
      <c r="J43" s="50">
        <v>2</v>
      </c>
      <c r="K43" s="50">
        <v>1</v>
      </c>
      <c r="L43" s="50">
        <v>0</v>
      </c>
      <c r="M43" s="50">
        <v>54</v>
      </c>
      <c r="N43" s="50">
        <v>0</v>
      </c>
      <c r="O43" s="15">
        <f t="shared" si="0"/>
        <v>71</v>
      </c>
      <c r="P43" s="15">
        <f t="shared" si="1"/>
        <v>125</v>
      </c>
    </row>
    <row r="44" spans="2:20" ht="23.1" customHeight="1">
      <c r="B44" s="25" t="s">
        <v>71</v>
      </c>
      <c r="C44" s="50">
        <v>50</v>
      </c>
      <c r="D44" s="50">
        <v>10</v>
      </c>
      <c r="E44" s="50">
        <v>6</v>
      </c>
      <c r="F44" s="50">
        <v>13</v>
      </c>
      <c r="G44" s="50">
        <v>0</v>
      </c>
      <c r="H44" s="50">
        <v>0</v>
      </c>
      <c r="I44" s="50">
        <v>5</v>
      </c>
      <c r="J44" s="50">
        <v>2</v>
      </c>
      <c r="K44" s="50">
        <v>0</v>
      </c>
      <c r="L44" s="50">
        <v>1</v>
      </c>
      <c r="M44" s="50">
        <v>74</v>
      </c>
      <c r="N44" s="50">
        <v>0</v>
      </c>
      <c r="O44" s="15">
        <f t="shared" si="0"/>
        <v>87</v>
      </c>
      <c r="P44" s="15">
        <f t="shared" si="1"/>
        <v>161</v>
      </c>
    </row>
    <row r="45" spans="2:20" ht="23.1" customHeight="1">
      <c r="B45" s="23" t="s">
        <v>72</v>
      </c>
      <c r="C45" s="50">
        <v>71</v>
      </c>
      <c r="D45" s="50">
        <v>10</v>
      </c>
      <c r="E45" s="50">
        <v>3</v>
      </c>
      <c r="F45" s="50">
        <v>12</v>
      </c>
      <c r="G45" s="50">
        <v>0</v>
      </c>
      <c r="H45" s="50">
        <v>0</v>
      </c>
      <c r="I45" s="50">
        <v>1</v>
      </c>
      <c r="J45" s="50">
        <v>1</v>
      </c>
      <c r="K45" s="50">
        <v>0</v>
      </c>
      <c r="L45" s="50">
        <v>0</v>
      </c>
      <c r="M45" s="50">
        <v>74</v>
      </c>
      <c r="N45" s="50">
        <v>0</v>
      </c>
      <c r="O45" s="15">
        <f t="shared" si="0"/>
        <v>98</v>
      </c>
      <c r="P45" s="15">
        <f t="shared" si="1"/>
        <v>172</v>
      </c>
    </row>
    <row r="46" spans="2:20" ht="23.1" customHeight="1">
      <c r="B46" s="24" t="s">
        <v>73</v>
      </c>
      <c r="C46" s="50">
        <v>65</v>
      </c>
      <c r="D46" s="50">
        <v>16</v>
      </c>
      <c r="E46" s="50">
        <v>7</v>
      </c>
      <c r="F46" s="50">
        <v>18</v>
      </c>
      <c r="G46" s="50">
        <v>0</v>
      </c>
      <c r="H46" s="50">
        <v>0</v>
      </c>
      <c r="I46" s="50">
        <v>11</v>
      </c>
      <c r="J46" s="50">
        <v>2</v>
      </c>
      <c r="K46" s="50">
        <v>2</v>
      </c>
      <c r="L46" s="50">
        <v>1</v>
      </c>
      <c r="M46" s="50">
        <v>87</v>
      </c>
      <c r="N46" s="50">
        <v>0</v>
      </c>
      <c r="O46" s="15">
        <f t="shared" si="0"/>
        <v>122</v>
      </c>
      <c r="P46" s="15">
        <f t="shared" si="1"/>
        <v>209</v>
      </c>
      <c r="R46" s="8"/>
      <c r="T46"/>
    </row>
    <row r="47" spans="2:20" ht="23.1" customHeight="1">
      <c r="B47" s="24" t="s">
        <v>74</v>
      </c>
      <c r="C47" s="50">
        <v>87</v>
      </c>
      <c r="D47" s="50">
        <v>17</v>
      </c>
      <c r="E47" s="50">
        <v>3</v>
      </c>
      <c r="F47" s="50">
        <v>12</v>
      </c>
      <c r="G47" s="50">
        <v>0</v>
      </c>
      <c r="H47" s="50">
        <v>0</v>
      </c>
      <c r="I47" s="50">
        <v>0</v>
      </c>
      <c r="J47" s="50">
        <v>5</v>
      </c>
      <c r="K47" s="50">
        <v>0</v>
      </c>
      <c r="L47" s="50">
        <v>0</v>
      </c>
      <c r="M47" s="50">
        <v>45</v>
      </c>
      <c r="N47" s="50">
        <v>0</v>
      </c>
      <c r="O47" s="15">
        <f t="shared" si="0"/>
        <v>124</v>
      </c>
      <c r="P47" s="15">
        <f t="shared" si="1"/>
        <v>169</v>
      </c>
      <c r="R47" s="8"/>
      <c r="T47"/>
    </row>
    <row r="48" spans="2:20" ht="23.1" customHeight="1">
      <c r="B48" s="24" t="s">
        <v>75</v>
      </c>
      <c r="C48" s="50">
        <v>48</v>
      </c>
      <c r="D48" s="50">
        <v>3</v>
      </c>
      <c r="E48" s="50">
        <v>3</v>
      </c>
      <c r="F48" s="50">
        <v>9</v>
      </c>
      <c r="G48" s="50">
        <v>0</v>
      </c>
      <c r="H48" s="50">
        <v>0</v>
      </c>
      <c r="I48" s="50">
        <v>7</v>
      </c>
      <c r="J48" s="50">
        <v>5</v>
      </c>
      <c r="K48" s="50">
        <v>0</v>
      </c>
      <c r="L48" s="50">
        <v>0</v>
      </c>
      <c r="M48" s="50">
        <v>72</v>
      </c>
      <c r="N48" s="50">
        <v>0</v>
      </c>
      <c r="O48" s="15">
        <f t="shared" si="0"/>
        <v>75</v>
      </c>
      <c r="P48" s="15">
        <f t="shared" si="1"/>
        <v>147</v>
      </c>
      <c r="R48" s="8"/>
      <c r="T48"/>
    </row>
    <row r="49" spans="2:20" ht="23.1" customHeight="1">
      <c r="B49" s="23" t="s">
        <v>76</v>
      </c>
      <c r="C49" s="50">
        <v>45</v>
      </c>
      <c r="D49" s="50">
        <v>5</v>
      </c>
      <c r="E49" s="50">
        <v>4</v>
      </c>
      <c r="F49" s="50">
        <v>16</v>
      </c>
      <c r="G49" s="50">
        <v>1</v>
      </c>
      <c r="H49" s="50">
        <v>0</v>
      </c>
      <c r="I49" s="50">
        <v>5</v>
      </c>
      <c r="J49" s="50">
        <v>2</v>
      </c>
      <c r="K49" s="50">
        <v>0</v>
      </c>
      <c r="L49" s="50">
        <v>0</v>
      </c>
      <c r="M49" s="50">
        <v>90</v>
      </c>
      <c r="N49" s="50">
        <v>0</v>
      </c>
      <c r="O49" s="15">
        <f t="shared" si="0"/>
        <v>78</v>
      </c>
      <c r="P49" s="15">
        <f t="shared" si="1"/>
        <v>168</v>
      </c>
      <c r="R49" s="8"/>
      <c r="T49"/>
    </row>
    <row r="50" spans="2:20" ht="23.1" customHeight="1">
      <c r="B50" s="24" t="s">
        <v>77</v>
      </c>
      <c r="C50" s="50">
        <v>67</v>
      </c>
      <c r="D50" s="50">
        <v>13</v>
      </c>
      <c r="E50" s="50">
        <v>3</v>
      </c>
      <c r="F50" s="50">
        <v>16</v>
      </c>
      <c r="G50" s="50">
        <v>0</v>
      </c>
      <c r="H50" s="50">
        <v>0</v>
      </c>
      <c r="I50" s="50">
        <v>8</v>
      </c>
      <c r="J50" s="50">
        <v>1</v>
      </c>
      <c r="K50" s="50">
        <v>1</v>
      </c>
      <c r="L50" s="50">
        <v>0</v>
      </c>
      <c r="M50" s="50">
        <v>107</v>
      </c>
      <c r="N50" s="50">
        <v>0</v>
      </c>
      <c r="O50" s="15">
        <f t="shared" si="0"/>
        <v>109</v>
      </c>
      <c r="P50" s="15">
        <f t="shared" si="1"/>
        <v>216</v>
      </c>
      <c r="R50" s="8"/>
      <c r="T50"/>
    </row>
    <row r="51" spans="2:20" ht="23.1" customHeight="1">
      <c r="B51" s="24" t="s">
        <v>78</v>
      </c>
      <c r="C51" s="50">
        <v>70</v>
      </c>
      <c r="D51" s="50">
        <v>11</v>
      </c>
      <c r="E51" s="50">
        <v>7</v>
      </c>
      <c r="F51" s="50">
        <v>13</v>
      </c>
      <c r="G51" s="50">
        <v>2</v>
      </c>
      <c r="H51" s="50">
        <v>0</v>
      </c>
      <c r="I51" s="50">
        <v>7</v>
      </c>
      <c r="J51" s="50">
        <v>1</v>
      </c>
      <c r="K51" s="50">
        <v>1</v>
      </c>
      <c r="L51" s="50">
        <v>0</v>
      </c>
      <c r="M51" s="50">
        <v>70</v>
      </c>
      <c r="N51" s="50">
        <v>0</v>
      </c>
      <c r="O51" s="15">
        <f t="shared" si="0"/>
        <v>112</v>
      </c>
      <c r="P51" s="15">
        <f t="shared" si="1"/>
        <v>182</v>
      </c>
      <c r="R51" s="8"/>
      <c r="T51"/>
    </row>
    <row r="52" spans="2:20" ht="23.1" customHeight="1">
      <c r="B52" s="24" t="s">
        <v>79</v>
      </c>
      <c r="C52" s="50">
        <v>65</v>
      </c>
      <c r="D52" s="50">
        <v>3</v>
      </c>
      <c r="E52" s="50">
        <v>2</v>
      </c>
      <c r="F52" s="50">
        <v>10</v>
      </c>
      <c r="G52" s="50">
        <v>0</v>
      </c>
      <c r="H52" s="50">
        <v>0</v>
      </c>
      <c r="I52" s="50">
        <v>3</v>
      </c>
      <c r="J52" s="50">
        <v>0</v>
      </c>
      <c r="K52" s="50">
        <v>1</v>
      </c>
      <c r="L52" s="50">
        <v>0</v>
      </c>
      <c r="M52" s="50">
        <v>126</v>
      </c>
      <c r="N52" s="50">
        <v>0</v>
      </c>
      <c r="O52" s="15">
        <f t="shared" si="0"/>
        <v>84</v>
      </c>
      <c r="P52" s="15">
        <f t="shared" si="1"/>
        <v>210</v>
      </c>
      <c r="R52" s="8"/>
      <c r="T52"/>
    </row>
    <row r="53" spans="2:20" ht="23.1" customHeight="1">
      <c r="B53" s="23" t="s">
        <v>80</v>
      </c>
      <c r="C53" s="50">
        <v>27</v>
      </c>
      <c r="D53" s="50">
        <v>6</v>
      </c>
      <c r="E53" s="50">
        <v>1</v>
      </c>
      <c r="F53" s="50">
        <v>13</v>
      </c>
      <c r="G53" s="50">
        <v>1</v>
      </c>
      <c r="H53" s="50">
        <v>0</v>
      </c>
      <c r="I53" s="50">
        <v>3</v>
      </c>
      <c r="J53" s="50">
        <v>1</v>
      </c>
      <c r="K53" s="50">
        <v>0</v>
      </c>
      <c r="L53" s="50">
        <v>0</v>
      </c>
      <c r="M53" s="50">
        <v>100</v>
      </c>
      <c r="N53" s="50">
        <v>0</v>
      </c>
      <c r="O53" s="15">
        <f t="shared" si="0"/>
        <v>52</v>
      </c>
      <c r="P53" s="15">
        <f t="shared" si="1"/>
        <v>152</v>
      </c>
      <c r="R53" s="8"/>
      <c r="T53"/>
    </row>
    <row r="54" spans="2:20" ht="23.1" customHeight="1">
      <c r="B54" s="23" t="s">
        <v>81</v>
      </c>
      <c r="C54" s="50">
        <v>87</v>
      </c>
      <c r="D54" s="50">
        <v>12</v>
      </c>
      <c r="E54" s="50">
        <v>5</v>
      </c>
      <c r="F54" s="50">
        <v>8</v>
      </c>
      <c r="G54" s="50">
        <v>0</v>
      </c>
      <c r="H54" s="50">
        <v>0</v>
      </c>
      <c r="I54" s="50">
        <v>4</v>
      </c>
      <c r="J54" s="50">
        <v>1</v>
      </c>
      <c r="K54" s="50">
        <v>0</v>
      </c>
      <c r="L54" s="50">
        <v>0</v>
      </c>
      <c r="M54" s="50">
        <v>125</v>
      </c>
      <c r="N54" s="50">
        <v>0</v>
      </c>
      <c r="O54" s="15">
        <f t="shared" si="0"/>
        <v>117</v>
      </c>
      <c r="P54" s="15">
        <f t="shared" si="1"/>
        <v>242</v>
      </c>
      <c r="R54" s="8"/>
      <c r="T54"/>
    </row>
    <row r="55" spans="2:20" ht="23.1" customHeight="1">
      <c r="B55" s="23" t="s">
        <v>82</v>
      </c>
      <c r="C55" s="50">
        <v>42</v>
      </c>
      <c r="D55" s="50">
        <v>6</v>
      </c>
      <c r="E55" s="50">
        <v>1</v>
      </c>
      <c r="F55" s="50">
        <v>9</v>
      </c>
      <c r="G55" s="50">
        <v>0</v>
      </c>
      <c r="H55" s="50">
        <v>0</v>
      </c>
      <c r="I55" s="50">
        <v>5</v>
      </c>
      <c r="J55" s="50">
        <v>2</v>
      </c>
      <c r="K55" s="50">
        <v>0</v>
      </c>
      <c r="L55" s="50">
        <v>0</v>
      </c>
      <c r="M55" s="50">
        <v>105</v>
      </c>
      <c r="N55" s="50">
        <v>0</v>
      </c>
      <c r="O55" s="15">
        <f t="shared" si="0"/>
        <v>65</v>
      </c>
      <c r="P55" s="15">
        <f t="shared" si="1"/>
        <v>170</v>
      </c>
      <c r="R55" s="8"/>
      <c r="T55"/>
    </row>
    <row r="56" spans="2:20" ht="23.1" customHeight="1">
      <c r="B56" s="23" t="s">
        <v>83</v>
      </c>
      <c r="C56" s="50">
        <v>37</v>
      </c>
      <c r="D56" s="50">
        <v>2</v>
      </c>
      <c r="E56" s="50">
        <v>1</v>
      </c>
      <c r="F56" s="50">
        <v>10</v>
      </c>
      <c r="G56" s="50">
        <v>2</v>
      </c>
      <c r="H56" s="50">
        <v>0</v>
      </c>
      <c r="I56" s="50">
        <v>1</v>
      </c>
      <c r="J56" s="50">
        <v>1</v>
      </c>
      <c r="K56" s="50">
        <v>0</v>
      </c>
      <c r="L56" s="50">
        <v>0</v>
      </c>
      <c r="M56" s="50">
        <v>110</v>
      </c>
      <c r="N56" s="50">
        <v>0</v>
      </c>
      <c r="O56" s="15">
        <f t="shared" si="0"/>
        <v>54</v>
      </c>
      <c r="P56" s="15">
        <f t="shared" si="1"/>
        <v>164</v>
      </c>
      <c r="R56" s="8"/>
      <c r="T56"/>
    </row>
    <row r="57" spans="2:20" ht="23.1" customHeight="1">
      <c r="B57" s="23" t="s">
        <v>84</v>
      </c>
      <c r="C57" s="50">
        <v>42</v>
      </c>
      <c r="D57" s="50">
        <v>7</v>
      </c>
      <c r="E57" s="50">
        <v>2</v>
      </c>
      <c r="F57" s="50">
        <v>15</v>
      </c>
      <c r="G57" s="50">
        <v>0</v>
      </c>
      <c r="H57" s="50">
        <v>0</v>
      </c>
      <c r="I57" s="50">
        <v>1</v>
      </c>
      <c r="J57" s="50">
        <v>0</v>
      </c>
      <c r="K57" s="50">
        <v>0</v>
      </c>
      <c r="L57" s="50">
        <v>0</v>
      </c>
      <c r="M57" s="50">
        <v>135</v>
      </c>
      <c r="N57" s="50">
        <v>0</v>
      </c>
      <c r="O57" s="15">
        <f t="shared" si="0"/>
        <v>67</v>
      </c>
      <c r="P57" s="15">
        <f t="shared" si="1"/>
        <v>202</v>
      </c>
      <c r="R57" s="8"/>
      <c r="T57"/>
    </row>
    <row r="58" spans="2:20" ht="23.1" customHeight="1">
      <c r="B58" s="26" t="s">
        <v>18</v>
      </c>
      <c r="C58" s="16">
        <f t="shared" ref="C58:P58" si="21">SUM(C10:C57)</f>
        <v>3698</v>
      </c>
      <c r="D58" s="16">
        <f t="shared" si="21"/>
        <v>515</v>
      </c>
      <c r="E58" s="16">
        <f t="shared" si="21"/>
        <v>262</v>
      </c>
      <c r="F58" s="16">
        <f t="shared" si="21"/>
        <v>668</v>
      </c>
      <c r="G58" s="16">
        <f t="shared" si="21"/>
        <v>12</v>
      </c>
      <c r="H58" s="16">
        <f t="shared" si="21"/>
        <v>0</v>
      </c>
      <c r="I58" s="16">
        <f t="shared" si="21"/>
        <v>185</v>
      </c>
      <c r="J58" s="16">
        <f t="shared" si="21"/>
        <v>53</v>
      </c>
      <c r="K58" s="16">
        <f t="shared" si="21"/>
        <v>20</v>
      </c>
      <c r="L58" s="16">
        <f t="shared" si="21"/>
        <v>4</v>
      </c>
      <c r="M58" s="16">
        <f t="shared" si="21"/>
        <v>4799</v>
      </c>
      <c r="N58" s="16">
        <f t="shared" si="21"/>
        <v>1</v>
      </c>
      <c r="O58" s="16">
        <f t="shared" si="21"/>
        <v>5418</v>
      </c>
      <c r="P58" s="16">
        <f t="shared" si="21"/>
        <v>10217</v>
      </c>
      <c r="R58" s="8"/>
      <c r="T58"/>
    </row>
    <row r="59" spans="2:20" ht="23.1" customHeight="1">
      <c r="B59" s="26" t="s">
        <v>93</v>
      </c>
      <c r="C59" s="43">
        <f t="shared" ref="C59:N59" si="22">C58/$P$58</f>
        <v>0.36194577664676519</v>
      </c>
      <c r="D59" s="43">
        <f t="shared" si="22"/>
        <v>5.0406185768816676E-2</v>
      </c>
      <c r="E59" s="43">
        <f t="shared" si="22"/>
        <v>2.5643535284330037E-2</v>
      </c>
      <c r="F59" s="43">
        <f t="shared" si="22"/>
        <v>6.5381227366154454E-2</v>
      </c>
      <c r="G59" s="43">
        <f t="shared" si="22"/>
        <v>1.1745130664578642E-3</v>
      </c>
      <c r="H59" s="43">
        <f t="shared" si="22"/>
        <v>0</v>
      </c>
      <c r="I59" s="43">
        <f t="shared" si="22"/>
        <v>1.810707644122541E-2</v>
      </c>
      <c r="J59" s="43">
        <f t="shared" si="22"/>
        <v>5.1874327101889012E-3</v>
      </c>
      <c r="K59" s="43">
        <f t="shared" si="22"/>
        <v>1.957521777429774E-3</v>
      </c>
      <c r="L59" s="43">
        <f t="shared" si="22"/>
        <v>3.9150435548595478E-4</v>
      </c>
      <c r="M59" s="43">
        <f t="shared" si="22"/>
        <v>0.46970735049427426</v>
      </c>
      <c r="N59" s="43">
        <f t="shared" si="22"/>
        <v>9.7876088871488696E-5</v>
      </c>
      <c r="R59" s="8"/>
      <c r="T59"/>
    </row>
    <row r="60" spans="2:20" ht="23.1" customHeight="1">
      <c r="B60" s="42" t="s">
        <v>94</v>
      </c>
      <c r="C60" s="44">
        <f>C58/$O$58</f>
        <v>0.68253968253968256</v>
      </c>
      <c r="D60" s="44">
        <f t="shared" ref="D60:N60" si="23">D58/$O$58</f>
        <v>9.5053525286083421E-2</v>
      </c>
      <c r="E60" s="44">
        <f t="shared" si="23"/>
        <v>4.8357327427094872E-2</v>
      </c>
      <c r="F60" s="44">
        <f t="shared" si="23"/>
        <v>0.12329272794389073</v>
      </c>
      <c r="G60" s="44">
        <f t="shared" si="23"/>
        <v>2.2148394241417496E-3</v>
      </c>
      <c r="H60" s="44">
        <f t="shared" si="23"/>
        <v>0</v>
      </c>
      <c r="I60" s="44">
        <f t="shared" si="23"/>
        <v>3.4145441122185309E-2</v>
      </c>
      <c r="J60" s="44">
        <f t="shared" si="23"/>
        <v>9.782207456626061E-3</v>
      </c>
      <c r="K60" s="44">
        <f t="shared" si="23"/>
        <v>3.6913990402362494E-3</v>
      </c>
      <c r="L60" s="44">
        <f t="shared" si="23"/>
        <v>7.3827980804724988E-4</v>
      </c>
      <c r="M60" s="44"/>
      <c r="N60" s="44">
        <f t="shared" si="23"/>
        <v>1.8456995201181247E-4</v>
      </c>
      <c r="Q60" s="7"/>
      <c r="R60" s="8"/>
      <c r="T60"/>
    </row>
    <row r="61" spans="2:20" ht="20.100000000000001" customHeight="1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B1:AF126"/>
  <sheetViews>
    <sheetView view="pageBreakPreview" zoomScale="60" workbookViewId="0">
      <selection activeCell="M57" sqref="M57"/>
    </sheetView>
  </sheetViews>
  <sheetFormatPr defaultColWidth="15" defaultRowHeight="20.100000000000001" customHeight="1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>
      <c r="B1" s="60" t="s">
        <v>23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</row>
    <row r="2" spans="2:32" ht="20.100000000000001" customHeight="1">
      <c r="B2" s="61" t="s">
        <v>95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</row>
    <row r="3" spans="2:32" ht="20.100000000000001" customHeight="1">
      <c r="B3" s="22" t="s">
        <v>96</v>
      </c>
      <c r="C3" s="65" t="str">
        <f>'29.07 Kiwatule-Najjeera'!C3:G3</f>
        <v>MCC - C1 - STN36 - MBOGO ROAD</v>
      </c>
      <c r="D3" s="65"/>
      <c r="E3" s="65"/>
      <c r="F3" s="65"/>
      <c r="G3" s="65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>
      <c r="C5" s="4" t="s">
        <v>3</v>
      </c>
      <c r="D5" s="36" t="str">
        <f>'30.07 Najjeera-Kiwatule'!D5</f>
        <v>30.07.19</v>
      </c>
      <c r="E5" s="3"/>
      <c r="F5" s="41" t="s">
        <v>1</v>
      </c>
      <c r="G5" s="66" t="str">
        <f>'29.07 Najjeera-Kiwatule'!G5:H5</f>
        <v>U Save Kiwatule</v>
      </c>
      <c r="H5" s="67"/>
      <c r="I5" s="14"/>
      <c r="J5" s="2" t="s">
        <v>5</v>
      </c>
      <c r="K5" s="66" t="s">
        <v>178</v>
      </c>
      <c r="L5" s="67"/>
      <c r="M5" s="10"/>
      <c r="N5" s="10"/>
      <c r="O5" s="3"/>
      <c r="P5" s="3"/>
    </row>
    <row r="6" spans="2:32" ht="23.25" customHeight="1">
      <c r="C6" s="2" t="s">
        <v>4</v>
      </c>
      <c r="D6" s="66" t="str">
        <f>'29.07 Kiwatule-Najjeera'!D6:E6</f>
        <v>Kiwatule</v>
      </c>
      <c r="E6" s="67"/>
      <c r="F6" s="2" t="s">
        <v>2</v>
      </c>
      <c r="G6" s="66" t="str">
        <f>'29.07 Kiwatule-Najjeera'!G6:H6</f>
        <v>Najjeera</v>
      </c>
      <c r="H6" s="67"/>
      <c r="J6" s="2" t="s">
        <v>21</v>
      </c>
      <c r="K6" s="66" t="str">
        <f>'29.07 Najjeera-Kiwatule'!K6:L6</f>
        <v>Steven</v>
      </c>
      <c r="L6" s="67"/>
      <c r="M6" s="10"/>
      <c r="N6" s="10"/>
      <c r="O6" s="3"/>
      <c r="P6" s="3"/>
    </row>
    <row r="7" spans="2:32" ht="20.100000000000001" customHeight="1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9" t="s">
        <v>88</v>
      </c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</row>
    <row r="9" spans="2:32" ht="51.75" customHeight="1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>
      <c r="B10" s="23" t="s">
        <v>37</v>
      </c>
      <c r="C10" s="50">
        <v>12</v>
      </c>
      <c r="D10" s="50">
        <v>5</v>
      </c>
      <c r="E10" s="50">
        <v>2</v>
      </c>
      <c r="F10" s="50">
        <v>11</v>
      </c>
      <c r="G10" s="50">
        <v>1</v>
      </c>
      <c r="H10" s="50">
        <v>0</v>
      </c>
      <c r="I10" s="50">
        <v>3</v>
      </c>
      <c r="J10" s="50">
        <v>0</v>
      </c>
      <c r="K10" s="50">
        <v>0</v>
      </c>
      <c r="L10" s="50">
        <v>0</v>
      </c>
      <c r="M10" s="50">
        <v>35</v>
      </c>
      <c r="N10" s="50">
        <v>0</v>
      </c>
      <c r="O10" s="15">
        <f t="shared" ref="O10:O57" si="0">SUM(C10:L10,N10)</f>
        <v>34</v>
      </c>
      <c r="P10" s="15">
        <f t="shared" ref="P10:P57" si="1">SUM(C10:N10)</f>
        <v>69</v>
      </c>
      <c r="R10" s="1" t="s">
        <v>6</v>
      </c>
      <c r="S10" s="17">
        <f t="shared" ref="S10:AF10" si="2">SUM(C10:C13)</f>
        <v>130</v>
      </c>
      <c r="T10" s="17">
        <f t="shared" si="2"/>
        <v>29</v>
      </c>
      <c r="U10" s="17">
        <f t="shared" si="2"/>
        <v>10</v>
      </c>
      <c r="V10" s="17">
        <f t="shared" si="2"/>
        <v>68</v>
      </c>
      <c r="W10" s="17">
        <f t="shared" si="2"/>
        <v>5</v>
      </c>
      <c r="X10" s="17">
        <f t="shared" si="2"/>
        <v>0</v>
      </c>
      <c r="Y10" s="17">
        <f t="shared" si="2"/>
        <v>24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150</v>
      </c>
      <c r="AD10" s="17">
        <f t="shared" si="2"/>
        <v>0</v>
      </c>
      <c r="AE10" s="31">
        <f t="shared" si="2"/>
        <v>266</v>
      </c>
      <c r="AF10" s="31">
        <f t="shared" si="2"/>
        <v>416</v>
      </c>
    </row>
    <row r="11" spans="2:32" s="6" customFormat="1" ht="23.1" customHeight="1">
      <c r="B11" s="23" t="s">
        <v>38</v>
      </c>
      <c r="C11" s="50">
        <v>42</v>
      </c>
      <c r="D11" s="50">
        <v>9</v>
      </c>
      <c r="E11" s="50">
        <v>4</v>
      </c>
      <c r="F11" s="50">
        <v>14</v>
      </c>
      <c r="G11" s="50">
        <v>2</v>
      </c>
      <c r="H11" s="50">
        <v>0</v>
      </c>
      <c r="I11" s="50">
        <v>11</v>
      </c>
      <c r="J11" s="50">
        <v>0</v>
      </c>
      <c r="K11" s="50">
        <v>0</v>
      </c>
      <c r="L11" s="50">
        <v>0</v>
      </c>
      <c r="M11" s="50">
        <v>38</v>
      </c>
      <c r="N11" s="50">
        <v>0</v>
      </c>
      <c r="O11" s="15">
        <f t="shared" si="0"/>
        <v>82</v>
      </c>
      <c r="P11" s="15">
        <f t="shared" si="1"/>
        <v>120</v>
      </c>
      <c r="R11" s="1" t="s">
        <v>7</v>
      </c>
      <c r="S11" s="17">
        <f t="shared" ref="S11:AF11" si="3">SUM(C14:C17)</f>
        <v>81</v>
      </c>
      <c r="T11" s="17">
        <f t="shared" si="3"/>
        <v>21</v>
      </c>
      <c r="U11" s="17">
        <f t="shared" si="3"/>
        <v>8</v>
      </c>
      <c r="V11" s="17">
        <f t="shared" si="3"/>
        <v>67</v>
      </c>
      <c r="W11" s="17">
        <f t="shared" si="3"/>
        <v>3</v>
      </c>
      <c r="X11" s="17">
        <f t="shared" si="3"/>
        <v>0</v>
      </c>
      <c r="Y11" s="17">
        <f t="shared" si="3"/>
        <v>29</v>
      </c>
      <c r="Z11" s="17">
        <f t="shared" si="3"/>
        <v>1</v>
      </c>
      <c r="AA11" s="17">
        <f t="shared" si="3"/>
        <v>0</v>
      </c>
      <c r="AB11" s="17">
        <f t="shared" si="3"/>
        <v>0</v>
      </c>
      <c r="AC11" s="17">
        <f t="shared" si="3"/>
        <v>226</v>
      </c>
      <c r="AD11" s="17">
        <f t="shared" si="3"/>
        <v>0</v>
      </c>
      <c r="AE11" s="31">
        <f t="shared" si="3"/>
        <v>210</v>
      </c>
      <c r="AF11" s="31">
        <f t="shared" si="3"/>
        <v>436</v>
      </c>
    </row>
    <row r="12" spans="2:32" ht="23.1" customHeight="1">
      <c r="B12" s="23" t="s">
        <v>39</v>
      </c>
      <c r="C12" s="50">
        <v>39</v>
      </c>
      <c r="D12" s="50">
        <v>7</v>
      </c>
      <c r="E12" s="50">
        <v>2</v>
      </c>
      <c r="F12" s="50">
        <v>18</v>
      </c>
      <c r="G12" s="50">
        <v>0</v>
      </c>
      <c r="H12" s="50">
        <v>0</v>
      </c>
      <c r="I12" s="50">
        <v>8</v>
      </c>
      <c r="J12" s="50">
        <v>0</v>
      </c>
      <c r="K12" s="50">
        <v>0</v>
      </c>
      <c r="L12" s="50">
        <v>0</v>
      </c>
      <c r="M12" s="50">
        <v>33</v>
      </c>
      <c r="N12" s="50">
        <v>0</v>
      </c>
      <c r="O12" s="15">
        <f t="shared" si="0"/>
        <v>74</v>
      </c>
      <c r="P12" s="15">
        <f t="shared" si="1"/>
        <v>107</v>
      </c>
      <c r="R12" s="1" t="s">
        <v>8</v>
      </c>
      <c r="S12" s="17">
        <f t="shared" ref="S12:AF12" si="4">SUM(C18:C21)</f>
        <v>81</v>
      </c>
      <c r="T12" s="17">
        <f t="shared" si="4"/>
        <v>21</v>
      </c>
      <c r="U12" s="17">
        <f t="shared" si="4"/>
        <v>8</v>
      </c>
      <c r="V12" s="17">
        <f t="shared" si="4"/>
        <v>41</v>
      </c>
      <c r="W12" s="17">
        <f t="shared" si="4"/>
        <v>3</v>
      </c>
      <c r="X12" s="17">
        <f t="shared" si="4"/>
        <v>0</v>
      </c>
      <c r="Y12" s="17">
        <f t="shared" si="4"/>
        <v>29</v>
      </c>
      <c r="Z12" s="17">
        <f t="shared" si="4"/>
        <v>1</v>
      </c>
      <c r="AA12" s="17">
        <f t="shared" si="4"/>
        <v>0</v>
      </c>
      <c r="AB12" s="17">
        <f t="shared" si="4"/>
        <v>0</v>
      </c>
      <c r="AC12" s="17">
        <f t="shared" si="4"/>
        <v>226</v>
      </c>
      <c r="AD12" s="17">
        <f t="shared" si="4"/>
        <v>0</v>
      </c>
      <c r="AE12" s="31">
        <f t="shared" si="4"/>
        <v>184</v>
      </c>
      <c r="AF12" s="31">
        <f t="shared" si="4"/>
        <v>410</v>
      </c>
    </row>
    <row r="13" spans="2:32" ht="23.1" customHeight="1">
      <c r="B13" s="23" t="s">
        <v>40</v>
      </c>
      <c r="C13" s="50">
        <v>37</v>
      </c>
      <c r="D13" s="50">
        <v>8</v>
      </c>
      <c r="E13" s="50">
        <v>2</v>
      </c>
      <c r="F13" s="50">
        <v>25</v>
      </c>
      <c r="G13" s="50">
        <v>2</v>
      </c>
      <c r="H13" s="50">
        <v>0</v>
      </c>
      <c r="I13" s="50">
        <v>2</v>
      </c>
      <c r="J13" s="50">
        <v>0</v>
      </c>
      <c r="K13" s="50">
        <v>0</v>
      </c>
      <c r="L13" s="50">
        <v>0</v>
      </c>
      <c r="M13" s="50">
        <v>44</v>
      </c>
      <c r="N13" s="50">
        <v>0</v>
      </c>
      <c r="O13" s="15">
        <f t="shared" si="0"/>
        <v>76</v>
      </c>
      <c r="P13" s="15">
        <f t="shared" si="1"/>
        <v>120</v>
      </c>
      <c r="R13" s="1" t="s">
        <v>9</v>
      </c>
      <c r="S13" s="17">
        <f t="shared" ref="S13:AF13" si="5">SUM(C22:C25)</f>
        <v>70</v>
      </c>
      <c r="T13" s="17">
        <f t="shared" si="5"/>
        <v>17</v>
      </c>
      <c r="U13" s="17">
        <f t="shared" si="5"/>
        <v>7</v>
      </c>
      <c r="V13" s="17">
        <f t="shared" si="5"/>
        <v>45</v>
      </c>
      <c r="W13" s="17">
        <f t="shared" si="5"/>
        <v>3</v>
      </c>
      <c r="X13" s="17">
        <f t="shared" si="5"/>
        <v>0</v>
      </c>
      <c r="Y13" s="17">
        <f t="shared" si="5"/>
        <v>15</v>
      </c>
      <c r="Z13" s="17">
        <f t="shared" si="5"/>
        <v>2</v>
      </c>
      <c r="AA13" s="17">
        <f t="shared" si="5"/>
        <v>0</v>
      </c>
      <c r="AB13" s="17">
        <f t="shared" si="5"/>
        <v>0</v>
      </c>
      <c r="AC13" s="17">
        <f t="shared" si="5"/>
        <v>101</v>
      </c>
      <c r="AD13" s="17">
        <f t="shared" si="5"/>
        <v>0</v>
      </c>
      <c r="AE13" s="31">
        <f t="shared" si="5"/>
        <v>159</v>
      </c>
      <c r="AF13" s="31">
        <f t="shared" si="5"/>
        <v>260</v>
      </c>
    </row>
    <row r="14" spans="2:32" ht="23.1" customHeight="1">
      <c r="B14" s="23" t="s">
        <v>41</v>
      </c>
      <c r="C14" s="50">
        <v>36</v>
      </c>
      <c r="D14" s="50">
        <v>11</v>
      </c>
      <c r="E14" s="50">
        <v>3</v>
      </c>
      <c r="F14" s="50">
        <v>31</v>
      </c>
      <c r="G14" s="50">
        <v>1</v>
      </c>
      <c r="H14" s="50">
        <v>0</v>
      </c>
      <c r="I14" s="50">
        <v>12</v>
      </c>
      <c r="J14" s="50">
        <v>0</v>
      </c>
      <c r="K14" s="50">
        <v>0</v>
      </c>
      <c r="L14" s="50">
        <v>0</v>
      </c>
      <c r="M14" s="50">
        <v>50</v>
      </c>
      <c r="N14" s="50">
        <v>0</v>
      </c>
      <c r="O14" s="15">
        <f t="shared" si="0"/>
        <v>94</v>
      </c>
      <c r="P14" s="15">
        <f t="shared" si="1"/>
        <v>144</v>
      </c>
      <c r="R14" s="1" t="s">
        <v>10</v>
      </c>
      <c r="S14" s="17">
        <f t="shared" ref="S14:AF14" si="6">SUM(C26:C29)</f>
        <v>104</v>
      </c>
      <c r="T14" s="17">
        <f t="shared" si="6"/>
        <v>30</v>
      </c>
      <c r="U14" s="17">
        <f t="shared" si="6"/>
        <v>10</v>
      </c>
      <c r="V14" s="17">
        <f t="shared" si="6"/>
        <v>74</v>
      </c>
      <c r="W14" s="17">
        <f t="shared" si="6"/>
        <v>1</v>
      </c>
      <c r="X14" s="17">
        <f t="shared" si="6"/>
        <v>0</v>
      </c>
      <c r="Y14" s="17">
        <f t="shared" si="6"/>
        <v>15</v>
      </c>
      <c r="Z14" s="17">
        <f t="shared" si="6"/>
        <v>2</v>
      </c>
      <c r="AA14" s="17">
        <f t="shared" si="6"/>
        <v>0</v>
      </c>
      <c r="AB14" s="17">
        <f t="shared" si="6"/>
        <v>0</v>
      </c>
      <c r="AC14" s="17">
        <f t="shared" si="6"/>
        <v>143</v>
      </c>
      <c r="AD14" s="17">
        <f t="shared" si="6"/>
        <v>0</v>
      </c>
      <c r="AE14" s="31">
        <f t="shared" si="6"/>
        <v>236</v>
      </c>
      <c r="AF14" s="31">
        <f t="shared" si="6"/>
        <v>379</v>
      </c>
    </row>
    <row r="15" spans="2:32" ht="23.1" customHeight="1">
      <c r="B15" s="23" t="s">
        <v>42</v>
      </c>
      <c r="C15" s="50">
        <v>17</v>
      </c>
      <c r="D15" s="50">
        <v>2</v>
      </c>
      <c r="E15" s="50">
        <v>0</v>
      </c>
      <c r="F15" s="50">
        <v>12</v>
      </c>
      <c r="G15" s="50">
        <v>0</v>
      </c>
      <c r="H15" s="50">
        <v>0</v>
      </c>
      <c r="I15" s="50">
        <v>2</v>
      </c>
      <c r="J15" s="50">
        <v>0</v>
      </c>
      <c r="K15" s="50">
        <v>0</v>
      </c>
      <c r="L15" s="50">
        <v>0</v>
      </c>
      <c r="M15" s="50">
        <v>51</v>
      </c>
      <c r="N15" s="50">
        <v>0</v>
      </c>
      <c r="O15" s="15">
        <f t="shared" si="0"/>
        <v>33</v>
      </c>
      <c r="P15" s="15">
        <f t="shared" si="1"/>
        <v>84</v>
      </c>
      <c r="R15" s="1" t="s">
        <v>11</v>
      </c>
      <c r="S15" s="17">
        <f t="shared" ref="S15:AF15" si="7">SUM(C30:C33)</f>
        <v>133</v>
      </c>
      <c r="T15" s="17">
        <f t="shared" si="7"/>
        <v>25</v>
      </c>
      <c r="U15" s="17">
        <f t="shared" si="7"/>
        <v>10</v>
      </c>
      <c r="V15" s="17">
        <f t="shared" si="7"/>
        <v>68</v>
      </c>
      <c r="W15" s="17">
        <f t="shared" si="7"/>
        <v>0</v>
      </c>
      <c r="X15" s="17">
        <f t="shared" si="7"/>
        <v>0</v>
      </c>
      <c r="Y15" s="17">
        <f t="shared" si="7"/>
        <v>18</v>
      </c>
      <c r="Z15" s="17">
        <f t="shared" si="7"/>
        <v>3</v>
      </c>
      <c r="AA15" s="17">
        <f t="shared" si="7"/>
        <v>2</v>
      </c>
      <c r="AB15" s="17">
        <f t="shared" si="7"/>
        <v>0</v>
      </c>
      <c r="AC15" s="17">
        <f t="shared" si="7"/>
        <v>142</v>
      </c>
      <c r="AD15" s="17">
        <f t="shared" si="7"/>
        <v>0</v>
      </c>
      <c r="AE15" s="31">
        <f t="shared" si="7"/>
        <v>259</v>
      </c>
      <c r="AF15" s="31">
        <f t="shared" si="7"/>
        <v>401</v>
      </c>
    </row>
    <row r="16" spans="2:32" ht="23.1" customHeight="1">
      <c r="B16" s="23" t="s">
        <v>43</v>
      </c>
      <c r="C16" s="50">
        <v>20</v>
      </c>
      <c r="D16" s="50">
        <v>5</v>
      </c>
      <c r="E16" s="50">
        <v>4</v>
      </c>
      <c r="F16" s="50">
        <v>14</v>
      </c>
      <c r="G16" s="50">
        <v>2</v>
      </c>
      <c r="H16" s="50">
        <v>0</v>
      </c>
      <c r="I16" s="50">
        <v>5</v>
      </c>
      <c r="J16" s="50">
        <v>1</v>
      </c>
      <c r="K16" s="50">
        <v>0</v>
      </c>
      <c r="L16" s="50">
        <v>0</v>
      </c>
      <c r="M16" s="50">
        <v>55</v>
      </c>
      <c r="N16" s="50">
        <v>0</v>
      </c>
      <c r="O16" s="15">
        <f t="shared" si="0"/>
        <v>51</v>
      </c>
      <c r="P16" s="15">
        <f t="shared" si="1"/>
        <v>106</v>
      </c>
      <c r="R16" s="1" t="s">
        <v>12</v>
      </c>
      <c r="S16" s="17">
        <f t="shared" ref="S16:AF16" si="8">SUM(C34:C37)</f>
        <v>193</v>
      </c>
      <c r="T16" s="17">
        <f t="shared" si="8"/>
        <v>23</v>
      </c>
      <c r="U16" s="17">
        <f t="shared" si="8"/>
        <v>11</v>
      </c>
      <c r="V16" s="17">
        <f t="shared" si="8"/>
        <v>63</v>
      </c>
      <c r="W16" s="17">
        <f t="shared" si="8"/>
        <v>0</v>
      </c>
      <c r="X16" s="17">
        <f t="shared" si="8"/>
        <v>0</v>
      </c>
      <c r="Y16" s="17">
        <f t="shared" si="8"/>
        <v>19</v>
      </c>
      <c r="Z16" s="17">
        <f t="shared" si="8"/>
        <v>0</v>
      </c>
      <c r="AA16" s="17">
        <f t="shared" si="8"/>
        <v>0</v>
      </c>
      <c r="AB16" s="17">
        <f t="shared" si="8"/>
        <v>0</v>
      </c>
      <c r="AC16" s="17">
        <f t="shared" si="8"/>
        <v>133</v>
      </c>
      <c r="AD16" s="17">
        <f t="shared" si="8"/>
        <v>0</v>
      </c>
      <c r="AE16" s="31">
        <f t="shared" si="8"/>
        <v>309</v>
      </c>
      <c r="AF16" s="31">
        <f t="shared" si="8"/>
        <v>442</v>
      </c>
    </row>
    <row r="17" spans="2:32" ht="23.1" customHeight="1">
      <c r="B17" s="23" t="s">
        <v>44</v>
      </c>
      <c r="C17" s="50">
        <v>8</v>
      </c>
      <c r="D17" s="50">
        <v>3</v>
      </c>
      <c r="E17" s="50">
        <v>1</v>
      </c>
      <c r="F17" s="50">
        <v>10</v>
      </c>
      <c r="G17" s="50">
        <v>0</v>
      </c>
      <c r="H17" s="50">
        <v>0</v>
      </c>
      <c r="I17" s="50">
        <v>10</v>
      </c>
      <c r="J17" s="50">
        <v>0</v>
      </c>
      <c r="K17" s="50">
        <v>0</v>
      </c>
      <c r="L17" s="50">
        <v>0</v>
      </c>
      <c r="M17" s="50">
        <v>70</v>
      </c>
      <c r="N17" s="50">
        <v>0</v>
      </c>
      <c r="O17" s="15">
        <f t="shared" si="0"/>
        <v>32</v>
      </c>
      <c r="P17" s="15">
        <f t="shared" si="1"/>
        <v>102</v>
      </c>
      <c r="R17" s="1" t="s">
        <v>13</v>
      </c>
      <c r="S17" s="17">
        <f t="shared" ref="S17:AF17" si="9">SUM(C38:C41)</f>
        <v>101</v>
      </c>
      <c r="T17" s="17">
        <f t="shared" si="9"/>
        <v>26</v>
      </c>
      <c r="U17" s="17">
        <f t="shared" si="9"/>
        <v>4</v>
      </c>
      <c r="V17" s="17">
        <f t="shared" si="9"/>
        <v>43</v>
      </c>
      <c r="W17" s="17">
        <f t="shared" si="9"/>
        <v>1</v>
      </c>
      <c r="X17" s="17">
        <f t="shared" si="9"/>
        <v>0</v>
      </c>
      <c r="Y17" s="17">
        <f t="shared" si="9"/>
        <v>21</v>
      </c>
      <c r="Z17" s="17">
        <f t="shared" si="9"/>
        <v>3</v>
      </c>
      <c r="AA17" s="17">
        <f t="shared" si="9"/>
        <v>1</v>
      </c>
      <c r="AB17" s="17">
        <f t="shared" si="9"/>
        <v>1</v>
      </c>
      <c r="AC17" s="17">
        <f t="shared" si="9"/>
        <v>80</v>
      </c>
      <c r="AD17" s="17">
        <f t="shared" si="9"/>
        <v>0</v>
      </c>
      <c r="AE17" s="31">
        <f t="shared" si="9"/>
        <v>201</v>
      </c>
      <c r="AF17" s="31">
        <f t="shared" si="9"/>
        <v>281</v>
      </c>
    </row>
    <row r="18" spans="2:32" ht="23.1" customHeight="1">
      <c r="B18" s="23" t="s">
        <v>45</v>
      </c>
      <c r="C18" s="50">
        <v>36</v>
      </c>
      <c r="D18" s="50">
        <v>11</v>
      </c>
      <c r="E18" s="50">
        <v>3</v>
      </c>
      <c r="F18" s="50">
        <v>3</v>
      </c>
      <c r="G18" s="50">
        <v>1</v>
      </c>
      <c r="H18" s="50">
        <v>0</v>
      </c>
      <c r="I18" s="50">
        <v>12</v>
      </c>
      <c r="J18" s="50">
        <v>0</v>
      </c>
      <c r="K18" s="50">
        <v>0</v>
      </c>
      <c r="L18" s="50">
        <v>0</v>
      </c>
      <c r="M18" s="50">
        <v>50</v>
      </c>
      <c r="N18" s="50">
        <v>0</v>
      </c>
      <c r="O18" s="15">
        <f t="shared" si="0"/>
        <v>66</v>
      </c>
      <c r="P18" s="15">
        <f t="shared" si="1"/>
        <v>116</v>
      </c>
      <c r="R18" s="1" t="s">
        <v>14</v>
      </c>
      <c r="S18" s="17">
        <f t="shared" ref="S18:AF18" si="10">SUM(C42:C45)</f>
        <v>292</v>
      </c>
      <c r="T18" s="17">
        <f t="shared" si="10"/>
        <v>31</v>
      </c>
      <c r="U18" s="17">
        <f t="shared" si="10"/>
        <v>18</v>
      </c>
      <c r="V18" s="17">
        <f t="shared" si="10"/>
        <v>49</v>
      </c>
      <c r="W18" s="17">
        <f t="shared" si="10"/>
        <v>2</v>
      </c>
      <c r="X18" s="17">
        <f t="shared" si="10"/>
        <v>0</v>
      </c>
      <c r="Y18" s="17">
        <f t="shared" si="10"/>
        <v>20</v>
      </c>
      <c r="Z18" s="17">
        <f t="shared" si="10"/>
        <v>6</v>
      </c>
      <c r="AA18" s="17">
        <f t="shared" si="10"/>
        <v>1</v>
      </c>
      <c r="AB18" s="17">
        <f t="shared" si="10"/>
        <v>0</v>
      </c>
      <c r="AC18" s="17">
        <f t="shared" si="10"/>
        <v>133</v>
      </c>
      <c r="AD18" s="17">
        <f t="shared" si="10"/>
        <v>0</v>
      </c>
      <c r="AE18" s="31">
        <f t="shared" si="10"/>
        <v>419</v>
      </c>
      <c r="AF18" s="31">
        <f t="shared" si="10"/>
        <v>552</v>
      </c>
    </row>
    <row r="19" spans="2:32" ht="23.1" customHeight="1">
      <c r="B19" s="23" t="s">
        <v>46</v>
      </c>
      <c r="C19" s="50">
        <v>17</v>
      </c>
      <c r="D19" s="50">
        <v>2</v>
      </c>
      <c r="E19" s="50">
        <v>0</v>
      </c>
      <c r="F19" s="50">
        <v>12</v>
      </c>
      <c r="G19" s="50">
        <v>0</v>
      </c>
      <c r="H19" s="50">
        <v>0</v>
      </c>
      <c r="I19" s="50">
        <v>2</v>
      </c>
      <c r="J19" s="50">
        <v>0</v>
      </c>
      <c r="K19" s="50">
        <v>0</v>
      </c>
      <c r="L19" s="50">
        <v>0</v>
      </c>
      <c r="M19" s="50">
        <v>51</v>
      </c>
      <c r="N19" s="50">
        <v>0</v>
      </c>
      <c r="O19" s="15">
        <f t="shared" si="0"/>
        <v>33</v>
      </c>
      <c r="P19" s="15">
        <f t="shared" si="1"/>
        <v>84</v>
      </c>
      <c r="R19" s="1" t="s">
        <v>15</v>
      </c>
      <c r="S19" s="17">
        <f t="shared" ref="S19:AF19" si="11">SUM(C46:C49)</f>
        <v>458</v>
      </c>
      <c r="T19" s="17">
        <f t="shared" si="11"/>
        <v>63</v>
      </c>
      <c r="U19" s="17">
        <f t="shared" si="11"/>
        <v>11</v>
      </c>
      <c r="V19" s="17">
        <f t="shared" si="11"/>
        <v>42</v>
      </c>
      <c r="W19" s="17">
        <f t="shared" si="11"/>
        <v>0</v>
      </c>
      <c r="X19" s="17">
        <f t="shared" si="11"/>
        <v>0</v>
      </c>
      <c r="Y19" s="17">
        <f t="shared" si="11"/>
        <v>8</v>
      </c>
      <c r="Z19" s="17">
        <f t="shared" si="11"/>
        <v>2</v>
      </c>
      <c r="AA19" s="17">
        <f t="shared" si="11"/>
        <v>2</v>
      </c>
      <c r="AB19" s="17">
        <f t="shared" si="11"/>
        <v>0</v>
      </c>
      <c r="AC19" s="17">
        <f t="shared" si="11"/>
        <v>192</v>
      </c>
      <c r="AD19" s="17">
        <f t="shared" si="11"/>
        <v>0</v>
      </c>
      <c r="AE19" s="31">
        <f t="shared" si="11"/>
        <v>586</v>
      </c>
      <c r="AF19" s="31">
        <f t="shared" si="11"/>
        <v>778</v>
      </c>
    </row>
    <row r="20" spans="2:32" ht="23.1" customHeight="1">
      <c r="B20" s="23" t="s">
        <v>47</v>
      </c>
      <c r="C20" s="50">
        <v>20</v>
      </c>
      <c r="D20" s="50">
        <v>5</v>
      </c>
      <c r="E20" s="50">
        <v>4</v>
      </c>
      <c r="F20" s="50">
        <v>14</v>
      </c>
      <c r="G20" s="50">
        <v>2</v>
      </c>
      <c r="H20" s="50">
        <v>0</v>
      </c>
      <c r="I20" s="50">
        <v>5</v>
      </c>
      <c r="J20" s="50">
        <v>1</v>
      </c>
      <c r="K20" s="50">
        <v>0</v>
      </c>
      <c r="L20" s="50">
        <v>0</v>
      </c>
      <c r="M20" s="50">
        <v>55</v>
      </c>
      <c r="N20" s="50">
        <v>0</v>
      </c>
      <c r="O20" s="15">
        <f t="shared" si="0"/>
        <v>51</v>
      </c>
      <c r="P20" s="15">
        <f t="shared" si="1"/>
        <v>106</v>
      </c>
      <c r="R20" s="1" t="s">
        <v>16</v>
      </c>
      <c r="S20" s="17">
        <f t="shared" ref="S20:AF20" si="12">SUM(C50:C53)</f>
        <v>490</v>
      </c>
      <c r="T20" s="17">
        <f t="shared" si="12"/>
        <v>64</v>
      </c>
      <c r="U20" s="17">
        <f t="shared" si="12"/>
        <v>44</v>
      </c>
      <c r="V20" s="17">
        <f t="shared" si="12"/>
        <v>48</v>
      </c>
      <c r="W20" s="17">
        <f t="shared" si="12"/>
        <v>1</v>
      </c>
      <c r="X20" s="17">
        <f t="shared" si="12"/>
        <v>1</v>
      </c>
      <c r="Y20" s="17">
        <f t="shared" si="12"/>
        <v>19</v>
      </c>
      <c r="Z20" s="17">
        <f t="shared" si="12"/>
        <v>1</v>
      </c>
      <c r="AA20" s="17">
        <f t="shared" si="12"/>
        <v>0</v>
      </c>
      <c r="AB20" s="17">
        <f t="shared" si="12"/>
        <v>0</v>
      </c>
      <c r="AC20" s="17">
        <f t="shared" si="12"/>
        <v>284</v>
      </c>
      <c r="AD20" s="17">
        <f t="shared" si="12"/>
        <v>0</v>
      </c>
      <c r="AE20" s="31">
        <f t="shared" si="12"/>
        <v>668</v>
      </c>
      <c r="AF20" s="31">
        <f t="shared" si="12"/>
        <v>952</v>
      </c>
    </row>
    <row r="21" spans="2:32" ht="23.1" customHeight="1">
      <c r="B21" s="23" t="s">
        <v>48</v>
      </c>
      <c r="C21" s="50">
        <v>8</v>
      </c>
      <c r="D21" s="50">
        <v>3</v>
      </c>
      <c r="E21" s="50">
        <v>1</v>
      </c>
      <c r="F21" s="50">
        <v>12</v>
      </c>
      <c r="G21" s="50">
        <v>0</v>
      </c>
      <c r="H21" s="50">
        <v>0</v>
      </c>
      <c r="I21" s="50">
        <v>10</v>
      </c>
      <c r="J21" s="50">
        <v>0</v>
      </c>
      <c r="K21" s="50">
        <v>0</v>
      </c>
      <c r="L21" s="50">
        <v>0</v>
      </c>
      <c r="M21" s="50">
        <v>70</v>
      </c>
      <c r="N21" s="50">
        <v>0</v>
      </c>
      <c r="O21" s="15">
        <f t="shared" si="0"/>
        <v>34</v>
      </c>
      <c r="P21" s="15">
        <f t="shared" si="1"/>
        <v>104</v>
      </c>
      <c r="R21" s="36" t="s">
        <v>20</v>
      </c>
      <c r="S21" s="34">
        <f t="shared" ref="S21:AF21" si="13">SUM(C54:C57)</f>
        <v>575</v>
      </c>
      <c r="T21" s="17">
        <f t="shared" si="13"/>
        <v>98</v>
      </c>
      <c r="U21" s="17">
        <f t="shared" si="13"/>
        <v>32</v>
      </c>
      <c r="V21" s="17">
        <f t="shared" si="13"/>
        <v>75</v>
      </c>
      <c r="W21" s="17">
        <f t="shared" si="13"/>
        <v>4</v>
      </c>
      <c r="X21" s="17">
        <f t="shared" si="13"/>
        <v>0</v>
      </c>
      <c r="Y21" s="17">
        <f t="shared" si="13"/>
        <v>14</v>
      </c>
      <c r="Z21" s="17">
        <f t="shared" si="13"/>
        <v>0</v>
      </c>
      <c r="AA21" s="17">
        <f t="shared" si="13"/>
        <v>0</v>
      </c>
      <c r="AB21" s="17">
        <f t="shared" si="13"/>
        <v>0</v>
      </c>
      <c r="AC21" s="17">
        <f t="shared" si="13"/>
        <v>324</v>
      </c>
      <c r="AD21" s="17">
        <f t="shared" si="13"/>
        <v>0</v>
      </c>
      <c r="AE21" s="31">
        <f t="shared" si="13"/>
        <v>798</v>
      </c>
      <c r="AF21" s="31">
        <f t="shared" si="13"/>
        <v>1122</v>
      </c>
    </row>
    <row r="22" spans="2:32" ht="23.1" customHeight="1">
      <c r="B22" s="23" t="s">
        <v>49</v>
      </c>
      <c r="C22" s="50">
        <v>23</v>
      </c>
      <c r="D22" s="50">
        <v>4</v>
      </c>
      <c r="E22" s="50">
        <v>2</v>
      </c>
      <c r="F22" s="50">
        <v>13</v>
      </c>
      <c r="G22" s="50">
        <v>0</v>
      </c>
      <c r="H22" s="50">
        <v>0</v>
      </c>
      <c r="I22" s="50">
        <v>2</v>
      </c>
      <c r="J22" s="50">
        <v>1</v>
      </c>
      <c r="K22" s="50">
        <v>0</v>
      </c>
      <c r="L22" s="50">
        <v>0</v>
      </c>
      <c r="M22" s="50">
        <v>30</v>
      </c>
      <c r="N22" s="50">
        <v>0</v>
      </c>
      <c r="O22" s="15">
        <f t="shared" si="0"/>
        <v>45</v>
      </c>
      <c r="P22" s="15">
        <f t="shared" si="1"/>
        <v>75</v>
      </c>
      <c r="R22" s="38" t="s">
        <v>90</v>
      </c>
      <c r="S22" s="39">
        <f>MAX(S10:S12)</f>
        <v>130</v>
      </c>
      <c r="T22" s="39">
        <f t="shared" ref="T22:AF22" si="14">MAX(T10:T12)</f>
        <v>29</v>
      </c>
      <c r="U22" s="39">
        <f t="shared" si="14"/>
        <v>10</v>
      </c>
      <c r="V22" s="39">
        <f t="shared" si="14"/>
        <v>68</v>
      </c>
      <c r="W22" s="39">
        <f t="shared" si="14"/>
        <v>5</v>
      </c>
      <c r="X22" s="39">
        <f t="shared" si="14"/>
        <v>0</v>
      </c>
      <c r="Y22" s="39">
        <f t="shared" si="14"/>
        <v>29</v>
      </c>
      <c r="Z22" s="39">
        <f t="shared" si="14"/>
        <v>1</v>
      </c>
      <c r="AA22" s="39">
        <f t="shared" si="14"/>
        <v>0</v>
      </c>
      <c r="AB22" s="39">
        <f t="shared" si="14"/>
        <v>0</v>
      </c>
      <c r="AC22" s="39">
        <f t="shared" si="14"/>
        <v>226</v>
      </c>
      <c r="AD22" s="39">
        <f t="shared" si="14"/>
        <v>0</v>
      </c>
      <c r="AE22" s="40">
        <f t="shared" si="14"/>
        <v>266</v>
      </c>
      <c r="AF22" s="40">
        <f t="shared" si="14"/>
        <v>436</v>
      </c>
    </row>
    <row r="23" spans="2:32" ht="23.1" customHeight="1">
      <c r="B23" s="23" t="s">
        <v>50</v>
      </c>
      <c r="C23" s="50">
        <v>15</v>
      </c>
      <c r="D23" s="50">
        <v>3</v>
      </c>
      <c r="E23" s="50">
        <v>1</v>
      </c>
      <c r="F23" s="50">
        <v>6</v>
      </c>
      <c r="G23" s="50">
        <v>1</v>
      </c>
      <c r="H23" s="50">
        <v>0</v>
      </c>
      <c r="I23" s="50">
        <v>6</v>
      </c>
      <c r="J23" s="50">
        <v>0</v>
      </c>
      <c r="K23" s="50">
        <v>0</v>
      </c>
      <c r="L23" s="50">
        <v>0</v>
      </c>
      <c r="M23" s="50">
        <v>20</v>
      </c>
      <c r="N23" s="50">
        <v>0</v>
      </c>
      <c r="O23" s="15">
        <f t="shared" si="0"/>
        <v>32</v>
      </c>
      <c r="P23" s="15">
        <f t="shared" si="1"/>
        <v>52</v>
      </c>
      <c r="R23" s="38" t="s">
        <v>91</v>
      </c>
      <c r="S23" s="39">
        <f>MAX(S13:S18)</f>
        <v>292</v>
      </c>
      <c r="T23" s="39">
        <f t="shared" ref="T23:AF23" si="15">MAX(T13:T18)</f>
        <v>31</v>
      </c>
      <c r="U23" s="39">
        <f t="shared" si="15"/>
        <v>18</v>
      </c>
      <c r="V23" s="39">
        <f t="shared" si="15"/>
        <v>74</v>
      </c>
      <c r="W23" s="39">
        <f t="shared" si="15"/>
        <v>3</v>
      </c>
      <c r="X23" s="39">
        <f t="shared" si="15"/>
        <v>0</v>
      </c>
      <c r="Y23" s="39">
        <f t="shared" si="15"/>
        <v>21</v>
      </c>
      <c r="Z23" s="39">
        <f t="shared" si="15"/>
        <v>6</v>
      </c>
      <c r="AA23" s="39">
        <f t="shared" si="15"/>
        <v>2</v>
      </c>
      <c r="AB23" s="39">
        <f t="shared" si="15"/>
        <v>1</v>
      </c>
      <c r="AC23" s="39">
        <f t="shared" si="15"/>
        <v>143</v>
      </c>
      <c r="AD23" s="39">
        <f t="shared" si="15"/>
        <v>0</v>
      </c>
      <c r="AE23" s="40">
        <f t="shared" si="15"/>
        <v>419</v>
      </c>
      <c r="AF23" s="40">
        <f t="shared" si="15"/>
        <v>552</v>
      </c>
    </row>
    <row r="24" spans="2:32" ht="23.1" customHeight="1">
      <c r="B24" s="23" t="s">
        <v>51</v>
      </c>
      <c r="C24" s="50">
        <v>17</v>
      </c>
      <c r="D24" s="50">
        <v>4</v>
      </c>
      <c r="E24" s="50">
        <v>0</v>
      </c>
      <c r="F24" s="50">
        <v>15</v>
      </c>
      <c r="G24" s="50">
        <v>0</v>
      </c>
      <c r="H24" s="50">
        <v>0</v>
      </c>
      <c r="I24" s="50">
        <v>4</v>
      </c>
      <c r="J24" s="50">
        <v>1</v>
      </c>
      <c r="K24" s="50">
        <v>0</v>
      </c>
      <c r="L24" s="50">
        <v>0</v>
      </c>
      <c r="M24" s="50">
        <v>33</v>
      </c>
      <c r="N24" s="50">
        <v>0</v>
      </c>
      <c r="O24" s="15">
        <f t="shared" si="0"/>
        <v>41</v>
      </c>
      <c r="P24" s="15">
        <f t="shared" si="1"/>
        <v>74</v>
      </c>
      <c r="R24" s="38" t="s">
        <v>92</v>
      </c>
      <c r="S24" s="39">
        <f>MAX(S19:S21)</f>
        <v>575</v>
      </c>
      <c r="T24" s="39">
        <f t="shared" ref="T24:AF24" si="16">MAX(T19:T21)</f>
        <v>98</v>
      </c>
      <c r="U24" s="39">
        <f t="shared" si="16"/>
        <v>44</v>
      </c>
      <c r="V24" s="39">
        <f t="shared" si="16"/>
        <v>75</v>
      </c>
      <c r="W24" s="39">
        <f t="shared" si="16"/>
        <v>4</v>
      </c>
      <c r="X24" s="39">
        <f t="shared" si="16"/>
        <v>1</v>
      </c>
      <c r="Y24" s="39">
        <f t="shared" si="16"/>
        <v>19</v>
      </c>
      <c r="Z24" s="39">
        <f t="shared" si="16"/>
        <v>2</v>
      </c>
      <c r="AA24" s="39">
        <f t="shared" si="16"/>
        <v>2</v>
      </c>
      <c r="AB24" s="39">
        <f t="shared" si="16"/>
        <v>0</v>
      </c>
      <c r="AC24" s="39">
        <f t="shared" si="16"/>
        <v>324</v>
      </c>
      <c r="AD24" s="39">
        <f t="shared" si="16"/>
        <v>0</v>
      </c>
      <c r="AE24" s="40">
        <f t="shared" si="16"/>
        <v>798</v>
      </c>
      <c r="AF24" s="40">
        <f t="shared" si="16"/>
        <v>1122</v>
      </c>
    </row>
    <row r="25" spans="2:32" ht="23.1" customHeight="1">
      <c r="B25" s="23" t="s">
        <v>52</v>
      </c>
      <c r="C25" s="50">
        <v>15</v>
      </c>
      <c r="D25" s="50">
        <v>6</v>
      </c>
      <c r="E25" s="50">
        <v>4</v>
      </c>
      <c r="F25" s="50">
        <v>11</v>
      </c>
      <c r="G25" s="50">
        <v>2</v>
      </c>
      <c r="H25" s="50">
        <v>0</v>
      </c>
      <c r="I25" s="50">
        <v>3</v>
      </c>
      <c r="J25" s="50">
        <v>0</v>
      </c>
      <c r="K25" s="50">
        <v>0</v>
      </c>
      <c r="L25" s="50">
        <v>0</v>
      </c>
      <c r="M25" s="50">
        <v>18</v>
      </c>
      <c r="N25" s="50">
        <v>0</v>
      </c>
      <c r="O25" s="15">
        <f t="shared" si="0"/>
        <v>41</v>
      </c>
      <c r="P25" s="15">
        <f t="shared" si="1"/>
        <v>59</v>
      </c>
      <c r="R25" s="37" t="s">
        <v>85</v>
      </c>
      <c r="S25" s="35">
        <f t="shared" ref="S25:AF25" si="17">SUM(S10:S12)</f>
        <v>292</v>
      </c>
      <c r="T25" s="16">
        <f t="shared" si="17"/>
        <v>71</v>
      </c>
      <c r="U25" s="16">
        <f t="shared" si="17"/>
        <v>26</v>
      </c>
      <c r="V25" s="16">
        <f t="shared" si="17"/>
        <v>176</v>
      </c>
      <c r="W25" s="16">
        <f t="shared" si="17"/>
        <v>11</v>
      </c>
      <c r="X25" s="16">
        <f t="shared" si="17"/>
        <v>0</v>
      </c>
      <c r="Y25" s="16">
        <f t="shared" si="17"/>
        <v>82</v>
      </c>
      <c r="Z25" s="16">
        <f t="shared" si="17"/>
        <v>2</v>
      </c>
      <c r="AA25" s="16">
        <f t="shared" si="17"/>
        <v>0</v>
      </c>
      <c r="AB25" s="16">
        <f t="shared" si="17"/>
        <v>0</v>
      </c>
      <c r="AC25" s="16">
        <f t="shared" si="17"/>
        <v>602</v>
      </c>
      <c r="AD25" s="16">
        <f t="shared" si="17"/>
        <v>0</v>
      </c>
      <c r="AE25" s="32">
        <f t="shared" si="17"/>
        <v>660</v>
      </c>
      <c r="AF25" s="32">
        <f t="shared" si="17"/>
        <v>1262</v>
      </c>
    </row>
    <row r="26" spans="2:32" ht="23.1" customHeight="1">
      <c r="B26" s="23" t="s">
        <v>53</v>
      </c>
      <c r="C26" s="50">
        <v>15</v>
      </c>
      <c r="D26" s="50">
        <v>3</v>
      </c>
      <c r="E26" s="50">
        <v>3</v>
      </c>
      <c r="F26" s="50">
        <v>12</v>
      </c>
      <c r="G26" s="50">
        <v>1</v>
      </c>
      <c r="H26" s="50">
        <v>0</v>
      </c>
      <c r="I26" s="50">
        <v>4</v>
      </c>
      <c r="J26" s="50">
        <v>0</v>
      </c>
      <c r="K26" s="50">
        <v>0</v>
      </c>
      <c r="L26" s="50">
        <v>0</v>
      </c>
      <c r="M26" s="50">
        <v>23</v>
      </c>
      <c r="N26" s="50">
        <v>0</v>
      </c>
      <c r="O26" s="15">
        <f t="shared" si="0"/>
        <v>38</v>
      </c>
      <c r="P26" s="15">
        <f t="shared" si="1"/>
        <v>61</v>
      </c>
      <c r="R26" s="28" t="s">
        <v>86</v>
      </c>
      <c r="S26" s="16">
        <f t="shared" ref="S26:AF26" si="18">SUM(S13:S18)</f>
        <v>893</v>
      </c>
      <c r="T26" s="16">
        <f t="shared" si="18"/>
        <v>152</v>
      </c>
      <c r="U26" s="16">
        <f t="shared" si="18"/>
        <v>60</v>
      </c>
      <c r="V26" s="16">
        <f t="shared" si="18"/>
        <v>342</v>
      </c>
      <c r="W26" s="16">
        <f t="shared" si="18"/>
        <v>7</v>
      </c>
      <c r="X26" s="16">
        <f t="shared" si="18"/>
        <v>0</v>
      </c>
      <c r="Y26" s="16">
        <f t="shared" si="18"/>
        <v>108</v>
      </c>
      <c r="Z26" s="16">
        <f t="shared" si="18"/>
        <v>16</v>
      </c>
      <c r="AA26" s="16">
        <f t="shared" si="18"/>
        <v>4</v>
      </c>
      <c r="AB26" s="16">
        <f t="shared" si="18"/>
        <v>1</v>
      </c>
      <c r="AC26" s="16">
        <f t="shared" si="18"/>
        <v>732</v>
      </c>
      <c r="AD26" s="16">
        <f t="shared" si="18"/>
        <v>0</v>
      </c>
      <c r="AE26" s="32">
        <f t="shared" si="18"/>
        <v>1583</v>
      </c>
      <c r="AF26" s="32">
        <f t="shared" si="18"/>
        <v>2315</v>
      </c>
    </row>
    <row r="27" spans="2:32" ht="23.1" customHeight="1">
      <c r="B27" s="23" t="s">
        <v>54</v>
      </c>
      <c r="C27" s="50">
        <v>26</v>
      </c>
      <c r="D27" s="50">
        <v>5</v>
      </c>
      <c r="E27" s="50">
        <v>0</v>
      </c>
      <c r="F27" s="50">
        <v>13</v>
      </c>
      <c r="G27" s="50">
        <v>0</v>
      </c>
      <c r="H27" s="50">
        <v>0</v>
      </c>
      <c r="I27" s="50">
        <v>6</v>
      </c>
      <c r="J27" s="50">
        <v>0</v>
      </c>
      <c r="K27" s="50">
        <v>0</v>
      </c>
      <c r="L27" s="50">
        <v>0</v>
      </c>
      <c r="M27" s="50">
        <v>45</v>
      </c>
      <c r="N27" s="50">
        <v>0</v>
      </c>
      <c r="O27" s="15">
        <f t="shared" si="0"/>
        <v>50</v>
      </c>
      <c r="P27" s="15">
        <f t="shared" si="1"/>
        <v>95</v>
      </c>
      <c r="R27" s="29" t="s">
        <v>87</v>
      </c>
      <c r="S27" s="16">
        <f t="shared" ref="S27:AF27" si="19">SUM(S19:S21)</f>
        <v>1523</v>
      </c>
      <c r="T27" s="16">
        <f t="shared" si="19"/>
        <v>225</v>
      </c>
      <c r="U27" s="16">
        <f t="shared" si="19"/>
        <v>87</v>
      </c>
      <c r="V27" s="16">
        <f t="shared" si="19"/>
        <v>165</v>
      </c>
      <c r="W27" s="16">
        <f t="shared" si="19"/>
        <v>5</v>
      </c>
      <c r="X27" s="16">
        <f t="shared" si="19"/>
        <v>1</v>
      </c>
      <c r="Y27" s="16">
        <f t="shared" si="19"/>
        <v>41</v>
      </c>
      <c r="Z27" s="16">
        <f t="shared" si="19"/>
        <v>3</v>
      </c>
      <c r="AA27" s="16">
        <f t="shared" si="19"/>
        <v>2</v>
      </c>
      <c r="AB27" s="16">
        <f t="shared" si="19"/>
        <v>0</v>
      </c>
      <c r="AC27" s="16">
        <f t="shared" si="19"/>
        <v>800</v>
      </c>
      <c r="AD27" s="16">
        <f t="shared" si="19"/>
        <v>0</v>
      </c>
      <c r="AE27" s="32">
        <f t="shared" si="19"/>
        <v>2052</v>
      </c>
      <c r="AF27" s="32">
        <f t="shared" si="19"/>
        <v>2852</v>
      </c>
    </row>
    <row r="28" spans="2:32" ht="23.1" customHeight="1">
      <c r="B28" s="23" t="s">
        <v>55</v>
      </c>
      <c r="C28" s="50">
        <v>38</v>
      </c>
      <c r="D28" s="50">
        <v>15</v>
      </c>
      <c r="E28" s="50">
        <v>3</v>
      </c>
      <c r="F28" s="50">
        <v>25</v>
      </c>
      <c r="G28" s="50">
        <v>0</v>
      </c>
      <c r="H28" s="50">
        <v>0</v>
      </c>
      <c r="I28" s="50">
        <v>3</v>
      </c>
      <c r="J28" s="50">
        <v>0</v>
      </c>
      <c r="K28" s="50">
        <v>0</v>
      </c>
      <c r="L28" s="50">
        <v>0</v>
      </c>
      <c r="M28" s="50">
        <v>45</v>
      </c>
      <c r="N28" s="50">
        <v>0</v>
      </c>
      <c r="O28" s="15">
        <f t="shared" si="0"/>
        <v>84</v>
      </c>
      <c r="P28" s="15">
        <f t="shared" si="1"/>
        <v>129</v>
      </c>
      <c r="R28" s="5" t="s">
        <v>17</v>
      </c>
      <c r="S28" s="16">
        <f t="shared" ref="S28:AF28" si="20">SUM(S10:S21)</f>
        <v>2708</v>
      </c>
      <c r="T28" s="16">
        <f t="shared" si="20"/>
        <v>448</v>
      </c>
      <c r="U28" s="16">
        <f t="shared" si="20"/>
        <v>173</v>
      </c>
      <c r="V28" s="16">
        <f t="shared" si="20"/>
        <v>683</v>
      </c>
      <c r="W28" s="16">
        <f t="shared" si="20"/>
        <v>23</v>
      </c>
      <c r="X28" s="16">
        <f t="shared" si="20"/>
        <v>1</v>
      </c>
      <c r="Y28" s="16">
        <f t="shared" si="20"/>
        <v>231</v>
      </c>
      <c r="Z28" s="16">
        <f t="shared" si="20"/>
        <v>21</v>
      </c>
      <c r="AA28" s="16">
        <f t="shared" si="20"/>
        <v>6</v>
      </c>
      <c r="AB28" s="16">
        <f t="shared" si="20"/>
        <v>1</v>
      </c>
      <c r="AC28" s="16">
        <f t="shared" si="20"/>
        <v>2134</v>
      </c>
      <c r="AD28" s="16">
        <f t="shared" si="20"/>
        <v>0</v>
      </c>
      <c r="AE28" s="32">
        <f t="shared" si="20"/>
        <v>4295</v>
      </c>
      <c r="AF28" s="32">
        <f t="shared" si="20"/>
        <v>6429</v>
      </c>
    </row>
    <row r="29" spans="2:32" ht="23.1" customHeight="1">
      <c r="B29" s="23" t="s">
        <v>56</v>
      </c>
      <c r="C29" s="50">
        <v>25</v>
      </c>
      <c r="D29" s="50">
        <v>7</v>
      </c>
      <c r="E29" s="50">
        <v>4</v>
      </c>
      <c r="F29" s="50">
        <v>24</v>
      </c>
      <c r="G29" s="50">
        <v>0</v>
      </c>
      <c r="H29" s="50">
        <v>0</v>
      </c>
      <c r="I29" s="50">
        <v>2</v>
      </c>
      <c r="J29" s="50">
        <v>2</v>
      </c>
      <c r="K29" s="50">
        <v>0</v>
      </c>
      <c r="L29" s="50">
        <v>0</v>
      </c>
      <c r="M29" s="50">
        <v>30</v>
      </c>
      <c r="N29" s="50">
        <v>0</v>
      </c>
      <c r="O29" s="15">
        <f t="shared" si="0"/>
        <v>64</v>
      </c>
      <c r="P29" s="15">
        <f t="shared" si="1"/>
        <v>94</v>
      </c>
      <c r="R29"/>
      <c r="S29" s="20"/>
      <c r="T29" s="19"/>
    </row>
    <row r="30" spans="2:32" ht="23.1" customHeight="1">
      <c r="B30" s="23" t="s">
        <v>57</v>
      </c>
      <c r="C30" s="50">
        <v>35</v>
      </c>
      <c r="D30" s="50">
        <v>4</v>
      </c>
      <c r="E30" s="50">
        <v>2</v>
      </c>
      <c r="F30" s="50">
        <v>26</v>
      </c>
      <c r="G30" s="50">
        <v>0</v>
      </c>
      <c r="H30" s="50">
        <v>0</v>
      </c>
      <c r="I30" s="50">
        <v>7</v>
      </c>
      <c r="J30" s="50">
        <v>1</v>
      </c>
      <c r="K30" s="50">
        <v>2</v>
      </c>
      <c r="L30" s="50">
        <v>0</v>
      </c>
      <c r="M30" s="50">
        <v>60</v>
      </c>
      <c r="N30" s="50">
        <v>0</v>
      </c>
      <c r="O30" s="15">
        <f t="shared" si="0"/>
        <v>77</v>
      </c>
      <c r="P30" s="15">
        <f t="shared" si="1"/>
        <v>137</v>
      </c>
    </row>
    <row r="31" spans="2:32" ht="23.1" customHeight="1">
      <c r="B31" s="24" t="s">
        <v>58</v>
      </c>
      <c r="C31" s="50">
        <v>35</v>
      </c>
      <c r="D31" s="50">
        <v>5</v>
      </c>
      <c r="E31" s="50">
        <v>4</v>
      </c>
      <c r="F31" s="50">
        <v>20</v>
      </c>
      <c r="G31" s="50">
        <v>0</v>
      </c>
      <c r="H31" s="50">
        <v>0</v>
      </c>
      <c r="I31" s="50">
        <v>3</v>
      </c>
      <c r="J31" s="50">
        <v>0</v>
      </c>
      <c r="K31" s="50">
        <v>0</v>
      </c>
      <c r="L31" s="50">
        <v>0</v>
      </c>
      <c r="M31" s="50">
        <v>22</v>
      </c>
      <c r="N31" s="50">
        <v>0</v>
      </c>
      <c r="O31" s="15">
        <f t="shared" si="0"/>
        <v>67</v>
      </c>
      <c r="P31" s="15">
        <f t="shared" si="1"/>
        <v>89</v>
      </c>
    </row>
    <row r="32" spans="2:32" ht="23.1" customHeight="1">
      <c r="B32" s="24" t="s">
        <v>59</v>
      </c>
      <c r="C32" s="50">
        <v>33</v>
      </c>
      <c r="D32" s="50">
        <v>7</v>
      </c>
      <c r="E32" s="50">
        <v>0</v>
      </c>
      <c r="F32" s="50">
        <v>15</v>
      </c>
      <c r="G32" s="50">
        <v>0</v>
      </c>
      <c r="H32" s="50">
        <v>0</v>
      </c>
      <c r="I32" s="50">
        <v>4</v>
      </c>
      <c r="J32" s="50">
        <v>0</v>
      </c>
      <c r="K32" s="50">
        <v>0</v>
      </c>
      <c r="L32" s="50">
        <v>0</v>
      </c>
      <c r="M32" s="50">
        <v>35</v>
      </c>
      <c r="N32" s="50">
        <v>0</v>
      </c>
      <c r="O32" s="15">
        <f t="shared" si="0"/>
        <v>59</v>
      </c>
      <c r="P32" s="15">
        <f t="shared" si="1"/>
        <v>94</v>
      </c>
    </row>
    <row r="33" spans="2:20" ht="23.1" customHeight="1">
      <c r="B33" s="23" t="s">
        <v>60</v>
      </c>
      <c r="C33" s="50">
        <v>30</v>
      </c>
      <c r="D33" s="50">
        <v>9</v>
      </c>
      <c r="E33" s="50">
        <v>4</v>
      </c>
      <c r="F33" s="50">
        <v>7</v>
      </c>
      <c r="G33" s="50">
        <v>0</v>
      </c>
      <c r="H33" s="50">
        <v>0</v>
      </c>
      <c r="I33" s="50">
        <v>4</v>
      </c>
      <c r="J33" s="50">
        <v>2</v>
      </c>
      <c r="K33" s="50">
        <v>0</v>
      </c>
      <c r="L33" s="50">
        <v>0</v>
      </c>
      <c r="M33" s="50">
        <v>25</v>
      </c>
      <c r="N33" s="50">
        <v>0</v>
      </c>
      <c r="O33" s="15">
        <f t="shared" si="0"/>
        <v>56</v>
      </c>
      <c r="P33" s="15">
        <f t="shared" si="1"/>
        <v>81</v>
      </c>
    </row>
    <row r="34" spans="2:20" ht="23.1" customHeight="1">
      <c r="B34" s="24" t="s">
        <v>61</v>
      </c>
      <c r="C34" s="50">
        <v>37</v>
      </c>
      <c r="D34" s="50">
        <v>4</v>
      </c>
      <c r="E34" s="50">
        <v>1</v>
      </c>
      <c r="F34" s="50">
        <v>10</v>
      </c>
      <c r="G34" s="50">
        <v>0</v>
      </c>
      <c r="H34" s="50">
        <v>0</v>
      </c>
      <c r="I34" s="50">
        <v>6</v>
      </c>
      <c r="J34" s="50">
        <v>0</v>
      </c>
      <c r="K34" s="50">
        <v>0</v>
      </c>
      <c r="L34" s="50">
        <v>0</v>
      </c>
      <c r="M34" s="50">
        <v>35</v>
      </c>
      <c r="N34" s="50">
        <v>0</v>
      </c>
      <c r="O34" s="15">
        <f t="shared" si="0"/>
        <v>58</v>
      </c>
      <c r="P34" s="15">
        <f t="shared" si="1"/>
        <v>93</v>
      </c>
    </row>
    <row r="35" spans="2:20" ht="23.1" customHeight="1">
      <c r="B35" s="24" t="s">
        <v>62</v>
      </c>
      <c r="C35" s="50">
        <v>46</v>
      </c>
      <c r="D35" s="50">
        <v>8</v>
      </c>
      <c r="E35" s="50">
        <v>2</v>
      </c>
      <c r="F35" s="50">
        <v>19</v>
      </c>
      <c r="G35" s="50">
        <v>0</v>
      </c>
      <c r="H35" s="50">
        <v>0</v>
      </c>
      <c r="I35" s="50">
        <v>6</v>
      </c>
      <c r="J35" s="50">
        <v>0</v>
      </c>
      <c r="K35" s="50">
        <v>0</v>
      </c>
      <c r="L35" s="50">
        <v>0</v>
      </c>
      <c r="M35" s="50">
        <v>42</v>
      </c>
      <c r="N35" s="50">
        <v>0</v>
      </c>
      <c r="O35" s="15">
        <f t="shared" si="0"/>
        <v>81</v>
      </c>
      <c r="P35" s="15">
        <f t="shared" si="1"/>
        <v>123</v>
      </c>
    </row>
    <row r="36" spans="2:20" ht="23.1" customHeight="1">
      <c r="B36" s="24" t="s">
        <v>63</v>
      </c>
      <c r="C36" s="50">
        <v>50</v>
      </c>
      <c r="D36" s="50">
        <v>5</v>
      </c>
      <c r="E36" s="50">
        <v>2</v>
      </c>
      <c r="F36" s="50">
        <v>19</v>
      </c>
      <c r="G36" s="50">
        <v>0</v>
      </c>
      <c r="H36" s="50">
        <v>0</v>
      </c>
      <c r="I36" s="50">
        <v>2</v>
      </c>
      <c r="J36" s="50">
        <v>0</v>
      </c>
      <c r="K36" s="50">
        <v>0</v>
      </c>
      <c r="L36" s="50">
        <v>0</v>
      </c>
      <c r="M36" s="50">
        <v>30</v>
      </c>
      <c r="N36" s="50">
        <v>0</v>
      </c>
      <c r="O36" s="15">
        <f t="shared" si="0"/>
        <v>78</v>
      </c>
      <c r="P36" s="15">
        <f t="shared" si="1"/>
        <v>108</v>
      </c>
    </row>
    <row r="37" spans="2:20" ht="23.1" customHeight="1">
      <c r="B37" s="23" t="s">
        <v>64</v>
      </c>
      <c r="C37" s="50">
        <v>60</v>
      </c>
      <c r="D37" s="50">
        <v>6</v>
      </c>
      <c r="E37" s="50">
        <v>6</v>
      </c>
      <c r="F37" s="50">
        <v>15</v>
      </c>
      <c r="G37" s="50">
        <v>0</v>
      </c>
      <c r="H37" s="50">
        <v>0</v>
      </c>
      <c r="I37" s="50">
        <v>5</v>
      </c>
      <c r="J37" s="50">
        <v>0</v>
      </c>
      <c r="K37" s="50">
        <v>0</v>
      </c>
      <c r="L37" s="50">
        <v>0</v>
      </c>
      <c r="M37" s="50">
        <v>26</v>
      </c>
      <c r="N37" s="50">
        <v>0</v>
      </c>
      <c r="O37" s="15">
        <f t="shared" si="0"/>
        <v>92</v>
      </c>
      <c r="P37" s="15">
        <f t="shared" si="1"/>
        <v>118</v>
      </c>
    </row>
    <row r="38" spans="2:20" ht="23.1" customHeight="1">
      <c r="B38" s="24" t="s">
        <v>65</v>
      </c>
      <c r="C38" s="50">
        <v>26</v>
      </c>
      <c r="D38" s="50">
        <v>7</v>
      </c>
      <c r="E38" s="50">
        <v>0</v>
      </c>
      <c r="F38" s="50">
        <v>10</v>
      </c>
      <c r="G38" s="50">
        <v>0</v>
      </c>
      <c r="H38" s="50">
        <v>0</v>
      </c>
      <c r="I38" s="50">
        <v>6</v>
      </c>
      <c r="J38" s="50">
        <v>0</v>
      </c>
      <c r="K38" s="50">
        <v>0</v>
      </c>
      <c r="L38" s="50">
        <v>1</v>
      </c>
      <c r="M38" s="50">
        <v>20</v>
      </c>
      <c r="N38" s="50">
        <v>0</v>
      </c>
      <c r="O38" s="15">
        <f t="shared" si="0"/>
        <v>50</v>
      </c>
      <c r="P38" s="15">
        <f t="shared" si="1"/>
        <v>70</v>
      </c>
    </row>
    <row r="39" spans="2:20" ht="23.1" customHeight="1">
      <c r="B39" s="24" t="s">
        <v>66</v>
      </c>
      <c r="C39" s="50">
        <v>22</v>
      </c>
      <c r="D39" s="50">
        <v>3</v>
      </c>
      <c r="E39" s="50">
        <v>2</v>
      </c>
      <c r="F39" s="50">
        <v>11</v>
      </c>
      <c r="G39" s="50">
        <v>1</v>
      </c>
      <c r="H39" s="50">
        <v>0</v>
      </c>
      <c r="I39" s="50">
        <v>4</v>
      </c>
      <c r="J39" s="50">
        <v>1</v>
      </c>
      <c r="K39" s="50">
        <v>0</v>
      </c>
      <c r="L39" s="50">
        <v>0</v>
      </c>
      <c r="M39" s="50">
        <v>12</v>
      </c>
      <c r="N39" s="50">
        <v>0</v>
      </c>
      <c r="O39" s="15">
        <f t="shared" si="0"/>
        <v>44</v>
      </c>
      <c r="P39" s="15">
        <f t="shared" si="1"/>
        <v>56</v>
      </c>
    </row>
    <row r="40" spans="2:20" ht="23.1" customHeight="1">
      <c r="B40" s="24" t="s">
        <v>67</v>
      </c>
      <c r="C40" s="50">
        <v>28</v>
      </c>
      <c r="D40" s="50">
        <v>4</v>
      </c>
      <c r="E40" s="50">
        <v>1</v>
      </c>
      <c r="F40" s="50">
        <v>12</v>
      </c>
      <c r="G40" s="50">
        <v>0</v>
      </c>
      <c r="H40" s="50">
        <v>0</v>
      </c>
      <c r="I40" s="50">
        <v>5</v>
      </c>
      <c r="J40" s="50">
        <v>2</v>
      </c>
      <c r="K40" s="50">
        <v>1</v>
      </c>
      <c r="L40" s="50">
        <v>0</v>
      </c>
      <c r="M40" s="50">
        <v>18</v>
      </c>
      <c r="N40" s="50">
        <v>0</v>
      </c>
      <c r="O40" s="15">
        <f t="shared" si="0"/>
        <v>53</v>
      </c>
      <c r="P40" s="15">
        <f t="shared" si="1"/>
        <v>71</v>
      </c>
    </row>
    <row r="41" spans="2:20" ht="23.1" customHeight="1">
      <c r="B41" s="23" t="s">
        <v>68</v>
      </c>
      <c r="C41" s="50">
        <v>25</v>
      </c>
      <c r="D41" s="50">
        <v>12</v>
      </c>
      <c r="E41" s="50">
        <v>1</v>
      </c>
      <c r="F41" s="50">
        <v>10</v>
      </c>
      <c r="G41" s="50">
        <v>0</v>
      </c>
      <c r="H41" s="50">
        <v>0</v>
      </c>
      <c r="I41" s="50">
        <v>6</v>
      </c>
      <c r="J41" s="50">
        <v>0</v>
      </c>
      <c r="K41" s="50">
        <v>0</v>
      </c>
      <c r="L41" s="50">
        <v>0</v>
      </c>
      <c r="M41" s="50">
        <v>30</v>
      </c>
      <c r="N41" s="50">
        <v>0</v>
      </c>
      <c r="O41" s="15">
        <f t="shared" si="0"/>
        <v>54</v>
      </c>
      <c r="P41" s="15">
        <f t="shared" si="1"/>
        <v>84</v>
      </c>
    </row>
    <row r="42" spans="2:20" ht="23.1" customHeight="1">
      <c r="B42" s="24" t="s">
        <v>69</v>
      </c>
      <c r="C42" s="50">
        <v>57</v>
      </c>
      <c r="D42" s="50">
        <v>3</v>
      </c>
      <c r="E42" s="50">
        <v>2</v>
      </c>
      <c r="F42" s="50">
        <v>18</v>
      </c>
      <c r="G42" s="50">
        <v>0</v>
      </c>
      <c r="H42" s="50">
        <v>0</v>
      </c>
      <c r="I42" s="50">
        <v>7</v>
      </c>
      <c r="J42" s="50">
        <v>1</v>
      </c>
      <c r="K42" s="50">
        <v>0</v>
      </c>
      <c r="L42" s="50">
        <v>0</v>
      </c>
      <c r="M42" s="50">
        <v>41</v>
      </c>
      <c r="N42" s="50">
        <v>0</v>
      </c>
      <c r="O42" s="15">
        <f t="shared" si="0"/>
        <v>88</v>
      </c>
      <c r="P42" s="15">
        <f t="shared" si="1"/>
        <v>129</v>
      </c>
    </row>
    <row r="43" spans="2:20" ht="23.1" customHeight="1">
      <c r="B43" s="23" t="s">
        <v>70</v>
      </c>
      <c r="C43" s="50">
        <v>55</v>
      </c>
      <c r="D43" s="50">
        <v>7</v>
      </c>
      <c r="E43" s="50">
        <v>13</v>
      </c>
      <c r="F43" s="50">
        <v>10</v>
      </c>
      <c r="G43" s="50">
        <v>1</v>
      </c>
      <c r="H43" s="50">
        <v>0</v>
      </c>
      <c r="I43" s="50">
        <v>0</v>
      </c>
      <c r="J43" s="50">
        <v>3</v>
      </c>
      <c r="K43" s="50">
        <v>0</v>
      </c>
      <c r="L43" s="50">
        <v>0</v>
      </c>
      <c r="M43" s="50">
        <v>30</v>
      </c>
      <c r="N43" s="50">
        <v>0</v>
      </c>
      <c r="O43" s="15">
        <f t="shared" si="0"/>
        <v>89</v>
      </c>
      <c r="P43" s="15">
        <f t="shared" si="1"/>
        <v>119</v>
      </c>
    </row>
    <row r="44" spans="2:20" ht="23.1" customHeight="1">
      <c r="B44" s="25" t="s">
        <v>71</v>
      </c>
      <c r="C44" s="50">
        <v>75</v>
      </c>
      <c r="D44" s="50">
        <v>10</v>
      </c>
      <c r="E44" s="50">
        <v>1</v>
      </c>
      <c r="F44" s="50">
        <v>10</v>
      </c>
      <c r="G44" s="50">
        <v>0</v>
      </c>
      <c r="H44" s="50">
        <v>0</v>
      </c>
      <c r="I44" s="50">
        <v>3</v>
      </c>
      <c r="J44" s="50">
        <v>0</v>
      </c>
      <c r="K44" s="50">
        <v>0</v>
      </c>
      <c r="L44" s="50">
        <v>0</v>
      </c>
      <c r="M44" s="50">
        <v>30</v>
      </c>
      <c r="N44" s="50">
        <v>0</v>
      </c>
      <c r="O44" s="15">
        <f t="shared" si="0"/>
        <v>99</v>
      </c>
      <c r="P44" s="15">
        <f t="shared" si="1"/>
        <v>129</v>
      </c>
    </row>
    <row r="45" spans="2:20" ht="23.1" customHeight="1">
      <c r="B45" s="23" t="s">
        <v>72</v>
      </c>
      <c r="C45" s="50">
        <v>105</v>
      </c>
      <c r="D45" s="50">
        <v>11</v>
      </c>
      <c r="E45" s="50">
        <v>2</v>
      </c>
      <c r="F45" s="50">
        <v>11</v>
      </c>
      <c r="G45" s="50">
        <v>1</v>
      </c>
      <c r="H45" s="50">
        <v>0</v>
      </c>
      <c r="I45" s="50">
        <v>10</v>
      </c>
      <c r="J45" s="50">
        <v>2</v>
      </c>
      <c r="K45" s="50">
        <v>1</v>
      </c>
      <c r="L45" s="50">
        <v>0</v>
      </c>
      <c r="M45" s="50">
        <v>32</v>
      </c>
      <c r="N45" s="50">
        <v>0</v>
      </c>
      <c r="O45" s="15">
        <f t="shared" si="0"/>
        <v>143</v>
      </c>
      <c r="P45" s="15">
        <f t="shared" si="1"/>
        <v>175</v>
      </c>
    </row>
    <row r="46" spans="2:20" ht="23.1" customHeight="1">
      <c r="B46" s="24" t="s">
        <v>73</v>
      </c>
      <c r="C46" s="50">
        <v>101</v>
      </c>
      <c r="D46" s="50">
        <v>3</v>
      </c>
      <c r="E46" s="50">
        <v>2</v>
      </c>
      <c r="F46" s="50">
        <v>5</v>
      </c>
      <c r="G46" s="50">
        <v>0</v>
      </c>
      <c r="H46" s="50">
        <v>0</v>
      </c>
      <c r="I46" s="50">
        <v>1</v>
      </c>
      <c r="J46" s="50">
        <v>1</v>
      </c>
      <c r="K46" s="50">
        <v>0</v>
      </c>
      <c r="L46" s="50">
        <v>0</v>
      </c>
      <c r="M46" s="50">
        <v>35</v>
      </c>
      <c r="N46" s="50">
        <v>0</v>
      </c>
      <c r="O46" s="15">
        <f t="shared" si="0"/>
        <v>113</v>
      </c>
      <c r="P46" s="15">
        <f t="shared" si="1"/>
        <v>148</v>
      </c>
      <c r="R46" s="8"/>
      <c r="T46"/>
    </row>
    <row r="47" spans="2:20" ht="23.1" customHeight="1">
      <c r="B47" s="24" t="s">
        <v>74</v>
      </c>
      <c r="C47" s="50">
        <v>82</v>
      </c>
      <c r="D47" s="50">
        <v>13</v>
      </c>
      <c r="E47" s="50">
        <v>3</v>
      </c>
      <c r="F47" s="50">
        <v>8</v>
      </c>
      <c r="G47" s="50">
        <v>0</v>
      </c>
      <c r="H47" s="50">
        <v>0</v>
      </c>
      <c r="I47" s="50">
        <v>3</v>
      </c>
      <c r="J47" s="50">
        <v>0</v>
      </c>
      <c r="K47" s="50">
        <v>1</v>
      </c>
      <c r="L47" s="50">
        <v>0</v>
      </c>
      <c r="M47" s="50">
        <v>47</v>
      </c>
      <c r="N47" s="50">
        <v>0</v>
      </c>
      <c r="O47" s="15">
        <f t="shared" si="0"/>
        <v>110</v>
      </c>
      <c r="P47" s="15">
        <f t="shared" si="1"/>
        <v>157</v>
      </c>
      <c r="R47" s="8"/>
      <c r="T47"/>
    </row>
    <row r="48" spans="2:20" ht="23.1" customHeight="1">
      <c r="B48" s="24" t="s">
        <v>75</v>
      </c>
      <c r="C48" s="50">
        <v>80</v>
      </c>
      <c r="D48" s="50">
        <v>12</v>
      </c>
      <c r="E48" s="50">
        <v>1</v>
      </c>
      <c r="F48" s="50">
        <v>12</v>
      </c>
      <c r="G48" s="50">
        <v>0</v>
      </c>
      <c r="H48" s="50">
        <v>0</v>
      </c>
      <c r="I48" s="50">
        <v>2</v>
      </c>
      <c r="J48" s="50">
        <v>0</v>
      </c>
      <c r="K48" s="50">
        <v>0</v>
      </c>
      <c r="L48" s="50">
        <v>0</v>
      </c>
      <c r="M48" s="50">
        <v>70</v>
      </c>
      <c r="N48" s="50">
        <v>0</v>
      </c>
      <c r="O48" s="15">
        <f t="shared" si="0"/>
        <v>107</v>
      </c>
      <c r="P48" s="15">
        <f t="shared" si="1"/>
        <v>177</v>
      </c>
      <c r="R48" s="8"/>
      <c r="T48"/>
    </row>
    <row r="49" spans="2:20" ht="23.1" customHeight="1">
      <c r="B49" s="23" t="s">
        <v>76</v>
      </c>
      <c r="C49" s="50">
        <v>195</v>
      </c>
      <c r="D49" s="50">
        <v>35</v>
      </c>
      <c r="E49" s="50">
        <v>5</v>
      </c>
      <c r="F49" s="50">
        <v>17</v>
      </c>
      <c r="G49" s="50">
        <v>0</v>
      </c>
      <c r="H49" s="50">
        <v>0</v>
      </c>
      <c r="I49" s="50">
        <v>2</v>
      </c>
      <c r="J49" s="50">
        <v>1</v>
      </c>
      <c r="K49" s="50">
        <v>1</v>
      </c>
      <c r="L49" s="50">
        <v>0</v>
      </c>
      <c r="M49" s="50">
        <v>40</v>
      </c>
      <c r="N49" s="50">
        <v>0</v>
      </c>
      <c r="O49" s="15">
        <f t="shared" si="0"/>
        <v>256</v>
      </c>
      <c r="P49" s="15">
        <f t="shared" si="1"/>
        <v>296</v>
      </c>
      <c r="R49" s="8"/>
      <c r="T49"/>
    </row>
    <row r="50" spans="2:20" ht="23.1" customHeight="1">
      <c r="B50" s="24" t="s">
        <v>77</v>
      </c>
      <c r="C50" s="50">
        <v>150</v>
      </c>
      <c r="D50" s="50">
        <v>13</v>
      </c>
      <c r="E50" s="50">
        <v>7</v>
      </c>
      <c r="F50" s="50">
        <v>15</v>
      </c>
      <c r="G50" s="50">
        <v>1</v>
      </c>
      <c r="H50" s="50">
        <v>1</v>
      </c>
      <c r="I50" s="50">
        <v>10</v>
      </c>
      <c r="J50" s="50">
        <v>1</v>
      </c>
      <c r="K50" s="50">
        <v>0</v>
      </c>
      <c r="L50" s="50">
        <v>0</v>
      </c>
      <c r="M50" s="50">
        <v>55</v>
      </c>
      <c r="N50" s="50">
        <v>0</v>
      </c>
      <c r="O50" s="15">
        <f t="shared" si="0"/>
        <v>198</v>
      </c>
      <c r="P50" s="15">
        <f t="shared" si="1"/>
        <v>253</v>
      </c>
      <c r="R50" s="8"/>
      <c r="T50"/>
    </row>
    <row r="51" spans="2:20" ht="23.1" customHeight="1">
      <c r="B51" s="24" t="s">
        <v>78</v>
      </c>
      <c r="C51" s="50">
        <v>135</v>
      </c>
      <c r="D51" s="50">
        <v>22</v>
      </c>
      <c r="E51" s="50">
        <v>11</v>
      </c>
      <c r="F51" s="50">
        <v>11</v>
      </c>
      <c r="G51" s="50">
        <v>0</v>
      </c>
      <c r="H51" s="50">
        <v>0</v>
      </c>
      <c r="I51" s="50">
        <v>7</v>
      </c>
      <c r="J51" s="50">
        <v>0</v>
      </c>
      <c r="K51" s="50">
        <v>0</v>
      </c>
      <c r="L51" s="50">
        <v>0</v>
      </c>
      <c r="M51" s="50">
        <v>45</v>
      </c>
      <c r="N51" s="50">
        <v>0</v>
      </c>
      <c r="O51" s="15">
        <f t="shared" si="0"/>
        <v>186</v>
      </c>
      <c r="P51" s="15">
        <f t="shared" si="1"/>
        <v>231</v>
      </c>
      <c r="R51" s="8"/>
      <c r="T51"/>
    </row>
    <row r="52" spans="2:20" ht="23.1" customHeight="1">
      <c r="B52" s="24" t="s">
        <v>79</v>
      </c>
      <c r="C52" s="50">
        <v>70</v>
      </c>
      <c r="D52" s="50">
        <v>16</v>
      </c>
      <c r="E52" s="50">
        <v>7</v>
      </c>
      <c r="F52" s="50">
        <v>9</v>
      </c>
      <c r="G52" s="50">
        <v>0</v>
      </c>
      <c r="H52" s="50">
        <v>0</v>
      </c>
      <c r="I52" s="50">
        <v>1</v>
      </c>
      <c r="J52" s="50">
        <v>0</v>
      </c>
      <c r="K52" s="50">
        <v>0</v>
      </c>
      <c r="L52" s="50">
        <v>0</v>
      </c>
      <c r="M52" s="50">
        <v>75</v>
      </c>
      <c r="N52" s="50">
        <v>0</v>
      </c>
      <c r="O52" s="15">
        <f t="shared" si="0"/>
        <v>103</v>
      </c>
      <c r="P52" s="15">
        <f t="shared" si="1"/>
        <v>178</v>
      </c>
      <c r="R52" s="8"/>
      <c r="T52"/>
    </row>
    <row r="53" spans="2:20" ht="23.1" customHeight="1">
      <c r="B53" s="23" t="s">
        <v>80</v>
      </c>
      <c r="C53" s="50">
        <v>135</v>
      </c>
      <c r="D53" s="50">
        <v>13</v>
      </c>
      <c r="E53" s="50">
        <v>19</v>
      </c>
      <c r="F53" s="50">
        <v>13</v>
      </c>
      <c r="G53" s="50">
        <v>0</v>
      </c>
      <c r="H53" s="50">
        <v>0</v>
      </c>
      <c r="I53" s="50">
        <v>1</v>
      </c>
      <c r="J53" s="50">
        <v>0</v>
      </c>
      <c r="K53" s="50">
        <v>0</v>
      </c>
      <c r="L53" s="50">
        <v>0</v>
      </c>
      <c r="M53" s="50">
        <v>109</v>
      </c>
      <c r="N53" s="50">
        <v>0</v>
      </c>
      <c r="O53" s="15">
        <f t="shared" si="0"/>
        <v>181</v>
      </c>
      <c r="P53" s="15">
        <f t="shared" si="1"/>
        <v>290</v>
      </c>
      <c r="R53" s="8"/>
      <c r="T53"/>
    </row>
    <row r="54" spans="2:20" ht="23.1" customHeight="1">
      <c r="B54" s="23" t="s">
        <v>81</v>
      </c>
      <c r="C54" s="50">
        <v>175</v>
      </c>
      <c r="D54" s="50">
        <v>30</v>
      </c>
      <c r="E54" s="50">
        <v>10</v>
      </c>
      <c r="F54" s="50">
        <v>26</v>
      </c>
      <c r="G54" s="50">
        <v>3</v>
      </c>
      <c r="H54" s="50">
        <v>0</v>
      </c>
      <c r="I54" s="50">
        <v>5</v>
      </c>
      <c r="J54" s="50">
        <v>0</v>
      </c>
      <c r="K54" s="50">
        <v>0</v>
      </c>
      <c r="L54" s="50">
        <v>0</v>
      </c>
      <c r="M54" s="50">
        <v>65</v>
      </c>
      <c r="N54" s="50">
        <v>0</v>
      </c>
      <c r="O54" s="15">
        <f t="shared" si="0"/>
        <v>249</v>
      </c>
      <c r="P54" s="15">
        <f t="shared" si="1"/>
        <v>314</v>
      </c>
      <c r="R54" s="8"/>
      <c r="T54"/>
    </row>
    <row r="55" spans="2:20" ht="23.1" customHeight="1">
      <c r="B55" s="23" t="s">
        <v>82</v>
      </c>
      <c r="C55" s="50">
        <v>100</v>
      </c>
      <c r="D55" s="50">
        <v>16</v>
      </c>
      <c r="E55" s="50">
        <v>7</v>
      </c>
      <c r="F55" s="50">
        <v>22</v>
      </c>
      <c r="G55" s="50">
        <v>0</v>
      </c>
      <c r="H55" s="50">
        <v>0</v>
      </c>
      <c r="I55" s="50">
        <v>3</v>
      </c>
      <c r="J55" s="50">
        <v>0</v>
      </c>
      <c r="K55" s="50">
        <v>0</v>
      </c>
      <c r="L55" s="50">
        <v>0</v>
      </c>
      <c r="M55" s="50">
        <v>110</v>
      </c>
      <c r="N55" s="50">
        <v>0</v>
      </c>
      <c r="O55" s="15">
        <f t="shared" si="0"/>
        <v>148</v>
      </c>
      <c r="P55" s="15">
        <f t="shared" si="1"/>
        <v>258</v>
      </c>
      <c r="R55" s="8"/>
      <c r="T55"/>
    </row>
    <row r="56" spans="2:20" ht="23.1" customHeight="1">
      <c r="B56" s="23" t="s">
        <v>83</v>
      </c>
      <c r="C56" s="50">
        <v>140</v>
      </c>
      <c r="D56" s="50">
        <v>28</v>
      </c>
      <c r="E56" s="50">
        <v>10</v>
      </c>
      <c r="F56" s="50">
        <v>17</v>
      </c>
      <c r="G56" s="50">
        <v>1</v>
      </c>
      <c r="H56" s="50">
        <v>0</v>
      </c>
      <c r="I56" s="50">
        <v>5</v>
      </c>
      <c r="J56" s="50">
        <v>0</v>
      </c>
      <c r="K56" s="50">
        <v>0</v>
      </c>
      <c r="L56" s="50">
        <v>0</v>
      </c>
      <c r="M56" s="50">
        <v>71</v>
      </c>
      <c r="N56" s="50">
        <v>0</v>
      </c>
      <c r="O56" s="15">
        <f t="shared" si="0"/>
        <v>201</v>
      </c>
      <c r="P56" s="15">
        <f t="shared" si="1"/>
        <v>272</v>
      </c>
      <c r="R56" s="8"/>
      <c r="T56"/>
    </row>
    <row r="57" spans="2:20" ht="23.1" customHeight="1">
      <c r="B57" s="23" t="s">
        <v>84</v>
      </c>
      <c r="C57" s="50">
        <v>160</v>
      </c>
      <c r="D57" s="50">
        <v>24</v>
      </c>
      <c r="E57" s="50">
        <v>5</v>
      </c>
      <c r="F57" s="50">
        <v>10</v>
      </c>
      <c r="G57" s="50">
        <v>0</v>
      </c>
      <c r="H57" s="50">
        <v>0</v>
      </c>
      <c r="I57" s="50">
        <v>1</v>
      </c>
      <c r="J57" s="50">
        <v>0</v>
      </c>
      <c r="K57" s="50">
        <v>0</v>
      </c>
      <c r="L57" s="50">
        <v>0</v>
      </c>
      <c r="M57" s="50">
        <v>78</v>
      </c>
      <c r="N57" s="50">
        <v>0</v>
      </c>
      <c r="O57" s="15">
        <f t="shared" si="0"/>
        <v>200</v>
      </c>
      <c r="P57" s="15">
        <f t="shared" si="1"/>
        <v>278</v>
      </c>
      <c r="R57" s="8"/>
      <c r="T57"/>
    </row>
    <row r="58" spans="2:20" ht="23.1" customHeight="1">
      <c r="B58" s="26" t="s">
        <v>18</v>
      </c>
      <c r="C58" s="16">
        <f t="shared" ref="C58:P58" si="21">SUM(C10:C57)</f>
        <v>2708</v>
      </c>
      <c r="D58" s="16">
        <f t="shared" si="21"/>
        <v>448</v>
      </c>
      <c r="E58" s="16">
        <f t="shared" si="21"/>
        <v>173</v>
      </c>
      <c r="F58" s="16">
        <f t="shared" si="21"/>
        <v>683</v>
      </c>
      <c r="G58" s="16">
        <f t="shared" si="21"/>
        <v>23</v>
      </c>
      <c r="H58" s="16">
        <f t="shared" si="21"/>
        <v>1</v>
      </c>
      <c r="I58" s="16">
        <f t="shared" si="21"/>
        <v>231</v>
      </c>
      <c r="J58" s="16">
        <f t="shared" si="21"/>
        <v>21</v>
      </c>
      <c r="K58" s="16">
        <f t="shared" si="21"/>
        <v>6</v>
      </c>
      <c r="L58" s="16">
        <f t="shared" si="21"/>
        <v>1</v>
      </c>
      <c r="M58" s="16">
        <f t="shared" si="21"/>
        <v>2134</v>
      </c>
      <c r="N58" s="16">
        <f t="shared" si="21"/>
        <v>0</v>
      </c>
      <c r="O58" s="16">
        <f t="shared" si="21"/>
        <v>4295</v>
      </c>
      <c r="P58" s="16">
        <f t="shared" si="21"/>
        <v>6429</v>
      </c>
      <c r="R58" s="8"/>
      <c r="T58"/>
    </row>
    <row r="59" spans="2:20" ht="23.1" customHeight="1">
      <c r="B59" s="26" t="s">
        <v>93</v>
      </c>
      <c r="C59" s="43">
        <f t="shared" ref="C59:N59" si="22">C58/$P$58</f>
        <v>0.42121636335355422</v>
      </c>
      <c r="D59" s="43">
        <f t="shared" si="22"/>
        <v>6.9684243272670712E-2</v>
      </c>
      <c r="E59" s="43">
        <f t="shared" si="22"/>
        <v>2.6909317156634003E-2</v>
      </c>
      <c r="F59" s="43">
        <f t="shared" si="22"/>
        <v>0.10623736195364754</v>
      </c>
      <c r="G59" s="43">
        <f t="shared" si="22"/>
        <v>3.5775392751594337E-3</v>
      </c>
      <c r="H59" s="43">
        <f t="shared" si="22"/>
        <v>1.5554518587649713E-4</v>
      </c>
      <c r="I59" s="43">
        <f t="shared" si="22"/>
        <v>3.5930937937470833E-2</v>
      </c>
      <c r="J59" s="43">
        <f t="shared" si="22"/>
        <v>3.2664489034064394E-3</v>
      </c>
      <c r="K59" s="43">
        <f t="shared" si="22"/>
        <v>9.3327111525898275E-4</v>
      </c>
      <c r="L59" s="43">
        <f t="shared" si="22"/>
        <v>1.5554518587649713E-4</v>
      </c>
      <c r="M59" s="43">
        <f t="shared" si="22"/>
        <v>0.33193342666044484</v>
      </c>
      <c r="N59" s="43">
        <f t="shared" si="22"/>
        <v>0</v>
      </c>
      <c r="R59" s="8"/>
      <c r="T59"/>
    </row>
    <row r="60" spans="2:20" ht="23.1" customHeight="1">
      <c r="B60" s="42" t="s">
        <v>94</v>
      </c>
      <c r="C60" s="44">
        <f>C58/$O$58</f>
        <v>0.63050058207217696</v>
      </c>
      <c r="D60" s="44">
        <f t="shared" ref="D60:N60" si="23">D58/$O$58</f>
        <v>0.10430733410942956</v>
      </c>
      <c r="E60" s="44">
        <f t="shared" si="23"/>
        <v>4.0279394644935969E-2</v>
      </c>
      <c r="F60" s="44">
        <f t="shared" si="23"/>
        <v>0.15902211874272409</v>
      </c>
      <c r="G60" s="44">
        <f t="shared" si="23"/>
        <v>5.3550640279394646E-3</v>
      </c>
      <c r="H60" s="44">
        <f t="shared" si="23"/>
        <v>2.3282887077997672E-4</v>
      </c>
      <c r="I60" s="44">
        <f t="shared" si="23"/>
        <v>5.3783469150174623E-2</v>
      </c>
      <c r="J60" s="44">
        <f t="shared" si="23"/>
        <v>4.889406286379511E-3</v>
      </c>
      <c r="K60" s="44">
        <f t="shared" si="23"/>
        <v>1.3969732246798604E-3</v>
      </c>
      <c r="L60" s="44">
        <f t="shared" si="23"/>
        <v>2.3282887077997672E-4</v>
      </c>
      <c r="M60" s="44"/>
      <c r="N60" s="44">
        <f t="shared" si="23"/>
        <v>0</v>
      </c>
      <c r="Q60" s="7"/>
      <c r="R60" s="8"/>
      <c r="T60"/>
    </row>
    <row r="61" spans="2:20" ht="20.100000000000001" customHeight="1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B1:AF126"/>
  <sheetViews>
    <sheetView view="pageBreakPreview" zoomScale="60" workbookViewId="0">
      <selection activeCell="D5" sqref="D5"/>
    </sheetView>
  </sheetViews>
  <sheetFormatPr defaultColWidth="15" defaultRowHeight="20.100000000000001" customHeight="1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>
      <c r="B1" s="60" t="s">
        <v>23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</row>
    <row r="2" spans="2:32" ht="20.100000000000001" customHeight="1">
      <c r="B2" s="61" t="s">
        <v>95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</row>
    <row r="3" spans="2:32" ht="20.100000000000001" customHeight="1">
      <c r="B3" s="22" t="s">
        <v>96</v>
      </c>
      <c r="C3" s="65" t="str">
        <f>'29.07 Najjeera-Kiwatule'!C3:G3</f>
        <v>MCC - C1 - STN36 - MBOGO ROAD</v>
      </c>
      <c r="D3" s="65"/>
      <c r="E3" s="65"/>
      <c r="F3" s="65"/>
      <c r="G3" s="65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>
      <c r="C5" s="4" t="s">
        <v>3</v>
      </c>
      <c r="D5" s="36" t="s">
        <v>181</v>
      </c>
      <c r="E5" s="3"/>
      <c r="F5" s="41" t="s">
        <v>1</v>
      </c>
      <c r="G5" s="66" t="str">
        <f>'30.07 Kiwatule-Najjeera'!G5:H5</f>
        <v>U Save Kiwatule</v>
      </c>
      <c r="H5" s="67"/>
      <c r="I5" s="14"/>
      <c r="J5" s="2" t="s">
        <v>5</v>
      </c>
      <c r="K5" s="66" t="s">
        <v>176</v>
      </c>
      <c r="L5" s="67"/>
      <c r="M5" s="10"/>
      <c r="N5" s="10"/>
      <c r="O5" s="3"/>
      <c r="P5" s="3"/>
    </row>
    <row r="6" spans="2:32" ht="23.25" customHeight="1">
      <c r="C6" s="2" t="s">
        <v>4</v>
      </c>
      <c r="D6" s="66" t="str">
        <f>'29.07 Najjeera-Kiwatule'!D6:E6</f>
        <v>Najjeera</v>
      </c>
      <c r="E6" s="67"/>
      <c r="F6" s="2" t="s">
        <v>2</v>
      </c>
      <c r="G6" s="66" t="str">
        <f>'29.07 Najjeera-Kiwatule'!G6:H6</f>
        <v>Kiwatule</v>
      </c>
      <c r="H6" s="67"/>
      <c r="J6" s="2" t="s">
        <v>21</v>
      </c>
      <c r="K6" s="66" t="str">
        <f>'30.07 Kiwatule-Najjeera'!K6:L6</f>
        <v>Steven</v>
      </c>
      <c r="L6" s="67"/>
      <c r="M6" s="10"/>
      <c r="N6" s="10"/>
      <c r="O6" s="3"/>
      <c r="P6" s="3"/>
    </row>
    <row r="7" spans="2:32" ht="20.100000000000001" customHeight="1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9" t="s">
        <v>88</v>
      </c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</row>
    <row r="9" spans="2:32" ht="51.75" customHeight="1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>
      <c r="B10" s="23" t="s">
        <v>37</v>
      </c>
      <c r="C10" s="50">
        <v>147</v>
      </c>
      <c r="D10" s="50">
        <v>15</v>
      </c>
      <c r="E10" s="50">
        <v>7</v>
      </c>
      <c r="F10" s="50">
        <v>17</v>
      </c>
      <c r="G10" s="50">
        <v>0</v>
      </c>
      <c r="H10" s="50">
        <v>0</v>
      </c>
      <c r="I10" s="50">
        <v>1</v>
      </c>
      <c r="J10" s="50">
        <v>0</v>
      </c>
      <c r="K10" s="50">
        <v>0</v>
      </c>
      <c r="L10" s="50">
        <v>0</v>
      </c>
      <c r="M10" s="50">
        <v>75</v>
      </c>
      <c r="N10" s="50">
        <v>0</v>
      </c>
      <c r="O10" s="15">
        <f t="shared" ref="O10:O57" si="0">SUM(C10:L10,N10)</f>
        <v>187</v>
      </c>
      <c r="P10" s="15">
        <f t="shared" ref="P10:P57" si="1">SUM(C10:N10)</f>
        <v>262</v>
      </c>
      <c r="R10" s="1" t="s">
        <v>6</v>
      </c>
      <c r="S10" s="17">
        <f t="shared" ref="S10:AF10" si="2">SUM(C10:C13)</f>
        <v>655</v>
      </c>
      <c r="T10" s="17">
        <f t="shared" si="2"/>
        <v>60</v>
      </c>
      <c r="U10" s="17">
        <f t="shared" si="2"/>
        <v>30</v>
      </c>
      <c r="V10" s="17">
        <f t="shared" si="2"/>
        <v>78</v>
      </c>
      <c r="W10" s="17">
        <f t="shared" si="2"/>
        <v>1</v>
      </c>
      <c r="X10" s="17">
        <f t="shared" si="2"/>
        <v>0</v>
      </c>
      <c r="Y10" s="17">
        <f t="shared" si="2"/>
        <v>10</v>
      </c>
      <c r="Z10" s="17">
        <f t="shared" si="2"/>
        <v>1</v>
      </c>
      <c r="AA10" s="17">
        <f t="shared" si="2"/>
        <v>0</v>
      </c>
      <c r="AB10" s="17">
        <f t="shared" si="2"/>
        <v>0</v>
      </c>
      <c r="AC10" s="17">
        <f t="shared" si="2"/>
        <v>450</v>
      </c>
      <c r="AD10" s="17">
        <f t="shared" si="2"/>
        <v>0</v>
      </c>
      <c r="AE10" s="31">
        <f t="shared" si="2"/>
        <v>835</v>
      </c>
      <c r="AF10" s="31">
        <f t="shared" si="2"/>
        <v>1285</v>
      </c>
    </row>
    <row r="11" spans="2:32" s="6" customFormat="1" ht="23.1" customHeight="1">
      <c r="B11" s="23" t="s">
        <v>38</v>
      </c>
      <c r="C11" s="50">
        <v>143</v>
      </c>
      <c r="D11" s="50">
        <v>15</v>
      </c>
      <c r="E11" s="50">
        <v>4</v>
      </c>
      <c r="F11" s="50">
        <v>15</v>
      </c>
      <c r="G11" s="50">
        <v>0</v>
      </c>
      <c r="H11" s="50">
        <v>0</v>
      </c>
      <c r="I11" s="50">
        <v>2</v>
      </c>
      <c r="J11" s="50">
        <v>1</v>
      </c>
      <c r="K11" s="50">
        <v>0</v>
      </c>
      <c r="L11" s="50">
        <v>0</v>
      </c>
      <c r="M11" s="50">
        <v>105</v>
      </c>
      <c r="N11" s="50">
        <v>0</v>
      </c>
      <c r="O11" s="15">
        <f t="shared" si="0"/>
        <v>180</v>
      </c>
      <c r="P11" s="15">
        <f t="shared" si="1"/>
        <v>285</v>
      </c>
      <c r="R11" s="1" t="s">
        <v>7</v>
      </c>
      <c r="S11" s="17">
        <f t="shared" ref="S11:AF11" si="3">SUM(C14:C17)</f>
        <v>580</v>
      </c>
      <c r="T11" s="17">
        <f t="shared" si="3"/>
        <v>83</v>
      </c>
      <c r="U11" s="17">
        <f t="shared" si="3"/>
        <v>29</v>
      </c>
      <c r="V11" s="17">
        <f t="shared" si="3"/>
        <v>82</v>
      </c>
      <c r="W11" s="17">
        <f t="shared" si="3"/>
        <v>0</v>
      </c>
      <c r="X11" s="17">
        <f t="shared" si="3"/>
        <v>0</v>
      </c>
      <c r="Y11" s="17">
        <f t="shared" si="3"/>
        <v>17</v>
      </c>
      <c r="Z11" s="17">
        <f t="shared" si="3"/>
        <v>7</v>
      </c>
      <c r="AA11" s="17">
        <f t="shared" si="3"/>
        <v>3</v>
      </c>
      <c r="AB11" s="17">
        <f t="shared" si="3"/>
        <v>0</v>
      </c>
      <c r="AC11" s="17">
        <f t="shared" si="3"/>
        <v>582</v>
      </c>
      <c r="AD11" s="17">
        <f t="shared" si="3"/>
        <v>0</v>
      </c>
      <c r="AE11" s="31">
        <f t="shared" si="3"/>
        <v>801</v>
      </c>
      <c r="AF11" s="31">
        <f t="shared" si="3"/>
        <v>1383</v>
      </c>
    </row>
    <row r="12" spans="2:32" ht="23.1" customHeight="1">
      <c r="B12" s="23" t="s">
        <v>39</v>
      </c>
      <c r="C12" s="50">
        <v>170</v>
      </c>
      <c r="D12" s="50">
        <v>15</v>
      </c>
      <c r="E12" s="50">
        <v>7</v>
      </c>
      <c r="F12" s="50">
        <v>28</v>
      </c>
      <c r="G12" s="50">
        <v>0</v>
      </c>
      <c r="H12" s="50">
        <v>0</v>
      </c>
      <c r="I12" s="50">
        <v>2</v>
      </c>
      <c r="J12" s="50">
        <v>0</v>
      </c>
      <c r="K12" s="50">
        <v>0</v>
      </c>
      <c r="L12" s="50">
        <v>0</v>
      </c>
      <c r="M12" s="50">
        <v>150</v>
      </c>
      <c r="N12" s="50">
        <v>0</v>
      </c>
      <c r="O12" s="15">
        <f t="shared" si="0"/>
        <v>222</v>
      </c>
      <c r="P12" s="15">
        <f t="shared" si="1"/>
        <v>372</v>
      </c>
      <c r="R12" s="1" t="s">
        <v>8</v>
      </c>
      <c r="S12" s="17">
        <f t="shared" ref="S12:AF12" si="4">SUM(C18:C21)</f>
        <v>395</v>
      </c>
      <c r="T12" s="17">
        <f t="shared" si="4"/>
        <v>47</v>
      </c>
      <c r="U12" s="17">
        <f t="shared" si="4"/>
        <v>31</v>
      </c>
      <c r="V12" s="17">
        <f t="shared" si="4"/>
        <v>54</v>
      </c>
      <c r="W12" s="17">
        <f t="shared" si="4"/>
        <v>0</v>
      </c>
      <c r="X12" s="17">
        <f t="shared" si="4"/>
        <v>0</v>
      </c>
      <c r="Y12" s="17">
        <f t="shared" si="4"/>
        <v>16</v>
      </c>
      <c r="Z12" s="17">
        <f t="shared" si="4"/>
        <v>2</v>
      </c>
      <c r="AA12" s="17">
        <f t="shared" si="4"/>
        <v>0</v>
      </c>
      <c r="AB12" s="17">
        <f t="shared" si="4"/>
        <v>1</v>
      </c>
      <c r="AC12" s="17">
        <f t="shared" si="4"/>
        <v>476</v>
      </c>
      <c r="AD12" s="17">
        <f t="shared" si="4"/>
        <v>0</v>
      </c>
      <c r="AE12" s="31">
        <f t="shared" si="4"/>
        <v>546</v>
      </c>
      <c r="AF12" s="31">
        <f t="shared" si="4"/>
        <v>1022</v>
      </c>
    </row>
    <row r="13" spans="2:32" ht="23.1" customHeight="1">
      <c r="B13" s="23" t="s">
        <v>40</v>
      </c>
      <c r="C13" s="50">
        <v>195</v>
      </c>
      <c r="D13" s="50">
        <v>15</v>
      </c>
      <c r="E13" s="50">
        <v>12</v>
      </c>
      <c r="F13" s="50">
        <v>18</v>
      </c>
      <c r="G13" s="50">
        <v>1</v>
      </c>
      <c r="H13" s="50">
        <v>0</v>
      </c>
      <c r="I13" s="50">
        <v>5</v>
      </c>
      <c r="J13" s="50">
        <v>0</v>
      </c>
      <c r="K13" s="50">
        <v>0</v>
      </c>
      <c r="L13" s="50">
        <v>0</v>
      </c>
      <c r="M13" s="50">
        <v>120</v>
      </c>
      <c r="N13" s="50">
        <v>0</v>
      </c>
      <c r="O13" s="15">
        <f t="shared" si="0"/>
        <v>246</v>
      </c>
      <c r="P13" s="15">
        <f t="shared" si="1"/>
        <v>366</v>
      </c>
      <c r="R13" s="1" t="s">
        <v>9</v>
      </c>
      <c r="S13" s="17">
        <f t="shared" ref="S13:AF13" si="5">SUM(C22:C25)</f>
        <v>317</v>
      </c>
      <c r="T13" s="17">
        <f t="shared" si="5"/>
        <v>62</v>
      </c>
      <c r="U13" s="17">
        <f t="shared" si="5"/>
        <v>37</v>
      </c>
      <c r="V13" s="17">
        <f t="shared" si="5"/>
        <v>59</v>
      </c>
      <c r="W13" s="17">
        <f t="shared" si="5"/>
        <v>1</v>
      </c>
      <c r="X13" s="17">
        <f t="shared" si="5"/>
        <v>0</v>
      </c>
      <c r="Y13" s="17">
        <f t="shared" si="5"/>
        <v>19</v>
      </c>
      <c r="Z13" s="17">
        <f t="shared" si="5"/>
        <v>2</v>
      </c>
      <c r="AA13" s="17">
        <f t="shared" si="5"/>
        <v>1</v>
      </c>
      <c r="AB13" s="17">
        <f t="shared" si="5"/>
        <v>2</v>
      </c>
      <c r="AC13" s="17">
        <f t="shared" si="5"/>
        <v>338</v>
      </c>
      <c r="AD13" s="17">
        <f t="shared" si="5"/>
        <v>0</v>
      </c>
      <c r="AE13" s="31">
        <f t="shared" si="5"/>
        <v>500</v>
      </c>
      <c r="AF13" s="31">
        <f t="shared" si="5"/>
        <v>838</v>
      </c>
    </row>
    <row r="14" spans="2:32" ht="23.1" customHeight="1">
      <c r="B14" s="23" t="s">
        <v>41</v>
      </c>
      <c r="C14" s="50">
        <v>155</v>
      </c>
      <c r="D14" s="50">
        <v>19</v>
      </c>
      <c r="E14" s="50">
        <v>5</v>
      </c>
      <c r="F14" s="50">
        <v>24</v>
      </c>
      <c r="G14" s="50">
        <v>0</v>
      </c>
      <c r="H14" s="50">
        <v>0</v>
      </c>
      <c r="I14" s="50">
        <v>6</v>
      </c>
      <c r="J14" s="50">
        <v>1</v>
      </c>
      <c r="K14" s="50">
        <v>2</v>
      </c>
      <c r="L14" s="50">
        <v>0</v>
      </c>
      <c r="M14" s="50">
        <v>161</v>
      </c>
      <c r="N14" s="50">
        <v>0</v>
      </c>
      <c r="O14" s="15">
        <f t="shared" si="0"/>
        <v>212</v>
      </c>
      <c r="P14" s="15">
        <f t="shared" si="1"/>
        <v>373</v>
      </c>
      <c r="R14" s="1" t="s">
        <v>10</v>
      </c>
      <c r="S14" s="17">
        <f t="shared" ref="S14:AF14" si="6">SUM(C26:C29)</f>
        <v>275</v>
      </c>
      <c r="T14" s="17">
        <f t="shared" si="6"/>
        <v>41</v>
      </c>
      <c r="U14" s="17">
        <f t="shared" si="6"/>
        <v>33</v>
      </c>
      <c r="V14" s="17">
        <f t="shared" si="6"/>
        <v>66</v>
      </c>
      <c r="W14" s="17">
        <f t="shared" si="6"/>
        <v>0</v>
      </c>
      <c r="X14" s="17">
        <f t="shared" si="6"/>
        <v>0</v>
      </c>
      <c r="Y14" s="17">
        <f t="shared" si="6"/>
        <v>26</v>
      </c>
      <c r="Z14" s="17">
        <f t="shared" si="6"/>
        <v>8</v>
      </c>
      <c r="AA14" s="17">
        <f t="shared" si="6"/>
        <v>1</v>
      </c>
      <c r="AB14" s="17">
        <f t="shared" si="6"/>
        <v>1</v>
      </c>
      <c r="AC14" s="17">
        <f t="shared" si="6"/>
        <v>325</v>
      </c>
      <c r="AD14" s="17">
        <f t="shared" si="6"/>
        <v>0</v>
      </c>
      <c r="AE14" s="31">
        <f t="shared" si="6"/>
        <v>451</v>
      </c>
      <c r="AF14" s="31">
        <f t="shared" si="6"/>
        <v>776</v>
      </c>
    </row>
    <row r="15" spans="2:32" ht="23.1" customHeight="1">
      <c r="B15" s="23" t="s">
        <v>42</v>
      </c>
      <c r="C15" s="50">
        <v>150</v>
      </c>
      <c r="D15" s="50">
        <v>13</v>
      </c>
      <c r="E15" s="50">
        <v>4</v>
      </c>
      <c r="F15" s="50">
        <v>19</v>
      </c>
      <c r="G15" s="50">
        <v>0</v>
      </c>
      <c r="H15" s="50">
        <v>0</v>
      </c>
      <c r="I15" s="50">
        <v>2</v>
      </c>
      <c r="J15" s="50">
        <v>3</v>
      </c>
      <c r="K15" s="50">
        <v>0</v>
      </c>
      <c r="L15" s="50">
        <v>0</v>
      </c>
      <c r="M15" s="50">
        <v>140</v>
      </c>
      <c r="N15" s="50">
        <v>0</v>
      </c>
      <c r="O15" s="15">
        <f t="shared" si="0"/>
        <v>191</v>
      </c>
      <c r="P15" s="15">
        <f t="shared" si="1"/>
        <v>331</v>
      </c>
      <c r="R15" s="1" t="s">
        <v>11</v>
      </c>
      <c r="S15" s="17">
        <f t="shared" ref="S15:AF15" si="7">SUM(C30:C33)</f>
        <v>226</v>
      </c>
      <c r="T15" s="17">
        <f t="shared" si="7"/>
        <v>32</v>
      </c>
      <c r="U15" s="17">
        <f t="shared" si="7"/>
        <v>13</v>
      </c>
      <c r="V15" s="17">
        <f t="shared" si="7"/>
        <v>52</v>
      </c>
      <c r="W15" s="17">
        <f t="shared" si="7"/>
        <v>0</v>
      </c>
      <c r="X15" s="17">
        <f t="shared" si="7"/>
        <v>0</v>
      </c>
      <c r="Y15" s="17">
        <f t="shared" si="7"/>
        <v>20</v>
      </c>
      <c r="Z15" s="17">
        <f t="shared" si="7"/>
        <v>3</v>
      </c>
      <c r="AA15" s="17">
        <f t="shared" si="7"/>
        <v>0</v>
      </c>
      <c r="AB15" s="17">
        <f t="shared" si="7"/>
        <v>0</v>
      </c>
      <c r="AC15" s="17">
        <f t="shared" si="7"/>
        <v>356</v>
      </c>
      <c r="AD15" s="17">
        <f t="shared" si="7"/>
        <v>0</v>
      </c>
      <c r="AE15" s="31">
        <f t="shared" si="7"/>
        <v>346</v>
      </c>
      <c r="AF15" s="31">
        <f t="shared" si="7"/>
        <v>702</v>
      </c>
    </row>
    <row r="16" spans="2:32" ht="23.1" customHeight="1">
      <c r="B16" s="23" t="s">
        <v>43</v>
      </c>
      <c r="C16" s="50">
        <v>175</v>
      </c>
      <c r="D16" s="50">
        <v>39</v>
      </c>
      <c r="E16" s="50">
        <v>15</v>
      </c>
      <c r="F16" s="50">
        <v>25</v>
      </c>
      <c r="G16" s="50">
        <v>0</v>
      </c>
      <c r="H16" s="50">
        <v>0</v>
      </c>
      <c r="I16" s="50">
        <v>5</v>
      </c>
      <c r="J16" s="50">
        <v>1</v>
      </c>
      <c r="K16" s="50">
        <v>0</v>
      </c>
      <c r="L16" s="50">
        <v>0</v>
      </c>
      <c r="M16" s="50">
        <v>153</v>
      </c>
      <c r="N16" s="50">
        <v>0</v>
      </c>
      <c r="O16" s="15">
        <f t="shared" si="0"/>
        <v>260</v>
      </c>
      <c r="P16" s="15">
        <f t="shared" si="1"/>
        <v>413</v>
      </c>
      <c r="R16" s="1" t="s">
        <v>12</v>
      </c>
      <c r="S16" s="17">
        <f t="shared" ref="S16:AF16" si="8">SUM(C34:C37)</f>
        <v>317</v>
      </c>
      <c r="T16" s="17">
        <f t="shared" si="8"/>
        <v>35</v>
      </c>
      <c r="U16" s="17">
        <f t="shared" si="8"/>
        <v>27</v>
      </c>
      <c r="V16" s="17">
        <f t="shared" si="8"/>
        <v>58</v>
      </c>
      <c r="W16" s="17">
        <f t="shared" si="8"/>
        <v>1</v>
      </c>
      <c r="X16" s="17">
        <f t="shared" si="8"/>
        <v>0</v>
      </c>
      <c r="Y16" s="17">
        <f t="shared" si="8"/>
        <v>21</v>
      </c>
      <c r="Z16" s="17">
        <f t="shared" si="8"/>
        <v>4</v>
      </c>
      <c r="AA16" s="17">
        <f t="shared" si="8"/>
        <v>0</v>
      </c>
      <c r="AB16" s="17">
        <f t="shared" si="8"/>
        <v>0</v>
      </c>
      <c r="AC16" s="17">
        <f t="shared" si="8"/>
        <v>324</v>
      </c>
      <c r="AD16" s="17">
        <f t="shared" si="8"/>
        <v>0</v>
      </c>
      <c r="AE16" s="31">
        <f t="shared" si="8"/>
        <v>463</v>
      </c>
      <c r="AF16" s="31">
        <f t="shared" si="8"/>
        <v>787</v>
      </c>
    </row>
    <row r="17" spans="2:32" ht="23.1" customHeight="1">
      <c r="B17" s="23" t="s">
        <v>44</v>
      </c>
      <c r="C17" s="50">
        <v>100</v>
      </c>
      <c r="D17" s="50">
        <v>12</v>
      </c>
      <c r="E17" s="50">
        <v>5</v>
      </c>
      <c r="F17" s="50">
        <v>14</v>
      </c>
      <c r="G17" s="50">
        <v>0</v>
      </c>
      <c r="H17" s="50">
        <v>0</v>
      </c>
      <c r="I17" s="50">
        <v>4</v>
      </c>
      <c r="J17" s="50">
        <v>2</v>
      </c>
      <c r="K17" s="50">
        <v>1</v>
      </c>
      <c r="L17" s="50">
        <v>0</v>
      </c>
      <c r="M17" s="50">
        <v>128</v>
      </c>
      <c r="N17" s="50">
        <v>0</v>
      </c>
      <c r="O17" s="15">
        <f t="shared" si="0"/>
        <v>138</v>
      </c>
      <c r="P17" s="15">
        <f t="shared" si="1"/>
        <v>266</v>
      </c>
      <c r="R17" s="1" t="s">
        <v>13</v>
      </c>
      <c r="S17" s="17">
        <f t="shared" ref="S17:AF17" si="9">SUM(C38:C41)</f>
        <v>239</v>
      </c>
      <c r="T17" s="17">
        <f t="shared" si="9"/>
        <v>30</v>
      </c>
      <c r="U17" s="17">
        <f t="shared" si="9"/>
        <v>21</v>
      </c>
      <c r="V17" s="17">
        <f t="shared" si="9"/>
        <v>54</v>
      </c>
      <c r="W17" s="17">
        <f t="shared" si="9"/>
        <v>1</v>
      </c>
      <c r="X17" s="17">
        <f t="shared" si="9"/>
        <v>0</v>
      </c>
      <c r="Y17" s="17">
        <f t="shared" si="9"/>
        <v>22</v>
      </c>
      <c r="Z17" s="17">
        <f t="shared" si="9"/>
        <v>2</v>
      </c>
      <c r="AA17" s="17">
        <f t="shared" si="9"/>
        <v>0</v>
      </c>
      <c r="AB17" s="17">
        <f t="shared" si="9"/>
        <v>1</v>
      </c>
      <c r="AC17" s="17">
        <f t="shared" si="9"/>
        <v>359</v>
      </c>
      <c r="AD17" s="17">
        <f t="shared" si="9"/>
        <v>0</v>
      </c>
      <c r="AE17" s="31">
        <f t="shared" si="9"/>
        <v>370</v>
      </c>
      <c r="AF17" s="31">
        <f t="shared" si="9"/>
        <v>729</v>
      </c>
    </row>
    <row r="18" spans="2:32" ht="23.1" customHeight="1">
      <c r="B18" s="23" t="s">
        <v>45</v>
      </c>
      <c r="C18" s="50">
        <v>119</v>
      </c>
      <c r="D18" s="50">
        <v>17</v>
      </c>
      <c r="E18" s="50">
        <v>11</v>
      </c>
      <c r="F18" s="50">
        <v>15</v>
      </c>
      <c r="G18" s="50">
        <v>0</v>
      </c>
      <c r="H18" s="50">
        <v>0</v>
      </c>
      <c r="I18" s="50">
        <v>4</v>
      </c>
      <c r="J18" s="50">
        <v>0</v>
      </c>
      <c r="K18" s="50">
        <v>0</v>
      </c>
      <c r="L18" s="50">
        <v>0</v>
      </c>
      <c r="M18" s="50">
        <v>159</v>
      </c>
      <c r="N18" s="50">
        <v>0</v>
      </c>
      <c r="O18" s="15">
        <f t="shared" si="0"/>
        <v>166</v>
      </c>
      <c r="P18" s="15">
        <f t="shared" si="1"/>
        <v>325</v>
      </c>
      <c r="R18" s="1" t="s">
        <v>14</v>
      </c>
      <c r="S18" s="17">
        <f t="shared" ref="S18:AF18" si="10">SUM(C42:C45)</f>
        <v>245</v>
      </c>
      <c r="T18" s="17">
        <f t="shared" si="10"/>
        <v>35</v>
      </c>
      <c r="U18" s="17">
        <f t="shared" si="10"/>
        <v>28</v>
      </c>
      <c r="V18" s="17">
        <f t="shared" si="10"/>
        <v>55</v>
      </c>
      <c r="W18" s="17">
        <f t="shared" si="10"/>
        <v>0</v>
      </c>
      <c r="X18" s="17">
        <f t="shared" si="10"/>
        <v>0</v>
      </c>
      <c r="Y18" s="17">
        <f t="shared" si="10"/>
        <v>14</v>
      </c>
      <c r="Z18" s="17">
        <f t="shared" si="10"/>
        <v>1</v>
      </c>
      <c r="AA18" s="17">
        <f t="shared" si="10"/>
        <v>2</v>
      </c>
      <c r="AB18" s="17">
        <f t="shared" si="10"/>
        <v>1</v>
      </c>
      <c r="AC18" s="17">
        <f t="shared" si="10"/>
        <v>285</v>
      </c>
      <c r="AD18" s="17">
        <f t="shared" si="10"/>
        <v>0</v>
      </c>
      <c r="AE18" s="31">
        <f t="shared" si="10"/>
        <v>381</v>
      </c>
      <c r="AF18" s="31">
        <f t="shared" si="10"/>
        <v>666</v>
      </c>
    </row>
    <row r="19" spans="2:32" ht="23.1" customHeight="1">
      <c r="B19" s="23" t="s">
        <v>46</v>
      </c>
      <c r="C19" s="50">
        <v>91</v>
      </c>
      <c r="D19" s="50">
        <v>14</v>
      </c>
      <c r="E19" s="50">
        <v>6</v>
      </c>
      <c r="F19" s="50">
        <v>13</v>
      </c>
      <c r="G19" s="50">
        <v>0</v>
      </c>
      <c r="H19" s="50">
        <v>0</v>
      </c>
      <c r="I19" s="50">
        <v>4</v>
      </c>
      <c r="J19" s="50">
        <v>1</v>
      </c>
      <c r="K19" s="50">
        <v>0</v>
      </c>
      <c r="L19" s="50">
        <v>0</v>
      </c>
      <c r="M19" s="50">
        <v>110</v>
      </c>
      <c r="N19" s="50">
        <v>0</v>
      </c>
      <c r="O19" s="15">
        <f t="shared" si="0"/>
        <v>129</v>
      </c>
      <c r="P19" s="15">
        <f t="shared" si="1"/>
        <v>239</v>
      </c>
      <c r="R19" s="1" t="s">
        <v>15</v>
      </c>
      <c r="S19" s="17">
        <f t="shared" ref="S19:AF19" si="11">SUM(C46:C49)</f>
        <v>282</v>
      </c>
      <c r="T19" s="17">
        <f t="shared" si="11"/>
        <v>48</v>
      </c>
      <c r="U19" s="17">
        <f t="shared" si="11"/>
        <v>32</v>
      </c>
      <c r="V19" s="17">
        <f t="shared" si="11"/>
        <v>53</v>
      </c>
      <c r="W19" s="17">
        <f t="shared" si="11"/>
        <v>1</v>
      </c>
      <c r="X19" s="17">
        <f t="shared" si="11"/>
        <v>0</v>
      </c>
      <c r="Y19" s="17">
        <f t="shared" si="11"/>
        <v>12</v>
      </c>
      <c r="Z19" s="17">
        <f t="shared" si="11"/>
        <v>0</v>
      </c>
      <c r="AA19" s="17">
        <f t="shared" si="11"/>
        <v>0</v>
      </c>
      <c r="AB19" s="17">
        <f t="shared" si="11"/>
        <v>1</v>
      </c>
      <c r="AC19" s="17">
        <f t="shared" si="11"/>
        <v>322</v>
      </c>
      <c r="AD19" s="17">
        <f t="shared" si="11"/>
        <v>0</v>
      </c>
      <c r="AE19" s="31">
        <f t="shared" si="11"/>
        <v>429</v>
      </c>
      <c r="AF19" s="31">
        <f t="shared" si="11"/>
        <v>751</v>
      </c>
    </row>
    <row r="20" spans="2:32" ht="23.1" customHeight="1">
      <c r="B20" s="23" t="s">
        <v>47</v>
      </c>
      <c r="C20" s="50">
        <v>125</v>
      </c>
      <c r="D20" s="50">
        <v>10</v>
      </c>
      <c r="E20" s="50">
        <v>9</v>
      </c>
      <c r="F20" s="50">
        <v>15</v>
      </c>
      <c r="G20" s="50">
        <v>0</v>
      </c>
      <c r="H20" s="50">
        <v>0</v>
      </c>
      <c r="I20" s="50">
        <v>5</v>
      </c>
      <c r="J20" s="50">
        <v>1</v>
      </c>
      <c r="K20" s="50">
        <v>0</v>
      </c>
      <c r="L20" s="50">
        <v>1</v>
      </c>
      <c r="M20" s="50">
        <v>120</v>
      </c>
      <c r="N20" s="50">
        <v>0</v>
      </c>
      <c r="O20" s="15">
        <f t="shared" si="0"/>
        <v>166</v>
      </c>
      <c r="P20" s="15">
        <f t="shared" si="1"/>
        <v>286</v>
      </c>
      <c r="R20" s="1" t="s">
        <v>16</v>
      </c>
      <c r="S20" s="17">
        <f t="shared" ref="S20:AF20" si="12">SUM(C50:C53)</f>
        <v>211</v>
      </c>
      <c r="T20" s="17">
        <f t="shared" si="12"/>
        <v>29</v>
      </c>
      <c r="U20" s="17">
        <f t="shared" si="12"/>
        <v>24</v>
      </c>
      <c r="V20" s="17">
        <f t="shared" si="12"/>
        <v>56</v>
      </c>
      <c r="W20" s="17">
        <f t="shared" si="12"/>
        <v>6</v>
      </c>
      <c r="X20" s="17">
        <f t="shared" si="12"/>
        <v>0</v>
      </c>
      <c r="Y20" s="17">
        <f t="shared" si="12"/>
        <v>21</v>
      </c>
      <c r="Z20" s="17">
        <f t="shared" si="12"/>
        <v>2</v>
      </c>
      <c r="AA20" s="17">
        <f t="shared" si="12"/>
        <v>1</v>
      </c>
      <c r="AB20" s="17">
        <f t="shared" si="12"/>
        <v>0</v>
      </c>
      <c r="AC20" s="17">
        <f t="shared" si="12"/>
        <v>400</v>
      </c>
      <c r="AD20" s="17">
        <f t="shared" si="12"/>
        <v>0</v>
      </c>
      <c r="AE20" s="31">
        <f t="shared" si="12"/>
        <v>350</v>
      </c>
      <c r="AF20" s="31">
        <f t="shared" si="12"/>
        <v>750</v>
      </c>
    </row>
    <row r="21" spans="2:32" ht="23.1" customHeight="1">
      <c r="B21" s="23" t="s">
        <v>48</v>
      </c>
      <c r="C21" s="50">
        <v>60</v>
      </c>
      <c r="D21" s="50">
        <v>6</v>
      </c>
      <c r="E21" s="50">
        <v>5</v>
      </c>
      <c r="F21" s="50">
        <v>11</v>
      </c>
      <c r="G21" s="50">
        <v>0</v>
      </c>
      <c r="H21" s="50">
        <v>0</v>
      </c>
      <c r="I21" s="50">
        <v>3</v>
      </c>
      <c r="J21" s="50">
        <v>0</v>
      </c>
      <c r="K21" s="50">
        <v>0</v>
      </c>
      <c r="L21" s="50">
        <v>0</v>
      </c>
      <c r="M21" s="50">
        <v>87</v>
      </c>
      <c r="N21" s="50">
        <v>0</v>
      </c>
      <c r="O21" s="15">
        <f t="shared" si="0"/>
        <v>85</v>
      </c>
      <c r="P21" s="15">
        <f t="shared" si="1"/>
        <v>172</v>
      </c>
      <c r="R21" s="36" t="s">
        <v>20</v>
      </c>
      <c r="S21" s="34">
        <f t="shared" ref="S21:AF21" si="13">SUM(C54:C57)</f>
        <v>145</v>
      </c>
      <c r="T21" s="17">
        <f t="shared" si="13"/>
        <v>20</v>
      </c>
      <c r="U21" s="17">
        <f t="shared" si="13"/>
        <v>18</v>
      </c>
      <c r="V21" s="17">
        <f t="shared" si="13"/>
        <v>50</v>
      </c>
      <c r="W21" s="17">
        <f t="shared" si="13"/>
        <v>5</v>
      </c>
      <c r="X21" s="17">
        <f t="shared" si="13"/>
        <v>0</v>
      </c>
      <c r="Y21" s="17">
        <f t="shared" si="13"/>
        <v>16</v>
      </c>
      <c r="Z21" s="17">
        <f t="shared" si="13"/>
        <v>2</v>
      </c>
      <c r="AA21" s="17">
        <f t="shared" si="13"/>
        <v>0</v>
      </c>
      <c r="AB21" s="17">
        <f t="shared" si="13"/>
        <v>0</v>
      </c>
      <c r="AC21" s="17">
        <f t="shared" si="13"/>
        <v>415</v>
      </c>
      <c r="AD21" s="17">
        <f t="shared" si="13"/>
        <v>0</v>
      </c>
      <c r="AE21" s="31">
        <f t="shared" si="13"/>
        <v>256</v>
      </c>
      <c r="AF21" s="31">
        <f t="shared" si="13"/>
        <v>671</v>
      </c>
    </row>
    <row r="22" spans="2:32" ht="23.1" customHeight="1">
      <c r="B22" s="23" t="s">
        <v>49</v>
      </c>
      <c r="C22" s="50">
        <v>105</v>
      </c>
      <c r="D22" s="50">
        <v>20</v>
      </c>
      <c r="E22" s="50">
        <v>10</v>
      </c>
      <c r="F22" s="50">
        <v>15</v>
      </c>
      <c r="G22" s="50">
        <v>0</v>
      </c>
      <c r="H22" s="50">
        <v>0</v>
      </c>
      <c r="I22" s="50">
        <v>7</v>
      </c>
      <c r="J22" s="50">
        <v>0</v>
      </c>
      <c r="K22" s="50">
        <v>0</v>
      </c>
      <c r="L22" s="50">
        <v>1</v>
      </c>
      <c r="M22" s="50">
        <v>71</v>
      </c>
      <c r="N22" s="50">
        <v>0</v>
      </c>
      <c r="O22" s="15">
        <f t="shared" si="0"/>
        <v>158</v>
      </c>
      <c r="P22" s="15">
        <f t="shared" si="1"/>
        <v>229</v>
      </c>
      <c r="R22" s="38" t="s">
        <v>90</v>
      </c>
      <c r="S22" s="39">
        <f>MAX(S10:S12)</f>
        <v>655</v>
      </c>
      <c r="T22" s="39">
        <f t="shared" ref="T22:AF22" si="14">MAX(T10:T12)</f>
        <v>83</v>
      </c>
      <c r="U22" s="39">
        <f t="shared" si="14"/>
        <v>31</v>
      </c>
      <c r="V22" s="39">
        <f t="shared" si="14"/>
        <v>82</v>
      </c>
      <c r="W22" s="39">
        <f t="shared" si="14"/>
        <v>1</v>
      </c>
      <c r="X22" s="39">
        <f t="shared" si="14"/>
        <v>0</v>
      </c>
      <c r="Y22" s="39">
        <f t="shared" si="14"/>
        <v>17</v>
      </c>
      <c r="Z22" s="39">
        <f t="shared" si="14"/>
        <v>7</v>
      </c>
      <c r="AA22" s="39">
        <f t="shared" si="14"/>
        <v>3</v>
      </c>
      <c r="AB22" s="39">
        <f t="shared" si="14"/>
        <v>1</v>
      </c>
      <c r="AC22" s="39">
        <f t="shared" si="14"/>
        <v>582</v>
      </c>
      <c r="AD22" s="39">
        <f t="shared" si="14"/>
        <v>0</v>
      </c>
      <c r="AE22" s="40">
        <f t="shared" si="14"/>
        <v>835</v>
      </c>
      <c r="AF22" s="40">
        <f t="shared" si="14"/>
        <v>1383</v>
      </c>
    </row>
    <row r="23" spans="2:32" ht="23.1" customHeight="1">
      <c r="B23" s="23" t="s">
        <v>50</v>
      </c>
      <c r="C23" s="50">
        <v>87</v>
      </c>
      <c r="D23" s="50">
        <v>12</v>
      </c>
      <c r="E23" s="50">
        <v>10</v>
      </c>
      <c r="F23" s="50">
        <v>16</v>
      </c>
      <c r="G23" s="50">
        <v>1</v>
      </c>
      <c r="H23" s="50">
        <v>0</v>
      </c>
      <c r="I23" s="50">
        <v>5</v>
      </c>
      <c r="J23" s="50">
        <v>0</v>
      </c>
      <c r="K23" s="50">
        <v>0</v>
      </c>
      <c r="L23" s="50">
        <v>0</v>
      </c>
      <c r="M23" s="50">
        <v>76</v>
      </c>
      <c r="N23" s="50">
        <v>0</v>
      </c>
      <c r="O23" s="15">
        <f t="shared" si="0"/>
        <v>131</v>
      </c>
      <c r="P23" s="15">
        <f t="shared" si="1"/>
        <v>207</v>
      </c>
      <c r="R23" s="38" t="s">
        <v>91</v>
      </c>
      <c r="S23" s="39">
        <f>MAX(S13:S18)</f>
        <v>317</v>
      </c>
      <c r="T23" s="39">
        <f t="shared" ref="T23:AF23" si="15">MAX(T13:T18)</f>
        <v>62</v>
      </c>
      <c r="U23" s="39">
        <f t="shared" si="15"/>
        <v>37</v>
      </c>
      <c r="V23" s="39">
        <f t="shared" si="15"/>
        <v>66</v>
      </c>
      <c r="W23" s="39">
        <f t="shared" si="15"/>
        <v>1</v>
      </c>
      <c r="X23" s="39">
        <f t="shared" si="15"/>
        <v>0</v>
      </c>
      <c r="Y23" s="39">
        <f t="shared" si="15"/>
        <v>26</v>
      </c>
      <c r="Z23" s="39">
        <f t="shared" si="15"/>
        <v>8</v>
      </c>
      <c r="AA23" s="39">
        <f t="shared" si="15"/>
        <v>2</v>
      </c>
      <c r="AB23" s="39">
        <f t="shared" si="15"/>
        <v>2</v>
      </c>
      <c r="AC23" s="39">
        <f t="shared" si="15"/>
        <v>359</v>
      </c>
      <c r="AD23" s="39">
        <f t="shared" si="15"/>
        <v>0</v>
      </c>
      <c r="AE23" s="40">
        <f t="shared" si="15"/>
        <v>500</v>
      </c>
      <c r="AF23" s="40">
        <f t="shared" si="15"/>
        <v>838</v>
      </c>
    </row>
    <row r="24" spans="2:32" ht="23.1" customHeight="1">
      <c r="B24" s="23" t="s">
        <v>51</v>
      </c>
      <c r="C24" s="50">
        <v>75</v>
      </c>
      <c r="D24" s="50">
        <v>20</v>
      </c>
      <c r="E24" s="50">
        <v>12</v>
      </c>
      <c r="F24" s="50">
        <v>15</v>
      </c>
      <c r="G24" s="50">
        <v>0</v>
      </c>
      <c r="H24" s="50">
        <v>0</v>
      </c>
      <c r="I24" s="50">
        <v>3</v>
      </c>
      <c r="J24" s="50">
        <v>1</v>
      </c>
      <c r="K24" s="50">
        <v>0</v>
      </c>
      <c r="L24" s="50">
        <v>1</v>
      </c>
      <c r="M24" s="50">
        <v>80</v>
      </c>
      <c r="N24" s="50">
        <v>0</v>
      </c>
      <c r="O24" s="15">
        <f t="shared" si="0"/>
        <v>127</v>
      </c>
      <c r="P24" s="15">
        <f t="shared" si="1"/>
        <v>207</v>
      </c>
      <c r="R24" s="38" t="s">
        <v>92</v>
      </c>
      <c r="S24" s="39">
        <f>MAX(S19:S21)</f>
        <v>282</v>
      </c>
      <c r="T24" s="39">
        <f t="shared" ref="T24:AF24" si="16">MAX(T19:T21)</f>
        <v>48</v>
      </c>
      <c r="U24" s="39">
        <f t="shared" si="16"/>
        <v>32</v>
      </c>
      <c r="V24" s="39">
        <f t="shared" si="16"/>
        <v>56</v>
      </c>
      <c r="W24" s="39">
        <f t="shared" si="16"/>
        <v>6</v>
      </c>
      <c r="X24" s="39">
        <f t="shared" si="16"/>
        <v>0</v>
      </c>
      <c r="Y24" s="39">
        <f t="shared" si="16"/>
        <v>21</v>
      </c>
      <c r="Z24" s="39">
        <f t="shared" si="16"/>
        <v>2</v>
      </c>
      <c r="AA24" s="39">
        <f t="shared" si="16"/>
        <v>1</v>
      </c>
      <c r="AB24" s="39">
        <f t="shared" si="16"/>
        <v>1</v>
      </c>
      <c r="AC24" s="39">
        <f t="shared" si="16"/>
        <v>415</v>
      </c>
      <c r="AD24" s="39">
        <f t="shared" si="16"/>
        <v>0</v>
      </c>
      <c r="AE24" s="40">
        <f t="shared" si="16"/>
        <v>429</v>
      </c>
      <c r="AF24" s="40">
        <f t="shared" si="16"/>
        <v>751</v>
      </c>
    </row>
    <row r="25" spans="2:32" ht="23.1" customHeight="1">
      <c r="B25" s="23" t="s">
        <v>52</v>
      </c>
      <c r="C25" s="50">
        <v>50</v>
      </c>
      <c r="D25" s="50">
        <v>10</v>
      </c>
      <c r="E25" s="50">
        <v>5</v>
      </c>
      <c r="F25" s="50">
        <v>13</v>
      </c>
      <c r="G25" s="50">
        <v>0</v>
      </c>
      <c r="H25" s="50">
        <v>0</v>
      </c>
      <c r="I25" s="50">
        <v>4</v>
      </c>
      <c r="J25" s="50">
        <v>1</v>
      </c>
      <c r="K25" s="50">
        <v>1</v>
      </c>
      <c r="L25" s="50">
        <v>0</v>
      </c>
      <c r="M25" s="50">
        <v>111</v>
      </c>
      <c r="N25" s="50">
        <v>0</v>
      </c>
      <c r="O25" s="15">
        <f t="shared" si="0"/>
        <v>84</v>
      </c>
      <c r="P25" s="15">
        <f t="shared" si="1"/>
        <v>195</v>
      </c>
      <c r="R25" s="37" t="s">
        <v>85</v>
      </c>
      <c r="S25" s="35">
        <f t="shared" ref="S25:AF25" si="17">SUM(S10:S12)</f>
        <v>1630</v>
      </c>
      <c r="T25" s="16">
        <f t="shared" si="17"/>
        <v>190</v>
      </c>
      <c r="U25" s="16">
        <f t="shared" si="17"/>
        <v>90</v>
      </c>
      <c r="V25" s="16">
        <f t="shared" si="17"/>
        <v>214</v>
      </c>
      <c r="W25" s="16">
        <f t="shared" si="17"/>
        <v>1</v>
      </c>
      <c r="X25" s="16">
        <f t="shared" si="17"/>
        <v>0</v>
      </c>
      <c r="Y25" s="16">
        <f t="shared" si="17"/>
        <v>43</v>
      </c>
      <c r="Z25" s="16">
        <f t="shared" si="17"/>
        <v>10</v>
      </c>
      <c r="AA25" s="16">
        <f t="shared" si="17"/>
        <v>3</v>
      </c>
      <c r="AB25" s="16">
        <f t="shared" si="17"/>
        <v>1</v>
      </c>
      <c r="AC25" s="16">
        <f t="shared" si="17"/>
        <v>1508</v>
      </c>
      <c r="AD25" s="16">
        <f t="shared" si="17"/>
        <v>0</v>
      </c>
      <c r="AE25" s="32">
        <f t="shared" si="17"/>
        <v>2182</v>
      </c>
      <c r="AF25" s="32">
        <f t="shared" si="17"/>
        <v>3690</v>
      </c>
    </row>
    <row r="26" spans="2:32" ht="23.1" customHeight="1">
      <c r="B26" s="23" t="s">
        <v>53</v>
      </c>
      <c r="C26" s="50">
        <v>90</v>
      </c>
      <c r="D26" s="50">
        <v>16</v>
      </c>
      <c r="E26" s="50">
        <v>10</v>
      </c>
      <c r="F26" s="50">
        <v>19</v>
      </c>
      <c r="G26" s="50">
        <v>0</v>
      </c>
      <c r="H26" s="50">
        <v>0</v>
      </c>
      <c r="I26" s="50">
        <v>3</v>
      </c>
      <c r="J26" s="50">
        <v>0</v>
      </c>
      <c r="K26" s="50">
        <v>0</v>
      </c>
      <c r="L26" s="50">
        <v>0</v>
      </c>
      <c r="M26" s="50">
        <v>65</v>
      </c>
      <c r="N26" s="50">
        <v>0</v>
      </c>
      <c r="O26" s="15">
        <f t="shared" si="0"/>
        <v>138</v>
      </c>
      <c r="P26" s="15">
        <f t="shared" si="1"/>
        <v>203</v>
      </c>
      <c r="R26" s="28" t="s">
        <v>86</v>
      </c>
      <c r="S26" s="16">
        <f t="shared" ref="S26:AF26" si="18">SUM(S13:S18)</f>
        <v>1619</v>
      </c>
      <c r="T26" s="16">
        <f t="shared" si="18"/>
        <v>235</v>
      </c>
      <c r="U26" s="16">
        <f t="shared" si="18"/>
        <v>159</v>
      </c>
      <c r="V26" s="16">
        <f t="shared" si="18"/>
        <v>344</v>
      </c>
      <c r="W26" s="16">
        <f t="shared" si="18"/>
        <v>3</v>
      </c>
      <c r="X26" s="16">
        <f t="shared" si="18"/>
        <v>0</v>
      </c>
      <c r="Y26" s="16">
        <f t="shared" si="18"/>
        <v>122</v>
      </c>
      <c r="Z26" s="16">
        <f t="shared" si="18"/>
        <v>20</v>
      </c>
      <c r="AA26" s="16">
        <f t="shared" si="18"/>
        <v>4</v>
      </c>
      <c r="AB26" s="16">
        <f t="shared" si="18"/>
        <v>5</v>
      </c>
      <c r="AC26" s="16">
        <f t="shared" si="18"/>
        <v>1987</v>
      </c>
      <c r="AD26" s="16">
        <f t="shared" si="18"/>
        <v>0</v>
      </c>
      <c r="AE26" s="32">
        <f t="shared" si="18"/>
        <v>2511</v>
      </c>
      <c r="AF26" s="32">
        <f t="shared" si="18"/>
        <v>4498</v>
      </c>
    </row>
    <row r="27" spans="2:32" ht="23.1" customHeight="1">
      <c r="B27" s="23" t="s">
        <v>54</v>
      </c>
      <c r="C27" s="50">
        <v>85</v>
      </c>
      <c r="D27" s="50">
        <v>8</v>
      </c>
      <c r="E27" s="50">
        <v>7</v>
      </c>
      <c r="F27" s="50">
        <v>17</v>
      </c>
      <c r="G27" s="50">
        <v>0</v>
      </c>
      <c r="H27" s="50">
        <v>0</v>
      </c>
      <c r="I27" s="50">
        <v>7</v>
      </c>
      <c r="J27" s="50">
        <v>1</v>
      </c>
      <c r="K27" s="50">
        <v>1</v>
      </c>
      <c r="L27" s="50">
        <v>1</v>
      </c>
      <c r="M27" s="50">
        <v>85</v>
      </c>
      <c r="N27" s="50">
        <v>0</v>
      </c>
      <c r="O27" s="15">
        <f t="shared" si="0"/>
        <v>127</v>
      </c>
      <c r="P27" s="15">
        <f t="shared" si="1"/>
        <v>212</v>
      </c>
      <c r="R27" s="29" t="s">
        <v>87</v>
      </c>
      <c r="S27" s="16">
        <f t="shared" ref="S27:AF27" si="19">SUM(S19:S21)</f>
        <v>638</v>
      </c>
      <c r="T27" s="16">
        <f t="shared" si="19"/>
        <v>97</v>
      </c>
      <c r="U27" s="16">
        <f t="shared" si="19"/>
        <v>74</v>
      </c>
      <c r="V27" s="16">
        <f t="shared" si="19"/>
        <v>159</v>
      </c>
      <c r="W27" s="16">
        <f t="shared" si="19"/>
        <v>12</v>
      </c>
      <c r="X27" s="16">
        <f t="shared" si="19"/>
        <v>0</v>
      </c>
      <c r="Y27" s="16">
        <f t="shared" si="19"/>
        <v>49</v>
      </c>
      <c r="Z27" s="16">
        <f t="shared" si="19"/>
        <v>4</v>
      </c>
      <c r="AA27" s="16">
        <f t="shared" si="19"/>
        <v>1</v>
      </c>
      <c r="AB27" s="16">
        <f t="shared" si="19"/>
        <v>1</v>
      </c>
      <c r="AC27" s="16">
        <f t="shared" si="19"/>
        <v>1137</v>
      </c>
      <c r="AD27" s="16">
        <f t="shared" si="19"/>
        <v>0</v>
      </c>
      <c r="AE27" s="32">
        <f t="shared" si="19"/>
        <v>1035</v>
      </c>
      <c r="AF27" s="32">
        <f t="shared" si="19"/>
        <v>2172</v>
      </c>
    </row>
    <row r="28" spans="2:32" ht="23.1" customHeight="1">
      <c r="B28" s="23" t="s">
        <v>55</v>
      </c>
      <c r="C28" s="50">
        <v>60</v>
      </c>
      <c r="D28" s="50">
        <v>9</v>
      </c>
      <c r="E28" s="50">
        <v>8</v>
      </c>
      <c r="F28" s="50">
        <v>18</v>
      </c>
      <c r="G28" s="50">
        <v>0</v>
      </c>
      <c r="H28" s="50">
        <v>0</v>
      </c>
      <c r="I28" s="50">
        <v>9</v>
      </c>
      <c r="J28" s="50">
        <v>4</v>
      </c>
      <c r="K28" s="50">
        <v>0</v>
      </c>
      <c r="L28" s="50">
        <v>0</v>
      </c>
      <c r="M28" s="50">
        <v>105</v>
      </c>
      <c r="N28" s="50">
        <v>0</v>
      </c>
      <c r="O28" s="15">
        <f t="shared" si="0"/>
        <v>108</v>
      </c>
      <c r="P28" s="15">
        <f t="shared" si="1"/>
        <v>213</v>
      </c>
      <c r="R28" s="5" t="s">
        <v>17</v>
      </c>
      <c r="S28" s="16">
        <f t="shared" ref="S28:AF28" si="20">SUM(S10:S21)</f>
        <v>3887</v>
      </c>
      <c r="T28" s="16">
        <f t="shared" si="20"/>
        <v>522</v>
      </c>
      <c r="U28" s="16">
        <f t="shared" si="20"/>
        <v>323</v>
      </c>
      <c r="V28" s="16">
        <f t="shared" si="20"/>
        <v>717</v>
      </c>
      <c r="W28" s="16">
        <f t="shared" si="20"/>
        <v>16</v>
      </c>
      <c r="X28" s="16">
        <f t="shared" si="20"/>
        <v>0</v>
      </c>
      <c r="Y28" s="16">
        <f t="shared" si="20"/>
        <v>214</v>
      </c>
      <c r="Z28" s="16">
        <f t="shared" si="20"/>
        <v>34</v>
      </c>
      <c r="AA28" s="16">
        <f t="shared" si="20"/>
        <v>8</v>
      </c>
      <c r="AB28" s="16">
        <f t="shared" si="20"/>
        <v>7</v>
      </c>
      <c r="AC28" s="16">
        <f t="shared" si="20"/>
        <v>4632</v>
      </c>
      <c r="AD28" s="16">
        <f t="shared" si="20"/>
        <v>0</v>
      </c>
      <c r="AE28" s="32">
        <f t="shared" si="20"/>
        <v>5728</v>
      </c>
      <c r="AF28" s="32">
        <f t="shared" si="20"/>
        <v>10360</v>
      </c>
    </row>
    <row r="29" spans="2:32" ht="23.1" customHeight="1">
      <c r="B29" s="23" t="s">
        <v>56</v>
      </c>
      <c r="C29" s="50">
        <v>40</v>
      </c>
      <c r="D29" s="50">
        <v>8</v>
      </c>
      <c r="E29" s="50">
        <v>8</v>
      </c>
      <c r="F29" s="50">
        <v>12</v>
      </c>
      <c r="G29" s="50">
        <v>0</v>
      </c>
      <c r="H29" s="50">
        <v>0</v>
      </c>
      <c r="I29" s="50">
        <v>7</v>
      </c>
      <c r="J29" s="50">
        <v>3</v>
      </c>
      <c r="K29" s="50">
        <v>0</v>
      </c>
      <c r="L29" s="50">
        <v>0</v>
      </c>
      <c r="M29" s="50">
        <v>70</v>
      </c>
      <c r="N29" s="50">
        <v>0</v>
      </c>
      <c r="O29" s="15">
        <f t="shared" si="0"/>
        <v>78</v>
      </c>
      <c r="P29" s="15">
        <f t="shared" si="1"/>
        <v>148</v>
      </c>
      <c r="R29"/>
      <c r="S29" s="20"/>
      <c r="T29" s="19"/>
    </row>
    <row r="30" spans="2:32" ht="23.1" customHeight="1">
      <c r="B30" s="23" t="s">
        <v>57</v>
      </c>
      <c r="C30" s="50">
        <v>75</v>
      </c>
      <c r="D30" s="50">
        <v>11</v>
      </c>
      <c r="E30" s="50">
        <v>3</v>
      </c>
      <c r="F30" s="50">
        <v>16</v>
      </c>
      <c r="G30" s="50">
        <v>0</v>
      </c>
      <c r="H30" s="50">
        <v>0</v>
      </c>
      <c r="I30" s="50">
        <v>2</v>
      </c>
      <c r="J30" s="50">
        <v>0</v>
      </c>
      <c r="K30" s="50">
        <v>0</v>
      </c>
      <c r="L30" s="50">
        <v>0</v>
      </c>
      <c r="M30" s="50">
        <v>92</v>
      </c>
      <c r="N30" s="50">
        <v>0</v>
      </c>
      <c r="O30" s="15">
        <f t="shared" si="0"/>
        <v>107</v>
      </c>
      <c r="P30" s="15">
        <f t="shared" si="1"/>
        <v>199</v>
      </c>
    </row>
    <row r="31" spans="2:32" ht="23.1" customHeight="1">
      <c r="B31" s="24" t="s">
        <v>58</v>
      </c>
      <c r="C31" s="50">
        <v>45</v>
      </c>
      <c r="D31" s="50">
        <v>8</v>
      </c>
      <c r="E31" s="50">
        <v>2</v>
      </c>
      <c r="F31" s="50">
        <v>11</v>
      </c>
      <c r="G31" s="50">
        <v>0</v>
      </c>
      <c r="H31" s="50">
        <v>0</v>
      </c>
      <c r="I31" s="50">
        <v>6</v>
      </c>
      <c r="J31" s="50">
        <v>2</v>
      </c>
      <c r="K31" s="50">
        <v>0</v>
      </c>
      <c r="L31" s="50">
        <v>0</v>
      </c>
      <c r="M31" s="50">
        <v>88</v>
      </c>
      <c r="N31" s="50">
        <v>0</v>
      </c>
      <c r="O31" s="15">
        <f t="shared" si="0"/>
        <v>74</v>
      </c>
      <c r="P31" s="15">
        <f t="shared" si="1"/>
        <v>162</v>
      </c>
    </row>
    <row r="32" spans="2:32" ht="23.1" customHeight="1">
      <c r="B32" s="24" t="s">
        <v>59</v>
      </c>
      <c r="C32" s="50">
        <v>45</v>
      </c>
      <c r="D32" s="50">
        <v>4</v>
      </c>
      <c r="E32" s="50">
        <v>5</v>
      </c>
      <c r="F32" s="50">
        <v>11</v>
      </c>
      <c r="G32" s="50">
        <v>0</v>
      </c>
      <c r="H32" s="50">
        <v>0</v>
      </c>
      <c r="I32" s="50">
        <v>3</v>
      </c>
      <c r="J32" s="50">
        <v>1</v>
      </c>
      <c r="K32" s="50">
        <v>0</v>
      </c>
      <c r="L32" s="50">
        <v>0</v>
      </c>
      <c r="M32" s="50">
        <v>75</v>
      </c>
      <c r="N32" s="50">
        <v>0</v>
      </c>
      <c r="O32" s="15">
        <f t="shared" si="0"/>
        <v>69</v>
      </c>
      <c r="P32" s="15">
        <f t="shared" si="1"/>
        <v>144</v>
      </c>
    </row>
    <row r="33" spans="2:20" ht="23.1" customHeight="1">
      <c r="B33" s="23" t="s">
        <v>60</v>
      </c>
      <c r="C33" s="50">
        <v>61</v>
      </c>
      <c r="D33" s="50">
        <v>9</v>
      </c>
      <c r="E33" s="50">
        <v>3</v>
      </c>
      <c r="F33" s="50">
        <v>14</v>
      </c>
      <c r="G33" s="50">
        <v>0</v>
      </c>
      <c r="H33" s="50">
        <v>0</v>
      </c>
      <c r="I33" s="50">
        <v>9</v>
      </c>
      <c r="J33" s="50">
        <v>0</v>
      </c>
      <c r="K33" s="50">
        <v>0</v>
      </c>
      <c r="L33" s="50">
        <v>0</v>
      </c>
      <c r="M33" s="50">
        <v>101</v>
      </c>
      <c r="N33" s="50">
        <v>0</v>
      </c>
      <c r="O33" s="15">
        <f t="shared" si="0"/>
        <v>96</v>
      </c>
      <c r="P33" s="15">
        <f t="shared" si="1"/>
        <v>197</v>
      </c>
    </row>
    <row r="34" spans="2:20" ht="23.1" customHeight="1">
      <c r="B34" s="24" t="s">
        <v>61</v>
      </c>
      <c r="C34" s="50">
        <v>82</v>
      </c>
      <c r="D34" s="50">
        <v>7</v>
      </c>
      <c r="E34" s="50">
        <v>10</v>
      </c>
      <c r="F34" s="50">
        <v>15</v>
      </c>
      <c r="G34" s="50">
        <v>0</v>
      </c>
      <c r="H34" s="50">
        <v>0</v>
      </c>
      <c r="I34" s="50">
        <v>6</v>
      </c>
      <c r="J34" s="50">
        <v>2</v>
      </c>
      <c r="K34" s="50">
        <v>0</v>
      </c>
      <c r="L34" s="50">
        <v>0</v>
      </c>
      <c r="M34" s="50">
        <v>88</v>
      </c>
      <c r="N34" s="50">
        <v>0</v>
      </c>
      <c r="O34" s="15">
        <f t="shared" si="0"/>
        <v>122</v>
      </c>
      <c r="P34" s="15">
        <f t="shared" si="1"/>
        <v>210</v>
      </c>
    </row>
    <row r="35" spans="2:20" ht="23.1" customHeight="1">
      <c r="B35" s="24" t="s">
        <v>62</v>
      </c>
      <c r="C35" s="50">
        <v>70</v>
      </c>
      <c r="D35" s="50">
        <v>11</v>
      </c>
      <c r="E35" s="50">
        <v>5</v>
      </c>
      <c r="F35" s="50">
        <v>19</v>
      </c>
      <c r="G35" s="50">
        <v>0</v>
      </c>
      <c r="H35" s="50">
        <v>0</v>
      </c>
      <c r="I35" s="50">
        <v>6</v>
      </c>
      <c r="J35" s="50">
        <v>1</v>
      </c>
      <c r="K35" s="50">
        <v>0</v>
      </c>
      <c r="L35" s="50">
        <v>0</v>
      </c>
      <c r="M35" s="50">
        <v>90</v>
      </c>
      <c r="N35" s="50">
        <v>0</v>
      </c>
      <c r="O35" s="15">
        <f t="shared" si="0"/>
        <v>112</v>
      </c>
      <c r="P35" s="15">
        <f t="shared" si="1"/>
        <v>202</v>
      </c>
    </row>
    <row r="36" spans="2:20" ht="23.1" customHeight="1">
      <c r="B36" s="24" t="s">
        <v>63</v>
      </c>
      <c r="C36" s="50">
        <v>73</v>
      </c>
      <c r="D36" s="50">
        <v>9</v>
      </c>
      <c r="E36" s="50">
        <v>2</v>
      </c>
      <c r="F36" s="50">
        <v>11</v>
      </c>
      <c r="G36" s="50">
        <v>0</v>
      </c>
      <c r="H36" s="50">
        <v>0</v>
      </c>
      <c r="I36" s="50">
        <v>6</v>
      </c>
      <c r="J36" s="50">
        <v>0</v>
      </c>
      <c r="K36" s="50">
        <v>0</v>
      </c>
      <c r="L36" s="50">
        <v>0</v>
      </c>
      <c r="M36" s="50">
        <v>65</v>
      </c>
      <c r="N36" s="50">
        <v>0</v>
      </c>
      <c r="O36" s="15">
        <f t="shared" si="0"/>
        <v>101</v>
      </c>
      <c r="P36" s="15">
        <f t="shared" si="1"/>
        <v>166</v>
      </c>
    </row>
    <row r="37" spans="2:20" ht="23.1" customHeight="1">
      <c r="B37" s="23" t="s">
        <v>64</v>
      </c>
      <c r="C37" s="50">
        <v>92</v>
      </c>
      <c r="D37" s="50">
        <v>8</v>
      </c>
      <c r="E37" s="50">
        <v>10</v>
      </c>
      <c r="F37" s="50">
        <v>13</v>
      </c>
      <c r="G37" s="50">
        <v>1</v>
      </c>
      <c r="H37" s="50">
        <v>0</v>
      </c>
      <c r="I37" s="50">
        <v>3</v>
      </c>
      <c r="J37" s="50">
        <v>1</v>
      </c>
      <c r="K37" s="50">
        <v>0</v>
      </c>
      <c r="L37" s="50">
        <v>0</v>
      </c>
      <c r="M37" s="50">
        <v>81</v>
      </c>
      <c r="N37" s="50">
        <v>0</v>
      </c>
      <c r="O37" s="15">
        <f t="shared" si="0"/>
        <v>128</v>
      </c>
      <c r="P37" s="15">
        <f t="shared" si="1"/>
        <v>209</v>
      </c>
    </row>
    <row r="38" spans="2:20" ht="23.1" customHeight="1">
      <c r="B38" s="24" t="s">
        <v>65</v>
      </c>
      <c r="C38" s="50">
        <v>68</v>
      </c>
      <c r="D38" s="50">
        <v>8</v>
      </c>
      <c r="E38" s="50">
        <v>4</v>
      </c>
      <c r="F38" s="50">
        <v>13</v>
      </c>
      <c r="G38" s="50">
        <v>0</v>
      </c>
      <c r="H38" s="50">
        <v>0</v>
      </c>
      <c r="I38" s="50">
        <v>7</v>
      </c>
      <c r="J38" s="50">
        <v>1</v>
      </c>
      <c r="K38" s="50">
        <v>0</v>
      </c>
      <c r="L38" s="50">
        <v>0</v>
      </c>
      <c r="M38" s="50">
        <v>115</v>
      </c>
      <c r="N38" s="50">
        <v>0</v>
      </c>
      <c r="O38" s="15">
        <f t="shared" si="0"/>
        <v>101</v>
      </c>
      <c r="P38" s="15">
        <f t="shared" si="1"/>
        <v>216</v>
      </c>
    </row>
    <row r="39" spans="2:20" ht="23.1" customHeight="1">
      <c r="B39" s="24" t="s">
        <v>66</v>
      </c>
      <c r="C39" s="50">
        <v>49</v>
      </c>
      <c r="D39" s="50">
        <v>7</v>
      </c>
      <c r="E39" s="50">
        <v>7</v>
      </c>
      <c r="F39" s="50">
        <v>10</v>
      </c>
      <c r="G39" s="50">
        <v>1</v>
      </c>
      <c r="H39" s="50">
        <v>0</v>
      </c>
      <c r="I39" s="50">
        <v>7</v>
      </c>
      <c r="J39" s="50">
        <v>1</v>
      </c>
      <c r="K39" s="50">
        <v>0</v>
      </c>
      <c r="L39" s="50">
        <v>0</v>
      </c>
      <c r="M39" s="50">
        <v>80</v>
      </c>
      <c r="N39" s="50">
        <v>0</v>
      </c>
      <c r="O39" s="15">
        <f t="shared" si="0"/>
        <v>82</v>
      </c>
      <c r="P39" s="15">
        <f t="shared" si="1"/>
        <v>162</v>
      </c>
    </row>
    <row r="40" spans="2:20" ht="23.1" customHeight="1">
      <c r="B40" s="24" t="s">
        <v>67</v>
      </c>
      <c r="C40" s="50">
        <v>67</v>
      </c>
      <c r="D40" s="50">
        <v>9</v>
      </c>
      <c r="E40" s="50">
        <v>2</v>
      </c>
      <c r="F40" s="50">
        <v>16</v>
      </c>
      <c r="G40" s="50">
        <v>0</v>
      </c>
      <c r="H40" s="50">
        <v>0</v>
      </c>
      <c r="I40" s="50">
        <v>3</v>
      </c>
      <c r="J40" s="50">
        <v>0</v>
      </c>
      <c r="K40" s="50">
        <v>0</v>
      </c>
      <c r="L40" s="50">
        <v>0</v>
      </c>
      <c r="M40" s="50">
        <v>84</v>
      </c>
      <c r="N40" s="50">
        <v>0</v>
      </c>
      <c r="O40" s="15">
        <f t="shared" si="0"/>
        <v>97</v>
      </c>
      <c r="P40" s="15">
        <f t="shared" si="1"/>
        <v>181</v>
      </c>
    </row>
    <row r="41" spans="2:20" ht="23.1" customHeight="1">
      <c r="B41" s="23" t="s">
        <v>68</v>
      </c>
      <c r="C41" s="50">
        <v>55</v>
      </c>
      <c r="D41" s="50">
        <v>6</v>
      </c>
      <c r="E41" s="50">
        <v>8</v>
      </c>
      <c r="F41" s="50">
        <v>15</v>
      </c>
      <c r="G41" s="50">
        <v>0</v>
      </c>
      <c r="H41" s="50">
        <v>0</v>
      </c>
      <c r="I41" s="50">
        <v>5</v>
      </c>
      <c r="J41" s="50">
        <v>0</v>
      </c>
      <c r="K41" s="50">
        <v>0</v>
      </c>
      <c r="L41" s="50">
        <v>1</v>
      </c>
      <c r="M41" s="50">
        <v>80</v>
      </c>
      <c r="N41" s="50">
        <v>0</v>
      </c>
      <c r="O41" s="15">
        <f t="shared" si="0"/>
        <v>90</v>
      </c>
      <c r="P41" s="15">
        <f t="shared" si="1"/>
        <v>170</v>
      </c>
    </row>
    <row r="42" spans="2:20" ht="23.1" customHeight="1">
      <c r="B42" s="24" t="s">
        <v>69</v>
      </c>
      <c r="C42" s="50">
        <v>51</v>
      </c>
      <c r="D42" s="50">
        <v>6</v>
      </c>
      <c r="E42" s="50">
        <v>8</v>
      </c>
      <c r="F42" s="50">
        <v>14</v>
      </c>
      <c r="G42" s="50">
        <v>0</v>
      </c>
      <c r="H42" s="50">
        <v>0</v>
      </c>
      <c r="I42" s="50">
        <v>6</v>
      </c>
      <c r="J42" s="50">
        <v>0</v>
      </c>
      <c r="K42" s="50">
        <v>0</v>
      </c>
      <c r="L42" s="50">
        <v>0</v>
      </c>
      <c r="M42" s="50">
        <v>75</v>
      </c>
      <c r="N42" s="50">
        <v>0</v>
      </c>
      <c r="O42" s="15">
        <f t="shared" si="0"/>
        <v>85</v>
      </c>
      <c r="P42" s="15">
        <f t="shared" si="1"/>
        <v>160</v>
      </c>
    </row>
    <row r="43" spans="2:20" ht="23.1" customHeight="1">
      <c r="B43" s="23" t="s">
        <v>70</v>
      </c>
      <c r="C43" s="50">
        <v>70</v>
      </c>
      <c r="D43" s="50">
        <v>9</v>
      </c>
      <c r="E43" s="50">
        <v>4</v>
      </c>
      <c r="F43" s="50">
        <v>19</v>
      </c>
      <c r="G43" s="50">
        <v>0</v>
      </c>
      <c r="H43" s="50">
        <v>0</v>
      </c>
      <c r="I43" s="50">
        <v>2</v>
      </c>
      <c r="J43" s="50">
        <v>1</v>
      </c>
      <c r="K43" s="50">
        <v>1</v>
      </c>
      <c r="L43" s="50">
        <v>0</v>
      </c>
      <c r="M43" s="50">
        <v>65</v>
      </c>
      <c r="N43" s="50">
        <v>0</v>
      </c>
      <c r="O43" s="15">
        <f t="shared" si="0"/>
        <v>106</v>
      </c>
      <c r="P43" s="15">
        <f t="shared" si="1"/>
        <v>171</v>
      </c>
    </row>
    <row r="44" spans="2:20" ht="23.1" customHeight="1">
      <c r="B44" s="25" t="s">
        <v>71</v>
      </c>
      <c r="C44" s="50">
        <v>77</v>
      </c>
      <c r="D44" s="50">
        <v>6</v>
      </c>
      <c r="E44" s="50">
        <v>7</v>
      </c>
      <c r="F44" s="50">
        <v>8</v>
      </c>
      <c r="G44" s="50">
        <v>0</v>
      </c>
      <c r="H44" s="50">
        <v>0</v>
      </c>
      <c r="I44" s="50">
        <v>3</v>
      </c>
      <c r="J44" s="50">
        <v>0</v>
      </c>
      <c r="K44" s="50">
        <v>1</v>
      </c>
      <c r="L44" s="50">
        <v>1</v>
      </c>
      <c r="M44" s="50">
        <v>55</v>
      </c>
      <c r="N44" s="50">
        <v>0</v>
      </c>
      <c r="O44" s="15">
        <f t="shared" si="0"/>
        <v>103</v>
      </c>
      <c r="P44" s="15">
        <f t="shared" si="1"/>
        <v>158</v>
      </c>
    </row>
    <row r="45" spans="2:20" ht="23.1" customHeight="1">
      <c r="B45" s="23" t="s">
        <v>72</v>
      </c>
      <c r="C45" s="50">
        <v>47</v>
      </c>
      <c r="D45" s="50">
        <v>14</v>
      </c>
      <c r="E45" s="50">
        <v>9</v>
      </c>
      <c r="F45" s="50">
        <v>14</v>
      </c>
      <c r="G45" s="50">
        <v>0</v>
      </c>
      <c r="H45" s="50">
        <v>0</v>
      </c>
      <c r="I45" s="50">
        <v>3</v>
      </c>
      <c r="J45" s="50">
        <v>0</v>
      </c>
      <c r="K45" s="50">
        <v>0</v>
      </c>
      <c r="L45" s="50">
        <v>0</v>
      </c>
      <c r="M45" s="50">
        <v>90</v>
      </c>
      <c r="N45" s="50">
        <v>0</v>
      </c>
      <c r="O45" s="15">
        <f t="shared" si="0"/>
        <v>87</v>
      </c>
      <c r="P45" s="15">
        <f t="shared" si="1"/>
        <v>177</v>
      </c>
    </row>
    <row r="46" spans="2:20" ht="23.1" customHeight="1">
      <c r="B46" s="24" t="s">
        <v>73</v>
      </c>
      <c r="C46" s="50">
        <v>80</v>
      </c>
      <c r="D46" s="50">
        <v>9</v>
      </c>
      <c r="E46" s="50">
        <v>9</v>
      </c>
      <c r="F46" s="50">
        <v>11</v>
      </c>
      <c r="G46" s="50">
        <v>0</v>
      </c>
      <c r="H46" s="50">
        <v>0</v>
      </c>
      <c r="I46" s="50">
        <v>2</v>
      </c>
      <c r="J46" s="50">
        <v>0</v>
      </c>
      <c r="K46" s="50">
        <v>0</v>
      </c>
      <c r="L46" s="50">
        <v>0</v>
      </c>
      <c r="M46" s="50">
        <v>85</v>
      </c>
      <c r="N46" s="50">
        <v>0</v>
      </c>
      <c r="O46" s="15">
        <f t="shared" si="0"/>
        <v>111</v>
      </c>
      <c r="P46" s="15">
        <f t="shared" si="1"/>
        <v>196</v>
      </c>
      <c r="R46" s="8"/>
      <c r="T46"/>
    </row>
    <row r="47" spans="2:20" ht="23.1" customHeight="1">
      <c r="B47" s="24" t="s">
        <v>74</v>
      </c>
      <c r="C47" s="50">
        <v>70</v>
      </c>
      <c r="D47" s="50">
        <v>12</v>
      </c>
      <c r="E47" s="50">
        <v>9</v>
      </c>
      <c r="F47" s="50">
        <v>14</v>
      </c>
      <c r="G47" s="50">
        <v>0</v>
      </c>
      <c r="H47" s="50">
        <v>0</v>
      </c>
      <c r="I47" s="50">
        <v>1</v>
      </c>
      <c r="J47" s="50">
        <v>0</v>
      </c>
      <c r="K47" s="50">
        <v>0</v>
      </c>
      <c r="L47" s="50">
        <v>0</v>
      </c>
      <c r="M47" s="50">
        <v>90</v>
      </c>
      <c r="N47" s="50">
        <v>0</v>
      </c>
      <c r="O47" s="15">
        <f t="shared" si="0"/>
        <v>106</v>
      </c>
      <c r="P47" s="15">
        <f t="shared" si="1"/>
        <v>196</v>
      </c>
      <c r="R47" s="8"/>
      <c r="T47"/>
    </row>
    <row r="48" spans="2:20" ht="23.1" customHeight="1">
      <c r="B48" s="24" t="s">
        <v>75</v>
      </c>
      <c r="C48" s="50">
        <v>67</v>
      </c>
      <c r="D48" s="50">
        <v>15</v>
      </c>
      <c r="E48" s="50">
        <v>7</v>
      </c>
      <c r="F48" s="50">
        <v>16</v>
      </c>
      <c r="G48" s="50">
        <v>1</v>
      </c>
      <c r="H48" s="50">
        <v>0</v>
      </c>
      <c r="I48" s="50">
        <v>5</v>
      </c>
      <c r="J48" s="50">
        <v>0</v>
      </c>
      <c r="K48" s="50">
        <v>0</v>
      </c>
      <c r="L48" s="50">
        <v>0</v>
      </c>
      <c r="M48" s="50">
        <v>92</v>
      </c>
      <c r="N48" s="50">
        <v>0</v>
      </c>
      <c r="O48" s="15">
        <f t="shared" si="0"/>
        <v>111</v>
      </c>
      <c r="P48" s="15">
        <f t="shared" si="1"/>
        <v>203</v>
      </c>
      <c r="R48" s="8"/>
      <c r="T48"/>
    </row>
    <row r="49" spans="2:20" ht="23.1" customHeight="1">
      <c r="B49" s="23" t="s">
        <v>76</v>
      </c>
      <c r="C49" s="50">
        <v>65</v>
      </c>
      <c r="D49" s="50">
        <v>12</v>
      </c>
      <c r="E49" s="50">
        <v>7</v>
      </c>
      <c r="F49" s="50">
        <v>12</v>
      </c>
      <c r="G49" s="50">
        <v>0</v>
      </c>
      <c r="H49" s="50">
        <v>0</v>
      </c>
      <c r="I49" s="50">
        <v>4</v>
      </c>
      <c r="J49" s="50">
        <v>0</v>
      </c>
      <c r="K49" s="50">
        <v>0</v>
      </c>
      <c r="L49" s="50">
        <v>1</v>
      </c>
      <c r="M49" s="50">
        <v>55</v>
      </c>
      <c r="N49" s="50">
        <v>0</v>
      </c>
      <c r="O49" s="15">
        <f t="shared" si="0"/>
        <v>101</v>
      </c>
      <c r="P49" s="15">
        <f t="shared" si="1"/>
        <v>156</v>
      </c>
      <c r="R49" s="8"/>
      <c r="T49"/>
    </row>
    <row r="50" spans="2:20" ht="23.1" customHeight="1">
      <c r="B50" s="24" t="s">
        <v>77</v>
      </c>
      <c r="C50" s="50">
        <v>45</v>
      </c>
      <c r="D50" s="50">
        <v>6</v>
      </c>
      <c r="E50" s="50">
        <v>7</v>
      </c>
      <c r="F50" s="50">
        <v>15</v>
      </c>
      <c r="G50" s="50">
        <v>1</v>
      </c>
      <c r="H50" s="50">
        <v>0</v>
      </c>
      <c r="I50" s="50">
        <v>10</v>
      </c>
      <c r="J50" s="50">
        <v>2</v>
      </c>
      <c r="K50" s="50">
        <v>0</v>
      </c>
      <c r="L50" s="50">
        <v>0</v>
      </c>
      <c r="M50" s="50">
        <v>95</v>
      </c>
      <c r="N50" s="50">
        <v>0</v>
      </c>
      <c r="O50" s="15">
        <f t="shared" si="0"/>
        <v>86</v>
      </c>
      <c r="P50" s="15">
        <f t="shared" si="1"/>
        <v>181</v>
      </c>
      <c r="R50" s="8"/>
      <c r="T50"/>
    </row>
    <row r="51" spans="2:20" ht="23.1" customHeight="1">
      <c r="B51" s="24" t="s">
        <v>78</v>
      </c>
      <c r="C51" s="50">
        <v>85</v>
      </c>
      <c r="D51" s="50">
        <v>8</v>
      </c>
      <c r="E51" s="50">
        <v>6</v>
      </c>
      <c r="F51" s="50">
        <v>16</v>
      </c>
      <c r="G51" s="50">
        <v>0</v>
      </c>
      <c r="H51" s="50">
        <v>0</v>
      </c>
      <c r="I51" s="50">
        <v>3</v>
      </c>
      <c r="J51" s="50">
        <v>0</v>
      </c>
      <c r="K51" s="50">
        <v>0</v>
      </c>
      <c r="L51" s="50">
        <v>0</v>
      </c>
      <c r="M51" s="50">
        <v>93</v>
      </c>
      <c r="N51" s="50">
        <v>0</v>
      </c>
      <c r="O51" s="15">
        <f t="shared" si="0"/>
        <v>118</v>
      </c>
      <c r="P51" s="15">
        <f t="shared" si="1"/>
        <v>211</v>
      </c>
      <c r="R51" s="8"/>
      <c r="T51"/>
    </row>
    <row r="52" spans="2:20" ht="23.1" customHeight="1">
      <c r="B52" s="24" t="s">
        <v>79</v>
      </c>
      <c r="C52" s="50">
        <v>55</v>
      </c>
      <c r="D52" s="50">
        <v>6</v>
      </c>
      <c r="E52" s="50">
        <v>3</v>
      </c>
      <c r="F52" s="50">
        <v>15</v>
      </c>
      <c r="G52" s="50">
        <v>3</v>
      </c>
      <c r="H52" s="50">
        <v>0</v>
      </c>
      <c r="I52" s="50">
        <v>4</v>
      </c>
      <c r="J52" s="50">
        <v>0</v>
      </c>
      <c r="K52" s="50">
        <v>0</v>
      </c>
      <c r="L52" s="50">
        <v>0</v>
      </c>
      <c r="M52" s="50">
        <v>102</v>
      </c>
      <c r="N52" s="50">
        <v>0</v>
      </c>
      <c r="O52" s="15">
        <f t="shared" si="0"/>
        <v>86</v>
      </c>
      <c r="P52" s="15">
        <f t="shared" si="1"/>
        <v>188</v>
      </c>
      <c r="R52" s="8"/>
      <c r="T52"/>
    </row>
    <row r="53" spans="2:20" ht="23.1" customHeight="1">
      <c r="B53" s="23" t="s">
        <v>80</v>
      </c>
      <c r="C53" s="50">
        <v>26</v>
      </c>
      <c r="D53" s="50">
        <v>9</v>
      </c>
      <c r="E53" s="50">
        <v>8</v>
      </c>
      <c r="F53" s="50">
        <v>10</v>
      </c>
      <c r="G53" s="50">
        <v>2</v>
      </c>
      <c r="H53" s="50">
        <v>0</v>
      </c>
      <c r="I53" s="50">
        <v>4</v>
      </c>
      <c r="J53" s="50">
        <v>0</v>
      </c>
      <c r="K53" s="50">
        <v>1</v>
      </c>
      <c r="L53" s="50">
        <v>0</v>
      </c>
      <c r="M53" s="50">
        <v>110</v>
      </c>
      <c r="N53" s="50">
        <v>0</v>
      </c>
      <c r="O53" s="15">
        <f t="shared" si="0"/>
        <v>60</v>
      </c>
      <c r="P53" s="15">
        <f t="shared" si="1"/>
        <v>170</v>
      </c>
      <c r="R53" s="8"/>
      <c r="T53"/>
    </row>
    <row r="54" spans="2:20" ht="23.1" customHeight="1">
      <c r="B54" s="23" t="s">
        <v>81</v>
      </c>
      <c r="C54" s="50">
        <v>35</v>
      </c>
      <c r="D54" s="50">
        <v>2</v>
      </c>
      <c r="E54" s="50">
        <v>1</v>
      </c>
      <c r="F54" s="50">
        <v>9</v>
      </c>
      <c r="G54" s="50">
        <v>5</v>
      </c>
      <c r="H54" s="50">
        <v>0</v>
      </c>
      <c r="I54" s="50">
        <v>2</v>
      </c>
      <c r="J54" s="50">
        <v>0</v>
      </c>
      <c r="K54" s="50">
        <v>0</v>
      </c>
      <c r="L54" s="50">
        <v>0</v>
      </c>
      <c r="M54" s="50">
        <v>55</v>
      </c>
      <c r="N54" s="50">
        <v>0</v>
      </c>
      <c r="O54" s="15">
        <f t="shared" si="0"/>
        <v>54</v>
      </c>
      <c r="P54" s="15">
        <f t="shared" si="1"/>
        <v>109</v>
      </c>
      <c r="R54" s="8"/>
      <c r="T54"/>
    </row>
    <row r="55" spans="2:20" ht="23.1" customHeight="1">
      <c r="B55" s="23" t="s">
        <v>82</v>
      </c>
      <c r="C55" s="50">
        <v>34</v>
      </c>
      <c r="D55" s="50">
        <v>4</v>
      </c>
      <c r="E55" s="50">
        <v>7</v>
      </c>
      <c r="F55" s="50">
        <v>13</v>
      </c>
      <c r="G55" s="50">
        <v>0</v>
      </c>
      <c r="H55" s="50">
        <v>0</v>
      </c>
      <c r="I55" s="50">
        <v>2</v>
      </c>
      <c r="J55" s="50">
        <v>2</v>
      </c>
      <c r="K55" s="50">
        <v>0</v>
      </c>
      <c r="L55" s="50">
        <v>0</v>
      </c>
      <c r="M55" s="50">
        <v>120</v>
      </c>
      <c r="N55" s="50">
        <v>0</v>
      </c>
      <c r="O55" s="15">
        <f t="shared" si="0"/>
        <v>62</v>
      </c>
      <c r="P55" s="15">
        <f t="shared" si="1"/>
        <v>182</v>
      </c>
      <c r="R55" s="8"/>
      <c r="T55"/>
    </row>
    <row r="56" spans="2:20" ht="23.1" customHeight="1">
      <c r="B56" s="23" t="s">
        <v>83</v>
      </c>
      <c r="C56" s="50">
        <v>38</v>
      </c>
      <c r="D56" s="50">
        <v>7</v>
      </c>
      <c r="E56" s="50">
        <v>5</v>
      </c>
      <c r="F56" s="50">
        <v>14</v>
      </c>
      <c r="G56" s="50">
        <v>0</v>
      </c>
      <c r="H56" s="50">
        <v>0</v>
      </c>
      <c r="I56" s="50">
        <v>6</v>
      </c>
      <c r="J56" s="50">
        <v>0</v>
      </c>
      <c r="K56" s="50">
        <v>0</v>
      </c>
      <c r="L56" s="50">
        <v>0</v>
      </c>
      <c r="M56" s="50">
        <v>120</v>
      </c>
      <c r="N56" s="50">
        <v>0</v>
      </c>
      <c r="O56" s="15">
        <f t="shared" si="0"/>
        <v>70</v>
      </c>
      <c r="P56" s="15">
        <f t="shared" si="1"/>
        <v>190</v>
      </c>
      <c r="R56" s="8"/>
      <c r="T56"/>
    </row>
    <row r="57" spans="2:20" ht="23.1" customHeight="1">
      <c r="B57" s="23" t="s">
        <v>84</v>
      </c>
      <c r="C57" s="50">
        <v>38</v>
      </c>
      <c r="D57" s="50">
        <v>7</v>
      </c>
      <c r="E57" s="50">
        <v>5</v>
      </c>
      <c r="F57" s="50">
        <v>14</v>
      </c>
      <c r="G57" s="50">
        <v>0</v>
      </c>
      <c r="H57" s="50">
        <v>0</v>
      </c>
      <c r="I57" s="50">
        <v>6</v>
      </c>
      <c r="J57" s="50">
        <v>0</v>
      </c>
      <c r="K57" s="50">
        <v>0</v>
      </c>
      <c r="L57" s="50">
        <v>0</v>
      </c>
      <c r="M57" s="50">
        <v>120</v>
      </c>
      <c r="N57" s="50">
        <v>0</v>
      </c>
      <c r="O57" s="15">
        <f t="shared" si="0"/>
        <v>70</v>
      </c>
      <c r="P57" s="15">
        <f t="shared" si="1"/>
        <v>190</v>
      </c>
      <c r="R57" s="8"/>
      <c r="T57"/>
    </row>
    <row r="58" spans="2:20" ht="23.1" customHeight="1">
      <c r="B58" s="26" t="s">
        <v>18</v>
      </c>
      <c r="C58" s="16">
        <f t="shared" ref="C58:P58" si="21">SUM(C10:C57)</f>
        <v>3887</v>
      </c>
      <c r="D58" s="16">
        <f t="shared" si="21"/>
        <v>522</v>
      </c>
      <c r="E58" s="16">
        <f t="shared" si="21"/>
        <v>323</v>
      </c>
      <c r="F58" s="16">
        <f t="shared" si="21"/>
        <v>717</v>
      </c>
      <c r="G58" s="16">
        <f t="shared" si="21"/>
        <v>16</v>
      </c>
      <c r="H58" s="16">
        <f t="shared" si="21"/>
        <v>0</v>
      </c>
      <c r="I58" s="16">
        <f t="shared" si="21"/>
        <v>214</v>
      </c>
      <c r="J58" s="16">
        <f t="shared" si="21"/>
        <v>34</v>
      </c>
      <c r="K58" s="16">
        <f t="shared" si="21"/>
        <v>8</v>
      </c>
      <c r="L58" s="16">
        <f t="shared" si="21"/>
        <v>7</v>
      </c>
      <c r="M58" s="16">
        <f t="shared" si="21"/>
        <v>4632</v>
      </c>
      <c r="N58" s="16">
        <f t="shared" si="21"/>
        <v>0</v>
      </c>
      <c r="O58" s="16">
        <f t="shared" si="21"/>
        <v>5728</v>
      </c>
      <c r="P58" s="16">
        <f t="shared" si="21"/>
        <v>10360</v>
      </c>
      <c r="R58" s="8"/>
      <c r="T58"/>
    </row>
    <row r="59" spans="2:20" ht="23.1" customHeight="1">
      <c r="B59" s="26" t="s">
        <v>93</v>
      </c>
      <c r="C59" s="43">
        <f t="shared" ref="C59:N59" si="22">C58/$P$58</f>
        <v>0.37519305019305021</v>
      </c>
      <c r="D59" s="43">
        <f t="shared" si="22"/>
        <v>5.0386100386100384E-2</v>
      </c>
      <c r="E59" s="43">
        <f t="shared" si="22"/>
        <v>3.1177606177606176E-2</v>
      </c>
      <c r="F59" s="43">
        <f t="shared" si="22"/>
        <v>6.9208494208494203E-2</v>
      </c>
      <c r="G59" s="43">
        <f t="shared" si="22"/>
        <v>1.5444015444015444E-3</v>
      </c>
      <c r="H59" s="43">
        <f t="shared" si="22"/>
        <v>0</v>
      </c>
      <c r="I59" s="43">
        <f t="shared" si="22"/>
        <v>2.0656370656370656E-2</v>
      </c>
      <c r="J59" s="43">
        <f t="shared" si="22"/>
        <v>3.281853281853282E-3</v>
      </c>
      <c r="K59" s="43">
        <f t="shared" si="22"/>
        <v>7.722007722007722E-4</v>
      </c>
      <c r="L59" s="43">
        <f t="shared" si="22"/>
        <v>6.7567567567567571E-4</v>
      </c>
      <c r="M59" s="43">
        <f t="shared" si="22"/>
        <v>0.44710424710424712</v>
      </c>
      <c r="N59" s="43">
        <f t="shared" si="22"/>
        <v>0</v>
      </c>
      <c r="R59" s="8"/>
      <c r="T59"/>
    </row>
    <row r="60" spans="2:20" ht="23.1" customHeight="1">
      <c r="B60" s="42" t="s">
        <v>94</v>
      </c>
      <c r="C60" s="44">
        <f>C58/$O$58</f>
        <v>0.67859636871508378</v>
      </c>
      <c r="D60" s="44">
        <f t="shared" ref="D60:N60" si="23">D58/$O$58</f>
        <v>9.1131284916201122E-2</v>
      </c>
      <c r="E60" s="44">
        <f t="shared" si="23"/>
        <v>5.6389664804469275E-2</v>
      </c>
      <c r="F60" s="44">
        <f t="shared" si="23"/>
        <v>0.12517458100558659</v>
      </c>
      <c r="G60" s="44">
        <f t="shared" si="23"/>
        <v>2.7932960893854749E-3</v>
      </c>
      <c r="H60" s="44">
        <f t="shared" si="23"/>
        <v>0</v>
      </c>
      <c r="I60" s="44">
        <f t="shared" si="23"/>
        <v>3.7360335195530725E-2</v>
      </c>
      <c r="J60" s="44">
        <f t="shared" si="23"/>
        <v>5.9357541899441339E-3</v>
      </c>
      <c r="K60" s="44">
        <f t="shared" si="23"/>
        <v>1.3966480446927375E-3</v>
      </c>
      <c r="L60" s="44">
        <f t="shared" si="23"/>
        <v>1.2220670391061453E-3</v>
      </c>
      <c r="M60" s="44"/>
      <c r="N60" s="44">
        <f t="shared" si="23"/>
        <v>0</v>
      </c>
      <c r="Q60" s="7"/>
      <c r="R60" s="8"/>
      <c r="T60"/>
    </row>
    <row r="61" spans="2:20" ht="20.100000000000001" customHeight="1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B1:AF126"/>
  <sheetViews>
    <sheetView view="pageBreakPreview" zoomScale="60" workbookViewId="0">
      <selection activeCell="M57" sqref="M57"/>
    </sheetView>
  </sheetViews>
  <sheetFormatPr defaultColWidth="15" defaultRowHeight="20.100000000000001" customHeight="1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>
      <c r="B1" s="60" t="s">
        <v>23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</row>
    <row r="2" spans="2:32" ht="20.100000000000001" customHeight="1">
      <c r="B2" s="61" t="s">
        <v>95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</row>
    <row r="3" spans="2:32" ht="20.100000000000001" customHeight="1">
      <c r="B3" s="22" t="s">
        <v>96</v>
      </c>
      <c r="C3" s="65" t="str">
        <f>'29.07 Kiwatule-Najjeera'!C3:G3</f>
        <v>MCC - C1 - STN36 - MBOGO ROAD</v>
      </c>
      <c r="D3" s="65"/>
      <c r="E3" s="65"/>
      <c r="F3" s="65"/>
      <c r="G3" s="65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>
      <c r="C5" s="4" t="s">
        <v>3</v>
      </c>
      <c r="D5" s="36" t="str">
        <f>'31.07 Najjeera-Kiwatule'!D5</f>
        <v>31.07.19</v>
      </c>
      <c r="E5" s="3"/>
      <c r="F5" s="41" t="s">
        <v>1</v>
      </c>
      <c r="G5" s="66" t="str">
        <f>'31.07 Najjeera-Kiwatule'!G5:H5</f>
        <v>U Save Kiwatule</v>
      </c>
      <c r="H5" s="67"/>
      <c r="I5" s="14"/>
      <c r="J5" s="2" t="s">
        <v>5</v>
      </c>
      <c r="K5" s="66" t="s">
        <v>178</v>
      </c>
      <c r="L5" s="67"/>
      <c r="M5" s="10"/>
      <c r="N5" s="10"/>
      <c r="O5" s="3"/>
      <c r="P5" s="3"/>
    </row>
    <row r="6" spans="2:32" ht="23.25" customHeight="1">
      <c r="C6" s="2" t="s">
        <v>4</v>
      </c>
      <c r="D6" s="66" t="str">
        <f>'29.07 Kiwatule-Najjeera'!D6:E6</f>
        <v>Kiwatule</v>
      </c>
      <c r="E6" s="67"/>
      <c r="F6" s="2" t="s">
        <v>2</v>
      </c>
      <c r="G6" s="66" t="str">
        <f>'29.07 Kiwatule-Najjeera'!G6:H6</f>
        <v>Najjeera</v>
      </c>
      <c r="H6" s="67"/>
      <c r="J6" s="2" t="s">
        <v>21</v>
      </c>
      <c r="K6" s="66" t="str">
        <f>'31.07 Najjeera-Kiwatule'!K6:L6</f>
        <v>Steven</v>
      </c>
      <c r="L6" s="67"/>
      <c r="M6" s="10"/>
      <c r="N6" s="10"/>
      <c r="O6" s="3"/>
      <c r="P6" s="3"/>
    </row>
    <row r="7" spans="2:32" ht="20.100000000000001" customHeight="1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9" t="s">
        <v>88</v>
      </c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</row>
    <row r="9" spans="2:32" ht="51.75" customHeight="1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>
      <c r="B10" s="23" t="s">
        <v>37</v>
      </c>
      <c r="C10" s="50">
        <v>37</v>
      </c>
      <c r="D10" s="50">
        <v>14</v>
      </c>
      <c r="E10" s="50">
        <v>2</v>
      </c>
      <c r="F10" s="50">
        <v>16</v>
      </c>
      <c r="G10" s="50">
        <v>0</v>
      </c>
      <c r="H10" s="50">
        <v>0</v>
      </c>
      <c r="I10" s="50">
        <v>2</v>
      </c>
      <c r="J10" s="50">
        <v>0</v>
      </c>
      <c r="K10" s="50">
        <v>0</v>
      </c>
      <c r="L10" s="50">
        <v>0</v>
      </c>
      <c r="M10" s="50">
        <v>33</v>
      </c>
      <c r="N10" s="50">
        <v>0</v>
      </c>
      <c r="O10" s="15">
        <f t="shared" ref="O10:O57" si="0">SUM(C10:L10,N10)</f>
        <v>71</v>
      </c>
      <c r="P10" s="15">
        <f t="shared" ref="P10:P57" si="1">SUM(C10:N10)</f>
        <v>104</v>
      </c>
      <c r="R10" s="1" t="s">
        <v>6</v>
      </c>
      <c r="S10" s="17">
        <f t="shared" ref="S10:AF10" si="2">SUM(C10:C13)</f>
        <v>169</v>
      </c>
      <c r="T10" s="17">
        <f t="shared" si="2"/>
        <v>33</v>
      </c>
      <c r="U10" s="17">
        <f t="shared" si="2"/>
        <v>10</v>
      </c>
      <c r="V10" s="17">
        <f t="shared" si="2"/>
        <v>88</v>
      </c>
      <c r="W10" s="17">
        <f t="shared" si="2"/>
        <v>0</v>
      </c>
      <c r="X10" s="17">
        <f t="shared" si="2"/>
        <v>0</v>
      </c>
      <c r="Y10" s="17">
        <f t="shared" si="2"/>
        <v>11</v>
      </c>
      <c r="Z10" s="17">
        <f t="shared" si="2"/>
        <v>1</v>
      </c>
      <c r="AA10" s="17">
        <f t="shared" si="2"/>
        <v>0</v>
      </c>
      <c r="AB10" s="17">
        <f t="shared" si="2"/>
        <v>2</v>
      </c>
      <c r="AC10" s="17">
        <f t="shared" si="2"/>
        <v>167</v>
      </c>
      <c r="AD10" s="17">
        <f t="shared" si="2"/>
        <v>0</v>
      </c>
      <c r="AE10" s="31">
        <f t="shared" si="2"/>
        <v>314</v>
      </c>
      <c r="AF10" s="31">
        <f t="shared" si="2"/>
        <v>481</v>
      </c>
    </row>
    <row r="11" spans="2:32" s="6" customFormat="1" ht="23.1" customHeight="1">
      <c r="B11" s="23" t="s">
        <v>38</v>
      </c>
      <c r="C11" s="50">
        <v>32</v>
      </c>
      <c r="D11" s="50">
        <v>5</v>
      </c>
      <c r="E11" s="50">
        <v>3</v>
      </c>
      <c r="F11" s="50">
        <v>20</v>
      </c>
      <c r="G11" s="50">
        <v>0</v>
      </c>
      <c r="H11" s="50">
        <v>0</v>
      </c>
      <c r="I11" s="50">
        <v>4</v>
      </c>
      <c r="J11" s="50">
        <v>0</v>
      </c>
      <c r="K11" s="50">
        <v>0</v>
      </c>
      <c r="L11" s="50">
        <v>1</v>
      </c>
      <c r="M11" s="50">
        <v>35</v>
      </c>
      <c r="N11" s="50">
        <v>0</v>
      </c>
      <c r="O11" s="15">
        <f t="shared" si="0"/>
        <v>65</v>
      </c>
      <c r="P11" s="15">
        <f t="shared" si="1"/>
        <v>100</v>
      </c>
      <c r="R11" s="1" t="s">
        <v>7</v>
      </c>
      <c r="S11" s="17">
        <f t="shared" ref="S11:AF11" si="3">SUM(C14:C17)</f>
        <v>155</v>
      </c>
      <c r="T11" s="17">
        <f t="shared" si="3"/>
        <v>34</v>
      </c>
      <c r="U11" s="17">
        <f t="shared" si="3"/>
        <v>6</v>
      </c>
      <c r="V11" s="17">
        <f t="shared" si="3"/>
        <v>103</v>
      </c>
      <c r="W11" s="17">
        <f t="shared" si="3"/>
        <v>2</v>
      </c>
      <c r="X11" s="17">
        <f t="shared" si="3"/>
        <v>0</v>
      </c>
      <c r="Y11" s="17">
        <f t="shared" si="3"/>
        <v>11</v>
      </c>
      <c r="Z11" s="17">
        <f t="shared" si="3"/>
        <v>2</v>
      </c>
      <c r="AA11" s="17">
        <f t="shared" si="3"/>
        <v>2</v>
      </c>
      <c r="AB11" s="17">
        <f t="shared" si="3"/>
        <v>2</v>
      </c>
      <c r="AC11" s="17">
        <f t="shared" si="3"/>
        <v>264</v>
      </c>
      <c r="AD11" s="17">
        <f t="shared" si="3"/>
        <v>0</v>
      </c>
      <c r="AE11" s="31">
        <f t="shared" si="3"/>
        <v>317</v>
      </c>
      <c r="AF11" s="31">
        <f t="shared" si="3"/>
        <v>581</v>
      </c>
    </row>
    <row r="12" spans="2:32" ht="23.1" customHeight="1">
      <c r="B12" s="23" t="s">
        <v>39</v>
      </c>
      <c r="C12" s="50">
        <v>53</v>
      </c>
      <c r="D12" s="50">
        <v>6</v>
      </c>
      <c r="E12" s="50">
        <v>3</v>
      </c>
      <c r="F12" s="50">
        <v>30</v>
      </c>
      <c r="G12" s="50">
        <v>0</v>
      </c>
      <c r="H12" s="50">
        <v>0</v>
      </c>
      <c r="I12" s="50">
        <v>1</v>
      </c>
      <c r="J12" s="50">
        <v>0</v>
      </c>
      <c r="K12" s="50">
        <v>0</v>
      </c>
      <c r="L12" s="50">
        <v>0</v>
      </c>
      <c r="M12" s="50">
        <v>43</v>
      </c>
      <c r="N12" s="50">
        <v>0</v>
      </c>
      <c r="O12" s="15">
        <f t="shared" si="0"/>
        <v>93</v>
      </c>
      <c r="P12" s="15">
        <f t="shared" si="1"/>
        <v>136</v>
      </c>
      <c r="R12" s="1" t="s">
        <v>8</v>
      </c>
      <c r="S12" s="17">
        <f t="shared" ref="S12:AF12" si="4">SUM(C18:C21)</f>
        <v>107</v>
      </c>
      <c r="T12" s="17">
        <f t="shared" si="4"/>
        <v>18</v>
      </c>
      <c r="U12" s="17">
        <f t="shared" si="4"/>
        <v>11</v>
      </c>
      <c r="V12" s="17">
        <f t="shared" si="4"/>
        <v>84</v>
      </c>
      <c r="W12" s="17">
        <f t="shared" si="4"/>
        <v>3</v>
      </c>
      <c r="X12" s="17">
        <f t="shared" si="4"/>
        <v>0</v>
      </c>
      <c r="Y12" s="17">
        <f t="shared" si="4"/>
        <v>25</v>
      </c>
      <c r="Z12" s="17">
        <f t="shared" si="4"/>
        <v>1</v>
      </c>
      <c r="AA12" s="17">
        <f t="shared" si="4"/>
        <v>2</v>
      </c>
      <c r="AB12" s="17">
        <f t="shared" si="4"/>
        <v>1</v>
      </c>
      <c r="AC12" s="17">
        <f t="shared" si="4"/>
        <v>207</v>
      </c>
      <c r="AD12" s="17">
        <f t="shared" si="4"/>
        <v>0</v>
      </c>
      <c r="AE12" s="31">
        <f t="shared" si="4"/>
        <v>252</v>
      </c>
      <c r="AF12" s="31">
        <f t="shared" si="4"/>
        <v>459</v>
      </c>
    </row>
    <row r="13" spans="2:32" ht="23.1" customHeight="1">
      <c r="B13" s="23" t="s">
        <v>40</v>
      </c>
      <c r="C13" s="50">
        <v>47</v>
      </c>
      <c r="D13" s="50">
        <v>8</v>
      </c>
      <c r="E13" s="50">
        <v>2</v>
      </c>
      <c r="F13" s="50">
        <v>22</v>
      </c>
      <c r="G13" s="50">
        <v>0</v>
      </c>
      <c r="H13" s="50">
        <v>0</v>
      </c>
      <c r="I13" s="50">
        <v>4</v>
      </c>
      <c r="J13" s="50">
        <v>1</v>
      </c>
      <c r="K13" s="50">
        <v>0</v>
      </c>
      <c r="L13" s="50">
        <v>1</v>
      </c>
      <c r="M13" s="50">
        <v>56</v>
      </c>
      <c r="N13" s="50">
        <v>0</v>
      </c>
      <c r="O13" s="15">
        <f t="shared" si="0"/>
        <v>85</v>
      </c>
      <c r="P13" s="15">
        <f t="shared" si="1"/>
        <v>141</v>
      </c>
      <c r="R13" s="1" t="s">
        <v>9</v>
      </c>
      <c r="S13" s="17">
        <f t="shared" ref="S13:AF13" si="5">SUM(C22:C25)</f>
        <v>115</v>
      </c>
      <c r="T13" s="17">
        <f t="shared" si="5"/>
        <v>24</v>
      </c>
      <c r="U13" s="17">
        <f t="shared" si="5"/>
        <v>12</v>
      </c>
      <c r="V13" s="17">
        <f t="shared" si="5"/>
        <v>96</v>
      </c>
      <c r="W13" s="17">
        <f t="shared" si="5"/>
        <v>2</v>
      </c>
      <c r="X13" s="17">
        <f t="shared" si="5"/>
        <v>2</v>
      </c>
      <c r="Y13" s="17">
        <f t="shared" si="5"/>
        <v>26</v>
      </c>
      <c r="Z13" s="17">
        <f t="shared" si="5"/>
        <v>2</v>
      </c>
      <c r="AA13" s="17">
        <f t="shared" si="5"/>
        <v>2</v>
      </c>
      <c r="AB13" s="17">
        <f t="shared" si="5"/>
        <v>1</v>
      </c>
      <c r="AC13" s="17">
        <f t="shared" si="5"/>
        <v>144</v>
      </c>
      <c r="AD13" s="17">
        <f t="shared" si="5"/>
        <v>0</v>
      </c>
      <c r="AE13" s="31">
        <f t="shared" si="5"/>
        <v>282</v>
      </c>
      <c r="AF13" s="31">
        <f t="shared" si="5"/>
        <v>426</v>
      </c>
    </row>
    <row r="14" spans="2:32" ht="23.1" customHeight="1">
      <c r="B14" s="23" t="s">
        <v>41</v>
      </c>
      <c r="C14" s="50">
        <v>32</v>
      </c>
      <c r="D14" s="50">
        <v>8</v>
      </c>
      <c r="E14" s="50">
        <v>1</v>
      </c>
      <c r="F14" s="50">
        <v>30</v>
      </c>
      <c r="G14" s="50">
        <v>0</v>
      </c>
      <c r="H14" s="50">
        <v>0</v>
      </c>
      <c r="I14" s="50">
        <v>1</v>
      </c>
      <c r="J14" s="50">
        <v>1</v>
      </c>
      <c r="K14" s="50">
        <v>1</v>
      </c>
      <c r="L14" s="50">
        <v>0</v>
      </c>
      <c r="M14" s="50">
        <v>44</v>
      </c>
      <c r="N14" s="50">
        <v>0</v>
      </c>
      <c r="O14" s="15">
        <f t="shared" si="0"/>
        <v>74</v>
      </c>
      <c r="P14" s="15">
        <f t="shared" si="1"/>
        <v>118</v>
      </c>
      <c r="R14" s="1" t="s">
        <v>10</v>
      </c>
      <c r="S14" s="17">
        <f t="shared" ref="S14:AF14" si="6">SUM(C26:C29)</f>
        <v>154</v>
      </c>
      <c r="T14" s="17">
        <f t="shared" si="6"/>
        <v>24</v>
      </c>
      <c r="U14" s="17">
        <f t="shared" si="6"/>
        <v>11</v>
      </c>
      <c r="V14" s="17">
        <f t="shared" si="6"/>
        <v>111</v>
      </c>
      <c r="W14" s="17">
        <f t="shared" si="6"/>
        <v>2</v>
      </c>
      <c r="X14" s="17">
        <f t="shared" si="6"/>
        <v>1</v>
      </c>
      <c r="Y14" s="17">
        <f t="shared" si="6"/>
        <v>28</v>
      </c>
      <c r="Z14" s="17">
        <f t="shared" si="6"/>
        <v>2</v>
      </c>
      <c r="AA14" s="17">
        <f t="shared" si="6"/>
        <v>1</v>
      </c>
      <c r="AB14" s="17">
        <f t="shared" si="6"/>
        <v>1</v>
      </c>
      <c r="AC14" s="17">
        <f t="shared" si="6"/>
        <v>170</v>
      </c>
      <c r="AD14" s="17">
        <f t="shared" si="6"/>
        <v>0</v>
      </c>
      <c r="AE14" s="31">
        <f t="shared" si="6"/>
        <v>335</v>
      </c>
      <c r="AF14" s="31">
        <f t="shared" si="6"/>
        <v>505</v>
      </c>
    </row>
    <row r="15" spans="2:32" ht="23.1" customHeight="1">
      <c r="B15" s="23" t="s">
        <v>42</v>
      </c>
      <c r="C15" s="50">
        <v>40</v>
      </c>
      <c r="D15" s="50">
        <v>7</v>
      </c>
      <c r="E15" s="50">
        <v>2</v>
      </c>
      <c r="F15" s="50">
        <v>27</v>
      </c>
      <c r="G15" s="50">
        <v>2</v>
      </c>
      <c r="H15" s="50">
        <v>0</v>
      </c>
      <c r="I15" s="50">
        <v>3</v>
      </c>
      <c r="J15" s="50">
        <v>1</v>
      </c>
      <c r="K15" s="50">
        <v>0</v>
      </c>
      <c r="L15" s="50">
        <v>0</v>
      </c>
      <c r="M15" s="50">
        <v>60</v>
      </c>
      <c r="N15" s="50">
        <v>0</v>
      </c>
      <c r="O15" s="15">
        <f t="shared" si="0"/>
        <v>82</v>
      </c>
      <c r="P15" s="15">
        <f t="shared" si="1"/>
        <v>142</v>
      </c>
      <c r="R15" s="1" t="s">
        <v>11</v>
      </c>
      <c r="S15" s="17">
        <f t="shared" ref="S15:AF15" si="7">SUM(C30:C33)</f>
        <v>140</v>
      </c>
      <c r="T15" s="17">
        <f t="shared" si="7"/>
        <v>32</v>
      </c>
      <c r="U15" s="17">
        <f t="shared" si="7"/>
        <v>13</v>
      </c>
      <c r="V15" s="17">
        <f t="shared" si="7"/>
        <v>90</v>
      </c>
      <c r="W15" s="17">
        <f t="shared" si="7"/>
        <v>4</v>
      </c>
      <c r="X15" s="17">
        <f t="shared" si="7"/>
        <v>0</v>
      </c>
      <c r="Y15" s="17">
        <f t="shared" si="7"/>
        <v>27</v>
      </c>
      <c r="Z15" s="17">
        <f t="shared" si="7"/>
        <v>5</v>
      </c>
      <c r="AA15" s="17">
        <f t="shared" si="7"/>
        <v>1</v>
      </c>
      <c r="AB15" s="17">
        <f t="shared" si="7"/>
        <v>0</v>
      </c>
      <c r="AC15" s="17">
        <f t="shared" si="7"/>
        <v>201</v>
      </c>
      <c r="AD15" s="17">
        <f t="shared" si="7"/>
        <v>0</v>
      </c>
      <c r="AE15" s="31">
        <f t="shared" si="7"/>
        <v>312</v>
      </c>
      <c r="AF15" s="31">
        <f t="shared" si="7"/>
        <v>513</v>
      </c>
    </row>
    <row r="16" spans="2:32" ht="23.1" customHeight="1">
      <c r="B16" s="23" t="s">
        <v>43</v>
      </c>
      <c r="C16" s="50">
        <v>46</v>
      </c>
      <c r="D16" s="50">
        <v>6</v>
      </c>
      <c r="E16" s="50">
        <v>1</v>
      </c>
      <c r="F16" s="50">
        <v>26</v>
      </c>
      <c r="G16" s="50">
        <v>0</v>
      </c>
      <c r="H16" s="50">
        <v>0</v>
      </c>
      <c r="I16" s="50">
        <v>3</v>
      </c>
      <c r="J16" s="50">
        <v>0</v>
      </c>
      <c r="K16" s="50">
        <v>0</v>
      </c>
      <c r="L16" s="50">
        <v>1</v>
      </c>
      <c r="M16" s="50">
        <v>85</v>
      </c>
      <c r="N16" s="50">
        <v>0</v>
      </c>
      <c r="O16" s="15">
        <f t="shared" si="0"/>
        <v>83</v>
      </c>
      <c r="P16" s="15">
        <f t="shared" si="1"/>
        <v>168</v>
      </c>
      <c r="R16" s="1" t="s">
        <v>12</v>
      </c>
      <c r="S16" s="17">
        <f t="shared" ref="S16:AF16" si="8">SUM(C34:C37)</f>
        <v>171</v>
      </c>
      <c r="T16" s="17">
        <f t="shared" si="8"/>
        <v>40</v>
      </c>
      <c r="U16" s="17">
        <f t="shared" si="8"/>
        <v>13</v>
      </c>
      <c r="V16" s="17">
        <f t="shared" si="8"/>
        <v>93</v>
      </c>
      <c r="W16" s="17">
        <f t="shared" si="8"/>
        <v>4</v>
      </c>
      <c r="X16" s="17">
        <f t="shared" si="8"/>
        <v>0</v>
      </c>
      <c r="Y16" s="17">
        <f t="shared" si="8"/>
        <v>28</v>
      </c>
      <c r="Z16" s="17">
        <f t="shared" si="8"/>
        <v>7</v>
      </c>
      <c r="AA16" s="17">
        <f t="shared" si="8"/>
        <v>0</v>
      </c>
      <c r="AB16" s="17">
        <f t="shared" si="8"/>
        <v>0</v>
      </c>
      <c r="AC16" s="17">
        <f t="shared" si="8"/>
        <v>175</v>
      </c>
      <c r="AD16" s="17">
        <f t="shared" si="8"/>
        <v>0</v>
      </c>
      <c r="AE16" s="31">
        <f t="shared" si="8"/>
        <v>356</v>
      </c>
      <c r="AF16" s="31">
        <f t="shared" si="8"/>
        <v>531</v>
      </c>
    </row>
    <row r="17" spans="2:32" ht="23.1" customHeight="1">
      <c r="B17" s="23" t="s">
        <v>44</v>
      </c>
      <c r="C17" s="50">
        <v>37</v>
      </c>
      <c r="D17" s="50">
        <v>13</v>
      </c>
      <c r="E17" s="50">
        <v>2</v>
      </c>
      <c r="F17" s="50">
        <v>20</v>
      </c>
      <c r="G17" s="50">
        <v>0</v>
      </c>
      <c r="H17" s="50">
        <v>0</v>
      </c>
      <c r="I17" s="50">
        <v>4</v>
      </c>
      <c r="J17" s="50">
        <v>0</v>
      </c>
      <c r="K17" s="50">
        <v>1</v>
      </c>
      <c r="L17" s="50">
        <v>1</v>
      </c>
      <c r="M17" s="50">
        <v>75</v>
      </c>
      <c r="N17" s="50">
        <v>0</v>
      </c>
      <c r="O17" s="15">
        <f t="shared" si="0"/>
        <v>78</v>
      </c>
      <c r="P17" s="15">
        <f t="shared" si="1"/>
        <v>153</v>
      </c>
      <c r="R17" s="1" t="s">
        <v>13</v>
      </c>
      <c r="S17" s="17">
        <f t="shared" ref="S17:AF17" si="9">SUM(C38:C41)</f>
        <v>212</v>
      </c>
      <c r="T17" s="17">
        <f t="shared" si="9"/>
        <v>45</v>
      </c>
      <c r="U17" s="17">
        <f t="shared" si="9"/>
        <v>16</v>
      </c>
      <c r="V17" s="17">
        <f t="shared" si="9"/>
        <v>120</v>
      </c>
      <c r="W17" s="17">
        <f t="shared" si="9"/>
        <v>3</v>
      </c>
      <c r="X17" s="17">
        <f t="shared" si="9"/>
        <v>1</v>
      </c>
      <c r="Y17" s="17">
        <f t="shared" si="9"/>
        <v>8</v>
      </c>
      <c r="Z17" s="17">
        <f t="shared" si="9"/>
        <v>4</v>
      </c>
      <c r="AA17" s="17">
        <f t="shared" si="9"/>
        <v>0</v>
      </c>
      <c r="AB17" s="17">
        <f t="shared" si="9"/>
        <v>0</v>
      </c>
      <c r="AC17" s="17">
        <f t="shared" si="9"/>
        <v>160</v>
      </c>
      <c r="AD17" s="17">
        <f t="shared" si="9"/>
        <v>0</v>
      </c>
      <c r="AE17" s="31">
        <f t="shared" si="9"/>
        <v>409</v>
      </c>
      <c r="AF17" s="31">
        <f t="shared" si="9"/>
        <v>569</v>
      </c>
    </row>
    <row r="18" spans="2:32" ht="23.1" customHeight="1">
      <c r="B18" s="23" t="s">
        <v>45</v>
      </c>
      <c r="C18" s="50">
        <v>32</v>
      </c>
      <c r="D18" s="50">
        <v>6</v>
      </c>
      <c r="E18" s="50">
        <v>2</v>
      </c>
      <c r="F18" s="50">
        <v>21</v>
      </c>
      <c r="G18" s="50">
        <v>0</v>
      </c>
      <c r="H18" s="50">
        <v>0</v>
      </c>
      <c r="I18" s="50">
        <v>6</v>
      </c>
      <c r="J18" s="50">
        <v>1</v>
      </c>
      <c r="K18" s="50">
        <v>1</v>
      </c>
      <c r="L18" s="50">
        <v>0</v>
      </c>
      <c r="M18" s="50">
        <v>51</v>
      </c>
      <c r="N18" s="50">
        <v>0</v>
      </c>
      <c r="O18" s="15">
        <f t="shared" si="0"/>
        <v>69</v>
      </c>
      <c r="P18" s="15">
        <f t="shared" si="1"/>
        <v>120</v>
      </c>
      <c r="R18" s="1" t="s">
        <v>14</v>
      </c>
      <c r="S18" s="17">
        <f t="shared" ref="S18:AF18" si="10">SUM(C42:C45)</f>
        <v>200</v>
      </c>
      <c r="T18" s="17">
        <f t="shared" si="10"/>
        <v>56</v>
      </c>
      <c r="U18" s="17">
        <f t="shared" si="10"/>
        <v>7</v>
      </c>
      <c r="V18" s="17">
        <f t="shared" si="10"/>
        <v>100</v>
      </c>
      <c r="W18" s="17">
        <f t="shared" si="10"/>
        <v>3</v>
      </c>
      <c r="X18" s="17">
        <f t="shared" si="10"/>
        <v>0</v>
      </c>
      <c r="Y18" s="17">
        <f t="shared" si="10"/>
        <v>22</v>
      </c>
      <c r="Z18" s="17">
        <f t="shared" si="10"/>
        <v>6</v>
      </c>
      <c r="AA18" s="17">
        <f t="shared" si="10"/>
        <v>0</v>
      </c>
      <c r="AB18" s="17">
        <f t="shared" si="10"/>
        <v>1</v>
      </c>
      <c r="AC18" s="17">
        <f t="shared" si="10"/>
        <v>163</v>
      </c>
      <c r="AD18" s="17">
        <f t="shared" si="10"/>
        <v>0</v>
      </c>
      <c r="AE18" s="31">
        <f t="shared" si="10"/>
        <v>395</v>
      </c>
      <c r="AF18" s="31">
        <f t="shared" si="10"/>
        <v>558</v>
      </c>
    </row>
    <row r="19" spans="2:32" ht="23.1" customHeight="1">
      <c r="B19" s="23" t="s">
        <v>46</v>
      </c>
      <c r="C19" s="50">
        <v>17</v>
      </c>
      <c r="D19" s="50">
        <v>1</v>
      </c>
      <c r="E19" s="50">
        <v>3</v>
      </c>
      <c r="F19" s="50">
        <v>21</v>
      </c>
      <c r="G19" s="50">
        <v>2</v>
      </c>
      <c r="H19" s="50">
        <v>0</v>
      </c>
      <c r="I19" s="50">
        <v>5</v>
      </c>
      <c r="J19" s="50">
        <v>0</v>
      </c>
      <c r="K19" s="50">
        <v>1</v>
      </c>
      <c r="L19" s="50">
        <v>0</v>
      </c>
      <c r="M19" s="50">
        <v>85</v>
      </c>
      <c r="N19" s="50">
        <v>0</v>
      </c>
      <c r="O19" s="15">
        <f t="shared" si="0"/>
        <v>50</v>
      </c>
      <c r="P19" s="15">
        <f t="shared" si="1"/>
        <v>135</v>
      </c>
      <c r="R19" s="1" t="s">
        <v>15</v>
      </c>
      <c r="S19" s="17">
        <f t="shared" ref="S19:AF19" si="11">SUM(C46:C49)</f>
        <v>367</v>
      </c>
      <c r="T19" s="17">
        <f t="shared" si="11"/>
        <v>68</v>
      </c>
      <c r="U19" s="17">
        <f t="shared" si="11"/>
        <v>16</v>
      </c>
      <c r="V19" s="17">
        <f t="shared" si="11"/>
        <v>53</v>
      </c>
      <c r="W19" s="17">
        <f t="shared" si="11"/>
        <v>0</v>
      </c>
      <c r="X19" s="17">
        <f t="shared" si="11"/>
        <v>0</v>
      </c>
      <c r="Y19" s="17">
        <f t="shared" si="11"/>
        <v>26</v>
      </c>
      <c r="Z19" s="17">
        <f t="shared" si="11"/>
        <v>4</v>
      </c>
      <c r="AA19" s="17">
        <f t="shared" si="11"/>
        <v>2</v>
      </c>
      <c r="AB19" s="17">
        <f t="shared" si="11"/>
        <v>1</v>
      </c>
      <c r="AC19" s="17">
        <f t="shared" si="11"/>
        <v>199</v>
      </c>
      <c r="AD19" s="17">
        <f t="shared" si="11"/>
        <v>0</v>
      </c>
      <c r="AE19" s="31">
        <f t="shared" si="11"/>
        <v>537</v>
      </c>
      <c r="AF19" s="31">
        <f t="shared" si="11"/>
        <v>736</v>
      </c>
    </row>
    <row r="20" spans="2:32" ht="23.1" customHeight="1">
      <c r="B20" s="23" t="s">
        <v>47</v>
      </c>
      <c r="C20" s="50">
        <v>23</v>
      </c>
      <c r="D20" s="50">
        <v>3</v>
      </c>
      <c r="E20" s="50">
        <v>4</v>
      </c>
      <c r="F20" s="50">
        <v>22</v>
      </c>
      <c r="G20" s="50">
        <v>0</v>
      </c>
      <c r="H20" s="50">
        <v>0</v>
      </c>
      <c r="I20" s="50">
        <v>4</v>
      </c>
      <c r="J20" s="50">
        <v>0</v>
      </c>
      <c r="K20" s="50">
        <v>0</v>
      </c>
      <c r="L20" s="50">
        <v>0</v>
      </c>
      <c r="M20" s="50">
        <v>26</v>
      </c>
      <c r="N20" s="50">
        <v>0</v>
      </c>
      <c r="O20" s="15">
        <f t="shared" si="0"/>
        <v>56</v>
      </c>
      <c r="P20" s="15">
        <f t="shared" si="1"/>
        <v>82</v>
      </c>
      <c r="R20" s="1" t="s">
        <v>16</v>
      </c>
      <c r="S20" s="17">
        <f t="shared" ref="S20:AF20" si="12">SUM(C50:C53)</f>
        <v>344</v>
      </c>
      <c r="T20" s="17">
        <f t="shared" si="12"/>
        <v>58</v>
      </c>
      <c r="U20" s="17">
        <f t="shared" si="12"/>
        <v>17</v>
      </c>
      <c r="V20" s="17">
        <f t="shared" si="12"/>
        <v>53</v>
      </c>
      <c r="W20" s="17">
        <f t="shared" si="12"/>
        <v>1</v>
      </c>
      <c r="X20" s="17">
        <f t="shared" si="12"/>
        <v>0</v>
      </c>
      <c r="Y20" s="17">
        <f t="shared" si="12"/>
        <v>27</v>
      </c>
      <c r="Z20" s="17">
        <f t="shared" si="12"/>
        <v>8</v>
      </c>
      <c r="AA20" s="17">
        <f t="shared" si="12"/>
        <v>0</v>
      </c>
      <c r="AB20" s="17">
        <f t="shared" si="12"/>
        <v>1</v>
      </c>
      <c r="AC20" s="17">
        <f t="shared" si="12"/>
        <v>235</v>
      </c>
      <c r="AD20" s="17">
        <f t="shared" si="12"/>
        <v>0</v>
      </c>
      <c r="AE20" s="31">
        <f t="shared" si="12"/>
        <v>509</v>
      </c>
      <c r="AF20" s="31">
        <f t="shared" si="12"/>
        <v>744</v>
      </c>
    </row>
    <row r="21" spans="2:32" ht="23.1" customHeight="1">
      <c r="B21" s="23" t="s">
        <v>48</v>
      </c>
      <c r="C21" s="50">
        <v>35</v>
      </c>
      <c r="D21" s="50">
        <v>8</v>
      </c>
      <c r="E21" s="50">
        <v>2</v>
      </c>
      <c r="F21" s="50">
        <v>20</v>
      </c>
      <c r="G21" s="50">
        <v>1</v>
      </c>
      <c r="H21" s="50">
        <v>0</v>
      </c>
      <c r="I21" s="50">
        <v>10</v>
      </c>
      <c r="J21" s="50">
        <v>0</v>
      </c>
      <c r="K21" s="50">
        <v>0</v>
      </c>
      <c r="L21" s="50">
        <v>1</v>
      </c>
      <c r="M21" s="50">
        <v>45</v>
      </c>
      <c r="N21" s="50">
        <v>0</v>
      </c>
      <c r="O21" s="15">
        <f t="shared" si="0"/>
        <v>77</v>
      </c>
      <c r="P21" s="15">
        <f t="shared" si="1"/>
        <v>122</v>
      </c>
      <c r="R21" s="36" t="s">
        <v>20</v>
      </c>
      <c r="S21" s="34">
        <f t="shared" ref="S21:AF21" si="13">SUM(C54:C57)</f>
        <v>490</v>
      </c>
      <c r="T21" s="17">
        <f t="shared" si="13"/>
        <v>123</v>
      </c>
      <c r="U21" s="17">
        <f t="shared" si="13"/>
        <v>15</v>
      </c>
      <c r="V21" s="17">
        <f t="shared" si="13"/>
        <v>51</v>
      </c>
      <c r="W21" s="17">
        <f t="shared" si="13"/>
        <v>3</v>
      </c>
      <c r="X21" s="17">
        <f t="shared" si="13"/>
        <v>0</v>
      </c>
      <c r="Y21" s="17">
        <f t="shared" si="13"/>
        <v>17</v>
      </c>
      <c r="Z21" s="17">
        <f t="shared" si="13"/>
        <v>2</v>
      </c>
      <c r="AA21" s="17">
        <f t="shared" si="13"/>
        <v>1</v>
      </c>
      <c r="AB21" s="17">
        <f t="shared" si="13"/>
        <v>1</v>
      </c>
      <c r="AC21" s="17">
        <f t="shared" si="13"/>
        <v>298</v>
      </c>
      <c r="AD21" s="17">
        <f t="shared" si="13"/>
        <v>0</v>
      </c>
      <c r="AE21" s="31">
        <f t="shared" si="13"/>
        <v>703</v>
      </c>
      <c r="AF21" s="31">
        <f t="shared" si="13"/>
        <v>1001</v>
      </c>
    </row>
    <row r="22" spans="2:32" ht="23.1" customHeight="1">
      <c r="B22" s="23" t="s">
        <v>49</v>
      </c>
      <c r="C22" s="50">
        <v>24</v>
      </c>
      <c r="D22" s="50">
        <v>2</v>
      </c>
      <c r="E22" s="50">
        <v>1</v>
      </c>
      <c r="F22" s="50">
        <v>15</v>
      </c>
      <c r="G22" s="50">
        <v>0</v>
      </c>
      <c r="H22" s="50">
        <v>0</v>
      </c>
      <c r="I22" s="50">
        <v>9</v>
      </c>
      <c r="J22" s="50">
        <v>0</v>
      </c>
      <c r="K22" s="50">
        <v>1</v>
      </c>
      <c r="L22" s="50">
        <v>0</v>
      </c>
      <c r="M22" s="50">
        <v>38</v>
      </c>
      <c r="N22" s="50">
        <v>0</v>
      </c>
      <c r="O22" s="15">
        <f t="shared" si="0"/>
        <v>52</v>
      </c>
      <c r="P22" s="15">
        <f t="shared" si="1"/>
        <v>90</v>
      </c>
      <c r="R22" s="38" t="s">
        <v>90</v>
      </c>
      <c r="S22" s="39">
        <f>MAX(S10:S12)</f>
        <v>169</v>
      </c>
      <c r="T22" s="39">
        <f t="shared" ref="T22:AF22" si="14">MAX(T10:T12)</f>
        <v>34</v>
      </c>
      <c r="U22" s="39">
        <f t="shared" si="14"/>
        <v>11</v>
      </c>
      <c r="V22" s="39">
        <f t="shared" si="14"/>
        <v>103</v>
      </c>
      <c r="W22" s="39">
        <f t="shared" si="14"/>
        <v>3</v>
      </c>
      <c r="X22" s="39">
        <f t="shared" si="14"/>
        <v>0</v>
      </c>
      <c r="Y22" s="39">
        <f t="shared" si="14"/>
        <v>25</v>
      </c>
      <c r="Z22" s="39">
        <f t="shared" si="14"/>
        <v>2</v>
      </c>
      <c r="AA22" s="39">
        <f t="shared" si="14"/>
        <v>2</v>
      </c>
      <c r="AB22" s="39">
        <f t="shared" si="14"/>
        <v>2</v>
      </c>
      <c r="AC22" s="39">
        <f t="shared" si="14"/>
        <v>264</v>
      </c>
      <c r="AD22" s="39">
        <f t="shared" si="14"/>
        <v>0</v>
      </c>
      <c r="AE22" s="40">
        <f t="shared" si="14"/>
        <v>317</v>
      </c>
      <c r="AF22" s="40">
        <f t="shared" si="14"/>
        <v>581</v>
      </c>
    </row>
    <row r="23" spans="2:32" ht="23.1" customHeight="1">
      <c r="B23" s="23" t="s">
        <v>50</v>
      </c>
      <c r="C23" s="50">
        <v>26</v>
      </c>
      <c r="D23" s="50">
        <v>3</v>
      </c>
      <c r="E23" s="50">
        <v>3</v>
      </c>
      <c r="F23" s="50">
        <v>22</v>
      </c>
      <c r="G23" s="50">
        <v>0</v>
      </c>
      <c r="H23" s="50">
        <v>0</v>
      </c>
      <c r="I23" s="50">
        <v>7</v>
      </c>
      <c r="J23" s="50">
        <v>0</v>
      </c>
      <c r="K23" s="50">
        <v>0</v>
      </c>
      <c r="L23" s="50">
        <v>1</v>
      </c>
      <c r="M23" s="50">
        <v>33</v>
      </c>
      <c r="N23" s="50">
        <v>0</v>
      </c>
      <c r="O23" s="15">
        <f t="shared" si="0"/>
        <v>62</v>
      </c>
      <c r="P23" s="15">
        <f t="shared" si="1"/>
        <v>95</v>
      </c>
      <c r="R23" s="38" t="s">
        <v>91</v>
      </c>
      <c r="S23" s="39">
        <f>MAX(S13:S18)</f>
        <v>212</v>
      </c>
      <c r="T23" s="39">
        <f t="shared" ref="T23:AF23" si="15">MAX(T13:T18)</f>
        <v>56</v>
      </c>
      <c r="U23" s="39">
        <f t="shared" si="15"/>
        <v>16</v>
      </c>
      <c r="V23" s="39">
        <f t="shared" si="15"/>
        <v>120</v>
      </c>
      <c r="W23" s="39">
        <f t="shared" si="15"/>
        <v>4</v>
      </c>
      <c r="X23" s="39">
        <f t="shared" si="15"/>
        <v>2</v>
      </c>
      <c r="Y23" s="39">
        <f t="shared" si="15"/>
        <v>28</v>
      </c>
      <c r="Z23" s="39">
        <f t="shared" si="15"/>
        <v>7</v>
      </c>
      <c r="AA23" s="39">
        <f t="shared" si="15"/>
        <v>2</v>
      </c>
      <c r="AB23" s="39">
        <f t="shared" si="15"/>
        <v>1</v>
      </c>
      <c r="AC23" s="39">
        <f t="shared" si="15"/>
        <v>201</v>
      </c>
      <c r="AD23" s="39">
        <f t="shared" si="15"/>
        <v>0</v>
      </c>
      <c r="AE23" s="40">
        <f t="shared" si="15"/>
        <v>409</v>
      </c>
      <c r="AF23" s="40">
        <f t="shared" si="15"/>
        <v>569</v>
      </c>
    </row>
    <row r="24" spans="2:32" ht="23.1" customHeight="1">
      <c r="B24" s="23" t="s">
        <v>51</v>
      </c>
      <c r="C24" s="50">
        <v>35</v>
      </c>
      <c r="D24" s="50">
        <v>13</v>
      </c>
      <c r="E24" s="50">
        <v>4</v>
      </c>
      <c r="F24" s="50">
        <v>34</v>
      </c>
      <c r="G24" s="50">
        <v>0</v>
      </c>
      <c r="H24" s="50">
        <v>1</v>
      </c>
      <c r="I24" s="50">
        <v>5</v>
      </c>
      <c r="J24" s="50">
        <v>2</v>
      </c>
      <c r="K24" s="50">
        <v>1</v>
      </c>
      <c r="L24" s="50">
        <v>0</v>
      </c>
      <c r="M24" s="50">
        <v>35</v>
      </c>
      <c r="N24" s="50">
        <v>0</v>
      </c>
      <c r="O24" s="15">
        <f t="shared" si="0"/>
        <v>95</v>
      </c>
      <c r="P24" s="15">
        <f t="shared" si="1"/>
        <v>130</v>
      </c>
      <c r="R24" s="38" t="s">
        <v>92</v>
      </c>
      <c r="S24" s="39">
        <f>MAX(S19:S21)</f>
        <v>490</v>
      </c>
      <c r="T24" s="39">
        <f t="shared" ref="T24:AF24" si="16">MAX(T19:T21)</f>
        <v>123</v>
      </c>
      <c r="U24" s="39">
        <f t="shared" si="16"/>
        <v>17</v>
      </c>
      <c r="V24" s="39">
        <f t="shared" si="16"/>
        <v>53</v>
      </c>
      <c r="W24" s="39">
        <f t="shared" si="16"/>
        <v>3</v>
      </c>
      <c r="X24" s="39">
        <f t="shared" si="16"/>
        <v>0</v>
      </c>
      <c r="Y24" s="39">
        <f t="shared" si="16"/>
        <v>27</v>
      </c>
      <c r="Z24" s="39">
        <f t="shared" si="16"/>
        <v>8</v>
      </c>
      <c r="AA24" s="39">
        <f t="shared" si="16"/>
        <v>2</v>
      </c>
      <c r="AB24" s="39">
        <f t="shared" si="16"/>
        <v>1</v>
      </c>
      <c r="AC24" s="39">
        <f t="shared" si="16"/>
        <v>298</v>
      </c>
      <c r="AD24" s="39">
        <f t="shared" si="16"/>
        <v>0</v>
      </c>
      <c r="AE24" s="40">
        <f t="shared" si="16"/>
        <v>703</v>
      </c>
      <c r="AF24" s="40">
        <f t="shared" si="16"/>
        <v>1001</v>
      </c>
    </row>
    <row r="25" spans="2:32" ht="23.1" customHeight="1">
      <c r="B25" s="23" t="s">
        <v>52</v>
      </c>
      <c r="C25" s="50">
        <v>30</v>
      </c>
      <c r="D25" s="50">
        <v>6</v>
      </c>
      <c r="E25" s="50">
        <v>4</v>
      </c>
      <c r="F25" s="50">
        <v>25</v>
      </c>
      <c r="G25" s="50">
        <v>2</v>
      </c>
      <c r="H25" s="50">
        <v>1</v>
      </c>
      <c r="I25" s="50">
        <v>5</v>
      </c>
      <c r="J25" s="50">
        <v>0</v>
      </c>
      <c r="K25" s="50">
        <v>0</v>
      </c>
      <c r="L25" s="50">
        <v>0</v>
      </c>
      <c r="M25" s="50">
        <v>38</v>
      </c>
      <c r="N25" s="50">
        <v>0</v>
      </c>
      <c r="O25" s="15">
        <f t="shared" si="0"/>
        <v>73</v>
      </c>
      <c r="P25" s="15">
        <f t="shared" si="1"/>
        <v>111</v>
      </c>
      <c r="R25" s="37" t="s">
        <v>85</v>
      </c>
      <c r="S25" s="35">
        <f t="shared" ref="S25:AF25" si="17">SUM(S10:S12)</f>
        <v>431</v>
      </c>
      <c r="T25" s="16">
        <f t="shared" si="17"/>
        <v>85</v>
      </c>
      <c r="U25" s="16">
        <f t="shared" si="17"/>
        <v>27</v>
      </c>
      <c r="V25" s="16">
        <f t="shared" si="17"/>
        <v>275</v>
      </c>
      <c r="W25" s="16">
        <f t="shared" si="17"/>
        <v>5</v>
      </c>
      <c r="X25" s="16">
        <f t="shared" si="17"/>
        <v>0</v>
      </c>
      <c r="Y25" s="16">
        <f t="shared" si="17"/>
        <v>47</v>
      </c>
      <c r="Z25" s="16">
        <f t="shared" si="17"/>
        <v>4</v>
      </c>
      <c r="AA25" s="16">
        <f t="shared" si="17"/>
        <v>4</v>
      </c>
      <c r="AB25" s="16">
        <f t="shared" si="17"/>
        <v>5</v>
      </c>
      <c r="AC25" s="16">
        <f t="shared" si="17"/>
        <v>638</v>
      </c>
      <c r="AD25" s="16">
        <f t="shared" si="17"/>
        <v>0</v>
      </c>
      <c r="AE25" s="32">
        <f t="shared" si="17"/>
        <v>883</v>
      </c>
      <c r="AF25" s="32">
        <f t="shared" si="17"/>
        <v>1521</v>
      </c>
    </row>
    <row r="26" spans="2:32" ht="23.1" customHeight="1">
      <c r="B26" s="23" t="s">
        <v>53</v>
      </c>
      <c r="C26" s="50">
        <v>33</v>
      </c>
      <c r="D26" s="50">
        <v>8</v>
      </c>
      <c r="E26" s="50">
        <v>1</v>
      </c>
      <c r="F26" s="50">
        <v>19</v>
      </c>
      <c r="G26" s="50">
        <v>1</v>
      </c>
      <c r="H26" s="50">
        <v>0</v>
      </c>
      <c r="I26" s="50">
        <v>7</v>
      </c>
      <c r="J26" s="50">
        <v>1</v>
      </c>
      <c r="K26" s="50">
        <v>1</v>
      </c>
      <c r="L26" s="50">
        <v>0</v>
      </c>
      <c r="M26" s="50">
        <v>50</v>
      </c>
      <c r="N26" s="50">
        <v>0</v>
      </c>
      <c r="O26" s="15">
        <f t="shared" si="0"/>
        <v>71</v>
      </c>
      <c r="P26" s="15">
        <f t="shared" si="1"/>
        <v>121</v>
      </c>
      <c r="R26" s="28" t="s">
        <v>86</v>
      </c>
      <c r="S26" s="16">
        <f t="shared" ref="S26:AF26" si="18">SUM(S13:S18)</f>
        <v>992</v>
      </c>
      <c r="T26" s="16">
        <f t="shared" si="18"/>
        <v>221</v>
      </c>
      <c r="U26" s="16">
        <f t="shared" si="18"/>
        <v>72</v>
      </c>
      <c r="V26" s="16">
        <f t="shared" si="18"/>
        <v>610</v>
      </c>
      <c r="W26" s="16">
        <f t="shared" si="18"/>
        <v>18</v>
      </c>
      <c r="X26" s="16">
        <f t="shared" si="18"/>
        <v>4</v>
      </c>
      <c r="Y26" s="16">
        <f t="shared" si="18"/>
        <v>139</v>
      </c>
      <c r="Z26" s="16">
        <f t="shared" si="18"/>
        <v>26</v>
      </c>
      <c r="AA26" s="16">
        <f t="shared" si="18"/>
        <v>4</v>
      </c>
      <c r="AB26" s="16">
        <f t="shared" si="18"/>
        <v>3</v>
      </c>
      <c r="AC26" s="16">
        <f t="shared" si="18"/>
        <v>1013</v>
      </c>
      <c r="AD26" s="16">
        <f t="shared" si="18"/>
        <v>0</v>
      </c>
      <c r="AE26" s="32">
        <f t="shared" si="18"/>
        <v>2089</v>
      </c>
      <c r="AF26" s="32">
        <f t="shared" si="18"/>
        <v>3102</v>
      </c>
    </row>
    <row r="27" spans="2:32" ht="23.1" customHeight="1">
      <c r="B27" s="23" t="s">
        <v>54</v>
      </c>
      <c r="C27" s="50">
        <v>53</v>
      </c>
      <c r="D27" s="50">
        <v>4</v>
      </c>
      <c r="E27" s="50">
        <v>3</v>
      </c>
      <c r="F27" s="50">
        <v>30</v>
      </c>
      <c r="G27" s="50">
        <v>0</v>
      </c>
      <c r="H27" s="50">
        <v>0</v>
      </c>
      <c r="I27" s="50">
        <v>10</v>
      </c>
      <c r="J27" s="50">
        <v>0</v>
      </c>
      <c r="K27" s="50">
        <v>0</v>
      </c>
      <c r="L27" s="50">
        <v>0</v>
      </c>
      <c r="M27" s="50">
        <v>25</v>
      </c>
      <c r="N27" s="50">
        <v>0</v>
      </c>
      <c r="O27" s="15">
        <f t="shared" si="0"/>
        <v>100</v>
      </c>
      <c r="P27" s="15">
        <f t="shared" si="1"/>
        <v>125</v>
      </c>
      <c r="R27" s="29" t="s">
        <v>87</v>
      </c>
      <c r="S27" s="16">
        <f t="shared" ref="S27:AF27" si="19">SUM(S19:S21)</f>
        <v>1201</v>
      </c>
      <c r="T27" s="16">
        <f t="shared" si="19"/>
        <v>249</v>
      </c>
      <c r="U27" s="16">
        <f t="shared" si="19"/>
        <v>48</v>
      </c>
      <c r="V27" s="16">
        <f t="shared" si="19"/>
        <v>157</v>
      </c>
      <c r="W27" s="16">
        <f t="shared" si="19"/>
        <v>4</v>
      </c>
      <c r="X27" s="16">
        <f t="shared" si="19"/>
        <v>0</v>
      </c>
      <c r="Y27" s="16">
        <f t="shared" si="19"/>
        <v>70</v>
      </c>
      <c r="Z27" s="16">
        <f t="shared" si="19"/>
        <v>14</v>
      </c>
      <c r="AA27" s="16">
        <f t="shared" si="19"/>
        <v>3</v>
      </c>
      <c r="AB27" s="16">
        <f t="shared" si="19"/>
        <v>3</v>
      </c>
      <c r="AC27" s="16">
        <f t="shared" si="19"/>
        <v>732</v>
      </c>
      <c r="AD27" s="16">
        <f t="shared" si="19"/>
        <v>0</v>
      </c>
      <c r="AE27" s="32">
        <f t="shared" si="19"/>
        <v>1749</v>
      </c>
      <c r="AF27" s="32">
        <f t="shared" si="19"/>
        <v>2481</v>
      </c>
    </row>
    <row r="28" spans="2:32" ht="23.1" customHeight="1">
      <c r="B28" s="23" t="s">
        <v>55</v>
      </c>
      <c r="C28" s="50">
        <v>34</v>
      </c>
      <c r="D28" s="50">
        <v>7</v>
      </c>
      <c r="E28" s="50">
        <v>3</v>
      </c>
      <c r="F28" s="50">
        <v>27</v>
      </c>
      <c r="G28" s="50">
        <v>1</v>
      </c>
      <c r="H28" s="50">
        <v>0</v>
      </c>
      <c r="I28" s="50">
        <v>11</v>
      </c>
      <c r="J28" s="50">
        <v>1</v>
      </c>
      <c r="K28" s="50">
        <v>0</v>
      </c>
      <c r="L28" s="50">
        <v>1</v>
      </c>
      <c r="M28" s="50">
        <v>50</v>
      </c>
      <c r="N28" s="50">
        <v>0</v>
      </c>
      <c r="O28" s="15">
        <f t="shared" si="0"/>
        <v>85</v>
      </c>
      <c r="P28" s="15">
        <f t="shared" si="1"/>
        <v>135</v>
      </c>
      <c r="R28" s="5" t="s">
        <v>17</v>
      </c>
      <c r="S28" s="16">
        <f t="shared" ref="S28:AF28" si="20">SUM(S10:S21)</f>
        <v>2624</v>
      </c>
      <c r="T28" s="16">
        <f t="shared" si="20"/>
        <v>555</v>
      </c>
      <c r="U28" s="16">
        <f t="shared" si="20"/>
        <v>147</v>
      </c>
      <c r="V28" s="16">
        <f t="shared" si="20"/>
        <v>1042</v>
      </c>
      <c r="W28" s="16">
        <f t="shared" si="20"/>
        <v>27</v>
      </c>
      <c r="X28" s="16">
        <f t="shared" si="20"/>
        <v>4</v>
      </c>
      <c r="Y28" s="16">
        <f t="shared" si="20"/>
        <v>256</v>
      </c>
      <c r="Z28" s="16">
        <f t="shared" si="20"/>
        <v>44</v>
      </c>
      <c r="AA28" s="16">
        <f t="shared" si="20"/>
        <v>11</v>
      </c>
      <c r="AB28" s="16">
        <f t="shared" si="20"/>
        <v>11</v>
      </c>
      <c r="AC28" s="16">
        <f t="shared" si="20"/>
        <v>2383</v>
      </c>
      <c r="AD28" s="16">
        <f t="shared" si="20"/>
        <v>0</v>
      </c>
      <c r="AE28" s="32">
        <f t="shared" si="20"/>
        <v>4721</v>
      </c>
      <c r="AF28" s="32">
        <f t="shared" si="20"/>
        <v>7104</v>
      </c>
    </row>
    <row r="29" spans="2:32" ht="23.1" customHeight="1">
      <c r="B29" s="23" t="s">
        <v>56</v>
      </c>
      <c r="C29" s="50">
        <v>34</v>
      </c>
      <c r="D29" s="50">
        <v>5</v>
      </c>
      <c r="E29" s="50">
        <v>4</v>
      </c>
      <c r="F29" s="50">
        <v>35</v>
      </c>
      <c r="G29" s="50">
        <v>0</v>
      </c>
      <c r="H29" s="50">
        <v>1</v>
      </c>
      <c r="I29" s="50">
        <v>0</v>
      </c>
      <c r="J29" s="50">
        <v>0</v>
      </c>
      <c r="K29" s="50">
        <v>0</v>
      </c>
      <c r="L29" s="50">
        <v>0</v>
      </c>
      <c r="M29" s="50">
        <v>45</v>
      </c>
      <c r="N29" s="50">
        <v>0</v>
      </c>
      <c r="O29" s="15">
        <f t="shared" si="0"/>
        <v>79</v>
      </c>
      <c r="P29" s="15">
        <f t="shared" si="1"/>
        <v>124</v>
      </c>
      <c r="R29"/>
      <c r="S29" s="20"/>
      <c r="T29" s="19"/>
    </row>
    <row r="30" spans="2:32" ht="23.1" customHeight="1">
      <c r="B30" s="23" t="s">
        <v>57</v>
      </c>
      <c r="C30" s="50">
        <v>30</v>
      </c>
      <c r="D30" s="50">
        <v>4</v>
      </c>
      <c r="E30" s="50">
        <v>5</v>
      </c>
      <c r="F30" s="50">
        <v>11</v>
      </c>
      <c r="G30" s="50">
        <v>1</v>
      </c>
      <c r="H30" s="50">
        <v>0</v>
      </c>
      <c r="I30" s="50">
        <v>5</v>
      </c>
      <c r="J30" s="50">
        <v>2</v>
      </c>
      <c r="K30" s="50">
        <v>0</v>
      </c>
      <c r="L30" s="50">
        <v>0</v>
      </c>
      <c r="M30" s="50">
        <v>30</v>
      </c>
      <c r="N30" s="50">
        <v>0</v>
      </c>
      <c r="O30" s="15">
        <f t="shared" si="0"/>
        <v>58</v>
      </c>
      <c r="P30" s="15">
        <f t="shared" si="1"/>
        <v>88</v>
      </c>
    </row>
    <row r="31" spans="2:32" ht="23.1" customHeight="1">
      <c r="B31" s="24" t="s">
        <v>58</v>
      </c>
      <c r="C31" s="50">
        <v>55</v>
      </c>
      <c r="D31" s="50">
        <v>13</v>
      </c>
      <c r="E31" s="50">
        <v>3</v>
      </c>
      <c r="F31" s="50">
        <v>35</v>
      </c>
      <c r="G31" s="50">
        <v>1</v>
      </c>
      <c r="H31" s="50">
        <v>0</v>
      </c>
      <c r="I31" s="50">
        <v>13</v>
      </c>
      <c r="J31" s="50">
        <v>3</v>
      </c>
      <c r="K31" s="50">
        <v>1</v>
      </c>
      <c r="L31" s="50">
        <v>0</v>
      </c>
      <c r="M31" s="50">
        <v>66</v>
      </c>
      <c r="N31" s="50">
        <v>0</v>
      </c>
      <c r="O31" s="15">
        <f t="shared" si="0"/>
        <v>124</v>
      </c>
      <c r="P31" s="15">
        <f t="shared" si="1"/>
        <v>190</v>
      </c>
    </row>
    <row r="32" spans="2:32" ht="23.1" customHeight="1">
      <c r="B32" s="24" t="s">
        <v>59</v>
      </c>
      <c r="C32" s="50">
        <v>30</v>
      </c>
      <c r="D32" s="50">
        <v>9</v>
      </c>
      <c r="E32" s="50">
        <v>3</v>
      </c>
      <c r="F32" s="50">
        <v>9</v>
      </c>
      <c r="G32" s="50">
        <v>1</v>
      </c>
      <c r="H32" s="50">
        <v>0</v>
      </c>
      <c r="I32" s="50">
        <v>3</v>
      </c>
      <c r="J32" s="50">
        <v>0</v>
      </c>
      <c r="K32" s="50">
        <v>0</v>
      </c>
      <c r="L32" s="50">
        <v>0</v>
      </c>
      <c r="M32" s="50">
        <v>50</v>
      </c>
      <c r="N32" s="50">
        <v>0</v>
      </c>
      <c r="O32" s="15">
        <f t="shared" si="0"/>
        <v>55</v>
      </c>
      <c r="P32" s="15">
        <f t="shared" si="1"/>
        <v>105</v>
      </c>
    </row>
    <row r="33" spans="2:20" ht="23.1" customHeight="1">
      <c r="B33" s="23" t="s">
        <v>60</v>
      </c>
      <c r="C33" s="50">
        <v>25</v>
      </c>
      <c r="D33" s="50">
        <v>6</v>
      </c>
      <c r="E33" s="50">
        <v>2</v>
      </c>
      <c r="F33" s="50">
        <v>35</v>
      </c>
      <c r="G33" s="50">
        <v>1</v>
      </c>
      <c r="H33" s="50">
        <v>0</v>
      </c>
      <c r="I33" s="50">
        <v>6</v>
      </c>
      <c r="J33" s="50">
        <v>0</v>
      </c>
      <c r="K33" s="50">
        <v>0</v>
      </c>
      <c r="L33" s="50">
        <v>0</v>
      </c>
      <c r="M33" s="50">
        <v>55</v>
      </c>
      <c r="N33" s="50">
        <v>0</v>
      </c>
      <c r="O33" s="15">
        <f t="shared" si="0"/>
        <v>75</v>
      </c>
      <c r="P33" s="15">
        <f t="shared" si="1"/>
        <v>130</v>
      </c>
    </row>
    <row r="34" spans="2:20" ht="23.1" customHeight="1">
      <c r="B34" s="24" t="s">
        <v>61</v>
      </c>
      <c r="C34" s="50">
        <v>50</v>
      </c>
      <c r="D34" s="50">
        <v>11</v>
      </c>
      <c r="E34" s="50">
        <v>2</v>
      </c>
      <c r="F34" s="50">
        <v>29</v>
      </c>
      <c r="G34" s="50">
        <v>0</v>
      </c>
      <c r="H34" s="50">
        <v>0</v>
      </c>
      <c r="I34" s="50">
        <v>7</v>
      </c>
      <c r="J34" s="50">
        <v>5</v>
      </c>
      <c r="K34" s="50">
        <v>0</v>
      </c>
      <c r="L34" s="50">
        <v>0</v>
      </c>
      <c r="M34" s="50">
        <v>40</v>
      </c>
      <c r="N34" s="50">
        <v>0</v>
      </c>
      <c r="O34" s="15">
        <f t="shared" si="0"/>
        <v>104</v>
      </c>
      <c r="P34" s="15">
        <f t="shared" si="1"/>
        <v>144</v>
      </c>
    </row>
    <row r="35" spans="2:20" ht="23.1" customHeight="1">
      <c r="B35" s="24" t="s">
        <v>62</v>
      </c>
      <c r="C35" s="50">
        <v>30</v>
      </c>
      <c r="D35" s="50">
        <v>6</v>
      </c>
      <c r="E35" s="50">
        <v>3</v>
      </c>
      <c r="F35" s="50">
        <v>10</v>
      </c>
      <c r="G35" s="50">
        <v>1</v>
      </c>
      <c r="H35" s="50">
        <v>0</v>
      </c>
      <c r="I35" s="50">
        <v>7</v>
      </c>
      <c r="J35" s="50">
        <v>0</v>
      </c>
      <c r="K35" s="50">
        <v>0</v>
      </c>
      <c r="L35" s="50">
        <v>0</v>
      </c>
      <c r="M35" s="50">
        <v>50</v>
      </c>
      <c r="N35" s="50">
        <v>0</v>
      </c>
      <c r="O35" s="15">
        <f t="shared" si="0"/>
        <v>57</v>
      </c>
      <c r="P35" s="15">
        <f t="shared" si="1"/>
        <v>107</v>
      </c>
    </row>
    <row r="36" spans="2:20" ht="23.1" customHeight="1">
      <c r="B36" s="24" t="s">
        <v>63</v>
      </c>
      <c r="C36" s="50">
        <v>34</v>
      </c>
      <c r="D36" s="50">
        <v>11</v>
      </c>
      <c r="E36" s="50">
        <v>2</v>
      </c>
      <c r="F36" s="50">
        <v>27</v>
      </c>
      <c r="G36" s="50">
        <v>0</v>
      </c>
      <c r="H36" s="50">
        <v>0</v>
      </c>
      <c r="I36" s="50">
        <v>10</v>
      </c>
      <c r="J36" s="50">
        <v>2</v>
      </c>
      <c r="K36" s="50">
        <v>0</v>
      </c>
      <c r="L36" s="50">
        <v>0</v>
      </c>
      <c r="M36" s="50">
        <v>40</v>
      </c>
      <c r="N36" s="50">
        <v>0</v>
      </c>
      <c r="O36" s="15">
        <f t="shared" si="0"/>
        <v>86</v>
      </c>
      <c r="P36" s="15">
        <f t="shared" si="1"/>
        <v>126</v>
      </c>
    </row>
    <row r="37" spans="2:20" ht="23.1" customHeight="1">
      <c r="B37" s="23" t="s">
        <v>64</v>
      </c>
      <c r="C37" s="50">
        <v>57</v>
      </c>
      <c r="D37" s="50">
        <v>12</v>
      </c>
      <c r="E37" s="50">
        <v>6</v>
      </c>
      <c r="F37" s="50">
        <v>27</v>
      </c>
      <c r="G37" s="50">
        <v>3</v>
      </c>
      <c r="H37" s="50">
        <v>0</v>
      </c>
      <c r="I37" s="50">
        <v>4</v>
      </c>
      <c r="J37" s="50">
        <v>0</v>
      </c>
      <c r="K37" s="50">
        <v>0</v>
      </c>
      <c r="L37" s="50">
        <v>0</v>
      </c>
      <c r="M37" s="50">
        <v>45</v>
      </c>
      <c r="N37" s="50">
        <v>0</v>
      </c>
      <c r="O37" s="15">
        <f t="shared" si="0"/>
        <v>109</v>
      </c>
      <c r="P37" s="15">
        <f t="shared" si="1"/>
        <v>154</v>
      </c>
    </row>
    <row r="38" spans="2:20" ht="23.1" customHeight="1">
      <c r="B38" s="24" t="s">
        <v>65</v>
      </c>
      <c r="C38" s="50">
        <v>50</v>
      </c>
      <c r="D38" s="50">
        <v>16</v>
      </c>
      <c r="E38" s="50">
        <v>5</v>
      </c>
      <c r="F38" s="50">
        <v>25</v>
      </c>
      <c r="G38" s="50">
        <v>0</v>
      </c>
      <c r="H38" s="50">
        <v>0</v>
      </c>
      <c r="I38" s="50">
        <v>4</v>
      </c>
      <c r="J38" s="50">
        <v>0</v>
      </c>
      <c r="K38" s="50">
        <v>0</v>
      </c>
      <c r="L38" s="50">
        <v>0</v>
      </c>
      <c r="M38" s="50">
        <v>35</v>
      </c>
      <c r="N38" s="50">
        <v>0</v>
      </c>
      <c r="O38" s="15">
        <f t="shared" si="0"/>
        <v>100</v>
      </c>
      <c r="P38" s="15">
        <f t="shared" si="1"/>
        <v>135</v>
      </c>
    </row>
    <row r="39" spans="2:20" ht="23.1" customHeight="1">
      <c r="B39" s="24" t="s">
        <v>66</v>
      </c>
      <c r="C39" s="50">
        <v>50</v>
      </c>
      <c r="D39" s="50">
        <v>5</v>
      </c>
      <c r="E39" s="50">
        <v>5</v>
      </c>
      <c r="F39" s="50">
        <v>20</v>
      </c>
      <c r="G39" s="50">
        <v>0</v>
      </c>
      <c r="H39" s="50">
        <v>0</v>
      </c>
      <c r="I39" s="50">
        <v>4</v>
      </c>
      <c r="J39" s="50">
        <v>0</v>
      </c>
      <c r="K39" s="50">
        <v>0</v>
      </c>
      <c r="L39" s="50">
        <v>0</v>
      </c>
      <c r="M39" s="50">
        <v>45</v>
      </c>
      <c r="N39" s="50">
        <v>0</v>
      </c>
      <c r="O39" s="15">
        <f t="shared" si="0"/>
        <v>84</v>
      </c>
      <c r="P39" s="15">
        <f t="shared" si="1"/>
        <v>129</v>
      </c>
    </row>
    <row r="40" spans="2:20" ht="23.1" customHeight="1">
      <c r="B40" s="24" t="s">
        <v>67</v>
      </c>
      <c r="C40" s="50">
        <v>67</v>
      </c>
      <c r="D40" s="50">
        <v>15</v>
      </c>
      <c r="E40" s="50">
        <v>2</v>
      </c>
      <c r="F40" s="50">
        <v>35</v>
      </c>
      <c r="G40" s="50">
        <v>2</v>
      </c>
      <c r="H40" s="50">
        <v>0</v>
      </c>
      <c r="I40" s="50">
        <v>0</v>
      </c>
      <c r="J40" s="50">
        <v>4</v>
      </c>
      <c r="K40" s="50">
        <v>0</v>
      </c>
      <c r="L40" s="50">
        <v>0</v>
      </c>
      <c r="M40" s="50">
        <v>45</v>
      </c>
      <c r="N40" s="50">
        <v>0</v>
      </c>
      <c r="O40" s="15">
        <f t="shared" si="0"/>
        <v>125</v>
      </c>
      <c r="P40" s="15">
        <f t="shared" si="1"/>
        <v>170</v>
      </c>
    </row>
    <row r="41" spans="2:20" ht="23.1" customHeight="1">
      <c r="B41" s="23" t="s">
        <v>68</v>
      </c>
      <c r="C41" s="50">
        <v>45</v>
      </c>
      <c r="D41" s="50">
        <v>9</v>
      </c>
      <c r="E41" s="50">
        <v>4</v>
      </c>
      <c r="F41" s="50">
        <v>40</v>
      </c>
      <c r="G41" s="50">
        <v>1</v>
      </c>
      <c r="H41" s="50">
        <v>1</v>
      </c>
      <c r="I41" s="50">
        <v>0</v>
      </c>
      <c r="J41" s="50">
        <v>0</v>
      </c>
      <c r="K41" s="50">
        <v>0</v>
      </c>
      <c r="L41" s="50">
        <v>0</v>
      </c>
      <c r="M41" s="50">
        <v>35</v>
      </c>
      <c r="N41" s="50">
        <v>0</v>
      </c>
      <c r="O41" s="15">
        <f t="shared" si="0"/>
        <v>100</v>
      </c>
      <c r="P41" s="15">
        <f t="shared" si="1"/>
        <v>135</v>
      </c>
    </row>
    <row r="42" spans="2:20" ht="23.1" customHeight="1">
      <c r="B42" s="24" t="s">
        <v>69</v>
      </c>
      <c r="C42" s="50">
        <v>75</v>
      </c>
      <c r="D42" s="50">
        <v>14</v>
      </c>
      <c r="E42" s="50">
        <v>4</v>
      </c>
      <c r="F42" s="50">
        <v>25</v>
      </c>
      <c r="G42" s="50">
        <v>0</v>
      </c>
      <c r="H42" s="50">
        <v>0</v>
      </c>
      <c r="I42" s="50">
        <v>11</v>
      </c>
      <c r="J42" s="50">
        <v>1</v>
      </c>
      <c r="K42" s="50">
        <v>0</v>
      </c>
      <c r="L42" s="50">
        <v>0</v>
      </c>
      <c r="M42" s="50">
        <v>35</v>
      </c>
      <c r="N42" s="50">
        <v>0</v>
      </c>
      <c r="O42" s="15">
        <f t="shared" si="0"/>
        <v>130</v>
      </c>
      <c r="P42" s="15">
        <f t="shared" si="1"/>
        <v>165</v>
      </c>
    </row>
    <row r="43" spans="2:20" ht="23.1" customHeight="1">
      <c r="B43" s="23" t="s">
        <v>70</v>
      </c>
      <c r="C43" s="50">
        <v>30</v>
      </c>
      <c r="D43" s="50">
        <v>20</v>
      </c>
      <c r="E43" s="50">
        <v>0</v>
      </c>
      <c r="F43" s="50">
        <v>19</v>
      </c>
      <c r="G43" s="50">
        <v>1</v>
      </c>
      <c r="H43" s="50">
        <v>0</v>
      </c>
      <c r="I43" s="50">
        <v>6</v>
      </c>
      <c r="J43" s="50">
        <v>0</v>
      </c>
      <c r="K43" s="50">
        <v>0</v>
      </c>
      <c r="L43" s="50">
        <v>0</v>
      </c>
      <c r="M43" s="50">
        <v>40</v>
      </c>
      <c r="N43" s="50">
        <v>0</v>
      </c>
      <c r="O43" s="15">
        <f t="shared" si="0"/>
        <v>76</v>
      </c>
      <c r="P43" s="15">
        <f t="shared" si="1"/>
        <v>116</v>
      </c>
    </row>
    <row r="44" spans="2:20" ht="23.1" customHeight="1">
      <c r="B44" s="25" t="s">
        <v>71</v>
      </c>
      <c r="C44" s="50">
        <v>50</v>
      </c>
      <c r="D44" s="50">
        <v>7</v>
      </c>
      <c r="E44" s="50">
        <v>2</v>
      </c>
      <c r="F44" s="50">
        <v>21</v>
      </c>
      <c r="G44" s="50">
        <v>0</v>
      </c>
      <c r="H44" s="50">
        <v>0</v>
      </c>
      <c r="I44" s="50">
        <v>5</v>
      </c>
      <c r="J44" s="50">
        <v>3</v>
      </c>
      <c r="K44" s="50">
        <v>0</v>
      </c>
      <c r="L44" s="50">
        <v>1</v>
      </c>
      <c r="M44" s="50">
        <v>40</v>
      </c>
      <c r="N44" s="50">
        <v>0</v>
      </c>
      <c r="O44" s="15">
        <f t="shared" si="0"/>
        <v>89</v>
      </c>
      <c r="P44" s="15">
        <f t="shared" si="1"/>
        <v>129</v>
      </c>
    </row>
    <row r="45" spans="2:20" ht="23.1" customHeight="1">
      <c r="B45" s="23" t="s">
        <v>72</v>
      </c>
      <c r="C45" s="50">
        <v>45</v>
      </c>
      <c r="D45" s="50">
        <v>15</v>
      </c>
      <c r="E45" s="50">
        <v>1</v>
      </c>
      <c r="F45" s="50">
        <v>35</v>
      </c>
      <c r="G45" s="50">
        <v>2</v>
      </c>
      <c r="H45" s="50">
        <v>0</v>
      </c>
      <c r="I45" s="50">
        <v>0</v>
      </c>
      <c r="J45" s="50">
        <v>2</v>
      </c>
      <c r="K45" s="50">
        <v>0</v>
      </c>
      <c r="L45" s="50">
        <v>0</v>
      </c>
      <c r="M45" s="50">
        <v>48</v>
      </c>
      <c r="N45" s="50">
        <v>0</v>
      </c>
      <c r="O45" s="15">
        <f t="shared" si="0"/>
        <v>100</v>
      </c>
      <c r="P45" s="15">
        <f t="shared" si="1"/>
        <v>148</v>
      </c>
    </row>
    <row r="46" spans="2:20" ht="23.1" customHeight="1">
      <c r="B46" s="24" t="s">
        <v>73</v>
      </c>
      <c r="C46" s="50">
        <v>110</v>
      </c>
      <c r="D46" s="50">
        <v>19</v>
      </c>
      <c r="E46" s="50">
        <v>2</v>
      </c>
      <c r="F46" s="50">
        <v>12</v>
      </c>
      <c r="G46" s="50">
        <v>0</v>
      </c>
      <c r="H46" s="50">
        <v>0</v>
      </c>
      <c r="I46" s="50">
        <v>3</v>
      </c>
      <c r="J46" s="50">
        <v>1</v>
      </c>
      <c r="K46" s="50">
        <v>1</v>
      </c>
      <c r="L46" s="50">
        <v>1</v>
      </c>
      <c r="M46" s="50">
        <v>40</v>
      </c>
      <c r="N46" s="50">
        <v>0</v>
      </c>
      <c r="O46" s="15">
        <f t="shared" si="0"/>
        <v>149</v>
      </c>
      <c r="P46" s="15">
        <f t="shared" si="1"/>
        <v>189</v>
      </c>
      <c r="R46" s="8"/>
      <c r="T46"/>
    </row>
    <row r="47" spans="2:20" ht="23.1" customHeight="1">
      <c r="B47" s="24" t="s">
        <v>74</v>
      </c>
      <c r="C47" s="50">
        <v>100</v>
      </c>
      <c r="D47" s="50">
        <v>15</v>
      </c>
      <c r="E47" s="50">
        <v>3</v>
      </c>
      <c r="F47" s="50">
        <v>23</v>
      </c>
      <c r="G47" s="50">
        <v>0</v>
      </c>
      <c r="H47" s="50">
        <v>0</v>
      </c>
      <c r="I47" s="50">
        <v>4</v>
      </c>
      <c r="J47" s="50">
        <v>0</v>
      </c>
      <c r="K47" s="50">
        <v>0</v>
      </c>
      <c r="L47" s="50">
        <v>0</v>
      </c>
      <c r="M47" s="50">
        <v>53</v>
      </c>
      <c r="N47" s="50">
        <v>0</v>
      </c>
      <c r="O47" s="15">
        <f t="shared" si="0"/>
        <v>145</v>
      </c>
      <c r="P47" s="15">
        <f t="shared" si="1"/>
        <v>198</v>
      </c>
      <c r="R47" s="8"/>
      <c r="T47"/>
    </row>
    <row r="48" spans="2:20" ht="23.1" customHeight="1">
      <c r="B48" s="24" t="s">
        <v>75</v>
      </c>
      <c r="C48" s="50">
        <v>82</v>
      </c>
      <c r="D48" s="50">
        <v>11</v>
      </c>
      <c r="E48" s="50">
        <v>3</v>
      </c>
      <c r="F48" s="50">
        <v>12</v>
      </c>
      <c r="G48" s="50">
        <v>0</v>
      </c>
      <c r="H48" s="50">
        <v>0</v>
      </c>
      <c r="I48" s="50">
        <v>8</v>
      </c>
      <c r="J48" s="50">
        <v>0</v>
      </c>
      <c r="K48" s="50">
        <v>1</v>
      </c>
      <c r="L48" s="50">
        <v>0</v>
      </c>
      <c r="M48" s="50">
        <v>50</v>
      </c>
      <c r="N48" s="50">
        <v>0</v>
      </c>
      <c r="O48" s="15">
        <f t="shared" si="0"/>
        <v>117</v>
      </c>
      <c r="P48" s="15">
        <f t="shared" si="1"/>
        <v>167</v>
      </c>
      <c r="R48" s="8"/>
      <c r="T48"/>
    </row>
    <row r="49" spans="2:20" ht="23.1" customHeight="1">
      <c r="B49" s="23" t="s">
        <v>76</v>
      </c>
      <c r="C49" s="50">
        <v>75</v>
      </c>
      <c r="D49" s="50">
        <v>23</v>
      </c>
      <c r="E49" s="50">
        <v>8</v>
      </c>
      <c r="F49" s="50">
        <v>6</v>
      </c>
      <c r="G49" s="50">
        <v>0</v>
      </c>
      <c r="H49" s="50">
        <v>0</v>
      </c>
      <c r="I49" s="50">
        <v>11</v>
      </c>
      <c r="J49" s="50">
        <v>3</v>
      </c>
      <c r="K49" s="50">
        <v>0</v>
      </c>
      <c r="L49" s="50">
        <v>0</v>
      </c>
      <c r="M49" s="50">
        <v>56</v>
      </c>
      <c r="N49" s="50">
        <v>0</v>
      </c>
      <c r="O49" s="15">
        <f t="shared" si="0"/>
        <v>126</v>
      </c>
      <c r="P49" s="15">
        <f t="shared" si="1"/>
        <v>182</v>
      </c>
      <c r="R49" s="8"/>
      <c r="T49"/>
    </row>
    <row r="50" spans="2:20" ht="23.1" customHeight="1">
      <c r="B50" s="24" t="s">
        <v>77</v>
      </c>
      <c r="C50" s="50">
        <v>111</v>
      </c>
      <c r="D50" s="50">
        <v>17</v>
      </c>
      <c r="E50" s="50">
        <v>5</v>
      </c>
      <c r="F50" s="50">
        <v>6</v>
      </c>
      <c r="G50" s="50">
        <v>0</v>
      </c>
      <c r="H50" s="50">
        <v>0</v>
      </c>
      <c r="I50" s="50">
        <v>9</v>
      </c>
      <c r="J50" s="50">
        <v>2</v>
      </c>
      <c r="K50" s="50">
        <v>0</v>
      </c>
      <c r="L50" s="50">
        <v>0</v>
      </c>
      <c r="M50" s="50">
        <v>25</v>
      </c>
      <c r="N50" s="50">
        <v>0</v>
      </c>
      <c r="O50" s="15">
        <f t="shared" si="0"/>
        <v>150</v>
      </c>
      <c r="P50" s="15">
        <f t="shared" si="1"/>
        <v>175</v>
      </c>
      <c r="R50" s="8"/>
      <c r="T50"/>
    </row>
    <row r="51" spans="2:20" ht="23.1" customHeight="1">
      <c r="B51" s="24" t="s">
        <v>78</v>
      </c>
      <c r="C51" s="50">
        <v>80</v>
      </c>
      <c r="D51" s="50">
        <v>13</v>
      </c>
      <c r="E51" s="50">
        <v>2</v>
      </c>
      <c r="F51" s="50">
        <v>9</v>
      </c>
      <c r="G51" s="50">
        <v>1</v>
      </c>
      <c r="H51" s="50">
        <v>0</v>
      </c>
      <c r="I51" s="50">
        <v>4</v>
      </c>
      <c r="J51" s="50">
        <v>1</v>
      </c>
      <c r="K51" s="50">
        <v>0</v>
      </c>
      <c r="L51" s="50">
        <v>1</v>
      </c>
      <c r="M51" s="50">
        <v>55</v>
      </c>
      <c r="N51" s="50">
        <v>0</v>
      </c>
      <c r="O51" s="15">
        <f t="shared" si="0"/>
        <v>111</v>
      </c>
      <c r="P51" s="15">
        <f t="shared" si="1"/>
        <v>166</v>
      </c>
      <c r="R51" s="8"/>
      <c r="T51"/>
    </row>
    <row r="52" spans="2:20" ht="23.1" customHeight="1">
      <c r="B52" s="24" t="s">
        <v>79</v>
      </c>
      <c r="C52" s="50">
        <v>90</v>
      </c>
      <c r="D52" s="50">
        <v>15</v>
      </c>
      <c r="E52" s="50">
        <v>10</v>
      </c>
      <c r="F52" s="50">
        <v>15</v>
      </c>
      <c r="G52" s="50">
        <v>0</v>
      </c>
      <c r="H52" s="50">
        <v>0</v>
      </c>
      <c r="I52" s="50">
        <v>6</v>
      </c>
      <c r="J52" s="50">
        <v>0</v>
      </c>
      <c r="K52" s="50">
        <v>0</v>
      </c>
      <c r="L52" s="50">
        <v>0</v>
      </c>
      <c r="M52" s="50">
        <v>80</v>
      </c>
      <c r="N52" s="50">
        <v>0</v>
      </c>
      <c r="O52" s="15">
        <f t="shared" si="0"/>
        <v>136</v>
      </c>
      <c r="P52" s="15">
        <f t="shared" si="1"/>
        <v>216</v>
      </c>
      <c r="R52" s="8"/>
      <c r="T52"/>
    </row>
    <row r="53" spans="2:20" ht="23.1" customHeight="1">
      <c r="B53" s="23" t="s">
        <v>80</v>
      </c>
      <c r="C53" s="50">
        <v>63</v>
      </c>
      <c r="D53" s="50">
        <v>13</v>
      </c>
      <c r="E53" s="50">
        <v>0</v>
      </c>
      <c r="F53" s="50">
        <v>23</v>
      </c>
      <c r="G53" s="50">
        <v>0</v>
      </c>
      <c r="H53" s="50">
        <v>0</v>
      </c>
      <c r="I53" s="50">
        <v>8</v>
      </c>
      <c r="J53" s="50">
        <v>5</v>
      </c>
      <c r="K53" s="50">
        <v>0</v>
      </c>
      <c r="L53" s="50">
        <v>0</v>
      </c>
      <c r="M53" s="50">
        <v>75</v>
      </c>
      <c r="N53" s="50">
        <v>0</v>
      </c>
      <c r="O53" s="15">
        <f t="shared" si="0"/>
        <v>112</v>
      </c>
      <c r="P53" s="15">
        <f t="shared" si="1"/>
        <v>187</v>
      </c>
      <c r="R53" s="8"/>
      <c r="T53"/>
    </row>
    <row r="54" spans="2:20" ht="23.1" customHeight="1">
      <c r="B54" s="23" t="s">
        <v>81</v>
      </c>
      <c r="C54" s="50">
        <v>155</v>
      </c>
      <c r="D54" s="50">
        <v>25</v>
      </c>
      <c r="E54" s="50">
        <v>7</v>
      </c>
      <c r="F54" s="50">
        <v>17</v>
      </c>
      <c r="G54" s="50">
        <v>0</v>
      </c>
      <c r="H54" s="50">
        <v>0</v>
      </c>
      <c r="I54" s="50">
        <v>8</v>
      </c>
      <c r="J54" s="50">
        <v>2</v>
      </c>
      <c r="K54" s="50">
        <v>0</v>
      </c>
      <c r="L54" s="50">
        <v>0</v>
      </c>
      <c r="M54" s="50">
        <v>50</v>
      </c>
      <c r="N54" s="50">
        <v>0</v>
      </c>
      <c r="O54" s="15">
        <f t="shared" si="0"/>
        <v>214</v>
      </c>
      <c r="P54" s="15">
        <f t="shared" si="1"/>
        <v>264</v>
      </c>
      <c r="R54" s="8"/>
      <c r="T54"/>
    </row>
    <row r="55" spans="2:20" ht="23.1" customHeight="1">
      <c r="B55" s="23" t="s">
        <v>82</v>
      </c>
      <c r="C55" s="50">
        <v>135</v>
      </c>
      <c r="D55" s="50">
        <v>21</v>
      </c>
      <c r="E55" s="50">
        <v>3</v>
      </c>
      <c r="F55" s="50">
        <v>11</v>
      </c>
      <c r="G55" s="50">
        <v>2</v>
      </c>
      <c r="H55" s="50">
        <v>0</v>
      </c>
      <c r="I55" s="50">
        <v>3</v>
      </c>
      <c r="J55" s="50">
        <v>0</v>
      </c>
      <c r="K55" s="50">
        <v>1</v>
      </c>
      <c r="L55" s="50">
        <v>1</v>
      </c>
      <c r="M55" s="50">
        <v>58</v>
      </c>
      <c r="N55" s="50">
        <v>0</v>
      </c>
      <c r="O55" s="15">
        <f t="shared" si="0"/>
        <v>177</v>
      </c>
      <c r="P55" s="15">
        <f t="shared" si="1"/>
        <v>235</v>
      </c>
      <c r="R55" s="8"/>
      <c r="T55"/>
    </row>
    <row r="56" spans="2:20" ht="23.1" customHeight="1">
      <c r="B56" s="23" t="s">
        <v>83</v>
      </c>
      <c r="C56" s="50">
        <v>110</v>
      </c>
      <c r="D56" s="50">
        <v>27</v>
      </c>
      <c r="E56" s="50">
        <v>3</v>
      </c>
      <c r="F56" s="50">
        <v>12</v>
      </c>
      <c r="G56" s="50">
        <v>1</v>
      </c>
      <c r="H56" s="50">
        <v>0</v>
      </c>
      <c r="I56" s="50">
        <v>5</v>
      </c>
      <c r="J56" s="50">
        <v>0</v>
      </c>
      <c r="K56" s="50">
        <v>0</v>
      </c>
      <c r="L56" s="50">
        <v>0</v>
      </c>
      <c r="M56" s="50">
        <v>115</v>
      </c>
      <c r="N56" s="50">
        <v>0</v>
      </c>
      <c r="O56" s="15">
        <f t="shared" si="0"/>
        <v>158</v>
      </c>
      <c r="P56" s="15">
        <f t="shared" si="1"/>
        <v>273</v>
      </c>
      <c r="R56" s="8"/>
      <c r="T56"/>
    </row>
    <row r="57" spans="2:20" ht="23.1" customHeight="1">
      <c r="B57" s="23" t="s">
        <v>84</v>
      </c>
      <c r="C57" s="50">
        <v>90</v>
      </c>
      <c r="D57" s="50">
        <v>50</v>
      </c>
      <c r="E57" s="50">
        <v>2</v>
      </c>
      <c r="F57" s="50">
        <v>11</v>
      </c>
      <c r="G57" s="50">
        <v>0</v>
      </c>
      <c r="H57" s="50">
        <v>0</v>
      </c>
      <c r="I57" s="50">
        <v>1</v>
      </c>
      <c r="J57" s="50">
        <v>0</v>
      </c>
      <c r="K57" s="50">
        <v>0</v>
      </c>
      <c r="L57" s="50">
        <v>0</v>
      </c>
      <c r="M57" s="50">
        <v>75</v>
      </c>
      <c r="N57" s="50">
        <v>0</v>
      </c>
      <c r="O57" s="15">
        <f t="shared" si="0"/>
        <v>154</v>
      </c>
      <c r="P57" s="15">
        <f t="shared" si="1"/>
        <v>229</v>
      </c>
      <c r="R57" s="8"/>
      <c r="T57"/>
    </row>
    <row r="58" spans="2:20" ht="23.1" customHeight="1">
      <c r="B58" s="26" t="s">
        <v>18</v>
      </c>
      <c r="C58" s="16">
        <f t="shared" ref="C58:P58" si="21">SUM(C10:C57)</f>
        <v>2624</v>
      </c>
      <c r="D58" s="16">
        <f t="shared" si="21"/>
        <v>555</v>
      </c>
      <c r="E58" s="16">
        <f t="shared" si="21"/>
        <v>147</v>
      </c>
      <c r="F58" s="16">
        <f t="shared" si="21"/>
        <v>1042</v>
      </c>
      <c r="G58" s="16">
        <f t="shared" si="21"/>
        <v>27</v>
      </c>
      <c r="H58" s="16">
        <f t="shared" si="21"/>
        <v>4</v>
      </c>
      <c r="I58" s="16">
        <f t="shared" si="21"/>
        <v>256</v>
      </c>
      <c r="J58" s="16">
        <f t="shared" si="21"/>
        <v>44</v>
      </c>
      <c r="K58" s="16">
        <f t="shared" si="21"/>
        <v>11</v>
      </c>
      <c r="L58" s="16">
        <f t="shared" si="21"/>
        <v>11</v>
      </c>
      <c r="M58" s="16">
        <f t="shared" si="21"/>
        <v>2383</v>
      </c>
      <c r="N58" s="16">
        <f t="shared" si="21"/>
        <v>0</v>
      </c>
      <c r="O58" s="16">
        <f t="shared" si="21"/>
        <v>4721</v>
      </c>
      <c r="P58" s="16">
        <f t="shared" si="21"/>
        <v>7104</v>
      </c>
      <c r="R58" s="8"/>
      <c r="T58"/>
    </row>
    <row r="59" spans="2:20" ht="23.1" customHeight="1">
      <c r="B59" s="26" t="s">
        <v>93</v>
      </c>
      <c r="C59" s="43">
        <f t="shared" ref="C59:N59" si="22">C58/$P$58</f>
        <v>0.36936936936936937</v>
      </c>
      <c r="D59" s="43">
        <f t="shared" si="22"/>
        <v>7.8125E-2</v>
      </c>
      <c r="E59" s="43">
        <f t="shared" si="22"/>
        <v>2.0692567567567568E-2</v>
      </c>
      <c r="F59" s="43">
        <f t="shared" si="22"/>
        <v>0.14667792792792791</v>
      </c>
      <c r="G59" s="43">
        <f t="shared" si="22"/>
        <v>3.8006756756756759E-3</v>
      </c>
      <c r="H59" s="43">
        <f t="shared" si="22"/>
        <v>5.6306306306306306E-4</v>
      </c>
      <c r="I59" s="43">
        <f t="shared" si="22"/>
        <v>3.6036036036036036E-2</v>
      </c>
      <c r="J59" s="43">
        <f t="shared" si="22"/>
        <v>6.1936936936936937E-3</v>
      </c>
      <c r="K59" s="43">
        <f t="shared" si="22"/>
        <v>1.5484234234234234E-3</v>
      </c>
      <c r="L59" s="43">
        <f t="shared" si="22"/>
        <v>1.5484234234234234E-3</v>
      </c>
      <c r="M59" s="43">
        <f t="shared" si="22"/>
        <v>0.33544481981981983</v>
      </c>
      <c r="N59" s="43">
        <f t="shared" si="22"/>
        <v>0</v>
      </c>
      <c r="R59" s="8"/>
      <c r="T59"/>
    </row>
    <row r="60" spans="2:20" ht="23.1" customHeight="1">
      <c r="B60" s="42" t="s">
        <v>94</v>
      </c>
      <c r="C60" s="44">
        <f>C58/$O$58</f>
        <v>0.55581444609192965</v>
      </c>
      <c r="D60" s="44">
        <f t="shared" ref="D60:N60" si="23">D58/$O$58</f>
        <v>0.11755983901715739</v>
      </c>
      <c r="E60" s="44">
        <f t="shared" si="23"/>
        <v>3.1137470874814659E-2</v>
      </c>
      <c r="F60" s="44">
        <f t="shared" si="23"/>
        <v>0.22071595001059097</v>
      </c>
      <c r="G60" s="44">
        <f t="shared" si="23"/>
        <v>5.7191273035373863E-3</v>
      </c>
      <c r="H60" s="44">
        <f t="shared" si="23"/>
        <v>8.4727811904257574E-4</v>
      </c>
      <c r="I60" s="44">
        <f t="shared" si="23"/>
        <v>5.4225799618724847E-2</v>
      </c>
      <c r="J60" s="44">
        <f t="shared" si="23"/>
        <v>9.3200593094683332E-3</v>
      </c>
      <c r="K60" s="44">
        <f t="shared" si="23"/>
        <v>2.3300148273670833E-3</v>
      </c>
      <c r="L60" s="44">
        <f t="shared" si="23"/>
        <v>2.3300148273670833E-3</v>
      </c>
      <c r="M60" s="44"/>
      <c r="N60" s="44">
        <f t="shared" si="23"/>
        <v>0</v>
      </c>
      <c r="Q60" s="7"/>
      <c r="R60" s="8"/>
      <c r="T60"/>
    </row>
    <row r="61" spans="2:20" ht="20.100000000000001" customHeight="1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theme="2" tint="-0.249977111117893"/>
  </sheetPr>
  <dimension ref="B1:AF174"/>
  <sheetViews>
    <sheetView view="pageBreakPreview" zoomScale="60" workbookViewId="0">
      <selection activeCell="O77" sqref="O77"/>
    </sheetView>
  </sheetViews>
  <sheetFormatPr defaultColWidth="15" defaultRowHeight="20.100000000000001" customHeight="1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>
      <c r="B1" s="60" t="s">
        <v>23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</row>
    <row r="2" spans="2:32" ht="20.100000000000001" customHeight="1">
      <c r="B2" s="61" t="s">
        <v>95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</row>
    <row r="3" spans="2:32" ht="20.100000000000001" customHeight="1">
      <c r="B3" s="22" t="s">
        <v>96</v>
      </c>
      <c r="C3" s="65" t="str">
        <f>'29.07 Najjeera-Kiwatule'!C3:G3</f>
        <v>MCC - C1 - STN36 - MBOGO ROAD</v>
      </c>
      <c r="D3" s="65"/>
      <c r="E3" s="65"/>
      <c r="F3" s="65"/>
      <c r="G3" s="65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>
      <c r="C5" s="4" t="s">
        <v>3</v>
      </c>
      <c r="D5" s="36" t="s">
        <v>175</v>
      </c>
      <c r="E5" s="3"/>
      <c r="F5" s="41" t="s">
        <v>1</v>
      </c>
      <c r="G5" s="66" t="str">
        <f>'31.07 Kiwatule-Najjeera'!G5:H5</f>
        <v>U Save Kiwatule</v>
      </c>
      <c r="H5" s="67"/>
      <c r="I5" s="14"/>
      <c r="J5" s="2" t="s">
        <v>5</v>
      </c>
      <c r="K5" s="66" t="s">
        <v>176</v>
      </c>
      <c r="L5" s="67"/>
      <c r="M5" s="10"/>
      <c r="N5" s="10"/>
      <c r="O5" s="3"/>
      <c r="P5" s="3"/>
    </row>
    <row r="6" spans="2:32" ht="23.25" customHeight="1">
      <c r="C6" s="2" t="s">
        <v>4</v>
      </c>
      <c r="D6" s="66" t="str">
        <f>'29.07 Najjeera-Kiwatule'!D6:E6</f>
        <v>Najjeera</v>
      </c>
      <c r="E6" s="67"/>
      <c r="F6" s="2" t="s">
        <v>2</v>
      </c>
      <c r="G6" s="66" t="str">
        <f>'29.07 Najjeera-Kiwatule'!G6:H6</f>
        <v>Kiwatule</v>
      </c>
      <c r="H6" s="67"/>
      <c r="J6" s="2" t="s">
        <v>21</v>
      </c>
      <c r="K6" s="66" t="s">
        <v>177</v>
      </c>
      <c r="L6" s="67"/>
      <c r="M6" s="10"/>
      <c r="N6" s="10"/>
      <c r="O6" s="3"/>
      <c r="P6" s="3"/>
    </row>
    <row r="7" spans="2:32" ht="20.100000000000001" customHeight="1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9" t="s">
        <v>88</v>
      </c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</row>
    <row r="9" spans="2:32" ht="51.75" customHeight="1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>
      <c r="B10" s="45" t="s">
        <v>37</v>
      </c>
      <c r="C10" s="50">
        <v>145</v>
      </c>
      <c r="D10" s="50">
        <v>24</v>
      </c>
      <c r="E10" s="50">
        <v>15</v>
      </c>
      <c r="F10" s="50">
        <v>32</v>
      </c>
      <c r="G10" s="50">
        <v>2</v>
      </c>
      <c r="H10" s="50">
        <v>0</v>
      </c>
      <c r="I10" s="50">
        <v>1</v>
      </c>
      <c r="J10" s="50">
        <v>1</v>
      </c>
      <c r="K10" s="50">
        <v>0</v>
      </c>
      <c r="L10" s="50">
        <v>0</v>
      </c>
      <c r="M10" s="50">
        <v>119</v>
      </c>
      <c r="N10" s="50">
        <v>0</v>
      </c>
      <c r="O10" s="15">
        <f t="shared" ref="O10:O57" si="0">SUM(C10:L10,N10)</f>
        <v>220</v>
      </c>
      <c r="P10" s="15">
        <f t="shared" ref="P10:P57" si="1">SUM(C10:N10)</f>
        <v>339</v>
      </c>
      <c r="R10" s="1" t="s">
        <v>6</v>
      </c>
      <c r="S10" s="17">
        <f t="shared" ref="S10:AF10" si="2">SUM(C10:C13)</f>
        <v>558</v>
      </c>
      <c r="T10" s="17">
        <f t="shared" si="2"/>
        <v>88</v>
      </c>
      <c r="U10" s="17">
        <f t="shared" si="2"/>
        <v>68</v>
      </c>
      <c r="V10" s="17">
        <f t="shared" si="2"/>
        <v>120</v>
      </c>
      <c r="W10" s="17">
        <f t="shared" si="2"/>
        <v>3</v>
      </c>
      <c r="X10" s="17">
        <f t="shared" si="2"/>
        <v>0</v>
      </c>
      <c r="Y10" s="17">
        <f t="shared" si="2"/>
        <v>9</v>
      </c>
      <c r="Z10" s="17">
        <f t="shared" si="2"/>
        <v>2</v>
      </c>
      <c r="AA10" s="17">
        <f t="shared" si="2"/>
        <v>0</v>
      </c>
      <c r="AB10" s="17">
        <f t="shared" si="2"/>
        <v>0</v>
      </c>
      <c r="AC10" s="17">
        <f t="shared" si="2"/>
        <v>510</v>
      </c>
      <c r="AD10" s="17">
        <f t="shared" si="2"/>
        <v>0</v>
      </c>
      <c r="AE10" s="31">
        <f t="shared" si="2"/>
        <v>848</v>
      </c>
      <c r="AF10" s="31">
        <f t="shared" si="2"/>
        <v>1358</v>
      </c>
    </row>
    <row r="11" spans="2:32" s="6" customFormat="1" ht="23.1" customHeight="1">
      <c r="B11" s="45" t="s">
        <v>38</v>
      </c>
      <c r="C11" s="50">
        <v>143</v>
      </c>
      <c r="D11" s="50">
        <v>20</v>
      </c>
      <c r="E11" s="50">
        <v>19</v>
      </c>
      <c r="F11" s="50">
        <v>30</v>
      </c>
      <c r="G11" s="50">
        <v>0</v>
      </c>
      <c r="H11" s="50">
        <v>0</v>
      </c>
      <c r="I11" s="50">
        <v>2</v>
      </c>
      <c r="J11" s="50">
        <v>0</v>
      </c>
      <c r="K11" s="50">
        <v>0</v>
      </c>
      <c r="L11" s="50">
        <v>0</v>
      </c>
      <c r="M11" s="50">
        <v>115</v>
      </c>
      <c r="N11" s="50">
        <v>0</v>
      </c>
      <c r="O11" s="15">
        <f t="shared" si="0"/>
        <v>214</v>
      </c>
      <c r="P11" s="15">
        <f t="shared" si="1"/>
        <v>329</v>
      </c>
      <c r="R11" s="1" t="s">
        <v>7</v>
      </c>
      <c r="S11" s="17">
        <f t="shared" ref="S11:AF11" si="3">SUM(C14:C17)</f>
        <v>485</v>
      </c>
      <c r="T11" s="17">
        <f t="shared" si="3"/>
        <v>62</v>
      </c>
      <c r="U11" s="17">
        <f t="shared" si="3"/>
        <v>34</v>
      </c>
      <c r="V11" s="17">
        <f t="shared" si="3"/>
        <v>73</v>
      </c>
      <c r="W11" s="17">
        <f t="shared" si="3"/>
        <v>1</v>
      </c>
      <c r="X11" s="17">
        <f t="shared" si="3"/>
        <v>0</v>
      </c>
      <c r="Y11" s="17">
        <f t="shared" si="3"/>
        <v>16</v>
      </c>
      <c r="Z11" s="17">
        <f t="shared" si="3"/>
        <v>1</v>
      </c>
      <c r="AA11" s="17">
        <f t="shared" si="3"/>
        <v>1</v>
      </c>
      <c r="AB11" s="17">
        <f t="shared" si="3"/>
        <v>0</v>
      </c>
      <c r="AC11" s="17">
        <f t="shared" si="3"/>
        <v>447</v>
      </c>
      <c r="AD11" s="17">
        <f t="shared" si="3"/>
        <v>0</v>
      </c>
      <c r="AE11" s="31">
        <f t="shared" si="3"/>
        <v>673</v>
      </c>
      <c r="AF11" s="31">
        <f t="shared" si="3"/>
        <v>1120</v>
      </c>
    </row>
    <row r="12" spans="2:32" ht="23.1" customHeight="1">
      <c r="B12" s="45" t="s">
        <v>39</v>
      </c>
      <c r="C12" s="50">
        <v>120</v>
      </c>
      <c r="D12" s="50">
        <v>25</v>
      </c>
      <c r="E12" s="50">
        <v>20</v>
      </c>
      <c r="F12" s="50">
        <v>34</v>
      </c>
      <c r="G12" s="50">
        <v>0</v>
      </c>
      <c r="H12" s="50">
        <v>0</v>
      </c>
      <c r="I12" s="50">
        <v>4</v>
      </c>
      <c r="J12" s="50">
        <v>1</v>
      </c>
      <c r="K12" s="50">
        <v>0</v>
      </c>
      <c r="L12" s="50">
        <v>0</v>
      </c>
      <c r="M12" s="50">
        <v>149</v>
      </c>
      <c r="N12" s="50">
        <v>0</v>
      </c>
      <c r="O12" s="15">
        <f t="shared" si="0"/>
        <v>204</v>
      </c>
      <c r="P12" s="15">
        <f t="shared" si="1"/>
        <v>353</v>
      </c>
      <c r="R12" s="1" t="s">
        <v>8</v>
      </c>
      <c r="S12" s="17">
        <f t="shared" ref="S12:AF12" si="4">SUM(C18:C21)</f>
        <v>380</v>
      </c>
      <c r="T12" s="17">
        <f t="shared" si="4"/>
        <v>69</v>
      </c>
      <c r="U12" s="17">
        <f t="shared" si="4"/>
        <v>25</v>
      </c>
      <c r="V12" s="17">
        <f t="shared" si="4"/>
        <v>60</v>
      </c>
      <c r="W12" s="17">
        <f t="shared" si="4"/>
        <v>2</v>
      </c>
      <c r="X12" s="17">
        <f t="shared" si="4"/>
        <v>0</v>
      </c>
      <c r="Y12" s="17">
        <f t="shared" si="4"/>
        <v>19</v>
      </c>
      <c r="Z12" s="17">
        <f t="shared" si="4"/>
        <v>1</v>
      </c>
      <c r="AA12" s="17">
        <f t="shared" si="4"/>
        <v>1</v>
      </c>
      <c r="AB12" s="17">
        <f t="shared" si="4"/>
        <v>0</v>
      </c>
      <c r="AC12" s="17">
        <f t="shared" si="4"/>
        <v>471</v>
      </c>
      <c r="AD12" s="17">
        <f t="shared" si="4"/>
        <v>0</v>
      </c>
      <c r="AE12" s="31">
        <f t="shared" si="4"/>
        <v>557</v>
      </c>
      <c r="AF12" s="31">
        <f t="shared" si="4"/>
        <v>1028</v>
      </c>
    </row>
    <row r="13" spans="2:32" ht="23.1" customHeight="1">
      <c r="B13" s="45" t="s">
        <v>40</v>
      </c>
      <c r="C13" s="50">
        <v>150</v>
      </c>
      <c r="D13" s="50">
        <v>19</v>
      </c>
      <c r="E13" s="50">
        <v>14</v>
      </c>
      <c r="F13" s="50">
        <v>24</v>
      </c>
      <c r="G13" s="50">
        <v>1</v>
      </c>
      <c r="H13" s="50">
        <v>0</v>
      </c>
      <c r="I13" s="50">
        <v>2</v>
      </c>
      <c r="J13" s="50">
        <v>0</v>
      </c>
      <c r="K13" s="50">
        <v>0</v>
      </c>
      <c r="L13" s="50">
        <v>0</v>
      </c>
      <c r="M13" s="50">
        <v>127</v>
      </c>
      <c r="N13" s="50">
        <v>0</v>
      </c>
      <c r="O13" s="15">
        <f t="shared" si="0"/>
        <v>210</v>
      </c>
      <c r="P13" s="15">
        <f t="shared" si="1"/>
        <v>337</v>
      </c>
      <c r="R13" s="1" t="s">
        <v>9</v>
      </c>
      <c r="S13" s="17">
        <f t="shared" ref="S13:AF13" si="5">SUM(C22:C25)</f>
        <v>360</v>
      </c>
      <c r="T13" s="17">
        <f t="shared" si="5"/>
        <v>48</v>
      </c>
      <c r="U13" s="17">
        <f t="shared" si="5"/>
        <v>45</v>
      </c>
      <c r="V13" s="17">
        <f t="shared" si="5"/>
        <v>68</v>
      </c>
      <c r="W13" s="17">
        <f t="shared" si="5"/>
        <v>0</v>
      </c>
      <c r="X13" s="17">
        <f t="shared" si="5"/>
        <v>0</v>
      </c>
      <c r="Y13" s="17">
        <f t="shared" si="5"/>
        <v>15</v>
      </c>
      <c r="Z13" s="17">
        <f t="shared" si="5"/>
        <v>6</v>
      </c>
      <c r="AA13" s="17">
        <f t="shared" si="5"/>
        <v>2</v>
      </c>
      <c r="AB13" s="17">
        <f t="shared" si="5"/>
        <v>0</v>
      </c>
      <c r="AC13" s="17">
        <f t="shared" si="5"/>
        <v>339</v>
      </c>
      <c r="AD13" s="17">
        <f t="shared" si="5"/>
        <v>0</v>
      </c>
      <c r="AE13" s="31">
        <f t="shared" si="5"/>
        <v>544</v>
      </c>
      <c r="AF13" s="31">
        <f t="shared" si="5"/>
        <v>883</v>
      </c>
    </row>
    <row r="14" spans="2:32" ht="23.1" customHeight="1">
      <c r="B14" s="45" t="s">
        <v>41</v>
      </c>
      <c r="C14" s="50">
        <v>130</v>
      </c>
      <c r="D14" s="50">
        <v>14</v>
      </c>
      <c r="E14" s="50">
        <v>11</v>
      </c>
      <c r="F14" s="50">
        <v>21</v>
      </c>
      <c r="G14" s="50">
        <v>1</v>
      </c>
      <c r="H14" s="50">
        <v>0</v>
      </c>
      <c r="I14" s="50">
        <v>4</v>
      </c>
      <c r="J14" s="50">
        <v>0</v>
      </c>
      <c r="K14" s="50">
        <v>0</v>
      </c>
      <c r="L14" s="50">
        <v>0</v>
      </c>
      <c r="M14" s="50">
        <v>113</v>
      </c>
      <c r="N14" s="50">
        <v>0</v>
      </c>
      <c r="O14" s="15">
        <f t="shared" si="0"/>
        <v>181</v>
      </c>
      <c r="P14" s="15">
        <f t="shared" si="1"/>
        <v>294</v>
      </c>
      <c r="R14" s="1" t="s">
        <v>10</v>
      </c>
      <c r="S14" s="17">
        <f t="shared" ref="S14:AF14" si="6">SUM(C26:C29)</f>
        <v>338</v>
      </c>
      <c r="T14" s="17">
        <f t="shared" si="6"/>
        <v>48</v>
      </c>
      <c r="U14" s="17">
        <f t="shared" si="6"/>
        <v>23</v>
      </c>
      <c r="V14" s="17">
        <f t="shared" si="6"/>
        <v>55</v>
      </c>
      <c r="W14" s="17">
        <f t="shared" si="6"/>
        <v>0</v>
      </c>
      <c r="X14" s="17">
        <f t="shared" si="6"/>
        <v>0</v>
      </c>
      <c r="Y14" s="17">
        <f t="shared" si="6"/>
        <v>12</v>
      </c>
      <c r="Z14" s="17">
        <f t="shared" si="6"/>
        <v>5</v>
      </c>
      <c r="AA14" s="17">
        <f t="shared" si="6"/>
        <v>3</v>
      </c>
      <c r="AB14" s="17">
        <f t="shared" si="6"/>
        <v>0</v>
      </c>
      <c r="AC14" s="17">
        <f t="shared" si="6"/>
        <v>344</v>
      </c>
      <c r="AD14" s="17">
        <f t="shared" si="6"/>
        <v>0</v>
      </c>
      <c r="AE14" s="31">
        <f t="shared" si="6"/>
        <v>484</v>
      </c>
      <c r="AF14" s="31">
        <f t="shared" si="6"/>
        <v>828</v>
      </c>
    </row>
    <row r="15" spans="2:32" ht="23.1" customHeight="1">
      <c r="B15" s="45" t="s">
        <v>42</v>
      </c>
      <c r="C15" s="50">
        <v>145</v>
      </c>
      <c r="D15" s="50">
        <v>14</v>
      </c>
      <c r="E15" s="50">
        <v>5</v>
      </c>
      <c r="F15" s="50">
        <v>25</v>
      </c>
      <c r="G15" s="50">
        <v>0</v>
      </c>
      <c r="H15" s="50">
        <v>0</v>
      </c>
      <c r="I15" s="50">
        <v>4</v>
      </c>
      <c r="J15" s="50">
        <v>0</v>
      </c>
      <c r="K15" s="50">
        <v>0</v>
      </c>
      <c r="L15" s="50">
        <v>0</v>
      </c>
      <c r="M15" s="50">
        <v>107</v>
      </c>
      <c r="N15" s="50">
        <v>0</v>
      </c>
      <c r="O15" s="15">
        <f t="shared" si="0"/>
        <v>193</v>
      </c>
      <c r="P15" s="15">
        <f t="shared" si="1"/>
        <v>300</v>
      </c>
      <c r="R15" s="1" t="s">
        <v>11</v>
      </c>
      <c r="S15" s="17">
        <f t="shared" ref="S15:AF15" si="7">SUM(C30:C33)</f>
        <v>665</v>
      </c>
      <c r="T15" s="17">
        <f t="shared" si="7"/>
        <v>79</v>
      </c>
      <c r="U15" s="17">
        <f t="shared" si="7"/>
        <v>23</v>
      </c>
      <c r="V15" s="17">
        <f t="shared" si="7"/>
        <v>78</v>
      </c>
      <c r="W15" s="17">
        <f t="shared" si="7"/>
        <v>0</v>
      </c>
      <c r="X15" s="17">
        <f t="shared" si="7"/>
        <v>0</v>
      </c>
      <c r="Y15" s="17">
        <f t="shared" si="7"/>
        <v>20</v>
      </c>
      <c r="Z15" s="17">
        <f t="shared" si="7"/>
        <v>2</v>
      </c>
      <c r="AA15" s="17">
        <f t="shared" si="7"/>
        <v>0</v>
      </c>
      <c r="AB15" s="17">
        <f t="shared" si="7"/>
        <v>0</v>
      </c>
      <c r="AC15" s="17">
        <f t="shared" si="7"/>
        <v>325</v>
      </c>
      <c r="AD15" s="17">
        <f t="shared" si="7"/>
        <v>0</v>
      </c>
      <c r="AE15" s="31">
        <f t="shared" si="7"/>
        <v>867</v>
      </c>
      <c r="AF15" s="31">
        <f t="shared" si="7"/>
        <v>1192</v>
      </c>
    </row>
    <row r="16" spans="2:32" ht="23.1" customHeight="1">
      <c r="B16" s="45" t="s">
        <v>43</v>
      </c>
      <c r="C16" s="50">
        <v>95</v>
      </c>
      <c r="D16" s="50">
        <v>19</v>
      </c>
      <c r="E16" s="50">
        <v>6</v>
      </c>
      <c r="F16" s="50">
        <v>11</v>
      </c>
      <c r="G16" s="50">
        <v>0</v>
      </c>
      <c r="H16" s="50">
        <v>0</v>
      </c>
      <c r="I16" s="50">
        <v>3</v>
      </c>
      <c r="J16" s="50">
        <v>1</v>
      </c>
      <c r="K16" s="50">
        <v>0</v>
      </c>
      <c r="L16" s="50">
        <v>0</v>
      </c>
      <c r="M16" s="50">
        <v>125</v>
      </c>
      <c r="N16" s="50">
        <v>0</v>
      </c>
      <c r="O16" s="15">
        <f t="shared" si="0"/>
        <v>135</v>
      </c>
      <c r="P16" s="15">
        <f t="shared" si="1"/>
        <v>260</v>
      </c>
      <c r="R16" s="1" t="s">
        <v>12</v>
      </c>
      <c r="S16" s="17">
        <f t="shared" ref="S16:AF16" si="8">SUM(C34:C37)</f>
        <v>170</v>
      </c>
      <c r="T16" s="17">
        <f t="shared" si="8"/>
        <v>24</v>
      </c>
      <c r="U16" s="17">
        <f t="shared" si="8"/>
        <v>25</v>
      </c>
      <c r="V16" s="17">
        <f t="shared" si="8"/>
        <v>34</v>
      </c>
      <c r="W16" s="17">
        <f t="shared" si="8"/>
        <v>2</v>
      </c>
      <c r="X16" s="17">
        <f t="shared" si="8"/>
        <v>0</v>
      </c>
      <c r="Y16" s="17">
        <f t="shared" si="8"/>
        <v>25</v>
      </c>
      <c r="Z16" s="17">
        <f t="shared" si="8"/>
        <v>4</v>
      </c>
      <c r="AA16" s="17">
        <f t="shared" si="8"/>
        <v>2</v>
      </c>
      <c r="AB16" s="17">
        <f t="shared" si="8"/>
        <v>0</v>
      </c>
      <c r="AC16" s="17">
        <f t="shared" si="8"/>
        <v>228</v>
      </c>
      <c r="AD16" s="17">
        <f t="shared" si="8"/>
        <v>0</v>
      </c>
      <c r="AE16" s="31">
        <f t="shared" si="8"/>
        <v>286</v>
      </c>
      <c r="AF16" s="31">
        <f t="shared" si="8"/>
        <v>514</v>
      </c>
    </row>
    <row r="17" spans="2:32" ht="23.1" customHeight="1">
      <c r="B17" s="45" t="s">
        <v>44</v>
      </c>
      <c r="C17" s="50">
        <v>115</v>
      </c>
      <c r="D17" s="50">
        <v>15</v>
      </c>
      <c r="E17" s="50">
        <v>12</v>
      </c>
      <c r="F17" s="50">
        <v>16</v>
      </c>
      <c r="G17" s="50">
        <v>0</v>
      </c>
      <c r="H17" s="50">
        <v>0</v>
      </c>
      <c r="I17" s="50">
        <v>5</v>
      </c>
      <c r="J17" s="50">
        <v>0</v>
      </c>
      <c r="K17" s="50">
        <v>1</v>
      </c>
      <c r="L17" s="50">
        <v>0</v>
      </c>
      <c r="M17" s="50">
        <v>102</v>
      </c>
      <c r="N17" s="50">
        <v>0</v>
      </c>
      <c r="O17" s="15">
        <f t="shared" si="0"/>
        <v>164</v>
      </c>
      <c r="P17" s="15">
        <f t="shared" si="1"/>
        <v>266</v>
      </c>
      <c r="R17" s="1" t="s">
        <v>13</v>
      </c>
      <c r="S17" s="17">
        <f t="shared" ref="S17:AF17" si="9">SUM(C38:C41)</f>
        <v>195</v>
      </c>
      <c r="T17" s="17">
        <f t="shared" si="9"/>
        <v>25</v>
      </c>
      <c r="U17" s="17">
        <f t="shared" si="9"/>
        <v>22</v>
      </c>
      <c r="V17" s="17">
        <f t="shared" si="9"/>
        <v>52</v>
      </c>
      <c r="W17" s="17">
        <f t="shared" si="9"/>
        <v>2</v>
      </c>
      <c r="X17" s="17">
        <f t="shared" si="9"/>
        <v>0</v>
      </c>
      <c r="Y17" s="17">
        <f t="shared" si="9"/>
        <v>27</v>
      </c>
      <c r="Z17" s="17">
        <f t="shared" si="9"/>
        <v>1</v>
      </c>
      <c r="AA17" s="17">
        <f t="shared" si="9"/>
        <v>1</v>
      </c>
      <c r="AB17" s="17">
        <f t="shared" si="9"/>
        <v>2</v>
      </c>
      <c r="AC17" s="17">
        <f t="shared" si="9"/>
        <v>266</v>
      </c>
      <c r="AD17" s="17">
        <f t="shared" si="9"/>
        <v>0</v>
      </c>
      <c r="AE17" s="31">
        <f t="shared" si="9"/>
        <v>327</v>
      </c>
      <c r="AF17" s="31">
        <f t="shared" si="9"/>
        <v>593</v>
      </c>
    </row>
    <row r="18" spans="2:32" ht="23.1" customHeight="1">
      <c r="B18" s="45" t="s">
        <v>45</v>
      </c>
      <c r="C18" s="50">
        <v>125</v>
      </c>
      <c r="D18" s="50">
        <v>23</v>
      </c>
      <c r="E18" s="50">
        <v>7</v>
      </c>
      <c r="F18" s="50">
        <v>19</v>
      </c>
      <c r="G18" s="50">
        <v>0</v>
      </c>
      <c r="H18" s="50">
        <v>0</v>
      </c>
      <c r="I18" s="50">
        <v>6</v>
      </c>
      <c r="J18" s="50">
        <v>1</v>
      </c>
      <c r="K18" s="50">
        <v>1</v>
      </c>
      <c r="L18" s="50">
        <v>0</v>
      </c>
      <c r="M18" s="50">
        <v>112</v>
      </c>
      <c r="N18" s="50">
        <v>0</v>
      </c>
      <c r="O18" s="15">
        <f t="shared" si="0"/>
        <v>182</v>
      </c>
      <c r="P18" s="15">
        <f t="shared" si="1"/>
        <v>294</v>
      </c>
      <c r="R18" s="1" t="s">
        <v>14</v>
      </c>
      <c r="S18" s="17">
        <f t="shared" ref="S18:AF18" si="10">SUM(C42:C45)</f>
        <v>227</v>
      </c>
      <c r="T18" s="17">
        <f t="shared" si="10"/>
        <v>26</v>
      </c>
      <c r="U18" s="17">
        <f t="shared" si="10"/>
        <v>27</v>
      </c>
      <c r="V18" s="17">
        <f t="shared" si="10"/>
        <v>62</v>
      </c>
      <c r="W18" s="17">
        <f t="shared" si="10"/>
        <v>0</v>
      </c>
      <c r="X18" s="17">
        <f t="shared" si="10"/>
        <v>0</v>
      </c>
      <c r="Y18" s="17">
        <f t="shared" si="10"/>
        <v>17</v>
      </c>
      <c r="Z18" s="17">
        <f t="shared" si="10"/>
        <v>0</v>
      </c>
      <c r="AA18" s="17">
        <f t="shared" si="10"/>
        <v>2</v>
      </c>
      <c r="AB18" s="17">
        <f t="shared" si="10"/>
        <v>0</v>
      </c>
      <c r="AC18" s="17">
        <f t="shared" si="10"/>
        <v>213</v>
      </c>
      <c r="AD18" s="17">
        <f t="shared" si="10"/>
        <v>1</v>
      </c>
      <c r="AE18" s="31">
        <f t="shared" si="10"/>
        <v>362</v>
      </c>
      <c r="AF18" s="31">
        <f t="shared" si="10"/>
        <v>575</v>
      </c>
    </row>
    <row r="19" spans="2:32" ht="23.1" customHeight="1">
      <c r="B19" s="45" t="s">
        <v>46</v>
      </c>
      <c r="C19" s="50">
        <v>110</v>
      </c>
      <c r="D19" s="50">
        <v>21</v>
      </c>
      <c r="E19" s="50">
        <v>5</v>
      </c>
      <c r="F19" s="50">
        <v>15</v>
      </c>
      <c r="G19" s="50">
        <v>0</v>
      </c>
      <c r="H19" s="50">
        <v>0</v>
      </c>
      <c r="I19" s="50">
        <v>7</v>
      </c>
      <c r="J19" s="50">
        <v>0</v>
      </c>
      <c r="K19" s="50">
        <v>0</v>
      </c>
      <c r="L19" s="50">
        <v>0</v>
      </c>
      <c r="M19" s="50">
        <v>122</v>
      </c>
      <c r="N19" s="50">
        <v>0</v>
      </c>
      <c r="O19" s="15">
        <f t="shared" si="0"/>
        <v>158</v>
      </c>
      <c r="P19" s="15">
        <f t="shared" si="1"/>
        <v>280</v>
      </c>
      <c r="R19" s="1" t="s">
        <v>15</v>
      </c>
      <c r="S19" s="17">
        <f t="shared" ref="S19:AF19" si="11">SUM(C46:C49)</f>
        <v>225</v>
      </c>
      <c r="T19" s="17">
        <f t="shared" si="11"/>
        <v>23</v>
      </c>
      <c r="U19" s="17">
        <f t="shared" si="11"/>
        <v>28</v>
      </c>
      <c r="V19" s="17">
        <f t="shared" si="11"/>
        <v>35</v>
      </c>
      <c r="W19" s="17">
        <f t="shared" si="11"/>
        <v>1</v>
      </c>
      <c r="X19" s="17">
        <f t="shared" si="11"/>
        <v>3</v>
      </c>
      <c r="Y19" s="17">
        <f t="shared" si="11"/>
        <v>19</v>
      </c>
      <c r="Z19" s="17">
        <f t="shared" si="11"/>
        <v>2</v>
      </c>
      <c r="AA19" s="17">
        <f t="shared" si="11"/>
        <v>4</v>
      </c>
      <c r="AB19" s="17">
        <f t="shared" si="11"/>
        <v>0</v>
      </c>
      <c r="AC19" s="17">
        <f t="shared" si="11"/>
        <v>233</v>
      </c>
      <c r="AD19" s="17">
        <f t="shared" si="11"/>
        <v>0</v>
      </c>
      <c r="AE19" s="31">
        <f t="shared" si="11"/>
        <v>340</v>
      </c>
      <c r="AF19" s="31">
        <f t="shared" si="11"/>
        <v>573</v>
      </c>
    </row>
    <row r="20" spans="2:32" ht="23.1" customHeight="1">
      <c r="B20" s="45" t="s">
        <v>47</v>
      </c>
      <c r="C20" s="50">
        <v>80</v>
      </c>
      <c r="D20" s="50">
        <v>17</v>
      </c>
      <c r="E20" s="50">
        <v>8</v>
      </c>
      <c r="F20" s="50">
        <v>13</v>
      </c>
      <c r="G20" s="50">
        <v>0</v>
      </c>
      <c r="H20" s="50">
        <v>0</v>
      </c>
      <c r="I20" s="50">
        <v>3</v>
      </c>
      <c r="J20" s="50">
        <v>0</v>
      </c>
      <c r="K20" s="50">
        <v>0</v>
      </c>
      <c r="L20" s="50">
        <v>0</v>
      </c>
      <c r="M20" s="50">
        <v>100</v>
      </c>
      <c r="N20" s="50">
        <v>0</v>
      </c>
      <c r="O20" s="15">
        <f t="shared" si="0"/>
        <v>121</v>
      </c>
      <c r="P20" s="15">
        <f t="shared" si="1"/>
        <v>221</v>
      </c>
      <c r="R20" s="1" t="s">
        <v>16</v>
      </c>
      <c r="S20" s="17">
        <f t="shared" ref="S20:AF20" si="12">SUM(C50:C53)</f>
        <v>277</v>
      </c>
      <c r="T20" s="17">
        <f t="shared" si="12"/>
        <v>43</v>
      </c>
      <c r="U20" s="17">
        <f t="shared" si="12"/>
        <v>29</v>
      </c>
      <c r="V20" s="17">
        <f t="shared" si="12"/>
        <v>51</v>
      </c>
      <c r="W20" s="17">
        <f t="shared" si="12"/>
        <v>9</v>
      </c>
      <c r="X20" s="17">
        <f t="shared" si="12"/>
        <v>1</v>
      </c>
      <c r="Y20" s="17">
        <f t="shared" si="12"/>
        <v>20</v>
      </c>
      <c r="Z20" s="17">
        <f t="shared" si="12"/>
        <v>0</v>
      </c>
      <c r="AA20" s="17">
        <f t="shared" si="12"/>
        <v>3</v>
      </c>
      <c r="AB20" s="17">
        <f t="shared" si="12"/>
        <v>0</v>
      </c>
      <c r="AC20" s="17">
        <f t="shared" si="12"/>
        <v>343</v>
      </c>
      <c r="AD20" s="17">
        <f t="shared" si="12"/>
        <v>0</v>
      </c>
      <c r="AE20" s="31">
        <f t="shared" si="12"/>
        <v>433</v>
      </c>
      <c r="AF20" s="31">
        <f t="shared" si="12"/>
        <v>776</v>
      </c>
    </row>
    <row r="21" spans="2:32" ht="23.1" customHeight="1">
      <c r="B21" s="45" t="s">
        <v>48</v>
      </c>
      <c r="C21" s="50">
        <v>65</v>
      </c>
      <c r="D21" s="50">
        <v>8</v>
      </c>
      <c r="E21" s="50">
        <v>5</v>
      </c>
      <c r="F21" s="50">
        <v>13</v>
      </c>
      <c r="G21" s="50">
        <v>2</v>
      </c>
      <c r="H21" s="50">
        <v>0</v>
      </c>
      <c r="I21" s="50">
        <v>3</v>
      </c>
      <c r="J21" s="50">
        <v>0</v>
      </c>
      <c r="K21" s="50">
        <v>0</v>
      </c>
      <c r="L21" s="50">
        <v>0</v>
      </c>
      <c r="M21" s="50">
        <v>137</v>
      </c>
      <c r="N21" s="50">
        <v>0</v>
      </c>
      <c r="O21" s="15">
        <f t="shared" si="0"/>
        <v>96</v>
      </c>
      <c r="P21" s="15">
        <f t="shared" si="1"/>
        <v>233</v>
      </c>
      <c r="R21" s="36" t="s">
        <v>20</v>
      </c>
      <c r="S21" s="34">
        <f t="shared" ref="S21:AF21" si="13">SUM(C54:C57)</f>
        <v>150</v>
      </c>
      <c r="T21" s="17">
        <f t="shared" si="13"/>
        <v>27</v>
      </c>
      <c r="U21" s="17">
        <f t="shared" si="13"/>
        <v>18</v>
      </c>
      <c r="V21" s="17">
        <f t="shared" si="13"/>
        <v>42</v>
      </c>
      <c r="W21" s="17">
        <f t="shared" si="13"/>
        <v>2</v>
      </c>
      <c r="X21" s="17">
        <f t="shared" si="13"/>
        <v>0</v>
      </c>
      <c r="Y21" s="17">
        <f t="shared" si="13"/>
        <v>16</v>
      </c>
      <c r="Z21" s="17">
        <f t="shared" si="13"/>
        <v>3</v>
      </c>
      <c r="AA21" s="17">
        <f t="shared" si="13"/>
        <v>0</v>
      </c>
      <c r="AB21" s="17">
        <f t="shared" si="13"/>
        <v>0</v>
      </c>
      <c r="AC21" s="17">
        <f t="shared" si="13"/>
        <v>368</v>
      </c>
      <c r="AD21" s="17">
        <f t="shared" si="13"/>
        <v>0</v>
      </c>
      <c r="AE21" s="31">
        <f t="shared" si="13"/>
        <v>258</v>
      </c>
      <c r="AF21" s="31">
        <f t="shared" si="13"/>
        <v>626</v>
      </c>
    </row>
    <row r="22" spans="2:32" ht="23.1" customHeight="1">
      <c r="B22" s="45" t="s">
        <v>49</v>
      </c>
      <c r="C22" s="50">
        <v>85</v>
      </c>
      <c r="D22" s="50">
        <v>9</v>
      </c>
      <c r="E22" s="50">
        <v>14</v>
      </c>
      <c r="F22" s="50">
        <v>19</v>
      </c>
      <c r="G22" s="50">
        <v>0</v>
      </c>
      <c r="H22" s="50">
        <v>0</v>
      </c>
      <c r="I22" s="50">
        <v>2</v>
      </c>
      <c r="J22" s="50">
        <v>0</v>
      </c>
      <c r="K22" s="50">
        <v>0</v>
      </c>
      <c r="L22" s="50">
        <v>0</v>
      </c>
      <c r="M22" s="50">
        <v>110</v>
      </c>
      <c r="N22" s="50">
        <v>0</v>
      </c>
      <c r="O22" s="15">
        <f t="shared" si="0"/>
        <v>129</v>
      </c>
      <c r="P22" s="15">
        <f t="shared" si="1"/>
        <v>239</v>
      </c>
      <c r="R22" s="36" t="s">
        <v>146</v>
      </c>
      <c r="S22" s="34">
        <f>SUM(C58:C61)</f>
        <v>147</v>
      </c>
      <c r="T22" s="34">
        <f t="shared" ref="T22:AF22" si="14">SUM(D58:D61)</f>
        <v>17</v>
      </c>
      <c r="U22" s="34">
        <f t="shared" si="14"/>
        <v>18</v>
      </c>
      <c r="V22" s="34">
        <f t="shared" si="14"/>
        <v>49</v>
      </c>
      <c r="W22" s="34">
        <f t="shared" si="14"/>
        <v>1</v>
      </c>
      <c r="X22" s="34">
        <f t="shared" si="14"/>
        <v>0</v>
      </c>
      <c r="Y22" s="34">
        <f t="shared" si="14"/>
        <v>5</v>
      </c>
      <c r="Z22" s="34">
        <f t="shared" si="14"/>
        <v>1</v>
      </c>
      <c r="AA22" s="34">
        <f t="shared" si="14"/>
        <v>0</v>
      </c>
      <c r="AB22" s="34">
        <f t="shared" si="14"/>
        <v>0</v>
      </c>
      <c r="AC22" s="34">
        <f t="shared" si="14"/>
        <v>418</v>
      </c>
      <c r="AD22" s="34">
        <f t="shared" si="14"/>
        <v>0</v>
      </c>
      <c r="AE22" s="31">
        <f t="shared" si="14"/>
        <v>238</v>
      </c>
      <c r="AF22" s="31">
        <f t="shared" si="14"/>
        <v>656</v>
      </c>
    </row>
    <row r="23" spans="2:32" ht="23.1" customHeight="1">
      <c r="B23" s="45" t="s">
        <v>50</v>
      </c>
      <c r="C23" s="50">
        <v>115</v>
      </c>
      <c r="D23" s="50">
        <v>16</v>
      </c>
      <c r="E23" s="50">
        <v>7</v>
      </c>
      <c r="F23" s="50">
        <v>16</v>
      </c>
      <c r="G23" s="50">
        <v>0</v>
      </c>
      <c r="H23" s="50">
        <v>0</v>
      </c>
      <c r="I23" s="50">
        <v>5</v>
      </c>
      <c r="J23" s="50">
        <v>1</v>
      </c>
      <c r="K23" s="50">
        <v>1</v>
      </c>
      <c r="L23" s="50">
        <v>0</v>
      </c>
      <c r="M23" s="50">
        <v>65</v>
      </c>
      <c r="N23" s="50">
        <v>0</v>
      </c>
      <c r="O23" s="15">
        <f t="shared" si="0"/>
        <v>161</v>
      </c>
      <c r="P23" s="15">
        <f t="shared" si="1"/>
        <v>226</v>
      </c>
      <c r="R23" s="36" t="s">
        <v>147</v>
      </c>
      <c r="S23" s="34">
        <f>SUM(C62:C65)</f>
        <v>111</v>
      </c>
      <c r="T23" s="34">
        <f t="shared" ref="T23:AF23" si="15">SUM(D62:D65)</f>
        <v>15</v>
      </c>
      <c r="U23" s="34">
        <f t="shared" si="15"/>
        <v>6</v>
      </c>
      <c r="V23" s="34">
        <f t="shared" si="15"/>
        <v>21</v>
      </c>
      <c r="W23" s="34">
        <f t="shared" si="15"/>
        <v>0</v>
      </c>
      <c r="X23" s="34">
        <f t="shared" si="15"/>
        <v>0</v>
      </c>
      <c r="Y23" s="34">
        <f t="shared" si="15"/>
        <v>8</v>
      </c>
      <c r="Z23" s="34">
        <f t="shared" si="15"/>
        <v>0</v>
      </c>
      <c r="AA23" s="34">
        <f t="shared" si="15"/>
        <v>0</v>
      </c>
      <c r="AB23" s="34">
        <f t="shared" si="15"/>
        <v>1</v>
      </c>
      <c r="AC23" s="34">
        <f t="shared" si="15"/>
        <v>500</v>
      </c>
      <c r="AD23" s="34">
        <f t="shared" si="15"/>
        <v>0</v>
      </c>
      <c r="AE23" s="31">
        <f t="shared" si="15"/>
        <v>162</v>
      </c>
      <c r="AF23" s="31">
        <f t="shared" si="15"/>
        <v>662</v>
      </c>
    </row>
    <row r="24" spans="2:32" ht="23.1" customHeight="1">
      <c r="B24" s="45" t="s">
        <v>51</v>
      </c>
      <c r="C24" s="50">
        <v>65</v>
      </c>
      <c r="D24" s="50">
        <v>15</v>
      </c>
      <c r="E24" s="50">
        <v>16</v>
      </c>
      <c r="F24" s="50">
        <v>16</v>
      </c>
      <c r="G24" s="50">
        <v>0</v>
      </c>
      <c r="H24" s="50">
        <v>0</v>
      </c>
      <c r="I24" s="50">
        <v>5</v>
      </c>
      <c r="J24" s="50">
        <v>3</v>
      </c>
      <c r="K24" s="50">
        <v>0</v>
      </c>
      <c r="L24" s="50">
        <v>0</v>
      </c>
      <c r="M24" s="50">
        <v>67</v>
      </c>
      <c r="N24" s="50">
        <v>0</v>
      </c>
      <c r="O24" s="15">
        <f t="shared" si="0"/>
        <v>120</v>
      </c>
      <c r="P24" s="15">
        <f t="shared" si="1"/>
        <v>187</v>
      </c>
      <c r="R24" s="36" t="s">
        <v>148</v>
      </c>
      <c r="S24" s="34">
        <f>SUM(C66:C69)</f>
        <v>101</v>
      </c>
      <c r="T24" s="34">
        <f t="shared" ref="T24:AF24" si="16">SUM(D66:D69)</f>
        <v>13</v>
      </c>
      <c r="U24" s="34">
        <f t="shared" si="16"/>
        <v>2</v>
      </c>
      <c r="V24" s="34">
        <f t="shared" si="16"/>
        <v>27</v>
      </c>
      <c r="W24" s="34">
        <f t="shared" si="16"/>
        <v>0</v>
      </c>
      <c r="X24" s="34">
        <f t="shared" si="16"/>
        <v>0</v>
      </c>
      <c r="Y24" s="34">
        <f t="shared" si="16"/>
        <v>9</v>
      </c>
      <c r="Z24" s="34">
        <f t="shared" si="16"/>
        <v>1</v>
      </c>
      <c r="AA24" s="34">
        <f t="shared" si="16"/>
        <v>0</v>
      </c>
      <c r="AB24" s="34">
        <f t="shared" si="16"/>
        <v>0</v>
      </c>
      <c r="AC24" s="34">
        <f t="shared" si="16"/>
        <v>320</v>
      </c>
      <c r="AD24" s="34">
        <f t="shared" si="16"/>
        <v>0</v>
      </c>
      <c r="AE24" s="31">
        <f t="shared" si="16"/>
        <v>153</v>
      </c>
      <c r="AF24" s="31">
        <f t="shared" si="16"/>
        <v>473</v>
      </c>
    </row>
    <row r="25" spans="2:32" ht="23.1" customHeight="1">
      <c r="B25" s="45" t="s">
        <v>52</v>
      </c>
      <c r="C25" s="50">
        <v>95</v>
      </c>
      <c r="D25" s="50">
        <v>8</v>
      </c>
      <c r="E25" s="50">
        <v>8</v>
      </c>
      <c r="F25" s="50">
        <v>17</v>
      </c>
      <c r="G25" s="50">
        <v>0</v>
      </c>
      <c r="H25" s="50">
        <v>0</v>
      </c>
      <c r="I25" s="50">
        <v>3</v>
      </c>
      <c r="J25" s="50">
        <v>2</v>
      </c>
      <c r="K25" s="50">
        <v>1</v>
      </c>
      <c r="L25" s="50">
        <v>0</v>
      </c>
      <c r="M25" s="50">
        <v>97</v>
      </c>
      <c r="N25" s="50">
        <v>0</v>
      </c>
      <c r="O25" s="15">
        <f t="shared" si="0"/>
        <v>134</v>
      </c>
      <c r="P25" s="15">
        <f t="shared" si="1"/>
        <v>231</v>
      </c>
      <c r="R25" s="36" t="s">
        <v>149</v>
      </c>
      <c r="S25" s="34">
        <f>SUM(C70:C73)</f>
        <v>122</v>
      </c>
      <c r="T25" s="34">
        <f t="shared" ref="T25:AF25" si="17">SUM(D70:D73)</f>
        <v>12</v>
      </c>
      <c r="U25" s="34">
        <f t="shared" si="17"/>
        <v>5</v>
      </c>
      <c r="V25" s="34">
        <f t="shared" si="17"/>
        <v>39</v>
      </c>
      <c r="W25" s="34">
        <f t="shared" si="17"/>
        <v>0</v>
      </c>
      <c r="X25" s="34">
        <f t="shared" si="17"/>
        <v>0</v>
      </c>
      <c r="Y25" s="34">
        <f t="shared" si="17"/>
        <v>6</v>
      </c>
      <c r="Z25" s="34">
        <f t="shared" si="17"/>
        <v>0</v>
      </c>
      <c r="AA25" s="34">
        <f t="shared" si="17"/>
        <v>0</v>
      </c>
      <c r="AB25" s="34">
        <f t="shared" si="17"/>
        <v>0</v>
      </c>
      <c r="AC25" s="34">
        <f t="shared" si="17"/>
        <v>331</v>
      </c>
      <c r="AD25" s="34">
        <f t="shared" si="17"/>
        <v>1</v>
      </c>
      <c r="AE25" s="31">
        <f t="shared" si="17"/>
        <v>185</v>
      </c>
      <c r="AF25" s="31">
        <f t="shared" si="17"/>
        <v>516</v>
      </c>
    </row>
    <row r="26" spans="2:32" ht="23.1" customHeight="1">
      <c r="B26" s="45" t="s">
        <v>53</v>
      </c>
      <c r="C26" s="50">
        <v>95</v>
      </c>
      <c r="D26" s="50">
        <v>18</v>
      </c>
      <c r="E26" s="50">
        <v>6</v>
      </c>
      <c r="F26" s="50">
        <v>19</v>
      </c>
      <c r="G26" s="50">
        <v>0</v>
      </c>
      <c r="H26" s="50">
        <v>0</v>
      </c>
      <c r="I26" s="50">
        <v>3</v>
      </c>
      <c r="J26" s="50">
        <v>2</v>
      </c>
      <c r="K26" s="50">
        <v>0</v>
      </c>
      <c r="L26" s="50">
        <v>0</v>
      </c>
      <c r="M26" s="50">
        <v>75</v>
      </c>
      <c r="N26" s="50">
        <v>0</v>
      </c>
      <c r="O26" s="15">
        <f t="shared" si="0"/>
        <v>143</v>
      </c>
      <c r="P26" s="15">
        <f t="shared" si="1"/>
        <v>218</v>
      </c>
      <c r="R26" s="36" t="s">
        <v>150</v>
      </c>
      <c r="S26" s="34">
        <f>SUM(C74:C77)</f>
        <v>110</v>
      </c>
      <c r="T26" s="34">
        <f t="shared" ref="T26:AF26" si="18">SUM(D74:D77)</f>
        <v>9</v>
      </c>
      <c r="U26" s="34">
        <f t="shared" si="18"/>
        <v>12</v>
      </c>
      <c r="V26" s="34">
        <f t="shared" si="18"/>
        <v>26</v>
      </c>
      <c r="W26" s="34">
        <f t="shared" si="18"/>
        <v>0</v>
      </c>
      <c r="X26" s="34">
        <f t="shared" si="18"/>
        <v>0</v>
      </c>
      <c r="Y26" s="34">
        <f t="shared" si="18"/>
        <v>2</v>
      </c>
      <c r="Z26" s="34">
        <f t="shared" si="18"/>
        <v>0</v>
      </c>
      <c r="AA26" s="34">
        <f t="shared" si="18"/>
        <v>1</v>
      </c>
      <c r="AB26" s="34">
        <f t="shared" si="18"/>
        <v>0</v>
      </c>
      <c r="AC26" s="34">
        <f t="shared" si="18"/>
        <v>223</v>
      </c>
      <c r="AD26" s="34">
        <f t="shared" si="18"/>
        <v>0</v>
      </c>
      <c r="AE26" s="31">
        <f t="shared" si="18"/>
        <v>160</v>
      </c>
      <c r="AF26" s="31">
        <f t="shared" si="18"/>
        <v>383</v>
      </c>
    </row>
    <row r="27" spans="2:32" ht="23.1" customHeight="1">
      <c r="B27" s="45" t="s">
        <v>54</v>
      </c>
      <c r="C27" s="50">
        <v>85</v>
      </c>
      <c r="D27" s="50">
        <v>9</v>
      </c>
      <c r="E27" s="50">
        <v>2</v>
      </c>
      <c r="F27" s="50">
        <v>12</v>
      </c>
      <c r="G27" s="50">
        <v>0</v>
      </c>
      <c r="H27" s="50">
        <v>0</v>
      </c>
      <c r="I27" s="50">
        <v>2</v>
      </c>
      <c r="J27" s="50">
        <v>1</v>
      </c>
      <c r="K27" s="50">
        <v>1</v>
      </c>
      <c r="L27" s="50">
        <v>0</v>
      </c>
      <c r="M27" s="50">
        <v>92</v>
      </c>
      <c r="N27" s="50">
        <v>0</v>
      </c>
      <c r="O27" s="15">
        <f t="shared" si="0"/>
        <v>112</v>
      </c>
      <c r="P27" s="15">
        <f t="shared" si="1"/>
        <v>204</v>
      </c>
      <c r="R27" s="36" t="s">
        <v>151</v>
      </c>
      <c r="S27" s="34">
        <f>SUM(C78:C81)</f>
        <v>94</v>
      </c>
      <c r="T27" s="34">
        <f t="shared" ref="T27:AF27" si="19">SUM(D78:D81)</f>
        <v>6</v>
      </c>
      <c r="U27" s="34">
        <f t="shared" si="19"/>
        <v>5</v>
      </c>
      <c r="V27" s="34">
        <f t="shared" si="19"/>
        <v>7</v>
      </c>
      <c r="W27" s="34">
        <f t="shared" si="19"/>
        <v>0</v>
      </c>
      <c r="X27" s="34">
        <f t="shared" si="19"/>
        <v>0</v>
      </c>
      <c r="Y27" s="34">
        <f t="shared" si="19"/>
        <v>3</v>
      </c>
      <c r="Z27" s="34">
        <f t="shared" si="19"/>
        <v>1</v>
      </c>
      <c r="AA27" s="34">
        <f t="shared" si="19"/>
        <v>0</v>
      </c>
      <c r="AB27" s="34">
        <f t="shared" si="19"/>
        <v>0</v>
      </c>
      <c r="AC27" s="34">
        <f t="shared" si="19"/>
        <v>102</v>
      </c>
      <c r="AD27" s="34">
        <f t="shared" si="19"/>
        <v>0</v>
      </c>
      <c r="AE27" s="31">
        <f t="shared" si="19"/>
        <v>116</v>
      </c>
      <c r="AF27" s="31">
        <f t="shared" si="19"/>
        <v>218</v>
      </c>
    </row>
    <row r="28" spans="2:32" ht="23.1" customHeight="1">
      <c r="B28" s="45" t="s">
        <v>55</v>
      </c>
      <c r="C28" s="50">
        <v>90</v>
      </c>
      <c r="D28" s="50">
        <v>12</v>
      </c>
      <c r="E28" s="50">
        <v>7</v>
      </c>
      <c r="F28" s="50">
        <v>11</v>
      </c>
      <c r="G28" s="50">
        <v>0</v>
      </c>
      <c r="H28" s="50">
        <v>0</v>
      </c>
      <c r="I28" s="50">
        <v>4</v>
      </c>
      <c r="J28" s="50">
        <v>1</v>
      </c>
      <c r="K28" s="50">
        <v>2</v>
      </c>
      <c r="L28" s="50">
        <v>0</v>
      </c>
      <c r="M28" s="50">
        <v>77</v>
      </c>
      <c r="N28" s="50">
        <v>0</v>
      </c>
      <c r="O28" s="15">
        <f t="shared" si="0"/>
        <v>127</v>
      </c>
      <c r="P28" s="15">
        <f t="shared" si="1"/>
        <v>204</v>
      </c>
      <c r="R28" s="36" t="s">
        <v>152</v>
      </c>
      <c r="S28" s="34">
        <f>SUM(C82:C85)</f>
        <v>38</v>
      </c>
      <c r="T28" s="34">
        <f t="shared" ref="T28:AF28" si="20">SUM(D82:D85)</f>
        <v>0</v>
      </c>
      <c r="U28" s="34">
        <f t="shared" si="20"/>
        <v>0</v>
      </c>
      <c r="V28" s="34">
        <f t="shared" si="20"/>
        <v>0</v>
      </c>
      <c r="W28" s="34">
        <f t="shared" si="20"/>
        <v>0</v>
      </c>
      <c r="X28" s="34">
        <f t="shared" si="20"/>
        <v>0</v>
      </c>
      <c r="Y28" s="34">
        <f t="shared" si="20"/>
        <v>2</v>
      </c>
      <c r="Z28" s="34">
        <f t="shared" si="20"/>
        <v>0</v>
      </c>
      <c r="AA28" s="34">
        <f t="shared" si="20"/>
        <v>0</v>
      </c>
      <c r="AB28" s="34">
        <f t="shared" si="20"/>
        <v>0</v>
      </c>
      <c r="AC28" s="34">
        <f t="shared" si="20"/>
        <v>68</v>
      </c>
      <c r="AD28" s="34">
        <f t="shared" si="20"/>
        <v>0</v>
      </c>
      <c r="AE28" s="31">
        <f t="shared" si="20"/>
        <v>40</v>
      </c>
      <c r="AF28" s="31">
        <f t="shared" si="20"/>
        <v>108</v>
      </c>
    </row>
    <row r="29" spans="2:32" ht="23.1" customHeight="1">
      <c r="B29" s="45" t="s">
        <v>56</v>
      </c>
      <c r="C29" s="50">
        <v>68</v>
      </c>
      <c r="D29" s="50">
        <v>9</v>
      </c>
      <c r="E29" s="50">
        <v>8</v>
      </c>
      <c r="F29" s="50">
        <v>13</v>
      </c>
      <c r="G29" s="50">
        <v>0</v>
      </c>
      <c r="H29" s="50">
        <v>0</v>
      </c>
      <c r="I29" s="50">
        <v>3</v>
      </c>
      <c r="J29" s="50">
        <v>1</v>
      </c>
      <c r="K29" s="50">
        <v>0</v>
      </c>
      <c r="L29" s="50">
        <v>0</v>
      </c>
      <c r="M29" s="50">
        <v>100</v>
      </c>
      <c r="N29" s="50">
        <v>0</v>
      </c>
      <c r="O29" s="15">
        <f t="shared" si="0"/>
        <v>102</v>
      </c>
      <c r="P29" s="15">
        <f t="shared" si="1"/>
        <v>202</v>
      </c>
      <c r="R29" s="36" t="s">
        <v>153</v>
      </c>
      <c r="S29" s="34">
        <f>SUM(C86:C89)</f>
        <v>36</v>
      </c>
      <c r="T29" s="34">
        <f t="shared" ref="T29:AF29" si="21">SUM(D86:D89)</f>
        <v>8</v>
      </c>
      <c r="U29" s="34">
        <f t="shared" si="21"/>
        <v>0</v>
      </c>
      <c r="V29" s="34">
        <f t="shared" si="21"/>
        <v>2</v>
      </c>
      <c r="W29" s="34">
        <f t="shared" si="21"/>
        <v>0</v>
      </c>
      <c r="X29" s="34">
        <f t="shared" si="21"/>
        <v>0</v>
      </c>
      <c r="Y29" s="34">
        <f t="shared" si="21"/>
        <v>1</v>
      </c>
      <c r="Z29" s="34">
        <f t="shared" si="21"/>
        <v>0</v>
      </c>
      <c r="AA29" s="34">
        <f t="shared" si="21"/>
        <v>0</v>
      </c>
      <c r="AB29" s="34">
        <f t="shared" si="21"/>
        <v>0</v>
      </c>
      <c r="AC29" s="34">
        <f t="shared" si="21"/>
        <v>33</v>
      </c>
      <c r="AD29" s="34">
        <f t="shared" si="21"/>
        <v>0</v>
      </c>
      <c r="AE29" s="31">
        <f t="shared" si="21"/>
        <v>47</v>
      </c>
      <c r="AF29" s="31">
        <f t="shared" si="21"/>
        <v>80</v>
      </c>
    </row>
    <row r="30" spans="2:32" ht="23.1" customHeight="1">
      <c r="B30" s="45" t="s">
        <v>57</v>
      </c>
      <c r="C30" s="50">
        <v>200</v>
      </c>
      <c r="D30" s="50">
        <v>22</v>
      </c>
      <c r="E30" s="50">
        <v>10</v>
      </c>
      <c r="F30" s="50">
        <v>20</v>
      </c>
      <c r="G30" s="50">
        <v>0</v>
      </c>
      <c r="H30" s="50">
        <v>0</v>
      </c>
      <c r="I30" s="50">
        <v>7</v>
      </c>
      <c r="J30" s="50">
        <v>0</v>
      </c>
      <c r="K30" s="50">
        <v>0</v>
      </c>
      <c r="L30" s="50">
        <v>0</v>
      </c>
      <c r="M30" s="50">
        <v>85</v>
      </c>
      <c r="N30" s="50">
        <v>0</v>
      </c>
      <c r="O30" s="15">
        <f t="shared" si="0"/>
        <v>259</v>
      </c>
      <c r="P30" s="15">
        <f t="shared" si="1"/>
        <v>344</v>
      </c>
      <c r="R30" s="36" t="s">
        <v>154</v>
      </c>
      <c r="S30" s="34">
        <f>SUM(C90:C93)</f>
        <v>31</v>
      </c>
      <c r="T30" s="34">
        <f t="shared" ref="T30:AF30" si="22">SUM(D90:D93)</f>
        <v>9</v>
      </c>
      <c r="U30" s="34">
        <f t="shared" si="22"/>
        <v>1</v>
      </c>
      <c r="V30" s="34">
        <f t="shared" si="22"/>
        <v>0</v>
      </c>
      <c r="W30" s="34">
        <f t="shared" si="22"/>
        <v>0</v>
      </c>
      <c r="X30" s="34">
        <f t="shared" si="22"/>
        <v>0</v>
      </c>
      <c r="Y30" s="34">
        <f t="shared" si="22"/>
        <v>0</v>
      </c>
      <c r="Z30" s="34">
        <f t="shared" si="22"/>
        <v>1</v>
      </c>
      <c r="AA30" s="34">
        <f t="shared" si="22"/>
        <v>0</v>
      </c>
      <c r="AB30" s="34">
        <f t="shared" si="22"/>
        <v>0</v>
      </c>
      <c r="AC30" s="34">
        <f t="shared" si="22"/>
        <v>45</v>
      </c>
      <c r="AD30" s="34">
        <f t="shared" si="22"/>
        <v>0</v>
      </c>
      <c r="AE30" s="31">
        <f t="shared" si="22"/>
        <v>42</v>
      </c>
      <c r="AF30" s="31">
        <f t="shared" si="22"/>
        <v>87</v>
      </c>
    </row>
    <row r="31" spans="2:32" ht="23.1" customHeight="1">
      <c r="B31" s="46" t="s">
        <v>58</v>
      </c>
      <c r="C31" s="50">
        <v>160</v>
      </c>
      <c r="D31" s="50">
        <v>15</v>
      </c>
      <c r="E31" s="50">
        <v>5</v>
      </c>
      <c r="F31" s="50">
        <v>27</v>
      </c>
      <c r="G31" s="50">
        <v>0</v>
      </c>
      <c r="H31" s="50">
        <v>0</v>
      </c>
      <c r="I31" s="50">
        <v>5</v>
      </c>
      <c r="J31" s="50">
        <v>1</v>
      </c>
      <c r="K31" s="50">
        <v>0</v>
      </c>
      <c r="L31" s="50">
        <v>0</v>
      </c>
      <c r="M31" s="50">
        <v>76</v>
      </c>
      <c r="N31" s="50">
        <v>0</v>
      </c>
      <c r="O31" s="15">
        <f t="shared" si="0"/>
        <v>213</v>
      </c>
      <c r="P31" s="15">
        <f t="shared" si="1"/>
        <v>289</v>
      </c>
      <c r="R31" s="36" t="s">
        <v>155</v>
      </c>
      <c r="S31" s="34">
        <f>SUM(C94:C97)</f>
        <v>54</v>
      </c>
      <c r="T31" s="34">
        <f t="shared" ref="T31:AF31" si="23">SUM(D94:D97)</f>
        <v>9</v>
      </c>
      <c r="U31" s="34">
        <f t="shared" si="23"/>
        <v>2</v>
      </c>
      <c r="V31" s="34">
        <f t="shared" si="23"/>
        <v>7</v>
      </c>
      <c r="W31" s="34">
        <f t="shared" si="23"/>
        <v>0</v>
      </c>
      <c r="X31" s="34">
        <f t="shared" si="23"/>
        <v>0</v>
      </c>
      <c r="Y31" s="34">
        <f t="shared" si="23"/>
        <v>1</v>
      </c>
      <c r="Z31" s="34">
        <f t="shared" si="23"/>
        <v>1</v>
      </c>
      <c r="AA31" s="34">
        <f t="shared" si="23"/>
        <v>0</v>
      </c>
      <c r="AB31" s="34">
        <f t="shared" si="23"/>
        <v>0</v>
      </c>
      <c r="AC31" s="34">
        <f t="shared" si="23"/>
        <v>43</v>
      </c>
      <c r="AD31" s="34">
        <f t="shared" si="23"/>
        <v>0</v>
      </c>
      <c r="AE31" s="31">
        <f t="shared" si="23"/>
        <v>74</v>
      </c>
      <c r="AF31" s="31">
        <f t="shared" si="23"/>
        <v>117</v>
      </c>
    </row>
    <row r="32" spans="2:32" ht="23.1" customHeight="1">
      <c r="B32" s="46" t="s">
        <v>59</v>
      </c>
      <c r="C32" s="50">
        <v>190</v>
      </c>
      <c r="D32" s="50">
        <v>15</v>
      </c>
      <c r="E32" s="50">
        <v>5</v>
      </c>
      <c r="F32" s="50">
        <v>20</v>
      </c>
      <c r="G32" s="50">
        <v>0</v>
      </c>
      <c r="H32" s="50">
        <v>0</v>
      </c>
      <c r="I32" s="50">
        <v>5</v>
      </c>
      <c r="J32" s="50">
        <v>0</v>
      </c>
      <c r="K32" s="50">
        <v>0</v>
      </c>
      <c r="L32" s="50">
        <v>0</v>
      </c>
      <c r="M32" s="50">
        <v>84</v>
      </c>
      <c r="N32" s="50">
        <v>0</v>
      </c>
      <c r="O32" s="15">
        <f t="shared" si="0"/>
        <v>235</v>
      </c>
      <c r="P32" s="15">
        <f t="shared" si="1"/>
        <v>319</v>
      </c>
      <c r="R32" s="33" t="s">
        <v>156</v>
      </c>
      <c r="S32" s="34">
        <f>SUM(C98:C101)</f>
        <v>161</v>
      </c>
      <c r="T32" s="34">
        <f t="shared" ref="T32:AF32" si="24">SUM(D98:D101)</f>
        <v>24</v>
      </c>
      <c r="U32" s="34">
        <f t="shared" si="24"/>
        <v>8</v>
      </c>
      <c r="V32" s="34">
        <f t="shared" si="24"/>
        <v>33</v>
      </c>
      <c r="W32" s="34">
        <f t="shared" si="24"/>
        <v>13</v>
      </c>
      <c r="X32" s="34">
        <f t="shared" si="24"/>
        <v>0</v>
      </c>
      <c r="Y32" s="34">
        <f t="shared" si="24"/>
        <v>6</v>
      </c>
      <c r="Z32" s="34">
        <f t="shared" si="24"/>
        <v>0</v>
      </c>
      <c r="AA32" s="34">
        <f t="shared" si="24"/>
        <v>0</v>
      </c>
      <c r="AB32" s="34">
        <f t="shared" si="24"/>
        <v>0</v>
      </c>
      <c r="AC32" s="34">
        <f t="shared" si="24"/>
        <v>98</v>
      </c>
      <c r="AD32" s="34">
        <f t="shared" si="24"/>
        <v>0</v>
      </c>
      <c r="AE32" s="31">
        <f t="shared" si="24"/>
        <v>245</v>
      </c>
      <c r="AF32" s="31">
        <f t="shared" si="24"/>
        <v>343</v>
      </c>
    </row>
    <row r="33" spans="2:32" ht="23.1" customHeight="1">
      <c r="B33" s="45" t="s">
        <v>60</v>
      </c>
      <c r="C33" s="50">
        <v>115</v>
      </c>
      <c r="D33" s="50">
        <v>27</v>
      </c>
      <c r="E33" s="50">
        <v>3</v>
      </c>
      <c r="F33" s="50">
        <v>11</v>
      </c>
      <c r="G33" s="50">
        <v>0</v>
      </c>
      <c r="H33" s="50">
        <v>0</v>
      </c>
      <c r="I33" s="50">
        <v>3</v>
      </c>
      <c r="J33" s="50">
        <v>1</v>
      </c>
      <c r="K33" s="50">
        <v>0</v>
      </c>
      <c r="L33" s="50">
        <v>0</v>
      </c>
      <c r="M33" s="50">
        <v>80</v>
      </c>
      <c r="N33" s="50">
        <v>0</v>
      </c>
      <c r="O33" s="15">
        <f t="shared" si="0"/>
        <v>160</v>
      </c>
      <c r="P33" s="15">
        <f t="shared" si="1"/>
        <v>240</v>
      </c>
      <c r="R33" s="33" t="s">
        <v>157</v>
      </c>
      <c r="S33" s="34">
        <f>SUM(C102:C105)</f>
        <v>545</v>
      </c>
      <c r="T33" s="34">
        <f t="shared" ref="T33:AF33" si="25">SUM(D102:D105)</f>
        <v>52</v>
      </c>
      <c r="U33" s="34">
        <f t="shared" si="25"/>
        <v>15</v>
      </c>
      <c r="V33" s="34">
        <f t="shared" si="25"/>
        <v>43</v>
      </c>
      <c r="W33" s="34">
        <f t="shared" si="25"/>
        <v>2</v>
      </c>
      <c r="X33" s="34">
        <f t="shared" si="25"/>
        <v>0</v>
      </c>
      <c r="Y33" s="34">
        <f t="shared" si="25"/>
        <v>5</v>
      </c>
      <c r="Z33" s="34">
        <f t="shared" si="25"/>
        <v>1</v>
      </c>
      <c r="AA33" s="34">
        <f t="shared" si="25"/>
        <v>2</v>
      </c>
      <c r="AB33" s="34">
        <f t="shared" si="25"/>
        <v>0</v>
      </c>
      <c r="AC33" s="34">
        <f t="shared" si="25"/>
        <v>176</v>
      </c>
      <c r="AD33" s="34">
        <f t="shared" si="25"/>
        <v>0</v>
      </c>
      <c r="AE33" s="31">
        <f t="shared" si="25"/>
        <v>665</v>
      </c>
      <c r="AF33" s="31">
        <f t="shared" si="25"/>
        <v>841</v>
      </c>
    </row>
    <row r="34" spans="2:32" ht="23.1" customHeight="1">
      <c r="B34" s="46" t="s">
        <v>61</v>
      </c>
      <c r="C34" s="50">
        <v>50</v>
      </c>
      <c r="D34" s="50">
        <v>7</v>
      </c>
      <c r="E34" s="50">
        <v>4</v>
      </c>
      <c r="F34" s="50">
        <v>10</v>
      </c>
      <c r="G34" s="50">
        <v>0</v>
      </c>
      <c r="H34" s="50">
        <v>0</v>
      </c>
      <c r="I34" s="50">
        <v>7</v>
      </c>
      <c r="J34" s="50">
        <v>0</v>
      </c>
      <c r="K34" s="50">
        <v>0</v>
      </c>
      <c r="L34" s="50">
        <v>0</v>
      </c>
      <c r="M34" s="50">
        <v>84</v>
      </c>
      <c r="N34" s="50">
        <v>0</v>
      </c>
      <c r="O34" s="15">
        <f t="shared" si="0"/>
        <v>78</v>
      </c>
      <c r="P34" s="15">
        <f t="shared" si="1"/>
        <v>162</v>
      </c>
      <c r="R34" s="38" t="s">
        <v>90</v>
      </c>
      <c r="S34" s="39">
        <f t="shared" ref="S34:AF34" si="26">MAX(S10:S12)</f>
        <v>558</v>
      </c>
      <c r="T34" s="39">
        <f t="shared" si="26"/>
        <v>88</v>
      </c>
      <c r="U34" s="39">
        <f t="shared" si="26"/>
        <v>68</v>
      </c>
      <c r="V34" s="39">
        <f t="shared" si="26"/>
        <v>120</v>
      </c>
      <c r="W34" s="39">
        <f t="shared" si="26"/>
        <v>3</v>
      </c>
      <c r="X34" s="39">
        <f t="shared" si="26"/>
        <v>0</v>
      </c>
      <c r="Y34" s="39">
        <f t="shared" si="26"/>
        <v>19</v>
      </c>
      <c r="Z34" s="39">
        <f t="shared" si="26"/>
        <v>2</v>
      </c>
      <c r="AA34" s="39">
        <f t="shared" si="26"/>
        <v>1</v>
      </c>
      <c r="AB34" s="39">
        <f t="shared" si="26"/>
        <v>0</v>
      </c>
      <c r="AC34" s="39">
        <f t="shared" si="26"/>
        <v>510</v>
      </c>
      <c r="AD34" s="39">
        <f t="shared" si="26"/>
        <v>0</v>
      </c>
      <c r="AE34" s="40">
        <f t="shared" si="26"/>
        <v>848</v>
      </c>
      <c r="AF34" s="40">
        <f t="shared" si="26"/>
        <v>1358</v>
      </c>
    </row>
    <row r="35" spans="2:32" ht="23.1" customHeight="1">
      <c r="B35" s="46" t="s">
        <v>62</v>
      </c>
      <c r="C35" s="50">
        <v>32</v>
      </c>
      <c r="D35" s="50">
        <v>6</v>
      </c>
      <c r="E35" s="50">
        <v>7</v>
      </c>
      <c r="F35" s="50">
        <v>9</v>
      </c>
      <c r="G35" s="50">
        <v>0</v>
      </c>
      <c r="H35" s="50">
        <v>0</v>
      </c>
      <c r="I35" s="50">
        <v>7</v>
      </c>
      <c r="J35" s="50">
        <v>4</v>
      </c>
      <c r="K35" s="50">
        <v>0</v>
      </c>
      <c r="L35" s="50">
        <v>0</v>
      </c>
      <c r="M35" s="50">
        <v>33</v>
      </c>
      <c r="N35" s="50">
        <v>0</v>
      </c>
      <c r="O35" s="15">
        <f t="shared" si="0"/>
        <v>65</v>
      </c>
      <c r="P35" s="15">
        <f t="shared" si="1"/>
        <v>98</v>
      </c>
      <c r="R35" s="38" t="s">
        <v>91</v>
      </c>
      <c r="S35" s="39">
        <f t="shared" ref="S35:AF35" si="27">MAX(S13:S18)</f>
        <v>665</v>
      </c>
      <c r="T35" s="39">
        <f t="shared" si="27"/>
        <v>79</v>
      </c>
      <c r="U35" s="39">
        <f t="shared" si="27"/>
        <v>45</v>
      </c>
      <c r="V35" s="39">
        <f t="shared" si="27"/>
        <v>78</v>
      </c>
      <c r="W35" s="39">
        <f t="shared" si="27"/>
        <v>2</v>
      </c>
      <c r="X35" s="39">
        <f t="shared" si="27"/>
        <v>0</v>
      </c>
      <c r="Y35" s="39">
        <f t="shared" si="27"/>
        <v>27</v>
      </c>
      <c r="Z35" s="39">
        <f t="shared" si="27"/>
        <v>6</v>
      </c>
      <c r="AA35" s="39">
        <f t="shared" si="27"/>
        <v>3</v>
      </c>
      <c r="AB35" s="39">
        <f t="shared" si="27"/>
        <v>2</v>
      </c>
      <c r="AC35" s="39">
        <f t="shared" si="27"/>
        <v>344</v>
      </c>
      <c r="AD35" s="39">
        <f t="shared" si="27"/>
        <v>1</v>
      </c>
      <c r="AE35" s="40">
        <f t="shared" si="27"/>
        <v>867</v>
      </c>
      <c r="AF35" s="40">
        <f t="shared" si="27"/>
        <v>1192</v>
      </c>
    </row>
    <row r="36" spans="2:32" ht="23.1" customHeight="1">
      <c r="B36" s="46" t="s">
        <v>63</v>
      </c>
      <c r="C36" s="50">
        <v>41</v>
      </c>
      <c r="D36" s="50">
        <v>6</v>
      </c>
      <c r="E36" s="50">
        <v>5</v>
      </c>
      <c r="F36" s="50">
        <v>7</v>
      </c>
      <c r="G36" s="50">
        <v>1</v>
      </c>
      <c r="H36" s="50">
        <v>0</v>
      </c>
      <c r="I36" s="50">
        <v>4</v>
      </c>
      <c r="J36" s="50">
        <v>0</v>
      </c>
      <c r="K36" s="50">
        <v>2</v>
      </c>
      <c r="L36" s="50">
        <v>0</v>
      </c>
      <c r="M36" s="50">
        <v>58</v>
      </c>
      <c r="N36" s="50">
        <v>0</v>
      </c>
      <c r="O36" s="15">
        <f t="shared" si="0"/>
        <v>66</v>
      </c>
      <c r="P36" s="15">
        <f t="shared" si="1"/>
        <v>124</v>
      </c>
      <c r="R36" s="38" t="s">
        <v>92</v>
      </c>
      <c r="S36" s="39">
        <f t="shared" ref="S36:AF36" si="28">MAX(S19:S21)</f>
        <v>277</v>
      </c>
      <c r="T36" s="39">
        <f t="shared" si="28"/>
        <v>43</v>
      </c>
      <c r="U36" s="39">
        <f t="shared" si="28"/>
        <v>29</v>
      </c>
      <c r="V36" s="39">
        <f t="shared" si="28"/>
        <v>51</v>
      </c>
      <c r="W36" s="39">
        <f t="shared" si="28"/>
        <v>9</v>
      </c>
      <c r="X36" s="39">
        <f t="shared" si="28"/>
        <v>3</v>
      </c>
      <c r="Y36" s="39">
        <f t="shared" si="28"/>
        <v>20</v>
      </c>
      <c r="Z36" s="39">
        <f t="shared" si="28"/>
        <v>3</v>
      </c>
      <c r="AA36" s="39">
        <f t="shared" si="28"/>
        <v>4</v>
      </c>
      <c r="AB36" s="39">
        <f t="shared" si="28"/>
        <v>0</v>
      </c>
      <c r="AC36" s="39">
        <f t="shared" si="28"/>
        <v>368</v>
      </c>
      <c r="AD36" s="39">
        <f t="shared" si="28"/>
        <v>0</v>
      </c>
      <c r="AE36" s="40">
        <f t="shared" si="28"/>
        <v>433</v>
      </c>
      <c r="AF36" s="40">
        <f t="shared" si="28"/>
        <v>776</v>
      </c>
    </row>
    <row r="37" spans="2:32" ht="23.1" customHeight="1">
      <c r="B37" s="45" t="s">
        <v>64</v>
      </c>
      <c r="C37" s="50">
        <v>47</v>
      </c>
      <c r="D37" s="50">
        <v>5</v>
      </c>
      <c r="E37" s="50">
        <v>9</v>
      </c>
      <c r="F37" s="50">
        <v>8</v>
      </c>
      <c r="G37" s="50">
        <v>1</v>
      </c>
      <c r="H37" s="50">
        <v>0</v>
      </c>
      <c r="I37" s="50">
        <v>7</v>
      </c>
      <c r="J37" s="50">
        <v>0</v>
      </c>
      <c r="K37" s="50">
        <v>0</v>
      </c>
      <c r="L37" s="50">
        <v>0</v>
      </c>
      <c r="M37" s="50">
        <v>53</v>
      </c>
      <c r="N37" s="50">
        <v>0</v>
      </c>
      <c r="O37" s="15">
        <f t="shared" si="0"/>
        <v>77</v>
      </c>
      <c r="P37" s="15">
        <f t="shared" si="1"/>
        <v>130</v>
      </c>
      <c r="R37" s="37" t="s">
        <v>85</v>
      </c>
      <c r="S37" s="35">
        <f t="shared" ref="S37:AF37" si="29">SUM(S10:S12)</f>
        <v>1423</v>
      </c>
      <c r="T37" s="16">
        <f t="shared" si="29"/>
        <v>219</v>
      </c>
      <c r="U37" s="16">
        <f t="shared" si="29"/>
        <v>127</v>
      </c>
      <c r="V37" s="16">
        <f t="shared" si="29"/>
        <v>253</v>
      </c>
      <c r="W37" s="16">
        <f t="shared" si="29"/>
        <v>6</v>
      </c>
      <c r="X37" s="16">
        <f t="shared" si="29"/>
        <v>0</v>
      </c>
      <c r="Y37" s="16">
        <f t="shared" si="29"/>
        <v>44</v>
      </c>
      <c r="Z37" s="16">
        <f t="shared" si="29"/>
        <v>4</v>
      </c>
      <c r="AA37" s="16">
        <f t="shared" si="29"/>
        <v>2</v>
      </c>
      <c r="AB37" s="16">
        <f t="shared" si="29"/>
        <v>0</v>
      </c>
      <c r="AC37" s="16">
        <f t="shared" si="29"/>
        <v>1428</v>
      </c>
      <c r="AD37" s="16">
        <f t="shared" si="29"/>
        <v>0</v>
      </c>
      <c r="AE37" s="32">
        <f t="shared" si="29"/>
        <v>2078</v>
      </c>
      <c r="AF37" s="32">
        <f t="shared" si="29"/>
        <v>3506</v>
      </c>
    </row>
    <row r="38" spans="2:32" ht="23.1" customHeight="1">
      <c r="B38" s="46" t="s">
        <v>65</v>
      </c>
      <c r="C38" s="50">
        <v>55</v>
      </c>
      <c r="D38" s="50">
        <v>6</v>
      </c>
      <c r="E38" s="50">
        <v>5</v>
      </c>
      <c r="F38" s="50">
        <v>9</v>
      </c>
      <c r="G38" s="50">
        <v>0</v>
      </c>
      <c r="H38" s="50">
        <v>0</v>
      </c>
      <c r="I38" s="50">
        <v>6</v>
      </c>
      <c r="J38" s="50">
        <v>0</v>
      </c>
      <c r="K38" s="50">
        <v>0</v>
      </c>
      <c r="L38" s="50">
        <v>0</v>
      </c>
      <c r="M38" s="50">
        <v>50</v>
      </c>
      <c r="N38" s="50">
        <v>0</v>
      </c>
      <c r="O38" s="15">
        <f t="shared" si="0"/>
        <v>81</v>
      </c>
      <c r="P38" s="15">
        <f t="shared" si="1"/>
        <v>131</v>
      </c>
      <c r="R38" s="28" t="s">
        <v>86</v>
      </c>
      <c r="S38" s="16">
        <f t="shared" ref="S38:AF38" si="30">SUM(S13:S18)</f>
        <v>1955</v>
      </c>
      <c r="T38" s="16">
        <f t="shared" si="30"/>
        <v>250</v>
      </c>
      <c r="U38" s="16">
        <f t="shared" si="30"/>
        <v>165</v>
      </c>
      <c r="V38" s="16">
        <f t="shared" si="30"/>
        <v>349</v>
      </c>
      <c r="W38" s="16">
        <f t="shared" si="30"/>
        <v>4</v>
      </c>
      <c r="X38" s="16">
        <f t="shared" si="30"/>
        <v>0</v>
      </c>
      <c r="Y38" s="16">
        <f t="shared" si="30"/>
        <v>116</v>
      </c>
      <c r="Z38" s="16">
        <f t="shared" si="30"/>
        <v>18</v>
      </c>
      <c r="AA38" s="16">
        <f t="shared" si="30"/>
        <v>10</v>
      </c>
      <c r="AB38" s="16">
        <f t="shared" si="30"/>
        <v>2</v>
      </c>
      <c r="AC38" s="16">
        <f t="shared" si="30"/>
        <v>1715</v>
      </c>
      <c r="AD38" s="16">
        <f t="shared" si="30"/>
        <v>1</v>
      </c>
      <c r="AE38" s="32">
        <f t="shared" si="30"/>
        <v>2870</v>
      </c>
      <c r="AF38" s="32">
        <f t="shared" si="30"/>
        <v>4585</v>
      </c>
    </row>
    <row r="39" spans="2:32" ht="23.1" customHeight="1">
      <c r="B39" s="46" t="s">
        <v>66</v>
      </c>
      <c r="C39" s="50">
        <v>45</v>
      </c>
      <c r="D39" s="50">
        <v>5</v>
      </c>
      <c r="E39" s="50">
        <v>9</v>
      </c>
      <c r="F39" s="50">
        <v>13</v>
      </c>
      <c r="G39" s="50">
        <v>1</v>
      </c>
      <c r="H39" s="50">
        <v>0</v>
      </c>
      <c r="I39" s="50">
        <v>1</v>
      </c>
      <c r="J39" s="50">
        <v>0</v>
      </c>
      <c r="K39" s="50">
        <v>0</v>
      </c>
      <c r="L39" s="50">
        <v>1</v>
      </c>
      <c r="M39" s="50">
        <v>88</v>
      </c>
      <c r="N39" s="50">
        <v>0</v>
      </c>
      <c r="O39" s="15">
        <f t="shared" si="0"/>
        <v>75</v>
      </c>
      <c r="P39" s="15">
        <f t="shared" si="1"/>
        <v>163</v>
      </c>
      <c r="R39" s="29" t="s">
        <v>87</v>
      </c>
      <c r="S39" s="16">
        <f t="shared" ref="S39:AF39" si="31">SUM(S19:S21)</f>
        <v>652</v>
      </c>
      <c r="T39" s="16">
        <f t="shared" si="31"/>
        <v>93</v>
      </c>
      <c r="U39" s="16">
        <f t="shared" si="31"/>
        <v>75</v>
      </c>
      <c r="V39" s="16">
        <f t="shared" si="31"/>
        <v>128</v>
      </c>
      <c r="W39" s="16">
        <f t="shared" si="31"/>
        <v>12</v>
      </c>
      <c r="X39" s="16">
        <f t="shared" si="31"/>
        <v>4</v>
      </c>
      <c r="Y39" s="16">
        <f t="shared" si="31"/>
        <v>55</v>
      </c>
      <c r="Z39" s="16">
        <f t="shared" si="31"/>
        <v>5</v>
      </c>
      <c r="AA39" s="16">
        <f t="shared" si="31"/>
        <v>7</v>
      </c>
      <c r="AB39" s="16">
        <f t="shared" si="31"/>
        <v>0</v>
      </c>
      <c r="AC39" s="16">
        <f t="shared" si="31"/>
        <v>944</v>
      </c>
      <c r="AD39" s="16">
        <f t="shared" si="31"/>
        <v>0</v>
      </c>
      <c r="AE39" s="32">
        <f t="shared" si="31"/>
        <v>1031</v>
      </c>
      <c r="AF39" s="32">
        <f t="shared" si="31"/>
        <v>1975</v>
      </c>
    </row>
    <row r="40" spans="2:32" ht="23.1" customHeight="1">
      <c r="B40" s="46" t="s">
        <v>67</v>
      </c>
      <c r="C40" s="50">
        <v>45</v>
      </c>
      <c r="D40" s="50">
        <v>4</v>
      </c>
      <c r="E40" s="50">
        <v>5</v>
      </c>
      <c r="F40" s="50">
        <v>16</v>
      </c>
      <c r="G40" s="50">
        <v>0</v>
      </c>
      <c r="H40" s="50">
        <v>0</v>
      </c>
      <c r="I40" s="50">
        <v>10</v>
      </c>
      <c r="J40" s="50">
        <v>0</v>
      </c>
      <c r="K40" s="50">
        <v>0</v>
      </c>
      <c r="L40" s="50">
        <v>0</v>
      </c>
      <c r="M40" s="50">
        <v>68</v>
      </c>
      <c r="N40" s="50">
        <v>0</v>
      </c>
      <c r="O40" s="15">
        <f t="shared" si="0"/>
        <v>80</v>
      </c>
      <c r="P40" s="15">
        <f t="shared" si="1"/>
        <v>148</v>
      </c>
      <c r="R40" s="5" t="s">
        <v>17</v>
      </c>
      <c r="S40" s="16">
        <f t="shared" ref="S40:AF40" si="32">SUM(S10:S21)</f>
        <v>4030</v>
      </c>
      <c r="T40" s="16">
        <f t="shared" si="32"/>
        <v>562</v>
      </c>
      <c r="U40" s="16">
        <f t="shared" si="32"/>
        <v>367</v>
      </c>
      <c r="V40" s="16">
        <f t="shared" si="32"/>
        <v>730</v>
      </c>
      <c r="W40" s="16">
        <f t="shared" si="32"/>
        <v>22</v>
      </c>
      <c r="X40" s="16">
        <f t="shared" si="32"/>
        <v>4</v>
      </c>
      <c r="Y40" s="16">
        <f t="shared" si="32"/>
        <v>215</v>
      </c>
      <c r="Z40" s="16">
        <f t="shared" si="32"/>
        <v>27</v>
      </c>
      <c r="AA40" s="16">
        <f t="shared" si="32"/>
        <v>19</v>
      </c>
      <c r="AB40" s="16">
        <f t="shared" si="32"/>
        <v>2</v>
      </c>
      <c r="AC40" s="16">
        <f t="shared" si="32"/>
        <v>4087</v>
      </c>
      <c r="AD40" s="16">
        <f t="shared" si="32"/>
        <v>1</v>
      </c>
      <c r="AE40" s="32">
        <f t="shared" si="32"/>
        <v>5979</v>
      </c>
      <c r="AF40" s="32">
        <f t="shared" si="32"/>
        <v>10066</v>
      </c>
    </row>
    <row r="41" spans="2:32" ht="23.1" customHeight="1">
      <c r="B41" s="45" t="s">
        <v>68</v>
      </c>
      <c r="C41" s="50">
        <v>50</v>
      </c>
      <c r="D41" s="50">
        <v>10</v>
      </c>
      <c r="E41" s="50">
        <v>3</v>
      </c>
      <c r="F41" s="50">
        <v>14</v>
      </c>
      <c r="G41" s="50">
        <v>1</v>
      </c>
      <c r="H41" s="50">
        <v>0</v>
      </c>
      <c r="I41" s="50">
        <v>10</v>
      </c>
      <c r="J41" s="50">
        <v>1</v>
      </c>
      <c r="K41" s="50">
        <v>1</v>
      </c>
      <c r="L41" s="50">
        <v>1</v>
      </c>
      <c r="M41" s="50">
        <v>60</v>
      </c>
      <c r="N41" s="50">
        <v>0</v>
      </c>
      <c r="O41" s="15">
        <f t="shared" si="0"/>
        <v>91</v>
      </c>
      <c r="P41" s="15">
        <f t="shared" si="1"/>
        <v>151</v>
      </c>
      <c r="R41" s="5" t="s">
        <v>159</v>
      </c>
      <c r="S41" s="16">
        <f>SUM(S10:S33)</f>
        <v>5580</v>
      </c>
      <c r="T41" s="16">
        <f t="shared" ref="T41:AF41" si="33">SUM(T10:T33)</f>
        <v>736</v>
      </c>
      <c r="U41" s="16">
        <f t="shared" si="33"/>
        <v>441</v>
      </c>
      <c r="V41" s="16">
        <f t="shared" si="33"/>
        <v>984</v>
      </c>
      <c r="W41" s="16">
        <f t="shared" si="33"/>
        <v>38</v>
      </c>
      <c r="X41" s="16">
        <f t="shared" si="33"/>
        <v>4</v>
      </c>
      <c r="Y41" s="16">
        <f t="shared" si="33"/>
        <v>263</v>
      </c>
      <c r="Z41" s="16">
        <f t="shared" si="33"/>
        <v>33</v>
      </c>
      <c r="AA41" s="16">
        <f t="shared" si="33"/>
        <v>22</v>
      </c>
      <c r="AB41" s="16">
        <f t="shared" si="33"/>
        <v>3</v>
      </c>
      <c r="AC41" s="16">
        <f t="shared" si="33"/>
        <v>6444</v>
      </c>
      <c r="AD41" s="16">
        <f t="shared" si="33"/>
        <v>2</v>
      </c>
      <c r="AE41" s="32">
        <f t="shared" si="33"/>
        <v>8106</v>
      </c>
      <c r="AF41" s="32">
        <f t="shared" si="33"/>
        <v>14550</v>
      </c>
    </row>
    <row r="42" spans="2:32" ht="23.1" customHeight="1">
      <c r="B42" s="46" t="s">
        <v>69</v>
      </c>
      <c r="C42" s="50">
        <v>58</v>
      </c>
      <c r="D42" s="50">
        <v>9</v>
      </c>
      <c r="E42" s="50">
        <v>4</v>
      </c>
      <c r="F42" s="50">
        <v>12</v>
      </c>
      <c r="G42" s="50">
        <v>0</v>
      </c>
      <c r="H42" s="50">
        <v>0</v>
      </c>
      <c r="I42" s="50">
        <v>7</v>
      </c>
      <c r="J42" s="50">
        <v>0</v>
      </c>
      <c r="K42" s="50">
        <v>1</v>
      </c>
      <c r="L42" s="50">
        <v>0</v>
      </c>
      <c r="M42" s="50">
        <v>40</v>
      </c>
      <c r="N42" s="50">
        <v>0</v>
      </c>
      <c r="O42" s="15">
        <f t="shared" si="0"/>
        <v>91</v>
      </c>
      <c r="P42" s="15">
        <f t="shared" si="1"/>
        <v>131</v>
      </c>
      <c r="R42" s="5" t="s">
        <v>160</v>
      </c>
      <c r="S42" s="48">
        <f>S41/S40</f>
        <v>1.3846153846153846</v>
      </c>
      <c r="T42" s="48">
        <f t="shared" ref="T42:AF42" si="34">T41/T40</f>
        <v>1.3096085409252669</v>
      </c>
      <c r="U42" s="48">
        <f t="shared" si="34"/>
        <v>1.2016348773841963</v>
      </c>
      <c r="V42" s="48">
        <f t="shared" si="34"/>
        <v>1.3479452054794521</v>
      </c>
      <c r="W42" s="48">
        <f t="shared" si="34"/>
        <v>1.7272727272727273</v>
      </c>
      <c r="X42" s="48">
        <f t="shared" si="34"/>
        <v>1</v>
      </c>
      <c r="Y42" s="48">
        <f t="shared" si="34"/>
        <v>1.2232558139534884</v>
      </c>
      <c r="Z42" s="48">
        <f t="shared" si="34"/>
        <v>1.2222222222222223</v>
      </c>
      <c r="AA42" s="48">
        <f t="shared" si="34"/>
        <v>1.1578947368421053</v>
      </c>
      <c r="AB42" s="48">
        <f t="shared" si="34"/>
        <v>1.5</v>
      </c>
      <c r="AC42" s="48">
        <f t="shared" si="34"/>
        <v>1.5767066307805235</v>
      </c>
      <c r="AD42" s="48">
        <f t="shared" si="34"/>
        <v>2</v>
      </c>
      <c r="AE42" s="48">
        <f t="shared" si="34"/>
        <v>1.3557451078775715</v>
      </c>
      <c r="AF42" s="48">
        <f t="shared" si="34"/>
        <v>1.4454599642360422</v>
      </c>
    </row>
    <row r="43" spans="2:32" ht="23.1" customHeight="1">
      <c r="B43" s="45" t="s">
        <v>70</v>
      </c>
      <c r="C43" s="50">
        <v>59</v>
      </c>
      <c r="D43" s="50">
        <v>8</v>
      </c>
      <c r="E43" s="50">
        <v>8</v>
      </c>
      <c r="F43" s="50">
        <v>18</v>
      </c>
      <c r="G43" s="50">
        <v>0</v>
      </c>
      <c r="H43" s="50">
        <v>0</v>
      </c>
      <c r="I43" s="50">
        <v>3</v>
      </c>
      <c r="J43" s="50">
        <v>0</v>
      </c>
      <c r="K43" s="50">
        <v>0</v>
      </c>
      <c r="L43" s="50">
        <v>0</v>
      </c>
      <c r="M43" s="50">
        <v>50</v>
      </c>
      <c r="N43" s="50">
        <v>0</v>
      </c>
      <c r="O43" s="15">
        <f t="shared" si="0"/>
        <v>96</v>
      </c>
      <c r="P43" s="15">
        <f t="shared" si="1"/>
        <v>146</v>
      </c>
    </row>
    <row r="44" spans="2:32" ht="23.1" customHeight="1">
      <c r="B44" s="47" t="s">
        <v>71</v>
      </c>
      <c r="C44" s="50">
        <v>45</v>
      </c>
      <c r="D44" s="50">
        <v>2</v>
      </c>
      <c r="E44" s="50">
        <v>6</v>
      </c>
      <c r="F44" s="50">
        <v>12</v>
      </c>
      <c r="G44" s="50">
        <v>0</v>
      </c>
      <c r="H44" s="50">
        <v>0</v>
      </c>
      <c r="I44" s="50">
        <v>4</v>
      </c>
      <c r="J44" s="50">
        <v>0</v>
      </c>
      <c r="K44" s="50">
        <v>1</v>
      </c>
      <c r="L44" s="50">
        <v>0</v>
      </c>
      <c r="M44" s="50">
        <v>72</v>
      </c>
      <c r="N44" s="50">
        <v>0</v>
      </c>
      <c r="O44" s="15">
        <f t="shared" si="0"/>
        <v>70</v>
      </c>
      <c r="P44" s="15">
        <f t="shared" si="1"/>
        <v>142</v>
      </c>
    </row>
    <row r="45" spans="2:32" ht="23.1" customHeight="1">
      <c r="B45" s="45" t="s">
        <v>72</v>
      </c>
      <c r="C45" s="50">
        <v>65</v>
      </c>
      <c r="D45" s="50">
        <v>7</v>
      </c>
      <c r="E45" s="50">
        <v>9</v>
      </c>
      <c r="F45" s="50">
        <v>20</v>
      </c>
      <c r="G45" s="50">
        <v>0</v>
      </c>
      <c r="H45" s="50">
        <v>0</v>
      </c>
      <c r="I45" s="50">
        <v>3</v>
      </c>
      <c r="J45" s="50">
        <v>0</v>
      </c>
      <c r="K45" s="50">
        <v>0</v>
      </c>
      <c r="L45" s="50">
        <v>0</v>
      </c>
      <c r="M45" s="50">
        <v>51</v>
      </c>
      <c r="N45" s="50">
        <v>1</v>
      </c>
      <c r="O45" s="15">
        <f t="shared" si="0"/>
        <v>105</v>
      </c>
      <c r="P45" s="15">
        <f t="shared" si="1"/>
        <v>156</v>
      </c>
    </row>
    <row r="46" spans="2:32" ht="23.1" customHeight="1">
      <c r="B46" s="46" t="s">
        <v>73</v>
      </c>
      <c r="C46" s="50">
        <v>46</v>
      </c>
      <c r="D46" s="50">
        <v>8</v>
      </c>
      <c r="E46" s="50">
        <v>6</v>
      </c>
      <c r="F46" s="50">
        <v>8</v>
      </c>
      <c r="G46" s="50">
        <v>0</v>
      </c>
      <c r="H46" s="50">
        <v>0</v>
      </c>
      <c r="I46" s="50">
        <v>2</v>
      </c>
      <c r="J46" s="50">
        <v>0</v>
      </c>
      <c r="K46" s="50">
        <v>3</v>
      </c>
      <c r="L46" s="50">
        <v>0</v>
      </c>
      <c r="M46" s="50">
        <v>53</v>
      </c>
      <c r="N46" s="50">
        <v>0</v>
      </c>
      <c r="O46" s="15">
        <f t="shared" si="0"/>
        <v>73</v>
      </c>
      <c r="P46" s="15">
        <f t="shared" si="1"/>
        <v>126</v>
      </c>
      <c r="R46" s="8"/>
      <c r="T46"/>
    </row>
    <row r="47" spans="2:32" ht="23.1" customHeight="1">
      <c r="B47" s="46" t="s">
        <v>74</v>
      </c>
      <c r="C47" s="50">
        <v>72</v>
      </c>
      <c r="D47" s="50">
        <v>6</v>
      </c>
      <c r="E47" s="50">
        <v>7</v>
      </c>
      <c r="F47" s="50">
        <v>11</v>
      </c>
      <c r="G47" s="50">
        <v>0</v>
      </c>
      <c r="H47" s="50">
        <v>1</v>
      </c>
      <c r="I47" s="50">
        <v>3</v>
      </c>
      <c r="J47" s="50">
        <v>2</v>
      </c>
      <c r="K47" s="50">
        <v>0</v>
      </c>
      <c r="L47" s="50">
        <v>0</v>
      </c>
      <c r="M47" s="50">
        <v>57</v>
      </c>
      <c r="N47" s="50">
        <v>0</v>
      </c>
      <c r="O47" s="15">
        <f t="shared" si="0"/>
        <v>102</v>
      </c>
      <c r="P47" s="15">
        <f t="shared" si="1"/>
        <v>159</v>
      </c>
      <c r="R47" s="8"/>
      <c r="T47"/>
    </row>
    <row r="48" spans="2:32" ht="23.1" customHeight="1">
      <c r="B48" s="46" t="s">
        <v>75</v>
      </c>
      <c r="C48" s="50">
        <v>57</v>
      </c>
      <c r="D48" s="50">
        <v>2</v>
      </c>
      <c r="E48" s="50">
        <v>10</v>
      </c>
      <c r="F48" s="50">
        <v>10</v>
      </c>
      <c r="G48" s="50">
        <v>0</v>
      </c>
      <c r="H48" s="50">
        <v>0</v>
      </c>
      <c r="I48" s="50">
        <v>4</v>
      </c>
      <c r="J48" s="50">
        <v>0</v>
      </c>
      <c r="K48" s="50">
        <v>0</v>
      </c>
      <c r="L48" s="50">
        <v>0</v>
      </c>
      <c r="M48" s="50">
        <v>55</v>
      </c>
      <c r="N48" s="50">
        <v>0</v>
      </c>
      <c r="O48" s="15">
        <f t="shared" si="0"/>
        <v>83</v>
      </c>
      <c r="P48" s="15">
        <f t="shared" si="1"/>
        <v>138</v>
      </c>
      <c r="R48" s="8"/>
      <c r="T48"/>
    </row>
    <row r="49" spans="2:20" ht="23.1" customHeight="1">
      <c r="B49" s="45" t="s">
        <v>76</v>
      </c>
      <c r="C49" s="50">
        <v>50</v>
      </c>
      <c r="D49" s="50">
        <v>7</v>
      </c>
      <c r="E49" s="50">
        <v>5</v>
      </c>
      <c r="F49" s="50">
        <v>6</v>
      </c>
      <c r="G49" s="50">
        <v>1</v>
      </c>
      <c r="H49" s="50">
        <v>2</v>
      </c>
      <c r="I49" s="50">
        <v>10</v>
      </c>
      <c r="J49" s="50">
        <v>0</v>
      </c>
      <c r="K49" s="50">
        <v>1</v>
      </c>
      <c r="L49" s="50">
        <v>0</v>
      </c>
      <c r="M49" s="50">
        <v>68</v>
      </c>
      <c r="N49" s="50">
        <v>0</v>
      </c>
      <c r="O49" s="15">
        <f t="shared" si="0"/>
        <v>82</v>
      </c>
      <c r="P49" s="15">
        <f t="shared" si="1"/>
        <v>150</v>
      </c>
      <c r="R49" s="8"/>
      <c r="T49"/>
    </row>
    <row r="50" spans="2:20" ht="23.1" customHeight="1">
      <c r="B50" s="46" t="s">
        <v>77</v>
      </c>
      <c r="C50" s="50">
        <v>115</v>
      </c>
      <c r="D50" s="50">
        <v>16</v>
      </c>
      <c r="E50" s="50">
        <v>7</v>
      </c>
      <c r="F50" s="50">
        <v>12</v>
      </c>
      <c r="G50" s="50">
        <v>2</v>
      </c>
      <c r="H50" s="50">
        <v>1</v>
      </c>
      <c r="I50" s="50">
        <v>3</v>
      </c>
      <c r="J50" s="50">
        <v>0</v>
      </c>
      <c r="K50" s="50">
        <v>0</v>
      </c>
      <c r="L50" s="50">
        <v>0</v>
      </c>
      <c r="M50" s="50">
        <v>80</v>
      </c>
      <c r="N50" s="50">
        <v>0</v>
      </c>
      <c r="O50" s="15">
        <f t="shared" si="0"/>
        <v>156</v>
      </c>
      <c r="P50" s="15">
        <f t="shared" si="1"/>
        <v>236</v>
      </c>
      <c r="R50" s="8"/>
      <c r="T50"/>
    </row>
    <row r="51" spans="2:20" ht="23.1" customHeight="1">
      <c r="B51" s="46" t="s">
        <v>78</v>
      </c>
      <c r="C51" s="50">
        <v>54</v>
      </c>
      <c r="D51" s="50">
        <v>17</v>
      </c>
      <c r="E51" s="50">
        <v>8</v>
      </c>
      <c r="F51" s="50">
        <v>16</v>
      </c>
      <c r="G51" s="50">
        <v>5</v>
      </c>
      <c r="H51" s="50">
        <v>0</v>
      </c>
      <c r="I51" s="50">
        <v>4</v>
      </c>
      <c r="J51" s="50">
        <v>0</v>
      </c>
      <c r="K51" s="50">
        <v>2</v>
      </c>
      <c r="L51" s="50">
        <v>0</v>
      </c>
      <c r="M51" s="50">
        <v>102</v>
      </c>
      <c r="N51" s="50">
        <v>0</v>
      </c>
      <c r="O51" s="15">
        <f t="shared" si="0"/>
        <v>106</v>
      </c>
      <c r="P51" s="15">
        <f t="shared" si="1"/>
        <v>208</v>
      </c>
      <c r="R51" s="8"/>
      <c r="T51"/>
    </row>
    <row r="52" spans="2:20" ht="23.1" customHeight="1">
      <c r="B52" s="46" t="s">
        <v>79</v>
      </c>
      <c r="C52" s="50">
        <v>50</v>
      </c>
      <c r="D52" s="50">
        <v>6</v>
      </c>
      <c r="E52" s="50">
        <v>9</v>
      </c>
      <c r="F52" s="50">
        <v>14</v>
      </c>
      <c r="G52" s="50">
        <v>1</v>
      </c>
      <c r="H52" s="50">
        <v>0</v>
      </c>
      <c r="I52" s="50">
        <v>6</v>
      </c>
      <c r="J52" s="50">
        <v>0</v>
      </c>
      <c r="K52" s="50">
        <v>1</v>
      </c>
      <c r="L52" s="50">
        <v>0</v>
      </c>
      <c r="M52" s="50">
        <v>90</v>
      </c>
      <c r="N52" s="50">
        <v>0</v>
      </c>
      <c r="O52" s="15">
        <f t="shared" si="0"/>
        <v>87</v>
      </c>
      <c r="P52" s="15">
        <f t="shared" si="1"/>
        <v>177</v>
      </c>
      <c r="R52" s="8"/>
      <c r="T52"/>
    </row>
    <row r="53" spans="2:20" ht="23.1" customHeight="1">
      <c r="B53" s="45" t="s">
        <v>80</v>
      </c>
      <c r="C53" s="50">
        <v>58</v>
      </c>
      <c r="D53" s="50">
        <v>4</v>
      </c>
      <c r="E53" s="50">
        <v>5</v>
      </c>
      <c r="F53" s="50">
        <v>9</v>
      </c>
      <c r="G53" s="50">
        <v>1</v>
      </c>
      <c r="H53" s="50">
        <v>0</v>
      </c>
      <c r="I53" s="50">
        <v>7</v>
      </c>
      <c r="J53" s="50">
        <v>0</v>
      </c>
      <c r="K53" s="50">
        <v>0</v>
      </c>
      <c r="L53" s="50">
        <v>0</v>
      </c>
      <c r="M53" s="50">
        <v>71</v>
      </c>
      <c r="N53" s="50">
        <v>0</v>
      </c>
      <c r="O53" s="15">
        <f t="shared" si="0"/>
        <v>84</v>
      </c>
      <c r="P53" s="15">
        <f t="shared" si="1"/>
        <v>155</v>
      </c>
      <c r="R53" s="8"/>
      <c r="T53"/>
    </row>
    <row r="54" spans="2:20" ht="23.1" customHeight="1">
      <c r="B54" s="45" t="s">
        <v>81</v>
      </c>
      <c r="C54" s="50">
        <v>32</v>
      </c>
      <c r="D54" s="50">
        <v>9</v>
      </c>
      <c r="E54" s="50">
        <v>2</v>
      </c>
      <c r="F54" s="50">
        <v>12</v>
      </c>
      <c r="G54" s="50">
        <v>0</v>
      </c>
      <c r="H54" s="50">
        <v>0</v>
      </c>
      <c r="I54" s="50">
        <v>0</v>
      </c>
      <c r="J54" s="50">
        <v>0</v>
      </c>
      <c r="K54" s="50">
        <v>0</v>
      </c>
      <c r="L54" s="50">
        <v>0</v>
      </c>
      <c r="M54" s="50">
        <v>87</v>
      </c>
      <c r="N54" s="50">
        <v>0</v>
      </c>
      <c r="O54" s="15">
        <f t="shared" si="0"/>
        <v>55</v>
      </c>
      <c r="P54" s="15">
        <f t="shared" si="1"/>
        <v>142</v>
      </c>
      <c r="R54" s="8"/>
      <c r="T54"/>
    </row>
    <row r="55" spans="2:20" ht="23.1" customHeight="1">
      <c r="B55" s="45" t="s">
        <v>82</v>
      </c>
      <c r="C55" s="50">
        <v>50</v>
      </c>
      <c r="D55" s="50">
        <v>3</v>
      </c>
      <c r="E55" s="50">
        <v>8</v>
      </c>
      <c r="F55" s="50">
        <v>14</v>
      </c>
      <c r="G55" s="50">
        <v>0</v>
      </c>
      <c r="H55" s="50">
        <v>0</v>
      </c>
      <c r="I55" s="50">
        <v>5</v>
      </c>
      <c r="J55" s="50">
        <v>2</v>
      </c>
      <c r="K55" s="50">
        <v>0</v>
      </c>
      <c r="L55" s="50">
        <v>0</v>
      </c>
      <c r="M55" s="50">
        <v>65</v>
      </c>
      <c r="N55" s="50">
        <v>0</v>
      </c>
      <c r="O55" s="15">
        <f t="shared" si="0"/>
        <v>82</v>
      </c>
      <c r="P55" s="15">
        <f t="shared" si="1"/>
        <v>147</v>
      </c>
      <c r="R55" s="8"/>
      <c r="T55"/>
    </row>
    <row r="56" spans="2:20" ht="23.1" customHeight="1">
      <c r="B56" s="45" t="s">
        <v>83</v>
      </c>
      <c r="C56" s="50">
        <v>34</v>
      </c>
      <c r="D56" s="50">
        <v>9</v>
      </c>
      <c r="E56" s="50">
        <v>4</v>
      </c>
      <c r="F56" s="50">
        <v>9</v>
      </c>
      <c r="G56" s="50">
        <v>1</v>
      </c>
      <c r="H56" s="50">
        <v>0</v>
      </c>
      <c r="I56" s="50">
        <v>7</v>
      </c>
      <c r="J56" s="50">
        <v>1</v>
      </c>
      <c r="K56" s="50">
        <v>0</v>
      </c>
      <c r="L56" s="50">
        <v>0</v>
      </c>
      <c r="M56" s="50">
        <v>117</v>
      </c>
      <c r="N56" s="50">
        <v>0</v>
      </c>
      <c r="O56" s="15">
        <f t="shared" si="0"/>
        <v>65</v>
      </c>
      <c r="P56" s="15">
        <f t="shared" si="1"/>
        <v>182</v>
      </c>
      <c r="R56" s="8"/>
      <c r="T56"/>
    </row>
    <row r="57" spans="2:20" ht="23.1" customHeight="1">
      <c r="B57" s="45" t="s">
        <v>84</v>
      </c>
      <c r="C57" s="50">
        <v>34</v>
      </c>
      <c r="D57" s="50">
        <v>6</v>
      </c>
      <c r="E57" s="50">
        <v>4</v>
      </c>
      <c r="F57" s="50">
        <v>7</v>
      </c>
      <c r="G57" s="50">
        <v>1</v>
      </c>
      <c r="H57" s="50">
        <v>0</v>
      </c>
      <c r="I57" s="50">
        <v>4</v>
      </c>
      <c r="J57" s="50">
        <v>0</v>
      </c>
      <c r="K57" s="50">
        <v>0</v>
      </c>
      <c r="L57" s="50">
        <v>0</v>
      </c>
      <c r="M57" s="50">
        <v>99</v>
      </c>
      <c r="N57" s="50">
        <v>0</v>
      </c>
      <c r="O57" s="15">
        <f t="shared" si="0"/>
        <v>56</v>
      </c>
      <c r="P57" s="15">
        <f t="shared" si="1"/>
        <v>155</v>
      </c>
      <c r="R57" s="8"/>
      <c r="T57"/>
    </row>
    <row r="58" spans="2:20" ht="23.1" customHeight="1">
      <c r="B58" s="45" t="s">
        <v>99</v>
      </c>
      <c r="C58" s="50">
        <v>34</v>
      </c>
      <c r="D58" s="50">
        <v>4</v>
      </c>
      <c r="E58" s="50">
        <v>2</v>
      </c>
      <c r="F58" s="50">
        <v>13</v>
      </c>
      <c r="G58" s="50">
        <v>0</v>
      </c>
      <c r="H58" s="50">
        <v>0</v>
      </c>
      <c r="I58" s="50">
        <v>1</v>
      </c>
      <c r="J58" s="50">
        <v>1</v>
      </c>
      <c r="K58" s="50">
        <v>0</v>
      </c>
      <c r="L58" s="50">
        <v>0</v>
      </c>
      <c r="M58" s="50">
        <v>114</v>
      </c>
      <c r="N58" s="50">
        <v>0</v>
      </c>
      <c r="O58" s="15">
        <f t="shared" ref="O58:O105" si="35">SUM(C58:L58,N58)</f>
        <v>55</v>
      </c>
      <c r="P58" s="15">
        <f t="shared" ref="P58:P105" si="36">SUM(C58:N58)</f>
        <v>169</v>
      </c>
      <c r="R58" s="8"/>
      <c r="T58"/>
    </row>
    <row r="59" spans="2:20" ht="23.1" customHeight="1">
      <c r="B59" s="45" t="s">
        <v>100</v>
      </c>
      <c r="C59" s="50">
        <v>61</v>
      </c>
      <c r="D59" s="50">
        <v>6</v>
      </c>
      <c r="E59" s="50">
        <v>7</v>
      </c>
      <c r="F59" s="50">
        <v>21</v>
      </c>
      <c r="G59" s="50">
        <v>1</v>
      </c>
      <c r="H59" s="50">
        <v>0</v>
      </c>
      <c r="I59" s="50">
        <v>1</v>
      </c>
      <c r="J59" s="50">
        <v>0</v>
      </c>
      <c r="K59" s="50">
        <v>0</v>
      </c>
      <c r="L59" s="50">
        <v>0</v>
      </c>
      <c r="M59" s="50">
        <v>120</v>
      </c>
      <c r="N59" s="50">
        <v>0</v>
      </c>
      <c r="O59" s="15">
        <f t="shared" si="35"/>
        <v>97</v>
      </c>
      <c r="P59" s="15">
        <f t="shared" si="36"/>
        <v>217</v>
      </c>
      <c r="R59" s="8"/>
      <c r="T59"/>
    </row>
    <row r="60" spans="2:20" ht="23.1" customHeight="1">
      <c r="B60" s="45" t="s">
        <v>101</v>
      </c>
      <c r="C60" s="50">
        <v>31</v>
      </c>
      <c r="D60" s="50">
        <v>4</v>
      </c>
      <c r="E60" s="50">
        <v>8</v>
      </c>
      <c r="F60" s="50">
        <v>12</v>
      </c>
      <c r="G60" s="50">
        <v>0</v>
      </c>
      <c r="H60" s="50">
        <v>0</v>
      </c>
      <c r="I60" s="50">
        <v>3</v>
      </c>
      <c r="J60" s="50">
        <v>0</v>
      </c>
      <c r="K60" s="50">
        <v>0</v>
      </c>
      <c r="L60" s="50">
        <v>0</v>
      </c>
      <c r="M60" s="50">
        <v>91</v>
      </c>
      <c r="N60" s="50">
        <v>0</v>
      </c>
      <c r="O60" s="15">
        <f t="shared" si="35"/>
        <v>58</v>
      </c>
      <c r="P60" s="15">
        <f t="shared" si="36"/>
        <v>149</v>
      </c>
      <c r="R60" s="8"/>
      <c r="T60"/>
    </row>
    <row r="61" spans="2:20" ht="23.1" customHeight="1">
      <c r="B61" s="45" t="s">
        <v>102</v>
      </c>
      <c r="C61" s="50">
        <v>21</v>
      </c>
      <c r="D61" s="50">
        <v>3</v>
      </c>
      <c r="E61" s="50">
        <v>1</v>
      </c>
      <c r="F61" s="50">
        <v>3</v>
      </c>
      <c r="G61" s="50">
        <v>0</v>
      </c>
      <c r="H61" s="50">
        <v>0</v>
      </c>
      <c r="I61" s="50">
        <v>0</v>
      </c>
      <c r="J61" s="50">
        <v>0</v>
      </c>
      <c r="K61" s="50">
        <v>0</v>
      </c>
      <c r="L61" s="50">
        <v>0</v>
      </c>
      <c r="M61" s="50">
        <v>93</v>
      </c>
      <c r="N61" s="50">
        <v>0</v>
      </c>
      <c r="O61" s="15">
        <f t="shared" si="35"/>
        <v>28</v>
      </c>
      <c r="P61" s="15">
        <f t="shared" si="36"/>
        <v>121</v>
      </c>
      <c r="R61" s="8"/>
      <c r="T61"/>
    </row>
    <row r="62" spans="2:20" ht="23.1" customHeight="1">
      <c r="B62" s="45" t="s">
        <v>107</v>
      </c>
      <c r="C62" s="50">
        <v>24</v>
      </c>
      <c r="D62" s="50">
        <v>4</v>
      </c>
      <c r="E62" s="50">
        <v>2</v>
      </c>
      <c r="F62" s="50">
        <v>7</v>
      </c>
      <c r="G62" s="50">
        <v>0</v>
      </c>
      <c r="H62" s="50">
        <v>0</v>
      </c>
      <c r="I62" s="50">
        <v>3</v>
      </c>
      <c r="J62" s="50">
        <v>0</v>
      </c>
      <c r="K62" s="50">
        <v>0</v>
      </c>
      <c r="L62" s="50">
        <v>0</v>
      </c>
      <c r="M62" s="50">
        <v>165</v>
      </c>
      <c r="N62" s="50">
        <v>0</v>
      </c>
      <c r="O62" s="15">
        <f t="shared" si="35"/>
        <v>40</v>
      </c>
      <c r="P62" s="15">
        <f t="shared" si="36"/>
        <v>205</v>
      </c>
      <c r="R62" s="8"/>
      <c r="T62"/>
    </row>
    <row r="63" spans="2:20" ht="23.1" customHeight="1">
      <c r="B63" s="45" t="s">
        <v>108</v>
      </c>
      <c r="C63" s="50">
        <v>25</v>
      </c>
      <c r="D63" s="50">
        <v>5</v>
      </c>
      <c r="E63" s="50">
        <v>3</v>
      </c>
      <c r="F63" s="50">
        <v>1</v>
      </c>
      <c r="G63" s="50">
        <v>0</v>
      </c>
      <c r="H63" s="50">
        <v>0</v>
      </c>
      <c r="I63" s="50">
        <v>2</v>
      </c>
      <c r="J63" s="50">
        <v>0</v>
      </c>
      <c r="K63" s="50">
        <v>0</v>
      </c>
      <c r="L63" s="50">
        <v>0</v>
      </c>
      <c r="M63" s="50">
        <v>115</v>
      </c>
      <c r="N63" s="50">
        <v>0</v>
      </c>
      <c r="O63" s="15">
        <f t="shared" si="35"/>
        <v>36</v>
      </c>
      <c r="P63" s="15">
        <f t="shared" si="36"/>
        <v>151</v>
      </c>
      <c r="R63" s="8"/>
      <c r="T63"/>
    </row>
    <row r="64" spans="2:20" ht="23.1" customHeight="1">
      <c r="B64" s="45" t="s">
        <v>109</v>
      </c>
      <c r="C64" s="50">
        <v>40</v>
      </c>
      <c r="D64" s="50">
        <v>5</v>
      </c>
      <c r="E64" s="50">
        <v>0</v>
      </c>
      <c r="F64" s="50">
        <v>5</v>
      </c>
      <c r="G64" s="50">
        <v>0</v>
      </c>
      <c r="H64" s="50">
        <v>0</v>
      </c>
      <c r="I64" s="50">
        <v>1</v>
      </c>
      <c r="J64" s="50">
        <v>0</v>
      </c>
      <c r="K64" s="50">
        <v>0</v>
      </c>
      <c r="L64" s="50">
        <v>0</v>
      </c>
      <c r="M64" s="50">
        <v>110</v>
      </c>
      <c r="N64" s="50">
        <v>0</v>
      </c>
      <c r="O64" s="15">
        <f t="shared" si="35"/>
        <v>51</v>
      </c>
      <c r="P64" s="15">
        <f t="shared" si="36"/>
        <v>161</v>
      </c>
      <c r="R64" s="8"/>
      <c r="T64"/>
    </row>
    <row r="65" spans="2:20" ht="23.1" customHeight="1">
      <c r="B65" s="45" t="s">
        <v>158</v>
      </c>
      <c r="C65" s="50">
        <v>22</v>
      </c>
      <c r="D65" s="50">
        <v>1</v>
      </c>
      <c r="E65" s="50">
        <v>1</v>
      </c>
      <c r="F65" s="50">
        <v>8</v>
      </c>
      <c r="G65" s="50">
        <v>0</v>
      </c>
      <c r="H65" s="50">
        <v>0</v>
      </c>
      <c r="I65" s="50">
        <v>2</v>
      </c>
      <c r="J65" s="50">
        <v>0</v>
      </c>
      <c r="K65" s="50">
        <v>0</v>
      </c>
      <c r="L65" s="50">
        <v>1</v>
      </c>
      <c r="M65" s="50">
        <v>110</v>
      </c>
      <c r="N65" s="50">
        <v>0</v>
      </c>
      <c r="O65" s="15">
        <f t="shared" si="35"/>
        <v>35</v>
      </c>
      <c r="P65" s="15">
        <f t="shared" si="36"/>
        <v>145</v>
      </c>
      <c r="R65" s="8"/>
      <c r="T65"/>
    </row>
    <row r="66" spans="2:20" ht="23.1" customHeight="1">
      <c r="B66" s="45" t="s">
        <v>103</v>
      </c>
      <c r="C66" s="50">
        <v>27</v>
      </c>
      <c r="D66" s="50">
        <v>2</v>
      </c>
      <c r="E66" s="50">
        <v>0</v>
      </c>
      <c r="F66" s="50">
        <v>5</v>
      </c>
      <c r="G66" s="50">
        <v>0</v>
      </c>
      <c r="H66" s="50">
        <v>0</v>
      </c>
      <c r="I66" s="50">
        <v>5</v>
      </c>
      <c r="J66" s="50">
        <v>0</v>
      </c>
      <c r="K66" s="50">
        <v>0</v>
      </c>
      <c r="L66" s="50">
        <v>0</v>
      </c>
      <c r="M66" s="50">
        <v>86</v>
      </c>
      <c r="N66" s="50">
        <v>0</v>
      </c>
      <c r="O66" s="15">
        <f t="shared" si="35"/>
        <v>39</v>
      </c>
      <c r="P66" s="15">
        <f t="shared" si="36"/>
        <v>125</v>
      </c>
      <c r="R66" s="8"/>
      <c r="T66"/>
    </row>
    <row r="67" spans="2:20" ht="23.1" customHeight="1">
      <c r="B67" s="45" t="s">
        <v>104</v>
      </c>
      <c r="C67" s="50">
        <v>21</v>
      </c>
      <c r="D67" s="50">
        <v>5</v>
      </c>
      <c r="E67" s="50">
        <v>0</v>
      </c>
      <c r="F67" s="50">
        <v>10</v>
      </c>
      <c r="G67" s="50">
        <v>0</v>
      </c>
      <c r="H67" s="50">
        <v>0</v>
      </c>
      <c r="I67" s="50">
        <v>3</v>
      </c>
      <c r="J67" s="50">
        <v>1</v>
      </c>
      <c r="K67" s="50">
        <v>0</v>
      </c>
      <c r="L67" s="50">
        <v>0</v>
      </c>
      <c r="M67" s="50">
        <v>89</v>
      </c>
      <c r="N67" s="50">
        <v>0</v>
      </c>
      <c r="O67" s="15">
        <f t="shared" si="35"/>
        <v>40</v>
      </c>
      <c r="P67" s="15">
        <f t="shared" si="36"/>
        <v>129</v>
      </c>
      <c r="R67" s="8"/>
      <c r="T67"/>
    </row>
    <row r="68" spans="2:20" ht="23.1" customHeight="1">
      <c r="B68" s="45" t="s">
        <v>105</v>
      </c>
      <c r="C68" s="50">
        <v>22</v>
      </c>
      <c r="D68" s="50">
        <v>4</v>
      </c>
      <c r="E68" s="50">
        <v>2</v>
      </c>
      <c r="F68" s="50">
        <v>7</v>
      </c>
      <c r="G68" s="50">
        <v>0</v>
      </c>
      <c r="H68" s="50">
        <v>0</v>
      </c>
      <c r="I68" s="50">
        <v>0</v>
      </c>
      <c r="J68" s="50">
        <v>0</v>
      </c>
      <c r="K68" s="50">
        <v>0</v>
      </c>
      <c r="L68" s="50">
        <v>0</v>
      </c>
      <c r="M68" s="50">
        <v>65</v>
      </c>
      <c r="N68" s="50">
        <v>0</v>
      </c>
      <c r="O68" s="15">
        <f t="shared" si="35"/>
        <v>35</v>
      </c>
      <c r="P68" s="15">
        <f t="shared" si="36"/>
        <v>100</v>
      </c>
      <c r="R68" s="8"/>
      <c r="T68"/>
    </row>
    <row r="69" spans="2:20" ht="23.1" customHeight="1">
      <c r="B69" s="45" t="s">
        <v>106</v>
      </c>
      <c r="C69" s="50">
        <v>31</v>
      </c>
      <c r="D69" s="50">
        <v>2</v>
      </c>
      <c r="E69" s="50">
        <v>0</v>
      </c>
      <c r="F69" s="50">
        <v>5</v>
      </c>
      <c r="G69" s="50">
        <v>0</v>
      </c>
      <c r="H69" s="50">
        <v>0</v>
      </c>
      <c r="I69" s="50">
        <v>1</v>
      </c>
      <c r="J69" s="50">
        <v>0</v>
      </c>
      <c r="K69" s="50">
        <v>0</v>
      </c>
      <c r="L69" s="50">
        <v>0</v>
      </c>
      <c r="M69" s="50">
        <v>80</v>
      </c>
      <c r="N69" s="50">
        <v>0</v>
      </c>
      <c r="O69" s="15">
        <f t="shared" si="35"/>
        <v>39</v>
      </c>
      <c r="P69" s="15">
        <f t="shared" si="36"/>
        <v>119</v>
      </c>
      <c r="R69" s="8"/>
      <c r="T69"/>
    </row>
    <row r="70" spans="2:20" ht="23.1" customHeight="1">
      <c r="B70" s="45" t="s">
        <v>110</v>
      </c>
      <c r="C70" s="50">
        <v>35</v>
      </c>
      <c r="D70" s="50">
        <v>3</v>
      </c>
      <c r="E70" s="50">
        <v>1</v>
      </c>
      <c r="F70" s="50">
        <v>6</v>
      </c>
      <c r="G70" s="50">
        <v>0</v>
      </c>
      <c r="H70" s="50">
        <v>0</v>
      </c>
      <c r="I70" s="50">
        <v>3</v>
      </c>
      <c r="J70" s="50">
        <v>0</v>
      </c>
      <c r="K70" s="50">
        <v>0</v>
      </c>
      <c r="L70" s="50">
        <v>0</v>
      </c>
      <c r="M70" s="50">
        <v>140</v>
      </c>
      <c r="N70" s="50">
        <v>1</v>
      </c>
      <c r="O70" s="15">
        <f t="shared" si="35"/>
        <v>49</v>
      </c>
      <c r="P70" s="15">
        <f t="shared" si="36"/>
        <v>189</v>
      </c>
      <c r="R70" s="8"/>
      <c r="T70"/>
    </row>
    <row r="71" spans="2:20" ht="23.1" customHeight="1">
      <c r="B71" s="45" t="s">
        <v>111</v>
      </c>
      <c r="C71" s="50">
        <v>22</v>
      </c>
      <c r="D71" s="50">
        <v>2</v>
      </c>
      <c r="E71" s="50">
        <v>1</v>
      </c>
      <c r="F71" s="50">
        <v>15</v>
      </c>
      <c r="G71" s="50">
        <v>0</v>
      </c>
      <c r="H71" s="50">
        <v>0</v>
      </c>
      <c r="I71" s="50">
        <v>0</v>
      </c>
      <c r="J71" s="50">
        <v>0</v>
      </c>
      <c r="K71" s="50">
        <v>0</v>
      </c>
      <c r="L71" s="50">
        <v>0</v>
      </c>
      <c r="M71" s="50">
        <v>99</v>
      </c>
      <c r="N71" s="50">
        <v>0</v>
      </c>
      <c r="O71" s="15">
        <f t="shared" si="35"/>
        <v>40</v>
      </c>
      <c r="P71" s="15">
        <f t="shared" si="36"/>
        <v>139</v>
      </c>
      <c r="R71" s="8"/>
      <c r="T71"/>
    </row>
    <row r="72" spans="2:20" ht="23.1" customHeight="1">
      <c r="B72" s="45" t="s">
        <v>112</v>
      </c>
      <c r="C72" s="50">
        <v>37</v>
      </c>
      <c r="D72" s="50">
        <v>7</v>
      </c>
      <c r="E72" s="50">
        <v>2</v>
      </c>
      <c r="F72" s="50">
        <v>8</v>
      </c>
      <c r="G72" s="50">
        <v>0</v>
      </c>
      <c r="H72" s="50">
        <v>0</v>
      </c>
      <c r="I72" s="50">
        <v>2</v>
      </c>
      <c r="J72" s="50">
        <v>0</v>
      </c>
      <c r="K72" s="50">
        <v>0</v>
      </c>
      <c r="L72" s="50">
        <v>0</v>
      </c>
      <c r="M72" s="50">
        <v>47</v>
      </c>
      <c r="N72" s="50">
        <v>0</v>
      </c>
      <c r="O72" s="15">
        <f t="shared" si="35"/>
        <v>56</v>
      </c>
      <c r="P72" s="15">
        <f t="shared" si="36"/>
        <v>103</v>
      </c>
      <c r="R72" s="8"/>
      <c r="T72"/>
    </row>
    <row r="73" spans="2:20" ht="23.1" customHeight="1">
      <c r="B73" s="45" t="s">
        <v>113</v>
      </c>
      <c r="C73" s="50">
        <v>28</v>
      </c>
      <c r="D73" s="50">
        <v>0</v>
      </c>
      <c r="E73" s="50">
        <v>1</v>
      </c>
      <c r="F73" s="50">
        <v>10</v>
      </c>
      <c r="G73" s="50">
        <v>0</v>
      </c>
      <c r="H73" s="50">
        <v>0</v>
      </c>
      <c r="I73" s="50">
        <v>1</v>
      </c>
      <c r="J73" s="50">
        <v>0</v>
      </c>
      <c r="K73" s="50">
        <v>0</v>
      </c>
      <c r="L73" s="50">
        <v>0</v>
      </c>
      <c r="M73" s="50">
        <v>45</v>
      </c>
      <c r="N73" s="50">
        <v>0</v>
      </c>
      <c r="O73" s="15">
        <f t="shared" si="35"/>
        <v>40</v>
      </c>
      <c r="P73" s="15">
        <f t="shared" si="36"/>
        <v>85</v>
      </c>
      <c r="R73" s="8"/>
      <c r="T73"/>
    </row>
    <row r="74" spans="2:20" ht="23.1" customHeight="1">
      <c r="B74" s="45" t="s">
        <v>114</v>
      </c>
      <c r="C74" s="50">
        <v>21</v>
      </c>
      <c r="D74" s="50">
        <v>4</v>
      </c>
      <c r="E74" s="50">
        <v>6</v>
      </c>
      <c r="F74" s="50">
        <v>8</v>
      </c>
      <c r="G74" s="50">
        <v>0</v>
      </c>
      <c r="H74" s="50">
        <v>0</v>
      </c>
      <c r="I74" s="50">
        <v>1</v>
      </c>
      <c r="J74" s="50">
        <v>0</v>
      </c>
      <c r="K74" s="50">
        <v>1</v>
      </c>
      <c r="L74" s="50">
        <v>0</v>
      </c>
      <c r="M74" s="50">
        <v>55</v>
      </c>
      <c r="N74" s="50">
        <v>0</v>
      </c>
      <c r="O74" s="15">
        <f t="shared" si="35"/>
        <v>41</v>
      </c>
      <c r="P74" s="15">
        <f t="shared" si="36"/>
        <v>96</v>
      </c>
      <c r="R74" s="8"/>
      <c r="T74"/>
    </row>
    <row r="75" spans="2:20" ht="23.1" customHeight="1">
      <c r="B75" s="45" t="s">
        <v>115</v>
      </c>
      <c r="C75" s="50">
        <v>13</v>
      </c>
      <c r="D75" s="50">
        <v>0</v>
      </c>
      <c r="E75" s="50">
        <v>2</v>
      </c>
      <c r="F75" s="50">
        <v>5</v>
      </c>
      <c r="G75" s="50">
        <v>0</v>
      </c>
      <c r="H75" s="50">
        <v>0</v>
      </c>
      <c r="I75" s="50">
        <v>1</v>
      </c>
      <c r="J75" s="50">
        <v>0</v>
      </c>
      <c r="K75" s="50">
        <v>0</v>
      </c>
      <c r="L75" s="50">
        <v>0</v>
      </c>
      <c r="M75" s="50">
        <v>49</v>
      </c>
      <c r="N75" s="50">
        <v>0</v>
      </c>
      <c r="O75" s="15">
        <f t="shared" si="35"/>
        <v>21</v>
      </c>
      <c r="P75" s="15">
        <f t="shared" si="36"/>
        <v>70</v>
      </c>
      <c r="R75" s="8"/>
      <c r="T75"/>
    </row>
    <row r="76" spans="2:20" ht="23.1" customHeight="1">
      <c r="B76" s="45" t="s">
        <v>116</v>
      </c>
      <c r="C76" s="50">
        <v>36</v>
      </c>
      <c r="D76" s="50">
        <v>2</v>
      </c>
      <c r="E76" s="50">
        <v>2</v>
      </c>
      <c r="F76" s="50">
        <v>10</v>
      </c>
      <c r="G76" s="50">
        <v>0</v>
      </c>
      <c r="H76" s="50">
        <v>0</v>
      </c>
      <c r="I76" s="50">
        <v>0</v>
      </c>
      <c r="J76" s="50">
        <v>0</v>
      </c>
      <c r="K76" s="50">
        <v>0</v>
      </c>
      <c r="L76" s="50">
        <v>0</v>
      </c>
      <c r="M76" s="50">
        <v>69</v>
      </c>
      <c r="N76" s="50">
        <v>0</v>
      </c>
      <c r="O76" s="15">
        <f t="shared" si="35"/>
        <v>50</v>
      </c>
      <c r="P76" s="15">
        <f t="shared" si="36"/>
        <v>119</v>
      </c>
      <c r="R76" s="8"/>
      <c r="T76"/>
    </row>
    <row r="77" spans="2:20" ht="23.1" customHeight="1">
      <c r="B77" s="45" t="s">
        <v>117</v>
      </c>
      <c r="C77" s="50">
        <v>40</v>
      </c>
      <c r="D77" s="50">
        <v>3</v>
      </c>
      <c r="E77" s="50">
        <v>2</v>
      </c>
      <c r="F77" s="50">
        <v>3</v>
      </c>
      <c r="G77" s="50">
        <v>0</v>
      </c>
      <c r="H77" s="50">
        <v>0</v>
      </c>
      <c r="I77" s="50">
        <v>0</v>
      </c>
      <c r="J77" s="50">
        <v>0</v>
      </c>
      <c r="K77" s="50">
        <v>0</v>
      </c>
      <c r="L77" s="50">
        <v>0</v>
      </c>
      <c r="M77" s="50">
        <v>50</v>
      </c>
      <c r="N77" s="50">
        <v>0</v>
      </c>
      <c r="O77" s="15">
        <f t="shared" si="35"/>
        <v>48</v>
      </c>
      <c r="P77" s="15">
        <f t="shared" si="36"/>
        <v>98</v>
      </c>
      <c r="R77" s="8"/>
      <c r="T77"/>
    </row>
    <row r="78" spans="2:20" ht="23.1" customHeight="1">
      <c r="B78" s="46" t="s">
        <v>118</v>
      </c>
      <c r="C78" s="50">
        <v>27</v>
      </c>
      <c r="D78" s="50">
        <v>1</v>
      </c>
      <c r="E78" s="50">
        <v>2</v>
      </c>
      <c r="F78" s="50">
        <v>3</v>
      </c>
      <c r="G78" s="50">
        <v>0</v>
      </c>
      <c r="H78" s="50">
        <v>0</v>
      </c>
      <c r="I78" s="50">
        <v>1</v>
      </c>
      <c r="J78" s="50">
        <v>0</v>
      </c>
      <c r="K78" s="50">
        <v>0</v>
      </c>
      <c r="L78" s="50">
        <v>0</v>
      </c>
      <c r="M78" s="50">
        <v>13</v>
      </c>
      <c r="N78" s="50">
        <v>0</v>
      </c>
      <c r="O78" s="15">
        <f t="shared" si="35"/>
        <v>34</v>
      </c>
      <c r="P78" s="15">
        <f t="shared" si="36"/>
        <v>47</v>
      </c>
      <c r="R78" s="8"/>
      <c r="T78"/>
    </row>
    <row r="79" spans="2:20" ht="23.1" customHeight="1">
      <c r="B79" s="45" t="s">
        <v>119</v>
      </c>
      <c r="C79" s="50">
        <v>30</v>
      </c>
      <c r="D79" s="50">
        <v>1</v>
      </c>
      <c r="E79" s="50">
        <v>2</v>
      </c>
      <c r="F79" s="50">
        <v>2</v>
      </c>
      <c r="G79" s="50">
        <v>0</v>
      </c>
      <c r="H79" s="50">
        <v>0</v>
      </c>
      <c r="I79" s="50">
        <v>1</v>
      </c>
      <c r="J79" s="50">
        <v>0</v>
      </c>
      <c r="K79" s="50">
        <v>0</v>
      </c>
      <c r="L79" s="50">
        <v>0</v>
      </c>
      <c r="M79" s="50">
        <v>29</v>
      </c>
      <c r="N79" s="50">
        <v>0</v>
      </c>
      <c r="O79" s="15">
        <f t="shared" si="35"/>
        <v>36</v>
      </c>
      <c r="P79" s="15">
        <f t="shared" si="36"/>
        <v>65</v>
      </c>
      <c r="R79" s="8"/>
      <c r="T79"/>
    </row>
    <row r="80" spans="2:20" ht="23.1" customHeight="1">
      <c r="B80" s="47" t="s">
        <v>120</v>
      </c>
      <c r="C80" s="50">
        <v>25</v>
      </c>
      <c r="D80" s="50">
        <v>2</v>
      </c>
      <c r="E80" s="50">
        <v>1</v>
      </c>
      <c r="F80" s="50">
        <v>2</v>
      </c>
      <c r="G80" s="50">
        <v>0</v>
      </c>
      <c r="H80" s="50">
        <v>0</v>
      </c>
      <c r="I80" s="50">
        <v>1</v>
      </c>
      <c r="J80" s="50">
        <v>1</v>
      </c>
      <c r="K80" s="50">
        <v>0</v>
      </c>
      <c r="L80" s="50">
        <v>0</v>
      </c>
      <c r="M80" s="50">
        <v>28</v>
      </c>
      <c r="N80" s="50">
        <v>0</v>
      </c>
      <c r="O80" s="15">
        <f t="shared" si="35"/>
        <v>32</v>
      </c>
      <c r="P80" s="15">
        <f t="shared" si="36"/>
        <v>60</v>
      </c>
      <c r="R80" s="8"/>
      <c r="T80"/>
    </row>
    <row r="81" spans="2:20" ht="23.1" customHeight="1">
      <c r="B81" s="45" t="s">
        <v>121</v>
      </c>
      <c r="C81" s="50">
        <v>12</v>
      </c>
      <c r="D81" s="50">
        <v>2</v>
      </c>
      <c r="E81" s="50">
        <v>0</v>
      </c>
      <c r="F81" s="50">
        <v>0</v>
      </c>
      <c r="G81" s="50">
        <v>0</v>
      </c>
      <c r="H81" s="50">
        <v>0</v>
      </c>
      <c r="I81" s="50">
        <v>0</v>
      </c>
      <c r="J81" s="50">
        <v>0</v>
      </c>
      <c r="K81" s="50">
        <v>0</v>
      </c>
      <c r="L81" s="50">
        <v>0</v>
      </c>
      <c r="M81" s="50">
        <v>32</v>
      </c>
      <c r="N81" s="50">
        <v>0</v>
      </c>
      <c r="O81" s="15">
        <f t="shared" si="35"/>
        <v>14</v>
      </c>
      <c r="P81" s="15">
        <f t="shared" si="36"/>
        <v>46</v>
      </c>
      <c r="R81" s="8"/>
      <c r="T81"/>
    </row>
    <row r="82" spans="2:20" ht="23.1" customHeight="1">
      <c r="B82" s="46" t="s">
        <v>122</v>
      </c>
      <c r="C82" s="50">
        <v>15</v>
      </c>
      <c r="D82" s="50">
        <v>0</v>
      </c>
      <c r="E82" s="50">
        <v>0</v>
      </c>
      <c r="F82" s="50">
        <v>0</v>
      </c>
      <c r="G82" s="50">
        <v>0</v>
      </c>
      <c r="H82" s="50">
        <v>0</v>
      </c>
      <c r="I82" s="50">
        <v>1</v>
      </c>
      <c r="J82" s="50">
        <v>0</v>
      </c>
      <c r="K82" s="50">
        <v>0</v>
      </c>
      <c r="L82" s="50">
        <v>0</v>
      </c>
      <c r="M82" s="50">
        <v>19</v>
      </c>
      <c r="N82" s="50">
        <v>0</v>
      </c>
      <c r="O82" s="15">
        <f t="shared" si="35"/>
        <v>16</v>
      </c>
      <c r="P82" s="15">
        <f t="shared" si="36"/>
        <v>35</v>
      </c>
      <c r="R82" s="8"/>
      <c r="T82"/>
    </row>
    <row r="83" spans="2:20" ht="23.1" customHeight="1">
      <c r="B83" s="45" t="s">
        <v>123</v>
      </c>
      <c r="C83" s="50">
        <v>5</v>
      </c>
      <c r="D83" s="50">
        <v>0</v>
      </c>
      <c r="E83" s="50">
        <v>0</v>
      </c>
      <c r="F83" s="50">
        <v>0</v>
      </c>
      <c r="G83" s="50">
        <v>0</v>
      </c>
      <c r="H83" s="50">
        <v>0</v>
      </c>
      <c r="I83" s="50">
        <v>0</v>
      </c>
      <c r="J83" s="50">
        <v>0</v>
      </c>
      <c r="K83" s="50">
        <v>0</v>
      </c>
      <c r="L83" s="50">
        <v>0</v>
      </c>
      <c r="M83" s="50">
        <v>21</v>
      </c>
      <c r="N83" s="50">
        <v>0</v>
      </c>
      <c r="O83" s="15">
        <f t="shared" si="35"/>
        <v>5</v>
      </c>
      <c r="P83" s="15">
        <f t="shared" si="36"/>
        <v>26</v>
      </c>
      <c r="R83" s="8"/>
      <c r="T83"/>
    </row>
    <row r="84" spans="2:20" ht="23.1" customHeight="1">
      <c r="B84" s="47" t="s">
        <v>124</v>
      </c>
      <c r="C84" s="50">
        <v>3</v>
      </c>
      <c r="D84" s="50">
        <v>0</v>
      </c>
      <c r="E84" s="50">
        <v>0</v>
      </c>
      <c r="F84" s="50">
        <v>0</v>
      </c>
      <c r="G84" s="50">
        <v>0</v>
      </c>
      <c r="H84" s="50">
        <v>0</v>
      </c>
      <c r="I84" s="50">
        <v>1</v>
      </c>
      <c r="J84" s="50">
        <v>0</v>
      </c>
      <c r="K84" s="50">
        <v>0</v>
      </c>
      <c r="L84" s="50">
        <v>0</v>
      </c>
      <c r="M84" s="50">
        <v>22</v>
      </c>
      <c r="N84" s="50">
        <v>0</v>
      </c>
      <c r="O84" s="15">
        <f t="shared" si="35"/>
        <v>4</v>
      </c>
      <c r="P84" s="15">
        <f t="shared" si="36"/>
        <v>26</v>
      </c>
      <c r="R84" s="8"/>
      <c r="T84"/>
    </row>
    <row r="85" spans="2:20" ht="23.1" customHeight="1">
      <c r="B85" s="45" t="s">
        <v>125</v>
      </c>
      <c r="C85" s="50">
        <v>15</v>
      </c>
      <c r="D85" s="50">
        <v>0</v>
      </c>
      <c r="E85" s="50">
        <v>0</v>
      </c>
      <c r="F85" s="50">
        <v>0</v>
      </c>
      <c r="G85" s="50">
        <v>0</v>
      </c>
      <c r="H85" s="50">
        <v>0</v>
      </c>
      <c r="I85" s="50">
        <v>0</v>
      </c>
      <c r="J85" s="50">
        <v>0</v>
      </c>
      <c r="K85" s="50">
        <v>0</v>
      </c>
      <c r="L85" s="50">
        <v>0</v>
      </c>
      <c r="M85" s="50">
        <v>6</v>
      </c>
      <c r="N85" s="50">
        <v>0</v>
      </c>
      <c r="O85" s="15">
        <f t="shared" si="35"/>
        <v>15</v>
      </c>
      <c r="P85" s="15">
        <f t="shared" si="36"/>
        <v>21</v>
      </c>
      <c r="R85" s="8"/>
      <c r="T85"/>
    </row>
    <row r="86" spans="2:20" ht="23.1" customHeight="1">
      <c r="B86" s="46" t="s">
        <v>126</v>
      </c>
      <c r="C86" s="50">
        <v>11</v>
      </c>
      <c r="D86" s="50">
        <v>2</v>
      </c>
      <c r="E86" s="50">
        <v>0</v>
      </c>
      <c r="F86" s="50">
        <v>1</v>
      </c>
      <c r="G86" s="50">
        <v>0</v>
      </c>
      <c r="H86" s="50">
        <v>0</v>
      </c>
      <c r="I86" s="50">
        <v>0</v>
      </c>
      <c r="J86" s="50">
        <v>0</v>
      </c>
      <c r="K86" s="50">
        <v>0</v>
      </c>
      <c r="L86" s="50">
        <v>0</v>
      </c>
      <c r="M86" s="50">
        <v>7</v>
      </c>
      <c r="N86" s="50">
        <v>0</v>
      </c>
      <c r="O86" s="15">
        <f t="shared" si="35"/>
        <v>14</v>
      </c>
      <c r="P86" s="15">
        <f t="shared" si="36"/>
        <v>21</v>
      </c>
      <c r="R86" s="8"/>
      <c r="T86"/>
    </row>
    <row r="87" spans="2:20" ht="23.1" customHeight="1">
      <c r="B87" s="45" t="s">
        <v>127</v>
      </c>
      <c r="C87" s="50">
        <v>6</v>
      </c>
      <c r="D87" s="50">
        <v>2</v>
      </c>
      <c r="E87" s="50">
        <v>0</v>
      </c>
      <c r="F87" s="50">
        <v>0</v>
      </c>
      <c r="G87" s="50">
        <v>0</v>
      </c>
      <c r="H87" s="50">
        <v>0</v>
      </c>
      <c r="I87" s="50">
        <v>0</v>
      </c>
      <c r="J87" s="50">
        <v>0</v>
      </c>
      <c r="K87" s="50">
        <v>0</v>
      </c>
      <c r="L87" s="50">
        <v>0</v>
      </c>
      <c r="M87" s="50">
        <v>15</v>
      </c>
      <c r="N87" s="50">
        <v>0</v>
      </c>
      <c r="O87" s="15">
        <f t="shared" si="35"/>
        <v>8</v>
      </c>
      <c r="P87" s="15">
        <f t="shared" si="36"/>
        <v>23</v>
      </c>
      <c r="R87" s="8"/>
      <c r="T87"/>
    </row>
    <row r="88" spans="2:20" ht="23.1" customHeight="1">
      <c r="B88" s="47" t="s">
        <v>128</v>
      </c>
      <c r="C88" s="50">
        <v>11</v>
      </c>
      <c r="D88" s="50">
        <v>3</v>
      </c>
      <c r="E88" s="50">
        <v>0</v>
      </c>
      <c r="F88" s="50">
        <v>1</v>
      </c>
      <c r="G88" s="50">
        <v>0</v>
      </c>
      <c r="H88" s="50">
        <v>0</v>
      </c>
      <c r="I88" s="50">
        <v>0</v>
      </c>
      <c r="J88" s="50">
        <v>0</v>
      </c>
      <c r="K88" s="50">
        <v>0</v>
      </c>
      <c r="L88" s="50">
        <v>0</v>
      </c>
      <c r="M88" s="50">
        <v>4</v>
      </c>
      <c r="N88" s="50">
        <v>0</v>
      </c>
      <c r="O88" s="15">
        <f t="shared" si="35"/>
        <v>15</v>
      </c>
      <c r="P88" s="15">
        <f t="shared" si="36"/>
        <v>19</v>
      </c>
      <c r="R88" s="8"/>
      <c r="T88"/>
    </row>
    <row r="89" spans="2:20" ht="23.1" customHeight="1">
      <c r="B89" s="45" t="s">
        <v>129</v>
      </c>
      <c r="C89" s="50">
        <v>8</v>
      </c>
      <c r="D89" s="50">
        <v>1</v>
      </c>
      <c r="E89" s="50">
        <v>0</v>
      </c>
      <c r="F89" s="50">
        <v>0</v>
      </c>
      <c r="G89" s="50">
        <v>0</v>
      </c>
      <c r="H89" s="50">
        <v>0</v>
      </c>
      <c r="I89" s="50">
        <v>1</v>
      </c>
      <c r="J89" s="50">
        <v>0</v>
      </c>
      <c r="K89" s="50">
        <v>0</v>
      </c>
      <c r="L89" s="50">
        <v>0</v>
      </c>
      <c r="M89" s="50">
        <v>7</v>
      </c>
      <c r="N89" s="50">
        <v>0</v>
      </c>
      <c r="O89" s="15">
        <f t="shared" si="35"/>
        <v>10</v>
      </c>
      <c r="P89" s="15">
        <f t="shared" si="36"/>
        <v>17</v>
      </c>
      <c r="R89" s="8"/>
      <c r="T89"/>
    </row>
    <row r="90" spans="2:20" ht="23.1" customHeight="1">
      <c r="B90" s="46" t="s">
        <v>130</v>
      </c>
      <c r="C90" s="50">
        <v>10</v>
      </c>
      <c r="D90" s="50">
        <v>2</v>
      </c>
      <c r="E90" s="50">
        <v>0</v>
      </c>
      <c r="F90" s="50">
        <v>0</v>
      </c>
      <c r="G90" s="50">
        <v>0</v>
      </c>
      <c r="H90" s="50">
        <v>0</v>
      </c>
      <c r="I90" s="50">
        <v>0</v>
      </c>
      <c r="J90" s="50">
        <v>0</v>
      </c>
      <c r="K90" s="50">
        <v>0</v>
      </c>
      <c r="L90" s="50">
        <v>0</v>
      </c>
      <c r="M90" s="50">
        <v>10</v>
      </c>
      <c r="N90" s="50">
        <v>0</v>
      </c>
      <c r="O90" s="15">
        <f t="shared" si="35"/>
        <v>12</v>
      </c>
      <c r="P90" s="15">
        <f t="shared" si="36"/>
        <v>22</v>
      </c>
      <c r="R90" s="8"/>
      <c r="T90"/>
    </row>
    <row r="91" spans="2:20" ht="23.1" customHeight="1">
      <c r="B91" s="45" t="s">
        <v>131</v>
      </c>
      <c r="C91" s="50">
        <v>6</v>
      </c>
      <c r="D91" s="50">
        <v>1</v>
      </c>
      <c r="E91" s="50">
        <v>0</v>
      </c>
      <c r="F91" s="50">
        <v>0</v>
      </c>
      <c r="G91" s="50">
        <v>0</v>
      </c>
      <c r="H91" s="50">
        <v>0</v>
      </c>
      <c r="I91" s="50">
        <v>0</v>
      </c>
      <c r="J91" s="50">
        <v>0</v>
      </c>
      <c r="K91" s="50">
        <v>0</v>
      </c>
      <c r="L91" s="50">
        <v>0</v>
      </c>
      <c r="M91" s="50">
        <v>5</v>
      </c>
      <c r="N91" s="50">
        <v>0</v>
      </c>
      <c r="O91" s="15">
        <f t="shared" si="35"/>
        <v>7</v>
      </c>
      <c r="P91" s="15">
        <f t="shared" si="36"/>
        <v>12</v>
      </c>
      <c r="R91" s="8"/>
      <c r="T91"/>
    </row>
    <row r="92" spans="2:20" ht="23.1" customHeight="1">
      <c r="B92" s="47" t="s">
        <v>132</v>
      </c>
      <c r="C92" s="50">
        <v>10</v>
      </c>
      <c r="D92" s="50">
        <v>2</v>
      </c>
      <c r="E92" s="50">
        <v>1</v>
      </c>
      <c r="F92" s="50">
        <v>0</v>
      </c>
      <c r="G92" s="50">
        <v>0</v>
      </c>
      <c r="H92" s="50">
        <v>0</v>
      </c>
      <c r="I92" s="50">
        <v>0</v>
      </c>
      <c r="J92" s="50">
        <v>0</v>
      </c>
      <c r="K92" s="50">
        <v>0</v>
      </c>
      <c r="L92" s="50">
        <v>0</v>
      </c>
      <c r="M92" s="50">
        <v>12</v>
      </c>
      <c r="N92" s="50">
        <v>0</v>
      </c>
      <c r="O92" s="15">
        <f t="shared" si="35"/>
        <v>13</v>
      </c>
      <c r="P92" s="15">
        <f t="shared" si="36"/>
        <v>25</v>
      </c>
      <c r="R92" s="8"/>
      <c r="T92"/>
    </row>
    <row r="93" spans="2:20" ht="23.1" customHeight="1">
      <c r="B93" s="45" t="s">
        <v>133</v>
      </c>
      <c r="C93" s="50">
        <v>5</v>
      </c>
      <c r="D93" s="50">
        <v>4</v>
      </c>
      <c r="E93" s="50">
        <v>0</v>
      </c>
      <c r="F93" s="50">
        <v>0</v>
      </c>
      <c r="G93" s="50">
        <v>0</v>
      </c>
      <c r="H93" s="50">
        <v>0</v>
      </c>
      <c r="I93" s="50">
        <v>0</v>
      </c>
      <c r="J93" s="50">
        <v>1</v>
      </c>
      <c r="K93" s="50">
        <v>0</v>
      </c>
      <c r="L93" s="50">
        <v>0</v>
      </c>
      <c r="M93" s="50">
        <v>18</v>
      </c>
      <c r="N93" s="50">
        <v>0</v>
      </c>
      <c r="O93" s="15">
        <f t="shared" si="35"/>
        <v>10</v>
      </c>
      <c r="P93" s="15">
        <f t="shared" si="36"/>
        <v>28</v>
      </c>
      <c r="R93" s="8"/>
      <c r="T93"/>
    </row>
    <row r="94" spans="2:20" ht="23.1" customHeight="1">
      <c r="B94" s="46" t="s">
        <v>134</v>
      </c>
      <c r="C94" s="50">
        <v>21</v>
      </c>
      <c r="D94" s="50">
        <v>2</v>
      </c>
      <c r="E94" s="50">
        <v>0</v>
      </c>
      <c r="F94" s="50">
        <v>1</v>
      </c>
      <c r="G94" s="50">
        <v>0</v>
      </c>
      <c r="H94" s="50">
        <v>0</v>
      </c>
      <c r="I94" s="50">
        <v>0</v>
      </c>
      <c r="J94" s="50">
        <v>0</v>
      </c>
      <c r="K94" s="50">
        <v>0</v>
      </c>
      <c r="L94" s="50">
        <v>0</v>
      </c>
      <c r="M94" s="50">
        <v>9</v>
      </c>
      <c r="N94" s="50">
        <v>0</v>
      </c>
      <c r="O94" s="15">
        <f t="shared" si="35"/>
        <v>24</v>
      </c>
      <c r="P94" s="15">
        <f t="shared" si="36"/>
        <v>33</v>
      </c>
      <c r="R94" s="8"/>
      <c r="T94"/>
    </row>
    <row r="95" spans="2:20" ht="23.1" customHeight="1">
      <c r="B95" s="45" t="s">
        <v>135</v>
      </c>
      <c r="C95" s="50">
        <v>7</v>
      </c>
      <c r="D95" s="50">
        <v>2</v>
      </c>
      <c r="E95" s="50">
        <v>1</v>
      </c>
      <c r="F95" s="50">
        <v>0</v>
      </c>
      <c r="G95" s="50">
        <v>0</v>
      </c>
      <c r="H95" s="50">
        <v>0</v>
      </c>
      <c r="I95" s="50">
        <v>0</v>
      </c>
      <c r="J95" s="50">
        <v>0</v>
      </c>
      <c r="K95" s="50">
        <v>0</v>
      </c>
      <c r="L95" s="50">
        <v>0</v>
      </c>
      <c r="M95" s="50">
        <v>8</v>
      </c>
      <c r="N95" s="50">
        <v>0</v>
      </c>
      <c r="O95" s="15">
        <f t="shared" si="35"/>
        <v>10</v>
      </c>
      <c r="P95" s="15">
        <f t="shared" si="36"/>
        <v>18</v>
      </c>
      <c r="R95" s="8"/>
      <c r="T95"/>
    </row>
    <row r="96" spans="2:20" ht="23.1" customHeight="1">
      <c r="B96" s="47" t="s">
        <v>136</v>
      </c>
      <c r="C96" s="50">
        <v>16</v>
      </c>
      <c r="D96" s="50">
        <v>2</v>
      </c>
      <c r="E96" s="50">
        <v>0</v>
      </c>
      <c r="F96" s="50">
        <v>3</v>
      </c>
      <c r="G96" s="50">
        <v>0</v>
      </c>
      <c r="H96" s="50">
        <v>0</v>
      </c>
      <c r="I96" s="50">
        <v>0</v>
      </c>
      <c r="J96" s="50">
        <v>1</v>
      </c>
      <c r="K96" s="50">
        <v>0</v>
      </c>
      <c r="L96" s="50">
        <v>0</v>
      </c>
      <c r="M96" s="50">
        <v>16</v>
      </c>
      <c r="N96" s="50">
        <v>0</v>
      </c>
      <c r="O96" s="15">
        <f t="shared" si="35"/>
        <v>22</v>
      </c>
      <c r="P96" s="15">
        <f t="shared" si="36"/>
        <v>38</v>
      </c>
      <c r="R96" s="8"/>
      <c r="T96"/>
    </row>
    <row r="97" spans="2:20" ht="23.1" customHeight="1">
      <c r="B97" s="45" t="s">
        <v>137</v>
      </c>
      <c r="C97" s="50">
        <v>10</v>
      </c>
      <c r="D97" s="50">
        <v>3</v>
      </c>
      <c r="E97" s="50">
        <v>1</v>
      </c>
      <c r="F97" s="50">
        <v>3</v>
      </c>
      <c r="G97" s="50">
        <v>0</v>
      </c>
      <c r="H97" s="50">
        <v>0</v>
      </c>
      <c r="I97" s="50">
        <v>1</v>
      </c>
      <c r="J97" s="50">
        <v>0</v>
      </c>
      <c r="K97" s="50">
        <v>0</v>
      </c>
      <c r="L97" s="50">
        <v>0</v>
      </c>
      <c r="M97" s="50">
        <v>10</v>
      </c>
      <c r="N97" s="50">
        <v>0</v>
      </c>
      <c r="O97" s="15">
        <f t="shared" si="35"/>
        <v>18</v>
      </c>
      <c r="P97" s="15">
        <f t="shared" si="36"/>
        <v>28</v>
      </c>
      <c r="R97" s="8"/>
      <c r="T97"/>
    </row>
    <row r="98" spans="2:20" ht="23.1" customHeight="1">
      <c r="B98" s="46" t="s">
        <v>138</v>
      </c>
      <c r="C98" s="50">
        <v>14</v>
      </c>
      <c r="D98" s="50">
        <v>1</v>
      </c>
      <c r="E98" s="50">
        <v>0</v>
      </c>
      <c r="F98" s="50">
        <v>5</v>
      </c>
      <c r="G98" s="50">
        <v>4</v>
      </c>
      <c r="H98" s="50">
        <v>0</v>
      </c>
      <c r="I98" s="50">
        <v>1</v>
      </c>
      <c r="J98" s="50">
        <v>0</v>
      </c>
      <c r="K98" s="50">
        <v>0</v>
      </c>
      <c r="L98" s="50">
        <v>0</v>
      </c>
      <c r="M98" s="50">
        <v>16</v>
      </c>
      <c r="N98" s="50">
        <v>0</v>
      </c>
      <c r="O98" s="15">
        <f t="shared" si="35"/>
        <v>25</v>
      </c>
      <c r="P98" s="15">
        <f t="shared" si="36"/>
        <v>41</v>
      </c>
      <c r="R98" s="8"/>
      <c r="T98"/>
    </row>
    <row r="99" spans="2:20" ht="23.1" customHeight="1">
      <c r="B99" s="45" t="s">
        <v>139</v>
      </c>
      <c r="C99" s="50">
        <v>9</v>
      </c>
      <c r="D99" s="50">
        <v>0</v>
      </c>
      <c r="E99" s="50">
        <v>1</v>
      </c>
      <c r="F99" s="50">
        <v>3</v>
      </c>
      <c r="G99" s="50">
        <v>9</v>
      </c>
      <c r="H99" s="50">
        <v>0</v>
      </c>
      <c r="I99" s="50">
        <v>1</v>
      </c>
      <c r="J99" s="50">
        <v>0</v>
      </c>
      <c r="K99" s="50">
        <v>0</v>
      </c>
      <c r="L99" s="50">
        <v>0</v>
      </c>
      <c r="M99" s="50">
        <v>17</v>
      </c>
      <c r="N99" s="50">
        <v>0</v>
      </c>
      <c r="O99" s="15">
        <f t="shared" si="35"/>
        <v>23</v>
      </c>
      <c r="P99" s="15">
        <f t="shared" si="36"/>
        <v>40</v>
      </c>
      <c r="R99" s="8"/>
      <c r="T99"/>
    </row>
    <row r="100" spans="2:20" ht="23.1" customHeight="1">
      <c r="B100" s="47" t="s">
        <v>140</v>
      </c>
      <c r="C100" s="50">
        <v>39</v>
      </c>
      <c r="D100" s="50">
        <v>4</v>
      </c>
      <c r="E100" s="50">
        <v>1</v>
      </c>
      <c r="F100" s="50">
        <v>7</v>
      </c>
      <c r="G100" s="50">
        <v>0</v>
      </c>
      <c r="H100" s="50">
        <v>0</v>
      </c>
      <c r="I100" s="50">
        <v>2</v>
      </c>
      <c r="J100" s="50">
        <v>0</v>
      </c>
      <c r="K100" s="50">
        <v>0</v>
      </c>
      <c r="L100" s="50">
        <v>0</v>
      </c>
      <c r="M100" s="50">
        <v>20</v>
      </c>
      <c r="N100" s="50">
        <v>0</v>
      </c>
      <c r="O100" s="15">
        <f t="shared" si="35"/>
        <v>53</v>
      </c>
      <c r="P100" s="15">
        <f t="shared" si="36"/>
        <v>73</v>
      </c>
      <c r="R100" s="8"/>
      <c r="T100"/>
    </row>
    <row r="101" spans="2:20" ht="23.1" customHeight="1">
      <c r="B101" s="45" t="s">
        <v>141</v>
      </c>
      <c r="C101" s="50">
        <v>99</v>
      </c>
      <c r="D101" s="50">
        <v>19</v>
      </c>
      <c r="E101" s="50">
        <v>6</v>
      </c>
      <c r="F101" s="50">
        <v>18</v>
      </c>
      <c r="G101" s="50">
        <v>0</v>
      </c>
      <c r="H101" s="50">
        <v>0</v>
      </c>
      <c r="I101" s="50">
        <v>2</v>
      </c>
      <c r="J101" s="50">
        <v>0</v>
      </c>
      <c r="K101" s="50">
        <v>0</v>
      </c>
      <c r="L101" s="50">
        <v>0</v>
      </c>
      <c r="M101" s="50">
        <v>45</v>
      </c>
      <c r="N101" s="50">
        <v>0</v>
      </c>
      <c r="O101" s="15">
        <f t="shared" si="35"/>
        <v>144</v>
      </c>
      <c r="P101" s="15">
        <f t="shared" si="36"/>
        <v>189</v>
      </c>
      <c r="R101" s="8"/>
      <c r="T101"/>
    </row>
    <row r="102" spans="2:20" ht="23.1" customHeight="1">
      <c r="B102" s="46" t="s">
        <v>142</v>
      </c>
      <c r="C102" s="50">
        <v>120</v>
      </c>
      <c r="D102" s="50">
        <v>8</v>
      </c>
      <c r="E102" s="50">
        <v>4</v>
      </c>
      <c r="F102" s="50">
        <v>13</v>
      </c>
      <c r="G102" s="50">
        <v>0</v>
      </c>
      <c r="H102" s="50">
        <v>0</v>
      </c>
      <c r="I102" s="50">
        <v>1</v>
      </c>
      <c r="J102" s="50">
        <v>0</v>
      </c>
      <c r="K102" s="50">
        <v>1</v>
      </c>
      <c r="L102" s="50">
        <v>0</v>
      </c>
      <c r="M102" s="50">
        <v>20</v>
      </c>
      <c r="N102" s="50">
        <v>0</v>
      </c>
      <c r="O102" s="15">
        <f t="shared" si="35"/>
        <v>147</v>
      </c>
      <c r="P102" s="15">
        <f t="shared" si="36"/>
        <v>167</v>
      </c>
      <c r="R102" s="8"/>
      <c r="T102"/>
    </row>
    <row r="103" spans="2:20" ht="23.1" customHeight="1">
      <c r="B103" s="45" t="s">
        <v>143</v>
      </c>
      <c r="C103" s="50">
        <v>140</v>
      </c>
      <c r="D103" s="50">
        <v>16</v>
      </c>
      <c r="E103" s="50">
        <v>1</v>
      </c>
      <c r="F103" s="50">
        <v>8</v>
      </c>
      <c r="G103" s="50">
        <v>0</v>
      </c>
      <c r="H103" s="50">
        <v>0</v>
      </c>
      <c r="I103" s="50">
        <v>2</v>
      </c>
      <c r="J103" s="50">
        <v>0</v>
      </c>
      <c r="K103" s="50">
        <v>0</v>
      </c>
      <c r="L103" s="50">
        <v>0</v>
      </c>
      <c r="M103" s="50">
        <v>41</v>
      </c>
      <c r="N103" s="50">
        <v>0</v>
      </c>
      <c r="O103" s="15">
        <f t="shared" si="35"/>
        <v>167</v>
      </c>
      <c r="P103" s="15">
        <f t="shared" si="36"/>
        <v>208</v>
      </c>
      <c r="R103" s="8"/>
      <c r="T103"/>
    </row>
    <row r="104" spans="2:20" ht="23.1" customHeight="1">
      <c r="B104" s="47" t="s">
        <v>144</v>
      </c>
      <c r="C104" s="50">
        <v>135</v>
      </c>
      <c r="D104" s="50">
        <v>15</v>
      </c>
      <c r="E104" s="50">
        <v>3</v>
      </c>
      <c r="F104" s="50">
        <v>7</v>
      </c>
      <c r="G104" s="50">
        <v>1</v>
      </c>
      <c r="H104" s="50">
        <v>0</v>
      </c>
      <c r="I104" s="50">
        <v>1</v>
      </c>
      <c r="J104" s="50">
        <v>0</v>
      </c>
      <c r="K104" s="50">
        <v>1</v>
      </c>
      <c r="L104" s="50">
        <v>0</v>
      </c>
      <c r="M104" s="50">
        <v>55</v>
      </c>
      <c r="N104" s="50">
        <v>0</v>
      </c>
      <c r="O104" s="15">
        <f t="shared" si="35"/>
        <v>163</v>
      </c>
      <c r="P104" s="15">
        <f t="shared" si="36"/>
        <v>218</v>
      </c>
      <c r="R104" s="8"/>
      <c r="T104"/>
    </row>
    <row r="105" spans="2:20" ht="23.1" customHeight="1">
      <c r="B105" s="45" t="s">
        <v>145</v>
      </c>
      <c r="C105" s="50">
        <v>150</v>
      </c>
      <c r="D105" s="50">
        <v>13</v>
      </c>
      <c r="E105" s="50">
        <v>7</v>
      </c>
      <c r="F105" s="50">
        <v>15</v>
      </c>
      <c r="G105" s="50">
        <v>1</v>
      </c>
      <c r="H105" s="50">
        <v>0</v>
      </c>
      <c r="I105" s="50">
        <v>1</v>
      </c>
      <c r="J105" s="50">
        <v>1</v>
      </c>
      <c r="K105" s="50">
        <v>0</v>
      </c>
      <c r="L105" s="50">
        <v>0</v>
      </c>
      <c r="M105" s="50">
        <v>60</v>
      </c>
      <c r="N105" s="50">
        <v>0</v>
      </c>
      <c r="O105" s="15">
        <f t="shared" si="35"/>
        <v>188</v>
      </c>
      <c r="P105" s="15">
        <f t="shared" si="36"/>
        <v>248</v>
      </c>
      <c r="R105" s="8"/>
      <c r="T105"/>
    </row>
    <row r="106" spans="2:20" ht="23.1" customHeight="1">
      <c r="B106" s="26" t="s">
        <v>18</v>
      </c>
      <c r="C106" s="16">
        <f>SUM(C10:C105)</f>
        <v>5580</v>
      </c>
      <c r="D106" s="16">
        <f t="shared" ref="D106:P106" si="37">SUM(D10:D105)</f>
        <v>736</v>
      </c>
      <c r="E106" s="16">
        <f t="shared" si="37"/>
        <v>441</v>
      </c>
      <c r="F106" s="16">
        <f t="shared" si="37"/>
        <v>984</v>
      </c>
      <c r="G106" s="16">
        <f t="shared" si="37"/>
        <v>38</v>
      </c>
      <c r="H106" s="16">
        <f t="shared" si="37"/>
        <v>4</v>
      </c>
      <c r="I106" s="16">
        <f t="shared" si="37"/>
        <v>263</v>
      </c>
      <c r="J106" s="16">
        <f t="shared" si="37"/>
        <v>33</v>
      </c>
      <c r="K106" s="16">
        <f t="shared" si="37"/>
        <v>22</v>
      </c>
      <c r="L106" s="16">
        <f t="shared" si="37"/>
        <v>3</v>
      </c>
      <c r="M106" s="16">
        <f t="shared" si="37"/>
        <v>6444</v>
      </c>
      <c r="N106" s="16">
        <f t="shared" si="37"/>
        <v>2</v>
      </c>
      <c r="O106" s="16">
        <f t="shared" si="37"/>
        <v>8106</v>
      </c>
      <c r="P106" s="16">
        <f t="shared" si="37"/>
        <v>14550</v>
      </c>
      <c r="R106" s="8"/>
      <c r="T106"/>
    </row>
    <row r="107" spans="2:20" ht="23.1" customHeight="1">
      <c r="B107" s="26" t="s">
        <v>93</v>
      </c>
      <c r="C107" s="43">
        <f t="shared" ref="C107:N107" si="38">C106/$P$106</f>
        <v>0.38350515463917528</v>
      </c>
      <c r="D107" s="43">
        <f t="shared" si="38"/>
        <v>5.0584192439862542E-2</v>
      </c>
      <c r="E107" s="43">
        <f t="shared" si="38"/>
        <v>3.0309278350515462E-2</v>
      </c>
      <c r="F107" s="43">
        <f t="shared" si="38"/>
        <v>6.7628865979381447E-2</v>
      </c>
      <c r="G107" s="43">
        <f t="shared" si="38"/>
        <v>2.6116838487972509E-3</v>
      </c>
      <c r="H107" s="43">
        <f t="shared" si="38"/>
        <v>2.7491408934707902E-4</v>
      </c>
      <c r="I107" s="43">
        <f t="shared" si="38"/>
        <v>1.8075601374570448E-2</v>
      </c>
      <c r="J107" s="43">
        <f t="shared" si="38"/>
        <v>2.268041237113402E-3</v>
      </c>
      <c r="K107" s="43">
        <f t="shared" si="38"/>
        <v>1.5120274914089348E-3</v>
      </c>
      <c r="L107" s="43">
        <f t="shared" si="38"/>
        <v>2.0618556701030929E-4</v>
      </c>
      <c r="M107" s="43">
        <f t="shared" si="38"/>
        <v>0.44288659793814433</v>
      </c>
      <c r="N107" s="43">
        <f t="shared" si="38"/>
        <v>1.3745704467353951E-4</v>
      </c>
      <c r="R107" s="8"/>
      <c r="T107"/>
    </row>
    <row r="108" spans="2:20" ht="23.1" customHeight="1">
      <c r="B108" s="42" t="s">
        <v>94</v>
      </c>
      <c r="C108" s="44">
        <f>C106/$O$106</f>
        <v>0.68837897853441898</v>
      </c>
      <c r="D108" s="44">
        <f t="shared" ref="D108:N108" si="39">D106/$O$106</f>
        <v>9.0796940537873183E-2</v>
      </c>
      <c r="E108" s="44">
        <f t="shared" si="39"/>
        <v>5.4404145077720206E-2</v>
      </c>
      <c r="F108" s="44">
        <f t="shared" si="39"/>
        <v>0.12139156180606958</v>
      </c>
      <c r="G108" s="44">
        <f t="shared" si="39"/>
        <v>4.6878855169010612E-3</v>
      </c>
      <c r="H108" s="44">
        <f t="shared" si="39"/>
        <v>4.9346163335800639E-4</v>
      </c>
      <c r="I108" s="44">
        <f t="shared" si="39"/>
        <v>3.2445102393288919E-2</v>
      </c>
      <c r="J108" s="44">
        <f t="shared" si="39"/>
        <v>4.0710584752035525E-3</v>
      </c>
      <c r="K108" s="44">
        <f t="shared" si="39"/>
        <v>2.7140389834690352E-3</v>
      </c>
      <c r="L108" s="44">
        <f t="shared" si="39"/>
        <v>3.7009622501850479E-4</v>
      </c>
      <c r="M108" s="44"/>
      <c r="N108" s="44">
        <f t="shared" si="39"/>
        <v>2.467308166790032E-4</v>
      </c>
      <c r="Q108" s="7"/>
      <c r="R108" s="8"/>
      <c r="T108"/>
    </row>
    <row r="109" spans="2:20" ht="23.1" customHeight="1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honeticPr fontId="14" type="noConversion"/>
  <pageMargins left="0" right="0" top="0" bottom="0" header="0.15748031496063" footer="0.118110236220472"/>
  <pageSetup paperSize="9" scale="40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theme="2" tint="-0.249977111117893"/>
  </sheetPr>
  <dimension ref="B1:AF174"/>
  <sheetViews>
    <sheetView view="pageBreakPreview" zoomScale="60" workbookViewId="0">
      <selection activeCell="M105" sqref="M105"/>
    </sheetView>
  </sheetViews>
  <sheetFormatPr defaultColWidth="15" defaultRowHeight="20.100000000000001" customHeight="1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>
      <c r="B1" s="60" t="s">
        <v>23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</row>
    <row r="2" spans="2:32" ht="20.100000000000001" customHeight="1">
      <c r="B2" s="61" t="s">
        <v>95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</row>
    <row r="3" spans="2:32" ht="20.100000000000001" customHeight="1">
      <c r="B3" s="22" t="s">
        <v>96</v>
      </c>
      <c r="C3" s="65" t="str">
        <f>'29.07 Najjeera-Kiwatule'!C3:G3</f>
        <v>MCC - C1 - STN36 - MBOGO ROAD</v>
      </c>
      <c r="D3" s="65"/>
      <c r="E3" s="65"/>
      <c r="F3" s="65"/>
      <c r="G3" s="65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>
      <c r="C5" s="4" t="s">
        <v>3</v>
      </c>
      <c r="D5" s="36" t="str">
        <f>'01.08 Najjeera-Kiwatule-24h'!D5</f>
        <v>1.08.19</v>
      </c>
      <c r="E5" s="3"/>
      <c r="F5" s="41" t="s">
        <v>1</v>
      </c>
      <c r="G5" s="66" t="str">
        <f>'01.08 Najjeera-Kiwatule-24h'!G5:H5</f>
        <v>U Save Kiwatule</v>
      </c>
      <c r="H5" s="67"/>
      <c r="I5" s="14"/>
      <c r="J5" s="2" t="s">
        <v>5</v>
      </c>
      <c r="K5" s="66" t="s">
        <v>178</v>
      </c>
      <c r="L5" s="67"/>
      <c r="M5" s="10"/>
      <c r="N5" s="10"/>
      <c r="O5" s="3"/>
      <c r="P5" s="3"/>
    </row>
    <row r="6" spans="2:32" ht="23.25" customHeight="1">
      <c r="C6" s="2" t="s">
        <v>4</v>
      </c>
      <c r="D6" s="66" t="str">
        <f>'29.07 Kiwatule-Najjeera'!D6:E6</f>
        <v>Kiwatule</v>
      </c>
      <c r="E6" s="67"/>
      <c r="F6" s="2" t="s">
        <v>2</v>
      </c>
      <c r="G6" s="66" t="str">
        <f>'02.08 Kiwatule-Najjeera'!G6:H6</f>
        <v>Najjeera</v>
      </c>
      <c r="H6" s="67"/>
      <c r="J6" s="2" t="s">
        <v>21</v>
      </c>
      <c r="K6" s="66" t="str">
        <f>'01.08 Najjeera-Kiwatule-24h'!K6:L6</f>
        <v>Steven &amp; Joan</v>
      </c>
      <c r="L6" s="67"/>
      <c r="M6" s="10"/>
      <c r="N6" s="10"/>
      <c r="O6" s="3"/>
      <c r="P6" s="3"/>
    </row>
    <row r="7" spans="2:32" ht="20.100000000000001" customHeight="1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9" t="s">
        <v>88</v>
      </c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</row>
    <row r="9" spans="2:32" ht="51.75" customHeight="1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>
      <c r="B10" s="45" t="s">
        <v>37</v>
      </c>
      <c r="C10" s="50">
        <v>39</v>
      </c>
      <c r="D10" s="50">
        <v>10</v>
      </c>
      <c r="E10" s="50">
        <v>3</v>
      </c>
      <c r="F10" s="50">
        <v>26</v>
      </c>
      <c r="G10" s="50">
        <v>0</v>
      </c>
      <c r="H10" s="50">
        <v>0</v>
      </c>
      <c r="I10" s="50">
        <v>3</v>
      </c>
      <c r="J10" s="50">
        <v>0</v>
      </c>
      <c r="K10" s="50">
        <v>0</v>
      </c>
      <c r="L10" s="50">
        <v>0</v>
      </c>
      <c r="M10" s="50">
        <v>25</v>
      </c>
      <c r="N10" s="50">
        <v>0</v>
      </c>
      <c r="O10" s="15">
        <f t="shared" ref="O10:O73" si="0">SUM(C10:L10,N10)</f>
        <v>81</v>
      </c>
      <c r="P10" s="15">
        <f t="shared" ref="P10:P73" si="1">SUM(C10:N10)</f>
        <v>106</v>
      </c>
      <c r="R10" s="1" t="s">
        <v>6</v>
      </c>
      <c r="S10" s="17">
        <f t="shared" ref="S10:AF10" si="2">SUM(C10:C13)</f>
        <v>155</v>
      </c>
      <c r="T10" s="17">
        <f t="shared" si="2"/>
        <v>30</v>
      </c>
      <c r="U10" s="17">
        <f t="shared" si="2"/>
        <v>19</v>
      </c>
      <c r="V10" s="17">
        <f t="shared" si="2"/>
        <v>89</v>
      </c>
      <c r="W10" s="17">
        <f t="shared" si="2"/>
        <v>3</v>
      </c>
      <c r="X10" s="17">
        <f t="shared" si="2"/>
        <v>0</v>
      </c>
      <c r="Y10" s="17">
        <f t="shared" si="2"/>
        <v>11</v>
      </c>
      <c r="Z10" s="17">
        <f t="shared" si="2"/>
        <v>1</v>
      </c>
      <c r="AA10" s="17">
        <f t="shared" si="2"/>
        <v>1</v>
      </c>
      <c r="AB10" s="17">
        <f t="shared" si="2"/>
        <v>0</v>
      </c>
      <c r="AC10" s="17">
        <f t="shared" si="2"/>
        <v>136</v>
      </c>
      <c r="AD10" s="17">
        <f t="shared" si="2"/>
        <v>0</v>
      </c>
      <c r="AE10" s="31">
        <f t="shared" si="2"/>
        <v>309</v>
      </c>
      <c r="AF10" s="31">
        <f t="shared" si="2"/>
        <v>445</v>
      </c>
    </row>
    <row r="11" spans="2:32" s="6" customFormat="1" ht="23.1" customHeight="1">
      <c r="B11" s="45" t="s">
        <v>38</v>
      </c>
      <c r="C11" s="50">
        <v>46</v>
      </c>
      <c r="D11" s="50">
        <v>8</v>
      </c>
      <c r="E11" s="50">
        <v>6</v>
      </c>
      <c r="F11" s="50">
        <v>19</v>
      </c>
      <c r="G11" s="50">
        <v>2</v>
      </c>
      <c r="H11" s="50">
        <v>0</v>
      </c>
      <c r="I11" s="50">
        <v>3</v>
      </c>
      <c r="J11" s="50">
        <v>1</v>
      </c>
      <c r="K11" s="50">
        <v>0</v>
      </c>
      <c r="L11" s="50">
        <v>0</v>
      </c>
      <c r="M11" s="50">
        <v>50</v>
      </c>
      <c r="N11" s="50">
        <v>0</v>
      </c>
      <c r="O11" s="15">
        <f t="shared" si="0"/>
        <v>85</v>
      </c>
      <c r="P11" s="15">
        <f t="shared" si="1"/>
        <v>135</v>
      </c>
      <c r="R11" s="1" t="s">
        <v>7</v>
      </c>
      <c r="S11" s="17">
        <f t="shared" ref="S11:AF11" si="3">SUM(C14:C17)</f>
        <v>134</v>
      </c>
      <c r="T11" s="17">
        <f t="shared" si="3"/>
        <v>22</v>
      </c>
      <c r="U11" s="17">
        <f t="shared" si="3"/>
        <v>13</v>
      </c>
      <c r="V11" s="17">
        <f t="shared" si="3"/>
        <v>77</v>
      </c>
      <c r="W11" s="17">
        <f t="shared" si="3"/>
        <v>0</v>
      </c>
      <c r="X11" s="17">
        <f t="shared" si="3"/>
        <v>0</v>
      </c>
      <c r="Y11" s="17">
        <f t="shared" si="3"/>
        <v>7</v>
      </c>
      <c r="Z11" s="17">
        <f t="shared" si="3"/>
        <v>2</v>
      </c>
      <c r="AA11" s="17">
        <f t="shared" si="3"/>
        <v>1</v>
      </c>
      <c r="AB11" s="17">
        <f t="shared" si="3"/>
        <v>0</v>
      </c>
      <c r="AC11" s="17">
        <f t="shared" si="3"/>
        <v>160</v>
      </c>
      <c r="AD11" s="17">
        <f t="shared" si="3"/>
        <v>0</v>
      </c>
      <c r="AE11" s="31">
        <f t="shared" si="3"/>
        <v>256</v>
      </c>
      <c r="AF11" s="31">
        <f t="shared" si="3"/>
        <v>416</v>
      </c>
    </row>
    <row r="12" spans="2:32" ht="23.1" customHeight="1">
      <c r="B12" s="45" t="s">
        <v>39</v>
      </c>
      <c r="C12" s="50">
        <v>31</v>
      </c>
      <c r="D12" s="50">
        <v>7</v>
      </c>
      <c r="E12" s="50">
        <v>3</v>
      </c>
      <c r="F12" s="50">
        <v>23</v>
      </c>
      <c r="G12" s="50">
        <v>0</v>
      </c>
      <c r="H12" s="50">
        <v>0</v>
      </c>
      <c r="I12" s="50">
        <v>2</v>
      </c>
      <c r="J12" s="50">
        <v>0</v>
      </c>
      <c r="K12" s="50">
        <v>0</v>
      </c>
      <c r="L12" s="50">
        <v>0</v>
      </c>
      <c r="M12" s="50">
        <v>26</v>
      </c>
      <c r="N12" s="50">
        <v>0</v>
      </c>
      <c r="O12" s="15">
        <f t="shared" si="0"/>
        <v>66</v>
      </c>
      <c r="P12" s="15">
        <f t="shared" si="1"/>
        <v>92</v>
      </c>
      <c r="R12" s="1" t="s">
        <v>8</v>
      </c>
      <c r="S12" s="17">
        <f t="shared" ref="S12:AF12" si="4">SUM(C18:C21)</f>
        <v>121</v>
      </c>
      <c r="T12" s="17">
        <f t="shared" si="4"/>
        <v>17</v>
      </c>
      <c r="U12" s="17">
        <f t="shared" si="4"/>
        <v>9</v>
      </c>
      <c r="V12" s="17">
        <f t="shared" si="4"/>
        <v>87</v>
      </c>
      <c r="W12" s="17">
        <f t="shared" si="4"/>
        <v>3</v>
      </c>
      <c r="X12" s="17">
        <f t="shared" si="4"/>
        <v>0</v>
      </c>
      <c r="Y12" s="17">
        <f t="shared" si="4"/>
        <v>14</v>
      </c>
      <c r="Z12" s="17">
        <f t="shared" si="4"/>
        <v>2</v>
      </c>
      <c r="AA12" s="17">
        <f t="shared" si="4"/>
        <v>0</v>
      </c>
      <c r="AB12" s="17">
        <f t="shared" si="4"/>
        <v>0</v>
      </c>
      <c r="AC12" s="17">
        <f t="shared" si="4"/>
        <v>238</v>
      </c>
      <c r="AD12" s="17">
        <f t="shared" si="4"/>
        <v>0</v>
      </c>
      <c r="AE12" s="31">
        <f t="shared" si="4"/>
        <v>253</v>
      </c>
      <c r="AF12" s="31">
        <f t="shared" si="4"/>
        <v>491</v>
      </c>
    </row>
    <row r="13" spans="2:32" ht="23.1" customHeight="1">
      <c r="B13" s="45" t="s">
        <v>40</v>
      </c>
      <c r="C13" s="50">
        <v>39</v>
      </c>
      <c r="D13" s="50">
        <v>5</v>
      </c>
      <c r="E13" s="50">
        <v>7</v>
      </c>
      <c r="F13" s="50">
        <v>21</v>
      </c>
      <c r="G13" s="50">
        <v>1</v>
      </c>
      <c r="H13" s="50">
        <v>0</v>
      </c>
      <c r="I13" s="50">
        <v>3</v>
      </c>
      <c r="J13" s="50">
        <v>0</v>
      </c>
      <c r="K13" s="50">
        <v>1</v>
      </c>
      <c r="L13" s="50">
        <v>0</v>
      </c>
      <c r="M13" s="50">
        <v>35</v>
      </c>
      <c r="N13" s="50">
        <v>0</v>
      </c>
      <c r="O13" s="15">
        <f t="shared" si="0"/>
        <v>77</v>
      </c>
      <c r="P13" s="15">
        <f t="shared" si="1"/>
        <v>112</v>
      </c>
      <c r="R13" s="1" t="s">
        <v>9</v>
      </c>
      <c r="S13" s="17">
        <f t="shared" ref="S13:AF13" si="5">SUM(C22:C25)</f>
        <v>116</v>
      </c>
      <c r="T13" s="17">
        <f t="shared" si="5"/>
        <v>15</v>
      </c>
      <c r="U13" s="17">
        <f t="shared" si="5"/>
        <v>6</v>
      </c>
      <c r="V13" s="17">
        <f t="shared" si="5"/>
        <v>73</v>
      </c>
      <c r="W13" s="17">
        <f t="shared" si="5"/>
        <v>1</v>
      </c>
      <c r="X13" s="17">
        <f t="shared" si="5"/>
        <v>0</v>
      </c>
      <c r="Y13" s="17">
        <f t="shared" si="5"/>
        <v>20</v>
      </c>
      <c r="Z13" s="17">
        <f t="shared" si="5"/>
        <v>5</v>
      </c>
      <c r="AA13" s="17">
        <f t="shared" si="5"/>
        <v>1</v>
      </c>
      <c r="AB13" s="17">
        <f t="shared" si="5"/>
        <v>0</v>
      </c>
      <c r="AC13" s="17">
        <f t="shared" si="5"/>
        <v>179</v>
      </c>
      <c r="AD13" s="17">
        <f t="shared" si="5"/>
        <v>0</v>
      </c>
      <c r="AE13" s="31">
        <f t="shared" si="5"/>
        <v>237</v>
      </c>
      <c r="AF13" s="31">
        <f t="shared" si="5"/>
        <v>416</v>
      </c>
    </row>
    <row r="14" spans="2:32" ht="23.1" customHeight="1">
      <c r="B14" s="45" t="s">
        <v>41</v>
      </c>
      <c r="C14" s="50">
        <v>31</v>
      </c>
      <c r="D14" s="50">
        <v>6</v>
      </c>
      <c r="E14" s="50">
        <v>1</v>
      </c>
      <c r="F14" s="50">
        <v>16</v>
      </c>
      <c r="G14" s="50">
        <v>0</v>
      </c>
      <c r="H14" s="50">
        <v>0</v>
      </c>
      <c r="I14" s="50">
        <v>1</v>
      </c>
      <c r="J14" s="50">
        <v>1</v>
      </c>
      <c r="K14" s="50">
        <v>0</v>
      </c>
      <c r="L14" s="50">
        <v>0</v>
      </c>
      <c r="M14" s="50">
        <v>35</v>
      </c>
      <c r="N14" s="50">
        <v>0</v>
      </c>
      <c r="O14" s="15">
        <f t="shared" si="0"/>
        <v>56</v>
      </c>
      <c r="P14" s="15">
        <f t="shared" si="1"/>
        <v>91</v>
      </c>
      <c r="R14" s="1" t="s">
        <v>10</v>
      </c>
      <c r="S14" s="17">
        <f t="shared" ref="S14:AF14" si="6">SUM(C26:C29)</f>
        <v>164</v>
      </c>
      <c r="T14" s="17">
        <f t="shared" si="6"/>
        <v>31</v>
      </c>
      <c r="U14" s="17">
        <f t="shared" si="6"/>
        <v>17</v>
      </c>
      <c r="V14" s="17">
        <f t="shared" si="6"/>
        <v>102</v>
      </c>
      <c r="W14" s="17">
        <f t="shared" si="6"/>
        <v>1</v>
      </c>
      <c r="X14" s="17">
        <f t="shared" si="6"/>
        <v>0</v>
      </c>
      <c r="Y14" s="17">
        <f t="shared" si="6"/>
        <v>32</v>
      </c>
      <c r="Z14" s="17">
        <f t="shared" si="6"/>
        <v>6</v>
      </c>
      <c r="AA14" s="17">
        <f t="shared" si="6"/>
        <v>2</v>
      </c>
      <c r="AB14" s="17">
        <f t="shared" si="6"/>
        <v>3</v>
      </c>
      <c r="AC14" s="17">
        <f t="shared" si="6"/>
        <v>206</v>
      </c>
      <c r="AD14" s="17">
        <f t="shared" si="6"/>
        <v>0</v>
      </c>
      <c r="AE14" s="31">
        <f t="shared" si="6"/>
        <v>358</v>
      </c>
      <c r="AF14" s="31">
        <f t="shared" si="6"/>
        <v>564</v>
      </c>
    </row>
    <row r="15" spans="2:32" ht="23.1" customHeight="1">
      <c r="B15" s="45" t="s">
        <v>42</v>
      </c>
      <c r="C15" s="50">
        <v>33</v>
      </c>
      <c r="D15" s="50">
        <v>6</v>
      </c>
      <c r="E15" s="50">
        <v>5</v>
      </c>
      <c r="F15" s="50">
        <v>20</v>
      </c>
      <c r="G15" s="50">
        <v>0</v>
      </c>
      <c r="H15" s="50">
        <v>0</v>
      </c>
      <c r="I15" s="50">
        <v>1</v>
      </c>
      <c r="J15" s="50">
        <v>0</v>
      </c>
      <c r="K15" s="50">
        <v>0</v>
      </c>
      <c r="L15" s="50">
        <v>0</v>
      </c>
      <c r="M15" s="50">
        <v>45</v>
      </c>
      <c r="N15" s="50">
        <v>0</v>
      </c>
      <c r="O15" s="15">
        <f t="shared" si="0"/>
        <v>65</v>
      </c>
      <c r="P15" s="15">
        <f t="shared" si="1"/>
        <v>110</v>
      </c>
      <c r="R15" s="1" t="s">
        <v>11</v>
      </c>
      <c r="S15" s="17">
        <f t="shared" ref="S15:AF15" si="7">SUM(C30:C33)</f>
        <v>168</v>
      </c>
      <c r="T15" s="17">
        <f t="shared" si="7"/>
        <v>23</v>
      </c>
      <c r="U15" s="17">
        <f t="shared" si="7"/>
        <v>10</v>
      </c>
      <c r="V15" s="17">
        <f t="shared" si="7"/>
        <v>61</v>
      </c>
      <c r="W15" s="17">
        <f t="shared" si="7"/>
        <v>6</v>
      </c>
      <c r="X15" s="17">
        <f t="shared" si="7"/>
        <v>0</v>
      </c>
      <c r="Y15" s="17">
        <f t="shared" si="7"/>
        <v>22</v>
      </c>
      <c r="Z15" s="17">
        <f t="shared" si="7"/>
        <v>1</v>
      </c>
      <c r="AA15" s="17">
        <f t="shared" si="7"/>
        <v>3</v>
      </c>
      <c r="AB15" s="17">
        <f t="shared" si="7"/>
        <v>0</v>
      </c>
      <c r="AC15" s="17">
        <f t="shared" si="7"/>
        <v>141</v>
      </c>
      <c r="AD15" s="17">
        <f t="shared" si="7"/>
        <v>0</v>
      </c>
      <c r="AE15" s="31">
        <f t="shared" si="7"/>
        <v>294</v>
      </c>
      <c r="AF15" s="31">
        <f t="shared" si="7"/>
        <v>435</v>
      </c>
    </row>
    <row r="16" spans="2:32" ht="23.1" customHeight="1">
      <c r="B16" s="45" t="s">
        <v>43</v>
      </c>
      <c r="C16" s="50">
        <v>40</v>
      </c>
      <c r="D16" s="50">
        <v>5</v>
      </c>
      <c r="E16" s="50">
        <v>5</v>
      </c>
      <c r="F16" s="50">
        <v>26</v>
      </c>
      <c r="G16" s="50">
        <v>0</v>
      </c>
      <c r="H16" s="50">
        <v>0</v>
      </c>
      <c r="I16" s="50">
        <v>3</v>
      </c>
      <c r="J16" s="50">
        <v>1</v>
      </c>
      <c r="K16" s="50">
        <v>0</v>
      </c>
      <c r="L16" s="50">
        <v>0</v>
      </c>
      <c r="M16" s="50">
        <v>40</v>
      </c>
      <c r="N16" s="50">
        <v>0</v>
      </c>
      <c r="O16" s="15">
        <f t="shared" si="0"/>
        <v>80</v>
      </c>
      <c r="P16" s="15">
        <f t="shared" si="1"/>
        <v>120</v>
      </c>
      <c r="R16" s="1" t="s">
        <v>12</v>
      </c>
      <c r="S16" s="17">
        <f t="shared" ref="S16:AF16" si="8">SUM(C34:C37)</f>
        <v>143</v>
      </c>
      <c r="T16" s="17">
        <f t="shared" si="8"/>
        <v>17</v>
      </c>
      <c r="U16" s="17">
        <f t="shared" si="8"/>
        <v>10</v>
      </c>
      <c r="V16" s="17">
        <f t="shared" si="8"/>
        <v>63</v>
      </c>
      <c r="W16" s="17">
        <f t="shared" si="8"/>
        <v>1</v>
      </c>
      <c r="X16" s="17">
        <f t="shared" si="8"/>
        <v>0</v>
      </c>
      <c r="Y16" s="17">
        <f t="shared" si="8"/>
        <v>36</v>
      </c>
      <c r="Z16" s="17">
        <f t="shared" si="8"/>
        <v>1</v>
      </c>
      <c r="AA16" s="17">
        <f t="shared" si="8"/>
        <v>0</v>
      </c>
      <c r="AB16" s="17">
        <f t="shared" si="8"/>
        <v>0</v>
      </c>
      <c r="AC16" s="17">
        <f t="shared" si="8"/>
        <v>148</v>
      </c>
      <c r="AD16" s="17">
        <f t="shared" si="8"/>
        <v>0</v>
      </c>
      <c r="AE16" s="31">
        <f t="shared" si="8"/>
        <v>271</v>
      </c>
      <c r="AF16" s="31">
        <f t="shared" si="8"/>
        <v>419</v>
      </c>
    </row>
    <row r="17" spans="2:32" ht="23.1" customHeight="1">
      <c r="B17" s="45" t="s">
        <v>44</v>
      </c>
      <c r="C17" s="50">
        <v>30</v>
      </c>
      <c r="D17" s="50">
        <v>5</v>
      </c>
      <c r="E17" s="50">
        <v>2</v>
      </c>
      <c r="F17" s="50">
        <v>15</v>
      </c>
      <c r="G17" s="50">
        <v>0</v>
      </c>
      <c r="H17" s="50">
        <v>0</v>
      </c>
      <c r="I17" s="50">
        <v>2</v>
      </c>
      <c r="J17" s="50">
        <v>0</v>
      </c>
      <c r="K17" s="50">
        <v>1</v>
      </c>
      <c r="L17" s="50">
        <v>0</v>
      </c>
      <c r="M17" s="50">
        <v>40</v>
      </c>
      <c r="N17" s="50">
        <v>0</v>
      </c>
      <c r="O17" s="15">
        <f t="shared" si="0"/>
        <v>55</v>
      </c>
      <c r="P17" s="15">
        <f t="shared" si="1"/>
        <v>95</v>
      </c>
      <c r="R17" s="1" t="s">
        <v>13</v>
      </c>
      <c r="S17" s="17">
        <f t="shared" ref="S17:AF17" si="9">SUM(C38:C41)</f>
        <v>154</v>
      </c>
      <c r="T17" s="17">
        <f t="shared" si="9"/>
        <v>22</v>
      </c>
      <c r="U17" s="17">
        <f t="shared" si="9"/>
        <v>13</v>
      </c>
      <c r="V17" s="17">
        <f t="shared" si="9"/>
        <v>71</v>
      </c>
      <c r="W17" s="17">
        <f t="shared" si="9"/>
        <v>1</v>
      </c>
      <c r="X17" s="17">
        <f t="shared" si="9"/>
        <v>0</v>
      </c>
      <c r="Y17" s="17">
        <f t="shared" si="9"/>
        <v>22</v>
      </c>
      <c r="Z17" s="17">
        <f t="shared" si="9"/>
        <v>2</v>
      </c>
      <c r="AA17" s="17">
        <f t="shared" si="9"/>
        <v>0</v>
      </c>
      <c r="AB17" s="17">
        <f t="shared" si="9"/>
        <v>0</v>
      </c>
      <c r="AC17" s="17">
        <f t="shared" si="9"/>
        <v>88</v>
      </c>
      <c r="AD17" s="17">
        <f t="shared" si="9"/>
        <v>0</v>
      </c>
      <c r="AE17" s="31">
        <f t="shared" si="9"/>
        <v>285</v>
      </c>
      <c r="AF17" s="31">
        <f t="shared" si="9"/>
        <v>373</v>
      </c>
    </row>
    <row r="18" spans="2:32" ht="23.1" customHeight="1">
      <c r="B18" s="45" t="s">
        <v>45</v>
      </c>
      <c r="C18" s="50">
        <v>26</v>
      </c>
      <c r="D18" s="50">
        <v>3</v>
      </c>
      <c r="E18" s="50">
        <v>4</v>
      </c>
      <c r="F18" s="50">
        <v>10</v>
      </c>
      <c r="G18" s="50">
        <v>1</v>
      </c>
      <c r="H18" s="50">
        <v>0</v>
      </c>
      <c r="I18" s="50">
        <v>4</v>
      </c>
      <c r="J18" s="50">
        <v>1</v>
      </c>
      <c r="K18" s="50">
        <v>0</v>
      </c>
      <c r="L18" s="50">
        <v>0</v>
      </c>
      <c r="M18" s="50">
        <v>65</v>
      </c>
      <c r="N18" s="50">
        <v>0</v>
      </c>
      <c r="O18" s="15">
        <f t="shared" si="0"/>
        <v>49</v>
      </c>
      <c r="P18" s="15">
        <f t="shared" si="1"/>
        <v>114</v>
      </c>
      <c r="R18" s="1" t="s">
        <v>14</v>
      </c>
      <c r="S18" s="17">
        <f t="shared" ref="S18:AF18" si="10">SUM(C42:C45)</f>
        <v>255</v>
      </c>
      <c r="T18" s="17">
        <f t="shared" si="10"/>
        <v>35</v>
      </c>
      <c r="U18" s="17">
        <f t="shared" si="10"/>
        <v>20</v>
      </c>
      <c r="V18" s="17">
        <f t="shared" si="10"/>
        <v>44</v>
      </c>
      <c r="W18" s="17">
        <f t="shared" si="10"/>
        <v>2</v>
      </c>
      <c r="X18" s="17">
        <f t="shared" si="10"/>
        <v>0</v>
      </c>
      <c r="Y18" s="17">
        <f t="shared" si="10"/>
        <v>24</v>
      </c>
      <c r="Z18" s="17">
        <f t="shared" si="10"/>
        <v>0</v>
      </c>
      <c r="AA18" s="17">
        <f t="shared" si="10"/>
        <v>1</v>
      </c>
      <c r="AB18" s="17">
        <f t="shared" si="10"/>
        <v>0</v>
      </c>
      <c r="AC18" s="17">
        <f t="shared" si="10"/>
        <v>170</v>
      </c>
      <c r="AD18" s="17">
        <f t="shared" si="10"/>
        <v>0</v>
      </c>
      <c r="AE18" s="31">
        <f t="shared" si="10"/>
        <v>381</v>
      </c>
      <c r="AF18" s="31">
        <f t="shared" si="10"/>
        <v>551</v>
      </c>
    </row>
    <row r="19" spans="2:32" ht="23.1" customHeight="1">
      <c r="B19" s="45" t="s">
        <v>46</v>
      </c>
      <c r="C19" s="50">
        <v>35</v>
      </c>
      <c r="D19" s="50">
        <v>3</v>
      </c>
      <c r="E19" s="50">
        <v>3</v>
      </c>
      <c r="F19" s="50">
        <v>33</v>
      </c>
      <c r="G19" s="50">
        <v>0</v>
      </c>
      <c r="H19" s="50">
        <v>0</v>
      </c>
      <c r="I19" s="50">
        <v>4</v>
      </c>
      <c r="J19" s="50">
        <v>0</v>
      </c>
      <c r="K19" s="50">
        <v>0</v>
      </c>
      <c r="L19" s="50">
        <v>0</v>
      </c>
      <c r="M19" s="50">
        <v>73</v>
      </c>
      <c r="N19" s="50">
        <v>0</v>
      </c>
      <c r="O19" s="15">
        <f t="shared" si="0"/>
        <v>78</v>
      </c>
      <c r="P19" s="15">
        <f t="shared" si="1"/>
        <v>151</v>
      </c>
      <c r="R19" s="1" t="s">
        <v>15</v>
      </c>
      <c r="S19" s="17">
        <f t="shared" ref="S19:AF19" si="11">SUM(C46:C49)</f>
        <v>465</v>
      </c>
      <c r="T19" s="17">
        <f t="shared" si="11"/>
        <v>68</v>
      </c>
      <c r="U19" s="17">
        <f t="shared" si="11"/>
        <v>19</v>
      </c>
      <c r="V19" s="17">
        <f t="shared" si="11"/>
        <v>34</v>
      </c>
      <c r="W19" s="17">
        <f t="shared" si="11"/>
        <v>1</v>
      </c>
      <c r="X19" s="17">
        <f t="shared" si="11"/>
        <v>0</v>
      </c>
      <c r="Y19" s="17">
        <f t="shared" si="11"/>
        <v>16</v>
      </c>
      <c r="Z19" s="17">
        <f t="shared" si="11"/>
        <v>1</v>
      </c>
      <c r="AA19" s="17">
        <f t="shared" si="11"/>
        <v>6</v>
      </c>
      <c r="AB19" s="17">
        <f t="shared" si="11"/>
        <v>0</v>
      </c>
      <c r="AC19" s="17">
        <f t="shared" si="11"/>
        <v>135</v>
      </c>
      <c r="AD19" s="17">
        <f t="shared" si="11"/>
        <v>0</v>
      </c>
      <c r="AE19" s="31">
        <f t="shared" si="11"/>
        <v>610</v>
      </c>
      <c r="AF19" s="31">
        <f t="shared" si="11"/>
        <v>745</v>
      </c>
    </row>
    <row r="20" spans="2:32" ht="23.1" customHeight="1">
      <c r="B20" s="45" t="s">
        <v>47</v>
      </c>
      <c r="C20" s="50">
        <v>20</v>
      </c>
      <c r="D20" s="50">
        <v>3</v>
      </c>
      <c r="E20" s="50">
        <v>0</v>
      </c>
      <c r="F20" s="50">
        <v>23</v>
      </c>
      <c r="G20" s="50">
        <v>0</v>
      </c>
      <c r="H20" s="50">
        <v>0</v>
      </c>
      <c r="I20" s="50">
        <v>5</v>
      </c>
      <c r="J20" s="50">
        <v>1</v>
      </c>
      <c r="K20" s="50">
        <v>0</v>
      </c>
      <c r="L20" s="50">
        <v>0</v>
      </c>
      <c r="M20" s="50">
        <v>50</v>
      </c>
      <c r="N20" s="50">
        <v>0</v>
      </c>
      <c r="O20" s="15">
        <f t="shared" si="0"/>
        <v>52</v>
      </c>
      <c r="P20" s="15">
        <f t="shared" si="1"/>
        <v>102</v>
      </c>
      <c r="R20" s="1" t="s">
        <v>16</v>
      </c>
      <c r="S20" s="17">
        <f t="shared" ref="S20:AF20" si="12">SUM(C50:C53)</f>
        <v>460</v>
      </c>
      <c r="T20" s="17">
        <f t="shared" si="12"/>
        <v>65</v>
      </c>
      <c r="U20" s="17">
        <f t="shared" si="12"/>
        <v>22</v>
      </c>
      <c r="V20" s="17">
        <f t="shared" si="12"/>
        <v>42</v>
      </c>
      <c r="W20" s="17">
        <f t="shared" si="12"/>
        <v>4</v>
      </c>
      <c r="X20" s="17">
        <f t="shared" si="12"/>
        <v>0</v>
      </c>
      <c r="Y20" s="17">
        <f t="shared" si="12"/>
        <v>14</v>
      </c>
      <c r="Z20" s="17">
        <f t="shared" si="12"/>
        <v>1</v>
      </c>
      <c r="AA20" s="17">
        <f t="shared" si="12"/>
        <v>0</v>
      </c>
      <c r="AB20" s="17">
        <f t="shared" si="12"/>
        <v>1</v>
      </c>
      <c r="AC20" s="17">
        <f t="shared" si="12"/>
        <v>184</v>
      </c>
      <c r="AD20" s="17">
        <f t="shared" si="12"/>
        <v>0</v>
      </c>
      <c r="AE20" s="31">
        <f t="shared" si="12"/>
        <v>609</v>
      </c>
      <c r="AF20" s="31">
        <f t="shared" si="12"/>
        <v>793</v>
      </c>
    </row>
    <row r="21" spans="2:32" ht="23.1" customHeight="1">
      <c r="B21" s="45" t="s">
        <v>48</v>
      </c>
      <c r="C21" s="50">
        <v>40</v>
      </c>
      <c r="D21" s="50">
        <v>8</v>
      </c>
      <c r="E21" s="50">
        <v>2</v>
      </c>
      <c r="F21" s="50">
        <v>21</v>
      </c>
      <c r="G21" s="50">
        <v>2</v>
      </c>
      <c r="H21" s="50">
        <v>0</v>
      </c>
      <c r="I21" s="50">
        <v>1</v>
      </c>
      <c r="J21" s="50">
        <v>0</v>
      </c>
      <c r="K21" s="50">
        <v>0</v>
      </c>
      <c r="L21" s="50">
        <v>0</v>
      </c>
      <c r="M21" s="50">
        <v>50</v>
      </c>
      <c r="N21" s="50">
        <v>0</v>
      </c>
      <c r="O21" s="15">
        <f t="shared" si="0"/>
        <v>74</v>
      </c>
      <c r="P21" s="15">
        <f t="shared" si="1"/>
        <v>124</v>
      </c>
      <c r="R21" s="36" t="s">
        <v>20</v>
      </c>
      <c r="S21" s="34">
        <f t="shared" ref="S21:AF21" si="13">SUM(C54:C57)</f>
        <v>445</v>
      </c>
      <c r="T21" s="17">
        <f t="shared" si="13"/>
        <v>79</v>
      </c>
      <c r="U21" s="17">
        <f t="shared" si="13"/>
        <v>26</v>
      </c>
      <c r="V21" s="17">
        <f t="shared" si="13"/>
        <v>58</v>
      </c>
      <c r="W21" s="17">
        <f t="shared" si="13"/>
        <v>6</v>
      </c>
      <c r="X21" s="17">
        <f t="shared" si="13"/>
        <v>2</v>
      </c>
      <c r="Y21" s="17">
        <f t="shared" si="13"/>
        <v>23</v>
      </c>
      <c r="Z21" s="17">
        <f t="shared" si="13"/>
        <v>2</v>
      </c>
      <c r="AA21" s="17">
        <f t="shared" si="13"/>
        <v>2</v>
      </c>
      <c r="AB21" s="17">
        <f t="shared" si="13"/>
        <v>1</v>
      </c>
      <c r="AC21" s="17">
        <f t="shared" si="13"/>
        <v>225</v>
      </c>
      <c r="AD21" s="17">
        <f t="shared" si="13"/>
        <v>0</v>
      </c>
      <c r="AE21" s="31">
        <f t="shared" si="13"/>
        <v>644</v>
      </c>
      <c r="AF21" s="31">
        <f t="shared" si="13"/>
        <v>869</v>
      </c>
    </row>
    <row r="22" spans="2:32" ht="23.1" customHeight="1">
      <c r="B22" s="45" t="s">
        <v>49</v>
      </c>
      <c r="C22" s="50">
        <v>35</v>
      </c>
      <c r="D22" s="50">
        <v>4</v>
      </c>
      <c r="E22" s="50">
        <v>2</v>
      </c>
      <c r="F22" s="50">
        <v>19</v>
      </c>
      <c r="G22" s="50">
        <v>0</v>
      </c>
      <c r="H22" s="50">
        <v>0</v>
      </c>
      <c r="I22" s="50">
        <v>3</v>
      </c>
      <c r="J22" s="50">
        <v>1</v>
      </c>
      <c r="K22" s="50">
        <v>1</v>
      </c>
      <c r="L22" s="50">
        <v>0</v>
      </c>
      <c r="M22" s="50">
        <v>40</v>
      </c>
      <c r="N22" s="50">
        <v>0</v>
      </c>
      <c r="O22" s="15">
        <f t="shared" si="0"/>
        <v>65</v>
      </c>
      <c r="P22" s="15">
        <f t="shared" si="1"/>
        <v>105</v>
      </c>
      <c r="R22" s="36" t="s">
        <v>146</v>
      </c>
      <c r="S22" s="34">
        <f>SUM(C58:C61)</f>
        <v>430</v>
      </c>
      <c r="T22" s="34">
        <f t="shared" ref="T22:AF22" si="14">SUM(D58:D61)</f>
        <v>76</v>
      </c>
      <c r="U22" s="34">
        <f t="shared" si="14"/>
        <v>11</v>
      </c>
      <c r="V22" s="34">
        <f t="shared" si="14"/>
        <v>60</v>
      </c>
      <c r="W22" s="34">
        <f t="shared" si="14"/>
        <v>1</v>
      </c>
      <c r="X22" s="34">
        <f t="shared" si="14"/>
        <v>0</v>
      </c>
      <c r="Y22" s="34">
        <f t="shared" si="14"/>
        <v>10</v>
      </c>
      <c r="Z22" s="34">
        <f t="shared" si="14"/>
        <v>1</v>
      </c>
      <c r="AA22" s="34">
        <f t="shared" si="14"/>
        <v>0</v>
      </c>
      <c r="AB22" s="34">
        <f t="shared" si="14"/>
        <v>0</v>
      </c>
      <c r="AC22" s="34">
        <f t="shared" si="14"/>
        <v>150</v>
      </c>
      <c r="AD22" s="34">
        <f t="shared" si="14"/>
        <v>0</v>
      </c>
      <c r="AE22" s="31">
        <f t="shared" si="14"/>
        <v>589</v>
      </c>
      <c r="AF22" s="31">
        <f t="shared" si="14"/>
        <v>739</v>
      </c>
    </row>
    <row r="23" spans="2:32" ht="23.1" customHeight="1">
      <c r="B23" s="45" t="s">
        <v>50</v>
      </c>
      <c r="C23" s="50">
        <v>20</v>
      </c>
      <c r="D23" s="50">
        <v>3</v>
      </c>
      <c r="E23" s="50">
        <v>1</v>
      </c>
      <c r="F23" s="50">
        <v>12</v>
      </c>
      <c r="G23" s="50">
        <v>0</v>
      </c>
      <c r="H23" s="50">
        <v>0</v>
      </c>
      <c r="I23" s="50">
        <v>5</v>
      </c>
      <c r="J23" s="50">
        <v>0</v>
      </c>
      <c r="K23" s="50">
        <v>0</v>
      </c>
      <c r="L23" s="50">
        <v>0</v>
      </c>
      <c r="M23" s="50">
        <v>30</v>
      </c>
      <c r="N23" s="50">
        <v>0</v>
      </c>
      <c r="O23" s="15">
        <f t="shared" si="0"/>
        <v>41</v>
      </c>
      <c r="P23" s="15">
        <f t="shared" si="1"/>
        <v>71</v>
      </c>
      <c r="R23" s="36" t="s">
        <v>147</v>
      </c>
      <c r="S23" s="34">
        <f>SUM(C62:C65)</f>
        <v>504</v>
      </c>
      <c r="T23" s="34">
        <f t="shared" ref="T23:AF23" si="15">SUM(D62:D65)</f>
        <v>57</v>
      </c>
      <c r="U23" s="34">
        <f t="shared" si="15"/>
        <v>18</v>
      </c>
      <c r="V23" s="34">
        <f t="shared" si="15"/>
        <v>59</v>
      </c>
      <c r="W23" s="34">
        <f t="shared" si="15"/>
        <v>0</v>
      </c>
      <c r="X23" s="34">
        <f t="shared" si="15"/>
        <v>0</v>
      </c>
      <c r="Y23" s="34">
        <f t="shared" si="15"/>
        <v>9</v>
      </c>
      <c r="Z23" s="34">
        <f t="shared" si="15"/>
        <v>0</v>
      </c>
      <c r="AA23" s="34">
        <f t="shared" si="15"/>
        <v>0</v>
      </c>
      <c r="AB23" s="34">
        <f t="shared" si="15"/>
        <v>0</v>
      </c>
      <c r="AC23" s="34">
        <f t="shared" si="15"/>
        <v>206</v>
      </c>
      <c r="AD23" s="34">
        <f t="shared" si="15"/>
        <v>0</v>
      </c>
      <c r="AE23" s="31">
        <f t="shared" si="15"/>
        <v>647</v>
      </c>
      <c r="AF23" s="31">
        <f t="shared" si="15"/>
        <v>853</v>
      </c>
    </row>
    <row r="24" spans="2:32" ht="23.1" customHeight="1">
      <c r="B24" s="45" t="s">
        <v>51</v>
      </c>
      <c r="C24" s="50">
        <v>28</v>
      </c>
      <c r="D24" s="50">
        <v>5</v>
      </c>
      <c r="E24" s="50">
        <v>1</v>
      </c>
      <c r="F24" s="50">
        <v>22</v>
      </c>
      <c r="G24" s="50">
        <v>1</v>
      </c>
      <c r="H24" s="50">
        <v>0</v>
      </c>
      <c r="I24" s="50">
        <v>5</v>
      </c>
      <c r="J24" s="50">
        <v>2</v>
      </c>
      <c r="K24" s="50">
        <v>0</v>
      </c>
      <c r="L24" s="50">
        <v>0</v>
      </c>
      <c r="M24" s="50">
        <v>64</v>
      </c>
      <c r="N24" s="50">
        <v>0</v>
      </c>
      <c r="O24" s="15">
        <f t="shared" si="0"/>
        <v>64</v>
      </c>
      <c r="P24" s="15">
        <f t="shared" si="1"/>
        <v>128</v>
      </c>
      <c r="R24" s="36" t="s">
        <v>148</v>
      </c>
      <c r="S24" s="34">
        <f>SUM(C66:C69)</f>
        <v>570</v>
      </c>
      <c r="T24" s="34">
        <f t="shared" ref="T24:AF24" si="16">SUM(D66:D69)</f>
        <v>56</v>
      </c>
      <c r="U24" s="34">
        <f t="shared" si="16"/>
        <v>28</v>
      </c>
      <c r="V24" s="34">
        <f t="shared" si="16"/>
        <v>48</v>
      </c>
      <c r="W24" s="34">
        <f t="shared" si="16"/>
        <v>0</v>
      </c>
      <c r="X24" s="34">
        <f t="shared" si="16"/>
        <v>0</v>
      </c>
      <c r="Y24" s="34">
        <f t="shared" si="16"/>
        <v>8</v>
      </c>
      <c r="Z24" s="34">
        <f t="shared" si="16"/>
        <v>0</v>
      </c>
      <c r="AA24" s="34">
        <f t="shared" si="16"/>
        <v>0</v>
      </c>
      <c r="AB24" s="34">
        <f t="shared" si="16"/>
        <v>0</v>
      </c>
      <c r="AC24" s="34">
        <f t="shared" si="16"/>
        <v>109</v>
      </c>
      <c r="AD24" s="34">
        <f t="shared" si="16"/>
        <v>0</v>
      </c>
      <c r="AE24" s="31">
        <f t="shared" si="16"/>
        <v>710</v>
      </c>
      <c r="AF24" s="31">
        <f t="shared" si="16"/>
        <v>819</v>
      </c>
    </row>
    <row r="25" spans="2:32" ht="23.1" customHeight="1">
      <c r="B25" s="45" t="s">
        <v>52</v>
      </c>
      <c r="C25" s="50">
        <v>33</v>
      </c>
      <c r="D25" s="50">
        <v>3</v>
      </c>
      <c r="E25" s="50">
        <v>2</v>
      </c>
      <c r="F25" s="50">
        <v>20</v>
      </c>
      <c r="G25" s="50">
        <v>0</v>
      </c>
      <c r="H25" s="50">
        <v>0</v>
      </c>
      <c r="I25" s="50">
        <v>7</v>
      </c>
      <c r="J25" s="50">
        <v>2</v>
      </c>
      <c r="K25" s="50">
        <v>0</v>
      </c>
      <c r="L25" s="50">
        <v>0</v>
      </c>
      <c r="M25" s="50">
        <v>45</v>
      </c>
      <c r="N25" s="50">
        <v>0</v>
      </c>
      <c r="O25" s="15">
        <f t="shared" si="0"/>
        <v>67</v>
      </c>
      <c r="P25" s="15">
        <f t="shared" si="1"/>
        <v>112</v>
      </c>
      <c r="R25" s="36" t="s">
        <v>149</v>
      </c>
      <c r="S25" s="34">
        <f>SUM(C70:C73)</f>
        <v>543</v>
      </c>
      <c r="T25" s="34">
        <f t="shared" ref="T25:AF25" si="17">SUM(D70:D73)</f>
        <v>50</v>
      </c>
      <c r="U25" s="34">
        <f t="shared" si="17"/>
        <v>30</v>
      </c>
      <c r="V25" s="34">
        <f t="shared" si="17"/>
        <v>49</v>
      </c>
      <c r="W25" s="34">
        <f t="shared" si="17"/>
        <v>0</v>
      </c>
      <c r="X25" s="34">
        <f t="shared" si="17"/>
        <v>0</v>
      </c>
      <c r="Y25" s="34">
        <f t="shared" si="17"/>
        <v>4</v>
      </c>
      <c r="Z25" s="34">
        <f t="shared" si="17"/>
        <v>1</v>
      </c>
      <c r="AA25" s="34">
        <f t="shared" si="17"/>
        <v>0</v>
      </c>
      <c r="AB25" s="34">
        <f t="shared" si="17"/>
        <v>0</v>
      </c>
      <c r="AC25" s="34">
        <f t="shared" si="17"/>
        <v>137</v>
      </c>
      <c r="AD25" s="34">
        <f t="shared" si="17"/>
        <v>0</v>
      </c>
      <c r="AE25" s="31">
        <f t="shared" si="17"/>
        <v>677</v>
      </c>
      <c r="AF25" s="31">
        <f t="shared" si="17"/>
        <v>814</v>
      </c>
    </row>
    <row r="26" spans="2:32" ht="23.1" customHeight="1">
      <c r="B26" s="45" t="s">
        <v>53</v>
      </c>
      <c r="C26" s="50">
        <v>45</v>
      </c>
      <c r="D26" s="50">
        <v>10</v>
      </c>
      <c r="E26" s="50">
        <v>6</v>
      </c>
      <c r="F26" s="50">
        <v>30</v>
      </c>
      <c r="G26" s="50">
        <v>0</v>
      </c>
      <c r="H26" s="50">
        <v>0</v>
      </c>
      <c r="I26" s="50">
        <v>3</v>
      </c>
      <c r="J26" s="50">
        <v>1</v>
      </c>
      <c r="K26" s="50">
        <v>0</v>
      </c>
      <c r="L26" s="50">
        <v>1</v>
      </c>
      <c r="M26" s="50">
        <v>61</v>
      </c>
      <c r="N26" s="50">
        <v>0</v>
      </c>
      <c r="O26" s="15">
        <f t="shared" si="0"/>
        <v>96</v>
      </c>
      <c r="P26" s="15">
        <f t="shared" si="1"/>
        <v>157</v>
      </c>
      <c r="R26" s="36" t="s">
        <v>150</v>
      </c>
      <c r="S26" s="34">
        <f>SUM(C74:C77)</f>
        <v>327</v>
      </c>
      <c r="T26" s="34">
        <f t="shared" ref="T26:AF26" si="18">SUM(D74:D77)</f>
        <v>31</v>
      </c>
      <c r="U26" s="34">
        <f t="shared" si="18"/>
        <v>17</v>
      </c>
      <c r="V26" s="34">
        <f t="shared" si="18"/>
        <v>19</v>
      </c>
      <c r="W26" s="34">
        <f t="shared" si="18"/>
        <v>2</v>
      </c>
      <c r="X26" s="34">
        <f t="shared" si="18"/>
        <v>0</v>
      </c>
      <c r="Y26" s="34">
        <f t="shared" si="18"/>
        <v>2</v>
      </c>
      <c r="Z26" s="34">
        <f t="shared" si="18"/>
        <v>1</v>
      </c>
      <c r="AA26" s="34">
        <f t="shared" si="18"/>
        <v>1</v>
      </c>
      <c r="AB26" s="34">
        <f t="shared" si="18"/>
        <v>0</v>
      </c>
      <c r="AC26" s="34">
        <f t="shared" si="18"/>
        <v>111</v>
      </c>
      <c r="AD26" s="34">
        <f t="shared" si="18"/>
        <v>1</v>
      </c>
      <c r="AE26" s="31">
        <f t="shared" si="18"/>
        <v>401</v>
      </c>
      <c r="AF26" s="31">
        <f t="shared" si="18"/>
        <v>512</v>
      </c>
    </row>
    <row r="27" spans="2:32" ht="23.1" customHeight="1">
      <c r="B27" s="45" t="s">
        <v>54</v>
      </c>
      <c r="C27" s="50">
        <v>46</v>
      </c>
      <c r="D27" s="50">
        <v>5</v>
      </c>
      <c r="E27" s="50">
        <v>4</v>
      </c>
      <c r="F27" s="50">
        <v>23</v>
      </c>
      <c r="G27" s="50">
        <v>1</v>
      </c>
      <c r="H27" s="50">
        <v>0</v>
      </c>
      <c r="I27" s="50">
        <v>9</v>
      </c>
      <c r="J27" s="50">
        <v>5</v>
      </c>
      <c r="K27" s="50">
        <v>2</v>
      </c>
      <c r="L27" s="50">
        <v>0</v>
      </c>
      <c r="M27" s="50">
        <v>65</v>
      </c>
      <c r="N27" s="50">
        <v>0</v>
      </c>
      <c r="O27" s="15">
        <f t="shared" si="0"/>
        <v>95</v>
      </c>
      <c r="P27" s="15">
        <f t="shared" si="1"/>
        <v>160</v>
      </c>
      <c r="R27" s="36" t="s">
        <v>151</v>
      </c>
      <c r="S27" s="34">
        <f>SUM(C78:C81)</f>
        <v>167</v>
      </c>
      <c r="T27" s="34">
        <f t="shared" ref="T27:AF27" si="19">SUM(D78:D81)</f>
        <v>9</v>
      </c>
      <c r="U27" s="34">
        <f t="shared" si="19"/>
        <v>5</v>
      </c>
      <c r="V27" s="34">
        <f t="shared" si="19"/>
        <v>9</v>
      </c>
      <c r="W27" s="34">
        <f t="shared" si="19"/>
        <v>0</v>
      </c>
      <c r="X27" s="34">
        <f t="shared" si="19"/>
        <v>0</v>
      </c>
      <c r="Y27" s="34">
        <f t="shared" si="19"/>
        <v>5</v>
      </c>
      <c r="Z27" s="34">
        <f t="shared" si="19"/>
        <v>0</v>
      </c>
      <c r="AA27" s="34">
        <f t="shared" si="19"/>
        <v>0</v>
      </c>
      <c r="AB27" s="34">
        <f t="shared" si="19"/>
        <v>0</v>
      </c>
      <c r="AC27" s="34">
        <f t="shared" si="19"/>
        <v>120</v>
      </c>
      <c r="AD27" s="34">
        <f t="shared" si="19"/>
        <v>0</v>
      </c>
      <c r="AE27" s="31">
        <f t="shared" si="19"/>
        <v>195</v>
      </c>
      <c r="AF27" s="31">
        <f t="shared" si="19"/>
        <v>315</v>
      </c>
    </row>
    <row r="28" spans="2:32" ht="23.1" customHeight="1">
      <c r="B28" s="45" t="s">
        <v>55</v>
      </c>
      <c r="C28" s="50">
        <v>33</v>
      </c>
      <c r="D28" s="50">
        <v>7</v>
      </c>
      <c r="E28" s="50">
        <v>3</v>
      </c>
      <c r="F28" s="50">
        <v>18</v>
      </c>
      <c r="G28" s="50">
        <v>0</v>
      </c>
      <c r="H28" s="50">
        <v>0</v>
      </c>
      <c r="I28" s="50">
        <v>5</v>
      </c>
      <c r="J28" s="50">
        <v>0</v>
      </c>
      <c r="K28" s="50">
        <v>0</v>
      </c>
      <c r="L28" s="50">
        <v>1</v>
      </c>
      <c r="M28" s="50">
        <v>35</v>
      </c>
      <c r="N28" s="50">
        <v>0</v>
      </c>
      <c r="O28" s="15">
        <f t="shared" si="0"/>
        <v>67</v>
      </c>
      <c r="P28" s="15">
        <f t="shared" si="1"/>
        <v>102</v>
      </c>
      <c r="R28" s="36" t="s">
        <v>152</v>
      </c>
      <c r="S28" s="34">
        <f>SUM(C82:C85)</f>
        <v>74</v>
      </c>
      <c r="T28" s="34">
        <f t="shared" ref="T28:AF28" si="20">SUM(D82:D85)</f>
        <v>9</v>
      </c>
      <c r="U28" s="34">
        <f t="shared" si="20"/>
        <v>2</v>
      </c>
      <c r="V28" s="34">
        <f t="shared" si="20"/>
        <v>2</v>
      </c>
      <c r="W28" s="34">
        <f t="shared" si="20"/>
        <v>0</v>
      </c>
      <c r="X28" s="34">
        <f t="shared" si="20"/>
        <v>0</v>
      </c>
      <c r="Y28" s="34">
        <f t="shared" si="20"/>
        <v>1</v>
      </c>
      <c r="Z28" s="34">
        <f t="shared" si="20"/>
        <v>0</v>
      </c>
      <c r="AA28" s="34">
        <f t="shared" si="20"/>
        <v>0</v>
      </c>
      <c r="AB28" s="34">
        <f t="shared" si="20"/>
        <v>0</v>
      </c>
      <c r="AC28" s="34">
        <f t="shared" si="20"/>
        <v>48</v>
      </c>
      <c r="AD28" s="34">
        <f t="shared" si="20"/>
        <v>0</v>
      </c>
      <c r="AE28" s="31">
        <f t="shared" si="20"/>
        <v>88</v>
      </c>
      <c r="AF28" s="31">
        <f t="shared" si="20"/>
        <v>136</v>
      </c>
    </row>
    <row r="29" spans="2:32" ht="23.1" customHeight="1">
      <c r="B29" s="45" t="s">
        <v>56</v>
      </c>
      <c r="C29" s="50">
        <v>40</v>
      </c>
      <c r="D29" s="50">
        <v>9</v>
      </c>
      <c r="E29" s="50">
        <v>4</v>
      </c>
      <c r="F29" s="50">
        <v>31</v>
      </c>
      <c r="G29" s="50">
        <v>0</v>
      </c>
      <c r="H29" s="50">
        <v>0</v>
      </c>
      <c r="I29" s="50">
        <v>15</v>
      </c>
      <c r="J29" s="50">
        <v>0</v>
      </c>
      <c r="K29" s="50">
        <v>0</v>
      </c>
      <c r="L29" s="50">
        <v>1</v>
      </c>
      <c r="M29" s="50">
        <v>45</v>
      </c>
      <c r="N29" s="50">
        <v>0</v>
      </c>
      <c r="O29" s="15">
        <f t="shared" si="0"/>
        <v>100</v>
      </c>
      <c r="P29" s="15">
        <f t="shared" si="1"/>
        <v>145</v>
      </c>
      <c r="R29" s="36" t="s">
        <v>153</v>
      </c>
      <c r="S29" s="34">
        <f>SUM(C86:C89)</f>
        <v>66</v>
      </c>
      <c r="T29" s="34">
        <f t="shared" ref="T29:AF29" si="21">SUM(D86:D89)</f>
        <v>4</v>
      </c>
      <c r="U29" s="34">
        <f t="shared" si="21"/>
        <v>2</v>
      </c>
      <c r="V29" s="34">
        <f t="shared" si="21"/>
        <v>0</v>
      </c>
      <c r="W29" s="34">
        <f t="shared" si="21"/>
        <v>0</v>
      </c>
      <c r="X29" s="34">
        <f t="shared" si="21"/>
        <v>0</v>
      </c>
      <c r="Y29" s="34">
        <f t="shared" si="21"/>
        <v>1</v>
      </c>
      <c r="Z29" s="34">
        <f t="shared" si="21"/>
        <v>0</v>
      </c>
      <c r="AA29" s="34">
        <f t="shared" si="21"/>
        <v>0</v>
      </c>
      <c r="AB29" s="34">
        <f t="shared" si="21"/>
        <v>1</v>
      </c>
      <c r="AC29" s="34">
        <f t="shared" si="21"/>
        <v>36</v>
      </c>
      <c r="AD29" s="34">
        <f t="shared" si="21"/>
        <v>0</v>
      </c>
      <c r="AE29" s="31">
        <f t="shared" si="21"/>
        <v>74</v>
      </c>
      <c r="AF29" s="31">
        <f t="shared" si="21"/>
        <v>110</v>
      </c>
    </row>
    <row r="30" spans="2:32" ht="23.1" customHeight="1">
      <c r="B30" s="45" t="s">
        <v>57</v>
      </c>
      <c r="C30" s="50">
        <v>27</v>
      </c>
      <c r="D30" s="50">
        <v>5</v>
      </c>
      <c r="E30" s="50">
        <v>2</v>
      </c>
      <c r="F30" s="50">
        <v>9</v>
      </c>
      <c r="G30" s="50">
        <v>4</v>
      </c>
      <c r="H30" s="50">
        <v>0</v>
      </c>
      <c r="I30" s="50">
        <v>6</v>
      </c>
      <c r="J30" s="50">
        <v>0</v>
      </c>
      <c r="K30" s="50">
        <v>0</v>
      </c>
      <c r="L30" s="50">
        <v>0</v>
      </c>
      <c r="M30" s="50">
        <v>41</v>
      </c>
      <c r="N30" s="50">
        <v>0</v>
      </c>
      <c r="O30" s="15">
        <f t="shared" si="0"/>
        <v>53</v>
      </c>
      <c r="P30" s="15">
        <f t="shared" si="1"/>
        <v>94</v>
      </c>
      <c r="R30" s="36" t="s">
        <v>154</v>
      </c>
      <c r="S30" s="34">
        <f>SUM(C90:C93)</f>
        <v>39</v>
      </c>
      <c r="T30" s="34">
        <f t="shared" ref="T30:AF30" si="22">SUM(D90:D93)</f>
        <v>4</v>
      </c>
      <c r="U30" s="34">
        <f t="shared" si="22"/>
        <v>3</v>
      </c>
      <c r="V30" s="34">
        <f t="shared" si="22"/>
        <v>2</v>
      </c>
      <c r="W30" s="34">
        <f t="shared" si="22"/>
        <v>0</v>
      </c>
      <c r="X30" s="34">
        <f t="shared" si="22"/>
        <v>0</v>
      </c>
      <c r="Y30" s="34">
        <f t="shared" si="22"/>
        <v>1</v>
      </c>
      <c r="Z30" s="34">
        <f t="shared" si="22"/>
        <v>1</v>
      </c>
      <c r="AA30" s="34">
        <f t="shared" si="22"/>
        <v>0</v>
      </c>
      <c r="AB30" s="34">
        <f t="shared" si="22"/>
        <v>0</v>
      </c>
      <c r="AC30" s="34">
        <f t="shared" si="22"/>
        <v>39</v>
      </c>
      <c r="AD30" s="34">
        <f t="shared" si="22"/>
        <v>0</v>
      </c>
      <c r="AE30" s="31">
        <f t="shared" si="22"/>
        <v>50</v>
      </c>
      <c r="AF30" s="31">
        <f t="shared" si="22"/>
        <v>89</v>
      </c>
    </row>
    <row r="31" spans="2:32" ht="23.1" customHeight="1">
      <c r="B31" s="46" t="s">
        <v>58</v>
      </c>
      <c r="C31" s="50">
        <v>46</v>
      </c>
      <c r="D31" s="50">
        <v>9</v>
      </c>
      <c r="E31" s="50">
        <v>5</v>
      </c>
      <c r="F31" s="50">
        <v>22</v>
      </c>
      <c r="G31" s="50">
        <v>0</v>
      </c>
      <c r="H31" s="50">
        <v>0</v>
      </c>
      <c r="I31" s="50">
        <v>5</v>
      </c>
      <c r="J31" s="50">
        <v>0</v>
      </c>
      <c r="K31" s="50">
        <v>1</v>
      </c>
      <c r="L31" s="50">
        <v>0</v>
      </c>
      <c r="M31" s="50">
        <v>40</v>
      </c>
      <c r="N31" s="50">
        <v>0</v>
      </c>
      <c r="O31" s="15">
        <f t="shared" si="0"/>
        <v>88</v>
      </c>
      <c r="P31" s="15">
        <f t="shared" si="1"/>
        <v>128</v>
      </c>
      <c r="R31" s="36" t="s">
        <v>155</v>
      </c>
      <c r="S31" s="34">
        <f>SUM(C94:C97)</f>
        <v>49</v>
      </c>
      <c r="T31" s="34">
        <f t="shared" ref="T31:AF31" si="23">SUM(D94:D97)</f>
        <v>3</v>
      </c>
      <c r="U31" s="34">
        <f t="shared" si="23"/>
        <v>6</v>
      </c>
      <c r="V31" s="34">
        <f t="shared" si="23"/>
        <v>6</v>
      </c>
      <c r="W31" s="34">
        <f t="shared" si="23"/>
        <v>2</v>
      </c>
      <c r="X31" s="34">
        <f t="shared" si="23"/>
        <v>0</v>
      </c>
      <c r="Y31" s="34">
        <f t="shared" si="23"/>
        <v>2</v>
      </c>
      <c r="Z31" s="34">
        <f t="shared" si="23"/>
        <v>2</v>
      </c>
      <c r="AA31" s="34">
        <f t="shared" si="23"/>
        <v>0</v>
      </c>
      <c r="AB31" s="34">
        <f t="shared" si="23"/>
        <v>0</v>
      </c>
      <c r="AC31" s="34">
        <f t="shared" si="23"/>
        <v>41</v>
      </c>
      <c r="AD31" s="34">
        <f t="shared" si="23"/>
        <v>0</v>
      </c>
      <c r="AE31" s="31">
        <f t="shared" si="23"/>
        <v>70</v>
      </c>
      <c r="AF31" s="31">
        <f t="shared" si="23"/>
        <v>111</v>
      </c>
    </row>
    <row r="32" spans="2:32" ht="23.1" customHeight="1">
      <c r="B32" s="46" t="s">
        <v>59</v>
      </c>
      <c r="C32" s="50">
        <v>65</v>
      </c>
      <c r="D32" s="50">
        <v>6</v>
      </c>
      <c r="E32" s="50">
        <v>3</v>
      </c>
      <c r="F32" s="50">
        <v>15</v>
      </c>
      <c r="G32" s="50">
        <v>2</v>
      </c>
      <c r="H32" s="50">
        <v>0</v>
      </c>
      <c r="I32" s="50">
        <v>6</v>
      </c>
      <c r="J32" s="50">
        <v>1</v>
      </c>
      <c r="K32" s="50">
        <v>0</v>
      </c>
      <c r="L32" s="50">
        <v>0</v>
      </c>
      <c r="M32" s="50">
        <v>30</v>
      </c>
      <c r="N32" s="50">
        <v>0</v>
      </c>
      <c r="O32" s="15">
        <f t="shared" si="0"/>
        <v>98</v>
      </c>
      <c r="P32" s="15">
        <f t="shared" si="1"/>
        <v>128</v>
      </c>
      <c r="R32" s="33" t="s">
        <v>156</v>
      </c>
      <c r="S32" s="34">
        <f>SUM(C98:C101)</f>
        <v>55</v>
      </c>
      <c r="T32" s="34">
        <f t="shared" ref="T32:AF32" si="24">SUM(D98:D101)</f>
        <v>3</v>
      </c>
      <c r="U32" s="34">
        <f t="shared" si="24"/>
        <v>4</v>
      </c>
      <c r="V32" s="34">
        <f t="shared" si="24"/>
        <v>30</v>
      </c>
      <c r="W32" s="34">
        <f t="shared" si="24"/>
        <v>2</v>
      </c>
      <c r="X32" s="34">
        <f t="shared" si="24"/>
        <v>0</v>
      </c>
      <c r="Y32" s="34">
        <f t="shared" si="24"/>
        <v>3</v>
      </c>
      <c r="Z32" s="34">
        <f t="shared" si="24"/>
        <v>0</v>
      </c>
      <c r="AA32" s="34">
        <f t="shared" si="24"/>
        <v>0</v>
      </c>
      <c r="AB32" s="34">
        <f t="shared" si="24"/>
        <v>0</v>
      </c>
      <c r="AC32" s="34">
        <f t="shared" si="24"/>
        <v>39</v>
      </c>
      <c r="AD32" s="34">
        <f t="shared" si="24"/>
        <v>0</v>
      </c>
      <c r="AE32" s="31">
        <f t="shared" si="24"/>
        <v>97</v>
      </c>
      <c r="AF32" s="31">
        <f t="shared" si="24"/>
        <v>136</v>
      </c>
    </row>
    <row r="33" spans="2:32" ht="23.1" customHeight="1">
      <c r="B33" s="45" t="s">
        <v>60</v>
      </c>
      <c r="C33" s="50">
        <v>30</v>
      </c>
      <c r="D33" s="50">
        <v>3</v>
      </c>
      <c r="E33" s="50">
        <v>0</v>
      </c>
      <c r="F33" s="50">
        <v>15</v>
      </c>
      <c r="G33" s="50">
        <v>0</v>
      </c>
      <c r="H33" s="50">
        <v>0</v>
      </c>
      <c r="I33" s="50">
        <v>5</v>
      </c>
      <c r="J33" s="50">
        <v>0</v>
      </c>
      <c r="K33" s="50">
        <v>2</v>
      </c>
      <c r="L33" s="50">
        <v>0</v>
      </c>
      <c r="M33" s="50">
        <v>30</v>
      </c>
      <c r="N33" s="50">
        <v>0</v>
      </c>
      <c r="O33" s="15">
        <f t="shared" si="0"/>
        <v>55</v>
      </c>
      <c r="P33" s="15">
        <f t="shared" si="1"/>
        <v>85</v>
      </c>
      <c r="R33" s="33" t="s">
        <v>157</v>
      </c>
      <c r="S33" s="34">
        <f>SUM(C102:C105)</f>
        <v>107</v>
      </c>
      <c r="T33" s="34">
        <f t="shared" ref="T33:AF33" si="25">SUM(D102:D105)</f>
        <v>24</v>
      </c>
      <c r="U33" s="34">
        <f t="shared" si="25"/>
        <v>5</v>
      </c>
      <c r="V33" s="34">
        <f t="shared" si="25"/>
        <v>49</v>
      </c>
      <c r="W33" s="34">
        <f t="shared" si="25"/>
        <v>1</v>
      </c>
      <c r="X33" s="34">
        <f t="shared" si="25"/>
        <v>0</v>
      </c>
      <c r="Y33" s="34">
        <f t="shared" si="25"/>
        <v>3</v>
      </c>
      <c r="Z33" s="34">
        <f t="shared" si="25"/>
        <v>2</v>
      </c>
      <c r="AA33" s="34">
        <f t="shared" si="25"/>
        <v>1</v>
      </c>
      <c r="AB33" s="34">
        <f t="shared" si="25"/>
        <v>0</v>
      </c>
      <c r="AC33" s="34">
        <f t="shared" si="25"/>
        <v>48</v>
      </c>
      <c r="AD33" s="34">
        <f t="shared" si="25"/>
        <v>0</v>
      </c>
      <c r="AE33" s="31">
        <f t="shared" si="25"/>
        <v>192</v>
      </c>
      <c r="AF33" s="31">
        <f t="shared" si="25"/>
        <v>240</v>
      </c>
    </row>
    <row r="34" spans="2:32" ht="23.1" customHeight="1">
      <c r="B34" s="46" t="s">
        <v>61</v>
      </c>
      <c r="C34" s="50">
        <v>15</v>
      </c>
      <c r="D34" s="50">
        <v>3</v>
      </c>
      <c r="E34" s="50">
        <v>2</v>
      </c>
      <c r="F34" s="50">
        <v>15</v>
      </c>
      <c r="G34" s="50">
        <v>0</v>
      </c>
      <c r="H34" s="50">
        <v>0</v>
      </c>
      <c r="I34" s="50">
        <v>5</v>
      </c>
      <c r="J34" s="50">
        <v>1</v>
      </c>
      <c r="K34" s="50">
        <v>0</v>
      </c>
      <c r="L34" s="50">
        <v>0</v>
      </c>
      <c r="M34" s="50">
        <v>25</v>
      </c>
      <c r="N34" s="50">
        <v>0</v>
      </c>
      <c r="O34" s="15">
        <f t="shared" si="0"/>
        <v>41</v>
      </c>
      <c r="P34" s="15">
        <f t="shared" si="1"/>
        <v>66</v>
      </c>
      <c r="R34" s="38" t="s">
        <v>90</v>
      </c>
      <c r="S34" s="39">
        <f t="shared" ref="S34:AF34" si="26">MAX(S10:S12)</f>
        <v>155</v>
      </c>
      <c r="T34" s="39">
        <f t="shared" si="26"/>
        <v>30</v>
      </c>
      <c r="U34" s="39">
        <f t="shared" si="26"/>
        <v>19</v>
      </c>
      <c r="V34" s="39">
        <f t="shared" si="26"/>
        <v>89</v>
      </c>
      <c r="W34" s="39">
        <f t="shared" si="26"/>
        <v>3</v>
      </c>
      <c r="X34" s="39">
        <f t="shared" si="26"/>
        <v>0</v>
      </c>
      <c r="Y34" s="39">
        <f t="shared" si="26"/>
        <v>14</v>
      </c>
      <c r="Z34" s="39">
        <f t="shared" si="26"/>
        <v>2</v>
      </c>
      <c r="AA34" s="39">
        <f t="shared" si="26"/>
        <v>1</v>
      </c>
      <c r="AB34" s="39">
        <f t="shared" si="26"/>
        <v>0</v>
      </c>
      <c r="AC34" s="39">
        <f t="shared" si="26"/>
        <v>238</v>
      </c>
      <c r="AD34" s="39">
        <f t="shared" si="26"/>
        <v>0</v>
      </c>
      <c r="AE34" s="40">
        <f t="shared" si="26"/>
        <v>309</v>
      </c>
      <c r="AF34" s="40">
        <f t="shared" si="26"/>
        <v>491</v>
      </c>
    </row>
    <row r="35" spans="2:32" ht="23.1" customHeight="1">
      <c r="B35" s="46" t="s">
        <v>62</v>
      </c>
      <c r="C35" s="50">
        <v>40</v>
      </c>
      <c r="D35" s="50">
        <v>5</v>
      </c>
      <c r="E35" s="50">
        <v>0</v>
      </c>
      <c r="F35" s="50">
        <v>19</v>
      </c>
      <c r="G35" s="50">
        <v>0</v>
      </c>
      <c r="H35" s="50">
        <v>0</v>
      </c>
      <c r="I35" s="50">
        <v>3</v>
      </c>
      <c r="J35" s="50">
        <v>0</v>
      </c>
      <c r="K35" s="50">
        <v>0</v>
      </c>
      <c r="L35" s="50">
        <v>0</v>
      </c>
      <c r="M35" s="50">
        <v>30</v>
      </c>
      <c r="N35" s="50">
        <v>0</v>
      </c>
      <c r="O35" s="15">
        <f t="shared" si="0"/>
        <v>67</v>
      </c>
      <c r="P35" s="15">
        <f t="shared" si="1"/>
        <v>97</v>
      </c>
      <c r="R35" s="38" t="s">
        <v>91</v>
      </c>
      <c r="S35" s="39">
        <f t="shared" ref="S35:AF35" si="27">MAX(S13:S18)</f>
        <v>255</v>
      </c>
      <c r="T35" s="39">
        <f t="shared" si="27"/>
        <v>35</v>
      </c>
      <c r="U35" s="39">
        <f t="shared" si="27"/>
        <v>20</v>
      </c>
      <c r="V35" s="39">
        <f t="shared" si="27"/>
        <v>102</v>
      </c>
      <c r="W35" s="39">
        <f t="shared" si="27"/>
        <v>6</v>
      </c>
      <c r="X35" s="39">
        <f t="shared" si="27"/>
        <v>0</v>
      </c>
      <c r="Y35" s="39">
        <f t="shared" si="27"/>
        <v>36</v>
      </c>
      <c r="Z35" s="39">
        <f t="shared" si="27"/>
        <v>6</v>
      </c>
      <c r="AA35" s="39">
        <f t="shared" si="27"/>
        <v>3</v>
      </c>
      <c r="AB35" s="39">
        <f t="shared" si="27"/>
        <v>3</v>
      </c>
      <c r="AC35" s="39">
        <f t="shared" si="27"/>
        <v>206</v>
      </c>
      <c r="AD35" s="39">
        <f t="shared" si="27"/>
        <v>0</v>
      </c>
      <c r="AE35" s="40">
        <f t="shared" si="27"/>
        <v>381</v>
      </c>
      <c r="AF35" s="40">
        <f t="shared" si="27"/>
        <v>564</v>
      </c>
    </row>
    <row r="36" spans="2:32" ht="23.1" customHeight="1">
      <c r="B36" s="46" t="s">
        <v>63</v>
      </c>
      <c r="C36" s="50">
        <v>33</v>
      </c>
      <c r="D36" s="50">
        <v>3</v>
      </c>
      <c r="E36" s="50">
        <v>3</v>
      </c>
      <c r="F36" s="50">
        <v>13</v>
      </c>
      <c r="G36" s="50">
        <v>0</v>
      </c>
      <c r="H36" s="50">
        <v>0</v>
      </c>
      <c r="I36" s="50">
        <v>12</v>
      </c>
      <c r="J36" s="50">
        <v>0</v>
      </c>
      <c r="K36" s="50">
        <v>0</v>
      </c>
      <c r="L36" s="50">
        <v>0</v>
      </c>
      <c r="M36" s="50">
        <v>35</v>
      </c>
      <c r="N36" s="50">
        <v>0</v>
      </c>
      <c r="O36" s="15">
        <f t="shared" si="0"/>
        <v>64</v>
      </c>
      <c r="P36" s="15">
        <f t="shared" si="1"/>
        <v>99</v>
      </c>
      <c r="R36" s="38" t="s">
        <v>92</v>
      </c>
      <c r="S36" s="39">
        <f t="shared" ref="S36:AF36" si="28">MAX(S19:S21)</f>
        <v>465</v>
      </c>
      <c r="T36" s="39">
        <f t="shared" si="28"/>
        <v>79</v>
      </c>
      <c r="U36" s="39">
        <f t="shared" si="28"/>
        <v>26</v>
      </c>
      <c r="V36" s="39">
        <f t="shared" si="28"/>
        <v>58</v>
      </c>
      <c r="W36" s="39">
        <f t="shared" si="28"/>
        <v>6</v>
      </c>
      <c r="X36" s="39">
        <f t="shared" si="28"/>
        <v>2</v>
      </c>
      <c r="Y36" s="39">
        <f t="shared" si="28"/>
        <v>23</v>
      </c>
      <c r="Z36" s="39">
        <f t="shared" si="28"/>
        <v>2</v>
      </c>
      <c r="AA36" s="39">
        <f t="shared" si="28"/>
        <v>6</v>
      </c>
      <c r="AB36" s="39">
        <f t="shared" si="28"/>
        <v>1</v>
      </c>
      <c r="AC36" s="39">
        <f t="shared" si="28"/>
        <v>225</v>
      </c>
      <c r="AD36" s="39">
        <f t="shared" si="28"/>
        <v>0</v>
      </c>
      <c r="AE36" s="40">
        <f t="shared" si="28"/>
        <v>644</v>
      </c>
      <c r="AF36" s="40">
        <f t="shared" si="28"/>
        <v>869</v>
      </c>
    </row>
    <row r="37" spans="2:32" ht="23.1" customHeight="1">
      <c r="B37" s="45" t="s">
        <v>64</v>
      </c>
      <c r="C37" s="50">
        <v>55</v>
      </c>
      <c r="D37" s="50">
        <v>6</v>
      </c>
      <c r="E37" s="50">
        <v>5</v>
      </c>
      <c r="F37" s="50">
        <v>16</v>
      </c>
      <c r="G37" s="50">
        <v>1</v>
      </c>
      <c r="H37" s="50">
        <v>0</v>
      </c>
      <c r="I37" s="50">
        <v>16</v>
      </c>
      <c r="J37" s="50">
        <v>0</v>
      </c>
      <c r="K37" s="50">
        <v>0</v>
      </c>
      <c r="L37" s="50">
        <v>0</v>
      </c>
      <c r="M37" s="50">
        <v>58</v>
      </c>
      <c r="N37" s="50">
        <v>0</v>
      </c>
      <c r="O37" s="15">
        <f t="shared" si="0"/>
        <v>99</v>
      </c>
      <c r="P37" s="15">
        <f t="shared" si="1"/>
        <v>157</v>
      </c>
      <c r="R37" s="37" t="s">
        <v>85</v>
      </c>
      <c r="S37" s="35">
        <f t="shared" ref="S37:AF37" si="29">SUM(S10:S12)</f>
        <v>410</v>
      </c>
      <c r="T37" s="16">
        <f t="shared" si="29"/>
        <v>69</v>
      </c>
      <c r="U37" s="16">
        <f t="shared" si="29"/>
        <v>41</v>
      </c>
      <c r="V37" s="16">
        <f t="shared" si="29"/>
        <v>253</v>
      </c>
      <c r="W37" s="16">
        <f t="shared" si="29"/>
        <v>6</v>
      </c>
      <c r="X37" s="16">
        <f t="shared" si="29"/>
        <v>0</v>
      </c>
      <c r="Y37" s="16">
        <f t="shared" si="29"/>
        <v>32</v>
      </c>
      <c r="Z37" s="16">
        <f t="shared" si="29"/>
        <v>5</v>
      </c>
      <c r="AA37" s="16">
        <f t="shared" si="29"/>
        <v>2</v>
      </c>
      <c r="AB37" s="16">
        <f t="shared" si="29"/>
        <v>0</v>
      </c>
      <c r="AC37" s="16">
        <f t="shared" si="29"/>
        <v>534</v>
      </c>
      <c r="AD37" s="16">
        <f t="shared" si="29"/>
        <v>0</v>
      </c>
      <c r="AE37" s="32">
        <f t="shared" si="29"/>
        <v>818</v>
      </c>
      <c r="AF37" s="32">
        <f t="shared" si="29"/>
        <v>1352</v>
      </c>
    </row>
    <row r="38" spans="2:32" ht="23.1" customHeight="1">
      <c r="B38" s="46" t="s">
        <v>65</v>
      </c>
      <c r="C38" s="50">
        <v>53</v>
      </c>
      <c r="D38" s="50">
        <v>2</v>
      </c>
      <c r="E38" s="50">
        <v>1</v>
      </c>
      <c r="F38" s="50">
        <v>15</v>
      </c>
      <c r="G38" s="50">
        <v>0</v>
      </c>
      <c r="H38" s="50">
        <v>0</v>
      </c>
      <c r="I38" s="50">
        <v>8</v>
      </c>
      <c r="J38" s="50">
        <v>1</v>
      </c>
      <c r="K38" s="50">
        <v>0</v>
      </c>
      <c r="L38" s="50">
        <v>0</v>
      </c>
      <c r="M38" s="50">
        <v>15</v>
      </c>
      <c r="N38" s="50">
        <v>0</v>
      </c>
      <c r="O38" s="15">
        <f t="shared" si="0"/>
        <v>80</v>
      </c>
      <c r="P38" s="15">
        <f t="shared" si="1"/>
        <v>95</v>
      </c>
      <c r="R38" s="28" t="s">
        <v>86</v>
      </c>
      <c r="S38" s="16">
        <f t="shared" ref="S38:AF38" si="30">SUM(S13:S18)</f>
        <v>1000</v>
      </c>
      <c r="T38" s="16">
        <f t="shared" si="30"/>
        <v>143</v>
      </c>
      <c r="U38" s="16">
        <f t="shared" si="30"/>
        <v>76</v>
      </c>
      <c r="V38" s="16">
        <f t="shared" si="30"/>
        <v>414</v>
      </c>
      <c r="W38" s="16">
        <f t="shared" si="30"/>
        <v>12</v>
      </c>
      <c r="X38" s="16">
        <f t="shared" si="30"/>
        <v>0</v>
      </c>
      <c r="Y38" s="16">
        <f t="shared" si="30"/>
        <v>156</v>
      </c>
      <c r="Z38" s="16">
        <f t="shared" si="30"/>
        <v>15</v>
      </c>
      <c r="AA38" s="16">
        <f t="shared" si="30"/>
        <v>7</v>
      </c>
      <c r="AB38" s="16">
        <f t="shared" si="30"/>
        <v>3</v>
      </c>
      <c r="AC38" s="16">
        <f t="shared" si="30"/>
        <v>932</v>
      </c>
      <c r="AD38" s="16">
        <f t="shared" si="30"/>
        <v>0</v>
      </c>
      <c r="AE38" s="32">
        <f t="shared" si="30"/>
        <v>1826</v>
      </c>
      <c r="AF38" s="32">
        <f t="shared" si="30"/>
        <v>2758</v>
      </c>
    </row>
    <row r="39" spans="2:32" ht="23.1" customHeight="1">
      <c r="B39" s="46" t="s">
        <v>66</v>
      </c>
      <c r="C39" s="50">
        <v>48</v>
      </c>
      <c r="D39" s="50">
        <v>3</v>
      </c>
      <c r="E39" s="50">
        <v>6</v>
      </c>
      <c r="F39" s="50">
        <v>18</v>
      </c>
      <c r="G39" s="50">
        <v>0</v>
      </c>
      <c r="H39" s="50">
        <v>0</v>
      </c>
      <c r="I39" s="50">
        <v>4</v>
      </c>
      <c r="J39" s="50">
        <v>0</v>
      </c>
      <c r="K39" s="50">
        <v>0</v>
      </c>
      <c r="L39" s="50">
        <v>0</v>
      </c>
      <c r="M39" s="50">
        <v>18</v>
      </c>
      <c r="N39" s="50">
        <v>0</v>
      </c>
      <c r="O39" s="15">
        <f t="shared" si="0"/>
        <v>79</v>
      </c>
      <c r="P39" s="15">
        <f t="shared" si="1"/>
        <v>97</v>
      </c>
      <c r="R39" s="29" t="s">
        <v>87</v>
      </c>
      <c r="S39" s="16">
        <f t="shared" ref="S39:AF39" si="31">SUM(S19:S21)</f>
        <v>1370</v>
      </c>
      <c r="T39" s="16">
        <f t="shared" si="31"/>
        <v>212</v>
      </c>
      <c r="U39" s="16">
        <f t="shared" si="31"/>
        <v>67</v>
      </c>
      <c r="V39" s="16">
        <f t="shared" si="31"/>
        <v>134</v>
      </c>
      <c r="W39" s="16">
        <f t="shared" si="31"/>
        <v>11</v>
      </c>
      <c r="X39" s="16">
        <f t="shared" si="31"/>
        <v>2</v>
      </c>
      <c r="Y39" s="16">
        <f t="shared" si="31"/>
        <v>53</v>
      </c>
      <c r="Z39" s="16">
        <f t="shared" si="31"/>
        <v>4</v>
      </c>
      <c r="AA39" s="16">
        <f t="shared" si="31"/>
        <v>8</v>
      </c>
      <c r="AB39" s="16">
        <f t="shared" si="31"/>
        <v>2</v>
      </c>
      <c r="AC39" s="16">
        <f t="shared" si="31"/>
        <v>544</v>
      </c>
      <c r="AD39" s="16">
        <f t="shared" si="31"/>
        <v>0</v>
      </c>
      <c r="AE39" s="32">
        <f t="shared" si="31"/>
        <v>1863</v>
      </c>
      <c r="AF39" s="32">
        <f t="shared" si="31"/>
        <v>2407</v>
      </c>
    </row>
    <row r="40" spans="2:32" ht="23.1" customHeight="1">
      <c r="B40" s="46" t="s">
        <v>67</v>
      </c>
      <c r="C40" s="50">
        <v>17</v>
      </c>
      <c r="D40" s="50">
        <v>10</v>
      </c>
      <c r="E40" s="50">
        <v>2</v>
      </c>
      <c r="F40" s="50">
        <v>15</v>
      </c>
      <c r="G40" s="50">
        <v>1</v>
      </c>
      <c r="H40" s="50">
        <v>0</v>
      </c>
      <c r="I40" s="50">
        <v>5</v>
      </c>
      <c r="J40" s="50">
        <v>1</v>
      </c>
      <c r="K40" s="50">
        <v>0</v>
      </c>
      <c r="L40" s="50">
        <v>0</v>
      </c>
      <c r="M40" s="50">
        <v>20</v>
      </c>
      <c r="N40" s="50">
        <v>0</v>
      </c>
      <c r="O40" s="15">
        <f t="shared" si="0"/>
        <v>51</v>
      </c>
      <c r="P40" s="15">
        <f t="shared" si="1"/>
        <v>71</v>
      </c>
      <c r="R40" s="5" t="s">
        <v>17</v>
      </c>
      <c r="S40" s="16">
        <f t="shared" ref="S40:AF40" si="32">SUM(S10:S21)</f>
        <v>2780</v>
      </c>
      <c r="T40" s="16">
        <f t="shared" si="32"/>
        <v>424</v>
      </c>
      <c r="U40" s="16">
        <f t="shared" si="32"/>
        <v>184</v>
      </c>
      <c r="V40" s="16">
        <f t="shared" si="32"/>
        <v>801</v>
      </c>
      <c r="W40" s="16">
        <f t="shared" si="32"/>
        <v>29</v>
      </c>
      <c r="X40" s="16">
        <f t="shared" si="32"/>
        <v>2</v>
      </c>
      <c r="Y40" s="16">
        <f t="shared" si="32"/>
        <v>241</v>
      </c>
      <c r="Z40" s="16">
        <f t="shared" si="32"/>
        <v>24</v>
      </c>
      <c r="AA40" s="16">
        <f t="shared" si="32"/>
        <v>17</v>
      </c>
      <c r="AB40" s="16">
        <f t="shared" si="32"/>
        <v>5</v>
      </c>
      <c r="AC40" s="16">
        <f t="shared" si="32"/>
        <v>2010</v>
      </c>
      <c r="AD40" s="16">
        <f t="shared" si="32"/>
        <v>0</v>
      </c>
      <c r="AE40" s="32">
        <f t="shared" si="32"/>
        <v>4507</v>
      </c>
      <c r="AF40" s="32">
        <f t="shared" si="32"/>
        <v>6517</v>
      </c>
    </row>
    <row r="41" spans="2:32" ht="23.1" customHeight="1">
      <c r="B41" s="45" t="s">
        <v>68</v>
      </c>
      <c r="C41" s="50">
        <v>36</v>
      </c>
      <c r="D41" s="50">
        <v>7</v>
      </c>
      <c r="E41" s="50">
        <v>4</v>
      </c>
      <c r="F41" s="50">
        <v>23</v>
      </c>
      <c r="G41" s="50">
        <v>0</v>
      </c>
      <c r="H41" s="50">
        <v>0</v>
      </c>
      <c r="I41" s="50">
        <v>5</v>
      </c>
      <c r="J41" s="50">
        <v>0</v>
      </c>
      <c r="K41" s="50">
        <v>0</v>
      </c>
      <c r="L41" s="50">
        <v>0</v>
      </c>
      <c r="M41" s="50">
        <v>35</v>
      </c>
      <c r="N41" s="50">
        <v>0</v>
      </c>
      <c r="O41" s="15">
        <f t="shared" si="0"/>
        <v>75</v>
      </c>
      <c r="P41" s="15">
        <f t="shared" si="1"/>
        <v>110</v>
      </c>
      <c r="R41" s="5" t="s">
        <v>159</v>
      </c>
      <c r="S41" s="16">
        <f>SUM(S10:S33)</f>
        <v>5711</v>
      </c>
      <c r="T41" s="16">
        <f t="shared" ref="T41:AF41" si="33">SUM(T10:T33)</f>
        <v>750</v>
      </c>
      <c r="U41" s="16">
        <f t="shared" si="33"/>
        <v>315</v>
      </c>
      <c r="V41" s="16">
        <f t="shared" si="33"/>
        <v>1134</v>
      </c>
      <c r="W41" s="16">
        <f t="shared" si="33"/>
        <v>37</v>
      </c>
      <c r="X41" s="16">
        <f t="shared" si="33"/>
        <v>2</v>
      </c>
      <c r="Y41" s="16">
        <f t="shared" si="33"/>
        <v>290</v>
      </c>
      <c r="Z41" s="16">
        <f t="shared" si="33"/>
        <v>32</v>
      </c>
      <c r="AA41" s="16">
        <f t="shared" si="33"/>
        <v>19</v>
      </c>
      <c r="AB41" s="16">
        <f t="shared" si="33"/>
        <v>6</v>
      </c>
      <c r="AC41" s="16">
        <f t="shared" si="33"/>
        <v>3094</v>
      </c>
      <c r="AD41" s="16">
        <f t="shared" si="33"/>
        <v>1</v>
      </c>
      <c r="AE41" s="32">
        <f t="shared" si="33"/>
        <v>8297</v>
      </c>
      <c r="AF41" s="32">
        <f t="shared" si="33"/>
        <v>11391</v>
      </c>
    </row>
    <row r="42" spans="2:32" ht="23.1" customHeight="1">
      <c r="B42" s="46" t="s">
        <v>69</v>
      </c>
      <c r="C42" s="50">
        <v>60</v>
      </c>
      <c r="D42" s="50">
        <v>8</v>
      </c>
      <c r="E42" s="50">
        <v>6</v>
      </c>
      <c r="F42" s="50">
        <v>10</v>
      </c>
      <c r="G42" s="50">
        <v>1</v>
      </c>
      <c r="H42" s="50">
        <v>0</v>
      </c>
      <c r="I42" s="50">
        <v>10</v>
      </c>
      <c r="J42" s="50">
        <v>0</v>
      </c>
      <c r="K42" s="50">
        <v>0</v>
      </c>
      <c r="L42" s="50">
        <v>0</v>
      </c>
      <c r="M42" s="50">
        <v>40</v>
      </c>
      <c r="N42" s="50">
        <v>0</v>
      </c>
      <c r="O42" s="15">
        <f t="shared" si="0"/>
        <v>95</v>
      </c>
      <c r="P42" s="15">
        <f t="shared" si="1"/>
        <v>135</v>
      </c>
      <c r="R42" s="5" t="s">
        <v>160</v>
      </c>
      <c r="S42" s="48">
        <f>S41/S40</f>
        <v>2.0543165467625899</v>
      </c>
      <c r="T42" s="48">
        <f t="shared" ref="T42:AF42" si="34">T41/T40</f>
        <v>1.7688679245283019</v>
      </c>
      <c r="U42" s="48">
        <f t="shared" si="34"/>
        <v>1.7119565217391304</v>
      </c>
      <c r="V42" s="48">
        <f t="shared" si="34"/>
        <v>1.4157303370786516</v>
      </c>
      <c r="W42" s="48">
        <f t="shared" si="34"/>
        <v>1.2758620689655173</v>
      </c>
      <c r="X42" s="48">
        <f t="shared" si="34"/>
        <v>1</v>
      </c>
      <c r="Y42" s="48">
        <f t="shared" si="34"/>
        <v>1.2033195020746887</v>
      </c>
      <c r="Z42" s="48">
        <f t="shared" si="34"/>
        <v>1.3333333333333333</v>
      </c>
      <c r="AA42" s="48">
        <f t="shared" si="34"/>
        <v>1.1176470588235294</v>
      </c>
      <c r="AB42" s="48">
        <f t="shared" si="34"/>
        <v>1.2</v>
      </c>
      <c r="AC42" s="48">
        <f t="shared" si="34"/>
        <v>1.5393034825870646</v>
      </c>
      <c r="AD42" s="48" t="e">
        <f t="shared" si="34"/>
        <v>#DIV/0!</v>
      </c>
      <c r="AE42" s="48">
        <f t="shared" si="34"/>
        <v>1.8409141335700021</v>
      </c>
      <c r="AF42" s="48">
        <f t="shared" si="34"/>
        <v>1.7478901334970078</v>
      </c>
    </row>
    <row r="43" spans="2:32" ht="23.1" customHeight="1">
      <c r="B43" s="45" t="s">
        <v>70</v>
      </c>
      <c r="C43" s="50">
        <v>51</v>
      </c>
      <c r="D43" s="50">
        <v>15</v>
      </c>
      <c r="E43" s="50">
        <v>3</v>
      </c>
      <c r="F43" s="50">
        <v>12</v>
      </c>
      <c r="G43" s="50">
        <v>1</v>
      </c>
      <c r="H43" s="50">
        <v>0</v>
      </c>
      <c r="I43" s="50">
        <v>3</v>
      </c>
      <c r="J43" s="50">
        <v>0</v>
      </c>
      <c r="K43" s="50">
        <v>0</v>
      </c>
      <c r="L43" s="50">
        <v>0</v>
      </c>
      <c r="M43" s="50">
        <v>50</v>
      </c>
      <c r="N43" s="50">
        <v>0</v>
      </c>
      <c r="O43" s="15">
        <f t="shared" si="0"/>
        <v>85</v>
      </c>
      <c r="P43" s="15">
        <f t="shared" si="1"/>
        <v>135</v>
      </c>
    </row>
    <row r="44" spans="2:32" ht="23.1" customHeight="1">
      <c r="B44" s="47" t="s">
        <v>71</v>
      </c>
      <c r="C44" s="50">
        <v>75</v>
      </c>
      <c r="D44" s="50">
        <v>7</v>
      </c>
      <c r="E44" s="50">
        <v>8</v>
      </c>
      <c r="F44" s="50">
        <v>7</v>
      </c>
      <c r="G44" s="50">
        <v>0</v>
      </c>
      <c r="H44" s="50">
        <v>0</v>
      </c>
      <c r="I44" s="50">
        <v>10</v>
      </c>
      <c r="J44" s="50">
        <v>0</v>
      </c>
      <c r="K44" s="50">
        <v>0</v>
      </c>
      <c r="L44" s="50">
        <v>0</v>
      </c>
      <c r="M44" s="50">
        <v>40</v>
      </c>
      <c r="N44" s="50">
        <v>0</v>
      </c>
      <c r="O44" s="15">
        <f t="shared" si="0"/>
        <v>107</v>
      </c>
      <c r="P44" s="15">
        <f t="shared" si="1"/>
        <v>147</v>
      </c>
    </row>
    <row r="45" spans="2:32" ht="23.1" customHeight="1">
      <c r="B45" s="45" t="s">
        <v>72</v>
      </c>
      <c r="C45" s="50">
        <v>69</v>
      </c>
      <c r="D45" s="50">
        <v>5</v>
      </c>
      <c r="E45" s="50">
        <v>3</v>
      </c>
      <c r="F45" s="50">
        <v>15</v>
      </c>
      <c r="G45" s="50">
        <v>0</v>
      </c>
      <c r="H45" s="50">
        <v>0</v>
      </c>
      <c r="I45" s="50">
        <v>1</v>
      </c>
      <c r="J45" s="50">
        <v>0</v>
      </c>
      <c r="K45" s="50">
        <v>1</v>
      </c>
      <c r="L45" s="50">
        <v>0</v>
      </c>
      <c r="M45" s="50">
        <v>40</v>
      </c>
      <c r="N45" s="50">
        <v>0</v>
      </c>
      <c r="O45" s="15">
        <f t="shared" si="0"/>
        <v>94</v>
      </c>
      <c r="P45" s="15">
        <f t="shared" si="1"/>
        <v>134</v>
      </c>
    </row>
    <row r="46" spans="2:32" ht="23.1" customHeight="1">
      <c r="B46" s="46" t="s">
        <v>73</v>
      </c>
      <c r="C46" s="50">
        <v>100</v>
      </c>
      <c r="D46" s="50">
        <v>8</v>
      </c>
      <c r="E46" s="50">
        <v>7</v>
      </c>
      <c r="F46" s="50">
        <v>10</v>
      </c>
      <c r="G46" s="50">
        <v>0</v>
      </c>
      <c r="H46" s="50">
        <v>0</v>
      </c>
      <c r="I46" s="50">
        <v>8</v>
      </c>
      <c r="J46" s="50">
        <v>0</v>
      </c>
      <c r="K46" s="50">
        <v>2</v>
      </c>
      <c r="L46" s="50">
        <v>0</v>
      </c>
      <c r="M46" s="50">
        <v>35</v>
      </c>
      <c r="N46" s="50">
        <v>0</v>
      </c>
      <c r="O46" s="15">
        <f t="shared" si="0"/>
        <v>135</v>
      </c>
      <c r="P46" s="15">
        <f t="shared" si="1"/>
        <v>170</v>
      </c>
      <c r="R46" s="8"/>
      <c r="T46"/>
    </row>
    <row r="47" spans="2:32" ht="23.1" customHeight="1">
      <c r="B47" s="46" t="s">
        <v>74</v>
      </c>
      <c r="C47" s="50">
        <v>90</v>
      </c>
      <c r="D47" s="50">
        <v>10</v>
      </c>
      <c r="E47" s="50">
        <v>3</v>
      </c>
      <c r="F47" s="50">
        <v>10</v>
      </c>
      <c r="G47" s="50">
        <v>0</v>
      </c>
      <c r="H47" s="50">
        <v>0</v>
      </c>
      <c r="I47" s="50">
        <v>3</v>
      </c>
      <c r="J47" s="50">
        <v>0</v>
      </c>
      <c r="K47" s="50">
        <v>2</v>
      </c>
      <c r="L47" s="50">
        <v>0</v>
      </c>
      <c r="M47" s="50">
        <v>25</v>
      </c>
      <c r="N47" s="50">
        <v>0</v>
      </c>
      <c r="O47" s="15">
        <f t="shared" si="0"/>
        <v>118</v>
      </c>
      <c r="P47" s="15">
        <f t="shared" si="1"/>
        <v>143</v>
      </c>
      <c r="R47" s="8"/>
      <c r="T47"/>
    </row>
    <row r="48" spans="2:32" ht="23.1" customHeight="1">
      <c r="B48" s="46" t="s">
        <v>75</v>
      </c>
      <c r="C48" s="50">
        <v>130</v>
      </c>
      <c r="D48" s="50">
        <v>36</v>
      </c>
      <c r="E48" s="50">
        <v>3</v>
      </c>
      <c r="F48" s="50">
        <v>8</v>
      </c>
      <c r="G48" s="50">
        <v>0</v>
      </c>
      <c r="H48" s="50">
        <v>0</v>
      </c>
      <c r="I48" s="50">
        <v>3</v>
      </c>
      <c r="J48" s="50">
        <v>0</v>
      </c>
      <c r="K48" s="50">
        <v>2</v>
      </c>
      <c r="L48" s="50">
        <v>0</v>
      </c>
      <c r="M48" s="50">
        <v>35</v>
      </c>
      <c r="N48" s="50">
        <v>0</v>
      </c>
      <c r="O48" s="15">
        <f t="shared" si="0"/>
        <v>182</v>
      </c>
      <c r="P48" s="15">
        <f t="shared" si="1"/>
        <v>217</v>
      </c>
      <c r="R48" s="8"/>
      <c r="T48"/>
    </row>
    <row r="49" spans="2:20" ht="23.1" customHeight="1">
      <c r="B49" s="45" t="s">
        <v>76</v>
      </c>
      <c r="C49" s="50">
        <v>145</v>
      </c>
      <c r="D49" s="50">
        <v>14</v>
      </c>
      <c r="E49" s="50">
        <v>6</v>
      </c>
      <c r="F49" s="50">
        <v>6</v>
      </c>
      <c r="G49" s="50">
        <v>1</v>
      </c>
      <c r="H49" s="50">
        <v>0</v>
      </c>
      <c r="I49" s="50">
        <v>2</v>
      </c>
      <c r="J49" s="50">
        <v>1</v>
      </c>
      <c r="K49" s="50">
        <v>0</v>
      </c>
      <c r="L49" s="50">
        <v>0</v>
      </c>
      <c r="M49" s="50">
        <v>40</v>
      </c>
      <c r="N49" s="50">
        <v>0</v>
      </c>
      <c r="O49" s="15">
        <f t="shared" si="0"/>
        <v>175</v>
      </c>
      <c r="P49" s="15">
        <f t="shared" si="1"/>
        <v>215</v>
      </c>
      <c r="R49" s="8"/>
      <c r="T49"/>
    </row>
    <row r="50" spans="2:20" ht="23.1" customHeight="1">
      <c r="B50" s="46" t="s">
        <v>77</v>
      </c>
      <c r="C50" s="50">
        <v>105</v>
      </c>
      <c r="D50" s="50">
        <v>10</v>
      </c>
      <c r="E50" s="50">
        <v>6</v>
      </c>
      <c r="F50" s="50">
        <v>8</v>
      </c>
      <c r="G50" s="50">
        <v>2</v>
      </c>
      <c r="H50" s="50">
        <v>0</v>
      </c>
      <c r="I50" s="50">
        <v>5</v>
      </c>
      <c r="J50" s="50">
        <v>0</v>
      </c>
      <c r="K50" s="50">
        <v>0</v>
      </c>
      <c r="L50" s="50">
        <v>0</v>
      </c>
      <c r="M50" s="50">
        <v>40</v>
      </c>
      <c r="N50" s="50">
        <v>0</v>
      </c>
      <c r="O50" s="15">
        <f t="shared" si="0"/>
        <v>136</v>
      </c>
      <c r="P50" s="15">
        <f t="shared" si="1"/>
        <v>176</v>
      </c>
      <c r="R50" s="8"/>
      <c r="T50"/>
    </row>
    <row r="51" spans="2:20" ht="23.1" customHeight="1">
      <c r="B51" s="46" t="s">
        <v>78</v>
      </c>
      <c r="C51" s="50">
        <v>130</v>
      </c>
      <c r="D51" s="50">
        <v>25</v>
      </c>
      <c r="E51" s="50">
        <v>8</v>
      </c>
      <c r="F51" s="50">
        <v>12</v>
      </c>
      <c r="G51" s="50">
        <v>1</v>
      </c>
      <c r="H51" s="50">
        <v>0</v>
      </c>
      <c r="I51" s="50">
        <v>2</v>
      </c>
      <c r="J51" s="50">
        <v>0</v>
      </c>
      <c r="K51" s="50">
        <v>0</v>
      </c>
      <c r="L51" s="50">
        <v>1</v>
      </c>
      <c r="M51" s="50">
        <v>45</v>
      </c>
      <c r="N51" s="50">
        <v>0</v>
      </c>
      <c r="O51" s="15">
        <f t="shared" si="0"/>
        <v>179</v>
      </c>
      <c r="P51" s="15">
        <f t="shared" si="1"/>
        <v>224</v>
      </c>
      <c r="R51" s="8"/>
      <c r="T51"/>
    </row>
    <row r="52" spans="2:20" ht="23.1" customHeight="1">
      <c r="B52" s="46" t="s">
        <v>79</v>
      </c>
      <c r="C52" s="50">
        <v>110</v>
      </c>
      <c r="D52" s="50">
        <v>16</v>
      </c>
      <c r="E52" s="50">
        <v>6</v>
      </c>
      <c r="F52" s="50">
        <v>20</v>
      </c>
      <c r="G52" s="50">
        <v>0</v>
      </c>
      <c r="H52" s="50">
        <v>0</v>
      </c>
      <c r="I52" s="50">
        <v>2</v>
      </c>
      <c r="J52" s="50">
        <v>1</v>
      </c>
      <c r="K52" s="50">
        <v>0</v>
      </c>
      <c r="L52" s="50">
        <v>0</v>
      </c>
      <c r="M52" s="50">
        <v>49</v>
      </c>
      <c r="N52" s="50">
        <v>0</v>
      </c>
      <c r="O52" s="15">
        <f t="shared" si="0"/>
        <v>155</v>
      </c>
      <c r="P52" s="15">
        <f t="shared" si="1"/>
        <v>204</v>
      </c>
      <c r="R52" s="8"/>
      <c r="T52"/>
    </row>
    <row r="53" spans="2:20" ht="23.1" customHeight="1">
      <c r="B53" s="45" t="s">
        <v>80</v>
      </c>
      <c r="C53" s="50">
        <v>115</v>
      </c>
      <c r="D53" s="50">
        <v>14</v>
      </c>
      <c r="E53" s="50">
        <v>2</v>
      </c>
      <c r="F53" s="50">
        <v>2</v>
      </c>
      <c r="G53" s="50">
        <v>1</v>
      </c>
      <c r="H53" s="50">
        <v>0</v>
      </c>
      <c r="I53" s="50">
        <v>5</v>
      </c>
      <c r="J53" s="50">
        <v>0</v>
      </c>
      <c r="K53" s="50">
        <v>0</v>
      </c>
      <c r="L53" s="50">
        <v>0</v>
      </c>
      <c r="M53" s="50">
        <v>50</v>
      </c>
      <c r="N53" s="50">
        <v>0</v>
      </c>
      <c r="O53" s="15">
        <f t="shared" si="0"/>
        <v>139</v>
      </c>
      <c r="P53" s="15">
        <f t="shared" si="1"/>
        <v>189</v>
      </c>
      <c r="R53" s="8"/>
      <c r="T53"/>
    </row>
    <row r="54" spans="2:20" ht="23.1" customHeight="1">
      <c r="B54" s="45" t="s">
        <v>81</v>
      </c>
      <c r="C54" s="50">
        <v>115</v>
      </c>
      <c r="D54" s="50">
        <v>23</v>
      </c>
      <c r="E54" s="50">
        <v>6</v>
      </c>
      <c r="F54" s="50">
        <v>11</v>
      </c>
      <c r="G54" s="50">
        <v>3</v>
      </c>
      <c r="H54" s="50">
        <v>1</v>
      </c>
      <c r="I54" s="50">
        <v>9</v>
      </c>
      <c r="J54" s="50">
        <v>0</v>
      </c>
      <c r="K54" s="50">
        <v>0</v>
      </c>
      <c r="L54" s="50">
        <v>0</v>
      </c>
      <c r="M54" s="50">
        <v>40</v>
      </c>
      <c r="N54" s="50">
        <v>0</v>
      </c>
      <c r="O54" s="15">
        <f t="shared" si="0"/>
        <v>168</v>
      </c>
      <c r="P54" s="15">
        <f t="shared" si="1"/>
        <v>208</v>
      </c>
      <c r="R54" s="8"/>
      <c r="T54"/>
    </row>
    <row r="55" spans="2:20" ht="23.1" customHeight="1">
      <c r="B55" s="45" t="s">
        <v>82</v>
      </c>
      <c r="C55" s="50">
        <v>100</v>
      </c>
      <c r="D55" s="50">
        <v>15</v>
      </c>
      <c r="E55" s="50">
        <v>3</v>
      </c>
      <c r="F55" s="50">
        <v>12</v>
      </c>
      <c r="G55" s="50">
        <v>1</v>
      </c>
      <c r="H55" s="50">
        <v>1</v>
      </c>
      <c r="I55" s="50">
        <v>2</v>
      </c>
      <c r="J55" s="50">
        <v>1</v>
      </c>
      <c r="K55" s="50">
        <v>0</v>
      </c>
      <c r="L55" s="50">
        <v>1</v>
      </c>
      <c r="M55" s="50">
        <v>35</v>
      </c>
      <c r="N55" s="50">
        <v>0</v>
      </c>
      <c r="O55" s="15">
        <f t="shared" si="0"/>
        <v>136</v>
      </c>
      <c r="P55" s="15">
        <f t="shared" si="1"/>
        <v>171</v>
      </c>
      <c r="R55" s="8"/>
      <c r="T55"/>
    </row>
    <row r="56" spans="2:20" ht="23.1" customHeight="1">
      <c r="B56" s="45" t="s">
        <v>83</v>
      </c>
      <c r="C56" s="50">
        <v>95</v>
      </c>
      <c r="D56" s="50">
        <v>18</v>
      </c>
      <c r="E56" s="50">
        <v>9</v>
      </c>
      <c r="F56" s="50">
        <v>15</v>
      </c>
      <c r="G56" s="50">
        <v>0</v>
      </c>
      <c r="H56" s="50">
        <v>0</v>
      </c>
      <c r="I56" s="50">
        <v>8</v>
      </c>
      <c r="J56" s="50">
        <v>0</v>
      </c>
      <c r="K56" s="50">
        <v>2</v>
      </c>
      <c r="L56" s="50">
        <v>0</v>
      </c>
      <c r="M56" s="50">
        <v>60</v>
      </c>
      <c r="N56" s="50">
        <v>0</v>
      </c>
      <c r="O56" s="15">
        <f t="shared" si="0"/>
        <v>147</v>
      </c>
      <c r="P56" s="15">
        <f t="shared" si="1"/>
        <v>207</v>
      </c>
      <c r="R56" s="8"/>
      <c r="T56"/>
    </row>
    <row r="57" spans="2:20" ht="23.1" customHeight="1">
      <c r="B57" s="45" t="s">
        <v>84</v>
      </c>
      <c r="C57" s="50">
        <v>135</v>
      </c>
      <c r="D57" s="50">
        <v>23</v>
      </c>
      <c r="E57" s="50">
        <v>8</v>
      </c>
      <c r="F57" s="50">
        <v>20</v>
      </c>
      <c r="G57" s="50">
        <v>2</v>
      </c>
      <c r="H57" s="50">
        <v>0</v>
      </c>
      <c r="I57" s="50">
        <v>4</v>
      </c>
      <c r="J57" s="50">
        <v>1</v>
      </c>
      <c r="K57" s="50">
        <v>0</v>
      </c>
      <c r="L57" s="50">
        <v>0</v>
      </c>
      <c r="M57" s="50">
        <v>90</v>
      </c>
      <c r="N57" s="50">
        <v>0</v>
      </c>
      <c r="O57" s="15">
        <f t="shared" si="0"/>
        <v>193</v>
      </c>
      <c r="P57" s="15">
        <f t="shared" si="1"/>
        <v>283</v>
      </c>
      <c r="R57" s="8"/>
      <c r="T57"/>
    </row>
    <row r="58" spans="2:20" ht="23.1" customHeight="1">
      <c r="B58" s="45" t="s">
        <v>99</v>
      </c>
      <c r="C58" s="50">
        <v>100</v>
      </c>
      <c r="D58" s="50">
        <v>25</v>
      </c>
      <c r="E58" s="50">
        <v>6</v>
      </c>
      <c r="F58" s="50">
        <v>13</v>
      </c>
      <c r="G58" s="50">
        <v>0</v>
      </c>
      <c r="H58" s="50">
        <v>0</v>
      </c>
      <c r="I58" s="50">
        <v>5</v>
      </c>
      <c r="J58" s="50">
        <v>0</v>
      </c>
      <c r="K58" s="50">
        <v>0</v>
      </c>
      <c r="L58" s="50">
        <v>0</v>
      </c>
      <c r="M58" s="50">
        <v>25</v>
      </c>
      <c r="N58" s="50">
        <v>0</v>
      </c>
      <c r="O58" s="15">
        <f t="shared" si="0"/>
        <v>149</v>
      </c>
      <c r="P58" s="15">
        <f t="shared" si="1"/>
        <v>174</v>
      </c>
      <c r="R58" s="8"/>
      <c r="T58"/>
    </row>
    <row r="59" spans="2:20" ht="23.1" customHeight="1">
      <c r="B59" s="45" t="s">
        <v>100</v>
      </c>
      <c r="C59" s="50">
        <v>115</v>
      </c>
      <c r="D59" s="50">
        <v>27</v>
      </c>
      <c r="E59" s="50">
        <v>0</v>
      </c>
      <c r="F59" s="50">
        <v>6</v>
      </c>
      <c r="G59" s="50">
        <v>0</v>
      </c>
      <c r="H59" s="50">
        <v>0</v>
      </c>
      <c r="I59" s="50">
        <v>1</v>
      </c>
      <c r="J59" s="50">
        <v>1</v>
      </c>
      <c r="K59" s="50">
        <v>0</v>
      </c>
      <c r="L59" s="50">
        <v>0</v>
      </c>
      <c r="M59" s="50">
        <v>35</v>
      </c>
      <c r="N59" s="50">
        <v>0</v>
      </c>
      <c r="O59" s="15">
        <f t="shared" si="0"/>
        <v>150</v>
      </c>
      <c r="P59" s="15">
        <f t="shared" si="1"/>
        <v>185</v>
      </c>
      <c r="R59" s="8"/>
      <c r="T59"/>
    </row>
    <row r="60" spans="2:20" ht="23.1" customHeight="1">
      <c r="B60" s="45" t="s">
        <v>101</v>
      </c>
      <c r="C60" s="50">
        <v>95</v>
      </c>
      <c r="D60" s="50">
        <v>10</v>
      </c>
      <c r="E60" s="50">
        <v>3</v>
      </c>
      <c r="F60" s="50">
        <v>23</v>
      </c>
      <c r="G60" s="50">
        <v>0</v>
      </c>
      <c r="H60" s="50">
        <v>0</v>
      </c>
      <c r="I60" s="50">
        <v>1</v>
      </c>
      <c r="J60" s="50">
        <v>0</v>
      </c>
      <c r="K60" s="50">
        <v>0</v>
      </c>
      <c r="L60" s="50">
        <v>0</v>
      </c>
      <c r="M60" s="50">
        <v>40</v>
      </c>
      <c r="N60" s="50">
        <v>0</v>
      </c>
      <c r="O60" s="15">
        <f t="shared" si="0"/>
        <v>132</v>
      </c>
      <c r="P60" s="15">
        <f t="shared" si="1"/>
        <v>172</v>
      </c>
      <c r="R60" s="8"/>
      <c r="T60"/>
    </row>
    <row r="61" spans="2:20" ht="23.1" customHeight="1">
      <c r="B61" s="45" t="s">
        <v>102</v>
      </c>
      <c r="C61" s="50">
        <v>120</v>
      </c>
      <c r="D61" s="50">
        <v>14</v>
      </c>
      <c r="E61" s="50">
        <v>2</v>
      </c>
      <c r="F61" s="50">
        <v>18</v>
      </c>
      <c r="G61" s="50">
        <v>1</v>
      </c>
      <c r="H61" s="50">
        <v>0</v>
      </c>
      <c r="I61" s="50">
        <v>3</v>
      </c>
      <c r="J61" s="50">
        <v>0</v>
      </c>
      <c r="K61" s="50">
        <v>0</v>
      </c>
      <c r="L61" s="50">
        <v>0</v>
      </c>
      <c r="M61" s="50">
        <v>50</v>
      </c>
      <c r="N61" s="50">
        <v>0</v>
      </c>
      <c r="O61" s="15">
        <f t="shared" si="0"/>
        <v>158</v>
      </c>
      <c r="P61" s="15">
        <f t="shared" si="1"/>
        <v>208</v>
      </c>
      <c r="R61" s="8"/>
      <c r="T61"/>
    </row>
    <row r="62" spans="2:20" ht="23.1" customHeight="1">
      <c r="B62" s="45" t="s">
        <v>107</v>
      </c>
      <c r="C62" s="50">
        <v>69</v>
      </c>
      <c r="D62" s="50">
        <v>9</v>
      </c>
      <c r="E62" s="50">
        <v>2</v>
      </c>
      <c r="F62" s="50">
        <v>6</v>
      </c>
      <c r="G62" s="50">
        <v>0</v>
      </c>
      <c r="H62" s="50">
        <v>0</v>
      </c>
      <c r="I62" s="50">
        <v>2</v>
      </c>
      <c r="J62" s="50">
        <v>0</v>
      </c>
      <c r="K62" s="50">
        <v>0</v>
      </c>
      <c r="L62" s="50">
        <v>0</v>
      </c>
      <c r="M62" s="50">
        <v>75</v>
      </c>
      <c r="N62" s="50">
        <v>0</v>
      </c>
      <c r="O62" s="15">
        <f t="shared" si="0"/>
        <v>88</v>
      </c>
      <c r="P62" s="15">
        <f t="shared" si="1"/>
        <v>163</v>
      </c>
      <c r="R62" s="8"/>
      <c r="T62"/>
    </row>
    <row r="63" spans="2:20" ht="23.1" customHeight="1">
      <c r="B63" s="45" t="s">
        <v>108</v>
      </c>
      <c r="C63" s="50">
        <v>125</v>
      </c>
      <c r="D63" s="50">
        <v>16</v>
      </c>
      <c r="E63" s="50">
        <v>6</v>
      </c>
      <c r="F63" s="50">
        <v>21</v>
      </c>
      <c r="G63" s="50">
        <v>0</v>
      </c>
      <c r="H63" s="50">
        <v>0</v>
      </c>
      <c r="I63" s="50">
        <v>4</v>
      </c>
      <c r="J63" s="50">
        <v>0</v>
      </c>
      <c r="K63" s="50">
        <v>0</v>
      </c>
      <c r="L63" s="50">
        <v>0</v>
      </c>
      <c r="M63" s="50">
        <v>80</v>
      </c>
      <c r="N63" s="50">
        <v>0</v>
      </c>
      <c r="O63" s="15">
        <f t="shared" si="0"/>
        <v>172</v>
      </c>
      <c r="P63" s="15">
        <f t="shared" si="1"/>
        <v>252</v>
      </c>
      <c r="R63" s="8"/>
      <c r="T63"/>
    </row>
    <row r="64" spans="2:20" ht="23.1" customHeight="1">
      <c r="B64" s="45" t="s">
        <v>109</v>
      </c>
      <c r="C64" s="50">
        <v>155</v>
      </c>
      <c r="D64" s="50">
        <v>16</v>
      </c>
      <c r="E64" s="50">
        <v>8</v>
      </c>
      <c r="F64" s="50">
        <v>20</v>
      </c>
      <c r="G64" s="50">
        <v>0</v>
      </c>
      <c r="H64" s="50">
        <v>0</v>
      </c>
      <c r="I64" s="50">
        <v>2</v>
      </c>
      <c r="J64" s="50">
        <v>0</v>
      </c>
      <c r="K64" s="50">
        <v>0</v>
      </c>
      <c r="L64" s="50">
        <v>0</v>
      </c>
      <c r="M64" s="50">
        <v>25</v>
      </c>
      <c r="N64" s="50">
        <v>0</v>
      </c>
      <c r="O64" s="15">
        <f t="shared" si="0"/>
        <v>201</v>
      </c>
      <c r="P64" s="15">
        <f t="shared" si="1"/>
        <v>226</v>
      </c>
      <c r="R64" s="8"/>
      <c r="T64"/>
    </row>
    <row r="65" spans="2:20" ht="23.1" customHeight="1">
      <c r="B65" s="45" t="s">
        <v>158</v>
      </c>
      <c r="C65" s="50">
        <v>155</v>
      </c>
      <c r="D65" s="50">
        <v>16</v>
      </c>
      <c r="E65" s="50">
        <v>2</v>
      </c>
      <c r="F65" s="50">
        <v>12</v>
      </c>
      <c r="G65" s="50">
        <v>0</v>
      </c>
      <c r="H65" s="50">
        <v>0</v>
      </c>
      <c r="I65" s="50">
        <v>1</v>
      </c>
      <c r="J65" s="50">
        <v>0</v>
      </c>
      <c r="K65" s="50">
        <v>0</v>
      </c>
      <c r="L65" s="50">
        <v>0</v>
      </c>
      <c r="M65" s="50">
        <v>26</v>
      </c>
      <c r="N65" s="50">
        <v>0</v>
      </c>
      <c r="O65" s="15">
        <f t="shared" si="0"/>
        <v>186</v>
      </c>
      <c r="P65" s="15">
        <f t="shared" si="1"/>
        <v>212</v>
      </c>
      <c r="R65" s="8"/>
      <c r="T65"/>
    </row>
    <row r="66" spans="2:20" ht="23.1" customHeight="1">
      <c r="B66" s="45" t="s">
        <v>103</v>
      </c>
      <c r="C66" s="50">
        <v>135</v>
      </c>
      <c r="D66" s="50">
        <v>16</v>
      </c>
      <c r="E66" s="50">
        <v>2</v>
      </c>
      <c r="F66" s="50">
        <v>14</v>
      </c>
      <c r="G66" s="50">
        <v>0</v>
      </c>
      <c r="H66" s="50">
        <v>0</v>
      </c>
      <c r="I66" s="50">
        <v>3</v>
      </c>
      <c r="J66" s="50">
        <v>0</v>
      </c>
      <c r="K66" s="50">
        <v>0</v>
      </c>
      <c r="L66" s="50">
        <v>0</v>
      </c>
      <c r="M66" s="50">
        <v>27</v>
      </c>
      <c r="N66" s="50">
        <v>0</v>
      </c>
      <c r="O66" s="15">
        <f t="shared" si="0"/>
        <v>170</v>
      </c>
      <c r="P66" s="15">
        <f t="shared" si="1"/>
        <v>197</v>
      </c>
      <c r="R66" s="8"/>
      <c r="T66"/>
    </row>
    <row r="67" spans="2:20" ht="23.1" customHeight="1">
      <c r="B67" s="45" t="s">
        <v>104</v>
      </c>
      <c r="C67" s="50">
        <v>170</v>
      </c>
      <c r="D67" s="50">
        <v>13</v>
      </c>
      <c r="E67" s="50">
        <v>10</v>
      </c>
      <c r="F67" s="50">
        <v>20</v>
      </c>
      <c r="G67" s="50">
        <v>0</v>
      </c>
      <c r="H67" s="50">
        <v>0</v>
      </c>
      <c r="I67" s="50">
        <v>2</v>
      </c>
      <c r="J67" s="50">
        <v>0</v>
      </c>
      <c r="K67" s="50">
        <v>0</v>
      </c>
      <c r="L67" s="50">
        <v>0</v>
      </c>
      <c r="M67" s="50">
        <v>35</v>
      </c>
      <c r="N67" s="50">
        <v>0</v>
      </c>
      <c r="O67" s="15">
        <f t="shared" si="0"/>
        <v>215</v>
      </c>
      <c r="P67" s="15">
        <f t="shared" si="1"/>
        <v>250</v>
      </c>
      <c r="R67" s="8"/>
      <c r="T67"/>
    </row>
    <row r="68" spans="2:20" ht="23.1" customHeight="1">
      <c r="B68" s="45" t="s">
        <v>105</v>
      </c>
      <c r="C68" s="50">
        <v>120</v>
      </c>
      <c r="D68" s="50">
        <v>8</v>
      </c>
      <c r="E68" s="50">
        <v>6</v>
      </c>
      <c r="F68" s="50">
        <v>5</v>
      </c>
      <c r="G68" s="50">
        <v>0</v>
      </c>
      <c r="H68" s="50">
        <v>0</v>
      </c>
      <c r="I68" s="50">
        <v>2</v>
      </c>
      <c r="J68" s="50">
        <v>0</v>
      </c>
      <c r="K68" s="50">
        <v>0</v>
      </c>
      <c r="L68" s="50">
        <v>0</v>
      </c>
      <c r="M68" s="50">
        <v>26</v>
      </c>
      <c r="N68" s="50">
        <v>0</v>
      </c>
      <c r="O68" s="15">
        <f t="shared" si="0"/>
        <v>141</v>
      </c>
      <c r="P68" s="15">
        <f t="shared" si="1"/>
        <v>167</v>
      </c>
      <c r="R68" s="8"/>
      <c r="T68"/>
    </row>
    <row r="69" spans="2:20" ht="23.1" customHeight="1">
      <c r="B69" s="45" t="s">
        <v>106</v>
      </c>
      <c r="C69" s="50">
        <v>145</v>
      </c>
      <c r="D69" s="50">
        <v>19</v>
      </c>
      <c r="E69" s="50">
        <v>10</v>
      </c>
      <c r="F69" s="50">
        <v>9</v>
      </c>
      <c r="G69" s="50">
        <v>0</v>
      </c>
      <c r="H69" s="50">
        <v>0</v>
      </c>
      <c r="I69" s="50">
        <v>1</v>
      </c>
      <c r="J69" s="50">
        <v>0</v>
      </c>
      <c r="K69" s="50">
        <v>0</v>
      </c>
      <c r="L69" s="50">
        <v>0</v>
      </c>
      <c r="M69" s="50">
        <v>21</v>
      </c>
      <c r="N69" s="50">
        <v>0</v>
      </c>
      <c r="O69" s="15">
        <f t="shared" si="0"/>
        <v>184</v>
      </c>
      <c r="P69" s="15">
        <f t="shared" si="1"/>
        <v>205</v>
      </c>
      <c r="R69" s="8"/>
      <c r="T69"/>
    </row>
    <row r="70" spans="2:20" ht="23.1" customHeight="1">
      <c r="B70" s="45" t="s">
        <v>110</v>
      </c>
      <c r="C70" s="50">
        <v>170</v>
      </c>
      <c r="D70" s="50">
        <v>11</v>
      </c>
      <c r="E70" s="50">
        <v>7</v>
      </c>
      <c r="F70" s="50">
        <v>14</v>
      </c>
      <c r="G70" s="50">
        <v>0</v>
      </c>
      <c r="H70" s="50">
        <v>0</v>
      </c>
      <c r="I70" s="50">
        <v>1</v>
      </c>
      <c r="J70" s="50">
        <v>0</v>
      </c>
      <c r="K70" s="50">
        <v>0</v>
      </c>
      <c r="L70" s="50">
        <v>0</v>
      </c>
      <c r="M70" s="50">
        <v>35</v>
      </c>
      <c r="N70" s="50">
        <v>0</v>
      </c>
      <c r="O70" s="15">
        <f t="shared" si="0"/>
        <v>203</v>
      </c>
      <c r="P70" s="15">
        <f t="shared" si="1"/>
        <v>238</v>
      </c>
      <c r="R70" s="8"/>
      <c r="T70"/>
    </row>
    <row r="71" spans="2:20" ht="23.1" customHeight="1">
      <c r="B71" s="45" t="s">
        <v>111</v>
      </c>
      <c r="C71" s="50">
        <v>120</v>
      </c>
      <c r="D71" s="50">
        <v>12</v>
      </c>
      <c r="E71" s="50">
        <v>7</v>
      </c>
      <c r="F71" s="50">
        <v>12</v>
      </c>
      <c r="G71" s="50">
        <v>0</v>
      </c>
      <c r="H71" s="50">
        <v>0</v>
      </c>
      <c r="I71" s="50">
        <v>1</v>
      </c>
      <c r="J71" s="50">
        <v>0</v>
      </c>
      <c r="K71" s="50">
        <v>0</v>
      </c>
      <c r="L71" s="50">
        <v>0</v>
      </c>
      <c r="M71" s="50">
        <v>55</v>
      </c>
      <c r="N71" s="50">
        <v>0</v>
      </c>
      <c r="O71" s="15">
        <f t="shared" si="0"/>
        <v>152</v>
      </c>
      <c r="P71" s="15">
        <f t="shared" si="1"/>
        <v>207</v>
      </c>
      <c r="R71" s="8"/>
      <c r="T71"/>
    </row>
    <row r="72" spans="2:20" ht="23.1" customHeight="1">
      <c r="B72" s="45" t="s">
        <v>112</v>
      </c>
      <c r="C72" s="50">
        <v>128</v>
      </c>
      <c r="D72" s="50">
        <v>16</v>
      </c>
      <c r="E72" s="50">
        <v>7</v>
      </c>
      <c r="F72" s="50">
        <v>11</v>
      </c>
      <c r="G72" s="50">
        <v>0</v>
      </c>
      <c r="H72" s="50">
        <v>0</v>
      </c>
      <c r="I72" s="50">
        <v>0</v>
      </c>
      <c r="J72" s="50">
        <v>0</v>
      </c>
      <c r="K72" s="50">
        <v>0</v>
      </c>
      <c r="L72" s="50">
        <v>0</v>
      </c>
      <c r="M72" s="50">
        <v>26</v>
      </c>
      <c r="N72" s="50">
        <v>0</v>
      </c>
      <c r="O72" s="15">
        <f t="shared" si="0"/>
        <v>162</v>
      </c>
      <c r="P72" s="15">
        <f t="shared" si="1"/>
        <v>188</v>
      </c>
      <c r="R72" s="8"/>
      <c r="T72"/>
    </row>
    <row r="73" spans="2:20" ht="23.1" customHeight="1">
      <c r="B73" s="45" t="s">
        <v>113</v>
      </c>
      <c r="C73" s="50">
        <v>125</v>
      </c>
      <c r="D73" s="50">
        <v>11</v>
      </c>
      <c r="E73" s="50">
        <v>9</v>
      </c>
      <c r="F73" s="50">
        <v>12</v>
      </c>
      <c r="G73" s="50">
        <v>0</v>
      </c>
      <c r="H73" s="50">
        <v>0</v>
      </c>
      <c r="I73" s="50">
        <v>2</v>
      </c>
      <c r="J73" s="50">
        <v>1</v>
      </c>
      <c r="K73" s="50">
        <v>0</v>
      </c>
      <c r="L73" s="50">
        <v>0</v>
      </c>
      <c r="M73" s="50">
        <v>21</v>
      </c>
      <c r="N73" s="50">
        <v>0</v>
      </c>
      <c r="O73" s="15">
        <f t="shared" si="0"/>
        <v>160</v>
      </c>
      <c r="P73" s="15">
        <f t="shared" si="1"/>
        <v>181</v>
      </c>
      <c r="R73" s="8"/>
      <c r="T73"/>
    </row>
    <row r="74" spans="2:20" ht="23.1" customHeight="1">
      <c r="B74" s="45" t="s">
        <v>114</v>
      </c>
      <c r="C74" s="50">
        <v>105</v>
      </c>
      <c r="D74" s="50">
        <v>12</v>
      </c>
      <c r="E74" s="50">
        <v>3</v>
      </c>
      <c r="F74" s="50">
        <v>8</v>
      </c>
      <c r="G74" s="50">
        <v>0</v>
      </c>
      <c r="H74" s="50">
        <v>0</v>
      </c>
      <c r="I74" s="50">
        <v>0</v>
      </c>
      <c r="J74" s="50">
        <v>0</v>
      </c>
      <c r="K74" s="50">
        <v>1</v>
      </c>
      <c r="L74" s="50">
        <v>0</v>
      </c>
      <c r="M74" s="50">
        <v>19</v>
      </c>
      <c r="N74" s="50">
        <v>0</v>
      </c>
      <c r="O74" s="15">
        <f t="shared" ref="O74:O105" si="35">SUM(C74:L74,N74)</f>
        <v>129</v>
      </c>
      <c r="P74" s="15">
        <f t="shared" ref="P74:P105" si="36">SUM(C74:N74)</f>
        <v>148</v>
      </c>
      <c r="R74" s="8"/>
      <c r="T74"/>
    </row>
    <row r="75" spans="2:20" ht="23.1" customHeight="1">
      <c r="B75" s="45" t="s">
        <v>115</v>
      </c>
      <c r="C75" s="50">
        <v>85</v>
      </c>
      <c r="D75" s="50">
        <v>6</v>
      </c>
      <c r="E75" s="50">
        <v>8</v>
      </c>
      <c r="F75" s="50">
        <v>7</v>
      </c>
      <c r="G75" s="50">
        <v>0</v>
      </c>
      <c r="H75" s="50">
        <v>0</v>
      </c>
      <c r="I75" s="50">
        <v>1</v>
      </c>
      <c r="J75" s="50">
        <v>1</v>
      </c>
      <c r="K75" s="50">
        <v>0</v>
      </c>
      <c r="L75" s="50">
        <v>0</v>
      </c>
      <c r="M75" s="50">
        <v>30</v>
      </c>
      <c r="N75" s="50">
        <v>1</v>
      </c>
      <c r="O75" s="15">
        <f t="shared" si="35"/>
        <v>109</v>
      </c>
      <c r="P75" s="15">
        <f t="shared" si="36"/>
        <v>139</v>
      </c>
      <c r="R75" s="8"/>
      <c r="T75"/>
    </row>
    <row r="76" spans="2:20" ht="23.1" customHeight="1">
      <c r="B76" s="45" t="s">
        <v>116</v>
      </c>
      <c r="C76" s="50">
        <v>70</v>
      </c>
      <c r="D76" s="50">
        <v>6</v>
      </c>
      <c r="E76" s="50">
        <v>3</v>
      </c>
      <c r="F76" s="50">
        <v>4</v>
      </c>
      <c r="G76" s="50">
        <v>0</v>
      </c>
      <c r="H76" s="50">
        <v>0</v>
      </c>
      <c r="I76" s="50">
        <v>1</v>
      </c>
      <c r="J76" s="50">
        <v>0</v>
      </c>
      <c r="K76" s="50">
        <v>0</v>
      </c>
      <c r="L76" s="50">
        <v>0</v>
      </c>
      <c r="M76" s="50">
        <v>25</v>
      </c>
      <c r="N76" s="50">
        <v>0</v>
      </c>
      <c r="O76" s="15">
        <f t="shared" si="35"/>
        <v>84</v>
      </c>
      <c r="P76" s="15">
        <f t="shared" si="36"/>
        <v>109</v>
      </c>
      <c r="R76" s="8"/>
      <c r="T76"/>
    </row>
    <row r="77" spans="2:20" ht="23.1" customHeight="1">
      <c r="B77" s="45" t="s">
        <v>117</v>
      </c>
      <c r="C77" s="50">
        <v>67</v>
      </c>
      <c r="D77" s="50">
        <v>7</v>
      </c>
      <c r="E77" s="50">
        <v>3</v>
      </c>
      <c r="F77" s="50">
        <v>0</v>
      </c>
      <c r="G77" s="50">
        <v>2</v>
      </c>
      <c r="H77" s="50">
        <v>0</v>
      </c>
      <c r="I77" s="50">
        <v>0</v>
      </c>
      <c r="J77" s="50">
        <v>0</v>
      </c>
      <c r="K77" s="50">
        <v>0</v>
      </c>
      <c r="L77" s="50">
        <v>0</v>
      </c>
      <c r="M77" s="50">
        <v>37</v>
      </c>
      <c r="N77" s="50">
        <v>0</v>
      </c>
      <c r="O77" s="15">
        <f t="shared" si="35"/>
        <v>79</v>
      </c>
      <c r="P77" s="15">
        <f t="shared" si="36"/>
        <v>116</v>
      </c>
      <c r="R77" s="8"/>
      <c r="T77"/>
    </row>
    <row r="78" spans="2:20" ht="23.1" customHeight="1">
      <c r="B78" s="46" t="s">
        <v>118</v>
      </c>
      <c r="C78" s="50">
        <v>60</v>
      </c>
      <c r="D78" s="50">
        <v>2</v>
      </c>
      <c r="E78" s="50">
        <v>1</v>
      </c>
      <c r="F78" s="50">
        <v>3</v>
      </c>
      <c r="G78" s="50">
        <v>0</v>
      </c>
      <c r="H78" s="50">
        <v>0</v>
      </c>
      <c r="I78" s="50">
        <v>2</v>
      </c>
      <c r="J78" s="50">
        <v>0</v>
      </c>
      <c r="K78" s="50">
        <v>0</v>
      </c>
      <c r="L78" s="50">
        <v>0</v>
      </c>
      <c r="M78" s="50">
        <v>38</v>
      </c>
      <c r="N78" s="50">
        <v>0</v>
      </c>
      <c r="O78" s="15">
        <f t="shared" si="35"/>
        <v>68</v>
      </c>
      <c r="P78" s="15">
        <f t="shared" si="36"/>
        <v>106</v>
      </c>
      <c r="R78" s="8"/>
      <c r="T78"/>
    </row>
    <row r="79" spans="2:20" ht="23.1" customHeight="1">
      <c r="B79" s="45" t="s">
        <v>119</v>
      </c>
      <c r="C79" s="50">
        <v>50</v>
      </c>
      <c r="D79" s="50">
        <v>3</v>
      </c>
      <c r="E79" s="50">
        <v>3</v>
      </c>
      <c r="F79" s="50">
        <v>2</v>
      </c>
      <c r="G79" s="50">
        <v>0</v>
      </c>
      <c r="H79" s="50">
        <v>0</v>
      </c>
      <c r="I79" s="50">
        <v>1</v>
      </c>
      <c r="J79" s="50">
        <v>0</v>
      </c>
      <c r="K79" s="50">
        <v>0</v>
      </c>
      <c r="L79" s="50">
        <v>0</v>
      </c>
      <c r="M79" s="50">
        <v>24</v>
      </c>
      <c r="N79" s="50">
        <v>0</v>
      </c>
      <c r="O79" s="15">
        <f t="shared" si="35"/>
        <v>59</v>
      </c>
      <c r="P79" s="15">
        <f t="shared" si="36"/>
        <v>83</v>
      </c>
      <c r="R79" s="8"/>
      <c r="T79"/>
    </row>
    <row r="80" spans="2:20" ht="23.1" customHeight="1">
      <c r="B80" s="47" t="s">
        <v>120</v>
      </c>
      <c r="C80" s="50">
        <v>34</v>
      </c>
      <c r="D80" s="50">
        <v>3</v>
      </c>
      <c r="E80" s="50">
        <v>1</v>
      </c>
      <c r="F80" s="50">
        <v>4</v>
      </c>
      <c r="G80" s="50">
        <v>0</v>
      </c>
      <c r="H80" s="50">
        <v>0</v>
      </c>
      <c r="I80" s="50">
        <v>0</v>
      </c>
      <c r="J80" s="50">
        <v>0</v>
      </c>
      <c r="K80" s="50">
        <v>0</v>
      </c>
      <c r="L80" s="50">
        <v>0</v>
      </c>
      <c r="M80" s="50">
        <v>45</v>
      </c>
      <c r="N80" s="50">
        <v>0</v>
      </c>
      <c r="O80" s="15">
        <f t="shared" si="35"/>
        <v>42</v>
      </c>
      <c r="P80" s="15">
        <f t="shared" si="36"/>
        <v>87</v>
      </c>
      <c r="R80" s="8"/>
      <c r="T80"/>
    </row>
    <row r="81" spans="2:20" ht="23.1" customHeight="1">
      <c r="B81" s="45" t="s">
        <v>121</v>
      </c>
      <c r="C81" s="50">
        <v>23</v>
      </c>
      <c r="D81" s="50">
        <v>1</v>
      </c>
      <c r="E81" s="50">
        <v>0</v>
      </c>
      <c r="F81" s="50">
        <v>0</v>
      </c>
      <c r="G81" s="50">
        <v>0</v>
      </c>
      <c r="H81" s="50">
        <v>0</v>
      </c>
      <c r="I81" s="50">
        <v>2</v>
      </c>
      <c r="J81" s="50">
        <v>0</v>
      </c>
      <c r="K81" s="50">
        <v>0</v>
      </c>
      <c r="L81" s="50">
        <v>0</v>
      </c>
      <c r="M81" s="50">
        <v>13</v>
      </c>
      <c r="N81" s="50">
        <v>0</v>
      </c>
      <c r="O81" s="15">
        <f t="shared" si="35"/>
        <v>26</v>
      </c>
      <c r="P81" s="15">
        <f t="shared" si="36"/>
        <v>39</v>
      </c>
      <c r="R81" s="8"/>
      <c r="T81"/>
    </row>
    <row r="82" spans="2:20" ht="23.1" customHeight="1">
      <c r="B82" s="46" t="s">
        <v>122</v>
      </c>
      <c r="C82" s="50">
        <v>20</v>
      </c>
      <c r="D82" s="50">
        <v>0</v>
      </c>
      <c r="E82" s="50">
        <v>0</v>
      </c>
      <c r="F82" s="50">
        <v>1</v>
      </c>
      <c r="G82" s="50">
        <v>0</v>
      </c>
      <c r="H82" s="50">
        <v>0</v>
      </c>
      <c r="I82" s="50">
        <v>0</v>
      </c>
      <c r="J82" s="50">
        <v>0</v>
      </c>
      <c r="K82" s="50">
        <v>0</v>
      </c>
      <c r="L82" s="50">
        <v>0</v>
      </c>
      <c r="M82" s="50">
        <v>7</v>
      </c>
      <c r="N82" s="50">
        <v>0</v>
      </c>
      <c r="O82" s="15">
        <f t="shared" si="35"/>
        <v>21</v>
      </c>
      <c r="P82" s="15">
        <f t="shared" si="36"/>
        <v>28</v>
      </c>
      <c r="R82" s="8"/>
      <c r="T82"/>
    </row>
    <row r="83" spans="2:20" ht="23.1" customHeight="1">
      <c r="B83" s="45" t="s">
        <v>123</v>
      </c>
      <c r="C83" s="50">
        <v>17</v>
      </c>
      <c r="D83" s="50">
        <v>4</v>
      </c>
      <c r="E83" s="50">
        <v>0</v>
      </c>
      <c r="F83" s="50">
        <v>0</v>
      </c>
      <c r="G83" s="50">
        <v>0</v>
      </c>
      <c r="H83" s="50">
        <v>0</v>
      </c>
      <c r="I83" s="50">
        <v>0</v>
      </c>
      <c r="J83" s="50">
        <v>0</v>
      </c>
      <c r="K83" s="50">
        <v>0</v>
      </c>
      <c r="L83" s="50">
        <v>0</v>
      </c>
      <c r="M83" s="50">
        <v>13</v>
      </c>
      <c r="N83" s="50">
        <v>0</v>
      </c>
      <c r="O83" s="15">
        <f t="shared" si="35"/>
        <v>21</v>
      </c>
      <c r="P83" s="15">
        <f t="shared" si="36"/>
        <v>34</v>
      </c>
      <c r="R83" s="8"/>
      <c r="T83"/>
    </row>
    <row r="84" spans="2:20" ht="23.1" customHeight="1">
      <c r="B84" s="47" t="s">
        <v>124</v>
      </c>
      <c r="C84" s="50">
        <v>25</v>
      </c>
      <c r="D84" s="50">
        <v>2</v>
      </c>
      <c r="E84" s="50">
        <v>1</v>
      </c>
      <c r="F84" s="50">
        <v>0</v>
      </c>
      <c r="G84" s="50">
        <v>0</v>
      </c>
      <c r="H84" s="50">
        <v>0</v>
      </c>
      <c r="I84" s="50">
        <v>0</v>
      </c>
      <c r="J84" s="50">
        <v>0</v>
      </c>
      <c r="K84" s="50">
        <v>0</v>
      </c>
      <c r="L84" s="50">
        <v>0</v>
      </c>
      <c r="M84" s="50">
        <v>17</v>
      </c>
      <c r="N84" s="50">
        <v>0</v>
      </c>
      <c r="O84" s="15">
        <f t="shared" si="35"/>
        <v>28</v>
      </c>
      <c r="P84" s="15">
        <f t="shared" si="36"/>
        <v>45</v>
      </c>
      <c r="R84" s="8"/>
      <c r="T84"/>
    </row>
    <row r="85" spans="2:20" ht="23.1" customHeight="1">
      <c r="B85" s="45" t="s">
        <v>125</v>
      </c>
      <c r="C85" s="50">
        <v>12</v>
      </c>
      <c r="D85" s="50">
        <v>3</v>
      </c>
      <c r="E85" s="50">
        <v>1</v>
      </c>
      <c r="F85" s="50">
        <v>1</v>
      </c>
      <c r="G85" s="50">
        <v>0</v>
      </c>
      <c r="H85" s="50">
        <v>0</v>
      </c>
      <c r="I85" s="50">
        <v>1</v>
      </c>
      <c r="J85" s="50">
        <v>0</v>
      </c>
      <c r="K85" s="50">
        <v>0</v>
      </c>
      <c r="L85" s="50">
        <v>0</v>
      </c>
      <c r="M85" s="50">
        <v>11</v>
      </c>
      <c r="N85" s="50">
        <v>0</v>
      </c>
      <c r="O85" s="15">
        <f t="shared" si="35"/>
        <v>18</v>
      </c>
      <c r="P85" s="15">
        <f t="shared" si="36"/>
        <v>29</v>
      </c>
      <c r="R85" s="8"/>
      <c r="T85"/>
    </row>
    <row r="86" spans="2:20" ht="23.1" customHeight="1">
      <c r="B86" s="46" t="s">
        <v>126</v>
      </c>
      <c r="C86" s="50">
        <v>29</v>
      </c>
      <c r="D86" s="50">
        <v>3</v>
      </c>
      <c r="E86" s="50">
        <v>0</v>
      </c>
      <c r="F86" s="50">
        <v>0</v>
      </c>
      <c r="G86" s="50">
        <v>0</v>
      </c>
      <c r="H86" s="50">
        <v>0</v>
      </c>
      <c r="I86" s="50">
        <v>0</v>
      </c>
      <c r="J86" s="50">
        <v>0</v>
      </c>
      <c r="K86" s="50">
        <v>0</v>
      </c>
      <c r="L86" s="50">
        <v>0</v>
      </c>
      <c r="M86" s="50">
        <v>10</v>
      </c>
      <c r="N86" s="50">
        <v>0</v>
      </c>
      <c r="O86" s="15">
        <f t="shared" si="35"/>
        <v>32</v>
      </c>
      <c r="P86" s="15">
        <f t="shared" si="36"/>
        <v>42</v>
      </c>
      <c r="R86" s="8"/>
      <c r="T86"/>
    </row>
    <row r="87" spans="2:20" ht="23.1" customHeight="1">
      <c r="B87" s="45" t="s">
        <v>127</v>
      </c>
      <c r="C87" s="50">
        <v>12</v>
      </c>
      <c r="D87" s="50">
        <v>0</v>
      </c>
      <c r="E87" s="50">
        <v>1</v>
      </c>
      <c r="F87" s="50">
        <v>0</v>
      </c>
      <c r="G87" s="50">
        <v>0</v>
      </c>
      <c r="H87" s="50">
        <v>0</v>
      </c>
      <c r="I87" s="50">
        <v>0</v>
      </c>
      <c r="J87" s="50">
        <v>0</v>
      </c>
      <c r="K87" s="50">
        <v>0</v>
      </c>
      <c r="L87" s="50">
        <v>0</v>
      </c>
      <c r="M87" s="50">
        <v>11</v>
      </c>
      <c r="N87" s="50">
        <v>0</v>
      </c>
      <c r="O87" s="15">
        <f t="shared" si="35"/>
        <v>13</v>
      </c>
      <c r="P87" s="15">
        <f t="shared" si="36"/>
        <v>24</v>
      </c>
      <c r="R87" s="8"/>
      <c r="T87"/>
    </row>
    <row r="88" spans="2:20" ht="23.1" customHeight="1">
      <c r="B88" s="47" t="s">
        <v>128</v>
      </c>
      <c r="C88" s="50">
        <v>16</v>
      </c>
      <c r="D88" s="50">
        <v>1</v>
      </c>
      <c r="E88" s="50">
        <v>0</v>
      </c>
      <c r="F88" s="50">
        <v>0</v>
      </c>
      <c r="G88" s="50">
        <v>0</v>
      </c>
      <c r="H88" s="50">
        <v>0</v>
      </c>
      <c r="I88" s="50">
        <v>1</v>
      </c>
      <c r="J88" s="50">
        <v>0</v>
      </c>
      <c r="K88" s="50">
        <v>0</v>
      </c>
      <c r="L88" s="50">
        <v>0</v>
      </c>
      <c r="M88" s="50">
        <v>10</v>
      </c>
      <c r="N88" s="50">
        <v>0</v>
      </c>
      <c r="O88" s="15">
        <f t="shared" si="35"/>
        <v>18</v>
      </c>
      <c r="P88" s="15">
        <f t="shared" si="36"/>
        <v>28</v>
      </c>
      <c r="R88" s="8"/>
      <c r="T88"/>
    </row>
    <row r="89" spans="2:20" ht="23.1" customHeight="1">
      <c r="B89" s="45" t="s">
        <v>129</v>
      </c>
      <c r="C89" s="50">
        <v>9</v>
      </c>
      <c r="D89" s="50">
        <v>0</v>
      </c>
      <c r="E89" s="50">
        <v>1</v>
      </c>
      <c r="F89" s="50">
        <v>0</v>
      </c>
      <c r="G89" s="50">
        <v>0</v>
      </c>
      <c r="H89" s="50">
        <v>0</v>
      </c>
      <c r="I89" s="50">
        <v>0</v>
      </c>
      <c r="J89" s="50">
        <v>0</v>
      </c>
      <c r="K89" s="50">
        <v>0</v>
      </c>
      <c r="L89" s="50">
        <v>1</v>
      </c>
      <c r="M89" s="50">
        <v>5</v>
      </c>
      <c r="N89" s="50">
        <v>0</v>
      </c>
      <c r="O89" s="15">
        <f t="shared" si="35"/>
        <v>11</v>
      </c>
      <c r="P89" s="15">
        <f t="shared" si="36"/>
        <v>16</v>
      </c>
      <c r="R89" s="8"/>
      <c r="T89"/>
    </row>
    <row r="90" spans="2:20" ht="23.1" customHeight="1">
      <c r="B90" s="46" t="s">
        <v>130</v>
      </c>
      <c r="C90" s="50">
        <v>10</v>
      </c>
      <c r="D90" s="50">
        <v>0</v>
      </c>
      <c r="E90" s="50">
        <v>1</v>
      </c>
      <c r="F90" s="50">
        <v>1</v>
      </c>
      <c r="G90" s="50">
        <v>0</v>
      </c>
      <c r="H90" s="50">
        <v>0</v>
      </c>
      <c r="I90" s="50">
        <v>0</v>
      </c>
      <c r="J90" s="50">
        <v>0</v>
      </c>
      <c r="K90" s="50">
        <v>0</v>
      </c>
      <c r="L90" s="50">
        <v>0</v>
      </c>
      <c r="M90" s="50">
        <v>9</v>
      </c>
      <c r="N90" s="50">
        <v>0</v>
      </c>
      <c r="O90" s="15">
        <f t="shared" si="35"/>
        <v>12</v>
      </c>
      <c r="P90" s="15">
        <f t="shared" si="36"/>
        <v>21</v>
      </c>
      <c r="R90" s="8"/>
      <c r="T90"/>
    </row>
    <row r="91" spans="2:20" ht="23.1" customHeight="1">
      <c r="B91" s="45" t="s">
        <v>131</v>
      </c>
      <c r="C91" s="50">
        <v>12</v>
      </c>
      <c r="D91" s="50">
        <v>1</v>
      </c>
      <c r="E91" s="50">
        <v>1</v>
      </c>
      <c r="F91" s="50">
        <v>0</v>
      </c>
      <c r="G91" s="50">
        <v>0</v>
      </c>
      <c r="H91" s="50">
        <v>0</v>
      </c>
      <c r="I91" s="50">
        <v>0</v>
      </c>
      <c r="J91" s="50">
        <v>1</v>
      </c>
      <c r="K91" s="50">
        <v>0</v>
      </c>
      <c r="L91" s="50">
        <v>0</v>
      </c>
      <c r="M91" s="50">
        <v>6</v>
      </c>
      <c r="N91" s="50">
        <v>0</v>
      </c>
      <c r="O91" s="15">
        <f t="shared" si="35"/>
        <v>15</v>
      </c>
      <c r="P91" s="15">
        <f t="shared" si="36"/>
        <v>21</v>
      </c>
      <c r="R91" s="8"/>
      <c r="T91"/>
    </row>
    <row r="92" spans="2:20" ht="23.1" customHeight="1">
      <c r="B92" s="47" t="s">
        <v>132</v>
      </c>
      <c r="C92" s="50">
        <v>2</v>
      </c>
      <c r="D92" s="50">
        <v>1</v>
      </c>
      <c r="E92" s="50">
        <v>0</v>
      </c>
      <c r="F92" s="50">
        <v>1</v>
      </c>
      <c r="G92" s="50">
        <v>0</v>
      </c>
      <c r="H92" s="50">
        <v>0</v>
      </c>
      <c r="I92" s="50">
        <v>1</v>
      </c>
      <c r="J92" s="50">
        <v>0</v>
      </c>
      <c r="K92" s="50">
        <v>0</v>
      </c>
      <c r="L92" s="50">
        <v>0</v>
      </c>
      <c r="M92" s="50">
        <v>4</v>
      </c>
      <c r="N92" s="50">
        <v>0</v>
      </c>
      <c r="O92" s="15">
        <f t="shared" si="35"/>
        <v>5</v>
      </c>
      <c r="P92" s="15">
        <f t="shared" si="36"/>
        <v>9</v>
      </c>
      <c r="R92" s="8"/>
      <c r="T92"/>
    </row>
    <row r="93" spans="2:20" ht="23.1" customHeight="1">
      <c r="B93" s="45" t="s">
        <v>133</v>
      </c>
      <c r="C93" s="50">
        <v>15</v>
      </c>
      <c r="D93" s="50">
        <v>2</v>
      </c>
      <c r="E93" s="50">
        <v>1</v>
      </c>
      <c r="F93" s="50">
        <v>0</v>
      </c>
      <c r="G93" s="50">
        <v>0</v>
      </c>
      <c r="H93" s="50">
        <v>0</v>
      </c>
      <c r="I93" s="50">
        <v>0</v>
      </c>
      <c r="J93" s="50">
        <v>0</v>
      </c>
      <c r="K93" s="50">
        <v>0</v>
      </c>
      <c r="L93" s="50">
        <v>0</v>
      </c>
      <c r="M93" s="50">
        <v>20</v>
      </c>
      <c r="N93" s="50">
        <v>0</v>
      </c>
      <c r="O93" s="15">
        <f t="shared" si="35"/>
        <v>18</v>
      </c>
      <c r="P93" s="15">
        <f t="shared" si="36"/>
        <v>38</v>
      </c>
      <c r="R93" s="8"/>
      <c r="T93"/>
    </row>
    <row r="94" spans="2:20" ht="23.1" customHeight="1">
      <c r="B94" s="46" t="s">
        <v>134</v>
      </c>
      <c r="C94" s="50">
        <v>20</v>
      </c>
      <c r="D94" s="50">
        <v>2</v>
      </c>
      <c r="E94" s="50">
        <v>2</v>
      </c>
      <c r="F94" s="50">
        <v>1</v>
      </c>
      <c r="G94" s="50">
        <v>0</v>
      </c>
      <c r="H94" s="50">
        <v>0</v>
      </c>
      <c r="I94" s="50">
        <v>0</v>
      </c>
      <c r="J94" s="50">
        <v>1</v>
      </c>
      <c r="K94" s="50">
        <v>0</v>
      </c>
      <c r="L94" s="50">
        <v>0</v>
      </c>
      <c r="M94" s="50">
        <v>15</v>
      </c>
      <c r="N94" s="50">
        <v>0</v>
      </c>
      <c r="O94" s="15">
        <f t="shared" si="35"/>
        <v>26</v>
      </c>
      <c r="P94" s="15">
        <f t="shared" si="36"/>
        <v>41</v>
      </c>
      <c r="R94" s="8"/>
      <c r="T94"/>
    </row>
    <row r="95" spans="2:20" ht="23.1" customHeight="1">
      <c r="B95" s="45" t="s">
        <v>135</v>
      </c>
      <c r="C95" s="50">
        <v>13</v>
      </c>
      <c r="D95" s="50">
        <v>0</v>
      </c>
      <c r="E95" s="50">
        <v>2</v>
      </c>
      <c r="F95" s="50">
        <v>1</v>
      </c>
      <c r="G95" s="50">
        <v>1</v>
      </c>
      <c r="H95" s="50">
        <v>0</v>
      </c>
      <c r="I95" s="50">
        <v>0</v>
      </c>
      <c r="J95" s="50">
        <v>1</v>
      </c>
      <c r="K95" s="50">
        <v>0</v>
      </c>
      <c r="L95" s="50">
        <v>0</v>
      </c>
      <c r="M95" s="50">
        <v>10</v>
      </c>
      <c r="N95" s="50">
        <v>0</v>
      </c>
      <c r="O95" s="15">
        <f t="shared" si="35"/>
        <v>18</v>
      </c>
      <c r="P95" s="15">
        <f t="shared" si="36"/>
        <v>28</v>
      </c>
      <c r="R95" s="8"/>
      <c r="T95"/>
    </row>
    <row r="96" spans="2:20" ht="23.1" customHeight="1">
      <c r="B96" s="47" t="s">
        <v>136</v>
      </c>
      <c r="C96" s="50">
        <v>9</v>
      </c>
      <c r="D96" s="50">
        <v>1</v>
      </c>
      <c r="E96" s="50">
        <v>1</v>
      </c>
      <c r="F96" s="50">
        <v>0</v>
      </c>
      <c r="G96" s="50">
        <v>0</v>
      </c>
      <c r="H96" s="50">
        <v>0</v>
      </c>
      <c r="I96" s="50">
        <v>2</v>
      </c>
      <c r="J96" s="50">
        <v>0</v>
      </c>
      <c r="K96" s="50">
        <v>0</v>
      </c>
      <c r="L96" s="50">
        <v>0</v>
      </c>
      <c r="M96" s="50">
        <v>10</v>
      </c>
      <c r="N96" s="50">
        <v>0</v>
      </c>
      <c r="O96" s="15">
        <f t="shared" si="35"/>
        <v>13</v>
      </c>
      <c r="P96" s="15">
        <f t="shared" si="36"/>
        <v>23</v>
      </c>
      <c r="R96" s="8"/>
      <c r="T96"/>
    </row>
    <row r="97" spans="2:20" ht="23.1" customHeight="1">
      <c r="B97" s="45" t="s">
        <v>137</v>
      </c>
      <c r="C97" s="50">
        <v>7</v>
      </c>
      <c r="D97" s="50">
        <v>0</v>
      </c>
      <c r="E97" s="50">
        <v>1</v>
      </c>
      <c r="F97" s="50">
        <v>4</v>
      </c>
      <c r="G97" s="50">
        <v>1</v>
      </c>
      <c r="H97" s="50">
        <v>0</v>
      </c>
      <c r="I97" s="50">
        <v>0</v>
      </c>
      <c r="J97" s="50">
        <v>0</v>
      </c>
      <c r="K97" s="50">
        <v>0</v>
      </c>
      <c r="L97" s="50">
        <v>0</v>
      </c>
      <c r="M97" s="50">
        <v>6</v>
      </c>
      <c r="N97" s="50">
        <v>0</v>
      </c>
      <c r="O97" s="15">
        <f t="shared" si="35"/>
        <v>13</v>
      </c>
      <c r="P97" s="15">
        <f t="shared" si="36"/>
        <v>19</v>
      </c>
      <c r="R97" s="8"/>
      <c r="T97"/>
    </row>
    <row r="98" spans="2:20" ht="23.1" customHeight="1">
      <c r="B98" s="46" t="s">
        <v>138</v>
      </c>
      <c r="C98" s="50">
        <v>12</v>
      </c>
      <c r="D98" s="50">
        <v>0</v>
      </c>
      <c r="E98" s="50">
        <v>1</v>
      </c>
      <c r="F98" s="50">
        <v>6</v>
      </c>
      <c r="G98" s="50">
        <v>0</v>
      </c>
      <c r="H98" s="50">
        <v>0</v>
      </c>
      <c r="I98" s="50">
        <v>1</v>
      </c>
      <c r="J98" s="50">
        <v>0</v>
      </c>
      <c r="K98" s="50">
        <v>0</v>
      </c>
      <c r="L98" s="50">
        <v>0</v>
      </c>
      <c r="M98" s="50">
        <v>8</v>
      </c>
      <c r="N98" s="50">
        <v>0</v>
      </c>
      <c r="O98" s="15">
        <f t="shared" si="35"/>
        <v>20</v>
      </c>
      <c r="P98" s="15">
        <f t="shared" si="36"/>
        <v>28</v>
      </c>
      <c r="R98" s="8"/>
      <c r="T98"/>
    </row>
    <row r="99" spans="2:20" ht="23.1" customHeight="1">
      <c r="B99" s="45" t="s">
        <v>139</v>
      </c>
      <c r="C99" s="50">
        <v>14</v>
      </c>
      <c r="D99" s="50">
        <v>0</v>
      </c>
      <c r="E99" s="50">
        <v>1</v>
      </c>
      <c r="F99" s="50">
        <v>9</v>
      </c>
      <c r="G99" s="50">
        <v>2</v>
      </c>
      <c r="H99" s="50">
        <v>0</v>
      </c>
      <c r="I99" s="50">
        <v>0</v>
      </c>
      <c r="J99" s="50">
        <v>0</v>
      </c>
      <c r="K99" s="50">
        <v>0</v>
      </c>
      <c r="L99" s="50">
        <v>0</v>
      </c>
      <c r="M99" s="50">
        <v>9</v>
      </c>
      <c r="N99" s="50">
        <v>0</v>
      </c>
      <c r="O99" s="15">
        <f t="shared" si="35"/>
        <v>26</v>
      </c>
      <c r="P99" s="15">
        <f t="shared" si="36"/>
        <v>35</v>
      </c>
      <c r="R99" s="8"/>
      <c r="T99"/>
    </row>
    <row r="100" spans="2:20" ht="23.1" customHeight="1">
      <c r="B100" s="47" t="s">
        <v>140</v>
      </c>
      <c r="C100" s="50">
        <v>14</v>
      </c>
      <c r="D100" s="50">
        <v>2</v>
      </c>
      <c r="E100" s="50">
        <v>0</v>
      </c>
      <c r="F100" s="50">
        <v>8</v>
      </c>
      <c r="G100" s="50">
        <v>0</v>
      </c>
      <c r="H100" s="50">
        <v>0</v>
      </c>
      <c r="I100" s="50">
        <v>0</v>
      </c>
      <c r="J100" s="50">
        <v>0</v>
      </c>
      <c r="K100" s="50">
        <v>0</v>
      </c>
      <c r="L100" s="50">
        <v>0</v>
      </c>
      <c r="M100" s="50">
        <v>10</v>
      </c>
      <c r="N100" s="50">
        <v>0</v>
      </c>
      <c r="O100" s="15">
        <f t="shared" si="35"/>
        <v>24</v>
      </c>
      <c r="P100" s="15">
        <f t="shared" si="36"/>
        <v>34</v>
      </c>
      <c r="R100" s="8"/>
      <c r="T100"/>
    </row>
    <row r="101" spans="2:20" ht="23.1" customHeight="1">
      <c r="B101" s="45" t="s">
        <v>141</v>
      </c>
      <c r="C101" s="50">
        <v>15</v>
      </c>
      <c r="D101" s="50">
        <v>1</v>
      </c>
      <c r="E101" s="50">
        <v>2</v>
      </c>
      <c r="F101" s="50">
        <v>7</v>
      </c>
      <c r="G101" s="50">
        <v>0</v>
      </c>
      <c r="H101" s="50">
        <v>0</v>
      </c>
      <c r="I101" s="50">
        <v>2</v>
      </c>
      <c r="J101" s="50">
        <v>0</v>
      </c>
      <c r="K101" s="50">
        <v>0</v>
      </c>
      <c r="L101" s="50">
        <v>0</v>
      </c>
      <c r="M101" s="50">
        <v>12</v>
      </c>
      <c r="N101" s="50">
        <v>0</v>
      </c>
      <c r="O101" s="15">
        <f t="shared" si="35"/>
        <v>27</v>
      </c>
      <c r="P101" s="15">
        <f t="shared" si="36"/>
        <v>39</v>
      </c>
      <c r="R101" s="8"/>
      <c r="T101"/>
    </row>
    <row r="102" spans="2:20" ht="23.1" customHeight="1">
      <c r="B102" s="46" t="s">
        <v>142</v>
      </c>
      <c r="C102" s="50">
        <v>14</v>
      </c>
      <c r="D102" s="50">
        <v>5</v>
      </c>
      <c r="E102" s="50">
        <v>0</v>
      </c>
      <c r="F102" s="50">
        <v>11</v>
      </c>
      <c r="G102" s="50">
        <v>1</v>
      </c>
      <c r="H102" s="50">
        <v>0</v>
      </c>
      <c r="I102" s="50">
        <v>1</v>
      </c>
      <c r="J102" s="50">
        <v>1</v>
      </c>
      <c r="K102" s="50">
        <v>1</v>
      </c>
      <c r="L102" s="50">
        <v>0</v>
      </c>
      <c r="M102" s="50">
        <v>10</v>
      </c>
      <c r="N102" s="50">
        <v>0</v>
      </c>
      <c r="O102" s="15">
        <f t="shared" si="35"/>
        <v>34</v>
      </c>
      <c r="P102" s="15">
        <f t="shared" si="36"/>
        <v>44</v>
      </c>
      <c r="R102" s="8"/>
      <c r="T102"/>
    </row>
    <row r="103" spans="2:20" ht="23.1" customHeight="1">
      <c r="B103" s="45" t="s">
        <v>143</v>
      </c>
      <c r="C103" s="50">
        <v>31</v>
      </c>
      <c r="D103" s="50">
        <v>8</v>
      </c>
      <c r="E103" s="50">
        <v>4</v>
      </c>
      <c r="F103" s="50">
        <v>13</v>
      </c>
      <c r="G103" s="50">
        <v>0</v>
      </c>
      <c r="H103" s="50">
        <v>0</v>
      </c>
      <c r="I103" s="50">
        <v>0</v>
      </c>
      <c r="J103" s="50">
        <v>0</v>
      </c>
      <c r="K103" s="50">
        <v>0</v>
      </c>
      <c r="L103" s="50">
        <v>0</v>
      </c>
      <c r="M103" s="50">
        <v>14</v>
      </c>
      <c r="N103" s="50">
        <v>0</v>
      </c>
      <c r="O103" s="15">
        <f t="shared" si="35"/>
        <v>56</v>
      </c>
      <c r="P103" s="15">
        <f t="shared" si="36"/>
        <v>70</v>
      </c>
      <c r="R103" s="8"/>
      <c r="T103"/>
    </row>
    <row r="104" spans="2:20" ht="23.1" customHeight="1">
      <c r="B104" s="47" t="s">
        <v>144</v>
      </c>
      <c r="C104" s="50">
        <v>55</v>
      </c>
      <c r="D104" s="50">
        <v>10</v>
      </c>
      <c r="E104" s="50">
        <v>1</v>
      </c>
      <c r="F104" s="50">
        <v>21</v>
      </c>
      <c r="G104" s="50">
        <v>0</v>
      </c>
      <c r="H104" s="50">
        <v>0</v>
      </c>
      <c r="I104" s="50">
        <v>2</v>
      </c>
      <c r="J104" s="50">
        <v>1</v>
      </c>
      <c r="K104" s="50">
        <v>0</v>
      </c>
      <c r="L104" s="50">
        <v>0</v>
      </c>
      <c r="M104" s="50">
        <v>15</v>
      </c>
      <c r="N104" s="50">
        <v>0</v>
      </c>
      <c r="O104" s="15">
        <f t="shared" si="35"/>
        <v>90</v>
      </c>
      <c r="P104" s="15">
        <f t="shared" si="36"/>
        <v>105</v>
      </c>
      <c r="R104" s="8"/>
      <c r="T104"/>
    </row>
    <row r="105" spans="2:20" ht="23.1" customHeight="1">
      <c r="B105" s="45" t="s">
        <v>145</v>
      </c>
      <c r="C105" s="50">
        <v>7</v>
      </c>
      <c r="D105" s="50">
        <v>1</v>
      </c>
      <c r="E105" s="50">
        <v>0</v>
      </c>
      <c r="F105" s="50">
        <v>4</v>
      </c>
      <c r="G105" s="50">
        <v>0</v>
      </c>
      <c r="H105" s="50">
        <v>0</v>
      </c>
      <c r="I105" s="50">
        <v>0</v>
      </c>
      <c r="J105" s="50">
        <v>0</v>
      </c>
      <c r="K105" s="50">
        <v>0</v>
      </c>
      <c r="L105" s="50">
        <v>0</v>
      </c>
      <c r="M105" s="50">
        <v>9</v>
      </c>
      <c r="N105" s="50">
        <v>0</v>
      </c>
      <c r="O105" s="15">
        <f t="shared" si="35"/>
        <v>12</v>
      </c>
      <c r="P105" s="15">
        <f t="shared" si="36"/>
        <v>21</v>
      </c>
      <c r="R105" s="8"/>
      <c r="T105"/>
    </row>
    <row r="106" spans="2:20" ht="23.1" customHeight="1">
      <c r="B106" s="26" t="s">
        <v>18</v>
      </c>
      <c r="C106" s="16">
        <f>SUM(C10:C105)</f>
        <v>5711</v>
      </c>
      <c r="D106" s="16">
        <f t="shared" ref="D106:P106" si="37">SUM(D10:D105)</f>
        <v>750</v>
      </c>
      <c r="E106" s="16">
        <f t="shared" si="37"/>
        <v>315</v>
      </c>
      <c r="F106" s="16">
        <f t="shared" si="37"/>
        <v>1134</v>
      </c>
      <c r="G106" s="16">
        <f t="shared" si="37"/>
        <v>37</v>
      </c>
      <c r="H106" s="16">
        <f t="shared" si="37"/>
        <v>2</v>
      </c>
      <c r="I106" s="16">
        <f t="shared" si="37"/>
        <v>290</v>
      </c>
      <c r="J106" s="16">
        <f t="shared" si="37"/>
        <v>32</v>
      </c>
      <c r="K106" s="16">
        <f t="shared" si="37"/>
        <v>19</v>
      </c>
      <c r="L106" s="16">
        <f t="shared" si="37"/>
        <v>6</v>
      </c>
      <c r="M106" s="16">
        <f t="shared" si="37"/>
        <v>3094</v>
      </c>
      <c r="N106" s="16">
        <f t="shared" si="37"/>
        <v>1</v>
      </c>
      <c r="O106" s="16">
        <f t="shared" si="37"/>
        <v>8297</v>
      </c>
      <c r="P106" s="16">
        <f t="shared" si="37"/>
        <v>11391</v>
      </c>
      <c r="R106" s="8"/>
      <c r="T106"/>
    </row>
    <row r="107" spans="2:20" ht="23.1" customHeight="1">
      <c r="B107" s="26" t="s">
        <v>93</v>
      </c>
      <c r="C107" s="43">
        <f t="shared" ref="C107:N107" si="38">C106/$P$106</f>
        <v>0.50136072337810555</v>
      </c>
      <c r="D107" s="43">
        <f t="shared" si="38"/>
        <v>6.5841453779299453E-2</v>
      </c>
      <c r="E107" s="43">
        <f t="shared" si="38"/>
        <v>2.7653410587305766E-2</v>
      </c>
      <c r="F107" s="43">
        <f t="shared" si="38"/>
        <v>9.9552278114300757E-2</v>
      </c>
      <c r="G107" s="43">
        <f t="shared" si="38"/>
        <v>3.2481783864454395E-3</v>
      </c>
      <c r="H107" s="43">
        <f t="shared" si="38"/>
        <v>1.7557721007813187E-4</v>
      </c>
      <c r="I107" s="43">
        <f t="shared" si="38"/>
        <v>2.5458695461329121E-2</v>
      </c>
      <c r="J107" s="43">
        <f t="shared" si="38"/>
        <v>2.8092353612501099E-3</v>
      </c>
      <c r="K107" s="43">
        <f t="shared" si="38"/>
        <v>1.6679834957422526E-3</v>
      </c>
      <c r="L107" s="43">
        <f t="shared" si="38"/>
        <v>5.267316302343956E-4</v>
      </c>
      <c r="M107" s="43">
        <f t="shared" si="38"/>
        <v>0.27161794399086997</v>
      </c>
      <c r="N107" s="43">
        <f t="shared" si="38"/>
        <v>8.7788605039065934E-5</v>
      </c>
      <c r="R107" s="8"/>
      <c r="T107"/>
    </row>
    <row r="108" spans="2:20" ht="23.1" customHeight="1">
      <c r="B108" s="42" t="s">
        <v>94</v>
      </c>
      <c r="C108" s="44">
        <f>C106/$O$106</f>
        <v>0.68832107990840063</v>
      </c>
      <c r="D108" s="44">
        <f t="shared" ref="D108:N108" si="39">D106/$O$106</f>
        <v>9.0394118356032296E-2</v>
      </c>
      <c r="E108" s="44">
        <f t="shared" si="39"/>
        <v>3.7965529709533569E-2</v>
      </c>
      <c r="F108" s="44">
        <f t="shared" si="39"/>
        <v>0.13667590695432083</v>
      </c>
      <c r="G108" s="44">
        <f t="shared" si="39"/>
        <v>4.459443172230927E-3</v>
      </c>
      <c r="H108" s="44">
        <f t="shared" si="39"/>
        <v>2.4105098228275281E-4</v>
      </c>
      <c r="I108" s="44">
        <f t="shared" si="39"/>
        <v>3.4952392430999159E-2</v>
      </c>
      <c r="J108" s="44">
        <f t="shared" si="39"/>
        <v>3.8568157165240449E-3</v>
      </c>
      <c r="K108" s="44">
        <f t="shared" si="39"/>
        <v>2.2899843316861518E-3</v>
      </c>
      <c r="L108" s="44">
        <f t="shared" si="39"/>
        <v>7.2315294684825845E-4</v>
      </c>
      <c r="M108" s="44"/>
      <c r="N108" s="44">
        <f t="shared" si="39"/>
        <v>1.205254911413764E-4</v>
      </c>
      <c r="Q108" s="7"/>
      <c r="R108" s="8"/>
      <c r="T108"/>
    </row>
    <row r="109" spans="2:20" ht="23.1" customHeight="1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B1:AF126"/>
  <sheetViews>
    <sheetView view="pageBreakPreview" zoomScale="60" workbookViewId="0">
      <selection activeCell="M57" sqref="M57"/>
    </sheetView>
  </sheetViews>
  <sheetFormatPr defaultColWidth="15" defaultRowHeight="20.100000000000001" customHeight="1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>
      <c r="B1" s="60" t="s">
        <v>23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</row>
    <row r="2" spans="2:32" ht="20.100000000000001" customHeight="1">
      <c r="B2" s="61" t="s">
        <v>95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</row>
    <row r="3" spans="2:32" ht="20.100000000000001" customHeight="1">
      <c r="B3" s="22" t="s">
        <v>96</v>
      </c>
      <c r="C3" s="65" t="str">
        <f>'29.07 Najjeera-Kiwatule'!C3:G3</f>
        <v>MCC - C1 - STN36 - MBOGO ROAD</v>
      </c>
      <c r="D3" s="65"/>
      <c r="E3" s="65"/>
      <c r="F3" s="65"/>
      <c r="G3" s="65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>
      <c r="C5" s="4" t="s">
        <v>3</v>
      </c>
      <c r="D5" s="36" t="s">
        <v>180</v>
      </c>
      <c r="E5" s="3"/>
      <c r="F5" s="41" t="s">
        <v>1</v>
      </c>
      <c r="G5" s="66" t="str">
        <f>'29.07 Najjeera-Kiwatule'!G5:H5</f>
        <v>U Save Kiwatule</v>
      </c>
      <c r="H5" s="67"/>
      <c r="I5" s="14"/>
      <c r="J5" s="2" t="s">
        <v>5</v>
      </c>
      <c r="K5" s="66" t="s">
        <v>176</v>
      </c>
      <c r="L5" s="67"/>
      <c r="M5" s="10"/>
      <c r="N5" s="10"/>
      <c r="O5" s="3"/>
      <c r="P5" s="3"/>
    </row>
    <row r="6" spans="2:32" ht="23.25" customHeight="1">
      <c r="C6" s="2" t="s">
        <v>4</v>
      </c>
      <c r="D6" s="66" t="str">
        <f>'29.07 Najjeera-Kiwatule'!D6:E6</f>
        <v>Najjeera</v>
      </c>
      <c r="E6" s="67"/>
      <c r="F6" s="2" t="s">
        <v>2</v>
      </c>
      <c r="G6" s="66" t="str">
        <f>'29.07 Najjeera-Kiwatule'!G6:H6</f>
        <v>Kiwatule</v>
      </c>
      <c r="H6" s="67"/>
      <c r="J6" s="2" t="s">
        <v>21</v>
      </c>
      <c r="K6" s="66" t="s">
        <v>172</v>
      </c>
      <c r="L6" s="67"/>
      <c r="M6" s="10"/>
      <c r="N6" s="10"/>
      <c r="O6" s="3"/>
      <c r="P6" s="3"/>
    </row>
    <row r="7" spans="2:32" ht="20.100000000000001" customHeight="1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9" t="s">
        <v>88</v>
      </c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</row>
    <row r="9" spans="2:32" ht="51.75" customHeight="1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>
      <c r="B10" s="23" t="s">
        <v>37</v>
      </c>
      <c r="C10" s="50">
        <v>140</v>
      </c>
      <c r="D10" s="50">
        <v>13</v>
      </c>
      <c r="E10" s="50">
        <v>7</v>
      </c>
      <c r="F10" s="50">
        <v>21</v>
      </c>
      <c r="G10" s="50">
        <v>0</v>
      </c>
      <c r="H10" s="50">
        <v>0</v>
      </c>
      <c r="I10" s="50">
        <v>1</v>
      </c>
      <c r="J10" s="50">
        <v>0</v>
      </c>
      <c r="K10" s="50">
        <v>0</v>
      </c>
      <c r="L10" s="50">
        <v>0</v>
      </c>
      <c r="M10" s="50">
        <v>79</v>
      </c>
      <c r="N10" s="50">
        <v>0</v>
      </c>
      <c r="O10" s="15">
        <f t="shared" ref="O10:O57" si="0">SUM(C10:L10,N10)</f>
        <v>182</v>
      </c>
      <c r="P10" s="15">
        <f t="shared" ref="P10:P57" si="1">SUM(C10:N10)</f>
        <v>261</v>
      </c>
      <c r="R10" s="1" t="s">
        <v>6</v>
      </c>
      <c r="S10" s="17">
        <f t="shared" ref="S10:AF10" si="2">SUM(C10:C13)</f>
        <v>655</v>
      </c>
      <c r="T10" s="17">
        <f t="shared" si="2"/>
        <v>56</v>
      </c>
      <c r="U10" s="17">
        <f t="shared" si="2"/>
        <v>35</v>
      </c>
      <c r="V10" s="17">
        <f t="shared" si="2"/>
        <v>82</v>
      </c>
      <c r="W10" s="17">
        <f t="shared" si="2"/>
        <v>1</v>
      </c>
      <c r="X10" s="17">
        <f t="shared" si="2"/>
        <v>0</v>
      </c>
      <c r="Y10" s="17">
        <f t="shared" si="2"/>
        <v>5</v>
      </c>
      <c r="Z10" s="17">
        <f t="shared" si="2"/>
        <v>1</v>
      </c>
      <c r="AA10" s="17">
        <f t="shared" si="2"/>
        <v>0</v>
      </c>
      <c r="AB10" s="17">
        <f t="shared" si="2"/>
        <v>0</v>
      </c>
      <c r="AC10" s="17">
        <f t="shared" si="2"/>
        <v>350</v>
      </c>
      <c r="AD10" s="17">
        <f t="shared" si="2"/>
        <v>0</v>
      </c>
      <c r="AE10" s="31">
        <f t="shared" si="2"/>
        <v>835</v>
      </c>
      <c r="AF10" s="31">
        <f t="shared" si="2"/>
        <v>1185</v>
      </c>
    </row>
    <row r="11" spans="2:32" s="6" customFormat="1" ht="23.1" customHeight="1">
      <c r="B11" s="23" t="s">
        <v>38</v>
      </c>
      <c r="C11" s="50">
        <v>165</v>
      </c>
      <c r="D11" s="50">
        <v>18</v>
      </c>
      <c r="E11" s="50">
        <v>8</v>
      </c>
      <c r="F11" s="50">
        <v>24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95</v>
      </c>
      <c r="N11" s="50">
        <v>0</v>
      </c>
      <c r="O11" s="15">
        <f t="shared" si="0"/>
        <v>215</v>
      </c>
      <c r="P11" s="15">
        <f t="shared" si="1"/>
        <v>310</v>
      </c>
      <c r="R11" s="1" t="s">
        <v>7</v>
      </c>
      <c r="S11" s="17">
        <f t="shared" ref="S11:AF11" si="3">SUM(C14:C17)</f>
        <v>580</v>
      </c>
      <c r="T11" s="17">
        <f t="shared" si="3"/>
        <v>63</v>
      </c>
      <c r="U11" s="17">
        <f t="shared" si="3"/>
        <v>27</v>
      </c>
      <c r="V11" s="17">
        <f t="shared" si="3"/>
        <v>73</v>
      </c>
      <c r="W11" s="17">
        <f t="shared" si="3"/>
        <v>0</v>
      </c>
      <c r="X11" s="17">
        <f t="shared" si="3"/>
        <v>0</v>
      </c>
      <c r="Y11" s="17">
        <f t="shared" si="3"/>
        <v>16</v>
      </c>
      <c r="Z11" s="17">
        <f t="shared" si="3"/>
        <v>2</v>
      </c>
      <c r="AA11" s="17">
        <f t="shared" si="3"/>
        <v>0</v>
      </c>
      <c r="AB11" s="17">
        <f t="shared" si="3"/>
        <v>0</v>
      </c>
      <c r="AC11" s="17">
        <f t="shared" si="3"/>
        <v>369</v>
      </c>
      <c r="AD11" s="17">
        <f t="shared" si="3"/>
        <v>1</v>
      </c>
      <c r="AE11" s="31">
        <f t="shared" si="3"/>
        <v>762</v>
      </c>
      <c r="AF11" s="31">
        <f t="shared" si="3"/>
        <v>1131</v>
      </c>
    </row>
    <row r="12" spans="2:32" ht="23.1" customHeight="1">
      <c r="B12" s="23" t="s">
        <v>39</v>
      </c>
      <c r="C12" s="50">
        <v>165</v>
      </c>
      <c r="D12" s="50">
        <v>10</v>
      </c>
      <c r="E12" s="50">
        <v>10</v>
      </c>
      <c r="F12" s="50">
        <v>17</v>
      </c>
      <c r="G12" s="50">
        <v>0</v>
      </c>
      <c r="H12" s="50">
        <v>0</v>
      </c>
      <c r="I12" s="50">
        <v>0</v>
      </c>
      <c r="J12" s="50">
        <v>1</v>
      </c>
      <c r="K12" s="50">
        <v>0</v>
      </c>
      <c r="L12" s="50">
        <v>0</v>
      </c>
      <c r="M12" s="50">
        <v>90</v>
      </c>
      <c r="N12" s="50">
        <v>0</v>
      </c>
      <c r="O12" s="15">
        <f t="shared" si="0"/>
        <v>203</v>
      </c>
      <c r="P12" s="15">
        <f t="shared" si="1"/>
        <v>293</v>
      </c>
      <c r="R12" s="1" t="s">
        <v>8</v>
      </c>
      <c r="S12" s="17">
        <f t="shared" ref="S12:AF12" si="4">SUM(C18:C21)</f>
        <v>333</v>
      </c>
      <c r="T12" s="17">
        <f t="shared" si="4"/>
        <v>44</v>
      </c>
      <c r="U12" s="17">
        <f t="shared" si="4"/>
        <v>32</v>
      </c>
      <c r="V12" s="17">
        <f t="shared" si="4"/>
        <v>49</v>
      </c>
      <c r="W12" s="17">
        <f t="shared" si="4"/>
        <v>3</v>
      </c>
      <c r="X12" s="17">
        <f t="shared" si="4"/>
        <v>0</v>
      </c>
      <c r="Y12" s="17">
        <f t="shared" si="4"/>
        <v>5</v>
      </c>
      <c r="Z12" s="17">
        <f t="shared" si="4"/>
        <v>3</v>
      </c>
      <c r="AA12" s="17">
        <f t="shared" si="4"/>
        <v>0</v>
      </c>
      <c r="AB12" s="17">
        <f t="shared" si="4"/>
        <v>0</v>
      </c>
      <c r="AC12" s="17">
        <f t="shared" si="4"/>
        <v>370</v>
      </c>
      <c r="AD12" s="17">
        <f t="shared" si="4"/>
        <v>0</v>
      </c>
      <c r="AE12" s="31">
        <f t="shared" si="4"/>
        <v>469</v>
      </c>
      <c r="AF12" s="31">
        <f t="shared" si="4"/>
        <v>839</v>
      </c>
    </row>
    <row r="13" spans="2:32" ht="23.1" customHeight="1">
      <c r="B13" s="23" t="s">
        <v>40</v>
      </c>
      <c r="C13" s="50">
        <v>185</v>
      </c>
      <c r="D13" s="50">
        <v>15</v>
      </c>
      <c r="E13" s="50">
        <v>10</v>
      </c>
      <c r="F13" s="50">
        <v>20</v>
      </c>
      <c r="G13" s="50">
        <v>1</v>
      </c>
      <c r="H13" s="50">
        <v>0</v>
      </c>
      <c r="I13" s="50">
        <v>4</v>
      </c>
      <c r="J13" s="50">
        <v>0</v>
      </c>
      <c r="K13" s="50">
        <v>0</v>
      </c>
      <c r="L13" s="50">
        <v>0</v>
      </c>
      <c r="M13" s="50">
        <v>86</v>
      </c>
      <c r="N13" s="50">
        <v>0</v>
      </c>
      <c r="O13" s="15">
        <f t="shared" si="0"/>
        <v>235</v>
      </c>
      <c r="P13" s="15">
        <f t="shared" si="1"/>
        <v>321</v>
      </c>
      <c r="R13" s="1" t="s">
        <v>9</v>
      </c>
      <c r="S13" s="17">
        <f t="shared" ref="S13:AF13" si="5">SUM(C22:C25)</f>
        <v>330</v>
      </c>
      <c r="T13" s="17">
        <f t="shared" si="5"/>
        <v>62</v>
      </c>
      <c r="U13" s="17">
        <f t="shared" si="5"/>
        <v>38</v>
      </c>
      <c r="V13" s="17">
        <f t="shared" si="5"/>
        <v>62</v>
      </c>
      <c r="W13" s="17">
        <f t="shared" si="5"/>
        <v>2</v>
      </c>
      <c r="X13" s="17">
        <f t="shared" si="5"/>
        <v>0</v>
      </c>
      <c r="Y13" s="17">
        <f t="shared" si="5"/>
        <v>19</v>
      </c>
      <c r="Z13" s="17">
        <f t="shared" si="5"/>
        <v>5</v>
      </c>
      <c r="AA13" s="17">
        <f t="shared" si="5"/>
        <v>1</v>
      </c>
      <c r="AB13" s="17">
        <f t="shared" si="5"/>
        <v>0</v>
      </c>
      <c r="AC13" s="17">
        <f t="shared" si="5"/>
        <v>350</v>
      </c>
      <c r="AD13" s="17">
        <f t="shared" si="5"/>
        <v>0</v>
      </c>
      <c r="AE13" s="31">
        <f t="shared" si="5"/>
        <v>519</v>
      </c>
      <c r="AF13" s="31">
        <f t="shared" si="5"/>
        <v>869</v>
      </c>
    </row>
    <row r="14" spans="2:32" ht="23.1" customHeight="1">
      <c r="B14" s="23" t="s">
        <v>41</v>
      </c>
      <c r="C14" s="50">
        <v>180</v>
      </c>
      <c r="D14" s="50">
        <v>21</v>
      </c>
      <c r="E14" s="50">
        <v>6</v>
      </c>
      <c r="F14" s="50">
        <v>14</v>
      </c>
      <c r="G14" s="50">
        <v>0</v>
      </c>
      <c r="H14" s="50">
        <v>0</v>
      </c>
      <c r="I14" s="50">
        <v>3</v>
      </c>
      <c r="J14" s="50">
        <v>0</v>
      </c>
      <c r="K14" s="50">
        <v>0</v>
      </c>
      <c r="L14" s="50">
        <v>0</v>
      </c>
      <c r="M14" s="50">
        <v>113</v>
      </c>
      <c r="N14" s="50">
        <v>1</v>
      </c>
      <c r="O14" s="15">
        <f t="shared" si="0"/>
        <v>225</v>
      </c>
      <c r="P14" s="15">
        <f t="shared" si="1"/>
        <v>338</v>
      </c>
      <c r="R14" s="1" t="s">
        <v>10</v>
      </c>
      <c r="S14" s="17">
        <f t="shared" ref="S14:AF14" si="6">SUM(C26:C29)</f>
        <v>251</v>
      </c>
      <c r="T14" s="17">
        <f t="shared" si="6"/>
        <v>36</v>
      </c>
      <c r="U14" s="17">
        <f t="shared" si="6"/>
        <v>26</v>
      </c>
      <c r="V14" s="17">
        <f t="shared" si="6"/>
        <v>44</v>
      </c>
      <c r="W14" s="17">
        <f t="shared" si="6"/>
        <v>0</v>
      </c>
      <c r="X14" s="17">
        <f t="shared" si="6"/>
        <v>0</v>
      </c>
      <c r="Y14" s="17">
        <f t="shared" si="6"/>
        <v>20</v>
      </c>
      <c r="Z14" s="17">
        <f t="shared" si="6"/>
        <v>6</v>
      </c>
      <c r="AA14" s="17">
        <f t="shared" si="6"/>
        <v>0</v>
      </c>
      <c r="AB14" s="17">
        <f t="shared" si="6"/>
        <v>1</v>
      </c>
      <c r="AC14" s="17">
        <f t="shared" si="6"/>
        <v>339</v>
      </c>
      <c r="AD14" s="17">
        <f t="shared" si="6"/>
        <v>0</v>
      </c>
      <c r="AE14" s="31">
        <f t="shared" si="6"/>
        <v>384</v>
      </c>
      <c r="AF14" s="31">
        <f t="shared" si="6"/>
        <v>723</v>
      </c>
    </row>
    <row r="15" spans="2:32" ht="23.1" customHeight="1">
      <c r="B15" s="23" t="s">
        <v>42</v>
      </c>
      <c r="C15" s="50">
        <v>130</v>
      </c>
      <c r="D15" s="50">
        <v>14</v>
      </c>
      <c r="E15" s="50">
        <v>12</v>
      </c>
      <c r="F15" s="50">
        <v>20</v>
      </c>
      <c r="G15" s="50">
        <v>0</v>
      </c>
      <c r="H15" s="50">
        <v>0</v>
      </c>
      <c r="I15" s="50">
        <v>4</v>
      </c>
      <c r="J15" s="50">
        <v>0</v>
      </c>
      <c r="K15" s="50">
        <v>0</v>
      </c>
      <c r="L15" s="50">
        <v>0</v>
      </c>
      <c r="M15" s="50">
        <v>96</v>
      </c>
      <c r="N15" s="50">
        <v>0</v>
      </c>
      <c r="O15" s="15">
        <f t="shared" si="0"/>
        <v>180</v>
      </c>
      <c r="P15" s="15">
        <f t="shared" si="1"/>
        <v>276</v>
      </c>
      <c r="R15" s="1" t="s">
        <v>11</v>
      </c>
      <c r="S15" s="17">
        <f t="shared" ref="S15:AF15" si="7">SUM(C30:C33)</f>
        <v>249</v>
      </c>
      <c r="T15" s="17">
        <f t="shared" si="7"/>
        <v>46</v>
      </c>
      <c r="U15" s="17">
        <f t="shared" si="7"/>
        <v>32</v>
      </c>
      <c r="V15" s="17">
        <f t="shared" si="7"/>
        <v>52</v>
      </c>
      <c r="W15" s="17">
        <f t="shared" si="7"/>
        <v>0</v>
      </c>
      <c r="X15" s="17">
        <f t="shared" si="7"/>
        <v>0</v>
      </c>
      <c r="Y15" s="17">
        <f t="shared" si="7"/>
        <v>21</v>
      </c>
      <c r="Z15" s="17">
        <f t="shared" si="7"/>
        <v>3</v>
      </c>
      <c r="AA15" s="17">
        <f t="shared" si="7"/>
        <v>0</v>
      </c>
      <c r="AB15" s="17">
        <f t="shared" si="7"/>
        <v>0</v>
      </c>
      <c r="AC15" s="17">
        <f t="shared" si="7"/>
        <v>338</v>
      </c>
      <c r="AD15" s="17">
        <f t="shared" si="7"/>
        <v>0</v>
      </c>
      <c r="AE15" s="31">
        <f t="shared" si="7"/>
        <v>403</v>
      </c>
      <c r="AF15" s="31">
        <f t="shared" si="7"/>
        <v>741</v>
      </c>
    </row>
    <row r="16" spans="2:32" ht="23.1" customHeight="1">
      <c r="B16" s="23" t="s">
        <v>43</v>
      </c>
      <c r="C16" s="50">
        <v>130</v>
      </c>
      <c r="D16" s="50">
        <v>13</v>
      </c>
      <c r="E16" s="50">
        <v>5</v>
      </c>
      <c r="F16" s="50">
        <v>17</v>
      </c>
      <c r="G16" s="50">
        <v>0</v>
      </c>
      <c r="H16" s="50">
        <v>0</v>
      </c>
      <c r="I16" s="50">
        <v>4</v>
      </c>
      <c r="J16" s="50">
        <v>1</v>
      </c>
      <c r="K16" s="50">
        <v>0</v>
      </c>
      <c r="L16" s="50">
        <v>0</v>
      </c>
      <c r="M16" s="50">
        <v>65</v>
      </c>
      <c r="N16" s="50">
        <v>0</v>
      </c>
      <c r="O16" s="15">
        <f t="shared" si="0"/>
        <v>170</v>
      </c>
      <c r="P16" s="15">
        <f t="shared" si="1"/>
        <v>235</v>
      </c>
      <c r="R16" s="1" t="s">
        <v>12</v>
      </c>
      <c r="S16" s="17">
        <f t="shared" ref="S16:AF16" si="8">SUM(C34:C37)</f>
        <v>227</v>
      </c>
      <c r="T16" s="17">
        <f t="shared" si="8"/>
        <v>33</v>
      </c>
      <c r="U16" s="17">
        <f t="shared" si="8"/>
        <v>18</v>
      </c>
      <c r="V16" s="17">
        <f t="shared" si="8"/>
        <v>36</v>
      </c>
      <c r="W16" s="17">
        <f t="shared" si="8"/>
        <v>2</v>
      </c>
      <c r="X16" s="17">
        <f t="shared" si="8"/>
        <v>3</v>
      </c>
      <c r="Y16" s="17">
        <f t="shared" si="8"/>
        <v>22</v>
      </c>
      <c r="Z16" s="17">
        <f t="shared" si="8"/>
        <v>5</v>
      </c>
      <c r="AA16" s="17">
        <f t="shared" si="8"/>
        <v>1</v>
      </c>
      <c r="AB16" s="17">
        <f t="shared" si="8"/>
        <v>0</v>
      </c>
      <c r="AC16" s="17">
        <f t="shared" si="8"/>
        <v>342</v>
      </c>
      <c r="AD16" s="17">
        <f t="shared" si="8"/>
        <v>0</v>
      </c>
      <c r="AE16" s="31">
        <f t="shared" si="8"/>
        <v>347</v>
      </c>
      <c r="AF16" s="31">
        <f t="shared" si="8"/>
        <v>689</v>
      </c>
    </row>
    <row r="17" spans="2:32" ht="23.1" customHeight="1">
      <c r="B17" s="23" t="s">
        <v>44</v>
      </c>
      <c r="C17" s="50">
        <v>140</v>
      </c>
      <c r="D17" s="50">
        <v>15</v>
      </c>
      <c r="E17" s="50">
        <v>4</v>
      </c>
      <c r="F17" s="50">
        <v>22</v>
      </c>
      <c r="G17" s="50">
        <v>0</v>
      </c>
      <c r="H17" s="50">
        <v>0</v>
      </c>
      <c r="I17" s="50">
        <v>5</v>
      </c>
      <c r="J17" s="50">
        <v>1</v>
      </c>
      <c r="K17" s="50">
        <v>0</v>
      </c>
      <c r="L17" s="50">
        <v>0</v>
      </c>
      <c r="M17" s="50">
        <v>95</v>
      </c>
      <c r="N17" s="50">
        <v>0</v>
      </c>
      <c r="O17" s="15">
        <f t="shared" si="0"/>
        <v>187</v>
      </c>
      <c r="P17" s="15">
        <f t="shared" si="1"/>
        <v>282</v>
      </c>
      <c r="R17" s="1" t="s">
        <v>13</v>
      </c>
      <c r="S17" s="17">
        <f t="shared" ref="S17:AF17" si="9">SUM(C38:C41)</f>
        <v>320</v>
      </c>
      <c r="T17" s="17">
        <f t="shared" si="9"/>
        <v>34</v>
      </c>
      <c r="U17" s="17">
        <f t="shared" si="9"/>
        <v>30</v>
      </c>
      <c r="V17" s="17">
        <f t="shared" si="9"/>
        <v>72</v>
      </c>
      <c r="W17" s="17">
        <f t="shared" si="9"/>
        <v>1</v>
      </c>
      <c r="X17" s="17">
        <f t="shared" si="9"/>
        <v>0</v>
      </c>
      <c r="Y17" s="17">
        <f t="shared" si="9"/>
        <v>22</v>
      </c>
      <c r="Z17" s="17">
        <f t="shared" si="9"/>
        <v>3</v>
      </c>
      <c r="AA17" s="17">
        <f t="shared" si="9"/>
        <v>0</v>
      </c>
      <c r="AB17" s="17">
        <f t="shared" si="9"/>
        <v>0</v>
      </c>
      <c r="AC17" s="17">
        <f t="shared" si="9"/>
        <v>303</v>
      </c>
      <c r="AD17" s="17">
        <f t="shared" si="9"/>
        <v>0</v>
      </c>
      <c r="AE17" s="31">
        <f t="shared" si="9"/>
        <v>482</v>
      </c>
      <c r="AF17" s="31">
        <f t="shared" si="9"/>
        <v>785</v>
      </c>
    </row>
    <row r="18" spans="2:32" ht="23.1" customHeight="1">
      <c r="B18" s="23" t="s">
        <v>45</v>
      </c>
      <c r="C18" s="50">
        <v>92</v>
      </c>
      <c r="D18" s="50">
        <v>5</v>
      </c>
      <c r="E18" s="50">
        <v>9</v>
      </c>
      <c r="F18" s="50">
        <v>14</v>
      </c>
      <c r="G18" s="50">
        <v>0</v>
      </c>
      <c r="H18" s="50">
        <v>0</v>
      </c>
      <c r="I18" s="50">
        <v>2</v>
      </c>
      <c r="J18" s="50">
        <v>2</v>
      </c>
      <c r="K18" s="50">
        <v>0</v>
      </c>
      <c r="L18" s="50">
        <v>0</v>
      </c>
      <c r="M18" s="50">
        <v>65</v>
      </c>
      <c r="N18" s="50">
        <v>0</v>
      </c>
      <c r="O18" s="15">
        <f t="shared" si="0"/>
        <v>124</v>
      </c>
      <c r="P18" s="15">
        <f t="shared" si="1"/>
        <v>189</v>
      </c>
      <c r="R18" s="1" t="s">
        <v>14</v>
      </c>
      <c r="S18" s="17">
        <f t="shared" ref="S18:AF18" si="10">SUM(C42:C45)</f>
        <v>305</v>
      </c>
      <c r="T18" s="17">
        <f t="shared" si="10"/>
        <v>37</v>
      </c>
      <c r="U18" s="17">
        <f t="shared" si="10"/>
        <v>23</v>
      </c>
      <c r="V18" s="17">
        <f t="shared" si="10"/>
        <v>37</v>
      </c>
      <c r="W18" s="17">
        <f t="shared" si="10"/>
        <v>0</v>
      </c>
      <c r="X18" s="17">
        <f t="shared" si="10"/>
        <v>0</v>
      </c>
      <c r="Y18" s="17">
        <f t="shared" si="10"/>
        <v>17</v>
      </c>
      <c r="Z18" s="17">
        <f t="shared" si="10"/>
        <v>0</v>
      </c>
      <c r="AA18" s="17">
        <f t="shared" si="10"/>
        <v>1</v>
      </c>
      <c r="AB18" s="17">
        <f t="shared" si="10"/>
        <v>1</v>
      </c>
      <c r="AC18" s="17">
        <f t="shared" si="10"/>
        <v>260</v>
      </c>
      <c r="AD18" s="17">
        <f t="shared" si="10"/>
        <v>0</v>
      </c>
      <c r="AE18" s="31">
        <f t="shared" si="10"/>
        <v>421</v>
      </c>
      <c r="AF18" s="31">
        <f t="shared" si="10"/>
        <v>681</v>
      </c>
    </row>
    <row r="19" spans="2:32" ht="23.1" customHeight="1">
      <c r="B19" s="23" t="s">
        <v>46</v>
      </c>
      <c r="C19" s="50">
        <v>80</v>
      </c>
      <c r="D19" s="50">
        <v>10</v>
      </c>
      <c r="E19" s="50">
        <v>5</v>
      </c>
      <c r="F19" s="50">
        <v>8</v>
      </c>
      <c r="G19" s="50">
        <v>3</v>
      </c>
      <c r="H19" s="50">
        <v>0</v>
      </c>
      <c r="I19" s="50">
        <v>1</v>
      </c>
      <c r="J19" s="50">
        <v>0</v>
      </c>
      <c r="K19" s="50">
        <v>0</v>
      </c>
      <c r="L19" s="50">
        <v>0</v>
      </c>
      <c r="M19" s="50">
        <v>110</v>
      </c>
      <c r="N19" s="50">
        <v>0</v>
      </c>
      <c r="O19" s="15">
        <f t="shared" si="0"/>
        <v>107</v>
      </c>
      <c r="P19" s="15">
        <f t="shared" si="1"/>
        <v>217</v>
      </c>
      <c r="R19" s="1" t="s">
        <v>15</v>
      </c>
      <c r="S19" s="17">
        <f t="shared" ref="S19:AF19" si="11">SUM(C46:C49)</f>
        <v>196</v>
      </c>
      <c r="T19" s="17">
        <f t="shared" si="11"/>
        <v>28</v>
      </c>
      <c r="U19" s="17">
        <f t="shared" si="11"/>
        <v>16</v>
      </c>
      <c r="V19" s="17">
        <f t="shared" si="11"/>
        <v>26</v>
      </c>
      <c r="W19" s="17">
        <f t="shared" si="11"/>
        <v>1</v>
      </c>
      <c r="X19" s="17">
        <f t="shared" si="11"/>
        <v>0</v>
      </c>
      <c r="Y19" s="17">
        <f t="shared" si="11"/>
        <v>20</v>
      </c>
      <c r="Z19" s="17">
        <f t="shared" si="11"/>
        <v>1</v>
      </c>
      <c r="AA19" s="17">
        <f t="shared" si="11"/>
        <v>0</v>
      </c>
      <c r="AB19" s="17">
        <f t="shared" si="11"/>
        <v>0</v>
      </c>
      <c r="AC19" s="17">
        <f t="shared" si="11"/>
        <v>367</v>
      </c>
      <c r="AD19" s="17">
        <f t="shared" si="11"/>
        <v>0</v>
      </c>
      <c r="AE19" s="31">
        <f t="shared" si="11"/>
        <v>288</v>
      </c>
      <c r="AF19" s="31">
        <f t="shared" si="11"/>
        <v>655</v>
      </c>
    </row>
    <row r="20" spans="2:32" ht="23.1" customHeight="1">
      <c r="B20" s="23" t="s">
        <v>47</v>
      </c>
      <c r="C20" s="50">
        <v>106</v>
      </c>
      <c r="D20" s="50">
        <v>12</v>
      </c>
      <c r="E20" s="50">
        <v>8</v>
      </c>
      <c r="F20" s="50">
        <v>12</v>
      </c>
      <c r="G20" s="50">
        <v>0</v>
      </c>
      <c r="H20" s="50">
        <v>0</v>
      </c>
      <c r="I20" s="50">
        <v>2</v>
      </c>
      <c r="J20" s="50">
        <v>0</v>
      </c>
      <c r="K20" s="50">
        <v>0</v>
      </c>
      <c r="L20" s="50">
        <v>0</v>
      </c>
      <c r="M20" s="50">
        <v>100</v>
      </c>
      <c r="N20" s="50">
        <v>0</v>
      </c>
      <c r="O20" s="15">
        <f t="shared" si="0"/>
        <v>140</v>
      </c>
      <c r="P20" s="15">
        <f t="shared" si="1"/>
        <v>240</v>
      </c>
      <c r="R20" s="1" t="s">
        <v>16</v>
      </c>
      <c r="S20" s="17">
        <f t="shared" ref="S20:AF20" si="12">SUM(C50:C53)</f>
        <v>239</v>
      </c>
      <c r="T20" s="17">
        <f t="shared" si="12"/>
        <v>43</v>
      </c>
      <c r="U20" s="17">
        <f t="shared" si="12"/>
        <v>42</v>
      </c>
      <c r="V20" s="17">
        <f t="shared" si="12"/>
        <v>48</v>
      </c>
      <c r="W20" s="17">
        <f t="shared" si="12"/>
        <v>2</v>
      </c>
      <c r="X20" s="17">
        <f t="shared" si="12"/>
        <v>0</v>
      </c>
      <c r="Y20" s="17">
        <f t="shared" si="12"/>
        <v>20</v>
      </c>
      <c r="Z20" s="17">
        <f t="shared" si="12"/>
        <v>0</v>
      </c>
      <c r="AA20" s="17">
        <f t="shared" si="12"/>
        <v>0</v>
      </c>
      <c r="AB20" s="17">
        <f t="shared" si="12"/>
        <v>0</v>
      </c>
      <c r="AC20" s="17">
        <f t="shared" si="12"/>
        <v>365</v>
      </c>
      <c r="AD20" s="17">
        <f t="shared" si="12"/>
        <v>0</v>
      </c>
      <c r="AE20" s="31">
        <f t="shared" si="12"/>
        <v>394</v>
      </c>
      <c r="AF20" s="31">
        <f t="shared" si="12"/>
        <v>759</v>
      </c>
    </row>
    <row r="21" spans="2:32" ht="23.1" customHeight="1">
      <c r="B21" s="23" t="s">
        <v>48</v>
      </c>
      <c r="C21" s="50">
        <v>55</v>
      </c>
      <c r="D21" s="50">
        <v>17</v>
      </c>
      <c r="E21" s="50">
        <v>10</v>
      </c>
      <c r="F21" s="50">
        <v>15</v>
      </c>
      <c r="G21" s="50">
        <v>0</v>
      </c>
      <c r="H21" s="50">
        <v>0</v>
      </c>
      <c r="I21" s="50">
        <v>0</v>
      </c>
      <c r="J21" s="50">
        <v>1</v>
      </c>
      <c r="K21" s="50">
        <v>0</v>
      </c>
      <c r="L21" s="50">
        <v>0</v>
      </c>
      <c r="M21" s="50">
        <v>95</v>
      </c>
      <c r="N21" s="50">
        <v>0</v>
      </c>
      <c r="O21" s="15">
        <f t="shared" si="0"/>
        <v>98</v>
      </c>
      <c r="P21" s="15">
        <f t="shared" si="1"/>
        <v>193</v>
      </c>
      <c r="R21" s="36" t="s">
        <v>20</v>
      </c>
      <c r="S21" s="34">
        <f t="shared" ref="S21:AF21" si="13">SUM(C54:C57)</f>
        <v>260</v>
      </c>
      <c r="T21" s="17">
        <f t="shared" si="13"/>
        <v>26</v>
      </c>
      <c r="U21" s="17">
        <f t="shared" si="13"/>
        <v>16</v>
      </c>
      <c r="V21" s="17">
        <f t="shared" si="13"/>
        <v>42</v>
      </c>
      <c r="W21" s="17">
        <f t="shared" si="13"/>
        <v>1</v>
      </c>
      <c r="X21" s="17">
        <f t="shared" si="13"/>
        <v>0</v>
      </c>
      <c r="Y21" s="17">
        <f t="shared" si="13"/>
        <v>14</v>
      </c>
      <c r="Z21" s="17">
        <f t="shared" si="13"/>
        <v>0</v>
      </c>
      <c r="AA21" s="17">
        <f t="shared" si="13"/>
        <v>2</v>
      </c>
      <c r="AB21" s="17">
        <f t="shared" si="13"/>
        <v>0</v>
      </c>
      <c r="AC21" s="17">
        <f t="shared" si="13"/>
        <v>538</v>
      </c>
      <c r="AD21" s="17">
        <f t="shared" si="13"/>
        <v>0</v>
      </c>
      <c r="AE21" s="31">
        <f t="shared" si="13"/>
        <v>361</v>
      </c>
      <c r="AF21" s="31">
        <f t="shared" si="13"/>
        <v>899</v>
      </c>
    </row>
    <row r="22" spans="2:32" ht="23.1" customHeight="1">
      <c r="B22" s="23" t="s">
        <v>49</v>
      </c>
      <c r="C22" s="50">
        <v>70</v>
      </c>
      <c r="D22" s="50">
        <v>10</v>
      </c>
      <c r="E22" s="50">
        <v>8</v>
      </c>
      <c r="F22" s="50">
        <v>18</v>
      </c>
      <c r="G22" s="50">
        <v>0</v>
      </c>
      <c r="H22" s="50">
        <v>0</v>
      </c>
      <c r="I22" s="50">
        <v>1</v>
      </c>
      <c r="J22" s="50">
        <v>0</v>
      </c>
      <c r="K22" s="50">
        <v>0</v>
      </c>
      <c r="L22" s="50">
        <v>0</v>
      </c>
      <c r="M22" s="50">
        <v>55</v>
      </c>
      <c r="N22" s="50">
        <v>0</v>
      </c>
      <c r="O22" s="15">
        <f t="shared" si="0"/>
        <v>107</v>
      </c>
      <c r="P22" s="15">
        <f t="shared" si="1"/>
        <v>162</v>
      </c>
      <c r="R22" s="38" t="s">
        <v>90</v>
      </c>
      <c r="S22" s="39">
        <f>MAX(S10:S12)</f>
        <v>655</v>
      </c>
      <c r="T22" s="39">
        <f t="shared" ref="T22:AF22" si="14">MAX(T10:T12)</f>
        <v>63</v>
      </c>
      <c r="U22" s="39">
        <f t="shared" si="14"/>
        <v>35</v>
      </c>
      <c r="V22" s="39">
        <f t="shared" si="14"/>
        <v>82</v>
      </c>
      <c r="W22" s="39">
        <f t="shared" si="14"/>
        <v>3</v>
      </c>
      <c r="X22" s="39">
        <f t="shared" si="14"/>
        <v>0</v>
      </c>
      <c r="Y22" s="39">
        <f t="shared" si="14"/>
        <v>16</v>
      </c>
      <c r="Z22" s="39">
        <f t="shared" si="14"/>
        <v>3</v>
      </c>
      <c r="AA22" s="39">
        <f t="shared" si="14"/>
        <v>0</v>
      </c>
      <c r="AB22" s="39">
        <f t="shared" si="14"/>
        <v>0</v>
      </c>
      <c r="AC22" s="39">
        <f t="shared" si="14"/>
        <v>370</v>
      </c>
      <c r="AD22" s="39">
        <f t="shared" si="14"/>
        <v>1</v>
      </c>
      <c r="AE22" s="40">
        <f t="shared" si="14"/>
        <v>835</v>
      </c>
      <c r="AF22" s="40">
        <f t="shared" si="14"/>
        <v>1185</v>
      </c>
    </row>
    <row r="23" spans="2:32" ht="23.1" customHeight="1">
      <c r="B23" s="23" t="s">
        <v>50</v>
      </c>
      <c r="C23" s="50">
        <v>90</v>
      </c>
      <c r="D23" s="50">
        <v>18</v>
      </c>
      <c r="E23" s="50">
        <v>13</v>
      </c>
      <c r="F23" s="50">
        <v>21</v>
      </c>
      <c r="G23" s="50">
        <v>0</v>
      </c>
      <c r="H23" s="50">
        <v>0</v>
      </c>
      <c r="I23" s="50">
        <v>7</v>
      </c>
      <c r="J23" s="50">
        <v>1</v>
      </c>
      <c r="K23" s="50">
        <v>0</v>
      </c>
      <c r="L23" s="50">
        <v>0</v>
      </c>
      <c r="M23" s="50">
        <v>113</v>
      </c>
      <c r="N23" s="50">
        <v>0</v>
      </c>
      <c r="O23" s="15">
        <f t="shared" si="0"/>
        <v>150</v>
      </c>
      <c r="P23" s="15">
        <f t="shared" si="1"/>
        <v>263</v>
      </c>
      <c r="R23" s="38" t="s">
        <v>91</v>
      </c>
      <c r="S23" s="39">
        <f>MAX(S13:S18)</f>
        <v>330</v>
      </c>
      <c r="T23" s="39">
        <f t="shared" ref="T23:AF23" si="15">MAX(T13:T18)</f>
        <v>62</v>
      </c>
      <c r="U23" s="39">
        <f t="shared" si="15"/>
        <v>38</v>
      </c>
      <c r="V23" s="39">
        <f t="shared" si="15"/>
        <v>72</v>
      </c>
      <c r="W23" s="39">
        <f t="shared" si="15"/>
        <v>2</v>
      </c>
      <c r="X23" s="39">
        <f t="shared" si="15"/>
        <v>3</v>
      </c>
      <c r="Y23" s="39">
        <f t="shared" si="15"/>
        <v>22</v>
      </c>
      <c r="Z23" s="39">
        <f t="shared" si="15"/>
        <v>6</v>
      </c>
      <c r="AA23" s="39">
        <f t="shared" si="15"/>
        <v>1</v>
      </c>
      <c r="AB23" s="39">
        <f t="shared" si="15"/>
        <v>1</v>
      </c>
      <c r="AC23" s="39">
        <f t="shared" si="15"/>
        <v>350</v>
      </c>
      <c r="AD23" s="39">
        <f t="shared" si="15"/>
        <v>0</v>
      </c>
      <c r="AE23" s="40">
        <f t="shared" si="15"/>
        <v>519</v>
      </c>
      <c r="AF23" s="40">
        <f t="shared" si="15"/>
        <v>869</v>
      </c>
    </row>
    <row r="24" spans="2:32" ht="23.1" customHeight="1">
      <c r="B24" s="23" t="s">
        <v>51</v>
      </c>
      <c r="C24" s="50">
        <v>100</v>
      </c>
      <c r="D24" s="50">
        <v>21</v>
      </c>
      <c r="E24" s="50">
        <v>10</v>
      </c>
      <c r="F24" s="50">
        <v>13</v>
      </c>
      <c r="G24" s="50">
        <v>2</v>
      </c>
      <c r="H24" s="50">
        <v>0</v>
      </c>
      <c r="I24" s="50">
        <v>2</v>
      </c>
      <c r="J24" s="50">
        <v>2</v>
      </c>
      <c r="K24" s="50">
        <v>1</v>
      </c>
      <c r="L24" s="50">
        <v>0</v>
      </c>
      <c r="M24" s="50">
        <v>80</v>
      </c>
      <c r="N24" s="50">
        <v>0</v>
      </c>
      <c r="O24" s="15">
        <f t="shared" si="0"/>
        <v>151</v>
      </c>
      <c r="P24" s="15">
        <f t="shared" si="1"/>
        <v>231</v>
      </c>
      <c r="R24" s="38" t="s">
        <v>92</v>
      </c>
      <c r="S24" s="39">
        <f>MAX(S19:S21)</f>
        <v>260</v>
      </c>
      <c r="T24" s="39">
        <f t="shared" ref="T24:AF24" si="16">MAX(T19:T21)</f>
        <v>43</v>
      </c>
      <c r="U24" s="39">
        <f t="shared" si="16"/>
        <v>42</v>
      </c>
      <c r="V24" s="39">
        <f t="shared" si="16"/>
        <v>48</v>
      </c>
      <c r="W24" s="39">
        <f t="shared" si="16"/>
        <v>2</v>
      </c>
      <c r="X24" s="39">
        <f t="shared" si="16"/>
        <v>0</v>
      </c>
      <c r="Y24" s="39">
        <f t="shared" si="16"/>
        <v>20</v>
      </c>
      <c r="Z24" s="39">
        <f t="shared" si="16"/>
        <v>1</v>
      </c>
      <c r="AA24" s="39">
        <f t="shared" si="16"/>
        <v>2</v>
      </c>
      <c r="AB24" s="39">
        <f t="shared" si="16"/>
        <v>0</v>
      </c>
      <c r="AC24" s="39">
        <f t="shared" si="16"/>
        <v>538</v>
      </c>
      <c r="AD24" s="39">
        <f t="shared" si="16"/>
        <v>0</v>
      </c>
      <c r="AE24" s="40">
        <f t="shared" si="16"/>
        <v>394</v>
      </c>
      <c r="AF24" s="40">
        <f t="shared" si="16"/>
        <v>899</v>
      </c>
    </row>
    <row r="25" spans="2:32" ht="23.1" customHeight="1">
      <c r="B25" s="23" t="s">
        <v>52</v>
      </c>
      <c r="C25" s="50">
        <v>70</v>
      </c>
      <c r="D25" s="50">
        <v>13</v>
      </c>
      <c r="E25" s="50">
        <v>7</v>
      </c>
      <c r="F25" s="50">
        <v>10</v>
      </c>
      <c r="G25" s="50">
        <v>0</v>
      </c>
      <c r="H25" s="50">
        <v>0</v>
      </c>
      <c r="I25" s="50">
        <v>9</v>
      </c>
      <c r="J25" s="50">
        <v>2</v>
      </c>
      <c r="K25" s="50">
        <v>0</v>
      </c>
      <c r="L25" s="50">
        <v>0</v>
      </c>
      <c r="M25" s="50">
        <v>102</v>
      </c>
      <c r="N25" s="50">
        <v>0</v>
      </c>
      <c r="O25" s="15">
        <f t="shared" si="0"/>
        <v>111</v>
      </c>
      <c r="P25" s="15">
        <f t="shared" si="1"/>
        <v>213</v>
      </c>
      <c r="R25" s="37" t="s">
        <v>85</v>
      </c>
      <c r="S25" s="35">
        <f t="shared" ref="S25:AF25" si="17">SUM(S10:S12)</f>
        <v>1568</v>
      </c>
      <c r="T25" s="16">
        <f t="shared" si="17"/>
        <v>163</v>
      </c>
      <c r="U25" s="16">
        <f t="shared" si="17"/>
        <v>94</v>
      </c>
      <c r="V25" s="16">
        <f t="shared" si="17"/>
        <v>204</v>
      </c>
      <c r="W25" s="16">
        <f t="shared" si="17"/>
        <v>4</v>
      </c>
      <c r="X25" s="16">
        <f t="shared" si="17"/>
        <v>0</v>
      </c>
      <c r="Y25" s="16">
        <f t="shared" si="17"/>
        <v>26</v>
      </c>
      <c r="Z25" s="16">
        <f t="shared" si="17"/>
        <v>6</v>
      </c>
      <c r="AA25" s="16">
        <f t="shared" si="17"/>
        <v>0</v>
      </c>
      <c r="AB25" s="16">
        <f t="shared" si="17"/>
        <v>0</v>
      </c>
      <c r="AC25" s="16">
        <f t="shared" si="17"/>
        <v>1089</v>
      </c>
      <c r="AD25" s="16">
        <f t="shared" si="17"/>
        <v>1</v>
      </c>
      <c r="AE25" s="32">
        <f t="shared" si="17"/>
        <v>2066</v>
      </c>
      <c r="AF25" s="32">
        <f t="shared" si="17"/>
        <v>3155</v>
      </c>
    </row>
    <row r="26" spans="2:32" ht="23.1" customHeight="1">
      <c r="B26" s="23" t="s">
        <v>53</v>
      </c>
      <c r="C26" s="50">
        <v>85</v>
      </c>
      <c r="D26" s="50">
        <v>9</v>
      </c>
      <c r="E26" s="50">
        <v>5</v>
      </c>
      <c r="F26" s="50">
        <v>14</v>
      </c>
      <c r="G26" s="50">
        <v>0</v>
      </c>
      <c r="H26" s="50">
        <v>0</v>
      </c>
      <c r="I26" s="50">
        <v>5</v>
      </c>
      <c r="J26" s="50">
        <v>2</v>
      </c>
      <c r="K26" s="50">
        <v>0</v>
      </c>
      <c r="L26" s="50">
        <v>0</v>
      </c>
      <c r="M26" s="50">
        <v>87</v>
      </c>
      <c r="N26" s="50">
        <v>0</v>
      </c>
      <c r="O26" s="15">
        <f t="shared" si="0"/>
        <v>120</v>
      </c>
      <c r="P26" s="15">
        <f t="shared" si="1"/>
        <v>207</v>
      </c>
      <c r="R26" s="28" t="s">
        <v>86</v>
      </c>
      <c r="S26" s="16">
        <f t="shared" ref="S26:AF26" si="18">SUM(S13:S18)</f>
        <v>1682</v>
      </c>
      <c r="T26" s="16">
        <f t="shared" si="18"/>
        <v>248</v>
      </c>
      <c r="U26" s="16">
        <f t="shared" si="18"/>
        <v>167</v>
      </c>
      <c r="V26" s="16">
        <f t="shared" si="18"/>
        <v>303</v>
      </c>
      <c r="W26" s="16">
        <f t="shared" si="18"/>
        <v>5</v>
      </c>
      <c r="X26" s="16">
        <f t="shared" si="18"/>
        <v>3</v>
      </c>
      <c r="Y26" s="16">
        <f t="shared" si="18"/>
        <v>121</v>
      </c>
      <c r="Z26" s="16">
        <f t="shared" si="18"/>
        <v>22</v>
      </c>
      <c r="AA26" s="16">
        <f t="shared" si="18"/>
        <v>3</v>
      </c>
      <c r="AB26" s="16">
        <f t="shared" si="18"/>
        <v>2</v>
      </c>
      <c r="AC26" s="16">
        <f t="shared" si="18"/>
        <v>1932</v>
      </c>
      <c r="AD26" s="16">
        <f t="shared" si="18"/>
        <v>0</v>
      </c>
      <c r="AE26" s="32">
        <f t="shared" si="18"/>
        <v>2556</v>
      </c>
      <c r="AF26" s="32">
        <f t="shared" si="18"/>
        <v>4488</v>
      </c>
    </row>
    <row r="27" spans="2:32" ht="23.1" customHeight="1">
      <c r="B27" s="23" t="s">
        <v>54</v>
      </c>
      <c r="C27" s="50">
        <v>70</v>
      </c>
      <c r="D27" s="50">
        <v>6</v>
      </c>
      <c r="E27" s="50">
        <v>6</v>
      </c>
      <c r="F27" s="50">
        <v>11</v>
      </c>
      <c r="G27" s="50">
        <v>0</v>
      </c>
      <c r="H27" s="50">
        <v>0</v>
      </c>
      <c r="I27" s="50">
        <v>5</v>
      </c>
      <c r="J27" s="50">
        <v>3</v>
      </c>
      <c r="K27" s="50">
        <v>0</v>
      </c>
      <c r="L27" s="50">
        <v>1</v>
      </c>
      <c r="M27" s="50">
        <v>72</v>
      </c>
      <c r="N27" s="50">
        <v>0</v>
      </c>
      <c r="O27" s="15">
        <f t="shared" si="0"/>
        <v>102</v>
      </c>
      <c r="P27" s="15">
        <f t="shared" si="1"/>
        <v>174</v>
      </c>
      <c r="R27" s="29" t="s">
        <v>87</v>
      </c>
      <c r="S27" s="16">
        <f t="shared" ref="S27:AF27" si="19">SUM(S19:S21)</f>
        <v>695</v>
      </c>
      <c r="T27" s="16">
        <f t="shared" si="19"/>
        <v>97</v>
      </c>
      <c r="U27" s="16">
        <f t="shared" si="19"/>
        <v>74</v>
      </c>
      <c r="V27" s="16">
        <f t="shared" si="19"/>
        <v>116</v>
      </c>
      <c r="W27" s="16">
        <f t="shared" si="19"/>
        <v>4</v>
      </c>
      <c r="X27" s="16">
        <f t="shared" si="19"/>
        <v>0</v>
      </c>
      <c r="Y27" s="16">
        <f t="shared" si="19"/>
        <v>54</v>
      </c>
      <c r="Z27" s="16">
        <f t="shared" si="19"/>
        <v>1</v>
      </c>
      <c r="AA27" s="16">
        <f t="shared" si="19"/>
        <v>2</v>
      </c>
      <c r="AB27" s="16">
        <f t="shared" si="19"/>
        <v>0</v>
      </c>
      <c r="AC27" s="16">
        <f t="shared" si="19"/>
        <v>1270</v>
      </c>
      <c r="AD27" s="16">
        <f t="shared" si="19"/>
        <v>0</v>
      </c>
      <c r="AE27" s="32">
        <f t="shared" si="19"/>
        <v>1043</v>
      </c>
      <c r="AF27" s="32">
        <f t="shared" si="19"/>
        <v>2313</v>
      </c>
    </row>
    <row r="28" spans="2:32" ht="23.1" customHeight="1">
      <c r="B28" s="23" t="s">
        <v>55</v>
      </c>
      <c r="C28" s="50">
        <v>45</v>
      </c>
      <c r="D28" s="50">
        <v>11</v>
      </c>
      <c r="E28" s="50">
        <v>5</v>
      </c>
      <c r="F28" s="50">
        <v>8</v>
      </c>
      <c r="G28" s="50">
        <v>0</v>
      </c>
      <c r="H28" s="50">
        <v>0</v>
      </c>
      <c r="I28" s="50">
        <v>6</v>
      </c>
      <c r="J28" s="50">
        <v>1</v>
      </c>
      <c r="K28" s="50">
        <v>0</v>
      </c>
      <c r="L28" s="50">
        <v>0</v>
      </c>
      <c r="M28" s="50">
        <v>89</v>
      </c>
      <c r="N28" s="50">
        <v>0</v>
      </c>
      <c r="O28" s="15">
        <f t="shared" si="0"/>
        <v>76</v>
      </c>
      <c r="P28" s="15">
        <f t="shared" si="1"/>
        <v>165</v>
      </c>
      <c r="R28" s="5" t="s">
        <v>17</v>
      </c>
      <c r="S28" s="16">
        <f t="shared" ref="S28:AF28" si="20">SUM(S10:S21)</f>
        <v>3945</v>
      </c>
      <c r="T28" s="16">
        <f t="shared" si="20"/>
        <v>508</v>
      </c>
      <c r="U28" s="16">
        <f t="shared" si="20"/>
        <v>335</v>
      </c>
      <c r="V28" s="16">
        <f t="shared" si="20"/>
        <v>623</v>
      </c>
      <c r="W28" s="16">
        <f t="shared" si="20"/>
        <v>13</v>
      </c>
      <c r="X28" s="16">
        <f t="shared" si="20"/>
        <v>3</v>
      </c>
      <c r="Y28" s="16">
        <f t="shared" si="20"/>
        <v>201</v>
      </c>
      <c r="Z28" s="16">
        <f t="shared" si="20"/>
        <v>29</v>
      </c>
      <c r="AA28" s="16">
        <f t="shared" si="20"/>
        <v>5</v>
      </c>
      <c r="AB28" s="16">
        <f t="shared" si="20"/>
        <v>2</v>
      </c>
      <c r="AC28" s="16">
        <f t="shared" si="20"/>
        <v>4291</v>
      </c>
      <c r="AD28" s="16">
        <f t="shared" si="20"/>
        <v>1</v>
      </c>
      <c r="AE28" s="32">
        <f t="shared" si="20"/>
        <v>5665</v>
      </c>
      <c r="AF28" s="32">
        <f t="shared" si="20"/>
        <v>9956</v>
      </c>
    </row>
    <row r="29" spans="2:32" ht="23.1" customHeight="1">
      <c r="B29" s="23" t="s">
        <v>56</v>
      </c>
      <c r="C29" s="50">
        <v>51</v>
      </c>
      <c r="D29" s="50">
        <v>10</v>
      </c>
      <c r="E29" s="50">
        <v>10</v>
      </c>
      <c r="F29" s="50">
        <v>11</v>
      </c>
      <c r="G29" s="50">
        <v>0</v>
      </c>
      <c r="H29" s="50">
        <v>0</v>
      </c>
      <c r="I29" s="50">
        <v>4</v>
      </c>
      <c r="J29" s="50">
        <v>0</v>
      </c>
      <c r="K29" s="50">
        <v>0</v>
      </c>
      <c r="L29" s="50">
        <v>0</v>
      </c>
      <c r="M29" s="50">
        <v>91</v>
      </c>
      <c r="N29" s="50">
        <v>0</v>
      </c>
      <c r="O29" s="15">
        <f t="shared" si="0"/>
        <v>86</v>
      </c>
      <c r="P29" s="15">
        <f t="shared" si="1"/>
        <v>177</v>
      </c>
      <c r="R29"/>
      <c r="S29" s="20"/>
      <c r="T29" s="19"/>
    </row>
    <row r="30" spans="2:32" ht="23.1" customHeight="1">
      <c r="B30" s="23" t="s">
        <v>57</v>
      </c>
      <c r="C30" s="50">
        <v>55</v>
      </c>
      <c r="D30" s="50">
        <v>15</v>
      </c>
      <c r="E30" s="50">
        <v>8</v>
      </c>
      <c r="F30" s="50">
        <v>15</v>
      </c>
      <c r="G30" s="50">
        <v>0</v>
      </c>
      <c r="H30" s="50">
        <v>0</v>
      </c>
      <c r="I30" s="50">
        <v>1</v>
      </c>
      <c r="J30" s="50">
        <v>2</v>
      </c>
      <c r="K30" s="50">
        <v>0</v>
      </c>
      <c r="L30" s="50">
        <v>0</v>
      </c>
      <c r="M30" s="50">
        <v>55</v>
      </c>
      <c r="N30" s="50">
        <v>0</v>
      </c>
      <c r="O30" s="15">
        <f t="shared" si="0"/>
        <v>96</v>
      </c>
      <c r="P30" s="15">
        <f t="shared" si="1"/>
        <v>151</v>
      </c>
    </row>
    <row r="31" spans="2:32" ht="23.1" customHeight="1">
      <c r="B31" s="24" t="s">
        <v>58</v>
      </c>
      <c r="C31" s="50">
        <v>70</v>
      </c>
      <c r="D31" s="50">
        <v>12</v>
      </c>
      <c r="E31" s="50">
        <v>8</v>
      </c>
      <c r="F31" s="50">
        <v>11</v>
      </c>
      <c r="G31" s="50">
        <v>0</v>
      </c>
      <c r="H31" s="50">
        <v>0</v>
      </c>
      <c r="I31" s="50">
        <v>10</v>
      </c>
      <c r="J31" s="50">
        <v>1</v>
      </c>
      <c r="K31" s="50">
        <v>0</v>
      </c>
      <c r="L31" s="50">
        <v>0</v>
      </c>
      <c r="M31" s="50">
        <v>70</v>
      </c>
      <c r="N31" s="50">
        <v>0</v>
      </c>
      <c r="O31" s="15">
        <f t="shared" si="0"/>
        <v>112</v>
      </c>
      <c r="P31" s="15">
        <f t="shared" si="1"/>
        <v>182</v>
      </c>
    </row>
    <row r="32" spans="2:32" ht="23.1" customHeight="1">
      <c r="B32" s="24" t="s">
        <v>59</v>
      </c>
      <c r="C32" s="50">
        <v>59</v>
      </c>
      <c r="D32" s="50">
        <v>7</v>
      </c>
      <c r="E32" s="50">
        <v>8</v>
      </c>
      <c r="F32" s="50">
        <v>16</v>
      </c>
      <c r="G32" s="50">
        <v>0</v>
      </c>
      <c r="H32" s="50">
        <v>0</v>
      </c>
      <c r="I32" s="50">
        <v>6</v>
      </c>
      <c r="J32" s="50">
        <v>0</v>
      </c>
      <c r="K32" s="50">
        <v>0</v>
      </c>
      <c r="L32" s="50">
        <v>0</v>
      </c>
      <c r="M32" s="50">
        <v>113</v>
      </c>
      <c r="N32" s="50">
        <v>0</v>
      </c>
      <c r="O32" s="15">
        <f t="shared" si="0"/>
        <v>96</v>
      </c>
      <c r="P32" s="15">
        <f t="shared" si="1"/>
        <v>209</v>
      </c>
    </row>
    <row r="33" spans="2:20" ht="23.1" customHeight="1">
      <c r="B33" s="23" t="s">
        <v>60</v>
      </c>
      <c r="C33" s="50">
        <v>65</v>
      </c>
      <c r="D33" s="50">
        <v>12</v>
      </c>
      <c r="E33" s="50">
        <v>8</v>
      </c>
      <c r="F33" s="50">
        <v>10</v>
      </c>
      <c r="G33" s="50">
        <v>0</v>
      </c>
      <c r="H33" s="50">
        <v>0</v>
      </c>
      <c r="I33" s="50">
        <v>4</v>
      </c>
      <c r="J33" s="50">
        <v>0</v>
      </c>
      <c r="K33" s="50">
        <v>0</v>
      </c>
      <c r="L33" s="50">
        <v>0</v>
      </c>
      <c r="M33" s="50">
        <v>100</v>
      </c>
      <c r="N33" s="50">
        <v>0</v>
      </c>
      <c r="O33" s="15">
        <f t="shared" si="0"/>
        <v>99</v>
      </c>
      <c r="P33" s="15">
        <f t="shared" si="1"/>
        <v>199</v>
      </c>
    </row>
    <row r="34" spans="2:20" ht="23.1" customHeight="1">
      <c r="B34" s="24" t="s">
        <v>61</v>
      </c>
      <c r="C34" s="50">
        <v>75</v>
      </c>
      <c r="D34" s="50">
        <v>5</v>
      </c>
      <c r="E34" s="50">
        <v>2</v>
      </c>
      <c r="F34" s="50">
        <v>11</v>
      </c>
      <c r="G34" s="50">
        <v>0</v>
      </c>
      <c r="H34" s="50">
        <v>2</v>
      </c>
      <c r="I34" s="50">
        <v>6</v>
      </c>
      <c r="J34" s="50">
        <v>0</v>
      </c>
      <c r="K34" s="50">
        <v>0</v>
      </c>
      <c r="L34" s="50">
        <v>0</v>
      </c>
      <c r="M34" s="50">
        <v>70</v>
      </c>
      <c r="N34" s="50">
        <v>0</v>
      </c>
      <c r="O34" s="15">
        <f t="shared" si="0"/>
        <v>101</v>
      </c>
      <c r="P34" s="15">
        <f t="shared" si="1"/>
        <v>171</v>
      </c>
    </row>
    <row r="35" spans="2:20" ht="23.1" customHeight="1">
      <c r="B35" s="24" t="s">
        <v>62</v>
      </c>
      <c r="C35" s="50">
        <v>46</v>
      </c>
      <c r="D35" s="50">
        <v>10</v>
      </c>
      <c r="E35" s="50">
        <v>3</v>
      </c>
      <c r="F35" s="50">
        <v>10</v>
      </c>
      <c r="G35" s="50">
        <v>0</v>
      </c>
      <c r="H35" s="50">
        <v>0</v>
      </c>
      <c r="I35" s="50">
        <v>5</v>
      </c>
      <c r="J35" s="50">
        <v>2</v>
      </c>
      <c r="K35" s="50">
        <v>0</v>
      </c>
      <c r="L35" s="50">
        <v>0</v>
      </c>
      <c r="M35" s="50">
        <v>115</v>
      </c>
      <c r="N35" s="50">
        <v>0</v>
      </c>
      <c r="O35" s="15">
        <f t="shared" si="0"/>
        <v>76</v>
      </c>
      <c r="P35" s="15">
        <f t="shared" si="1"/>
        <v>191</v>
      </c>
    </row>
    <row r="36" spans="2:20" ht="23.1" customHeight="1">
      <c r="B36" s="24" t="s">
        <v>63</v>
      </c>
      <c r="C36" s="50">
        <v>50</v>
      </c>
      <c r="D36" s="50">
        <v>13</v>
      </c>
      <c r="E36" s="50">
        <v>9</v>
      </c>
      <c r="F36" s="50">
        <v>11</v>
      </c>
      <c r="G36" s="50">
        <v>0</v>
      </c>
      <c r="H36" s="50">
        <v>0</v>
      </c>
      <c r="I36" s="50">
        <v>4</v>
      </c>
      <c r="J36" s="50">
        <v>0</v>
      </c>
      <c r="K36" s="50">
        <v>1</v>
      </c>
      <c r="L36" s="50">
        <v>0</v>
      </c>
      <c r="M36" s="50">
        <v>90</v>
      </c>
      <c r="N36" s="50">
        <v>0</v>
      </c>
      <c r="O36" s="15">
        <f t="shared" si="0"/>
        <v>88</v>
      </c>
      <c r="P36" s="15">
        <f t="shared" si="1"/>
        <v>178</v>
      </c>
    </row>
    <row r="37" spans="2:20" ht="23.1" customHeight="1">
      <c r="B37" s="23" t="s">
        <v>64</v>
      </c>
      <c r="C37" s="50">
        <v>56</v>
      </c>
      <c r="D37" s="50">
        <v>5</v>
      </c>
      <c r="E37" s="50">
        <v>4</v>
      </c>
      <c r="F37" s="50">
        <v>4</v>
      </c>
      <c r="G37" s="50">
        <v>2</v>
      </c>
      <c r="H37" s="50">
        <v>1</v>
      </c>
      <c r="I37" s="50">
        <v>7</v>
      </c>
      <c r="J37" s="50">
        <v>3</v>
      </c>
      <c r="K37" s="50">
        <v>0</v>
      </c>
      <c r="L37" s="50">
        <v>0</v>
      </c>
      <c r="M37" s="50">
        <v>67</v>
      </c>
      <c r="N37" s="50">
        <v>0</v>
      </c>
      <c r="O37" s="15">
        <f t="shared" si="0"/>
        <v>82</v>
      </c>
      <c r="P37" s="15">
        <f t="shared" si="1"/>
        <v>149</v>
      </c>
    </row>
    <row r="38" spans="2:20" ht="23.1" customHeight="1">
      <c r="B38" s="24" t="s">
        <v>65</v>
      </c>
      <c r="C38" s="50">
        <v>75</v>
      </c>
      <c r="D38" s="50">
        <v>9</v>
      </c>
      <c r="E38" s="50">
        <v>10</v>
      </c>
      <c r="F38" s="50">
        <v>9</v>
      </c>
      <c r="G38" s="50">
        <v>0</v>
      </c>
      <c r="H38" s="50">
        <v>0</v>
      </c>
      <c r="I38" s="50">
        <v>9</v>
      </c>
      <c r="J38" s="50">
        <v>1</v>
      </c>
      <c r="K38" s="50">
        <v>0</v>
      </c>
      <c r="L38" s="50">
        <v>0</v>
      </c>
      <c r="M38" s="50">
        <v>74</v>
      </c>
      <c r="N38" s="50">
        <v>0</v>
      </c>
      <c r="O38" s="15">
        <f t="shared" si="0"/>
        <v>113</v>
      </c>
      <c r="P38" s="15">
        <f t="shared" si="1"/>
        <v>187</v>
      </c>
    </row>
    <row r="39" spans="2:20" ht="23.1" customHeight="1">
      <c r="B39" s="24" t="s">
        <v>66</v>
      </c>
      <c r="C39" s="50">
        <v>60</v>
      </c>
      <c r="D39" s="50">
        <v>11</v>
      </c>
      <c r="E39" s="50">
        <v>9</v>
      </c>
      <c r="F39" s="50">
        <v>11</v>
      </c>
      <c r="G39" s="50">
        <v>0</v>
      </c>
      <c r="H39" s="50">
        <v>0</v>
      </c>
      <c r="I39" s="50">
        <v>3</v>
      </c>
      <c r="J39" s="50">
        <v>1</v>
      </c>
      <c r="K39" s="50">
        <v>0</v>
      </c>
      <c r="L39" s="50">
        <v>0</v>
      </c>
      <c r="M39" s="50">
        <v>92</v>
      </c>
      <c r="N39" s="50">
        <v>0</v>
      </c>
      <c r="O39" s="15">
        <f t="shared" si="0"/>
        <v>95</v>
      </c>
      <c r="P39" s="15">
        <f t="shared" si="1"/>
        <v>187</v>
      </c>
    </row>
    <row r="40" spans="2:20" ht="23.1" customHeight="1">
      <c r="B40" s="24" t="s">
        <v>67</v>
      </c>
      <c r="C40" s="50">
        <v>100</v>
      </c>
      <c r="D40" s="50">
        <v>10</v>
      </c>
      <c r="E40" s="50">
        <v>5</v>
      </c>
      <c r="F40" s="50">
        <v>11</v>
      </c>
      <c r="G40" s="50">
        <v>0</v>
      </c>
      <c r="H40" s="50">
        <v>0</v>
      </c>
      <c r="I40" s="50">
        <v>2</v>
      </c>
      <c r="J40" s="50">
        <v>0</v>
      </c>
      <c r="K40" s="50">
        <v>0</v>
      </c>
      <c r="L40" s="50">
        <v>0</v>
      </c>
      <c r="M40" s="50">
        <v>77</v>
      </c>
      <c r="N40" s="50">
        <v>0</v>
      </c>
      <c r="O40" s="15">
        <f t="shared" si="0"/>
        <v>128</v>
      </c>
      <c r="P40" s="15">
        <f t="shared" si="1"/>
        <v>205</v>
      </c>
    </row>
    <row r="41" spans="2:20" ht="23.1" customHeight="1">
      <c r="B41" s="23" t="s">
        <v>68</v>
      </c>
      <c r="C41" s="50">
        <v>85</v>
      </c>
      <c r="D41" s="50">
        <v>4</v>
      </c>
      <c r="E41" s="50">
        <v>6</v>
      </c>
      <c r="F41" s="50">
        <v>41</v>
      </c>
      <c r="G41" s="50">
        <v>1</v>
      </c>
      <c r="H41" s="50">
        <v>0</v>
      </c>
      <c r="I41" s="50">
        <v>8</v>
      </c>
      <c r="J41" s="50">
        <v>1</v>
      </c>
      <c r="K41" s="50">
        <v>0</v>
      </c>
      <c r="L41" s="50">
        <v>0</v>
      </c>
      <c r="M41" s="50">
        <v>60</v>
      </c>
      <c r="N41" s="50">
        <v>0</v>
      </c>
      <c r="O41" s="15">
        <f t="shared" si="0"/>
        <v>146</v>
      </c>
      <c r="P41" s="15">
        <f t="shared" si="1"/>
        <v>206</v>
      </c>
    </row>
    <row r="42" spans="2:20" ht="23.1" customHeight="1">
      <c r="B42" s="24" t="s">
        <v>69</v>
      </c>
      <c r="C42" s="50">
        <v>95</v>
      </c>
      <c r="D42" s="50">
        <v>10</v>
      </c>
      <c r="E42" s="50">
        <v>7</v>
      </c>
      <c r="F42" s="50">
        <v>13</v>
      </c>
      <c r="G42" s="50">
        <v>0</v>
      </c>
      <c r="H42" s="50">
        <v>0</v>
      </c>
      <c r="I42" s="50">
        <v>4</v>
      </c>
      <c r="J42" s="50">
        <v>0</v>
      </c>
      <c r="K42" s="50">
        <v>0</v>
      </c>
      <c r="L42" s="50">
        <v>1</v>
      </c>
      <c r="M42" s="50">
        <v>50</v>
      </c>
      <c r="N42" s="50">
        <v>0</v>
      </c>
      <c r="O42" s="15">
        <f t="shared" si="0"/>
        <v>130</v>
      </c>
      <c r="P42" s="15">
        <f t="shared" si="1"/>
        <v>180</v>
      </c>
    </row>
    <row r="43" spans="2:20" ht="23.1" customHeight="1">
      <c r="B43" s="23" t="s">
        <v>70</v>
      </c>
      <c r="C43" s="50">
        <v>85</v>
      </c>
      <c r="D43" s="50">
        <v>10</v>
      </c>
      <c r="E43" s="50">
        <v>8</v>
      </c>
      <c r="F43" s="50">
        <v>8</v>
      </c>
      <c r="G43" s="50">
        <v>0</v>
      </c>
      <c r="H43" s="50">
        <v>0</v>
      </c>
      <c r="I43" s="50">
        <v>5</v>
      </c>
      <c r="J43" s="50">
        <v>0</v>
      </c>
      <c r="K43" s="50">
        <v>0</v>
      </c>
      <c r="L43" s="50">
        <v>0</v>
      </c>
      <c r="M43" s="50">
        <v>92</v>
      </c>
      <c r="N43" s="50">
        <v>0</v>
      </c>
      <c r="O43" s="15">
        <f t="shared" si="0"/>
        <v>116</v>
      </c>
      <c r="P43" s="15">
        <f t="shared" si="1"/>
        <v>208</v>
      </c>
    </row>
    <row r="44" spans="2:20" ht="23.1" customHeight="1">
      <c r="B44" s="25" t="s">
        <v>71</v>
      </c>
      <c r="C44" s="50">
        <v>80</v>
      </c>
      <c r="D44" s="50">
        <v>7</v>
      </c>
      <c r="E44" s="50">
        <v>5</v>
      </c>
      <c r="F44" s="50">
        <v>8</v>
      </c>
      <c r="G44" s="50">
        <v>0</v>
      </c>
      <c r="H44" s="50">
        <v>0</v>
      </c>
      <c r="I44" s="50">
        <v>2</v>
      </c>
      <c r="J44" s="50">
        <v>0</v>
      </c>
      <c r="K44" s="50">
        <v>0</v>
      </c>
      <c r="L44" s="50">
        <v>0</v>
      </c>
      <c r="M44" s="50">
        <v>64</v>
      </c>
      <c r="N44" s="50">
        <v>0</v>
      </c>
      <c r="O44" s="15">
        <f t="shared" si="0"/>
        <v>102</v>
      </c>
      <c r="P44" s="15">
        <f t="shared" si="1"/>
        <v>166</v>
      </c>
    </row>
    <row r="45" spans="2:20" ht="23.1" customHeight="1">
      <c r="B45" s="23" t="s">
        <v>72</v>
      </c>
      <c r="C45" s="50">
        <v>45</v>
      </c>
      <c r="D45" s="50">
        <v>10</v>
      </c>
      <c r="E45" s="50">
        <v>3</v>
      </c>
      <c r="F45" s="50">
        <v>8</v>
      </c>
      <c r="G45" s="50">
        <v>0</v>
      </c>
      <c r="H45" s="50">
        <v>0</v>
      </c>
      <c r="I45" s="50">
        <v>6</v>
      </c>
      <c r="J45" s="50">
        <v>0</v>
      </c>
      <c r="K45" s="50">
        <v>1</v>
      </c>
      <c r="L45" s="50">
        <v>0</v>
      </c>
      <c r="M45" s="50">
        <v>54</v>
      </c>
      <c r="N45" s="50">
        <v>0</v>
      </c>
      <c r="O45" s="15">
        <f t="shared" si="0"/>
        <v>73</v>
      </c>
      <c r="P45" s="15">
        <f t="shared" si="1"/>
        <v>127</v>
      </c>
    </row>
    <row r="46" spans="2:20" ht="23.1" customHeight="1">
      <c r="B46" s="24" t="s">
        <v>73</v>
      </c>
      <c r="C46" s="50">
        <v>39</v>
      </c>
      <c r="D46" s="50">
        <v>4</v>
      </c>
      <c r="E46" s="50">
        <v>2</v>
      </c>
      <c r="F46" s="50">
        <v>6</v>
      </c>
      <c r="G46" s="50">
        <v>0</v>
      </c>
      <c r="H46" s="50">
        <v>0</v>
      </c>
      <c r="I46" s="50">
        <v>8</v>
      </c>
      <c r="J46" s="50">
        <v>0</v>
      </c>
      <c r="K46" s="50">
        <v>0</v>
      </c>
      <c r="L46" s="50">
        <v>0</v>
      </c>
      <c r="M46" s="50">
        <v>75</v>
      </c>
      <c r="N46" s="50">
        <v>0</v>
      </c>
      <c r="O46" s="15">
        <f t="shared" si="0"/>
        <v>59</v>
      </c>
      <c r="P46" s="15">
        <f t="shared" si="1"/>
        <v>134</v>
      </c>
      <c r="R46" s="8"/>
      <c r="T46"/>
    </row>
    <row r="47" spans="2:20" ht="23.1" customHeight="1">
      <c r="B47" s="24" t="s">
        <v>74</v>
      </c>
      <c r="C47" s="50">
        <v>42</v>
      </c>
      <c r="D47" s="50">
        <v>4</v>
      </c>
      <c r="E47" s="50">
        <v>7</v>
      </c>
      <c r="F47" s="50">
        <v>8</v>
      </c>
      <c r="G47" s="50">
        <v>0</v>
      </c>
      <c r="H47" s="50">
        <v>0</v>
      </c>
      <c r="I47" s="50">
        <v>3</v>
      </c>
      <c r="J47" s="50">
        <v>0</v>
      </c>
      <c r="K47" s="50">
        <v>0</v>
      </c>
      <c r="L47" s="50">
        <v>0</v>
      </c>
      <c r="M47" s="50">
        <v>67</v>
      </c>
      <c r="N47" s="50">
        <v>0</v>
      </c>
      <c r="O47" s="15">
        <f t="shared" si="0"/>
        <v>64</v>
      </c>
      <c r="P47" s="15">
        <f t="shared" si="1"/>
        <v>131</v>
      </c>
      <c r="R47" s="8"/>
      <c r="T47"/>
    </row>
    <row r="48" spans="2:20" ht="23.1" customHeight="1">
      <c r="B48" s="24" t="s">
        <v>75</v>
      </c>
      <c r="C48" s="50">
        <v>40</v>
      </c>
      <c r="D48" s="50">
        <v>8</v>
      </c>
      <c r="E48" s="50">
        <v>4</v>
      </c>
      <c r="F48" s="50">
        <v>8</v>
      </c>
      <c r="G48" s="50">
        <v>0</v>
      </c>
      <c r="H48" s="50">
        <v>0</v>
      </c>
      <c r="I48" s="50">
        <v>5</v>
      </c>
      <c r="J48" s="50">
        <v>1</v>
      </c>
      <c r="K48" s="50">
        <v>0</v>
      </c>
      <c r="L48" s="50">
        <v>0</v>
      </c>
      <c r="M48" s="50">
        <v>102</v>
      </c>
      <c r="N48" s="50">
        <v>0</v>
      </c>
      <c r="O48" s="15">
        <f t="shared" si="0"/>
        <v>66</v>
      </c>
      <c r="P48" s="15">
        <f t="shared" si="1"/>
        <v>168</v>
      </c>
      <c r="R48" s="8"/>
      <c r="T48"/>
    </row>
    <row r="49" spans="2:20" ht="23.1" customHeight="1">
      <c r="B49" s="23" t="s">
        <v>76</v>
      </c>
      <c r="C49" s="50">
        <v>75</v>
      </c>
      <c r="D49" s="50">
        <v>12</v>
      </c>
      <c r="E49" s="50">
        <v>3</v>
      </c>
      <c r="F49" s="50">
        <v>4</v>
      </c>
      <c r="G49" s="50">
        <v>1</v>
      </c>
      <c r="H49" s="50">
        <v>0</v>
      </c>
      <c r="I49" s="50">
        <v>4</v>
      </c>
      <c r="J49" s="50">
        <v>0</v>
      </c>
      <c r="K49" s="50">
        <v>0</v>
      </c>
      <c r="L49" s="50">
        <v>0</v>
      </c>
      <c r="M49" s="50">
        <v>123</v>
      </c>
      <c r="N49" s="50">
        <v>0</v>
      </c>
      <c r="O49" s="15">
        <f t="shared" si="0"/>
        <v>99</v>
      </c>
      <c r="P49" s="15">
        <f t="shared" si="1"/>
        <v>222</v>
      </c>
      <c r="R49" s="8"/>
      <c r="T49"/>
    </row>
    <row r="50" spans="2:20" ht="23.1" customHeight="1">
      <c r="B50" s="24" t="s">
        <v>77</v>
      </c>
      <c r="C50" s="50">
        <v>59</v>
      </c>
      <c r="D50" s="50">
        <v>17</v>
      </c>
      <c r="E50" s="50">
        <v>12</v>
      </c>
      <c r="F50" s="50">
        <v>9</v>
      </c>
      <c r="G50" s="50">
        <v>1</v>
      </c>
      <c r="H50" s="50">
        <v>0</v>
      </c>
      <c r="I50" s="50">
        <v>6</v>
      </c>
      <c r="J50" s="50">
        <v>0</v>
      </c>
      <c r="K50" s="50">
        <v>0</v>
      </c>
      <c r="L50" s="50">
        <v>0</v>
      </c>
      <c r="M50" s="50">
        <v>88</v>
      </c>
      <c r="N50" s="50">
        <v>0</v>
      </c>
      <c r="O50" s="15">
        <f t="shared" si="0"/>
        <v>104</v>
      </c>
      <c r="P50" s="15">
        <f t="shared" si="1"/>
        <v>192</v>
      </c>
      <c r="R50" s="8"/>
      <c r="T50"/>
    </row>
    <row r="51" spans="2:20" ht="23.1" customHeight="1">
      <c r="B51" s="24" t="s">
        <v>78</v>
      </c>
      <c r="C51" s="50">
        <v>60</v>
      </c>
      <c r="D51" s="50">
        <v>7</v>
      </c>
      <c r="E51" s="50">
        <v>6</v>
      </c>
      <c r="F51" s="50">
        <v>8</v>
      </c>
      <c r="G51" s="50">
        <v>1</v>
      </c>
      <c r="H51" s="50">
        <v>0</v>
      </c>
      <c r="I51" s="50">
        <v>8</v>
      </c>
      <c r="J51" s="50">
        <v>0</v>
      </c>
      <c r="K51" s="50">
        <v>0</v>
      </c>
      <c r="L51" s="50">
        <v>0</v>
      </c>
      <c r="M51" s="50">
        <v>82</v>
      </c>
      <c r="N51" s="50">
        <v>0</v>
      </c>
      <c r="O51" s="15">
        <f t="shared" si="0"/>
        <v>90</v>
      </c>
      <c r="P51" s="15">
        <f t="shared" si="1"/>
        <v>172</v>
      </c>
      <c r="R51" s="8"/>
      <c r="T51"/>
    </row>
    <row r="52" spans="2:20" ht="23.1" customHeight="1">
      <c r="B52" s="24" t="s">
        <v>79</v>
      </c>
      <c r="C52" s="50">
        <v>55</v>
      </c>
      <c r="D52" s="50">
        <v>9</v>
      </c>
      <c r="E52" s="50">
        <v>10</v>
      </c>
      <c r="F52" s="50">
        <v>16</v>
      </c>
      <c r="G52" s="50">
        <v>0</v>
      </c>
      <c r="H52" s="50">
        <v>0</v>
      </c>
      <c r="I52" s="50">
        <v>4</v>
      </c>
      <c r="J52" s="50">
        <v>0</v>
      </c>
      <c r="K52" s="50">
        <v>0</v>
      </c>
      <c r="L52" s="50">
        <v>0</v>
      </c>
      <c r="M52" s="50">
        <v>90</v>
      </c>
      <c r="N52" s="50">
        <v>0</v>
      </c>
      <c r="O52" s="15">
        <f t="shared" si="0"/>
        <v>94</v>
      </c>
      <c r="P52" s="15">
        <f t="shared" si="1"/>
        <v>184</v>
      </c>
      <c r="R52" s="8"/>
      <c r="T52"/>
    </row>
    <row r="53" spans="2:20" ht="23.1" customHeight="1">
      <c r="B53" s="23" t="s">
        <v>80</v>
      </c>
      <c r="C53" s="50">
        <v>65</v>
      </c>
      <c r="D53" s="50">
        <v>10</v>
      </c>
      <c r="E53" s="50">
        <v>14</v>
      </c>
      <c r="F53" s="50">
        <v>15</v>
      </c>
      <c r="G53" s="50">
        <v>0</v>
      </c>
      <c r="H53" s="50">
        <v>0</v>
      </c>
      <c r="I53" s="50">
        <v>2</v>
      </c>
      <c r="J53" s="50">
        <v>0</v>
      </c>
      <c r="K53" s="50">
        <v>0</v>
      </c>
      <c r="L53" s="50">
        <v>0</v>
      </c>
      <c r="M53" s="50">
        <v>105</v>
      </c>
      <c r="N53" s="50">
        <v>0</v>
      </c>
      <c r="O53" s="15">
        <f t="shared" si="0"/>
        <v>106</v>
      </c>
      <c r="P53" s="15">
        <f t="shared" si="1"/>
        <v>211</v>
      </c>
      <c r="R53" s="8"/>
      <c r="T53"/>
    </row>
    <row r="54" spans="2:20" ht="23.1" customHeight="1">
      <c r="B54" s="23" t="s">
        <v>81</v>
      </c>
      <c r="C54" s="50">
        <v>100</v>
      </c>
      <c r="D54" s="50">
        <v>8</v>
      </c>
      <c r="E54" s="50">
        <v>5</v>
      </c>
      <c r="F54" s="50">
        <v>12</v>
      </c>
      <c r="G54" s="50">
        <v>0</v>
      </c>
      <c r="H54" s="50">
        <v>0</v>
      </c>
      <c r="I54" s="50">
        <v>1</v>
      </c>
      <c r="J54" s="50">
        <v>0</v>
      </c>
      <c r="K54" s="50">
        <v>1</v>
      </c>
      <c r="L54" s="50">
        <v>0</v>
      </c>
      <c r="M54" s="50">
        <v>150</v>
      </c>
      <c r="N54" s="50">
        <v>0</v>
      </c>
      <c r="O54" s="15">
        <f t="shared" si="0"/>
        <v>127</v>
      </c>
      <c r="P54" s="15">
        <f t="shared" si="1"/>
        <v>277</v>
      </c>
      <c r="R54" s="8"/>
      <c r="T54"/>
    </row>
    <row r="55" spans="2:20" ht="23.1" customHeight="1">
      <c r="B55" s="23" t="s">
        <v>82</v>
      </c>
      <c r="C55" s="50">
        <v>60</v>
      </c>
      <c r="D55" s="50">
        <v>6</v>
      </c>
      <c r="E55" s="50">
        <v>4</v>
      </c>
      <c r="F55" s="50">
        <v>11</v>
      </c>
      <c r="G55" s="50">
        <v>0</v>
      </c>
      <c r="H55" s="50">
        <v>0</v>
      </c>
      <c r="I55" s="50">
        <v>2</v>
      </c>
      <c r="J55" s="50">
        <v>0</v>
      </c>
      <c r="K55" s="50">
        <v>0</v>
      </c>
      <c r="L55" s="50">
        <v>0</v>
      </c>
      <c r="M55" s="50">
        <v>125</v>
      </c>
      <c r="N55" s="50">
        <v>0</v>
      </c>
      <c r="O55" s="15">
        <f t="shared" si="0"/>
        <v>83</v>
      </c>
      <c r="P55" s="15">
        <f t="shared" si="1"/>
        <v>208</v>
      </c>
      <c r="R55" s="8"/>
      <c r="T55"/>
    </row>
    <row r="56" spans="2:20" ht="23.1" customHeight="1">
      <c r="B56" s="23" t="s">
        <v>83</v>
      </c>
      <c r="C56" s="50">
        <v>70</v>
      </c>
      <c r="D56" s="50">
        <v>5</v>
      </c>
      <c r="E56" s="50">
        <v>5</v>
      </c>
      <c r="F56" s="50">
        <v>10</v>
      </c>
      <c r="G56" s="50">
        <v>0</v>
      </c>
      <c r="H56" s="50">
        <v>0</v>
      </c>
      <c r="I56" s="50">
        <v>8</v>
      </c>
      <c r="J56" s="50">
        <v>0</v>
      </c>
      <c r="K56" s="50">
        <v>0</v>
      </c>
      <c r="L56" s="50">
        <v>0</v>
      </c>
      <c r="M56" s="50">
        <v>103</v>
      </c>
      <c r="N56" s="50">
        <v>0</v>
      </c>
      <c r="O56" s="15">
        <f t="shared" si="0"/>
        <v>98</v>
      </c>
      <c r="P56" s="15">
        <f t="shared" si="1"/>
        <v>201</v>
      </c>
      <c r="R56" s="8"/>
      <c r="T56"/>
    </row>
    <row r="57" spans="2:20" ht="23.1" customHeight="1">
      <c r="B57" s="23" t="s">
        <v>84</v>
      </c>
      <c r="C57" s="50">
        <v>30</v>
      </c>
      <c r="D57" s="50">
        <v>7</v>
      </c>
      <c r="E57" s="50">
        <v>2</v>
      </c>
      <c r="F57" s="50">
        <v>9</v>
      </c>
      <c r="G57" s="50">
        <v>1</v>
      </c>
      <c r="H57" s="50">
        <v>0</v>
      </c>
      <c r="I57" s="50">
        <v>3</v>
      </c>
      <c r="J57" s="50">
        <v>0</v>
      </c>
      <c r="K57" s="50">
        <v>1</v>
      </c>
      <c r="L57" s="50">
        <v>0</v>
      </c>
      <c r="M57" s="50">
        <v>160</v>
      </c>
      <c r="N57" s="50">
        <v>0</v>
      </c>
      <c r="O57" s="15">
        <f t="shared" si="0"/>
        <v>53</v>
      </c>
      <c r="P57" s="15">
        <f t="shared" si="1"/>
        <v>213</v>
      </c>
      <c r="R57" s="8"/>
      <c r="T57"/>
    </row>
    <row r="58" spans="2:20" ht="23.1" customHeight="1">
      <c r="B58" s="26" t="s">
        <v>18</v>
      </c>
      <c r="C58" s="16">
        <f t="shared" ref="C58:P58" si="21">SUM(C10:C57)</f>
        <v>3945</v>
      </c>
      <c r="D58" s="16">
        <f t="shared" si="21"/>
        <v>508</v>
      </c>
      <c r="E58" s="16">
        <f t="shared" si="21"/>
        <v>335</v>
      </c>
      <c r="F58" s="16">
        <f t="shared" si="21"/>
        <v>623</v>
      </c>
      <c r="G58" s="16">
        <f t="shared" si="21"/>
        <v>13</v>
      </c>
      <c r="H58" s="16">
        <f t="shared" si="21"/>
        <v>3</v>
      </c>
      <c r="I58" s="16">
        <f t="shared" si="21"/>
        <v>201</v>
      </c>
      <c r="J58" s="16">
        <f t="shared" si="21"/>
        <v>29</v>
      </c>
      <c r="K58" s="16">
        <f t="shared" si="21"/>
        <v>5</v>
      </c>
      <c r="L58" s="16">
        <f t="shared" si="21"/>
        <v>2</v>
      </c>
      <c r="M58" s="16">
        <f t="shared" si="21"/>
        <v>4291</v>
      </c>
      <c r="N58" s="16">
        <f t="shared" si="21"/>
        <v>1</v>
      </c>
      <c r="O58" s="16">
        <f t="shared" si="21"/>
        <v>5665</v>
      </c>
      <c r="P58" s="16">
        <f t="shared" si="21"/>
        <v>9956</v>
      </c>
      <c r="R58" s="8"/>
      <c r="T58"/>
    </row>
    <row r="59" spans="2:20" ht="23.1" customHeight="1">
      <c r="B59" s="26" t="s">
        <v>93</v>
      </c>
      <c r="C59" s="43">
        <f t="shared" ref="C59:N59" si="22">C58/$P$58</f>
        <v>0.39624347127360388</v>
      </c>
      <c r="D59" s="43">
        <f t="shared" si="22"/>
        <v>5.1024507834471676E-2</v>
      </c>
      <c r="E59" s="43">
        <f t="shared" si="22"/>
        <v>3.364805142627561E-2</v>
      </c>
      <c r="F59" s="43">
        <f t="shared" si="22"/>
        <v>6.2575331458417038E-2</v>
      </c>
      <c r="G59" s="43">
        <f t="shared" si="22"/>
        <v>1.3057452792286058E-3</v>
      </c>
      <c r="H59" s="43">
        <f t="shared" si="22"/>
        <v>3.013258336681398E-4</v>
      </c>
      <c r="I59" s="43">
        <f t="shared" si="22"/>
        <v>2.0188830855765366E-2</v>
      </c>
      <c r="J59" s="43">
        <f t="shared" si="22"/>
        <v>2.9128163921253516E-3</v>
      </c>
      <c r="K59" s="43">
        <f t="shared" si="22"/>
        <v>5.0220972278023301E-4</v>
      </c>
      <c r="L59" s="43">
        <f t="shared" si="22"/>
        <v>2.008838891120932E-4</v>
      </c>
      <c r="M59" s="43">
        <f t="shared" si="22"/>
        <v>0.43099638408999597</v>
      </c>
      <c r="N59" s="43">
        <f t="shared" si="22"/>
        <v>1.004419445560466E-4</v>
      </c>
      <c r="R59" s="8"/>
      <c r="T59"/>
    </row>
    <row r="60" spans="2:20" ht="23.1" customHeight="1">
      <c r="B60" s="42" t="s">
        <v>94</v>
      </c>
      <c r="C60" s="44">
        <f>C58/$O$58</f>
        <v>0.69638128861429838</v>
      </c>
      <c r="D60" s="44">
        <f t="shared" ref="D60:N60" si="23">D58/$O$58</f>
        <v>8.9673433362753754E-2</v>
      </c>
      <c r="E60" s="44">
        <f t="shared" si="23"/>
        <v>5.9135039717563988E-2</v>
      </c>
      <c r="F60" s="44">
        <f t="shared" si="23"/>
        <v>0.10997352162400706</v>
      </c>
      <c r="G60" s="44">
        <f t="shared" si="23"/>
        <v>2.294792586054722E-3</v>
      </c>
      <c r="H60" s="44">
        <f t="shared" si="23"/>
        <v>5.2956751985878199E-4</v>
      </c>
      <c r="I60" s="44">
        <f t="shared" si="23"/>
        <v>3.5481023830538395E-2</v>
      </c>
      <c r="J60" s="44">
        <f t="shared" si="23"/>
        <v>5.1191526919682259E-3</v>
      </c>
      <c r="K60" s="44">
        <f t="shared" si="23"/>
        <v>8.8261253309797002E-4</v>
      </c>
      <c r="L60" s="44">
        <f t="shared" si="23"/>
        <v>3.5304501323918798E-4</v>
      </c>
      <c r="M60" s="44"/>
      <c r="N60" s="44">
        <f t="shared" si="23"/>
        <v>1.7652250661959399E-4</v>
      </c>
      <c r="Q60" s="7"/>
      <c r="R60" s="8"/>
      <c r="T60"/>
    </row>
    <row r="61" spans="2:20" ht="20.100000000000001" customHeight="1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dimension ref="B1:AF126"/>
  <sheetViews>
    <sheetView view="pageBreakPreview" zoomScale="60" workbookViewId="0">
      <selection activeCell="M57" sqref="M57"/>
    </sheetView>
  </sheetViews>
  <sheetFormatPr defaultColWidth="15" defaultRowHeight="20.100000000000001" customHeight="1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>
      <c r="B1" s="60" t="s">
        <v>23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</row>
    <row r="2" spans="2:32" ht="20.100000000000001" customHeight="1">
      <c r="B2" s="61" t="s">
        <v>95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</row>
    <row r="3" spans="2:32" ht="20.100000000000001" customHeight="1">
      <c r="B3" s="22" t="s">
        <v>96</v>
      </c>
      <c r="C3" s="65" t="str">
        <f>'29.07 Kiwatule-Najjeera'!C3:G3</f>
        <v>MCC - C1 - STN36 - MBOGO ROAD</v>
      </c>
      <c r="D3" s="65"/>
      <c r="E3" s="65"/>
      <c r="F3" s="65"/>
      <c r="G3" s="65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>
      <c r="C5" s="4" t="s">
        <v>3</v>
      </c>
      <c r="D5" s="36" t="str">
        <f>'02.08 Najjeera-Kiwatule'!D5</f>
        <v>02.08.19</v>
      </c>
      <c r="E5" s="3"/>
      <c r="F5" s="41" t="s">
        <v>1</v>
      </c>
      <c r="G5" s="66" t="str">
        <f>'29.07 Najjeera-Kiwatule'!G5:H5</f>
        <v>U Save Kiwatule</v>
      </c>
      <c r="H5" s="67"/>
      <c r="I5" s="14"/>
      <c r="J5" s="2" t="s">
        <v>5</v>
      </c>
      <c r="K5" s="66" t="s">
        <v>178</v>
      </c>
      <c r="L5" s="67"/>
      <c r="M5" s="10"/>
      <c r="N5" s="10"/>
      <c r="O5" s="3"/>
      <c r="P5" s="3"/>
    </row>
    <row r="6" spans="2:32" ht="23.25" customHeight="1">
      <c r="C6" s="2" t="s">
        <v>4</v>
      </c>
      <c r="D6" s="66" t="str">
        <f>'29.07 Kiwatule-Najjeera'!D6:E6</f>
        <v>Kiwatule</v>
      </c>
      <c r="E6" s="67"/>
      <c r="F6" s="2" t="s">
        <v>2</v>
      </c>
      <c r="G6" s="66" t="str">
        <f>'29.07 Kiwatule-Najjeera'!G6:H6</f>
        <v>Najjeera</v>
      </c>
      <c r="H6" s="67"/>
      <c r="J6" s="2" t="s">
        <v>21</v>
      </c>
      <c r="K6" s="66" t="s">
        <v>172</v>
      </c>
      <c r="L6" s="67"/>
      <c r="M6" s="10"/>
      <c r="N6" s="10"/>
      <c r="O6" s="3"/>
      <c r="P6" s="3"/>
    </row>
    <row r="7" spans="2:32" ht="20.100000000000001" customHeight="1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9" t="s">
        <v>88</v>
      </c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</row>
    <row r="9" spans="2:32" ht="51.75" customHeight="1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>
      <c r="B10" s="23" t="s">
        <v>37</v>
      </c>
      <c r="C10" s="50">
        <v>19</v>
      </c>
      <c r="D10" s="50">
        <v>6</v>
      </c>
      <c r="E10" s="50">
        <v>2</v>
      </c>
      <c r="F10" s="50">
        <v>13</v>
      </c>
      <c r="G10" s="50">
        <v>0</v>
      </c>
      <c r="H10" s="50">
        <v>0</v>
      </c>
      <c r="I10" s="50">
        <v>5</v>
      </c>
      <c r="J10" s="50">
        <v>0</v>
      </c>
      <c r="K10" s="50">
        <v>0</v>
      </c>
      <c r="L10" s="50">
        <v>0</v>
      </c>
      <c r="M10" s="50">
        <v>26</v>
      </c>
      <c r="N10" s="50">
        <v>0</v>
      </c>
      <c r="O10" s="15">
        <f t="shared" ref="O10:O57" si="0">SUM(C10:L10,N10)</f>
        <v>45</v>
      </c>
      <c r="P10" s="15">
        <f t="shared" ref="P10:P57" si="1">SUM(C10:N10)</f>
        <v>71</v>
      </c>
      <c r="R10" s="1" t="s">
        <v>6</v>
      </c>
      <c r="S10" s="17">
        <f t="shared" ref="S10:AF10" si="2">SUM(C10:C13)</f>
        <v>153</v>
      </c>
      <c r="T10" s="17">
        <f t="shared" si="2"/>
        <v>20</v>
      </c>
      <c r="U10" s="17">
        <f t="shared" si="2"/>
        <v>10</v>
      </c>
      <c r="V10" s="17">
        <f t="shared" si="2"/>
        <v>77</v>
      </c>
      <c r="W10" s="17">
        <f t="shared" si="2"/>
        <v>2</v>
      </c>
      <c r="X10" s="17">
        <f t="shared" si="2"/>
        <v>0</v>
      </c>
      <c r="Y10" s="17">
        <f t="shared" si="2"/>
        <v>9</v>
      </c>
      <c r="Z10" s="17">
        <f t="shared" si="2"/>
        <v>2</v>
      </c>
      <c r="AA10" s="17">
        <f t="shared" si="2"/>
        <v>2</v>
      </c>
      <c r="AB10" s="17">
        <f t="shared" si="2"/>
        <v>0</v>
      </c>
      <c r="AC10" s="17">
        <f t="shared" si="2"/>
        <v>176</v>
      </c>
      <c r="AD10" s="17">
        <f t="shared" si="2"/>
        <v>0</v>
      </c>
      <c r="AE10" s="31">
        <f t="shared" si="2"/>
        <v>275</v>
      </c>
      <c r="AF10" s="31">
        <f t="shared" si="2"/>
        <v>451</v>
      </c>
    </row>
    <row r="11" spans="2:32" s="6" customFormat="1" ht="23.1" customHeight="1">
      <c r="B11" s="23" t="s">
        <v>38</v>
      </c>
      <c r="C11" s="50">
        <v>28</v>
      </c>
      <c r="D11" s="50">
        <v>4</v>
      </c>
      <c r="E11" s="50">
        <v>0</v>
      </c>
      <c r="F11" s="50">
        <v>18</v>
      </c>
      <c r="G11" s="50">
        <v>2</v>
      </c>
      <c r="H11" s="50">
        <v>0</v>
      </c>
      <c r="I11" s="50">
        <v>2</v>
      </c>
      <c r="J11" s="50">
        <v>0</v>
      </c>
      <c r="K11" s="50">
        <v>0</v>
      </c>
      <c r="L11" s="50">
        <v>0</v>
      </c>
      <c r="M11" s="50">
        <v>50</v>
      </c>
      <c r="N11" s="50">
        <v>0</v>
      </c>
      <c r="O11" s="15">
        <f t="shared" si="0"/>
        <v>54</v>
      </c>
      <c r="P11" s="15">
        <f t="shared" si="1"/>
        <v>104</v>
      </c>
      <c r="R11" s="1" t="s">
        <v>7</v>
      </c>
      <c r="S11" s="17">
        <f t="shared" ref="S11:AF11" si="3">SUM(C14:C17)</f>
        <v>121</v>
      </c>
      <c r="T11" s="17">
        <f t="shared" si="3"/>
        <v>18</v>
      </c>
      <c r="U11" s="17">
        <f t="shared" si="3"/>
        <v>10</v>
      </c>
      <c r="V11" s="17">
        <f t="shared" si="3"/>
        <v>71</v>
      </c>
      <c r="W11" s="17">
        <f t="shared" si="3"/>
        <v>1</v>
      </c>
      <c r="X11" s="17">
        <f t="shared" si="3"/>
        <v>2</v>
      </c>
      <c r="Y11" s="17">
        <f t="shared" si="3"/>
        <v>4</v>
      </c>
      <c r="Z11" s="17">
        <f t="shared" si="3"/>
        <v>2</v>
      </c>
      <c r="AA11" s="17">
        <f t="shared" si="3"/>
        <v>3</v>
      </c>
      <c r="AB11" s="17">
        <f t="shared" si="3"/>
        <v>1</v>
      </c>
      <c r="AC11" s="17">
        <f t="shared" si="3"/>
        <v>183</v>
      </c>
      <c r="AD11" s="17">
        <f t="shared" si="3"/>
        <v>0</v>
      </c>
      <c r="AE11" s="31">
        <f t="shared" si="3"/>
        <v>233</v>
      </c>
      <c r="AF11" s="31">
        <f t="shared" si="3"/>
        <v>416</v>
      </c>
    </row>
    <row r="12" spans="2:32" ht="23.1" customHeight="1">
      <c r="B12" s="23" t="s">
        <v>39</v>
      </c>
      <c r="C12" s="50">
        <v>55</v>
      </c>
      <c r="D12" s="50">
        <v>5</v>
      </c>
      <c r="E12" s="50">
        <v>6</v>
      </c>
      <c r="F12" s="50">
        <v>17</v>
      </c>
      <c r="G12" s="50">
        <v>0</v>
      </c>
      <c r="H12" s="50">
        <v>0</v>
      </c>
      <c r="I12" s="50">
        <v>1</v>
      </c>
      <c r="J12" s="50">
        <v>0</v>
      </c>
      <c r="K12" s="50">
        <v>1</v>
      </c>
      <c r="L12" s="50">
        <v>0</v>
      </c>
      <c r="M12" s="50">
        <v>35</v>
      </c>
      <c r="N12" s="50">
        <v>0</v>
      </c>
      <c r="O12" s="15">
        <f t="shared" si="0"/>
        <v>85</v>
      </c>
      <c r="P12" s="15">
        <f t="shared" si="1"/>
        <v>120</v>
      </c>
      <c r="R12" s="1" t="s">
        <v>8</v>
      </c>
      <c r="S12" s="17">
        <f t="shared" ref="S12:AF12" si="4">SUM(C18:C21)</f>
        <v>96</v>
      </c>
      <c r="T12" s="17">
        <f t="shared" si="4"/>
        <v>22</v>
      </c>
      <c r="U12" s="17">
        <f t="shared" si="4"/>
        <v>11</v>
      </c>
      <c r="V12" s="17">
        <f t="shared" si="4"/>
        <v>64</v>
      </c>
      <c r="W12" s="17">
        <f t="shared" si="4"/>
        <v>2</v>
      </c>
      <c r="X12" s="17">
        <f t="shared" si="4"/>
        <v>0</v>
      </c>
      <c r="Y12" s="17">
        <f t="shared" si="4"/>
        <v>21</v>
      </c>
      <c r="Z12" s="17">
        <f t="shared" si="4"/>
        <v>2</v>
      </c>
      <c r="AA12" s="17">
        <f t="shared" si="4"/>
        <v>1</v>
      </c>
      <c r="AB12" s="17">
        <f t="shared" si="4"/>
        <v>0</v>
      </c>
      <c r="AC12" s="17">
        <f t="shared" si="4"/>
        <v>131</v>
      </c>
      <c r="AD12" s="17">
        <f t="shared" si="4"/>
        <v>0</v>
      </c>
      <c r="AE12" s="31">
        <f t="shared" si="4"/>
        <v>219</v>
      </c>
      <c r="AF12" s="31">
        <f t="shared" si="4"/>
        <v>350</v>
      </c>
    </row>
    <row r="13" spans="2:32" ht="23.1" customHeight="1">
      <c r="B13" s="23" t="s">
        <v>40</v>
      </c>
      <c r="C13" s="50">
        <v>51</v>
      </c>
      <c r="D13" s="50">
        <v>5</v>
      </c>
      <c r="E13" s="50">
        <v>2</v>
      </c>
      <c r="F13" s="50">
        <v>29</v>
      </c>
      <c r="G13" s="50">
        <v>0</v>
      </c>
      <c r="H13" s="50">
        <v>0</v>
      </c>
      <c r="I13" s="50">
        <v>1</v>
      </c>
      <c r="J13" s="50">
        <v>2</v>
      </c>
      <c r="K13" s="50">
        <v>1</v>
      </c>
      <c r="L13" s="50">
        <v>0</v>
      </c>
      <c r="M13" s="50">
        <v>65</v>
      </c>
      <c r="N13" s="50">
        <v>0</v>
      </c>
      <c r="O13" s="15">
        <f t="shared" si="0"/>
        <v>91</v>
      </c>
      <c r="P13" s="15">
        <f t="shared" si="1"/>
        <v>156</v>
      </c>
      <c r="R13" s="1" t="s">
        <v>9</v>
      </c>
      <c r="S13" s="17">
        <f t="shared" ref="S13:AF13" si="5">SUM(C22:C25)</f>
        <v>121</v>
      </c>
      <c r="T13" s="17">
        <f t="shared" si="5"/>
        <v>64</v>
      </c>
      <c r="U13" s="17">
        <f t="shared" si="5"/>
        <v>13</v>
      </c>
      <c r="V13" s="17">
        <f t="shared" si="5"/>
        <v>46</v>
      </c>
      <c r="W13" s="17">
        <f t="shared" si="5"/>
        <v>2</v>
      </c>
      <c r="X13" s="17">
        <f t="shared" si="5"/>
        <v>1</v>
      </c>
      <c r="Y13" s="17">
        <f t="shared" si="5"/>
        <v>14</v>
      </c>
      <c r="Z13" s="17">
        <f t="shared" si="5"/>
        <v>4</v>
      </c>
      <c r="AA13" s="17">
        <f t="shared" si="5"/>
        <v>0</v>
      </c>
      <c r="AB13" s="17">
        <f t="shared" si="5"/>
        <v>0</v>
      </c>
      <c r="AC13" s="17">
        <f t="shared" si="5"/>
        <v>130</v>
      </c>
      <c r="AD13" s="17">
        <f t="shared" si="5"/>
        <v>0</v>
      </c>
      <c r="AE13" s="31">
        <f t="shared" si="5"/>
        <v>265</v>
      </c>
      <c r="AF13" s="31">
        <f t="shared" si="5"/>
        <v>395</v>
      </c>
    </row>
    <row r="14" spans="2:32" ht="23.1" customHeight="1">
      <c r="B14" s="23" t="s">
        <v>41</v>
      </c>
      <c r="C14" s="50">
        <v>40</v>
      </c>
      <c r="D14" s="50">
        <v>10</v>
      </c>
      <c r="E14" s="50">
        <v>3</v>
      </c>
      <c r="F14" s="50">
        <v>15</v>
      </c>
      <c r="G14" s="50">
        <v>0</v>
      </c>
      <c r="H14" s="50">
        <v>1</v>
      </c>
      <c r="I14" s="50">
        <v>0</v>
      </c>
      <c r="J14" s="50">
        <v>0</v>
      </c>
      <c r="K14" s="50">
        <v>2</v>
      </c>
      <c r="L14" s="50">
        <v>0</v>
      </c>
      <c r="M14" s="50">
        <v>43</v>
      </c>
      <c r="N14" s="50">
        <v>0</v>
      </c>
      <c r="O14" s="15">
        <f t="shared" si="0"/>
        <v>71</v>
      </c>
      <c r="P14" s="15">
        <f t="shared" si="1"/>
        <v>114</v>
      </c>
      <c r="R14" s="1" t="s">
        <v>10</v>
      </c>
      <c r="S14" s="17">
        <f t="shared" ref="S14:AF14" si="6">SUM(C26:C29)</f>
        <v>106</v>
      </c>
      <c r="T14" s="17">
        <f t="shared" si="6"/>
        <v>43</v>
      </c>
      <c r="U14" s="17">
        <f t="shared" si="6"/>
        <v>14</v>
      </c>
      <c r="V14" s="17">
        <f t="shared" si="6"/>
        <v>38</v>
      </c>
      <c r="W14" s="17">
        <f t="shared" si="6"/>
        <v>0</v>
      </c>
      <c r="X14" s="17">
        <f t="shared" si="6"/>
        <v>0</v>
      </c>
      <c r="Y14" s="17">
        <f t="shared" si="6"/>
        <v>18</v>
      </c>
      <c r="Z14" s="17">
        <f t="shared" si="6"/>
        <v>3</v>
      </c>
      <c r="AA14" s="17">
        <f t="shared" si="6"/>
        <v>1</v>
      </c>
      <c r="AB14" s="17">
        <f t="shared" si="6"/>
        <v>0</v>
      </c>
      <c r="AC14" s="17">
        <f t="shared" si="6"/>
        <v>136</v>
      </c>
      <c r="AD14" s="17">
        <f t="shared" si="6"/>
        <v>0</v>
      </c>
      <c r="AE14" s="31">
        <f t="shared" si="6"/>
        <v>223</v>
      </c>
      <c r="AF14" s="31">
        <f t="shared" si="6"/>
        <v>359</v>
      </c>
    </row>
    <row r="15" spans="2:32" ht="23.1" customHeight="1">
      <c r="B15" s="23" t="s">
        <v>42</v>
      </c>
      <c r="C15" s="50">
        <v>33</v>
      </c>
      <c r="D15" s="50">
        <v>2</v>
      </c>
      <c r="E15" s="50">
        <v>1</v>
      </c>
      <c r="F15" s="50">
        <v>16</v>
      </c>
      <c r="G15" s="50">
        <v>0</v>
      </c>
      <c r="H15" s="50">
        <v>0</v>
      </c>
      <c r="I15" s="50">
        <v>1</v>
      </c>
      <c r="J15" s="50">
        <v>1</v>
      </c>
      <c r="K15" s="50">
        <v>1</v>
      </c>
      <c r="L15" s="50">
        <v>0</v>
      </c>
      <c r="M15" s="50">
        <v>50</v>
      </c>
      <c r="N15" s="50">
        <v>0</v>
      </c>
      <c r="O15" s="15">
        <f t="shared" si="0"/>
        <v>55</v>
      </c>
      <c r="P15" s="15">
        <f t="shared" si="1"/>
        <v>105</v>
      </c>
      <c r="R15" s="1" t="s">
        <v>11</v>
      </c>
      <c r="S15" s="17">
        <f t="shared" ref="S15:AF15" si="7">SUM(C30:C33)</f>
        <v>146</v>
      </c>
      <c r="T15" s="17">
        <f t="shared" si="7"/>
        <v>43</v>
      </c>
      <c r="U15" s="17">
        <f t="shared" si="7"/>
        <v>23</v>
      </c>
      <c r="V15" s="17">
        <f t="shared" si="7"/>
        <v>75</v>
      </c>
      <c r="W15" s="17">
        <f t="shared" si="7"/>
        <v>2</v>
      </c>
      <c r="X15" s="17">
        <f t="shared" si="7"/>
        <v>0</v>
      </c>
      <c r="Y15" s="17">
        <f t="shared" si="7"/>
        <v>26</v>
      </c>
      <c r="Z15" s="17">
        <f t="shared" si="7"/>
        <v>3</v>
      </c>
      <c r="AA15" s="17">
        <f t="shared" si="7"/>
        <v>6</v>
      </c>
      <c r="AB15" s="17">
        <f t="shared" si="7"/>
        <v>0</v>
      </c>
      <c r="AC15" s="17">
        <f t="shared" si="7"/>
        <v>130</v>
      </c>
      <c r="AD15" s="17">
        <f t="shared" si="7"/>
        <v>0</v>
      </c>
      <c r="AE15" s="31">
        <f t="shared" si="7"/>
        <v>324</v>
      </c>
      <c r="AF15" s="31">
        <f t="shared" si="7"/>
        <v>454</v>
      </c>
    </row>
    <row r="16" spans="2:32" ht="23.1" customHeight="1">
      <c r="B16" s="23" t="s">
        <v>43</v>
      </c>
      <c r="C16" s="50">
        <v>30</v>
      </c>
      <c r="D16" s="50">
        <v>1</v>
      </c>
      <c r="E16" s="50">
        <v>1</v>
      </c>
      <c r="F16" s="50">
        <v>22</v>
      </c>
      <c r="G16" s="50">
        <v>1</v>
      </c>
      <c r="H16" s="50">
        <v>1</v>
      </c>
      <c r="I16" s="50">
        <v>2</v>
      </c>
      <c r="J16" s="50">
        <v>1</v>
      </c>
      <c r="K16" s="50">
        <v>0</v>
      </c>
      <c r="L16" s="50">
        <v>0</v>
      </c>
      <c r="M16" s="50">
        <v>40</v>
      </c>
      <c r="N16" s="50">
        <v>0</v>
      </c>
      <c r="O16" s="15">
        <f t="shared" si="0"/>
        <v>59</v>
      </c>
      <c r="P16" s="15">
        <f t="shared" si="1"/>
        <v>99</v>
      </c>
      <c r="R16" s="1" t="s">
        <v>12</v>
      </c>
      <c r="S16" s="17">
        <f t="shared" ref="S16:AF16" si="8">SUM(C34:C37)</f>
        <v>75</v>
      </c>
      <c r="T16" s="17">
        <f t="shared" si="8"/>
        <v>30</v>
      </c>
      <c r="U16" s="17">
        <f t="shared" si="8"/>
        <v>8</v>
      </c>
      <c r="V16" s="17">
        <f t="shared" si="8"/>
        <v>43</v>
      </c>
      <c r="W16" s="17">
        <f t="shared" si="8"/>
        <v>5</v>
      </c>
      <c r="X16" s="17">
        <f t="shared" si="8"/>
        <v>3</v>
      </c>
      <c r="Y16" s="17">
        <f t="shared" si="8"/>
        <v>13</v>
      </c>
      <c r="Z16" s="17">
        <f t="shared" si="8"/>
        <v>3</v>
      </c>
      <c r="AA16" s="17">
        <f t="shared" si="8"/>
        <v>0</v>
      </c>
      <c r="AB16" s="17">
        <f t="shared" si="8"/>
        <v>0</v>
      </c>
      <c r="AC16" s="17">
        <f t="shared" si="8"/>
        <v>91</v>
      </c>
      <c r="AD16" s="17">
        <f t="shared" si="8"/>
        <v>0</v>
      </c>
      <c r="AE16" s="31">
        <f t="shared" si="8"/>
        <v>180</v>
      </c>
      <c r="AF16" s="31">
        <f t="shared" si="8"/>
        <v>271</v>
      </c>
    </row>
    <row r="17" spans="2:32" ht="23.1" customHeight="1">
      <c r="B17" s="23" t="s">
        <v>44</v>
      </c>
      <c r="C17" s="50">
        <v>18</v>
      </c>
      <c r="D17" s="50">
        <v>5</v>
      </c>
      <c r="E17" s="50">
        <v>5</v>
      </c>
      <c r="F17" s="50">
        <v>18</v>
      </c>
      <c r="G17" s="50">
        <v>0</v>
      </c>
      <c r="H17" s="50">
        <v>0</v>
      </c>
      <c r="I17" s="50">
        <v>1</v>
      </c>
      <c r="J17" s="50">
        <v>0</v>
      </c>
      <c r="K17" s="50">
        <v>0</v>
      </c>
      <c r="L17" s="50">
        <v>1</v>
      </c>
      <c r="M17" s="50">
        <v>50</v>
      </c>
      <c r="N17" s="50">
        <v>0</v>
      </c>
      <c r="O17" s="15">
        <f t="shared" si="0"/>
        <v>48</v>
      </c>
      <c r="P17" s="15">
        <f t="shared" si="1"/>
        <v>98</v>
      </c>
      <c r="R17" s="1" t="s">
        <v>13</v>
      </c>
      <c r="S17" s="17">
        <f t="shared" ref="S17:AF17" si="9">SUM(C38:C41)</f>
        <v>157</v>
      </c>
      <c r="T17" s="17">
        <f t="shared" si="9"/>
        <v>43</v>
      </c>
      <c r="U17" s="17">
        <f t="shared" si="9"/>
        <v>37</v>
      </c>
      <c r="V17" s="17">
        <f t="shared" si="9"/>
        <v>25</v>
      </c>
      <c r="W17" s="17">
        <f t="shared" si="9"/>
        <v>6</v>
      </c>
      <c r="X17" s="17">
        <f t="shared" si="9"/>
        <v>1</v>
      </c>
      <c r="Y17" s="17">
        <f t="shared" si="9"/>
        <v>16</v>
      </c>
      <c r="Z17" s="17">
        <f t="shared" si="9"/>
        <v>3</v>
      </c>
      <c r="AA17" s="17">
        <f t="shared" si="9"/>
        <v>0</v>
      </c>
      <c r="AB17" s="17">
        <f t="shared" si="9"/>
        <v>1</v>
      </c>
      <c r="AC17" s="17">
        <f t="shared" si="9"/>
        <v>115</v>
      </c>
      <c r="AD17" s="17">
        <f t="shared" si="9"/>
        <v>0</v>
      </c>
      <c r="AE17" s="31">
        <f t="shared" si="9"/>
        <v>289</v>
      </c>
      <c r="AF17" s="31">
        <f t="shared" si="9"/>
        <v>404</v>
      </c>
    </row>
    <row r="18" spans="2:32" ht="23.1" customHeight="1">
      <c r="B18" s="23" t="s">
        <v>45</v>
      </c>
      <c r="C18" s="50">
        <v>15</v>
      </c>
      <c r="D18" s="50">
        <v>5</v>
      </c>
      <c r="E18" s="50">
        <v>2</v>
      </c>
      <c r="F18" s="50">
        <v>11</v>
      </c>
      <c r="G18" s="50">
        <v>0</v>
      </c>
      <c r="H18" s="50">
        <v>0</v>
      </c>
      <c r="I18" s="50">
        <v>5</v>
      </c>
      <c r="J18" s="50">
        <v>1</v>
      </c>
      <c r="K18" s="50">
        <v>0</v>
      </c>
      <c r="L18" s="50">
        <v>0</v>
      </c>
      <c r="M18" s="50">
        <v>31</v>
      </c>
      <c r="N18" s="50">
        <v>0</v>
      </c>
      <c r="O18" s="15">
        <f t="shared" si="0"/>
        <v>39</v>
      </c>
      <c r="P18" s="15">
        <f t="shared" si="1"/>
        <v>70</v>
      </c>
      <c r="R18" s="1" t="s">
        <v>14</v>
      </c>
      <c r="S18" s="17">
        <f t="shared" ref="S18:AF18" si="10">SUM(C42:C45)</f>
        <v>139</v>
      </c>
      <c r="T18" s="17">
        <f t="shared" si="10"/>
        <v>31</v>
      </c>
      <c r="U18" s="17">
        <f t="shared" si="10"/>
        <v>21</v>
      </c>
      <c r="V18" s="17">
        <f t="shared" si="10"/>
        <v>39</v>
      </c>
      <c r="W18" s="17">
        <f t="shared" si="10"/>
        <v>4</v>
      </c>
      <c r="X18" s="17">
        <f t="shared" si="10"/>
        <v>1</v>
      </c>
      <c r="Y18" s="17">
        <f t="shared" si="10"/>
        <v>14</v>
      </c>
      <c r="Z18" s="17">
        <f t="shared" si="10"/>
        <v>2</v>
      </c>
      <c r="AA18" s="17">
        <f t="shared" si="10"/>
        <v>2</v>
      </c>
      <c r="AB18" s="17">
        <f t="shared" si="10"/>
        <v>0</v>
      </c>
      <c r="AC18" s="17">
        <f t="shared" si="10"/>
        <v>131</v>
      </c>
      <c r="AD18" s="17">
        <f t="shared" si="10"/>
        <v>0</v>
      </c>
      <c r="AE18" s="31">
        <f t="shared" si="10"/>
        <v>253</v>
      </c>
      <c r="AF18" s="31">
        <f t="shared" si="10"/>
        <v>384</v>
      </c>
    </row>
    <row r="19" spans="2:32" ht="23.1" customHeight="1">
      <c r="B19" s="23" t="s">
        <v>46</v>
      </c>
      <c r="C19" s="50">
        <v>20</v>
      </c>
      <c r="D19" s="50">
        <v>5</v>
      </c>
      <c r="E19" s="50">
        <v>4</v>
      </c>
      <c r="F19" s="50">
        <v>19</v>
      </c>
      <c r="G19" s="50">
        <v>1</v>
      </c>
      <c r="H19" s="50">
        <v>0</v>
      </c>
      <c r="I19" s="50">
        <v>8</v>
      </c>
      <c r="J19" s="50">
        <v>0</v>
      </c>
      <c r="K19" s="50">
        <v>0</v>
      </c>
      <c r="L19" s="50">
        <v>0</v>
      </c>
      <c r="M19" s="50">
        <v>39</v>
      </c>
      <c r="N19" s="50">
        <v>0</v>
      </c>
      <c r="O19" s="15">
        <f t="shared" si="0"/>
        <v>57</v>
      </c>
      <c r="P19" s="15">
        <f t="shared" si="1"/>
        <v>96</v>
      </c>
      <c r="R19" s="1" t="s">
        <v>15</v>
      </c>
      <c r="S19" s="17">
        <f t="shared" ref="S19:AF19" si="11">SUM(C46:C49)</f>
        <v>200</v>
      </c>
      <c r="T19" s="17">
        <f t="shared" si="11"/>
        <v>34</v>
      </c>
      <c r="U19" s="17">
        <f t="shared" si="11"/>
        <v>14</v>
      </c>
      <c r="V19" s="17">
        <f t="shared" si="11"/>
        <v>43</v>
      </c>
      <c r="W19" s="17">
        <f t="shared" si="11"/>
        <v>2</v>
      </c>
      <c r="X19" s="17">
        <f t="shared" si="11"/>
        <v>0</v>
      </c>
      <c r="Y19" s="17">
        <f t="shared" si="11"/>
        <v>12</v>
      </c>
      <c r="Z19" s="17">
        <f t="shared" si="11"/>
        <v>2</v>
      </c>
      <c r="AA19" s="17">
        <f t="shared" si="11"/>
        <v>2</v>
      </c>
      <c r="AB19" s="17">
        <f t="shared" si="11"/>
        <v>0</v>
      </c>
      <c r="AC19" s="17">
        <f t="shared" si="11"/>
        <v>120</v>
      </c>
      <c r="AD19" s="17">
        <f t="shared" si="11"/>
        <v>0</v>
      </c>
      <c r="AE19" s="31">
        <f t="shared" si="11"/>
        <v>309</v>
      </c>
      <c r="AF19" s="31">
        <f t="shared" si="11"/>
        <v>429</v>
      </c>
    </row>
    <row r="20" spans="2:32" ht="23.1" customHeight="1">
      <c r="B20" s="23" t="s">
        <v>47</v>
      </c>
      <c r="C20" s="50">
        <v>31</v>
      </c>
      <c r="D20" s="50">
        <v>9</v>
      </c>
      <c r="E20" s="50">
        <v>3</v>
      </c>
      <c r="F20" s="50">
        <v>24</v>
      </c>
      <c r="G20" s="50">
        <v>0</v>
      </c>
      <c r="H20" s="50">
        <v>0</v>
      </c>
      <c r="I20" s="50">
        <v>6</v>
      </c>
      <c r="J20" s="50">
        <v>0</v>
      </c>
      <c r="K20" s="50">
        <v>1</v>
      </c>
      <c r="L20" s="50">
        <v>0</v>
      </c>
      <c r="M20" s="50">
        <v>45</v>
      </c>
      <c r="N20" s="50">
        <v>0</v>
      </c>
      <c r="O20" s="15">
        <f t="shared" si="0"/>
        <v>74</v>
      </c>
      <c r="P20" s="15">
        <f t="shared" si="1"/>
        <v>119</v>
      </c>
      <c r="R20" s="1" t="s">
        <v>16</v>
      </c>
      <c r="S20" s="17">
        <f t="shared" ref="S20:AF20" si="12">SUM(C50:C53)</f>
        <v>360</v>
      </c>
      <c r="T20" s="17">
        <f t="shared" si="12"/>
        <v>61</v>
      </c>
      <c r="U20" s="17">
        <f t="shared" si="12"/>
        <v>29</v>
      </c>
      <c r="V20" s="17">
        <f t="shared" si="12"/>
        <v>66</v>
      </c>
      <c r="W20" s="17">
        <f t="shared" si="12"/>
        <v>8</v>
      </c>
      <c r="X20" s="17">
        <f t="shared" si="12"/>
        <v>1</v>
      </c>
      <c r="Y20" s="17">
        <f t="shared" si="12"/>
        <v>13</v>
      </c>
      <c r="Z20" s="17">
        <f t="shared" si="12"/>
        <v>3</v>
      </c>
      <c r="AA20" s="17">
        <f t="shared" si="12"/>
        <v>1</v>
      </c>
      <c r="AB20" s="17">
        <f t="shared" si="12"/>
        <v>0</v>
      </c>
      <c r="AC20" s="17">
        <f t="shared" si="12"/>
        <v>245</v>
      </c>
      <c r="AD20" s="17">
        <f t="shared" si="12"/>
        <v>0</v>
      </c>
      <c r="AE20" s="31">
        <f t="shared" si="12"/>
        <v>542</v>
      </c>
      <c r="AF20" s="31">
        <f t="shared" si="12"/>
        <v>787</v>
      </c>
    </row>
    <row r="21" spans="2:32" ht="23.1" customHeight="1">
      <c r="B21" s="23" t="s">
        <v>48</v>
      </c>
      <c r="C21" s="50">
        <v>30</v>
      </c>
      <c r="D21" s="50">
        <v>3</v>
      </c>
      <c r="E21" s="50">
        <v>2</v>
      </c>
      <c r="F21" s="50">
        <v>10</v>
      </c>
      <c r="G21" s="50">
        <v>1</v>
      </c>
      <c r="H21" s="50">
        <v>0</v>
      </c>
      <c r="I21" s="50">
        <v>2</v>
      </c>
      <c r="J21" s="50">
        <v>1</v>
      </c>
      <c r="K21" s="50">
        <v>0</v>
      </c>
      <c r="L21" s="50">
        <v>0</v>
      </c>
      <c r="M21" s="50">
        <v>16</v>
      </c>
      <c r="N21" s="50">
        <v>0</v>
      </c>
      <c r="O21" s="15">
        <f t="shared" si="0"/>
        <v>49</v>
      </c>
      <c r="P21" s="15">
        <f t="shared" si="1"/>
        <v>65</v>
      </c>
      <c r="R21" s="36" t="s">
        <v>20</v>
      </c>
      <c r="S21" s="34">
        <f t="shared" ref="S21:AF21" si="13">SUM(C54:C57)</f>
        <v>505</v>
      </c>
      <c r="T21" s="17">
        <f t="shared" si="13"/>
        <v>64</v>
      </c>
      <c r="U21" s="17">
        <f t="shared" si="13"/>
        <v>32</v>
      </c>
      <c r="V21" s="17">
        <f t="shared" si="13"/>
        <v>70</v>
      </c>
      <c r="W21" s="17">
        <f t="shared" si="13"/>
        <v>9</v>
      </c>
      <c r="X21" s="17">
        <f t="shared" si="13"/>
        <v>3</v>
      </c>
      <c r="Y21" s="17">
        <f t="shared" si="13"/>
        <v>30</v>
      </c>
      <c r="Z21" s="17">
        <f t="shared" si="13"/>
        <v>3</v>
      </c>
      <c r="AA21" s="17">
        <f t="shared" si="13"/>
        <v>3</v>
      </c>
      <c r="AB21" s="17">
        <f t="shared" si="13"/>
        <v>2</v>
      </c>
      <c r="AC21" s="17">
        <f t="shared" si="13"/>
        <v>323</v>
      </c>
      <c r="AD21" s="17">
        <f t="shared" si="13"/>
        <v>0</v>
      </c>
      <c r="AE21" s="31">
        <f t="shared" si="13"/>
        <v>721</v>
      </c>
      <c r="AF21" s="31">
        <f t="shared" si="13"/>
        <v>1044</v>
      </c>
    </row>
    <row r="22" spans="2:32" ht="23.1" customHeight="1">
      <c r="B22" s="23" t="s">
        <v>49</v>
      </c>
      <c r="C22" s="50">
        <v>20</v>
      </c>
      <c r="D22" s="50">
        <v>10</v>
      </c>
      <c r="E22" s="50">
        <v>4</v>
      </c>
      <c r="F22" s="50">
        <v>13</v>
      </c>
      <c r="G22" s="50">
        <v>1</v>
      </c>
      <c r="H22" s="50">
        <v>0</v>
      </c>
      <c r="I22" s="50">
        <v>0</v>
      </c>
      <c r="J22" s="50">
        <v>1</v>
      </c>
      <c r="K22" s="50">
        <v>0</v>
      </c>
      <c r="L22" s="50">
        <v>0</v>
      </c>
      <c r="M22" s="50">
        <v>20</v>
      </c>
      <c r="N22" s="50">
        <v>0</v>
      </c>
      <c r="O22" s="15">
        <f t="shared" si="0"/>
        <v>49</v>
      </c>
      <c r="P22" s="15">
        <f t="shared" si="1"/>
        <v>69</v>
      </c>
      <c r="R22" s="38" t="s">
        <v>90</v>
      </c>
      <c r="S22" s="39">
        <f>MAX(S10:S12)</f>
        <v>153</v>
      </c>
      <c r="T22" s="39">
        <f t="shared" ref="T22:AF22" si="14">MAX(T10:T12)</f>
        <v>22</v>
      </c>
      <c r="U22" s="39">
        <f t="shared" si="14"/>
        <v>11</v>
      </c>
      <c r="V22" s="39">
        <f t="shared" si="14"/>
        <v>77</v>
      </c>
      <c r="W22" s="39">
        <f t="shared" si="14"/>
        <v>2</v>
      </c>
      <c r="X22" s="39">
        <f t="shared" si="14"/>
        <v>2</v>
      </c>
      <c r="Y22" s="39">
        <f t="shared" si="14"/>
        <v>21</v>
      </c>
      <c r="Z22" s="39">
        <f t="shared" si="14"/>
        <v>2</v>
      </c>
      <c r="AA22" s="39">
        <f t="shared" si="14"/>
        <v>3</v>
      </c>
      <c r="AB22" s="39">
        <f t="shared" si="14"/>
        <v>1</v>
      </c>
      <c r="AC22" s="39">
        <f t="shared" si="14"/>
        <v>183</v>
      </c>
      <c r="AD22" s="39">
        <f t="shared" si="14"/>
        <v>0</v>
      </c>
      <c r="AE22" s="40">
        <f t="shared" si="14"/>
        <v>275</v>
      </c>
      <c r="AF22" s="40">
        <f t="shared" si="14"/>
        <v>451</v>
      </c>
    </row>
    <row r="23" spans="2:32" ht="23.1" customHeight="1">
      <c r="B23" s="23" t="s">
        <v>50</v>
      </c>
      <c r="C23" s="50">
        <v>25</v>
      </c>
      <c r="D23" s="50">
        <v>15</v>
      </c>
      <c r="E23" s="50">
        <v>2</v>
      </c>
      <c r="F23" s="50">
        <v>25</v>
      </c>
      <c r="G23" s="50">
        <v>0</v>
      </c>
      <c r="H23" s="50">
        <v>1</v>
      </c>
      <c r="I23" s="50">
        <v>10</v>
      </c>
      <c r="J23" s="50">
        <v>1</v>
      </c>
      <c r="K23" s="50">
        <v>0</v>
      </c>
      <c r="L23" s="50">
        <v>0</v>
      </c>
      <c r="M23" s="50">
        <v>35</v>
      </c>
      <c r="N23" s="50">
        <v>0</v>
      </c>
      <c r="O23" s="15">
        <f t="shared" si="0"/>
        <v>79</v>
      </c>
      <c r="P23" s="15">
        <f t="shared" si="1"/>
        <v>114</v>
      </c>
      <c r="R23" s="38" t="s">
        <v>91</v>
      </c>
      <c r="S23" s="39">
        <f>MAX(S13:S18)</f>
        <v>157</v>
      </c>
      <c r="T23" s="39">
        <f t="shared" ref="T23:AF23" si="15">MAX(T13:T18)</f>
        <v>64</v>
      </c>
      <c r="U23" s="39">
        <f t="shared" si="15"/>
        <v>37</v>
      </c>
      <c r="V23" s="39">
        <f t="shared" si="15"/>
        <v>75</v>
      </c>
      <c r="W23" s="39">
        <f t="shared" si="15"/>
        <v>6</v>
      </c>
      <c r="X23" s="39">
        <f t="shared" si="15"/>
        <v>3</v>
      </c>
      <c r="Y23" s="39">
        <f t="shared" si="15"/>
        <v>26</v>
      </c>
      <c r="Z23" s="39">
        <f t="shared" si="15"/>
        <v>4</v>
      </c>
      <c r="AA23" s="39">
        <f t="shared" si="15"/>
        <v>6</v>
      </c>
      <c r="AB23" s="39">
        <f t="shared" si="15"/>
        <v>1</v>
      </c>
      <c r="AC23" s="39">
        <f t="shared" si="15"/>
        <v>136</v>
      </c>
      <c r="AD23" s="39">
        <f t="shared" si="15"/>
        <v>0</v>
      </c>
      <c r="AE23" s="40">
        <f t="shared" si="15"/>
        <v>324</v>
      </c>
      <c r="AF23" s="40">
        <f t="shared" si="15"/>
        <v>454</v>
      </c>
    </row>
    <row r="24" spans="2:32" ht="23.1" customHeight="1">
      <c r="B24" s="23" t="s">
        <v>51</v>
      </c>
      <c r="C24" s="50">
        <v>35</v>
      </c>
      <c r="D24" s="50">
        <v>25</v>
      </c>
      <c r="E24" s="50">
        <v>5</v>
      </c>
      <c r="F24" s="50">
        <v>0</v>
      </c>
      <c r="G24" s="50">
        <v>1</v>
      </c>
      <c r="H24" s="50">
        <v>0</v>
      </c>
      <c r="I24" s="50">
        <v>3</v>
      </c>
      <c r="J24" s="50">
        <v>1</v>
      </c>
      <c r="K24" s="50">
        <v>0</v>
      </c>
      <c r="L24" s="50">
        <v>0</v>
      </c>
      <c r="M24" s="50">
        <v>40</v>
      </c>
      <c r="N24" s="50">
        <v>0</v>
      </c>
      <c r="O24" s="15">
        <f t="shared" si="0"/>
        <v>70</v>
      </c>
      <c r="P24" s="15">
        <f t="shared" si="1"/>
        <v>110</v>
      </c>
      <c r="R24" s="38" t="s">
        <v>92</v>
      </c>
      <c r="S24" s="39">
        <f>MAX(S19:S21)</f>
        <v>505</v>
      </c>
      <c r="T24" s="39">
        <f t="shared" ref="T24:AF24" si="16">MAX(T19:T21)</f>
        <v>64</v>
      </c>
      <c r="U24" s="39">
        <f t="shared" si="16"/>
        <v>32</v>
      </c>
      <c r="V24" s="39">
        <f t="shared" si="16"/>
        <v>70</v>
      </c>
      <c r="W24" s="39">
        <f t="shared" si="16"/>
        <v>9</v>
      </c>
      <c r="X24" s="39">
        <f t="shared" si="16"/>
        <v>3</v>
      </c>
      <c r="Y24" s="39">
        <f t="shared" si="16"/>
        <v>30</v>
      </c>
      <c r="Z24" s="39">
        <f t="shared" si="16"/>
        <v>3</v>
      </c>
      <c r="AA24" s="39">
        <f t="shared" si="16"/>
        <v>3</v>
      </c>
      <c r="AB24" s="39">
        <f t="shared" si="16"/>
        <v>2</v>
      </c>
      <c r="AC24" s="39">
        <f t="shared" si="16"/>
        <v>323</v>
      </c>
      <c r="AD24" s="39">
        <f t="shared" si="16"/>
        <v>0</v>
      </c>
      <c r="AE24" s="40">
        <f t="shared" si="16"/>
        <v>721</v>
      </c>
      <c r="AF24" s="40">
        <f t="shared" si="16"/>
        <v>1044</v>
      </c>
    </row>
    <row r="25" spans="2:32" ht="23.1" customHeight="1">
      <c r="B25" s="23" t="s">
        <v>52</v>
      </c>
      <c r="C25" s="50">
        <v>41</v>
      </c>
      <c r="D25" s="50">
        <v>14</v>
      </c>
      <c r="E25" s="50">
        <v>2</v>
      </c>
      <c r="F25" s="50">
        <v>8</v>
      </c>
      <c r="G25" s="50">
        <v>0</v>
      </c>
      <c r="H25" s="50">
        <v>0</v>
      </c>
      <c r="I25" s="50">
        <v>1</v>
      </c>
      <c r="J25" s="50">
        <v>1</v>
      </c>
      <c r="K25" s="50">
        <v>0</v>
      </c>
      <c r="L25" s="50">
        <v>0</v>
      </c>
      <c r="M25" s="50">
        <v>35</v>
      </c>
      <c r="N25" s="50">
        <v>0</v>
      </c>
      <c r="O25" s="15">
        <f t="shared" si="0"/>
        <v>67</v>
      </c>
      <c r="P25" s="15">
        <f t="shared" si="1"/>
        <v>102</v>
      </c>
      <c r="R25" s="37" t="s">
        <v>85</v>
      </c>
      <c r="S25" s="35">
        <f t="shared" ref="S25:AF25" si="17">SUM(S10:S12)</f>
        <v>370</v>
      </c>
      <c r="T25" s="16">
        <f t="shared" si="17"/>
        <v>60</v>
      </c>
      <c r="U25" s="16">
        <f t="shared" si="17"/>
        <v>31</v>
      </c>
      <c r="V25" s="16">
        <f t="shared" si="17"/>
        <v>212</v>
      </c>
      <c r="W25" s="16">
        <f t="shared" si="17"/>
        <v>5</v>
      </c>
      <c r="X25" s="16">
        <f t="shared" si="17"/>
        <v>2</v>
      </c>
      <c r="Y25" s="16">
        <f t="shared" si="17"/>
        <v>34</v>
      </c>
      <c r="Z25" s="16">
        <f t="shared" si="17"/>
        <v>6</v>
      </c>
      <c r="AA25" s="16">
        <f t="shared" si="17"/>
        <v>6</v>
      </c>
      <c r="AB25" s="16">
        <f t="shared" si="17"/>
        <v>1</v>
      </c>
      <c r="AC25" s="16">
        <f t="shared" si="17"/>
        <v>490</v>
      </c>
      <c r="AD25" s="16">
        <f t="shared" si="17"/>
        <v>0</v>
      </c>
      <c r="AE25" s="32">
        <f t="shared" si="17"/>
        <v>727</v>
      </c>
      <c r="AF25" s="32">
        <f t="shared" si="17"/>
        <v>1217</v>
      </c>
    </row>
    <row r="26" spans="2:32" ht="23.1" customHeight="1">
      <c r="B26" s="23" t="s">
        <v>53</v>
      </c>
      <c r="C26" s="50">
        <v>26</v>
      </c>
      <c r="D26" s="50">
        <v>13</v>
      </c>
      <c r="E26" s="50">
        <v>4</v>
      </c>
      <c r="F26" s="50">
        <v>4</v>
      </c>
      <c r="G26" s="50">
        <v>0</v>
      </c>
      <c r="H26" s="50">
        <v>0</v>
      </c>
      <c r="I26" s="50">
        <v>8</v>
      </c>
      <c r="J26" s="50">
        <v>1</v>
      </c>
      <c r="K26" s="50">
        <v>0</v>
      </c>
      <c r="L26" s="50">
        <v>0</v>
      </c>
      <c r="M26" s="50">
        <v>15</v>
      </c>
      <c r="N26" s="50">
        <v>0</v>
      </c>
      <c r="O26" s="15">
        <f t="shared" si="0"/>
        <v>56</v>
      </c>
      <c r="P26" s="15">
        <f t="shared" si="1"/>
        <v>71</v>
      </c>
      <c r="R26" s="28" t="s">
        <v>86</v>
      </c>
      <c r="S26" s="16">
        <f t="shared" ref="S26:AF26" si="18">SUM(S13:S18)</f>
        <v>744</v>
      </c>
      <c r="T26" s="16">
        <f t="shared" si="18"/>
        <v>254</v>
      </c>
      <c r="U26" s="16">
        <f t="shared" si="18"/>
        <v>116</v>
      </c>
      <c r="V26" s="16">
        <f t="shared" si="18"/>
        <v>266</v>
      </c>
      <c r="W26" s="16">
        <f t="shared" si="18"/>
        <v>19</v>
      </c>
      <c r="X26" s="16">
        <f t="shared" si="18"/>
        <v>6</v>
      </c>
      <c r="Y26" s="16">
        <f t="shared" si="18"/>
        <v>101</v>
      </c>
      <c r="Z26" s="16">
        <f t="shared" si="18"/>
        <v>18</v>
      </c>
      <c r="AA26" s="16">
        <f t="shared" si="18"/>
        <v>9</v>
      </c>
      <c r="AB26" s="16">
        <f t="shared" si="18"/>
        <v>1</v>
      </c>
      <c r="AC26" s="16">
        <f t="shared" si="18"/>
        <v>733</v>
      </c>
      <c r="AD26" s="16">
        <f t="shared" si="18"/>
        <v>0</v>
      </c>
      <c r="AE26" s="32">
        <f t="shared" si="18"/>
        <v>1534</v>
      </c>
      <c r="AF26" s="32">
        <f t="shared" si="18"/>
        <v>2267</v>
      </c>
    </row>
    <row r="27" spans="2:32" ht="23.1" customHeight="1">
      <c r="B27" s="23" t="s">
        <v>54</v>
      </c>
      <c r="C27" s="50">
        <v>25</v>
      </c>
      <c r="D27" s="50">
        <v>7</v>
      </c>
      <c r="E27" s="50">
        <v>0</v>
      </c>
      <c r="F27" s="50">
        <v>4</v>
      </c>
      <c r="G27" s="50">
        <v>0</v>
      </c>
      <c r="H27" s="50">
        <v>0</v>
      </c>
      <c r="I27" s="50">
        <v>3</v>
      </c>
      <c r="J27" s="50">
        <v>1</v>
      </c>
      <c r="K27" s="50">
        <v>1</v>
      </c>
      <c r="L27" s="50">
        <v>0</v>
      </c>
      <c r="M27" s="50">
        <v>30</v>
      </c>
      <c r="N27" s="50">
        <v>0</v>
      </c>
      <c r="O27" s="15">
        <f t="shared" si="0"/>
        <v>41</v>
      </c>
      <c r="P27" s="15">
        <f t="shared" si="1"/>
        <v>71</v>
      </c>
      <c r="R27" s="29" t="s">
        <v>87</v>
      </c>
      <c r="S27" s="16">
        <f t="shared" ref="S27:AF27" si="19">SUM(S19:S21)</f>
        <v>1065</v>
      </c>
      <c r="T27" s="16">
        <f t="shared" si="19"/>
        <v>159</v>
      </c>
      <c r="U27" s="16">
        <f t="shared" si="19"/>
        <v>75</v>
      </c>
      <c r="V27" s="16">
        <f t="shared" si="19"/>
        <v>179</v>
      </c>
      <c r="W27" s="16">
        <f t="shared" si="19"/>
        <v>19</v>
      </c>
      <c r="X27" s="16">
        <f t="shared" si="19"/>
        <v>4</v>
      </c>
      <c r="Y27" s="16">
        <f t="shared" si="19"/>
        <v>55</v>
      </c>
      <c r="Z27" s="16">
        <f t="shared" si="19"/>
        <v>8</v>
      </c>
      <c r="AA27" s="16">
        <f t="shared" si="19"/>
        <v>6</v>
      </c>
      <c r="AB27" s="16">
        <f t="shared" si="19"/>
        <v>2</v>
      </c>
      <c r="AC27" s="16">
        <f t="shared" si="19"/>
        <v>688</v>
      </c>
      <c r="AD27" s="16">
        <f t="shared" si="19"/>
        <v>0</v>
      </c>
      <c r="AE27" s="32">
        <f t="shared" si="19"/>
        <v>1572</v>
      </c>
      <c r="AF27" s="32">
        <f t="shared" si="19"/>
        <v>2260</v>
      </c>
    </row>
    <row r="28" spans="2:32" ht="23.1" customHeight="1">
      <c r="B28" s="23" t="s">
        <v>55</v>
      </c>
      <c r="C28" s="50">
        <v>25</v>
      </c>
      <c r="D28" s="50">
        <v>13</v>
      </c>
      <c r="E28" s="50">
        <v>6</v>
      </c>
      <c r="F28" s="50">
        <v>16</v>
      </c>
      <c r="G28" s="50">
        <v>0</v>
      </c>
      <c r="H28" s="50">
        <v>0</v>
      </c>
      <c r="I28" s="50">
        <v>4</v>
      </c>
      <c r="J28" s="50">
        <v>1</v>
      </c>
      <c r="K28" s="50">
        <v>0</v>
      </c>
      <c r="L28" s="50">
        <v>0</v>
      </c>
      <c r="M28" s="50">
        <v>51</v>
      </c>
      <c r="N28" s="50">
        <v>0</v>
      </c>
      <c r="O28" s="15">
        <f t="shared" si="0"/>
        <v>65</v>
      </c>
      <c r="P28" s="15">
        <f t="shared" si="1"/>
        <v>116</v>
      </c>
      <c r="R28" s="5" t="s">
        <v>17</v>
      </c>
      <c r="S28" s="16">
        <f t="shared" ref="S28:AF28" si="20">SUM(S10:S21)</f>
        <v>2179</v>
      </c>
      <c r="T28" s="16">
        <f t="shared" si="20"/>
        <v>473</v>
      </c>
      <c r="U28" s="16">
        <f t="shared" si="20"/>
        <v>222</v>
      </c>
      <c r="V28" s="16">
        <f t="shared" si="20"/>
        <v>657</v>
      </c>
      <c r="W28" s="16">
        <f t="shared" si="20"/>
        <v>43</v>
      </c>
      <c r="X28" s="16">
        <f t="shared" si="20"/>
        <v>12</v>
      </c>
      <c r="Y28" s="16">
        <f t="shared" si="20"/>
        <v>190</v>
      </c>
      <c r="Z28" s="16">
        <f t="shared" si="20"/>
        <v>32</v>
      </c>
      <c r="AA28" s="16">
        <f t="shared" si="20"/>
        <v>21</v>
      </c>
      <c r="AB28" s="16">
        <f t="shared" si="20"/>
        <v>4</v>
      </c>
      <c r="AC28" s="16">
        <f t="shared" si="20"/>
        <v>1911</v>
      </c>
      <c r="AD28" s="16">
        <f t="shared" si="20"/>
        <v>0</v>
      </c>
      <c r="AE28" s="32">
        <f t="shared" si="20"/>
        <v>3833</v>
      </c>
      <c r="AF28" s="32">
        <f t="shared" si="20"/>
        <v>5744</v>
      </c>
    </row>
    <row r="29" spans="2:32" ht="23.1" customHeight="1">
      <c r="B29" s="23" t="s">
        <v>56</v>
      </c>
      <c r="C29" s="50">
        <v>30</v>
      </c>
      <c r="D29" s="50">
        <v>10</v>
      </c>
      <c r="E29" s="50">
        <v>4</v>
      </c>
      <c r="F29" s="50">
        <v>14</v>
      </c>
      <c r="G29" s="50">
        <v>0</v>
      </c>
      <c r="H29" s="50">
        <v>0</v>
      </c>
      <c r="I29" s="50">
        <v>3</v>
      </c>
      <c r="J29" s="50">
        <v>0</v>
      </c>
      <c r="K29" s="50">
        <v>0</v>
      </c>
      <c r="L29" s="50">
        <v>0</v>
      </c>
      <c r="M29" s="50">
        <v>40</v>
      </c>
      <c r="N29" s="50">
        <v>0</v>
      </c>
      <c r="O29" s="15">
        <f t="shared" si="0"/>
        <v>61</v>
      </c>
      <c r="P29" s="15">
        <f t="shared" si="1"/>
        <v>101</v>
      </c>
      <c r="R29"/>
      <c r="S29" s="20"/>
      <c r="T29" s="19"/>
    </row>
    <row r="30" spans="2:32" ht="23.1" customHeight="1">
      <c r="B30" s="23" t="s">
        <v>57</v>
      </c>
      <c r="C30" s="50">
        <v>31</v>
      </c>
      <c r="D30" s="50">
        <v>14</v>
      </c>
      <c r="E30" s="50">
        <v>3</v>
      </c>
      <c r="F30" s="50">
        <v>14</v>
      </c>
      <c r="G30" s="50">
        <v>0</v>
      </c>
      <c r="H30" s="50">
        <v>0</v>
      </c>
      <c r="I30" s="50">
        <v>8</v>
      </c>
      <c r="J30" s="50">
        <v>2</v>
      </c>
      <c r="K30" s="50">
        <v>2</v>
      </c>
      <c r="L30" s="50">
        <v>0</v>
      </c>
      <c r="M30" s="50">
        <v>15</v>
      </c>
      <c r="N30" s="50">
        <v>0</v>
      </c>
      <c r="O30" s="15">
        <f t="shared" si="0"/>
        <v>74</v>
      </c>
      <c r="P30" s="15">
        <f t="shared" si="1"/>
        <v>89</v>
      </c>
    </row>
    <row r="31" spans="2:32" ht="23.1" customHeight="1">
      <c r="B31" s="24" t="s">
        <v>58</v>
      </c>
      <c r="C31" s="50">
        <v>60</v>
      </c>
      <c r="D31" s="50">
        <v>6</v>
      </c>
      <c r="E31" s="50">
        <v>2</v>
      </c>
      <c r="F31" s="50">
        <v>20</v>
      </c>
      <c r="G31" s="50">
        <v>1</v>
      </c>
      <c r="H31" s="50">
        <v>0</v>
      </c>
      <c r="I31" s="50">
        <v>5</v>
      </c>
      <c r="J31" s="50">
        <v>0</v>
      </c>
      <c r="K31" s="50">
        <v>0</v>
      </c>
      <c r="L31" s="50">
        <v>0</v>
      </c>
      <c r="M31" s="50">
        <v>25</v>
      </c>
      <c r="N31" s="50">
        <v>0</v>
      </c>
      <c r="O31" s="15">
        <f t="shared" si="0"/>
        <v>94</v>
      </c>
      <c r="P31" s="15">
        <f t="shared" si="1"/>
        <v>119</v>
      </c>
    </row>
    <row r="32" spans="2:32" ht="23.1" customHeight="1">
      <c r="B32" s="24" t="s">
        <v>59</v>
      </c>
      <c r="C32" s="50">
        <v>30</v>
      </c>
      <c r="D32" s="50">
        <v>8</v>
      </c>
      <c r="E32" s="50">
        <v>13</v>
      </c>
      <c r="F32" s="50">
        <v>23</v>
      </c>
      <c r="G32" s="50">
        <v>0</v>
      </c>
      <c r="H32" s="50">
        <v>0</v>
      </c>
      <c r="I32" s="50">
        <v>10</v>
      </c>
      <c r="J32" s="50">
        <v>0</v>
      </c>
      <c r="K32" s="50">
        <v>3</v>
      </c>
      <c r="L32" s="50">
        <v>0</v>
      </c>
      <c r="M32" s="50">
        <v>40</v>
      </c>
      <c r="N32" s="50">
        <v>0</v>
      </c>
      <c r="O32" s="15">
        <f t="shared" si="0"/>
        <v>87</v>
      </c>
      <c r="P32" s="15">
        <f t="shared" si="1"/>
        <v>127</v>
      </c>
    </row>
    <row r="33" spans="2:20" ht="23.1" customHeight="1">
      <c r="B33" s="23" t="s">
        <v>60</v>
      </c>
      <c r="C33" s="50">
        <v>25</v>
      </c>
      <c r="D33" s="50">
        <v>15</v>
      </c>
      <c r="E33" s="50">
        <v>5</v>
      </c>
      <c r="F33" s="50">
        <v>18</v>
      </c>
      <c r="G33" s="50">
        <v>1</v>
      </c>
      <c r="H33" s="50">
        <v>0</v>
      </c>
      <c r="I33" s="50">
        <v>3</v>
      </c>
      <c r="J33" s="50">
        <v>1</v>
      </c>
      <c r="K33" s="50">
        <v>1</v>
      </c>
      <c r="L33" s="50">
        <v>0</v>
      </c>
      <c r="M33" s="50">
        <v>50</v>
      </c>
      <c r="N33" s="50">
        <v>0</v>
      </c>
      <c r="O33" s="15">
        <f t="shared" si="0"/>
        <v>69</v>
      </c>
      <c r="P33" s="15">
        <f t="shared" si="1"/>
        <v>119</v>
      </c>
    </row>
    <row r="34" spans="2:20" ht="23.1" customHeight="1">
      <c r="B34" s="24" t="s">
        <v>61</v>
      </c>
      <c r="C34" s="50">
        <v>15</v>
      </c>
      <c r="D34" s="50">
        <v>6</v>
      </c>
      <c r="E34" s="50">
        <v>0</v>
      </c>
      <c r="F34" s="50">
        <v>10</v>
      </c>
      <c r="G34" s="50">
        <v>0</v>
      </c>
      <c r="H34" s="50">
        <v>2</v>
      </c>
      <c r="I34" s="50">
        <v>5</v>
      </c>
      <c r="J34" s="50">
        <v>0</v>
      </c>
      <c r="K34" s="50">
        <v>0</v>
      </c>
      <c r="L34" s="50">
        <v>0</v>
      </c>
      <c r="M34" s="50">
        <v>15</v>
      </c>
      <c r="N34" s="50">
        <v>0</v>
      </c>
      <c r="O34" s="15">
        <f t="shared" si="0"/>
        <v>38</v>
      </c>
      <c r="P34" s="15">
        <f t="shared" si="1"/>
        <v>53</v>
      </c>
    </row>
    <row r="35" spans="2:20" ht="23.1" customHeight="1">
      <c r="B35" s="24" t="s">
        <v>62</v>
      </c>
      <c r="C35" s="50">
        <v>25</v>
      </c>
      <c r="D35" s="50">
        <v>7</v>
      </c>
      <c r="E35" s="50">
        <v>2</v>
      </c>
      <c r="F35" s="50">
        <v>10</v>
      </c>
      <c r="G35" s="50">
        <v>2</v>
      </c>
      <c r="H35" s="50">
        <v>0</v>
      </c>
      <c r="I35" s="50">
        <v>2</v>
      </c>
      <c r="J35" s="50">
        <v>1</v>
      </c>
      <c r="K35" s="50">
        <v>0</v>
      </c>
      <c r="L35" s="50">
        <v>0</v>
      </c>
      <c r="M35" s="50">
        <v>20</v>
      </c>
      <c r="N35" s="50">
        <v>0</v>
      </c>
      <c r="O35" s="15">
        <f t="shared" si="0"/>
        <v>49</v>
      </c>
      <c r="P35" s="15">
        <f t="shared" si="1"/>
        <v>69</v>
      </c>
    </row>
    <row r="36" spans="2:20" ht="23.1" customHeight="1">
      <c r="B36" s="24" t="s">
        <v>63</v>
      </c>
      <c r="C36" s="50">
        <v>20</v>
      </c>
      <c r="D36" s="50">
        <v>11</v>
      </c>
      <c r="E36" s="50">
        <v>5</v>
      </c>
      <c r="F36" s="50">
        <v>8</v>
      </c>
      <c r="G36" s="50">
        <v>2</v>
      </c>
      <c r="H36" s="50">
        <v>1</v>
      </c>
      <c r="I36" s="50">
        <v>3</v>
      </c>
      <c r="J36" s="50">
        <v>2</v>
      </c>
      <c r="K36" s="50">
        <v>0</v>
      </c>
      <c r="L36" s="50">
        <v>0</v>
      </c>
      <c r="M36" s="50">
        <v>36</v>
      </c>
      <c r="N36" s="50">
        <v>0</v>
      </c>
      <c r="O36" s="15">
        <f t="shared" si="0"/>
        <v>52</v>
      </c>
      <c r="P36" s="15">
        <f t="shared" si="1"/>
        <v>88</v>
      </c>
    </row>
    <row r="37" spans="2:20" ht="23.1" customHeight="1">
      <c r="B37" s="23" t="s">
        <v>64</v>
      </c>
      <c r="C37" s="50">
        <v>15</v>
      </c>
      <c r="D37" s="50">
        <v>6</v>
      </c>
      <c r="E37" s="50">
        <v>1</v>
      </c>
      <c r="F37" s="50">
        <v>15</v>
      </c>
      <c r="G37" s="50">
        <v>1</v>
      </c>
      <c r="H37" s="50">
        <v>0</v>
      </c>
      <c r="I37" s="50">
        <v>3</v>
      </c>
      <c r="J37" s="50">
        <v>0</v>
      </c>
      <c r="K37" s="50">
        <v>0</v>
      </c>
      <c r="L37" s="50">
        <v>0</v>
      </c>
      <c r="M37" s="50">
        <v>20</v>
      </c>
      <c r="N37" s="50">
        <v>0</v>
      </c>
      <c r="O37" s="15">
        <f t="shared" si="0"/>
        <v>41</v>
      </c>
      <c r="P37" s="15">
        <f t="shared" si="1"/>
        <v>61</v>
      </c>
    </row>
    <row r="38" spans="2:20" ht="23.1" customHeight="1">
      <c r="B38" s="24" t="s">
        <v>65</v>
      </c>
      <c r="C38" s="50">
        <v>55</v>
      </c>
      <c r="D38" s="50">
        <v>10</v>
      </c>
      <c r="E38" s="50">
        <v>9</v>
      </c>
      <c r="F38" s="50">
        <v>13</v>
      </c>
      <c r="G38" s="50">
        <v>2</v>
      </c>
      <c r="H38" s="50">
        <v>1</v>
      </c>
      <c r="I38" s="50">
        <v>5</v>
      </c>
      <c r="J38" s="50">
        <v>1</v>
      </c>
      <c r="K38" s="50">
        <v>0</v>
      </c>
      <c r="L38" s="50">
        <v>1</v>
      </c>
      <c r="M38" s="50">
        <v>30</v>
      </c>
      <c r="N38" s="50">
        <v>0</v>
      </c>
      <c r="O38" s="15">
        <f t="shared" si="0"/>
        <v>97</v>
      </c>
      <c r="P38" s="15">
        <f t="shared" si="1"/>
        <v>127</v>
      </c>
    </row>
    <row r="39" spans="2:20" ht="23.1" customHeight="1">
      <c r="B39" s="24" t="s">
        <v>66</v>
      </c>
      <c r="C39" s="50">
        <v>30</v>
      </c>
      <c r="D39" s="50">
        <v>6</v>
      </c>
      <c r="E39" s="50">
        <v>8</v>
      </c>
      <c r="F39" s="50">
        <v>8</v>
      </c>
      <c r="G39" s="50">
        <v>0</v>
      </c>
      <c r="H39" s="50">
        <v>0</v>
      </c>
      <c r="I39" s="50">
        <v>3</v>
      </c>
      <c r="J39" s="50">
        <v>0</v>
      </c>
      <c r="K39" s="50">
        <v>0</v>
      </c>
      <c r="L39" s="50">
        <v>0</v>
      </c>
      <c r="M39" s="50">
        <v>10</v>
      </c>
      <c r="N39" s="50">
        <v>0</v>
      </c>
      <c r="O39" s="15">
        <f t="shared" si="0"/>
        <v>55</v>
      </c>
      <c r="P39" s="15">
        <f t="shared" si="1"/>
        <v>65</v>
      </c>
    </row>
    <row r="40" spans="2:20" ht="23.1" customHeight="1">
      <c r="B40" s="24" t="s">
        <v>67</v>
      </c>
      <c r="C40" s="50">
        <v>30</v>
      </c>
      <c r="D40" s="50">
        <v>12</v>
      </c>
      <c r="E40" s="50">
        <v>9</v>
      </c>
      <c r="F40" s="50">
        <v>0</v>
      </c>
      <c r="G40" s="50">
        <v>1</v>
      </c>
      <c r="H40" s="50">
        <v>0</v>
      </c>
      <c r="I40" s="50">
        <v>5</v>
      </c>
      <c r="J40" s="50">
        <v>2</v>
      </c>
      <c r="K40" s="50">
        <v>0</v>
      </c>
      <c r="L40" s="50">
        <v>0</v>
      </c>
      <c r="M40" s="50">
        <v>45</v>
      </c>
      <c r="N40" s="50">
        <v>0</v>
      </c>
      <c r="O40" s="15">
        <f t="shared" si="0"/>
        <v>59</v>
      </c>
      <c r="P40" s="15">
        <f t="shared" si="1"/>
        <v>104</v>
      </c>
    </row>
    <row r="41" spans="2:20" ht="23.1" customHeight="1">
      <c r="B41" s="23" t="s">
        <v>68</v>
      </c>
      <c r="C41" s="50">
        <v>42</v>
      </c>
      <c r="D41" s="50">
        <v>15</v>
      </c>
      <c r="E41" s="50">
        <v>11</v>
      </c>
      <c r="F41" s="50">
        <v>4</v>
      </c>
      <c r="G41" s="50">
        <v>3</v>
      </c>
      <c r="H41" s="50">
        <v>0</v>
      </c>
      <c r="I41" s="50">
        <v>3</v>
      </c>
      <c r="J41" s="50">
        <v>0</v>
      </c>
      <c r="K41" s="50">
        <v>0</v>
      </c>
      <c r="L41" s="50">
        <v>0</v>
      </c>
      <c r="M41" s="50">
        <v>30</v>
      </c>
      <c r="N41" s="50">
        <v>0</v>
      </c>
      <c r="O41" s="15">
        <f t="shared" si="0"/>
        <v>78</v>
      </c>
      <c r="P41" s="15">
        <f t="shared" si="1"/>
        <v>108</v>
      </c>
    </row>
    <row r="42" spans="2:20" ht="23.1" customHeight="1">
      <c r="B42" s="24" t="s">
        <v>69</v>
      </c>
      <c r="C42" s="50">
        <v>55</v>
      </c>
      <c r="D42" s="50">
        <v>8</v>
      </c>
      <c r="E42" s="50">
        <v>5</v>
      </c>
      <c r="F42" s="50">
        <v>15</v>
      </c>
      <c r="G42" s="50">
        <v>2</v>
      </c>
      <c r="H42" s="50">
        <v>0</v>
      </c>
      <c r="I42" s="50">
        <v>5</v>
      </c>
      <c r="J42" s="50">
        <v>1</v>
      </c>
      <c r="K42" s="50">
        <v>0</v>
      </c>
      <c r="L42" s="50">
        <v>0</v>
      </c>
      <c r="M42" s="50">
        <v>20</v>
      </c>
      <c r="N42" s="50">
        <v>0</v>
      </c>
      <c r="O42" s="15">
        <f t="shared" si="0"/>
        <v>91</v>
      </c>
      <c r="P42" s="15">
        <f t="shared" si="1"/>
        <v>111</v>
      </c>
    </row>
    <row r="43" spans="2:20" ht="23.1" customHeight="1">
      <c r="B43" s="23" t="s">
        <v>70</v>
      </c>
      <c r="C43" s="50">
        <v>45</v>
      </c>
      <c r="D43" s="50">
        <v>8</v>
      </c>
      <c r="E43" s="50">
        <v>8</v>
      </c>
      <c r="F43" s="50">
        <v>8</v>
      </c>
      <c r="G43" s="50">
        <v>0</v>
      </c>
      <c r="H43" s="50">
        <v>1</v>
      </c>
      <c r="I43" s="50">
        <v>6</v>
      </c>
      <c r="J43" s="50">
        <v>0</v>
      </c>
      <c r="K43" s="50">
        <v>0</v>
      </c>
      <c r="L43" s="50">
        <v>0</v>
      </c>
      <c r="M43" s="50">
        <v>25</v>
      </c>
      <c r="N43" s="50">
        <v>0</v>
      </c>
      <c r="O43" s="15">
        <f t="shared" si="0"/>
        <v>76</v>
      </c>
      <c r="P43" s="15">
        <f t="shared" si="1"/>
        <v>101</v>
      </c>
    </row>
    <row r="44" spans="2:20" ht="23.1" customHeight="1">
      <c r="B44" s="25" t="s">
        <v>71</v>
      </c>
      <c r="C44" s="50">
        <v>23</v>
      </c>
      <c r="D44" s="50">
        <v>5</v>
      </c>
      <c r="E44" s="50">
        <v>5</v>
      </c>
      <c r="F44" s="50">
        <v>11</v>
      </c>
      <c r="G44" s="50">
        <v>2</v>
      </c>
      <c r="H44" s="50">
        <v>0</v>
      </c>
      <c r="I44" s="50">
        <v>3</v>
      </c>
      <c r="J44" s="50">
        <v>0</v>
      </c>
      <c r="K44" s="50">
        <v>2</v>
      </c>
      <c r="L44" s="50">
        <v>0</v>
      </c>
      <c r="M44" s="50">
        <v>46</v>
      </c>
      <c r="N44" s="50">
        <v>0</v>
      </c>
      <c r="O44" s="15">
        <f t="shared" si="0"/>
        <v>51</v>
      </c>
      <c r="P44" s="15">
        <f t="shared" si="1"/>
        <v>97</v>
      </c>
    </row>
    <row r="45" spans="2:20" ht="23.1" customHeight="1">
      <c r="B45" s="23" t="s">
        <v>72</v>
      </c>
      <c r="C45" s="50">
        <v>16</v>
      </c>
      <c r="D45" s="50">
        <v>10</v>
      </c>
      <c r="E45" s="50">
        <v>3</v>
      </c>
      <c r="F45" s="50">
        <v>5</v>
      </c>
      <c r="G45" s="50">
        <v>0</v>
      </c>
      <c r="H45" s="50">
        <v>0</v>
      </c>
      <c r="I45" s="50">
        <v>0</v>
      </c>
      <c r="J45" s="50">
        <v>1</v>
      </c>
      <c r="K45" s="50">
        <v>0</v>
      </c>
      <c r="L45" s="50">
        <v>0</v>
      </c>
      <c r="M45" s="50">
        <v>40</v>
      </c>
      <c r="N45" s="50">
        <v>0</v>
      </c>
      <c r="O45" s="15">
        <f t="shared" si="0"/>
        <v>35</v>
      </c>
      <c r="P45" s="15">
        <f t="shared" si="1"/>
        <v>75</v>
      </c>
    </row>
    <row r="46" spans="2:20" ht="23.1" customHeight="1">
      <c r="B46" s="24" t="s">
        <v>73</v>
      </c>
      <c r="C46" s="50">
        <v>35</v>
      </c>
      <c r="D46" s="50">
        <v>4</v>
      </c>
      <c r="E46" s="50">
        <v>3</v>
      </c>
      <c r="F46" s="50">
        <v>8</v>
      </c>
      <c r="G46" s="50">
        <v>1</v>
      </c>
      <c r="H46" s="50">
        <v>0</v>
      </c>
      <c r="I46" s="50">
        <v>5</v>
      </c>
      <c r="J46" s="50">
        <v>0</v>
      </c>
      <c r="K46" s="50">
        <v>0</v>
      </c>
      <c r="L46" s="50">
        <v>0</v>
      </c>
      <c r="M46" s="50">
        <v>20</v>
      </c>
      <c r="N46" s="50">
        <v>0</v>
      </c>
      <c r="O46" s="15">
        <f t="shared" si="0"/>
        <v>56</v>
      </c>
      <c r="P46" s="15">
        <f t="shared" si="1"/>
        <v>76</v>
      </c>
      <c r="R46" s="8"/>
      <c r="T46"/>
    </row>
    <row r="47" spans="2:20" ht="23.1" customHeight="1">
      <c r="B47" s="24" t="s">
        <v>74</v>
      </c>
      <c r="C47" s="50">
        <v>75</v>
      </c>
      <c r="D47" s="50">
        <v>12</v>
      </c>
      <c r="E47" s="50">
        <v>5</v>
      </c>
      <c r="F47" s="50">
        <v>10</v>
      </c>
      <c r="G47" s="50">
        <v>0</v>
      </c>
      <c r="H47" s="50">
        <v>0</v>
      </c>
      <c r="I47" s="50">
        <v>3</v>
      </c>
      <c r="J47" s="50">
        <v>1</v>
      </c>
      <c r="K47" s="50">
        <v>0</v>
      </c>
      <c r="L47" s="50">
        <v>0</v>
      </c>
      <c r="M47" s="50">
        <v>20</v>
      </c>
      <c r="N47" s="50">
        <v>0</v>
      </c>
      <c r="O47" s="15">
        <f t="shared" si="0"/>
        <v>106</v>
      </c>
      <c r="P47" s="15">
        <f t="shared" si="1"/>
        <v>126</v>
      </c>
      <c r="R47" s="8"/>
      <c r="T47"/>
    </row>
    <row r="48" spans="2:20" ht="23.1" customHeight="1">
      <c r="B48" s="24" t="s">
        <v>75</v>
      </c>
      <c r="C48" s="50">
        <v>45</v>
      </c>
      <c r="D48" s="50">
        <v>10</v>
      </c>
      <c r="E48" s="50">
        <v>5</v>
      </c>
      <c r="F48" s="50">
        <v>10</v>
      </c>
      <c r="G48" s="50">
        <v>0</v>
      </c>
      <c r="H48" s="50">
        <v>0</v>
      </c>
      <c r="I48" s="50">
        <v>3</v>
      </c>
      <c r="J48" s="50">
        <v>0</v>
      </c>
      <c r="K48" s="50">
        <v>0</v>
      </c>
      <c r="L48" s="50">
        <v>0</v>
      </c>
      <c r="M48" s="50">
        <v>45</v>
      </c>
      <c r="N48" s="50">
        <v>0</v>
      </c>
      <c r="O48" s="15">
        <f t="shared" si="0"/>
        <v>73</v>
      </c>
      <c r="P48" s="15">
        <f t="shared" si="1"/>
        <v>118</v>
      </c>
      <c r="R48" s="8"/>
      <c r="T48"/>
    </row>
    <row r="49" spans="2:20" ht="23.1" customHeight="1">
      <c r="B49" s="23" t="s">
        <v>76</v>
      </c>
      <c r="C49" s="50">
        <v>45</v>
      </c>
      <c r="D49" s="50">
        <v>8</v>
      </c>
      <c r="E49" s="50">
        <v>1</v>
      </c>
      <c r="F49" s="50">
        <v>15</v>
      </c>
      <c r="G49" s="50">
        <v>1</v>
      </c>
      <c r="H49" s="50">
        <v>0</v>
      </c>
      <c r="I49" s="50">
        <v>1</v>
      </c>
      <c r="J49" s="50">
        <v>1</v>
      </c>
      <c r="K49" s="50">
        <v>2</v>
      </c>
      <c r="L49" s="50">
        <v>0</v>
      </c>
      <c r="M49" s="50">
        <v>35</v>
      </c>
      <c r="N49" s="50">
        <v>0</v>
      </c>
      <c r="O49" s="15">
        <f t="shared" si="0"/>
        <v>74</v>
      </c>
      <c r="P49" s="15">
        <f t="shared" si="1"/>
        <v>109</v>
      </c>
      <c r="R49" s="8"/>
      <c r="T49"/>
    </row>
    <row r="50" spans="2:20" ht="23.1" customHeight="1">
      <c r="B50" s="24" t="s">
        <v>77</v>
      </c>
      <c r="C50" s="50">
        <v>80</v>
      </c>
      <c r="D50" s="50">
        <v>14</v>
      </c>
      <c r="E50" s="50">
        <v>6</v>
      </c>
      <c r="F50" s="50">
        <v>13</v>
      </c>
      <c r="G50" s="50">
        <v>3</v>
      </c>
      <c r="H50" s="50">
        <v>0</v>
      </c>
      <c r="I50" s="50">
        <v>5</v>
      </c>
      <c r="J50" s="50">
        <v>2</v>
      </c>
      <c r="K50" s="50">
        <v>0</v>
      </c>
      <c r="L50" s="50">
        <v>0</v>
      </c>
      <c r="M50" s="50">
        <v>50</v>
      </c>
      <c r="N50" s="50">
        <v>0</v>
      </c>
      <c r="O50" s="15">
        <f t="shared" si="0"/>
        <v>123</v>
      </c>
      <c r="P50" s="15">
        <f t="shared" si="1"/>
        <v>173</v>
      </c>
      <c r="R50" s="8"/>
      <c r="T50"/>
    </row>
    <row r="51" spans="2:20" ht="23.1" customHeight="1">
      <c r="B51" s="24" t="s">
        <v>78</v>
      </c>
      <c r="C51" s="50">
        <v>105</v>
      </c>
      <c r="D51" s="50">
        <v>14</v>
      </c>
      <c r="E51" s="50">
        <v>8</v>
      </c>
      <c r="F51" s="50">
        <v>23</v>
      </c>
      <c r="G51" s="50">
        <v>0</v>
      </c>
      <c r="H51" s="50">
        <v>0</v>
      </c>
      <c r="I51" s="50">
        <v>3</v>
      </c>
      <c r="J51" s="50">
        <v>0</v>
      </c>
      <c r="K51" s="50">
        <v>0</v>
      </c>
      <c r="L51" s="50">
        <v>0</v>
      </c>
      <c r="M51" s="50">
        <v>60</v>
      </c>
      <c r="N51" s="50">
        <v>0</v>
      </c>
      <c r="O51" s="15">
        <f t="shared" si="0"/>
        <v>153</v>
      </c>
      <c r="P51" s="15">
        <f t="shared" si="1"/>
        <v>213</v>
      </c>
      <c r="R51" s="8"/>
      <c r="T51"/>
    </row>
    <row r="52" spans="2:20" ht="23.1" customHeight="1">
      <c r="B52" s="24" t="s">
        <v>79</v>
      </c>
      <c r="C52" s="50">
        <v>85</v>
      </c>
      <c r="D52" s="50">
        <v>20</v>
      </c>
      <c r="E52" s="50">
        <v>5</v>
      </c>
      <c r="F52" s="50">
        <v>10</v>
      </c>
      <c r="G52" s="50">
        <v>3</v>
      </c>
      <c r="H52" s="50">
        <v>0</v>
      </c>
      <c r="I52" s="50">
        <v>3</v>
      </c>
      <c r="J52" s="50">
        <v>1</v>
      </c>
      <c r="K52" s="50">
        <v>0</v>
      </c>
      <c r="L52" s="50">
        <v>0</v>
      </c>
      <c r="M52" s="50">
        <v>65</v>
      </c>
      <c r="N52" s="50">
        <v>0</v>
      </c>
      <c r="O52" s="15">
        <f t="shared" si="0"/>
        <v>127</v>
      </c>
      <c r="P52" s="15">
        <f t="shared" si="1"/>
        <v>192</v>
      </c>
      <c r="R52" s="8"/>
      <c r="T52"/>
    </row>
    <row r="53" spans="2:20" ht="23.1" customHeight="1">
      <c r="B53" s="23" t="s">
        <v>80</v>
      </c>
      <c r="C53" s="50">
        <v>90</v>
      </c>
      <c r="D53" s="50">
        <v>13</v>
      </c>
      <c r="E53" s="50">
        <v>10</v>
      </c>
      <c r="F53" s="50">
        <v>20</v>
      </c>
      <c r="G53" s="50">
        <v>2</v>
      </c>
      <c r="H53" s="50">
        <v>1</v>
      </c>
      <c r="I53" s="50">
        <v>2</v>
      </c>
      <c r="J53" s="50">
        <v>0</v>
      </c>
      <c r="K53" s="50">
        <v>1</v>
      </c>
      <c r="L53" s="50">
        <v>0</v>
      </c>
      <c r="M53" s="50">
        <v>70</v>
      </c>
      <c r="N53" s="50">
        <v>0</v>
      </c>
      <c r="O53" s="15">
        <f t="shared" si="0"/>
        <v>139</v>
      </c>
      <c r="P53" s="15">
        <f t="shared" si="1"/>
        <v>209</v>
      </c>
      <c r="R53" s="8"/>
      <c r="T53"/>
    </row>
    <row r="54" spans="2:20" ht="23.1" customHeight="1">
      <c r="B54" s="23" t="s">
        <v>81</v>
      </c>
      <c r="C54" s="50">
        <v>125</v>
      </c>
      <c r="D54" s="50">
        <v>10</v>
      </c>
      <c r="E54" s="50">
        <v>5</v>
      </c>
      <c r="F54" s="50">
        <v>13</v>
      </c>
      <c r="G54" s="50">
        <v>2</v>
      </c>
      <c r="H54" s="50">
        <v>0</v>
      </c>
      <c r="I54" s="50">
        <v>1</v>
      </c>
      <c r="J54" s="50">
        <v>1</v>
      </c>
      <c r="K54" s="50">
        <v>0</v>
      </c>
      <c r="L54" s="50">
        <v>1</v>
      </c>
      <c r="M54" s="50">
        <v>75</v>
      </c>
      <c r="N54" s="50">
        <v>0</v>
      </c>
      <c r="O54" s="15">
        <f t="shared" si="0"/>
        <v>158</v>
      </c>
      <c r="P54" s="15">
        <f t="shared" si="1"/>
        <v>233</v>
      </c>
      <c r="R54" s="8"/>
      <c r="T54"/>
    </row>
    <row r="55" spans="2:20" ht="23.1" customHeight="1">
      <c r="B55" s="23" t="s">
        <v>82</v>
      </c>
      <c r="C55" s="50">
        <v>110</v>
      </c>
      <c r="D55" s="50">
        <v>13</v>
      </c>
      <c r="E55" s="50">
        <v>3</v>
      </c>
      <c r="F55" s="50">
        <v>18</v>
      </c>
      <c r="G55" s="50">
        <v>3</v>
      </c>
      <c r="H55" s="50">
        <v>2</v>
      </c>
      <c r="I55" s="50">
        <v>13</v>
      </c>
      <c r="J55" s="50">
        <v>0</v>
      </c>
      <c r="K55" s="50">
        <v>2</v>
      </c>
      <c r="L55" s="50">
        <v>0</v>
      </c>
      <c r="M55" s="50">
        <v>78</v>
      </c>
      <c r="N55" s="50">
        <v>0</v>
      </c>
      <c r="O55" s="15">
        <f t="shared" si="0"/>
        <v>164</v>
      </c>
      <c r="P55" s="15">
        <f t="shared" si="1"/>
        <v>242</v>
      </c>
      <c r="R55" s="8"/>
      <c r="T55"/>
    </row>
    <row r="56" spans="2:20" ht="23.1" customHeight="1">
      <c r="B56" s="23" t="s">
        <v>83</v>
      </c>
      <c r="C56" s="50">
        <v>120</v>
      </c>
      <c r="D56" s="50">
        <v>22</v>
      </c>
      <c r="E56" s="50">
        <v>9</v>
      </c>
      <c r="F56" s="50">
        <v>20</v>
      </c>
      <c r="G56" s="50">
        <v>4</v>
      </c>
      <c r="H56" s="50">
        <v>0</v>
      </c>
      <c r="I56" s="50">
        <v>10</v>
      </c>
      <c r="J56" s="50">
        <v>2</v>
      </c>
      <c r="K56" s="50">
        <v>1</v>
      </c>
      <c r="L56" s="50">
        <v>1</v>
      </c>
      <c r="M56" s="50">
        <v>60</v>
      </c>
      <c r="N56" s="50">
        <v>0</v>
      </c>
      <c r="O56" s="15">
        <f t="shared" si="0"/>
        <v>189</v>
      </c>
      <c r="P56" s="15">
        <f t="shared" si="1"/>
        <v>249</v>
      </c>
      <c r="R56" s="8"/>
      <c r="T56"/>
    </row>
    <row r="57" spans="2:20" ht="23.1" customHeight="1">
      <c r="B57" s="23" t="s">
        <v>84</v>
      </c>
      <c r="C57" s="50">
        <v>150</v>
      </c>
      <c r="D57" s="50">
        <v>19</v>
      </c>
      <c r="E57" s="50">
        <v>15</v>
      </c>
      <c r="F57" s="50">
        <v>19</v>
      </c>
      <c r="G57" s="50">
        <v>0</v>
      </c>
      <c r="H57" s="50">
        <v>1</v>
      </c>
      <c r="I57" s="50">
        <v>6</v>
      </c>
      <c r="J57" s="50">
        <v>0</v>
      </c>
      <c r="K57" s="50">
        <v>0</v>
      </c>
      <c r="L57" s="50">
        <v>0</v>
      </c>
      <c r="M57" s="50">
        <v>110</v>
      </c>
      <c r="N57" s="50">
        <v>0</v>
      </c>
      <c r="O57" s="15">
        <f t="shared" si="0"/>
        <v>210</v>
      </c>
      <c r="P57" s="15">
        <f t="shared" si="1"/>
        <v>320</v>
      </c>
      <c r="R57" s="8"/>
      <c r="T57"/>
    </row>
    <row r="58" spans="2:20" ht="23.1" customHeight="1">
      <c r="B58" s="26" t="s">
        <v>18</v>
      </c>
      <c r="C58" s="16">
        <f t="shared" ref="C58:P58" si="21">SUM(C10:C57)</f>
        <v>2179</v>
      </c>
      <c r="D58" s="16">
        <f t="shared" si="21"/>
        <v>473</v>
      </c>
      <c r="E58" s="16">
        <f t="shared" si="21"/>
        <v>222</v>
      </c>
      <c r="F58" s="16">
        <f t="shared" si="21"/>
        <v>657</v>
      </c>
      <c r="G58" s="16">
        <f t="shared" si="21"/>
        <v>43</v>
      </c>
      <c r="H58" s="16">
        <f t="shared" si="21"/>
        <v>12</v>
      </c>
      <c r="I58" s="16">
        <f t="shared" si="21"/>
        <v>190</v>
      </c>
      <c r="J58" s="16">
        <f t="shared" si="21"/>
        <v>32</v>
      </c>
      <c r="K58" s="16">
        <f t="shared" si="21"/>
        <v>21</v>
      </c>
      <c r="L58" s="16">
        <f t="shared" si="21"/>
        <v>4</v>
      </c>
      <c r="M58" s="16">
        <f t="shared" si="21"/>
        <v>1911</v>
      </c>
      <c r="N58" s="16">
        <f t="shared" si="21"/>
        <v>0</v>
      </c>
      <c r="O58" s="16">
        <f t="shared" si="21"/>
        <v>3833</v>
      </c>
      <c r="P58" s="16">
        <f t="shared" si="21"/>
        <v>5744</v>
      </c>
      <c r="R58" s="8"/>
      <c r="T58"/>
    </row>
    <row r="59" spans="2:20" ht="23.1" customHeight="1">
      <c r="B59" s="26" t="s">
        <v>93</v>
      </c>
      <c r="C59" s="43">
        <f t="shared" ref="C59:N59" si="22">C58/$P$58</f>
        <v>0.37935236768802227</v>
      </c>
      <c r="D59" s="43">
        <f t="shared" si="22"/>
        <v>8.2346796657381621E-2</v>
      </c>
      <c r="E59" s="43">
        <f t="shared" si="22"/>
        <v>3.8649025069637882E-2</v>
      </c>
      <c r="F59" s="43">
        <f t="shared" si="22"/>
        <v>0.11438022284122562</v>
      </c>
      <c r="G59" s="43">
        <f t="shared" si="22"/>
        <v>7.4860724233983284E-3</v>
      </c>
      <c r="H59" s="43">
        <f t="shared" si="22"/>
        <v>2.0891364902506965E-3</v>
      </c>
      <c r="I59" s="43">
        <f t="shared" si="22"/>
        <v>3.3077994428969359E-2</v>
      </c>
      <c r="J59" s="43">
        <f t="shared" si="22"/>
        <v>5.5710306406685237E-3</v>
      </c>
      <c r="K59" s="43">
        <f t="shared" si="22"/>
        <v>3.6559888579387185E-3</v>
      </c>
      <c r="L59" s="43">
        <f t="shared" si="22"/>
        <v>6.9637883008356546E-4</v>
      </c>
      <c r="M59" s="43">
        <f t="shared" si="22"/>
        <v>0.33269498607242337</v>
      </c>
      <c r="N59" s="43">
        <f t="shared" si="22"/>
        <v>0</v>
      </c>
      <c r="R59" s="8"/>
      <c r="T59"/>
    </row>
    <row r="60" spans="2:20" ht="23.1" customHeight="1">
      <c r="B60" s="42" t="s">
        <v>94</v>
      </c>
      <c r="C60" s="44">
        <f>C58/$O$58</f>
        <v>0.56848421601878429</v>
      </c>
      <c r="D60" s="44">
        <f t="shared" ref="D60:N60" si="23">D58/$O$58</f>
        <v>0.1234020349595617</v>
      </c>
      <c r="E60" s="44">
        <f t="shared" si="23"/>
        <v>5.7918079833028956E-2</v>
      </c>
      <c r="F60" s="44">
        <f t="shared" si="23"/>
        <v>0.17140620923558569</v>
      </c>
      <c r="G60" s="44">
        <f t="shared" si="23"/>
        <v>1.1218366814505609E-2</v>
      </c>
      <c r="H60" s="44">
        <f t="shared" si="23"/>
        <v>3.1307070180015655E-3</v>
      </c>
      <c r="I60" s="44">
        <f t="shared" si="23"/>
        <v>4.9569527785024783E-2</v>
      </c>
      <c r="J60" s="44">
        <f t="shared" si="23"/>
        <v>8.348552048004174E-3</v>
      </c>
      <c r="K60" s="44">
        <f t="shared" si="23"/>
        <v>5.4787372815027395E-3</v>
      </c>
      <c r="L60" s="44">
        <f t="shared" si="23"/>
        <v>1.0435690060005217E-3</v>
      </c>
      <c r="M60" s="44"/>
      <c r="N60" s="44">
        <f t="shared" si="23"/>
        <v>0</v>
      </c>
      <c r="Q60" s="7"/>
      <c r="R60" s="8"/>
      <c r="T60"/>
    </row>
    <row r="61" spans="2:20" ht="20.100000000000001" customHeight="1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theme="2" tint="-0.249977111117893"/>
  </sheetPr>
  <dimension ref="B1:AF174"/>
  <sheetViews>
    <sheetView view="pageBreakPreview" zoomScale="60" workbookViewId="0">
      <selection activeCell="C106" sqref="C106"/>
    </sheetView>
  </sheetViews>
  <sheetFormatPr defaultColWidth="15" defaultRowHeight="20.100000000000001" customHeight="1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>
      <c r="B1" s="60" t="s">
        <v>23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</row>
    <row r="2" spans="2:32" ht="20.100000000000001" customHeight="1">
      <c r="B2" s="61" t="s">
        <v>95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</row>
    <row r="3" spans="2:32" ht="20.100000000000001" customHeight="1">
      <c r="B3" s="22" t="s">
        <v>96</v>
      </c>
      <c r="C3" s="65" t="str">
        <f>'29.07 Najjeera-Kiwatule'!C3:G3</f>
        <v>MCC - C1 - STN36 - MBOGO ROAD</v>
      </c>
      <c r="D3" s="65"/>
      <c r="E3" s="65"/>
      <c r="F3" s="65"/>
      <c r="G3" s="65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>
      <c r="C5" s="4" t="s">
        <v>3</v>
      </c>
      <c r="D5" s="36" t="s">
        <v>170</v>
      </c>
      <c r="E5" s="3"/>
      <c r="F5" s="41" t="s">
        <v>1</v>
      </c>
      <c r="G5" s="66" t="str">
        <f>'01.08 Kiwatule-Najjeera-24h'!G5:H5</f>
        <v>U Save Kiwatule</v>
      </c>
      <c r="H5" s="67"/>
      <c r="I5" s="14"/>
      <c r="J5" s="2" t="s">
        <v>5</v>
      </c>
      <c r="K5" s="66" t="s">
        <v>173</v>
      </c>
      <c r="L5" s="67"/>
      <c r="M5" s="10"/>
      <c r="N5" s="10"/>
      <c r="O5" s="3"/>
      <c r="P5" s="3"/>
    </row>
    <row r="6" spans="2:32" ht="23.25" customHeight="1">
      <c r="C6" s="2" t="s">
        <v>4</v>
      </c>
      <c r="D6" s="66" t="str">
        <f>'29.07 Najjeera-Kiwatule'!D6:E6</f>
        <v>Najjeera</v>
      </c>
      <c r="E6" s="67"/>
      <c r="F6" s="2" t="s">
        <v>2</v>
      </c>
      <c r="G6" s="66" t="str">
        <f>'29.07 Najjeera-Kiwatule'!G6:H6</f>
        <v>Kiwatule</v>
      </c>
      <c r="H6" s="67"/>
      <c r="J6" s="2" t="s">
        <v>21</v>
      </c>
      <c r="K6" s="66" t="s">
        <v>172</v>
      </c>
      <c r="L6" s="67"/>
      <c r="M6" s="10"/>
      <c r="N6" s="10"/>
      <c r="O6" s="3"/>
      <c r="P6" s="3"/>
    </row>
    <row r="7" spans="2:32" ht="20.100000000000001" customHeight="1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9" t="s">
        <v>88</v>
      </c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</row>
    <row r="9" spans="2:32" ht="51.75" customHeight="1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>
      <c r="B10" s="45" t="s">
        <v>37</v>
      </c>
      <c r="C10" s="50">
        <v>65</v>
      </c>
      <c r="D10" s="50">
        <v>7</v>
      </c>
      <c r="E10" s="50">
        <v>8</v>
      </c>
      <c r="F10" s="50">
        <v>16</v>
      </c>
      <c r="G10" s="50">
        <v>0</v>
      </c>
      <c r="H10" s="50">
        <v>0</v>
      </c>
      <c r="I10" s="50">
        <v>3</v>
      </c>
      <c r="J10" s="50">
        <v>0</v>
      </c>
      <c r="K10" s="50">
        <v>0</v>
      </c>
      <c r="L10" s="50">
        <v>0</v>
      </c>
      <c r="M10" s="50">
        <v>57</v>
      </c>
      <c r="N10" s="50">
        <v>0</v>
      </c>
      <c r="O10" s="15">
        <f t="shared" ref="O10:O73" si="0">SUM(C10:L10,N10)</f>
        <v>99</v>
      </c>
      <c r="P10" s="15">
        <f t="shared" ref="P10:P73" si="1">SUM(C10:N10)</f>
        <v>156</v>
      </c>
      <c r="R10" s="1" t="s">
        <v>6</v>
      </c>
      <c r="S10" s="17">
        <f t="shared" ref="S10:AF10" si="2">SUM(C10:C13)</f>
        <v>280</v>
      </c>
      <c r="T10" s="17">
        <f t="shared" si="2"/>
        <v>43</v>
      </c>
      <c r="U10" s="17">
        <f t="shared" si="2"/>
        <v>29</v>
      </c>
      <c r="V10" s="17">
        <f t="shared" si="2"/>
        <v>63</v>
      </c>
      <c r="W10" s="17">
        <f t="shared" si="2"/>
        <v>0</v>
      </c>
      <c r="X10" s="17">
        <f t="shared" si="2"/>
        <v>0</v>
      </c>
      <c r="Y10" s="17">
        <f t="shared" si="2"/>
        <v>11</v>
      </c>
      <c r="Z10" s="17">
        <f t="shared" si="2"/>
        <v>1</v>
      </c>
      <c r="AA10" s="17">
        <f t="shared" si="2"/>
        <v>0</v>
      </c>
      <c r="AB10" s="17">
        <f t="shared" si="2"/>
        <v>0</v>
      </c>
      <c r="AC10" s="17">
        <f t="shared" si="2"/>
        <v>277</v>
      </c>
      <c r="AD10" s="17">
        <f t="shared" si="2"/>
        <v>0</v>
      </c>
      <c r="AE10" s="31">
        <f t="shared" si="2"/>
        <v>427</v>
      </c>
      <c r="AF10" s="31">
        <f t="shared" si="2"/>
        <v>704</v>
      </c>
    </row>
    <row r="11" spans="2:32" s="6" customFormat="1" ht="23.1" customHeight="1">
      <c r="B11" s="45" t="s">
        <v>38</v>
      </c>
      <c r="C11" s="50">
        <v>60</v>
      </c>
      <c r="D11" s="50">
        <v>5</v>
      </c>
      <c r="E11" s="50">
        <v>3</v>
      </c>
      <c r="F11" s="50">
        <v>11</v>
      </c>
      <c r="G11" s="50">
        <v>0</v>
      </c>
      <c r="H11" s="50">
        <v>0</v>
      </c>
      <c r="I11" s="50">
        <v>2</v>
      </c>
      <c r="J11" s="50">
        <v>1</v>
      </c>
      <c r="K11" s="50">
        <v>0</v>
      </c>
      <c r="L11" s="50">
        <v>0</v>
      </c>
      <c r="M11" s="50">
        <v>60</v>
      </c>
      <c r="N11" s="50">
        <v>0</v>
      </c>
      <c r="O11" s="15">
        <f t="shared" si="0"/>
        <v>82</v>
      </c>
      <c r="P11" s="15">
        <f t="shared" si="1"/>
        <v>142</v>
      </c>
      <c r="R11" s="1" t="s">
        <v>7</v>
      </c>
      <c r="S11" s="17">
        <f t="shared" ref="S11:AF11" si="3">SUM(C14:C17)</f>
        <v>510</v>
      </c>
      <c r="T11" s="17">
        <f t="shared" si="3"/>
        <v>56</v>
      </c>
      <c r="U11" s="17">
        <f t="shared" si="3"/>
        <v>27</v>
      </c>
      <c r="V11" s="17">
        <f t="shared" si="3"/>
        <v>84</v>
      </c>
      <c r="W11" s="17">
        <f t="shared" si="3"/>
        <v>0</v>
      </c>
      <c r="X11" s="17">
        <f t="shared" si="3"/>
        <v>0</v>
      </c>
      <c r="Y11" s="17">
        <f t="shared" si="3"/>
        <v>15</v>
      </c>
      <c r="Z11" s="17">
        <f t="shared" si="3"/>
        <v>0</v>
      </c>
      <c r="AA11" s="17">
        <f t="shared" si="3"/>
        <v>0</v>
      </c>
      <c r="AB11" s="17">
        <f t="shared" si="3"/>
        <v>0</v>
      </c>
      <c r="AC11" s="17">
        <f t="shared" si="3"/>
        <v>384</v>
      </c>
      <c r="AD11" s="17">
        <f t="shared" si="3"/>
        <v>0</v>
      </c>
      <c r="AE11" s="31">
        <f t="shared" si="3"/>
        <v>692</v>
      </c>
      <c r="AF11" s="31">
        <f t="shared" si="3"/>
        <v>1076</v>
      </c>
    </row>
    <row r="12" spans="2:32" ht="23.1" customHeight="1">
      <c r="B12" s="45" t="s">
        <v>39</v>
      </c>
      <c r="C12" s="50">
        <v>80</v>
      </c>
      <c r="D12" s="50">
        <v>16</v>
      </c>
      <c r="E12" s="50">
        <v>9</v>
      </c>
      <c r="F12" s="50">
        <v>15</v>
      </c>
      <c r="G12" s="50">
        <v>0</v>
      </c>
      <c r="H12" s="50">
        <v>0</v>
      </c>
      <c r="I12" s="50">
        <v>2</v>
      </c>
      <c r="J12" s="50">
        <v>0</v>
      </c>
      <c r="K12" s="50">
        <v>0</v>
      </c>
      <c r="L12" s="50">
        <v>0</v>
      </c>
      <c r="M12" s="50">
        <v>73</v>
      </c>
      <c r="N12" s="50">
        <v>0</v>
      </c>
      <c r="O12" s="15">
        <f t="shared" si="0"/>
        <v>122</v>
      </c>
      <c r="P12" s="15">
        <f t="shared" si="1"/>
        <v>195</v>
      </c>
      <c r="R12" s="1" t="s">
        <v>8</v>
      </c>
      <c r="S12" s="17">
        <f t="shared" ref="S12:AF12" si="4">SUM(C18:C21)</f>
        <v>455</v>
      </c>
      <c r="T12" s="17">
        <f t="shared" si="4"/>
        <v>63</v>
      </c>
      <c r="U12" s="17">
        <f t="shared" si="4"/>
        <v>25</v>
      </c>
      <c r="V12" s="17">
        <f t="shared" si="4"/>
        <v>52</v>
      </c>
      <c r="W12" s="17">
        <f t="shared" si="4"/>
        <v>0</v>
      </c>
      <c r="X12" s="17">
        <f t="shared" si="4"/>
        <v>0</v>
      </c>
      <c r="Y12" s="17">
        <f t="shared" si="4"/>
        <v>14</v>
      </c>
      <c r="Z12" s="17">
        <f t="shared" si="4"/>
        <v>2</v>
      </c>
      <c r="AA12" s="17">
        <f t="shared" si="4"/>
        <v>3</v>
      </c>
      <c r="AB12" s="17">
        <f t="shared" si="4"/>
        <v>0</v>
      </c>
      <c r="AC12" s="17">
        <f t="shared" si="4"/>
        <v>369</v>
      </c>
      <c r="AD12" s="17">
        <f t="shared" si="4"/>
        <v>0</v>
      </c>
      <c r="AE12" s="31">
        <f t="shared" si="4"/>
        <v>614</v>
      </c>
      <c r="AF12" s="31">
        <f t="shared" si="4"/>
        <v>983</v>
      </c>
    </row>
    <row r="13" spans="2:32" ht="23.1" customHeight="1">
      <c r="B13" s="45" t="s">
        <v>40</v>
      </c>
      <c r="C13" s="50">
        <v>75</v>
      </c>
      <c r="D13" s="50">
        <v>15</v>
      </c>
      <c r="E13" s="50">
        <v>9</v>
      </c>
      <c r="F13" s="50">
        <v>21</v>
      </c>
      <c r="G13" s="50">
        <v>0</v>
      </c>
      <c r="H13" s="50">
        <v>0</v>
      </c>
      <c r="I13" s="50">
        <v>4</v>
      </c>
      <c r="J13" s="50">
        <v>0</v>
      </c>
      <c r="K13" s="50">
        <v>0</v>
      </c>
      <c r="L13" s="50">
        <v>0</v>
      </c>
      <c r="M13" s="50">
        <v>87</v>
      </c>
      <c r="N13" s="50">
        <v>0</v>
      </c>
      <c r="O13" s="15">
        <f t="shared" si="0"/>
        <v>124</v>
      </c>
      <c r="P13" s="15">
        <f t="shared" si="1"/>
        <v>211</v>
      </c>
      <c r="R13" s="1" t="s">
        <v>9</v>
      </c>
      <c r="S13" s="17">
        <f t="shared" ref="S13:AF13" si="5">SUM(C22:C25)</f>
        <v>310</v>
      </c>
      <c r="T13" s="17">
        <f t="shared" si="5"/>
        <v>62</v>
      </c>
      <c r="U13" s="17">
        <f t="shared" si="5"/>
        <v>28</v>
      </c>
      <c r="V13" s="17">
        <f t="shared" si="5"/>
        <v>53</v>
      </c>
      <c r="W13" s="17">
        <f t="shared" si="5"/>
        <v>1</v>
      </c>
      <c r="X13" s="17">
        <f t="shared" si="5"/>
        <v>0</v>
      </c>
      <c r="Y13" s="17">
        <f t="shared" si="5"/>
        <v>19</v>
      </c>
      <c r="Z13" s="17">
        <f t="shared" si="5"/>
        <v>3</v>
      </c>
      <c r="AA13" s="17">
        <f t="shared" si="5"/>
        <v>0</v>
      </c>
      <c r="AB13" s="17">
        <f t="shared" si="5"/>
        <v>0</v>
      </c>
      <c r="AC13" s="17">
        <f t="shared" si="5"/>
        <v>385</v>
      </c>
      <c r="AD13" s="17">
        <f t="shared" si="5"/>
        <v>0</v>
      </c>
      <c r="AE13" s="31">
        <f t="shared" si="5"/>
        <v>476</v>
      </c>
      <c r="AF13" s="31">
        <f t="shared" si="5"/>
        <v>861</v>
      </c>
    </row>
    <row r="14" spans="2:32" ht="23.1" customHeight="1">
      <c r="B14" s="45" t="s">
        <v>41</v>
      </c>
      <c r="C14" s="50">
        <v>120</v>
      </c>
      <c r="D14" s="50">
        <v>16</v>
      </c>
      <c r="E14" s="50">
        <v>7</v>
      </c>
      <c r="F14" s="50">
        <v>21</v>
      </c>
      <c r="G14" s="50">
        <v>0</v>
      </c>
      <c r="H14" s="50">
        <v>0</v>
      </c>
      <c r="I14" s="50">
        <v>9</v>
      </c>
      <c r="J14" s="50">
        <v>0</v>
      </c>
      <c r="K14" s="50">
        <v>0</v>
      </c>
      <c r="L14" s="50">
        <v>0</v>
      </c>
      <c r="M14" s="50">
        <v>89</v>
      </c>
      <c r="N14" s="50">
        <v>0</v>
      </c>
      <c r="O14" s="15">
        <f t="shared" si="0"/>
        <v>173</v>
      </c>
      <c r="P14" s="15">
        <f t="shared" si="1"/>
        <v>262</v>
      </c>
      <c r="R14" s="1" t="s">
        <v>10</v>
      </c>
      <c r="S14" s="17">
        <f t="shared" ref="S14:AF14" si="6">SUM(C26:C29)</f>
        <v>265</v>
      </c>
      <c r="T14" s="17">
        <f t="shared" si="6"/>
        <v>64</v>
      </c>
      <c r="U14" s="17">
        <f t="shared" si="6"/>
        <v>54</v>
      </c>
      <c r="V14" s="17">
        <f t="shared" si="6"/>
        <v>49</v>
      </c>
      <c r="W14" s="17">
        <f t="shared" si="6"/>
        <v>0</v>
      </c>
      <c r="X14" s="17">
        <f t="shared" si="6"/>
        <v>0</v>
      </c>
      <c r="Y14" s="17">
        <f t="shared" si="6"/>
        <v>15</v>
      </c>
      <c r="Z14" s="17">
        <f t="shared" si="6"/>
        <v>1</v>
      </c>
      <c r="AA14" s="17">
        <f t="shared" si="6"/>
        <v>3</v>
      </c>
      <c r="AB14" s="17">
        <f t="shared" si="6"/>
        <v>0</v>
      </c>
      <c r="AC14" s="17">
        <f t="shared" si="6"/>
        <v>352</v>
      </c>
      <c r="AD14" s="17">
        <f t="shared" si="6"/>
        <v>0</v>
      </c>
      <c r="AE14" s="31">
        <f t="shared" si="6"/>
        <v>451</v>
      </c>
      <c r="AF14" s="31">
        <f t="shared" si="6"/>
        <v>803</v>
      </c>
    </row>
    <row r="15" spans="2:32" ht="23.1" customHeight="1">
      <c r="B15" s="45" t="s">
        <v>42</v>
      </c>
      <c r="C15" s="50">
        <v>150</v>
      </c>
      <c r="D15" s="50">
        <v>13</v>
      </c>
      <c r="E15" s="50">
        <v>8</v>
      </c>
      <c r="F15" s="50">
        <v>27</v>
      </c>
      <c r="G15" s="50">
        <v>0</v>
      </c>
      <c r="H15" s="50">
        <v>0</v>
      </c>
      <c r="I15" s="50">
        <v>2</v>
      </c>
      <c r="J15" s="50">
        <v>0</v>
      </c>
      <c r="K15" s="50">
        <v>0</v>
      </c>
      <c r="L15" s="50">
        <v>0</v>
      </c>
      <c r="M15" s="50">
        <v>95</v>
      </c>
      <c r="N15" s="50">
        <v>0</v>
      </c>
      <c r="O15" s="15">
        <f t="shared" si="0"/>
        <v>200</v>
      </c>
      <c r="P15" s="15">
        <f t="shared" si="1"/>
        <v>295</v>
      </c>
      <c r="R15" s="1" t="s">
        <v>11</v>
      </c>
      <c r="S15" s="17">
        <f t="shared" ref="S15:AF15" si="7">SUM(C30:C33)</f>
        <v>230</v>
      </c>
      <c r="T15" s="17">
        <f t="shared" si="7"/>
        <v>64</v>
      </c>
      <c r="U15" s="17">
        <f t="shared" si="7"/>
        <v>61</v>
      </c>
      <c r="V15" s="17">
        <f t="shared" si="7"/>
        <v>38</v>
      </c>
      <c r="W15" s="17">
        <f t="shared" si="7"/>
        <v>0</v>
      </c>
      <c r="X15" s="17">
        <f t="shared" si="7"/>
        <v>0</v>
      </c>
      <c r="Y15" s="17">
        <f t="shared" si="7"/>
        <v>14</v>
      </c>
      <c r="Z15" s="17">
        <f t="shared" si="7"/>
        <v>3</v>
      </c>
      <c r="AA15" s="17">
        <f t="shared" si="7"/>
        <v>2</v>
      </c>
      <c r="AB15" s="17">
        <f t="shared" si="7"/>
        <v>0</v>
      </c>
      <c r="AC15" s="17">
        <f t="shared" si="7"/>
        <v>284</v>
      </c>
      <c r="AD15" s="17">
        <f t="shared" si="7"/>
        <v>0</v>
      </c>
      <c r="AE15" s="31">
        <f t="shared" si="7"/>
        <v>412</v>
      </c>
      <c r="AF15" s="31">
        <f t="shared" si="7"/>
        <v>696</v>
      </c>
    </row>
    <row r="16" spans="2:32" ht="23.1" customHeight="1">
      <c r="B16" s="45" t="s">
        <v>43</v>
      </c>
      <c r="C16" s="50">
        <v>100</v>
      </c>
      <c r="D16" s="50">
        <v>17</v>
      </c>
      <c r="E16" s="50">
        <v>6</v>
      </c>
      <c r="F16" s="50">
        <v>16</v>
      </c>
      <c r="G16" s="50">
        <v>0</v>
      </c>
      <c r="H16" s="50">
        <v>0</v>
      </c>
      <c r="I16" s="50">
        <v>2</v>
      </c>
      <c r="J16" s="50">
        <v>0</v>
      </c>
      <c r="K16" s="50">
        <v>0</v>
      </c>
      <c r="L16" s="50">
        <v>0</v>
      </c>
      <c r="M16" s="50">
        <v>100</v>
      </c>
      <c r="N16" s="50">
        <v>0</v>
      </c>
      <c r="O16" s="15">
        <f t="shared" si="0"/>
        <v>141</v>
      </c>
      <c r="P16" s="15">
        <f t="shared" si="1"/>
        <v>241</v>
      </c>
      <c r="R16" s="1" t="s">
        <v>12</v>
      </c>
      <c r="S16" s="17">
        <f t="shared" ref="S16:AF16" si="8">SUM(C34:C37)</f>
        <v>280</v>
      </c>
      <c r="T16" s="17">
        <f t="shared" si="8"/>
        <v>40</v>
      </c>
      <c r="U16" s="17">
        <f t="shared" si="8"/>
        <v>30</v>
      </c>
      <c r="V16" s="17">
        <f t="shared" si="8"/>
        <v>35</v>
      </c>
      <c r="W16" s="17">
        <f t="shared" si="8"/>
        <v>0</v>
      </c>
      <c r="X16" s="17">
        <f t="shared" si="8"/>
        <v>0</v>
      </c>
      <c r="Y16" s="17">
        <f t="shared" si="8"/>
        <v>22</v>
      </c>
      <c r="Z16" s="17">
        <f t="shared" si="8"/>
        <v>0</v>
      </c>
      <c r="AA16" s="17">
        <f t="shared" si="8"/>
        <v>1</v>
      </c>
      <c r="AB16" s="17">
        <f t="shared" si="8"/>
        <v>2</v>
      </c>
      <c r="AC16" s="17">
        <f t="shared" si="8"/>
        <v>276</v>
      </c>
      <c r="AD16" s="17">
        <f t="shared" si="8"/>
        <v>0</v>
      </c>
      <c r="AE16" s="31">
        <f t="shared" si="8"/>
        <v>410</v>
      </c>
      <c r="AF16" s="31">
        <f t="shared" si="8"/>
        <v>686</v>
      </c>
    </row>
    <row r="17" spans="2:32" ht="23.1" customHeight="1">
      <c r="B17" s="45" t="s">
        <v>44</v>
      </c>
      <c r="C17" s="50">
        <v>140</v>
      </c>
      <c r="D17" s="50">
        <v>10</v>
      </c>
      <c r="E17" s="50">
        <v>6</v>
      </c>
      <c r="F17" s="50">
        <v>20</v>
      </c>
      <c r="G17" s="50">
        <v>0</v>
      </c>
      <c r="H17" s="50">
        <v>0</v>
      </c>
      <c r="I17" s="50">
        <v>2</v>
      </c>
      <c r="J17" s="50">
        <v>0</v>
      </c>
      <c r="K17" s="50">
        <v>0</v>
      </c>
      <c r="L17" s="50">
        <v>0</v>
      </c>
      <c r="M17" s="50">
        <v>100</v>
      </c>
      <c r="N17" s="50">
        <v>0</v>
      </c>
      <c r="O17" s="15">
        <f t="shared" si="0"/>
        <v>178</v>
      </c>
      <c r="P17" s="15">
        <f t="shared" si="1"/>
        <v>278</v>
      </c>
      <c r="R17" s="1" t="s">
        <v>13</v>
      </c>
      <c r="S17" s="17">
        <f t="shared" ref="S17:AF17" si="9">SUM(C38:C41)</f>
        <v>270</v>
      </c>
      <c r="T17" s="17">
        <f t="shared" si="9"/>
        <v>29</v>
      </c>
      <c r="U17" s="17">
        <f t="shared" si="9"/>
        <v>21</v>
      </c>
      <c r="V17" s="17">
        <f t="shared" si="9"/>
        <v>27</v>
      </c>
      <c r="W17" s="17">
        <f t="shared" si="9"/>
        <v>0</v>
      </c>
      <c r="X17" s="17">
        <f t="shared" si="9"/>
        <v>0</v>
      </c>
      <c r="Y17" s="17">
        <f t="shared" si="9"/>
        <v>16</v>
      </c>
      <c r="Z17" s="17">
        <f t="shared" si="9"/>
        <v>0</v>
      </c>
      <c r="AA17" s="17">
        <f t="shared" si="9"/>
        <v>0</v>
      </c>
      <c r="AB17" s="17">
        <f t="shared" si="9"/>
        <v>0</v>
      </c>
      <c r="AC17" s="17">
        <f t="shared" si="9"/>
        <v>320</v>
      </c>
      <c r="AD17" s="17">
        <f t="shared" si="9"/>
        <v>0</v>
      </c>
      <c r="AE17" s="31">
        <f t="shared" si="9"/>
        <v>363</v>
      </c>
      <c r="AF17" s="31">
        <f t="shared" si="9"/>
        <v>683</v>
      </c>
    </row>
    <row r="18" spans="2:32" ht="23.1" customHeight="1">
      <c r="B18" s="45" t="s">
        <v>45</v>
      </c>
      <c r="C18" s="50">
        <v>155</v>
      </c>
      <c r="D18" s="50">
        <v>15</v>
      </c>
      <c r="E18" s="50">
        <v>5</v>
      </c>
      <c r="F18" s="50">
        <v>12</v>
      </c>
      <c r="G18" s="50">
        <v>0</v>
      </c>
      <c r="H18" s="50">
        <v>0</v>
      </c>
      <c r="I18" s="50">
        <v>4</v>
      </c>
      <c r="J18" s="50">
        <v>0</v>
      </c>
      <c r="K18" s="50">
        <v>1</v>
      </c>
      <c r="L18" s="50">
        <v>0</v>
      </c>
      <c r="M18" s="50">
        <v>75</v>
      </c>
      <c r="N18" s="50">
        <v>0</v>
      </c>
      <c r="O18" s="15">
        <f t="shared" si="0"/>
        <v>192</v>
      </c>
      <c r="P18" s="15">
        <f t="shared" si="1"/>
        <v>267</v>
      </c>
      <c r="R18" s="1" t="s">
        <v>14</v>
      </c>
      <c r="S18" s="17">
        <f t="shared" ref="S18:AF18" si="10">SUM(C42:C45)</f>
        <v>196</v>
      </c>
      <c r="T18" s="17">
        <f t="shared" si="10"/>
        <v>31</v>
      </c>
      <c r="U18" s="17">
        <f t="shared" si="10"/>
        <v>18</v>
      </c>
      <c r="V18" s="17">
        <f t="shared" si="10"/>
        <v>33</v>
      </c>
      <c r="W18" s="17">
        <f t="shared" si="10"/>
        <v>0</v>
      </c>
      <c r="X18" s="17">
        <f t="shared" si="10"/>
        <v>0</v>
      </c>
      <c r="Y18" s="17">
        <f t="shared" si="10"/>
        <v>18</v>
      </c>
      <c r="Z18" s="17">
        <f t="shared" si="10"/>
        <v>5</v>
      </c>
      <c r="AA18" s="17">
        <f t="shared" si="10"/>
        <v>1</v>
      </c>
      <c r="AB18" s="17">
        <f t="shared" si="10"/>
        <v>0</v>
      </c>
      <c r="AC18" s="17">
        <f t="shared" si="10"/>
        <v>337</v>
      </c>
      <c r="AD18" s="17">
        <f t="shared" si="10"/>
        <v>0</v>
      </c>
      <c r="AE18" s="31">
        <f t="shared" si="10"/>
        <v>302</v>
      </c>
      <c r="AF18" s="31">
        <f t="shared" si="10"/>
        <v>639</v>
      </c>
    </row>
    <row r="19" spans="2:32" ht="23.1" customHeight="1">
      <c r="B19" s="45" t="s">
        <v>46</v>
      </c>
      <c r="C19" s="50">
        <v>105</v>
      </c>
      <c r="D19" s="50">
        <v>15</v>
      </c>
      <c r="E19" s="50">
        <v>5</v>
      </c>
      <c r="F19" s="50">
        <v>14</v>
      </c>
      <c r="G19" s="50">
        <v>0</v>
      </c>
      <c r="H19" s="50">
        <v>0</v>
      </c>
      <c r="I19" s="50">
        <v>4</v>
      </c>
      <c r="J19" s="50">
        <v>0</v>
      </c>
      <c r="K19" s="50">
        <v>2</v>
      </c>
      <c r="L19" s="50">
        <v>0</v>
      </c>
      <c r="M19" s="50">
        <v>80</v>
      </c>
      <c r="N19" s="50">
        <v>0</v>
      </c>
      <c r="O19" s="15">
        <f t="shared" si="0"/>
        <v>145</v>
      </c>
      <c r="P19" s="15">
        <f t="shared" si="1"/>
        <v>225</v>
      </c>
      <c r="R19" s="1" t="s">
        <v>15</v>
      </c>
      <c r="S19" s="17">
        <f t="shared" ref="S19:AF19" si="11">SUM(C46:C49)</f>
        <v>275</v>
      </c>
      <c r="T19" s="17">
        <f t="shared" si="11"/>
        <v>30</v>
      </c>
      <c r="U19" s="17">
        <f t="shared" si="11"/>
        <v>21</v>
      </c>
      <c r="V19" s="17">
        <f t="shared" si="11"/>
        <v>36</v>
      </c>
      <c r="W19" s="17">
        <f t="shared" si="11"/>
        <v>0</v>
      </c>
      <c r="X19" s="17">
        <f t="shared" si="11"/>
        <v>0</v>
      </c>
      <c r="Y19" s="17">
        <f t="shared" si="11"/>
        <v>21</v>
      </c>
      <c r="Z19" s="17">
        <f t="shared" si="11"/>
        <v>4</v>
      </c>
      <c r="AA19" s="17">
        <f t="shared" si="11"/>
        <v>1</v>
      </c>
      <c r="AB19" s="17">
        <f t="shared" si="11"/>
        <v>0</v>
      </c>
      <c r="AC19" s="17">
        <f t="shared" si="11"/>
        <v>288</v>
      </c>
      <c r="AD19" s="17">
        <f t="shared" si="11"/>
        <v>0</v>
      </c>
      <c r="AE19" s="31">
        <f t="shared" si="11"/>
        <v>388</v>
      </c>
      <c r="AF19" s="31">
        <f t="shared" si="11"/>
        <v>676</v>
      </c>
    </row>
    <row r="20" spans="2:32" ht="23.1" customHeight="1">
      <c r="B20" s="45" t="s">
        <v>47</v>
      </c>
      <c r="C20" s="50">
        <v>95</v>
      </c>
      <c r="D20" s="50">
        <v>19</v>
      </c>
      <c r="E20" s="50">
        <v>8</v>
      </c>
      <c r="F20" s="50">
        <v>10</v>
      </c>
      <c r="G20" s="50">
        <v>0</v>
      </c>
      <c r="H20" s="50">
        <v>0</v>
      </c>
      <c r="I20" s="50">
        <v>2</v>
      </c>
      <c r="J20" s="50">
        <v>2</v>
      </c>
      <c r="K20" s="50">
        <v>0</v>
      </c>
      <c r="L20" s="50">
        <v>0</v>
      </c>
      <c r="M20" s="50">
        <v>89</v>
      </c>
      <c r="N20" s="50">
        <v>0</v>
      </c>
      <c r="O20" s="15">
        <f t="shared" si="0"/>
        <v>136</v>
      </c>
      <c r="P20" s="15">
        <f t="shared" si="1"/>
        <v>225</v>
      </c>
      <c r="R20" s="1" t="s">
        <v>16</v>
      </c>
      <c r="S20" s="17">
        <f t="shared" ref="S20:AF20" si="12">SUM(C50:C53)</f>
        <v>215</v>
      </c>
      <c r="T20" s="17">
        <f t="shared" si="12"/>
        <v>36</v>
      </c>
      <c r="U20" s="17">
        <f t="shared" si="12"/>
        <v>31</v>
      </c>
      <c r="V20" s="17">
        <f t="shared" si="12"/>
        <v>38</v>
      </c>
      <c r="W20" s="17">
        <f t="shared" si="12"/>
        <v>0</v>
      </c>
      <c r="X20" s="17">
        <f t="shared" si="12"/>
        <v>0</v>
      </c>
      <c r="Y20" s="17">
        <f t="shared" si="12"/>
        <v>16</v>
      </c>
      <c r="Z20" s="17">
        <f t="shared" si="12"/>
        <v>4</v>
      </c>
      <c r="AA20" s="17">
        <f t="shared" si="12"/>
        <v>1</v>
      </c>
      <c r="AB20" s="17">
        <f t="shared" si="12"/>
        <v>0</v>
      </c>
      <c r="AC20" s="17">
        <f t="shared" si="12"/>
        <v>320</v>
      </c>
      <c r="AD20" s="17">
        <f t="shared" si="12"/>
        <v>0</v>
      </c>
      <c r="AE20" s="31">
        <f t="shared" si="12"/>
        <v>341</v>
      </c>
      <c r="AF20" s="31">
        <f t="shared" si="12"/>
        <v>661</v>
      </c>
    </row>
    <row r="21" spans="2:32" ht="23.1" customHeight="1">
      <c r="B21" s="45" t="s">
        <v>48</v>
      </c>
      <c r="C21" s="50">
        <v>100</v>
      </c>
      <c r="D21" s="50">
        <v>14</v>
      </c>
      <c r="E21" s="50">
        <v>7</v>
      </c>
      <c r="F21" s="50">
        <v>16</v>
      </c>
      <c r="G21" s="50">
        <v>0</v>
      </c>
      <c r="H21" s="50">
        <v>0</v>
      </c>
      <c r="I21" s="50">
        <v>4</v>
      </c>
      <c r="J21" s="50">
        <v>0</v>
      </c>
      <c r="K21" s="50">
        <v>0</v>
      </c>
      <c r="L21" s="50">
        <v>0</v>
      </c>
      <c r="M21" s="50">
        <v>125</v>
      </c>
      <c r="N21" s="50">
        <v>0</v>
      </c>
      <c r="O21" s="15">
        <f t="shared" si="0"/>
        <v>141</v>
      </c>
      <c r="P21" s="15">
        <f t="shared" si="1"/>
        <v>266</v>
      </c>
      <c r="R21" s="36" t="s">
        <v>20</v>
      </c>
      <c r="S21" s="34">
        <f t="shared" ref="S21:AF21" si="13">SUM(C54:C57)</f>
        <v>273</v>
      </c>
      <c r="T21" s="17">
        <f t="shared" si="13"/>
        <v>38</v>
      </c>
      <c r="U21" s="17">
        <f t="shared" si="13"/>
        <v>26</v>
      </c>
      <c r="V21" s="17">
        <f t="shared" si="13"/>
        <v>50</v>
      </c>
      <c r="W21" s="17">
        <f t="shared" si="13"/>
        <v>1</v>
      </c>
      <c r="X21" s="17">
        <f t="shared" si="13"/>
        <v>0</v>
      </c>
      <c r="Y21" s="17">
        <f t="shared" si="13"/>
        <v>23</v>
      </c>
      <c r="Z21" s="17">
        <f t="shared" si="13"/>
        <v>1</v>
      </c>
      <c r="AA21" s="17">
        <f t="shared" si="13"/>
        <v>1</v>
      </c>
      <c r="AB21" s="17">
        <f t="shared" si="13"/>
        <v>0</v>
      </c>
      <c r="AC21" s="17">
        <f t="shared" si="13"/>
        <v>262</v>
      </c>
      <c r="AD21" s="17">
        <f t="shared" si="13"/>
        <v>0</v>
      </c>
      <c r="AE21" s="31">
        <f t="shared" si="13"/>
        <v>413</v>
      </c>
      <c r="AF21" s="31">
        <f t="shared" si="13"/>
        <v>675</v>
      </c>
    </row>
    <row r="22" spans="2:32" ht="23.1" customHeight="1">
      <c r="B22" s="45" t="s">
        <v>49</v>
      </c>
      <c r="C22" s="50">
        <v>65</v>
      </c>
      <c r="D22" s="50">
        <v>18</v>
      </c>
      <c r="E22" s="50">
        <v>7</v>
      </c>
      <c r="F22" s="50">
        <v>11</v>
      </c>
      <c r="G22" s="50">
        <v>0</v>
      </c>
      <c r="H22" s="50">
        <v>0</v>
      </c>
      <c r="I22" s="50">
        <v>8</v>
      </c>
      <c r="J22" s="50">
        <v>2</v>
      </c>
      <c r="K22" s="50">
        <v>0</v>
      </c>
      <c r="L22" s="50">
        <v>0</v>
      </c>
      <c r="M22" s="50">
        <v>75</v>
      </c>
      <c r="N22" s="50">
        <v>0</v>
      </c>
      <c r="O22" s="15">
        <f t="shared" si="0"/>
        <v>111</v>
      </c>
      <c r="P22" s="15">
        <f t="shared" si="1"/>
        <v>186</v>
      </c>
      <c r="R22" s="36" t="s">
        <v>146</v>
      </c>
      <c r="S22" s="34">
        <f>SUM(C58:C61)</f>
        <v>312</v>
      </c>
      <c r="T22" s="34">
        <f t="shared" ref="T22:AF22" si="14">SUM(D58:D61)</f>
        <v>75</v>
      </c>
      <c r="U22" s="34">
        <f t="shared" si="14"/>
        <v>17</v>
      </c>
      <c r="V22" s="34">
        <f t="shared" si="14"/>
        <v>65</v>
      </c>
      <c r="W22" s="34">
        <f t="shared" si="14"/>
        <v>0</v>
      </c>
      <c r="X22" s="34">
        <f t="shared" si="14"/>
        <v>0</v>
      </c>
      <c r="Y22" s="34">
        <f t="shared" si="14"/>
        <v>21</v>
      </c>
      <c r="Z22" s="34">
        <f t="shared" si="14"/>
        <v>1</v>
      </c>
      <c r="AA22" s="34">
        <f t="shared" si="14"/>
        <v>0</v>
      </c>
      <c r="AB22" s="34">
        <f t="shared" si="14"/>
        <v>0</v>
      </c>
      <c r="AC22" s="34">
        <f t="shared" si="14"/>
        <v>506</v>
      </c>
      <c r="AD22" s="34">
        <f t="shared" si="14"/>
        <v>0</v>
      </c>
      <c r="AE22" s="31">
        <f t="shared" si="14"/>
        <v>491</v>
      </c>
      <c r="AF22" s="31">
        <f t="shared" si="14"/>
        <v>997</v>
      </c>
    </row>
    <row r="23" spans="2:32" ht="23.1" customHeight="1">
      <c r="B23" s="45" t="s">
        <v>50</v>
      </c>
      <c r="C23" s="50">
        <v>80</v>
      </c>
      <c r="D23" s="50">
        <v>12</v>
      </c>
      <c r="E23" s="50">
        <v>7</v>
      </c>
      <c r="F23" s="50">
        <v>15</v>
      </c>
      <c r="G23" s="50">
        <v>0</v>
      </c>
      <c r="H23" s="50">
        <v>0</v>
      </c>
      <c r="I23" s="50">
        <v>5</v>
      </c>
      <c r="J23" s="50">
        <v>1</v>
      </c>
      <c r="K23" s="50">
        <v>0</v>
      </c>
      <c r="L23" s="50">
        <v>0</v>
      </c>
      <c r="M23" s="50">
        <v>60</v>
      </c>
      <c r="N23" s="50">
        <v>0</v>
      </c>
      <c r="O23" s="15">
        <f t="shared" si="0"/>
        <v>120</v>
      </c>
      <c r="P23" s="15">
        <f t="shared" si="1"/>
        <v>180</v>
      </c>
      <c r="R23" s="36" t="s">
        <v>147</v>
      </c>
      <c r="S23" s="34">
        <f>SUM(C62:C65)</f>
        <v>244</v>
      </c>
      <c r="T23" s="34">
        <f t="shared" ref="T23:AF23" si="15">SUM(D62:D65)</f>
        <v>50</v>
      </c>
      <c r="U23" s="34">
        <f t="shared" si="15"/>
        <v>27</v>
      </c>
      <c r="V23" s="34">
        <f t="shared" si="15"/>
        <v>58</v>
      </c>
      <c r="W23" s="34">
        <f t="shared" si="15"/>
        <v>0</v>
      </c>
      <c r="X23" s="34">
        <f t="shared" si="15"/>
        <v>0</v>
      </c>
      <c r="Y23" s="34">
        <f t="shared" si="15"/>
        <v>10</v>
      </c>
      <c r="Z23" s="34">
        <f t="shared" si="15"/>
        <v>1</v>
      </c>
      <c r="AA23" s="34">
        <f t="shared" si="15"/>
        <v>1</v>
      </c>
      <c r="AB23" s="34">
        <f t="shared" si="15"/>
        <v>0</v>
      </c>
      <c r="AC23" s="34">
        <f t="shared" si="15"/>
        <v>399</v>
      </c>
      <c r="AD23" s="34">
        <f t="shared" si="15"/>
        <v>0</v>
      </c>
      <c r="AE23" s="31">
        <f t="shared" si="15"/>
        <v>391</v>
      </c>
      <c r="AF23" s="31">
        <f t="shared" si="15"/>
        <v>790</v>
      </c>
    </row>
    <row r="24" spans="2:32" ht="23.1" customHeight="1">
      <c r="B24" s="45" t="s">
        <v>51</v>
      </c>
      <c r="C24" s="50">
        <v>90</v>
      </c>
      <c r="D24" s="50">
        <v>22</v>
      </c>
      <c r="E24" s="50">
        <v>7</v>
      </c>
      <c r="F24" s="50">
        <v>13</v>
      </c>
      <c r="G24" s="50">
        <v>0</v>
      </c>
      <c r="H24" s="50">
        <v>0</v>
      </c>
      <c r="I24" s="50">
        <v>4</v>
      </c>
      <c r="J24" s="50">
        <v>0</v>
      </c>
      <c r="K24" s="50">
        <v>0</v>
      </c>
      <c r="L24" s="50">
        <v>0</v>
      </c>
      <c r="M24" s="50">
        <v>125</v>
      </c>
      <c r="N24" s="50">
        <v>0</v>
      </c>
      <c r="O24" s="15">
        <f t="shared" si="0"/>
        <v>136</v>
      </c>
      <c r="P24" s="15">
        <f t="shared" si="1"/>
        <v>261</v>
      </c>
      <c r="R24" s="36" t="s">
        <v>148</v>
      </c>
      <c r="S24" s="34">
        <f>SUM(C66:C69)</f>
        <v>248</v>
      </c>
      <c r="T24" s="34">
        <f t="shared" ref="T24:AF24" si="16">SUM(D66:D69)</f>
        <v>38</v>
      </c>
      <c r="U24" s="34">
        <f t="shared" si="16"/>
        <v>13</v>
      </c>
      <c r="V24" s="34">
        <f t="shared" si="16"/>
        <v>30</v>
      </c>
      <c r="W24" s="34">
        <f t="shared" si="16"/>
        <v>0</v>
      </c>
      <c r="X24" s="34">
        <f t="shared" si="16"/>
        <v>0</v>
      </c>
      <c r="Y24" s="34">
        <f t="shared" si="16"/>
        <v>11</v>
      </c>
      <c r="Z24" s="34">
        <f t="shared" si="16"/>
        <v>1</v>
      </c>
      <c r="AA24" s="34">
        <f t="shared" si="16"/>
        <v>0</v>
      </c>
      <c r="AB24" s="34">
        <f t="shared" si="16"/>
        <v>0</v>
      </c>
      <c r="AC24" s="34">
        <f t="shared" si="16"/>
        <v>368</v>
      </c>
      <c r="AD24" s="34">
        <f t="shared" si="16"/>
        <v>0</v>
      </c>
      <c r="AE24" s="31">
        <f t="shared" si="16"/>
        <v>341</v>
      </c>
      <c r="AF24" s="31">
        <f t="shared" si="16"/>
        <v>709</v>
      </c>
    </row>
    <row r="25" spans="2:32" ht="23.1" customHeight="1">
      <c r="B25" s="45" t="s">
        <v>52</v>
      </c>
      <c r="C25" s="50">
        <v>75</v>
      </c>
      <c r="D25" s="50">
        <v>10</v>
      </c>
      <c r="E25" s="50">
        <v>7</v>
      </c>
      <c r="F25" s="50">
        <v>14</v>
      </c>
      <c r="G25" s="50">
        <v>1</v>
      </c>
      <c r="H25" s="50">
        <v>0</v>
      </c>
      <c r="I25" s="50">
        <v>2</v>
      </c>
      <c r="J25" s="50">
        <v>0</v>
      </c>
      <c r="K25" s="50">
        <v>0</v>
      </c>
      <c r="L25" s="50">
        <v>0</v>
      </c>
      <c r="M25" s="50">
        <v>125</v>
      </c>
      <c r="N25" s="50">
        <v>0</v>
      </c>
      <c r="O25" s="15">
        <f t="shared" si="0"/>
        <v>109</v>
      </c>
      <c r="P25" s="15">
        <f t="shared" si="1"/>
        <v>234</v>
      </c>
      <c r="R25" s="36" t="s">
        <v>149</v>
      </c>
      <c r="S25" s="34">
        <f>SUM(C70:C73)</f>
        <v>217</v>
      </c>
      <c r="T25" s="34">
        <f t="shared" ref="T25:AF25" si="17">SUM(D70:D73)</f>
        <v>34</v>
      </c>
      <c r="U25" s="34">
        <f t="shared" si="17"/>
        <v>10</v>
      </c>
      <c r="V25" s="34">
        <f t="shared" si="17"/>
        <v>27</v>
      </c>
      <c r="W25" s="34">
        <f t="shared" si="17"/>
        <v>0</v>
      </c>
      <c r="X25" s="34">
        <f t="shared" si="17"/>
        <v>0</v>
      </c>
      <c r="Y25" s="34">
        <f t="shared" si="17"/>
        <v>7</v>
      </c>
      <c r="Z25" s="34">
        <f t="shared" si="17"/>
        <v>0</v>
      </c>
      <c r="AA25" s="34">
        <f t="shared" si="17"/>
        <v>0</v>
      </c>
      <c r="AB25" s="34">
        <f t="shared" si="17"/>
        <v>0</v>
      </c>
      <c r="AC25" s="34">
        <f t="shared" si="17"/>
        <v>266</v>
      </c>
      <c r="AD25" s="34">
        <f t="shared" si="17"/>
        <v>0</v>
      </c>
      <c r="AE25" s="31">
        <f t="shared" si="17"/>
        <v>295</v>
      </c>
      <c r="AF25" s="31">
        <f t="shared" si="17"/>
        <v>561</v>
      </c>
    </row>
    <row r="26" spans="2:32" ht="23.1" customHeight="1">
      <c r="B26" s="45" t="s">
        <v>53</v>
      </c>
      <c r="C26" s="50">
        <v>60</v>
      </c>
      <c r="D26" s="50">
        <v>13</v>
      </c>
      <c r="E26" s="50">
        <v>17</v>
      </c>
      <c r="F26" s="50">
        <v>13</v>
      </c>
      <c r="G26" s="50">
        <v>0</v>
      </c>
      <c r="H26" s="50">
        <v>0</v>
      </c>
      <c r="I26" s="50">
        <v>3</v>
      </c>
      <c r="J26" s="50">
        <v>0</v>
      </c>
      <c r="K26" s="50">
        <v>2</v>
      </c>
      <c r="L26" s="50">
        <v>0</v>
      </c>
      <c r="M26" s="50">
        <v>85</v>
      </c>
      <c r="N26" s="50">
        <v>0</v>
      </c>
      <c r="O26" s="15">
        <f t="shared" si="0"/>
        <v>108</v>
      </c>
      <c r="P26" s="15">
        <f t="shared" si="1"/>
        <v>193</v>
      </c>
      <c r="R26" s="36" t="s">
        <v>150</v>
      </c>
      <c r="S26" s="34">
        <f>SUM(C74:C77)</f>
        <v>211</v>
      </c>
      <c r="T26" s="34">
        <f t="shared" ref="T26:AF26" si="18">SUM(D74:D77)</f>
        <v>50</v>
      </c>
      <c r="U26" s="34">
        <f t="shared" si="18"/>
        <v>10</v>
      </c>
      <c r="V26" s="34">
        <f t="shared" si="18"/>
        <v>19</v>
      </c>
      <c r="W26" s="34">
        <f t="shared" si="18"/>
        <v>1</v>
      </c>
      <c r="X26" s="34">
        <f t="shared" si="18"/>
        <v>0</v>
      </c>
      <c r="Y26" s="34">
        <f t="shared" si="18"/>
        <v>11</v>
      </c>
      <c r="Z26" s="34">
        <f t="shared" si="18"/>
        <v>0</v>
      </c>
      <c r="AA26" s="34">
        <f t="shared" si="18"/>
        <v>0</v>
      </c>
      <c r="AB26" s="34">
        <f t="shared" si="18"/>
        <v>0</v>
      </c>
      <c r="AC26" s="34">
        <f t="shared" si="18"/>
        <v>242</v>
      </c>
      <c r="AD26" s="34">
        <f t="shared" si="18"/>
        <v>0</v>
      </c>
      <c r="AE26" s="31">
        <f t="shared" si="18"/>
        <v>302</v>
      </c>
      <c r="AF26" s="31">
        <f t="shared" si="18"/>
        <v>544</v>
      </c>
    </row>
    <row r="27" spans="2:32" ht="23.1" customHeight="1">
      <c r="B27" s="45" t="s">
        <v>54</v>
      </c>
      <c r="C27" s="50">
        <v>40</v>
      </c>
      <c r="D27" s="50">
        <v>19</v>
      </c>
      <c r="E27" s="50">
        <v>14</v>
      </c>
      <c r="F27" s="50">
        <v>10</v>
      </c>
      <c r="G27" s="50">
        <v>0</v>
      </c>
      <c r="H27" s="50">
        <v>0</v>
      </c>
      <c r="I27" s="50">
        <v>4</v>
      </c>
      <c r="J27" s="50">
        <v>1</v>
      </c>
      <c r="K27" s="50">
        <v>1</v>
      </c>
      <c r="L27" s="50">
        <v>0</v>
      </c>
      <c r="M27" s="50">
        <v>100</v>
      </c>
      <c r="N27" s="50">
        <v>0</v>
      </c>
      <c r="O27" s="15">
        <f t="shared" si="0"/>
        <v>89</v>
      </c>
      <c r="P27" s="15">
        <f t="shared" si="1"/>
        <v>189</v>
      </c>
      <c r="R27" s="36" t="s">
        <v>151</v>
      </c>
      <c r="S27" s="34">
        <f>SUM(C78:C81)</f>
        <v>188</v>
      </c>
      <c r="T27" s="34">
        <f t="shared" ref="T27:AF27" si="19">SUM(D78:D81)</f>
        <v>37</v>
      </c>
      <c r="U27" s="34">
        <f t="shared" si="19"/>
        <v>9</v>
      </c>
      <c r="V27" s="34">
        <f t="shared" si="19"/>
        <v>14</v>
      </c>
      <c r="W27" s="34">
        <f t="shared" si="19"/>
        <v>0</v>
      </c>
      <c r="X27" s="34">
        <f t="shared" si="19"/>
        <v>0</v>
      </c>
      <c r="Y27" s="34">
        <f t="shared" si="19"/>
        <v>6</v>
      </c>
      <c r="Z27" s="34">
        <f t="shared" si="19"/>
        <v>0</v>
      </c>
      <c r="AA27" s="34">
        <f t="shared" si="19"/>
        <v>0</v>
      </c>
      <c r="AB27" s="34">
        <f t="shared" si="19"/>
        <v>0</v>
      </c>
      <c r="AC27" s="34">
        <f t="shared" si="19"/>
        <v>142</v>
      </c>
      <c r="AD27" s="34">
        <f t="shared" si="19"/>
        <v>0</v>
      </c>
      <c r="AE27" s="31">
        <f t="shared" si="19"/>
        <v>254</v>
      </c>
      <c r="AF27" s="31">
        <f t="shared" si="19"/>
        <v>396</v>
      </c>
    </row>
    <row r="28" spans="2:32" ht="23.1" customHeight="1">
      <c r="B28" s="45" t="s">
        <v>55</v>
      </c>
      <c r="C28" s="50">
        <v>80</v>
      </c>
      <c r="D28" s="50">
        <v>17</v>
      </c>
      <c r="E28" s="50">
        <v>6</v>
      </c>
      <c r="F28" s="50">
        <v>13</v>
      </c>
      <c r="G28" s="50">
        <v>0</v>
      </c>
      <c r="H28" s="50">
        <v>0</v>
      </c>
      <c r="I28" s="50">
        <v>5</v>
      </c>
      <c r="J28" s="50">
        <v>0</v>
      </c>
      <c r="K28" s="50">
        <v>0</v>
      </c>
      <c r="L28" s="50">
        <v>0</v>
      </c>
      <c r="M28" s="50">
        <v>92</v>
      </c>
      <c r="N28" s="50">
        <v>0</v>
      </c>
      <c r="O28" s="15">
        <f t="shared" si="0"/>
        <v>121</v>
      </c>
      <c r="P28" s="15">
        <f t="shared" si="1"/>
        <v>213</v>
      </c>
      <c r="R28" s="36" t="s">
        <v>152</v>
      </c>
      <c r="S28" s="34">
        <f>SUM(C82:C85)</f>
        <v>166</v>
      </c>
      <c r="T28" s="34">
        <f t="shared" ref="T28:AF28" si="20">SUM(D82:D85)</f>
        <v>31</v>
      </c>
      <c r="U28" s="34">
        <f t="shared" si="20"/>
        <v>4</v>
      </c>
      <c r="V28" s="34">
        <f t="shared" si="20"/>
        <v>0</v>
      </c>
      <c r="W28" s="34">
        <f t="shared" si="20"/>
        <v>0</v>
      </c>
      <c r="X28" s="34">
        <f t="shared" si="20"/>
        <v>0</v>
      </c>
      <c r="Y28" s="34">
        <f t="shared" si="20"/>
        <v>4</v>
      </c>
      <c r="Z28" s="34">
        <f t="shared" si="20"/>
        <v>0</v>
      </c>
      <c r="AA28" s="34">
        <f t="shared" si="20"/>
        <v>0</v>
      </c>
      <c r="AB28" s="34">
        <f t="shared" si="20"/>
        <v>0</v>
      </c>
      <c r="AC28" s="34">
        <f t="shared" si="20"/>
        <v>141</v>
      </c>
      <c r="AD28" s="34">
        <f t="shared" si="20"/>
        <v>0</v>
      </c>
      <c r="AE28" s="31">
        <f t="shared" si="20"/>
        <v>205</v>
      </c>
      <c r="AF28" s="31">
        <f t="shared" si="20"/>
        <v>346</v>
      </c>
    </row>
    <row r="29" spans="2:32" ht="23.1" customHeight="1">
      <c r="B29" s="45" t="s">
        <v>56</v>
      </c>
      <c r="C29" s="50">
        <v>85</v>
      </c>
      <c r="D29" s="50">
        <v>15</v>
      </c>
      <c r="E29" s="50">
        <v>17</v>
      </c>
      <c r="F29" s="50">
        <v>13</v>
      </c>
      <c r="G29" s="50">
        <v>0</v>
      </c>
      <c r="H29" s="50">
        <v>0</v>
      </c>
      <c r="I29" s="50">
        <v>3</v>
      </c>
      <c r="J29" s="50">
        <v>0</v>
      </c>
      <c r="K29" s="50">
        <v>0</v>
      </c>
      <c r="L29" s="50">
        <v>0</v>
      </c>
      <c r="M29" s="50">
        <v>75</v>
      </c>
      <c r="N29" s="50">
        <v>0</v>
      </c>
      <c r="O29" s="15">
        <f t="shared" si="0"/>
        <v>133</v>
      </c>
      <c r="P29" s="15">
        <f t="shared" si="1"/>
        <v>208</v>
      </c>
      <c r="R29" s="36" t="s">
        <v>153</v>
      </c>
      <c r="S29" s="34">
        <f>SUM(C86:C89)</f>
        <v>103</v>
      </c>
      <c r="T29" s="34">
        <f t="shared" ref="T29:AF29" si="21">SUM(D86:D89)</f>
        <v>25</v>
      </c>
      <c r="U29" s="34">
        <f t="shared" si="21"/>
        <v>5</v>
      </c>
      <c r="V29" s="34">
        <f t="shared" si="21"/>
        <v>3</v>
      </c>
      <c r="W29" s="34">
        <f t="shared" si="21"/>
        <v>0</v>
      </c>
      <c r="X29" s="34">
        <f t="shared" si="21"/>
        <v>0</v>
      </c>
      <c r="Y29" s="34">
        <f t="shared" si="21"/>
        <v>0</v>
      </c>
      <c r="Z29" s="34">
        <f t="shared" si="21"/>
        <v>1</v>
      </c>
      <c r="AA29" s="34">
        <f t="shared" si="21"/>
        <v>0</v>
      </c>
      <c r="AB29" s="34">
        <f t="shared" si="21"/>
        <v>0</v>
      </c>
      <c r="AC29" s="34">
        <f t="shared" si="21"/>
        <v>98</v>
      </c>
      <c r="AD29" s="34">
        <f t="shared" si="21"/>
        <v>0</v>
      </c>
      <c r="AE29" s="31">
        <f t="shared" si="21"/>
        <v>137</v>
      </c>
      <c r="AF29" s="31">
        <f t="shared" si="21"/>
        <v>235</v>
      </c>
    </row>
    <row r="30" spans="2:32" ht="23.1" customHeight="1">
      <c r="B30" s="45" t="s">
        <v>57</v>
      </c>
      <c r="C30" s="50">
        <v>55</v>
      </c>
      <c r="D30" s="50">
        <v>18</v>
      </c>
      <c r="E30" s="50">
        <v>16</v>
      </c>
      <c r="F30" s="50">
        <v>10</v>
      </c>
      <c r="G30" s="50">
        <v>0</v>
      </c>
      <c r="H30" s="50">
        <v>0</v>
      </c>
      <c r="I30" s="50">
        <v>1</v>
      </c>
      <c r="J30" s="50">
        <v>0</v>
      </c>
      <c r="K30" s="50">
        <v>1</v>
      </c>
      <c r="L30" s="50">
        <v>0</v>
      </c>
      <c r="M30" s="50">
        <v>60</v>
      </c>
      <c r="N30" s="50">
        <v>0</v>
      </c>
      <c r="O30" s="15">
        <f t="shared" si="0"/>
        <v>101</v>
      </c>
      <c r="P30" s="15">
        <f t="shared" si="1"/>
        <v>161</v>
      </c>
      <c r="R30" s="36" t="s">
        <v>154</v>
      </c>
      <c r="S30" s="34">
        <f>SUM(C90:C93)</f>
        <v>115</v>
      </c>
      <c r="T30" s="34">
        <f t="shared" ref="T30:AF30" si="22">SUM(D90:D93)</f>
        <v>24</v>
      </c>
      <c r="U30" s="34">
        <f t="shared" si="22"/>
        <v>4</v>
      </c>
      <c r="V30" s="34">
        <f t="shared" si="22"/>
        <v>2</v>
      </c>
      <c r="W30" s="34">
        <f t="shared" si="22"/>
        <v>0</v>
      </c>
      <c r="X30" s="34">
        <f t="shared" si="22"/>
        <v>0</v>
      </c>
      <c r="Y30" s="34">
        <f t="shared" si="22"/>
        <v>1</v>
      </c>
      <c r="Z30" s="34">
        <f t="shared" si="22"/>
        <v>0</v>
      </c>
      <c r="AA30" s="34">
        <f t="shared" si="22"/>
        <v>0</v>
      </c>
      <c r="AB30" s="34">
        <f t="shared" si="22"/>
        <v>0</v>
      </c>
      <c r="AC30" s="34">
        <f t="shared" si="22"/>
        <v>86</v>
      </c>
      <c r="AD30" s="34">
        <f t="shared" si="22"/>
        <v>0</v>
      </c>
      <c r="AE30" s="31">
        <f t="shared" si="22"/>
        <v>146</v>
      </c>
      <c r="AF30" s="31">
        <f t="shared" si="22"/>
        <v>232</v>
      </c>
    </row>
    <row r="31" spans="2:32" ht="23.1" customHeight="1">
      <c r="B31" s="46" t="s">
        <v>58</v>
      </c>
      <c r="C31" s="50">
        <v>65</v>
      </c>
      <c r="D31" s="50">
        <v>15</v>
      </c>
      <c r="E31" s="50">
        <v>16</v>
      </c>
      <c r="F31" s="50">
        <v>7</v>
      </c>
      <c r="G31" s="50">
        <v>0</v>
      </c>
      <c r="H31" s="50">
        <v>0</v>
      </c>
      <c r="I31" s="50">
        <v>2</v>
      </c>
      <c r="J31" s="50">
        <v>2</v>
      </c>
      <c r="K31" s="50">
        <v>0</v>
      </c>
      <c r="L31" s="50">
        <v>0</v>
      </c>
      <c r="M31" s="50">
        <v>100</v>
      </c>
      <c r="N31" s="50">
        <v>0</v>
      </c>
      <c r="O31" s="15">
        <f t="shared" si="0"/>
        <v>107</v>
      </c>
      <c r="P31" s="15">
        <f t="shared" si="1"/>
        <v>207</v>
      </c>
      <c r="R31" s="36" t="s">
        <v>155</v>
      </c>
      <c r="S31" s="34">
        <f>SUM(C94:C97)</f>
        <v>131</v>
      </c>
      <c r="T31" s="34">
        <f t="shared" ref="T31:AF31" si="23">SUM(D94:D97)</f>
        <v>16</v>
      </c>
      <c r="U31" s="34">
        <f t="shared" si="23"/>
        <v>4</v>
      </c>
      <c r="V31" s="34">
        <f t="shared" si="23"/>
        <v>1</v>
      </c>
      <c r="W31" s="34">
        <f t="shared" si="23"/>
        <v>0</v>
      </c>
      <c r="X31" s="34">
        <f t="shared" si="23"/>
        <v>0</v>
      </c>
      <c r="Y31" s="34">
        <f t="shared" si="23"/>
        <v>1</v>
      </c>
      <c r="Z31" s="34">
        <f t="shared" si="23"/>
        <v>0</v>
      </c>
      <c r="AA31" s="34">
        <f t="shared" si="23"/>
        <v>0</v>
      </c>
      <c r="AB31" s="34">
        <f t="shared" si="23"/>
        <v>0</v>
      </c>
      <c r="AC31" s="34">
        <f t="shared" si="23"/>
        <v>100</v>
      </c>
      <c r="AD31" s="34">
        <f t="shared" si="23"/>
        <v>0</v>
      </c>
      <c r="AE31" s="31">
        <f t="shared" si="23"/>
        <v>153</v>
      </c>
      <c r="AF31" s="31">
        <f t="shared" si="23"/>
        <v>253</v>
      </c>
    </row>
    <row r="32" spans="2:32" ht="23.1" customHeight="1">
      <c r="B32" s="46" t="s">
        <v>59</v>
      </c>
      <c r="C32" s="50">
        <v>60</v>
      </c>
      <c r="D32" s="50">
        <v>17</v>
      </c>
      <c r="E32" s="50">
        <v>12</v>
      </c>
      <c r="F32" s="50">
        <v>6</v>
      </c>
      <c r="G32" s="50">
        <v>0</v>
      </c>
      <c r="H32" s="50">
        <v>0</v>
      </c>
      <c r="I32" s="50">
        <v>4</v>
      </c>
      <c r="J32" s="50">
        <v>1</v>
      </c>
      <c r="K32" s="50">
        <v>0</v>
      </c>
      <c r="L32" s="50">
        <v>0</v>
      </c>
      <c r="M32" s="50">
        <v>50</v>
      </c>
      <c r="N32" s="50">
        <v>0</v>
      </c>
      <c r="O32" s="15">
        <f t="shared" si="0"/>
        <v>100</v>
      </c>
      <c r="P32" s="15">
        <f t="shared" si="1"/>
        <v>150</v>
      </c>
      <c r="R32" s="33" t="s">
        <v>156</v>
      </c>
      <c r="S32" s="34">
        <f>SUM(C98:C101)</f>
        <v>96</v>
      </c>
      <c r="T32" s="34">
        <f t="shared" ref="T32:AF32" si="24">SUM(D98:D101)</f>
        <v>12</v>
      </c>
      <c r="U32" s="34">
        <f t="shared" si="24"/>
        <v>11</v>
      </c>
      <c r="V32" s="34">
        <f t="shared" si="24"/>
        <v>14</v>
      </c>
      <c r="W32" s="34">
        <f t="shared" si="24"/>
        <v>0</v>
      </c>
      <c r="X32" s="34">
        <f t="shared" si="24"/>
        <v>0</v>
      </c>
      <c r="Y32" s="34">
        <f t="shared" si="24"/>
        <v>6</v>
      </c>
      <c r="Z32" s="34">
        <f t="shared" si="24"/>
        <v>1</v>
      </c>
      <c r="AA32" s="34">
        <f t="shared" si="24"/>
        <v>0</v>
      </c>
      <c r="AB32" s="34">
        <f t="shared" si="24"/>
        <v>0</v>
      </c>
      <c r="AC32" s="34">
        <f t="shared" si="24"/>
        <v>68</v>
      </c>
      <c r="AD32" s="34">
        <f t="shared" si="24"/>
        <v>0</v>
      </c>
      <c r="AE32" s="31">
        <f t="shared" si="24"/>
        <v>140</v>
      </c>
      <c r="AF32" s="31">
        <f t="shared" si="24"/>
        <v>208</v>
      </c>
    </row>
    <row r="33" spans="2:32" ht="23.1" customHeight="1">
      <c r="B33" s="45" t="s">
        <v>60</v>
      </c>
      <c r="C33" s="50">
        <v>50</v>
      </c>
      <c r="D33" s="50">
        <v>14</v>
      </c>
      <c r="E33" s="50">
        <v>17</v>
      </c>
      <c r="F33" s="50">
        <v>15</v>
      </c>
      <c r="G33" s="50">
        <v>0</v>
      </c>
      <c r="H33" s="50">
        <v>0</v>
      </c>
      <c r="I33" s="50">
        <v>7</v>
      </c>
      <c r="J33" s="50">
        <v>0</v>
      </c>
      <c r="K33" s="50">
        <v>1</v>
      </c>
      <c r="L33" s="50">
        <v>0</v>
      </c>
      <c r="M33" s="50">
        <v>74</v>
      </c>
      <c r="N33" s="50">
        <v>0</v>
      </c>
      <c r="O33" s="15">
        <f t="shared" si="0"/>
        <v>104</v>
      </c>
      <c r="P33" s="15">
        <f t="shared" si="1"/>
        <v>178</v>
      </c>
      <c r="R33" s="33" t="s">
        <v>157</v>
      </c>
      <c r="S33" s="34">
        <f>SUM(C102:C105)</f>
        <v>132</v>
      </c>
      <c r="T33" s="34">
        <f t="shared" ref="T33:AF33" si="25">SUM(D102:D105)</f>
        <v>28</v>
      </c>
      <c r="U33" s="34">
        <f t="shared" si="25"/>
        <v>4</v>
      </c>
      <c r="V33" s="34">
        <f t="shared" si="25"/>
        <v>27</v>
      </c>
      <c r="W33" s="34">
        <f t="shared" si="25"/>
        <v>0</v>
      </c>
      <c r="X33" s="34">
        <f t="shared" si="25"/>
        <v>0</v>
      </c>
      <c r="Y33" s="34">
        <f t="shared" si="25"/>
        <v>4</v>
      </c>
      <c r="Z33" s="34">
        <f t="shared" si="25"/>
        <v>0</v>
      </c>
      <c r="AA33" s="34">
        <f t="shared" si="25"/>
        <v>1</v>
      </c>
      <c r="AB33" s="34">
        <f t="shared" si="25"/>
        <v>0</v>
      </c>
      <c r="AC33" s="34">
        <f t="shared" si="25"/>
        <v>127</v>
      </c>
      <c r="AD33" s="34">
        <f t="shared" si="25"/>
        <v>0</v>
      </c>
      <c r="AE33" s="31">
        <f t="shared" si="25"/>
        <v>196</v>
      </c>
      <c r="AF33" s="31">
        <f t="shared" si="25"/>
        <v>323</v>
      </c>
    </row>
    <row r="34" spans="2:32" ht="23.1" customHeight="1">
      <c r="B34" s="46" t="s">
        <v>61</v>
      </c>
      <c r="C34" s="50">
        <v>65</v>
      </c>
      <c r="D34" s="50">
        <v>13</v>
      </c>
      <c r="E34" s="50">
        <v>5</v>
      </c>
      <c r="F34" s="50">
        <v>11</v>
      </c>
      <c r="G34" s="50">
        <v>0</v>
      </c>
      <c r="H34" s="50">
        <v>0</v>
      </c>
      <c r="I34" s="50">
        <v>8</v>
      </c>
      <c r="J34" s="50">
        <v>0</v>
      </c>
      <c r="K34" s="50">
        <v>0</v>
      </c>
      <c r="L34" s="50">
        <v>2</v>
      </c>
      <c r="M34" s="50">
        <v>80</v>
      </c>
      <c r="N34" s="50">
        <v>0</v>
      </c>
      <c r="O34" s="15">
        <f t="shared" si="0"/>
        <v>104</v>
      </c>
      <c r="P34" s="15">
        <f t="shared" si="1"/>
        <v>184</v>
      </c>
      <c r="R34" s="38" t="s">
        <v>90</v>
      </c>
      <c r="S34" s="39">
        <f t="shared" ref="S34:AF34" si="26">MAX(S10:S12)</f>
        <v>510</v>
      </c>
      <c r="T34" s="39">
        <f t="shared" si="26"/>
        <v>63</v>
      </c>
      <c r="U34" s="39">
        <f t="shared" si="26"/>
        <v>29</v>
      </c>
      <c r="V34" s="39">
        <f t="shared" si="26"/>
        <v>84</v>
      </c>
      <c r="W34" s="39">
        <f t="shared" si="26"/>
        <v>0</v>
      </c>
      <c r="X34" s="39">
        <f t="shared" si="26"/>
        <v>0</v>
      </c>
      <c r="Y34" s="39">
        <f t="shared" si="26"/>
        <v>15</v>
      </c>
      <c r="Z34" s="39">
        <f t="shared" si="26"/>
        <v>2</v>
      </c>
      <c r="AA34" s="39">
        <f t="shared" si="26"/>
        <v>3</v>
      </c>
      <c r="AB34" s="39">
        <f t="shared" si="26"/>
        <v>0</v>
      </c>
      <c r="AC34" s="39">
        <f t="shared" si="26"/>
        <v>384</v>
      </c>
      <c r="AD34" s="39">
        <f t="shared" si="26"/>
        <v>0</v>
      </c>
      <c r="AE34" s="40">
        <f t="shared" si="26"/>
        <v>692</v>
      </c>
      <c r="AF34" s="40">
        <f t="shared" si="26"/>
        <v>1076</v>
      </c>
    </row>
    <row r="35" spans="2:32" ht="23.1" customHeight="1">
      <c r="B35" s="46" t="s">
        <v>62</v>
      </c>
      <c r="C35" s="50">
        <v>60</v>
      </c>
      <c r="D35" s="50">
        <v>8</v>
      </c>
      <c r="E35" s="50">
        <v>5</v>
      </c>
      <c r="F35" s="50">
        <v>7</v>
      </c>
      <c r="G35" s="50">
        <v>0</v>
      </c>
      <c r="H35" s="50">
        <v>0</v>
      </c>
      <c r="I35" s="50">
        <v>7</v>
      </c>
      <c r="J35" s="50">
        <v>0</v>
      </c>
      <c r="K35" s="50">
        <v>0</v>
      </c>
      <c r="L35" s="50">
        <v>0</v>
      </c>
      <c r="M35" s="50">
        <v>75</v>
      </c>
      <c r="N35" s="50">
        <v>0</v>
      </c>
      <c r="O35" s="15">
        <f t="shared" si="0"/>
        <v>87</v>
      </c>
      <c r="P35" s="15">
        <f t="shared" si="1"/>
        <v>162</v>
      </c>
      <c r="R35" s="38" t="s">
        <v>91</v>
      </c>
      <c r="S35" s="39">
        <f t="shared" ref="S35:AF35" si="27">MAX(S13:S18)</f>
        <v>310</v>
      </c>
      <c r="T35" s="39">
        <f t="shared" si="27"/>
        <v>64</v>
      </c>
      <c r="U35" s="39">
        <f t="shared" si="27"/>
        <v>61</v>
      </c>
      <c r="V35" s="39">
        <f t="shared" si="27"/>
        <v>53</v>
      </c>
      <c r="W35" s="39">
        <f t="shared" si="27"/>
        <v>1</v>
      </c>
      <c r="X35" s="39">
        <f t="shared" si="27"/>
        <v>0</v>
      </c>
      <c r="Y35" s="39">
        <f t="shared" si="27"/>
        <v>22</v>
      </c>
      <c r="Z35" s="39">
        <f t="shared" si="27"/>
        <v>5</v>
      </c>
      <c r="AA35" s="39">
        <f t="shared" si="27"/>
        <v>3</v>
      </c>
      <c r="AB35" s="39">
        <f t="shared" si="27"/>
        <v>2</v>
      </c>
      <c r="AC35" s="39">
        <f t="shared" si="27"/>
        <v>385</v>
      </c>
      <c r="AD35" s="39">
        <f t="shared" si="27"/>
        <v>0</v>
      </c>
      <c r="AE35" s="40">
        <f t="shared" si="27"/>
        <v>476</v>
      </c>
      <c r="AF35" s="40">
        <f t="shared" si="27"/>
        <v>861</v>
      </c>
    </row>
    <row r="36" spans="2:32" ht="23.1" customHeight="1">
      <c r="B36" s="46" t="s">
        <v>63</v>
      </c>
      <c r="C36" s="50">
        <v>75</v>
      </c>
      <c r="D36" s="50">
        <v>9</v>
      </c>
      <c r="E36" s="50">
        <v>12</v>
      </c>
      <c r="F36" s="50">
        <v>5</v>
      </c>
      <c r="G36" s="50">
        <v>0</v>
      </c>
      <c r="H36" s="50">
        <v>0</v>
      </c>
      <c r="I36" s="50">
        <v>2</v>
      </c>
      <c r="J36" s="50">
        <v>0</v>
      </c>
      <c r="K36" s="50">
        <v>1</v>
      </c>
      <c r="L36" s="50">
        <v>0</v>
      </c>
      <c r="M36" s="50">
        <v>64</v>
      </c>
      <c r="N36" s="50">
        <v>0</v>
      </c>
      <c r="O36" s="15">
        <f t="shared" si="0"/>
        <v>104</v>
      </c>
      <c r="P36" s="15">
        <f t="shared" si="1"/>
        <v>168</v>
      </c>
      <c r="R36" s="38" t="s">
        <v>92</v>
      </c>
      <c r="S36" s="39">
        <f t="shared" ref="S36:AF36" si="28">MAX(S19:S21)</f>
        <v>275</v>
      </c>
      <c r="T36" s="39">
        <f t="shared" si="28"/>
        <v>38</v>
      </c>
      <c r="U36" s="39">
        <f t="shared" si="28"/>
        <v>31</v>
      </c>
      <c r="V36" s="39">
        <f t="shared" si="28"/>
        <v>50</v>
      </c>
      <c r="W36" s="39">
        <f t="shared" si="28"/>
        <v>1</v>
      </c>
      <c r="X36" s="39">
        <f t="shared" si="28"/>
        <v>0</v>
      </c>
      <c r="Y36" s="39">
        <f t="shared" si="28"/>
        <v>23</v>
      </c>
      <c r="Z36" s="39">
        <f t="shared" si="28"/>
        <v>4</v>
      </c>
      <c r="AA36" s="39">
        <f t="shared" si="28"/>
        <v>1</v>
      </c>
      <c r="AB36" s="39">
        <f t="shared" si="28"/>
        <v>0</v>
      </c>
      <c r="AC36" s="39">
        <f t="shared" si="28"/>
        <v>320</v>
      </c>
      <c r="AD36" s="39">
        <f t="shared" si="28"/>
        <v>0</v>
      </c>
      <c r="AE36" s="40">
        <f t="shared" si="28"/>
        <v>413</v>
      </c>
      <c r="AF36" s="40">
        <f t="shared" si="28"/>
        <v>676</v>
      </c>
    </row>
    <row r="37" spans="2:32" ht="23.1" customHeight="1">
      <c r="B37" s="45" t="s">
        <v>64</v>
      </c>
      <c r="C37" s="50">
        <v>80</v>
      </c>
      <c r="D37" s="50">
        <v>10</v>
      </c>
      <c r="E37" s="50">
        <v>8</v>
      </c>
      <c r="F37" s="50">
        <v>12</v>
      </c>
      <c r="G37" s="50">
        <v>0</v>
      </c>
      <c r="H37" s="50">
        <v>0</v>
      </c>
      <c r="I37" s="50">
        <v>5</v>
      </c>
      <c r="J37" s="50">
        <v>0</v>
      </c>
      <c r="K37" s="50">
        <v>0</v>
      </c>
      <c r="L37" s="50">
        <v>0</v>
      </c>
      <c r="M37" s="50">
        <v>57</v>
      </c>
      <c r="N37" s="50">
        <v>0</v>
      </c>
      <c r="O37" s="15">
        <f t="shared" si="0"/>
        <v>115</v>
      </c>
      <c r="P37" s="15">
        <f t="shared" si="1"/>
        <v>172</v>
      </c>
      <c r="R37" s="37" t="s">
        <v>85</v>
      </c>
      <c r="S37" s="35">
        <f t="shared" ref="S37:AF37" si="29">SUM(S10:S12)</f>
        <v>1245</v>
      </c>
      <c r="T37" s="16">
        <f t="shared" si="29"/>
        <v>162</v>
      </c>
      <c r="U37" s="16">
        <f t="shared" si="29"/>
        <v>81</v>
      </c>
      <c r="V37" s="16">
        <f t="shared" si="29"/>
        <v>199</v>
      </c>
      <c r="W37" s="16">
        <f t="shared" si="29"/>
        <v>0</v>
      </c>
      <c r="X37" s="16">
        <f t="shared" si="29"/>
        <v>0</v>
      </c>
      <c r="Y37" s="16">
        <f t="shared" si="29"/>
        <v>40</v>
      </c>
      <c r="Z37" s="16">
        <f t="shared" si="29"/>
        <v>3</v>
      </c>
      <c r="AA37" s="16">
        <f t="shared" si="29"/>
        <v>3</v>
      </c>
      <c r="AB37" s="16">
        <f t="shared" si="29"/>
        <v>0</v>
      </c>
      <c r="AC37" s="16">
        <f t="shared" si="29"/>
        <v>1030</v>
      </c>
      <c r="AD37" s="16">
        <f t="shared" si="29"/>
        <v>0</v>
      </c>
      <c r="AE37" s="32">
        <f t="shared" si="29"/>
        <v>1733</v>
      </c>
      <c r="AF37" s="32">
        <f t="shared" si="29"/>
        <v>2763</v>
      </c>
    </row>
    <row r="38" spans="2:32" ht="23.1" customHeight="1">
      <c r="B38" s="46" t="s">
        <v>65</v>
      </c>
      <c r="C38" s="50">
        <v>75</v>
      </c>
      <c r="D38" s="50">
        <v>13</v>
      </c>
      <c r="E38" s="50">
        <v>10</v>
      </c>
      <c r="F38" s="50">
        <v>15</v>
      </c>
      <c r="G38" s="50">
        <v>0</v>
      </c>
      <c r="H38" s="50">
        <v>0</v>
      </c>
      <c r="I38" s="50">
        <v>3</v>
      </c>
      <c r="J38" s="50">
        <v>0</v>
      </c>
      <c r="K38" s="50">
        <v>0</v>
      </c>
      <c r="L38" s="50">
        <v>0</v>
      </c>
      <c r="M38" s="50">
        <v>80</v>
      </c>
      <c r="N38" s="50">
        <v>0</v>
      </c>
      <c r="O38" s="15">
        <f t="shared" si="0"/>
        <v>116</v>
      </c>
      <c r="P38" s="15">
        <f t="shared" si="1"/>
        <v>196</v>
      </c>
      <c r="R38" s="28" t="s">
        <v>86</v>
      </c>
      <c r="S38" s="16">
        <f t="shared" ref="S38:AF38" si="30">SUM(S13:S18)</f>
        <v>1551</v>
      </c>
      <c r="T38" s="16">
        <f t="shared" si="30"/>
        <v>290</v>
      </c>
      <c r="U38" s="16">
        <f t="shared" si="30"/>
        <v>212</v>
      </c>
      <c r="V38" s="16">
        <f t="shared" si="30"/>
        <v>235</v>
      </c>
      <c r="W38" s="16">
        <f t="shared" si="30"/>
        <v>1</v>
      </c>
      <c r="X38" s="16">
        <f t="shared" si="30"/>
        <v>0</v>
      </c>
      <c r="Y38" s="16">
        <f t="shared" si="30"/>
        <v>104</v>
      </c>
      <c r="Z38" s="16">
        <f t="shared" si="30"/>
        <v>12</v>
      </c>
      <c r="AA38" s="16">
        <f t="shared" si="30"/>
        <v>7</v>
      </c>
      <c r="AB38" s="16">
        <f t="shared" si="30"/>
        <v>2</v>
      </c>
      <c r="AC38" s="16">
        <f t="shared" si="30"/>
        <v>1954</v>
      </c>
      <c r="AD38" s="16">
        <f t="shared" si="30"/>
        <v>0</v>
      </c>
      <c r="AE38" s="32">
        <f t="shared" si="30"/>
        <v>2414</v>
      </c>
      <c r="AF38" s="32">
        <f t="shared" si="30"/>
        <v>4368</v>
      </c>
    </row>
    <row r="39" spans="2:32" ht="23.1" customHeight="1">
      <c r="B39" s="46" t="s">
        <v>66</v>
      </c>
      <c r="C39" s="50">
        <v>70</v>
      </c>
      <c r="D39" s="50">
        <v>3</v>
      </c>
      <c r="E39" s="50">
        <v>2</v>
      </c>
      <c r="F39" s="50">
        <v>5</v>
      </c>
      <c r="G39" s="50">
        <v>0</v>
      </c>
      <c r="H39" s="50">
        <v>0</v>
      </c>
      <c r="I39" s="50">
        <v>6</v>
      </c>
      <c r="J39" s="50">
        <v>0</v>
      </c>
      <c r="K39" s="50">
        <v>0</v>
      </c>
      <c r="L39" s="50">
        <v>0</v>
      </c>
      <c r="M39" s="50">
        <v>75</v>
      </c>
      <c r="N39" s="50">
        <v>0</v>
      </c>
      <c r="O39" s="15">
        <f t="shared" si="0"/>
        <v>86</v>
      </c>
      <c r="P39" s="15">
        <f t="shared" si="1"/>
        <v>161</v>
      </c>
      <c r="R39" s="29" t="s">
        <v>87</v>
      </c>
      <c r="S39" s="16">
        <f t="shared" ref="S39:AF39" si="31">SUM(S19:S21)</f>
        <v>763</v>
      </c>
      <c r="T39" s="16">
        <f t="shared" si="31"/>
        <v>104</v>
      </c>
      <c r="U39" s="16">
        <f t="shared" si="31"/>
        <v>78</v>
      </c>
      <c r="V39" s="16">
        <f t="shared" si="31"/>
        <v>124</v>
      </c>
      <c r="W39" s="16">
        <f t="shared" si="31"/>
        <v>1</v>
      </c>
      <c r="X39" s="16">
        <f t="shared" si="31"/>
        <v>0</v>
      </c>
      <c r="Y39" s="16">
        <f t="shared" si="31"/>
        <v>60</v>
      </c>
      <c r="Z39" s="16">
        <f t="shared" si="31"/>
        <v>9</v>
      </c>
      <c r="AA39" s="16">
        <f t="shared" si="31"/>
        <v>3</v>
      </c>
      <c r="AB39" s="16">
        <f t="shared" si="31"/>
        <v>0</v>
      </c>
      <c r="AC39" s="16">
        <f t="shared" si="31"/>
        <v>870</v>
      </c>
      <c r="AD39" s="16">
        <f t="shared" si="31"/>
        <v>0</v>
      </c>
      <c r="AE39" s="32">
        <f t="shared" si="31"/>
        <v>1142</v>
      </c>
      <c r="AF39" s="32">
        <f t="shared" si="31"/>
        <v>2012</v>
      </c>
    </row>
    <row r="40" spans="2:32" ht="23.1" customHeight="1">
      <c r="B40" s="46" t="s">
        <v>67</v>
      </c>
      <c r="C40" s="50">
        <v>65</v>
      </c>
      <c r="D40" s="50">
        <v>6</v>
      </c>
      <c r="E40" s="50">
        <v>4</v>
      </c>
      <c r="F40" s="50">
        <v>3</v>
      </c>
      <c r="G40" s="50">
        <v>0</v>
      </c>
      <c r="H40" s="50">
        <v>0</v>
      </c>
      <c r="I40" s="50">
        <v>3</v>
      </c>
      <c r="J40" s="50">
        <v>0</v>
      </c>
      <c r="K40" s="50">
        <v>0</v>
      </c>
      <c r="L40" s="50">
        <v>0</v>
      </c>
      <c r="M40" s="50">
        <v>85</v>
      </c>
      <c r="N40" s="50">
        <v>0</v>
      </c>
      <c r="O40" s="15">
        <f t="shared" si="0"/>
        <v>81</v>
      </c>
      <c r="P40" s="15">
        <f t="shared" si="1"/>
        <v>166</v>
      </c>
      <c r="R40" s="5" t="s">
        <v>17</v>
      </c>
      <c r="S40" s="16">
        <f t="shared" ref="S40:AF40" si="32">SUM(S10:S21)</f>
        <v>3559</v>
      </c>
      <c r="T40" s="16">
        <f t="shared" si="32"/>
        <v>556</v>
      </c>
      <c r="U40" s="16">
        <f t="shared" si="32"/>
        <v>371</v>
      </c>
      <c r="V40" s="16">
        <f t="shared" si="32"/>
        <v>558</v>
      </c>
      <c r="W40" s="16">
        <f t="shared" si="32"/>
        <v>2</v>
      </c>
      <c r="X40" s="16">
        <f t="shared" si="32"/>
        <v>0</v>
      </c>
      <c r="Y40" s="16">
        <f t="shared" si="32"/>
        <v>204</v>
      </c>
      <c r="Z40" s="16">
        <f t="shared" si="32"/>
        <v>24</v>
      </c>
      <c r="AA40" s="16">
        <f t="shared" si="32"/>
        <v>13</v>
      </c>
      <c r="AB40" s="16">
        <f t="shared" si="32"/>
        <v>2</v>
      </c>
      <c r="AC40" s="16">
        <f t="shared" si="32"/>
        <v>3854</v>
      </c>
      <c r="AD40" s="16">
        <f t="shared" si="32"/>
        <v>0</v>
      </c>
      <c r="AE40" s="32">
        <f t="shared" si="32"/>
        <v>5289</v>
      </c>
      <c r="AF40" s="32">
        <f t="shared" si="32"/>
        <v>9143</v>
      </c>
    </row>
    <row r="41" spans="2:32" ht="23.1" customHeight="1">
      <c r="B41" s="45" t="s">
        <v>68</v>
      </c>
      <c r="C41" s="50">
        <v>60</v>
      </c>
      <c r="D41" s="50">
        <v>7</v>
      </c>
      <c r="E41" s="50">
        <v>5</v>
      </c>
      <c r="F41" s="50">
        <v>4</v>
      </c>
      <c r="G41" s="50">
        <v>0</v>
      </c>
      <c r="H41" s="50">
        <v>0</v>
      </c>
      <c r="I41" s="50">
        <v>4</v>
      </c>
      <c r="J41" s="50">
        <v>0</v>
      </c>
      <c r="K41" s="50">
        <v>0</v>
      </c>
      <c r="L41" s="50">
        <v>0</v>
      </c>
      <c r="M41" s="50">
        <v>80</v>
      </c>
      <c r="N41" s="50">
        <v>0</v>
      </c>
      <c r="O41" s="15">
        <f t="shared" si="0"/>
        <v>80</v>
      </c>
      <c r="P41" s="15">
        <f t="shared" si="1"/>
        <v>160</v>
      </c>
      <c r="R41" s="5" t="s">
        <v>159</v>
      </c>
      <c r="S41" s="16">
        <f>SUM(S10:S33)</f>
        <v>5722</v>
      </c>
      <c r="T41" s="16">
        <f t="shared" ref="T41:AF41" si="33">SUM(T10:T33)</f>
        <v>976</v>
      </c>
      <c r="U41" s="16">
        <f t="shared" si="33"/>
        <v>489</v>
      </c>
      <c r="V41" s="16">
        <f t="shared" si="33"/>
        <v>818</v>
      </c>
      <c r="W41" s="16">
        <f t="shared" si="33"/>
        <v>3</v>
      </c>
      <c r="X41" s="16">
        <f t="shared" si="33"/>
        <v>0</v>
      </c>
      <c r="Y41" s="16">
        <f t="shared" si="33"/>
        <v>286</v>
      </c>
      <c r="Z41" s="16">
        <f t="shared" si="33"/>
        <v>29</v>
      </c>
      <c r="AA41" s="16">
        <f t="shared" si="33"/>
        <v>15</v>
      </c>
      <c r="AB41" s="16">
        <f t="shared" si="33"/>
        <v>2</v>
      </c>
      <c r="AC41" s="16">
        <f t="shared" si="33"/>
        <v>6397</v>
      </c>
      <c r="AD41" s="16">
        <f t="shared" si="33"/>
        <v>0</v>
      </c>
      <c r="AE41" s="32">
        <f t="shared" si="33"/>
        <v>8340</v>
      </c>
      <c r="AF41" s="32">
        <f t="shared" si="33"/>
        <v>14737</v>
      </c>
    </row>
    <row r="42" spans="2:32" ht="23.1" customHeight="1">
      <c r="B42" s="46" t="s">
        <v>69</v>
      </c>
      <c r="C42" s="50">
        <v>45</v>
      </c>
      <c r="D42" s="50">
        <v>7</v>
      </c>
      <c r="E42" s="50">
        <v>2</v>
      </c>
      <c r="F42" s="50">
        <v>6</v>
      </c>
      <c r="G42" s="50">
        <v>0</v>
      </c>
      <c r="H42" s="50">
        <v>0</v>
      </c>
      <c r="I42" s="50">
        <v>3</v>
      </c>
      <c r="J42" s="50">
        <v>1</v>
      </c>
      <c r="K42" s="50">
        <v>0</v>
      </c>
      <c r="L42" s="50">
        <v>0</v>
      </c>
      <c r="M42" s="50">
        <v>85</v>
      </c>
      <c r="N42" s="50">
        <v>0</v>
      </c>
      <c r="O42" s="15">
        <f t="shared" si="0"/>
        <v>64</v>
      </c>
      <c r="P42" s="15">
        <f t="shared" si="1"/>
        <v>149</v>
      </c>
      <c r="R42" s="5" t="s">
        <v>160</v>
      </c>
      <c r="S42" s="48">
        <f>S41/S40</f>
        <v>1.6077549873559989</v>
      </c>
      <c r="T42" s="48">
        <f t="shared" ref="T42:AF42" si="34">T41/T40</f>
        <v>1.7553956834532374</v>
      </c>
      <c r="U42" s="48">
        <f t="shared" si="34"/>
        <v>1.3180592991913747</v>
      </c>
      <c r="V42" s="48">
        <f t="shared" si="34"/>
        <v>1.4659498207885304</v>
      </c>
      <c r="W42" s="48">
        <f t="shared" si="34"/>
        <v>1.5</v>
      </c>
      <c r="X42" s="48" t="e">
        <f t="shared" si="34"/>
        <v>#DIV/0!</v>
      </c>
      <c r="Y42" s="48">
        <f t="shared" si="34"/>
        <v>1.4019607843137254</v>
      </c>
      <c r="Z42" s="48">
        <f t="shared" si="34"/>
        <v>1.2083333333333333</v>
      </c>
      <c r="AA42" s="48">
        <f t="shared" si="34"/>
        <v>1.1538461538461537</v>
      </c>
      <c r="AB42" s="48">
        <f t="shared" si="34"/>
        <v>1</v>
      </c>
      <c r="AC42" s="48">
        <f t="shared" si="34"/>
        <v>1.6598339387649195</v>
      </c>
      <c r="AD42" s="48" t="e">
        <f t="shared" si="34"/>
        <v>#DIV/0!</v>
      </c>
      <c r="AE42" s="48">
        <f t="shared" si="34"/>
        <v>1.5768576290414067</v>
      </c>
      <c r="AF42" s="48">
        <f t="shared" si="34"/>
        <v>1.6118341900907798</v>
      </c>
    </row>
    <row r="43" spans="2:32" ht="23.1" customHeight="1">
      <c r="B43" s="45" t="s">
        <v>70</v>
      </c>
      <c r="C43" s="50">
        <v>35</v>
      </c>
      <c r="D43" s="50">
        <v>8</v>
      </c>
      <c r="E43" s="50">
        <v>6</v>
      </c>
      <c r="F43" s="50">
        <v>11</v>
      </c>
      <c r="G43" s="50">
        <v>0</v>
      </c>
      <c r="H43" s="50">
        <v>0</v>
      </c>
      <c r="I43" s="50">
        <v>4</v>
      </c>
      <c r="J43" s="50">
        <v>0</v>
      </c>
      <c r="K43" s="50">
        <v>0</v>
      </c>
      <c r="L43" s="50">
        <v>0</v>
      </c>
      <c r="M43" s="50">
        <v>100</v>
      </c>
      <c r="N43" s="50">
        <v>0</v>
      </c>
      <c r="O43" s="15">
        <f t="shared" si="0"/>
        <v>64</v>
      </c>
      <c r="P43" s="15">
        <f t="shared" si="1"/>
        <v>164</v>
      </c>
    </row>
    <row r="44" spans="2:32" ht="23.1" customHeight="1">
      <c r="B44" s="47" t="s">
        <v>71</v>
      </c>
      <c r="C44" s="50">
        <v>61</v>
      </c>
      <c r="D44" s="50">
        <v>9</v>
      </c>
      <c r="E44" s="50">
        <v>5</v>
      </c>
      <c r="F44" s="50">
        <v>9</v>
      </c>
      <c r="G44" s="50">
        <v>0</v>
      </c>
      <c r="H44" s="50">
        <v>0</v>
      </c>
      <c r="I44" s="50">
        <v>6</v>
      </c>
      <c r="J44" s="50">
        <v>1</v>
      </c>
      <c r="K44" s="50">
        <v>1</v>
      </c>
      <c r="L44" s="50">
        <v>0</v>
      </c>
      <c r="M44" s="50">
        <v>77</v>
      </c>
      <c r="N44" s="50">
        <v>0</v>
      </c>
      <c r="O44" s="15">
        <f t="shared" si="0"/>
        <v>92</v>
      </c>
      <c r="P44" s="15">
        <f t="shared" si="1"/>
        <v>169</v>
      </c>
    </row>
    <row r="45" spans="2:32" ht="23.1" customHeight="1">
      <c r="B45" s="45" t="s">
        <v>72</v>
      </c>
      <c r="C45" s="50">
        <v>55</v>
      </c>
      <c r="D45" s="50">
        <v>7</v>
      </c>
      <c r="E45" s="50">
        <v>5</v>
      </c>
      <c r="F45" s="50">
        <v>7</v>
      </c>
      <c r="G45" s="50">
        <v>0</v>
      </c>
      <c r="H45" s="50">
        <v>0</v>
      </c>
      <c r="I45" s="50">
        <v>5</v>
      </c>
      <c r="J45" s="50">
        <v>3</v>
      </c>
      <c r="K45" s="50">
        <v>0</v>
      </c>
      <c r="L45" s="50">
        <v>0</v>
      </c>
      <c r="M45" s="50">
        <v>75</v>
      </c>
      <c r="N45" s="50">
        <v>0</v>
      </c>
      <c r="O45" s="15">
        <f t="shared" si="0"/>
        <v>82</v>
      </c>
      <c r="P45" s="15">
        <f t="shared" si="1"/>
        <v>157</v>
      </c>
    </row>
    <row r="46" spans="2:32" ht="23.1" customHeight="1">
      <c r="B46" s="46" t="s">
        <v>73</v>
      </c>
      <c r="C46" s="50">
        <v>95</v>
      </c>
      <c r="D46" s="50">
        <v>3</v>
      </c>
      <c r="E46" s="50">
        <v>5</v>
      </c>
      <c r="F46" s="50">
        <v>11</v>
      </c>
      <c r="G46" s="50">
        <v>0</v>
      </c>
      <c r="H46" s="50">
        <v>0</v>
      </c>
      <c r="I46" s="50">
        <v>4</v>
      </c>
      <c r="J46" s="50">
        <v>0</v>
      </c>
      <c r="K46" s="50">
        <v>0</v>
      </c>
      <c r="L46" s="50">
        <v>0</v>
      </c>
      <c r="M46" s="50">
        <v>85</v>
      </c>
      <c r="N46" s="50">
        <v>0</v>
      </c>
      <c r="O46" s="15">
        <f t="shared" si="0"/>
        <v>118</v>
      </c>
      <c r="P46" s="15">
        <f t="shared" si="1"/>
        <v>203</v>
      </c>
      <c r="R46" s="8"/>
      <c r="T46"/>
    </row>
    <row r="47" spans="2:32" ht="23.1" customHeight="1">
      <c r="B47" s="46" t="s">
        <v>74</v>
      </c>
      <c r="C47" s="50">
        <v>70</v>
      </c>
      <c r="D47" s="50">
        <v>10</v>
      </c>
      <c r="E47" s="50">
        <v>9</v>
      </c>
      <c r="F47" s="50">
        <v>12</v>
      </c>
      <c r="G47" s="50">
        <v>0</v>
      </c>
      <c r="H47" s="50">
        <v>0</v>
      </c>
      <c r="I47" s="50">
        <v>5</v>
      </c>
      <c r="J47" s="50">
        <v>1</v>
      </c>
      <c r="K47" s="50">
        <v>1</v>
      </c>
      <c r="L47" s="50">
        <v>0</v>
      </c>
      <c r="M47" s="50">
        <v>60</v>
      </c>
      <c r="N47" s="50">
        <v>0</v>
      </c>
      <c r="O47" s="15">
        <f t="shared" si="0"/>
        <v>108</v>
      </c>
      <c r="P47" s="15">
        <f t="shared" si="1"/>
        <v>168</v>
      </c>
      <c r="R47" s="8"/>
      <c r="T47"/>
    </row>
    <row r="48" spans="2:32" ht="23.1" customHeight="1">
      <c r="B48" s="46" t="s">
        <v>75</v>
      </c>
      <c r="C48" s="50">
        <v>60</v>
      </c>
      <c r="D48" s="50">
        <v>8</v>
      </c>
      <c r="E48" s="50">
        <v>5</v>
      </c>
      <c r="F48" s="50">
        <v>4</v>
      </c>
      <c r="G48" s="50">
        <v>0</v>
      </c>
      <c r="H48" s="50">
        <v>0</v>
      </c>
      <c r="I48" s="50">
        <v>6</v>
      </c>
      <c r="J48" s="50">
        <v>1</v>
      </c>
      <c r="K48" s="50">
        <v>0</v>
      </c>
      <c r="L48" s="50">
        <v>0</v>
      </c>
      <c r="M48" s="50">
        <v>75</v>
      </c>
      <c r="N48" s="50">
        <v>0</v>
      </c>
      <c r="O48" s="15">
        <f t="shared" si="0"/>
        <v>84</v>
      </c>
      <c r="P48" s="15">
        <f t="shared" si="1"/>
        <v>159</v>
      </c>
      <c r="R48" s="8"/>
      <c r="T48"/>
    </row>
    <row r="49" spans="2:20" ht="23.1" customHeight="1">
      <c r="B49" s="45" t="s">
        <v>76</v>
      </c>
      <c r="C49" s="50">
        <v>50</v>
      </c>
      <c r="D49" s="50">
        <v>9</v>
      </c>
      <c r="E49" s="50">
        <v>2</v>
      </c>
      <c r="F49" s="50">
        <v>9</v>
      </c>
      <c r="G49" s="50">
        <v>0</v>
      </c>
      <c r="H49" s="50">
        <v>0</v>
      </c>
      <c r="I49" s="50">
        <v>6</v>
      </c>
      <c r="J49" s="50">
        <v>2</v>
      </c>
      <c r="K49" s="50">
        <v>0</v>
      </c>
      <c r="L49" s="50">
        <v>0</v>
      </c>
      <c r="M49" s="50">
        <v>68</v>
      </c>
      <c r="N49" s="50">
        <v>0</v>
      </c>
      <c r="O49" s="15">
        <f t="shared" si="0"/>
        <v>78</v>
      </c>
      <c r="P49" s="15">
        <f t="shared" si="1"/>
        <v>146</v>
      </c>
      <c r="R49" s="8"/>
      <c r="T49"/>
    </row>
    <row r="50" spans="2:20" ht="23.1" customHeight="1">
      <c r="B50" s="46" t="s">
        <v>77</v>
      </c>
      <c r="C50" s="50">
        <v>58</v>
      </c>
      <c r="D50" s="50">
        <v>5</v>
      </c>
      <c r="E50" s="50">
        <v>6</v>
      </c>
      <c r="F50" s="50">
        <v>8</v>
      </c>
      <c r="G50" s="50">
        <v>0</v>
      </c>
      <c r="H50" s="50">
        <v>0</v>
      </c>
      <c r="I50" s="50">
        <v>3</v>
      </c>
      <c r="J50" s="50">
        <v>1</v>
      </c>
      <c r="K50" s="50">
        <v>1</v>
      </c>
      <c r="L50" s="50">
        <v>0</v>
      </c>
      <c r="M50" s="50">
        <v>115</v>
      </c>
      <c r="N50" s="50">
        <v>0</v>
      </c>
      <c r="O50" s="15">
        <f t="shared" si="0"/>
        <v>82</v>
      </c>
      <c r="P50" s="15">
        <f t="shared" si="1"/>
        <v>197</v>
      </c>
      <c r="R50" s="8"/>
      <c r="T50"/>
    </row>
    <row r="51" spans="2:20" ht="23.1" customHeight="1">
      <c r="B51" s="46" t="s">
        <v>78</v>
      </c>
      <c r="C51" s="50">
        <v>60</v>
      </c>
      <c r="D51" s="50">
        <v>8</v>
      </c>
      <c r="E51" s="50">
        <v>8</v>
      </c>
      <c r="F51" s="50">
        <v>9</v>
      </c>
      <c r="G51" s="50">
        <v>0</v>
      </c>
      <c r="H51" s="50">
        <v>0</v>
      </c>
      <c r="I51" s="50">
        <v>6</v>
      </c>
      <c r="J51" s="50">
        <v>2</v>
      </c>
      <c r="K51" s="50">
        <v>0</v>
      </c>
      <c r="L51" s="50">
        <v>0</v>
      </c>
      <c r="M51" s="50">
        <v>70</v>
      </c>
      <c r="N51" s="50">
        <v>0</v>
      </c>
      <c r="O51" s="15">
        <f t="shared" si="0"/>
        <v>93</v>
      </c>
      <c r="P51" s="15">
        <f t="shared" si="1"/>
        <v>163</v>
      </c>
      <c r="R51" s="8"/>
      <c r="T51"/>
    </row>
    <row r="52" spans="2:20" ht="23.1" customHeight="1">
      <c r="B52" s="46" t="s">
        <v>79</v>
      </c>
      <c r="C52" s="50">
        <v>55</v>
      </c>
      <c r="D52" s="50">
        <v>12</v>
      </c>
      <c r="E52" s="50">
        <v>9</v>
      </c>
      <c r="F52" s="50">
        <v>13</v>
      </c>
      <c r="G52" s="50">
        <v>0</v>
      </c>
      <c r="H52" s="50">
        <v>0</v>
      </c>
      <c r="I52" s="50">
        <v>5</v>
      </c>
      <c r="J52" s="50">
        <v>1</v>
      </c>
      <c r="K52" s="50">
        <v>0</v>
      </c>
      <c r="L52" s="50">
        <v>0</v>
      </c>
      <c r="M52" s="50">
        <v>65</v>
      </c>
      <c r="N52" s="50">
        <v>0</v>
      </c>
      <c r="O52" s="15">
        <f t="shared" si="0"/>
        <v>95</v>
      </c>
      <c r="P52" s="15">
        <f t="shared" si="1"/>
        <v>160</v>
      </c>
      <c r="R52" s="8"/>
      <c r="T52"/>
    </row>
    <row r="53" spans="2:20" ht="23.1" customHeight="1">
      <c r="B53" s="45" t="s">
        <v>80</v>
      </c>
      <c r="C53" s="50">
        <v>42</v>
      </c>
      <c r="D53" s="50">
        <v>11</v>
      </c>
      <c r="E53" s="50">
        <v>8</v>
      </c>
      <c r="F53" s="50">
        <v>8</v>
      </c>
      <c r="G53" s="50">
        <v>0</v>
      </c>
      <c r="H53" s="50">
        <v>0</v>
      </c>
      <c r="I53" s="50">
        <v>2</v>
      </c>
      <c r="J53" s="50">
        <v>0</v>
      </c>
      <c r="K53" s="50">
        <v>0</v>
      </c>
      <c r="L53" s="50">
        <v>0</v>
      </c>
      <c r="M53" s="50">
        <v>70</v>
      </c>
      <c r="N53" s="50">
        <v>0</v>
      </c>
      <c r="O53" s="15">
        <f t="shared" si="0"/>
        <v>71</v>
      </c>
      <c r="P53" s="15">
        <f t="shared" si="1"/>
        <v>141</v>
      </c>
      <c r="R53" s="8"/>
      <c r="T53"/>
    </row>
    <row r="54" spans="2:20" ht="23.1" customHeight="1">
      <c r="B54" s="45" t="s">
        <v>81</v>
      </c>
      <c r="C54" s="50">
        <v>60</v>
      </c>
      <c r="D54" s="50">
        <v>10</v>
      </c>
      <c r="E54" s="50">
        <v>6</v>
      </c>
      <c r="F54" s="50">
        <v>14</v>
      </c>
      <c r="G54" s="50">
        <v>0</v>
      </c>
      <c r="H54" s="50">
        <v>0</v>
      </c>
      <c r="I54" s="50">
        <v>5</v>
      </c>
      <c r="J54" s="50">
        <v>0</v>
      </c>
      <c r="K54" s="50">
        <v>0</v>
      </c>
      <c r="L54" s="50">
        <v>0</v>
      </c>
      <c r="M54" s="50">
        <v>50</v>
      </c>
      <c r="N54" s="50">
        <v>0</v>
      </c>
      <c r="O54" s="15">
        <f t="shared" si="0"/>
        <v>95</v>
      </c>
      <c r="P54" s="15">
        <f t="shared" si="1"/>
        <v>145</v>
      </c>
      <c r="R54" s="8"/>
      <c r="T54"/>
    </row>
    <row r="55" spans="2:20" ht="23.1" customHeight="1">
      <c r="B55" s="45" t="s">
        <v>82</v>
      </c>
      <c r="C55" s="50">
        <v>76</v>
      </c>
      <c r="D55" s="50">
        <v>9</v>
      </c>
      <c r="E55" s="50">
        <v>10</v>
      </c>
      <c r="F55" s="50">
        <v>10</v>
      </c>
      <c r="G55" s="50">
        <v>0</v>
      </c>
      <c r="H55" s="50">
        <v>0</v>
      </c>
      <c r="I55" s="50">
        <v>7</v>
      </c>
      <c r="J55" s="50">
        <v>0</v>
      </c>
      <c r="K55" s="50">
        <v>1</v>
      </c>
      <c r="L55" s="50">
        <v>0</v>
      </c>
      <c r="M55" s="50">
        <v>60</v>
      </c>
      <c r="N55" s="50">
        <v>0</v>
      </c>
      <c r="O55" s="15">
        <f t="shared" si="0"/>
        <v>113</v>
      </c>
      <c r="P55" s="15">
        <f t="shared" si="1"/>
        <v>173</v>
      </c>
      <c r="R55" s="8"/>
      <c r="T55"/>
    </row>
    <row r="56" spans="2:20" ht="23.1" customHeight="1">
      <c r="B56" s="45" t="s">
        <v>83</v>
      </c>
      <c r="C56" s="50">
        <v>85</v>
      </c>
      <c r="D56" s="50">
        <v>6</v>
      </c>
      <c r="E56" s="50">
        <v>4</v>
      </c>
      <c r="F56" s="50">
        <v>11</v>
      </c>
      <c r="G56" s="50">
        <v>1</v>
      </c>
      <c r="H56" s="50">
        <v>0</v>
      </c>
      <c r="I56" s="50">
        <v>6</v>
      </c>
      <c r="J56" s="50">
        <v>0</v>
      </c>
      <c r="K56" s="50">
        <v>0</v>
      </c>
      <c r="L56" s="50">
        <v>0</v>
      </c>
      <c r="M56" s="50">
        <v>50</v>
      </c>
      <c r="N56" s="50">
        <v>0</v>
      </c>
      <c r="O56" s="15">
        <f t="shared" si="0"/>
        <v>113</v>
      </c>
      <c r="P56" s="15">
        <f t="shared" si="1"/>
        <v>163</v>
      </c>
      <c r="R56" s="8"/>
      <c r="T56"/>
    </row>
    <row r="57" spans="2:20" ht="23.1" customHeight="1">
      <c r="B57" s="45" t="s">
        <v>84</v>
      </c>
      <c r="C57" s="50">
        <v>52</v>
      </c>
      <c r="D57" s="50">
        <v>13</v>
      </c>
      <c r="E57" s="50">
        <v>6</v>
      </c>
      <c r="F57" s="50">
        <v>15</v>
      </c>
      <c r="G57" s="50">
        <v>0</v>
      </c>
      <c r="H57" s="50">
        <v>0</v>
      </c>
      <c r="I57" s="50">
        <v>5</v>
      </c>
      <c r="J57" s="50">
        <v>1</v>
      </c>
      <c r="K57" s="50">
        <v>0</v>
      </c>
      <c r="L57" s="50">
        <v>0</v>
      </c>
      <c r="M57" s="50">
        <v>102</v>
      </c>
      <c r="N57" s="50">
        <v>0</v>
      </c>
      <c r="O57" s="15">
        <f t="shared" si="0"/>
        <v>92</v>
      </c>
      <c r="P57" s="15">
        <f t="shared" si="1"/>
        <v>194</v>
      </c>
      <c r="R57" s="8"/>
      <c r="T57"/>
    </row>
    <row r="58" spans="2:20" ht="23.1" customHeight="1">
      <c r="B58" s="45" t="s">
        <v>99</v>
      </c>
      <c r="C58" s="50">
        <v>87</v>
      </c>
      <c r="D58" s="50">
        <v>10</v>
      </c>
      <c r="E58" s="50">
        <v>4</v>
      </c>
      <c r="F58" s="50">
        <v>16</v>
      </c>
      <c r="G58" s="50">
        <v>0</v>
      </c>
      <c r="H58" s="50">
        <v>0</v>
      </c>
      <c r="I58" s="50">
        <v>5</v>
      </c>
      <c r="J58" s="50">
        <v>1</v>
      </c>
      <c r="K58" s="50">
        <v>0</v>
      </c>
      <c r="L58" s="50">
        <v>0</v>
      </c>
      <c r="M58" s="50">
        <v>120</v>
      </c>
      <c r="N58" s="50">
        <v>0</v>
      </c>
      <c r="O58" s="15">
        <f t="shared" si="0"/>
        <v>123</v>
      </c>
      <c r="P58" s="15">
        <f t="shared" si="1"/>
        <v>243</v>
      </c>
      <c r="R58" s="8"/>
      <c r="T58"/>
    </row>
    <row r="59" spans="2:20" ht="23.1" customHeight="1">
      <c r="B59" s="45" t="s">
        <v>100</v>
      </c>
      <c r="C59" s="50">
        <v>81</v>
      </c>
      <c r="D59" s="50">
        <v>17</v>
      </c>
      <c r="E59" s="50">
        <v>4</v>
      </c>
      <c r="F59" s="50">
        <v>15</v>
      </c>
      <c r="G59" s="50">
        <v>0</v>
      </c>
      <c r="H59" s="50">
        <v>0</v>
      </c>
      <c r="I59" s="50">
        <v>6</v>
      </c>
      <c r="J59" s="50">
        <v>0</v>
      </c>
      <c r="K59" s="50">
        <v>0</v>
      </c>
      <c r="L59" s="50">
        <v>0</v>
      </c>
      <c r="M59" s="50">
        <v>136</v>
      </c>
      <c r="N59" s="50">
        <v>0</v>
      </c>
      <c r="O59" s="15">
        <f t="shared" si="0"/>
        <v>123</v>
      </c>
      <c r="P59" s="15">
        <f t="shared" si="1"/>
        <v>259</v>
      </c>
      <c r="R59" s="8"/>
      <c r="T59"/>
    </row>
    <row r="60" spans="2:20" ht="23.1" customHeight="1">
      <c r="B60" s="45" t="s">
        <v>101</v>
      </c>
      <c r="C60" s="50">
        <v>82</v>
      </c>
      <c r="D60" s="50">
        <v>28</v>
      </c>
      <c r="E60" s="50">
        <v>4</v>
      </c>
      <c r="F60" s="50">
        <v>20</v>
      </c>
      <c r="G60" s="50">
        <v>0</v>
      </c>
      <c r="H60" s="50">
        <v>0</v>
      </c>
      <c r="I60" s="50">
        <v>5</v>
      </c>
      <c r="J60" s="50">
        <v>0</v>
      </c>
      <c r="K60" s="50">
        <v>0</v>
      </c>
      <c r="L60" s="50">
        <v>0</v>
      </c>
      <c r="M60" s="50">
        <v>122</v>
      </c>
      <c r="N60" s="50">
        <v>0</v>
      </c>
      <c r="O60" s="15">
        <f t="shared" si="0"/>
        <v>139</v>
      </c>
      <c r="P60" s="15">
        <f t="shared" si="1"/>
        <v>261</v>
      </c>
      <c r="R60" s="8"/>
      <c r="T60"/>
    </row>
    <row r="61" spans="2:20" ht="23.1" customHeight="1">
      <c r="B61" s="45" t="s">
        <v>102</v>
      </c>
      <c r="C61" s="50">
        <v>62</v>
      </c>
      <c r="D61" s="50">
        <v>20</v>
      </c>
      <c r="E61" s="50">
        <v>5</v>
      </c>
      <c r="F61" s="50">
        <v>14</v>
      </c>
      <c r="G61" s="50">
        <v>0</v>
      </c>
      <c r="H61" s="50">
        <v>0</v>
      </c>
      <c r="I61" s="50">
        <v>5</v>
      </c>
      <c r="J61" s="50">
        <v>0</v>
      </c>
      <c r="K61" s="50">
        <v>0</v>
      </c>
      <c r="L61" s="50">
        <v>0</v>
      </c>
      <c r="M61" s="50">
        <v>128</v>
      </c>
      <c r="N61" s="50">
        <v>0</v>
      </c>
      <c r="O61" s="15">
        <f t="shared" si="0"/>
        <v>106</v>
      </c>
      <c r="P61" s="15">
        <f t="shared" si="1"/>
        <v>234</v>
      </c>
      <c r="R61" s="8"/>
      <c r="T61"/>
    </row>
    <row r="62" spans="2:20" ht="23.1" customHeight="1">
      <c r="B62" s="45" t="s">
        <v>107</v>
      </c>
      <c r="C62" s="50">
        <v>50</v>
      </c>
      <c r="D62" s="50">
        <v>14</v>
      </c>
      <c r="E62" s="50">
        <v>5</v>
      </c>
      <c r="F62" s="50">
        <v>11</v>
      </c>
      <c r="G62" s="50">
        <v>0</v>
      </c>
      <c r="H62" s="50">
        <v>0</v>
      </c>
      <c r="I62" s="50">
        <v>2</v>
      </c>
      <c r="J62" s="50">
        <v>1</v>
      </c>
      <c r="K62" s="50">
        <v>1</v>
      </c>
      <c r="L62" s="50">
        <v>0</v>
      </c>
      <c r="M62" s="50">
        <v>116</v>
      </c>
      <c r="N62" s="50">
        <v>0</v>
      </c>
      <c r="O62" s="15">
        <f t="shared" si="0"/>
        <v>84</v>
      </c>
      <c r="P62" s="15">
        <f t="shared" si="1"/>
        <v>200</v>
      </c>
      <c r="R62" s="8"/>
      <c r="T62"/>
    </row>
    <row r="63" spans="2:20" ht="23.1" customHeight="1">
      <c r="B63" s="45" t="s">
        <v>108</v>
      </c>
      <c r="C63" s="50">
        <v>69</v>
      </c>
      <c r="D63" s="50">
        <v>19</v>
      </c>
      <c r="E63" s="50">
        <v>8</v>
      </c>
      <c r="F63" s="50">
        <v>15</v>
      </c>
      <c r="G63" s="50">
        <v>0</v>
      </c>
      <c r="H63" s="50">
        <v>0</v>
      </c>
      <c r="I63" s="50">
        <v>3</v>
      </c>
      <c r="J63" s="50">
        <v>0</v>
      </c>
      <c r="K63" s="50">
        <v>0</v>
      </c>
      <c r="L63" s="50">
        <v>0</v>
      </c>
      <c r="M63" s="50">
        <v>111</v>
      </c>
      <c r="N63" s="50">
        <v>0</v>
      </c>
      <c r="O63" s="15">
        <f t="shared" si="0"/>
        <v>114</v>
      </c>
      <c r="P63" s="15">
        <f t="shared" si="1"/>
        <v>225</v>
      </c>
      <c r="R63" s="8"/>
      <c r="T63"/>
    </row>
    <row r="64" spans="2:20" ht="23.1" customHeight="1">
      <c r="B64" s="45" t="s">
        <v>109</v>
      </c>
      <c r="C64" s="50">
        <v>58</v>
      </c>
      <c r="D64" s="50">
        <v>8</v>
      </c>
      <c r="E64" s="50">
        <v>4</v>
      </c>
      <c r="F64" s="50">
        <v>13</v>
      </c>
      <c r="G64" s="50">
        <v>0</v>
      </c>
      <c r="H64" s="50">
        <v>0</v>
      </c>
      <c r="I64" s="50">
        <v>2</v>
      </c>
      <c r="J64" s="50">
        <v>0</v>
      </c>
      <c r="K64" s="50">
        <v>0</v>
      </c>
      <c r="L64" s="50">
        <v>0</v>
      </c>
      <c r="M64" s="50">
        <v>97</v>
      </c>
      <c r="N64" s="50">
        <v>0</v>
      </c>
      <c r="O64" s="15">
        <f t="shared" si="0"/>
        <v>85</v>
      </c>
      <c r="P64" s="15">
        <f t="shared" si="1"/>
        <v>182</v>
      </c>
      <c r="R64" s="8"/>
      <c r="T64"/>
    </row>
    <row r="65" spans="2:20" ht="23.1" customHeight="1">
      <c r="B65" s="45" t="s">
        <v>158</v>
      </c>
      <c r="C65" s="50">
        <v>67</v>
      </c>
      <c r="D65" s="50">
        <v>9</v>
      </c>
      <c r="E65" s="50">
        <v>10</v>
      </c>
      <c r="F65" s="50">
        <v>19</v>
      </c>
      <c r="G65" s="50">
        <v>0</v>
      </c>
      <c r="H65" s="50">
        <v>0</v>
      </c>
      <c r="I65" s="50">
        <v>3</v>
      </c>
      <c r="J65" s="50">
        <v>0</v>
      </c>
      <c r="K65" s="50">
        <v>0</v>
      </c>
      <c r="L65" s="50">
        <v>0</v>
      </c>
      <c r="M65" s="50">
        <v>75</v>
      </c>
      <c r="N65" s="50">
        <v>0</v>
      </c>
      <c r="O65" s="15">
        <f t="shared" si="0"/>
        <v>108</v>
      </c>
      <c r="P65" s="15">
        <f t="shared" si="1"/>
        <v>183</v>
      </c>
      <c r="R65" s="8"/>
      <c r="T65"/>
    </row>
    <row r="66" spans="2:20" ht="23.1" customHeight="1">
      <c r="B66" s="45" t="s">
        <v>103</v>
      </c>
      <c r="C66" s="50">
        <v>38</v>
      </c>
      <c r="D66" s="50">
        <v>9</v>
      </c>
      <c r="E66" s="50">
        <v>3</v>
      </c>
      <c r="F66" s="50">
        <v>7</v>
      </c>
      <c r="G66" s="50">
        <v>0</v>
      </c>
      <c r="H66" s="50">
        <v>0</v>
      </c>
      <c r="I66" s="50">
        <v>2</v>
      </c>
      <c r="J66" s="50">
        <v>0</v>
      </c>
      <c r="K66" s="50">
        <v>0</v>
      </c>
      <c r="L66" s="50">
        <v>0</v>
      </c>
      <c r="M66" s="50">
        <v>91</v>
      </c>
      <c r="N66" s="50">
        <v>0</v>
      </c>
      <c r="O66" s="15">
        <f t="shared" si="0"/>
        <v>59</v>
      </c>
      <c r="P66" s="15">
        <f t="shared" si="1"/>
        <v>150</v>
      </c>
      <c r="R66" s="8"/>
      <c r="T66"/>
    </row>
    <row r="67" spans="2:20" ht="23.1" customHeight="1">
      <c r="B67" s="45" t="s">
        <v>104</v>
      </c>
      <c r="C67" s="50">
        <v>80</v>
      </c>
      <c r="D67" s="50">
        <v>12</v>
      </c>
      <c r="E67" s="50">
        <v>1</v>
      </c>
      <c r="F67" s="50">
        <v>8</v>
      </c>
      <c r="G67" s="50">
        <v>0</v>
      </c>
      <c r="H67" s="50">
        <v>0</v>
      </c>
      <c r="I67" s="50">
        <v>2</v>
      </c>
      <c r="J67" s="50">
        <v>1</v>
      </c>
      <c r="K67" s="50">
        <v>0</v>
      </c>
      <c r="L67" s="50">
        <v>0</v>
      </c>
      <c r="M67" s="50">
        <v>93</v>
      </c>
      <c r="N67" s="50">
        <v>0</v>
      </c>
      <c r="O67" s="15">
        <f t="shared" si="0"/>
        <v>104</v>
      </c>
      <c r="P67" s="15">
        <f t="shared" si="1"/>
        <v>197</v>
      </c>
      <c r="R67" s="8"/>
      <c r="T67"/>
    </row>
    <row r="68" spans="2:20" ht="23.1" customHeight="1">
      <c r="B68" s="45" t="s">
        <v>105</v>
      </c>
      <c r="C68" s="50">
        <v>64</v>
      </c>
      <c r="D68" s="50">
        <v>7</v>
      </c>
      <c r="E68" s="50">
        <v>4</v>
      </c>
      <c r="F68" s="50">
        <v>4</v>
      </c>
      <c r="G68" s="50">
        <v>0</v>
      </c>
      <c r="H68" s="50">
        <v>0</v>
      </c>
      <c r="I68" s="50">
        <v>5</v>
      </c>
      <c r="J68" s="50">
        <v>0</v>
      </c>
      <c r="K68" s="50">
        <v>0</v>
      </c>
      <c r="L68" s="50">
        <v>0</v>
      </c>
      <c r="M68" s="50">
        <v>104</v>
      </c>
      <c r="N68" s="50">
        <v>0</v>
      </c>
      <c r="O68" s="15">
        <f t="shared" si="0"/>
        <v>84</v>
      </c>
      <c r="P68" s="15">
        <f t="shared" si="1"/>
        <v>188</v>
      </c>
      <c r="R68" s="8"/>
      <c r="T68"/>
    </row>
    <row r="69" spans="2:20" ht="23.1" customHeight="1">
      <c r="B69" s="45" t="s">
        <v>106</v>
      </c>
      <c r="C69" s="50">
        <v>66</v>
      </c>
      <c r="D69" s="50">
        <v>10</v>
      </c>
      <c r="E69" s="50">
        <v>5</v>
      </c>
      <c r="F69" s="50">
        <v>11</v>
      </c>
      <c r="G69" s="50">
        <v>0</v>
      </c>
      <c r="H69" s="50">
        <v>0</v>
      </c>
      <c r="I69" s="50">
        <v>2</v>
      </c>
      <c r="J69" s="50">
        <v>0</v>
      </c>
      <c r="K69" s="50">
        <v>0</v>
      </c>
      <c r="L69" s="50">
        <v>0</v>
      </c>
      <c r="M69" s="50">
        <v>80</v>
      </c>
      <c r="N69" s="50">
        <v>0</v>
      </c>
      <c r="O69" s="15">
        <f t="shared" si="0"/>
        <v>94</v>
      </c>
      <c r="P69" s="15">
        <f t="shared" si="1"/>
        <v>174</v>
      </c>
      <c r="R69" s="8"/>
      <c r="T69"/>
    </row>
    <row r="70" spans="2:20" ht="23.1" customHeight="1">
      <c r="B70" s="45" t="s">
        <v>110</v>
      </c>
      <c r="C70" s="50">
        <v>56</v>
      </c>
      <c r="D70" s="50">
        <v>14</v>
      </c>
      <c r="E70" s="50">
        <v>5</v>
      </c>
      <c r="F70" s="50">
        <v>10</v>
      </c>
      <c r="G70" s="50">
        <v>0</v>
      </c>
      <c r="H70" s="50">
        <v>0</v>
      </c>
      <c r="I70" s="50">
        <v>3</v>
      </c>
      <c r="J70" s="50">
        <v>0</v>
      </c>
      <c r="K70" s="50">
        <v>0</v>
      </c>
      <c r="L70" s="50">
        <v>0</v>
      </c>
      <c r="M70" s="50">
        <v>77</v>
      </c>
      <c r="N70" s="50">
        <v>0</v>
      </c>
      <c r="O70" s="15">
        <f t="shared" si="0"/>
        <v>88</v>
      </c>
      <c r="P70" s="15">
        <f t="shared" si="1"/>
        <v>165</v>
      </c>
      <c r="R70" s="8"/>
      <c r="T70"/>
    </row>
    <row r="71" spans="2:20" ht="23.1" customHeight="1">
      <c r="B71" s="45" t="s">
        <v>111</v>
      </c>
      <c r="C71" s="50">
        <v>72</v>
      </c>
      <c r="D71" s="50">
        <v>12</v>
      </c>
      <c r="E71" s="50">
        <v>2</v>
      </c>
      <c r="F71" s="50">
        <v>4</v>
      </c>
      <c r="G71" s="50">
        <v>0</v>
      </c>
      <c r="H71" s="50">
        <v>0</v>
      </c>
      <c r="I71" s="50">
        <v>0</v>
      </c>
      <c r="J71" s="50">
        <v>0</v>
      </c>
      <c r="K71" s="50">
        <v>0</v>
      </c>
      <c r="L71" s="50">
        <v>0</v>
      </c>
      <c r="M71" s="50">
        <v>57</v>
      </c>
      <c r="N71" s="50">
        <v>0</v>
      </c>
      <c r="O71" s="15">
        <f t="shared" si="0"/>
        <v>90</v>
      </c>
      <c r="P71" s="15">
        <f t="shared" si="1"/>
        <v>147</v>
      </c>
      <c r="R71" s="8"/>
      <c r="T71"/>
    </row>
    <row r="72" spans="2:20" ht="23.1" customHeight="1">
      <c r="B72" s="45" t="s">
        <v>112</v>
      </c>
      <c r="C72" s="50">
        <v>36</v>
      </c>
      <c r="D72" s="50">
        <v>5</v>
      </c>
      <c r="E72" s="50">
        <v>3</v>
      </c>
      <c r="F72" s="50">
        <v>11</v>
      </c>
      <c r="G72" s="50">
        <v>0</v>
      </c>
      <c r="H72" s="50">
        <v>0</v>
      </c>
      <c r="I72" s="50">
        <v>4</v>
      </c>
      <c r="J72" s="50">
        <v>0</v>
      </c>
      <c r="K72" s="50">
        <v>0</v>
      </c>
      <c r="L72" s="50">
        <v>0</v>
      </c>
      <c r="M72" s="50">
        <v>78</v>
      </c>
      <c r="N72" s="50">
        <v>0</v>
      </c>
      <c r="O72" s="15">
        <f t="shared" si="0"/>
        <v>59</v>
      </c>
      <c r="P72" s="15">
        <f t="shared" si="1"/>
        <v>137</v>
      </c>
      <c r="R72" s="8"/>
      <c r="T72"/>
    </row>
    <row r="73" spans="2:20" ht="23.1" customHeight="1">
      <c r="B73" s="45" t="s">
        <v>113</v>
      </c>
      <c r="C73" s="50">
        <v>53</v>
      </c>
      <c r="D73" s="50">
        <v>3</v>
      </c>
      <c r="E73" s="50">
        <v>0</v>
      </c>
      <c r="F73" s="50">
        <v>2</v>
      </c>
      <c r="G73" s="50">
        <v>0</v>
      </c>
      <c r="H73" s="50">
        <v>0</v>
      </c>
      <c r="I73" s="50">
        <v>0</v>
      </c>
      <c r="J73" s="50">
        <v>0</v>
      </c>
      <c r="K73" s="50">
        <v>0</v>
      </c>
      <c r="L73" s="50">
        <v>0</v>
      </c>
      <c r="M73" s="50">
        <v>54</v>
      </c>
      <c r="N73" s="50">
        <v>0</v>
      </c>
      <c r="O73" s="15">
        <f t="shared" si="0"/>
        <v>58</v>
      </c>
      <c r="P73" s="15">
        <f t="shared" si="1"/>
        <v>112</v>
      </c>
      <c r="R73" s="8"/>
      <c r="T73"/>
    </row>
    <row r="74" spans="2:20" ht="23.1" customHeight="1">
      <c r="B74" s="45" t="s">
        <v>114</v>
      </c>
      <c r="C74" s="50">
        <v>57</v>
      </c>
      <c r="D74" s="50">
        <v>5</v>
      </c>
      <c r="E74" s="50">
        <v>5</v>
      </c>
      <c r="F74" s="50">
        <v>5</v>
      </c>
      <c r="G74" s="50">
        <v>0</v>
      </c>
      <c r="H74" s="50">
        <v>0</v>
      </c>
      <c r="I74" s="50">
        <v>2</v>
      </c>
      <c r="J74" s="50">
        <v>0</v>
      </c>
      <c r="K74" s="50">
        <v>0</v>
      </c>
      <c r="L74" s="50">
        <v>0</v>
      </c>
      <c r="M74" s="50">
        <v>58</v>
      </c>
      <c r="N74" s="50">
        <v>0</v>
      </c>
      <c r="O74" s="15">
        <f t="shared" ref="O74:O105" si="35">SUM(C74:L74,N74)</f>
        <v>74</v>
      </c>
      <c r="P74" s="15">
        <f t="shared" ref="P74:P105" si="36">SUM(C74:N74)</f>
        <v>132</v>
      </c>
      <c r="R74" s="8"/>
      <c r="T74"/>
    </row>
    <row r="75" spans="2:20" ht="23.1" customHeight="1">
      <c r="B75" s="45" t="s">
        <v>115</v>
      </c>
      <c r="C75" s="50">
        <v>52</v>
      </c>
      <c r="D75" s="50">
        <v>22</v>
      </c>
      <c r="E75" s="50">
        <v>1</v>
      </c>
      <c r="F75" s="50">
        <v>4</v>
      </c>
      <c r="G75" s="50">
        <v>0</v>
      </c>
      <c r="H75" s="50">
        <v>0</v>
      </c>
      <c r="I75" s="50">
        <v>4</v>
      </c>
      <c r="J75" s="50">
        <v>0</v>
      </c>
      <c r="K75" s="50">
        <v>0</v>
      </c>
      <c r="L75" s="50">
        <v>0</v>
      </c>
      <c r="M75" s="50">
        <v>76</v>
      </c>
      <c r="N75" s="50">
        <v>0</v>
      </c>
      <c r="O75" s="15">
        <f t="shared" si="35"/>
        <v>83</v>
      </c>
      <c r="P75" s="15">
        <f t="shared" si="36"/>
        <v>159</v>
      </c>
      <c r="R75" s="8"/>
      <c r="T75"/>
    </row>
    <row r="76" spans="2:20" ht="23.1" customHeight="1">
      <c r="B76" s="45" t="s">
        <v>116</v>
      </c>
      <c r="C76" s="50">
        <v>60</v>
      </c>
      <c r="D76" s="50">
        <v>8</v>
      </c>
      <c r="E76" s="50">
        <v>0</v>
      </c>
      <c r="F76" s="50">
        <v>7</v>
      </c>
      <c r="G76" s="50">
        <v>1</v>
      </c>
      <c r="H76" s="50">
        <v>0</v>
      </c>
      <c r="I76" s="50">
        <v>3</v>
      </c>
      <c r="J76" s="50">
        <v>0</v>
      </c>
      <c r="K76" s="50">
        <v>0</v>
      </c>
      <c r="L76" s="50">
        <v>0</v>
      </c>
      <c r="M76" s="50">
        <v>61</v>
      </c>
      <c r="N76" s="50">
        <v>0</v>
      </c>
      <c r="O76" s="15">
        <f t="shared" si="35"/>
        <v>79</v>
      </c>
      <c r="P76" s="15">
        <f t="shared" si="36"/>
        <v>140</v>
      </c>
      <c r="R76" s="8"/>
      <c r="T76"/>
    </row>
    <row r="77" spans="2:20" ht="23.1" customHeight="1">
      <c r="B77" s="45" t="s">
        <v>117</v>
      </c>
      <c r="C77" s="50">
        <v>42</v>
      </c>
      <c r="D77" s="50">
        <v>15</v>
      </c>
      <c r="E77" s="50">
        <v>4</v>
      </c>
      <c r="F77" s="50">
        <v>3</v>
      </c>
      <c r="G77" s="50">
        <v>0</v>
      </c>
      <c r="H77" s="50">
        <v>0</v>
      </c>
      <c r="I77" s="50">
        <v>2</v>
      </c>
      <c r="J77" s="50">
        <v>0</v>
      </c>
      <c r="K77" s="50">
        <v>0</v>
      </c>
      <c r="L77" s="50">
        <v>0</v>
      </c>
      <c r="M77" s="50">
        <v>47</v>
      </c>
      <c r="N77" s="50">
        <v>0</v>
      </c>
      <c r="O77" s="15">
        <f t="shared" si="35"/>
        <v>66</v>
      </c>
      <c r="P77" s="15">
        <f t="shared" si="36"/>
        <v>113</v>
      </c>
      <c r="R77" s="8"/>
      <c r="T77"/>
    </row>
    <row r="78" spans="2:20" ht="23.1" customHeight="1">
      <c r="B78" s="46" t="s">
        <v>118</v>
      </c>
      <c r="C78" s="50">
        <v>48</v>
      </c>
      <c r="D78" s="50">
        <v>7</v>
      </c>
      <c r="E78" s="50">
        <v>2</v>
      </c>
      <c r="F78" s="50">
        <v>3</v>
      </c>
      <c r="G78" s="50">
        <v>0</v>
      </c>
      <c r="H78" s="50">
        <v>0</v>
      </c>
      <c r="I78" s="50">
        <v>2</v>
      </c>
      <c r="J78" s="50">
        <v>0</v>
      </c>
      <c r="K78" s="50">
        <v>0</v>
      </c>
      <c r="L78" s="50">
        <v>0</v>
      </c>
      <c r="M78" s="50">
        <v>42</v>
      </c>
      <c r="N78" s="50">
        <v>0</v>
      </c>
      <c r="O78" s="15">
        <f t="shared" si="35"/>
        <v>62</v>
      </c>
      <c r="P78" s="15">
        <f t="shared" si="36"/>
        <v>104</v>
      </c>
      <c r="R78" s="8"/>
      <c r="T78"/>
    </row>
    <row r="79" spans="2:20" ht="23.1" customHeight="1">
      <c r="B79" s="45" t="s">
        <v>119</v>
      </c>
      <c r="C79" s="50">
        <v>50</v>
      </c>
      <c r="D79" s="50">
        <v>14</v>
      </c>
      <c r="E79" s="50">
        <v>3</v>
      </c>
      <c r="F79" s="50">
        <v>5</v>
      </c>
      <c r="G79" s="50">
        <v>0</v>
      </c>
      <c r="H79" s="50">
        <v>0</v>
      </c>
      <c r="I79" s="50">
        <v>3</v>
      </c>
      <c r="J79" s="50">
        <v>0</v>
      </c>
      <c r="K79" s="50">
        <v>0</v>
      </c>
      <c r="L79" s="50">
        <v>0</v>
      </c>
      <c r="M79" s="50">
        <v>40</v>
      </c>
      <c r="N79" s="50">
        <v>0</v>
      </c>
      <c r="O79" s="15">
        <f t="shared" si="35"/>
        <v>75</v>
      </c>
      <c r="P79" s="15">
        <f t="shared" si="36"/>
        <v>115</v>
      </c>
      <c r="R79" s="8"/>
      <c r="T79"/>
    </row>
    <row r="80" spans="2:20" ht="23.1" customHeight="1">
      <c r="B80" s="47" t="s">
        <v>120</v>
      </c>
      <c r="C80" s="50">
        <v>43</v>
      </c>
      <c r="D80" s="50">
        <v>9</v>
      </c>
      <c r="E80" s="50">
        <v>2</v>
      </c>
      <c r="F80" s="50">
        <v>3</v>
      </c>
      <c r="G80" s="50">
        <v>0</v>
      </c>
      <c r="H80" s="50">
        <v>0</v>
      </c>
      <c r="I80" s="50">
        <v>1</v>
      </c>
      <c r="J80" s="50">
        <v>0</v>
      </c>
      <c r="K80" s="50">
        <v>0</v>
      </c>
      <c r="L80" s="50">
        <v>0</v>
      </c>
      <c r="M80" s="50">
        <v>35</v>
      </c>
      <c r="N80" s="50">
        <v>0</v>
      </c>
      <c r="O80" s="15">
        <f t="shared" si="35"/>
        <v>58</v>
      </c>
      <c r="P80" s="15">
        <f t="shared" si="36"/>
        <v>93</v>
      </c>
      <c r="R80" s="8"/>
      <c r="T80"/>
    </row>
    <row r="81" spans="2:20" ht="23.1" customHeight="1">
      <c r="B81" s="45" t="s">
        <v>121</v>
      </c>
      <c r="C81" s="50">
        <v>47</v>
      </c>
      <c r="D81" s="50">
        <v>7</v>
      </c>
      <c r="E81" s="50">
        <v>2</v>
      </c>
      <c r="F81" s="50">
        <v>3</v>
      </c>
      <c r="G81" s="50">
        <v>0</v>
      </c>
      <c r="H81" s="50">
        <v>0</v>
      </c>
      <c r="I81" s="50">
        <v>0</v>
      </c>
      <c r="J81" s="50">
        <v>0</v>
      </c>
      <c r="K81" s="50">
        <v>0</v>
      </c>
      <c r="L81" s="50">
        <v>0</v>
      </c>
      <c r="M81" s="50">
        <v>25</v>
      </c>
      <c r="N81" s="50">
        <v>0</v>
      </c>
      <c r="O81" s="15">
        <f t="shared" si="35"/>
        <v>59</v>
      </c>
      <c r="P81" s="15">
        <f t="shared" si="36"/>
        <v>84</v>
      </c>
      <c r="R81" s="8"/>
      <c r="T81"/>
    </row>
    <row r="82" spans="2:20" ht="23.1" customHeight="1">
      <c r="B82" s="46" t="s">
        <v>122</v>
      </c>
      <c r="C82" s="50">
        <v>48</v>
      </c>
      <c r="D82" s="50">
        <v>7</v>
      </c>
      <c r="E82" s="50">
        <v>2</v>
      </c>
      <c r="F82" s="50">
        <v>0</v>
      </c>
      <c r="G82" s="50">
        <v>0</v>
      </c>
      <c r="H82" s="50">
        <v>0</v>
      </c>
      <c r="I82" s="50">
        <v>3</v>
      </c>
      <c r="J82" s="50">
        <v>0</v>
      </c>
      <c r="K82" s="50">
        <v>0</v>
      </c>
      <c r="L82" s="50">
        <v>0</v>
      </c>
      <c r="M82" s="50">
        <v>41</v>
      </c>
      <c r="N82" s="50">
        <v>0</v>
      </c>
      <c r="O82" s="15">
        <f t="shared" si="35"/>
        <v>60</v>
      </c>
      <c r="P82" s="15">
        <f t="shared" si="36"/>
        <v>101</v>
      </c>
      <c r="R82" s="8"/>
      <c r="T82"/>
    </row>
    <row r="83" spans="2:20" ht="23.1" customHeight="1">
      <c r="B83" s="45" t="s">
        <v>123</v>
      </c>
      <c r="C83" s="50">
        <v>38</v>
      </c>
      <c r="D83" s="50">
        <v>8</v>
      </c>
      <c r="E83" s="50">
        <v>1</v>
      </c>
      <c r="F83" s="50">
        <v>0</v>
      </c>
      <c r="G83" s="50">
        <v>0</v>
      </c>
      <c r="H83" s="50">
        <v>0</v>
      </c>
      <c r="I83" s="50">
        <v>0</v>
      </c>
      <c r="J83" s="50">
        <v>0</v>
      </c>
      <c r="K83" s="50">
        <v>0</v>
      </c>
      <c r="L83" s="50">
        <v>0</v>
      </c>
      <c r="M83" s="50">
        <v>37</v>
      </c>
      <c r="N83" s="50">
        <v>0</v>
      </c>
      <c r="O83" s="15">
        <f t="shared" si="35"/>
        <v>47</v>
      </c>
      <c r="P83" s="15">
        <f t="shared" si="36"/>
        <v>84</v>
      </c>
      <c r="R83" s="8"/>
      <c r="T83"/>
    </row>
    <row r="84" spans="2:20" ht="23.1" customHeight="1">
      <c r="B84" s="47" t="s">
        <v>124</v>
      </c>
      <c r="C84" s="50">
        <v>40</v>
      </c>
      <c r="D84" s="50">
        <v>6</v>
      </c>
      <c r="E84" s="50">
        <v>0</v>
      </c>
      <c r="F84" s="50">
        <v>0</v>
      </c>
      <c r="G84" s="50">
        <v>0</v>
      </c>
      <c r="H84" s="50">
        <v>0</v>
      </c>
      <c r="I84" s="50">
        <v>0</v>
      </c>
      <c r="J84" s="50">
        <v>0</v>
      </c>
      <c r="K84" s="50">
        <v>0</v>
      </c>
      <c r="L84" s="50">
        <v>0</v>
      </c>
      <c r="M84" s="50">
        <v>40</v>
      </c>
      <c r="N84" s="50">
        <v>0</v>
      </c>
      <c r="O84" s="15">
        <f t="shared" si="35"/>
        <v>46</v>
      </c>
      <c r="P84" s="15">
        <f t="shared" si="36"/>
        <v>86</v>
      </c>
      <c r="R84" s="8"/>
      <c r="T84"/>
    </row>
    <row r="85" spans="2:20" ht="23.1" customHeight="1">
      <c r="B85" s="45" t="s">
        <v>125</v>
      </c>
      <c r="C85" s="50">
        <v>40</v>
      </c>
      <c r="D85" s="50">
        <v>10</v>
      </c>
      <c r="E85" s="50">
        <v>1</v>
      </c>
      <c r="F85" s="50">
        <v>0</v>
      </c>
      <c r="G85" s="50">
        <v>0</v>
      </c>
      <c r="H85" s="50">
        <v>0</v>
      </c>
      <c r="I85" s="50">
        <v>1</v>
      </c>
      <c r="J85" s="50">
        <v>0</v>
      </c>
      <c r="K85" s="50">
        <v>0</v>
      </c>
      <c r="L85" s="50">
        <v>0</v>
      </c>
      <c r="M85" s="50">
        <v>23</v>
      </c>
      <c r="N85" s="50">
        <v>0</v>
      </c>
      <c r="O85" s="15">
        <f t="shared" si="35"/>
        <v>52</v>
      </c>
      <c r="P85" s="15">
        <f t="shared" si="36"/>
        <v>75</v>
      </c>
      <c r="R85" s="8"/>
      <c r="T85"/>
    </row>
    <row r="86" spans="2:20" ht="23.1" customHeight="1">
      <c r="B86" s="46" t="s">
        <v>126</v>
      </c>
      <c r="C86" s="50">
        <v>17</v>
      </c>
      <c r="D86" s="50">
        <v>5</v>
      </c>
      <c r="E86" s="50">
        <v>2</v>
      </c>
      <c r="F86" s="50">
        <v>0</v>
      </c>
      <c r="G86" s="50">
        <v>0</v>
      </c>
      <c r="H86" s="50">
        <v>0</v>
      </c>
      <c r="I86" s="50">
        <v>0</v>
      </c>
      <c r="J86" s="50">
        <v>0</v>
      </c>
      <c r="K86" s="50">
        <v>0</v>
      </c>
      <c r="L86" s="50">
        <v>0</v>
      </c>
      <c r="M86" s="50">
        <v>30</v>
      </c>
      <c r="N86" s="50">
        <v>0</v>
      </c>
      <c r="O86" s="15">
        <f t="shared" si="35"/>
        <v>24</v>
      </c>
      <c r="P86" s="15">
        <f t="shared" si="36"/>
        <v>54</v>
      </c>
      <c r="R86" s="8"/>
      <c r="T86"/>
    </row>
    <row r="87" spans="2:20" ht="23.1" customHeight="1">
      <c r="B87" s="45" t="s">
        <v>127</v>
      </c>
      <c r="C87" s="50">
        <v>30</v>
      </c>
      <c r="D87" s="50">
        <v>10</v>
      </c>
      <c r="E87" s="50">
        <v>0</v>
      </c>
      <c r="F87" s="50">
        <v>1</v>
      </c>
      <c r="G87" s="50">
        <v>0</v>
      </c>
      <c r="H87" s="50">
        <v>0</v>
      </c>
      <c r="I87" s="50">
        <v>0</v>
      </c>
      <c r="J87" s="50">
        <v>0</v>
      </c>
      <c r="K87" s="50">
        <v>0</v>
      </c>
      <c r="L87" s="50">
        <v>0</v>
      </c>
      <c r="M87" s="50">
        <v>30</v>
      </c>
      <c r="N87" s="50">
        <v>0</v>
      </c>
      <c r="O87" s="15">
        <f t="shared" si="35"/>
        <v>41</v>
      </c>
      <c r="P87" s="15">
        <f t="shared" si="36"/>
        <v>71</v>
      </c>
      <c r="R87" s="8"/>
      <c r="T87"/>
    </row>
    <row r="88" spans="2:20" ht="23.1" customHeight="1">
      <c r="B88" s="47" t="s">
        <v>128</v>
      </c>
      <c r="C88" s="50">
        <v>31</v>
      </c>
      <c r="D88" s="50">
        <v>6</v>
      </c>
      <c r="E88" s="50">
        <v>1</v>
      </c>
      <c r="F88" s="50">
        <v>1</v>
      </c>
      <c r="G88" s="50">
        <v>0</v>
      </c>
      <c r="H88" s="50">
        <v>0</v>
      </c>
      <c r="I88" s="50">
        <v>0</v>
      </c>
      <c r="J88" s="50">
        <v>1</v>
      </c>
      <c r="K88" s="50">
        <v>0</v>
      </c>
      <c r="L88" s="50">
        <v>0</v>
      </c>
      <c r="M88" s="50">
        <v>22</v>
      </c>
      <c r="N88" s="50">
        <v>0</v>
      </c>
      <c r="O88" s="15">
        <f t="shared" si="35"/>
        <v>40</v>
      </c>
      <c r="P88" s="15">
        <f t="shared" si="36"/>
        <v>62</v>
      </c>
      <c r="R88" s="8"/>
      <c r="T88"/>
    </row>
    <row r="89" spans="2:20" ht="23.1" customHeight="1">
      <c r="B89" s="45" t="s">
        <v>129</v>
      </c>
      <c r="C89" s="50">
        <v>25</v>
      </c>
      <c r="D89" s="50">
        <v>4</v>
      </c>
      <c r="E89" s="50">
        <v>2</v>
      </c>
      <c r="F89" s="50">
        <v>1</v>
      </c>
      <c r="G89" s="50">
        <v>0</v>
      </c>
      <c r="H89" s="50">
        <v>0</v>
      </c>
      <c r="I89" s="50">
        <v>0</v>
      </c>
      <c r="J89" s="50">
        <v>0</v>
      </c>
      <c r="K89" s="50">
        <v>0</v>
      </c>
      <c r="L89" s="50">
        <v>0</v>
      </c>
      <c r="M89" s="50">
        <v>16</v>
      </c>
      <c r="N89" s="50">
        <v>0</v>
      </c>
      <c r="O89" s="15">
        <f t="shared" si="35"/>
        <v>32</v>
      </c>
      <c r="P89" s="15">
        <f t="shared" si="36"/>
        <v>48</v>
      </c>
      <c r="R89" s="8"/>
      <c r="T89"/>
    </row>
    <row r="90" spans="2:20" ht="23.1" customHeight="1">
      <c r="B90" s="46" t="s">
        <v>130</v>
      </c>
      <c r="C90" s="50">
        <v>25</v>
      </c>
      <c r="D90" s="50">
        <v>7</v>
      </c>
      <c r="E90" s="50">
        <v>1</v>
      </c>
      <c r="F90" s="50">
        <v>1</v>
      </c>
      <c r="G90" s="50">
        <v>0</v>
      </c>
      <c r="H90" s="50">
        <v>0</v>
      </c>
      <c r="I90" s="50">
        <v>0</v>
      </c>
      <c r="J90" s="50">
        <v>0</v>
      </c>
      <c r="K90" s="50">
        <v>0</v>
      </c>
      <c r="L90" s="50">
        <v>0</v>
      </c>
      <c r="M90" s="50">
        <v>19</v>
      </c>
      <c r="N90" s="50">
        <v>0</v>
      </c>
      <c r="O90" s="15">
        <f t="shared" si="35"/>
        <v>34</v>
      </c>
      <c r="P90" s="15">
        <f t="shared" si="36"/>
        <v>53</v>
      </c>
      <c r="R90" s="8"/>
      <c r="T90"/>
    </row>
    <row r="91" spans="2:20" ht="23.1" customHeight="1">
      <c r="B91" s="45" t="s">
        <v>131</v>
      </c>
      <c r="C91" s="50">
        <v>25</v>
      </c>
      <c r="D91" s="50">
        <v>3</v>
      </c>
      <c r="E91" s="50">
        <v>1</v>
      </c>
      <c r="F91" s="50">
        <v>0</v>
      </c>
      <c r="G91" s="50">
        <v>0</v>
      </c>
      <c r="H91" s="50">
        <v>0</v>
      </c>
      <c r="I91" s="50">
        <v>1</v>
      </c>
      <c r="J91" s="50">
        <v>0</v>
      </c>
      <c r="K91" s="50">
        <v>0</v>
      </c>
      <c r="L91" s="50">
        <v>0</v>
      </c>
      <c r="M91" s="50">
        <v>21</v>
      </c>
      <c r="N91" s="50">
        <v>0</v>
      </c>
      <c r="O91" s="15">
        <f t="shared" si="35"/>
        <v>30</v>
      </c>
      <c r="P91" s="15">
        <f t="shared" si="36"/>
        <v>51</v>
      </c>
      <c r="R91" s="8"/>
      <c r="T91"/>
    </row>
    <row r="92" spans="2:20" ht="23.1" customHeight="1">
      <c r="B92" s="47" t="s">
        <v>132</v>
      </c>
      <c r="C92" s="50">
        <v>30</v>
      </c>
      <c r="D92" s="50">
        <v>8</v>
      </c>
      <c r="E92" s="50">
        <v>0</v>
      </c>
      <c r="F92" s="50">
        <v>1</v>
      </c>
      <c r="G92" s="50">
        <v>0</v>
      </c>
      <c r="H92" s="50">
        <v>0</v>
      </c>
      <c r="I92" s="50">
        <v>0</v>
      </c>
      <c r="J92" s="50">
        <v>0</v>
      </c>
      <c r="K92" s="50">
        <v>0</v>
      </c>
      <c r="L92" s="50">
        <v>0</v>
      </c>
      <c r="M92" s="50">
        <v>23</v>
      </c>
      <c r="N92" s="50">
        <v>0</v>
      </c>
      <c r="O92" s="15">
        <f t="shared" si="35"/>
        <v>39</v>
      </c>
      <c r="P92" s="15">
        <f t="shared" si="36"/>
        <v>62</v>
      </c>
      <c r="R92" s="8"/>
      <c r="T92"/>
    </row>
    <row r="93" spans="2:20" ht="23.1" customHeight="1">
      <c r="B93" s="45" t="s">
        <v>133</v>
      </c>
      <c r="C93" s="50">
        <v>35</v>
      </c>
      <c r="D93" s="50">
        <v>6</v>
      </c>
      <c r="E93" s="50">
        <v>2</v>
      </c>
      <c r="F93" s="50">
        <v>0</v>
      </c>
      <c r="G93" s="50">
        <v>0</v>
      </c>
      <c r="H93" s="50">
        <v>0</v>
      </c>
      <c r="I93" s="50">
        <v>0</v>
      </c>
      <c r="J93" s="50">
        <v>0</v>
      </c>
      <c r="K93" s="50">
        <v>0</v>
      </c>
      <c r="L93" s="50">
        <v>0</v>
      </c>
      <c r="M93" s="50">
        <v>23</v>
      </c>
      <c r="N93" s="50">
        <v>0</v>
      </c>
      <c r="O93" s="15">
        <f t="shared" si="35"/>
        <v>43</v>
      </c>
      <c r="P93" s="15">
        <f t="shared" si="36"/>
        <v>66</v>
      </c>
      <c r="R93" s="8"/>
      <c r="T93"/>
    </row>
    <row r="94" spans="2:20" ht="23.1" customHeight="1">
      <c r="B94" s="46" t="s">
        <v>134</v>
      </c>
      <c r="C94" s="50">
        <v>36</v>
      </c>
      <c r="D94" s="50">
        <v>1</v>
      </c>
      <c r="E94" s="50">
        <v>1</v>
      </c>
      <c r="F94" s="50">
        <v>0</v>
      </c>
      <c r="G94" s="50">
        <v>0</v>
      </c>
      <c r="H94" s="50">
        <v>0</v>
      </c>
      <c r="I94" s="50">
        <v>0</v>
      </c>
      <c r="J94" s="50">
        <v>0</v>
      </c>
      <c r="K94" s="50">
        <v>0</v>
      </c>
      <c r="L94" s="50">
        <v>0</v>
      </c>
      <c r="M94" s="50">
        <v>25</v>
      </c>
      <c r="N94" s="50">
        <v>0</v>
      </c>
      <c r="O94" s="15">
        <f t="shared" si="35"/>
        <v>38</v>
      </c>
      <c r="P94" s="15">
        <f t="shared" si="36"/>
        <v>63</v>
      </c>
      <c r="R94" s="8"/>
      <c r="T94"/>
    </row>
    <row r="95" spans="2:20" ht="23.1" customHeight="1">
      <c r="B95" s="45" t="s">
        <v>135</v>
      </c>
      <c r="C95" s="50">
        <v>29</v>
      </c>
      <c r="D95" s="50">
        <v>9</v>
      </c>
      <c r="E95" s="50">
        <v>2</v>
      </c>
      <c r="F95" s="50">
        <v>1</v>
      </c>
      <c r="G95" s="50">
        <v>0</v>
      </c>
      <c r="H95" s="50">
        <v>0</v>
      </c>
      <c r="I95" s="50">
        <v>0</v>
      </c>
      <c r="J95" s="50">
        <v>0</v>
      </c>
      <c r="K95" s="50">
        <v>0</v>
      </c>
      <c r="L95" s="50">
        <v>0</v>
      </c>
      <c r="M95" s="50">
        <v>24</v>
      </c>
      <c r="N95" s="50">
        <v>0</v>
      </c>
      <c r="O95" s="15">
        <f t="shared" si="35"/>
        <v>41</v>
      </c>
      <c r="P95" s="15">
        <f t="shared" si="36"/>
        <v>65</v>
      </c>
      <c r="R95" s="8"/>
      <c r="T95"/>
    </row>
    <row r="96" spans="2:20" ht="23.1" customHeight="1">
      <c r="B96" s="47" t="s">
        <v>136</v>
      </c>
      <c r="C96" s="50">
        <v>32</v>
      </c>
      <c r="D96" s="50">
        <v>1</v>
      </c>
      <c r="E96" s="50">
        <v>0</v>
      </c>
      <c r="F96" s="50">
        <v>0</v>
      </c>
      <c r="G96" s="50">
        <v>0</v>
      </c>
      <c r="H96" s="50">
        <v>0</v>
      </c>
      <c r="I96" s="50">
        <v>1</v>
      </c>
      <c r="J96" s="50">
        <v>0</v>
      </c>
      <c r="K96" s="50">
        <v>0</v>
      </c>
      <c r="L96" s="50">
        <v>0</v>
      </c>
      <c r="M96" s="50">
        <v>32</v>
      </c>
      <c r="N96" s="50">
        <v>0</v>
      </c>
      <c r="O96" s="15">
        <f t="shared" si="35"/>
        <v>34</v>
      </c>
      <c r="P96" s="15">
        <f t="shared" si="36"/>
        <v>66</v>
      </c>
      <c r="R96" s="8"/>
      <c r="T96"/>
    </row>
    <row r="97" spans="2:20" ht="23.1" customHeight="1">
      <c r="B97" s="45" t="s">
        <v>137</v>
      </c>
      <c r="C97" s="50">
        <v>34</v>
      </c>
      <c r="D97" s="50">
        <v>5</v>
      </c>
      <c r="E97" s="50">
        <v>1</v>
      </c>
      <c r="F97" s="50">
        <v>0</v>
      </c>
      <c r="G97" s="50">
        <v>0</v>
      </c>
      <c r="H97" s="50">
        <v>0</v>
      </c>
      <c r="I97" s="50">
        <v>0</v>
      </c>
      <c r="J97" s="50">
        <v>0</v>
      </c>
      <c r="K97" s="50">
        <v>0</v>
      </c>
      <c r="L97" s="50">
        <v>0</v>
      </c>
      <c r="M97" s="50">
        <v>19</v>
      </c>
      <c r="N97" s="50">
        <v>0</v>
      </c>
      <c r="O97" s="15">
        <f t="shared" si="35"/>
        <v>40</v>
      </c>
      <c r="P97" s="15">
        <f t="shared" si="36"/>
        <v>59</v>
      </c>
      <c r="R97" s="8"/>
      <c r="T97"/>
    </row>
    <row r="98" spans="2:20" ht="23.1" customHeight="1">
      <c r="B98" s="46" t="s">
        <v>138</v>
      </c>
      <c r="C98" s="50">
        <v>17</v>
      </c>
      <c r="D98" s="50">
        <v>1</v>
      </c>
      <c r="E98" s="50">
        <v>4</v>
      </c>
      <c r="F98" s="50">
        <v>3</v>
      </c>
      <c r="G98" s="50">
        <v>0</v>
      </c>
      <c r="H98" s="50">
        <v>0</v>
      </c>
      <c r="I98" s="50">
        <v>1</v>
      </c>
      <c r="J98" s="50">
        <v>0</v>
      </c>
      <c r="K98" s="50">
        <v>0</v>
      </c>
      <c r="L98" s="50">
        <v>0</v>
      </c>
      <c r="M98" s="50">
        <v>19</v>
      </c>
      <c r="N98" s="50">
        <v>0</v>
      </c>
      <c r="O98" s="15">
        <f t="shared" si="35"/>
        <v>26</v>
      </c>
      <c r="P98" s="15">
        <f t="shared" si="36"/>
        <v>45</v>
      </c>
      <c r="R98" s="8"/>
      <c r="T98"/>
    </row>
    <row r="99" spans="2:20" ht="23.1" customHeight="1">
      <c r="B99" s="45" t="s">
        <v>139</v>
      </c>
      <c r="C99" s="50">
        <v>20</v>
      </c>
      <c r="D99" s="50">
        <v>3</v>
      </c>
      <c r="E99" s="50">
        <v>3</v>
      </c>
      <c r="F99" s="50">
        <v>3</v>
      </c>
      <c r="G99" s="50">
        <v>0</v>
      </c>
      <c r="H99" s="50">
        <v>0</v>
      </c>
      <c r="I99" s="50">
        <v>0</v>
      </c>
      <c r="J99" s="50">
        <v>0</v>
      </c>
      <c r="K99" s="50">
        <v>0</v>
      </c>
      <c r="L99" s="50">
        <v>0</v>
      </c>
      <c r="M99" s="50">
        <v>14</v>
      </c>
      <c r="N99" s="50">
        <v>0</v>
      </c>
      <c r="O99" s="15">
        <f t="shared" si="35"/>
        <v>29</v>
      </c>
      <c r="P99" s="15">
        <f t="shared" si="36"/>
        <v>43</v>
      </c>
      <c r="R99" s="8"/>
      <c r="T99"/>
    </row>
    <row r="100" spans="2:20" ht="23.1" customHeight="1">
      <c r="B100" s="47" t="s">
        <v>140</v>
      </c>
      <c r="C100" s="50">
        <v>22</v>
      </c>
      <c r="D100" s="50">
        <v>4</v>
      </c>
      <c r="E100" s="50">
        <v>2</v>
      </c>
      <c r="F100" s="50">
        <v>5</v>
      </c>
      <c r="G100" s="50">
        <v>0</v>
      </c>
      <c r="H100" s="50">
        <v>0</v>
      </c>
      <c r="I100" s="50">
        <v>2</v>
      </c>
      <c r="J100" s="50">
        <v>0</v>
      </c>
      <c r="K100" s="50">
        <v>0</v>
      </c>
      <c r="L100" s="50">
        <v>0</v>
      </c>
      <c r="M100" s="50">
        <v>17</v>
      </c>
      <c r="N100" s="50">
        <v>0</v>
      </c>
      <c r="O100" s="15">
        <f t="shared" si="35"/>
        <v>35</v>
      </c>
      <c r="P100" s="15">
        <f t="shared" si="36"/>
        <v>52</v>
      </c>
      <c r="R100" s="8"/>
      <c r="T100"/>
    </row>
    <row r="101" spans="2:20" ht="23.1" customHeight="1">
      <c r="B101" s="45" t="s">
        <v>141</v>
      </c>
      <c r="C101" s="50">
        <v>37</v>
      </c>
      <c r="D101" s="50">
        <v>4</v>
      </c>
      <c r="E101" s="50">
        <v>2</v>
      </c>
      <c r="F101" s="50">
        <v>3</v>
      </c>
      <c r="G101" s="50">
        <v>0</v>
      </c>
      <c r="H101" s="50">
        <v>0</v>
      </c>
      <c r="I101" s="50">
        <v>3</v>
      </c>
      <c r="J101" s="50">
        <v>1</v>
      </c>
      <c r="K101" s="50">
        <v>0</v>
      </c>
      <c r="L101" s="50">
        <v>0</v>
      </c>
      <c r="M101" s="50">
        <v>18</v>
      </c>
      <c r="N101" s="50">
        <v>0</v>
      </c>
      <c r="O101" s="15">
        <f t="shared" si="35"/>
        <v>50</v>
      </c>
      <c r="P101" s="15">
        <f t="shared" si="36"/>
        <v>68</v>
      </c>
      <c r="R101" s="8"/>
      <c r="T101"/>
    </row>
    <row r="102" spans="2:20" ht="23.1" customHeight="1">
      <c r="B102" s="46" t="s">
        <v>142</v>
      </c>
      <c r="C102" s="50">
        <v>19</v>
      </c>
      <c r="D102" s="50">
        <v>4</v>
      </c>
      <c r="E102" s="50">
        <v>2</v>
      </c>
      <c r="F102" s="50">
        <v>6</v>
      </c>
      <c r="G102" s="50">
        <v>0</v>
      </c>
      <c r="H102" s="50">
        <v>0</v>
      </c>
      <c r="I102" s="50">
        <v>1</v>
      </c>
      <c r="J102" s="50">
        <v>0</v>
      </c>
      <c r="K102" s="50">
        <v>0</v>
      </c>
      <c r="L102" s="50">
        <v>0</v>
      </c>
      <c r="M102" s="50">
        <v>20</v>
      </c>
      <c r="N102" s="50">
        <v>0</v>
      </c>
      <c r="O102" s="15">
        <f t="shared" si="35"/>
        <v>32</v>
      </c>
      <c r="P102" s="15">
        <f t="shared" si="36"/>
        <v>52</v>
      </c>
      <c r="R102" s="8"/>
      <c r="T102"/>
    </row>
    <row r="103" spans="2:20" ht="23.1" customHeight="1">
      <c r="B103" s="45" t="s">
        <v>143</v>
      </c>
      <c r="C103" s="50">
        <v>26</v>
      </c>
      <c r="D103" s="50">
        <v>6</v>
      </c>
      <c r="E103" s="50">
        <v>0</v>
      </c>
      <c r="F103" s="50">
        <v>5</v>
      </c>
      <c r="G103" s="50">
        <v>0</v>
      </c>
      <c r="H103" s="50">
        <v>0</v>
      </c>
      <c r="I103" s="50">
        <v>1</v>
      </c>
      <c r="J103" s="50">
        <v>0</v>
      </c>
      <c r="K103" s="50">
        <v>1</v>
      </c>
      <c r="L103" s="50">
        <v>0</v>
      </c>
      <c r="M103" s="50">
        <v>34</v>
      </c>
      <c r="N103" s="50">
        <v>0</v>
      </c>
      <c r="O103" s="15">
        <f t="shared" si="35"/>
        <v>39</v>
      </c>
      <c r="P103" s="15">
        <f t="shared" si="36"/>
        <v>73</v>
      </c>
      <c r="R103" s="8"/>
      <c r="T103"/>
    </row>
    <row r="104" spans="2:20" ht="23.1" customHeight="1">
      <c r="B104" s="47" t="s">
        <v>144</v>
      </c>
      <c r="C104" s="50">
        <v>38</v>
      </c>
      <c r="D104" s="50">
        <v>7</v>
      </c>
      <c r="E104" s="50">
        <v>2</v>
      </c>
      <c r="F104" s="50">
        <v>8</v>
      </c>
      <c r="G104" s="50">
        <v>0</v>
      </c>
      <c r="H104" s="50">
        <v>0</v>
      </c>
      <c r="I104" s="50">
        <v>1</v>
      </c>
      <c r="J104" s="50">
        <v>0</v>
      </c>
      <c r="K104" s="50">
        <v>0</v>
      </c>
      <c r="L104" s="50">
        <v>0</v>
      </c>
      <c r="M104" s="50">
        <v>37</v>
      </c>
      <c r="N104" s="50">
        <v>0</v>
      </c>
      <c r="O104" s="15">
        <f t="shared" si="35"/>
        <v>56</v>
      </c>
      <c r="P104" s="15">
        <f t="shared" si="36"/>
        <v>93</v>
      </c>
      <c r="R104" s="8"/>
      <c r="T104"/>
    </row>
    <row r="105" spans="2:20" ht="23.1" customHeight="1">
      <c r="B105" s="45" t="s">
        <v>145</v>
      </c>
      <c r="C105" s="50">
        <v>49</v>
      </c>
      <c r="D105" s="50">
        <v>11</v>
      </c>
      <c r="E105" s="50">
        <v>0</v>
      </c>
      <c r="F105" s="50">
        <v>8</v>
      </c>
      <c r="G105" s="50">
        <v>0</v>
      </c>
      <c r="H105" s="50">
        <v>0</v>
      </c>
      <c r="I105" s="50">
        <v>1</v>
      </c>
      <c r="J105" s="50">
        <v>0</v>
      </c>
      <c r="K105" s="50">
        <v>0</v>
      </c>
      <c r="L105" s="50">
        <v>0</v>
      </c>
      <c r="M105" s="50">
        <v>36</v>
      </c>
      <c r="N105" s="50">
        <v>0</v>
      </c>
      <c r="O105" s="15">
        <f t="shared" si="35"/>
        <v>69</v>
      </c>
      <c r="P105" s="15">
        <f t="shared" si="36"/>
        <v>105</v>
      </c>
      <c r="R105" s="8"/>
      <c r="T105"/>
    </row>
    <row r="106" spans="2:20" ht="23.1" customHeight="1">
      <c r="B106" s="26" t="s">
        <v>18</v>
      </c>
      <c r="C106" s="16">
        <f>SUM(C10:C105)</f>
        <v>5722</v>
      </c>
      <c r="D106" s="16">
        <f t="shared" ref="D106:P106" si="37">SUM(D10:D105)</f>
        <v>976</v>
      </c>
      <c r="E106" s="16">
        <f t="shared" si="37"/>
        <v>489</v>
      </c>
      <c r="F106" s="16">
        <f t="shared" si="37"/>
        <v>818</v>
      </c>
      <c r="G106" s="16">
        <f t="shared" si="37"/>
        <v>3</v>
      </c>
      <c r="H106" s="16">
        <f t="shared" si="37"/>
        <v>0</v>
      </c>
      <c r="I106" s="16">
        <f t="shared" si="37"/>
        <v>286</v>
      </c>
      <c r="J106" s="16">
        <f t="shared" si="37"/>
        <v>29</v>
      </c>
      <c r="K106" s="16">
        <f t="shared" si="37"/>
        <v>15</v>
      </c>
      <c r="L106" s="16">
        <f t="shared" si="37"/>
        <v>2</v>
      </c>
      <c r="M106" s="16">
        <f t="shared" si="37"/>
        <v>6397</v>
      </c>
      <c r="N106" s="16">
        <f t="shared" si="37"/>
        <v>0</v>
      </c>
      <c r="O106" s="16">
        <f t="shared" si="37"/>
        <v>8340</v>
      </c>
      <c r="P106" s="16">
        <f t="shared" si="37"/>
        <v>14737</v>
      </c>
      <c r="R106" s="8"/>
      <c r="T106"/>
    </row>
    <row r="107" spans="2:20" ht="23.1" customHeight="1">
      <c r="B107" s="26" t="s">
        <v>93</v>
      </c>
      <c r="C107" s="43">
        <f t="shared" ref="C107:N107" si="38">C106/$P$106</f>
        <v>0.38827441134559271</v>
      </c>
      <c r="D107" s="43">
        <f t="shared" si="38"/>
        <v>6.6227861844337377E-2</v>
      </c>
      <c r="E107" s="43">
        <f t="shared" si="38"/>
        <v>3.3181787337992805E-2</v>
      </c>
      <c r="F107" s="43">
        <f t="shared" si="38"/>
        <v>5.5506548144127026E-2</v>
      </c>
      <c r="G107" s="43">
        <f t="shared" si="38"/>
        <v>2.0356924747234851E-4</v>
      </c>
      <c r="H107" s="43">
        <f t="shared" si="38"/>
        <v>0</v>
      </c>
      <c r="I107" s="43">
        <f t="shared" si="38"/>
        <v>1.9406934925697224E-2</v>
      </c>
      <c r="J107" s="43">
        <f t="shared" si="38"/>
        <v>1.967836058899369E-3</v>
      </c>
      <c r="K107" s="43">
        <f t="shared" si="38"/>
        <v>1.0178462373617427E-3</v>
      </c>
      <c r="L107" s="43">
        <f t="shared" si="38"/>
        <v>1.3571283164823234E-4</v>
      </c>
      <c r="M107" s="43">
        <f t="shared" si="38"/>
        <v>0.43407749202687113</v>
      </c>
      <c r="N107" s="43">
        <f t="shared" si="38"/>
        <v>0</v>
      </c>
      <c r="R107" s="8"/>
      <c r="T107"/>
    </row>
    <row r="108" spans="2:20" ht="23.1" customHeight="1">
      <c r="B108" s="42" t="s">
        <v>94</v>
      </c>
      <c r="C108" s="44">
        <f>C106/$O$106</f>
        <v>0.68609112709832132</v>
      </c>
      <c r="D108" s="44">
        <f t="shared" ref="D108:N108" si="39">D106/$O$106</f>
        <v>0.1170263788968825</v>
      </c>
      <c r="E108" s="44">
        <f t="shared" si="39"/>
        <v>5.8633093525179855E-2</v>
      </c>
      <c r="F108" s="44">
        <f t="shared" si="39"/>
        <v>9.8081534772182261E-2</v>
      </c>
      <c r="G108" s="44">
        <f t="shared" si="39"/>
        <v>3.5971223021582735E-4</v>
      </c>
      <c r="H108" s="44">
        <f t="shared" si="39"/>
        <v>0</v>
      </c>
      <c r="I108" s="44">
        <f t="shared" si="39"/>
        <v>3.4292565947242205E-2</v>
      </c>
      <c r="J108" s="44">
        <f t="shared" si="39"/>
        <v>3.4772182254196641E-3</v>
      </c>
      <c r="K108" s="44">
        <f t="shared" si="39"/>
        <v>1.7985611510791368E-3</v>
      </c>
      <c r="L108" s="44">
        <f t="shared" si="39"/>
        <v>2.3980815347721823E-4</v>
      </c>
      <c r="M108" s="44"/>
      <c r="N108" s="44">
        <f t="shared" si="39"/>
        <v>0</v>
      </c>
      <c r="Q108" s="7"/>
      <c r="R108" s="8"/>
      <c r="T108"/>
    </row>
    <row r="109" spans="2:20" ht="23.1" customHeight="1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theme="2" tint="-0.249977111117893"/>
  </sheetPr>
  <dimension ref="B1:AF174"/>
  <sheetViews>
    <sheetView view="pageBreakPreview" zoomScale="60" workbookViewId="0">
      <selection activeCell="C106" sqref="C106"/>
    </sheetView>
  </sheetViews>
  <sheetFormatPr defaultColWidth="15" defaultRowHeight="20.100000000000001" customHeight="1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>
      <c r="B1" s="60" t="s">
        <v>23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</row>
    <row r="2" spans="2:32" ht="20.100000000000001" customHeight="1">
      <c r="B2" s="61" t="s">
        <v>95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</row>
    <row r="3" spans="2:32" ht="20.100000000000001" customHeight="1">
      <c r="B3" s="22" t="s">
        <v>96</v>
      </c>
      <c r="C3" s="65" t="str">
        <f>'29.07 Najjeera-Kiwatule'!C3:G3</f>
        <v>MCC - C1 - STN36 - MBOGO ROAD</v>
      </c>
      <c r="D3" s="65"/>
      <c r="E3" s="65"/>
      <c r="F3" s="65"/>
      <c r="G3" s="65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>
      <c r="C5" s="4" t="s">
        <v>3</v>
      </c>
      <c r="D5" s="36" t="str">
        <f>'03.08 Najjeera-Kiwatule-24h'!D5</f>
        <v>03.08.19</v>
      </c>
      <c r="E5" s="3"/>
      <c r="F5" s="41" t="s">
        <v>1</v>
      </c>
      <c r="G5" s="66" t="str">
        <f>'03.08 Najjeera-Kiwatule-24h'!G5:H5</f>
        <v>U Save Kiwatule</v>
      </c>
      <c r="H5" s="67"/>
      <c r="I5" s="14"/>
      <c r="J5" s="2" t="s">
        <v>5</v>
      </c>
      <c r="K5" s="66" t="s">
        <v>174</v>
      </c>
      <c r="L5" s="67"/>
      <c r="M5" s="10"/>
      <c r="N5" s="10"/>
      <c r="O5" s="3"/>
      <c r="P5" s="3"/>
    </row>
    <row r="6" spans="2:32" ht="23.25" customHeight="1">
      <c r="C6" s="2" t="s">
        <v>4</v>
      </c>
      <c r="D6" s="66" t="str">
        <f>'29.07 Kiwatule-Najjeera'!D6:E6</f>
        <v>Kiwatule</v>
      </c>
      <c r="E6" s="67"/>
      <c r="F6" s="2" t="s">
        <v>2</v>
      </c>
      <c r="G6" s="66" t="str">
        <f>'29.07 Kiwatule-Najjeera'!G6:H6</f>
        <v>Najjeera</v>
      </c>
      <c r="H6" s="67"/>
      <c r="J6" s="2" t="s">
        <v>21</v>
      </c>
      <c r="K6" s="66" t="str">
        <f>'03.08 Najjeera-Kiwatule-24h'!K6:L6</f>
        <v>Joan</v>
      </c>
      <c r="L6" s="67"/>
      <c r="M6" s="10"/>
      <c r="N6" s="10"/>
      <c r="O6" s="3"/>
      <c r="P6" s="3"/>
    </row>
    <row r="7" spans="2:32" ht="20.100000000000001" customHeight="1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9" t="s">
        <v>88</v>
      </c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</row>
    <row r="9" spans="2:32" ht="51.75" customHeight="1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>
      <c r="B10" s="45" t="s">
        <v>37</v>
      </c>
      <c r="C10" s="50">
        <v>25</v>
      </c>
      <c r="D10" s="50">
        <v>4</v>
      </c>
      <c r="E10" s="50">
        <v>2</v>
      </c>
      <c r="F10" s="50">
        <v>14</v>
      </c>
      <c r="G10" s="50">
        <v>0</v>
      </c>
      <c r="H10" s="50">
        <v>0</v>
      </c>
      <c r="I10" s="50">
        <v>3</v>
      </c>
      <c r="J10" s="50">
        <v>2</v>
      </c>
      <c r="K10" s="50">
        <v>0</v>
      </c>
      <c r="L10" s="50">
        <v>0</v>
      </c>
      <c r="M10" s="50">
        <v>15</v>
      </c>
      <c r="N10" s="50">
        <v>0</v>
      </c>
      <c r="O10" s="15">
        <f t="shared" ref="O10:O73" si="0">SUM(C10:L10,N10)</f>
        <v>50</v>
      </c>
      <c r="P10" s="15">
        <f t="shared" ref="P10:P73" si="1">SUM(C10:N10)</f>
        <v>65</v>
      </c>
      <c r="R10" s="1" t="s">
        <v>6</v>
      </c>
      <c r="S10" s="17">
        <f t="shared" ref="S10:AF10" si="2">SUM(C10:C13)</f>
        <v>93</v>
      </c>
      <c r="T10" s="17">
        <f t="shared" si="2"/>
        <v>29</v>
      </c>
      <c r="U10" s="17">
        <f t="shared" si="2"/>
        <v>13</v>
      </c>
      <c r="V10" s="17">
        <f t="shared" si="2"/>
        <v>83</v>
      </c>
      <c r="W10" s="17">
        <f t="shared" si="2"/>
        <v>0</v>
      </c>
      <c r="X10" s="17">
        <f t="shared" si="2"/>
        <v>0</v>
      </c>
      <c r="Y10" s="17">
        <f t="shared" si="2"/>
        <v>13</v>
      </c>
      <c r="Z10" s="17">
        <f t="shared" si="2"/>
        <v>3</v>
      </c>
      <c r="AA10" s="17">
        <f t="shared" si="2"/>
        <v>1</v>
      </c>
      <c r="AB10" s="17">
        <f t="shared" si="2"/>
        <v>0</v>
      </c>
      <c r="AC10" s="17">
        <f t="shared" si="2"/>
        <v>91</v>
      </c>
      <c r="AD10" s="17">
        <f t="shared" si="2"/>
        <v>0</v>
      </c>
      <c r="AE10" s="31">
        <f t="shared" si="2"/>
        <v>235</v>
      </c>
      <c r="AF10" s="31">
        <f t="shared" si="2"/>
        <v>326</v>
      </c>
    </row>
    <row r="11" spans="2:32" s="6" customFormat="1" ht="23.1" customHeight="1">
      <c r="B11" s="45" t="s">
        <v>38</v>
      </c>
      <c r="C11" s="50">
        <v>35</v>
      </c>
      <c r="D11" s="50">
        <v>9</v>
      </c>
      <c r="E11" s="50">
        <v>5</v>
      </c>
      <c r="F11" s="50">
        <v>26</v>
      </c>
      <c r="G11" s="50">
        <v>0</v>
      </c>
      <c r="H11" s="50">
        <v>0</v>
      </c>
      <c r="I11" s="50">
        <v>6</v>
      </c>
      <c r="J11" s="50">
        <v>0</v>
      </c>
      <c r="K11" s="50">
        <v>1</v>
      </c>
      <c r="L11" s="50">
        <v>0</v>
      </c>
      <c r="M11" s="50">
        <v>30</v>
      </c>
      <c r="N11" s="50">
        <v>0</v>
      </c>
      <c r="O11" s="15">
        <f t="shared" si="0"/>
        <v>82</v>
      </c>
      <c r="P11" s="15">
        <f t="shared" si="1"/>
        <v>112</v>
      </c>
      <c r="R11" s="1" t="s">
        <v>7</v>
      </c>
      <c r="S11" s="17">
        <f t="shared" ref="S11:AF11" si="3">SUM(C14:C17)</f>
        <v>161</v>
      </c>
      <c r="T11" s="17">
        <f t="shared" si="3"/>
        <v>20</v>
      </c>
      <c r="U11" s="17">
        <f t="shared" si="3"/>
        <v>16</v>
      </c>
      <c r="V11" s="17">
        <f t="shared" si="3"/>
        <v>123</v>
      </c>
      <c r="W11" s="17">
        <f t="shared" si="3"/>
        <v>3</v>
      </c>
      <c r="X11" s="17">
        <f t="shared" si="3"/>
        <v>1</v>
      </c>
      <c r="Y11" s="17">
        <f t="shared" si="3"/>
        <v>32</v>
      </c>
      <c r="Z11" s="17">
        <f t="shared" si="3"/>
        <v>2</v>
      </c>
      <c r="AA11" s="17">
        <f t="shared" si="3"/>
        <v>4</v>
      </c>
      <c r="AB11" s="17">
        <f t="shared" si="3"/>
        <v>0</v>
      </c>
      <c r="AC11" s="17">
        <f t="shared" si="3"/>
        <v>175</v>
      </c>
      <c r="AD11" s="17">
        <f t="shared" si="3"/>
        <v>0</v>
      </c>
      <c r="AE11" s="31">
        <f t="shared" si="3"/>
        <v>362</v>
      </c>
      <c r="AF11" s="31">
        <f t="shared" si="3"/>
        <v>537</v>
      </c>
    </row>
    <row r="12" spans="2:32" ht="23.1" customHeight="1">
      <c r="B12" s="45" t="s">
        <v>39</v>
      </c>
      <c r="C12" s="50">
        <v>15</v>
      </c>
      <c r="D12" s="50">
        <v>7</v>
      </c>
      <c r="E12" s="50">
        <v>3</v>
      </c>
      <c r="F12" s="50">
        <v>23</v>
      </c>
      <c r="G12" s="50">
        <v>0</v>
      </c>
      <c r="H12" s="50">
        <v>0</v>
      </c>
      <c r="I12" s="50">
        <v>2</v>
      </c>
      <c r="J12" s="50">
        <v>0</v>
      </c>
      <c r="K12" s="50">
        <v>0</v>
      </c>
      <c r="L12" s="50">
        <v>0</v>
      </c>
      <c r="M12" s="50">
        <v>18</v>
      </c>
      <c r="N12" s="50">
        <v>0</v>
      </c>
      <c r="O12" s="15">
        <f t="shared" si="0"/>
        <v>50</v>
      </c>
      <c r="P12" s="15">
        <f t="shared" si="1"/>
        <v>68</v>
      </c>
      <c r="R12" s="1" t="s">
        <v>8</v>
      </c>
      <c r="S12" s="17">
        <f t="shared" ref="S12:AF12" si="4">SUM(C18:C21)</f>
        <v>137</v>
      </c>
      <c r="T12" s="17">
        <f t="shared" si="4"/>
        <v>31</v>
      </c>
      <c r="U12" s="17">
        <f t="shared" si="4"/>
        <v>17</v>
      </c>
      <c r="V12" s="17">
        <f t="shared" si="4"/>
        <v>78</v>
      </c>
      <c r="W12" s="17">
        <f t="shared" si="4"/>
        <v>0</v>
      </c>
      <c r="X12" s="17">
        <f t="shared" si="4"/>
        <v>0</v>
      </c>
      <c r="Y12" s="17">
        <f t="shared" si="4"/>
        <v>29</v>
      </c>
      <c r="Z12" s="17">
        <f t="shared" si="4"/>
        <v>4</v>
      </c>
      <c r="AA12" s="17">
        <f t="shared" si="4"/>
        <v>2</v>
      </c>
      <c r="AB12" s="17">
        <f t="shared" si="4"/>
        <v>1</v>
      </c>
      <c r="AC12" s="17">
        <f t="shared" si="4"/>
        <v>205</v>
      </c>
      <c r="AD12" s="17">
        <f t="shared" si="4"/>
        <v>0</v>
      </c>
      <c r="AE12" s="31">
        <f t="shared" si="4"/>
        <v>299</v>
      </c>
      <c r="AF12" s="31">
        <f t="shared" si="4"/>
        <v>504</v>
      </c>
    </row>
    <row r="13" spans="2:32" ht="23.1" customHeight="1">
      <c r="B13" s="45" t="s">
        <v>40</v>
      </c>
      <c r="C13" s="50">
        <v>18</v>
      </c>
      <c r="D13" s="50">
        <v>9</v>
      </c>
      <c r="E13" s="50">
        <v>3</v>
      </c>
      <c r="F13" s="50">
        <v>20</v>
      </c>
      <c r="G13" s="50">
        <v>0</v>
      </c>
      <c r="H13" s="50">
        <v>0</v>
      </c>
      <c r="I13" s="50">
        <v>2</v>
      </c>
      <c r="J13" s="50">
        <v>1</v>
      </c>
      <c r="K13" s="50">
        <v>0</v>
      </c>
      <c r="L13" s="50">
        <v>0</v>
      </c>
      <c r="M13" s="50">
        <v>28</v>
      </c>
      <c r="N13" s="50">
        <v>0</v>
      </c>
      <c r="O13" s="15">
        <f t="shared" si="0"/>
        <v>53</v>
      </c>
      <c r="P13" s="15">
        <f t="shared" si="1"/>
        <v>81</v>
      </c>
      <c r="R13" s="1" t="s">
        <v>9</v>
      </c>
      <c r="S13" s="17">
        <f t="shared" ref="S13:AF13" si="5">SUM(C22:C25)</f>
        <v>182</v>
      </c>
      <c r="T13" s="17">
        <f t="shared" si="5"/>
        <v>25</v>
      </c>
      <c r="U13" s="17">
        <f t="shared" si="5"/>
        <v>19</v>
      </c>
      <c r="V13" s="17">
        <f t="shared" si="5"/>
        <v>46</v>
      </c>
      <c r="W13" s="17">
        <f t="shared" si="5"/>
        <v>3</v>
      </c>
      <c r="X13" s="17">
        <f t="shared" si="5"/>
        <v>0</v>
      </c>
      <c r="Y13" s="17">
        <f t="shared" si="5"/>
        <v>23</v>
      </c>
      <c r="Z13" s="17">
        <f t="shared" si="5"/>
        <v>1</v>
      </c>
      <c r="AA13" s="17">
        <f t="shared" si="5"/>
        <v>1</v>
      </c>
      <c r="AB13" s="17">
        <f t="shared" si="5"/>
        <v>1</v>
      </c>
      <c r="AC13" s="17">
        <f t="shared" si="5"/>
        <v>115</v>
      </c>
      <c r="AD13" s="17">
        <f t="shared" si="5"/>
        <v>0</v>
      </c>
      <c r="AE13" s="31">
        <f t="shared" si="5"/>
        <v>301</v>
      </c>
      <c r="AF13" s="31">
        <f t="shared" si="5"/>
        <v>416</v>
      </c>
    </row>
    <row r="14" spans="2:32" ht="23.1" customHeight="1">
      <c r="B14" s="45" t="s">
        <v>41</v>
      </c>
      <c r="C14" s="50">
        <v>29</v>
      </c>
      <c r="D14" s="50">
        <v>3</v>
      </c>
      <c r="E14" s="50">
        <v>3</v>
      </c>
      <c r="F14" s="50">
        <v>25</v>
      </c>
      <c r="G14" s="50">
        <v>2</v>
      </c>
      <c r="H14" s="50">
        <v>0</v>
      </c>
      <c r="I14" s="50">
        <v>5</v>
      </c>
      <c r="J14" s="50">
        <v>1</v>
      </c>
      <c r="K14" s="50">
        <v>0</v>
      </c>
      <c r="L14" s="50">
        <v>0</v>
      </c>
      <c r="M14" s="50">
        <v>30</v>
      </c>
      <c r="N14" s="50">
        <v>0</v>
      </c>
      <c r="O14" s="15">
        <f t="shared" si="0"/>
        <v>68</v>
      </c>
      <c r="P14" s="15">
        <f t="shared" si="1"/>
        <v>98</v>
      </c>
      <c r="R14" s="1" t="s">
        <v>10</v>
      </c>
      <c r="S14" s="17">
        <f t="shared" ref="S14:AF14" si="6">SUM(C26:C29)</f>
        <v>163</v>
      </c>
      <c r="T14" s="17">
        <f t="shared" si="6"/>
        <v>35</v>
      </c>
      <c r="U14" s="17">
        <f t="shared" si="6"/>
        <v>11</v>
      </c>
      <c r="V14" s="17">
        <f t="shared" si="6"/>
        <v>50</v>
      </c>
      <c r="W14" s="17">
        <f t="shared" si="6"/>
        <v>1</v>
      </c>
      <c r="X14" s="17">
        <f t="shared" si="6"/>
        <v>0</v>
      </c>
      <c r="Y14" s="17">
        <f t="shared" si="6"/>
        <v>36</v>
      </c>
      <c r="Z14" s="17">
        <f t="shared" si="6"/>
        <v>3</v>
      </c>
      <c r="AA14" s="17">
        <f t="shared" si="6"/>
        <v>1</v>
      </c>
      <c r="AB14" s="17">
        <f t="shared" si="6"/>
        <v>1</v>
      </c>
      <c r="AC14" s="17">
        <f t="shared" si="6"/>
        <v>115</v>
      </c>
      <c r="AD14" s="17">
        <f t="shared" si="6"/>
        <v>0</v>
      </c>
      <c r="AE14" s="31">
        <f t="shared" si="6"/>
        <v>301</v>
      </c>
      <c r="AF14" s="31">
        <f t="shared" si="6"/>
        <v>416</v>
      </c>
    </row>
    <row r="15" spans="2:32" ht="23.1" customHeight="1">
      <c r="B15" s="45" t="s">
        <v>42</v>
      </c>
      <c r="C15" s="50">
        <v>46</v>
      </c>
      <c r="D15" s="50">
        <v>2</v>
      </c>
      <c r="E15" s="50">
        <v>3</v>
      </c>
      <c r="F15" s="50">
        <v>30</v>
      </c>
      <c r="G15" s="50">
        <v>0</v>
      </c>
      <c r="H15" s="50">
        <v>1</v>
      </c>
      <c r="I15" s="50">
        <v>6</v>
      </c>
      <c r="J15" s="50">
        <v>0</v>
      </c>
      <c r="K15" s="50">
        <v>0</v>
      </c>
      <c r="L15" s="50">
        <v>0</v>
      </c>
      <c r="M15" s="50">
        <v>45</v>
      </c>
      <c r="N15" s="50">
        <v>0</v>
      </c>
      <c r="O15" s="15">
        <f t="shared" si="0"/>
        <v>88</v>
      </c>
      <c r="P15" s="15">
        <f t="shared" si="1"/>
        <v>133</v>
      </c>
      <c r="R15" s="1" t="s">
        <v>11</v>
      </c>
      <c r="S15" s="17">
        <f t="shared" ref="S15:AF15" si="7">SUM(C30:C33)</f>
        <v>110</v>
      </c>
      <c r="T15" s="17">
        <f t="shared" si="7"/>
        <v>34</v>
      </c>
      <c r="U15" s="17">
        <f t="shared" si="7"/>
        <v>15</v>
      </c>
      <c r="V15" s="17">
        <f t="shared" si="7"/>
        <v>50</v>
      </c>
      <c r="W15" s="17">
        <f t="shared" si="7"/>
        <v>4</v>
      </c>
      <c r="X15" s="17">
        <f t="shared" si="7"/>
        <v>0</v>
      </c>
      <c r="Y15" s="17">
        <f t="shared" si="7"/>
        <v>21</v>
      </c>
      <c r="Z15" s="17">
        <f t="shared" si="7"/>
        <v>1</v>
      </c>
      <c r="AA15" s="17">
        <f t="shared" si="7"/>
        <v>3</v>
      </c>
      <c r="AB15" s="17">
        <f t="shared" si="7"/>
        <v>1</v>
      </c>
      <c r="AC15" s="17">
        <f t="shared" si="7"/>
        <v>140</v>
      </c>
      <c r="AD15" s="17">
        <f t="shared" si="7"/>
        <v>0</v>
      </c>
      <c r="AE15" s="31">
        <f t="shared" si="7"/>
        <v>239</v>
      </c>
      <c r="AF15" s="31">
        <f t="shared" si="7"/>
        <v>379</v>
      </c>
    </row>
    <row r="16" spans="2:32" ht="23.1" customHeight="1">
      <c r="B16" s="45" t="s">
        <v>43</v>
      </c>
      <c r="C16" s="50">
        <v>41</v>
      </c>
      <c r="D16" s="50">
        <v>5</v>
      </c>
      <c r="E16" s="50">
        <v>3</v>
      </c>
      <c r="F16" s="50">
        <v>31</v>
      </c>
      <c r="G16" s="50">
        <v>1</v>
      </c>
      <c r="H16" s="50">
        <v>0</v>
      </c>
      <c r="I16" s="50">
        <v>5</v>
      </c>
      <c r="J16" s="50">
        <v>1</v>
      </c>
      <c r="K16" s="50">
        <v>1</v>
      </c>
      <c r="L16" s="50">
        <v>0</v>
      </c>
      <c r="M16" s="50">
        <v>40</v>
      </c>
      <c r="N16" s="50">
        <v>0</v>
      </c>
      <c r="O16" s="15">
        <f t="shared" si="0"/>
        <v>88</v>
      </c>
      <c r="P16" s="15">
        <f t="shared" si="1"/>
        <v>128</v>
      </c>
      <c r="R16" s="1" t="s">
        <v>12</v>
      </c>
      <c r="S16" s="17">
        <f t="shared" ref="S16:AF16" si="8">SUM(C34:C37)</f>
        <v>94</v>
      </c>
      <c r="T16" s="17">
        <f t="shared" si="8"/>
        <v>40</v>
      </c>
      <c r="U16" s="17">
        <f t="shared" si="8"/>
        <v>10</v>
      </c>
      <c r="V16" s="17">
        <f t="shared" si="8"/>
        <v>54</v>
      </c>
      <c r="W16" s="17">
        <f t="shared" si="8"/>
        <v>3</v>
      </c>
      <c r="X16" s="17">
        <f t="shared" si="8"/>
        <v>0</v>
      </c>
      <c r="Y16" s="17">
        <f t="shared" si="8"/>
        <v>12</v>
      </c>
      <c r="Z16" s="17">
        <f t="shared" si="8"/>
        <v>5</v>
      </c>
      <c r="AA16" s="17">
        <f t="shared" si="8"/>
        <v>0</v>
      </c>
      <c r="AB16" s="17">
        <f t="shared" si="8"/>
        <v>1</v>
      </c>
      <c r="AC16" s="17">
        <f t="shared" si="8"/>
        <v>159</v>
      </c>
      <c r="AD16" s="17">
        <f t="shared" si="8"/>
        <v>0</v>
      </c>
      <c r="AE16" s="31">
        <f t="shared" si="8"/>
        <v>219</v>
      </c>
      <c r="AF16" s="31">
        <f t="shared" si="8"/>
        <v>378</v>
      </c>
    </row>
    <row r="17" spans="2:32" ht="23.1" customHeight="1">
      <c r="B17" s="45" t="s">
        <v>44</v>
      </c>
      <c r="C17" s="50">
        <v>45</v>
      </c>
      <c r="D17" s="50">
        <v>10</v>
      </c>
      <c r="E17" s="50">
        <v>7</v>
      </c>
      <c r="F17" s="50">
        <v>37</v>
      </c>
      <c r="G17" s="50">
        <v>0</v>
      </c>
      <c r="H17" s="50">
        <v>0</v>
      </c>
      <c r="I17" s="50">
        <v>16</v>
      </c>
      <c r="J17" s="50">
        <v>0</v>
      </c>
      <c r="K17" s="50">
        <v>3</v>
      </c>
      <c r="L17" s="50">
        <v>0</v>
      </c>
      <c r="M17" s="50">
        <v>60</v>
      </c>
      <c r="N17" s="50">
        <v>0</v>
      </c>
      <c r="O17" s="15">
        <f t="shared" si="0"/>
        <v>118</v>
      </c>
      <c r="P17" s="15">
        <f t="shared" si="1"/>
        <v>178</v>
      </c>
      <c r="R17" s="1" t="s">
        <v>13</v>
      </c>
      <c r="S17" s="17">
        <f t="shared" ref="S17:AF17" si="9">SUM(C38:C41)</f>
        <v>136</v>
      </c>
      <c r="T17" s="17">
        <f t="shared" si="9"/>
        <v>83</v>
      </c>
      <c r="U17" s="17">
        <f t="shared" si="9"/>
        <v>9</v>
      </c>
      <c r="V17" s="17">
        <f t="shared" si="9"/>
        <v>50</v>
      </c>
      <c r="W17" s="17">
        <f t="shared" si="9"/>
        <v>0</v>
      </c>
      <c r="X17" s="17">
        <f t="shared" si="9"/>
        <v>1</v>
      </c>
      <c r="Y17" s="17">
        <f t="shared" si="9"/>
        <v>41</v>
      </c>
      <c r="Z17" s="17">
        <f t="shared" si="9"/>
        <v>2</v>
      </c>
      <c r="AA17" s="17">
        <f t="shared" si="9"/>
        <v>0</v>
      </c>
      <c r="AB17" s="17">
        <f t="shared" si="9"/>
        <v>1</v>
      </c>
      <c r="AC17" s="17">
        <f t="shared" si="9"/>
        <v>135</v>
      </c>
      <c r="AD17" s="17">
        <f t="shared" si="9"/>
        <v>0</v>
      </c>
      <c r="AE17" s="31">
        <f t="shared" si="9"/>
        <v>323</v>
      </c>
      <c r="AF17" s="31">
        <f t="shared" si="9"/>
        <v>458</v>
      </c>
    </row>
    <row r="18" spans="2:32" ht="23.1" customHeight="1">
      <c r="B18" s="45" t="s">
        <v>45</v>
      </c>
      <c r="C18" s="50">
        <v>30</v>
      </c>
      <c r="D18" s="50">
        <v>5</v>
      </c>
      <c r="E18" s="50">
        <v>7</v>
      </c>
      <c r="F18" s="50">
        <v>21</v>
      </c>
      <c r="G18" s="50">
        <v>0</v>
      </c>
      <c r="H18" s="50">
        <v>0</v>
      </c>
      <c r="I18" s="50">
        <v>4</v>
      </c>
      <c r="J18" s="50">
        <v>1</v>
      </c>
      <c r="K18" s="50">
        <v>0</v>
      </c>
      <c r="L18" s="50">
        <v>0</v>
      </c>
      <c r="M18" s="50">
        <v>50</v>
      </c>
      <c r="N18" s="50">
        <v>0</v>
      </c>
      <c r="O18" s="15">
        <f t="shared" si="0"/>
        <v>68</v>
      </c>
      <c r="P18" s="15">
        <f t="shared" si="1"/>
        <v>118</v>
      </c>
      <c r="R18" s="1" t="s">
        <v>14</v>
      </c>
      <c r="S18" s="17">
        <f t="shared" ref="S18:AF18" si="10">SUM(C42:C45)</f>
        <v>218</v>
      </c>
      <c r="T18" s="17">
        <f t="shared" si="10"/>
        <v>36</v>
      </c>
      <c r="U18" s="17">
        <f t="shared" si="10"/>
        <v>23</v>
      </c>
      <c r="V18" s="17">
        <f t="shared" si="10"/>
        <v>46</v>
      </c>
      <c r="W18" s="17">
        <f t="shared" si="10"/>
        <v>3</v>
      </c>
      <c r="X18" s="17">
        <f t="shared" si="10"/>
        <v>2</v>
      </c>
      <c r="Y18" s="17">
        <f t="shared" si="10"/>
        <v>39</v>
      </c>
      <c r="Z18" s="17">
        <f t="shared" si="10"/>
        <v>4</v>
      </c>
      <c r="AA18" s="17">
        <f t="shared" si="10"/>
        <v>2</v>
      </c>
      <c r="AB18" s="17">
        <f t="shared" si="10"/>
        <v>0</v>
      </c>
      <c r="AC18" s="17">
        <f t="shared" si="10"/>
        <v>155</v>
      </c>
      <c r="AD18" s="17">
        <f t="shared" si="10"/>
        <v>0</v>
      </c>
      <c r="AE18" s="31">
        <f t="shared" si="10"/>
        <v>373</v>
      </c>
      <c r="AF18" s="31">
        <f t="shared" si="10"/>
        <v>528</v>
      </c>
    </row>
    <row r="19" spans="2:32" ht="23.1" customHeight="1">
      <c r="B19" s="45" t="s">
        <v>46</v>
      </c>
      <c r="C19" s="50">
        <v>40</v>
      </c>
      <c r="D19" s="50">
        <v>10</v>
      </c>
      <c r="E19" s="50">
        <v>3</v>
      </c>
      <c r="F19" s="50">
        <v>28</v>
      </c>
      <c r="G19" s="50">
        <v>0</v>
      </c>
      <c r="H19" s="50">
        <v>0</v>
      </c>
      <c r="I19" s="50">
        <v>10</v>
      </c>
      <c r="J19" s="50">
        <v>2</v>
      </c>
      <c r="K19" s="50">
        <v>0</v>
      </c>
      <c r="L19" s="50">
        <v>0</v>
      </c>
      <c r="M19" s="50">
        <v>45</v>
      </c>
      <c r="N19" s="50">
        <v>0</v>
      </c>
      <c r="O19" s="15">
        <f t="shared" si="0"/>
        <v>93</v>
      </c>
      <c r="P19" s="15">
        <f t="shared" si="1"/>
        <v>138</v>
      </c>
      <c r="R19" s="1" t="s">
        <v>15</v>
      </c>
      <c r="S19" s="17">
        <f t="shared" ref="S19:AF19" si="11">SUM(C46:C49)</f>
        <v>251</v>
      </c>
      <c r="T19" s="17">
        <f t="shared" si="11"/>
        <v>54</v>
      </c>
      <c r="U19" s="17">
        <f t="shared" si="11"/>
        <v>29</v>
      </c>
      <c r="V19" s="17">
        <f t="shared" si="11"/>
        <v>67</v>
      </c>
      <c r="W19" s="17">
        <f t="shared" si="11"/>
        <v>1</v>
      </c>
      <c r="X19" s="17">
        <f t="shared" si="11"/>
        <v>0</v>
      </c>
      <c r="Y19" s="17">
        <f t="shared" si="11"/>
        <v>29</v>
      </c>
      <c r="Z19" s="17">
        <f t="shared" si="11"/>
        <v>1</v>
      </c>
      <c r="AA19" s="17">
        <f t="shared" si="11"/>
        <v>0</v>
      </c>
      <c r="AB19" s="17">
        <f t="shared" si="11"/>
        <v>0</v>
      </c>
      <c r="AC19" s="17">
        <f t="shared" si="11"/>
        <v>151</v>
      </c>
      <c r="AD19" s="17">
        <f t="shared" si="11"/>
        <v>0</v>
      </c>
      <c r="AE19" s="31">
        <f t="shared" si="11"/>
        <v>432</v>
      </c>
      <c r="AF19" s="31">
        <f t="shared" si="11"/>
        <v>583</v>
      </c>
    </row>
    <row r="20" spans="2:32" ht="23.1" customHeight="1">
      <c r="B20" s="45" t="s">
        <v>47</v>
      </c>
      <c r="C20" s="50">
        <v>31</v>
      </c>
      <c r="D20" s="50">
        <v>6</v>
      </c>
      <c r="E20" s="50">
        <v>5</v>
      </c>
      <c r="F20" s="50">
        <v>2</v>
      </c>
      <c r="G20" s="50">
        <v>0</v>
      </c>
      <c r="H20" s="50">
        <v>0</v>
      </c>
      <c r="I20" s="50">
        <v>10</v>
      </c>
      <c r="J20" s="50">
        <v>1</v>
      </c>
      <c r="K20" s="50">
        <v>2</v>
      </c>
      <c r="L20" s="50">
        <v>0</v>
      </c>
      <c r="M20" s="50">
        <v>65</v>
      </c>
      <c r="N20" s="50">
        <v>0</v>
      </c>
      <c r="O20" s="15">
        <f t="shared" si="0"/>
        <v>57</v>
      </c>
      <c r="P20" s="15">
        <f t="shared" si="1"/>
        <v>122</v>
      </c>
      <c r="R20" s="1" t="s">
        <v>16</v>
      </c>
      <c r="S20" s="17">
        <f t="shared" ref="S20:AF20" si="12">SUM(C50:C53)</f>
        <v>370</v>
      </c>
      <c r="T20" s="17">
        <f t="shared" si="12"/>
        <v>95</v>
      </c>
      <c r="U20" s="17">
        <f t="shared" si="12"/>
        <v>28</v>
      </c>
      <c r="V20" s="17">
        <f t="shared" si="12"/>
        <v>82</v>
      </c>
      <c r="W20" s="17">
        <f t="shared" si="12"/>
        <v>2</v>
      </c>
      <c r="X20" s="17">
        <f t="shared" si="12"/>
        <v>1</v>
      </c>
      <c r="Y20" s="17">
        <f t="shared" si="12"/>
        <v>17</v>
      </c>
      <c r="Z20" s="17">
        <f t="shared" si="12"/>
        <v>3</v>
      </c>
      <c r="AA20" s="17">
        <f t="shared" si="12"/>
        <v>1</v>
      </c>
      <c r="AB20" s="17">
        <f t="shared" si="12"/>
        <v>0</v>
      </c>
      <c r="AC20" s="17">
        <f t="shared" si="12"/>
        <v>365</v>
      </c>
      <c r="AD20" s="17">
        <f t="shared" si="12"/>
        <v>0</v>
      </c>
      <c r="AE20" s="31">
        <f t="shared" si="12"/>
        <v>599</v>
      </c>
      <c r="AF20" s="31">
        <f t="shared" si="12"/>
        <v>964</v>
      </c>
    </row>
    <row r="21" spans="2:32" ht="23.1" customHeight="1">
      <c r="B21" s="45" t="s">
        <v>48</v>
      </c>
      <c r="C21" s="50">
        <v>36</v>
      </c>
      <c r="D21" s="50">
        <v>10</v>
      </c>
      <c r="E21" s="50">
        <v>2</v>
      </c>
      <c r="F21" s="50">
        <v>27</v>
      </c>
      <c r="G21" s="50">
        <v>0</v>
      </c>
      <c r="H21" s="50">
        <v>0</v>
      </c>
      <c r="I21" s="50">
        <v>5</v>
      </c>
      <c r="J21" s="50">
        <v>0</v>
      </c>
      <c r="K21" s="50">
        <v>0</v>
      </c>
      <c r="L21" s="50">
        <v>1</v>
      </c>
      <c r="M21" s="50">
        <v>45</v>
      </c>
      <c r="N21" s="50">
        <v>0</v>
      </c>
      <c r="O21" s="15">
        <f t="shared" si="0"/>
        <v>81</v>
      </c>
      <c r="P21" s="15">
        <f t="shared" si="1"/>
        <v>126</v>
      </c>
      <c r="R21" s="36" t="s">
        <v>20</v>
      </c>
      <c r="S21" s="34">
        <f t="shared" ref="S21:AF21" si="13">SUM(C54:C57)</f>
        <v>330</v>
      </c>
      <c r="T21" s="17">
        <f t="shared" si="13"/>
        <v>40</v>
      </c>
      <c r="U21" s="17">
        <f t="shared" si="13"/>
        <v>36</v>
      </c>
      <c r="V21" s="17">
        <f t="shared" si="13"/>
        <v>97</v>
      </c>
      <c r="W21" s="17">
        <f t="shared" si="13"/>
        <v>2</v>
      </c>
      <c r="X21" s="17">
        <f t="shared" si="13"/>
        <v>3</v>
      </c>
      <c r="Y21" s="17">
        <f t="shared" si="13"/>
        <v>30</v>
      </c>
      <c r="Z21" s="17">
        <f t="shared" si="13"/>
        <v>1</v>
      </c>
      <c r="AA21" s="17">
        <f t="shared" si="13"/>
        <v>1</v>
      </c>
      <c r="AB21" s="17">
        <f t="shared" si="13"/>
        <v>0</v>
      </c>
      <c r="AC21" s="17">
        <f t="shared" si="13"/>
        <v>235</v>
      </c>
      <c r="AD21" s="17">
        <f t="shared" si="13"/>
        <v>0</v>
      </c>
      <c r="AE21" s="31">
        <f t="shared" si="13"/>
        <v>540</v>
      </c>
      <c r="AF21" s="31">
        <f t="shared" si="13"/>
        <v>775</v>
      </c>
    </row>
    <row r="22" spans="2:32" ht="23.1" customHeight="1">
      <c r="B22" s="45" t="s">
        <v>49</v>
      </c>
      <c r="C22" s="50">
        <v>18</v>
      </c>
      <c r="D22" s="50">
        <v>2</v>
      </c>
      <c r="E22" s="50">
        <v>2</v>
      </c>
      <c r="F22" s="50">
        <v>6</v>
      </c>
      <c r="G22" s="50">
        <v>2</v>
      </c>
      <c r="H22" s="50">
        <v>0</v>
      </c>
      <c r="I22" s="50">
        <v>5</v>
      </c>
      <c r="J22" s="50">
        <v>0</v>
      </c>
      <c r="K22" s="50">
        <v>0</v>
      </c>
      <c r="L22" s="50">
        <v>0</v>
      </c>
      <c r="M22" s="50">
        <v>20</v>
      </c>
      <c r="N22" s="50">
        <v>0</v>
      </c>
      <c r="O22" s="15">
        <f t="shared" si="0"/>
        <v>35</v>
      </c>
      <c r="P22" s="15">
        <f t="shared" si="1"/>
        <v>55</v>
      </c>
      <c r="R22" s="36" t="s">
        <v>146</v>
      </c>
      <c r="S22" s="34">
        <f>SUM(C58:C61)</f>
        <v>300</v>
      </c>
      <c r="T22" s="34">
        <f t="shared" ref="T22:AF22" si="14">SUM(D58:D61)</f>
        <v>92</v>
      </c>
      <c r="U22" s="34">
        <f t="shared" si="14"/>
        <v>32</v>
      </c>
      <c r="V22" s="34">
        <f t="shared" si="14"/>
        <v>68</v>
      </c>
      <c r="W22" s="34">
        <f t="shared" si="14"/>
        <v>1</v>
      </c>
      <c r="X22" s="34">
        <f t="shared" si="14"/>
        <v>0</v>
      </c>
      <c r="Y22" s="34">
        <f t="shared" si="14"/>
        <v>4</v>
      </c>
      <c r="Z22" s="34">
        <f t="shared" si="14"/>
        <v>1</v>
      </c>
      <c r="AA22" s="34">
        <f t="shared" si="14"/>
        <v>0</v>
      </c>
      <c r="AB22" s="34">
        <f t="shared" si="14"/>
        <v>0</v>
      </c>
      <c r="AC22" s="34">
        <f t="shared" si="14"/>
        <v>507</v>
      </c>
      <c r="AD22" s="34">
        <f t="shared" si="14"/>
        <v>0</v>
      </c>
      <c r="AE22" s="31">
        <f t="shared" si="14"/>
        <v>498</v>
      </c>
      <c r="AF22" s="31">
        <f t="shared" si="14"/>
        <v>1005</v>
      </c>
    </row>
    <row r="23" spans="2:32" ht="23.1" customHeight="1">
      <c r="B23" s="45" t="s">
        <v>50</v>
      </c>
      <c r="C23" s="50">
        <v>65</v>
      </c>
      <c r="D23" s="50">
        <v>10</v>
      </c>
      <c r="E23" s="50">
        <v>3</v>
      </c>
      <c r="F23" s="50">
        <v>11</v>
      </c>
      <c r="G23" s="50">
        <v>0</v>
      </c>
      <c r="H23" s="50">
        <v>0</v>
      </c>
      <c r="I23" s="50">
        <v>3</v>
      </c>
      <c r="J23" s="50">
        <v>0</v>
      </c>
      <c r="K23" s="50">
        <v>0</v>
      </c>
      <c r="L23" s="50">
        <v>1</v>
      </c>
      <c r="M23" s="50">
        <v>30</v>
      </c>
      <c r="N23" s="50">
        <v>0</v>
      </c>
      <c r="O23" s="15">
        <f t="shared" si="0"/>
        <v>93</v>
      </c>
      <c r="P23" s="15">
        <f t="shared" si="1"/>
        <v>123</v>
      </c>
      <c r="R23" s="36" t="s">
        <v>147</v>
      </c>
      <c r="S23" s="34">
        <f>SUM(C62:C65)</f>
        <v>338</v>
      </c>
      <c r="T23" s="34">
        <f t="shared" ref="T23:AF23" si="15">SUM(D62:D65)</f>
        <v>101</v>
      </c>
      <c r="U23" s="34">
        <f t="shared" si="15"/>
        <v>20</v>
      </c>
      <c r="V23" s="34">
        <f t="shared" si="15"/>
        <v>63</v>
      </c>
      <c r="W23" s="34">
        <f t="shared" si="15"/>
        <v>1</v>
      </c>
      <c r="X23" s="34">
        <f t="shared" si="15"/>
        <v>0</v>
      </c>
      <c r="Y23" s="34">
        <f t="shared" si="15"/>
        <v>15</v>
      </c>
      <c r="Z23" s="34">
        <f t="shared" si="15"/>
        <v>4</v>
      </c>
      <c r="AA23" s="34">
        <f t="shared" si="15"/>
        <v>0</v>
      </c>
      <c r="AB23" s="34">
        <f t="shared" si="15"/>
        <v>0</v>
      </c>
      <c r="AC23" s="34">
        <f t="shared" si="15"/>
        <v>308</v>
      </c>
      <c r="AD23" s="34">
        <f t="shared" si="15"/>
        <v>0</v>
      </c>
      <c r="AE23" s="31">
        <f t="shared" si="15"/>
        <v>542</v>
      </c>
      <c r="AF23" s="31">
        <f t="shared" si="15"/>
        <v>850</v>
      </c>
    </row>
    <row r="24" spans="2:32" ht="23.1" customHeight="1">
      <c r="B24" s="45" t="s">
        <v>51</v>
      </c>
      <c r="C24" s="50">
        <v>57</v>
      </c>
      <c r="D24" s="50">
        <v>3</v>
      </c>
      <c r="E24" s="50">
        <v>10</v>
      </c>
      <c r="F24" s="50">
        <v>18</v>
      </c>
      <c r="G24" s="50">
        <v>1</v>
      </c>
      <c r="H24" s="50">
        <v>0</v>
      </c>
      <c r="I24" s="50">
        <v>7</v>
      </c>
      <c r="J24" s="50">
        <v>1</v>
      </c>
      <c r="K24" s="50">
        <v>1</v>
      </c>
      <c r="L24" s="50">
        <v>0</v>
      </c>
      <c r="M24" s="50">
        <v>35</v>
      </c>
      <c r="N24" s="50">
        <v>0</v>
      </c>
      <c r="O24" s="15">
        <f t="shared" si="0"/>
        <v>98</v>
      </c>
      <c r="P24" s="15">
        <f t="shared" si="1"/>
        <v>133</v>
      </c>
      <c r="R24" s="36" t="s">
        <v>148</v>
      </c>
      <c r="S24" s="34">
        <f>SUM(C66:C69)</f>
        <v>465</v>
      </c>
      <c r="T24" s="34">
        <f t="shared" ref="T24:AF24" si="16">SUM(D66:D69)</f>
        <v>115</v>
      </c>
      <c r="U24" s="34">
        <f t="shared" si="16"/>
        <v>22</v>
      </c>
      <c r="V24" s="34">
        <f t="shared" si="16"/>
        <v>71</v>
      </c>
      <c r="W24" s="34">
        <f t="shared" si="16"/>
        <v>1</v>
      </c>
      <c r="X24" s="34">
        <f t="shared" si="16"/>
        <v>0</v>
      </c>
      <c r="Y24" s="34">
        <f t="shared" si="16"/>
        <v>13</v>
      </c>
      <c r="Z24" s="34">
        <f t="shared" si="16"/>
        <v>1</v>
      </c>
      <c r="AA24" s="34">
        <f t="shared" si="16"/>
        <v>1</v>
      </c>
      <c r="AB24" s="34">
        <f t="shared" si="16"/>
        <v>0</v>
      </c>
      <c r="AC24" s="34">
        <f t="shared" si="16"/>
        <v>297</v>
      </c>
      <c r="AD24" s="34">
        <f t="shared" si="16"/>
        <v>0</v>
      </c>
      <c r="AE24" s="31">
        <f t="shared" si="16"/>
        <v>689</v>
      </c>
      <c r="AF24" s="31">
        <f t="shared" si="16"/>
        <v>986</v>
      </c>
    </row>
    <row r="25" spans="2:32" ht="23.1" customHeight="1">
      <c r="B25" s="45" t="s">
        <v>52</v>
      </c>
      <c r="C25" s="50">
        <v>42</v>
      </c>
      <c r="D25" s="50">
        <v>10</v>
      </c>
      <c r="E25" s="50">
        <v>4</v>
      </c>
      <c r="F25" s="50">
        <v>11</v>
      </c>
      <c r="G25" s="50">
        <v>0</v>
      </c>
      <c r="H25" s="50">
        <v>0</v>
      </c>
      <c r="I25" s="50">
        <v>8</v>
      </c>
      <c r="J25" s="50">
        <v>0</v>
      </c>
      <c r="K25" s="50">
        <v>0</v>
      </c>
      <c r="L25" s="50">
        <v>0</v>
      </c>
      <c r="M25" s="50">
        <v>30</v>
      </c>
      <c r="N25" s="50">
        <v>0</v>
      </c>
      <c r="O25" s="15">
        <f t="shared" si="0"/>
        <v>75</v>
      </c>
      <c r="P25" s="15">
        <f t="shared" si="1"/>
        <v>105</v>
      </c>
      <c r="R25" s="36" t="s">
        <v>149</v>
      </c>
      <c r="S25" s="34">
        <f>SUM(C70:C73)</f>
        <v>446</v>
      </c>
      <c r="T25" s="34">
        <f t="shared" ref="T25:AF25" si="17">SUM(D70:D73)</f>
        <v>147</v>
      </c>
      <c r="U25" s="34">
        <f t="shared" si="17"/>
        <v>28</v>
      </c>
      <c r="V25" s="34">
        <f t="shared" si="17"/>
        <v>50</v>
      </c>
      <c r="W25" s="34">
        <f t="shared" si="17"/>
        <v>0</v>
      </c>
      <c r="X25" s="34">
        <f t="shared" si="17"/>
        <v>0</v>
      </c>
      <c r="Y25" s="34">
        <f t="shared" si="17"/>
        <v>11</v>
      </c>
      <c r="Z25" s="34">
        <f t="shared" si="17"/>
        <v>0</v>
      </c>
      <c r="AA25" s="34">
        <f t="shared" si="17"/>
        <v>0</v>
      </c>
      <c r="AB25" s="34">
        <f t="shared" si="17"/>
        <v>0</v>
      </c>
      <c r="AC25" s="34">
        <f t="shared" si="17"/>
        <v>337</v>
      </c>
      <c r="AD25" s="34">
        <f t="shared" si="17"/>
        <v>0</v>
      </c>
      <c r="AE25" s="31">
        <f t="shared" si="17"/>
        <v>682</v>
      </c>
      <c r="AF25" s="31">
        <f t="shared" si="17"/>
        <v>1019</v>
      </c>
    </row>
    <row r="26" spans="2:32" ht="23.1" customHeight="1">
      <c r="B26" s="45" t="s">
        <v>53</v>
      </c>
      <c r="C26" s="50">
        <v>38</v>
      </c>
      <c r="D26" s="50">
        <v>8</v>
      </c>
      <c r="E26" s="50">
        <v>1</v>
      </c>
      <c r="F26" s="50">
        <v>10</v>
      </c>
      <c r="G26" s="50">
        <v>1</v>
      </c>
      <c r="H26" s="50">
        <v>0</v>
      </c>
      <c r="I26" s="50">
        <v>5</v>
      </c>
      <c r="J26" s="50">
        <v>0</v>
      </c>
      <c r="K26" s="50">
        <v>1</v>
      </c>
      <c r="L26" s="50">
        <v>0</v>
      </c>
      <c r="M26" s="50">
        <v>25</v>
      </c>
      <c r="N26" s="50">
        <v>0</v>
      </c>
      <c r="O26" s="15">
        <f t="shared" si="0"/>
        <v>64</v>
      </c>
      <c r="P26" s="15">
        <f t="shared" si="1"/>
        <v>89</v>
      </c>
      <c r="R26" s="36" t="s">
        <v>150</v>
      </c>
      <c r="S26" s="34">
        <f>SUM(C74:C77)</f>
        <v>473</v>
      </c>
      <c r="T26" s="34">
        <f t="shared" ref="T26:AF26" si="18">SUM(D74:D77)</f>
        <v>123</v>
      </c>
      <c r="U26" s="34">
        <f t="shared" si="18"/>
        <v>21</v>
      </c>
      <c r="V26" s="34">
        <f t="shared" si="18"/>
        <v>23</v>
      </c>
      <c r="W26" s="34">
        <f t="shared" si="18"/>
        <v>1</v>
      </c>
      <c r="X26" s="34">
        <f t="shared" si="18"/>
        <v>2</v>
      </c>
      <c r="Y26" s="34">
        <f t="shared" si="18"/>
        <v>6</v>
      </c>
      <c r="Z26" s="34">
        <f t="shared" si="18"/>
        <v>2</v>
      </c>
      <c r="AA26" s="34">
        <f t="shared" si="18"/>
        <v>0</v>
      </c>
      <c r="AB26" s="34">
        <f t="shared" si="18"/>
        <v>0</v>
      </c>
      <c r="AC26" s="34">
        <f t="shared" si="18"/>
        <v>278</v>
      </c>
      <c r="AD26" s="34">
        <f t="shared" si="18"/>
        <v>0</v>
      </c>
      <c r="AE26" s="31">
        <f t="shared" si="18"/>
        <v>651</v>
      </c>
      <c r="AF26" s="31">
        <f t="shared" si="18"/>
        <v>929</v>
      </c>
    </row>
    <row r="27" spans="2:32" ht="23.1" customHeight="1">
      <c r="B27" s="45" t="s">
        <v>54</v>
      </c>
      <c r="C27" s="50">
        <v>36</v>
      </c>
      <c r="D27" s="50">
        <v>9</v>
      </c>
      <c r="E27" s="50">
        <v>3</v>
      </c>
      <c r="F27" s="50">
        <v>12</v>
      </c>
      <c r="G27" s="50">
        <v>0</v>
      </c>
      <c r="H27" s="50">
        <v>0</v>
      </c>
      <c r="I27" s="50">
        <v>7</v>
      </c>
      <c r="J27" s="50">
        <v>3</v>
      </c>
      <c r="K27" s="50">
        <v>0</v>
      </c>
      <c r="L27" s="50">
        <v>1</v>
      </c>
      <c r="M27" s="50">
        <v>20</v>
      </c>
      <c r="N27" s="50">
        <v>0</v>
      </c>
      <c r="O27" s="15">
        <f t="shared" si="0"/>
        <v>71</v>
      </c>
      <c r="P27" s="15">
        <f t="shared" si="1"/>
        <v>91</v>
      </c>
      <c r="R27" s="36" t="s">
        <v>151</v>
      </c>
      <c r="S27" s="34">
        <f>SUM(C78:C81)</f>
        <v>328</v>
      </c>
      <c r="T27" s="34">
        <f t="shared" ref="T27:AF27" si="19">SUM(D78:D81)</f>
        <v>95</v>
      </c>
      <c r="U27" s="34">
        <f t="shared" si="19"/>
        <v>21</v>
      </c>
      <c r="V27" s="34">
        <f t="shared" si="19"/>
        <v>10</v>
      </c>
      <c r="W27" s="34">
        <f t="shared" si="19"/>
        <v>0</v>
      </c>
      <c r="X27" s="34">
        <f t="shared" si="19"/>
        <v>0</v>
      </c>
      <c r="Y27" s="34">
        <f t="shared" si="19"/>
        <v>6</v>
      </c>
      <c r="Z27" s="34">
        <f t="shared" si="19"/>
        <v>0</v>
      </c>
      <c r="AA27" s="34">
        <f t="shared" si="19"/>
        <v>0</v>
      </c>
      <c r="AB27" s="34">
        <f t="shared" si="19"/>
        <v>1</v>
      </c>
      <c r="AC27" s="34">
        <f t="shared" si="19"/>
        <v>201</v>
      </c>
      <c r="AD27" s="34">
        <f t="shared" si="19"/>
        <v>0</v>
      </c>
      <c r="AE27" s="31">
        <f t="shared" si="19"/>
        <v>461</v>
      </c>
      <c r="AF27" s="31">
        <f t="shared" si="19"/>
        <v>662</v>
      </c>
    </row>
    <row r="28" spans="2:32" ht="23.1" customHeight="1">
      <c r="B28" s="45" t="s">
        <v>55</v>
      </c>
      <c r="C28" s="50">
        <v>44</v>
      </c>
      <c r="D28" s="50">
        <v>8</v>
      </c>
      <c r="E28" s="50">
        <v>5</v>
      </c>
      <c r="F28" s="50">
        <v>13</v>
      </c>
      <c r="G28" s="50">
        <v>0</v>
      </c>
      <c r="H28" s="50">
        <v>0</v>
      </c>
      <c r="I28" s="50">
        <v>16</v>
      </c>
      <c r="J28" s="50">
        <v>0</v>
      </c>
      <c r="K28" s="50">
        <v>0</v>
      </c>
      <c r="L28" s="50">
        <v>0</v>
      </c>
      <c r="M28" s="50">
        <v>35</v>
      </c>
      <c r="N28" s="50">
        <v>0</v>
      </c>
      <c r="O28" s="15">
        <f t="shared" si="0"/>
        <v>86</v>
      </c>
      <c r="P28" s="15">
        <f t="shared" si="1"/>
        <v>121</v>
      </c>
      <c r="R28" s="36" t="s">
        <v>152</v>
      </c>
      <c r="S28" s="34">
        <f>SUM(C82:C85)</f>
        <v>174</v>
      </c>
      <c r="T28" s="34">
        <f t="shared" ref="T28:AF28" si="20">SUM(D82:D85)</f>
        <v>43</v>
      </c>
      <c r="U28" s="34">
        <f t="shared" si="20"/>
        <v>4</v>
      </c>
      <c r="V28" s="34">
        <f t="shared" si="20"/>
        <v>7</v>
      </c>
      <c r="W28" s="34">
        <f t="shared" si="20"/>
        <v>0</v>
      </c>
      <c r="X28" s="34">
        <f t="shared" si="20"/>
        <v>0</v>
      </c>
      <c r="Y28" s="34">
        <f t="shared" si="20"/>
        <v>3</v>
      </c>
      <c r="Z28" s="34">
        <f t="shared" si="20"/>
        <v>0</v>
      </c>
      <c r="AA28" s="34">
        <f t="shared" si="20"/>
        <v>0</v>
      </c>
      <c r="AB28" s="34">
        <f t="shared" si="20"/>
        <v>0</v>
      </c>
      <c r="AC28" s="34">
        <f t="shared" si="20"/>
        <v>113</v>
      </c>
      <c r="AD28" s="34">
        <f t="shared" si="20"/>
        <v>0</v>
      </c>
      <c r="AE28" s="31">
        <f t="shared" si="20"/>
        <v>231</v>
      </c>
      <c r="AF28" s="31">
        <f t="shared" si="20"/>
        <v>344</v>
      </c>
    </row>
    <row r="29" spans="2:32" ht="23.1" customHeight="1">
      <c r="B29" s="45" t="s">
        <v>56</v>
      </c>
      <c r="C29" s="50">
        <v>45</v>
      </c>
      <c r="D29" s="50">
        <v>10</v>
      </c>
      <c r="E29" s="50">
        <v>2</v>
      </c>
      <c r="F29" s="50">
        <v>15</v>
      </c>
      <c r="G29" s="50">
        <v>0</v>
      </c>
      <c r="H29" s="50">
        <v>0</v>
      </c>
      <c r="I29" s="50">
        <v>8</v>
      </c>
      <c r="J29" s="50">
        <v>0</v>
      </c>
      <c r="K29" s="50">
        <v>0</v>
      </c>
      <c r="L29" s="50">
        <v>0</v>
      </c>
      <c r="M29" s="50">
        <v>35</v>
      </c>
      <c r="N29" s="50">
        <v>0</v>
      </c>
      <c r="O29" s="15">
        <f t="shared" si="0"/>
        <v>80</v>
      </c>
      <c r="P29" s="15">
        <f t="shared" si="1"/>
        <v>115</v>
      </c>
      <c r="R29" s="36" t="s">
        <v>153</v>
      </c>
      <c r="S29" s="34">
        <f>SUM(C86:C89)</f>
        <v>189</v>
      </c>
      <c r="T29" s="34">
        <f t="shared" ref="T29:AF29" si="21">SUM(D86:D89)</f>
        <v>57</v>
      </c>
      <c r="U29" s="34">
        <f t="shared" si="21"/>
        <v>4</v>
      </c>
      <c r="V29" s="34">
        <f t="shared" si="21"/>
        <v>2</v>
      </c>
      <c r="W29" s="34">
        <f t="shared" si="21"/>
        <v>0</v>
      </c>
      <c r="X29" s="34">
        <f t="shared" si="21"/>
        <v>0</v>
      </c>
      <c r="Y29" s="34">
        <f t="shared" si="21"/>
        <v>1</v>
      </c>
      <c r="Z29" s="34">
        <f t="shared" si="21"/>
        <v>2</v>
      </c>
      <c r="AA29" s="34">
        <f t="shared" si="21"/>
        <v>0</v>
      </c>
      <c r="AB29" s="34">
        <f t="shared" si="21"/>
        <v>0</v>
      </c>
      <c r="AC29" s="34">
        <f t="shared" si="21"/>
        <v>89</v>
      </c>
      <c r="AD29" s="34">
        <f t="shared" si="21"/>
        <v>0</v>
      </c>
      <c r="AE29" s="31">
        <f t="shared" si="21"/>
        <v>255</v>
      </c>
      <c r="AF29" s="31">
        <f t="shared" si="21"/>
        <v>344</v>
      </c>
    </row>
    <row r="30" spans="2:32" ht="23.1" customHeight="1">
      <c r="B30" s="45" t="s">
        <v>57</v>
      </c>
      <c r="C30" s="50">
        <v>31</v>
      </c>
      <c r="D30" s="50">
        <v>7</v>
      </c>
      <c r="E30" s="50">
        <v>3</v>
      </c>
      <c r="F30" s="50">
        <v>20</v>
      </c>
      <c r="G30" s="50">
        <v>3</v>
      </c>
      <c r="H30" s="50">
        <v>0</v>
      </c>
      <c r="I30" s="50">
        <v>5</v>
      </c>
      <c r="J30" s="50">
        <v>1</v>
      </c>
      <c r="K30" s="50">
        <v>2</v>
      </c>
      <c r="L30" s="50">
        <v>0</v>
      </c>
      <c r="M30" s="50">
        <v>35</v>
      </c>
      <c r="N30" s="50">
        <v>0</v>
      </c>
      <c r="O30" s="15">
        <f t="shared" si="0"/>
        <v>72</v>
      </c>
      <c r="P30" s="15">
        <f t="shared" si="1"/>
        <v>107</v>
      </c>
      <c r="R30" s="36" t="s">
        <v>154</v>
      </c>
      <c r="S30" s="34">
        <f>SUM(C90:C93)</f>
        <v>144</v>
      </c>
      <c r="T30" s="34">
        <f t="shared" ref="T30:AF30" si="22">SUM(D90:D93)</f>
        <v>32</v>
      </c>
      <c r="U30" s="34">
        <f t="shared" si="22"/>
        <v>8</v>
      </c>
      <c r="V30" s="34">
        <f t="shared" si="22"/>
        <v>3</v>
      </c>
      <c r="W30" s="34">
        <f t="shared" si="22"/>
        <v>0</v>
      </c>
      <c r="X30" s="34">
        <f t="shared" si="22"/>
        <v>0</v>
      </c>
      <c r="Y30" s="34">
        <f t="shared" si="22"/>
        <v>3</v>
      </c>
      <c r="Z30" s="34">
        <f t="shared" si="22"/>
        <v>1</v>
      </c>
      <c r="AA30" s="34">
        <f t="shared" si="22"/>
        <v>1</v>
      </c>
      <c r="AB30" s="34">
        <f t="shared" si="22"/>
        <v>0</v>
      </c>
      <c r="AC30" s="34">
        <f t="shared" si="22"/>
        <v>85</v>
      </c>
      <c r="AD30" s="34">
        <f t="shared" si="22"/>
        <v>0</v>
      </c>
      <c r="AE30" s="31">
        <f t="shared" si="22"/>
        <v>192</v>
      </c>
      <c r="AF30" s="31">
        <f t="shared" si="22"/>
        <v>277</v>
      </c>
    </row>
    <row r="31" spans="2:32" ht="23.1" customHeight="1">
      <c r="B31" s="46" t="s">
        <v>58</v>
      </c>
      <c r="C31" s="50">
        <v>31</v>
      </c>
      <c r="D31" s="50">
        <v>7</v>
      </c>
      <c r="E31" s="50">
        <v>5</v>
      </c>
      <c r="F31" s="50">
        <v>10</v>
      </c>
      <c r="G31" s="50">
        <v>1</v>
      </c>
      <c r="H31" s="50">
        <v>0</v>
      </c>
      <c r="I31" s="50">
        <v>5</v>
      </c>
      <c r="J31" s="50">
        <v>0</v>
      </c>
      <c r="K31" s="50">
        <v>1</v>
      </c>
      <c r="L31" s="50">
        <v>1</v>
      </c>
      <c r="M31" s="50">
        <v>40</v>
      </c>
      <c r="N31" s="50">
        <v>0</v>
      </c>
      <c r="O31" s="15">
        <f t="shared" si="0"/>
        <v>61</v>
      </c>
      <c r="P31" s="15">
        <f t="shared" si="1"/>
        <v>101</v>
      </c>
      <c r="R31" s="36" t="s">
        <v>155</v>
      </c>
      <c r="S31" s="34">
        <f>SUM(C94:C97)</f>
        <v>84</v>
      </c>
      <c r="T31" s="34">
        <f t="shared" ref="T31:AF31" si="23">SUM(D94:D97)</f>
        <v>33</v>
      </c>
      <c r="U31" s="34">
        <f t="shared" si="23"/>
        <v>7</v>
      </c>
      <c r="V31" s="34">
        <f t="shared" si="23"/>
        <v>0</v>
      </c>
      <c r="W31" s="34">
        <f t="shared" si="23"/>
        <v>0</v>
      </c>
      <c r="X31" s="34">
        <f t="shared" si="23"/>
        <v>0</v>
      </c>
      <c r="Y31" s="34">
        <f t="shared" si="23"/>
        <v>3</v>
      </c>
      <c r="Z31" s="34">
        <f t="shared" si="23"/>
        <v>0</v>
      </c>
      <c r="AA31" s="34">
        <f t="shared" si="23"/>
        <v>0</v>
      </c>
      <c r="AB31" s="34">
        <f t="shared" si="23"/>
        <v>0</v>
      </c>
      <c r="AC31" s="34">
        <f t="shared" si="23"/>
        <v>79</v>
      </c>
      <c r="AD31" s="34">
        <f t="shared" si="23"/>
        <v>0</v>
      </c>
      <c r="AE31" s="31">
        <f t="shared" si="23"/>
        <v>127</v>
      </c>
      <c r="AF31" s="31">
        <f t="shared" si="23"/>
        <v>206</v>
      </c>
    </row>
    <row r="32" spans="2:32" ht="23.1" customHeight="1">
      <c r="B32" s="46" t="s">
        <v>59</v>
      </c>
      <c r="C32" s="50">
        <v>36</v>
      </c>
      <c r="D32" s="50">
        <v>14</v>
      </c>
      <c r="E32" s="50">
        <v>2</v>
      </c>
      <c r="F32" s="50">
        <v>9</v>
      </c>
      <c r="G32" s="50">
        <v>0</v>
      </c>
      <c r="H32" s="50">
        <v>0</v>
      </c>
      <c r="I32" s="50">
        <v>6</v>
      </c>
      <c r="J32" s="50">
        <v>0</v>
      </c>
      <c r="K32" s="50">
        <v>0</v>
      </c>
      <c r="L32" s="50">
        <v>0</v>
      </c>
      <c r="M32" s="50">
        <v>30</v>
      </c>
      <c r="N32" s="50">
        <v>0</v>
      </c>
      <c r="O32" s="15">
        <f t="shared" si="0"/>
        <v>67</v>
      </c>
      <c r="P32" s="15">
        <f t="shared" si="1"/>
        <v>97</v>
      </c>
      <c r="R32" s="33" t="s">
        <v>156</v>
      </c>
      <c r="S32" s="34">
        <f>SUM(C98:C101)</f>
        <v>72</v>
      </c>
      <c r="T32" s="34">
        <f t="shared" ref="T32:AF32" si="24">SUM(D98:D101)</f>
        <v>18</v>
      </c>
      <c r="U32" s="34">
        <f t="shared" si="24"/>
        <v>8</v>
      </c>
      <c r="V32" s="34">
        <f t="shared" si="24"/>
        <v>10</v>
      </c>
      <c r="W32" s="34">
        <f t="shared" si="24"/>
        <v>0</v>
      </c>
      <c r="X32" s="34">
        <f t="shared" si="24"/>
        <v>0</v>
      </c>
      <c r="Y32" s="34">
        <f t="shared" si="24"/>
        <v>0</v>
      </c>
      <c r="Z32" s="34">
        <f t="shared" si="24"/>
        <v>1</v>
      </c>
      <c r="AA32" s="34">
        <f t="shared" si="24"/>
        <v>0</v>
      </c>
      <c r="AB32" s="34">
        <f t="shared" si="24"/>
        <v>0</v>
      </c>
      <c r="AC32" s="34">
        <f t="shared" si="24"/>
        <v>68</v>
      </c>
      <c r="AD32" s="34">
        <f t="shared" si="24"/>
        <v>0</v>
      </c>
      <c r="AE32" s="31">
        <f t="shared" si="24"/>
        <v>109</v>
      </c>
      <c r="AF32" s="31">
        <f t="shared" si="24"/>
        <v>177</v>
      </c>
    </row>
    <row r="33" spans="2:32" ht="23.1" customHeight="1">
      <c r="B33" s="45" t="s">
        <v>60</v>
      </c>
      <c r="C33" s="50">
        <v>12</v>
      </c>
      <c r="D33" s="50">
        <v>6</v>
      </c>
      <c r="E33" s="50">
        <v>5</v>
      </c>
      <c r="F33" s="50">
        <v>11</v>
      </c>
      <c r="G33" s="50">
        <v>0</v>
      </c>
      <c r="H33" s="50">
        <v>0</v>
      </c>
      <c r="I33" s="50">
        <v>5</v>
      </c>
      <c r="J33" s="50">
        <v>0</v>
      </c>
      <c r="K33" s="50">
        <v>0</v>
      </c>
      <c r="L33" s="50">
        <v>0</v>
      </c>
      <c r="M33" s="50">
        <v>35</v>
      </c>
      <c r="N33" s="50">
        <v>0</v>
      </c>
      <c r="O33" s="15">
        <f t="shared" si="0"/>
        <v>39</v>
      </c>
      <c r="P33" s="15">
        <f t="shared" si="1"/>
        <v>74</v>
      </c>
      <c r="R33" s="33" t="s">
        <v>157</v>
      </c>
      <c r="S33" s="34">
        <f>SUM(C102:C105)</f>
        <v>82</v>
      </c>
      <c r="T33" s="34">
        <f t="shared" ref="T33:AF33" si="25">SUM(D102:D105)</f>
        <v>11</v>
      </c>
      <c r="U33" s="34">
        <f t="shared" si="25"/>
        <v>2</v>
      </c>
      <c r="V33" s="34">
        <f t="shared" si="25"/>
        <v>37</v>
      </c>
      <c r="W33" s="34">
        <f t="shared" si="25"/>
        <v>0</v>
      </c>
      <c r="X33" s="34">
        <f t="shared" si="25"/>
        <v>0</v>
      </c>
      <c r="Y33" s="34">
        <f t="shared" si="25"/>
        <v>3</v>
      </c>
      <c r="Z33" s="34">
        <f t="shared" si="25"/>
        <v>2</v>
      </c>
      <c r="AA33" s="34">
        <f t="shared" si="25"/>
        <v>0</v>
      </c>
      <c r="AB33" s="34">
        <f t="shared" si="25"/>
        <v>0</v>
      </c>
      <c r="AC33" s="34">
        <f t="shared" si="25"/>
        <v>114</v>
      </c>
      <c r="AD33" s="34">
        <f t="shared" si="25"/>
        <v>0</v>
      </c>
      <c r="AE33" s="31">
        <f t="shared" si="25"/>
        <v>137</v>
      </c>
      <c r="AF33" s="31">
        <f t="shared" si="25"/>
        <v>251</v>
      </c>
    </row>
    <row r="34" spans="2:32" ht="23.1" customHeight="1">
      <c r="B34" s="46" t="s">
        <v>61</v>
      </c>
      <c r="C34" s="50">
        <v>8</v>
      </c>
      <c r="D34" s="50">
        <v>7</v>
      </c>
      <c r="E34" s="50">
        <v>5</v>
      </c>
      <c r="F34" s="50">
        <v>10</v>
      </c>
      <c r="G34" s="50">
        <v>1</v>
      </c>
      <c r="H34" s="50">
        <v>0</v>
      </c>
      <c r="I34" s="50">
        <v>7</v>
      </c>
      <c r="J34" s="50">
        <v>1</v>
      </c>
      <c r="K34" s="50">
        <v>0</v>
      </c>
      <c r="L34" s="50">
        <v>0</v>
      </c>
      <c r="M34" s="50">
        <v>40</v>
      </c>
      <c r="N34" s="50">
        <v>0</v>
      </c>
      <c r="O34" s="15">
        <f t="shared" si="0"/>
        <v>39</v>
      </c>
      <c r="P34" s="15">
        <f t="shared" si="1"/>
        <v>79</v>
      </c>
      <c r="R34" s="38" t="s">
        <v>90</v>
      </c>
      <c r="S34" s="39">
        <f t="shared" ref="S34:AF34" si="26">MAX(S10:S12)</f>
        <v>161</v>
      </c>
      <c r="T34" s="39">
        <f t="shared" si="26"/>
        <v>31</v>
      </c>
      <c r="U34" s="39">
        <f t="shared" si="26"/>
        <v>17</v>
      </c>
      <c r="V34" s="39">
        <f t="shared" si="26"/>
        <v>123</v>
      </c>
      <c r="W34" s="39">
        <f t="shared" si="26"/>
        <v>3</v>
      </c>
      <c r="X34" s="39">
        <f t="shared" si="26"/>
        <v>1</v>
      </c>
      <c r="Y34" s="39">
        <f t="shared" si="26"/>
        <v>32</v>
      </c>
      <c r="Z34" s="39">
        <f t="shared" si="26"/>
        <v>4</v>
      </c>
      <c r="AA34" s="39">
        <f t="shared" si="26"/>
        <v>4</v>
      </c>
      <c r="AB34" s="39">
        <f t="shared" si="26"/>
        <v>1</v>
      </c>
      <c r="AC34" s="39">
        <f t="shared" si="26"/>
        <v>205</v>
      </c>
      <c r="AD34" s="39">
        <f t="shared" si="26"/>
        <v>0</v>
      </c>
      <c r="AE34" s="40">
        <f t="shared" si="26"/>
        <v>362</v>
      </c>
      <c r="AF34" s="40">
        <f t="shared" si="26"/>
        <v>537</v>
      </c>
    </row>
    <row r="35" spans="2:32" ht="23.1" customHeight="1">
      <c r="B35" s="46" t="s">
        <v>62</v>
      </c>
      <c r="C35" s="50">
        <v>20</v>
      </c>
      <c r="D35" s="50">
        <v>8</v>
      </c>
      <c r="E35" s="50">
        <v>1</v>
      </c>
      <c r="F35" s="50">
        <v>11</v>
      </c>
      <c r="G35" s="50">
        <v>0</v>
      </c>
      <c r="H35" s="50">
        <v>0</v>
      </c>
      <c r="I35" s="50">
        <v>2</v>
      </c>
      <c r="J35" s="50">
        <v>1</v>
      </c>
      <c r="K35" s="50">
        <v>0</v>
      </c>
      <c r="L35" s="50">
        <v>0</v>
      </c>
      <c r="M35" s="50">
        <v>54</v>
      </c>
      <c r="N35" s="50">
        <v>0</v>
      </c>
      <c r="O35" s="15">
        <f t="shared" si="0"/>
        <v>43</v>
      </c>
      <c r="P35" s="15">
        <f t="shared" si="1"/>
        <v>97</v>
      </c>
      <c r="R35" s="38" t="s">
        <v>91</v>
      </c>
      <c r="S35" s="39">
        <f t="shared" ref="S35:AF35" si="27">MAX(S13:S18)</f>
        <v>218</v>
      </c>
      <c r="T35" s="39">
        <f t="shared" si="27"/>
        <v>83</v>
      </c>
      <c r="U35" s="39">
        <f t="shared" si="27"/>
        <v>23</v>
      </c>
      <c r="V35" s="39">
        <f t="shared" si="27"/>
        <v>54</v>
      </c>
      <c r="W35" s="39">
        <f t="shared" si="27"/>
        <v>4</v>
      </c>
      <c r="X35" s="39">
        <f t="shared" si="27"/>
        <v>2</v>
      </c>
      <c r="Y35" s="39">
        <f t="shared" si="27"/>
        <v>41</v>
      </c>
      <c r="Z35" s="39">
        <f t="shared" si="27"/>
        <v>5</v>
      </c>
      <c r="AA35" s="39">
        <f t="shared" si="27"/>
        <v>3</v>
      </c>
      <c r="AB35" s="39">
        <f t="shared" si="27"/>
        <v>1</v>
      </c>
      <c r="AC35" s="39">
        <f t="shared" si="27"/>
        <v>159</v>
      </c>
      <c r="AD35" s="39">
        <f t="shared" si="27"/>
        <v>0</v>
      </c>
      <c r="AE35" s="40">
        <f t="shared" si="27"/>
        <v>373</v>
      </c>
      <c r="AF35" s="40">
        <f t="shared" si="27"/>
        <v>528</v>
      </c>
    </row>
    <row r="36" spans="2:32" ht="23.1" customHeight="1">
      <c r="B36" s="46" t="s">
        <v>63</v>
      </c>
      <c r="C36" s="50">
        <v>36</v>
      </c>
      <c r="D36" s="50">
        <v>15</v>
      </c>
      <c r="E36" s="50">
        <v>2</v>
      </c>
      <c r="F36" s="50">
        <v>18</v>
      </c>
      <c r="G36" s="50">
        <v>2</v>
      </c>
      <c r="H36" s="50">
        <v>0</v>
      </c>
      <c r="I36" s="50">
        <v>1</v>
      </c>
      <c r="J36" s="50">
        <v>3</v>
      </c>
      <c r="K36" s="50">
        <v>0</v>
      </c>
      <c r="L36" s="50">
        <v>1</v>
      </c>
      <c r="M36" s="50">
        <v>35</v>
      </c>
      <c r="N36" s="50">
        <v>0</v>
      </c>
      <c r="O36" s="15">
        <f t="shared" si="0"/>
        <v>78</v>
      </c>
      <c r="P36" s="15">
        <f t="shared" si="1"/>
        <v>113</v>
      </c>
      <c r="R36" s="38" t="s">
        <v>92</v>
      </c>
      <c r="S36" s="39">
        <f t="shared" ref="S36:AF36" si="28">MAX(S19:S21)</f>
        <v>370</v>
      </c>
      <c r="T36" s="39">
        <f t="shared" si="28"/>
        <v>95</v>
      </c>
      <c r="U36" s="39">
        <f t="shared" si="28"/>
        <v>36</v>
      </c>
      <c r="V36" s="39">
        <f t="shared" si="28"/>
        <v>97</v>
      </c>
      <c r="W36" s="39">
        <f t="shared" si="28"/>
        <v>2</v>
      </c>
      <c r="X36" s="39">
        <f t="shared" si="28"/>
        <v>3</v>
      </c>
      <c r="Y36" s="39">
        <f t="shared" si="28"/>
        <v>30</v>
      </c>
      <c r="Z36" s="39">
        <f t="shared" si="28"/>
        <v>3</v>
      </c>
      <c r="AA36" s="39">
        <f t="shared" si="28"/>
        <v>1</v>
      </c>
      <c r="AB36" s="39">
        <f t="shared" si="28"/>
        <v>0</v>
      </c>
      <c r="AC36" s="39">
        <f t="shared" si="28"/>
        <v>365</v>
      </c>
      <c r="AD36" s="39">
        <f t="shared" si="28"/>
        <v>0</v>
      </c>
      <c r="AE36" s="40">
        <f t="shared" si="28"/>
        <v>599</v>
      </c>
      <c r="AF36" s="40">
        <f t="shared" si="28"/>
        <v>964</v>
      </c>
    </row>
    <row r="37" spans="2:32" ht="23.1" customHeight="1">
      <c r="B37" s="45" t="s">
        <v>64</v>
      </c>
      <c r="C37" s="50">
        <v>30</v>
      </c>
      <c r="D37" s="50">
        <v>10</v>
      </c>
      <c r="E37" s="50">
        <v>2</v>
      </c>
      <c r="F37" s="50">
        <v>15</v>
      </c>
      <c r="G37" s="50">
        <v>0</v>
      </c>
      <c r="H37" s="50">
        <v>0</v>
      </c>
      <c r="I37" s="50">
        <v>2</v>
      </c>
      <c r="J37" s="50">
        <v>0</v>
      </c>
      <c r="K37" s="50">
        <v>0</v>
      </c>
      <c r="L37" s="50">
        <v>0</v>
      </c>
      <c r="M37" s="50">
        <v>30</v>
      </c>
      <c r="N37" s="50">
        <v>0</v>
      </c>
      <c r="O37" s="15">
        <f t="shared" si="0"/>
        <v>59</v>
      </c>
      <c r="P37" s="15">
        <f t="shared" si="1"/>
        <v>89</v>
      </c>
      <c r="R37" s="37" t="s">
        <v>85</v>
      </c>
      <c r="S37" s="35">
        <f t="shared" ref="S37:AF37" si="29">SUM(S10:S12)</f>
        <v>391</v>
      </c>
      <c r="T37" s="16">
        <f t="shared" si="29"/>
        <v>80</v>
      </c>
      <c r="U37" s="16">
        <f t="shared" si="29"/>
        <v>46</v>
      </c>
      <c r="V37" s="16">
        <f t="shared" si="29"/>
        <v>284</v>
      </c>
      <c r="W37" s="16">
        <f t="shared" si="29"/>
        <v>3</v>
      </c>
      <c r="X37" s="16">
        <f t="shared" si="29"/>
        <v>1</v>
      </c>
      <c r="Y37" s="16">
        <f t="shared" si="29"/>
        <v>74</v>
      </c>
      <c r="Z37" s="16">
        <f t="shared" si="29"/>
        <v>9</v>
      </c>
      <c r="AA37" s="16">
        <f t="shared" si="29"/>
        <v>7</v>
      </c>
      <c r="AB37" s="16">
        <f t="shared" si="29"/>
        <v>1</v>
      </c>
      <c r="AC37" s="16">
        <f t="shared" si="29"/>
        <v>471</v>
      </c>
      <c r="AD37" s="16">
        <f t="shared" si="29"/>
        <v>0</v>
      </c>
      <c r="AE37" s="32">
        <f t="shared" si="29"/>
        <v>896</v>
      </c>
      <c r="AF37" s="32">
        <f t="shared" si="29"/>
        <v>1367</v>
      </c>
    </row>
    <row r="38" spans="2:32" ht="23.1" customHeight="1">
      <c r="B38" s="46" t="s">
        <v>65</v>
      </c>
      <c r="C38" s="50">
        <v>60</v>
      </c>
      <c r="D38" s="50">
        <v>44</v>
      </c>
      <c r="E38" s="50">
        <v>3</v>
      </c>
      <c r="F38" s="50">
        <v>16</v>
      </c>
      <c r="G38" s="50">
        <v>0</v>
      </c>
      <c r="H38" s="50">
        <v>0</v>
      </c>
      <c r="I38" s="50">
        <v>6</v>
      </c>
      <c r="J38" s="50">
        <v>1</v>
      </c>
      <c r="K38" s="50">
        <v>0</v>
      </c>
      <c r="L38" s="50">
        <v>1</v>
      </c>
      <c r="M38" s="50">
        <v>25</v>
      </c>
      <c r="N38" s="50">
        <v>0</v>
      </c>
      <c r="O38" s="15">
        <f t="shared" si="0"/>
        <v>131</v>
      </c>
      <c r="P38" s="15">
        <f t="shared" si="1"/>
        <v>156</v>
      </c>
      <c r="R38" s="28" t="s">
        <v>86</v>
      </c>
      <c r="S38" s="16">
        <f t="shared" ref="S38:AF38" si="30">SUM(S13:S18)</f>
        <v>903</v>
      </c>
      <c r="T38" s="16">
        <f t="shared" si="30"/>
        <v>253</v>
      </c>
      <c r="U38" s="16">
        <f t="shared" si="30"/>
        <v>87</v>
      </c>
      <c r="V38" s="16">
        <f t="shared" si="30"/>
        <v>296</v>
      </c>
      <c r="W38" s="16">
        <f t="shared" si="30"/>
        <v>14</v>
      </c>
      <c r="X38" s="16">
        <f t="shared" si="30"/>
        <v>3</v>
      </c>
      <c r="Y38" s="16">
        <f t="shared" si="30"/>
        <v>172</v>
      </c>
      <c r="Z38" s="16">
        <f t="shared" si="30"/>
        <v>16</v>
      </c>
      <c r="AA38" s="16">
        <f t="shared" si="30"/>
        <v>7</v>
      </c>
      <c r="AB38" s="16">
        <f t="shared" si="30"/>
        <v>5</v>
      </c>
      <c r="AC38" s="16">
        <f t="shared" si="30"/>
        <v>819</v>
      </c>
      <c r="AD38" s="16">
        <f t="shared" si="30"/>
        <v>0</v>
      </c>
      <c r="AE38" s="32">
        <f t="shared" si="30"/>
        <v>1756</v>
      </c>
      <c r="AF38" s="32">
        <f t="shared" si="30"/>
        <v>2575</v>
      </c>
    </row>
    <row r="39" spans="2:32" ht="23.1" customHeight="1">
      <c r="B39" s="46" t="s">
        <v>66</v>
      </c>
      <c r="C39" s="50">
        <v>35</v>
      </c>
      <c r="D39" s="50">
        <v>20</v>
      </c>
      <c r="E39" s="50">
        <v>2</v>
      </c>
      <c r="F39" s="50">
        <v>8</v>
      </c>
      <c r="G39" s="50">
        <v>0</v>
      </c>
      <c r="H39" s="50">
        <v>0</v>
      </c>
      <c r="I39" s="50">
        <v>14</v>
      </c>
      <c r="J39" s="50">
        <v>1</v>
      </c>
      <c r="K39" s="50">
        <v>0</v>
      </c>
      <c r="L39" s="50">
        <v>0</v>
      </c>
      <c r="M39" s="50">
        <v>35</v>
      </c>
      <c r="N39" s="50">
        <v>0</v>
      </c>
      <c r="O39" s="15">
        <f t="shared" si="0"/>
        <v>80</v>
      </c>
      <c r="P39" s="15">
        <f t="shared" si="1"/>
        <v>115</v>
      </c>
      <c r="R39" s="29" t="s">
        <v>87</v>
      </c>
      <c r="S39" s="16">
        <f t="shared" ref="S39:AF39" si="31">SUM(S19:S21)</f>
        <v>951</v>
      </c>
      <c r="T39" s="16">
        <f t="shared" si="31"/>
        <v>189</v>
      </c>
      <c r="U39" s="16">
        <f t="shared" si="31"/>
        <v>93</v>
      </c>
      <c r="V39" s="16">
        <f t="shared" si="31"/>
        <v>246</v>
      </c>
      <c r="W39" s="16">
        <f t="shared" si="31"/>
        <v>5</v>
      </c>
      <c r="X39" s="16">
        <f t="shared" si="31"/>
        <v>4</v>
      </c>
      <c r="Y39" s="16">
        <f t="shared" si="31"/>
        <v>76</v>
      </c>
      <c r="Z39" s="16">
        <f t="shared" si="31"/>
        <v>5</v>
      </c>
      <c r="AA39" s="16">
        <f t="shared" si="31"/>
        <v>2</v>
      </c>
      <c r="AB39" s="16">
        <f t="shared" si="31"/>
        <v>0</v>
      </c>
      <c r="AC39" s="16">
        <f t="shared" si="31"/>
        <v>751</v>
      </c>
      <c r="AD39" s="16">
        <f t="shared" si="31"/>
        <v>0</v>
      </c>
      <c r="AE39" s="32">
        <f t="shared" si="31"/>
        <v>1571</v>
      </c>
      <c r="AF39" s="32">
        <f t="shared" si="31"/>
        <v>2322</v>
      </c>
    </row>
    <row r="40" spans="2:32" ht="23.1" customHeight="1">
      <c r="B40" s="46" t="s">
        <v>67</v>
      </c>
      <c r="C40" s="50">
        <v>26</v>
      </c>
      <c r="D40" s="50">
        <v>3</v>
      </c>
      <c r="E40" s="50">
        <v>1</v>
      </c>
      <c r="F40" s="50">
        <v>6</v>
      </c>
      <c r="G40" s="50">
        <v>0</v>
      </c>
      <c r="H40" s="50">
        <v>0</v>
      </c>
      <c r="I40" s="50">
        <v>1</v>
      </c>
      <c r="J40" s="50">
        <v>0</v>
      </c>
      <c r="K40" s="50">
        <v>0</v>
      </c>
      <c r="L40" s="50">
        <v>0</v>
      </c>
      <c r="M40" s="50">
        <v>45</v>
      </c>
      <c r="N40" s="50">
        <v>0</v>
      </c>
      <c r="O40" s="15">
        <f t="shared" si="0"/>
        <v>37</v>
      </c>
      <c r="P40" s="15">
        <f t="shared" si="1"/>
        <v>82</v>
      </c>
      <c r="R40" s="5" t="s">
        <v>17</v>
      </c>
      <c r="S40" s="16">
        <f t="shared" ref="S40:AF40" si="32">SUM(S10:S21)</f>
        <v>2245</v>
      </c>
      <c r="T40" s="16">
        <f t="shared" si="32"/>
        <v>522</v>
      </c>
      <c r="U40" s="16">
        <f t="shared" si="32"/>
        <v>226</v>
      </c>
      <c r="V40" s="16">
        <f t="shared" si="32"/>
        <v>826</v>
      </c>
      <c r="W40" s="16">
        <f t="shared" si="32"/>
        <v>22</v>
      </c>
      <c r="X40" s="16">
        <f t="shared" si="32"/>
        <v>8</v>
      </c>
      <c r="Y40" s="16">
        <f t="shared" si="32"/>
        <v>322</v>
      </c>
      <c r="Z40" s="16">
        <f t="shared" si="32"/>
        <v>30</v>
      </c>
      <c r="AA40" s="16">
        <f t="shared" si="32"/>
        <v>16</v>
      </c>
      <c r="AB40" s="16">
        <f t="shared" si="32"/>
        <v>6</v>
      </c>
      <c r="AC40" s="16">
        <f t="shared" si="32"/>
        <v>2041</v>
      </c>
      <c r="AD40" s="16">
        <f t="shared" si="32"/>
        <v>0</v>
      </c>
      <c r="AE40" s="32">
        <f t="shared" si="32"/>
        <v>4223</v>
      </c>
      <c r="AF40" s="32">
        <f t="shared" si="32"/>
        <v>6264</v>
      </c>
    </row>
    <row r="41" spans="2:32" ht="23.1" customHeight="1">
      <c r="B41" s="45" t="s">
        <v>68</v>
      </c>
      <c r="C41" s="50">
        <v>15</v>
      </c>
      <c r="D41" s="50">
        <v>16</v>
      </c>
      <c r="E41" s="50">
        <v>3</v>
      </c>
      <c r="F41" s="50">
        <v>20</v>
      </c>
      <c r="G41" s="50">
        <v>0</v>
      </c>
      <c r="H41" s="50">
        <v>1</v>
      </c>
      <c r="I41" s="50">
        <v>20</v>
      </c>
      <c r="J41" s="50">
        <v>0</v>
      </c>
      <c r="K41" s="50">
        <v>0</v>
      </c>
      <c r="L41" s="50">
        <v>0</v>
      </c>
      <c r="M41" s="50">
        <v>30</v>
      </c>
      <c r="N41" s="50">
        <v>0</v>
      </c>
      <c r="O41" s="15">
        <f t="shared" si="0"/>
        <v>75</v>
      </c>
      <c r="P41" s="15">
        <f t="shared" si="1"/>
        <v>105</v>
      </c>
      <c r="R41" s="5" t="s">
        <v>159</v>
      </c>
      <c r="S41" s="16">
        <f>SUM(S10:S33)</f>
        <v>5340</v>
      </c>
      <c r="T41" s="16">
        <f t="shared" ref="T41:AF41" si="33">SUM(T10:T33)</f>
        <v>1389</v>
      </c>
      <c r="U41" s="16">
        <f t="shared" si="33"/>
        <v>403</v>
      </c>
      <c r="V41" s="16">
        <f t="shared" si="33"/>
        <v>1170</v>
      </c>
      <c r="W41" s="16">
        <f t="shared" si="33"/>
        <v>26</v>
      </c>
      <c r="X41" s="16">
        <f t="shared" si="33"/>
        <v>10</v>
      </c>
      <c r="Y41" s="16">
        <f t="shared" si="33"/>
        <v>390</v>
      </c>
      <c r="Z41" s="16">
        <f t="shared" si="33"/>
        <v>44</v>
      </c>
      <c r="AA41" s="16">
        <f t="shared" si="33"/>
        <v>18</v>
      </c>
      <c r="AB41" s="16">
        <f t="shared" si="33"/>
        <v>7</v>
      </c>
      <c r="AC41" s="16">
        <f t="shared" si="33"/>
        <v>4517</v>
      </c>
      <c r="AD41" s="16">
        <f t="shared" si="33"/>
        <v>0</v>
      </c>
      <c r="AE41" s="32">
        <f t="shared" si="33"/>
        <v>8797</v>
      </c>
      <c r="AF41" s="32">
        <f t="shared" si="33"/>
        <v>13314</v>
      </c>
    </row>
    <row r="42" spans="2:32" ht="23.1" customHeight="1">
      <c r="B42" s="46" t="s">
        <v>69</v>
      </c>
      <c r="C42" s="50">
        <v>32</v>
      </c>
      <c r="D42" s="50">
        <v>6</v>
      </c>
      <c r="E42" s="50">
        <v>3</v>
      </c>
      <c r="F42" s="50">
        <v>7</v>
      </c>
      <c r="G42" s="50">
        <v>2</v>
      </c>
      <c r="H42" s="50">
        <v>0</v>
      </c>
      <c r="I42" s="50">
        <v>10</v>
      </c>
      <c r="J42" s="50">
        <v>0</v>
      </c>
      <c r="K42" s="50">
        <v>2</v>
      </c>
      <c r="L42" s="50">
        <v>0</v>
      </c>
      <c r="M42" s="50">
        <v>35</v>
      </c>
      <c r="N42" s="50">
        <v>0</v>
      </c>
      <c r="O42" s="15">
        <f t="shared" si="0"/>
        <v>62</v>
      </c>
      <c r="P42" s="15">
        <f t="shared" si="1"/>
        <v>97</v>
      </c>
      <c r="R42" s="5" t="s">
        <v>160</v>
      </c>
      <c r="S42" s="48">
        <f>S41/S40</f>
        <v>2.3786191536748329</v>
      </c>
      <c r="T42" s="48">
        <f t="shared" ref="T42:AF42" si="34">T41/T40</f>
        <v>2.6609195402298851</v>
      </c>
      <c r="U42" s="48">
        <f t="shared" si="34"/>
        <v>1.7831858407079646</v>
      </c>
      <c r="V42" s="48">
        <f t="shared" si="34"/>
        <v>1.4164648910411621</v>
      </c>
      <c r="W42" s="48">
        <f t="shared" si="34"/>
        <v>1.1818181818181819</v>
      </c>
      <c r="X42" s="48">
        <f t="shared" si="34"/>
        <v>1.25</v>
      </c>
      <c r="Y42" s="48">
        <f t="shared" si="34"/>
        <v>1.2111801242236024</v>
      </c>
      <c r="Z42" s="48">
        <f t="shared" si="34"/>
        <v>1.4666666666666666</v>
      </c>
      <c r="AA42" s="48">
        <f t="shared" si="34"/>
        <v>1.125</v>
      </c>
      <c r="AB42" s="48">
        <f t="shared" si="34"/>
        <v>1.1666666666666667</v>
      </c>
      <c r="AC42" s="48">
        <f t="shared" si="34"/>
        <v>2.2131308182263596</v>
      </c>
      <c r="AD42" s="48" t="e">
        <f t="shared" si="34"/>
        <v>#DIV/0!</v>
      </c>
      <c r="AE42" s="48">
        <f t="shared" si="34"/>
        <v>2.0831162680558846</v>
      </c>
      <c r="AF42" s="48">
        <f t="shared" si="34"/>
        <v>2.1254789272030652</v>
      </c>
    </row>
    <row r="43" spans="2:32" ht="23.1" customHeight="1">
      <c r="B43" s="45" t="s">
        <v>70</v>
      </c>
      <c r="C43" s="50">
        <v>60</v>
      </c>
      <c r="D43" s="50">
        <v>13</v>
      </c>
      <c r="E43" s="50">
        <v>11</v>
      </c>
      <c r="F43" s="50">
        <v>16</v>
      </c>
      <c r="G43" s="50">
        <v>0</v>
      </c>
      <c r="H43" s="50">
        <v>2</v>
      </c>
      <c r="I43" s="50">
        <v>8</v>
      </c>
      <c r="J43" s="50">
        <v>1</v>
      </c>
      <c r="K43" s="50">
        <v>0</v>
      </c>
      <c r="L43" s="50">
        <v>0</v>
      </c>
      <c r="M43" s="50">
        <v>50</v>
      </c>
      <c r="N43" s="50">
        <v>0</v>
      </c>
      <c r="O43" s="15">
        <f t="shared" si="0"/>
        <v>111</v>
      </c>
      <c r="P43" s="15">
        <f t="shared" si="1"/>
        <v>161</v>
      </c>
    </row>
    <row r="44" spans="2:32" ht="23.1" customHeight="1">
      <c r="B44" s="47" t="s">
        <v>71</v>
      </c>
      <c r="C44" s="50">
        <v>72</v>
      </c>
      <c r="D44" s="50">
        <v>8</v>
      </c>
      <c r="E44" s="50">
        <v>7</v>
      </c>
      <c r="F44" s="50">
        <v>13</v>
      </c>
      <c r="G44" s="50">
        <v>0</v>
      </c>
      <c r="H44" s="50">
        <v>0</v>
      </c>
      <c r="I44" s="50">
        <v>11</v>
      </c>
      <c r="J44" s="50">
        <v>2</v>
      </c>
      <c r="K44" s="50">
        <v>0</v>
      </c>
      <c r="L44" s="50">
        <v>0</v>
      </c>
      <c r="M44" s="50">
        <v>40</v>
      </c>
      <c r="N44" s="50">
        <v>0</v>
      </c>
      <c r="O44" s="15">
        <f t="shared" si="0"/>
        <v>113</v>
      </c>
      <c r="P44" s="15">
        <f t="shared" si="1"/>
        <v>153</v>
      </c>
    </row>
    <row r="45" spans="2:32" ht="23.1" customHeight="1">
      <c r="B45" s="45" t="s">
        <v>72</v>
      </c>
      <c r="C45" s="50">
        <v>54</v>
      </c>
      <c r="D45" s="50">
        <v>9</v>
      </c>
      <c r="E45" s="50">
        <v>2</v>
      </c>
      <c r="F45" s="50">
        <v>10</v>
      </c>
      <c r="G45" s="50">
        <v>1</v>
      </c>
      <c r="H45" s="50">
        <v>0</v>
      </c>
      <c r="I45" s="50">
        <v>10</v>
      </c>
      <c r="J45" s="50">
        <v>1</v>
      </c>
      <c r="K45" s="50">
        <v>0</v>
      </c>
      <c r="L45" s="50">
        <v>0</v>
      </c>
      <c r="M45" s="50">
        <v>30</v>
      </c>
      <c r="N45" s="50">
        <v>0</v>
      </c>
      <c r="O45" s="15">
        <f t="shared" si="0"/>
        <v>87</v>
      </c>
      <c r="P45" s="15">
        <f t="shared" si="1"/>
        <v>117</v>
      </c>
    </row>
    <row r="46" spans="2:32" ht="23.1" customHeight="1">
      <c r="B46" s="46" t="s">
        <v>73</v>
      </c>
      <c r="C46" s="50">
        <v>70</v>
      </c>
      <c r="D46" s="50">
        <v>11</v>
      </c>
      <c r="E46" s="50">
        <v>7</v>
      </c>
      <c r="F46" s="50">
        <v>21</v>
      </c>
      <c r="G46" s="50">
        <v>1</v>
      </c>
      <c r="H46" s="50">
        <v>0</v>
      </c>
      <c r="I46" s="50">
        <v>6</v>
      </c>
      <c r="J46" s="50">
        <v>1</v>
      </c>
      <c r="K46" s="50">
        <v>0</v>
      </c>
      <c r="L46" s="50">
        <v>0</v>
      </c>
      <c r="M46" s="50">
        <v>40</v>
      </c>
      <c r="N46" s="50">
        <v>0</v>
      </c>
      <c r="O46" s="15">
        <f t="shared" si="0"/>
        <v>117</v>
      </c>
      <c r="P46" s="15">
        <f t="shared" si="1"/>
        <v>157</v>
      </c>
      <c r="R46" s="8"/>
      <c r="T46"/>
    </row>
    <row r="47" spans="2:32" ht="23.1" customHeight="1">
      <c r="B47" s="46" t="s">
        <v>74</v>
      </c>
      <c r="C47" s="50">
        <v>45</v>
      </c>
      <c r="D47" s="50">
        <v>11</v>
      </c>
      <c r="E47" s="50">
        <v>4</v>
      </c>
      <c r="F47" s="50">
        <v>11</v>
      </c>
      <c r="G47" s="50">
        <v>0</v>
      </c>
      <c r="H47" s="50">
        <v>0</v>
      </c>
      <c r="I47" s="50">
        <v>7</v>
      </c>
      <c r="J47" s="50">
        <v>0</v>
      </c>
      <c r="K47" s="50">
        <v>0</v>
      </c>
      <c r="L47" s="50">
        <v>0</v>
      </c>
      <c r="M47" s="50">
        <v>25</v>
      </c>
      <c r="N47" s="50">
        <v>0</v>
      </c>
      <c r="O47" s="15">
        <f t="shared" si="0"/>
        <v>78</v>
      </c>
      <c r="P47" s="15">
        <f t="shared" si="1"/>
        <v>103</v>
      </c>
      <c r="R47" s="8"/>
      <c r="T47"/>
    </row>
    <row r="48" spans="2:32" ht="23.1" customHeight="1">
      <c r="B48" s="46" t="s">
        <v>75</v>
      </c>
      <c r="C48" s="50">
        <v>45</v>
      </c>
      <c r="D48" s="50">
        <v>21</v>
      </c>
      <c r="E48" s="50">
        <v>15</v>
      </c>
      <c r="F48" s="50">
        <v>25</v>
      </c>
      <c r="G48" s="50">
        <v>0</v>
      </c>
      <c r="H48" s="50">
        <v>0</v>
      </c>
      <c r="I48" s="50">
        <v>14</v>
      </c>
      <c r="J48" s="50">
        <v>0</v>
      </c>
      <c r="K48" s="50">
        <v>0</v>
      </c>
      <c r="L48" s="50">
        <v>0</v>
      </c>
      <c r="M48" s="50">
        <v>46</v>
      </c>
      <c r="N48" s="50">
        <v>0</v>
      </c>
      <c r="O48" s="15">
        <f t="shared" si="0"/>
        <v>120</v>
      </c>
      <c r="P48" s="15">
        <f t="shared" si="1"/>
        <v>166</v>
      </c>
      <c r="R48" s="8"/>
      <c r="T48"/>
    </row>
    <row r="49" spans="2:20" ht="23.1" customHeight="1">
      <c r="B49" s="45" t="s">
        <v>76</v>
      </c>
      <c r="C49" s="50">
        <v>91</v>
      </c>
      <c r="D49" s="50">
        <v>11</v>
      </c>
      <c r="E49" s="50">
        <v>3</v>
      </c>
      <c r="F49" s="50">
        <v>10</v>
      </c>
      <c r="G49" s="50">
        <v>0</v>
      </c>
      <c r="H49" s="50">
        <v>0</v>
      </c>
      <c r="I49" s="50">
        <v>2</v>
      </c>
      <c r="J49" s="50">
        <v>0</v>
      </c>
      <c r="K49" s="50">
        <v>0</v>
      </c>
      <c r="L49" s="50">
        <v>0</v>
      </c>
      <c r="M49" s="50">
        <v>40</v>
      </c>
      <c r="N49" s="50">
        <v>0</v>
      </c>
      <c r="O49" s="15">
        <f t="shared" si="0"/>
        <v>117</v>
      </c>
      <c r="P49" s="15">
        <f t="shared" si="1"/>
        <v>157</v>
      </c>
      <c r="R49" s="8"/>
      <c r="T49"/>
    </row>
    <row r="50" spans="2:20" ht="23.1" customHeight="1">
      <c r="B50" s="46" t="s">
        <v>77</v>
      </c>
      <c r="C50" s="50">
        <v>110</v>
      </c>
      <c r="D50" s="50">
        <v>15</v>
      </c>
      <c r="E50" s="50">
        <v>3</v>
      </c>
      <c r="F50" s="50">
        <v>21</v>
      </c>
      <c r="G50" s="50">
        <v>2</v>
      </c>
      <c r="H50" s="50">
        <v>0</v>
      </c>
      <c r="I50" s="50">
        <v>3</v>
      </c>
      <c r="J50" s="50">
        <v>1</v>
      </c>
      <c r="K50" s="50">
        <v>0</v>
      </c>
      <c r="L50" s="50">
        <v>0</v>
      </c>
      <c r="M50" s="50">
        <v>70</v>
      </c>
      <c r="N50" s="50">
        <v>0</v>
      </c>
      <c r="O50" s="15">
        <f t="shared" si="0"/>
        <v>155</v>
      </c>
      <c r="P50" s="15">
        <f t="shared" si="1"/>
        <v>225</v>
      </c>
      <c r="R50" s="8"/>
      <c r="T50"/>
    </row>
    <row r="51" spans="2:20" ht="23.1" customHeight="1">
      <c r="B51" s="46" t="s">
        <v>78</v>
      </c>
      <c r="C51" s="50">
        <v>75</v>
      </c>
      <c r="D51" s="50">
        <v>30</v>
      </c>
      <c r="E51" s="50">
        <v>7</v>
      </c>
      <c r="F51" s="50">
        <v>17</v>
      </c>
      <c r="G51" s="50">
        <v>0</v>
      </c>
      <c r="H51" s="50">
        <v>0</v>
      </c>
      <c r="I51" s="50">
        <v>5</v>
      </c>
      <c r="J51" s="50">
        <v>0</v>
      </c>
      <c r="K51" s="50">
        <v>1</v>
      </c>
      <c r="L51" s="50">
        <v>0</v>
      </c>
      <c r="M51" s="50">
        <v>60</v>
      </c>
      <c r="N51" s="50">
        <v>0</v>
      </c>
      <c r="O51" s="15">
        <f t="shared" si="0"/>
        <v>135</v>
      </c>
      <c r="P51" s="15">
        <f t="shared" si="1"/>
        <v>195</v>
      </c>
      <c r="R51" s="8"/>
      <c r="T51"/>
    </row>
    <row r="52" spans="2:20" ht="23.1" customHeight="1">
      <c r="B52" s="46" t="s">
        <v>79</v>
      </c>
      <c r="C52" s="50">
        <v>130</v>
      </c>
      <c r="D52" s="50">
        <v>41</v>
      </c>
      <c r="E52" s="50">
        <v>9</v>
      </c>
      <c r="F52" s="50">
        <v>22</v>
      </c>
      <c r="G52" s="50">
        <v>0</v>
      </c>
      <c r="H52" s="50">
        <v>1</v>
      </c>
      <c r="I52" s="50">
        <v>1</v>
      </c>
      <c r="J52" s="50">
        <v>2</v>
      </c>
      <c r="K52" s="50">
        <v>0</v>
      </c>
      <c r="L52" s="50">
        <v>0</v>
      </c>
      <c r="M52" s="50">
        <v>135</v>
      </c>
      <c r="N52" s="50">
        <v>0</v>
      </c>
      <c r="O52" s="15">
        <f t="shared" si="0"/>
        <v>206</v>
      </c>
      <c r="P52" s="15">
        <f t="shared" si="1"/>
        <v>341</v>
      </c>
      <c r="R52" s="8"/>
      <c r="T52"/>
    </row>
    <row r="53" spans="2:20" ht="23.1" customHeight="1">
      <c r="B53" s="45" t="s">
        <v>80</v>
      </c>
      <c r="C53" s="50">
        <v>55</v>
      </c>
      <c r="D53" s="50">
        <v>9</v>
      </c>
      <c r="E53" s="50">
        <v>9</v>
      </c>
      <c r="F53" s="50">
        <v>22</v>
      </c>
      <c r="G53" s="50">
        <v>0</v>
      </c>
      <c r="H53" s="50">
        <v>0</v>
      </c>
      <c r="I53" s="50">
        <v>8</v>
      </c>
      <c r="J53" s="50">
        <v>0</v>
      </c>
      <c r="K53" s="50">
        <v>0</v>
      </c>
      <c r="L53" s="50">
        <v>0</v>
      </c>
      <c r="M53" s="50">
        <v>100</v>
      </c>
      <c r="N53" s="50">
        <v>0</v>
      </c>
      <c r="O53" s="15">
        <f t="shared" si="0"/>
        <v>103</v>
      </c>
      <c r="P53" s="15">
        <f t="shared" si="1"/>
        <v>203</v>
      </c>
      <c r="R53" s="8"/>
      <c r="T53"/>
    </row>
    <row r="54" spans="2:20" ht="23.1" customHeight="1">
      <c r="B54" s="45" t="s">
        <v>81</v>
      </c>
      <c r="C54" s="50">
        <v>60</v>
      </c>
      <c r="D54" s="50">
        <v>5</v>
      </c>
      <c r="E54" s="50">
        <v>4</v>
      </c>
      <c r="F54" s="50">
        <v>15</v>
      </c>
      <c r="G54" s="50">
        <v>0</v>
      </c>
      <c r="H54" s="50">
        <v>1</v>
      </c>
      <c r="I54" s="50">
        <v>7</v>
      </c>
      <c r="J54" s="50">
        <v>0</v>
      </c>
      <c r="K54" s="50">
        <v>0</v>
      </c>
      <c r="L54" s="50">
        <v>0</v>
      </c>
      <c r="M54" s="50">
        <v>55</v>
      </c>
      <c r="N54" s="50">
        <v>0</v>
      </c>
      <c r="O54" s="15">
        <f t="shared" si="0"/>
        <v>92</v>
      </c>
      <c r="P54" s="15">
        <f t="shared" si="1"/>
        <v>147</v>
      </c>
      <c r="R54" s="8"/>
      <c r="T54"/>
    </row>
    <row r="55" spans="2:20" ht="23.1" customHeight="1">
      <c r="B55" s="45" t="s">
        <v>82</v>
      </c>
      <c r="C55" s="50">
        <v>70</v>
      </c>
      <c r="D55" s="50">
        <v>7</v>
      </c>
      <c r="E55" s="50">
        <v>12</v>
      </c>
      <c r="F55" s="50">
        <v>20</v>
      </c>
      <c r="G55" s="50">
        <v>1</v>
      </c>
      <c r="H55" s="50">
        <v>0</v>
      </c>
      <c r="I55" s="50">
        <v>5</v>
      </c>
      <c r="J55" s="50">
        <v>1</v>
      </c>
      <c r="K55" s="50">
        <v>1</v>
      </c>
      <c r="L55" s="50">
        <v>0</v>
      </c>
      <c r="M55" s="50">
        <v>40</v>
      </c>
      <c r="N55" s="50">
        <v>0</v>
      </c>
      <c r="O55" s="15">
        <f t="shared" si="0"/>
        <v>117</v>
      </c>
      <c r="P55" s="15">
        <f t="shared" si="1"/>
        <v>157</v>
      </c>
      <c r="R55" s="8"/>
      <c r="T55"/>
    </row>
    <row r="56" spans="2:20" ht="23.1" customHeight="1">
      <c r="B56" s="45" t="s">
        <v>83</v>
      </c>
      <c r="C56" s="50">
        <v>115</v>
      </c>
      <c r="D56" s="50">
        <v>10</v>
      </c>
      <c r="E56" s="50">
        <v>8</v>
      </c>
      <c r="F56" s="50">
        <v>35</v>
      </c>
      <c r="G56" s="50">
        <v>0</v>
      </c>
      <c r="H56" s="50">
        <v>1</v>
      </c>
      <c r="I56" s="50">
        <v>10</v>
      </c>
      <c r="J56" s="50">
        <v>0</v>
      </c>
      <c r="K56" s="50">
        <v>0</v>
      </c>
      <c r="L56" s="50">
        <v>0</v>
      </c>
      <c r="M56" s="50">
        <v>50</v>
      </c>
      <c r="N56" s="50">
        <v>0</v>
      </c>
      <c r="O56" s="15">
        <f t="shared" si="0"/>
        <v>179</v>
      </c>
      <c r="P56" s="15">
        <f t="shared" si="1"/>
        <v>229</v>
      </c>
      <c r="R56" s="8"/>
      <c r="T56"/>
    </row>
    <row r="57" spans="2:20" ht="23.1" customHeight="1">
      <c r="B57" s="45" t="s">
        <v>84</v>
      </c>
      <c r="C57" s="50">
        <v>85</v>
      </c>
      <c r="D57" s="50">
        <v>18</v>
      </c>
      <c r="E57" s="50">
        <v>12</v>
      </c>
      <c r="F57" s="50">
        <v>27</v>
      </c>
      <c r="G57" s="50">
        <v>1</v>
      </c>
      <c r="H57" s="50">
        <v>1</v>
      </c>
      <c r="I57" s="50">
        <v>8</v>
      </c>
      <c r="J57" s="50">
        <v>0</v>
      </c>
      <c r="K57" s="50">
        <v>0</v>
      </c>
      <c r="L57" s="50">
        <v>0</v>
      </c>
      <c r="M57" s="50">
        <v>90</v>
      </c>
      <c r="N57" s="50">
        <v>0</v>
      </c>
      <c r="O57" s="15">
        <f t="shared" si="0"/>
        <v>152</v>
      </c>
      <c r="P57" s="15">
        <f t="shared" si="1"/>
        <v>242</v>
      </c>
      <c r="R57" s="8"/>
      <c r="T57"/>
    </row>
    <row r="58" spans="2:20" ht="23.1" customHeight="1">
      <c r="B58" s="45" t="s">
        <v>99</v>
      </c>
      <c r="C58" s="50">
        <v>67</v>
      </c>
      <c r="D58" s="50">
        <v>18</v>
      </c>
      <c r="E58" s="50">
        <v>2</v>
      </c>
      <c r="F58" s="50">
        <v>17</v>
      </c>
      <c r="G58" s="50">
        <v>0</v>
      </c>
      <c r="H58" s="50">
        <v>0</v>
      </c>
      <c r="I58" s="50">
        <v>0</v>
      </c>
      <c r="J58" s="50">
        <v>0</v>
      </c>
      <c r="K58" s="50">
        <v>0</v>
      </c>
      <c r="L58" s="50">
        <v>0</v>
      </c>
      <c r="M58" s="50">
        <v>157</v>
      </c>
      <c r="N58" s="50">
        <v>0</v>
      </c>
      <c r="O58" s="15">
        <f t="shared" si="0"/>
        <v>104</v>
      </c>
      <c r="P58" s="15">
        <f t="shared" si="1"/>
        <v>261</v>
      </c>
      <c r="R58" s="8"/>
      <c r="T58"/>
    </row>
    <row r="59" spans="2:20" ht="23.1" customHeight="1">
      <c r="B59" s="45" t="s">
        <v>100</v>
      </c>
      <c r="C59" s="50">
        <v>55</v>
      </c>
      <c r="D59" s="50">
        <v>17</v>
      </c>
      <c r="E59" s="50">
        <v>12</v>
      </c>
      <c r="F59" s="50">
        <v>14</v>
      </c>
      <c r="G59" s="50">
        <v>1</v>
      </c>
      <c r="H59" s="50">
        <v>0</v>
      </c>
      <c r="I59" s="50">
        <v>3</v>
      </c>
      <c r="J59" s="50">
        <v>0</v>
      </c>
      <c r="K59" s="50">
        <v>0</v>
      </c>
      <c r="L59" s="50">
        <v>0</v>
      </c>
      <c r="M59" s="50">
        <v>124</v>
      </c>
      <c r="N59" s="50">
        <v>0</v>
      </c>
      <c r="O59" s="15">
        <f t="shared" si="0"/>
        <v>102</v>
      </c>
      <c r="P59" s="15">
        <f t="shared" si="1"/>
        <v>226</v>
      </c>
      <c r="R59" s="8"/>
      <c r="T59"/>
    </row>
    <row r="60" spans="2:20" ht="23.1" customHeight="1">
      <c r="B60" s="45" t="s">
        <v>101</v>
      </c>
      <c r="C60" s="50">
        <v>94</v>
      </c>
      <c r="D60" s="50">
        <v>33</v>
      </c>
      <c r="E60" s="50">
        <v>4</v>
      </c>
      <c r="F60" s="50">
        <v>16</v>
      </c>
      <c r="G60" s="50">
        <v>0</v>
      </c>
      <c r="H60" s="50">
        <v>0</v>
      </c>
      <c r="I60" s="50">
        <v>1</v>
      </c>
      <c r="J60" s="50">
        <v>1</v>
      </c>
      <c r="K60" s="50">
        <v>0</v>
      </c>
      <c r="L60" s="50">
        <v>0</v>
      </c>
      <c r="M60" s="50">
        <v>153</v>
      </c>
      <c r="N60" s="50">
        <v>0</v>
      </c>
      <c r="O60" s="15">
        <f t="shared" si="0"/>
        <v>149</v>
      </c>
      <c r="P60" s="15">
        <f t="shared" si="1"/>
        <v>302</v>
      </c>
      <c r="R60" s="8"/>
      <c r="T60"/>
    </row>
    <row r="61" spans="2:20" ht="23.1" customHeight="1">
      <c r="B61" s="45" t="s">
        <v>102</v>
      </c>
      <c r="C61" s="50">
        <v>84</v>
      </c>
      <c r="D61" s="50">
        <v>24</v>
      </c>
      <c r="E61" s="50">
        <v>14</v>
      </c>
      <c r="F61" s="50">
        <v>21</v>
      </c>
      <c r="G61" s="50">
        <v>0</v>
      </c>
      <c r="H61" s="50">
        <v>0</v>
      </c>
      <c r="I61" s="50">
        <v>0</v>
      </c>
      <c r="J61" s="50">
        <v>0</v>
      </c>
      <c r="K61" s="50">
        <v>0</v>
      </c>
      <c r="L61" s="50">
        <v>0</v>
      </c>
      <c r="M61" s="50">
        <v>73</v>
      </c>
      <c r="N61" s="50">
        <v>0</v>
      </c>
      <c r="O61" s="15">
        <f t="shared" si="0"/>
        <v>143</v>
      </c>
      <c r="P61" s="15">
        <f t="shared" si="1"/>
        <v>216</v>
      </c>
      <c r="R61" s="8"/>
      <c r="T61"/>
    </row>
    <row r="62" spans="2:20" ht="23.1" customHeight="1">
      <c r="B62" s="45" t="s">
        <v>107</v>
      </c>
      <c r="C62" s="50">
        <v>67</v>
      </c>
      <c r="D62" s="50">
        <v>21</v>
      </c>
      <c r="E62" s="50">
        <v>2</v>
      </c>
      <c r="F62" s="50">
        <v>15</v>
      </c>
      <c r="G62" s="50">
        <v>0</v>
      </c>
      <c r="H62" s="50">
        <v>0</v>
      </c>
      <c r="I62" s="50">
        <v>0</v>
      </c>
      <c r="J62" s="50">
        <v>0</v>
      </c>
      <c r="K62" s="50">
        <v>0</v>
      </c>
      <c r="L62" s="50">
        <v>0</v>
      </c>
      <c r="M62" s="50">
        <v>96</v>
      </c>
      <c r="N62" s="50">
        <v>0</v>
      </c>
      <c r="O62" s="15">
        <f t="shared" si="0"/>
        <v>105</v>
      </c>
      <c r="P62" s="15">
        <f t="shared" si="1"/>
        <v>201</v>
      </c>
      <c r="R62" s="8"/>
      <c r="T62"/>
    </row>
    <row r="63" spans="2:20" ht="23.1" customHeight="1">
      <c r="B63" s="45" t="s">
        <v>108</v>
      </c>
      <c r="C63" s="50">
        <v>85</v>
      </c>
      <c r="D63" s="50">
        <v>22</v>
      </c>
      <c r="E63" s="50">
        <v>2</v>
      </c>
      <c r="F63" s="50">
        <v>18</v>
      </c>
      <c r="G63" s="50">
        <v>1</v>
      </c>
      <c r="H63" s="50">
        <v>0</v>
      </c>
      <c r="I63" s="50">
        <v>7</v>
      </c>
      <c r="J63" s="50">
        <v>0</v>
      </c>
      <c r="K63" s="50">
        <v>0</v>
      </c>
      <c r="L63" s="50">
        <v>0</v>
      </c>
      <c r="M63" s="50">
        <v>65</v>
      </c>
      <c r="N63" s="50">
        <v>0</v>
      </c>
      <c r="O63" s="15">
        <f t="shared" si="0"/>
        <v>135</v>
      </c>
      <c r="P63" s="15">
        <f t="shared" si="1"/>
        <v>200</v>
      </c>
      <c r="R63" s="8"/>
      <c r="T63"/>
    </row>
    <row r="64" spans="2:20" ht="23.1" customHeight="1">
      <c r="B64" s="45" t="s">
        <v>109</v>
      </c>
      <c r="C64" s="50">
        <v>86</v>
      </c>
      <c r="D64" s="50">
        <v>31</v>
      </c>
      <c r="E64" s="50">
        <v>9</v>
      </c>
      <c r="F64" s="50">
        <v>16</v>
      </c>
      <c r="G64" s="50">
        <v>0</v>
      </c>
      <c r="H64" s="50">
        <v>0</v>
      </c>
      <c r="I64" s="50">
        <v>1</v>
      </c>
      <c r="J64" s="50">
        <v>4</v>
      </c>
      <c r="K64" s="50">
        <v>0</v>
      </c>
      <c r="L64" s="50">
        <v>0</v>
      </c>
      <c r="M64" s="50">
        <v>62</v>
      </c>
      <c r="N64" s="50">
        <v>0</v>
      </c>
      <c r="O64" s="15">
        <f t="shared" si="0"/>
        <v>147</v>
      </c>
      <c r="P64" s="15">
        <f t="shared" si="1"/>
        <v>209</v>
      </c>
      <c r="R64" s="8"/>
      <c r="T64"/>
    </row>
    <row r="65" spans="2:20" ht="23.1" customHeight="1">
      <c r="B65" s="45" t="s">
        <v>158</v>
      </c>
      <c r="C65" s="50">
        <v>100</v>
      </c>
      <c r="D65" s="50">
        <v>27</v>
      </c>
      <c r="E65" s="50">
        <v>7</v>
      </c>
      <c r="F65" s="50">
        <v>14</v>
      </c>
      <c r="G65" s="50">
        <v>0</v>
      </c>
      <c r="H65" s="50">
        <v>0</v>
      </c>
      <c r="I65" s="50">
        <v>7</v>
      </c>
      <c r="J65" s="50">
        <v>0</v>
      </c>
      <c r="K65" s="50">
        <v>0</v>
      </c>
      <c r="L65" s="50">
        <v>0</v>
      </c>
      <c r="M65" s="50">
        <v>85</v>
      </c>
      <c r="N65" s="50">
        <v>0</v>
      </c>
      <c r="O65" s="15">
        <f t="shared" si="0"/>
        <v>155</v>
      </c>
      <c r="P65" s="15">
        <f t="shared" si="1"/>
        <v>240</v>
      </c>
      <c r="R65" s="8"/>
      <c r="T65"/>
    </row>
    <row r="66" spans="2:20" ht="23.1" customHeight="1">
      <c r="B66" s="45" t="s">
        <v>103</v>
      </c>
      <c r="C66" s="50">
        <v>115</v>
      </c>
      <c r="D66" s="50">
        <v>21</v>
      </c>
      <c r="E66" s="50">
        <v>4</v>
      </c>
      <c r="F66" s="50">
        <v>20</v>
      </c>
      <c r="G66" s="50">
        <v>0</v>
      </c>
      <c r="H66" s="50">
        <v>0</v>
      </c>
      <c r="I66" s="50">
        <v>4</v>
      </c>
      <c r="J66" s="50">
        <v>1</v>
      </c>
      <c r="K66" s="50">
        <v>1</v>
      </c>
      <c r="L66" s="50">
        <v>0</v>
      </c>
      <c r="M66" s="50">
        <v>55</v>
      </c>
      <c r="N66" s="50">
        <v>0</v>
      </c>
      <c r="O66" s="15">
        <f t="shared" si="0"/>
        <v>166</v>
      </c>
      <c r="P66" s="15">
        <f t="shared" si="1"/>
        <v>221</v>
      </c>
      <c r="R66" s="8"/>
      <c r="T66"/>
    </row>
    <row r="67" spans="2:20" ht="23.1" customHeight="1">
      <c r="B67" s="45" t="s">
        <v>104</v>
      </c>
      <c r="C67" s="50">
        <v>103</v>
      </c>
      <c r="D67" s="50">
        <v>26</v>
      </c>
      <c r="E67" s="50">
        <v>11</v>
      </c>
      <c r="F67" s="50">
        <v>15</v>
      </c>
      <c r="G67" s="50">
        <v>0</v>
      </c>
      <c r="H67" s="50">
        <v>0</v>
      </c>
      <c r="I67" s="50">
        <v>4</v>
      </c>
      <c r="J67" s="50">
        <v>0</v>
      </c>
      <c r="K67" s="50">
        <v>0</v>
      </c>
      <c r="L67" s="50">
        <v>0</v>
      </c>
      <c r="M67" s="50">
        <v>74</v>
      </c>
      <c r="N67" s="50">
        <v>0</v>
      </c>
      <c r="O67" s="15">
        <f t="shared" si="0"/>
        <v>159</v>
      </c>
      <c r="P67" s="15">
        <f t="shared" si="1"/>
        <v>233</v>
      </c>
      <c r="R67" s="8"/>
      <c r="T67"/>
    </row>
    <row r="68" spans="2:20" ht="23.1" customHeight="1">
      <c r="B68" s="45" t="s">
        <v>105</v>
      </c>
      <c r="C68" s="50">
        <v>127</v>
      </c>
      <c r="D68" s="50">
        <v>25</v>
      </c>
      <c r="E68" s="50">
        <v>2</v>
      </c>
      <c r="F68" s="50">
        <v>17</v>
      </c>
      <c r="G68" s="50">
        <v>0</v>
      </c>
      <c r="H68" s="50">
        <v>0</v>
      </c>
      <c r="I68" s="50">
        <v>4</v>
      </c>
      <c r="J68" s="50">
        <v>0</v>
      </c>
      <c r="K68" s="50">
        <v>0</v>
      </c>
      <c r="L68" s="50">
        <v>0</v>
      </c>
      <c r="M68" s="50">
        <v>85</v>
      </c>
      <c r="N68" s="50">
        <v>0</v>
      </c>
      <c r="O68" s="15">
        <f t="shared" si="0"/>
        <v>175</v>
      </c>
      <c r="P68" s="15">
        <f t="shared" si="1"/>
        <v>260</v>
      </c>
      <c r="R68" s="8"/>
      <c r="T68"/>
    </row>
    <row r="69" spans="2:20" ht="23.1" customHeight="1">
      <c r="B69" s="45" t="s">
        <v>106</v>
      </c>
      <c r="C69" s="50">
        <v>120</v>
      </c>
      <c r="D69" s="50">
        <v>43</v>
      </c>
      <c r="E69" s="50">
        <v>5</v>
      </c>
      <c r="F69" s="50">
        <v>19</v>
      </c>
      <c r="G69" s="50">
        <v>1</v>
      </c>
      <c r="H69" s="50">
        <v>0</v>
      </c>
      <c r="I69" s="50">
        <v>1</v>
      </c>
      <c r="J69" s="50">
        <v>0</v>
      </c>
      <c r="K69" s="50">
        <v>0</v>
      </c>
      <c r="L69" s="50">
        <v>0</v>
      </c>
      <c r="M69" s="50">
        <v>83</v>
      </c>
      <c r="N69" s="50">
        <v>0</v>
      </c>
      <c r="O69" s="15">
        <f t="shared" si="0"/>
        <v>189</v>
      </c>
      <c r="P69" s="15">
        <f t="shared" si="1"/>
        <v>272</v>
      </c>
      <c r="R69" s="8"/>
      <c r="T69"/>
    </row>
    <row r="70" spans="2:20" ht="23.1" customHeight="1">
      <c r="B70" s="45" t="s">
        <v>110</v>
      </c>
      <c r="C70" s="50">
        <v>105</v>
      </c>
      <c r="D70" s="50">
        <v>43</v>
      </c>
      <c r="E70" s="50">
        <v>9</v>
      </c>
      <c r="F70" s="50">
        <v>12</v>
      </c>
      <c r="G70" s="50">
        <v>0</v>
      </c>
      <c r="H70" s="50">
        <v>0</v>
      </c>
      <c r="I70" s="50">
        <v>1</v>
      </c>
      <c r="J70" s="50">
        <v>0</v>
      </c>
      <c r="K70" s="50">
        <v>0</v>
      </c>
      <c r="L70" s="50">
        <v>0</v>
      </c>
      <c r="M70" s="50">
        <v>62</v>
      </c>
      <c r="N70" s="50">
        <v>0</v>
      </c>
      <c r="O70" s="15">
        <f t="shared" si="0"/>
        <v>170</v>
      </c>
      <c r="P70" s="15">
        <f t="shared" si="1"/>
        <v>232</v>
      </c>
      <c r="R70" s="8"/>
      <c r="T70"/>
    </row>
    <row r="71" spans="2:20" ht="23.1" customHeight="1">
      <c r="B71" s="45" t="s">
        <v>111</v>
      </c>
      <c r="C71" s="50">
        <v>98</v>
      </c>
      <c r="D71" s="50">
        <v>31</v>
      </c>
      <c r="E71" s="50">
        <v>7</v>
      </c>
      <c r="F71" s="50">
        <v>14</v>
      </c>
      <c r="G71" s="50">
        <v>0</v>
      </c>
      <c r="H71" s="50">
        <v>0</v>
      </c>
      <c r="I71" s="50">
        <v>4</v>
      </c>
      <c r="J71" s="50">
        <v>0</v>
      </c>
      <c r="K71" s="50">
        <v>0</v>
      </c>
      <c r="L71" s="50">
        <v>0</v>
      </c>
      <c r="M71" s="50">
        <v>143</v>
      </c>
      <c r="N71" s="50">
        <v>0</v>
      </c>
      <c r="O71" s="15">
        <f t="shared" si="0"/>
        <v>154</v>
      </c>
      <c r="P71" s="15">
        <f t="shared" si="1"/>
        <v>297</v>
      </c>
      <c r="R71" s="8"/>
      <c r="T71"/>
    </row>
    <row r="72" spans="2:20" ht="23.1" customHeight="1">
      <c r="B72" s="45" t="s">
        <v>112</v>
      </c>
      <c r="C72" s="50">
        <v>123</v>
      </c>
      <c r="D72" s="50">
        <v>33</v>
      </c>
      <c r="E72" s="50">
        <v>5</v>
      </c>
      <c r="F72" s="50">
        <v>15</v>
      </c>
      <c r="G72" s="50">
        <v>0</v>
      </c>
      <c r="H72" s="50">
        <v>0</v>
      </c>
      <c r="I72" s="50">
        <v>2</v>
      </c>
      <c r="J72" s="50">
        <v>0</v>
      </c>
      <c r="K72" s="50">
        <v>0</v>
      </c>
      <c r="L72" s="50">
        <v>0</v>
      </c>
      <c r="M72" s="50">
        <v>53</v>
      </c>
      <c r="N72" s="50">
        <v>0</v>
      </c>
      <c r="O72" s="15">
        <f t="shared" si="0"/>
        <v>178</v>
      </c>
      <c r="P72" s="15">
        <f t="shared" si="1"/>
        <v>231</v>
      </c>
      <c r="R72" s="8"/>
      <c r="T72"/>
    </row>
    <row r="73" spans="2:20" ht="23.1" customHeight="1">
      <c r="B73" s="45" t="s">
        <v>113</v>
      </c>
      <c r="C73" s="50">
        <v>120</v>
      </c>
      <c r="D73" s="50">
        <v>40</v>
      </c>
      <c r="E73" s="50">
        <v>7</v>
      </c>
      <c r="F73" s="50">
        <v>9</v>
      </c>
      <c r="G73" s="50">
        <v>0</v>
      </c>
      <c r="H73" s="50">
        <v>0</v>
      </c>
      <c r="I73" s="50">
        <v>4</v>
      </c>
      <c r="J73" s="50">
        <v>0</v>
      </c>
      <c r="K73" s="50">
        <v>0</v>
      </c>
      <c r="L73" s="50">
        <v>0</v>
      </c>
      <c r="M73" s="50">
        <v>79</v>
      </c>
      <c r="N73" s="50">
        <v>0</v>
      </c>
      <c r="O73" s="15">
        <f t="shared" si="0"/>
        <v>180</v>
      </c>
      <c r="P73" s="15">
        <f t="shared" si="1"/>
        <v>259</v>
      </c>
      <c r="R73" s="8"/>
      <c r="T73"/>
    </row>
    <row r="74" spans="2:20" ht="23.1" customHeight="1">
      <c r="B74" s="45" t="s">
        <v>114</v>
      </c>
      <c r="C74" s="50">
        <v>128</v>
      </c>
      <c r="D74" s="50">
        <v>33</v>
      </c>
      <c r="E74" s="50">
        <v>3</v>
      </c>
      <c r="F74" s="50">
        <v>5</v>
      </c>
      <c r="G74" s="50">
        <v>0</v>
      </c>
      <c r="H74" s="50">
        <v>0</v>
      </c>
      <c r="I74" s="50">
        <v>1</v>
      </c>
      <c r="J74" s="50">
        <v>1</v>
      </c>
      <c r="K74" s="50">
        <v>0</v>
      </c>
      <c r="L74" s="50">
        <v>0</v>
      </c>
      <c r="M74" s="50">
        <v>105</v>
      </c>
      <c r="N74" s="50">
        <v>0</v>
      </c>
      <c r="O74" s="15">
        <f t="shared" ref="O74:O105" si="35">SUM(C74:L74,N74)</f>
        <v>171</v>
      </c>
      <c r="P74" s="15">
        <f t="shared" ref="P74:P105" si="36">SUM(C74:N74)</f>
        <v>276</v>
      </c>
      <c r="R74" s="8"/>
      <c r="T74"/>
    </row>
    <row r="75" spans="2:20" ht="23.1" customHeight="1">
      <c r="B75" s="45" t="s">
        <v>115</v>
      </c>
      <c r="C75" s="50">
        <v>105</v>
      </c>
      <c r="D75" s="50">
        <v>42</v>
      </c>
      <c r="E75" s="50">
        <v>7</v>
      </c>
      <c r="F75" s="50">
        <v>7</v>
      </c>
      <c r="G75" s="50">
        <v>0</v>
      </c>
      <c r="H75" s="50">
        <v>0</v>
      </c>
      <c r="I75" s="50">
        <v>2</v>
      </c>
      <c r="J75" s="50">
        <v>1</v>
      </c>
      <c r="K75" s="50">
        <v>0</v>
      </c>
      <c r="L75" s="50">
        <v>0</v>
      </c>
      <c r="M75" s="50">
        <v>98</v>
      </c>
      <c r="N75" s="50">
        <v>0</v>
      </c>
      <c r="O75" s="15">
        <f t="shared" si="35"/>
        <v>164</v>
      </c>
      <c r="P75" s="15">
        <f t="shared" si="36"/>
        <v>262</v>
      </c>
      <c r="R75" s="8"/>
      <c r="T75"/>
    </row>
    <row r="76" spans="2:20" ht="23.1" customHeight="1">
      <c r="B76" s="45" t="s">
        <v>116</v>
      </c>
      <c r="C76" s="50">
        <v>152</v>
      </c>
      <c r="D76" s="50">
        <v>27</v>
      </c>
      <c r="E76" s="50">
        <v>6</v>
      </c>
      <c r="F76" s="50">
        <v>7</v>
      </c>
      <c r="G76" s="50">
        <v>1</v>
      </c>
      <c r="H76" s="50">
        <v>2</v>
      </c>
      <c r="I76" s="50">
        <v>1</v>
      </c>
      <c r="J76" s="50">
        <v>0</v>
      </c>
      <c r="K76" s="50">
        <v>0</v>
      </c>
      <c r="L76" s="50">
        <v>0</v>
      </c>
      <c r="M76" s="50">
        <v>38</v>
      </c>
      <c r="N76" s="50">
        <v>0</v>
      </c>
      <c r="O76" s="15">
        <f t="shared" si="35"/>
        <v>196</v>
      </c>
      <c r="P76" s="15">
        <f t="shared" si="36"/>
        <v>234</v>
      </c>
      <c r="R76" s="8"/>
      <c r="T76"/>
    </row>
    <row r="77" spans="2:20" ht="23.1" customHeight="1">
      <c r="B77" s="45" t="s">
        <v>117</v>
      </c>
      <c r="C77" s="50">
        <v>88</v>
      </c>
      <c r="D77" s="50">
        <v>21</v>
      </c>
      <c r="E77" s="50">
        <v>5</v>
      </c>
      <c r="F77" s="50">
        <v>4</v>
      </c>
      <c r="G77" s="50">
        <v>0</v>
      </c>
      <c r="H77" s="50">
        <v>0</v>
      </c>
      <c r="I77" s="50">
        <v>2</v>
      </c>
      <c r="J77" s="50">
        <v>0</v>
      </c>
      <c r="K77" s="50">
        <v>0</v>
      </c>
      <c r="L77" s="50">
        <v>0</v>
      </c>
      <c r="M77" s="50">
        <v>37</v>
      </c>
      <c r="N77" s="50">
        <v>0</v>
      </c>
      <c r="O77" s="15">
        <f t="shared" si="35"/>
        <v>120</v>
      </c>
      <c r="P77" s="15">
        <f t="shared" si="36"/>
        <v>157</v>
      </c>
      <c r="R77" s="8"/>
      <c r="T77"/>
    </row>
    <row r="78" spans="2:20" ht="23.1" customHeight="1">
      <c r="B78" s="46" t="s">
        <v>118</v>
      </c>
      <c r="C78" s="50">
        <v>105</v>
      </c>
      <c r="D78" s="50">
        <v>29</v>
      </c>
      <c r="E78" s="50">
        <v>6</v>
      </c>
      <c r="F78" s="50">
        <v>4</v>
      </c>
      <c r="G78" s="50">
        <v>0</v>
      </c>
      <c r="H78" s="50">
        <v>0</v>
      </c>
      <c r="I78" s="50">
        <v>3</v>
      </c>
      <c r="J78" s="50">
        <v>0</v>
      </c>
      <c r="K78" s="50">
        <v>0</v>
      </c>
      <c r="L78" s="50">
        <v>1</v>
      </c>
      <c r="M78" s="50">
        <v>58</v>
      </c>
      <c r="N78" s="50">
        <v>0</v>
      </c>
      <c r="O78" s="15">
        <f t="shared" si="35"/>
        <v>148</v>
      </c>
      <c r="P78" s="15">
        <f t="shared" si="36"/>
        <v>206</v>
      </c>
      <c r="R78" s="8"/>
      <c r="T78"/>
    </row>
    <row r="79" spans="2:20" ht="23.1" customHeight="1">
      <c r="B79" s="45" t="s">
        <v>119</v>
      </c>
      <c r="C79" s="50">
        <v>59</v>
      </c>
      <c r="D79" s="50">
        <v>21</v>
      </c>
      <c r="E79" s="50">
        <v>7</v>
      </c>
      <c r="F79" s="50">
        <v>0</v>
      </c>
      <c r="G79" s="50">
        <v>0</v>
      </c>
      <c r="H79" s="50">
        <v>0</v>
      </c>
      <c r="I79" s="50">
        <v>1</v>
      </c>
      <c r="J79" s="50">
        <v>0</v>
      </c>
      <c r="K79" s="50">
        <v>0</v>
      </c>
      <c r="L79" s="50">
        <v>0</v>
      </c>
      <c r="M79" s="50">
        <v>55</v>
      </c>
      <c r="N79" s="50">
        <v>0</v>
      </c>
      <c r="O79" s="15">
        <f t="shared" si="35"/>
        <v>88</v>
      </c>
      <c r="P79" s="15">
        <f t="shared" si="36"/>
        <v>143</v>
      </c>
      <c r="R79" s="8"/>
      <c r="T79"/>
    </row>
    <row r="80" spans="2:20" ht="23.1" customHeight="1">
      <c r="B80" s="47" t="s">
        <v>120</v>
      </c>
      <c r="C80" s="50">
        <v>95</v>
      </c>
      <c r="D80" s="50">
        <v>20</v>
      </c>
      <c r="E80" s="50">
        <v>6</v>
      </c>
      <c r="F80" s="50">
        <v>5</v>
      </c>
      <c r="G80" s="50">
        <v>0</v>
      </c>
      <c r="H80" s="50">
        <v>0</v>
      </c>
      <c r="I80" s="50">
        <v>1</v>
      </c>
      <c r="J80" s="50">
        <v>0</v>
      </c>
      <c r="K80" s="50">
        <v>0</v>
      </c>
      <c r="L80" s="50">
        <v>0</v>
      </c>
      <c r="M80" s="50">
        <v>54</v>
      </c>
      <c r="N80" s="50">
        <v>0</v>
      </c>
      <c r="O80" s="15">
        <f t="shared" si="35"/>
        <v>127</v>
      </c>
      <c r="P80" s="15">
        <f t="shared" si="36"/>
        <v>181</v>
      </c>
      <c r="R80" s="8"/>
      <c r="T80"/>
    </row>
    <row r="81" spans="2:20" ht="23.1" customHeight="1">
      <c r="B81" s="45" t="s">
        <v>121</v>
      </c>
      <c r="C81" s="50">
        <v>69</v>
      </c>
      <c r="D81" s="50">
        <v>25</v>
      </c>
      <c r="E81" s="50">
        <v>2</v>
      </c>
      <c r="F81" s="50">
        <v>1</v>
      </c>
      <c r="G81" s="50">
        <v>0</v>
      </c>
      <c r="H81" s="50">
        <v>0</v>
      </c>
      <c r="I81" s="50">
        <v>1</v>
      </c>
      <c r="J81" s="50">
        <v>0</v>
      </c>
      <c r="K81" s="50">
        <v>0</v>
      </c>
      <c r="L81" s="50">
        <v>0</v>
      </c>
      <c r="M81" s="50">
        <v>34</v>
      </c>
      <c r="N81" s="50">
        <v>0</v>
      </c>
      <c r="O81" s="15">
        <f t="shared" si="35"/>
        <v>98</v>
      </c>
      <c r="P81" s="15">
        <f t="shared" si="36"/>
        <v>132</v>
      </c>
      <c r="R81" s="8"/>
      <c r="T81"/>
    </row>
    <row r="82" spans="2:20" ht="23.1" customHeight="1">
      <c r="B82" s="46" t="s">
        <v>122</v>
      </c>
      <c r="C82" s="50">
        <v>50</v>
      </c>
      <c r="D82" s="50">
        <v>12</v>
      </c>
      <c r="E82" s="50">
        <v>1</v>
      </c>
      <c r="F82" s="50">
        <v>1</v>
      </c>
      <c r="G82" s="50">
        <v>0</v>
      </c>
      <c r="H82" s="50">
        <v>0</v>
      </c>
      <c r="I82" s="50">
        <v>0</v>
      </c>
      <c r="J82" s="50">
        <v>0</v>
      </c>
      <c r="K82" s="50">
        <v>0</v>
      </c>
      <c r="L82" s="50">
        <v>0</v>
      </c>
      <c r="M82" s="50">
        <v>39</v>
      </c>
      <c r="N82" s="50">
        <v>0</v>
      </c>
      <c r="O82" s="15">
        <f t="shared" si="35"/>
        <v>64</v>
      </c>
      <c r="P82" s="15">
        <f t="shared" si="36"/>
        <v>103</v>
      </c>
      <c r="R82" s="8"/>
      <c r="T82"/>
    </row>
    <row r="83" spans="2:20" ht="23.1" customHeight="1">
      <c r="B83" s="45" t="s">
        <v>123</v>
      </c>
      <c r="C83" s="50">
        <v>34</v>
      </c>
      <c r="D83" s="50">
        <v>14</v>
      </c>
      <c r="E83" s="50">
        <v>1</v>
      </c>
      <c r="F83" s="50">
        <v>2</v>
      </c>
      <c r="G83" s="50">
        <v>0</v>
      </c>
      <c r="H83" s="50">
        <v>0</v>
      </c>
      <c r="I83" s="50">
        <v>3</v>
      </c>
      <c r="J83" s="50">
        <v>0</v>
      </c>
      <c r="K83" s="50">
        <v>0</v>
      </c>
      <c r="L83" s="50">
        <v>0</v>
      </c>
      <c r="M83" s="50">
        <v>32</v>
      </c>
      <c r="N83" s="50">
        <v>0</v>
      </c>
      <c r="O83" s="15">
        <f t="shared" si="35"/>
        <v>54</v>
      </c>
      <c r="P83" s="15">
        <f t="shared" si="36"/>
        <v>86</v>
      </c>
      <c r="R83" s="8"/>
      <c r="T83"/>
    </row>
    <row r="84" spans="2:20" ht="23.1" customHeight="1">
      <c r="B84" s="47" t="s">
        <v>124</v>
      </c>
      <c r="C84" s="50">
        <v>41</v>
      </c>
      <c r="D84" s="50">
        <v>7</v>
      </c>
      <c r="E84" s="50">
        <v>1</v>
      </c>
      <c r="F84" s="50">
        <v>1</v>
      </c>
      <c r="G84" s="50">
        <v>0</v>
      </c>
      <c r="H84" s="50">
        <v>0</v>
      </c>
      <c r="I84" s="50">
        <v>0</v>
      </c>
      <c r="J84" s="50">
        <v>0</v>
      </c>
      <c r="K84" s="50">
        <v>0</v>
      </c>
      <c r="L84" s="50">
        <v>0</v>
      </c>
      <c r="M84" s="50">
        <v>15</v>
      </c>
      <c r="N84" s="50">
        <v>0</v>
      </c>
      <c r="O84" s="15">
        <f t="shared" si="35"/>
        <v>50</v>
      </c>
      <c r="P84" s="15">
        <f t="shared" si="36"/>
        <v>65</v>
      </c>
      <c r="R84" s="8"/>
      <c r="T84"/>
    </row>
    <row r="85" spans="2:20" ht="23.1" customHeight="1">
      <c r="B85" s="45" t="s">
        <v>125</v>
      </c>
      <c r="C85" s="50">
        <v>49</v>
      </c>
      <c r="D85" s="50">
        <v>10</v>
      </c>
      <c r="E85" s="50">
        <v>1</v>
      </c>
      <c r="F85" s="50">
        <v>3</v>
      </c>
      <c r="G85" s="50">
        <v>0</v>
      </c>
      <c r="H85" s="50">
        <v>0</v>
      </c>
      <c r="I85" s="50">
        <v>0</v>
      </c>
      <c r="J85" s="50">
        <v>0</v>
      </c>
      <c r="K85" s="50">
        <v>0</v>
      </c>
      <c r="L85" s="50">
        <v>0</v>
      </c>
      <c r="M85" s="50">
        <v>27</v>
      </c>
      <c r="N85" s="50">
        <v>0</v>
      </c>
      <c r="O85" s="15">
        <f t="shared" si="35"/>
        <v>63</v>
      </c>
      <c r="P85" s="15">
        <f t="shared" si="36"/>
        <v>90</v>
      </c>
      <c r="R85" s="8"/>
      <c r="T85"/>
    </row>
    <row r="86" spans="2:20" ht="23.1" customHeight="1">
      <c r="B86" s="46" t="s">
        <v>126</v>
      </c>
      <c r="C86" s="50">
        <v>47</v>
      </c>
      <c r="D86" s="50">
        <v>21</v>
      </c>
      <c r="E86" s="50">
        <v>2</v>
      </c>
      <c r="F86" s="50">
        <v>1</v>
      </c>
      <c r="G86" s="50">
        <v>0</v>
      </c>
      <c r="H86" s="50">
        <v>0</v>
      </c>
      <c r="I86" s="50">
        <v>0</v>
      </c>
      <c r="J86" s="50">
        <v>2</v>
      </c>
      <c r="K86" s="50">
        <v>0</v>
      </c>
      <c r="L86" s="50">
        <v>0</v>
      </c>
      <c r="M86" s="50">
        <v>20</v>
      </c>
      <c r="N86" s="50">
        <v>0</v>
      </c>
      <c r="O86" s="15">
        <f t="shared" si="35"/>
        <v>73</v>
      </c>
      <c r="P86" s="15">
        <f t="shared" si="36"/>
        <v>93</v>
      </c>
      <c r="R86" s="8"/>
      <c r="T86"/>
    </row>
    <row r="87" spans="2:20" ht="23.1" customHeight="1">
      <c r="B87" s="45" t="s">
        <v>127</v>
      </c>
      <c r="C87" s="50">
        <v>47</v>
      </c>
      <c r="D87" s="50">
        <v>14</v>
      </c>
      <c r="E87" s="50">
        <v>1</v>
      </c>
      <c r="F87" s="50">
        <v>0</v>
      </c>
      <c r="G87" s="50">
        <v>0</v>
      </c>
      <c r="H87" s="50">
        <v>0</v>
      </c>
      <c r="I87" s="50">
        <v>0</v>
      </c>
      <c r="J87" s="50">
        <v>0</v>
      </c>
      <c r="K87" s="50">
        <v>0</v>
      </c>
      <c r="L87" s="50">
        <v>0</v>
      </c>
      <c r="M87" s="50">
        <v>31</v>
      </c>
      <c r="N87" s="50">
        <v>0</v>
      </c>
      <c r="O87" s="15">
        <f t="shared" si="35"/>
        <v>62</v>
      </c>
      <c r="P87" s="15">
        <f t="shared" si="36"/>
        <v>93</v>
      </c>
      <c r="R87" s="8"/>
      <c r="T87"/>
    </row>
    <row r="88" spans="2:20" ht="23.1" customHeight="1">
      <c r="B88" s="47" t="s">
        <v>128</v>
      </c>
      <c r="C88" s="50">
        <v>54</v>
      </c>
      <c r="D88" s="50">
        <v>15</v>
      </c>
      <c r="E88" s="50">
        <v>1</v>
      </c>
      <c r="F88" s="50">
        <v>1</v>
      </c>
      <c r="G88" s="50">
        <v>0</v>
      </c>
      <c r="H88" s="50">
        <v>0</v>
      </c>
      <c r="I88" s="50">
        <v>0</v>
      </c>
      <c r="J88" s="50">
        <v>0</v>
      </c>
      <c r="K88" s="50">
        <v>0</v>
      </c>
      <c r="L88" s="50">
        <v>0</v>
      </c>
      <c r="M88" s="50">
        <v>19</v>
      </c>
      <c r="N88" s="50">
        <v>0</v>
      </c>
      <c r="O88" s="15">
        <f t="shared" si="35"/>
        <v>71</v>
      </c>
      <c r="P88" s="15">
        <f t="shared" si="36"/>
        <v>90</v>
      </c>
      <c r="R88" s="8"/>
      <c r="T88"/>
    </row>
    <row r="89" spans="2:20" ht="23.1" customHeight="1">
      <c r="B89" s="45" t="s">
        <v>129</v>
      </c>
      <c r="C89" s="50">
        <v>41</v>
      </c>
      <c r="D89" s="50">
        <v>7</v>
      </c>
      <c r="E89" s="50">
        <v>0</v>
      </c>
      <c r="F89" s="50">
        <v>0</v>
      </c>
      <c r="G89" s="50">
        <v>0</v>
      </c>
      <c r="H89" s="50">
        <v>0</v>
      </c>
      <c r="I89" s="50">
        <v>1</v>
      </c>
      <c r="J89" s="50">
        <v>0</v>
      </c>
      <c r="K89" s="50">
        <v>0</v>
      </c>
      <c r="L89" s="50">
        <v>0</v>
      </c>
      <c r="M89" s="50">
        <v>19</v>
      </c>
      <c r="N89" s="50">
        <v>0</v>
      </c>
      <c r="O89" s="15">
        <f t="shared" si="35"/>
        <v>49</v>
      </c>
      <c r="P89" s="15">
        <f t="shared" si="36"/>
        <v>68</v>
      </c>
      <c r="R89" s="8"/>
      <c r="T89"/>
    </row>
    <row r="90" spans="2:20" ht="23.1" customHeight="1">
      <c r="B90" s="46" t="s">
        <v>130</v>
      </c>
      <c r="C90" s="50">
        <v>45</v>
      </c>
      <c r="D90" s="50">
        <v>14</v>
      </c>
      <c r="E90" s="50">
        <v>2</v>
      </c>
      <c r="F90" s="50">
        <v>1</v>
      </c>
      <c r="G90" s="50">
        <v>0</v>
      </c>
      <c r="H90" s="50">
        <v>0</v>
      </c>
      <c r="I90" s="50">
        <v>0</v>
      </c>
      <c r="J90" s="50">
        <v>1</v>
      </c>
      <c r="K90" s="50">
        <v>0</v>
      </c>
      <c r="L90" s="50">
        <v>0</v>
      </c>
      <c r="M90" s="50">
        <v>17</v>
      </c>
      <c r="N90" s="50">
        <v>0</v>
      </c>
      <c r="O90" s="15">
        <f t="shared" si="35"/>
        <v>63</v>
      </c>
      <c r="P90" s="15">
        <f t="shared" si="36"/>
        <v>80</v>
      </c>
      <c r="R90" s="8"/>
      <c r="T90"/>
    </row>
    <row r="91" spans="2:20" ht="23.1" customHeight="1">
      <c r="B91" s="45" t="s">
        <v>131</v>
      </c>
      <c r="C91" s="50">
        <v>42</v>
      </c>
      <c r="D91" s="50">
        <v>5</v>
      </c>
      <c r="E91" s="50">
        <v>3</v>
      </c>
      <c r="F91" s="50">
        <v>0</v>
      </c>
      <c r="G91" s="50">
        <v>0</v>
      </c>
      <c r="H91" s="50">
        <v>0</v>
      </c>
      <c r="I91" s="50">
        <v>1</v>
      </c>
      <c r="J91" s="50">
        <v>0</v>
      </c>
      <c r="K91" s="50">
        <v>0</v>
      </c>
      <c r="L91" s="50">
        <v>0</v>
      </c>
      <c r="M91" s="50">
        <v>22</v>
      </c>
      <c r="N91" s="50">
        <v>0</v>
      </c>
      <c r="O91" s="15">
        <f t="shared" si="35"/>
        <v>51</v>
      </c>
      <c r="P91" s="15">
        <f t="shared" si="36"/>
        <v>73</v>
      </c>
      <c r="R91" s="8"/>
      <c r="T91"/>
    </row>
    <row r="92" spans="2:20" ht="23.1" customHeight="1">
      <c r="B92" s="47" t="s">
        <v>132</v>
      </c>
      <c r="C92" s="50">
        <v>32</v>
      </c>
      <c r="D92" s="50">
        <v>9</v>
      </c>
      <c r="E92" s="50">
        <v>3</v>
      </c>
      <c r="F92" s="50">
        <v>2</v>
      </c>
      <c r="G92" s="50">
        <v>0</v>
      </c>
      <c r="H92" s="50">
        <v>0</v>
      </c>
      <c r="I92" s="50">
        <v>1</v>
      </c>
      <c r="J92" s="50">
        <v>0</v>
      </c>
      <c r="K92" s="50">
        <v>1</v>
      </c>
      <c r="L92" s="50">
        <v>0</v>
      </c>
      <c r="M92" s="50">
        <v>27</v>
      </c>
      <c r="N92" s="50">
        <v>0</v>
      </c>
      <c r="O92" s="15">
        <f t="shared" si="35"/>
        <v>48</v>
      </c>
      <c r="P92" s="15">
        <f t="shared" si="36"/>
        <v>75</v>
      </c>
      <c r="R92" s="8"/>
      <c r="T92"/>
    </row>
    <row r="93" spans="2:20" ht="23.1" customHeight="1">
      <c r="B93" s="45" t="s">
        <v>133</v>
      </c>
      <c r="C93" s="50">
        <v>25</v>
      </c>
      <c r="D93" s="50">
        <v>4</v>
      </c>
      <c r="E93" s="50">
        <v>0</v>
      </c>
      <c r="F93" s="50">
        <v>0</v>
      </c>
      <c r="G93" s="50">
        <v>0</v>
      </c>
      <c r="H93" s="50">
        <v>0</v>
      </c>
      <c r="I93" s="50">
        <v>1</v>
      </c>
      <c r="J93" s="50">
        <v>0</v>
      </c>
      <c r="K93" s="50">
        <v>0</v>
      </c>
      <c r="L93" s="50">
        <v>0</v>
      </c>
      <c r="M93" s="50">
        <v>19</v>
      </c>
      <c r="N93" s="50">
        <v>0</v>
      </c>
      <c r="O93" s="15">
        <f t="shared" si="35"/>
        <v>30</v>
      </c>
      <c r="P93" s="15">
        <f t="shared" si="36"/>
        <v>49</v>
      </c>
      <c r="R93" s="8"/>
      <c r="T93"/>
    </row>
    <row r="94" spans="2:20" ht="23.1" customHeight="1">
      <c r="B94" s="46" t="s">
        <v>134</v>
      </c>
      <c r="C94" s="50">
        <v>30</v>
      </c>
      <c r="D94" s="50">
        <v>13</v>
      </c>
      <c r="E94" s="50">
        <v>0</v>
      </c>
      <c r="F94" s="50">
        <v>0</v>
      </c>
      <c r="G94" s="50">
        <v>0</v>
      </c>
      <c r="H94" s="50">
        <v>0</v>
      </c>
      <c r="I94" s="50">
        <v>0</v>
      </c>
      <c r="J94" s="50">
        <v>0</v>
      </c>
      <c r="K94" s="50">
        <v>0</v>
      </c>
      <c r="L94" s="50">
        <v>0</v>
      </c>
      <c r="M94" s="50">
        <v>31</v>
      </c>
      <c r="N94" s="50">
        <v>0</v>
      </c>
      <c r="O94" s="15">
        <f t="shared" si="35"/>
        <v>43</v>
      </c>
      <c r="P94" s="15">
        <f t="shared" si="36"/>
        <v>74</v>
      </c>
      <c r="R94" s="8"/>
      <c r="T94"/>
    </row>
    <row r="95" spans="2:20" ht="23.1" customHeight="1">
      <c r="B95" s="45" t="s">
        <v>135</v>
      </c>
      <c r="C95" s="50">
        <v>18</v>
      </c>
      <c r="D95" s="50">
        <v>8</v>
      </c>
      <c r="E95" s="50">
        <v>3</v>
      </c>
      <c r="F95" s="50">
        <v>0</v>
      </c>
      <c r="G95" s="50">
        <v>0</v>
      </c>
      <c r="H95" s="50">
        <v>0</v>
      </c>
      <c r="I95" s="50">
        <v>0</v>
      </c>
      <c r="J95" s="50">
        <v>0</v>
      </c>
      <c r="K95" s="50">
        <v>0</v>
      </c>
      <c r="L95" s="50">
        <v>0</v>
      </c>
      <c r="M95" s="50">
        <v>14</v>
      </c>
      <c r="N95" s="50">
        <v>0</v>
      </c>
      <c r="O95" s="15">
        <f t="shared" si="35"/>
        <v>29</v>
      </c>
      <c r="P95" s="15">
        <f t="shared" si="36"/>
        <v>43</v>
      </c>
      <c r="R95" s="8"/>
      <c r="T95"/>
    </row>
    <row r="96" spans="2:20" ht="23.1" customHeight="1">
      <c r="B96" s="47" t="s">
        <v>136</v>
      </c>
      <c r="C96" s="50">
        <v>22</v>
      </c>
      <c r="D96" s="50">
        <v>6</v>
      </c>
      <c r="E96" s="50">
        <v>3</v>
      </c>
      <c r="F96" s="50">
        <v>0</v>
      </c>
      <c r="G96" s="50">
        <v>0</v>
      </c>
      <c r="H96" s="50">
        <v>0</v>
      </c>
      <c r="I96" s="50">
        <v>1</v>
      </c>
      <c r="J96" s="50">
        <v>0</v>
      </c>
      <c r="K96" s="50">
        <v>0</v>
      </c>
      <c r="L96" s="50">
        <v>0</v>
      </c>
      <c r="M96" s="50">
        <v>20</v>
      </c>
      <c r="N96" s="50">
        <v>0</v>
      </c>
      <c r="O96" s="15">
        <f t="shared" si="35"/>
        <v>32</v>
      </c>
      <c r="P96" s="15">
        <f t="shared" si="36"/>
        <v>52</v>
      </c>
      <c r="R96" s="8"/>
      <c r="T96"/>
    </row>
    <row r="97" spans="2:20" ht="23.1" customHeight="1">
      <c r="B97" s="45" t="s">
        <v>137</v>
      </c>
      <c r="C97" s="50">
        <v>14</v>
      </c>
      <c r="D97" s="50">
        <v>6</v>
      </c>
      <c r="E97" s="50">
        <v>1</v>
      </c>
      <c r="F97" s="50">
        <v>0</v>
      </c>
      <c r="G97" s="50">
        <v>0</v>
      </c>
      <c r="H97" s="50">
        <v>0</v>
      </c>
      <c r="I97" s="50">
        <v>2</v>
      </c>
      <c r="J97" s="50">
        <v>0</v>
      </c>
      <c r="K97" s="50">
        <v>0</v>
      </c>
      <c r="L97" s="50">
        <v>0</v>
      </c>
      <c r="M97" s="50">
        <v>14</v>
      </c>
      <c r="N97" s="50">
        <v>0</v>
      </c>
      <c r="O97" s="15">
        <f t="shared" si="35"/>
        <v>23</v>
      </c>
      <c r="P97" s="15">
        <f t="shared" si="36"/>
        <v>37</v>
      </c>
      <c r="R97" s="8"/>
      <c r="T97"/>
    </row>
    <row r="98" spans="2:20" ht="23.1" customHeight="1">
      <c r="B98" s="46" t="s">
        <v>138</v>
      </c>
      <c r="C98" s="50">
        <v>13</v>
      </c>
      <c r="D98" s="50">
        <v>3</v>
      </c>
      <c r="E98" s="50">
        <v>2</v>
      </c>
      <c r="F98" s="50">
        <v>2</v>
      </c>
      <c r="G98" s="50">
        <v>0</v>
      </c>
      <c r="H98" s="50">
        <v>0</v>
      </c>
      <c r="I98" s="50">
        <v>0</v>
      </c>
      <c r="J98" s="50">
        <v>0</v>
      </c>
      <c r="K98" s="50">
        <v>0</v>
      </c>
      <c r="L98" s="50">
        <v>0</v>
      </c>
      <c r="M98" s="50">
        <v>15</v>
      </c>
      <c r="N98" s="50">
        <v>0</v>
      </c>
      <c r="O98" s="15">
        <f t="shared" si="35"/>
        <v>20</v>
      </c>
      <c r="P98" s="15">
        <f t="shared" si="36"/>
        <v>35</v>
      </c>
      <c r="R98" s="8"/>
      <c r="T98"/>
    </row>
    <row r="99" spans="2:20" ht="23.1" customHeight="1">
      <c r="B99" s="45" t="s">
        <v>139</v>
      </c>
      <c r="C99" s="50">
        <v>19</v>
      </c>
      <c r="D99" s="50">
        <v>5</v>
      </c>
      <c r="E99" s="50">
        <v>1</v>
      </c>
      <c r="F99" s="50">
        <v>2</v>
      </c>
      <c r="G99" s="50">
        <v>0</v>
      </c>
      <c r="H99" s="50">
        <v>0</v>
      </c>
      <c r="I99" s="50">
        <v>0</v>
      </c>
      <c r="J99" s="50">
        <v>0</v>
      </c>
      <c r="K99" s="50">
        <v>0</v>
      </c>
      <c r="L99" s="50">
        <v>0</v>
      </c>
      <c r="M99" s="50">
        <v>20</v>
      </c>
      <c r="N99" s="50">
        <v>0</v>
      </c>
      <c r="O99" s="15">
        <f t="shared" si="35"/>
        <v>27</v>
      </c>
      <c r="P99" s="15">
        <f t="shared" si="36"/>
        <v>47</v>
      </c>
      <c r="R99" s="8"/>
      <c r="T99"/>
    </row>
    <row r="100" spans="2:20" ht="23.1" customHeight="1">
      <c r="B100" s="47" t="s">
        <v>140</v>
      </c>
      <c r="C100" s="50">
        <v>25</v>
      </c>
      <c r="D100" s="50">
        <v>4</v>
      </c>
      <c r="E100" s="50">
        <v>2</v>
      </c>
      <c r="F100" s="50">
        <v>2</v>
      </c>
      <c r="G100" s="50">
        <v>0</v>
      </c>
      <c r="H100" s="50">
        <v>0</v>
      </c>
      <c r="I100" s="50">
        <v>0</v>
      </c>
      <c r="J100" s="50">
        <v>1</v>
      </c>
      <c r="K100" s="50">
        <v>0</v>
      </c>
      <c r="L100" s="50">
        <v>0</v>
      </c>
      <c r="M100" s="50">
        <v>14</v>
      </c>
      <c r="N100" s="50">
        <v>0</v>
      </c>
      <c r="O100" s="15">
        <f t="shared" si="35"/>
        <v>34</v>
      </c>
      <c r="P100" s="15">
        <f t="shared" si="36"/>
        <v>48</v>
      </c>
      <c r="R100" s="8"/>
      <c r="T100"/>
    </row>
    <row r="101" spans="2:20" ht="23.1" customHeight="1">
      <c r="B101" s="45" t="s">
        <v>141</v>
      </c>
      <c r="C101" s="50">
        <v>15</v>
      </c>
      <c r="D101" s="50">
        <v>6</v>
      </c>
      <c r="E101" s="50">
        <v>3</v>
      </c>
      <c r="F101" s="50">
        <v>4</v>
      </c>
      <c r="G101" s="50">
        <v>0</v>
      </c>
      <c r="H101" s="50">
        <v>0</v>
      </c>
      <c r="I101" s="50">
        <v>0</v>
      </c>
      <c r="J101" s="50">
        <v>0</v>
      </c>
      <c r="K101" s="50">
        <v>0</v>
      </c>
      <c r="L101" s="50">
        <v>0</v>
      </c>
      <c r="M101" s="50">
        <v>19</v>
      </c>
      <c r="N101" s="50">
        <v>0</v>
      </c>
      <c r="O101" s="15">
        <f t="shared" si="35"/>
        <v>28</v>
      </c>
      <c r="P101" s="15">
        <f t="shared" si="36"/>
        <v>47</v>
      </c>
      <c r="R101" s="8"/>
      <c r="T101"/>
    </row>
    <row r="102" spans="2:20" ht="23.1" customHeight="1">
      <c r="B102" s="46" t="s">
        <v>142</v>
      </c>
      <c r="C102" s="50">
        <v>14</v>
      </c>
      <c r="D102" s="50">
        <v>4</v>
      </c>
      <c r="E102" s="50">
        <v>0</v>
      </c>
      <c r="F102" s="50">
        <v>4</v>
      </c>
      <c r="G102" s="50">
        <v>0</v>
      </c>
      <c r="H102" s="50">
        <v>0</v>
      </c>
      <c r="I102" s="50">
        <v>0</v>
      </c>
      <c r="J102" s="50">
        <v>1</v>
      </c>
      <c r="K102" s="50">
        <v>0</v>
      </c>
      <c r="L102" s="50">
        <v>0</v>
      </c>
      <c r="M102" s="50">
        <v>27</v>
      </c>
      <c r="N102" s="50">
        <v>0</v>
      </c>
      <c r="O102" s="15">
        <f t="shared" si="35"/>
        <v>23</v>
      </c>
      <c r="P102" s="15">
        <f t="shared" si="36"/>
        <v>50</v>
      </c>
      <c r="R102" s="8"/>
      <c r="T102"/>
    </row>
    <row r="103" spans="2:20" ht="23.1" customHeight="1">
      <c r="B103" s="45" t="s">
        <v>143</v>
      </c>
      <c r="C103" s="50">
        <v>21</v>
      </c>
      <c r="D103" s="50">
        <v>1</v>
      </c>
      <c r="E103" s="50">
        <v>0</v>
      </c>
      <c r="F103" s="50">
        <v>6</v>
      </c>
      <c r="G103" s="50">
        <v>0</v>
      </c>
      <c r="H103" s="50">
        <v>0</v>
      </c>
      <c r="I103" s="50">
        <v>0</v>
      </c>
      <c r="J103" s="50">
        <v>1</v>
      </c>
      <c r="K103" s="50">
        <v>0</v>
      </c>
      <c r="L103" s="50">
        <v>0</v>
      </c>
      <c r="M103" s="50">
        <v>28</v>
      </c>
      <c r="N103" s="50">
        <v>0</v>
      </c>
      <c r="O103" s="15">
        <f t="shared" si="35"/>
        <v>29</v>
      </c>
      <c r="P103" s="15">
        <f t="shared" si="36"/>
        <v>57</v>
      </c>
      <c r="R103" s="8"/>
      <c r="T103"/>
    </row>
    <row r="104" spans="2:20" ht="23.1" customHeight="1">
      <c r="B104" s="47" t="s">
        <v>144</v>
      </c>
      <c r="C104" s="50">
        <v>20</v>
      </c>
      <c r="D104" s="50">
        <v>4</v>
      </c>
      <c r="E104" s="50">
        <v>1</v>
      </c>
      <c r="F104" s="50">
        <v>12</v>
      </c>
      <c r="G104" s="50">
        <v>0</v>
      </c>
      <c r="H104" s="50">
        <v>0</v>
      </c>
      <c r="I104" s="50">
        <v>2</v>
      </c>
      <c r="J104" s="50">
        <v>0</v>
      </c>
      <c r="K104" s="50">
        <v>0</v>
      </c>
      <c r="L104" s="50">
        <v>0</v>
      </c>
      <c r="M104" s="50">
        <v>26</v>
      </c>
      <c r="N104" s="50">
        <v>0</v>
      </c>
      <c r="O104" s="15">
        <f t="shared" si="35"/>
        <v>39</v>
      </c>
      <c r="P104" s="15">
        <f t="shared" si="36"/>
        <v>65</v>
      </c>
      <c r="R104" s="8"/>
      <c r="T104"/>
    </row>
    <row r="105" spans="2:20" ht="23.1" customHeight="1">
      <c r="B105" s="45" t="s">
        <v>145</v>
      </c>
      <c r="C105" s="50">
        <v>27</v>
      </c>
      <c r="D105" s="50">
        <v>2</v>
      </c>
      <c r="E105" s="50">
        <v>1</v>
      </c>
      <c r="F105" s="50">
        <v>15</v>
      </c>
      <c r="G105" s="50">
        <v>0</v>
      </c>
      <c r="H105" s="50">
        <v>0</v>
      </c>
      <c r="I105" s="50">
        <v>1</v>
      </c>
      <c r="J105" s="50">
        <v>0</v>
      </c>
      <c r="K105" s="50">
        <v>0</v>
      </c>
      <c r="L105" s="50">
        <v>0</v>
      </c>
      <c r="M105" s="50">
        <v>33</v>
      </c>
      <c r="N105" s="50">
        <v>0</v>
      </c>
      <c r="O105" s="15">
        <f t="shared" si="35"/>
        <v>46</v>
      </c>
      <c r="P105" s="15">
        <f t="shared" si="36"/>
        <v>79</v>
      </c>
      <c r="R105" s="8"/>
      <c r="T105"/>
    </row>
    <row r="106" spans="2:20" ht="23.1" customHeight="1">
      <c r="B106" s="26" t="s">
        <v>18</v>
      </c>
      <c r="C106" s="16">
        <f>SUM(C10:C105)</f>
        <v>5340</v>
      </c>
      <c r="D106" s="16">
        <f t="shared" ref="D106:P106" si="37">SUM(D10:D105)</f>
        <v>1389</v>
      </c>
      <c r="E106" s="16">
        <f t="shared" si="37"/>
        <v>403</v>
      </c>
      <c r="F106" s="16">
        <f t="shared" si="37"/>
        <v>1170</v>
      </c>
      <c r="G106" s="16">
        <f t="shared" si="37"/>
        <v>26</v>
      </c>
      <c r="H106" s="16">
        <f t="shared" si="37"/>
        <v>10</v>
      </c>
      <c r="I106" s="16">
        <f t="shared" si="37"/>
        <v>390</v>
      </c>
      <c r="J106" s="16">
        <f t="shared" si="37"/>
        <v>44</v>
      </c>
      <c r="K106" s="16">
        <f t="shared" si="37"/>
        <v>18</v>
      </c>
      <c r="L106" s="16">
        <f t="shared" si="37"/>
        <v>7</v>
      </c>
      <c r="M106" s="16">
        <f t="shared" si="37"/>
        <v>4517</v>
      </c>
      <c r="N106" s="16">
        <f t="shared" si="37"/>
        <v>0</v>
      </c>
      <c r="O106" s="16">
        <f t="shared" si="37"/>
        <v>8797</v>
      </c>
      <c r="P106" s="16">
        <f t="shared" si="37"/>
        <v>13314</v>
      </c>
      <c r="R106" s="8"/>
      <c r="T106"/>
    </row>
    <row r="107" spans="2:20" ht="23.1" customHeight="1">
      <c r="B107" s="26" t="s">
        <v>93</v>
      </c>
      <c r="C107" s="43">
        <f t="shared" ref="C107:N107" si="38">C106/$P$106</f>
        <v>0.40108156827399727</v>
      </c>
      <c r="D107" s="43">
        <f t="shared" si="38"/>
        <v>0.10432627309598919</v>
      </c>
      <c r="E107" s="43">
        <f t="shared" si="38"/>
        <v>3.0268889890340996E-2</v>
      </c>
      <c r="F107" s="43">
        <f t="shared" si="38"/>
        <v>8.7877422262280305E-2</v>
      </c>
      <c r="G107" s="43">
        <f t="shared" si="38"/>
        <v>1.9528316058284513E-3</v>
      </c>
      <c r="H107" s="43">
        <f t="shared" si="38"/>
        <v>7.5108907916478891E-4</v>
      </c>
      <c r="I107" s="43">
        <f t="shared" si="38"/>
        <v>2.929247408742677E-2</v>
      </c>
      <c r="J107" s="43">
        <f t="shared" si="38"/>
        <v>3.3047919483250713E-3</v>
      </c>
      <c r="K107" s="43">
        <f t="shared" si="38"/>
        <v>1.3519603424966202E-3</v>
      </c>
      <c r="L107" s="43">
        <f t="shared" si="38"/>
        <v>5.2576235541535224E-4</v>
      </c>
      <c r="M107" s="43">
        <f t="shared" si="38"/>
        <v>0.33926693705873517</v>
      </c>
      <c r="N107" s="43">
        <f t="shared" si="38"/>
        <v>0</v>
      </c>
      <c r="R107" s="8"/>
      <c r="T107"/>
    </row>
    <row r="108" spans="2:20" ht="23.1" customHeight="1">
      <c r="B108" s="42" t="s">
        <v>94</v>
      </c>
      <c r="C108" s="44">
        <f>C106/$O$106</f>
        <v>0.60702512220075022</v>
      </c>
      <c r="D108" s="44">
        <f t="shared" ref="D108:N108" si="39">D106/$O$106</f>
        <v>0.15789473684210525</v>
      </c>
      <c r="E108" s="44">
        <f t="shared" si="39"/>
        <v>4.5811071956348752E-2</v>
      </c>
      <c r="F108" s="44">
        <f t="shared" si="39"/>
        <v>0.13299988632488349</v>
      </c>
      <c r="G108" s="44">
        <f t="shared" si="39"/>
        <v>2.9555530294418553E-3</v>
      </c>
      <c r="H108" s="44">
        <f t="shared" si="39"/>
        <v>1.1367511651699442E-3</v>
      </c>
      <c r="I108" s="44">
        <f t="shared" si="39"/>
        <v>4.4333295441627826E-2</v>
      </c>
      <c r="J108" s="44">
        <f t="shared" si="39"/>
        <v>5.001705126747755E-3</v>
      </c>
      <c r="K108" s="44">
        <f t="shared" si="39"/>
        <v>2.0461520973058997E-3</v>
      </c>
      <c r="L108" s="44">
        <f t="shared" si="39"/>
        <v>7.9572581561896099E-4</v>
      </c>
      <c r="M108" s="44"/>
      <c r="N108" s="44">
        <f t="shared" si="39"/>
        <v>0</v>
      </c>
      <c r="Q108" s="7"/>
      <c r="R108" s="8"/>
      <c r="T108"/>
    </row>
    <row r="109" spans="2:20" ht="23.1" customHeight="1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>
  <dimension ref="B1:AF126"/>
  <sheetViews>
    <sheetView view="pageBreakPreview" zoomScale="60" workbookViewId="0">
      <selection activeCell="R53" sqref="R53"/>
    </sheetView>
  </sheetViews>
  <sheetFormatPr defaultColWidth="15" defaultRowHeight="20.100000000000001" customHeight="1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>
      <c r="B1" s="60" t="s">
        <v>23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</row>
    <row r="2" spans="2:32" ht="20.100000000000001" customHeight="1">
      <c r="B2" s="61" t="s">
        <v>95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</row>
    <row r="3" spans="2:32" ht="20.100000000000001" customHeight="1">
      <c r="B3" s="22" t="s">
        <v>96</v>
      </c>
      <c r="C3" s="65" t="str">
        <f>'29.07 Najjeera-Kiwatule'!C3:G3</f>
        <v>MCC - C1 - STN36 - MBOGO ROAD</v>
      </c>
      <c r="D3" s="65"/>
      <c r="E3" s="65"/>
      <c r="F3" s="65"/>
      <c r="G3" s="65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>
      <c r="C5" s="4" t="s">
        <v>3</v>
      </c>
      <c r="D5" s="36" t="s">
        <v>171</v>
      </c>
      <c r="E5" s="3"/>
      <c r="F5" s="41" t="s">
        <v>1</v>
      </c>
      <c r="G5" s="66" t="str">
        <f>'03.08 Kiwatule-Najjeera-24h'!G5:H5</f>
        <v>U Save Kiwatule</v>
      </c>
      <c r="H5" s="67"/>
      <c r="I5" s="14"/>
      <c r="J5" s="2" t="s">
        <v>5</v>
      </c>
      <c r="K5" s="66" t="s">
        <v>176</v>
      </c>
      <c r="L5" s="67"/>
      <c r="M5" s="10"/>
      <c r="N5" s="10"/>
      <c r="O5" s="3"/>
      <c r="P5" s="3"/>
    </row>
    <row r="6" spans="2:32" ht="23.25" customHeight="1">
      <c r="C6" s="2" t="s">
        <v>4</v>
      </c>
      <c r="D6" s="66" t="str">
        <f>'29.07 Najjeera-Kiwatule'!D6:E6</f>
        <v>Najjeera</v>
      </c>
      <c r="E6" s="67"/>
      <c r="F6" s="2" t="s">
        <v>2</v>
      </c>
      <c r="G6" s="66" t="str">
        <f>'29.07 Najjeera-Kiwatule'!G6:H6</f>
        <v>Kiwatule</v>
      </c>
      <c r="H6" s="67"/>
      <c r="J6" s="2" t="s">
        <v>21</v>
      </c>
      <c r="K6" s="66" t="str">
        <f>'03.08 Kiwatule-Najjeera-24h'!K6:L6</f>
        <v>Joan</v>
      </c>
      <c r="L6" s="67"/>
      <c r="M6" s="10"/>
      <c r="N6" s="10"/>
      <c r="O6" s="3"/>
      <c r="P6" s="3"/>
    </row>
    <row r="7" spans="2:32" ht="20.100000000000001" customHeight="1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9" t="s">
        <v>88</v>
      </c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</row>
    <row r="9" spans="2:32" ht="51.75" customHeight="1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>
      <c r="B10" s="23" t="s">
        <v>37</v>
      </c>
      <c r="C10" s="50">
        <v>33</v>
      </c>
      <c r="D10" s="50">
        <v>0</v>
      </c>
      <c r="E10" s="50">
        <v>0</v>
      </c>
      <c r="F10" s="50">
        <v>9</v>
      </c>
      <c r="G10" s="50">
        <v>0</v>
      </c>
      <c r="H10" s="50">
        <v>0</v>
      </c>
      <c r="I10" s="50">
        <v>3</v>
      </c>
      <c r="J10" s="50">
        <v>1</v>
      </c>
      <c r="K10" s="50">
        <v>0</v>
      </c>
      <c r="L10" s="50">
        <v>0</v>
      </c>
      <c r="M10" s="50">
        <v>17</v>
      </c>
      <c r="N10" s="50">
        <v>0</v>
      </c>
      <c r="O10" s="15">
        <f t="shared" ref="O10:O57" si="0">SUM(C10:L10,N10)</f>
        <v>46</v>
      </c>
      <c r="P10" s="15">
        <f t="shared" ref="P10:P57" si="1">SUM(C10:N10)</f>
        <v>63</v>
      </c>
      <c r="R10" s="1" t="s">
        <v>6</v>
      </c>
      <c r="S10" s="17">
        <f t="shared" ref="S10:AF10" si="2">SUM(C10:C13)</f>
        <v>237</v>
      </c>
      <c r="T10" s="17">
        <f t="shared" si="2"/>
        <v>19</v>
      </c>
      <c r="U10" s="17">
        <f t="shared" si="2"/>
        <v>21</v>
      </c>
      <c r="V10" s="17">
        <f t="shared" si="2"/>
        <v>43</v>
      </c>
      <c r="W10" s="17">
        <f t="shared" si="2"/>
        <v>1</v>
      </c>
      <c r="X10" s="17">
        <f t="shared" si="2"/>
        <v>0</v>
      </c>
      <c r="Y10" s="17">
        <f t="shared" si="2"/>
        <v>7</v>
      </c>
      <c r="Z10" s="17">
        <f t="shared" si="2"/>
        <v>2</v>
      </c>
      <c r="AA10" s="17">
        <f t="shared" si="2"/>
        <v>0</v>
      </c>
      <c r="AB10" s="17">
        <f t="shared" si="2"/>
        <v>0</v>
      </c>
      <c r="AC10" s="17">
        <f t="shared" si="2"/>
        <v>194</v>
      </c>
      <c r="AD10" s="17">
        <f t="shared" si="2"/>
        <v>0</v>
      </c>
      <c r="AE10" s="31">
        <f t="shared" si="2"/>
        <v>330</v>
      </c>
      <c r="AF10" s="31">
        <f t="shared" si="2"/>
        <v>524</v>
      </c>
    </row>
    <row r="11" spans="2:32" s="6" customFormat="1" ht="23.1" customHeight="1">
      <c r="B11" s="23" t="s">
        <v>38</v>
      </c>
      <c r="C11" s="50">
        <v>61</v>
      </c>
      <c r="D11" s="50">
        <v>8</v>
      </c>
      <c r="E11" s="50">
        <v>10</v>
      </c>
      <c r="F11" s="50">
        <v>10</v>
      </c>
      <c r="G11" s="50">
        <v>0</v>
      </c>
      <c r="H11" s="50">
        <v>0</v>
      </c>
      <c r="I11" s="50">
        <v>1</v>
      </c>
      <c r="J11" s="50">
        <v>0</v>
      </c>
      <c r="K11" s="50">
        <v>0</v>
      </c>
      <c r="L11" s="50">
        <v>0</v>
      </c>
      <c r="M11" s="50">
        <v>48</v>
      </c>
      <c r="N11" s="50">
        <v>0</v>
      </c>
      <c r="O11" s="15">
        <f t="shared" si="0"/>
        <v>90</v>
      </c>
      <c r="P11" s="15">
        <f t="shared" si="1"/>
        <v>138</v>
      </c>
      <c r="R11" s="1" t="s">
        <v>7</v>
      </c>
      <c r="S11" s="17">
        <f t="shared" ref="S11:AF11" si="3">SUM(C14:C17)</f>
        <v>290</v>
      </c>
      <c r="T11" s="17">
        <f t="shared" si="3"/>
        <v>39</v>
      </c>
      <c r="U11" s="17">
        <f t="shared" si="3"/>
        <v>20</v>
      </c>
      <c r="V11" s="17">
        <f t="shared" si="3"/>
        <v>59</v>
      </c>
      <c r="W11" s="17">
        <f t="shared" si="3"/>
        <v>0</v>
      </c>
      <c r="X11" s="17">
        <f t="shared" si="3"/>
        <v>0</v>
      </c>
      <c r="Y11" s="17">
        <f t="shared" si="3"/>
        <v>8</v>
      </c>
      <c r="Z11" s="17">
        <f t="shared" si="3"/>
        <v>2</v>
      </c>
      <c r="AA11" s="17">
        <f t="shared" si="3"/>
        <v>0</v>
      </c>
      <c r="AB11" s="17">
        <f t="shared" si="3"/>
        <v>0</v>
      </c>
      <c r="AC11" s="17">
        <f t="shared" si="3"/>
        <v>276</v>
      </c>
      <c r="AD11" s="17">
        <f t="shared" si="3"/>
        <v>0</v>
      </c>
      <c r="AE11" s="31">
        <f t="shared" si="3"/>
        <v>418</v>
      </c>
      <c r="AF11" s="31">
        <f t="shared" si="3"/>
        <v>694</v>
      </c>
    </row>
    <row r="12" spans="2:32" ht="23.1" customHeight="1">
      <c r="B12" s="23" t="s">
        <v>39</v>
      </c>
      <c r="C12" s="50">
        <v>67</v>
      </c>
      <c r="D12" s="50">
        <v>8</v>
      </c>
      <c r="E12" s="50">
        <v>7</v>
      </c>
      <c r="F12" s="50">
        <v>12</v>
      </c>
      <c r="G12" s="50">
        <v>0</v>
      </c>
      <c r="H12" s="50">
        <v>0</v>
      </c>
      <c r="I12" s="50">
        <v>2</v>
      </c>
      <c r="J12" s="50">
        <v>1</v>
      </c>
      <c r="K12" s="50">
        <v>0</v>
      </c>
      <c r="L12" s="50">
        <v>0</v>
      </c>
      <c r="M12" s="50">
        <v>65</v>
      </c>
      <c r="N12" s="50">
        <v>0</v>
      </c>
      <c r="O12" s="15">
        <f t="shared" si="0"/>
        <v>97</v>
      </c>
      <c r="P12" s="15">
        <f t="shared" si="1"/>
        <v>162</v>
      </c>
      <c r="R12" s="1" t="s">
        <v>8</v>
      </c>
      <c r="S12" s="17">
        <f t="shared" ref="S12:AF12" si="4">SUM(C18:C21)</f>
        <v>423</v>
      </c>
      <c r="T12" s="17">
        <f t="shared" si="4"/>
        <v>56</v>
      </c>
      <c r="U12" s="17">
        <f t="shared" si="4"/>
        <v>25</v>
      </c>
      <c r="V12" s="17">
        <f t="shared" si="4"/>
        <v>53</v>
      </c>
      <c r="W12" s="17">
        <f t="shared" si="4"/>
        <v>0</v>
      </c>
      <c r="X12" s="17">
        <f t="shared" si="4"/>
        <v>0</v>
      </c>
      <c r="Y12" s="17">
        <f t="shared" si="4"/>
        <v>14</v>
      </c>
      <c r="Z12" s="17">
        <f t="shared" si="4"/>
        <v>2</v>
      </c>
      <c r="AA12" s="17">
        <f t="shared" si="4"/>
        <v>0</v>
      </c>
      <c r="AB12" s="17">
        <f t="shared" si="4"/>
        <v>0</v>
      </c>
      <c r="AC12" s="17">
        <f t="shared" si="4"/>
        <v>240</v>
      </c>
      <c r="AD12" s="17">
        <f t="shared" si="4"/>
        <v>0</v>
      </c>
      <c r="AE12" s="31">
        <f t="shared" si="4"/>
        <v>573</v>
      </c>
      <c r="AF12" s="31">
        <f t="shared" si="4"/>
        <v>813</v>
      </c>
    </row>
    <row r="13" spans="2:32" ht="23.1" customHeight="1">
      <c r="B13" s="23" t="s">
        <v>40</v>
      </c>
      <c r="C13" s="50">
        <v>76</v>
      </c>
      <c r="D13" s="50">
        <v>3</v>
      </c>
      <c r="E13" s="50">
        <v>4</v>
      </c>
      <c r="F13" s="50">
        <v>12</v>
      </c>
      <c r="G13" s="50">
        <v>1</v>
      </c>
      <c r="H13" s="50">
        <v>0</v>
      </c>
      <c r="I13" s="50">
        <v>1</v>
      </c>
      <c r="J13" s="50">
        <v>0</v>
      </c>
      <c r="K13" s="50">
        <v>0</v>
      </c>
      <c r="L13" s="50">
        <v>0</v>
      </c>
      <c r="M13" s="50">
        <v>64</v>
      </c>
      <c r="N13" s="50">
        <v>0</v>
      </c>
      <c r="O13" s="15">
        <f t="shared" si="0"/>
        <v>97</v>
      </c>
      <c r="P13" s="15">
        <f t="shared" si="1"/>
        <v>161</v>
      </c>
      <c r="R13" s="1" t="s">
        <v>9</v>
      </c>
      <c r="S13" s="17">
        <f t="shared" ref="S13:AF13" si="5">SUM(C22:C25)</f>
        <v>449</v>
      </c>
      <c r="T13" s="17">
        <f t="shared" si="5"/>
        <v>66</v>
      </c>
      <c r="U13" s="17">
        <f t="shared" si="5"/>
        <v>42</v>
      </c>
      <c r="V13" s="17">
        <f t="shared" si="5"/>
        <v>52</v>
      </c>
      <c r="W13" s="17">
        <f t="shared" si="5"/>
        <v>0</v>
      </c>
      <c r="X13" s="17">
        <f t="shared" si="5"/>
        <v>0</v>
      </c>
      <c r="Y13" s="17">
        <f t="shared" si="5"/>
        <v>13</v>
      </c>
      <c r="Z13" s="17">
        <f t="shared" si="5"/>
        <v>2</v>
      </c>
      <c r="AA13" s="17">
        <f t="shared" si="5"/>
        <v>1</v>
      </c>
      <c r="AB13" s="17">
        <f t="shared" si="5"/>
        <v>1</v>
      </c>
      <c r="AC13" s="17">
        <f t="shared" si="5"/>
        <v>370</v>
      </c>
      <c r="AD13" s="17">
        <f t="shared" si="5"/>
        <v>0</v>
      </c>
      <c r="AE13" s="31">
        <f t="shared" si="5"/>
        <v>626</v>
      </c>
      <c r="AF13" s="31">
        <f t="shared" si="5"/>
        <v>996</v>
      </c>
    </row>
    <row r="14" spans="2:32" ht="23.1" customHeight="1">
      <c r="B14" s="23" t="s">
        <v>41</v>
      </c>
      <c r="C14" s="50">
        <v>56</v>
      </c>
      <c r="D14" s="50">
        <v>5</v>
      </c>
      <c r="E14" s="50">
        <v>6</v>
      </c>
      <c r="F14" s="50">
        <v>14</v>
      </c>
      <c r="G14" s="50">
        <v>0</v>
      </c>
      <c r="H14" s="50">
        <v>0</v>
      </c>
      <c r="I14" s="50">
        <v>3</v>
      </c>
      <c r="J14" s="50">
        <v>0</v>
      </c>
      <c r="K14" s="50">
        <v>0</v>
      </c>
      <c r="L14" s="50">
        <v>0</v>
      </c>
      <c r="M14" s="50">
        <v>86</v>
      </c>
      <c r="N14" s="50">
        <v>0</v>
      </c>
      <c r="O14" s="15">
        <f t="shared" si="0"/>
        <v>84</v>
      </c>
      <c r="P14" s="15">
        <f t="shared" si="1"/>
        <v>170</v>
      </c>
      <c r="R14" s="1" t="s">
        <v>10</v>
      </c>
      <c r="S14" s="17">
        <f t="shared" ref="S14:AF14" si="6">SUM(C26:C29)</f>
        <v>425</v>
      </c>
      <c r="T14" s="17">
        <f t="shared" si="6"/>
        <v>56</v>
      </c>
      <c r="U14" s="17">
        <f t="shared" si="6"/>
        <v>35</v>
      </c>
      <c r="V14" s="17">
        <f t="shared" si="6"/>
        <v>49</v>
      </c>
      <c r="W14" s="17">
        <f t="shared" si="6"/>
        <v>0</v>
      </c>
      <c r="X14" s="17">
        <f t="shared" si="6"/>
        <v>0</v>
      </c>
      <c r="Y14" s="17">
        <f t="shared" si="6"/>
        <v>10</v>
      </c>
      <c r="Z14" s="17">
        <f t="shared" si="6"/>
        <v>4</v>
      </c>
      <c r="AA14" s="17">
        <f t="shared" si="6"/>
        <v>0</v>
      </c>
      <c r="AB14" s="17">
        <f t="shared" si="6"/>
        <v>0</v>
      </c>
      <c r="AC14" s="17">
        <f t="shared" si="6"/>
        <v>278</v>
      </c>
      <c r="AD14" s="17">
        <f t="shared" si="6"/>
        <v>0</v>
      </c>
      <c r="AE14" s="31">
        <f t="shared" si="6"/>
        <v>579</v>
      </c>
      <c r="AF14" s="31">
        <f t="shared" si="6"/>
        <v>857</v>
      </c>
    </row>
    <row r="15" spans="2:32" ht="23.1" customHeight="1">
      <c r="B15" s="23" t="s">
        <v>42</v>
      </c>
      <c r="C15" s="50">
        <v>80</v>
      </c>
      <c r="D15" s="50">
        <v>8</v>
      </c>
      <c r="E15" s="50">
        <v>3</v>
      </c>
      <c r="F15" s="50">
        <v>11</v>
      </c>
      <c r="G15" s="50">
        <v>0</v>
      </c>
      <c r="H15" s="50">
        <v>0</v>
      </c>
      <c r="I15" s="50">
        <v>2</v>
      </c>
      <c r="J15" s="50">
        <v>1</v>
      </c>
      <c r="K15" s="50">
        <v>0</v>
      </c>
      <c r="L15" s="50">
        <v>0</v>
      </c>
      <c r="M15" s="50">
        <v>45</v>
      </c>
      <c r="N15" s="50">
        <v>0</v>
      </c>
      <c r="O15" s="15">
        <f t="shared" si="0"/>
        <v>105</v>
      </c>
      <c r="P15" s="15">
        <f t="shared" si="1"/>
        <v>150</v>
      </c>
      <c r="R15" s="1" t="s">
        <v>11</v>
      </c>
      <c r="S15" s="17">
        <f t="shared" ref="S15:AF15" si="7">SUM(C30:C33)</f>
        <v>389</v>
      </c>
      <c r="T15" s="17">
        <f t="shared" si="7"/>
        <v>49</v>
      </c>
      <c r="U15" s="17">
        <f t="shared" si="7"/>
        <v>19</v>
      </c>
      <c r="V15" s="17">
        <f t="shared" si="7"/>
        <v>44</v>
      </c>
      <c r="W15" s="17">
        <f t="shared" si="7"/>
        <v>0</v>
      </c>
      <c r="X15" s="17">
        <f t="shared" si="7"/>
        <v>0</v>
      </c>
      <c r="Y15" s="17">
        <f t="shared" si="7"/>
        <v>9</v>
      </c>
      <c r="Z15" s="17">
        <f t="shared" si="7"/>
        <v>4</v>
      </c>
      <c r="AA15" s="17">
        <f t="shared" si="7"/>
        <v>2</v>
      </c>
      <c r="AB15" s="17">
        <f t="shared" si="7"/>
        <v>0</v>
      </c>
      <c r="AC15" s="17">
        <f t="shared" si="7"/>
        <v>389</v>
      </c>
      <c r="AD15" s="17">
        <f t="shared" si="7"/>
        <v>0</v>
      </c>
      <c r="AE15" s="31">
        <f t="shared" si="7"/>
        <v>516</v>
      </c>
      <c r="AF15" s="31">
        <f t="shared" si="7"/>
        <v>905</v>
      </c>
    </row>
    <row r="16" spans="2:32" ht="23.1" customHeight="1">
      <c r="B16" s="23" t="s">
        <v>43</v>
      </c>
      <c r="C16" s="50">
        <v>71</v>
      </c>
      <c r="D16" s="50">
        <v>15</v>
      </c>
      <c r="E16" s="50">
        <v>5</v>
      </c>
      <c r="F16" s="50">
        <v>15</v>
      </c>
      <c r="G16" s="50">
        <v>0</v>
      </c>
      <c r="H16" s="50">
        <v>0</v>
      </c>
      <c r="I16" s="50">
        <v>2</v>
      </c>
      <c r="J16" s="50">
        <v>1</v>
      </c>
      <c r="K16" s="50">
        <v>0</v>
      </c>
      <c r="L16" s="50">
        <v>0</v>
      </c>
      <c r="M16" s="50">
        <v>80</v>
      </c>
      <c r="N16" s="50">
        <v>0</v>
      </c>
      <c r="O16" s="15">
        <f t="shared" si="0"/>
        <v>109</v>
      </c>
      <c r="P16" s="15">
        <f t="shared" si="1"/>
        <v>189</v>
      </c>
      <c r="R16" s="1" t="s">
        <v>12</v>
      </c>
      <c r="S16" s="17">
        <f t="shared" ref="S16:AF16" si="8">SUM(C34:C37)</f>
        <v>290</v>
      </c>
      <c r="T16" s="17">
        <f t="shared" si="8"/>
        <v>45</v>
      </c>
      <c r="U16" s="17">
        <f t="shared" si="8"/>
        <v>15</v>
      </c>
      <c r="V16" s="17">
        <f t="shared" si="8"/>
        <v>32</v>
      </c>
      <c r="W16" s="17">
        <f t="shared" si="8"/>
        <v>0</v>
      </c>
      <c r="X16" s="17">
        <f t="shared" si="8"/>
        <v>0</v>
      </c>
      <c r="Y16" s="17">
        <f t="shared" si="8"/>
        <v>6</v>
      </c>
      <c r="Z16" s="17">
        <f t="shared" si="8"/>
        <v>0</v>
      </c>
      <c r="AA16" s="17">
        <f t="shared" si="8"/>
        <v>0</v>
      </c>
      <c r="AB16" s="17">
        <f t="shared" si="8"/>
        <v>0</v>
      </c>
      <c r="AC16" s="17">
        <f t="shared" si="8"/>
        <v>298</v>
      </c>
      <c r="AD16" s="17">
        <f t="shared" si="8"/>
        <v>0</v>
      </c>
      <c r="AE16" s="31">
        <f t="shared" si="8"/>
        <v>388</v>
      </c>
      <c r="AF16" s="31">
        <f t="shared" si="8"/>
        <v>686</v>
      </c>
    </row>
    <row r="17" spans="2:32" ht="23.1" customHeight="1">
      <c r="B17" s="23" t="s">
        <v>44</v>
      </c>
      <c r="C17" s="50">
        <v>83</v>
      </c>
      <c r="D17" s="50">
        <v>11</v>
      </c>
      <c r="E17" s="50">
        <v>6</v>
      </c>
      <c r="F17" s="50">
        <v>19</v>
      </c>
      <c r="G17" s="50">
        <v>0</v>
      </c>
      <c r="H17" s="50">
        <v>0</v>
      </c>
      <c r="I17" s="50">
        <v>1</v>
      </c>
      <c r="J17" s="50">
        <v>0</v>
      </c>
      <c r="K17" s="50">
        <v>0</v>
      </c>
      <c r="L17" s="50">
        <v>0</v>
      </c>
      <c r="M17" s="50">
        <v>65</v>
      </c>
      <c r="N17" s="50">
        <v>0</v>
      </c>
      <c r="O17" s="15">
        <f t="shared" si="0"/>
        <v>120</v>
      </c>
      <c r="P17" s="15">
        <f t="shared" si="1"/>
        <v>185</v>
      </c>
      <c r="R17" s="1" t="s">
        <v>13</v>
      </c>
      <c r="S17" s="17">
        <f t="shared" ref="S17:AF17" si="9">SUM(C38:C41)</f>
        <v>302</v>
      </c>
      <c r="T17" s="17">
        <f t="shared" si="9"/>
        <v>36</v>
      </c>
      <c r="U17" s="17">
        <f t="shared" si="9"/>
        <v>24</v>
      </c>
      <c r="V17" s="17">
        <f t="shared" si="9"/>
        <v>31</v>
      </c>
      <c r="W17" s="17">
        <f t="shared" si="9"/>
        <v>0</v>
      </c>
      <c r="X17" s="17">
        <f t="shared" si="9"/>
        <v>0</v>
      </c>
      <c r="Y17" s="17">
        <f t="shared" si="9"/>
        <v>11</v>
      </c>
      <c r="Z17" s="17">
        <f t="shared" si="9"/>
        <v>2</v>
      </c>
      <c r="AA17" s="17">
        <f t="shared" si="9"/>
        <v>1</v>
      </c>
      <c r="AB17" s="17">
        <f t="shared" si="9"/>
        <v>0</v>
      </c>
      <c r="AC17" s="17">
        <f t="shared" si="9"/>
        <v>351</v>
      </c>
      <c r="AD17" s="17">
        <f t="shared" si="9"/>
        <v>0</v>
      </c>
      <c r="AE17" s="31">
        <f t="shared" si="9"/>
        <v>407</v>
      </c>
      <c r="AF17" s="31">
        <f t="shared" si="9"/>
        <v>758</v>
      </c>
    </row>
    <row r="18" spans="2:32" ht="23.1" customHeight="1">
      <c r="B18" s="23" t="s">
        <v>45</v>
      </c>
      <c r="C18" s="50">
        <v>110</v>
      </c>
      <c r="D18" s="50">
        <v>8</v>
      </c>
      <c r="E18" s="50">
        <v>9</v>
      </c>
      <c r="F18" s="50">
        <v>11</v>
      </c>
      <c r="G18" s="50">
        <v>0</v>
      </c>
      <c r="H18" s="50">
        <v>0</v>
      </c>
      <c r="I18" s="50">
        <v>4</v>
      </c>
      <c r="J18" s="50">
        <v>1</v>
      </c>
      <c r="K18" s="50">
        <v>0</v>
      </c>
      <c r="L18" s="50">
        <v>0</v>
      </c>
      <c r="M18" s="50">
        <v>42</v>
      </c>
      <c r="N18" s="50">
        <v>0</v>
      </c>
      <c r="O18" s="15">
        <f t="shared" si="0"/>
        <v>143</v>
      </c>
      <c r="P18" s="15">
        <f t="shared" si="1"/>
        <v>185</v>
      </c>
      <c r="R18" s="1" t="s">
        <v>14</v>
      </c>
      <c r="S18" s="17">
        <f t="shared" ref="S18:AF18" si="10">SUM(C42:C45)</f>
        <v>323</v>
      </c>
      <c r="T18" s="17">
        <f t="shared" si="10"/>
        <v>47</v>
      </c>
      <c r="U18" s="17">
        <f t="shared" si="10"/>
        <v>13</v>
      </c>
      <c r="V18" s="17">
        <f t="shared" si="10"/>
        <v>33</v>
      </c>
      <c r="W18" s="17">
        <f t="shared" si="10"/>
        <v>1</v>
      </c>
      <c r="X18" s="17">
        <f t="shared" si="10"/>
        <v>0</v>
      </c>
      <c r="Y18" s="17">
        <f t="shared" si="10"/>
        <v>10</v>
      </c>
      <c r="Z18" s="17">
        <f t="shared" si="10"/>
        <v>5</v>
      </c>
      <c r="AA18" s="17">
        <f t="shared" si="10"/>
        <v>1</v>
      </c>
      <c r="AB18" s="17">
        <f t="shared" si="10"/>
        <v>0</v>
      </c>
      <c r="AC18" s="17">
        <f t="shared" si="10"/>
        <v>306</v>
      </c>
      <c r="AD18" s="17">
        <f t="shared" si="10"/>
        <v>0</v>
      </c>
      <c r="AE18" s="31">
        <f t="shared" si="10"/>
        <v>433</v>
      </c>
      <c r="AF18" s="31">
        <f t="shared" si="10"/>
        <v>739</v>
      </c>
    </row>
    <row r="19" spans="2:32" ht="23.1" customHeight="1">
      <c r="B19" s="23" t="s">
        <v>46</v>
      </c>
      <c r="C19" s="50">
        <v>80</v>
      </c>
      <c r="D19" s="50">
        <v>14</v>
      </c>
      <c r="E19" s="50">
        <v>6</v>
      </c>
      <c r="F19" s="50">
        <v>13</v>
      </c>
      <c r="G19" s="50">
        <v>0</v>
      </c>
      <c r="H19" s="50">
        <v>0</v>
      </c>
      <c r="I19" s="50">
        <v>4</v>
      </c>
      <c r="J19" s="50">
        <v>0</v>
      </c>
      <c r="K19" s="50">
        <v>0</v>
      </c>
      <c r="L19" s="50">
        <v>0</v>
      </c>
      <c r="M19" s="50">
        <v>55</v>
      </c>
      <c r="N19" s="50">
        <v>0</v>
      </c>
      <c r="O19" s="15">
        <f t="shared" si="0"/>
        <v>117</v>
      </c>
      <c r="P19" s="15">
        <f t="shared" si="1"/>
        <v>172</v>
      </c>
      <c r="R19" s="1" t="s">
        <v>15</v>
      </c>
      <c r="S19" s="17">
        <f t="shared" ref="S19:AF19" si="11">SUM(C46:C49)</f>
        <v>293</v>
      </c>
      <c r="T19" s="17">
        <f t="shared" si="11"/>
        <v>33</v>
      </c>
      <c r="U19" s="17">
        <f t="shared" si="11"/>
        <v>33</v>
      </c>
      <c r="V19" s="17">
        <f t="shared" si="11"/>
        <v>27</v>
      </c>
      <c r="W19" s="17">
        <f t="shared" si="11"/>
        <v>0</v>
      </c>
      <c r="X19" s="17">
        <f t="shared" si="11"/>
        <v>0</v>
      </c>
      <c r="Y19" s="17">
        <f t="shared" si="11"/>
        <v>8</v>
      </c>
      <c r="Z19" s="17">
        <f t="shared" si="11"/>
        <v>0</v>
      </c>
      <c r="AA19" s="17">
        <f t="shared" si="11"/>
        <v>1</v>
      </c>
      <c r="AB19" s="17">
        <f t="shared" si="11"/>
        <v>1</v>
      </c>
      <c r="AC19" s="17">
        <f t="shared" si="11"/>
        <v>264</v>
      </c>
      <c r="AD19" s="17">
        <f t="shared" si="11"/>
        <v>0</v>
      </c>
      <c r="AE19" s="31">
        <f t="shared" si="11"/>
        <v>396</v>
      </c>
      <c r="AF19" s="31">
        <f t="shared" si="11"/>
        <v>660</v>
      </c>
    </row>
    <row r="20" spans="2:32" ht="23.1" customHeight="1">
      <c r="B20" s="23" t="s">
        <v>47</v>
      </c>
      <c r="C20" s="50">
        <v>115</v>
      </c>
      <c r="D20" s="50">
        <v>22</v>
      </c>
      <c r="E20" s="50">
        <v>6</v>
      </c>
      <c r="F20" s="50">
        <v>16</v>
      </c>
      <c r="G20" s="50">
        <v>0</v>
      </c>
      <c r="H20" s="50">
        <v>0</v>
      </c>
      <c r="I20" s="50">
        <v>5</v>
      </c>
      <c r="J20" s="50">
        <v>0</v>
      </c>
      <c r="K20" s="50">
        <v>0</v>
      </c>
      <c r="L20" s="50">
        <v>0</v>
      </c>
      <c r="M20" s="50">
        <v>83</v>
      </c>
      <c r="N20" s="50">
        <v>0</v>
      </c>
      <c r="O20" s="15">
        <f t="shared" si="0"/>
        <v>164</v>
      </c>
      <c r="P20" s="15">
        <f t="shared" si="1"/>
        <v>247</v>
      </c>
      <c r="R20" s="1" t="s">
        <v>16</v>
      </c>
      <c r="S20" s="17">
        <f t="shared" ref="S20:AF20" si="12">SUM(C50:C53)</f>
        <v>343</v>
      </c>
      <c r="T20" s="17">
        <f t="shared" si="12"/>
        <v>41</v>
      </c>
      <c r="U20" s="17">
        <f t="shared" si="12"/>
        <v>23</v>
      </c>
      <c r="V20" s="17">
        <f t="shared" si="12"/>
        <v>33</v>
      </c>
      <c r="W20" s="17">
        <f t="shared" si="12"/>
        <v>0</v>
      </c>
      <c r="X20" s="17">
        <f t="shared" si="12"/>
        <v>0</v>
      </c>
      <c r="Y20" s="17">
        <f t="shared" si="12"/>
        <v>6</v>
      </c>
      <c r="Z20" s="17">
        <f t="shared" si="12"/>
        <v>0</v>
      </c>
      <c r="AA20" s="17">
        <f t="shared" si="12"/>
        <v>1</v>
      </c>
      <c r="AB20" s="17">
        <f t="shared" si="12"/>
        <v>1</v>
      </c>
      <c r="AC20" s="17">
        <f t="shared" si="12"/>
        <v>375</v>
      </c>
      <c r="AD20" s="17">
        <f t="shared" si="12"/>
        <v>0</v>
      </c>
      <c r="AE20" s="31">
        <f t="shared" si="12"/>
        <v>448</v>
      </c>
      <c r="AF20" s="31">
        <f t="shared" si="12"/>
        <v>823</v>
      </c>
    </row>
    <row r="21" spans="2:32" ht="23.1" customHeight="1">
      <c r="B21" s="23" t="s">
        <v>48</v>
      </c>
      <c r="C21" s="50">
        <v>118</v>
      </c>
      <c r="D21" s="50">
        <v>12</v>
      </c>
      <c r="E21" s="50">
        <v>4</v>
      </c>
      <c r="F21" s="50">
        <v>13</v>
      </c>
      <c r="G21" s="50">
        <v>0</v>
      </c>
      <c r="H21" s="50">
        <v>0</v>
      </c>
      <c r="I21" s="50">
        <v>1</v>
      </c>
      <c r="J21" s="50">
        <v>1</v>
      </c>
      <c r="K21" s="50">
        <v>0</v>
      </c>
      <c r="L21" s="50">
        <v>0</v>
      </c>
      <c r="M21" s="50">
        <v>60</v>
      </c>
      <c r="N21" s="50">
        <v>0</v>
      </c>
      <c r="O21" s="15">
        <f t="shared" si="0"/>
        <v>149</v>
      </c>
      <c r="P21" s="15">
        <f t="shared" si="1"/>
        <v>209</v>
      </c>
      <c r="R21" s="36" t="s">
        <v>20</v>
      </c>
      <c r="S21" s="34">
        <f t="shared" ref="S21:AF21" si="13">SUM(C54:C57)</f>
        <v>305</v>
      </c>
      <c r="T21" s="17">
        <f t="shared" si="13"/>
        <v>36</v>
      </c>
      <c r="U21" s="17">
        <f t="shared" si="13"/>
        <v>22</v>
      </c>
      <c r="V21" s="17">
        <f t="shared" si="13"/>
        <v>35</v>
      </c>
      <c r="W21" s="17">
        <f t="shared" si="13"/>
        <v>1</v>
      </c>
      <c r="X21" s="17">
        <f t="shared" si="13"/>
        <v>0</v>
      </c>
      <c r="Y21" s="17">
        <f t="shared" si="13"/>
        <v>4</v>
      </c>
      <c r="Z21" s="17">
        <f t="shared" si="13"/>
        <v>1</v>
      </c>
      <c r="AA21" s="17">
        <f t="shared" si="13"/>
        <v>2</v>
      </c>
      <c r="AB21" s="17">
        <f t="shared" si="13"/>
        <v>0</v>
      </c>
      <c r="AC21" s="17">
        <f t="shared" si="13"/>
        <v>289</v>
      </c>
      <c r="AD21" s="17">
        <f t="shared" si="13"/>
        <v>0</v>
      </c>
      <c r="AE21" s="31">
        <f t="shared" si="13"/>
        <v>406</v>
      </c>
      <c r="AF21" s="31">
        <f t="shared" si="13"/>
        <v>695</v>
      </c>
    </row>
    <row r="22" spans="2:32" ht="23.1" customHeight="1">
      <c r="B22" s="23" t="s">
        <v>49</v>
      </c>
      <c r="C22" s="50">
        <v>136</v>
      </c>
      <c r="D22" s="50">
        <v>21</v>
      </c>
      <c r="E22" s="50">
        <v>18</v>
      </c>
      <c r="F22" s="50">
        <v>14</v>
      </c>
      <c r="G22" s="50">
        <v>0</v>
      </c>
      <c r="H22" s="50">
        <v>0</v>
      </c>
      <c r="I22" s="50">
        <v>3</v>
      </c>
      <c r="J22" s="50">
        <v>0</v>
      </c>
      <c r="K22" s="50">
        <v>0</v>
      </c>
      <c r="L22" s="50">
        <v>0</v>
      </c>
      <c r="M22" s="50">
        <v>85</v>
      </c>
      <c r="N22" s="50">
        <v>0</v>
      </c>
      <c r="O22" s="15">
        <f t="shared" si="0"/>
        <v>192</v>
      </c>
      <c r="P22" s="15">
        <f t="shared" si="1"/>
        <v>277</v>
      </c>
      <c r="R22" s="38" t="s">
        <v>90</v>
      </c>
      <c r="S22" s="39">
        <f>MAX(S10:S12)</f>
        <v>423</v>
      </c>
      <c r="T22" s="39">
        <f t="shared" ref="T22:AF22" si="14">MAX(T10:T12)</f>
        <v>56</v>
      </c>
      <c r="U22" s="39">
        <f t="shared" si="14"/>
        <v>25</v>
      </c>
      <c r="V22" s="39">
        <f t="shared" si="14"/>
        <v>59</v>
      </c>
      <c r="W22" s="39">
        <f t="shared" si="14"/>
        <v>1</v>
      </c>
      <c r="X22" s="39">
        <f t="shared" si="14"/>
        <v>0</v>
      </c>
      <c r="Y22" s="39">
        <f t="shared" si="14"/>
        <v>14</v>
      </c>
      <c r="Z22" s="39">
        <f t="shared" si="14"/>
        <v>2</v>
      </c>
      <c r="AA22" s="39">
        <f t="shared" si="14"/>
        <v>0</v>
      </c>
      <c r="AB22" s="39">
        <f t="shared" si="14"/>
        <v>0</v>
      </c>
      <c r="AC22" s="39">
        <f t="shared" si="14"/>
        <v>276</v>
      </c>
      <c r="AD22" s="39">
        <f t="shared" si="14"/>
        <v>0</v>
      </c>
      <c r="AE22" s="40">
        <f t="shared" si="14"/>
        <v>573</v>
      </c>
      <c r="AF22" s="40">
        <f t="shared" si="14"/>
        <v>813</v>
      </c>
    </row>
    <row r="23" spans="2:32" ht="23.1" customHeight="1">
      <c r="B23" s="23" t="s">
        <v>50</v>
      </c>
      <c r="C23" s="50">
        <v>100</v>
      </c>
      <c r="D23" s="50">
        <v>15</v>
      </c>
      <c r="E23" s="50">
        <v>0</v>
      </c>
      <c r="F23" s="50">
        <v>14</v>
      </c>
      <c r="G23" s="50">
        <v>0</v>
      </c>
      <c r="H23" s="50">
        <v>0</v>
      </c>
      <c r="I23" s="50">
        <v>4</v>
      </c>
      <c r="J23" s="50">
        <v>1</v>
      </c>
      <c r="K23" s="50">
        <v>1</v>
      </c>
      <c r="L23" s="50">
        <v>0</v>
      </c>
      <c r="M23" s="50">
        <v>100</v>
      </c>
      <c r="N23" s="50">
        <v>0</v>
      </c>
      <c r="O23" s="15">
        <f t="shared" si="0"/>
        <v>135</v>
      </c>
      <c r="P23" s="15">
        <f t="shared" si="1"/>
        <v>235</v>
      </c>
      <c r="R23" s="38" t="s">
        <v>91</v>
      </c>
      <c r="S23" s="39">
        <f>MAX(S13:S18)</f>
        <v>449</v>
      </c>
      <c r="T23" s="39">
        <f t="shared" ref="T23:AF23" si="15">MAX(T13:T18)</f>
        <v>66</v>
      </c>
      <c r="U23" s="39">
        <f t="shared" si="15"/>
        <v>42</v>
      </c>
      <c r="V23" s="39">
        <f t="shared" si="15"/>
        <v>52</v>
      </c>
      <c r="W23" s="39">
        <f t="shared" si="15"/>
        <v>1</v>
      </c>
      <c r="X23" s="39">
        <f t="shared" si="15"/>
        <v>0</v>
      </c>
      <c r="Y23" s="39">
        <f t="shared" si="15"/>
        <v>13</v>
      </c>
      <c r="Z23" s="39">
        <f t="shared" si="15"/>
        <v>5</v>
      </c>
      <c r="AA23" s="39">
        <f t="shared" si="15"/>
        <v>2</v>
      </c>
      <c r="AB23" s="39">
        <f t="shared" si="15"/>
        <v>1</v>
      </c>
      <c r="AC23" s="39">
        <f t="shared" si="15"/>
        <v>389</v>
      </c>
      <c r="AD23" s="39">
        <f t="shared" si="15"/>
        <v>0</v>
      </c>
      <c r="AE23" s="40">
        <f t="shared" si="15"/>
        <v>626</v>
      </c>
      <c r="AF23" s="40">
        <f t="shared" si="15"/>
        <v>996</v>
      </c>
    </row>
    <row r="24" spans="2:32" ht="23.1" customHeight="1">
      <c r="B24" s="23" t="s">
        <v>51</v>
      </c>
      <c r="C24" s="50">
        <v>110</v>
      </c>
      <c r="D24" s="50">
        <v>16</v>
      </c>
      <c r="E24" s="50">
        <v>13</v>
      </c>
      <c r="F24" s="50">
        <v>8</v>
      </c>
      <c r="G24" s="50">
        <v>0</v>
      </c>
      <c r="H24" s="50">
        <v>0</v>
      </c>
      <c r="I24" s="50">
        <v>2</v>
      </c>
      <c r="J24" s="50">
        <v>0</v>
      </c>
      <c r="K24" s="50">
        <v>0</v>
      </c>
      <c r="L24" s="50">
        <v>0</v>
      </c>
      <c r="M24" s="50">
        <v>95</v>
      </c>
      <c r="N24" s="50">
        <v>0</v>
      </c>
      <c r="O24" s="15">
        <f t="shared" si="0"/>
        <v>149</v>
      </c>
      <c r="P24" s="15">
        <f t="shared" si="1"/>
        <v>244</v>
      </c>
      <c r="R24" s="38" t="s">
        <v>92</v>
      </c>
      <c r="S24" s="39">
        <f>MAX(S19:S21)</f>
        <v>343</v>
      </c>
      <c r="T24" s="39">
        <f t="shared" ref="T24:AF24" si="16">MAX(T19:T21)</f>
        <v>41</v>
      </c>
      <c r="U24" s="39">
        <f t="shared" si="16"/>
        <v>33</v>
      </c>
      <c r="V24" s="39">
        <f t="shared" si="16"/>
        <v>35</v>
      </c>
      <c r="W24" s="39">
        <f t="shared" si="16"/>
        <v>1</v>
      </c>
      <c r="X24" s="39">
        <f t="shared" si="16"/>
        <v>0</v>
      </c>
      <c r="Y24" s="39">
        <f t="shared" si="16"/>
        <v>8</v>
      </c>
      <c r="Z24" s="39">
        <f t="shared" si="16"/>
        <v>1</v>
      </c>
      <c r="AA24" s="39">
        <f t="shared" si="16"/>
        <v>2</v>
      </c>
      <c r="AB24" s="39">
        <f t="shared" si="16"/>
        <v>1</v>
      </c>
      <c r="AC24" s="39">
        <f t="shared" si="16"/>
        <v>375</v>
      </c>
      <c r="AD24" s="39">
        <f t="shared" si="16"/>
        <v>0</v>
      </c>
      <c r="AE24" s="40">
        <f t="shared" si="16"/>
        <v>448</v>
      </c>
      <c r="AF24" s="40">
        <f t="shared" si="16"/>
        <v>823</v>
      </c>
    </row>
    <row r="25" spans="2:32" ht="23.1" customHeight="1">
      <c r="B25" s="23" t="s">
        <v>52</v>
      </c>
      <c r="C25" s="50">
        <v>103</v>
      </c>
      <c r="D25" s="50">
        <v>14</v>
      </c>
      <c r="E25" s="50">
        <v>11</v>
      </c>
      <c r="F25" s="50">
        <v>16</v>
      </c>
      <c r="G25" s="50">
        <v>0</v>
      </c>
      <c r="H25" s="50">
        <v>0</v>
      </c>
      <c r="I25" s="50">
        <v>4</v>
      </c>
      <c r="J25" s="50">
        <v>1</v>
      </c>
      <c r="K25" s="50">
        <v>0</v>
      </c>
      <c r="L25" s="50">
        <v>1</v>
      </c>
      <c r="M25" s="50">
        <v>90</v>
      </c>
      <c r="N25" s="50">
        <v>0</v>
      </c>
      <c r="O25" s="15">
        <f t="shared" si="0"/>
        <v>150</v>
      </c>
      <c r="P25" s="15">
        <f t="shared" si="1"/>
        <v>240</v>
      </c>
      <c r="R25" s="37" t="s">
        <v>85</v>
      </c>
      <c r="S25" s="35">
        <f t="shared" ref="S25:AF25" si="17">SUM(S10:S12)</f>
        <v>950</v>
      </c>
      <c r="T25" s="16">
        <f t="shared" si="17"/>
        <v>114</v>
      </c>
      <c r="U25" s="16">
        <f t="shared" si="17"/>
        <v>66</v>
      </c>
      <c r="V25" s="16">
        <f t="shared" si="17"/>
        <v>155</v>
      </c>
      <c r="W25" s="16">
        <f t="shared" si="17"/>
        <v>1</v>
      </c>
      <c r="X25" s="16">
        <f t="shared" si="17"/>
        <v>0</v>
      </c>
      <c r="Y25" s="16">
        <f t="shared" si="17"/>
        <v>29</v>
      </c>
      <c r="Z25" s="16">
        <f t="shared" si="17"/>
        <v>6</v>
      </c>
      <c r="AA25" s="16">
        <f t="shared" si="17"/>
        <v>0</v>
      </c>
      <c r="AB25" s="16">
        <f t="shared" si="17"/>
        <v>0</v>
      </c>
      <c r="AC25" s="16">
        <f t="shared" si="17"/>
        <v>710</v>
      </c>
      <c r="AD25" s="16">
        <f t="shared" si="17"/>
        <v>0</v>
      </c>
      <c r="AE25" s="32">
        <f t="shared" si="17"/>
        <v>1321</v>
      </c>
      <c r="AF25" s="32">
        <f t="shared" si="17"/>
        <v>2031</v>
      </c>
    </row>
    <row r="26" spans="2:32" ht="23.1" customHeight="1">
      <c r="B26" s="23" t="s">
        <v>53</v>
      </c>
      <c r="C26" s="50">
        <v>79</v>
      </c>
      <c r="D26" s="50">
        <v>17</v>
      </c>
      <c r="E26" s="50">
        <v>4</v>
      </c>
      <c r="F26" s="50">
        <v>11</v>
      </c>
      <c r="G26" s="50">
        <v>0</v>
      </c>
      <c r="H26" s="50">
        <v>0</v>
      </c>
      <c r="I26" s="50">
        <v>4</v>
      </c>
      <c r="J26" s="50">
        <v>0</v>
      </c>
      <c r="K26" s="50">
        <v>0</v>
      </c>
      <c r="L26" s="50">
        <v>0</v>
      </c>
      <c r="M26" s="50">
        <v>85</v>
      </c>
      <c r="N26" s="50">
        <v>0</v>
      </c>
      <c r="O26" s="15">
        <f t="shared" si="0"/>
        <v>115</v>
      </c>
      <c r="P26" s="15">
        <f t="shared" si="1"/>
        <v>200</v>
      </c>
      <c r="R26" s="28" t="s">
        <v>86</v>
      </c>
      <c r="S26" s="16">
        <f t="shared" ref="S26:AF26" si="18">SUM(S13:S18)</f>
        <v>2178</v>
      </c>
      <c r="T26" s="16">
        <f t="shared" si="18"/>
        <v>299</v>
      </c>
      <c r="U26" s="16">
        <f t="shared" si="18"/>
        <v>148</v>
      </c>
      <c r="V26" s="16">
        <f t="shared" si="18"/>
        <v>241</v>
      </c>
      <c r="W26" s="16">
        <f t="shared" si="18"/>
        <v>1</v>
      </c>
      <c r="X26" s="16">
        <f t="shared" si="18"/>
        <v>0</v>
      </c>
      <c r="Y26" s="16">
        <f t="shared" si="18"/>
        <v>59</v>
      </c>
      <c r="Z26" s="16">
        <f t="shared" si="18"/>
        <v>17</v>
      </c>
      <c r="AA26" s="16">
        <f t="shared" si="18"/>
        <v>5</v>
      </c>
      <c r="AB26" s="16">
        <f t="shared" si="18"/>
        <v>1</v>
      </c>
      <c r="AC26" s="16">
        <f t="shared" si="18"/>
        <v>1992</v>
      </c>
      <c r="AD26" s="16">
        <f t="shared" si="18"/>
        <v>0</v>
      </c>
      <c r="AE26" s="32">
        <f t="shared" si="18"/>
        <v>2949</v>
      </c>
      <c r="AF26" s="32">
        <f t="shared" si="18"/>
        <v>4941</v>
      </c>
    </row>
    <row r="27" spans="2:32" ht="23.1" customHeight="1">
      <c r="B27" s="23" t="s">
        <v>54</v>
      </c>
      <c r="C27" s="50">
        <v>126</v>
      </c>
      <c r="D27" s="50">
        <v>15</v>
      </c>
      <c r="E27" s="50">
        <v>15</v>
      </c>
      <c r="F27" s="50">
        <v>12</v>
      </c>
      <c r="G27" s="50">
        <v>0</v>
      </c>
      <c r="H27" s="50">
        <v>0</v>
      </c>
      <c r="I27" s="50">
        <v>2</v>
      </c>
      <c r="J27" s="50">
        <v>3</v>
      </c>
      <c r="K27" s="50">
        <v>0</v>
      </c>
      <c r="L27" s="50">
        <v>0</v>
      </c>
      <c r="M27" s="50">
        <v>80</v>
      </c>
      <c r="N27" s="50">
        <v>0</v>
      </c>
      <c r="O27" s="15">
        <f t="shared" si="0"/>
        <v>173</v>
      </c>
      <c r="P27" s="15">
        <f t="shared" si="1"/>
        <v>253</v>
      </c>
      <c r="R27" s="29" t="s">
        <v>87</v>
      </c>
      <c r="S27" s="16">
        <f t="shared" ref="S27:AF27" si="19">SUM(S19:S21)</f>
        <v>941</v>
      </c>
      <c r="T27" s="16">
        <f t="shared" si="19"/>
        <v>110</v>
      </c>
      <c r="U27" s="16">
        <f t="shared" si="19"/>
        <v>78</v>
      </c>
      <c r="V27" s="16">
        <f t="shared" si="19"/>
        <v>95</v>
      </c>
      <c r="W27" s="16">
        <f t="shared" si="19"/>
        <v>1</v>
      </c>
      <c r="X27" s="16">
        <f t="shared" si="19"/>
        <v>0</v>
      </c>
      <c r="Y27" s="16">
        <f t="shared" si="19"/>
        <v>18</v>
      </c>
      <c r="Z27" s="16">
        <f t="shared" si="19"/>
        <v>1</v>
      </c>
      <c r="AA27" s="16">
        <f t="shared" si="19"/>
        <v>4</v>
      </c>
      <c r="AB27" s="16">
        <f t="shared" si="19"/>
        <v>2</v>
      </c>
      <c r="AC27" s="16">
        <f t="shared" si="19"/>
        <v>928</v>
      </c>
      <c r="AD27" s="16">
        <f t="shared" si="19"/>
        <v>0</v>
      </c>
      <c r="AE27" s="32">
        <f t="shared" si="19"/>
        <v>1250</v>
      </c>
      <c r="AF27" s="32">
        <f t="shared" si="19"/>
        <v>2178</v>
      </c>
    </row>
    <row r="28" spans="2:32" ht="23.1" customHeight="1">
      <c r="B28" s="23" t="s">
        <v>55</v>
      </c>
      <c r="C28" s="50">
        <v>135</v>
      </c>
      <c r="D28" s="50">
        <v>6</v>
      </c>
      <c r="E28" s="50">
        <v>5</v>
      </c>
      <c r="F28" s="50">
        <v>9</v>
      </c>
      <c r="G28" s="50">
        <v>0</v>
      </c>
      <c r="H28" s="50">
        <v>0</v>
      </c>
      <c r="I28" s="50">
        <v>1</v>
      </c>
      <c r="J28" s="50">
        <v>1</v>
      </c>
      <c r="K28" s="50">
        <v>0</v>
      </c>
      <c r="L28" s="50">
        <v>0</v>
      </c>
      <c r="M28" s="50">
        <v>58</v>
      </c>
      <c r="N28" s="50">
        <v>0</v>
      </c>
      <c r="O28" s="15">
        <f t="shared" si="0"/>
        <v>157</v>
      </c>
      <c r="P28" s="15">
        <f t="shared" si="1"/>
        <v>215</v>
      </c>
      <c r="R28" s="5" t="s">
        <v>17</v>
      </c>
      <c r="S28" s="16">
        <f t="shared" ref="S28:AF28" si="20">SUM(S10:S21)</f>
        <v>4069</v>
      </c>
      <c r="T28" s="16">
        <f t="shared" si="20"/>
        <v>523</v>
      </c>
      <c r="U28" s="16">
        <f t="shared" si="20"/>
        <v>292</v>
      </c>
      <c r="V28" s="16">
        <f t="shared" si="20"/>
        <v>491</v>
      </c>
      <c r="W28" s="16">
        <f t="shared" si="20"/>
        <v>3</v>
      </c>
      <c r="X28" s="16">
        <f t="shared" si="20"/>
        <v>0</v>
      </c>
      <c r="Y28" s="16">
        <f t="shared" si="20"/>
        <v>106</v>
      </c>
      <c r="Z28" s="16">
        <f t="shared" si="20"/>
        <v>24</v>
      </c>
      <c r="AA28" s="16">
        <f t="shared" si="20"/>
        <v>9</v>
      </c>
      <c r="AB28" s="16">
        <f t="shared" si="20"/>
        <v>3</v>
      </c>
      <c r="AC28" s="16">
        <f t="shared" si="20"/>
        <v>3630</v>
      </c>
      <c r="AD28" s="16">
        <f t="shared" si="20"/>
        <v>0</v>
      </c>
      <c r="AE28" s="32">
        <f t="shared" si="20"/>
        <v>5520</v>
      </c>
      <c r="AF28" s="32">
        <f t="shared" si="20"/>
        <v>9150</v>
      </c>
    </row>
    <row r="29" spans="2:32" ht="23.1" customHeight="1">
      <c r="B29" s="23" t="s">
        <v>56</v>
      </c>
      <c r="C29" s="50">
        <v>85</v>
      </c>
      <c r="D29" s="50">
        <v>18</v>
      </c>
      <c r="E29" s="50">
        <v>11</v>
      </c>
      <c r="F29" s="50">
        <v>17</v>
      </c>
      <c r="G29" s="50">
        <v>0</v>
      </c>
      <c r="H29" s="50">
        <v>0</v>
      </c>
      <c r="I29" s="50">
        <v>3</v>
      </c>
      <c r="J29" s="50">
        <v>0</v>
      </c>
      <c r="K29" s="50">
        <v>0</v>
      </c>
      <c r="L29" s="50">
        <v>0</v>
      </c>
      <c r="M29" s="50">
        <v>55</v>
      </c>
      <c r="N29" s="50">
        <v>0</v>
      </c>
      <c r="O29" s="15">
        <f t="shared" si="0"/>
        <v>134</v>
      </c>
      <c r="P29" s="15">
        <f t="shared" si="1"/>
        <v>189</v>
      </c>
      <c r="R29"/>
      <c r="S29" s="20"/>
      <c r="T29" s="19"/>
    </row>
    <row r="30" spans="2:32" ht="23.1" customHeight="1">
      <c r="B30" s="23" t="s">
        <v>57</v>
      </c>
      <c r="C30" s="50">
        <v>95</v>
      </c>
      <c r="D30" s="50">
        <v>12</v>
      </c>
      <c r="E30" s="50">
        <v>9</v>
      </c>
      <c r="F30" s="50">
        <v>10</v>
      </c>
      <c r="G30" s="50">
        <v>0</v>
      </c>
      <c r="H30" s="50">
        <v>0</v>
      </c>
      <c r="I30" s="50">
        <v>4</v>
      </c>
      <c r="J30" s="50">
        <v>0</v>
      </c>
      <c r="K30" s="50">
        <v>1</v>
      </c>
      <c r="L30" s="50">
        <v>0</v>
      </c>
      <c r="M30" s="50">
        <v>111</v>
      </c>
      <c r="N30" s="50">
        <v>0</v>
      </c>
      <c r="O30" s="15">
        <f t="shared" si="0"/>
        <v>131</v>
      </c>
      <c r="P30" s="15">
        <f t="shared" si="1"/>
        <v>242</v>
      </c>
    </row>
    <row r="31" spans="2:32" ht="23.1" customHeight="1">
      <c r="B31" s="24" t="s">
        <v>58</v>
      </c>
      <c r="C31" s="50">
        <v>110</v>
      </c>
      <c r="D31" s="50">
        <v>15</v>
      </c>
      <c r="E31" s="50">
        <v>4</v>
      </c>
      <c r="F31" s="50">
        <v>13</v>
      </c>
      <c r="G31" s="50">
        <v>0</v>
      </c>
      <c r="H31" s="50">
        <v>0</v>
      </c>
      <c r="I31" s="50">
        <v>2</v>
      </c>
      <c r="J31" s="50">
        <v>1</v>
      </c>
      <c r="K31" s="50">
        <v>1</v>
      </c>
      <c r="L31" s="50">
        <v>0</v>
      </c>
      <c r="M31" s="50">
        <v>103</v>
      </c>
      <c r="N31" s="50">
        <v>0</v>
      </c>
      <c r="O31" s="15">
        <f t="shared" si="0"/>
        <v>146</v>
      </c>
      <c r="P31" s="15">
        <f t="shared" si="1"/>
        <v>249</v>
      </c>
    </row>
    <row r="32" spans="2:32" ht="23.1" customHeight="1">
      <c r="B32" s="24" t="s">
        <v>59</v>
      </c>
      <c r="C32" s="50">
        <v>87</v>
      </c>
      <c r="D32" s="50">
        <v>6</v>
      </c>
      <c r="E32" s="50">
        <v>3</v>
      </c>
      <c r="F32" s="50">
        <v>11</v>
      </c>
      <c r="G32" s="50">
        <v>0</v>
      </c>
      <c r="H32" s="50">
        <v>0</v>
      </c>
      <c r="I32" s="50">
        <v>2</v>
      </c>
      <c r="J32" s="50">
        <v>2</v>
      </c>
      <c r="K32" s="50">
        <v>0</v>
      </c>
      <c r="L32" s="50">
        <v>0</v>
      </c>
      <c r="M32" s="50">
        <v>100</v>
      </c>
      <c r="N32" s="50">
        <v>0</v>
      </c>
      <c r="O32" s="15">
        <f t="shared" si="0"/>
        <v>111</v>
      </c>
      <c r="P32" s="15">
        <f t="shared" si="1"/>
        <v>211</v>
      </c>
    </row>
    <row r="33" spans="2:20" ht="23.1" customHeight="1">
      <c r="B33" s="23" t="s">
        <v>60</v>
      </c>
      <c r="C33" s="50">
        <v>97</v>
      </c>
      <c r="D33" s="50">
        <v>16</v>
      </c>
      <c r="E33" s="50">
        <v>3</v>
      </c>
      <c r="F33" s="50">
        <v>10</v>
      </c>
      <c r="G33" s="50">
        <v>0</v>
      </c>
      <c r="H33" s="50">
        <v>0</v>
      </c>
      <c r="I33" s="50">
        <v>1</v>
      </c>
      <c r="J33" s="50">
        <v>1</v>
      </c>
      <c r="K33" s="50">
        <v>0</v>
      </c>
      <c r="L33" s="50">
        <v>0</v>
      </c>
      <c r="M33" s="50">
        <v>75</v>
      </c>
      <c r="N33" s="50">
        <v>0</v>
      </c>
      <c r="O33" s="15">
        <f t="shared" si="0"/>
        <v>128</v>
      </c>
      <c r="P33" s="15">
        <f t="shared" si="1"/>
        <v>203</v>
      </c>
    </row>
    <row r="34" spans="2:20" ht="23.1" customHeight="1">
      <c r="B34" s="24" t="s">
        <v>61</v>
      </c>
      <c r="C34" s="50">
        <v>67</v>
      </c>
      <c r="D34" s="50">
        <v>12</v>
      </c>
      <c r="E34" s="50">
        <v>4</v>
      </c>
      <c r="F34" s="50">
        <v>8</v>
      </c>
      <c r="G34" s="50">
        <v>0</v>
      </c>
      <c r="H34" s="50">
        <v>0</v>
      </c>
      <c r="I34" s="50">
        <v>1</v>
      </c>
      <c r="J34" s="50">
        <v>0</v>
      </c>
      <c r="K34" s="50">
        <v>0</v>
      </c>
      <c r="L34" s="50">
        <v>0</v>
      </c>
      <c r="M34" s="50">
        <v>88</v>
      </c>
      <c r="N34" s="50">
        <v>0</v>
      </c>
      <c r="O34" s="15">
        <f t="shared" si="0"/>
        <v>92</v>
      </c>
      <c r="P34" s="15">
        <f t="shared" si="1"/>
        <v>180</v>
      </c>
    </row>
    <row r="35" spans="2:20" ht="23.1" customHeight="1">
      <c r="B35" s="24" t="s">
        <v>62</v>
      </c>
      <c r="C35" s="50">
        <v>65</v>
      </c>
      <c r="D35" s="50">
        <v>12</v>
      </c>
      <c r="E35" s="50">
        <v>1</v>
      </c>
      <c r="F35" s="50">
        <v>9</v>
      </c>
      <c r="G35" s="50">
        <v>0</v>
      </c>
      <c r="H35" s="50">
        <v>0</v>
      </c>
      <c r="I35" s="50">
        <v>2</v>
      </c>
      <c r="J35" s="50">
        <v>0</v>
      </c>
      <c r="K35" s="50">
        <v>0</v>
      </c>
      <c r="L35" s="50">
        <v>0</v>
      </c>
      <c r="M35" s="50">
        <v>65</v>
      </c>
      <c r="N35" s="50">
        <v>0</v>
      </c>
      <c r="O35" s="15">
        <f t="shared" si="0"/>
        <v>89</v>
      </c>
      <c r="P35" s="15">
        <f t="shared" si="1"/>
        <v>154</v>
      </c>
    </row>
    <row r="36" spans="2:20" ht="23.1" customHeight="1">
      <c r="B36" s="24" t="s">
        <v>63</v>
      </c>
      <c r="C36" s="50">
        <v>70</v>
      </c>
      <c r="D36" s="50">
        <v>8</v>
      </c>
      <c r="E36" s="50">
        <v>7</v>
      </c>
      <c r="F36" s="50">
        <v>10</v>
      </c>
      <c r="G36" s="50">
        <v>0</v>
      </c>
      <c r="H36" s="50">
        <v>0</v>
      </c>
      <c r="I36" s="50">
        <v>2</v>
      </c>
      <c r="J36" s="50">
        <v>0</v>
      </c>
      <c r="K36" s="50">
        <v>0</v>
      </c>
      <c r="L36" s="50">
        <v>0</v>
      </c>
      <c r="M36" s="50">
        <v>80</v>
      </c>
      <c r="N36" s="50">
        <v>0</v>
      </c>
      <c r="O36" s="15">
        <f t="shared" si="0"/>
        <v>97</v>
      </c>
      <c r="P36" s="15">
        <f t="shared" si="1"/>
        <v>177</v>
      </c>
    </row>
    <row r="37" spans="2:20" ht="23.1" customHeight="1">
      <c r="B37" s="23" t="s">
        <v>64</v>
      </c>
      <c r="C37" s="50">
        <v>88</v>
      </c>
      <c r="D37" s="50">
        <v>13</v>
      </c>
      <c r="E37" s="50">
        <v>3</v>
      </c>
      <c r="F37" s="50">
        <v>5</v>
      </c>
      <c r="G37" s="50">
        <v>0</v>
      </c>
      <c r="H37" s="50">
        <v>0</v>
      </c>
      <c r="I37" s="50">
        <v>1</v>
      </c>
      <c r="J37" s="50">
        <v>0</v>
      </c>
      <c r="K37" s="50">
        <v>0</v>
      </c>
      <c r="L37" s="50">
        <v>0</v>
      </c>
      <c r="M37" s="50">
        <v>65</v>
      </c>
      <c r="N37" s="50">
        <v>0</v>
      </c>
      <c r="O37" s="15">
        <f t="shared" si="0"/>
        <v>110</v>
      </c>
      <c r="P37" s="15">
        <f t="shared" si="1"/>
        <v>175</v>
      </c>
    </row>
    <row r="38" spans="2:20" ht="23.1" customHeight="1">
      <c r="B38" s="24" t="s">
        <v>65</v>
      </c>
      <c r="C38" s="50">
        <v>90</v>
      </c>
      <c r="D38" s="50">
        <v>8</v>
      </c>
      <c r="E38" s="50">
        <v>5</v>
      </c>
      <c r="F38" s="50">
        <v>6</v>
      </c>
      <c r="G38" s="50">
        <v>0</v>
      </c>
      <c r="H38" s="50">
        <v>0</v>
      </c>
      <c r="I38" s="50">
        <v>3</v>
      </c>
      <c r="J38" s="50">
        <v>0</v>
      </c>
      <c r="K38" s="50">
        <v>0</v>
      </c>
      <c r="L38" s="50">
        <v>0</v>
      </c>
      <c r="M38" s="50">
        <v>80</v>
      </c>
      <c r="N38" s="50">
        <v>0</v>
      </c>
      <c r="O38" s="15">
        <f t="shared" si="0"/>
        <v>112</v>
      </c>
      <c r="P38" s="15">
        <f t="shared" si="1"/>
        <v>192</v>
      </c>
    </row>
    <row r="39" spans="2:20" ht="23.1" customHeight="1">
      <c r="B39" s="24" t="s">
        <v>66</v>
      </c>
      <c r="C39" s="50">
        <v>65</v>
      </c>
      <c r="D39" s="50">
        <v>9</v>
      </c>
      <c r="E39" s="50">
        <v>6</v>
      </c>
      <c r="F39" s="50">
        <v>7</v>
      </c>
      <c r="G39" s="50">
        <v>0</v>
      </c>
      <c r="H39" s="50">
        <v>0</v>
      </c>
      <c r="I39" s="50">
        <v>4</v>
      </c>
      <c r="J39" s="50">
        <v>2</v>
      </c>
      <c r="K39" s="50">
        <v>1</v>
      </c>
      <c r="L39" s="50">
        <v>0</v>
      </c>
      <c r="M39" s="50">
        <v>48</v>
      </c>
      <c r="N39" s="50">
        <v>0</v>
      </c>
      <c r="O39" s="15">
        <f t="shared" si="0"/>
        <v>94</v>
      </c>
      <c r="P39" s="15">
        <f t="shared" si="1"/>
        <v>142</v>
      </c>
    </row>
    <row r="40" spans="2:20" ht="23.1" customHeight="1">
      <c r="B40" s="24" t="s">
        <v>67</v>
      </c>
      <c r="C40" s="50">
        <v>56</v>
      </c>
      <c r="D40" s="50">
        <v>7</v>
      </c>
      <c r="E40" s="50">
        <v>6</v>
      </c>
      <c r="F40" s="50">
        <v>10</v>
      </c>
      <c r="G40" s="50">
        <v>0</v>
      </c>
      <c r="H40" s="50">
        <v>0</v>
      </c>
      <c r="I40" s="50">
        <v>1</v>
      </c>
      <c r="J40" s="50">
        <v>0</v>
      </c>
      <c r="K40" s="50">
        <v>0</v>
      </c>
      <c r="L40" s="50">
        <v>0</v>
      </c>
      <c r="M40" s="50">
        <v>113</v>
      </c>
      <c r="N40" s="50">
        <v>0</v>
      </c>
      <c r="O40" s="15">
        <f t="shared" si="0"/>
        <v>80</v>
      </c>
      <c r="P40" s="15">
        <f t="shared" si="1"/>
        <v>193</v>
      </c>
    </row>
    <row r="41" spans="2:20" ht="23.1" customHeight="1">
      <c r="B41" s="23" t="s">
        <v>68</v>
      </c>
      <c r="C41" s="50">
        <v>91</v>
      </c>
      <c r="D41" s="50">
        <v>12</v>
      </c>
      <c r="E41" s="50">
        <v>7</v>
      </c>
      <c r="F41" s="50">
        <v>8</v>
      </c>
      <c r="G41" s="50">
        <v>0</v>
      </c>
      <c r="H41" s="50">
        <v>0</v>
      </c>
      <c r="I41" s="50">
        <v>3</v>
      </c>
      <c r="J41" s="50">
        <v>0</v>
      </c>
      <c r="K41" s="50">
        <v>0</v>
      </c>
      <c r="L41" s="50">
        <v>0</v>
      </c>
      <c r="M41" s="50">
        <v>110</v>
      </c>
      <c r="N41" s="50">
        <v>0</v>
      </c>
      <c r="O41" s="15">
        <f t="shared" si="0"/>
        <v>121</v>
      </c>
      <c r="P41" s="15">
        <f t="shared" si="1"/>
        <v>231</v>
      </c>
    </row>
    <row r="42" spans="2:20" ht="23.1" customHeight="1">
      <c r="B42" s="24" t="s">
        <v>69</v>
      </c>
      <c r="C42" s="50">
        <v>75</v>
      </c>
      <c r="D42" s="50">
        <v>13</v>
      </c>
      <c r="E42" s="50">
        <v>2</v>
      </c>
      <c r="F42" s="50">
        <v>8</v>
      </c>
      <c r="G42" s="50">
        <v>0</v>
      </c>
      <c r="H42" s="50">
        <v>0</v>
      </c>
      <c r="I42" s="50">
        <v>4</v>
      </c>
      <c r="J42" s="50">
        <v>1</v>
      </c>
      <c r="K42" s="50">
        <v>0</v>
      </c>
      <c r="L42" s="50">
        <v>0</v>
      </c>
      <c r="M42" s="50">
        <v>70</v>
      </c>
      <c r="N42" s="50">
        <v>0</v>
      </c>
      <c r="O42" s="15">
        <f t="shared" si="0"/>
        <v>103</v>
      </c>
      <c r="P42" s="15">
        <f t="shared" si="1"/>
        <v>173</v>
      </c>
    </row>
    <row r="43" spans="2:20" ht="23.1" customHeight="1">
      <c r="B43" s="23" t="s">
        <v>70</v>
      </c>
      <c r="C43" s="50">
        <v>97</v>
      </c>
      <c r="D43" s="50">
        <v>7</v>
      </c>
      <c r="E43" s="50">
        <v>4</v>
      </c>
      <c r="F43" s="50">
        <v>7</v>
      </c>
      <c r="G43" s="50">
        <v>1</v>
      </c>
      <c r="H43" s="50">
        <v>0</v>
      </c>
      <c r="I43" s="50">
        <v>4</v>
      </c>
      <c r="J43" s="50">
        <v>1</v>
      </c>
      <c r="K43" s="50">
        <v>0</v>
      </c>
      <c r="L43" s="50">
        <v>0</v>
      </c>
      <c r="M43" s="50">
        <v>76</v>
      </c>
      <c r="N43" s="50">
        <v>0</v>
      </c>
      <c r="O43" s="15">
        <f t="shared" si="0"/>
        <v>121</v>
      </c>
      <c r="P43" s="15">
        <f t="shared" si="1"/>
        <v>197</v>
      </c>
    </row>
    <row r="44" spans="2:20" ht="23.1" customHeight="1">
      <c r="B44" s="25" t="s">
        <v>71</v>
      </c>
      <c r="C44" s="50">
        <v>80</v>
      </c>
      <c r="D44" s="50">
        <v>21</v>
      </c>
      <c r="E44" s="50">
        <v>5</v>
      </c>
      <c r="F44" s="50">
        <v>11</v>
      </c>
      <c r="G44" s="50">
        <v>0</v>
      </c>
      <c r="H44" s="50">
        <v>0</v>
      </c>
      <c r="I44" s="50">
        <v>0</v>
      </c>
      <c r="J44" s="50">
        <v>2</v>
      </c>
      <c r="K44" s="50">
        <v>0</v>
      </c>
      <c r="L44" s="50">
        <v>0</v>
      </c>
      <c r="M44" s="50">
        <v>99</v>
      </c>
      <c r="N44" s="50">
        <v>0</v>
      </c>
      <c r="O44" s="15">
        <f t="shared" si="0"/>
        <v>119</v>
      </c>
      <c r="P44" s="15">
        <f t="shared" si="1"/>
        <v>218</v>
      </c>
    </row>
    <row r="45" spans="2:20" ht="23.1" customHeight="1">
      <c r="B45" s="23" t="s">
        <v>72</v>
      </c>
      <c r="C45" s="50">
        <v>71</v>
      </c>
      <c r="D45" s="50">
        <v>6</v>
      </c>
      <c r="E45" s="50">
        <v>2</v>
      </c>
      <c r="F45" s="50">
        <v>7</v>
      </c>
      <c r="G45" s="50">
        <v>0</v>
      </c>
      <c r="H45" s="50">
        <v>0</v>
      </c>
      <c r="I45" s="50">
        <v>2</v>
      </c>
      <c r="J45" s="50">
        <v>1</v>
      </c>
      <c r="K45" s="50">
        <v>1</v>
      </c>
      <c r="L45" s="50">
        <v>0</v>
      </c>
      <c r="M45" s="50">
        <v>61</v>
      </c>
      <c r="N45" s="50">
        <v>0</v>
      </c>
      <c r="O45" s="15">
        <f t="shared" si="0"/>
        <v>90</v>
      </c>
      <c r="P45" s="15">
        <f t="shared" si="1"/>
        <v>151</v>
      </c>
    </row>
    <row r="46" spans="2:20" ht="23.1" customHeight="1">
      <c r="B46" s="24" t="s">
        <v>73</v>
      </c>
      <c r="C46" s="50">
        <v>72</v>
      </c>
      <c r="D46" s="50">
        <v>11</v>
      </c>
      <c r="E46" s="50">
        <v>10</v>
      </c>
      <c r="F46" s="50">
        <v>9</v>
      </c>
      <c r="G46" s="50">
        <v>0</v>
      </c>
      <c r="H46" s="50">
        <v>0</v>
      </c>
      <c r="I46" s="50">
        <v>0</v>
      </c>
      <c r="J46" s="50">
        <v>0</v>
      </c>
      <c r="K46" s="50">
        <v>1</v>
      </c>
      <c r="L46" s="50">
        <v>0</v>
      </c>
      <c r="M46" s="50">
        <v>62</v>
      </c>
      <c r="N46" s="50">
        <v>0</v>
      </c>
      <c r="O46" s="15">
        <f t="shared" si="0"/>
        <v>103</v>
      </c>
      <c r="P46" s="15">
        <f t="shared" si="1"/>
        <v>165</v>
      </c>
      <c r="R46" s="8"/>
      <c r="T46"/>
    </row>
    <row r="47" spans="2:20" ht="23.1" customHeight="1">
      <c r="B47" s="24" t="s">
        <v>74</v>
      </c>
      <c r="C47" s="50">
        <v>81</v>
      </c>
      <c r="D47" s="50">
        <v>6</v>
      </c>
      <c r="E47" s="50">
        <v>5</v>
      </c>
      <c r="F47" s="50">
        <v>7</v>
      </c>
      <c r="G47" s="50">
        <v>0</v>
      </c>
      <c r="H47" s="50">
        <v>0</v>
      </c>
      <c r="I47" s="50">
        <v>3</v>
      </c>
      <c r="J47" s="50">
        <v>0</v>
      </c>
      <c r="K47" s="50">
        <v>0</v>
      </c>
      <c r="L47" s="50">
        <v>0</v>
      </c>
      <c r="M47" s="50">
        <v>72</v>
      </c>
      <c r="N47" s="50">
        <v>0</v>
      </c>
      <c r="O47" s="15">
        <f t="shared" si="0"/>
        <v>102</v>
      </c>
      <c r="P47" s="15">
        <f t="shared" si="1"/>
        <v>174</v>
      </c>
      <c r="R47" s="8"/>
      <c r="T47"/>
    </row>
    <row r="48" spans="2:20" ht="23.1" customHeight="1">
      <c r="B48" s="24" t="s">
        <v>75</v>
      </c>
      <c r="C48" s="50">
        <v>75</v>
      </c>
      <c r="D48" s="50">
        <v>6</v>
      </c>
      <c r="E48" s="50">
        <v>15</v>
      </c>
      <c r="F48" s="50">
        <v>5</v>
      </c>
      <c r="G48" s="50">
        <v>0</v>
      </c>
      <c r="H48" s="50">
        <v>0</v>
      </c>
      <c r="I48" s="50">
        <v>2</v>
      </c>
      <c r="J48" s="50">
        <v>0</v>
      </c>
      <c r="K48" s="50">
        <v>0</v>
      </c>
      <c r="L48" s="50">
        <v>1</v>
      </c>
      <c r="M48" s="50">
        <v>65</v>
      </c>
      <c r="N48" s="50">
        <v>0</v>
      </c>
      <c r="O48" s="15">
        <f t="shared" si="0"/>
        <v>104</v>
      </c>
      <c r="P48" s="15">
        <f t="shared" si="1"/>
        <v>169</v>
      </c>
      <c r="R48" s="8"/>
      <c r="T48"/>
    </row>
    <row r="49" spans="2:20" ht="23.1" customHeight="1">
      <c r="B49" s="23" t="s">
        <v>76</v>
      </c>
      <c r="C49" s="50">
        <v>65</v>
      </c>
      <c r="D49" s="50">
        <v>10</v>
      </c>
      <c r="E49" s="50">
        <v>3</v>
      </c>
      <c r="F49" s="50">
        <v>6</v>
      </c>
      <c r="G49" s="50">
        <v>0</v>
      </c>
      <c r="H49" s="50">
        <v>0</v>
      </c>
      <c r="I49" s="50">
        <v>3</v>
      </c>
      <c r="J49" s="50">
        <v>0</v>
      </c>
      <c r="K49" s="50">
        <v>0</v>
      </c>
      <c r="L49" s="50">
        <v>0</v>
      </c>
      <c r="M49" s="50">
        <v>65</v>
      </c>
      <c r="N49" s="50">
        <v>0</v>
      </c>
      <c r="O49" s="15">
        <f t="shared" si="0"/>
        <v>87</v>
      </c>
      <c r="P49" s="15">
        <f t="shared" si="1"/>
        <v>152</v>
      </c>
      <c r="R49" s="8"/>
      <c r="T49"/>
    </row>
    <row r="50" spans="2:20" ht="23.1" customHeight="1">
      <c r="B50" s="24" t="s">
        <v>77</v>
      </c>
      <c r="C50" s="50">
        <v>99</v>
      </c>
      <c r="D50" s="50">
        <v>10</v>
      </c>
      <c r="E50" s="50">
        <v>8</v>
      </c>
      <c r="F50" s="50">
        <v>7</v>
      </c>
      <c r="G50" s="50">
        <v>0</v>
      </c>
      <c r="H50" s="50">
        <v>0</v>
      </c>
      <c r="I50" s="50">
        <v>0</v>
      </c>
      <c r="J50" s="50">
        <v>0</v>
      </c>
      <c r="K50" s="50">
        <v>0</v>
      </c>
      <c r="L50" s="50">
        <v>1</v>
      </c>
      <c r="M50" s="50">
        <v>85</v>
      </c>
      <c r="N50" s="50">
        <v>0</v>
      </c>
      <c r="O50" s="15">
        <f t="shared" si="0"/>
        <v>125</v>
      </c>
      <c r="P50" s="15">
        <f t="shared" si="1"/>
        <v>210</v>
      </c>
      <c r="R50" s="8"/>
      <c r="T50"/>
    </row>
    <row r="51" spans="2:20" ht="23.1" customHeight="1">
      <c r="B51" s="24" t="s">
        <v>78</v>
      </c>
      <c r="C51" s="50">
        <v>110</v>
      </c>
      <c r="D51" s="50">
        <v>13</v>
      </c>
      <c r="E51" s="50">
        <v>9</v>
      </c>
      <c r="F51" s="50">
        <v>12</v>
      </c>
      <c r="G51" s="50">
        <v>0</v>
      </c>
      <c r="H51" s="50">
        <v>0</v>
      </c>
      <c r="I51" s="50">
        <v>3</v>
      </c>
      <c r="J51" s="50">
        <v>0</v>
      </c>
      <c r="K51" s="50">
        <v>1</v>
      </c>
      <c r="L51" s="50">
        <v>0</v>
      </c>
      <c r="M51" s="50">
        <v>105</v>
      </c>
      <c r="N51" s="50">
        <v>0</v>
      </c>
      <c r="O51" s="15">
        <f t="shared" si="0"/>
        <v>148</v>
      </c>
      <c r="P51" s="15">
        <f t="shared" si="1"/>
        <v>253</v>
      </c>
      <c r="R51" s="8"/>
      <c r="T51"/>
    </row>
    <row r="52" spans="2:20" ht="23.1" customHeight="1">
      <c r="B52" s="24" t="s">
        <v>79</v>
      </c>
      <c r="C52" s="50">
        <v>84</v>
      </c>
      <c r="D52" s="50">
        <v>10</v>
      </c>
      <c r="E52" s="50">
        <v>4</v>
      </c>
      <c r="F52" s="50">
        <v>8</v>
      </c>
      <c r="G52" s="50">
        <v>0</v>
      </c>
      <c r="H52" s="50">
        <v>0</v>
      </c>
      <c r="I52" s="50">
        <v>1</v>
      </c>
      <c r="J52" s="50">
        <v>0</v>
      </c>
      <c r="K52" s="50">
        <v>0</v>
      </c>
      <c r="L52" s="50">
        <v>0</v>
      </c>
      <c r="M52" s="50">
        <v>75</v>
      </c>
      <c r="N52" s="50">
        <v>0</v>
      </c>
      <c r="O52" s="15">
        <f t="shared" si="0"/>
        <v>107</v>
      </c>
      <c r="P52" s="15">
        <f t="shared" si="1"/>
        <v>182</v>
      </c>
      <c r="R52" s="8"/>
      <c r="T52"/>
    </row>
    <row r="53" spans="2:20" ht="23.1" customHeight="1">
      <c r="B53" s="23" t="s">
        <v>80</v>
      </c>
      <c r="C53" s="50">
        <v>50</v>
      </c>
      <c r="D53" s="50">
        <v>8</v>
      </c>
      <c r="E53" s="50">
        <v>2</v>
      </c>
      <c r="F53" s="50">
        <v>6</v>
      </c>
      <c r="G53" s="50">
        <v>0</v>
      </c>
      <c r="H53" s="50">
        <v>0</v>
      </c>
      <c r="I53" s="50">
        <v>2</v>
      </c>
      <c r="J53" s="50">
        <v>0</v>
      </c>
      <c r="K53" s="50">
        <v>0</v>
      </c>
      <c r="L53" s="50">
        <v>0</v>
      </c>
      <c r="M53" s="50">
        <v>110</v>
      </c>
      <c r="N53" s="50">
        <v>0</v>
      </c>
      <c r="O53" s="15">
        <f t="shared" si="0"/>
        <v>68</v>
      </c>
      <c r="P53" s="15">
        <f t="shared" si="1"/>
        <v>178</v>
      </c>
      <c r="R53" s="8"/>
      <c r="T53"/>
    </row>
    <row r="54" spans="2:20" ht="23.1" customHeight="1">
      <c r="B54" s="23" t="s">
        <v>81</v>
      </c>
      <c r="C54" s="50">
        <v>66</v>
      </c>
      <c r="D54" s="50">
        <v>13</v>
      </c>
      <c r="E54" s="50">
        <v>1</v>
      </c>
      <c r="F54" s="50">
        <v>6</v>
      </c>
      <c r="G54" s="50">
        <v>0</v>
      </c>
      <c r="H54" s="50">
        <v>0</v>
      </c>
      <c r="I54" s="50">
        <v>0</v>
      </c>
      <c r="J54" s="50">
        <v>0</v>
      </c>
      <c r="K54" s="50">
        <v>1</v>
      </c>
      <c r="L54" s="50">
        <v>0</v>
      </c>
      <c r="M54" s="50">
        <v>54</v>
      </c>
      <c r="N54" s="50">
        <v>0</v>
      </c>
      <c r="O54" s="15">
        <f t="shared" si="0"/>
        <v>87</v>
      </c>
      <c r="P54" s="15">
        <f t="shared" si="1"/>
        <v>141</v>
      </c>
      <c r="R54" s="8"/>
      <c r="T54"/>
    </row>
    <row r="55" spans="2:20" ht="23.1" customHeight="1">
      <c r="B55" s="23" t="s">
        <v>82</v>
      </c>
      <c r="C55" s="50">
        <v>82</v>
      </c>
      <c r="D55" s="50">
        <v>4</v>
      </c>
      <c r="E55" s="50">
        <v>5</v>
      </c>
      <c r="F55" s="50">
        <v>9</v>
      </c>
      <c r="G55" s="50">
        <v>0</v>
      </c>
      <c r="H55" s="50">
        <v>0</v>
      </c>
      <c r="I55" s="50">
        <v>0</v>
      </c>
      <c r="J55" s="50">
        <v>0</v>
      </c>
      <c r="K55" s="50">
        <v>0</v>
      </c>
      <c r="L55" s="50">
        <v>0</v>
      </c>
      <c r="M55" s="50">
        <v>49</v>
      </c>
      <c r="N55" s="50">
        <v>0</v>
      </c>
      <c r="O55" s="15">
        <f t="shared" si="0"/>
        <v>100</v>
      </c>
      <c r="P55" s="15">
        <f t="shared" si="1"/>
        <v>149</v>
      </c>
      <c r="R55" s="8"/>
      <c r="T55"/>
    </row>
    <row r="56" spans="2:20" ht="23.1" customHeight="1">
      <c r="B56" s="23" t="s">
        <v>83</v>
      </c>
      <c r="C56" s="50">
        <v>70</v>
      </c>
      <c r="D56" s="50">
        <v>11</v>
      </c>
      <c r="E56" s="50">
        <v>8</v>
      </c>
      <c r="F56" s="50">
        <v>12</v>
      </c>
      <c r="G56" s="50">
        <v>1</v>
      </c>
      <c r="H56" s="50">
        <v>0</v>
      </c>
      <c r="I56" s="50">
        <v>1</v>
      </c>
      <c r="J56" s="50">
        <v>1</v>
      </c>
      <c r="K56" s="50">
        <v>0</v>
      </c>
      <c r="L56" s="50">
        <v>0</v>
      </c>
      <c r="M56" s="50">
        <v>77</v>
      </c>
      <c r="N56" s="50">
        <v>0</v>
      </c>
      <c r="O56" s="15">
        <f t="shared" si="0"/>
        <v>104</v>
      </c>
      <c r="P56" s="15">
        <f t="shared" si="1"/>
        <v>181</v>
      </c>
      <c r="R56" s="8"/>
      <c r="T56"/>
    </row>
    <row r="57" spans="2:20" ht="23.1" customHeight="1">
      <c r="B57" s="23" t="s">
        <v>84</v>
      </c>
      <c r="C57" s="50">
        <v>87</v>
      </c>
      <c r="D57" s="50">
        <v>8</v>
      </c>
      <c r="E57" s="50">
        <v>8</v>
      </c>
      <c r="F57" s="50">
        <v>8</v>
      </c>
      <c r="G57" s="50">
        <v>0</v>
      </c>
      <c r="H57" s="50">
        <v>0</v>
      </c>
      <c r="I57" s="50">
        <v>3</v>
      </c>
      <c r="J57" s="50">
        <v>0</v>
      </c>
      <c r="K57" s="50">
        <v>1</v>
      </c>
      <c r="L57" s="50">
        <v>0</v>
      </c>
      <c r="M57" s="50">
        <v>109</v>
      </c>
      <c r="N57" s="50">
        <v>0</v>
      </c>
      <c r="O57" s="15">
        <f t="shared" si="0"/>
        <v>115</v>
      </c>
      <c r="P57" s="15">
        <f t="shared" si="1"/>
        <v>224</v>
      </c>
      <c r="R57" s="8"/>
      <c r="T57"/>
    </row>
    <row r="58" spans="2:20" ht="23.1" customHeight="1">
      <c r="B58" s="26" t="s">
        <v>18</v>
      </c>
      <c r="C58" s="16">
        <f t="shared" ref="C58:P58" si="21">SUM(C10:C57)</f>
        <v>4069</v>
      </c>
      <c r="D58" s="16">
        <f t="shared" si="21"/>
        <v>523</v>
      </c>
      <c r="E58" s="16">
        <f t="shared" si="21"/>
        <v>292</v>
      </c>
      <c r="F58" s="16">
        <f t="shared" si="21"/>
        <v>491</v>
      </c>
      <c r="G58" s="16">
        <f t="shared" si="21"/>
        <v>3</v>
      </c>
      <c r="H58" s="16">
        <f t="shared" si="21"/>
        <v>0</v>
      </c>
      <c r="I58" s="16">
        <f t="shared" si="21"/>
        <v>106</v>
      </c>
      <c r="J58" s="16">
        <f t="shared" si="21"/>
        <v>24</v>
      </c>
      <c r="K58" s="16">
        <f t="shared" si="21"/>
        <v>9</v>
      </c>
      <c r="L58" s="16">
        <f t="shared" si="21"/>
        <v>3</v>
      </c>
      <c r="M58" s="16">
        <f t="shared" si="21"/>
        <v>3630</v>
      </c>
      <c r="N58" s="16">
        <f t="shared" si="21"/>
        <v>0</v>
      </c>
      <c r="O58" s="16">
        <f t="shared" si="21"/>
        <v>5520</v>
      </c>
      <c r="P58" s="16">
        <f t="shared" si="21"/>
        <v>9150</v>
      </c>
      <c r="R58" s="8"/>
      <c r="T58"/>
    </row>
    <row r="59" spans="2:20" ht="23.1" customHeight="1">
      <c r="B59" s="26" t="s">
        <v>93</v>
      </c>
      <c r="C59" s="43">
        <f t="shared" ref="C59:N59" si="22">C58/$P$58</f>
        <v>0.44469945355191259</v>
      </c>
      <c r="D59" s="43">
        <f t="shared" si="22"/>
        <v>5.7158469945355193E-2</v>
      </c>
      <c r="E59" s="43">
        <f t="shared" si="22"/>
        <v>3.1912568306010927E-2</v>
      </c>
      <c r="F59" s="43">
        <f t="shared" si="22"/>
        <v>5.3661202185792352E-2</v>
      </c>
      <c r="G59" s="43">
        <f t="shared" si="22"/>
        <v>3.2786885245901639E-4</v>
      </c>
      <c r="H59" s="43">
        <f t="shared" si="22"/>
        <v>0</v>
      </c>
      <c r="I59" s="43">
        <f t="shared" si="22"/>
        <v>1.1584699453551913E-2</v>
      </c>
      <c r="J59" s="43">
        <f t="shared" si="22"/>
        <v>2.6229508196721311E-3</v>
      </c>
      <c r="K59" s="43">
        <f t="shared" si="22"/>
        <v>9.8360655737704918E-4</v>
      </c>
      <c r="L59" s="43">
        <f t="shared" si="22"/>
        <v>3.2786885245901639E-4</v>
      </c>
      <c r="M59" s="43">
        <f t="shared" si="22"/>
        <v>0.39672131147540984</v>
      </c>
      <c r="N59" s="43">
        <f t="shared" si="22"/>
        <v>0</v>
      </c>
      <c r="R59" s="8"/>
      <c r="T59"/>
    </row>
    <row r="60" spans="2:20" ht="23.1" customHeight="1">
      <c r="B60" s="42" t="s">
        <v>94</v>
      </c>
      <c r="C60" s="44">
        <f>C58/$O$58</f>
        <v>0.73713768115942024</v>
      </c>
      <c r="D60" s="44">
        <f t="shared" ref="D60:N60" si="23">D58/$O$58</f>
        <v>9.4746376811594202E-2</v>
      </c>
      <c r="E60" s="44">
        <f t="shared" si="23"/>
        <v>5.2898550724637679E-2</v>
      </c>
      <c r="F60" s="44">
        <f t="shared" si="23"/>
        <v>8.8949275362318836E-2</v>
      </c>
      <c r="G60" s="44">
        <f t="shared" si="23"/>
        <v>5.4347826086956522E-4</v>
      </c>
      <c r="H60" s="44">
        <f t="shared" si="23"/>
        <v>0</v>
      </c>
      <c r="I60" s="44">
        <f t="shared" si="23"/>
        <v>1.9202898550724639E-2</v>
      </c>
      <c r="J60" s="44">
        <f t="shared" si="23"/>
        <v>4.3478260869565218E-3</v>
      </c>
      <c r="K60" s="44">
        <f t="shared" si="23"/>
        <v>1.6304347826086956E-3</v>
      </c>
      <c r="L60" s="44">
        <f t="shared" si="23"/>
        <v>5.4347826086956522E-4</v>
      </c>
      <c r="M60" s="44"/>
      <c r="N60" s="44">
        <f t="shared" si="23"/>
        <v>0</v>
      </c>
      <c r="Q60" s="7"/>
      <c r="R60" s="8"/>
      <c r="T60"/>
    </row>
    <row r="61" spans="2:20" ht="20.100000000000001" customHeight="1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>
  <dimension ref="B1:AF126"/>
  <sheetViews>
    <sheetView view="pageBreakPreview" zoomScale="60" workbookViewId="0">
      <selection activeCell="M57" sqref="M57"/>
    </sheetView>
  </sheetViews>
  <sheetFormatPr defaultColWidth="15" defaultRowHeight="20.100000000000001" customHeight="1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>
      <c r="B1" s="60" t="s">
        <v>23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</row>
    <row r="2" spans="2:32" ht="20.100000000000001" customHeight="1">
      <c r="B2" s="61" t="s">
        <v>95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</row>
    <row r="3" spans="2:32" ht="20.100000000000001" customHeight="1">
      <c r="B3" s="22" t="s">
        <v>96</v>
      </c>
      <c r="C3" s="65" t="str">
        <f>'29.07 Kiwatule-Najjeera'!C3:G3</f>
        <v>MCC - C1 - STN36 - MBOGO ROAD</v>
      </c>
      <c r="D3" s="65"/>
      <c r="E3" s="65"/>
      <c r="F3" s="65"/>
      <c r="G3" s="65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>
      <c r="C5" s="4" t="s">
        <v>3</v>
      </c>
      <c r="D5" s="36" t="str">
        <f>'04.08 Najjeera-Kiwatule'!D5</f>
        <v>04.08.19</v>
      </c>
      <c r="E5" s="3"/>
      <c r="F5" s="41" t="s">
        <v>1</v>
      </c>
      <c r="G5" s="66" t="str">
        <f>'04.08 Najjeera-Kiwatule'!G5:H5</f>
        <v>U Save Kiwatule</v>
      </c>
      <c r="H5" s="67"/>
      <c r="I5" s="14"/>
      <c r="J5" s="2" t="s">
        <v>5</v>
      </c>
      <c r="K5" s="66" t="s">
        <v>179</v>
      </c>
      <c r="L5" s="67"/>
      <c r="M5" s="10"/>
      <c r="N5" s="10"/>
      <c r="O5" s="3"/>
      <c r="P5" s="3"/>
    </row>
    <row r="6" spans="2:32" ht="23.25" customHeight="1">
      <c r="C6" s="2" t="s">
        <v>4</v>
      </c>
      <c r="D6" s="66" t="str">
        <f>'29.07 Kiwatule-Najjeera'!D6:E6</f>
        <v>Kiwatule</v>
      </c>
      <c r="E6" s="67"/>
      <c r="F6" s="2" t="s">
        <v>2</v>
      </c>
      <c r="G6" s="66" t="str">
        <f>'29.07 Kiwatule-Najjeera'!G6:H6</f>
        <v>Najjeera</v>
      </c>
      <c r="H6" s="67"/>
      <c r="J6" s="2" t="s">
        <v>21</v>
      </c>
      <c r="K6" s="66" t="str">
        <f>'04.08 Najjeera-Kiwatule'!K6:L6</f>
        <v>Joan</v>
      </c>
      <c r="L6" s="67"/>
      <c r="M6" s="10"/>
      <c r="N6" s="10"/>
      <c r="O6" s="3"/>
      <c r="P6" s="3"/>
    </row>
    <row r="7" spans="2:32" ht="20.100000000000001" customHeight="1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9" t="s">
        <v>88</v>
      </c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</row>
    <row r="9" spans="2:32" ht="51.75" customHeight="1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>
      <c r="B10" s="23" t="s">
        <v>37</v>
      </c>
      <c r="C10" s="50">
        <v>7</v>
      </c>
      <c r="D10" s="50">
        <v>6</v>
      </c>
      <c r="E10" s="50">
        <v>4</v>
      </c>
      <c r="F10" s="50">
        <v>9</v>
      </c>
      <c r="G10" s="50">
        <v>0</v>
      </c>
      <c r="H10" s="50">
        <v>0</v>
      </c>
      <c r="I10" s="50">
        <v>2</v>
      </c>
      <c r="J10" s="50">
        <v>1</v>
      </c>
      <c r="K10" s="50">
        <v>0</v>
      </c>
      <c r="L10" s="50">
        <v>0</v>
      </c>
      <c r="M10" s="50">
        <v>28</v>
      </c>
      <c r="N10" s="50">
        <v>0</v>
      </c>
      <c r="O10" s="15">
        <f t="shared" ref="O10:O57" si="0">SUM(C10:L10,N10)</f>
        <v>29</v>
      </c>
      <c r="P10" s="15">
        <f t="shared" ref="P10:P57" si="1">SUM(C10:N10)</f>
        <v>57</v>
      </c>
      <c r="R10" s="1" t="s">
        <v>6</v>
      </c>
      <c r="S10" s="17">
        <f t="shared" ref="S10:AF10" si="2">SUM(C10:C13)</f>
        <v>51</v>
      </c>
      <c r="T10" s="17">
        <f t="shared" si="2"/>
        <v>14</v>
      </c>
      <c r="U10" s="17">
        <f t="shared" si="2"/>
        <v>9</v>
      </c>
      <c r="V10" s="17">
        <f t="shared" si="2"/>
        <v>38</v>
      </c>
      <c r="W10" s="17">
        <f t="shared" si="2"/>
        <v>0</v>
      </c>
      <c r="X10" s="17">
        <f t="shared" si="2"/>
        <v>0</v>
      </c>
      <c r="Y10" s="17">
        <f t="shared" si="2"/>
        <v>11</v>
      </c>
      <c r="Z10" s="17">
        <f t="shared" si="2"/>
        <v>2</v>
      </c>
      <c r="AA10" s="17">
        <f t="shared" si="2"/>
        <v>0</v>
      </c>
      <c r="AB10" s="17">
        <f t="shared" si="2"/>
        <v>1</v>
      </c>
      <c r="AC10" s="17">
        <f t="shared" si="2"/>
        <v>176</v>
      </c>
      <c r="AD10" s="17">
        <f t="shared" si="2"/>
        <v>0</v>
      </c>
      <c r="AE10" s="31">
        <f t="shared" si="2"/>
        <v>126</v>
      </c>
      <c r="AF10" s="31">
        <f t="shared" si="2"/>
        <v>302</v>
      </c>
    </row>
    <row r="11" spans="2:32" s="6" customFormat="1" ht="23.1" customHeight="1">
      <c r="B11" s="23" t="s">
        <v>38</v>
      </c>
      <c r="C11" s="50">
        <v>11</v>
      </c>
      <c r="D11" s="50">
        <v>1</v>
      </c>
      <c r="E11" s="50">
        <v>3</v>
      </c>
      <c r="F11" s="50">
        <v>8</v>
      </c>
      <c r="G11" s="50">
        <v>0</v>
      </c>
      <c r="H11" s="50">
        <v>0</v>
      </c>
      <c r="I11" s="50">
        <v>2</v>
      </c>
      <c r="J11" s="50">
        <v>0</v>
      </c>
      <c r="K11" s="50">
        <v>0</v>
      </c>
      <c r="L11" s="50">
        <v>1</v>
      </c>
      <c r="M11" s="50">
        <v>27</v>
      </c>
      <c r="N11" s="50">
        <v>0</v>
      </c>
      <c r="O11" s="15">
        <f t="shared" si="0"/>
        <v>26</v>
      </c>
      <c r="P11" s="15">
        <f t="shared" si="1"/>
        <v>53</v>
      </c>
      <c r="R11" s="1" t="s">
        <v>7</v>
      </c>
      <c r="S11" s="17">
        <f t="shared" ref="S11:AF11" si="3">SUM(C14:C17)</f>
        <v>93</v>
      </c>
      <c r="T11" s="17">
        <f t="shared" si="3"/>
        <v>11</v>
      </c>
      <c r="U11" s="17">
        <f t="shared" si="3"/>
        <v>6</v>
      </c>
      <c r="V11" s="17">
        <f t="shared" si="3"/>
        <v>47</v>
      </c>
      <c r="W11" s="17">
        <f t="shared" si="3"/>
        <v>0</v>
      </c>
      <c r="X11" s="17">
        <f t="shared" si="3"/>
        <v>0</v>
      </c>
      <c r="Y11" s="17">
        <f t="shared" si="3"/>
        <v>5</v>
      </c>
      <c r="Z11" s="17">
        <f t="shared" si="3"/>
        <v>0</v>
      </c>
      <c r="AA11" s="17">
        <f t="shared" si="3"/>
        <v>0</v>
      </c>
      <c r="AB11" s="17">
        <f t="shared" si="3"/>
        <v>0</v>
      </c>
      <c r="AC11" s="17">
        <f t="shared" si="3"/>
        <v>283</v>
      </c>
      <c r="AD11" s="17">
        <f t="shared" si="3"/>
        <v>0</v>
      </c>
      <c r="AE11" s="31">
        <f t="shared" si="3"/>
        <v>162</v>
      </c>
      <c r="AF11" s="31">
        <f t="shared" si="3"/>
        <v>445</v>
      </c>
    </row>
    <row r="12" spans="2:32" ht="23.1" customHeight="1">
      <c r="B12" s="23" t="s">
        <v>39</v>
      </c>
      <c r="C12" s="50">
        <v>19</v>
      </c>
      <c r="D12" s="50">
        <v>4</v>
      </c>
      <c r="E12" s="50">
        <v>0</v>
      </c>
      <c r="F12" s="50">
        <v>7</v>
      </c>
      <c r="G12" s="50">
        <v>0</v>
      </c>
      <c r="H12" s="50">
        <v>0</v>
      </c>
      <c r="I12" s="50">
        <v>4</v>
      </c>
      <c r="J12" s="50">
        <v>0</v>
      </c>
      <c r="K12" s="50">
        <v>0</v>
      </c>
      <c r="L12" s="50">
        <v>0</v>
      </c>
      <c r="M12" s="50">
        <v>60</v>
      </c>
      <c r="N12" s="50">
        <v>0</v>
      </c>
      <c r="O12" s="15">
        <f t="shared" si="0"/>
        <v>34</v>
      </c>
      <c r="P12" s="15">
        <f t="shared" si="1"/>
        <v>94</v>
      </c>
      <c r="R12" s="1" t="s">
        <v>8</v>
      </c>
      <c r="S12" s="17">
        <f t="shared" ref="S12:AF12" si="4">SUM(C18:C21)</f>
        <v>125</v>
      </c>
      <c r="T12" s="17">
        <f t="shared" si="4"/>
        <v>24</v>
      </c>
      <c r="U12" s="17">
        <f t="shared" si="4"/>
        <v>12</v>
      </c>
      <c r="V12" s="17">
        <f t="shared" si="4"/>
        <v>58</v>
      </c>
      <c r="W12" s="17">
        <f t="shared" si="4"/>
        <v>0</v>
      </c>
      <c r="X12" s="17">
        <f t="shared" si="4"/>
        <v>0</v>
      </c>
      <c r="Y12" s="17">
        <f t="shared" si="4"/>
        <v>18</v>
      </c>
      <c r="Z12" s="17">
        <f t="shared" si="4"/>
        <v>2</v>
      </c>
      <c r="AA12" s="17">
        <f t="shared" si="4"/>
        <v>0</v>
      </c>
      <c r="AB12" s="17">
        <f t="shared" si="4"/>
        <v>0</v>
      </c>
      <c r="AC12" s="17">
        <f t="shared" si="4"/>
        <v>250</v>
      </c>
      <c r="AD12" s="17">
        <f t="shared" si="4"/>
        <v>0</v>
      </c>
      <c r="AE12" s="31">
        <f t="shared" si="4"/>
        <v>239</v>
      </c>
      <c r="AF12" s="31">
        <f t="shared" si="4"/>
        <v>489</v>
      </c>
    </row>
    <row r="13" spans="2:32" ht="23.1" customHeight="1">
      <c r="B13" s="23" t="s">
        <v>40</v>
      </c>
      <c r="C13" s="50">
        <v>14</v>
      </c>
      <c r="D13" s="50">
        <v>3</v>
      </c>
      <c r="E13" s="50">
        <v>2</v>
      </c>
      <c r="F13" s="50">
        <v>14</v>
      </c>
      <c r="G13" s="50">
        <v>0</v>
      </c>
      <c r="H13" s="50">
        <v>0</v>
      </c>
      <c r="I13" s="50">
        <v>3</v>
      </c>
      <c r="J13" s="50">
        <v>1</v>
      </c>
      <c r="K13" s="50">
        <v>0</v>
      </c>
      <c r="L13" s="50">
        <v>0</v>
      </c>
      <c r="M13" s="50">
        <v>61</v>
      </c>
      <c r="N13" s="50">
        <v>0</v>
      </c>
      <c r="O13" s="15">
        <f t="shared" si="0"/>
        <v>37</v>
      </c>
      <c r="P13" s="15">
        <f t="shared" si="1"/>
        <v>98</v>
      </c>
      <c r="R13" s="1" t="s">
        <v>9</v>
      </c>
      <c r="S13" s="17">
        <f t="shared" ref="S13:AF13" si="5">SUM(C22:C25)</f>
        <v>200</v>
      </c>
      <c r="T13" s="17">
        <f t="shared" si="5"/>
        <v>23</v>
      </c>
      <c r="U13" s="17">
        <f t="shared" si="5"/>
        <v>9</v>
      </c>
      <c r="V13" s="17">
        <f t="shared" si="5"/>
        <v>47</v>
      </c>
      <c r="W13" s="17">
        <f t="shared" si="5"/>
        <v>1</v>
      </c>
      <c r="X13" s="17">
        <f t="shared" si="5"/>
        <v>0</v>
      </c>
      <c r="Y13" s="17">
        <f t="shared" si="5"/>
        <v>19</v>
      </c>
      <c r="Z13" s="17">
        <f t="shared" si="5"/>
        <v>2</v>
      </c>
      <c r="AA13" s="17">
        <f t="shared" si="5"/>
        <v>0</v>
      </c>
      <c r="AB13" s="17">
        <f t="shared" si="5"/>
        <v>0</v>
      </c>
      <c r="AC13" s="17">
        <f t="shared" si="5"/>
        <v>363</v>
      </c>
      <c r="AD13" s="17">
        <f t="shared" si="5"/>
        <v>0</v>
      </c>
      <c r="AE13" s="31">
        <f t="shared" si="5"/>
        <v>301</v>
      </c>
      <c r="AF13" s="31">
        <f t="shared" si="5"/>
        <v>664</v>
      </c>
    </row>
    <row r="14" spans="2:32" ht="23.1" customHeight="1">
      <c r="B14" s="23" t="s">
        <v>41</v>
      </c>
      <c r="C14" s="50">
        <v>13</v>
      </c>
      <c r="D14" s="50">
        <v>4</v>
      </c>
      <c r="E14" s="50">
        <v>1</v>
      </c>
      <c r="F14" s="50">
        <v>14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70</v>
      </c>
      <c r="N14" s="50">
        <v>0</v>
      </c>
      <c r="O14" s="15">
        <f t="shared" si="0"/>
        <v>32</v>
      </c>
      <c r="P14" s="15">
        <f t="shared" si="1"/>
        <v>102</v>
      </c>
      <c r="R14" s="1" t="s">
        <v>10</v>
      </c>
      <c r="S14" s="17">
        <f t="shared" ref="S14:AF14" si="6">SUM(C26:C29)</f>
        <v>236</v>
      </c>
      <c r="T14" s="17">
        <f t="shared" si="6"/>
        <v>39</v>
      </c>
      <c r="U14" s="17">
        <f t="shared" si="6"/>
        <v>18</v>
      </c>
      <c r="V14" s="17">
        <f t="shared" si="6"/>
        <v>33</v>
      </c>
      <c r="W14" s="17">
        <f t="shared" si="6"/>
        <v>0</v>
      </c>
      <c r="X14" s="17">
        <f t="shared" si="6"/>
        <v>0</v>
      </c>
      <c r="Y14" s="17">
        <f t="shared" si="6"/>
        <v>16</v>
      </c>
      <c r="Z14" s="17">
        <f t="shared" si="6"/>
        <v>2</v>
      </c>
      <c r="AA14" s="17">
        <f t="shared" si="6"/>
        <v>2</v>
      </c>
      <c r="AB14" s="17">
        <f t="shared" si="6"/>
        <v>0</v>
      </c>
      <c r="AC14" s="17">
        <f t="shared" si="6"/>
        <v>265</v>
      </c>
      <c r="AD14" s="17">
        <f t="shared" si="6"/>
        <v>0</v>
      </c>
      <c r="AE14" s="31">
        <f t="shared" si="6"/>
        <v>346</v>
      </c>
      <c r="AF14" s="31">
        <f t="shared" si="6"/>
        <v>611</v>
      </c>
    </row>
    <row r="15" spans="2:32" ht="23.1" customHeight="1">
      <c r="B15" s="23" t="s">
        <v>42</v>
      </c>
      <c r="C15" s="50">
        <v>19</v>
      </c>
      <c r="D15" s="50">
        <v>1</v>
      </c>
      <c r="E15" s="50">
        <v>1</v>
      </c>
      <c r="F15" s="50">
        <v>14</v>
      </c>
      <c r="G15" s="50">
        <v>0</v>
      </c>
      <c r="H15" s="50">
        <v>0</v>
      </c>
      <c r="I15" s="50">
        <v>3</v>
      </c>
      <c r="J15" s="50">
        <v>0</v>
      </c>
      <c r="K15" s="50">
        <v>0</v>
      </c>
      <c r="L15" s="50">
        <v>0</v>
      </c>
      <c r="M15" s="50">
        <v>61</v>
      </c>
      <c r="N15" s="50">
        <v>0</v>
      </c>
      <c r="O15" s="15">
        <f t="shared" si="0"/>
        <v>38</v>
      </c>
      <c r="P15" s="15">
        <f t="shared" si="1"/>
        <v>99</v>
      </c>
      <c r="R15" s="1" t="s">
        <v>11</v>
      </c>
      <c r="S15" s="17">
        <f t="shared" ref="S15:AF15" si="7">SUM(C30:C33)</f>
        <v>261</v>
      </c>
      <c r="T15" s="17">
        <f t="shared" si="7"/>
        <v>68</v>
      </c>
      <c r="U15" s="17">
        <f t="shared" si="7"/>
        <v>19</v>
      </c>
      <c r="V15" s="17">
        <f t="shared" si="7"/>
        <v>59</v>
      </c>
      <c r="W15" s="17">
        <f t="shared" si="7"/>
        <v>0</v>
      </c>
      <c r="X15" s="17">
        <f t="shared" si="7"/>
        <v>0</v>
      </c>
      <c r="Y15" s="17">
        <f t="shared" si="7"/>
        <v>12</v>
      </c>
      <c r="Z15" s="17">
        <f t="shared" si="7"/>
        <v>2</v>
      </c>
      <c r="AA15" s="17">
        <f t="shared" si="7"/>
        <v>0</v>
      </c>
      <c r="AB15" s="17">
        <f t="shared" si="7"/>
        <v>0</v>
      </c>
      <c r="AC15" s="17">
        <f t="shared" si="7"/>
        <v>355</v>
      </c>
      <c r="AD15" s="17">
        <f t="shared" si="7"/>
        <v>0</v>
      </c>
      <c r="AE15" s="31">
        <f t="shared" si="7"/>
        <v>421</v>
      </c>
      <c r="AF15" s="31">
        <f t="shared" si="7"/>
        <v>776</v>
      </c>
    </row>
    <row r="16" spans="2:32" ht="23.1" customHeight="1">
      <c r="B16" s="23" t="s">
        <v>43</v>
      </c>
      <c r="C16" s="50">
        <v>38</v>
      </c>
      <c r="D16" s="50">
        <v>4</v>
      </c>
      <c r="E16" s="50">
        <v>3</v>
      </c>
      <c r="F16" s="50">
        <v>10</v>
      </c>
      <c r="G16" s="50">
        <v>0</v>
      </c>
      <c r="H16" s="50">
        <v>0</v>
      </c>
      <c r="I16" s="50">
        <v>1</v>
      </c>
      <c r="J16" s="50">
        <v>0</v>
      </c>
      <c r="K16" s="50">
        <v>0</v>
      </c>
      <c r="L16" s="50">
        <v>0</v>
      </c>
      <c r="M16" s="50">
        <v>75</v>
      </c>
      <c r="N16" s="50">
        <v>0</v>
      </c>
      <c r="O16" s="15">
        <f t="shared" si="0"/>
        <v>56</v>
      </c>
      <c r="P16" s="15">
        <f t="shared" si="1"/>
        <v>131</v>
      </c>
      <c r="R16" s="1" t="s">
        <v>12</v>
      </c>
      <c r="S16" s="17">
        <f t="shared" ref="S16:AF16" si="8">SUM(C34:C37)</f>
        <v>377</v>
      </c>
      <c r="T16" s="17">
        <f t="shared" si="8"/>
        <v>39</v>
      </c>
      <c r="U16" s="17">
        <f t="shared" si="8"/>
        <v>16</v>
      </c>
      <c r="V16" s="17">
        <f t="shared" si="8"/>
        <v>36</v>
      </c>
      <c r="W16" s="17">
        <f t="shared" si="8"/>
        <v>2</v>
      </c>
      <c r="X16" s="17">
        <f t="shared" si="8"/>
        <v>0</v>
      </c>
      <c r="Y16" s="17">
        <f t="shared" si="8"/>
        <v>18</v>
      </c>
      <c r="Z16" s="17">
        <f t="shared" si="8"/>
        <v>2</v>
      </c>
      <c r="AA16" s="17">
        <f t="shared" si="8"/>
        <v>0</v>
      </c>
      <c r="AB16" s="17">
        <f t="shared" si="8"/>
        <v>0</v>
      </c>
      <c r="AC16" s="17">
        <f t="shared" si="8"/>
        <v>355</v>
      </c>
      <c r="AD16" s="17">
        <f t="shared" si="8"/>
        <v>0</v>
      </c>
      <c r="AE16" s="31">
        <f t="shared" si="8"/>
        <v>490</v>
      </c>
      <c r="AF16" s="31">
        <f t="shared" si="8"/>
        <v>845</v>
      </c>
    </row>
    <row r="17" spans="2:32" ht="23.1" customHeight="1">
      <c r="B17" s="23" t="s">
        <v>44</v>
      </c>
      <c r="C17" s="50">
        <v>23</v>
      </c>
      <c r="D17" s="50">
        <v>2</v>
      </c>
      <c r="E17" s="50">
        <v>1</v>
      </c>
      <c r="F17" s="50">
        <v>9</v>
      </c>
      <c r="G17" s="50">
        <v>0</v>
      </c>
      <c r="H17" s="50">
        <v>0</v>
      </c>
      <c r="I17" s="50">
        <v>1</v>
      </c>
      <c r="J17" s="50">
        <v>0</v>
      </c>
      <c r="K17" s="50">
        <v>0</v>
      </c>
      <c r="L17" s="50">
        <v>0</v>
      </c>
      <c r="M17" s="50">
        <v>77</v>
      </c>
      <c r="N17" s="50">
        <v>0</v>
      </c>
      <c r="O17" s="15">
        <f t="shared" si="0"/>
        <v>36</v>
      </c>
      <c r="P17" s="15">
        <f t="shared" si="1"/>
        <v>113</v>
      </c>
      <c r="R17" s="1" t="s">
        <v>13</v>
      </c>
      <c r="S17" s="17">
        <f t="shared" ref="S17:AF17" si="9">SUM(C38:C41)</f>
        <v>353</v>
      </c>
      <c r="T17" s="17">
        <f t="shared" si="9"/>
        <v>48</v>
      </c>
      <c r="U17" s="17">
        <f t="shared" si="9"/>
        <v>19</v>
      </c>
      <c r="V17" s="17">
        <f t="shared" si="9"/>
        <v>22</v>
      </c>
      <c r="W17" s="17">
        <f t="shared" si="9"/>
        <v>0</v>
      </c>
      <c r="X17" s="17">
        <f t="shared" si="9"/>
        <v>0</v>
      </c>
      <c r="Y17" s="17">
        <f t="shared" si="9"/>
        <v>13</v>
      </c>
      <c r="Z17" s="17">
        <f t="shared" si="9"/>
        <v>1</v>
      </c>
      <c r="AA17" s="17">
        <f t="shared" si="9"/>
        <v>1</v>
      </c>
      <c r="AB17" s="17">
        <f t="shared" si="9"/>
        <v>0</v>
      </c>
      <c r="AC17" s="17">
        <f t="shared" si="9"/>
        <v>210</v>
      </c>
      <c r="AD17" s="17">
        <f t="shared" si="9"/>
        <v>0</v>
      </c>
      <c r="AE17" s="31">
        <f t="shared" si="9"/>
        <v>457</v>
      </c>
      <c r="AF17" s="31">
        <f t="shared" si="9"/>
        <v>667</v>
      </c>
    </row>
    <row r="18" spans="2:32" ht="23.1" customHeight="1">
      <c r="B18" s="23" t="s">
        <v>45</v>
      </c>
      <c r="C18" s="50">
        <v>19</v>
      </c>
      <c r="D18" s="50">
        <v>6</v>
      </c>
      <c r="E18" s="50">
        <v>1</v>
      </c>
      <c r="F18" s="50">
        <v>13</v>
      </c>
      <c r="G18" s="50">
        <v>0</v>
      </c>
      <c r="H18" s="50">
        <v>0</v>
      </c>
      <c r="I18" s="50">
        <v>6</v>
      </c>
      <c r="J18" s="50">
        <v>0</v>
      </c>
      <c r="K18" s="50">
        <v>0</v>
      </c>
      <c r="L18" s="50">
        <v>0</v>
      </c>
      <c r="M18" s="50">
        <v>61</v>
      </c>
      <c r="N18" s="50">
        <v>0</v>
      </c>
      <c r="O18" s="15">
        <f t="shared" si="0"/>
        <v>45</v>
      </c>
      <c r="P18" s="15">
        <f t="shared" si="1"/>
        <v>106</v>
      </c>
      <c r="R18" s="1" t="s">
        <v>14</v>
      </c>
      <c r="S18" s="17">
        <f t="shared" ref="S18:AF18" si="10">SUM(C42:C45)</f>
        <v>303</v>
      </c>
      <c r="T18" s="17">
        <f t="shared" si="10"/>
        <v>26</v>
      </c>
      <c r="U18" s="17">
        <f t="shared" si="10"/>
        <v>12</v>
      </c>
      <c r="V18" s="17">
        <f t="shared" si="10"/>
        <v>42</v>
      </c>
      <c r="W18" s="17">
        <f t="shared" si="10"/>
        <v>0</v>
      </c>
      <c r="X18" s="17">
        <f t="shared" si="10"/>
        <v>0</v>
      </c>
      <c r="Y18" s="17">
        <f t="shared" si="10"/>
        <v>17</v>
      </c>
      <c r="Z18" s="17">
        <f t="shared" si="10"/>
        <v>0</v>
      </c>
      <c r="AA18" s="17">
        <f t="shared" si="10"/>
        <v>0</v>
      </c>
      <c r="AB18" s="17">
        <f t="shared" si="10"/>
        <v>0</v>
      </c>
      <c r="AC18" s="17">
        <f t="shared" si="10"/>
        <v>310</v>
      </c>
      <c r="AD18" s="17">
        <f t="shared" si="10"/>
        <v>0</v>
      </c>
      <c r="AE18" s="31">
        <f t="shared" si="10"/>
        <v>400</v>
      </c>
      <c r="AF18" s="31">
        <f t="shared" si="10"/>
        <v>710</v>
      </c>
    </row>
    <row r="19" spans="2:32" ht="23.1" customHeight="1">
      <c r="B19" s="23" t="s">
        <v>46</v>
      </c>
      <c r="C19" s="50">
        <v>29</v>
      </c>
      <c r="D19" s="50">
        <v>3</v>
      </c>
      <c r="E19" s="50">
        <v>2</v>
      </c>
      <c r="F19" s="50">
        <v>11</v>
      </c>
      <c r="G19" s="50">
        <v>0</v>
      </c>
      <c r="H19" s="50">
        <v>0</v>
      </c>
      <c r="I19" s="50">
        <v>7</v>
      </c>
      <c r="J19" s="50">
        <v>1</v>
      </c>
      <c r="K19" s="50">
        <v>0</v>
      </c>
      <c r="L19" s="50">
        <v>0</v>
      </c>
      <c r="M19" s="50">
        <v>66</v>
      </c>
      <c r="N19" s="50">
        <v>0</v>
      </c>
      <c r="O19" s="15">
        <f t="shared" si="0"/>
        <v>53</v>
      </c>
      <c r="P19" s="15">
        <f t="shared" si="1"/>
        <v>119</v>
      </c>
      <c r="R19" s="1" t="s">
        <v>15</v>
      </c>
      <c r="S19" s="17">
        <f t="shared" ref="S19:AF19" si="11">SUM(C46:C49)</f>
        <v>285</v>
      </c>
      <c r="T19" s="17">
        <f t="shared" si="11"/>
        <v>43</v>
      </c>
      <c r="U19" s="17">
        <f t="shared" si="11"/>
        <v>14</v>
      </c>
      <c r="V19" s="17">
        <f t="shared" si="11"/>
        <v>33</v>
      </c>
      <c r="W19" s="17">
        <f t="shared" si="11"/>
        <v>0</v>
      </c>
      <c r="X19" s="17">
        <f t="shared" si="11"/>
        <v>0</v>
      </c>
      <c r="Y19" s="17">
        <f t="shared" si="11"/>
        <v>10</v>
      </c>
      <c r="Z19" s="17">
        <f t="shared" si="11"/>
        <v>2</v>
      </c>
      <c r="AA19" s="17">
        <f t="shared" si="11"/>
        <v>0</v>
      </c>
      <c r="AB19" s="17">
        <f t="shared" si="11"/>
        <v>0</v>
      </c>
      <c r="AC19" s="17">
        <f t="shared" si="11"/>
        <v>233</v>
      </c>
      <c r="AD19" s="17">
        <f t="shared" si="11"/>
        <v>0</v>
      </c>
      <c r="AE19" s="31">
        <f t="shared" si="11"/>
        <v>387</v>
      </c>
      <c r="AF19" s="31">
        <f t="shared" si="11"/>
        <v>620</v>
      </c>
    </row>
    <row r="20" spans="2:32" ht="23.1" customHeight="1">
      <c r="B20" s="23" t="s">
        <v>47</v>
      </c>
      <c r="C20" s="50">
        <v>31</v>
      </c>
      <c r="D20" s="50">
        <v>7</v>
      </c>
      <c r="E20" s="50">
        <v>7</v>
      </c>
      <c r="F20" s="50">
        <v>18</v>
      </c>
      <c r="G20" s="50">
        <v>0</v>
      </c>
      <c r="H20" s="50">
        <v>0</v>
      </c>
      <c r="I20" s="50">
        <v>2</v>
      </c>
      <c r="J20" s="50">
        <v>0</v>
      </c>
      <c r="K20" s="50">
        <v>0</v>
      </c>
      <c r="L20" s="50">
        <v>0</v>
      </c>
      <c r="M20" s="50">
        <v>47</v>
      </c>
      <c r="N20" s="50">
        <v>0</v>
      </c>
      <c r="O20" s="15">
        <f t="shared" si="0"/>
        <v>65</v>
      </c>
      <c r="P20" s="15">
        <f t="shared" si="1"/>
        <v>112</v>
      </c>
      <c r="R20" s="1" t="s">
        <v>16</v>
      </c>
      <c r="S20" s="17">
        <f t="shared" ref="S20:AF20" si="12">SUM(C50:C53)</f>
        <v>275</v>
      </c>
      <c r="T20" s="17">
        <f t="shared" si="12"/>
        <v>43</v>
      </c>
      <c r="U20" s="17">
        <f t="shared" si="12"/>
        <v>20</v>
      </c>
      <c r="V20" s="17">
        <f t="shared" si="12"/>
        <v>67</v>
      </c>
      <c r="W20" s="17">
        <f t="shared" si="12"/>
        <v>0</v>
      </c>
      <c r="X20" s="17">
        <f t="shared" si="12"/>
        <v>0</v>
      </c>
      <c r="Y20" s="17">
        <f t="shared" si="12"/>
        <v>8</v>
      </c>
      <c r="Z20" s="17">
        <f t="shared" si="12"/>
        <v>0</v>
      </c>
      <c r="AA20" s="17">
        <f t="shared" si="12"/>
        <v>0</v>
      </c>
      <c r="AB20" s="17">
        <f t="shared" si="12"/>
        <v>0</v>
      </c>
      <c r="AC20" s="17">
        <f t="shared" si="12"/>
        <v>237</v>
      </c>
      <c r="AD20" s="17">
        <f t="shared" si="12"/>
        <v>0</v>
      </c>
      <c r="AE20" s="31">
        <f t="shared" si="12"/>
        <v>413</v>
      </c>
      <c r="AF20" s="31">
        <f t="shared" si="12"/>
        <v>650</v>
      </c>
    </row>
    <row r="21" spans="2:32" ht="23.1" customHeight="1">
      <c r="B21" s="23" t="s">
        <v>48</v>
      </c>
      <c r="C21" s="50">
        <v>46</v>
      </c>
      <c r="D21" s="50">
        <v>8</v>
      </c>
      <c r="E21" s="50">
        <v>2</v>
      </c>
      <c r="F21" s="50">
        <v>16</v>
      </c>
      <c r="G21" s="50">
        <v>0</v>
      </c>
      <c r="H21" s="50">
        <v>0</v>
      </c>
      <c r="I21" s="50">
        <v>3</v>
      </c>
      <c r="J21" s="50">
        <v>1</v>
      </c>
      <c r="K21" s="50">
        <v>0</v>
      </c>
      <c r="L21" s="50">
        <v>0</v>
      </c>
      <c r="M21" s="50">
        <v>76</v>
      </c>
      <c r="N21" s="50">
        <v>0</v>
      </c>
      <c r="O21" s="15">
        <f t="shared" si="0"/>
        <v>76</v>
      </c>
      <c r="P21" s="15">
        <f t="shared" si="1"/>
        <v>152</v>
      </c>
      <c r="R21" s="36" t="s">
        <v>20</v>
      </c>
      <c r="S21" s="34">
        <f t="shared" ref="S21:AF21" si="13">SUM(C54:C57)</f>
        <v>238</v>
      </c>
      <c r="T21" s="17">
        <f t="shared" si="13"/>
        <v>34</v>
      </c>
      <c r="U21" s="17">
        <f t="shared" si="13"/>
        <v>21</v>
      </c>
      <c r="V21" s="17">
        <f t="shared" si="13"/>
        <v>44</v>
      </c>
      <c r="W21" s="17">
        <f t="shared" si="13"/>
        <v>0</v>
      </c>
      <c r="X21" s="17">
        <f t="shared" si="13"/>
        <v>0</v>
      </c>
      <c r="Y21" s="17">
        <f t="shared" si="13"/>
        <v>13</v>
      </c>
      <c r="Z21" s="17">
        <f t="shared" si="13"/>
        <v>0</v>
      </c>
      <c r="AA21" s="17">
        <f t="shared" si="13"/>
        <v>2</v>
      </c>
      <c r="AB21" s="17">
        <f t="shared" si="13"/>
        <v>0</v>
      </c>
      <c r="AC21" s="17">
        <f t="shared" si="13"/>
        <v>277</v>
      </c>
      <c r="AD21" s="17">
        <f t="shared" si="13"/>
        <v>0</v>
      </c>
      <c r="AE21" s="31">
        <f t="shared" si="13"/>
        <v>352</v>
      </c>
      <c r="AF21" s="31">
        <f t="shared" si="13"/>
        <v>629</v>
      </c>
    </row>
    <row r="22" spans="2:32" ht="23.1" customHeight="1">
      <c r="B22" s="23" t="s">
        <v>49</v>
      </c>
      <c r="C22" s="50">
        <v>52</v>
      </c>
      <c r="D22" s="50">
        <v>6</v>
      </c>
      <c r="E22" s="50">
        <v>4</v>
      </c>
      <c r="F22" s="50">
        <v>11</v>
      </c>
      <c r="G22" s="50">
        <v>0</v>
      </c>
      <c r="H22" s="50">
        <v>0</v>
      </c>
      <c r="I22" s="50">
        <v>7</v>
      </c>
      <c r="J22" s="50">
        <v>0</v>
      </c>
      <c r="K22" s="50">
        <v>0</v>
      </c>
      <c r="L22" s="50">
        <v>0</v>
      </c>
      <c r="M22" s="50">
        <v>90</v>
      </c>
      <c r="N22" s="50">
        <v>0</v>
      </c>
      <c r="O22" s="15">
        <f t="shared" si="0"/>
        <v>80</v>
      </c>
      <c r="P22" s="15">
        <f t="shared" si="1"/>
        <v>170</v>
      </c>
      <c r="R22" s="38" t="s">
        <v>90</v>
      </c>
      <c r="S22" s="39">
        <f>MAX(S10:S12)</f>
        <v>125</v>
      </c>
      <c r="T22" s="39">
        <f t="shared" ref="T22:AF22" si="14">MAX(T10:T12)</f>
        <v>24</v>
      </c>
      <c r="U22" s="39">
        <f t="shared" si="14"/>
        <v>12</v>
      </c>
      <c r="V22" s="39">
        <f t="shared" si="14"/>
        <v>58</v>
      </c>
      <c r="W22" s="39">
        <f t="shared" si="14"/>
        <v>0</v>
      </c>
      <c r="X22" s="39">
        <f t="shared" si="14"/>
        <v>0</v>
      </c>
      <c r="Y22" s="39">
        <f t="shared" si="14"/>
        <v>18</v>
      </c>
      <c r="Z22" s="39">
        <f t="shared" si="14"/>
        <v>2</v>
      </c>
      <c r="AA22" s="39">
        <f t="shared" si="14"/>
        <v>0</v>
      </c>
      <c r="AB22" s="39">
        <f t="shared" si="14"/>
        <v>1</v>
      </c>
      <c r="AC22" s="39">
        <f t="shared" si="14"/>
        <v>283</v>
      </c>
      <c r="AD22" s="39">
        <f t="shared" si="14"/>
        <v>0</v>
      </c>
      <c r="AE22" s="40">
        <f t="shared" si="14"/>
        <v>239</v>
      </c>
      <c r="AF22" s="40">
        <f t="shared" si="14"/>
        <v>489</v>
      </c>
    </row>
    <row r="23" spans="2:32" ht="23.1" customHeight="1">
      <c r="B23" s="23" t="s">
        <v>50</v>
      </c>
      <c r="C23" s="50">
        <v>63</v>
      </c>
      <c r="D23" s="50">
        <v>9</v>
      </c>
      <c r="E23" s="50">
        <v>2</v>
      </c>
      <c r="F23" s="50">
        <v>15</v>
      </c>
      <c r="G23" s="50">
        <v>0</v>
      </c>
      <c r="H23" s="50">
        <v>0</v>
      </c>
      <c r="I23" s="50">
        <v>3</v>
      </c>
      <c r="J23" s="50">
        <v>2</v>
      </c>
      <c r="K23" s="50">
        <v>0</v>
      </c>
      <c r="L23" s="50">
        <v>0</v>
      </c>
      <c r="M23" s="50">
        <v>91</v>
      </c>
      <c r="N23" s="50">
        <v>0</v>
      </c>
      <c r="O23" s="15">
        <f t="shared" si="0"/>
        <v>94</v>
      </c>
      <c r="P23" s="15">
        <f t="shared" si="1"/>
        <v>185</v>
      </c>
      <c r="R23" s="38" t="s">
        <v>91</v>
      </c>
      <c r="S23" s="39">
        <f>MAX(S13:S18)</f>
        <v>377</v>
      </c>
      <c r="T23" s="39">
        <f t="shared" ref="T23:AF23" si="15">MAX(T13:T18)</f>
        <v>68</v>
      </c>
      <c r="U23" s="39">
        <f t="shared" si="15"/>
        <v>19</v>
      </c>
      <c r="V23" s="39">
        <f t="shared" si="15"/>
        <v>59</v>
      </c>
      <c r="W23" s="39">
        <f t="shared" si="15"/>
        <v>2</v>
      </c>
      <c r="X23" s="39">
        <f t="shared" si="15"/>
        <v>0</v>
      </c>
      <c r="Y23" s="39">
        <f t="shared" si="15"/>
        <v>19</v>
      </c>
      <c r="Z23" s="39">
        <f t="shared" si="15"/>
        <v>2</v>
      </c>
      <c r="AA23" s="39">
        <f t="shared" si="15"/>
        <v>2</v>
      </c>
      <c r="AB23" s="39">
        <f t="shared" si="15"/>
        <v>0</v>
      </c>
      <c r="AC23" s="39">
        <f t="shared" si="15"/>
        <v>363</v>
      </c>
      <c r="AD23" s="39">
        <f t="shared" si="15"/>
        <v>0</v>
      </c>
      <c r="AE23" s="40">
        <f t="shared" si="15"/>
        <v>490</v>
      </c>
      <c r="AF23" s="40">
        <f t="shared" si="15"/>
        <v>845</v>
      </c>
    </row>
    <row r="24" spans="2:32" ht="23.1" customHeight="1">
      <c r="B24" s="23" t="s">
        <v>51</v>
      </c>
      <c r="C24" s="50">
        <v>31</v>
      </c>
      <c r="D24" s="50">
        <v>5</v>
      </c>
      <c r="E24" s="50">
        <v>1</v>
      </c>
      <c r="F24" s="50">
        <v>10</v>
      </c>
      <c r="G24" s="50">
        <v>1</v>
      </c>
      <c r="H24" s="50">
        <v>0</v>
      </c>
      <c r="I24" s="50">
        <v>4</v>
      </c>
      <c r="J24" s="50">
        <v>0</v>
      </c>
      <c r="K24" s="50">
        <v>0</v>
      </c>
      <c r="L24" s="50">
        <v>0</v>
      </c>
      <c r="M24" s="50">
        <v>101</v>
      </c>
      <c r="N24" s="50">
        <v>0</v>
      </c>
      <c r="O24" s="15">
        <f t="shared" si="0"/>
        <v>52</v>
      </c>
      <c r="P24" s="15">
        <f t="shared" si="1"/>
        <v>153</v>
      </c>
      <c r="R24" s="38" t="s">
        <v>92</v>
      </c>
      <c r="S24" s="39">
        <f>MAX(S19:S21)</f>
        <v>285</v>
      </c>
      <c r="T24" s="39">
        <f t="shared" ref="T24:AF24" si="16">MAX(T19:T21)</f>
        <v>43</v>
      </c>
      <c r="U24" s="39">
        <f t="shared" si="16"/>
        <v>21</v>
      </c>
      <c r="V24" s="39">
        <f t="shared" si="16"/>
        <v>67</v>
      </c>
      <c r="W24" s="39">
        <f t="shared" si="16"/>
        <v>0</v>
      </c>
      <c r="X24" s="39">
        <f t="shared" si="16"/>
        <v>0</v>
      </c>
      <c r="Y24" s="39">
        <f t="shared" si="16"/>
        <v>13</v>
      </c>
      <c r="Z24" s="39">
        <f t="shared" si="16"/>
        <v>2</v>
      </c>
      <c r="AA24" s="39">
        <f t="shared" si="16"/>
        <v>2</v>
      </c>
      <c r="AB24" s="39">
        <f t="shared" si="16"/>
        <v>0</v>
      </c>
      <c r="AC24" s="39">
        <f t="shared" si="16"/>
        <v>277</v>
      </c>
      <c r="AD24" s="39">
        <f t="shared" si="16"/>
        <v>0</v>
      </c>
      <c r="AE24" s="40">
        <f t="shared" si="16"/>
        <v>413</v>
      </c>
      <c r="AF24" s="40">
        <f t="shared" si="16"/>
        <v>650</v>
      </c>
    </row>
    <row r="25" spans="2:32" ht="23.1" customHeight="1">
      <c r="B25" s="23" t="s">
        <v>52</v>
      </c>
      <c r="C25" s="50">
        <v>54</v>
      </c>
      <c r="D25" s="50">
        <v>3</v>
      </c>
      <c r="E25" s="50">
        <v>2</v>
      </c>
      <c r="F25" s="50">
        <v>11</v>
      </c>
      <c r="G25" s="50">
        <v>0</v>
      </c>
      <c r="H25" s="50">
        <v>0</v>
      </c>
      <c r="I25" s="50">
        <v>5</v>
      </c>
      <c r="J25" s="50">
        <v>0</v>
      </c>
      <c r="K25" s="50">
        <v>0</v>
      </c>
      <c r="L25" s="50">
        <v>0</v>
      </c>
      <c r="M25" s="50">
        <v>81</v>
      </c>
      <c r="N25" s="50">
        <v>0</v>
      </c>
      <c r="O25" s="15">
        <f t="shared" si="0"/>
        <v>75</v>
      </c>
      <c r="P25" s="15">
        <f t="shared" si="1"/>
        <v>156</v>
      </c>
      <c r="R25" s="37" t="s">
        <v>85</v>
      </c>
      <c r="S25" s="35">
        <f t="shared" ref="S25:AF25" si="17">SUM(S10:S12)</f>
        <v>269</v>
      </c>
      <c r="T25" s="16">
        <f t="shared" si="17"/>
        <v>49</v>
      </c>
      <c r="U25" s="16">
        <f t="shared" si="17"/>
        <v>27</v>
      </c>
      <c r="V25" s="16">
        <f t="shared" si="17"/>
        <v>143</v>
      </c>
      <c r="W25" s="16">
        <f t="shared" si="17"/>
        <v>0</v>
      </c>
      <c r="X25" s="16">
        <f t="shared" si="17"/>
        <v>0</v>
      </c>
      <c r="Y25" s="16">
        <f t="shared" si="17"/>
        <v>34</v>
      </c>
      <c r="Z25" s="16">
        <f t="shared" si="17"/>
        <v>4</v>
      </c>
      <c r="AA25" s="16">
        <f t="shared" si="17"/>
        <v>0</v>
      </c>
      <c r="AB25" s="16">
        <f t="shared" si="17"/>
        <v>1</v>
      </c>
      <c r="AC25" s="16">
        <f t="shared" si="17"/>
        <v>709</v>
      </c>
      <c r="AD25" s="16">
        <f t="shared" si="17"/>
        <v>0</v>
      </c>
      <c r="AE25" s="32">
        <f t="shared" si="17"/>
        <v>527</v>
      </c>
      <c r="AF25" s="32">
        <f t="shared" si="17"/>
        <v>1236</v>
      </c>
    </row>
    <row r="26" spans="2:32" ht="23.1" customHeight="1">
      <c r="B26" s="23" t="s">
        <v>53</v>
      </c>
      <c r="C26" s="50">
        <v>52</v>
      </c>
      <c r="D26" s="50">
        <v>5</v>
      </c>
      <c r="E26" s="50">
        <v>5</v>
      </c>
      <c r="F26" s="50">
        <v>9</v>
      </c>
      <c r="G26" s="50">
        <v>0</v>
      </c>
      <c r="H26" s="50">
        <v>0</v>
      </c>
      <c r="I26" s="50">
        <v>7</v>
      </c>
      <c r="J26" s="50">
        <v>0</v>
      </c>
      <c r="K26" s="50">
        <v>0</v>
      </c>
      <c r="L26" s="50">
        <v>0</v>
      </c>
      <c r="M26" s="50">
        <v>83</v>
      </c>
      <c r="N26" s="50">
        <v>0</v>
      </c>
      <c r="O26" s="15">
        <f t="shared" si="0"/>
        <v>78</v>
      </c>
      <c r="P26" s="15">
        <f t="shared" si="1"/>
        <v>161</v>
      </c>
      <c r="R26" s="28" t="s">
        <v>86</v>
      </c>
      <c r="S26" s="16">
        <f t="shared" ref="S26:AF26" si="18">SUM(S13:S18)</f>
        <v>1730</v>
      </c>
      <c r="T26" s="16">
        <f t="shared" si="18"/>
        <v>243</v>
      </c>
      <c r="U26" s="16">
        <f t="shared" si="18"/>
        <v>93</v>
      </c>
      <c r="V26" s="16">
        <f t="shared" si="18"/>
        <v>239</v>
      </c>
      <c r="W26" s="16">
        <f t="shared" si="18"/>
        <v>3</v>
      </c>
      <c r="X26" s="16">
        <f t="shared" si="18"/>
        <v>0</v>
      </c>
      <c r="Y26" s="16">
        <f t="shared" si="18"/>
        <v>95</v>
      </c>
      <c r="Z26" s="16">
        <f t="shared" si="18"/>
        <v>9</v>
      </c>
      <c r="AA26" s="16">
        <f t="shared" si="18"/>
        <v>3</v>
      </c>
      <c r="AB26" s="16">
        <f t="shared" si="18"/>
        <v>0</v>
      </c>
      <c r="AC26" s="16">
        <f t="shared" si="18"/>
        <v>1858</v>
      </c>
      <c r="AD26" s="16">
        <f t="shared" si="18"/>
        <v>0</v>
      </c>
      <c r="AE26" s="32">
        <f t="shared" si="18"/>
        <v>2415</v>
      </c>
      <c r="AF26" s="32">
        <f t="shared" si="18"/>
        <v>4273</v>
      </c>
    </row>
    <row r="27" spans="2:32" ht="23.1" customHeight="1">
      <c r="B27" s="23" t="s">
        <v>54</v>
      </c>
      <c r="C27" s="50">
        <v>47</v>
      </c>
      <c r="D27" s="50">
        <v>13</v>
      </c>
      <c r="E27" s="50">
        <v>3</v>
      </c>
      <c r="F27" s="50">
        <v>13</v>
      </c>
      <c r="G27" s="50">
        <v>0</v>
      </c>
      <c r="H27" s="50">
        <v>0</v>
      </c>
      <c r="I27" s="50">
        <v>6</v>
      </c>
      <c r="J27" s="50">
        <v>2</v>
      </c>
      <c r="K27" s="50">
        <v>1</v>
      </c>
      <c r="L27" s="50">
        <v>0</v>
      </c>
      <c r="M27" s="50">
        <v>75</v>
      </c>
      <c r="N27" s="50">
        <v>0</v>
      </c>
      <c r="O27" s="15">
        <f t="shared" si="0"/>
        <v>85</v>
      </c>
      <c r="P27" s="15">
        <f t="shared" si="1"/>
        <v>160</v>
      </c>
      <c r="R27" s="29" t="s">
        <v>87</v>
      </c>
      <c r="S27" s="16">
        <f t="shared" ref="S27:AF27" si="19">SUM(S19:S21)</f>
        <v>798</v>
      </c>
      <c r="T27" s="16">
        <f t="shared" si="19"/>
        <v>120</v>
      </c>
      <c r="U27" s="16">
        <f t="shared" si="19"/>
        <v>55</v>
      </c>
      <c r="V27" s="16">
        <f t="shared" si="19"/>
        <v>144</v>
      </c>
      <c r="W27" s="16">
        <f t="shared" si="19"/>
        <v>0</v>
      </c>
      <c r="X27" s="16">
        <f t="shared" si="19"/>
        <v>0</v>
      </c>
      <c r="Y27" s="16">
        <f t="shared" si="19"/>
        <v>31</v>
      </c>
      <c r="Z27" s="16">
        <f t="shared" si="19"/>
        <v>2</v>
      </c>
      <c r="AA27" s="16">
        <f t="shared" si="19"/>
        <v>2</v>
      </c>
      <c r="AB27" s="16">
        <f t="shared" si="19"/>
        <v>0</v>
      </c>
      <c r="AC27" s="16">
        <f t="shared" si="19"/>
        <v>747</v>
      </c>
      <c r="AD27" s="16">
        <f t="shared" si="19"/>
        <v>0</v>
      </c>
      <c r="AE27" s="32">
        <f t="shared" si="19"/>
        <v>1152</v>
      </c>
      <c r="AF27" s="32">
        <f t="shared" si="19"/>
        <v>1899</v>
      </c>
    </row>
    <row r="28" spans="2:32" ht="23.1" customHeight="1">
      <c r="B28" s="23" t="s">
        <v>55</v>
      </c>
      <c r="C28" s="50">
        <v>61</v>
      </c>
      <c r="D28" s="50">
        <v>10</v>
      </c>
      <c r="E28" s="50">
        <v>5</v>
      </c>
      <c r="F28" s="50">
        <v>6</v>
      </c>
      <c r="G28" s="50">
        <v>0</v>
      </c>
      <c r="H28" s="50">
        <v>0</v>
      </c>
      <c r="I28" s="50">
        <v>0</v>
      </c>
      <c r="J28" s="50">
        <v>0</v>
      </c>
      <c r="K28" s="50">
        <v>1</v>
      </c>
      <c r="L28" s="50">
        <v>0</v>
      </c>
      <c r="M28" s="50">
        <v>45</v>
      </c>
      <c r="N28" s="50">
        <v>0</v>
      </c>
      <c r="O28" s="15">
        <f t="shared" si="0"/>
        <v>83</v>
      </c>
      <c r="P28" s="15">
        <f t="shared" si="1"/>
        <v>128</v>
      </c>
      <c r="R28" s="5" t="s">
        <v>17</v>
      </c>
      <c r="S28" s="16">
        <f t="shared" ref="S28:AF28" si="20">SUM(S10:S21)</f>
        <v>2797</v>
      </c>
      <c r="T28" s="16">
        <f t="shared" si="20"/>
        <v>412</v>
      </c>
      <c r="U28" s="16">
        <f t="shared" si="20"/>
        <v>175</v>
      </c>
      <c r="V28" s="16">
        <f t="shared" si="20"/>
        <v>526</v>
      </c>
      <c r="W28" s="16">
        <f t="shared" si="20"/>
        <v>3</v>
      </c>
      <c r="X28" s="16">
        <f t="shared" si="20"/>
        <v>0</v>
      </c>
      <c r="Y28" s="16">
        <f t="shared" si="20"/>
        <v>160</v>
      </c>
      <c r="Z28" s="16">
        <f t="shared" si="20"/>
        <v>15</v>
      </c>
      <c r="AA28" s="16">
        <f t="shared" si="20"/>
        <v>5</v>
      </c>
      <c r="AB28" s="16">
        <f t="shared" si="20"/>
        <v>1</v>
      </c>
      <c r="AC28" s="16">
        <f t="shared" si="20"/>
        <v>3314</v>
      </c>
      <c r="AD28" s="16">
        <f t="shared" si="20"/>
        <v>0</v>
      </c>
      <c r="AE28" s="32">
        <f t="shared" si="20"/>
        <v>4094</v>
      </c>
      <c r="AF28" s="32">
        <f t="shared" si="20"/>
        <v>7408</v>
      </c>
    </row>
    <row r="29" spans="2:32" ht="23.1" customHeight="1">
      <c r="B29" s="23" t="s">
        <v>56</v>
      </c>
      <c r="C29" s="50">
        <v>76</v>
      </c>
      <c r="D29" s="50">
        <v>11</v>
      </c>
      <c r="E29" s="50">
        <v>5</v>
      </c>
      <c r="F29" s="50">
        <v>5</v>
      </c>
      <c r="G29" s="50">
        <v>0</v>
      </c>
      <c r="H29" s="50">
        <v>0</v>
      </c>
      <c r="I29" s="50">
        <v>3</v>
      </c>
      <c r="J29" s="50">
        <v>0</v>
      </c>
      <c r="K29" s="50">
        <v>0</v>
      </c>
      <c r="L29" s="50">
        <v>0</v>
      </c>
      <c r="M29" s="50">
        <v>62</v>
      </c>
      <c r="N29" s="50">
        <v>0</v>
      </c>
      <c r="O29" s="15">
        <f t="shared" si="0"/>
        <v>100</v>
      </c>
      <c r="P29" s="15">
        <f t="shared" si="1"/>
        <v>162</v>
      </c>
      <c r="R29"/>
      <c r="S29" s="20"/>
      <c r="T29" s="19"/>
    </row>
    <row r="30" spans="2:32" ht="23.1" customHeight="1">
      <c r="B30" s="23" t="s">
        <v>57</v>
      </c>
      <c r="C30" s="50">
        <v>65</v>
      </c>
      <c r="D30" s="50">
        <v>26</v>
      </c>
      <c r="E30" s="50">
        <v>3</v>
      </c>
      <c r="F30" s="50">
        <v>17</v>
      </c>
      <c r="G30" s="50">
        <v>0</v>
      </c>
      <c r="H30" s="50">
        <v>0</v>
      </c>
      <c r="I30" s="50">
        <v>4</v>
      </c>
      <c r="J30" s="50">
        <v>0</v>
      </c>
      <c r="K30" s="50">
        <v>0</v>
      </c>
      <c r="L30" s="50">
        <v>0</v>
      </c>
      <c r="M30" s="50">
        <v>82</v>
      </c>
      <c r="N30" s="50">
        <v>0</v>
      </c>
      <c r="O30" s="15">
        <f t="shared" si="0"/>
        <v>115</v>
      </c>
      <c r="P30" s="15">
        <f t="shared" si="1"/>
        <v>197</v>
      </c>
    </row>
    <row r="31" spans="2:32" ht="23.1" customHeight="1">
      <c r="B31" s="24" t="s">
        <v>58</v>
      </c>
      <c r="C31" s="50">
        <v>43</v>
      </c>
      <c r="D31" s="50">
        <v>15</v>
      </c>
      <c r="E31" s="50">
        <v>6</v>
      </c>
      <c r="F31" s="50">
        <v>10</v>
      </c>
      <c r="G31" s="50">
        <v>0</v>
      </c>
      <c r="H31" s="50">
        <v>0</v>
      </c>
      <c r="I31" s="50">
        <v>3</v>
      </c>
      <c r="J31" s="50">
        <v>1</v>
      </c>
      <c r="K31" s="50">
        <v>0</v>
      </c>
      <c r="L31" s="50">
        <v>0</v>
      </c>
      <c r="M31" s="50">
        <v>102</v>
      </c>
      <c r="N31" s="50">
        <v>0</v>
      </c>
      <c r="O31" s="15">
        <f t="shared" si="0"/>
        <v>78</v>
      </c>
      <c r="P31" s="15">
        <f t="shared" si="1"/>
        <v>180</v>
      </c>
    </row>
    <row r="32" spans="2:32" ht="23.1" customHeight="1">
      <c r="B32" s="24" t="s">
        <v>59</v>
      </c>
      <c r="C32" s="50">
        <v>68</v>
      </c>
      <c r="D32" s="50">
        <v>13</v>
      </c>
      <c r="E32" s="50">
        <v>7</v>
      </c>
      <c r="F32" s="50">
        <v>16</v>
      </c>
      <c r="G32" s="50">
        <v>0</v>
      </c>
      <c r="H32" s="50">
        <v>0</v>
      </c>
      <c r="I32" s="50">
        <v>3</v>
      </c>
      <c r="J32" s="50">
        <v>0</v>
      </c>
      <c r="K32" s="50">
        <v>0</v>
      </c>
      <c r="L32" s="50">
        <v>0</v>
      </c>
      <c r="M32" s="50">
        <v>87</v>
      </c>
      <c r="N32" s="50">
        <v>0</v>
      </c>
      <c r="O32" s="15">
        <f t="shared" si="0"/>
        <v>107</v>
      </c>
      <c r="P32" s="15">
        <f t="shared" si="1"/>
        <v>194</v>
      </c>
    </row>
    <row r="33" spans="2:20" ht="23.1" customHeight="1">
      <c r="B33" s="23" t="s">
        <v>60</v>
      </c>
      <c r="C33" s="50">
        <v>85</v>
      </c>
      <c r="D33" s="50">
        <v>14</v>
      </c>
      <c r="E33" s="50">
        <v>3</v>
      </c>
      <c r="F33" s="50">
        <v>16</v>
      </c>
      <c r="G33" s="50">
        <v>0</v>
      </c>
      <c r="H33" s="50">
        <v>0</v>
      </c>
      <c r="I33" s="50">
        <v>2</v>
      </c>
      <c r="J33" s="50">
        <v>1</v>
      </c>
      <c r="K33" s="50">
        <v>0</v>
      </c>
      <c r="L33" s="50">
        <v>0</v>
      </c>
      <c r="M33" s="50">
        <v>84</v>
      </c>
      <c r="N33" s="50">
        <v>0</v>
      </c>
      <c r="O33" s="15">
        <f t="shared" si="0"/>
        <v>121</v>
      </c>
      <c r="P33" s="15">
        <f t="shared" si="1"/>
        <v>205</v>
      </c>
    </row>
    <row r="34" spans="2:20" ht="23.1" customHeight="1">
      <c r="B34" s="24" t="s">
        <v>61</v>
      </c>
      <c r="C34" s="50">
        <v>92</v>
      </c>
      <c r="D34" s="50">
        <v>2</v>
      </c>
      <c r="E34" s="50">
        <v>2</v>
      </c>
      <c r="F34" s="50">
        <v>3</v>
      </c>
      <c r="G34" s="50">
        <v>0</v>
      </c>
      <c r="H34" s="50">
        <v>0</v>
      </c>
      <c r="I34" s="50">
        <v>1</v>
      </c>
      <c r="J34" s="50">
        <v>0</v>
      </c>
      <c r="K34" s="50">
        <v>0</v>
      </c>
      <c r="L34" s="50">
        <v>0</v>
      </c>
      <c r="M34" s="50">
        <v>90</v>
      </c>
      <c r="N34" s="50">
        <v>0</v>
      </c>
      <c r="O34" s="15">
        <f t="shared" si="0"/>
        <v>100</v>
      </c>
      <c r="P34" s="15">
        <f t="shared" si="1"/>
        <v>190</v>
      </c>
    </row>
    <row r="35" spans="2:20" ht="23.1" customHeight="1">
      <c r="B35" s="24" t="s">
        <v>62</v>
      </c>
      <c r="C35" s="50">
        <v>110</v>
      </c>
      <c r="D35" s="50">
        <v>14</v>
      </c>
      <c r="E35" s="50">
        <v>8</v>
      </c>
      <c r="F35" s="50">
        <v>17</v>
      </c>
      <c r="G35" s="50">
        <v>1</v>
      </c>
      <c r="H35" s="50">
        <v>0</v>
      </c>
      <c r="I35" s="50">
        <v>6</v>
      </c>
      <c r="J35" s="50">
        <v>2</v>
      </c>
      <c r="K35" s="50">
        <v>0</v>
      </c>
      <c r="L35" s="50">
        <v>0</v>
      </c>
      <c r="M35" s="50">
        <v>70</v>
      </c>
      <c r="N35" s="50">
        <v>0</v>
      </c>
      <c r="O35" s="15">
        <f t="shared" si="0"/>
        <v>158</v>
      </c>
      <c r="P35" s="15">
        <f t="shared" si="1"/>
        <v>228</v>
      </c>
    </row>
    <row r="36" spans="2:20" ht="23.1" customHeight="1">
      <c r="B36" s="24" t="s">
        <v>63</v>
      </c>
      <c r="C36" s="50">
        <v>95</v>
      </c>
      <c r="D36" s="50">
        <v>18</v>
      </c>
      <c r="E36" s="50">
        <v>4</v>
      </c>
      <c r="F36" s="50">
        <v>11</v>
      </c>
      <c r="G36" s="50">
        <v>1</v>
      </c>
      <c r="H36" s="50">
        <v>0</v>
      </c>
      <c r="I36" s="50">
        <v>3</v>
      </c>
      <c r="J36" s="50">
        <v>0</v>
      </c>
      <c r="K36" s="50">
        <v>0</v>
      </c>
      <c r="L36" s="50">
        <v>0</v>
      </c>
      <c r="M36" s="50">
        <v>85</v>
      </c>
      <c r="N36" s="50">
        <v>0</v>
      </c>
      <c r="O36" s="15">
        <f t="shared" si="0"/>
        <v>132</v>
      </c>
      <c r="P36" s="15">
        <f t="shared" si="1"/>
        <v>217</v>
      </c>
    </row>
    <row r="37" spans="2:20" ht="23.1" customHeight="1">
      <c r="B37" s="23" t="s">
        <v>64</v>
      </c>
      <c r="C37" s="50">
        <v>80</v>
      </c>
      <c r="D37" s="50">
        <v>5</v>
      </c>
      <c r="E37" s="50">
        <v>2</v>
      </c>
      <c r="F37" s="50">
        <v>5</v>
      </c>
      <c r="G37" s="50">
        <v>0</v>
      </c>
      <c r="H37" s="50">
        <v>0</v>
      </c>
      <c r="I37" s="50">
        <v>8</v>
      </c>
      <c r="J37" s="50">
        <v>0</v>
      </c>
      <c r="K37" s="50">
        <v>0</v>
      </c>
      <c r="L37" s="50">
        <v>0</v>
      </c>
      <c r="M37" s="50">
        <v>110</v>
      </c>
      <c r="N37" s="50">
        <v>0</v>
      </c>
      <c r="O37" s="15">
        <f t="shared" si="0"/>
        <v>100</v>
      </c>
      <c r="P37" s="15">
        <f t="shared" si="1"/>
        <v>210</v>
      </c>
    </row>
    <row r="38" spans="2:20" ht="23.1" customHeight="1">
      <c r="B38" s="24" t="s">
        <v>65</v>
      </c>
      <c r="C38" s="50">
        <v>83</v>
      </c>
      <c r="D38" s="50">
        <v>8</v>
      </c>
      <c r="E38" s="50">
        <v>4</v>
      </c>
      <c r="F38" s="50">
        <v>2</v>
      </c>
      <c r="G38" s="50">
        <v>0</v>
      </c>
      <c r="H38" s="50">
        <v>0</v>
      </c>
      <c r="I38" s="50">
        <v>2</v>
      </c>
      <c r="J38" s="50">
        <v>0</v>
      </c>
      <c r="K38" s="50">
        <v>1</v>
      </c>
      <c r="L38" s="50">
        <v>0</v>
      </c>
      <c r="M38" s="50">
        <v>82</v>
      </c>
      <c r="N38" s="50">
        <v>0</v>
      </c>
      <c r="O38" s="15">
        <f t="shared" si="0"/>
        <v>100</v>
      </c>
      <c r="P38" s="15">
        <f t="shared" si="1"/>
        <v>182</v>
      </c>
    </row>
    <row r="39" spans="2:20" ht="23.1" customHeight="1">
      <c r="B39" s="24" t="s">
        <v>66</v>
      </c>
      <c r="C39" s="50">
        <v>83</v>
      </c>
      <c r="D39" s="50">
        <v>24</v>
      </c>
      <c r="E39" s="50">
        <v>4</v>
      </c>
      <c r="F39" s="50">
        <v>8</v>
      </c>
      <c r="G39" s="50">
        <v>0</v>
      </c>
      <c r="H39" s="50">
        <v>0</v>
      </c>
      <c r="I39" s="50">
        <v>2</v>
      </c>
      <c r="J39" s="50">
        <v>0</v>
      </c>
      <c r="K39" s="50">
        <v>0</v>
      </c>
      <c r="L39" s="50">
        <v>0</v>
      </c>
      <c r="M39" s="50">
        <v>41</v>
      </c>
      <c r="N39" s="50">
        <v>0</v>
      </c>
      <c r="O39" s="15">
        <f t="shared" si="0"/>
        <v>121</v>
      </c>
      <c r="P39" s="15">
        <f t="shared" si="1"/>
        <v>162</v>
      </c>
    </row>
    <row r="40" spans="2:20" ht="23.1" customHeight="1">
      <c r="B40" s="24" t="s">
        <v>67</v>
      </c>
      <c r="C40" s="50">
        <v>92</v>
      </c>
      <c r="D40" s="50">
        <v>8</v>
      </c>
      <c r="E40" s="50">
        <v>4</v>
      </c>
      <c r="F40" s="50">
        <v>2</v>
      </c>
      <c r="G40" s="50">
        <v>0</v>
      </c>
      <c r="H40" s="50">
        <v>0</v>
      </c>
      <c r="I40" s="50">
        <v>3</v>
      </c>
      <c r="J40" s="50">
        <v>0</v>
      </c>
      <c r="K40" s="50">
        <v>0</v>
      </c>
      <c r="L40" s="50">
        <v>0</v>
      </c>
      <c r="M40" s="50">
        <v>31</v>
      </c>
      <c r="N40" s="50">
        <v>0</v>
      </c>
      <c r="O40" s="15">
        <f t="shared" si="0"/>
        <v>109</v>
      </c>
      <c r="P40" s="15">
        <f t="shared" si="1"/>
        <v>140</v>
      </c>
    </row>
    <row r="41" spans="2:20" ht="23.1" customHeight="1">
      <c r="B41" s="23" t="s">
        <v>68</v>
      </c>
      <c r="C41" s="50">
        <v>95</v>
      </c>
      <c r="D41" s="50">
        <v>8</v>
      </c>
      <c r="E41" s="50">
        <v>7</v>
      </c>
      <c r="F41" s="50">
        <v>10</v>
      </c>
      <c r="G41" s="50">
        <v>0</v>
      </c>
      <c r="H41" s="50">
        <v>0</v>
      </c>
      <c r="I41" s="50">
        <v>6</v>
      </c>
      <c r="J41" s="50">
        <v>1</v>
      </c>
      <c r="K41" s="50">
        <v>0</v>
      </c>
      <c r="L41" s="50">
        <v>0</v>
      </c>
      <c r="M41" s="50">
        <v>56</v>
      </c>
      <c r="N41" s="50">
        <v>0</v>
      </c>
      <c r="O41" s="15">
        <f t="shared" si="0"/>
        <v>127</v>
      </c>
      <c r="P41" s="15">
        <f t="shared" si="1"/>
        <v>183</v>
      </c>
    </row>
    <row r="42" spans="2:20" ht="23.1" customHeight="1">
      <c r="B42" s="24" t="s">
        <v>69</v>
      </c>
      <c r="C42" s="50">
        <v>75</v>
      </c>
      <c r="D42" s="50">
        <v>5</v>
      </c>
      <c r="E42" s="50">
        <v>3</v>
      </c>
      <c r="F42" s="50">
        <v>16</v>
      </c>
      <c r="G42" s="50">
        <v>0</v>
      </c>
      <c r="H42" s="50">
        <v>0</v>
      </c>
      <c r="I42" s="50">
        <v>5</v>
      </c>
      <c r="J42" s="50">
        <v>0</v>
      </c>
      <c r="K42" s="50">
        <v>0</v>
      </c>
      <c r="L42" s="50">
        <v>0</v>
      </c>
      <c r="M42" s="50">
        <v>42</v>
      </c>
      <c r="N42" s="50">
        <v>0</v>
      </c>
      <c r="O42" s="15">
        <f t="shared" si="0"/>
        <v>104</v>
      </c>
      <c r="P42" s="15">
        <f t="shared" si="1"/>
        <v>146</v>
      </c>
    </row>
    <row r="43" spans="2:20" ht="23.1" customHeight="1">
      <c r="B43" s="23" t="s">
        <v>70</v>
      </c>
      <c r="C43" s="50">
        <v>57</v>
      </c>
      <c r="D43" s="50">
        <v>11</v>
      </c>
      <c r="E43" s="50">
        <v>1</v>
      </c>
      <c r="F43" s="50">
        <v>5</v>
      </c>
      <c r="G43" s="50">
        <v>0</v>
      </c>
      <c r="H43" s="50">
        <v>0</v>
      </c>
      <c r="I43" s="50">
        <v>4</v>
      </c>
      <c r="J43" s="50">
        <v>0</v>
      </c>
      <c r="K43" s="50">
        <v>0</v>
      </c>
      <c r="L43" s="50">
        <v>0</v>
      </c>
      <c r="M43" s="50">
        <v>67</v>
      </c>
      <c r="N43" s="50">
        <v>0</v>
      </c>
      <c r="O43" s="15">
        <f t="shared" si="0"/>
        <v>78</v>
      </c>
      <c r="P43" s="15">
        <f t="shared" si="1"/>
        <v>145</v>
      </c>
    </row>
    <row r="44" spans="2:20" ht="23.1" customHeight="1">
      <c r="B44" s="25" t="s">
        <v>71</v>
      </c>
      <c r="C44" s="50">
        <v>86</v>
      </c>
      <c r="D44" s="50">
        <v>6</v>
      </c>
      <c r="E44" s="50">
        <v>3</v>
      </c>
      <c r="F44" s="50">
        <v>11</v>
      </c>
      <c r="G44" s="50">
        <v>0</v>
      </c>
      <c r="H44" s="50">
        <v>0</v>
      </c>
      <c r="I44" s="50">
        <v>5</v>
      </c>
      <c r="J44" s="50">
        <v>0</v>
      </c>
      <c r="K44" s="50">
        <v>0</v>
      </c>
      <c r="L44" s="50">
        <v>0</v>
      </c>
      <c r="M44" s="50">
        <v>96</v>
      </c>
      <c r="N44" s="50">
        <v>0</v>
      </c>
      <c r="O44" s="15">
        <f t="shared" si="0"/>
        <v>111</v>
      </c>
      <c r="P44" s="15">
        <f t="shared" si="1"/>
        <v>207</v>
      </c>
    </row>
    <row r="45" spans="2:20" ht="23.1" customHeight="1">
      <c r="B45" s="23" t="s">
        <v>72</v>
      </c>
      <c r="C45" s="50">
        <v>85</v>
      </c>
      <c r="D45" s="50">
        <v>4</v>
      </c>
      <c r="E45" s="50">
        <v>5</v>
      </c>
      <c r="F45" s="50">
        <v>10</v>
      </c>
      <c r="G45" s="50">
        <v>0</v>
      </c>
      <c r="H45" s="50">
        <v>0</v>
      </c>
      <c r="I45" s="50">
        <v>3</v>
      </c>
      <c r="J45" s="50">
        <v>0</v>
      </c>
      <c r="K45" s="50">
        <v>0</v>
      </c>
      <c r="L45" s="50">
        <v>0</v>
      </c>
      <c r="M45" s="50">
        <v>105</v>
      </c>
      <c r="N45" s="50">
        <v>0</v>
      </c>
      <c r="O45" s="15">
        <f t="shared" si="0"/>
        <v>107</v>
      </c>
      <c r="P45" s="15">
        <f t="shared" si="1"/>
        <v>212</v>
      </c>
    </row>
    <row r="46" spans="2:20" ht="23.1" customHeight="1">
      <c r="B46" s="24" t="s">
        <v>73</v>
      </c>
      <c r="C46" s="50">
        <v>60</v>
      </c>
      <c r="D46" s="50">
        <v>7</v>
      </c>
      <c r="E46" s="50">
        <v>1</v>
      </c>
      <c r="F46" s="50">
        <v>8</v>
      </c>
      <c r="G46" s="50">
        <v>0</v>
      </c>
      <c r="H46" s="50">
        <v>0</v>
      </c>
      <c r="I46" s="50">
        <v>2</v>
      </c>
      <c r="J46" s="50">
        <v>0</v>
      </c>
      <c r="K46" s="50">
        <v>0</v>
      </c>
      <c r="L46" s="50">
        <v>0</v>
      </c>
      <c r="M46" s="50">
        <v>65</v>
      </c>
      <c r="N46" s="50">
        <v>0</v>
      </c>
      <c r="O46" s="15">
        <f t="shared" si="0"/>
        <v>78</v>
      </c>
      <c r="P46" s="15">
        <f t="shared" si="1"/>
        <v>143</v>
      </c>
      <c r="R46" s="8"/>
      <c r="T46"/>
    </row>
    <row r="47" spans="2:20" ht="23.1" customHeight="1">
      <c r="B47" s="24" t="s">
        <v>74</v>
      </c>
      <c r="C47" s="50">
        <v>70</v>
      </c>
      <c r="D47" s="50">
        <v>11</v>
      </c>
      <c r="E47" s="50">
        <v>5</v>
      </c>
      <c r="F47" s="50">
        <v>11</v>
      </c>
      <c r="G47" s="50">
        <v>0</v>
      </c>
      <c r="H47" s="50">
        <v>0</v>
      </c>
      <c r="I47" s="50">
        <v>5</v>
      </c>
      <c r="J47" s="50">
        <v>1</v>
      </c>
      <c r="K47" s="50">
        <v>0</v>
      </c>
      <c r="L47" s="50">
        <v>0</v>
      </c>
      <c r="M47" s="50">
        <v>36</v>
      </c>
      <c r="N47" s="50">
        <v>0</v>
      </c>
      <c r="O47" s="15">
        <f t="shared" si="0"/>
        <v>103</v>
      </c>
      <c r="P47" s="15">
        <f t="shared" si="1"/>
        <v>139</v>
      </c>
      <c r="R47" s="8"/>
      <c r="T47"/>
    </row>
    <row r="48" spans="2:20" ht="23.1" customHeight="1">
      <c r="B48" s="24" t="s">
        <v>75</v>
      </c>
      <c r="C48" s="50">
        <v>70</v>
      </c>
      <c r="D48" s="50">
        <v>8</v>
      </c>
      <c r="E48" s="50">
        <v>2</v>
      </c>
      <c r="F48" s="50">
        <v>7</v>
      </c>
      <c r="G48" s="50">
        <v>0</v>
      </c>
      <c r="H48" s="50">
        <v>0</v>
      </c>
      <c r="I48" s="50">
        <v>2</v>
      </c>
      <c r="J48" s="50">
        <v>0</v>
      </c>
      <c r="K48" s="50">
        <v>0</v>
      </c>
      <c r="L48" s="50">
        <v>0</v>
      </c>
      <c r="M48" s="50">
        <v>78</v>
      </c>
      <c r="N48" s="50">
        <v>0</v>
      </c>
      <c r="O48" s="15">
        <f t="shared" si="0"/>
        <v>89</v>
      </c>
      <c r="P48" s="15">
        <f t="shared" si="1"/>
        <v>167</v>
      </c>
      <c r="R48" s="8"/>
      <c r="T48"/>
    </row>
    <row r="49" spans="2:20" ht="23.1" customHeight="1">
      <c r="B49" s="23" t="s">
        <v>76</v>
      </c>
      <c r="C49" s="50">
        <v>85</v>
      </c>
      <c r="D49" s="50">
        <v>17</v>
      </c>
      <c r="E49" s="50">
        <v>6</v>
      </c>
      <c r="F49" s="50">
        <v>7</v>
      </c>
      <c r="G49" s="50">
        <v>0</v>
      </c>
      <c r="H49" s="50">
        <v>0</v>
      </c>
      <c r="I49" s="50">
        <v>1</v>
      </c>
      <c r="J49" s="50">
        <v>1</v>
      </c>
      <c r="K49" s="50">
        <v>0</v>
      </c>
      <c r="L49" s="50">
        <v>0</v>
      </c>
      <c r="M49" s="50">
        <v>54</v>
      </c>
      <c r="N49" s="50">
        <v>0</v>
      </c>
      <c r="O49" s="15">
        <f t="shared" si="0"/>
        <v>117</v>
      </c>
      <c r="P49" s="15">
        <f t="shared" si="1"/>
        <v>171</v>
      </c>
      <c r="R49" s="8"/>
      <c r="T49"/>
    </row>
    <row r="50" spans="2:20" ht="23.1" customHeight="1">
      <c r="B50" s="24" t="s">
        <v>77</v>
      </c>
      <c r="C50" s="50">
        <v>95</v>
      </c>
      <c r="D50" s="50">
        <v>11</v>
      </c>
      <c r="E50" s="50">
        <v>3</v>
      </c>
      <c r="F50" s="50">
        <v>15</v>
      </c>
      <c r="G50" s="50">
        <v>0</v>
      </c>
      <c r="H50" s="50">
        <v>0</v>
      </c>
      <c r="I50" s="50">
        <v>2</v>
      </c>
      <c r="J50" s="50">
        <v>0</v>
      </c>
      <c r="K50" s="50">
        <v>0</v>
      </c>
      <c r="L50" s="50">
        <v>0</v>
      </c>
      <c r="M50" s="50">
        <v>50</v>
      </c>
      <c r="N50" s="50">
        <v>0</v>
      </c>
      <c r="O50" s="15">
        <f t="shared" si="0"/>
        <v>126</v>
      </c>
      <c r="P50" s="15">
        <f t="shared" si="1"/>
        <v>176</v>
      </c>
      <c r="R50" s="8"/>
      <c r="T50"/>
    </row>
    <row r="51" spans="2:20" ht="23.1" customHeight="1">
      <c r="B51" s="24" t="s">
        <v>78</v>
      </c>
      <c r="C51" s="50">
        <v>60</v>
      </c>
      <c r="D51" s="50">
        <v>11</v>
      </c>
      <c r="E51" s="50">
        <v>10</v>
      </c>
      <c r="F51" s="50">
        <v>8</v>
      </c>
      <c r="G51" s="50">
        <v>0</v>
      </c>
      <c r="H51" s="50">
        <v>0</v>
      </c>
      <c r="I51" s="50">
        <v>2</v>
      </c>
      <c r="J51" s="50">
        <v>0</v>
      </c>
      <c r="K51" s="50">
        <v>0</v>
      </c>
      <c r="L51" s="50">
        <v>0</v>
      </c>
      <c r="M51" s="50">
        <v>66</v>
      </c>
      <c r="N51" s="50">
        <v>0</v>
      </c>
      <c r="O51" s="15">
        <f t="shared" si="0"/>
        <v>91</v>
      </c>
      <c r="P51" s="15">
        <f t="shared" si="1"/>
        <v>157</v>
      </c>
      <c r="R51" s="8"/>
      <c r="T51"/>
    </row>
    <row r="52" spans="2:20" ht="23.1" customHeight="1">
      <c r="B52" s="24" t="s">
        <v>79</v>
      </c>
      <c r="C52" s="50">
        <v>46</v>
      </c>
      <c r="D52" s="50">
        <v>12</v>
      </c>
      <c r="E52" s="50">
        <v>1</v>
      </c>
      <c r="F52" s="50">
        <v>10</v>
      </c>
      <c r="G52" s="50">
        <v>0</v>
      </c>
      <c r="H52" s="50">
        <v>0</v>
      </c>
      <c r="I52" s="50">
        <v>1</v>
      </c>
      <c r="J52" s="50">
        <v>0</v>
      </c>
      <c r="K52" s="50">
        <v>0</v>
      </c>
      <c r="L52" s="50">
        <v>0</v>
      </c>
      <c r="M52" s="50">
        <v>41</v>
      </c>
      <c r="N52" s="50">
        <v>0</v>
      </c>
      <c r="O52" s="15">
        <f t="shared" si="0"/>
        <v>70</v>
      </c>
      <c r="P52" s="15">
        <f t="shared" si="1"/>
        <v>111</v>
      </c>
      <c r="R52" s="8"/>
      <c r="T52"/>
    </row>
    <row r="53" spans="2:20" ht="23.1" customHeight="1">
      <c r="B53" s="23" t="s">
        <v>80</v>
      </c>
      <c r="C53" s="50">
        <v>74</v>
      </c>
      <c r="D53" s="50">
        <v>9</v>
      </c>
      <c r="E53" s="50">
        <v>6</v>
      </c>
      <c r="F53" s="50">
        <v>34</v>
      </c>
      <c r="G53" s="50">
        <v>0</v>
      </c>
      <c r="H53" s="50">
        <v>0</v>
      </c>
      <c r="I53" s="50">
        <v>3</v>
      </c>
      <c r="J53" s="50">
        <v>0</v>
      </c>
      <c r="K53" s="50">
        <v>0</v>
      </c>
      <c r="L53" s="50">
        <v>0</v>
      </c>
      <c r="M53" s="50">
        <v>80</v>
      </c>
      <c r="N53" s="50">
        <v>0</v>
      </c>
      <c r="O53" s="15">
        <f t="shared" si="0"/>
        <v>126</v>
      </c>
      <c r="P53" s="15">
        <f t="shared" si="1"/>
        <v>206</v>
      </c>
      <c r="R53" s="8"/>
      <c r="T53"/>
    </row>
    <row r="54" spans="2:20" ht="23.1" customHeight="1">
      <c r="B54" s="23" t="s">
        <v>81</v>
      </c>
      <c r="C54" s="50">
        <v>55</v>
      </c>
      <c r="D54" s="50">
        <v>13</v>
      </c>
      <c r="E54" s="50">
        <v>4</v>
      </c>
      <c r="F54" s="50">
        <v>13</v>
      </c>
      <c r="G54" s="50">
        <v>0</v>
      </c>
      <c r="H54" s="50">
        <v>0</v>
      </c>
      <c r="I54" s="50">
        <v>4</v>
      </c>
      <c r="J54" s="50">
        <v>0</v>
      </c>
      <c r="K54" s="50">
        <v>2</v>
      </c>
      <c r="L54" s="50">
        <v>0</v>
      </c>
      <c r="M54" s="50">
        <v>82</v>
      </c>
      <c r="N54" s="50">
        <v>0</v>
      </c>
      <c r="O54" s="15">
        <f t="shared" si="0"/>
        <v>91</v>
      </c>
      <c r="P54" s="15">
        <f t="shared" si="1"/>
        <v>173</v>
      </c>
      <c r="R54" s="8"/>
      <c r="T54"/>
    </row>
    <row r="55" spans="2:20" ht="23.1" customHeight="1">
      <c r="B55" s="23" t="s">
        <v>82</v>
      </c>
      <c r="C55" s="50">
        <v>58</v>
      </c>
      <c r="D55" s="50">
        <v>12</v>
      </c>
      <c r="E55" s="50">
        <v>14</v>
      </c>
      <c r="F55" s="50">
        <v>7</v>
      </c>
      <c r="G55" s="50">
        <v>0</v>
      </c>
      <c r="H55" s="50">
        <v>0</v>
      </c>
      <c r="I55" s="50">
        <v>2</v>
      </c>
      <c r="J55" s="50">
        <v>0</v>
      </c>
      <c r="K55" s="50">
        <v>0</v>
      </c>
      <c r="L55" s="50">
        <v>0</v>
      </c>
      <c r="M55" s="50">
        <v>51</v>
      </c>
      <c r="N55" s="50">
        <v>0</v>
      </c>
      <c r="O55" s="15">
        <f t="shared" si="0"/>
        <v>93</v>
      </c>
      <c r="P55" s="15">
        <f t="shared" si="1"/>
        <v>144</v>
      </c>
      <c r="R55" s="8"/>
      <c r="T55"/>
    </row>
    <row r="56" spans="2:20" ht="23.1" customHeight="1">
      <c r="B56" s="23" t="s">
        <v>83</v>
      </c>
      <c r="C56" s="50">
        <v>50</v>
      </c>
      <c r="D56" s="50">
        <v>4</v>
      </c>
      <c r="E56" s="50">
        <v>2</v>
      </c>
      <c r="F56" s="50">
        <v>18</v>
      </c>
      <c r="G56" s="50">
        <v>0</v>
      </c>
      <c r="H56" s="50">
        <v>0</v>
      </c>
      <c r="I56" s="50">
        <v>3</v>
      </c>
      <c r="J56" s="50">
        <v>0</v>
      </c>
      <c r="K56" s="50">
        <v>0</v>
      </c>
      <c r="L56" s="50">
        <v>0</v>
      </c>
      <c r="M56" s="50">
        <v>53</v>
      </c>
      <c r="N56" s="50">
        <v>0</v>
      </c>
      <c r="O56" s="15">
        <f t="shared" si="0"/>
        <v>77</v>
      </c>
      <c r="P56" s="15">
        <f t="shared" si="1"/>
        <v>130</v>
      </c>
      <c r="R56" s="8"/>
      <c r="T56"/>
    </row>
    <row r="57" spans="2:20" ht="23.1" customHeight="1">
      <c r="B57" s="23" t="s">
        <v>84</v>
      </c>
      <c r="C57" s="50">
        <v>75</v>
      </c>
      <c r="D57" s="50">
        <v>5</v>
      </c>
      <c r="E57" s="50">
        <v>1</v>
      </c>
      <c r="F57" s="50">
        <v>6</v>
      </c>
      <c r="G57" s="50">
        <v>0</v>
      </c>
      <c r="H57" s="50">
        <v>0</v>
      </c>
      <c r="I57" s="50">
        <v>4</v>
      </c>
      <c r="J57" s="50">
        <v>0</v>
      </c>
      <c r="K57" s="50">
        <v>0</v>
      </c>
      <c r="L57" s="50">
        <v>0</v>
      </c>
      <c r="M57" s="50">
        <v>91</v>
      </c>
      <c r="N57" s="50">
        <v>0</v>
      </c>
      <c r="O57" s="15">
        <f t="shared" si="0"/>
        <v>91</v>
      </c>
      <c r="P57" s="15">
        <f t="shared" si="1"/>
        <v>182</v>
      </c>
      <c r="R57" s="8"/>
      <c r="T57"/>
    </row>
    <row r="58" spans="2:20" ht="23.1" customHeight="1">
      <c r="B58" s="26" t="s">
        <v>18</v>
      </c>
      <c r="C58" s="16">
        <f t="shared" ref="C58:P58" si="21">SUM(C10:C57)</f>
        <v>2797</v>
      </c>
      <c r="D58" s="16">
        <f t="shared" si="21"/>
        <v>412</v>
      </c>
      <c r="E58" s="16">
        <f t="shared" si="21"/>
        <v>175</v>
      </c>
      <c r="F58" s="16">
        <f t="shared" si="21"/>
        <v>526</v>
      </c>
      <c r="G58" s="16">
        <f t="shared" si="21"/>
        <v>3</v>
      </c>
      <c r="H58" s="16">
        <f t="shared" si="21"/>
        <v>0</v>
      </c>
      <c r="I58" s="16">
        <f t="shared" si="21"/>
        <v>160</v>
      </c>
      <c r="J58" s="16">
        <f t="shared" si="21"/>
        <v>15</v>
      </c>
      <c r="K58" s="16">
        <f t="shared" si="21"/>
        <v>5</v>
      </c>
      <c r="L58" s="16">
        <f t="shared" si="21"/>
        <v>1</v>
      </c>
      <c r="M58" s="16">
        <f t="shared" si="21"/>
        <v>3314</v>
      </c>
      <c r="N58" s="16">
        <f t="shared" si="21"/>
        <v>0</v>
      </c>
      <c r="O58" s="16">
        <f t="shared" si="21"/>
        <v>4094</v>
      </c>
      <c r="P58" s="16">
        <f t="shared" si="21"/>
        <v>7408</v>
      </c>
      <c r="R58" s="8"/>
      <c r="T58"/>
    </row>
    <row r="59" spans="2:20" ht="23.1" customHeight="1">
      <c r="B59" s="26" t="s">
        <v>93</v>
      </c>
      <c r="C59" s="43">
        <f t="shared" ref="C59:N59" si="22">C58/$P$58</f>
        <v>0.37756479481641469</v>
      </c>
      <c r="D59" s="43">
        <f t="shared" si="22"/>
        <v>5.5615550755939526E-2</v>
      </c>
      <c r="E59" s="43">
        <f t="shared" si="22"/>
        <v>2.3623110151187905E-2</v>
      </c>
      <c r="F59" s="43">
        <f t="shared" si="22"/>
        <v>7.1004319654427647E-2</v>
      </c>
      <c r="G59" s="43">
        <f t="shared" si="22"/>
        <v>4.0496760259179265E-4</v>
      </c>
      <c r="H59" s="43">
        <f t="shared" si="22"/>
        <v>0</v>
      </c>
      <c r="I59" s="43">
        <f t="shared" si="22"/>
        <v>2.159827213822894E-2</v>
      </c>
      <c r="J59" s="43">
        <f t="shared" si="22"/>
        <v>2.0248380129589635E-3</v>
      </c>
      <c r="K59" s="43">
        <f t="shared" si="22"/>
        <v>6.7494600431965439E-4</v>
      </c>
      <c r="L59" s="43">
        <f t="shared" si="22"/>
        <v>1.3498920086393089E-4</v>
      </c>
      <c r="M59" s="43">
        <f t="shared" si="22"/>
        <v>0.44735421166306694</v>
      </c>
      <c r="N59" s="43">
        <f t="shared" si="22"/>
        <v>0</v>
      </c>
      <c r="R59" s="8"/>
      <c r="T59"/>
    </row>
    <row r="60" spans="2:20" ht="23.1" customHeight="1">
      <c r="B60" s="42" t="s">
        <v>94</v>
      </c>
      <c r="C60" s="44">
        <f>C58/$O$58</f>
        <v>0.68319491939423549</v>
      </c>
      <c r="D60" s="44">
        <f t="shared" ref="D60:N60" si="23">D58/$O$58</f>
        <v>0.10063507572056668</v>
      </c>
      <c r="E60" s="44">
        <f t="shared" si="23"/>
        <v>4.2745481191988274E-2</v>
      </c>
      <c r="F60" s="44">
        <f t="shared" si="23"/>
        <v>0.12848070346849047</v>
      </c>
      <c r="G60" s="44">
        <f t="shared" si="23"/>
        <v>7.3277967757694185E-4</v>
      </c>
      <c r="H60" s="44">
        <f t="shared" si="23"/>
        <v>0</v>
      </c>
      <c r="I60" s="44">
        <f t="shared" si="23"/>
        <v>3.9081582804103565E-2</v>
      </c>
      <c r="J60" s="44">
        <f t="shared" si="23"/>
        <v>3.6638983878847092E-3</v>
      </c>
      <c r="K60" s="44">
        <f t="shared" si="23"/>
        <v>1.2212994626282364E-3</v>
      </c>
      <c r="L60" s="44">
        <f t="shared" si="23"/>
        <v>2.4425989252564728E-4</v>
      </c>
      <c r="M60" s="44"/>
      <c r="N60" s="44">
        <f t="shared" si="23"/>
        <v>0</v>
      </c>
      <c r="Q60" s="7"/>
      <c r="R60" s="8"/>
      <c r="T60"/>
    </row>
    <row r="61" spans="2:20" ht="20.100000000000001" customHeight="1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6:L6"/>
    <mergeCell ref="K5:L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theme="9" tint="-0.249977111117893"/>
  </sheetPr>
  <dimension ref="B1:AF174"/>
  <sheetViews>
    <sheetView view="pageBreakPreview" topLeftCell="A94" zoomScale="60" workbookViewId="0">
      <selection activeCell="S105" sqref="S105"/>
    </sheetView>
  </sheetViews>
  <sheetFormatPr defaultColWidth="15" defaultRowHeight="20.100000000000001" customHeight="1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>
      <c r="B1" s="60" t="s">
        <v>23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</row>
    <row r="2" spans="2:32" ht="20.100000000000001" customHeight="1">
      <c r="B2" s="61" t="s">
        <v>95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</row>
    <row r="3" spans="2:32" ht="20.100000000000001" customHeight="1">
      <c r="B3" s="22" t="s">
        <v>96</v>
      </c>
      <c r="C3" s="65" t="str">
        <f>'04.08 Kiwatule-Najjeera'!C3:G3</f>
        <v>MCC - C1 - STN36 - MBOGO ROAD</v>
      </c>
      <c r="D3" s="65"/>
      <c r="E3" s="65"/>
      <c r="F3" s="65"/>
      <c r="G3" s="65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>
      <c r="B4" s="22"/>
      <c r="C4" s="22" t="s">
        <v>164</v>
      </c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>
      <c r="C5" s="4" t="s">
        <v>3</v>
      </c>
      <c r="D5" s="68" t="s">
        <v>162</v>
      </c>
      <c r="E5" s="69"/>
      <c r="F5" s="41" t="s">
        <v>1</v>
      </c>
      <c r="G5" s="66" t="str">
        <f>'04.08 Najjeera-Kiwatule'!G5:H5</f>
        <v>U Save Kiwatule</v>
      </c>
      <c r="H5" s="67"/>
      <c r="I5" s="14"/>
      <c r="J5" s="2" t="s">
        <v>5</v>
      </c>
      <c r="K5" s="66" t="str">
        <f>'04.08 Najjeera-Kiwatule'!K5:L5</f>
        <v>Anthony</v>
      </c>
      <c r="L5" s="67"/>
      <c r="M5" s="10"/>
      <c r="N5" s="10"/>
      <c r="O5" s="3"/>
      <c r="P5" s="3"/>
    </row>
    <row r="6" spans="2:32" ht="23.25" customHeight="1">
      <c r="C6" s="2" t="s">
        <v>4</v>
      </c>
      <c r="D6" s="66" t="str">
        <f>'04.08 Najjeera-Kiwatule'!D6:E6</f>
        <v>Najjeera</v>
      </c>
      <c r="E6" s="67"/>
      <c r="F6" s="2" t="s">
        <v>2</v>
      </c>
      <c r="G6" s="66" t="str">
        <f>'04.08 Najjeera-Kiwatule'!G6:H6</f>
        <v>Kiwatule</v>
      </c>
      <c r="H6" s="67"/>
      <c r="J6" s="2" t="s">
        <v>21</v>
      </c>
      <c r="K6" s="66" t="str">
        <f>'04.08 Najjeera-Kiwatule'!K6:L6</f>
        <v>Joan</v>
      </c>
      <c r="L6" s="67"/>
      <c r="M6" s="10"/>
      <c r="N6" s="10"/>
      <c r="O6" s="3"/>
      <c r="P6" s="3"/>
    </row>
    <row r="7" spans="2:32" ht="20.100000000000001" customHeight="1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9" t="s">
        <v>88</v>
      </c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</row>
    <row r="9" spans="2:32" ht="51.75" customHeight="1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>
      <c r="B10" s="23" t="s">
        <v>37</v>
      </c>
      <c r="C10" s="49">
        <f>AVERAGE('29.07 Najjeera-Kiwatule'!C10,'02.08 Najjeera-Kiwatule'!C10,'30.07 Najjeera-Kiwatule'!C10,'31.07 Najjeera-Kiwatule'!C10,'01.08 Najjeera-Kiwatule-24h'!C10,'03.08 Najjeera-Kiwatule-24h'!C10,'04.08 Najjeera-Kiwatule'!C10)</f>
        <v>112.71428571428571</v>
      </c>
      <c r="D10" s="49">
        <f>AVERAGE('29.07 Najjeera-Kiwatule'!D10,'02.08 Najjeera-Kiwatule'!D10,'30.07 Najjeera-Kiwatule'!D10,'31.07 Najjeera-Kiwatule'!D10,'01.08 Najjeera-Kiwatule-24h'!D10,'03.08 Najjeera-Kiwatule-24h'!D10,'04.08 Najjeera-Kiwatule'!D10)</f>
        <v>14.714285714285714</v>
      </c>
      <c r="E10" s="49">
        <f>AVERAGE('29.07 Najjeera-Kiwatule'!E10,'02.08 Najjeera-Kiwatule'!E10,'30.07 Najjeera-Kiwatule'!E10,'31.07 Najjeera-Kiwatule'!E10,'01.08 Najjeera-Kiwatule-24h'!E10,'03.08 Najjeera-Kiwatule-24h'!E10,'04.08 Najjeera-Kiwatule'!E10)</f>
        <v>7.8571428571428568</v>
      </c>
      <c r="F10" s="49">
        <f>AVERAGE('29.07 Najjeera-Kiwatule'!F10,'02.08 Najjeera-Kiwatule'!F10,'30.07 Najjeera-Kiwatule'!F10,'31.07 Najjeera-Kiwatule'!F10,'01.08 Najjeera-Kiwatule-24h'!F10,'03.08 Najjeera-Kiwatule-24h'!F10,'04.08 Najjeera-Kiwatule'!F10)</f>
        <v>18.428571428571427</v>
      </c>
      <c r="G10" s="49">
        <f>AVERAGE('29.07 Najjeera-Kiwatule'!G10,'02.08 Najjeera-Kiwatule'!G10,'30.07 Najjeera-Kiwatule'!G10,'31.07 Najjeera-Kiwatule'!G10,'01.08 Najjeera-Kiwatule-24h'!G10,'03.08 Najjeera-Kiwatule-24h'!G10,'04.08 Najjeera-Kiwatule'!G10)</f>
        <v>0.42857142857142855</v>
      </c>
      <c r="H10" s="49">
        <f>AVERAGE('29.07 Najjeera-Kiwatule'!H10,'02.08 Najjeera-Kiwatule'!H10,'30.07 Najjeera-Kiwatule'!H10,'31.07 Najjeera-Kiwatule'!H10,'01.08 Najjeera-Kiwatule-24h'!H10,'03.08 Najjeera-Kiwatule-24h'!H10,'04.08 Najjeera-Kiwatule'!H10)</f>
        <v>0</v>
      </c>
      <c r="I10" s="49">
        <f>AVERAGE('29.07 Najjeera-Kiwatule'!I10,'02.08 Najjeera-Kiwatule'!I10,'30.07 Najjeera-Kiwatule'!I10,'31.07 Najjeera-Kiwatule'!I10,'01.08 Najjeera-Kiwatule-24h'!I10,'03.08 Najjeera-Kiwatule-24h'!I10,'04.08 Najjeera-Kiwatule'!I10)</f>
        <v>1.8571428571428572</v>
      </c>
      <c r="J10" s="49">
        <f>AVERAGE('29.07 Najjeera-Kiwatule'!J10,'02.08 Najjeera-Kiwatule'!J10,'30.07 Najjeera-Kiwatule'!J10,'31.07 Najjeera-Kiwatule'!J10,'01.08 Najjeera-Kiwatule-24h'!J10,'03.08 Najjeera-Kiwatule-24h'!J10,'04.08 Najjeera-Kiwatule'!J10)</f>
        <v>0.8571428571428571</v>
      </c>
      <c r="K10" s="49">
        <f>AVERAGE('29.07 Najjeera-Kiwatule'!K10,'02.08 Najjeera-Kiwatule'!K10,'30.07 Najjeera-Kiwatule'!K10,'31.07 Najjeera-Kiwatule'!K10,'01.08 Najjeera-Kiwatule-24h'!K10,'03.08 Najjeera-Kiwatule-24h'!K10,'04.08 Najjeera-Kiwatule'!K10)</f>
        <v>0.14285714285714285</v>
      </c>
      <c r="L10" s="49">
        <f>AVERAGE('29.07 Najjeera-Kiwatule'!L10,'02.08 Najjeera-Kiwatule'!L10,'30.07 Najjeera-Kiwatule'!L10,'31.07 Najjeera-Kiwatule'!L10,'01.08 Najjeera-Kiwatule-24h'!L10,'03.08 Najjeera-Kiwatule-24h'!L10,'04.08 Najjeera-Kiwatule'!L10)</f>
        <v>0.2857142857142857</v>
      </c>
      <c r="M10" s="49">
        <f>AVERAGE('29.07 Najjeera-Kiwatule'!M10,'02.08 Najjeera-Kiwatule'!M10,'30.07 Najjeera-Kiwatule'!M10,'31.07 Najjeera-Kiwatule'!M10,'01.08 Najjeera-Kiwatule-24h'!M10,'03.08 Najjeera-Kiwatule-24h'!M10,'04.08 Najjeera-Kiwatule'!M10)</f>
        <v>73.857142857142861</v>
      </c>
      <c r="N10" s="49">
        <f>AVERAGE('29.07 Najjeera-Kiwatule'!N10,'02.08 Najjeera-Kiwatule'!N10,'30.07 Najjeera-Kiwatule'!N10,'31.07 Najjeera-Kiwatule'!N10,'01.08 Najjeera-Kiwatule-24h'!N10,'03.08 Najjeera-Kiwatule-24h'!N10,'04.08 Najjeera-Kiwatule'!N10)</f>
        <v>0</v>
      </c>
      <c r="O10" s="15">
        <f t="shared" ref="O10:O73" si="0">SUM(C10:L10,N10)</f>
        <v>157.28571428571425</v>
      </c>
      <c r="P10" s="15">
        <f t="shared" ref="P10:P73" si="1">SUM(C10:N10)</f>
        <v>231.14285714285711</v>
      </c>
      <c r="R10" s="1" t="s">
        <v>6</v>
      </c>
      <c r="S10" s="17">
        <f t="shared" ref="S10:AF10" si="2">SUM(C10:C13)</f>
        <v>479.14285714285711</v>
      </c>
      <c r="T10" s="17">
        <f t="shared" si="2"/>
        <v>57.857142857142861</v>
      </c>
      <c r="U10" s="17">
        <f t="shared" si="2"/>
        <v>38.571428571428569</v>
      </c>
      <c r="V10" s="17">
        <f t="shared" si="2"/>
        <v>76</v>
      </c>
      <c r="W10" s="17">
        <f t="shared" si="2"/>
        <v>1.1428571428571428</v>
      </c>
      <c r="X10" s="17">
        <f t="shared" si="2"/>
        <v>0</v>
      </c>
      <c r="Y10" s="17">
        <f t="shared" si="2"/>
        <v>8.7142857142857153</v>
      </c>
      <c r="Z10" s="17">
        <f t="shared" si="2"/>
        <v>2.4285714285714284</v>
      </c>
      <c r="AA10" s="17">
        <f t="shared" si="2"/>
        <v>0.5714285714285714</v>
      </c>
      <c r="AB10" s="17">
        <f t="shared" si="2"/>
        <v>0.42857142857142855</v>
      </c>
      <c r="AC10" s="17">
        <f t="shared" si="2"/>
        <v>372.28571428571428</v>
      </c>
      <c r="AD10" s="17">
        <f t="shared" si="2"/>
        <v>0</v>
      </c>
      <c r="AE10" s="31">
        <f t="shared" si="2"/>
        <v>664.85714285714289</v>
      </c>
      <c r="AF10" s="31">
        <f t="shared" si="2"/>
        <v>1037.1428571428573</v>
      </c>
    </row>
    <row r="11" spans="2:32" s="6" customFormat="1" ht="23.1" customHeight="1">
      <c r="B11" s="23" t="s">
        <v>38</v>
      </c>
      <c r="C11" s="49">
        <f>AVERAGE('29.07 Najjeera-Kiwatule'!C11,'02.08 Najjeera-Kiwatule'!C11,'30.07 Najjeera-Kiwatule'!C11,'31.07 Najjeera-Kiwatule'!C11,'01.08 Najjeera-Kiwatule-24h'!C11,'03.08 Najjeera-Kiwatule-24h'!C11,'04.08 Najjeera-Kiwatule'!C11)</f>
        <v>113</v>
      </c>
      <c r="D11" s="49">
        <f>AVERAGE('29.07 Najjeera-Kiwatule'!D11,'02.08 Najjeera-Kiwatule'!D11,'30.07 Najjeera-Kiwatule'!D11,'31.07 Najjeera-Kiwatule'!D11,'01.08 Najjeera-Kiwatule-24h'!D11,'03.08 Najjeera-Kiwatule-24h'!D11,'04.08 Najjeera-Kiwatule'!D11)</f>
        <v>13.857142857142858</v>
      </c>
      <c r="E11" s="49">
        <f>AVERAGE('29.07 Najjeera-Kiwatule'!E11,'02.08 Najjeera-Kiwatule'!E11,'30.07 Najjeera-Kiwatule'!E11,'31.07 Najjeera-Kiwatule'!E11,'01.08 Najjeera-Kiwatule-24h'!E11,'03.08 Najjeera-Kiwatule-24h'!E11,'04.08 Najjeera-Kiwatule'!E11)</f>
        <v>10</v>
      </c>
      <c r="F11" s="49">
        <f>AVERAGE('29.07 Najjeera-Kiwatule'!F11,'02.08 Najjeera-Kiwatule'!F11,'30.07 Najjeera-Kiwatule'!F11,'31.07 Najjeera-Kiwatule'!F11,'01.08 Najjeera-Kiwatule-24h'!F11,'03.08 Najjeera-Kiwatule-24h'!F11,'04.08 Najjeera-Kiwatule'!F11)</f>
        <v>17.571428571428573</v>
      </c>
      <c r="G11" s="49">
        <f>AVERAGE('29.07 Najjeera-Kiwatule'!G11,'02.08 Najjeera-Kiwatule'!G11,'30.07 Najjeera-Kiwatule'!G11,'31.07 Najjeera-Kiwatule'!G11,'01.08 Najjeera-Kiwatule-24h'!G11,'03.08 Najjeera-Kiwatule-24h'!G11,'04.08 Najjeera-Kiwatule'!G11)</f>
        <v>0</v>
      </c>
      <c r="H11" s="49">
        <f>AVERAGE('29.07 Najjeera-Kiwatule'!H11,'02.08 Najjeera-Kiwatule'!H11,'30.07 Najjeera-Kiwatule'!H11,'31.07 Najjeera-Kiwatule'!H11,'01.08 Najjeera-Kiwatule-24h'!H11,'03.08 Najjeera-Kiwatule-24h'!H11,'04.08 Najjeera-Kiwatule'!H11)</f>
        <v>0</v>
      </c>
      <c r="I11" s="49">
        <f>AVERAGE('29.07 Najjeera-Kiwatule'!I11,'02.08 Najjeera-Kiwatule'!I11,'30.07 Najjeera-Kiwatule'!I11,'31.07 Najjeera-Kiwatule'!I11,'01.08 Najjeera-Kiwatule-24h'!I11,'03.08 Najjeera-Kiwatule-24h'!I11,'04.08 Najjeera-Kiwatule'!I11)</f>
        <v>1.5714285714285714</v>
      </c>
      <c r="J11" s="49">
        <f>AVERAGE('29.07 Najjeera-Kiwatule'!J11,'02.08 Najjeera-Kiwatule'!J11,'30.07 Najjeera-Kiwatule'!J11,'31.07 Najjeera-Kiwatule'!J11,'01.08 Najjeera-Kiwatule-24h'!J11,'03.08 Najjeera-Kiwatule-24h'!J11,'04.08 Najjeera-Kiwatule'!J11)</f>
        <v>0.2857142857142857</v>
      </c>
      <c r="K11" s="49">
        <f>AVERAGE('29.07 Najjeera-Kiwatule'!K11,'02.08 Najjeera-Kiwatule'!K11,'30.07 Najjeera-Kiwatule'!K11,'31.07 Najjeera-Kiwatule'!K11,'01.08 Najjeera-Kiwatule-24h'!K11,'03.08 Najjeera-Kiwatule-24h'!K11,'04.08 Najjeera-Kiwatule'!K11)</f>
        <v>0.2857142857142857</v>
      </c>
      <c r="L11" s="49">
        <f>AVERAGE('29.07 Najjeera-Kiwatule'!L11,'02.08 Najjeera-Kiwatule'!L11,'30.07 Najjeera-Kiwatule'!L11,'31.07 Najjeera-Kiwatule'!L11,'01.08 Najjeera-Kiwatule-24h'!L11,'03.08 Najjeera-Kiwatule-24h'!L11,'04.08 Najjeera-Kiwatule'!L11)</f>
        <v>0</v>
      </c>
      <c r="M11" s="49">
        <f>AVERAGE('29.07 Najjeera-Kiwatule'!M11,'02.08 Najjeera-Kiwatule'!M11,'30.07 Najjeera-Kiwatule'!M11,'31.07 Najjeera-Kiwatule'!M11,'01.08 Najjeera-Kiwatule-24h'!M11,'03.08 Najjeera-Kiwatule-24h'!M11,'04.08 Najjeera-Kiwatule'!M11)</f>
        <v>90.428571428571431</v>
      </c>
      <c r="N11" s="49">
        <f>AVERAGE('29.07 Najjeera-Kiwatule'!N11,'02.08 Najjeera-Kiwatule'!N11,'30.07 Najjeera-Kiwatule'!N11,'31.07 Najjeera-Kiwatule'!N11,'01.08 Najjeera-Kiwatule-24h'!N11,'03.08 Najjeera-Kiwatule-24h'!N11,'04.08 Najjeera-Kiwatule'!N11)</f>
        <v>0</v>
      </c>
      <c r="O11" s="15">
        <f t="shared" si="0"/>
        <v>156.57142857142858</v>
      </c>
      <c r="P11" s="15">
        <f t="shared" si="1"/>
        <v>247</v>
      </c>
      <c r="R11" s="1" t="s">
        <v>7</v>
      </c>
      <c r="S11" s="17">
        <f t="shared" ref="S11:AF11" si="3">SUM(C14:C17)</f>
        <v>481.28571428571433</v>
      </c>
      <c r="T11" s="17">
        <f t="shared" si="3"/>
        <v>68.857142857142861</v>
      </c>
      <c r="U11" s="17">
        <f t="shared" si="3"/>
        <v>32</v>
      </c>
      <c r="V11" s="17">
        <f t="shared" si="3"/>
        <v>81.285714285714292</v>
      </c>
      <c r="W11" s="17">
        <f t="shared" si="3"/>
        <v>0.42857142857142855</v>
      </c>
      <c r="X11" s="17">
        <f t="shared" si="3"/>
        <v>0</v>
      </c>
      <c r="Y11" s="17">
        <f t="shared" si="3"/>
        <v>13.142857142857142</v>
      </c>
      <c r="Z11" s="17">
        <f t="shared" si="3"/>
        <v>2.7142857142857144</v>
      </c>
      <c r="AA11" s="17">
        <f t="shared" si="3"/>
        <v>1.1428571428571428</v>
      </c>
      <c r="AB11" s="17">
        <f t="shared" si="3"/>
        <v>0.2857142857142857</v>
      </c>
      <c r="AC11" s="17">
        <f t="shared" si="3"/>
        <v>404.71428571428567</v>
      </c>
      <c r="AD11" s="17">
        <f t="shared" si="3"/>
        <v>0.14285714285714285</v>
      </c>
      <c r="AE11" s="31">
        <f t="shared" si="3"/>
        <v>681.28571428571411</v>
      </c>
      <c r="AF11" s="31">
        <f t="shared" si="3"/>
        <v>1086</v>
      </c>
    </row>
    <row r="12" spans="2:32" ht="23.1" customHeight="1">
      <c r="B12" s="23" t="s">
        <v>39</v>
      </c>
      <c r="C12" s="49">
        <f>AVERAGE('29.07 Najjeera-Kiwatule'!C12,'02.08 Najjeera-Kiwatule'!C12,'30.07 Najjeera-Kiwatule'!C12,'31.07 Najjeera-Kiwatule'!C12,'01.08 Najjeera-Kiwatule-24h'!C12,'03.08 Najjeera-Kiwatule-24h'!C12,'04.08 Najjeera-Kiwatule'!C12)</f>
        <v>121.85714285714286</v>
      </c>
      <c r="D12" s="49">
        <f>AVERAGE('29.07 Najjeera-Kiwatule'!D12,'02.08 Najjeera-Kiwatule'!D12,'30.07 Najjeera-Kiwatule'!D12,'31.07 Najjeera-Kiwatule'!D12,'01.08 Najjeera-Kiwatule-24h'!D12,'03.08 Najjeera-Kiwatule-24h'!D12,'04.08 Najjeera-Kiwatule'!D12)</f>
        <v>15.428571428571429</v>
      </c>
      <c r="E12" s="49">
        <f>AVERAGE('29.07 Najjeera-Kiwatule'!E12,'02.08 Najjeera-Kiwatule'!E12,'30.07 Najjeera-Kiwatule'!E12,'31.07 Najjeera-Kiwatule'!E12,'01.08 Najjeera-Kiwatule-24h'!E12,'03.08 Najjeera-Kiwatule-24h'!E12,'04.08 Najjeera-Kiwatule'!E12)</f>
        <v>10</v>
      </c>
      <c r="F12" s="49">
        <f>AVERAGE('29.07 Najjeera-Kiwatule'!F12,'02.08 Najjeera-Kiwatule'!F12,'30.07 Najjeera-Kiwatule'!F12,'31.07 Najjeera-Kiwatule'!F12,'01.08 Najjeera-Kiwatule-24h'!F12,'03.08 Najjeera-Kiwatule-24h'!F12,'04.08 Najjeera-Kiwatule'!F12)</f>
        <v>20</v>
      </c>
      <c r="G12" s="49">
        <f>AVERAGE('29.07 Najjeera-Kiwatule'!G12,'02.08 Najjeera-Kiwatule'!G12,'30.07 Najjeera-Kiwatule'!G12,'31.07 Najjeera-Kiwatule'!G12,'01.08 Najjeera-Kiwatule-24h'!G12,'03.08 Najjeera-Kiwatule-24h'!G12,'04.08 Najjeera-Kiwatule'!G12)</f>
        <v>0</v>
      </c>
      <c r="H12" s="49">
        <f>AVERAGE('29.07 Najjeera-Kiwatule'!H12,'02.08 Najjeera-Kiwatule'!H12,'30.07 Najjeera-Kiwatule'!H12,'31.07 Najjeera-Kiwatule'!H12,'01.08 Najjeera-Kiwatule-24h'!H12,'03.08 Najjeera-Kiwatule-24h'!H12,'04.08 Najjeera-Kiwatule'!H12)</f>
        <v>0</v>
      </c>
      <c r="I12" s="49">
        <f>AVERAGE('29.07 Najjeera-Kiwatule'!I12,'02.08 Najjeera-Kiwatule'!I12,'30.07 Najjeera-Kiwatule'!I12,'31.07 Najjeera-Kiwatule'!I12,'01.08 Najjeera-Kiwatule-24h'!I12,'03.08 Najjeera-Kiwatule-24h'!I12,'04.08 Najjeera-Kiwatule'!I12)</f>
        <v>2.5714285714285716</v>
      </c>
      <c r="J12" s="49">
        <f>AVERAGE('29.07 Najjeera-Kiwatule'!J12,'02.08 Najjeera-Kiwatule'!J12,'30.07 Najjeera-Kiwatule'!J12,'31.07 Najjeera-Kiwatule'!J12,'01.08 Najjeera-Kiwatule-24h'!J12,'03.08 Najjeera-Kiwatule-24h'!J12,'04.08 Najjeera-Kiwatule'!J12)</f>
        <v>1.1428571428571428</v>
      </c>
      <c r="K12" s="49">
        <f>AVERAGE('29.07 Najjeera-Kiwatule'!K12,'02.08 Najjeera-Kiwatule'!K12,'30.07 Najjeera-Kiwatule'!K12,'31.07 Najjeera-Kiwatule'!K12,'01.08 Najjeera-Kiwatule-24h'!K12,'03.08 Najjeera-Kiwatule-24h'!K12,'04.08 Najjeera-Kiwatule'!K12)</f>
        <v>0.14285714285714285</v>
      </c>
      <c r="L12" s="49">
        <f>AVERAGE('29.07 Najjeera-Kiwatule'!L12,'02.08 Najjeera-Kiwatule'!L12,'30.07 Najjeera-Kiwatule'!L12,'31.07 Najjeera-Kiwatule'!L12,'01.08 Najjeera-Kiwatule-24h'!L12,'03.08 Najjeera-Kiwatule-24h'!L12,'04.08 Najjeera-Kiwatule'!L12)</f>
        <v>0.14285714285714285</v>
      </c>
      <c r="M12" s="49">
        <f>AVERAGE('29.07 Najjeera-Kiwatule'!M12,'02.08 Najjeera-Kiwatule'!M12,'30.07 Najjeera-Kiwatule'!M12,'31.07 Najjeera-Kiwatule'!M12,'01.08 Najjeera-Kiwatule-24h'!M12,'03.08 Najjeera-Kiwatule-24h'!M12,'04.08 Najjeera-Kiwatule'!M12)</f>
        <v>107.42857142857143</v>
      </c>
      <c r="N12" s="49">
        <f>AVERAGE('29.07 Najjeera-Kiwatule'!N12,'02.08 Najjeera-Kiwatule'!N12,'30.07 Najjeera-Kiwatule'!N12,'31.07 Najjeera-Kiwatule'!N12,'01.08 Najjeera-Kiwatule-24h'!N12,'03.08 Najjeera-Kiwatule-24h'!N12,'04.08 Najjeera-Kiwatule'!N12)</f>
        <v>0</v>
      </c>
      <c r="O12" s="15">
        <f t="shared" si="0"/>
        <v>171.28571428571428</v>
      </c>
      <c r="P12" s="15">
        <f t="shared" si="1"/>
        <v>278.71428571428572</v>
      </c>
      <c r="R12" s="1" t="s">
        <v>8</v>
      </c>
      <c r="S12" s="17">
        <f t="shared" ref="S12:AF12" si="4">SUM(C18:C21)</f>
        <v>381.14285714285717</v>
      </c>
      <c r="T12" s="17">
        <f t="shared" si="4"/>
        <v>55</v>
      </c>
      <c r="U12" s="17">
        <f t="shared" si="4"/>
        <v>29.428571428571431</v>
      </c>
      <c r="V12" s="17">
        <f t="shared" si="4"/>
        <v>54</v>
      </c>
      <c r="W12" s="17">
        <f t="shared" si="4"/>
        <v>0.71428571428571419</v>
      </c>
      <c r="X12" s="17">
        <f t="shared" si="4"/>
        <v>0</v>
      </c>
      <c r="Y12" s="17">
        <f t="shared" si="4"/>
        <v>13.142857142857142</v>
      </c>
      <c r="Z12" s="17">
        <f t="shared" si="4"/>
        <v>1.8571428571428572</v>
      </c>
      <c r="AA12" s="17">
        <f t="shared" si="4"/>
        <v>0.85714285714285698</v>
      </c>
      <c r="AB12" s="17">
        <f t="shared" si="4"/>
        <v>0.14285714285714285</v>
      </c>
      <c r="AC12" s="17">
        <f t="shared" si="4"/>
        <v>391</v>
      </c>
      <c r="AD12" s="17">
        <f t="shared" si="4"/>
        <v>0</v>
      </c>
      <c r="AE12" s="31">
        <f t="shared" si="4"/>
        <v>536.28571428571422</v>
      </c>
      <c r="AF12" s="31">
        <f t="shared" si="4"/>
        <v>927.28571428571422</v>
      </c>
    </row>
    <row r="13" spans="2:32" ht="23.1" customHeight="1">
      <c r="B13" s="23" t="s">
        <v>40</v>
      </c>
      <c r="C13" s="49">
        <f>AVERAGE('29.07 Najjeera-Kiwatule'!C13,'02.08 Najjeera-Kiwatule'!C13,'30.07 Najjeera-Kiwatule'!C13,'31.07 Najjeera-Kiwatule'!C13,'01.08 Najjeera-Kiwatule-24h'!C13,'03.08 Najjeera-Kiwatule-24h'!C13,'04.08 Najjeera-Kiwatule'!C13)</f>
        <v>131.57142857142858</v>
      </c>
      <c r="D13" s="49">
        <f>AVERAGE('29.07 Najjeera-Kiwatule'!D13,'02.08 Najjeera-Kiwatule'!D13,'30.07 Najjeera-Kiwatule'!D13,'31.07 Najjeera-Kiwatule'!D13,'01.08 Najjeera-Kiwatule-24h'!D13,'03.08 Najjeera-Kiwatule-24h'!D13,'04.08 Najjeera-Kiwatule'!D13)</f>
        <v>13.857142857142858</v>
      </c>
      <c r="E13" s="49">
        <f>AVERAGE('29.07 Najjeera-Kiwatule'!E13,'02.08 Najjeera-Kiwatule'!E13,'30.07 Najjeera-Kiwatule'!E13,'31.07 Najjeera-Kiwatule'!E13,'01.08 Najjeera-Kiwatule-24h'!E13,'03.08 Najjeera-Kiwatule-24h'!E13,'04.08 Najjeera-Kiwatule'!E13)</f>
        <v>10.714285714285714</v>
      </c>
      <c r="F13" s="49">
        <f>AVERAGE('29.07 Najjeera-Kiwatule'!F13,'02.08 Najjeera-Kiwatule'!F13,'30.07 Najjeera-Kiwatule'!F13,'31.07 Najjeera-Kiwatule'!F13,'01.08 Najjeera-Kiwatule-24h'!F13,'03.08 Najjeera-Kiwatule-24h'!F13,'04.08 Najjeera-Kiwatule'!F13)</f>
        <v>20</v>
      </c>
      <c r="G13" s="49">
        <f>AVERAGE('29.07 Najjeera-Kiwatule'!G13,'02.08 Najjeera-Kiwatule'!G13,'30.07 Najjeera-Kiwatule'!G13,'31.07 Najjeera-Kiwatule'!G13,'01.08 Najjeera-Kiwatule-24h'!G13,'03.08 Najjeera-Kiwatule-24h'!G13,'04.08 Najjeera-Kiwatule'!G13)</f>
        <v>0.7142857142857143</v>
      </c>
      <c r="H13" s="49">
        <f>AVERAGE('29.07 Najjeera-Kiwatule'!H13,'02.08 Najjeera-Kiwatule'!H13,'30.07 Najjeera-Kiwatule'!H13,'31.07 Najjeera-Kiwatule'!H13,'01.08 Najjeera-Kiwatule-24h'!H13,'03.08 Najjeera-Kiwatule-24h'!H13,'04.08 Najjeera-Kiwatule'!H13)</f>
        <v>0</v>
      </c>
      <c r="I13" s="49">
        <f>AVERAGE('29.07 Najjeera-Kiwatule'!I13,'02.08 Najjeera-Kiwatule'!I13,'30.07 Najjeera-Kiwatule'!I13,'31.07 Najjeera-Kiwatule'!I13,'01.08 Najjeera-Kiwatule-24h'!I13,'03.08 Najjeera-Kiwatule-24h'!I13,'04.08 Najjeera-Kiwatule'!I13)</f>
        <v>2.7142857142857144</v>
      </c>
      <c r="J13" s="49">
        <f>AVERAGE('29.07 Najjeera-Kiwatule'!J13,'02.08 Najjeera-Kiwatule'!J13,'30.07 Najjeera-Kiwatule'!J13,'31.07 Najjeera-Kiwatule'!J13,'01.08 Najjeera-Kiwatule-24h'!J13,'03.08 Najjeera-Kiwatule-24h'!J13,'04.08 Najjeera-Kiwatule'!J13)</f>
        <v>0.14285714285714285</v>
      </c>
      <c r="K13" s="49">
        <f>AVERAGE('29.07 Najjeera-Kiwatule'!K13,'02.08 Najjeera-Kiwatule'!K13,'30.07 Najjeera-Kiwatule'!K13,'31.07 Najjeera-Kiwatule'!K13,'01.08 Najjeera-Kiwatule-24h'!K13,'03.08 Najjeera-Kiwatule-24h'!K13,'04.08 Najjeera-Kiwatule'!K13)</f>
        <v>0</v>
      </c>
      <c r="L13" s="49">
        <f>AVERAGE('29.07 Najjeera-Kiwatule'!L13,'02.08 Najjeera-Kiwatule'!L13,'30.07 Najjeera-Kiwatule'!L13,'31.07 Najjeera-Kiwatule'!L13,'01.08 Najjeera-Kiwatule-24h'!L13,'03.08 Najjeera-Kiwatule-24h'!L13,'04.08 Najjeera-Kiwatule'!L13)</f>
        <v>0</v>
      </c>
      <c r="M13" s="49">
        <f>AVERAGE('29.07 Najjeera-Kiwatule'!M13,'02.08 Najjeera-Kiwatule'!M13,'30.07 Najjeera-Kiwatule'!M13,'31.07 Najjeera-Kiwatule'!M13,'01.08 Najjeera-Kiwatule-24h'!M13,'03.08 Najjeera-Kiwatule-24h'!M13,'04.08 Najjeera-Kiwatule'!M13)</f>
        <v>100.57142857142857</v>
      </c>
      <c r="N13" s="49">
        <f>AVERAGE('29.07 Najjeera-Kiwatule'!N13,'02.08 Najjeera-Kiwatule'!N13,'30.07 Najjeera-Kiwatule'!N13,'31.07 Najjeera-Kiwatule'!N13,'01.08 Najjeera-Kiwatule-24h'!N13,'03.08 Najjeera-Kiwatule-24h'!N13,'04.08 Najjeera-Kiwatule'!N13)</f>
        <v>0</v>
      </c>
      <c r="O13" s="15">
        <f t="shared" si="0"/>
        <v>179.71428571428575</v>
      </c>
      <c r="P13" s="15">
        <f t="shared" si="1"/>
        <v>280.28571428571433</v>
      </c>
      <c r="R13" s="1" t="s">
        <v>9</v>
      </c>
      <c r="S13" s="17">
        <f t="shared" ref="S13:AF13" si="5">SUM(C22:C25)</f>
        <v>347.42857142857139</v>
      </c>
      <c r="T13" s="17">
        <f t="shared" si="5"/>
        <v>57.999999999999993</v>
      </c>
      <c r="U13" s="17">
        <f t="shared" si="5"/>
        <v>36.285714285714292</v>
      </c>
      <c r="V13" s="17">
        <f t="shared" si="5"/>
        <v>58.142857142857146</v>
      </c>
      <c r="W13" s="17">
        <f t="shared" si="5"/>
        <v>0.5714285714285714</v>
      </c>
      <c r="X13" s="17">
        <f t="shared" si="5"/>
        <v>0</v>
      </c>
      <c r="Y13" s="17">
        <f t="shared" si="5"/>
        <v>15.714285714285715</v>
      </c>
      <c r="Z13" s="17">
        <f t="shared" si="5"/>
        <v>5.2857142857142865</v>
      </c>
      <c r="AA13" s="17">
        <f t="shared" si="5"/>
        <v>0.99999999999999989</v>
      </c>
      <c r="AB13" s="17">
        <f t="shared" si="5"/>
        <v>0.42857142857142855</v>
      </c>
      <c r="AC13" s="17">
        <f t="shared" si="5"/>
        <v>361</v>
      </c>
      <c r="AD13" s="17">
        <f t="shared" si="5"/>
        <v>0</v>
      </c>
      <c r="AE13" s="31">
        <f t="shared" si="5"/>
        <v>522.85714285714278</v>
      </c>
      <c r="AF13" s="31">
        <f t="shared" si="5"/>
        <v>883.85714285714278</v>
      </c>
    </row>
    <row r="14" spans="2:32" ht="23.1" customHeight="1">
      <c r="B14" s="23" t="s">
        <v>41</v>
      </c>
      <c r="C14" s="49">
        <f>AVERAGE('29.07 Najjeera-Kiwatule'!C14,'02.08 Najjeera-Kiwatule'!C14,'30.07 Najjeera-Kiwatule'!C14,'31.07 Najjeera-Kiwatule'!C14,'01.08 Najjeera-Kiwatule-24h'!C14,'03.08 Najjeera-Kiwatule-24h'!C14,'04.08 Najjeera-Kiwatule'!C14)</f>
        <v>125.71428571428571</v>
      </c>
      <c r="D14" s="49">
        <f>AVERAGE('29.07 Najjeera-Kiwatule'!D14,'02.08 Najjeera-Kiwatule'!D14,'30.07 Najjeera-Kiwatule'!D14,'31.07 Najjeera-Kiwatule'!D14,'01.08 Najjeera-Kiwatule-24h'!D14,'03.08 Najjeera-Kiwatule-24h'!D14,'04.08 Najjeera-Kiwatule'!D14)</f>
        <v>16.857142857142858</v>
      </c>
      <c r="E14" s="49">
        <f>AVERAGE('29.07 Najjeera-Kiwatule'!E14,'02.08 Najjeera-Kiwatule'!E14,'30.07 Najjeera-Kiwatule'!E14,'31.07 Najjeera-Kiwatule'!E14,'01.08 Najjeera-Kiwatule-24h'!E14,'03.08 Najjeera-Kiwatule-24h'!E14,'04.08 Najjeera-Kiwatule'!E14)</f>
        <v>7.2857142857142856</v>
      </c>
      <c r="F14" s="49">
        <f>AVERAGE('29.07 Najjeera-Kiwatule'!F14,'02.08 Najjeera-Kiwatule'!F14,'30.07 Najjeera-Kiwatule'!F14,'31.07 Najjeera-Kiwatule'!F14,'01.08 Najjeera-Kiwatule-24h'!F14,'03.08 Najjeera-Kiwatule-24h'!F14,'04.08 Najjeera-Kiwatule'!F14)</f>
        <v>20.428571428571427</v>
      </c>
      <c r="G14" s="49">
        <f>AVERAGE('29.07 Najjeera-Kiwatule'!G14,'02.08 Najjeera-Kiwatule'!G14,'30.07 Najjeera-Kiwatule'!G14,'31.07 Najjeera-Kiwatule'!G14,'01.08 Najjeera-Kiwatule-24h'!G14,'03.08 Najjeera-Kiwatule-24h'!G14,'04.08 Najjeera-Kiwatule'!G14)</f>
        <v>0.14285714285714285</v>
      </c>
      <c r="H14" s="49">
        <f>AVERAGE('29.07 Najjeera-Kiwatule'!H14,'02.08 Najjeera-Kiwatule'!H14,'30.07 Najjeera-Kiwatule'!H14,'31.07 Najjeera-Kiwatule'!H14,'01.08 Najjeera-Kiwatule-24h'!H14,'03.08 Najjeera-Kiwatule-24h'!H14,'04.08 Najjeera-Kiwatule'!H14)</f>
        <v>0</v>
      </c>
      <c r="I14" s="49">
        <f>AVERAGE('29.07 Najjeera-Kiwatule'!I14,'02.08 Najjeera-Kiwatule'!I14,'30.07 Najjeera-Kiwatule'!I14,'31.07 Najjeera-Kiwatule'!I14,'01.08 Najjeera-Kiwatule-24h'!I14,'03.08 Najjeera-Kiwatule-24h'!I14,'04.08 Najjeera-Kiwatule'!I14)</f>
        <v>4.2857142857142856</v>
      </c>
      <c r="J14" s="49">
        <f>AVERAGE('29.07 Najjeera-Kiwatule'!J14,'02.08 Najjeera-Kiwatule'!J14,'30.07 Najjeera-Kiwatule'!J14,'31.07 Najjeera-Kiwatule'!J14,'01.08 Najjeera-Kiwatule-24h'!J14,'03.08 Najjeera-Kiwatule-24h'!J14,'04.08 Najjeera-Kiwatule'!J14)</f>
        <v>0.2857142857142857</v>
      </c>
      <c r="K14" s="49">
        <f>AVERAGE('29.07 Najjeera-Kiwatule'!K14,'02.08 Najjeera-Kiwatule'!K14,'30.07 Najjeera-Kiwatule'!K14,'31.07 Najjeera-Kiwatule'!K14,'01.08 Najjeera-Kiwatule-24h'!K14,'03.08 Najjeera-Kiwatule-24h'!K14,'04.08 Najjeera-Kiwatule'!K14)</f>
        <v>0.7142857142857143</v>
      </c>
      <c r="L14" s="49">
        <f>AVERAGE('29.07 Najjeera-Kiwatule'!L14,'02.08 Najjeera-Kiwatule'!L14,'30.07 Najjeera-Kiwatule'!L14,'31.07 Najjeera-Kiwatule'!L14,'01.08 Najjeera-Kiwatule-24h'!L14,'03.08 Najjeera-Kiwatule-24h'!L14,'04.08 Najjeera-Kiwatule'!L14)</f>
        <v>0</v>
      </c>
      <c r="M14" s="49">
        <f>AVERAGE('29.07 Najjeera-Kiwatule'!M14,'02.08 Najjeera-Kiwatule'!M14,'30.07 Najjeera-Kiwatule'!M14,'31.07 Najjeera-Kiwatule'!M14,'01.08 Najjeera-Kiwatule-24h'!M14,'03.08 Najjeera-Kiwatule-24h'!M14,'04.08 Najjeera-Kiwatule'!M14)</f>
        <v>110.28571428571429</v>
      </c>
      <c r="N14" s="49">
        <f>AVERAGE('29.07 Najjeera-Kiwatule'!N14,'02.08 Najjeera-Kiwatule'!N14,'30.07 Najjeera-Kiwatule'!N14,'31.07 Najjeera-Kiwatule'!N14,'01.08 Najjeera-Kiwatule-24h'!N14,'03.08 Najjeera-Kiwatule-24h'!N14,'04.08 Najjeera-Kiwatule'!N14)</f>
        <v>0.14285714285714285</v>
      </c>
      <c r="O14" s="15">
        <f t="shared" si="0"/>
        <v>175.8571428571428</v>
      </c>
      <c r="P14" s="15">
        <f t="shared" si="1"/>
        <v>286.14285714285711</v>
      </c>
      <c r="R14" s="1" t="s">
        <v>10</v>
      </c>
      <c r="S14" s="17">
        <f t="shared" ref="S14:AF14" si="6">SUM(C26:C29)</f>
        <v>320.28571428571433</v>
      </c>
      <c r="T14" s="17">
        <f t="shared" si="6"/>
        <v>48</v>
      </c>
      <c r="U14" s="17">
        <f t="shared" si="6"/>
        <v>35.714285714285715</v>
      </c>
      <c r="V14" s="17">
        <f t="shared" si="6"/>
        <v>54.428571428571423</v>
      </c>
      <c r="W14" s="17">
        <f t="shared" si="6"/>
        <v>0</v>
      </c>
      <c r="X14" s="17">
        <f t="shared" si="6"/>
        <v>0</v>
      </c>
      <c r="Y14" s="17">
        <f t="shared" si="6"/>
        <v>15.857142857142858</v>
      </c>
      <c r="Z14" s="17">
        <f t="shared" si="6"/>
        <v>4.7142857142857135</v>
      </c>
      <c r="AA14" s="17">
        <f t="shared" si="6"/>
        <v>2.1428571428571428</v>
      </c>
      <c r="AB14" s="17">
        <f t="shared" si="6"/>
        <v>0.5714285714285714</v>
      </c>
      <c r="AC14" s="17">
        <f t="shared" si="6"/>
        <v>343.71428571428567</v>
      </c>
      <c r="AD14" s="17">
        <f t="shared" si="6"/>
        <v>0</v>
      </c>
      <c r="AE14" s="31">
        <f t="shared" si="6"/>
        <v>481.71428571428572</v>
      </c>
      <c r="AF14" s="31">
        <f t="shared" si="6"/>
        <v>825.42857142857144</v>
      </c>
    </row>
    <row r="15" spans="2:32" ht="23.1" customHeight="1">
      <c r="B15" s="23" t="s">
        <v>42</v>
      </c>
      <c r="C15" s="49">
        <f>AVERAGE('29.07 Najjeera-Kiwatule'!C15,'02.08 Najjeera-Kiwatule'!C15,'30.07 Najjeera-Kiwatule'!C15,'31.07 Najjeera-Kiwatule'!C15,'01.08 Najjeera-Kiwatule-24h'!C15,'03.08 Najjeera-Kiwatule-24h'!C15,'04.08 Najjeera-Kiwatule'!C15)</f>
        <v>125.28571428571429</v>
      </c>
      <c r="D15" s="49">
        <f>AVERAGE('29.07 Najjeera-Kiwatule'!D15,'02.08 Najjeera-Kiwatule'!D15,'30.07 Najjeera-Kiwatule'!D15,'31.07 Najjeera-Kiwatule'!D15,'01.08 Najjeera-Kiwatule-24h'!D15,'03.08 Najjeera-Kiwatule-24h'!D15,'04.08 Najjeera-Kiwatule'!D15)</f>
        <v>13.428571428571429</v>
      </c>
      <c r="E15" s="49">
        <f>AVERAGE('29.07 Najjeera-Kiwatule'!E15,'02.08 Najjeera-Kiwatule'!E15,'30.07 Najjeera-Kiwatule'!E15,'31.07 Najjeera-Kiwatule'!E15,'01.08 Najjeera-Kiwatule-24h'!E15,'03.08 Najjeera-Kiwatule-24h'!E15,'04.08 Najjeera-Kiwatule'!E15)</f>
        <v>7.2857142857142856</v>
      </c>
      <c r="F15" s="49">
        <f>AVERAGE('29.07 Najjeera-Kiwatule'!F15,'02.08 Najjeera-Kiwatule'!F15,'30.07 Najjeera-Kiwatule'!F15,'31.07 Najjeera-Kiwatule'!F15,'01.08 Najjeera-Kiwatule-24h'!F15,'03.08 Najjeera-Kiwatule-24h'!F15,'04.08 Najjeera-Kiwatule'!F15)</f>
        <v>21</v>
      </c>
      <c r="G15" s="49">
        <f>AVERAGE('29.07 Najjeera-Kiwatule'!G15,'02.08 Najjeera-Kiwatule'!G15,'30.07 Najjeera-Kiwatule'!G15,'31.07 Najjeera-Kiwatule'!G15,'01.08 Najjeera-Kiwatule-24h'!G15,'03.08 Najjeera-Kiwatule-24h'!G15,'04.08 Najjeera-Kiwatule'!G15)</f>
        <v>0</v>
      </c>
      <c r="H15" s="49">
        <f>AVERAGE('29.07 Najjeera-Kiwatule'!H15,'02.08 Najjeera-Kiwatule'!H15,'30.07 Najjeera-Kiwatule'!H15,'31.07 Najjeera-Kiwatule'!H15,'01.08 Najjeera-Kiwatule-24h'!H15,'03.08 Najjeera-Kiwatule-24h'!H15,'04.08 Najjeera-Kiwatule'!H15)</f>
        <v>0</v>
      </c>
      <c r="I15" s="49">
        <f>AVERAGE('29.07 Najjeera-Kiwatule'!I15,'02.08 Najjeera-Kiwatule'!I15,'30.07 Najjeera-Kiwatule'!I15,'31.07 Najjeera-Kiwatule'!I15,'01.08 Najjeera-Kiwatule-24h'!I15,'03.08 Najjeera-Kiwatule-24h'!I15,'04.08 Najjeera-Kiwatule'!I15)</f>
        <v>3</v>
      </c>
      <c r="J15" s="49">
        <f>AVERAGE('29.07 Najjeera-Kiwatule'!J15,'02.08 Najjeera-Kiwatule'!J15,'30.07 Najjeera-Kiwatule'!J15,'31.07 Najjeera-Kiwatule'!J15,'01.08 Najjeera-Kiwatule-24h'!J15,'03.08 Najjeera-Kiwatule-24h'!J15,'04.08 Najjeera-Kiwatule'!J15)</f>
        <v>0.5714285714285714</v>
      </c>
      <c r="K15" s="49">
        <f>AVERAGE('29.07 Najjeera-Kiwatule'!K15,'02.08 Najjeera-Kiwatule'!K15,'30.07 Najjeera-Kiwatule'!K15,'31.07 Najjeera-Kiwatule'!K15,'01.08 Najjeera-Kiwatule-24h'!K15,'03.08 Najjeera-Kiwatule-24h'!K15,'04.08 Najjeera-Kiwatule'!K15)</f>
        <v>0</v>
      </c>
      <c r="L15" s="49">
        <f>AVERAGE('29.07 Najjeera-Kiwatule'!L15,'02.08 Najjeera-Kiwatule'!L15,'30.07 Najjeera-Kiwatule'!L15,'31.07 Najjeera-Kiwatule'!L15,'01.08 Najjeera-Kiwatule-24h'!L15,'03.08 Najjeera-Kiwatule-24h'!L15,'04.08 Najjeera-Kiwatule'!L15)</f>
        <v>0</v>
      </c>
      <c r="M15" s="49">
        <f>AVERAGE('29.07 Najjeera-Kiwatule'!M15,'02.08 Najjeera-Kiwatule'!M15,'30.07 Najjeera-Kiwatule'!M15,'31.07 Najjeera-Kiwatule'!M15,'01.08 Najjeera-Kiwatule-24h'!M15,'03.08 Najjeera-Kiwatule-24h'!M15,'04.08 Najjeera-Kiwatule'!M15)</f>
        <v>99</v>
      </c>
      <c r="N15" s="49">
        <f>AVERAGE('29.07 Najjeera-Kiwatule'!N15,'02.08 Najjeera-Kiwatule'!N15,'30.07 Najjeera-Kiwatule'!N15,'31.07 Najjeera-Kiwatule'!N15,'01.08 Najjeera-Kiwatule-24h'!N15,'03.08 Najjeera-Kiwatule-24h'!N15,'04.08 Najjeera-Kiwatule'!N15)</f>
        <v>0</v>
      </c>
      <c r="O15" s="15">
        <f t="shared" si="0"/>
        <v>170.57142857142858</v>
      </c>
      <c r="P15" s="15">
        <f t="shared" si="1"/>
        <v>269.57142857142856</v>
      </c>
      <c r="R15" s="1" t="s">
        <v>11</v>
      </c>
      <c r="S15" s="17">
        <f t="shared" ref="S15:AF15" si="7">SUM(C30:C33)</f>
        <v>335.71428571428567</v>
      </c>
      <c r="T15" s="17">
        <f t="shared" si="7"/>
        <v>49.714285714285708</v>
      </c>
      <c r="U15" s="17">
        <f t="shared" si="7"/>
        <v>29.142857142857142</v>
      </c>
      <c r="V15" s="17">
        <f t="shared" si="7"/>
        <v>53.428571428571431</v>
      </c>
      <c r="W15" s="17">
        <f t="shared" si="7"/>
        <v>0</v>
      </c>
      <c r="X15" s="17">
        <f t="shared" si="7"/>
        <v>0</v>
      </c>
      <c r="Y15" s="17">
        <f t="shared" si="7"/>
        <v>16.285714285714285</v>
      </c>
      <c r="Z15" s="17">
        <f t="shared" si="7"/>
        <v>4.1428571428571432</v>
      </c>
      <c r="AA15" s="17">
        <f t="shared" si="7"/>
        <v>1.7142857142857142</v>
      </c>
      <c r="AB15" s="17">
        <f t="shared" si="7"/>
        <v>0.14285714285714285</v>
      </c>
      <c r="AC15" s="17">
        <f t="shared" si="7"/>
        <v>328.71428571428572</v>
      </c>
      <c r="AD15" s="17">
        <f t="shared" si="7"/>
        <v>0</v>
      </c>
      <c r="AE15" s="31">
        <f t="shared" si="7"/>
        <v>490.28571428571422</v>
      </c>
      <c r="AF15" s="31">
        <f t="shared" si="7"/>
        <v>818.99999999999989</v>
      </c>
    </row>
    <row r="16" spans="2:32" ht="23.1" customHeight="1">
      <c r="B16" s="23" t="s">
        <v>43</v>
      </c>
      <c r="C16" s="49">
        <f>AVERAGE('29.07 Najjeera-Kiwatule'!C16,'02.08 Najjeera-Kiwatule'!C16,'30.07 Najjeera-Kiwatule'!C16,'31.07 Najjeera-Kiwatule'!C16,'01.08 Najjeera-Kiwatule-24h'!C16,'03.08 Najjeera-Kiwatule-24h'!C16,'04.08 Najjeera-Kiwatule'!C16)</f>
        <v>114.42857142857143</v>
      </c>
      <c r="D16" s="49">
        <f>AVERAGE('29.07 Najjeera-Kiwatule'!D16,'02.08 Najjeera-Kiwatule'!D16,'30.07 Najjeera-Kiwatule'!D16,'31.07 Najjeera-Kiwatule'!D16,'01.08 Najjeera-Kiwatule-24h'!D16,'03.08 Najjeera-Kiwatule-24h'!D16,'04.08 Najjeera-Kiwatule'!D16)</f>
        <v>20.714285714285715</v>
      </c>
      <c r="E16" s="49">
        <f>AVERAGE('29.07 Najjeera-Kiwatule'!E16,'02.08 Najjeera-Kiwatule'!E16,'30.07 Najjeera-Kiwatule'!E16,'31.07 Najjeera-Kiwatule'!E16,'01.08 Najjeera-Kiwatule-24h'!E16,'03.08 Najjeera-Kiwatule-24h'!E16,'04.08 Najjeera-Kiwatule'!E16)</f>
        <v>9.2857142857142865</v>
      </c>
      <c r="F16" s="49">
        <f>AVERAGE('29.07 Najjeera-Kiwatule'!F16,'02.08 Najjeera-Kiwatule'!F16,'30.07 Najjeera-Kiwatule'!F16,'31.07 Najjeera-Kiwatule'!F16,'01.08 Najjeera-Kiwatule-24h'!F16,'03.08 Najjeera-Kiwatule-24h'!F16,'04.08 Najjeera-Kiwatule'!F16)</f>
        <v>18.857142857142858</v>
      </c>
      <c r="G16" s="49">
        <f>AVERAGE('29.07 Najjeera-Kiwatule'!G16,'02.08 Najjeera-Kiwatule'!G16,'30.07 Najjeera-Kiwatule'!G16,'31.07 Najjeera-Kiwatule'!G16,'01.08 Najjeera-Kiwatule-24h'!G16,'03.08 Najjeera-Kiwatule-24h'!G16,'04.08 Najjeera-Kiwatule'!G16)</f>
        <v>0</v>
      </c>
      <c r="H16" s="49">
        <f>AVERAGE('29.07 Najjeera-Kiwatule'!H16,'02.08 Najjeera-Kiwatule'!H16,'30.07 Najjeera-Kiwatule'!H16,'31.07 Najjeera-Kiwatule'!H16,'01.08 Najjeera-Kiwatule-24h'!H16,'03.08 Najjeera-Kiwatule-24h'!H16,'04.08 Najjeera-Kiwatule'!H16)</f>
        <v>0</v>
      </c>
      <c r="I16" s="49">
        <f>AVERAGE('29.07 Najjeera-Kiwatule'!I16,'02.08 Najjeera-Kiwatule'!I16,'30.07 Najjeera-Kiwatule'!I16,'31.07 Najjeera-Kiwatule'!I16,'01.08 Najjeera-Kiwatule-24h'!I16,'03.08 Najjeera-Kiwatule-24h'!I16,'04.08 Najjeera-Kiwatule'!I16)</f>
        <v>2.4285714285714284</v>
      </c>
      <c r="J16" s="49">
        <f>AVERAGE('29.07 Najjeera-Kiwatule'!J16,'02.08 Najjeera-Kiwatule'!J16,'30.07 Najjeera-Kiwatule'!J16,'31.07 Najjeera-Kiwatule'!J16,'01.08 Najjeera-Kiwatule-24h'!J16,'03.08 Najjeera-Kiwatule-24h'!J16,'04.08 Najjeera-Kiwatule'!J16)</f>
        <v>1</v>
      </c>
      <c r="K16" s="49">
        <f>AVERAGE('29.07 Najjeera-Kiwatule'!K16,'02.08 Najjeera-Kiwatule'!K16,'30.07 Najjeera-Kiwatule'!K16,'31.07 Najjeera-Kiwatule'!K16,'01.08 Najjeera-Kiwatule-24h'!K16,'03.08 Najjeera-Kiwatule-24h'!K16,'04.08 Najjeera-Kiwatule'!K16)</f>
        <v>0.14285714285714285</v>
      </c>
      <c r="L16" s="49">
        <f>AVERAGE('29.07 Najjeera-Kiwatule'!L16,'02.08 Najjeera-Kiwatule'!L16,'30.07 Najjeera-Kiwatule'!L16,'31.07 Najjeera-Kiwatule'!L16,'01.08 Najjeera-Kiwatule-24h'!L16,'03.08 Najjeera-Kiwatule-24h'!L16,'04.08 Najjeera-Kiwatule'!L16)</f>
        <v>0.2857142857142857</v>
      </c>
      <c r="M16" s="49">
        <f>AVERAGE('29.07 Najjeera-Kiwatule'!M16,'02.08 Najjeera-Kiwatule'!M16,'30.07 Najjeera-Kiwatule'!M16,'31.07 Najjeera-Kiwatule'!M16,'01.08 Najjeera-Kiwatule-24h'!M16,'03.08 Najjeera-Kiwatule-24h'!M16,'04.08 Najjeera-Kiwatule'!M16)</f>
        <v>101.85714285714286</v>
      </c>
      <c r="N16" s="49">
        <f>AVERAGE('29.07 Najjeera-Kiwatule'!N16,'02.08 Najjeera-Kiwatule'!N16,'30.07 Najjeera-Kiwatule'!N16,'31.07 Najjeera-Kiwatule'!N16,'01.08 Najjeera-Kiwatule-24h'!N16,'03.08 Najjeera-Kiwatule-24h'!N16,'04.08 Najjeera-Kiwatule'!N16)</f>
        <v>0</v>
      </c>
      <c r="O16" s="15">
        <f t="shared" si="0"/>
        <v>167.14285714285711</v>
      </c>
      <c r="P16" s="15">
        <f t="shared" si="1"/>
        <v>269</v>
      </c>
      <c r="R16" s="1" t="s">
        <v>12</v>
      </c>
      <c r="S16" s="17">
        <f t="shared" ref="S16:AF16" si="8">SUM(C34:C37)</f>
        <v>254.14285714285714</v>
      </c>
      <c r="T16" s="17">
        <f t="shared" si="8"/>
        <v>34.571428571428569</v>
      </c>
      <c r="U16" s="17">
        <f t="shared" si="8"/>
        <v>25.428571428571431</v>
      </c>
      <c r="V16" s="17">
        <f t="shared" si="8"/>
        <v>42.857142857142847</v>
      </c>
      <c r="W16" s="17">
        <f t="shared" si="8"/>
        <v>0.8571428571428571</v>
      </c>
      <c r="X16" s="17">
        <f t="shared" si="8"/>
        <v>0.42857142857142855</v>
      </c>
      <c r="Y16" s="17">
        <f t="shared" si="8"/>
        <v>17.857142857142858</v>
      </c>
      <c r="Z16" s="17">
        <f t="shared" si="8"/>
        <v>3.1428571428571428</v>
      </c>
      <c r="AA16" s="17">
        <f t="shared" si="8"/>
        <v>1.4285714285714284</v>
      </c>
      <c r="AB16" s="17">
        <f t="shared" si="8"/>
        <v>0.2857142857142857</v>
      </c>
      <c r="AC16" s="17">
        <f t="shared" si="8"/>
        <v>311.42857142857144</v>
      </c>
      <c r="AD16" s="17">
        <f t="shared" si="8"/>
        <v>0</v>
      </c>
      <c r="AE16" s="31">
        <f t="shared" si="8"/>
        <v>381.00000000000006</v>
      </c>
      <c r="AF16" s="31">
        <f t="shared" si="8"/>
        <v>692.42857142857144</v>
      </c>
    </row>
    <row r="17" spans="2:32" ht="23.1" customHeight="1">
      <c r="B17" s="23" t="s">
        <v>44</v>
      </c>
      <c r="C17" s="49">
        <f>AVERAGE('29.07 Najjeera-Kiwatule'!C17,'02.08 Najjeera-Kiwatule'!C17,'30.07 Najjeera-Kiwatule'!C17,'31.07 Najjeera-Kiwatule'!C17,'01.08 Najjeera-Kiwatule-24h'!C17,'03.08 Najjeera-Kiwatule-24h'!C17,'04.08 Najjeera-Kiwatule'!C17)</f>
        <v>115.85714285714286</v>
      </c>
      <c r="D17" s="49">
        <f>AVERAGE('29.07 Najjeera-Kiwatule'!D17,'02.08 Najjeera-Kiwatule'!D17,'30.07 Najjeera-Kiwatule'!D17,'31.07 Najjeera-Kiwatule'!D17,'01.08 Najjeera-Kiwatule-24h'!D17,'03.08 Najjeera-Kiwatule-24h'!D17,'04.08 Najjeera-Kiwatule'!D17)</f>
        <v>17.857142857142858</v>
      </c>
      <c r="E17" s="49">
        <f>AVERAGE('29.07 Najjeera-Kiwatule'!E17,'02.08 Najjeera-Kiwatule'!E17,'30.07 Najjeera-Kiwatule'!E17,'31.07 Najjeera-Kiwatule'!E17,'01.08 Najjeera-Kiwatule-24h'!E17,'03.08 Najjeera-Kiwatule-24h'!E17,'04.08 Najjeera-Kiwatule'!E17)</f>
        <v>8.1428571428571423</v>
      </c>
      <c r="F17" s="49">
        <f>AVERAGE('29.07 Najjeera-Kiwatule'!F17,'02.08 Najjeera-Kiwatule'!F17,'30.07 Najjeera-Kiwatule'!F17,'31.07 Najjeera-Kiwatule'!F17,'01.08 Najjeera-Kiwatule-24h'!F17,'03.08 Najjeera-Kiwatule-24h'!F17,'04.08 Najjeera-Kiwatule'!F17)</f>
        <v>21</v>
      </c>
      <c r="G17" s="49">
        <f>AVERAGE('29.07 Najjeera-Kiwatule'!G17,'02.08 Najjeera-Kiwatule'!G17,'30.07 Najjeera-Kiwatule'!G17,'31.07 Najjeera-Kiwatule'!G17,'01.08 Najjeera-Kiwatule-24h'!G17,'03.08 Najjeera-Kiwatule-24h'!G17,'04.08 Najjeera-Kiwatule'!G17)</f>
        <v>0.2857142857142857</v>
      </c>
      <c r="H17" s="49">
        <f>AVERAGE('29.07 Najjeera-Kiwatule'!H17,'02.08 Najjeera-Kiwatule'!H17,'30.07 Najjeera-Kiwatule'!H17,'31.07 Najjeera-Kiwatule'!H17,'01.08 Najjeera-Kiwatule-24h'!H17,'03.08 Najjeera-Kiwatule-24h'!H17,'04.08 Najjeera-Kiwatule'!H17)</f>
        <v>0</v>
      </c>
      <c r="I17" s="49">
        <f>AVERAGE('29.07 Najjeera-Kiwatule'!I17,'02.08 Najjeera-Kiwatule'!I17,'30.07 Najjeera-Kiwatule'!I17,'31.07 Najjeera-Kiwatule'!I17,'01.08 Najjeera-Kiwatule-24h'!I17,'03.08 Najjeera-Kiwatule-24h'!I17,'04.08 Najjeera-Kiwatule'!I17)</f>
        <v>3.4285714285714284</v>
      </c>
      <c r="J17" s="49">
        <f>AVERAGE('29.07 Najjeera-Kiwatule'!J17,'02.08 Najjeera-Kiwatule'!J17,'30.07 Najjeera-Kiwatule'!J17,'31.07 Najjeera-Kiwatule'!J17,'01.08 Najjeera-Kiwatule-24h'!J17,'03.08 Najjeera-Kiwatule-24h'!J17,'04.08 Najjeera-Kiwatule'!J17)</f>
        <v>0.8571428571428571</v>
      </c>
      <c r="K17" s="49">
        <f>AVERAGE('29.07 Najjeera-Kiwatule'!K17,'02.08 Najjeera-Kiwatule'!K17,'30.07 Najjeera-Kiwatule'!K17,'31.07 Najjeera-Kiwatule'!K17,'01.08 Najjeera-Kiwatule-24h'!K17,'03.08 Najjeera-Kiwatule-24h'!K17,'04.08 Najjeera-Kiwatule'!K17)</f>
        <v>0.2857142857142857</v>
      </c>
      <c r="L17" s="49">
        <f>AVERAGE('29.07 Najjeera-Kiwatule'!L17,'02.08 Najjeera-Kiwatule'!L17,'30.07 Najjeera-Kiwatule'!L17,'31.07 Najjeera-Kiwatule'!L17,'01.08 Najjeera-Kiwatule-24h'!L17,'03.08 Najjeera-Kiwatule-24h'!L17,'04.08 Najjeera-Kiwatule'!L17)</f>
        <v>0</v>
      </c>
      <c r="M17" s="49">
        <f>AVERAGE('29.07 Najjeera-Kiwatule'!M17,'02.08 Najjeera-Kiwatule'!M17,'30.07 Najjeera-Kiwatule'!M17,'31.07 Najjeera-Kiwatule'!M17,'01.08 Najjeera-Kiwatule-24h'!M17,'03.08 Najjeera-Kiwatule-24h'!M17,'04.08 Najjeera-Kiwatule'!M17)</f>
        <v>93.571428571428569</v>
      </c>
      <c r="N17" s="49">
        <f>AVERAGE('29.07 Najjeera-Kiwatule'!N17,'02.08 Najjeera-Kiwatule'!N17,'30.07 Najjeera-Kiwatule'!N17,'31.07 Najjeera-Kiwatule'!N17,'01.08 Najjeera-Kiwatule-24h'!N17,'03.08 Najjeera-Kiwatule-24h'!N17,'04.08 Najjeera-Kiwatule'!N17)</f>
        <v>0</v>
      </c>
      <c r="O17" s="15">
        <f t="shared" si="0"/>
        <v>167.71428571428569</v>
      </c>
      <c r="P17" s="15">
        <f t="shared" si="1"/>
        <v>261.28571428571428</v>
      </c>
      <c r="R17" s="1" t="s">
        <v>13</v>
      </c>
      <c r="S17" s="17">
        <f t="shared" ref="S17:AF17" si="9">SUM(C38:C41)</f>
        <v>241.57142857142856</v>
      </c>
      <c r="T17" s="17">
        <f t="shared" si="9"/>
        <v>30.571428571428569</v>
      </c>
      <c r="U17" s="17">
        <f t="shared" si="9"/>
        <v>21.571428571428573</v>
      </c>
      <c r="V17" s="17">
        <f t="shared" si="9"/>
        <v>46.857142857142861</v>
      </c>
      <c r="W17" s="17">
        <f t="shared" si="9"/>
        <v>0.71428571428571419</v>
      </c>
      <c r="X17" s="17">
        <f t="shared" si="9"/>
        <v>0</v>
      </c>
      <c r="Y17" s="17">
        <f t="shared" si="9"/>
        <v>17.714285714285715</v>
      </c>
      <c r="Z17" s="17">
        <f t="shared" si="9"/>
        <v>2.2857142857142856</v>
      </c>
      <c r="AA17" s="17">
        <f t="shared" si="9"/>
        <v>0.8571428571428571</v>
      </c>
      <c r="AB17" s="17">
        <f t="shared" si="9"/>
        <v>0.5714285714285714</v>
      </c>
      <c r="AC17" s="17">
        <f t="shared" si="9"/>
        <v>313.42857142857144</v>
      </c>
      <c r="AD17" s="17">
        <f t="shared" si="9"/>
        <v>0</v>
      </c>
      <c r="AE17" s="31">
        <f t="shared" si="9"/>
        <v>362.71428571428578</v>
      </c>
      <c r="AF17" s="31">
        <f t="shared" si="9"/>
        <v>676.14285714285711</v>
      </c>
    </row>
    <row r="18" spans="2:32" ht="23.1" customHeight="1">
      <c r="B18" s="23" t="s">
        <v>45</v>
      </c>
      <c r="C18" s="49">
        <f>AVERAGE('29.07 Najjeera-Kiwatule'!C18,'02.08 Najjeera-Kiwatule'!C18,'30.07 Najjeera-Kiwatule'!C18,'31.07 Najjeera-Kiwatule'!C18,'01.08 Najjeera-Kiwatule-24h'!C18,'03.08 Najjeera-Kiwatule-24h'!C18,'04.08 Najjeera-Kiwatule'!C18)</f>
        <v>100.85714285714286</v>
      </c>
      <c r="D18" s="49">
        <f>AVERAGE('29.07 Najjeera-Kiwatule'!D18,'02.08 Najjeera-Kiwatule'!D18,'30.07 Najjeera-Kiwatule'!D18,'31.07 Najjeera-Kiwatule'!D18,'01.08 Najjeera-Kiwatule-24h'!D18,'03.08 Najjeera-Kiwatule-24h'!D18,'04.08 Najjeera-Kiwatule'!D18)</f>
        <v>12.142857142857142</v>
      </c>
      <c r="E18" s="49">
        <f>AVERAGE('29.07 Najjeera-Kiwatule'!E18,'02.08 Najjeera-Kiwatule'!E18,'30.07 Najjeera-Kiwatule'!E18,'31.07 Najjeera-Kiwatule'!E18,'01.08 Najjeera-Kiwatule-24h'!E18,'03.08 Najjeera-Kiwatule-24h'!E18,'04.08 Najjeera-Kiwatule'!E18)</f>
        <v>7.1428571428571432</v>
      </c>
      <c r="F18" s="49">
        <f>AVERAGE('29.07 Najjeera-Kiwatule'!F18,'02.08 Najjeera-Kiwatule'!F18,'30.07 Najjeera-Kiwatule'!F18,'31.07 Najjeera-Kiwatule'!F18,'01.08 Najjeera-Kiwatule-24h'!F18,'03.08 Najjeera-Kiwatule-24h'!F18,'04.08 Najjeera-Kiwatule'!F18)</f>
        <v>12.285714285714286</v>
      </c>
      <c r="G18" s="49">
        <f>AVERAGE('29.07 Najjeera-Kiwatule'!G18,'02.08 Najjeera-Kiwatule'!G18,'30.07 Najjeera-Kiwatule'!G18,'31.07 Najjeera-Kiwatule'!G18,'01.08 Najjeera-Kiwatule-24h'!G18,'03.08 Najjeera-Kiwatule-24h'!G18,'04.08 Najjeera-Kiwatule'!G18)</f>
        <v>0</v>
      </c>
      <c r="H18" s="49">
        <f>AVERAGE('29.07 Najjeera-Kiwatule'!H18,'02.08 Najjeera-Kiwatule'!H18,'30.07 Najjeera-Kiwatule'!H18,'31.07 Najjeera-Kiwatule'!H18,'01.08 Najjeera-Kiwatule-24h'!H18,'03.08 Najjeera-Kiwatule-24h'!H18,'04.08 Najjeera-Kiwatule'!H18)</f>
        <v>0</v>
      </c>
      <c r="I18" s="49">
        <f>AVERAGE('29.07 Najjeera-Kiwatule'!I18,'02.08 Najjeera-Kiwatule'!I18,'30.07 Najjeera-Kiwatule'!I18,'31.07 Najjeera-Kiwatule'!I18,'01.08 Najjeera-Kiwatule-24h'!I18,'03.08 Najjeera-Kiwatule-24h'!I18,'04.08 Najjeera-Kiwatule'!I18)</f>
        <v>3.2857142857142856</v>
      </c>
      <c r="J18" s="49">
        <f>AVERAGE('29.07 Najjeera-Kiwatule'!J18,'02.08 Najjeera-Kiwatule'!J18,'30.07 Najjeera-Kiwatule'!J18,'31.07 Najjeera-Kiwatule'!J18,'01.08 Najjeera-Kiwatule-24h'!J18,'03.08 Najjeera-Kiwatule-24h'!J18,'04.08 Najjeera-Kiwatule'!J18)</f>
        <v>0.7142857142857143</v>
      </c>
      <c r="K18" s="49">
        <f>AVERAGE('29.07 Najjeera-Kiwatule'!K18,'02.08 Najjeera-Kiwatule'!K18,'30.07 Najjeera-Kiwatule'!K18,'31.07 Najjeera-Kiwatule'!K18,'01.08 Najjeera-Kiwatule-24h'!K18,'03.08 Najjeera-Kiwatule-24h'!K18,'04.08 Najjeera-Kiwatule'!K18)</f>
        <v>0.2857142857142857</v>
      </c>
      <c r="L18" s="49">
        <f>AVERAGE('29.07 Najjeera-Kiwatule'!L18,'02.08 Najjeera-Kiwatule'!L18,'30.07 Najjeera-Kiwatule'!L18,'31.07 Najjeera-Kiwatule'!L18,'01.08 Najjeera-Kiwatule-24h'!L18,'03.08 Najjeera-Kiwatule-24h'!L18,'04.08 Najjeera-Kiwatule'!L18)</f>
        <v>0</v>
      </c>
      <c r="M18" s="49">
        <f>AVERAGE('29.07 Najjeera-Kiwatule'!M18,'02.08 Najjeera-Kiwatule'!M18,'30.07 Najjeera-Kiwatule'!M18,'31.07 Najjeera-Kiwatule'!M18,'01.08 Najjeera-Kiwatule-24h'!M18,'03.08 Najjeera-Kiwatule-24h'!M18,'04.08 Najjeera-Kiwatule'!M18)</f>
        <v>92.571428571428569</v>
      </c>
      <c r="N18" s="49">
        <f>AVERAGE('29.07 Najjeera-Kiwatule'!N18,'02.08 Najjeera-Kiwatule'!N18,'30.07 Najjeera-Kiwatule'!N18,'31.07 Najjeera-Kiwatule'!N18,'01.08 Najjeera-Kiwatule-24h'!N18,'03.08 Najjeera-Kiwatule-24h'!N18,'04.08 Najjeera-Kiwatule'!N18)</f>
        <v>0</v>
      </c>
      <c r="O18" s="15">
        <f t="shared" si="0"/>
        <v>136.71428571428569</v>
      </c>
      <c r="P18" s="15">
        <f t="shared" si="1"/>
        <v>229.28571428571428</v>
      </c>
      <c r="R18" s="1" t="s">
        <v>14</v>
      </c>
      <c r="S18" s="17">
        <f t="shared" ref="S18:AF18" si="10">SUM(C42:C45)</f>
        <v>249.85714285714286</v>
      </c>
      <c r="T18" s="17">
        <f t="shared" si="10"/>
        <v>34.142857142857139</v>
      </c>
      <c r="U18" s="17">
        <f t="shared" si="10"/>
        <v>22.285714285714285</v>
      </c>
      <c r="V18" s="17">
        <f t="shared" si="10"/>
        <v>43.857142857142854</v>
      </c>
      <c r="W18" s="17">
        <f t="shared" si="10"/>
        <v>0.2857142857142857</v>
      </c>
      <c r="X18" s="17">
        <f t="shared" si="10"/>
        <v>0</v>
      </c>
      <c r="Y18" s="17">
        <f t="shared" si="10"/>
        <v>17.428571428571427</v>
      </c>
      <c r="Z18" s="17">
        <f t="shared" si="10"/>
        <v>3.2857142857142856</v>
      </c>
      <c r="AA18" s="17">
        <f t="shared" si="10"/>
        <v>1.4285714285714284</v>
      </c>
      <c r="AB18" s="17">
        <f t="shared" si="10"/>
        <v>0.42857142857142855</v>
      </c>
      <c r="AC18" s="17">
        <f t="shared" si="10"/>
        <v>286.42857142857144</v>
      </c>
      <c r="AD18" s="17">
        <f t="shared" si="10"/>
        <v>0.2857142857142857</v>
      </c>
      <c r="AE18" s="31">
        <f t="shared" si="10"/>
        <v>373.28571428571428</v>
      </c>
      <c r="AF18" s="31">
        <f t="shared" si="10"/>
        <v>659.71428571428567</v>
      </c>
    </row>
    <row r="19" spans="2:32" ht="23.1" customHeight="1">
      <c r="B19" s="23" t="s">
        <v>46</v>
      </c>
      <c r="C19" s="49">
        <f>AVERAGE('29.07 Najjeera-Kiwatule'!C19,'02.08 Najjeera-Kiwatule'!C19,'30.07 Najjeera-Kiwatule'!C19,'31.07 Najjeera-Kiwatule'!C19,'01.08 Najjeera-Kiwatule-24h'!C19,'03.08 Najjeera-Kiwatule-24h'!C19,'04.08 Najjeera-Kiwatule'!C19)</f>
        <v>93.571428571428569</v>
      </c>
      <c r="D19" s="49">
        <f>AVERAGE('29.07 Najjeera-Kiwatule'!D19,'02.08 Najjeera-Kiwatule'!D19,'30.07 Najjeera-Kiwatule'!D19,'31.07 Najjeera-Kiwatule'!D19,'01.08 Najjeera-Kiwatule-24h'!D19,'03.08 Najjeera-Kiwatule-24h'!D19,'04.08 Najjeera-Kiwatule'!D19)</f>
        <v>14.142857142857142</v>
      </c>
      <c r="E19" s="49">
        <f>AVERAGE('29.07 Najjeera-Kiwatule'!E19,'02.08 Najjeera-Kiwatule'!E19,'30.07 Najjeera-Kiwatule'!E19,'31.07 Najjeera-Kiwatule'!E19,'01.08 Najjeera-Kiwatule-24h'!E19,'03.08 Najjeera-Kiwatule-24h'!E19,'04.08 Najjeera-Kiwatule'!E19)</f>
        <v>6.5714285714285712</v>
      </c>
      <c r="F19" s="49">
        <f>AVERAGE('29.07 Najjeera-Kiwatule'!F19,'02.08 Najjeera-Kiwatule'!F19,'30.07 Najjeera-Kiwatule'!F19,'31.07 Najjeera-Kiwatule'!F19,'01.08 Najjeera-Kiwatule-24h'!F19,'03.08 Najjeera-Kiwatule-24h'!F19,'04.08 Najjeera-Kiwatule'!F19)</f>
        <v>12.714285714285714</v>
      </c>
      <c r="G19" s="49">
        <f>AVERAGE('29.07 Najjeera-Kiwatule'!G19,'02.08 Najjeera-Kiwatule'!G19,'30.07 Najjeera-Kiwatule'!G19,'31.07 Najjeera-Kiwatule'!G19,'01.08 Najjeera-Kiwatule-24h'!G19,'03.08 Najjeera-Kiwatule-24h'!G19,'04.08 Najjeera-Kiwatule'!G19)</f>
        <v>0.42857142857142855</v>
      </c>
      <c r="H19" s="49">
        <f>AVERAGE('29.07 Najjeera-Kiwatule'!H19,'02.08 Najjeera-Kiwatule'!H19,'30.07 Najjeera-Kiwatule'!H19,'31.07 Najjeera-Kiwatule'!H19,'01.08 Najjeera-Kiwatule-24h'!H19,'03.08 Najjeera-Kiwatule-24h'!H19,'04.08 Najjeera-Kiwatule'!H19)</f>
        <v>0</v>
      </c>
      <c r="I19" s="49">
        <f>AVERAGE('29.07 Najjeera-Kiwatule'!I19,'02.08 Najjeera-Kiwatule'!I19,'30.07 Najjeera-Kiwatule'!I19,'31.07 Najjeera-Kiwatule'!I19,'01.08 Najjeera-Kiwatule-24h'!I19,'03.08 Najjeera-Kiwatule-24h'!I19,'04.08 Najjeera-Kiwatule'!I19)</f>
        <v>3.8571428571428572</v>
      </c>
      <c r="J19" s="49">
        <f>AVERAGE('29.07 Najjeera-Kiwatule'!J19,'02.08 Najjeera-Kiwatule'!J19,'30.07 Najjeera-Kiwatule'!J19,'31.07 Najjeera-Kiwatule'!J19,'01.08 Najjeera-Kiwatule-24h'!J19,'03.08 Najjeera-Kiwatule-24h'!J19,'04.08 Najjeera-Kiwatule'!J19)</f>
        <v>0.42857142857142855</v>
      </c>
      <c r="K19" s="49">
        <f>AVERAGE('29.07 Najjeera-Kiwatule'!K19,'02.08 Najjeera-Kiwatule'!K19,'30.07 Najjeera-Kiwatule'!K19,'31.07 Najjeera-Kiwatule'!K19,'01.08 Najjeera-Kiwatule-24h'!K19,'03.08 Najjeera-Kiwatule-24h'!K19,'04.08 Najjeera-Kiwatule'!K19)</f>
        <v>0.42857142857142855</v>
      </c>
      <c r="L19" s="49">
        <f>AVERAGE('29.07 Najjeera-Kiwatule'!L19,'02.08 Najjeera-Kiwatule'!L19,'30.07 Najjeera-Kiwatule'!L19,'31.07 Najjeera-Kiwatule'!L19,'01.08 Najjeera-Kiwatule-24h'!L19,'03.08 Najjeera-Kiwatule-24h'!L19,'04.08 Najjeera-Kiwatule'!L19)</f>
        <v>0</v>
      </c>
      <c r="M19" s="49">
        <f>AVERAGE('29.07 Najjeera-Kiwatule'!M19,'02.08 Najjeera-Kiwatule'!M19,'30.07 Najjeera-Kiwatule'!M19,'31.07 Najjeera-Kiwatule'!M19,'01.08 Najjeera-Kiwatule-24h'!M19,'03.08 Najjeera-Kiwatule-24h'!M19,'04.08 Najjeera-Kiwatule'!M19)</f>
        <v>93.142857142857139</v>
      </c>
      <c r="N19" s="49">
        <f>AVERAGE('29.07 Najjeera-Kiwatule'!N19,'02.08 Najjeera-Kiwatule'!N19,'30.07 Najjeera-Kiwatule'!N19,'31.07 Najjeera-Kiwatule'!N19,'01.08 Najjeera-Kiwatule-24h'!N19,'03.08 Najjeera-Kiwatule-24h'!N19,'04.08 Najjeera-Kiwatule'!N19)</f>
        <v>0</v>
      </c>
      <c r="O19" s="15">
        <f t="shared" si="0"/>
        <v>132.14285714285711</v>
      </c>
      <c r="P19" s="15">
        <f t="shared" si="1"/>
        <v>225.28571428571425</v>
      </c>
      <c r="R19" s="1" t="s">
        <v>15</v>
      </c>
      <c r="S19" s="17">
        <f t="shared" ref="S19:AF19" si="11">SUM(C46:C49)</f>
        <v>254.28571428571428</v>
      </c>
      <c r="T19" s="17">
        <f t="shared" si="11"/>
        <v>33.857142857142861</v>
      </c>
      <c r="U19" s="17">
        <f t="shared" si="11"/>
        <v>25.571428571428569</v>
      </c>
      <c r="V19" s="17">
        <f t="shared" si="11"/>
        <v>39.571428571428569</v>
      </c>
      <c r="W19" s="17">
        <f t="shared" si="11"/>
        <v>0.71428571428571419</v>
      </c>
      <c r="X19" s="17">
        <f t="shared" si="11"/>
        <v>0.42857142857142855</v>
      </c>
      <c r="Y19" s="17">
        <f t="shared" si="11"/>
        <v>16.571428571428573</v>
      </c>
      <c r="Z19" s="17">
        <f t="shared" si="11"/>
        <v>3.2857142857142856</v>
      </c>
      <c r="AA19" s="17">
        <f t="shared" si="11"/>
        <v>1.5714285714285714</v>
      </c>
      <c r="AB19" s="17">
        <f t="shared" si="11"/>
        <v>0.42857142857142855</v>
      </c>
      <c r="AC19" s="17">
        <f t="shared" si="11"/>
        <v>291.57142857142856</v>
      </c>
      <c r="AD19" s="17">
        <f t="shared" si="11"/>
        <v>0</v>
      </c>
      <c r="AE19" s="31">
        <f t="shared" si="11"/>
        <v>376.28571428571433</v>
      </c>
      <c r="AF19" s="31">
        <f t="shared" si="11"/>
        <v>667.85714285714278</v>
      </c>
    </row>
    <row r="20" spans="2:32" ht="23.1" customHeight="1">
      <c r="B20" s="23" t="s">
        <v>47</v>
      </c>
      <c r="C20" s="49">
        <f>AVERAGE('29.07 Najjeera-Kiwatule'!C20,'02.08 Najjeera-Kiwatule'!C20,'30.07 Najjeera-Kiwatule'!C20,'31.07 Najjeera-Kiwatule'!C20,'01.08 Najjeera-Kiwatule-24h'!C20,'03.08 Najjeera-Kiwatule-24h'!C20,'04.08 Najjeera-Kiwatule'!C20)</f>
        <v>103</v>
      </c>
      <c r="D20" s="49">
        <f>AVERAGE('29.07 Najjeera-Kiwatule'!D20,'02.08 Najjeera-Kiwatule'!D20,'30.07 Najjeera-Kiwatule'!D20,'31.07 Najjeera-Kiwatule'!D20,'01.08 Najjeera-Kiwatule-24h'!D20,'03.08 Najjeera-Kiwatule-24h'!D20,'04.08 Najjeera-Kiwatule'!D20)</f>
        <v>13.857142857142858</v>
      </c>
      <c r="E20" s="49">
        <f>AVERAGE('29.07 Najjeera-Kiwatule'!E20,'02.08 Najjeera-Kiwatule'!E20,'30.07 Najjeera-Kiwatule'!E20,'31.07 Najjeera-Kiwatule'!E20,'01.08 Najjeera-Kiwatule-24h'!E20,'03.08 Najjeera-Kiwatule-24h'!E20,'04.08 Najjeera-Kiwatule'!E20)</f>
        <v>8.8571428571428577</v>
      </c>
      <c r="F20" s="49">
        <f>AVERAGE('29.07 Najjeera-Kiwatule'!F20,'02.08 Najjeera-Kiwatule'!F20,'30.07 Najjeera-Kiwatule'!F20,'31.07 Najjeera-Kiwatule'!F20,'01.08 Najjeera-Kiwatule-24h'!F20,'03.08 Najjeera-Kiwatule-24h'!F20,'04.08 Najjeera-Kiwatule'!F20)</f>
        <v>14.285714285714286</v>
      </c>
      <c r="G20" s="49">
        <f>AVERAGE('29.07 Najjeera-Kiwatule'!G20,'02.08 Najjeera-Kiwatule'!G20,'30.07 Najjeera-Kiwatule'!G20,'31.07 Najjeera-Kiwatule'!G20,'01.08 Najjeera-Kiwatule-24h'!G20,'03.08 Najjeera-Kiwatule-24h'!G20,'04.08 Najjeera-Kiwatule'!G20)</f>
        <v>0</v>
      </c>
      <c r="H20" s="49">
        <f>AVERAGE('29.07 Najjeera-Kiwatule'!H20,'02.08 Najjeera-Kiwatule'!H20,'30.07 Najjeera-Kiwatule'!H20,'31.07 Najjeera-Kiwatule'!H20,'01.08 Najjeera-Kiwatule-24h'!H20,'03.08 Najjeera-Kiwatule-24h'!H20,'04.08 Najjeera-Kiwatule'!H20)</f>
        <v>0</v>
      </c>
      <c r="I20" s="49">
        <f>AVERAGE('29.07 Najjeera-Kiwatule'!I20,'02.08 Najjeera-Kiwatule'!I20,'30.07 Najjeera-Kiwatule'!I20,'31.07 Najjeera-Kiwatule'!I20,'01.08 Najjeera-Kiwatule-24h'!I20,'03.08 Najjeera-Kiwatule-24h'!I20,'04.08 Najjeera-Kiwatule'!I20)</f>
        <v>3.1428571428571428</v>
      </c>
      <c r="J20" s="49">
        <f>AVERAGE('29.07 Najjeera-Kiwatule'!J20,'02.08 Najjeera-Kiwatule'!J20,'30.07 Najjeera-Kiwatule'!J20,'31.07 Najjeera-Kiwatule'!J20,'01.08 Najjeera-Kiwatule-24h'!J20,'03.08 Najjeera-Kiwatule-24h'!J20,'04.08 Najjeera-Kiwatule'!J20)</f>
        <v>0.42857142857142855</v>
      </c>
      <c r="K20" s="49">
        <f>AVERAGE('29.07 Najjeera-Kiwatule'!K20,'02.08 Najjeera-Kiwatule'!K20,'30.07 Najjeera-Kiwatule'!K20,'31.07 Najjeera-Kiwatule'!K20,'01.08 Najjeera-Kiwatule-24h'!K20,'03.08 Najjeera-Kiwatule-24h'!K20,'04.08 Najjeera-Kiwatule'!K20)</f>
        <v>0</v>
      </c>
      <c r="L20" s="49">
        <f>AVERAGE('29.07 Najjeera-Kiwatule'!L20,'02.08 Najjeera-Kiwatule'!L20,'30.07 Najjeera-Kiwatule'!L20,'31.07 Najjeera-Kiwatule'!L20,'01.08 Najjeera-Kiwatule-24h'!L20,'03.08 Najjeera-Kiwatule-24h'!L20,'04.08 Najjeera-Kiwatule'!L20)</f>
        <v>0.14285714285714285</v>
      </c>
      <c r="M20" s="49">
        <f>AVERAGE('29.07 Najjeera-Kiwatule'!M20,'02.08 Najjeera-Kiwatule'!M20,'30.07 Najjeera-Kiwatule'!M20,'31.07 Najjeera-Kiwatule'!M20,'01.08 Najjeera-Kiwatule-24h'!M20,'03.08 Najjeera-Kiwatule-24h'!M20,'04.08 Najjeera-Kiwatule'!M20)</f>
        <v>106.14285714285714</v>
      </c>
      <c r="N20" s="49">
        <f>AVERAGE('29.07 Najjeera-Kiwatule'!N20,'02.08 Najjeera-Kiwatule'!N20,'30.07 Najjeera-Kiwatule'!N20,'31.07 Najjeera-Kiwatule'!N20,'01.08 Najjeera-Kiwatule-24h'!N20,'03.08 Najjeera-Kiwatule-24h'!N20,'04.08 Najjeera-Kiwatule'!N20)</f>
        <v>0</v>
      </c>
      <c r="O20" s="15">
        <f t="shared" si="0"/>
        <v>143.71428571428569</v>
      </c>
      <c r="P20" s="15">
        <f t="shared" si="1"/>
        <v>249.85714285714283</v>
      </c>
      <c r="R20" s="1" t="s">
        <v>16</v>
      </c>
      <c r="S20" s="17">
        <f t="shared" ref="S20:AF20" si="12">SUM(C50:C53)</f>
        <v>250.85714285714283</v>
      </c>
      <c r="T20" s="17">
        <f t="shared" si="12"/>
        <v>35.857142857142854</v>
      </c>
      <c r="U20" s="17">
        <f t="shared" si="12"/>
        <v>27.142857142857142</v>
      </c>
      <c r="V20" s="17">
        <f t="shared" si="12"/>
        <v>47</v>
      </c>
      <c r="W20" s="17">
        <f t="shared" si="12"/>
        <v>3.7142857142857144</v>
      </c>
      <c r="X20" s="17">
        <f t="shared" si="12"/>
        <v>0.14285714285714285</v>
      </c>
      <c r="Y20" s="17">
        <f t="shared" si="12"/>
        <v>16.571428571428569</v>
      </c>
      <c r="Z20" s="17">
        <f t="shared" si="12"/>
        <v>1.7142857142857142</v>
      </c>
      <c r="AA20" s="17">
        <f t="shared" si="12"/>
        <v>2</v>
      </c>
      <c r="AB20" s="17">
        <f t="shared" si="12"/>
        <v>0.14285714285714285</v>
      </c>
      <c r="AC20" s="17">
        <f t="shared" si="12"/>
        <v>358.28571428571428</v>
      </c>
      <c r="AD20" s="17">
        <f t="shared" si="12"/>
        <v>0</v>
      </c>
      <c r="AE20" s="31">
        <f t="shared" si="12"/>
        <v>385.14285714285711</v>
      </c>
      <c r="AF20" s="31">
        <f t="shared" si="12"/>
        <v>743.42857142857133</v>
      </c>
    </row>
    <row r="21" spans="2:32" ht="23.1" customHeight="1">
      <c r="B21" s="23" t="s">
        <v>48</v>
      </c>
      <c r="C21" s="49">
        <f>AVERAGE('29.07 Najjeera-Kiwatule'!C21,'02.08 Najjeera-Kiwatule'!C21,'30.07 Najjeera-Kiwatule'!C21,'31.07 Najjeera-Kiwatule'!C21,'01.08 Najjeera-Kiwatule-24h'!C21,'03.08 Najjeera-Kiwatule-24h'!C21,'04.08 Najjeera-Kiwatule'!C21)</f>
        <v>83.714285714285708</v>
      </c>
      <c r="D21" s="49">
        <f>AVERAGE('29.07 Najjeera-Kiwatule'!D21,'02.08 Najjeera-Kiwatule'!D21,'30.07 Najjeera-Kiwatule'!D21,'31.07 Najjeera-Kiwatule'!D21,'01.08 Najjeera-Kiwatule-24h'!D21,'03.08 Najjeera-Kiwatule-24h'!D21,'04.08 Najjeera-Kiwatule'!D21)</f>
        <v>14.857142857142858</v>
      </c>
      <c r="E21" s="49">
        <f>AVERAGE('29.07 Najjeera-Kiwatule'!E21,'02.08 Najjeera-Kiwatule'!E21,'30.07 Najjeera-Kiwatule'!E21,'31.07 Najjeera-Kiwatule'!E21,'01.08 Najjeera-Kiwatule-24h'!E21,'03.08 Najjeera-Kiwatule-24h'!E21,'04.08 Najjeera-Kiwatule'!E21)</f>
        <v>6.8571428571428568</v>
      </c>
      <c r="F21" s="49">
        <f>AVERAGE('29.07 Najjeera-Kiwatule'!F21,'02.08 Najjeera-Kiwatule'!F21,'30.07 Najjeera-Kiwatule'!F21,'31.07 Najjeera-Kiwatule'!F21,'01.08 Najjeera-Kiwatule-24h'!F21,'03.08 Najjeera-Kiwatule-24h'!F21,'04.08 Najjeera-Kiwatule'!F21)</f>
        <v>14.714285714285714</v>
      </c>
      <c r="G21" s="49">
        <f>AVERAGE('29.07 Najjeera-Kiwatule'!G21,'02.08 Najjeera-Kiwatule'!G21,'30.07 Najjeera-Kiwatule'!G21,'31.07 Najjeera-Kiwatule'!G21,'01.08 Najjeera-Kiwatule-24h'!G21,'03.08 Najjeera-Kiwatule-24h'!G21,'04.08 Najjeera-Kiwatule'!G21)</f>
        <v>0.2857142857142857</v>
      </c>
      <c r="H21" s="49">
        <f>AVERAGE('29.07 Najjeera-Kiwatule'!H21,'02.08 Najjeera-Kiwatule'!H21,'30.07 Najjeera-Kiwatule'!H21,'31.07 Najjeera-Kiwatule'!H21,'01.08 Najjeera-Kiwatule-24h'!H21,'03.08 Najjeera-Kiwatule-24h'!H21,'04.08 Najjeera-Kiwatule'!H21)</f>
        <v>0</v>
      </c>
      <c r="I21" s="49">
        <f>AVERAGE('29.07 Najjeera-Kiwatule'!I21,'02.08 Najjeera-Kiwatule'!I21,'30.07 Najjeera-Kiwatule'!I21,'31.07 Najjeera-Kiwatule'!I21,'01.08 Najjeera-Kiwatule-24h'!I21,'03.08 Najjeera-Kiwatule-24h'!I21,'04.08 Najjeera-Kiwatule'!I21)</f>
        <v>2.8571428571428572</v>
      </c>
      <c r="J21" s="49">
        <f>AVERAGE('29.07 Najjeera-Kiwatule'!J21,'02.08 Najjeera-Kiwatule'!J21,'30.07 Najjeera-Kiwatule'!J21,'31.07 Najjeera-Kiwatule'!J21,'01.08 Najjeera-Kiwatule-24h'!J21,'03.08 Najjeera-Kiwatule-24h'!J21,'04.08 Najjeera-Kiwatule'!J21)</f>
        <v>0.2857142857142857</v>
      </c>
      <c r="K21" s="49">
        <f>AVERAGE('29.07 Najjeera-Kiwatule'!K21,'02.08 Najjeera-Kiwatule'!K21,'30.07 Najjeera-Kiwatule'!K21,'31.07 Najjeera-Kiwatule'!K21,'01.08 Najjeera-Kiwatule-24h'!K21,'03.08 Najjeera-Kiwatule-24h'!K21,'04.08 Najjeera-Kiwatule'!K21)</f>
        <v>0.14285714285714285</v>
      </c>
      <c r="L21" s="49">
        <f>AVERAGE('29.07 Najjeera-Kiwatule'!L21,'02.08 Najjeera-Kiwatule'!L21,'30.07 Najjeera-Kiwatule'!L21,'31.07 Najjeera-Kiwatule'!L21,'01.08 Najjeera-Kiwatule-24h'!L21,'03.08 Najjeera-Kiwatule-24h'!L21,'04.08 Najjeera-Kiwatule'!L21)</f>
        <v>0</v>
      </c>
      <c r="M21" s="49">
        <f>AVERAGE('29.07 Najjeera-Kiwatule'!M21,'02.08 Najjeera-Kiwatule'!M21,'30.07 Najjeera-Kiwatule'!M21,'31.07 Najjeera-Kiwatule'!M21,'01.08 Najjeera-Kiwatule-24h'!M21,'03.08 Najjeera-Kiwatule-24h'!M21,'04.08 Najjeera-Kiwatule'!M21)</f>
        <v>99.142857142857139</v>
      </c>
      <c r="N21" s="49">
        <f>AVERAGE('29.07 Najjeera-Kiwatule'!N21,'02.08 Najjeera-Kiwatule'!N21,'30.07 Najjeera-Kiwatule'!N21,'31.07 Najjeera-Kiwatule'!N21,'01.08 Najjeera-Kiwatule-24h'!N21,'03.08 Najjeera-Kiwatule-24h'!N21,'04.08 Najjeera-Kiwatule'!N21)</f>
        <v>0</v>
      </c>
      <c r="O21" s="15">
        <f t="shared" si="0"/>
        <v>123.71428571428572</v>
      </c>
      <c r="P21" s="15">
        <f t="shared" si="1"/>
        <v>222.85714285714286</v>
      </c>
      <c r="R21" s="36" t="s">
        <v>20</v>
      </c>
      <c r="S21" s="34">
        <f t="shared" ref="S21:AF21" si="13">SUM(C54:C57)</f>
        <v>217.42857142857144</v>
      </c>
      <c r="T21" s="34">
        <f t="shared" si="13"/>
        <v>28.428571428571431</v>
      </c>
      <c r="U21" s="34">
        <f t="shared" si="13"/>
        <v>20</v>
      </c>
      <c r="V21" s="34">
        <f t="shared" si="13"/>
        <v>49.714285714285715</v>
      </c>
      <c r="W21" s="34">
        <f t="shared" si="13"/>
        <v>1.8571428571428572</v>
      </c>
      <c r="X21" s="34">
        <f t="shared" si="13"/>
        <v>0</v>
      </c>
      <c r="Y21" s="34">
        <f t="shared" si="13"/>
        <v>13.428571428571427</v>
      </c>
      <c r="Z21" s="34">
        <f t="shared" si="13"/>
        <v>1.857142857142857</v>
      </c>
      <c r="AA21" s="34">
        <f t="shared" si="13"/>
        <v>0.71428571428571419</v>
      </c>
      <c r="AB21" s="34">
        <f t="shared" si="13"/>
        <v>0</v>
      </c>
      <c r="AC21" s="34">
        <f t="shared" si="13"/>
        <v>386.14285714285711</v>
      </c>
      <c r="AD21" s="34">
        <f t="shared" si="13"/>
        <v>0</v>
      </c>
      <c r="AE21" s="51">
        <f t="shared" si="13"/>
        <v>333.42857142857144</v>
      </c>
      <c r="AF21" s="51">
        <f t="shared" si="13"/>
        <v>719.57142857142867</v>
      </c>
    </row>
    <row r="22" spans="2:32" ht="23.1" customHeight="1">
      <c r="B22" s="23" t="s">
        <v>49</v>
      </c>
      <c r="C22" s="49">
        <f>AVERAGE('29.07 Najjeera-Kiwatule'!C22,'02.08 Najjeera-Kiwatule'!C22,'30.07 Najjeera-Kiwatule'!C22,'31.07 Najjeera-Kiwatule'!C22,'01.08 Najjeera-Kiwatule-24h'!C22,'03.08 Najjeera-Kiwatule-24h'!C22,'04.08 Najjeera-Kiwatule'!C22)</f>
        <v>89.857142857142861</v>
      </c>
      <c r="D22" s="49">
        <f>AVERAGE('29.07 Najjeera-Kiwatule'!D22,'02.08 Najjeera-Kiwatule'!D22,'30.07 Najjeera-Kiwatule'!D22,'31.07 Najjeera-Kiwatule'!D22,'01.08 Najjeera-Kiwatule-24h'!D22,'03.08 Najjeera-Kiwatule-24h'!D22,'04.08 Najjeera-Kiwatule'!D22)</f>
        <v>13.714285714285714</v>
      </c>
      <c r="E22" s="49">
        <f>AVERAGE('29.07 Najjeera-Kiwatule'!E22,'02.08 Najjeera-Kiwatule'!E22,'30.07 Najjeera-Kiwatule'!E22,'31.07 Najjeera-Kiwatule'!E22,'01.08 Najjeera-Kiwatule-24h'!E22,'03.08 Najjeera-Kiwatule-24h'!E22,'04.08 Najjeera-Kiwatule'!E22)</f>
        <v>9.8571428571428577</v>
      </c>
      <c r="F22" s="49">
        <f>AVERAGE('29.07 Najjeera-Kiwatule'!F22,'02.08 Najjeera-Kiwatule'!F22,'30.07 Najjeera-Kiwatule'!F22,'31.07 Najjeera-Kiwatule'!F22,'01.08 Najjeera-Kiwatule-24h'!F22,'03.08 Najjeera-Kiwatule-24h'!F22,'04.08 Najjeera-Kiwatule'!F22)</f>
        <v>14.857142857142858</v>
      </c>
      <c r="G22" s="49">
        <f>AVERAGE('29.07 Najjeera-Kiwatule'!G22,'02.08 Najjeera-Kiwatule'!G22,'30.07 Najjeera-Kiwatule'!G22,'31.07 Najjeera-Kiwatule'!G22,'01.08 Najjeera-Kiwatule-24h'!G22,'03.08 Najjeera-Kiwatule-24h'!G22,'04.08 Najjeera-Kiwatule'!G22)</f>
        <v>0</v>
      </c>
      <c r="H22" s="49">
        <f>AVERAGE('29.07 Najjeera-Kiwatule'!H22,'02.08 Najjeera-Kiwatule'!H22,'30.07 Najjeera-Kiwatule'!H22,'31.07 Najjeera-Kiwatule'!H22,'01.08 Najjeera-Kiwatule-24h'!H22,'03.08 Najjeera-Kiwatule-24h'!H22,'04.08 Najjeera-Kiwatule'!H22)</f>
        <v>0</v>
      </c>
      <c r="I22" s="49">
        <f>AVERAGE('29.07 Najjeera-Kiwatule'!I22,'02.08 Najjeera-Kiwatule'!I22,'30.07 Najjeera-Kiwatule'!I22,'31.07 Najjeera-Kiwatule'!I22,'01.08 Najjeera-Kiwatule-24h'!I22,'03.08 Najjeera-Kiwatule-24h'!I22,'04.08 Najjeera-Kiwatule'!I22)</f>
        <v>4.1428571428571432</v>
      </c>
      <c r="J22" s="49">
        <f>AVERAGE('29.07 Najjeera-Kiwatule'!J22,'02.08 Najjeera-Kiwatule'!J22,'30.07 Najjeera-Kiwatule'!J22,'31.07 Najjeera-Kiwatule'!J22,'01.08 Najjeera-Kiwatule-24h'!J22,'03.08 Najjeera-Kiwatule-24h'!J22,'04.08 Najjeera-Kiwatule'!J22)</f>
        <v>1</v>
      </c>
      <c r="K22" s="49">
        <f>AVERAGE('29.07 Najjeera-Kiwatule'!K22,'02.08 Najjeera-Kiwatule'!K22,'30.07 Najjeera-Kiwatule'!K22,'31.07 Najjeera-Kiwatule'!K22,'01.08 Najjeera-Kiwatule-24h'!K22,'03.08 Najjeera-Kiwatule-24h'!K22,'04.08 Najjeera-Kiwatule'!K22)</f>
        <v>0.14285714285714285</v>
      </c>
      <c r="L22" s="49">
        <f>AVERAGE('29.07 Najjeera-Kiwatule'!L22,'02.08 Najjeera-Kiwatule'!L22,'30.07 Najjeera-Kiwatule'!L22,'31.07 Najjeera-Kiwatule'!L22,'01.08 Najjeera-Kiwatule-24h'!L22,'03.08 Najjeera-Kiwatule-24h'!L22,'04.08 Najjeera-Kiwatule'!L22)</f>
        <v>0.14285714285714285</v>
      </c>
      <c r="M22" s="49">
        <f>AVERAGE('29.07 Najjeera-Kiwatule'!M22,'02.08 Najjeera-Kiwatule'!M22,'30.07 Najjeera-Kiwatule'!M22,'31.07 Najjeera-Kiwatule'!M22,'01.08 Najjeera-Kiwatule-24h'!M22,'03.08 Najjeera-Kiwatule-24h'!M22,'04.08 Najjeera-Kiwatule'!M22)</f>
        <v>81.571428571428569</v>
      </c>
      <c r="N22" s="49">
        <f>AVERAGE('29.07 Najjeera-Kiwatule'!N22,'02.08 Najjeera-Kiwatule'!N22,'30.07 Najjeera-Kiwatule'!N22,'31.07 Najjeera-Kiwatule'!N22,'01.08 Najjeera-Kiwatule-24h'!N22,'03.08 Najjeera-Kiwatule-24h'!N22,'04.08 Najjeera-Kiwatule'!N22)</f>
        <v>0</v>
      </c>
      <c r="O22" s="15">
        <f t="shared" si="0"/>
        <v>133.71428571428569</v>
      </c>
      <c r="P22" s="15">
        <f t="shared" si="1"/>
        <v>215.28571428571428</v>
      </c>
      <c r="R22" s="1" t="s">
        <v>146</v>
      </c>
      <c r="S22" s="52">
        <f>SUM(C58:C61)</f>
        <v>229.5</v>
      </c>
      <c r="T22" s="52">
        <f t="shared" ref="T22:AF33" si="14">SUM(D58:D61)</f>
        <v>46</v>
      </c>
      <c r="U22" s="52">
        <f t="shared" si="14"/>
        <v>17.5</v>
      </c>
      <c r="V22" s="52">
        <f t="shared" si="14"/>
        <v>57</v>
      </c>
      <c r="W22" s="52">
        <f t="shared" si="14"/>
        <v>0.5</v>
      </c>
      <c r="X22" s="52">
        <f t="shared" si="14"/>
        <v>0</v>
      </c>
      <c r="Y22" s="52">
        <f t="shared" si="14"/>
        <v>13</v>
      </c>
      <c r="Z22" s="52">
        <f t="shared" si="14"/>
        <v>1</v>
      </c>
      <c r="AA22" s="52">
        <f t="shared" si="14"/>
        <v>0</v>
      </c>
      <c r="AB22" s="52">
        <f t="shared" si="14"/>
        <v>0</v>
      </c>
      <c r="AC22" s="52">
        <f t="shared" si="14"/>
        <v>462</v>
      </c>
      <c r="AD22" s="52">
        <f t="shared" si="14"/>
        <v>0</v>
      </c>
      <c r="AE22" s="53">
        <f t="shared" si="14"/>
        <v>364.5</v>
      </c>
      <c r="AF22" s="53">
        <f t="shared" si="14"/>
        <v>826.5</v>
      </c>
    </row>
    <row r="23" spans="2:32" ht="23.1" customHeight="1">
      <c r="B23" s="23" t="s">
        <v>50</v>
      </c>
      <c r="C23" s="49">
        <f>AVERAGE('29.07 Najjeera-Kiwatule'!C23,'02.08 Najjeera-Kiwatule'!C23,'30.07 Najjeera-Kiwatule'!C23,'31.07 Najjeera-Kiwatule'!C23,'01.08 Najjeera-Kiwatule-24h'!C23,'03.08 Najjeera-Kiwatule-24h'!C23,'04.08 Najjeera-Kiwatule'!C23)</f>
        <v>91.142857142857139</v>
      </c>
      <c r="D23" s="49">
        <f>AVERAGE('29.07 Najjeera-Kiwatule'!D23,'02.08 Najjeera-Kiwatule'!D23,'30.07 Najjeera-Kiwatule'!D23,'31.07 Najjeera-Kiwatule'!D23,'01.08 Najjeera-Kiwatule-24h'!D23,'03.08 Najjeera-Kiwatule-24h'!D23,'04.08 Najjeera-Kiwatule'!D23)</f>
        <v>15.857142857142858</v>
      </c>
      <c r="E23" s="49">
        <f>AVERAGE('29.07 Najjeera-Kiwatule'!E23,'02.08 Najjeera-Kiwatule'!E23,'30.07 Najjeera-Kiwatule'!E23,'31.07 Najjeera-Kiwatule'!E23,'01.08 Najjeera-Kiwatule-24h'!E23,'03.08 Najjeera-Kiwatule-24h'!E23,'04.08 Najjeera-Kiwatule'!E23)</f>
        <v>7.7142857142857144</v>
      </c>
      <c r="F23" s="49">
        <f>AVERAGE('29.07 Najjeera-Kiwatule'!F23,'02.08 Najjeera-Kiwatule'!F23,'30.07 Najjeera-Kiwatule'!F23,'31.07 Najjeera-Kiwatule'!F23,'01.08 Najjeera-Kiwatule-24h'!F23,'03.08 Najjeera-Kiwatule-24h'!F23,'04.08 Najjeera-Kiwatule'!F23)</f>
        <v>15.285714285714286</v>
      </c>
      <c r="G23" s="49">
        <f>AVERAGE('29.07 Najjeera-Kiwatule'!G23,'02.08 Najjeera-Kiwatule'!G23,'30.07 Najjeera-Kiwatule'!G23,'31.07 Najjeera-Kiwatule'!G23,'01.08 Najjeera-Kiwatule-24h'!G23,'03.08 Najjeera-Kiwatule-24h'!G23,'04.08 Najjeera-Kiwatule'!G23)</f>
        <v>0.14285714285714285</v>
      </c>
      <c r="H23" s="49">
        <f>AVERAGE('29.07 Najjeera-Kiwatule'!H23,'02.08 Najjeera-Kiwatule'!H23,'30.07 Najjeera-Kiwatule'!H23,'31.07 Najjeera-Kiwatule'!H23,'01.08 Najjeera-Kiwatule-24h'!H23,'03.08 Najjeera-Kiwatule-24h'!H23,'04.08 Najjeera-Kiwatule'!H23)</f>
        <v>0</v>
      </c>
      <c r="I23" s="49">
        <f>AVERAGE('29.07 Najjeera-Kiwatule'!I23,'02.08 Najjeera-Kiwatule'!I23,'30.07 Najjeera-Kiwatule'!I23,'31.07 Najjeera-Kiwatule'!I23,'01.08 Najjeera-Kiwatule-24h'!I23,'03.08 Najjeera-Kiwatule-24h'!I23,'04.08 Najjeera-Kiwatule'!I23)</f>
        <v>4.4285714285714288</v>
      </c>
      <c r="J23" s="49">
        <f>AVERAGE('29.07 Najjeera-Kiwatule'!J23,'02.08 Najjeera-Kiwatule'!J23,'30.07 Najjeera-Kiwatule'!J23,'31.07 Najjeera-Kiwatule'!J23,'01.08 Najjeera-Kiwatule-24h'!J23,'03.08 Najjeera-Kiwatule-24h'!J23,'04.08 Najjeera-Kiwatule'!J23)</f>
        <v>1.4285714285714286</v>
      </c>
      <c r="K23" s="49">
        <f>AVERAGE('29.07 Najjeera-Kiwatule'!K23,'02.08 Najjeera-Kiwatule'!K23,'30.07 Najjeera-Kiwatule'!K23,'31.07 Najjeera-Kiwatule'!K23,'01.08 Najjeera-Kiwatule-24h'!K23,'03.08 Najjeera-Kiwatule-24h'!K23,'04.08 Najjeera-Kiwatule'!K23)</f>
        <v>0.2857142857142857</v>
      </c>
      <c r="L23" s="49">
        <f>AVERAGE('29.07 Najjeera-Kiwatule'!L23,'02.08 Najjeera-Kiwatule'!L23,'30.07 Najjeera-Kiwatule'!L23,'31.07 Najjeera-Kiwatule'!L23,'01.08 Najjeera-Kiwatule-24h'!L23,'03.08 Najjeera-Kiwatule-24h'!L23,'04.08 Najjeera-Kiwatule'!L23)</f>
        <v>0</v>
      </c>
      <c r="M23" s="49">
        <f>AVERAGE('29.07 Najjeera-Kiwatule'!M23,'02.08 Najjeera-Kiwatule'!M23,'30.07 Najjeera-Kiwatule'!M23,'31.07 Najjeera-Kiwatule'!M23,'01.08 Najjeera-Kiwatule-24h'!M23,'03.08 Najjeera-Kiwatule-24h'!M23,'04.08 Najjeera-Kiwatule'!M23)</f>
        <v>86.285714285714292</v>
      </c>
      <c r="N23" s="49">
        <f>AVERAGE('29.07 Najjeera-Kiwatule'!N23,'02.08 Najjeera-Kiwatule'!N23,'30.07 Najjeera-Kiwatule'!N23,'31.07 Najjeera-Kiwatule'!N23,'01.08 Najjeera-Kiwatule-24h'!N23,'03.08 Najjeera-Kiwatule-24h'!N23,'04.08 Najjeera-Kiwatule'!N23)</f>
        <v>0</v>
      </c>
      <c r="O23" s="15">
        <f t="shared" si="0"/>
        <v>136.28571428571425</v>
      </c>
      <c r="P23" s="15">
        <f t="shared" si="1"/>
        <v>222.57142857142856</v>
      </c>
      <c r="R23" s="1" t="s">
        <v>147</v>
      </c>
      <c r="S23" s="52">
        <f t="shared" ref="S23:S32" si="15">SUM(C59:C62)</f>
        <v>206</v>
      </c>
      <c r="T23" s="52">
        <f t="shared" si="14"/>
        <v>48</v>
      </c>
      <c r="U23" s="52">
        <f t="shared" si="14"/>
        <v>18</v>
      </c>
      <c r="V23" s="52">
        <f t="shared" si="14"/>
        <v>51.5</v>
      </c>
      <c r="W23" s="52">
        <f t="shared" si="14"/>
        <v>0.5</v>
      </c>
      <c r="X23" s="52">
        <f t="shared" si="14"/>
        <v>0</v>
      </c>
      <c r="Y23" s="52">
        <f t="shared" si="14"/>
        <v>12.5</v>
      </c>
      <c r="Z23" s="52">
        <f t="shared" si="14"/>
        <v>0.5</v>
      </c>
      <c r="AA23" s="52">
        <f t="shared" si="14"/>
        <v>0.5</v>
      </c>
      <c r="AB23" s="52">
        <f t="shared" si="14"/>
        <v>0</v>
      </c>
      <c r="AC23" s="52">
        <f t="shared" si="14"/>
        <v>485.5</v>
      </c>
      <c r="AD23" s="52">
        <f t="shared" si="14"/>
        <v>0</v>
      </c>
      <c r="AE23" s="53">
        <f t="shared" si="14"/>
        <v>337.5</v>
      </c>
      <c r="AF23" s="53">
        <f t="shared" si="14"/>
        <v>823</v>
      </c>
    </row>
    <row r="24" spans="2:32" ht="23.1" customHeight="1">
      <c r="B24" s="23" t="s">
        <v>51</v>
      </c>
      <c r="C24" s="49">
        <f>AVERAGE('29.07 Najjeera-Kiwatule'!C24,'02.08 Najjeera-Kiwatule'!C24,'30.07 Najjeera-Kiwatule'!C24,'31.07 Najjeera-Kiwatule'!C24,'01.08 Najjeera-Kiwatule-24h'!C24,'03.08 Najjeera-Kiwatule-24h'!C24,'04.08 Najjeera-Kiwatule'!C24)</f>
        <v>88.142857142857139</v>
      </c>
      <c r="D24" s="49">
        <f>AVERAGE('29.07 Najjeera-Kiwatule'!D24,'02.08 Najjeera-Kiwatule'!D24,'30.07 Najjeera-Kiwatule'!D24,'31.07 Najjeera-Kiwatule'!D24,'01.08 Najjeera-Kiwatule-24h'!D24,'03.08 Najjeera-Kiwatule-24h'!D24,'04.08 Najjeera-Kiwatule'!D24)</f>
        <v>17.142857142857142</v>
      </c>
      <c r="E24" s="49">
        <f>AVERAGE('29.07 Najjeera-Kiwatule'!E24,'02.08 Najjeera-Kiwatule'!E24,'30.07 Najjeera-Kiwatule'!E24,'31.07 Najjeera-Kiwatule'!E24,'01.08 Najjeera-Kiwatule-24h'!E24,'03.08 Najjeera-Kiwatule-24h'!E24,'04.08 Najjeera-Kiwatule'!E24)</f>
        <v>11.571428571428571</v>
      </c>
      <c r="F24" s="49">
        <f>AVERAGE('29.07 Najjeera-Kiwatule'!F24,'02.08 Najjeera-Kiwatule'!F24,'30.07 Najjeera-Kiwatule'!F24,'31.07 Najjeera-Kiwatule'!F24,'01.08 Najjeera-Kiwatule-24h'!F24,'03.08 Najjeera-Kiwatule-24h'!F24,'04.08 Najjeera-Kiwatule'!F24)</f>
        <v>13.571428571428571</v>
      </c>
      <c r="G24" s="49">
        <f>AVERAGE('29.07 Najjeera-Kiwatule'!G24,'02.08 Najjeera-Kiwatule'!G24,'30.07 Najjeera-Kiwatule'!G24,'31.07 Najjeera-Kiwatule'!G24,'01.08 Najjeera-Kiwatule-24h'!G24,'03.08 Najjeera-Kiwatule-24h'!G24,'04.08 Najjeera-Kiwatule'!G24)</f>
        <v>0.2857142857142857</v>
      </c>
      <c r="H24" s="49">
        <f>AVERAGE('29.07 Najjeera-Kiwatule'!H24,'02.08 Najjeera-Kiwatule'!H24,'30.07 Najjeera-Kiwatule'!H24,'31.07 Najjeera-Kiwatule'!H24,'01.08 Najjeera-Kiwatule-24h'!H24,'03.08 Najjeera-Kiwatule-24h'!H24,'04.08 Najjeera-Kiwatule'!H24)</f>
        <v>0</v>
      </c>
      <c r="I24" s="49">
        <f>AVERAGE('29.07 Najjeera-Kiwatule'!I24,'02.08 Najjeera-Kiwatule'!I24,'30.07 Najjeera-Kiwatule'!I24,'31.07 Najjeera-Kiwatule'!I24,'01.08 Najjeera-Kiwatule-24h'!I24,'03.08 Najjeera-Kiwatule-24h'!I24,'04.08 Najjeera-Kiwatule'!I24)</f>
        <v>2.8571428571428572</v>
      </c>
      <c r="J24" s="49">
        <f>AVERAGE('29.07 Najjeera-Kiwatule'!J24,'02.08 Najjeera-Kiwatule'!J24,'30.07 Najjeera-Kiwatule'!J24,'31.07 Najjeera-Kiwatule'!J24,'01.08 Najjeera-Kiwatule-24h'!J24,'03.08 Najjeera-Kiwatule-24h'!J24,'04.08 Najjeera-Kiwatule'!J24)</f>
        <v>1</v>
      </c>
      <c r="K24" s="49">
        <f>AVERAGE('29.07 Najjeera-Kiwatule'!K24,'02.08 Najjeera-Kiwatule'!K24,'30.07 Najjeera-Kiwatule'!K24,'31.07 Najjeera-Kiwatule'!K24,'01.08 Najjeera-Kiwatule-24h'!K24,'03.08 Najjeera-Kiwatule-24h'!K24,'04.08 Najjeera-Kiwatule'!K24)</f>
        <v>0.2857142857142857</v>
      </c>
      <c r="L24" s="49">
        <f>AVERAGE('29.07 Najjeera-Kiwatule'!L24,'02.08 Najjeera-Kiwatule'!L24,'30.07 Najjeera-Kiwatule'!L24,'31.07 Najjeera-Kiwatule'!L24,'01.08 Najjeera-Kiwatule-24h'!L24,'03.08 Najjeera-Kiwatule-24h'!L24,'04.08 Najjeera-Kiwatule'!L24)</f>
        <v>0.14285714285714285</v>
      </c>
      <c r="M24" s="49">
        <f>AVERAGE('29.07 Najjeera-Kiwatule'!M24,'02.08 Najjeera-Kiwatule'!M24,'30.07 Najjeera-Kiwatule'!M24,'31.07 Najjeera-Kiwatule'!M24,'01.08 Najjeera-Kiwatule-24h'!M24,'03.08 Najjeera-Kiwatule-24h'!M24,'04.08 Najjeera-Kiwatule'!M24)</f>
        <v>91</v>
      </c>
      <c r="N24" s="49">
        <f>AVERAGE('29.07 Najjeera-Kiwatule'!N24,'02.08 Najjeera-Kiwatule'!N24,'30.07 Najjeera-Kiwatule'!N24,'31.07 Najjeera-Kiwatule'!N24,'01.08 Najjeera-Kiwatule-24h'!N24,'03.08 Najjeera-Kiwatule-24h'!N24,'04.08 Najjeera-Kiwatule'!N24)</f>
        <v>0</v>
      </c>
      <c r="O24" s="15">
        <f t="shared" si="0"/>
        <v>134.99999999999997</v>
      </c>
      <c r="P24" s="15">
        <f t="shared" si="1"/>
        <v>225.99999999999997</v>
      </c>
      <c r="R24" s="1" t="s">
        <v>148</v>
      </c>
      <c r="S24" s="52">
        <f t="shared" si="15"/>
        <v>182</v>
      </c>
      <c r="T24" s="52">
        <f t="shared" si="14"/>
        <v>48.5</v>
      </c>
      <c r="U24" s="52">
        <f t="shared" si="14"/>
        <v>18</v>
      </c>
      <c r="V24" s="52">
        <f t="shared" si="14"/>
        <v>41.5</v>
      </c>
      <c r="W24" s="52">
        <f t="shared" si="14"/>
        <v>0</v>
      </c>
      <c r="X24" s="52">
        <f t="shared" si="14"/>
        <v>0</v>
      </c>
      <c r="Y24" s="52">
        <f t="shared" si="14"/>
        <v>11.5</v>
      </c>
      <c r="Z24" s="52">
        <f t="shared" si="14"/>
        <v>0.5</v>
      </c>
      <c r="AA24" s="52">
        <f t="shared" si="14"/>
        <v>0.5</v>
      </c>
      <c r="AB24" s="52">
        <f t="shared" si="14"/>
        <v>0</v>
      </c>
      <c r="AC24" s="52">
        <f t="shared" si="14"/>
        <v>470.5</v>
      </c>
      <c r="AD24" s="52">
        <f t="shared" si="14"/>
        <v>0</v>
      </c>
      <c r="AE24" s="53">
        <f t="shared" si="14"/>
        <v>302.5</v>
      </c>
      <c r="AF24" s="53">
        <f t="shared" si="14"/>
        <v>773</v>
      </c>
    </row>
    <row r="25" spans="2:32" ht="23.1" customHeight="1">
      <c r="B25" s="23" t="s">
        <v>52</v>
      </c>
      <c r="C25" s="49">
        <f>AVERAGE('29.07 Najjeera-Kiwatule'!C25,'02.08 Najjeera-Kiwatule'!C25,'30.07 Najjeera-Kiwatule'!C25,'31.07 Najjeera-Kiwatule'!C25,'01.08 Najjeera-Kiwatule-24h'!C25,'03.08 Najjeera-Kiwatule-24h'!C25,'04.08 Najjeera-Kiwatule'!C25)</f>
        <v>78.285714285714292</v>
      </c>
      <c r="D25" s="49">
        <f>AVERAGE('29.07 Najjeera-Kiwatule'!D25,'02.08 Najjeera-Kiwatule'!D25,'30.07 Najjeera-Kiwatule'!D25,'31.07 Najjeera-Kiwatule'!D25,'01.08 Najjeera-Kiwatule-24h'!D25,'03.08 Najjeera-Kiwatule-24h'!D25,'04.08 Najjeera-Kiwatule'!D25)</f>
        <v>11.285714285714286</v>
      </c>
      <c r="E25" s="49">
        <f>AVERAGE('29.07 Najjeera-Kiwatule'!E25,'02.08 Najjeera-Kiwatule'!E25,'30.07 Najjeera-Kiwatule'!E25,'31.07 Najjeera-Kiwatule'!E25,'01.08 Najjeera-Kiwatule-24h'!E25,'03.08 Najjeera-Kiwatule-24h'!E25,'04.08 Najjeera-Kiwatule'!E25)</f>
        <v>7.1428571428571432</v>
      </c>
      <c r="F25" s="49">
        <f>AVERAGE('29.07 Najjeera-Kiwatule'!F25,'02.08 Najjeera-Kiwatule'!F25,'30.07 Najjeera-Kiwatule'!F25,'31.07 Najjeera-Kiwatule'!F25,'01.08 Najjeera-Kiwatule-24h'!F25,'03.08 Najjeera-Kiwatule-24h'!F25,'04.08 Najjeera-Kiwatule'!F25)</f>
        <v>14.428571428571429</v>
      </c>
      <c r="G25" s="49">
        <f>AVERAGE('29.07 Najjeera-Kiwatule'!G25,'02.08 Najjeera-Kiwatule'!G25,'30.07 Najjeera-Kiwatule'!G25,'31.07 Najjeera-Kiwatule'!G25,'01.08 Najjeera-Kiwatule-24h'!G25,'03.08 Najjeera-Kiwatule-24h'!G25,'04.08 Najjeera-Kiwatule'!G25)</f>
        <v>0.14285714285714285</v>
      </c>
      <c r="H25" s="49">
        <f>AVERAGE('29.07 Najjeera-Kiwatule'!H25,'02.08 Najjeera-Kiwatule'!H25,'30.07 Najjeera-Kiwatule'!H25,'31.07 Najjeera-Kiwatule'!H25,'01.08 Najjeera-Kiwatule-24h'!H25,'03.08 Najjeera-Kiwatule-24h'!H25,'04.08 Najjeera-Kiwatule'!H25)</f>
        <v>0</v>
      </c>
      <c r="I25" s="49">
        <f>AVERAGE('29.07 Najjeera-Kiwatule'!I25,'02.08 Najjeera-Kiwatule'!I25,'30.07 Najjeera-Kiwatule'!I25,'31.07 Najjeera-Kiwatule'!I25,'01.08 Najjeera-Kiwatule-24h'!I25,'03.08 Najjeera-Kiwatule-24h'!I25,'04.08 Najjeera-Kiwatule'!I25)</f>
        <v>4.2857142857142856</v>
      </c>
      <c r="J25" s="49">
        <f>AVERAGE('29.07 Najjeera-Kiwatule'!J25,'02.08 Najjeera-Kiwatule'!J25,'30.07 Najjeera-Kiwatule'!J25,'31.07 Najjeera-Kiwatule'!J25,'01.08 Najjeera-Kiwatule-24h'!J25,'03.08 Najjeera-Kiwatule-24h'!J25,'04.08 Najjeera-Kiwatule'!J25)</f>
        <v>1.8571428571428572</v>
      </c>
      <c r="K25" s="49">
        <f>AVERAGE('29.07 Najjeera-Kiwatule'!K25,'02.08 Najjeera-Kiwatule'!K25,'30.07 Najjeera-Kiwatule'!K25,'31.07 Najjeera-Kiwatule'!K25,'01.08 Najjeera-Kiwatule-24h'!K25,'03.08 Najjeera-Kiwatule-24h'!K25,'04.08 Najjeera-Kiwatule'!K25)</f>
        <v>0.2857142857142857</v>
      </c>
      <c r="L25" s="49">
        <f>AVERAGE('29.07 Najjeera-Kiwatule'!L25,'02.08 Najjeera-Kiwatule'!L25,'30.07 Najjeera-Kiwatule'!L25,'31.07 Najjeera-Kiwatule'!L25,'01.08 Najjeera-Kiwatule-24h'!L25,'03.08 Najjeera-Kiwatule-24h'!L25,'04.08 Najjeera-Kiwatule'!L25)</f>
        <v>0.14285714285714285</v>
      </c>
      <c r="M25" s="49">
        <f>AVERAGE('29.07 Najjeera-Kiwatule'!M25,'02.08 Najjeera-Kiwatule'!M25,'30.07 Najjeera-Kiwatule'!M25,'31.07 Najjeera-Kiwatule'!M25,'01.08 Najjeera-Kiwatule-24h'!M25,'03.08 Najjeera-Kiwatule-24h'!M25,'04.08 Najjeera-Kiwatule'!M25)</f>
        <v>102.14285714285714</v>
      </c>
      <c r="N25" s="49">
        <f>AVERAGE('29.07 Najjeera-Kiwatule'!N25,'02.08 Najjeera-Kiwatule'!N25,'30.07 Najjeera-Kiwatule'!N25,'31.07 Najjeera-Kiwatule'!N25,'01.08 Najjeera-Kiwatule-24h'!N25,'03.08 Najjeera-Kiwatule-24h'!N25,'04.08 Najjeera-Kiwatule'!N25)</f>
        <v>0</v>
      </c>
      <c r="O25" s="15">
        <f t="shared" si="0"/>
        <v>117.85714285714288</v>
      </c>
      <c r="P25" s="15">
        <f t="shared" si="1"/>
        <v>220</v>
      </c>
      <c r="R25" s="1" t="s">
        <v>149</v>
      </c>
      <c r="S25" s="52">
        <f t="shared" si="15"/>
        <v>174.5</v>
      </c>
      <c r="T25" s="52">
        <f t="shared" si="14"/>
        <v>39</v>
      </c>
      <c r="U25" s="52">
        <f t="shared" si="14"/>
        <v>14</v>
      </c>
      <c r="V25" s="52">
        <f t="shared" si="14"/>
        <v>34.5</v>
      </c>
      <c r="W25" s="52">
        <f t="shared" si="14"/>
        <v>0</v>
      </c>
      <c r="X25" s="52">
        <f t="shared" si="14"/>
        <v>0</v>
      </c>
      <c r="Y25" s="52">
        <f t="shared" si="14"/>
        <v>9</v>
      </c>
      <c r="Z25" s="52">
        <f t="shared" si="14"/>
        <v>0.5</v>
      </c>
      <c r="AA25" s="52">
        <f t="shared" si="14"/>
        <v>0.5</v>
      </c>
      <c r="AB25" s="52">
        <f t="shared" si="14"/>
        <v>0</v>
      </c>
      <c r="AC25" s="52">
        <f t="shared" si="14"/>
        <v>467.5</v>
      </c>
      <c r="AD25" s="52">
        <f t="shared" si="14"/>
        <v>0</v>
      </c>
      <c r="AE25" s="53">
        <f t="shared" si="14"/>
        <v>272</v>
      </c>
      <c r="AF25" s="53">
        <f t="shared" si="14"/>
        <v>739.5</v>
      </c>
    </row>
    <row r="26" spans="2:32" ht="23.1" customHeight="1">
      <c r="B26" s="23" t="s">
        <v>53</v>
      </c>
      <c r="C26" s="49">
        <f>AVERAGE('29.07 Najjeera-Kiwatule'!C26,'02.08 Najjeera-Kiwatule'!C26,'30.07 Najjeera-Kiwatule'!C26,'31.07 Najjeera-Kiwatule'!C26,'01.08 Najjeera-Kiwatule-24h'!C26,'03.08 Najjeera-Kiwatule-24h'!C26,'04.08 Najjeera-Kiwatule'!C26)</f>
        <v>85.857142857142861</v>
      </c>
      <c r="D26" s="49">
        <f>AVERAGE('29.07 Najjeera-Kiwatule'!D26,'02.08 Najjeera-Kiwatule'!D26,'30.07 Najjeera-Kiwatule'!D26,'31.07 Najjeera-Kiwatule'!D26,'01.08 Najjeera-Kiwatule-24h'!D26,'03.08 Najjeera-Kiwatule-24h'!D26,'04.08 Najjeera-Kiwatule'!D26)</f>
        <v>14.714285714285714</v>
      </c>
      <c r="E26" s="49">
        <f>AVERAGE('29.07 Najjeera-Kiwatule'!E26,'02.08 Najjeera-Kiwatule'!E26,'30.07 Najjeera-Kiwatule'!E26,'31.07 Najjeera-Kiwatule'!E26,'01.08 Najjeera-Kiwatule-24h'!E26,'03.08 Najjeera-Kiwatule-24h'!E26,'04.08 Najjeera-Kiwatule'!E26)</f>
        <v>9.5714285714285712</v>
      </c>
      <c r="F26" s="49">
        <f>AVERAGE('29.07 Najjeera-Kiwatule'!F26,'02.08 Najjeera-Kiwatule'!F26,'30.07 Najjeera-Kiwatule'!F26,'31.07 Najjeera-Kiwatule'!F26,'01.08 Najjeera-Kiwatule-24h'!F26,'03.08 Najjeera-Kiwatule-24h'!F26,'04.08 Najjeera-Kiwatule'!F26)</f>
        <v>16.142857142857142</v>
      </c>
      <c r="G26" s="49">
        <f>AVERAGE('29.07 Najjeera-Kiwatule'!G26,'02.08 Najjeera-Kiwatule'!G26,'30.07 Najjeera-Kiwatule'!G26,'31.07 Najjeera-Kiwatule'!G26,'01.08 Najjeera-Kiwatule-24h'!G26,'03.08 Najjeera-Kiwatule-24h'!G26,'04.08 Najjeera-Kiwatule'!G26)</f>
        <v>0</v>
      </c>
      <c r="H26" s="49">
        <f>AVERAGE('29.07 Najjeera-Kiwatule'!H26,'02.08 Najjeera-Kiwatule'!H26,'30.07 Najjeera-Kiwatule'!H26,'31.07 Najjeera-Kiwatule'!H26,'01.08 Najjeera-Kiwatule-24h'!H26,'03.08 Najjeera-Kiwatule-24h'!H26,'04.08 Najjeera-Kiwatule'!H26)</f>
        <v>0</v>
      </c>
      <c r="I26" s="49">
        <f>AVERAGE('29.07 Najjeera-Kiwatule'!I26,'02.08 Najjeera-Kiwatule'!I26,'30.07 Najjeera-Kiwatule'!I26,'31.07 Najjeera-Kiwatule'!I26,'01.08 Najjeera-Kiwatule-24h'!I26,'03.08 Najjeera-Kiwatule-24h'!I26,'04.08 Najjeera-Kiwatule'!I26)</f>
        <v>3.7142857142857144</v>
      </c>
      <c r="J26" s="49">
        <f>AVERAGE('29.07 Najjeera-Kiwatule'!J26,'02.08 Najjeera-Kiwatule'!J26,'30.07 Najjeera-Kiwatule'!J26,'31.07 Najjeera-Kiwatule'!J26,'01.08 Najjeera-Kiwatule-24h'!J26,'03.08 Najjeera-Kiwatule-24h'!J26,'04.08 Najjeera-Kiwatule'!J26)</f>
        <v>1</v>
      </c>
      <c r="K26" s="49">
        <f>AVERAGE('29.07 Najjeera-Kiwatule'!K26,'02.08 Najjeera-Kiwatule'!K26,'30.07 Najjeera-Kiwatule'!K26,'31.07 Najjeera-Kiwatule'!K26,'01.08 Najjeera-Kiwatule-24h'!K26,'03.08 Najjeera-Kiwatule-24h'!K26,'04.08 Najjeera-Kiwatule'!K26)</f>
        <v>0.5714285714285714</v>
      </c>
      <c r="L26" s="49">
        <f>AVERAGE('29.07 Najjeera-Kiwatule'!L26,'02.08 Najjeera-Kiwatule'!L26,'30.07 Najjeera-Kiwatule'!L26,'31.07 Najjeera-Kiwatule'!L26,'01.08 Najjeera-Kiwatule-24h'!L26,'03.08 Najjeera-Kiwatule-24h'!L26,'04.08 Najjeera-Kiwatule'!L26)</f>
        <v>0.14285714285714285</v>
      </c>
      <c r="M26" s="49">
        <f>AVERAGE('29.07 Najjeera-Kiwatule'!M26,'02.08 Najjeera-Kiwatule'!M26,'30.07 Najjeera-Kiwatule'!M26,'31.07 Najjeera-Kiwatule'!M26,'01.08 Najjeera-Kiwatule-24h'!M26,'03.08 Najjeera-Kiwatule-24h'!M26,'04.08 Najjeera-Kiwatule'!M26)</f>
        <v>85.714285714285708</v>
      </c>
      <c r="N26" s="49">
        <f>AVERAGE('29.07 Najjeera-Kiwatule'!N26,'02.08 Najjeera-Kiwatule'!N26,'30.07 Najjeera-Kiwatule'!N26,'31.07 Najjeera-Kiwatule'!N26,'01.08 Najjeera-Kiwatule-24h'!N26,'03.08 Najjeera-Kiwatule-24h'!N26,'04.08 Najjeera-Kiwatule'!N26)</f>
        <v>0</v>
      </c>
      <c r="O26" s="15">
        <f t="shared" si="0"/>
        <v>131.71428571428572</v>
      </c>
      <c r="P26" s="15">
        <f t="shared" si="1"/>
        <v>217.42857142857144</v>
      </c>
      <c r="R26" s="1" t="s">
        <v>150</v>
      </c>
      <c r="S26" s="52">
        <f t="shared" si="15"/>
        <v>177.5</v>
      </c>
      <c r="T26" s="52">
        <f t="shared" si="14"/>
        <v>32.5</v>
      </c>
      <c r="U26" s="52">
        <f t="shared" si="14"/>
        <v>16.5</v>
      </c>
      <c r="V26" s="52">
        <f t="shared" si="14"/>
        <v>39.5</v>
      </c>
      <c r="W26" s="52">
        <f t="shared" si="14"/>
        <v>0</v>
      </c>
      <c r="X26" s="52">
        <f t="shared" si="14"/>
        <v>0</v>
      </c>
      <c r="Y26" s="52">
        <f t="shared" si="14"/>
        <v>9</v>
      </c>
      <c r="Z26" s="52">
        <f t="shared" si="14"/>
        <v>0.5</v>
      </c>
      <c r="AA26" s="52">
        <f t="shared" si="14"/>
        <v>0.5</v>
      </c>
      <c r="AB26" s="52">
        <f t="shared" si="14"/>
        <v>0.5</v>
      </c>
      <c r="AC26" s="52">
        <f t="shared" si="14"/>
        <v>449.5</v>
      </c>
      <c r="AD26" s="52">
        <f t="shared" si="14"/>
        <v>0</v>
      </c>
      <c r="AE26" s="53">
        <f t="shared" si="14"/>
        <v>276.5</v>
      </c>
      <c r="AF26" s="53">
        <f t="shared" si="14"/>
        <v>726</v>
      </c>
    </row>
    <row r="27" spans="2:32" ht="23.1" customHeight="1">
      <c r="B27" s="23" t="s">
        <v>54</v>
      </c>
      <c r="C27" s="49">
        <f>AVERAGE('29.07 Najjeera-Kiwatule'!C27,'02.08 Najjeera-Kiwatule'!C27,'30.07 Najjeera-Kiwatule'!C27,'31.07 Najjeera-Kiwatule'!C27,'01.08 Najjeera-Kiwatule-24h'!C27,'03.08 Najjeera-Kiwatule-24h'!C27,'04.08 Najjeera-Kiwatule'!C27)</f>
        <v>86.571428571428569</v>
      </c>
      <c r="D27" s="49">
        <f>AVERAGE('29.07 Najjeera-Kiwatule'!D27,'02.08 Najjeera-Kiwatule'!D27,'30.07 Najjeera-Kiwatule'!D27,'31.07 Najjeera-Kiwatule'!D27,'01.08 Najjeera-Kiwatule-24h'!D27,'03.08 Najjeera-Kiwatule-24h'!D27,'04.08 Najjeera-Kiwatule'!D27)</f>
        <v>10.714285714285714</v>
      </c>
      <c r="E27" s="49">
        <f>AVERAGE('29.07 Najjeera-Kiwatule'!E27,'02.08 Najjeera-Kiwatule'!E27,'30.07 Najjeera-Kiwatule'!E27,'31.07 Najjeera-Kiwatule'!E27,'01.08 Najjeera-Kiwatule-24h'!E27,'03.08 Najjeera-Kiwatule-24h'!E27,'04.08 Najjeera-Kiwatule'!E27)</f>
        <v>9.2857142857142865</v>
      </c>
      <c r="F27" s="49">
        <f>AVERAGE('29.07 Najjeera-Kiwatule'!F27,'02.08 Najjeera-Kiwatule'!F27,'30.07 Najjeera-Kiwatule'!F27,'31.07 Najjeera-Kiwatule'!F27,'01.08 Najjeera-Kiwatule-24h'!F27,'03.08 Najjeera-Kiwatule-24h'!F27,'04.08 Najjeera-Kiwatule'!F27)</f>
        <v>11.857142857142858</v>
      </c>
      <c r="G27" s="49">
        <f>AVERAGE('29.07 Najjeera-Kiwatule'!G27,'02.08 Najjeera-Kiwatule'!G27,'30.07 Najjeera-Kiwatule'!G27,'31.07 Najjeera-Kiwatule'!G27,'01.08 Najjeera-Kiwatule-24h'!G27,'03.08 Najjeera-Kiwatule-24h'!G27,'04.08 Najjeera-Kiwatule'!G27)</f>
        <v>0</v>
      </c>
      <c r="H27" s="49">
        <f>AVERAGE('29.07 Najjeera-Kiwatule'!H27,'02.08 Najjeera-Kiwatule'!H27,'30.07 Najjeera-Kiwatule'!H27,'31.07 Najjeera-Kiwatule'!H27,'01.08 Najjeera-Kiwatule-24h'!H27,'03.08 Najjeera-Kiwatule-24h'!H27,'04.08 Najjeera-Kiwatule'!H27)</f>
        <v>0</v>
      </c>
      <c r="I27" s="49">
        <f>AVERAGE('29.07 Najjeera-Kiwatule'!I27,'02.08 Najjeera-Kiwatule'!I27,'30.07 Najjeera-Kiwatule'!I27,'31.07 Najjeera-Kiwatule'!I27,'01.08 Najjeera-Kiwatule-24h'!I27,'03.08 Najjeera-Kiwatule-24h'!I27,'04.08 Najjeera-Kiwatule'!I27)</f>
        <v>3.7142857142857144</v>
      </c>
      <c r="J27" s="49">
        <f>AVERAGE('29.07 Najjeera-Kiwatule'!J27,'02.08 Najjeera-Kiwatule'!J27,'30.07 Najjeera-Kiwatule'!J27,'31.07 Najjeera-Kiwatule'!J27,'01.08 Najjeera-Kiwatule-24h'!J27,'03.08 Najjeera-Kiwatule-24h'!J27,'04.08 Najjeera-Kiwatule'!J27)</f>
        <v>1.5714285714285714</v>
      </c>
      <c r="K27" s="49">
        <f>AVERAGE('29.07 Najjeera-Kiwatule'!K27,'02.08 Najjeera-Kiwatule'!K27,'30.07 Najjeera-Kiwatule'!K27,'31.07 Najjeera-Kiwatule'!K27,'01.08 Najjeera-Kiwatule-24h'!K27,'03.08 Najjeera-Kiwatule-24h'!K27,'04.08 Najjeera-Kiwatule'!K27)</f>
        <v>0.7142857142857143</v>
      </c>
      <c r="L27" s="49">
        <f>AVERAGE('29.07 Najjeera-Kiwatule'!L27,'02.08 Najjeera-Kiwatule'!L27,'30.07 Najjeera-Kiwatule'!L27,'31.07 Najjeera-Kiwatule'!L27,'01.08 Najjeera-Kiwatule-24h'!L27,'03.08 Najjeera-Kiwatule-24h'!L27,'04.08 Najjeera-Kiwatule'!L27)</f>
        <v>0.2857142857142857</v>
      </c>
      <c r="M27" s="49">
        <f>AVERAGE('29.07 Najjeera-Kiwatule'!M27,'02.08 Najjeera-Kiwatule'!M27,'30.07 Najjeera-Kiwatule'!M27,'31.07 Najjeera-Kiwatule'!M27,'01.08 Najjeera-Kiwatule-24h'!M27,'03.08 Najjeera-Kiwatule-24h'!M27,'04.08 Najjeera-Kiwatule'!M27)</f>
        <v>84.142857142857139</v>
      </c>
      <c r="N27" s="49">
        <f>AVERAGE('29.07 Najjeera-Kiwatule'!N27,'02.08 Najjeera-Kiwatule'!N27,'30.07 Najjeera-Kiwatule'!N27,'31.07 Najjeera-Kiwatule'!N27,'01.08 Najjeera-Kiwatule-24h'!N27,'03.08 Najjeera-Kiwatule-24h'!N27,'04.08 Najjeera-Kiwatule'!N27)</f>
        <v>0</v>
      </c>
      <c r="O27" s="15">
        <f t="shared" si="0"/>
        <v>124.71428571428571</v>
      </c>
      <c r="P27" s="15">
        <f t="shared" si="1"/>
        <v>208.85714285714283</v>
      </c>
      <c r="R27" s="1" t="s">
        <v>151</v>
      </c>
      <c r="S27" s="52">
        <f t="shared" si="15"/>
        <v>173</v>
      </c>
      <c r="T27" s="52">
        <f t="shared" si="14"/>
        <v>29</v>
      </c>
      <c r="U27" s="52">
        <f t="shared" si="14"/>
        <v>14.5</v>
      </c>
      <c r="V27" s="52">
        <f t="shared" si="14"/>
        <v>36.5</v>
      </c>
      <c r="W27" s="52">
        <f t="shared" si="14"/>
        <v>0</v>
      </c>
      <c r="X27" s="52">
        <f t="shared" si="14"/>
        <v>0</v>
      </c>
      <c r="Y27" s="52">
        <f t="shared" si="14"/>
        <v>10</v>
      </c>
      <c r="Z27" s="52">
        <f t="shared" si="14"/>
        <v>0</v>
      </c>
      <c r="AA27" s="52">
        <f t="shared" si="14"/>
        <v>0</v>
      </c>
      <c r="AB27" s="52">
        <f t="shared" si="14"/>
        <v>0.5</v>
      </c>
      <c r="AC27" s="52">
        <f t="shared" si="14"/>
        <v>397.5</v>
      </c>
      <c r="AD27" s="52">
        <f t="shared" si="14"/>
        <v>0</v>
      </c>
      <c r="AE27" s="53">
        <f t="shared" si="14"/>
        <v>263.5</v>
      </c>
      <c r="AF27" s="53">
        <f t="shared" si="14"/>
        <v>661</v>
      </c>
    </row>
    <row r="28" spans="2:32" ht="23.1" customHeight="1">
      <c r="B28" s="23" t="s">
        <v>55</v>
      </c>
      <c r="C28" s="49">
        <f>AVERAGE('29.07 Najjeera-Kiwatule'!C28,'02.08 Najjeera-Kiwatule'!C28,'30.07 Najjeera-Kiwatule'!C28,'31.07 Najjeera-Kiwatule'!C28,'01.08 Najjeera-Kiwatule-24h'!C28,'03.08 Najjeera-Kiwatule-24h'!C28,'04.08 Najjeera-Kiwatule'!C28)</f>
        <v>79</v>
      </c>
      <c r="D28" s="49">
        <f>AVERAGE('29.07 Najjeera-Kiwatule'!D28,'02.08 Najjeera-Kiwatule'!D28,'30.07 Najjeera-Kiwatule'!D28,'31.07 Najjeera-Kiwatule'!D28,'01.08 Najjeera-Kiwatule-24h'!D28,'03.08 Najjeera-Kiwatule-24h'!D28,'04.08 Najjeera-Kiwatule'!D28)</f>
        <v>10.857142857142858</v>
      </c>
      <c r="E28" s="49">
        <f>AVERAGE('29.07 Najjeera-Kiwatule'!E28,'02.08 Najjeera-Kiwatule'!E28,'30.07 Najjeera-Kiwatule'!E28,'31.07 Najjeera-Kiwatule'!E28,'01.08 Najjeera-Kiwatule-24h'!E28,'03.08 Najjeera-Kiwatule-24h'!E28,'04.08 Najjeera-Kiwatule'!E28)</f>
        <v>6.8571428571428568</v>
      </c>
      <c r="F28" s="49">
        <f>AVERAGE('29.07 Najjeera-Kiwatule'!F28,'02.08 Najjeera-Kiwatule'!F28,'30.07 Najjeera-Kiwatule'!F28,'31.07 Najjeera-Kiwatule'!F28,'01.08 Najjeera-Kiwatule-24h'!F28,'03.08 Najjeera-Kiwatule-24h'!F28,'04.08 Najjeera-Kiwatule'!F28)</f>
        <v>13.142857142857142</v>
      </c>
      <c r="G28" s="49">
        <f>AVERAGE('29.07 Najjeera-Kiwatule'!G28,'02.08 Najjeera-Kiwatule'!G28,'30.07 Najjeera-Kiwatule'!G28,'31.07 Najjeera-Kiwatule'!G28,'01.08 Najjeera-Kiwatule-24h'!G28,'03.08 Najjeera-Kiwatule-24h'!G28,'04.08 Najjeera-Kiwatule'!G28)</f>
        <v>0</v>
      </c>
      <c r="H28" s="49">
        <f>AVERAGE('29.07 Najjeera-Kiwatule'!H28,'02.08 Najjeera-Kiwatule'!H28,'30.07 Najjeera-Kiwatule'!H28,'31.07 Najjeera-Kiwatule'!H28,'01.08 Najjeera-Kiwatule-24h'!H28,'03.08 Najjeera-Kiwatule-24h'!H28,'04.08 Najjeera-Kiwatule'!H28)</f>
        <v>0</v>
      </c>
      <c r="I28" s="49">
        <f>AVERAGE('29.07 Najjeera-Kiwatule'!I28,'02.08 Najjeera-Kiwatule'!I28,'30.07 Najjeera-Kiwatule'!I28,'31.07 Najjeera-Kiwatule'!I28,'01.08 Najjeera-Kiwatule-24h'!I28,'03.08 Najjeera-Kiwatule-24h'!I28,'04.08 Najjeera-Kiwatule'!I28)</f>
        <v>4.7142857142857144</v>
      </c>
      <c r="J28" s="49">
        <f>AVERAGE('29.07 Najjeera-Kiwatule'!J28,'02.08 Najjeera-Kiwatule'!J28,'30.07 Najjeera-Kiwatule'!J28,'31.07 Najjeera-Kiwatule'!J28,'01.08 Najjeera-Kiwatule-24h'!J28,'03.08 Najjeera-Kiwatule-24h'!J28,'04.08 Najjeera-Kiwatule'!J28)</f>
        <v>1.1428571428571428</v>
      </c>
      <c r="K28" s="49">
        <f>AVERAGE('29.07 Najjeera-Kiwatule'!K28,'02.08 Najjeera-Kiwatule'!K28,'30.07 Najjeera-Kiwatule'!K28,'31.07 Najjeera-Kiwatule'!K28,'01.08 Najjeera-Kiwatule-24h'!K28,'03.08 Najjeera-Kiwatule-24h'!K28,'04.08 Najjeera-Kiwatule'!K28)</f>
        <v>0.5714285714285714</v>
      </c>
      <c r="L28" s="49">
        <f>AVERAGE('29.07 Najjeera-Kiwatule'!L28,'02.08 Najjeera-Kiwatule'!L28,'30.07 Najjeera-Kiwatule'!L28,'31.07 Najjeera-Kiwatule'!L28,'01.08 Najjeera-Kiwatule-24h'!L28,'03.08 Najjeera-Kiwatule-24h'!L28,'04.08 Najjeera-Kiwatule'!L28)</f>
        <v>0</v>
      </c>
      <c r="M28" s="49">
        <f>AVERAGE('29.07 Najjeera-Kiwatule'!M28,'02.08 Najjeera-Kiwatule'!M28,'30.07 Najjeera-Kiwatule'!M28,'31.07 Najjeera-Kiwatule'!M28,'01.08 Najjeera-Kiwatule-24h'!M28,'03.08 Najjeera-Kiwatule-24h'!M28,'04.08 Najjeera-Kiwatule'!M28)</f>
        <v>97.285714285714292</v>
      </c>
      <c r="N28" s="49">
        <f>AVERAGE('29.07 Najjeera-Kiwatule'!N28,'02.08 Najjeera-Kiwatule'!N28,'30.07 Najjeera-Kiwatule'!N28,'31.07 Najjeera-Kiwatule'!N28,'01.08 Najjeera-Kiwatule-24h'!N28,'03.08 Najjeera-Kiwatule-24h'!N28,'04.08 Najjeera-Kiwatule'!N28)</f>
        <v>0</v>
      </c>
      <c r="O28" s="15">
        <f t="shared" si="0"/>
        <v>116.28571428571428</v>
      </c>
      <c r="P28" s="15">
        <f t="shared" si="1"/>
        <v>213.57142857142856</v>
      </c>
      <c r="R28" s="1" t="s">
        <v>152</v>
      </c>
      <c r="S28" s="52">
        <f t="shared" si="15"/>
        <v>176.5</v>
      </c>
      <c r="T28" s="52">
        <f t="shared" si="14"/>
        <v>25.5</v>
      </c>
      <c r="U28" s="52">
        <f t="shared" si="14"/>
        <v>9.5</v>
      </c>
      <c r="V28" s="52">
        <f t="shared" si="14"/>
        <v>37.5</v>
      </c>
      <c r="W28" s="52">
        <f t="shared" si="14"/>
        <v>0</v>
      </c>
      <c r="X28" s="52">
        <f t="shared" si="14"/>
        <v>0</v>
      </c>
      <c r="Y28" s="52">
        <f t="shared" si="14"/>
        <v>10</v>
      </c>
      <c r="Z28" s="52">
        <f t="shared" si="14"/>
        <v>1</v>
      </c>
      <c r="AA28" s="52">
        <f t="shared" si="14"/>
        <v>0</v>
      </c>
      <c r="AB28" s="52">
        <f t="shared" si="14"/>
        <v>0.5</v>
      </c>
      <c r="AC28" s="52">
        <f t="shared" si="14"/>
        <v>375.5</v>
      </c>
      <c r="AD28" s="52">
        <f t="shared" si="14"/>
        <v>0</v>
      </c>
      <c r="AE28" s="53">
        <f t="shared" si="14"/>
        <v>260.5</v>
      </c>
      <c r="AF28" s="53">
        <f t="shared" si="14"/>
        <v>636</v>
      </c>
    </row>
    <row r="29" spans="2:32" ht="23.1" customHeight="1">
      <c r="B29" s="23" t="s">
        <v>56</v>
      </c>
      <c r="C29" s="49">
        <f>AVERAGE('29.07 Najjeera-Kiwatule'!C29,'02.08 Najjeera-Kiwatule'!C29,'30.07 Najjeera-Kiwatule'!C29,'31.07 Najjeera-Kiwatule'!C29,'01.08 Najjeera-Kiwatule-24h'!C29,'03.08 Najjeera-Kiwatule-24h'!C29,'04.08 Najjeera-Kiwatule'!C29)</f>
        <v>68.857142857142861</v>
      </c>
      <c r="D29" s="49">
        <f>AVERAGE('29.07 Najjeera-Kiwatule'!D29,'02.08 Najjeera-Kiwatule'!D29,'30.07 Najjeera-Kiwatule'!D29,'31.07 Najjeera-Kiwatule'!D29,'01.08 Najjeera-Kiwatule-24h'!D29,'03.08 Najjeera-Kiwatule-24h'!D29,'04.08 Najjeera-Kiwatule'!D29)</f>
        <v>11.714285714285714</v>
      </c>
      <c r="E29" s="49">
        <f>AVERAGE('29.07 Najjeera-Kiwatule'!E29,'02.08 Najjeera-Kiwatule'!E29,'30.07 Najjeera-Kiwatule'!E29,'31.07 Najjeera-Kiwatule'!E29,'01.08 Najjeera-Kiwatule-24h'!E29,'03.08 Najjeera-Kiwatule-24h'!E29,'04.08 Najjeera-Kiwatule'!E29)</f>
        <v>10</v>
      </c>
      <c r="F29" s="49">
        <f>AVERAGE('29.07 Najjeera-Kiwatule'!F29,'02.08 Najjeera-Kiwatule'!F29,'30.07 Najjeera-Kiwatule'!F29,'31.07 Najjeera-Kiwatule'!F29,'01.08 Najjeera-Kiwatule-24h'!F29,'03.08 Najjeera-Kiwatule-24h'!F29,'04.08 Najjeera-Kiwatule'!F29)</f>
        <v>13.285714285714286</v>
      </c>
      <c r="G29" s="49">
        <f>AVERAGE('29.07 Najjeera-Kiwatule'!G29,'02.08 Najjeera-Kiwatule'!G29,'30.07 Najjeera-Kiwatule'!G29,'31.07 Najjeera-Kiwatule'!G29,'01.08 Najjeera-Kiwatule-24h'!G29,'03.08 Najjeera-Kiwatule-24h'!G29,'04.08 Najjeera-Kiwatule'!G29)</f>
        <v>0</v>
      </c>
      <c r="H29" s="49">
        <f>AVERAGE('29.07 Najjeera-Kiwatule'!H29,'02.08 Najjeera-Kiwatule'!H29,'30.07 Najjeera-Kiwatule'!H29,'31.07 Najjeera-Kiwatule'!H29,'01.08 Najjeera-Kiwatule-24h'!H29,'03.08 Najjeera-Kiwatule-24h'!H29,'04.08 Najjeera-Kiwatule'!H29)</f>
        <v>0</v>
      </c>
      <c r="I29" s="49">
        <f>AVERAGE('29.07 Najjeera-Kiwatule'!I29,'02.08 Najjeera-Kiwatule'!I29,'30.07 Najjeera-Kiwatule'!I29,'31.07 Najjeera-Kiwatule'!I29,'01.08 Najjeera-Kiwatule-24h'!I29,'03.08 Najjeera-Kiwatule-24h'!I29,'04.08 Najjeera-Kiwatule'!I29)</f>
        <v>3.7142857142857144</v>
      </c>
      <c r="J29" s="49">
        <f>AVERAGE('29.07 Najjeera-Kiwatule'!J29,'02.08 Najjeera-Kiwatule'!J29,'30.07 Najjeera-Kiwatule'!J29,'31.07 Najjeera-Kiwatule'!J29,'01.08 Najjeera-Kiwatule-24h'!J29,'03.08 Najjeera-Kiwatule-24h'!J29,'04.08 Najjeera-Kiwatule'!J29)</f>
        <v>1</v>
      </c>
      <c r="K29" s="49">
        <f>AVERAGE('29.07 Najjeera-Kiwatule'!K29,'02.08 Najjeera-Kiwatule'!K29,'30.07 Najjeera-Kiwatule'!K29,'31.07 Najjeera-Kiwatule'!K29,'01.08 Najjeera-Kiwatule-24h'!K29,'03.08 Najjeera-Kiwatule-24h'!K29,'04.08 Najjeera-Kiwatule'!K29)</f>
        <v>0.2857142857142857</v>
      </c>
      <c r="L29" s="49">
        <f>AVERAGE('29.07 Najjeera-Kiwatule'!L29,'02.08 Najjeera-Kiwatule'!L29,'30.07 Najjeera-Kiwatule'!L29,'31.07 Najjeera-Kiwatule'!L29,'01.08 Najjeera-Kiwatule-24h'!L29,'03.08 Najjeera-Kiwatule-24h'!L29,'04.08 Najjeera-Kiwatule'!L29)</f>
        <v>0.14285714285714285</v>
      </c>
      <c r="M29" s="49">
        <f>AVERAGE('29.07 Najjeera-Kiwatule'!M29,'02.08 Najjeera-Kiwatule'!M29,'30.07 Najjeera-Kiwatule'!M29,'31.07 Najjeera-Kiwatule'!M29,'01.08 Najjeera-Kiwatule-24h'!M29,'03.08 Najjeera-Kiwatule-24h'!M29,'04.08 Najjeera-Kiwatule'!M29)</f>
        <v>76.571428571428569</v>
      </c>
      <c r="N29" s="49">
        <f>AVERAGE('29.07 Najjeera-Kiwatule'!N29,'02.08 Najjeera-Kiwatule'!N29,'30.07 Najjeera-Kiwatule'!N29,'31.07 Najjeera-Kiwatule'!N29,'01.08 Najjeera-Kiwatule-24h'!N29,'03.08 Najjeera-Kiwatule-24h'!N29,'04.08 Najjeera-Kiwatule'!N29)</f>
        <v>0</v>
      </c>
      <c r="O29" s="15">
        <f t="shared" si="0"/>
        <v>109</v>
      </c>
      <c r="P29" s="15">
        <f t="shared" si="1"/>
        <v>185.57142857142856</v>
      </c>
      <c r="R29" s="1" t="s">
        <v>153</v>
      </c>
      <c r="S29" s="52">
        <f t="shared" si="15"/>
        <v>170.5</v>
      </c>
      <c r="T29" s="52">
        <f t="shared" si="14"/>
        <v>24.5</v>
      </c>
      <c r="U29" s="52">
        <f t="shared" si="14"/>
        <v>10.5</v>
      </c>
      <c r="V29" s="52">
        <f t="shared" si="14"/>
        <v>34</v>
      </c>
      <c r="W29" s="52">
        <f t="shared" si="14"/>
        <v>0</v>
      </c>
      <c r="X29" s="52">
        <f t="shared" si="14"/>
        <v>0</v>
      </c>
      <c r="Y29" s="52">
        <f t="shared" si="14"/>
        <v>11</v>
      </c>
      <c r="Z29" s="52">
        <f t="shared" si="14"/>
        <v>1</v>
      </c>
      <c r="AA29" s="52">
        <f t="shared" si="14"/>
        <v>0</v>
      </c>
      <c r="AB29" s="52">
        <f t="shared" si="14"/>
        <v>0.5</v>
      </c>
      <c r="AC29" s="52">
        <f t="shared" si="14"/>
        <v>356.5</v>
      </c>
      <c r="AD29" s="52">
        <f t="shared" si="14"/>
        <v>0</v>
      </c>
      <c r="AE29" s="53">
        <f t="shared" si="14"/>
        <v>252</v>
      </c>
      <c r="AF29" s="53">
        <f t="shared" si="14"/>
        <v>608.5</v>
      </c>
    </row>
    <row r="30" spans="2:32" ht="23.1" customHeight="1">
      <c r="B30" s="23" t="s">
        <v>57</v>
      </c>
      <c r="C30" s="49">
        <f>AVERAGE('29.07 Najjeera-Kiwatule'!C30,'02.08 Najjeera-Kiwatule'!C30,'30.07 Najjeera-Kiwatule'!C30,'31.07 Najjeera-Kiwatule'!C30,'01.08 Najjeera-Kiwatule-24h'!C30,'03.08 Najjeera-Kiwatule-24h'!C30,'04.08 Najjeera-Kiwatule'!C30)</f>
        <v>86.142857142857139</v>
      </c>
      <c r="D30" s="49">
        <f>AVERAGE('29.07 Najjeera-Kiwatule'!D30,'02.08 Najjeera-Kiwatule'!D30,'30.07 Najjeera-Kiwatule'!D30,'31.07 Najjeera-Kiwatule'!D30,'01.08 Najjeera-Kiwatule-24h'!D30,'03.08 Najjeera-Kiwatule-24h'!D30,'04.08 Najjeera-Kiwatule'!D30)</f>
        <v>14.142857142857142</v>
      </c>
      <c r="E30" s="49">
        <f>AVERAGE('29.07 Najjeera-Kiwatule'!E30,'02.08 Najjeera-Kiwatule'!E30,'30.07 Najjeera-Kiwatule'!E30,'31.07 Najjeera-Kiwatule'!E30,'01.08 Najjeera-Kiwatule-24h'!E30,'03.08 Najjeera-Kiwatule-24h'!E30,'04.08 Najjeera-Kiwatule'!E30)</f>
        <v>8.4285714285714288</v>
      </c>
      <c r="F30" s="49">
        <f>AVERAGE('29.07 Najjeera-Kiwatule'!F30,'02.08 Najjeera-Kiwatule'!F30,'30.07 Najjeera-Kiwatule'!F30,'31.07 Najjeera-Kiwatule'!F30,'01.08 Najjeera-Kiwatule-24h'!F30,'03.08 Najjeera-Kiwatule-24h'!F30,'04.08 Najjeera-Kiwatule'!F30)</f>
        <v>13.142857142857142</v>
      </c>
      <c r="G30" s="49">
        <f>AVERAGE('29.07 Najjeera-Kiwatule'!G30,'02.08 Najjeera-Kiwatule'!G30,'30.07 Najjeera-Kiwatule'!G30,'31.07 Najjeera-Kiwatule'!G30,'01.08 Najjeera-Kiwatule-24h'!G30,'03.08 Najjeera-Kiwatule-24h'!G30,'04.08 Najjeera-Kiwatule'!G30)</f>
        <v>0</v>
      </c>
      <c r="H30" s="49">
        <f>AVERAGE('29.07 Najjeera-Kiwatule'!H30,'02.08 Najjeera-Kiwatule'!H30,'30.07 Najjeera-Kiwatule'!H30,'31.07 Najjeera-Kiwatule'!H30,'01.08 Najjeera-Kiwatule-24h'!H30,'03.08 Najjeera-Kiwatule-24h'!H30,'04.08 Najjeera-Kiwatule'!H30)</f>
        <v>0</v>
      </c>
      <c r="I30" s="49">
        <f>AVERAGE('29.07 Najjeera-Kiwatule'!I30,'02.08 Najjeera-Kiwatule'!I30,'30.07 Najjeera-Kiwatule'!I30,'31.07 Najjeera-Kiwatule'!I30,'01.08 Najjeera-Kiwatule-24h'!I30,'03.08 Najjeera-Kiwatule-24h'!I30,'04.08 Najjeera-Kiwatule'!I30)</f>
        <v>3.2857142857142856</v>
      </c>
      <c r="J30" s="49">
        <f>AVERAGE('29.07 Najjeera-Kiwatule'!J30,'02.08 Najjeera-Kiwatule'!J30,'30.07 Najjeera-Kiwatule'!J30,'31.07 Najjeera-Kiwatule'!J30,'01.08 Najjeera-Kiwatule-24h'!J30,'03.08 Najjeera-Kiwatule-24h'!J30,'04.08 Najjeera-Kiwatule'!J30)</f>
        <v>1.1428571428571428</v>
      </c>
      <c r="K30" s="49">
        <f>AVERAGE('29.07 Najjeera-Kiwatule'!K30,'02.08 Najjeera-Kiwatule'!K30,'30.07 Najjeera-Kiwatule'!K30,'31.07 Najjeera-Kiwatule'!K30,'01.08 Najjeera-Kiwatule-24h'!K30,'03.08 Najjeera-Kiwatule-24h'!K30,'04.08 Najjeera-Kiwatule'!K30)</f>
        <v>0.7142857142857143</v>
      </c>
      <c r="L30" s="49">
        <f>AVERAGE('29.07 Najjeera-Kiwatule'!L30,'02.08 Najjeera-Kiwatule'!L30,'30.07 Najjeera-Kiwatule'!L30,'31.07 Najjeera-Kiwatule'!L30,'01.08 Najjeera-Kiwatule-24h'!L30,'03.08 Najjeera-Kiwatule-24h'!L30,'04.08 Najjeera-Kiwatule'!L30)</f>
        <v>0</v>
      </c>
      <c r="M30" s="49">
        <f>AVERAGE('29.07 Najjeera-Kiwatule'!M30,'02.08 Najjeera-Kiwatule'!M30,'30.07 Najjeera-Kiwatule'!M30,'31.07 Najjeera-Kiwatule'!M30,'01.08 Najjeera-Kiwatule-24h'!M30,'03.08 Najjeera-Kiwatule-24h'!M30,'04.08 Najjeera-Kiwatule'!M30)</f>
        <v>82.571428571428569</v>
      </c>
      <c r="N30" s="49">
        <f>AVERAGE('29.07 Najjeera-Kiwatule'!N30,'02.08 Najjeera-Kiwatule'!N30,'30.07 Najjeera-Kiwatule'!N30,'31.07 Najjeera-Kiwatule'!N30,'01.08 Najjeera-Kiwatule-24h'!N30,'03.08 Najjeera-Kiwatule-24h'!N30,'04.08 Najjeera-Kiwatule'!N30)</f>
        <v>0</v>
      </c>
      <c r="O30" s="15">
        <f t="shared" si="0"/>
        <v>126.99999999999999</v>
      </c>
      <c r="P30" s="15">
        <f t="shared" si="1"/>
        <v>209.57142857142856</v>
      </c>
      <c r="R30" s="1" t="s">
        <v>154</v>
      </c>
      <c r="S30" s="52">
        <f t="shared" si="15"/>
        <v>174.5</v>
      </c>
      <c r="T30" s="52">
        <f t="shared" si="14"/>
        <v>25.5</v>
      </c>
      <c r="U30" s="52">
        <f t="shared" si="14"/>
        <v>7.5</v>
      </c>
      <c r="V30" s="52">
        <f t="shared" si="14"/>
        <v>28.5</v>
      </c>
      <c r="W30" s="52">
        <f t="shared" si="14"/>
        <v>0</v>
      </c>
      <c r="X30" s="52">
        <f t="shared" si="14"/>
        <v>0</v>
      </c>
      <c r="Y30" s="52">
        <f t="shared" si="14"/>
        <v>10</v>
      </c>
      <c r="Z30" s="52">
        <f t="shared" si="14"/>
        <v>1</v>
      </c>
      <c r="AA30" s="52">
        <f t="shared" si="14"/>
        <v>0</v>
      </c>
      <c r="AB30" s="52">
        <f t="shared" si="14"/>
        <v>0</v>
      </c>
      <c r="AC30" s="52">
        <f t="shared" si="14"/>
        <v>344</v>
      </c>
      <c r="AD30" s="52">
        <f t="shared" si="14"/>
        <v>0</v>
      </c>
      <c r="AE30" s="53">
        <f t="shared" si="14"/>
        <v>247</v>
      </c>
      <c r="AF30" s="53">
        <f t="shared" si="14"/>
        <v>591</v>
      </c>
    </row>
    <row r="31" spans="2:32" ht="23.1" customHeight="1">
      <c r="B31" s="24" t="s">
        <v>58</v>
      </c>
      <c r="C31" s="49">
        <f>AVERAGE('29.07 Najjeera-Kiwatule'!C31,'02.08 Najjeera-Kiwatule'!C31,'30.07 Najjeera-Kiwatule'!C31,'31.07 Najjeera-Kiwatule'!C31,'01.08 Najjeera-Kiwatule-24h'!C31,'03.08 Najjeera-Kiwatule-24h'!C31,'04.08 Najjeera-Kiwatule'!C31)</f>
        <v>91.857142857142861</v>
      </c>
      <c r="D31" s="49">
        <f>AVERAGE('29.07 Najjeera-Kiwatule'!D31,'02.08 Najjeera-Kiwatule'!D31,'30.07 Najjeera-Kiwatule'!D31,'31.07 Najjeera-Kiwatule'!D31,'01.08 Najjeera-Kiwatule-24h'!D31,'03.08 Najjeera-Kiwatule-24h'!D31,'04.08 Najjeera-Kiwatule'!D31)</f>
        <v>12.285714285714286</v>
      </c>
      <c r="E31" s="49">
        <f>AVERAGE('29.07 Najjeera-Kiwatule'!E31,'02.08 Najjeera-Kiwatule'!E31,'30.07 Najjeera-Kiwatule'!E31,'31.07 Najjeera-Kiwatule'!E31,'01.08 Najjeera-Kiwatule-24h'!E31,'03.08 Najjeera-Kiwatule-24h'!E31,'04.08 Najjeera-Kiwatule'!E31)</f>
        <v>6.7142857142857144</v>
      </c>
      <c r="F31" s="49">
        <f>AVERAGE('29.07 Najjeera-Kiwatule'!F31,'02.08 Najjeera-Kiwatule'!F31,'30.07 Najjeera-Kiwatule'!F31,'31.07 Najjeera-Kiwatule'!F31,'01.08 Najjeera-Kiwatule-24h'!F31,'03.08 Najjeera-Kiwatule-24h'!F31,'04.08 Najjeera-Kiwatule'!F31)</f>
        <v>14.571428571428571</v>
      </c>
      <c r="G31" s="49">
        <f>AVERAGE('29.07 Najjeera-Kiwatule'!G31,'02.08 Najjeera-Kiwatule'!G31,'30.07 Najjeera-Kiwatule'!G31,'31.07 Najjeera-Kiwatule'!G31,'01.08 Najjeera-Kiwatule-24h'!G31,'03.08 Najjeera-Kiwatule-24h'!G31,'04.08 Najjeera-Kiwatule'!G31)</f>
        <v>0</v>
      </c>
      <c r="H31" s="49">
        <f>AVERAGE('29.07 Najjeera-Kiwatule'!H31,'02.08 Najjeera-Kiwatule'!H31,'30.07 Najjeera-Kiwatule'!H31,'31.07 Najjeera-Kiwatule'!H31,'01.08 Najjeera-Kiwatule-24h'!H31,'03.08 Najjeera-Kiwatule-24h'!H31,'04.08 Najjeera-Kiwatule'!H31)</f>
        <v>0</v>
      </c>
      <c r="I31" s="49">
        <f>AVERAGE('29.07 Najjeera-Kiwatule'!I31,'02.08 Najjeera-Kiwatule'!I31,'30.07 Najjeera-Kiwatule'!I31,'31.07 Najjeera-Kiwatule'!I31,'01.08 Najjeera-Kiwatule-24h'!I31,'03.08 Najjeera-Kiwatule-24h'!I31,'04.08 Najjeera-Kiwatule'!I31)</f>
        <v>4.7142857142857144</v>
      </c>
      <c r="J31" s="49">
        <f>AVERAGE('29.07 Najjeera-Kiwatule'!J31,'02.08 Najjeera-Kiwatule'!J31,'30.07 Najjeera-Kiwatule'!J31,'31.07 Najjeera-Kiwatule'!J31,'01.08 Najjeera-Kiwatule-24h'!J31,'03.08 Najjeera-Kiwatule-24h'!J31,'04.08 Najjeera-Kiwatule'!J31)</f>
        <v>1.2857142857142858</v>
      </c>
      <c r="K31" s="49">
        <f>AVERAGE('29.07 Najjeera-Kiwatule'!K31,'02.08 Najjeera-Kiwatule'!K31,'30.07 Najjeera-Kiwatule'!K31,'31.07 Najjeera-Kiwatule'!K31,'01.08 Najjeera-Kiwatule-24h'!K31,'03.08 Najjeera-Kiwatule-24h'!K31,'04.08 Najjeera-Kiwatule'!K31)</f>
        <v>0.42857142857142855</v>
      </c>
      <c r="L31" s="49">
        <f>AVERAGE('29.07 Najjeera-Kiwatule'!L31,'02.08 Najjeera-Kiwatule'!L31,'30.07 Najjeera-Kiwatule'!L31,'31.07 Najjeera-Kiwatule'!L31,'01.08 Najjeera-Kiwatule-24h'!L31,'03.08 Najjeera-Kiwatule-24h'!L31,'04.08 Najjeera-Kiwatule'!L31)</f>
        <v>0.14285714285714285</v>
      </c>
      <c r="M31" s="49">
        <f>AVERAGE('29.07 Najjeera-Kiwatule'!M31,'02.08 Najjeera-Kiwatule'!M31,'30.07 Najjeera-Kiwatule'!M31,'31.07 Najjeera-Kiwatule'!M31,'01.08 Najjeera-Kiwatule-24h'!M31,'03.08 Najjeera-Kiwatule-24h'!M31,'04.08 Najjeera-Kiwatule'!M31)</f>
        <v>83.857142857142861</v>
      </c>
      <c r="N31" s="49">
        <f>AVERAGE('29.07 Najjeera-Kiwatule'!N31,'02.08 Najjeera-Kiwatule'!N31,'30.07 Najjeera-Kiwatule'!N31,'31.07 Najjeera-Kiwatule'!N31,'01.08 Najjeera-Kiwatule-24h'!N31,'03.08 Najjeera-Kiwatule-24h'!N31,'04.08 Najjeera-Kiwatule'!N31)</f>
        <v>0</v>
      </c>
      <c r="O31" s="15">
        <f t="shared" si="0"/>
        <v>131.99999999999997</v>
      </c>
      <c r="P31" s="15">
        <f t="shared" si="1"/>
        <v>215.85714285714283</v>
      </c>
      <c r="R31" s="1" t="s">
        <v>155</v>
      </c>
      <c r="S31" s="52">
        <f t="shared" si="15"/>
        <v>187.5</v>
      </c>
      <c r="T31" s="52">
        <f t="shared" si="14"/>
        <v>28.5</v>
      </c>
      <c r="U31" s="52">
        <f t="shared" si="14"/>
        <v>9</v>
      </c>
      <c r="V31" s="52">
        <f t="shared" si="14"/>
        <v>30.5</v>
      </c>
      <c r="W31" s="52">
        <f t="shared" si="14"/>
        <v>0</v>
      </c>
      <c r="X31" s="52">
        <f t="shared" si="14"/>
        <v>0</v>
      </c>
      <c r="Y31" s="52">
        <f t="shared" si="14"/>
        <v>9.5</v>
      </c>
      <c r="Z31" s="52">
        <f t="shared" si="14"/>
        <v>1</v>
      </c>
      <c r="AA31" s="52">
        <f t="shared" si="14"/>
        <v>0</v>
      </c>
      <c r="AB31" s="52">
        <f t="shared" si="14"/>
        <v>0</v>
      </c>
      <c r="AC31" s="52">
        <f t="shared" si="14"/>
        <v>364</v>
      </c>
      <c r="AD31" s="52">
        <f t="shared" si="14"/>
        <v>0.5</v>
      </c>
      <c r="AE31" s="53">
        <f t="shared" si="14"/>
        <v>266.5</v>
      </c>
      <c r="AF31" s="53">
        <f t="shared" si="14"/>
        <v>630.5</v>
      </c>
    </row>
    <row r="32" spans="2:32" ht="23.1" customHeight="1">
      <c r="B32" s="24" t="s">
        <v>59</v>
      </c>
      <c r="C32" s="49">
        <f>AVERAGE('29.07 Najjeera-Kiwatule'!C32,'02.08 Najjeera-Kiwatule'!C32,'30.07 Najjeera-Kiwatule'!C32,'31.07 Najjeera-Kiwatule'!C32,'01.08 Najjeera-Kiwatule-24h'!C32,'03.08 Najjeera-Kiwatule-24h'!C32,'04.08 Najjeera-Kiwatule'!C32)</f>
        <v>86.571428571428569</v>
      </c>
      <c r="D32" s="49">
        <f>AVERAGE('29.07 Najjeera-Kiwatule'!D32,'02.08 Najjeera-Kiwatule'!D32,'30.07 Najjeera-Kiwatule'!D32,'31.07 Najjeera-Kiwatule'!D32,'01.08 Najjeera-Kiwatule-24h'!D32,'03.08 Najjeera-Kiwatule-24h'!D32,'04.08 Najjeera-Kiwatule'!D32)</f>
        <v>10.142857142857142</v>
      </c>
      <c r="E32" s="49">
        <f>AVERAGE('29.07 Najjeera-Kiwatule'!E32,'02.08 Najjeera-Kiwatule'!E32,'30.07 Najjeera-Kiwatule'!E32,'31.07 Najjeera-Kiwatule'!E32,'01.08 Najjeera-Kiwatule-24h'!E32,'03.08 Najjeera-Kiwatule-24h'!E32,'04.08 Najjeera-Kiwatule'!E32)</f>
        <v>7.2857142857142856</v>
      </c>
      <c r="F32" s="49">
        <f>AVERAGE('29.07 Najjeera-Kiwatule'!F32,'02.08 Najjeera-Kiwatule'!F32,'30.07 Najjeera-Kiwatule'!F32,'31.07 Najjeera-Kiwatule'!F32,'01.08 Najjeera-Kiwatule-24h'!F32,'03.08 Najjeera-Kiwatule-24h'!F32,'04.08 Najjeera-Kiwatule'!F32)</f>
        <v>13.428571428571429</v>
      </c>
      <c r="G32" s="49">
        <f>AVERAGE('29.07 Najjeera-Kiwatule'!G32,'02.08 Najjeera-Kiwatule'!G32,'30.07 Najjeera-Kiwatule'!G32,'31.07 Najjeera-Kiwatule'!G32,'01.08 Najjeera-Kiwatule-24h'!G32,'03.08 Najjeera-Kiwatule-24h'!G32,'04.08 Najjeera-Kiwatule'!G32)</f>
        <v>0</v>
      </c>
      <c r="H32" s="49">
        <f>AVERAGE('29.07 Najjeera-Kiwatule'!H32,'02.08 Najjeera-Kiwatule'!H32,'30.07 Najjeera-Kiwatule'!H32,'31.07 Najjeera-Kiwatule'!H32,'01.08 Najjeera-Kiwatule-24h'!H32,'03.08 Najjeera-Kiwatule-24h'!H32,'04.08 Najjeera-Kiwatule'!H32)</f>
        <v>0</v>
      </c>
      <c r="I32" s="49">
        <f>AVERAGE('29.07 Najjeera-Kiwatule'!I32,'02.08 Najjeera-Kiwatule'!I32,'30.07 Najjeera-Kiwatule'!I32,'31.07 Najjeera-Kiwatule'!I32,'01.08 Najjeera-Kiwatule-24h'!I32,'03.08 Najjeera-Kiwatule-24h'!I32,'04.08 Najjeera-Kiwatule'!I32)</f>
        <v>3.7142857142857144</v>
      </c>
      <c r="J32" s="49">
        <f>AVERAGE('29.07 Najjeera-Kiwatule'!J32,'02.08 Najjeera-Kiwatule'!J32,'30.07 Najjeera-Kiwatule'!J32,'31.07 Najjeera-Kiwatule'!J32,'01.08 Najjeera-Kiwatule-24h'!J32,'03.08 Najjeera-Kiwatule-24h'!J32,'04.08 Najjeera-Kiwatule'!J32)</f>
        <v>1</v>
      </c>
      <c r="K32" s="49">
        <f>AVERAGE('29.07 Najjeera-Kiwatule'!K32,'02.08 Najjeera-Kiwatule'!K32,'30.07 Najjeera-Kiwatule'!K32,'31.07 Najjeera-Kiwatule'!K32,'01.08 Najjeera-Kiwatule-24h'!K32,'03.08 Najjeera-Kiwatule-24h'!K32,'04.08 Najjeera-Kiwatule'!K32)</f>
        <v>0.14285714285714285</v>
      </c>
      <c r="L32" s="49">
        <f>AVERAGE('29.07 Najjeera-Kiwatule'!L32,'02.08 Najjeera-Kiwatule'!L32,'30.07 Najjeera-Kiwatule'!L32,'31.07 Najjeera-Kiwatule'!L32,'01.08 Najjeera-Kiwatule-24h'!L32,'03.08 Najjeera-Kiwatule-24h'!L32,'04.08 Najjeera-Kiwatule'!L32)</f>
        <v>0</v>
      </c>
      <c r="M32" s="49">
        <f>AVERAGE('29.07 Najjeera-Kiwatule'!M32,'02.08 Najjeera-Kiwatule'!M32,'30.07 Najjeera-Kiwatule'!M32,'31.07 Najjeera-Kiwatule'!M32,'01.08 Najjeera-Kiwatule-24h'!M32,'03.08 Najjeera-Kiwatule-24h'!M32,'04.08 Najjeera-Kiwatule'!M32)</f>
        <v>82.714285714285708</v>
      </c>
      <c r="N32" s="49">
        <f>AVERAGE('29.07 Najjeera-Kiwatule'!N32,'02.08 Najjeera-Kiwatule'!N32,'30.07 Najjeera-Kiwatule'!N32,'31.07 Najjeera-Kiwatule'!N32,'01.08 Najjeera-Kiwatule-24h'!N32,'03.08 Najjeera-Kiwatule-24h'!N32,'04.08 Najjeera-Kiwatule'!N32)</f>
        <v>0</v>
      </c>
      <c r="O32" s="15">
        <f t="shared" si="0"/>
        <v>122.28571428571428</v>
      </c>
      <c r="P32" s="15">
        <f t="shared" si="1"/>
        <v>205</v>
      </c>
      <c r="R32" s="1" t="s">
        <v>156</v>
      </c>
      <c r="S32" s="52">
        <f t="shared" si="15"/>
        <v>184</v>
      </c>
      <c r="T32" s="52">
        <f t="shared" si="14"/>
        <v>27</v>
      </c>
      <c r="U32" s="52">
        <f t="shared" si="14"/>
        <v>10</v>
      </c>
      <c r="V32" s="52">
        <f t="shared" si="14"/>
        <v>31</v>
      </c>
      <c r="W32" s="52">
        <f t="shared" si="14"/>
        <v>0</v>
      </c>
      <c r="X32" s="52">
        <f t="shared" si="14"/>
        <v>0</v>
      </c>
      <c r="Y32" s="52">
        <f t="shared" si="14"/>
        <v>7</v>
      </c>
      <c r="Z32" s="52">
        <f t="shared" si="14"/>
        <v>0</v>
      </c>
      <c r="AA32" s="52">
        <f t="shared" si="14"/>
        <v>0</v>
      </c>
      <c r="AB32" s="52">
        <f t="shared" si="14"/>
        <v>0</v>
      </c>
      <c r="AC32" s="52">
        <f t="shared" si="14"/>
        <v>351</v>
      </c>
      <c r="AD32" s="52">
        <f t="shared" si="14"/>
        <v>0.5</v>
      </c>
      <c r="AE32" s="53">
        <f t="shared" si="14"/>
        <v>259.5</v>
      </c>
      <c r="AF32" s="53">
        <f t="shared" si="14"/>
        <v>610.5</v>
      </c>
    </row>
    <row r="33" spans="2:32" ht="23.1" customHeight="1">
      <c r="B33" s="23" t="s">
        <v>60</v>
      </c>
      <c r="C33" s="49">
        <f>AVERAGE('29.07 Najjeera-Kiwatule'!C33,'02.08 Najjeera-Kiwatule'!C33,'30.07 Najjeera-Kiwatule'!C33,'31.07 Najjeera-Kiwatule'!C33,'01.08 Najjeera-Kiwatule-24h'!C33,'03.08 Najjeera-Kiwatule-24h'!C33,'04.08 Najjeera-Kiwatule'!C33)</f>
        <v>71.142857142857139</v>
      </c>
      <c r="D33" s="49">
        <f>AVERAGE('29.07 Najjeera-Kiwatule'!D33,'02.08 Najjeera-Kiwatule'!D33,'30.07 Najjeera-Kiwatule'!D33,'31.07 Najjeera-Kiwatule'!D33,'01.08 Najjeera-Kiwatule-24h'!D33,'03.08 Najjeera-Kiwatule-24h'!D33,'04.08 Najjeera-Kiwatule'!D33)</f>
        <v>13.142857142857142</v>
      </c>
      <c r="E33" s="49">
        <f>AVERAGE('29.07 Najjeera-Kiwatule'!E33,'02.08 Najjeera-Kiwatule'!E33,'30.07 Najjeera-Kiwatule'!E33,'31.07 Najjeera-Kiwatule'!E33,'01.08 Najjeera-Kiwatule-24h'!E33,'03.08 Najjeera-Kiwatule-24h'!E33,'04.08 Najjeera-Kiwatule'!E33)</f>
        <v>6.7142857142857144</v>
      </c>
      <c r="F33" s="49">
        <f>AVERAGE('29.07 Najjeera-Kiwatule'!F33,'02.08 Najjeera-Kiwatule'!F33,'30.07 Najjeera-Kiwatule'!F33,'31.07 Najjeera-Kiwatule'!F33,'01.08 Najjeera-Kiwatule-24h'!F33,'03.08 Najjeera-Kiwatule-24h'!F33,'04.08 Najjeera-Kiwatule'!F33)</f>
        <v>12.285714285714286</v>
      </c>
      <c r="G33" s="49">
        <f>AVERAGE('29.07 Najjeera-Kiwatule'!G33,'02.08 Najjeera-Kiwatule'!G33,'30.07 Najjeera-Kiwatule'!G33,'31.07 Najjeera-Kiwatule'!G33,'01.08 Najjeera-Kiwatule-24h'!G33,'03.08 Najjeera-Kiwatule-24h'!G33,'04.08 Najjeera-Kiwatule'!G33)</f>
        <v>0</v>
      </c>
      <c r="H33" s="49">
        <f>AVERAGE('29.07 Najjeera-Kiwatule'!H33,'02.08 Najjeera-Kiwatule'!H33,'30.07 Najjeera-Kiwatule'!H33,'31.07 Najjeera-Kiwatule'!H33,'01.08 Najjeera-Kiwatule-24h'!H33,'03.08 Najjeera-Kiwatule-24h'!H33,'04.08 Najjeera-Kiwatule'!H33)</f>
        <v>0</v>
      </c>
      <c r="I33" s="49">
        <f>AVERAGE('29.07 Najjeera-Kiwatule'!I33,'02.08 Najjeera-Kiwatule'!I33,'30.07 Najjeera-Kiwatule'!I33,'31.07 Najjeera-Kiwatule'!I33,'01.08 Najjeera-Kiwatule-24h'!I33,'03.08 Najjeera-Kiwatule-24h'!I33,'04.08 Najjeera-Kiwatule'!I33)</f>
        <v>4.5714285714285712</v>
      </c>
      <c r="J33" s="49">
        <f>AVERAGE('29.07 Najjeera-Kiwatule'!J33,'02.08 Najjeera-Kiwatule'!J33,'30.07 Najjeera-Kiwatule'!J33,'31.07 Najjeera-Kiwatule'!J33,'01.08 Najjeera-Kiwatule-24h'!J33,'03.08 Najjeera-Kiwatule-24h'!J33,'04.08 Najjeera-Kiwatule'!J33)</f>
        <v>0.7142857142857143</v>
      </c>
      <c r="K33" s="49">
        <f>AVERAGE('29.07 Najjeera-Kiwatule'!K33,'02.08 Najjeera-Kiwatule'!K33,'30.07 Najjeera-Kiwatule'!K33,'31.07 Najjeera-Kiwatule'!K33,'01.08 Najjeera-Kiwatule-24h'!K33,'03.08 Najjeera-Kiwatule-24h'!K33,'04.08 Najjeera-Kiwatule'!K33)</f>
        <v>0.42857142857142855</v>
      </c>
      <c r="L33" s="49">
        <f>AVERAGE('29.07 Najjeera-Kiwatule'!L33,'02.08 Najjeera-Kiwatule'!L33,'30.07 Najjeera-Kiwatule'!L33,'31.07 Najjeera-Kiwatule'!L33,'01.08 Najjeera-Kiwatule-24h'!L33,'03.08 Najjeera-Kiwatule-24h'!L33,'04.08 Najjeera-Kiwatule'!L33)</f>
        <v>0</v>
      </c>
      <c r="M33" s="49">
        <f>AVERAGE('29.07 Najjeera-Kiwatule'!M33,'02.08 Najjeera-Kiwatule'!M33,'30.07 Najjeera-Kiwatule'!M33,'31.07 Najjeera-Kiwatule'!M33,'01.08 Najjeera-Kiwatule-24h'!M33,'03.08 Najjeera-Kiwatule-24h'!M33,'04.08 Najjeera-Kiwatule'!M33)</f>
        <v>79.571428571428569</v>
      </c>
      <c r="N33" s="49">
        <f>AVERAGE('29.07 Najjeera-Kiwatule'!N33,'02.08 Najjeera-Kiwatule'!N33,'30.07 Najjeera-Kiwatule'!N33,'31.07 Najjeera-Kiwatule'!N33,'01.08 Najjeera-Kiwatule-24h'!N33,'03.08 Najjeera-Kiwatule-24h'!N33,'04.08 Najjeera-Kiwatule'!N33)</f>
        <v>0</v>
      </c>
      <c r="O33" s="15">
        <f t="shared" si="0"/>
        <v>108.99999999999999</v>
      </c>
      <c r="P33" s="15">
        <f t="shared" si="1"/>
        <v>188.57142857142856</v>
      </c>
      <c r="R33" s="1" t="s">
        <v>157</v>
      </c>
      <c r="S33" s="52">
        <f>SUM(C43:S72)</f>
        <v>12868.000000000002</v>
      </c>
      <c r="T33" s="52">
        <f t="shared" si="14"/>
        <v>27.5</v>
      </c>
      <c r="U33" s="52">
        <f t="shared" si="14"/>
        <v>9.5</v>
      </c>
      <c r="V33" s="52">
        <f t="shared" si="14"/>
        <v>35</v>
      </c>
      <c r="W33" s="52">
        <f t="shared" si="14"/>
        <v>0</v>
      </c>
      <c r="X33" s="52">
        <f t="shared" si="14"/>
        <v>0</v>
      </c>
      <c r="Y33" s="52">
        <f t="shared" si="14"/>
        <v>7.5</v>
      </c>
      <c r="Z33" s="52">
        <f t="shared" si="14"/>
        <v>0</v>
      </c>
      <c r="AA33" s="52">
        <f t="shared" si="14"/>
        <v>0</v>
      </c>
      <c r="AB33" s="52">
        <f t="shared" si="14"/>
        <v>0</v>
      </c>
      <c r="AC33" s="52">
        <f t="shared" si="14"/>
        <v>329</v>
      </c>
      <c r="AD33" s="52">
        <f t="shared" si="14"/>
        <v>0.5</v>
      </c>
      <c r="AE33" s="53">
        <f t="shared" si="14"/>
        <v>257.5</v>
      </c>
      <c r="AF33" s="53">
        <f t="shared" si="14"/>
        <v>586.5</v>
      </c>
    </row>
    <row r="34" spans="2:32" ht="23.1" customHeight="1">
      <c r="B34" s="24" t="s">
        <v>61</v>
      </c>
      <c r="C34" s="49">
        <f>AVERAGE('29.07 Najjeera-Kiwatule'!C34,'02.08 Najjeera-Kiwatule'!C34,'30.07 Najjeera-Kiwatule'!C34,'31.07 Najjeera-Kiwatule'!C34,'01.08 Najjeera-Kiwatule-24h'!C34,'03.08 Najjeera-Kiwatule-24h'!C34,'04.08 Najjeera-Kiwatule'!C34)</f>
        <v>66.571428571428569</v>
      </c>
      <c r="D34" s="49">
        <f>AVERAGE('29.07 Najjeera-Kiwatule'!D34,'02.08 Najjeera-Kiwatule'!D34,'30.07 Najjeera-Kiwatule'!D34,'31.07 Najjeera-Kiwatule'!D34,'01.08 Najjeera-Kiwatule-24h'!D34,'03.08 Najjeera-Kiwatule-24h'!D34,'04.08 Najjeera-Kiwatule'!D34)</f>
        <v>8.7142857142857135</v>
      </c>
      <c r="E34" s="49">
        <f>AVERAGE('29.07 Najjeera-Kiwatule'!E34,'02.08 Najjeera-Kiwatule'!E34,'30.07 Najjeera-Kiwatule'!E34,'31.07 Najjeera-Kiwatule'!E34,'01.08 Najjeera-Kiwatule-24h'!E34,'03.08 Najjeera-Kiwatule-24h'!E34,'04.08 Najjeera-Kiwatule'!E34)</f>
        <v>6.4285714285714288</v>
      </c>
      <c r="F34" s="49">
        <f>AVERAGE('29.07 Najjeera-Kiwatule'!F34,'02.08 Najjeera-Kiwatule'!F34,'30.07 Najjeera-Kiwatule'!F34,'31.07 Najjeera-Kiwatule'!F34,'01.08 Najjeera-Kiwatule-24h'!F34,'03.08 Najjeera-Kiwatule-24h'!F34,'04.08 Najjeera-Kiwatule'!F34)</f>
        <v>12.428571428571429</v>
      </c>
      <c r="G34" s="49">
        <f>AVERAGE('29.07 Najjeera-Kiwatule'!G34,'02.08 Najjeera-Kiwatule'!G34,'30.07 Najjeera-Kiwatule'!G34,'31.07 Najjeera-Kiwatule'!G34,'01.08 Najjeera-Kiwatule-24h'!G34,'03.08 Najjeera-Kiwatule-24h'!G34,'04.08 Najjeera-Kiwatule'!G34)</f>
        <v>0</v>
      </c>
      <c r="H34" s="49">
        <f>AVERAGE('29.07 Najjeera-Kiwatule'!H34,'02.08 Najjeera-Kiwatule'!H34,'30.07 Najjeera-Kiwatule'!H34,'31.07 Najjeera-Kiwatule'!H34,'01.08 Najjeera-Kiwatule-24h'!H34,'03.08 Najjeera-Kiwatule-24h'!H34,'04.08 Najjeera-Kiwatule'!H34)</f>
        <v>0.2857142857142857</v>
      </c>
      <c r="I34" s="49">
        <f>AVERAGE('29.07 Najjeera-Kiwatule'!I34,'02.08 Najjeera-Kiwatule'!I34,'30.07 Najjeera-Kiwatule'!I34,'31.07 Najjeera-Kiwatule'!I34,'01.08 Najjeera-Kiwatule-24h'!I34,'03.08 Najjeera-Kiwatule-24h'!I34,'04.08 Najjeera-Kiwatule'!I34)</f>
        <v>5</v>
      </c>
      <c r="J34" s="49">
        <f>AVERAGE('29.07 Najjeera-Kiwatule'!J34,'02.08 Najjeera-Kiwatule'!J34,'30.07 Najjeera-Kiwatule'!J34,'31.07 Najjeera-Kiwatule'!J34,'01.08 Najjeera-Kiwatule-24h'!J34,'03.08 Najjeera-Kiwatule-24h'!J34,'04.08 Najjeera-Kiwatule'!J34)</f>
        <v>0.5714285714285714</v>
      </c>
      <c r="K34" s="49">
        <f>AVERAGE('29.07 Najjeera-Kiwatule'!K34,'02.08 Najjeera-Kiwatule'!K34,'30.07 Najjeera-Kiwatule'!K34,'31.07 Najjeera-Kiwatule'!K34,'01.08 Najjeera-Kiwatule-24h'!K34,'03.08 Najjeera-Kiwatule-24h'!K34,'04.08 Najjeera-Kiwatule'!K34)</f>
        <v>0.42857142857142855</v>
      </c>
      <c r="L34" s="49">
        <f>AVERAGE('29.07 Najjeera-Kiwatule'!L34,'02.08 Najjeera-Kiwatule'!L34,'30.07 Najjeera-Kiwatule'!L34,'31.07 Najjeera-Kiwatule'!L34,'01.08 Najjeera-Kiwatule-24h'!L34,'03.08 Najjeera-Kiwatule-24h'!L34,'04.08 Najjeera-Kiwatule'!L34)</f>
        <v>0.2857142857142857</v>
      </c>
      <c r="M34" s="49">
        <f>AVERAGE('29.07 Najjeera-Kiwatule'!M34,'02.08 Najjeera-Kiwatule'!M34,'30.07 Najjeera-Kiwatule'!M34,'31.07 Najjeera-Kiwatule'!M34,'01.08 Najjeera-Kiwatule-24h'!M34,'03.08 Najjeera-Kiwatule-24h'!M34,'04.08 Najjeera-Kiwatule'!M34)</f>
        <v>86.428571428571431</v>
      </c>
      <c r="N34" s="49">
        <f>AVERAGE('29.07 Najjeera-Kiwatule'!N34,'02.08 Najjeera-Kiwatule'!N34,'30.07 Najjeera-Kiwatule'!N34,'31.07 Najjeera-Kiwatule'!N34,'01.08 Najjeera-Kiwatule-24h'!N34,'03.08 Najjeera-Kiwatule-24h'!N34,'04.08 Najjeera-Kiwatule'!N34)</f>
        <v>0</v>
      </c>
      <c r="O34" s="15">
        <f t="shared" si="0"/>
        <v>100.71428571428572</v>
      </c>
      <c r="P34" s="15">
        <f t="shared" si="1"/>
        <v>187.14285714285717</v>
      </c>
      <c r="R34" s="38" t="s">
        <v>90</v>
      </c>
      <c r="S34" s="39">
        <f t="shared" ref="S34:AF34" si="16">MAX(S10:S12)</f>
        <v>481.28571428571433</v>
      </c>
      <c r="T34" s="39">
        <f t="shared" si="16"/>
        <v>68.857142857142861</v>
      </c>
      <c r="U34" s="39">
        <f t="shared" si="16"/>
        <v>38.571428571428569</v>
      </c>
      <c r="V34" s="39">
        <f t="shared" si="16"/>
        <v>81.285714285714292</v>
      </c>
      <c r="W34" s="39">
        <f t="shared" si="16"/>
        <v>1.1428571428571428</v>
      </c>
      <c r="X34" s="39">
        <f t="shared" si="16"/>
        <v>0</v>
      </c>
      <c r="Y34" s="39">
        <f t="shared" si="16"/>
        <v>13.142857142857142</v>
      </c>
      <c r="Z34" s="39">
        <f t="shared" si="16"/>
        <v>2.7142857142857144</v>
      </c>
      <c r="AA34" s="39">
        <f t="shared" si="16"/>
        <v>1.1428571428571428</v>
      </c>
      <c r="AB34" s="39">
        <f t="shared" si="16"/>
        <v>0.42857142857142855</v>
      </c>
      <c r="AC34" s="39">
        <f t="shared" si="16"/>
        <v>404.71428571428567</v>
      </c>
      <c r="AD34" s="39">
        <f t="shared" si="16"/>
        <v>0.14285714285714285</v>
      </c>
      <c r="AE34" s="40">
        <f t="shared" si="16"/>
        <v>681.28571428571411</v>
      </c>
      <c r="AF34" s="40">
        <f t="shared" si="16"/>
        <v>1086</v>
      </c>
    </row>
    <row r="35" spans="2:32" ht="23.1" customHeight="1">
      <c r="B35" s="24" t="s">
        <v>62</v>
      </c>
      <c r="C35" s="49">
        <f>AVERAGE('29.07 Najjeera-Kiwatule'!C35,'02.08 Najjeera-Kiwatule'!C35,'30.07 Najjeera-Kiwatule'!C35,'31.07 Najjeera-Kiwatule'!C35,'01.08 Najjeera-Kiwatule-24h'!C35,'03.08 Najjeera-Kiwatule-24h'!C35,'04.08 Najjeera-Kiwatule'!C35)</f>
        <v>56.428571428571431</v>
      </c>
      <c r="D35" s="49">
        <f>AVERAGE('29.07 Najjeera-Kiwatule'!D35,'02.08 Najjeera-Kiwatule'!D35,'30.07 Najjeera-Kiwatule'!D35,'31.07 Najjeera-Kiwatule'!D35,'01.08 Najjeera-Kiwatule-24h'!D35,'03.08 Najjeera-Kiwatule-24h'!D35,'04.08 Najjeera-Kiwatule'!D35)</f>
        <v>8.5714285714285712</v>
      </c>
      <c r="E35" s="49">
        <f>AVERAGE('29.07 Najjeera-Kiwatule'!E35,'02.08 Najjeera-Kiwatule'!E35,'30.07 Najjeera-Kiwatule'!E35,'31.07 Najjeera-Kiwatule'!E35,'01.08 Najjeera-Kiwatule-24h'!E35,'03.08 Najjeera-Kiwatule-24h'!E35,'04.08 Najjeera-Kiwatule'!E35)</f>
        <v>4.5714285714285712</v>
      </c>
      <c r="F35" s="49">
        <f>AVERAGE('29.07 Najjeera-Kiwatule'!F35,'02.08 Najjeera-Kiwatule'!F35,'30.07 Najjeera-Kiwatule'!F35,'31.07 Najjeera-Kiwatule'!F35,'01.08 Najjeera-Kiwatule-24h'!F35,'03.08 Najjeera-Kiwatule-24h'!F35,'04.08 Najjeera-Kiwatule'!F35)</f>
        <v>11.142857142857142</v>
      </c>
      <c r="G35" s="49">
        <f>AVERAGE('29.07 Najjeera-Kiwatule'!G35,'02.08 Najjeera-Kiwatule'!G35,'30.07 Najjeera-Kiwatule'!G35,'31.07 Najjeera-Kiwatule'!G35,'01.08 Najjeera-Kiwatule-24h'!G35,'03.08 Najjeera-Kiwatule-24h'!G35,'04.08 Najjeera-Kiwatule'!G35)</f>
        <v>0</v>
      </c>
      <c r="H35" s="49">
        <f>AVERAGE('29.07 Najjeera-Kiwatule'!H35,'02.08 Najjeera-Kiwatule'!H35,'30.07 Najjeera-Kiwatule'!H35,'31.07 Najjeera-Kiwatule'!H35,'01.08 Najjeera-Kiwatule-24h'!H35,'03.08 Najjeera-Kiwatule-24h'!H35,'04.08 Najjeera-Kiwatule'!H35)</f>
        <v>0</v>
      </c>
      <c r="I35" s="49">
        <f>AVERAGE('29.07 Najjeera-Kiwatule'!I35,'02.08 Najjeera-Kiwatule'!I35,'30.07 Najjeera-Kiwatule'!I35,'31.07 Najjeera-Kiwatule'!I35,'01.08 Najjeera-Kiwatule-24h'!I35,'03.08 Najjeera-Kiwatule-24h'!I35,'04.08 Najjeera-Kiwatule'!I35)</f>
        <v>4.8571428571428568</v>
      </c>
      <c r="J35" s="49">
        <f>AVERAGE('29.07 Najjeera-Kiwatule'!J35,'02.08 Najjeera-Kiwatule'!J35,'30.07 Najjeera-Kiwatule'!J35,'31.07 Najjeera-Kiwatule'!J35,'01.08 Najjeera-Kiwatule-24h'!J35,'03.08 Najjeera-Kiwatule-24h'!J35,'04.08 Najjeera-Kiwatule'!J35)</f>
        <v>1.2857142857142858</v>
      </c>
      <c r="K35" s="49">
        <f>AVERAGE('29.07 Najjeera-Kiwatule'!K35,'02.08 Najjeera-Kiwatule'!K35,'30.07 Najjeera-Kiwatule'!K35,'31.07 Najjeera-Kiwatule'!K35,'01.08 Najjeera-Kiwatule-24h'!K35,'03.08 Najjeera-Kiwatule-24h'!K35,'04.08 Najjeera-Kiwatule'!K35)</f>
        <v>0.2857142857142857</v>
      </c>
      <c r="L35" s="49">
        <f>AVERAGE('29.07 Najjeera-Kiwatule'!L35,'02.08 Najjeera-Kiwatule'!L35,'30.07 Najjeera-Kiwatule'!L35,'31.07 Najjeera-Kiwatule'!L35,'01.08 Najjeera-Kiwatule-24h'!L35,'03.08 Najjeera-Kiwatule-24h'!L35,'04.08 Najjeera-Kiwatule'!L35)</f>
        <v>0</v>
      </c>
      <c r="M35" s="49">
        <f>AVERAGE('29.07 Najjeera-Kiwatule'!M35,'02.08 Najjeera-Kiwatule'!M35,'30.07 Najjeera-Kiwatule'!M35,'31.07 Najjeera-Kiwatule'!M35,'01.08 Najjeera-Kiwatule-24h'!M35,'03.08 Najjeera-Kiwatule-24h'!M35,'04.08 Najjeera-Kiwatule'!M35)</f>
        <v>84.714285714285708</v>
      </c>
      <c r="N35" s="49">
        <f>AVERAGE('29.07 Najjeera-Kiwatule'!N35,'02.08 Najjeera-Kiwatule'!N35,'30.07 Najjeera-Kiwatule'!N35,'31.07 Najjeera-Kiwatule'!N35,'01.08 Najjeera-Kiwatule-24h'!N35,'03.08 Najjeera-Kiwatule-24h'!N35,'04.08 Najjeera-Kiwatule'!N35)</f>
        <v>0</v>
      </c>
      <c r="O35" s="15">
        <f t="shared" si="0"/>
        <v>87.142857142857153</v>
      </c>
      <c r="P35" s="15">
        <f t="shared" si="1"/>
        <v>171.85714285714286</v>
      </c>
      <c r="R35" s="38" t="s">
        <v>91</v>
      </c>
      <c r="S35" s="39">
        <f t="shared" ref="S35:AF35" si="17">MAX(S13:S18)</f>
        <v>347.42857142857139</v>
      </c>
      <c r="T35" s="39">
        <f t="shared" si="17"/>
        <v>57.999999999999993</v>
      </c>
      <c r="U35" s="39">
        <f t="shared" si="17"/>
        <v>36.285714285714292</v>
      </c>
      <c r="V35" s="39">
        <f t="shared" si="17"/>
        <v>58.142857142857146</v>
      </c>
      <c r="W35" s="39">
        <f t="shared" si="17"/>
        <v>0.8571428571428571</v>
      </c>
      <c r="X35" s="39">
        <f t="shared" si="17"/>
        <v>0.42857142857142855</v>
      </c>
      <c r="Y35" s="39">
        <f t="shared" si="17"/>
        <v>17.857142857142858</v>
      </c>
      <c r="Z35" s="39">
        <f t="shared" si="17"/>
        <v>5.2857142857142865</v>
      </c>
      <c r="AA35" s="39">
        <f t="shared" si="17"/>
        <v>2.1428571428571428</v>
      </c>
      <c r="AB35" s="39">
        <f t="shared" si="17"/>
        <v>0.5714285714285714</v>
      </c>
      <c r="AC35" s="39">
        <f t="shared" si="17"/>
        <v>361</v>
      </c>
      <c r="AD35" s="39">
        <f t="shared" si="17"/>
        <v>0.2857142857142857</v>
      </c>
      <c r="AE35" s="40">
        <f t="shared" si="17"/>
        <v>522.85714285714278</v>
      </c>
      <c r="AF35" s="40">
        <f t="shared" si="17"/>
        <v>883.85714285714278</v>
      </c>
    </row>
    <row r="36" spans="2:32" ht="23.1" customHeight="1">
      <c r="B36" s="24" t="s">
        <v>63</v>
      </c>
      <c r="C36" s="49">
        <f>AVERAGE('29.07 Najjeera-Kiwatule'!C36,'02.08 Najjeera-Kiwatule'!C36,'30.07 Najjeera-Kiwatule'!C36,'31.07 Najjeera-Kiwatule'!C36,'01.08 Najjeera-Kiwatule-24h'!C36,'03.08 Najjeera-Kiwatule-24h'!C36,'04.08 Najjeera-Kiwatule'!C36)</f>
        <v>60.285714285714285</v>
      </c>
      <c r="D36" s="49">
        <f>AVERAGE('29.07 Najjeera-Kiwatule'!D36,'02.08 Najjeera-Kiwatule'!D36,'30.07 Najjeera-Kiwatule'!D36,'31.07 Najjeera-Kiwatule'!D36,'01.08 Najjeera-Kiwatule-24h'!D36,'03.08 Najjeera-Kiwatule-24h'!D36,'04.08 Najjeera-Kiwatule'!D36)</f>
        <v>8.5714285714285712</v>
      </c>
      <c r="E36" s="49">
        <f>AVERAGE('29.07 Najjeera-Kiwatule'!E36,'02.08 Najjeera-Kiwatule'!E36,'30.07 Najjeera-Kiwatule'!E36,'31.07 Najjeera-Kiwatule'!E36,'01.08 Najjeera-Kiwatule-24h'!E36,'03.08 Najjeera-Kiwatule-24h'!E36,'04.08 Najjeera-Kiwatule'!E36)</f>
        <v>7</v>
      </c>
      <c r="F36" s="49">
        <f>AVERAGE('29.07 Najjeera-Kiwatule'!F36,'02.08 Najjeera-Kiwatule'!F36,'30.07 Najjeera-Kiwatule'!F36,'31.07 Najjeera-Kiwatule'!F36,'01.08 Najjeera-Kiwatule-24h'!F36,'03.08 Najjeera-Kiwatule-24h'!F36,'04.08 Najjeera-Kiwatule'!F36)</f>
        <v>10.142857142857142</v>
      </c>
      <c r="G36" s="49">
        <f>AVERAGE('29.07 Najjeera-Kiwatule'!G36,'02.08 Najjeera-Kiwatule'!G36,'30.07 Najjeera-Kiwatule'!G36,'31.07 Najjeera-Kiwatule'!G36,'01.08 Najjeera-Kiwatule-24h'!G36,'03.08 Najjeera-Kiwatule-24h'!G36,'04.08 Najjeera-Kiwatule'!G36)</f>
        <v>0.2857142857142857</v>
      </c>
      <c r="H36" s="49">
        <f>AVERAGE('29.07 Najjeera-Kiwatule'!H36,'02.08 Najjeera-Kiwatule'!H36,'30.07 Najjeera-Kiwatule'!H36,'31.07 Najjeera-Kiwatule'!H36,'01.08 Najjeera-Kiwatule-24h'!H36,'03.08 Najjeera-Kiwatule-24h'!H36,'04.08 Najjeera-Kiwatule'!H36)</f>
        <v>0</v>
      </c>
      <c r="I36" s="49">
        <f>AVERAGE('29.07 Najjeera-Kiwatule'!I36,'02.08 Najjeera-Kiwatule'!I36,'30.07 Najjeera-Kiwatule'!I36,'31.07 Najjeera-Kiwatule'!I36,'01.08 Najjeera-Kiwatule-24h'!I36,'03.08 Najjeera-Kiwatule-24h'!I36,'04.08 Najjeera-Kiwatule'!I36)</f>
        <v>3.5714285714285716</v>
      </c>
      <c r="J36" s="49">
        <f>AVERAGE('29.07 Najjeera-Kiwatule'!J36,'02.08 Najjeera-Kiwatule'!J36,'30.07 Najjeera-Kiwatule'!J36,'31.07 Najjeera-Kiwatule'!J36,'01.08 Najjeera-Kiwatule-24h'!J36,'03.08 Najjeera-Kiwatule-24h'!J36,'04.08 Najjeera-Kiwatule'!J36)</f>
        <v>0.2857142857142857</v>
      </c>
      <c r="K36" s="49">
        <f>AVERAGE('29.07 Najjeera-Kiwatule'!K36,'02.08 Najjeera-Kiwatule'!K36,'30.07 Najjeera-Kiwatule'!K36,'31.07 Najjeera-Kiwatule'!K36,'01.08 Najjeera-Kiwatule-24h'!K36,'03.08 Najjeera-Kiwatule-24h'!K36,'04.08 Najjeera-Kiwatule'!K36)</f>
        <v>0.7142857142857143</v>
      </c>
      <c r="L36" s="49">
        <f>AVERAGE('29.07 Najjeera-Kiwatule'!L36,'02.08 Najjeera-Kiwatule'!L36,'30.07 Najjeera-Kiwatule'!L36,'31.07 Najjeera-Kiwatule'!L36,'01.08 Najjeera-Kiwatule-24h'!L36,'03.08 Najjeera-Kiwatule-24h'!L36,'04.08 Najjeera-Kiwatule'!L36)</f>
        <v>0</v>
      </c>
      <c r="M36" s="49">
        <f>AVERAGE('29.07 Najjeera-Kiwatule'!M36,'02.08 Najjeera-Kiwatule'!M36,'30.07 Najjeera-Kiwatule'!M36,'31.07 Najjeera-Kiwatule'!M36,'01.08 Najjeera-Kiwatule-24h'!M36,'03.08 Najjeera-Kiwatule-24h'!M36,'04.08 Najjeera-Kiwatule'!M36)</f>
        <v>76</v>
      </c>
      <c r="N36" s="49">
        <f>AVERAGE('29.07 Najjeera-Kiwatule'!N36,'02.08 Najjeera-Kiwatule'!N36,'30.07 Najjeera-Kiwatule'!N36,'31.07 Najjeera-Kiwatule'!N36,'01.08 Najjeera-Kiwatule-24h'!N36,'03.08 Najjeera-Kiwatule-24h'!N36,'04.08 Najjeera-Kiwatule'!N36)</f>
        <v>0</v>
      </c>
      <c r="O36" s="15">
        <f t="shared" si="0"/>
        <v>90.857142857142861</v>
      </c>
      <c r="P36" s="15">
        <f t="shared" si="1"/>
        <v>166.85714285714286</v>
      </c>
      <c r="R36" s="38" t="s">
        <v>92</v>
      </c>
      <c r="S36" s="39">
        <f t="shared" ref="S36:AF36" si="18">MAX(S19:S21)</f>
        <v>254.28571428571428</v>
      </c>
      <c r="T36" s="39">
        <f t="shared" si="18"/>
        <v>35.857142857142854</v>
      </c>
      <c r="U36" s="39">
        <f t="shared" si="18"/>
        <v>27.142857142857142</v>
      </c>
      <c r="V36" s="39">
        <f t="shared" si="18"/>
        <v>49.714285714285715</v>
      </c>
      <c r="W36" s="39">
        <f t="shared" si="18"/>
        <v>3.7142857142857144</v>
      </c>
      <c r="X36" s="39">
        <f t="shared" si="18"/>
        <v>0.42857142857142855</v>
      </c>
      <c r="Y36" s="39">
        <f t="shared" si="18"/>
        <v>16.571428571428573</v>
      </c>
      <c r="Z36" s="39">
        <f t="shared" si="18"/>
        <v>3.2857142857142856</v>
      </c>
      <c r="AA36" s="39">
        <f t="shared" si="18"/>
        <v>2</v>
      </c>
      <c r="AB36" s="39">
        <f t="shared" si="18"/>
        <v>0.42857142857142855</v>
      </c>
      <c r="AC36" s="39">
        <f t="shared" si="18"/>
        <v>386.14285714285711</v>
      </c>
      <c r="AD36" s="39">
        <f t="shared" si="18"/>
        <v>0</v>
      </c>
      <c r="AE36" s="40">
        <f t="shared" si="18"/>
        <v>385.14285714285711</v>
      </c>
      <c r="AF36" s="40">
        <f t="shared" si="18"/>
        <v>743.42857142857133</v>
      </c>
    </row>
    <row r="37" spans="2:32" ht="23.1" customHeight="1">
      <c r="B37" s="23" t="s">
        <v>64</v>
      </c>
      <c r="C37" s="49">
        <f>AVERAGE('29.07 Najjeera-Kiwatule'!C37,'02.08 Najjeera-Kiwatule'!C37,'30.07 Najjeera-Kiwatule'!C37,'31.07 Najjeera-Kiwatule'!C37,'01.08 Najjeera-Kiwatule-24h'!C37,'03.08 Najjeera-Kiwatule-24h'!C37,'04.08 Najjeera-Kiwatule'!C37)</f>
        <v>70.857142857142861</v>
      </c>
      <c r="D37" s="49">
        <f>AVERAGE('29.07 Najjeera-Kiwatule'!D37,'02.08 Najjeera-Kiwatule'!D37,'30.07 Najjeera-Kiwatule'!D37,'31.07 Najjeera-Kiwatule'!D37,'01.08 Najjeera-Kiwatule-24h'!D37,'03.08 Najjeera-Kiwatule-24h'!D37,'04.08 Najjeera-Kiwatule'!D37)</f>
        <v>8.7142857142857135</v>
      </c>
      <c r="E37" s="49">
        <f>AVERAGE('29.07 Najjeera-Kiwatule'!E37,'02.08 Najjeera-Kiwatule'!E37,'30.07 Najjeera-Kiwatule'!E37,'31.07 Najjeera-Kiwatule'!E37,'01.08 Najjeera-Kiwatule-24h'!E37,'03.08 Najjeera-Kiwatule-24h'!E37,'04.08 Najjeera-Kiwatule'!E37)</f>
        <v>7.4285714285714288</v>
      </c>
      <c r="F37" s="49">
        <f>AVERAGE('29.07 Najjeera-Kiwatule'!F37,'02.08 Najjeera-Kiwatule'!F37,'30.07 Najjeera-Kiwatule'!F37,'31.07 Najjeera-Kiwatule'!F37,'01.08 Najjeera-Kiwatule-24h'!F37,'03.08 Najjeera-Kiwatule-24h'!F37,'04.08 Najjeera-Kiwatule'!F37)</f>
        <v>9.1428571428571423</v>
      </c>
      <c r="G37" s="49">
        <f>AVERAGE('29.07 Najjeera-Kiwatule'!G37,'02.08 Najjeera-Kiwatule'!G37,'30.07 Najjeera-Kiwatule'!G37,'31.07 Najjeera-Kiwatule'!G37,'01.08 Najjeera-Kiwatule-24h'!G37,'03.08 Najjeera-Kiwatule-24h'!G37,'04.08 Najjeera-Kiwatule'!G37)</f>
        <v>0.5714285714285714</v>
      </c>
      <c r="H37" s="49">
        <f>AVERAGE('29.07 Najjeera-Kiwatule'!H37,'02.08 Najjeera-Kiwatule'!H37,'30.07 Najjeera-Kiwatule'!H37,'31.07 Najjeera-Kiwatule'!H37,'01.08 Najjeera-Kiwatule-24h'!H37,'03.08 Najjeera-Kiwatule-24h'!H37,'04.08 Najjeera-Kiwatule'!H37)</f>
        <v>0.14285714285714285</v>
      </c>
      <c r="I37" s="49">
        <f>AVERAGE('29.07 Najjeera-Kiwatule'!I37,'02.08 Najjeera-Kiwatule'!I37,'30.07 Najjeera-Kiwatule'!I37,'31.07 Najjeera-Kiwatule'!I37,'01.08 Najjeera-Kiwatule-24h'!I37,'03.08 Najjeera-Kiwatule-24h'!I37,'04.08 Najjeera-Kiwatule'!I37)</f>
        <v>4.4285714285714288</v>
      </c>
      <c r="J37" s="49">
        <f>AVERAGE('29.07 Najjeera-Kiwatule'!J37,'02.08 Najjeera-Kiwatule'!J37,'30.07 Najjeera-Kiwatule'!J37,'31.07 Najjeera-Kiwatule'!J37,'01.08 Najjeera-Kiwatule-24h'!J37,'03.08 Najjeera-Kiwatule-24h'!J37,'04.08 Najjeera-Kiwatule'!J37)</f>
        <v>1</v>
      </c>
      <c r="K37" s="49">
        <f>AVERAGE('29.07 Najjeera-Kiwatule'!K37,'02.08 Najjeera-Kiwatule'!K37,'30.07 Najjeera-Kiwatule'!K37,'31.07 Najjeera-Kiwatule'!K37,'01.08 Najjeera-Kiwatule-24h'!K37,'03.08 Najjeera-Kiwatule-24h'!K37,'04.08 Najjeera-Kiwatule'!K37)</f>
        <v>0</v>
      </c>
      <c r="L37" s="49">
        <f>AVERAGE('29.07 Najjeera-Kiwatule'!L37,'02.08 Najjeera-Kiwatule'!L37,'30.07 Najjeera-Kiwatule'!L37,'31.07 Najjeera-Kiwatule'!L37,'01.08 Najjeera-Kiwatule-24h'!L37,'03.08 Najjeera-Kiwatule-24h'!L37,'04.08 Najjeera-Kiwatule'!L37)</f>
        <v>0</v>
      </c>
      <c r="M37" s="49">
        <f>AVERAGE('29.07 Najjeera-Kiwatule'!M37,'02.08 Najjeera-Kiwatule'!M37,'30.07 Najjeera-Kiwatule'!M37,'31.07 Najjeera-Kiwatule'!M37,'01.08 Najjeera-Kiwatule-24h'!M37,'03.08 Najjeera-Kiwatule-24h'!M37,'04.08 Najjeera-Kiwatule'!M37)</f>
        <v>64.285714285714292</v>
      </c>
      <c r="N37" s="49">
        <f>AVERAGE('29.07 Najjeera-Kiwatule'!N37,'02.08 Najjeera-Kiwatule'!N37,'30.07 Najjeera-Kiwatule'!N37,'31.07 Najjeera-Kiwatule'!N37,'01.08 Najjeera-Kiwatule-24h'!N37,'03.08 Najjeera-Kiwatule-24h'!N37,'04.08 Najjeera-Kiwatule'!N37)</f>
        <v>0</v>
      </c>
      <c r="O37" s="15">
        <f t="shared" si="0"/>
        <v>102.28571428571428</v>
      </c>
      <c r="P37" s="15">
        <f t="shared" si="1"/>
        <v>166.57142857142856</v>
      </c>
      <c r="R37" s="37" t="s">
        <v>85</v>
      </c>
      <c r="S37" s="35">
        <f t="shared" ref="S37:AF37" si="19">SUM(S10:S12)</f>
        <v>1341.5714285714287</v>
      </c>
      <c r="T37" s="16">
        <f t="shared" si="19"/>
        <v>181.71428571428572</v>
      </c>
      <c r="U37" s="16">
        <f t="shared" si="19"/>
        <v>100</v>
      </c>
      <c r="V37" s="16">
        <f t="shared" si="19"/>
        <v>211.28571428571428</v>
      </c>
      <c r="W37" s="16">
        <f t="shared" si="19"/>
        <v>2.2857142857142856</v>
      </c>
      <c r="X37" s="16">
        <f t="shared" si="19"/>
        <v>0</v>
      </c>
      <c r="Y37" s="16">
        <f t="shared" si="19"/>
        <v>35</v>
      </c>
      <c r="Z37" s="16">
        <f t="shared" si="19"/>
        <v>7</v>
      </c>
      <c r="AA37" s="16">
        <f t="shared" si="19"/>
        <v>2.5714285714285712</v>
      </c>
      <c r="AB37" s="16">
        <f t="shared" si="19"/>
        <v>0.85714285714285698</v>
      </c>
      <c r="AC37" s="16">
        <f t="shared" si="19"/>
        <v>1168</v>
      </c>
      <c r="AD37" s="16">
        <f t="shared" si="19"/>
        <v>0.14285714285714285</v>
      </c>
      <c r="AE37" s="32">
        <f t="shared" si="19"/>
        <v>1882.4285714285711</v>
      </c>
      <c r="AF37" s="32">
        <f t="shared" si="19"/>
        <v>3050.4285714285716</v>
      </c>
    </row>
    <row r="38" spans="2:32" ht="23.1" customHeight="1">
      <c r="B38" s="24" t="s">
        <v>65</v>
      </c>
      <c r="C38" s="49">
        <f>AVERAGE('29.07 Najjeera-Kiwatule'!C38,'02.08 Najjeera-Kiwatule'!C38,'30.07 Najjeera-Kiwatule'!C38,'31.07 Najjeera-Kiwatule'!C38,'01.08 Najjeera-Kiwatule-24h'!C38,'03.08 Najjeera-Kiwatule-24h'!C38,'04.08 Najjeera-Kiwatule'!C38)</f>
        <v>65.714285714285708</v>
      </c>
      <c r="D38" s="49">
        <f>AVERAGE('29.07 Najjeera-Kiwatule'!D38,'02.08 Najjeera-Kiwatule'!D38,'30.07 Najjeera-Kiwatule'!D38,'31.07 Najjeera-Kiwatule'!D38,'01.08 Najjeera-Kiwatule-24h'!D38,'03.08 Najjeera-Kiwatule-24h'!D38,'04.08 Najjeera-Kiwatule'!D38)</f>
        <v>8.8571428571428577</v>
      </c>
      <c r="E38" s="49">
        <f>AVERAGE('29.07 Najjeera-Kiwatule'!E38,'02.08 Najjeera-Kiwatule'!E38,'30.07 Najjeera-Kiwatule'!E38,'31.07 Najjeera-Kiwatule'!E38,'01.08 Najjeera-Kiwatule-24h'!E38,'03.08 Najjeera-Kiwatule-24h'!E38,'04.08 Najjeera-Kiwatule'!E38)</f>
        <v>6.1428571428571432</v>
      </c>
      <c r="F38" s="49">
        <f>AVERAGE('29.07 Najjeera-Kiwatule'!F38,'02.08 Najjeera-Kiwatule'!F38,'30.07 Najjeera-Kiwatule'!F38,'31.07 Najjeera-Kiwatule'!F38,'01.08 Najjeera-Kiwatule-24h'!F38,'03.08 Najjeera-Kiwatule-24h'!F38,'04.08 Najjeera-Kiwatule'!F38)</f>
        <v>10.285714285714286</v>
      </c>
      <c r="G38" s="49">
        <f>AVERAGE('29.07 Najjeera-Kiwatule'!G38,'02.08 Najjeera-Kiwatule'!G38,'30.07 Najjeera-Kiwatule'!G38,'31.07 Najjeera-Kiwatule'!G38,'01.08 Najjeera-Kiwatule-24h'!G38,'03.08 Najjeera-Kiwatule-24h'!G38,'04.08 Najjeera-Kiwatule'!G38)</f>
        <v>0</v>
      </c>
      <c r="H38" s="49">
        <f>AVERAGE('29.07 Najjeera-Kiwatule'!H38,'02.08 Najjeera-Kiwatule'!H38,'30.07 Najjeera-Kiwatule'!H38,'31.07 Najjeera-Kiwatule'!H38,'01.08 Najjeera-Kiwatule-24h'!H38,'03.08 Najjeera-Kiwatule-24h'!H38,'04.08 Najjeera-Kiwatule'!H38)</f>
        <v>0</v>
      </c>
      <c r="I38" s="49">
        <f>AVERAGE('29.07 Najjeera-Kiwatule'!I38,'02.08 Najjeera-Kiwatule'!I38,'30.07 Najjeera-Kiwatule'!I38,'31.07 Najjeera-Kiwatule'!I38,'01.08 Najjeera-Kiwatule-24h'!I38,'03.08 Najjeera-Kiwatule-24h'!I38,'04.08 Najjeera-Kiwatule'!I38)</f>
        <v>5.1428571428571432</v>
      </c>
      <c r="J38" s="49">
        <f>AVERAGE('29.07 Najjeera-Kiwatule'!J38,'02.08 Najjeera-Kiwatule'!J38,'30.07 Najjeera-Kiwatule'!J38,'31.07 Najjeera-Kiwatule'!J38,'01.08 Najjeera-Kiwatule-24h'!J38,'03.08 Najjeera-Kiwatule-24h'!J38,'04.08 Najjeera-Kiwatule'!J38)</f>
        <v>0.7142857142857143</v>
      </c>
      <c r="K38" s="49">
        <f>AVERAGE('29.07 Najjeera-Kiwatule'!K38,'02.08 Najjeera-Kiwatule'!K38,'30.07 Najjeera-Kiwatule'!K38,'31.07 Najjeera-Kiwatule'!K38,'01.08 Najjeera-Kiwatule-24h'!K38,'03.08 Najjeera-Kiwatule-24h'!K38,'04.08 Najjeera-Kiwatule'!K38)</f>
        <v>0.2857142857142857</v>
      </c>
      <c r="L38" s="49">
        <f>AVERAGE('29.07 Najjeera-Kiwatule'!L38,'02.08 Najjeera-Kiwatule'!L38,'30.07 Najjeera-Kiwatule'!L38,'31.07 Najjeera-Kiwatule'!L38,'01.08 Najjeera-Kiwatule-24h'!L38,'03.08 Najjeera-Kiwatule-24h'!L38,'04.08 Najjeera-Kiwatule'!L38)</f>
        <v>0.14285714285714285</v>
      </c>
      <c r="M38" s="49">
        <f>AVERAGE('29.07 Najjeera-Kiwatule'!M38,'02.08 Najjeera-Kiwatule'!M38,'30.07 Najjeera-Kiwatule'!M38,'31.07 Najjeera-Kiwatule'!M38,'01.08 Najjeera-Kiwatule-24h'!M38,'03.08 Najjeera-Kiwatule-24h'!M38,'04.08 Najjeera-Kiwatule'!M38)</f>
        <v>80.571428571428569</v>
      </c>
      <c r="N38" s="49">
        <f>AVERAGE('29.07 Najjeera-Kiwatule'!N38,'02.08 Najjeera-Kiwatule'!N38,'30.07 Najjeera-Kiwatule'!N38,'31.07 Najjeera-Kiwatule'!N38,'01.08 Najjeera-Kiwatule-24h'!N38,'03.08 Najjeera-Kiwatule-24h'!N38,'04.08 Najjeera-Kiwatule'!N38)</f>
        <v>0</v>
      </c>
      <c r="O38" s="15">
        <f t="shared" si="0"/>
        <v>97.285714285714278</v>
      </c>
      <c r="P38" s="15">
        <f t="shared" si="1"/>
        <v>177.85714285714283</v>
      </c>
      <c r="R38" s="28" t="s">
        <v>86</v>
      </c>
      <c r="S38" s="16">
        <f t="shared" ref="S38:AF38" si="20">SUM(S13:S18)</f>
        <v>1749.0000000000002</v>
      </c>
      <c r="T38" s="16">
        <f t="shared" si="20"/>
        <v>254.99999999999997</v>
      </c>
      <c r="U38" s="16">
        <f t="shared" si="20"/>
        <v>170.42857142857142</v>
      </c>
      <c r="V38" s="16">
        <f t="shared" si="20"/>
        <v>299.57142857142856</v>
      </c>
      <c r="W38" s="16">
        <f t="shared" si="20"/>
        <v>2.4285714285714279</v>
      </c>
      <c r="X38" s="16">
        <f t="shared" si="20"/>
        <v>0.42857142857142855</v>
      </c>
      <c r="Y38" s="16">
        <f t="shared" si="20"/>
        <v>100.85714285714288</v>
      </c>
      <c r="Z38" s="16">
        <f t="shared" si="20"/>
        <v>22.857142857142854</v>
      </c>
      <c r="AA38" s="16">
        <f t="shared" si="20"/>
        <v>8.5714285714285694</v>
      </c>
      <c r="AB38" s="16">
        <f t="shared" si="20"/>
        <v>2.4285714285714284</v>
      </c>
      <c r="AC38" s="16">
        <f t="shared" si="20"/>
        <v>1944.7142857142858</v>
      </c>
      <c r="AD38" s="16">
        <f t="shared" si="20"/>
        <v>0.2857142857142857</v>
      </c>
      <c r="AE38" s="32">
        <f t="shared" si="20"/>
        <v>2611.8571428571427</v>
      </c>
      <c r="AF38" s="32">
        <f t="shared" si="20"/>
        <v>4556.5714285714284</v>
      </c>
    </row>
    <row r="39" spans="2:32" ht="23.1" customHeight="1">
      <c r="B39" s="24" t="s">
        <v>66</v>
      </c>
      <c r="C39" s="49">
        <f>AVERAGE('29.07 Najjeera-Kiwatule'!C39,'02.08 Najjeera-Kiwatule'!C39,'30.07 Najjeera-Kiwatule'!C39,'31.07 Najjeera-Kiwatule'!C39,'01.08 Najjeera-Kiwatule-24h'!C39,'03.08 Najjeera-Kiwatule-24h'!C39,'04.08 Najjeera-Kiwatule'!C39)</f>
        <v>53.142857142857146</v>
      </c>
      <c r="D39" s="49">
        <f>AVERAGE('29.07 Najjeera-Kiwatule'!D39,'02.08 Najjeera-Kiwatule'!D39,'30.07 Najjeera-Kiwatule'!D39,'31.07 Najjeera-Kiwatule'!D39,'01.08 Najjeera-Kiwatule-24h'!D39,'03.08 Najjeera-Kiwatule-24h'!D39,'04.08 Najjeera-Kiwatule'!D39)</f>
        <v>7.1428571428571432</v>
      </c>
      <c r="E39" s="49">
        <f>AVERAGE('29.07 Najjeera-Kiwatule'!E39,'02.08 Najjeera-Kiwatule'!E39,'30.07 Najjeera-Kiwatule'!E39,'31.07 Najjeera-Kiwatule'!E39,'01.08 Najjeera-Kiwatule-24h'!E39,'03.08 Najjeera-Kiwatule-24h'!E39,'04.08 Najjeera-Kiwatule'!E39)</f>
        <v>5.4285714285714288</v>
      </c>
      <c r="F39" s="49">
        <f>AVERAGE('29.07 Najjeera-Kiwatule'!F39,'02.08 Najjeera-Kiwatule'!F39,'30.07 Najjeera-Kiwatule'!F39,'31.07 Najjeera-Kiwatule'!F39,'01.08 Najjeera-Kiwatule-24h'!F39,'03.08 Najjeera-Kiwatule-24h'!F39,'04.08 Najjeera-Kiwatule'!F39)</f>
        <v>9.8571428571428577</v>
      </c>
      <c r="G39" s="49">
        <f>AVERAGE('29.07 Najjeera-Kiwatule'!G39,'02.08 Najjeera-Kiwatule'!G39,'30.07 Najjeera-Kiwatule'!G39,'31.07 Najjeera-Kiwatule'!G39,'01.08 Najjeera-Kiwatule-24h'!G39,'03.08 Najjeera-Kiwatule-24h'!G39,'04.08 Najjeera-Kiwatule'!G39)</f>
        <v>0.2857142857142857</v>
      </c>
      <c r="H39" s="49">
        <f>AVERAGE('29.07 Najjeera-Kiwatule'!H39,'02.08 Najjeera-Kiwatule'!H39,'30.07 Najjeera-Kiwatule'!H39,'31.07 Najjeera-Kiwatule'!H39,'01.08 Najjeera-Kiwatule-24h'!H39,'03.08 Najjeera-Kiwatule-24h'!H39,'04.08 Najjeera-Kiwatule'!H39)</f>
        <v>0</v>
      </c>
      <c r="I39" s="49">
        <f>AVERAGE('29.07 Najjeera-Kiwatule'!I39,'02.08 Najjeera-Kiwatule'!I39,'30.07 Najjeera-Kiwatule'!I39,'31.07 Najjeera-Kiwatule'!I39,'01.08 Najjeera-Kiwatule-24h'!I39,'03.08 Najjeera-Kiwatule-24h'!I39,'04.08 Najjeera-Kiwatule'!I39)</f>
        <v>3.7142857142857144</v>
      </c>
      <c r="J39" s="49">
        <f>AVERAGE('29.07 Najjeera-Kiwatule'!J39,'02.08 Najjeera-Kiwatule'!J39,'30.07 Najjeera-Kiwatule'!J39,'31.07 Najjeera-Kiwatule'!J39,'01.08 Najjeera-Kiwatule-24h'!J39,'03.08 Najjeera-Kiwatule-24h'!J39,'04.08 Najjeera-Kiwatule'!J39)</f>
        <v>0.7142857142857143</v>
      </c>
      <c r="K39" s="49">
        <f>AVERAGE('29.07 Najjeera-Kiwatule'!K39,'02.08 Najjeera-Kiwatule'!K39,'30.07 Najjeera-Kiwatule'!K39,'31.07 Najjeera-Kiwatule'!K39,'01.08 Najjeera-Kiwatule-24h'!K39,'03.08 Najjeera-Kiwatule-24h'!K39,'04.08 Najjeera-Kiwatule'!K39)</f>
        <v>0.2857142857142857</v>
      </c>
      <c r="L39" s="49">
        <f>AVERAGE('29.07 Najjeera-Kiwatule'!L39,'02.08 Najjeera-Kiwatule'!L39,'30.07 Najjeera-Kiwatule'!L39,'31.07 Najjeera-Kiwatule'!L39,'01.08 Najjeera-Kiwatule-24h'!L39,'03.08 Najjeera-Kiwatule-24h'!L39,'04.08 Najjeera-Kiwatule'!L39)</f>
        <v>0.14285714285714285</v>
      </c>
      <c r="M39" s="49">
        <f>AVERAGE('29.07 Najjeera-Kiwatule'!M39,'02.08 Najjeera-Kiwatule'!M39,'30.07 Najjeera-Kiwatule'!M39,'31.07 Najjeera-Kiwatule'!M39,'01.08 Najjeera-Kiwatule-24h'!M39,'03.08 Najjeera-Kiwatule-24h'!M39,'04.08 Najjeera-Kiwatule'!M39)</f>
        <v>75.714285714285708</v>
      </c>
      <c r="N39" s="49">
        <f>AVERAGE('29.07 Najjeera-Kiwatule'!N39,'02.08 Najjeera-Kiwatule'!N39,'30.07 Najjeera-Kiwatule'!N39,'31.07 Najjeera-Kiwatule'!N39,'01.08 Najjeera-Kiwatule-24h'!N39,'03.08 Najjeera-Kiwatule-24h'!N39,'04.08 Najjeera-Kiwatule'!N39)</f>
        <v>0</v>
      </c>
      <c r="O39" s="15">
        <f t="shared" si="0"/>
        <v>80.714285714285722</v>
      </c>
      <c r="P39" s="15">
        <f t="shared" si="1"/>
        <v>156.42857142857144</v>
      </c>
      <c r="R39" s="29" t="s">
        <v>87</v>
      </c>
      <c r="S39" s="16">
        <f t="shared" ref="S39:AF39" si="21">SUM(S19:S21)</f>
        <v>722.57142857142856</v>
      </c>
      <c r="T39" s="16">
        <f t="shared" si="21"/>
        <v>98.142857142857153</v>
      </c>
      <c r="U39" s="16">
        <f t="shared" si="21"/>
        <v>72.714285714285708</v>
      </c>
      <c r="V39" s="16">
        <f t="shared" si="21"/>
        <v>136.28571428571428</v>
      </c>
      <c r="W39" s="16">
        <f t="shared" si="21"/>
        <v>6.2857142857142865</v>
      </c>
      <c r="X39" s="16">
        <f t="shared" si="21"/>
        <v>0.5714285714285714</v>
      </c>
      <c r="Y39" s="16">
        <f t="shared" si="21"/>
        <v>46.571428571428569</v>
      </c>
      <c r="Z39" s="16">
        <f t="shared" si="21"/>
        <v>6.8571428571428568</v>
      </c>
      <c r="AA39" s="16">
        <f t="shared" si="21"/>
        <v>4.2857142857142856</v>
      </c>
      <c r="AB39" s="16">
        <f t="shared" si="21"/>
        <v>0.5714285714285714</v>
      </c>
      <c r="AC39" s="16">
        <f t="shared" si="21"/>
        <v>1036</v>
      </c>
      <c r="AD39" s="16">
        <f t="shared" si="21"/>
        <v>0</v>
      </c>
      <c r="AE39" s="32">
        <f t="shared" si="21"/>
        <v>1094.8571428571429</v>
      </c>
      <c r="AF39" s="32">
        <f t="shared" si="21"/>
        <v>2130.8571428571431</v>
      </c>
    </row>
    <row r="40" spans="2:32" ht="23.1" customHeight="1">
      <c r="B40" s="24" t="s">
        <v>67</v>
      </c>
      <c r="C40" s="49">
        <f>AVERAGE('29.07 Najjeera-Kiwatule'!C40,'02.08 Najjeera-Kiwatule'!C40,'30.07 Najjeera-Kiwatule'!C40,'31.07 Najjeera-Kiwatule'!C40,'01.08 Najjeera-Kiwatule-24h'!C40,'03.08 Najjeera-Kiwatule-24h'!C40,'04.08 Najjeera-Kiwatule'!C40)</f>
        <v>62.142857142857146</v>
      </c>
      <c r="D40" s="49">
        <f>AVERAGE('29.07 Najjeera-Kiwatule'!D40,'02.08 Najjeera-Kiwatule'!D40,'30.07 Najjeera-Kiwatule'!D40,'31.07 Najjeera-Kiwatule'!D40,'01.08 Najjeera-Kiwatule-24h'!D40,'03.08 Najjeera-Kiwatule-24h'!D40,'04.08 Najjeera-Kiwatule'!D40)</f>
        <v>7.5714285714285712</v>
      </c>
      <c r="E40" s="49">
        <f>AVERAGE('29.07 Najjeera-Kiwatule'!E40,'02.08 Najjeera-Kiwatule'!E40,'30.07 Najjeera-Kiwatule'!E40,'31.07 Najjeera-Kiwatule'!E40,'01.08 Najjeera-Kiwatule-24h'!E40,'03.08 Najjeera-Kiwatule-24h'!E40,'04.08 Najjeera-Kiwatule'!E40)</f>
        <v>4.7142857142857144</v>
      </c>
      <c r="F40" s="49">
        <f>AVERAGE('29.07 Najjeera-Kiwatule'!F40,'02.08 Najjeera-Kiwatule'!F40,'30.07 Najjeera-Kiwatule'!F40,'31.07 Najjeera-Kiwatule'!F40,'01.08 Najjeera-Kiwatule-24h'!F40,'03.08 Najjeera-Kiwatule-24h'!F40,'04.08 Najjeera-Kiwatule'!F40)</f>
        <v>11.285714285714286</v>
      </c>
      <c r="G40" s="49">
        <f>AVERAGE('29.07 Najjeera-Kiwatule'!G40,'02.08 Najjeera-Kiwatule'!G40,'30.07 Najjeera-Kiwatule'!G40,'31.07 Najjeera-Kiwatule'!G40,'01.08 Najjeera-Kiwatule-24h'!G40,'03.08 Najjeera-Kiwatule-24h'!G40,'04.08 Najjeera-Kiwatule'!G40)</f>
        <v>0</v>
      </c>
      <c r="H40" s="49">
        <f>AVERAGE('29.07 Najjeera-Kiwatule'!H40,'02.08 Najjeera-Kiwatule'!H40,'30.07 Najjeera-Kiwatule'!H40,'31.07 Najjeera-Kiwatule'!H40,'01.08 Najjeera-Kiwatule-24h'!H40,'03.08 Najjeera-Kiwatule-24h'!H40,'04.08 Najjeera-Kiwatule'!H40)</f>
        <v>0</v>
      </c>
      <c r="I40" s="49">
        <f>AVERAGE('29.07 Najjeera-Kiwatule'!I40,'02.08 Najjeera-Kiwatule'!I40,'30.07 Najjeera-Kiwatule'!I40,'31.07 Najjeera-Kiwatule'!I40,'01.08 Najjeera-Kiwatule-24h'!I40,'03.08 Najjeera-Kiwatule-24h'!I40,'04.08 Najjeera-Kiwatule'!I40)</f>
        <v>3.5714285714285716</v>
      </c>
      <c r="J40" s="49">
        <f>AVERAGE('29.07 Najjeera-Kiwatule'!J40,'02.08 Najjeera-Kiwatule'!J40,'30.07 Najjeera-Kiwatule'!J40,'31.07 Najjeera-Kiwatule'!J40,'01.08 Najjeera-Kiwatule-24h'!J40,'03.08 Najjeera-Kiwatule-24h'!J40,'04.08 Najjeera-Kiwatule'!J40)</f>
        <v>0.5714285714285714</v>
      </c>
      <c r="K40" s="49">
        <f>AVERAGE('29.07 Najjeera-Kiwatule'!K40,'02.08 Najjeera-Kiwatule'!K40,'30.07 Najjeera-Kiwatule'!K40,'31.07 Najjeera-Kiwatule'!K40,'01.08 Najjeera-Kiwatule-24h'!K40,'03.08 Najjeera-Kiwatule-24h'!K40,'04.08 Najjeera-Kiwatule'!K40)</f>
        <v>0</v>
      </c>
      <c r="L40" s="49">
        <f>AVERAGE('29.07 Najjeera-Kiwatule'!L40,'02.08 Najjeera-Kiwatule'!L40,'30.07 Najjeera-Kiwatule'!L40,'31.07 Najjeera-Kiwatule'!L40,'01.08 Najjeera-Kiwatule-24h'!L40,'03.08 Najjeera-Kiwatule-24h'!L40,'04.08 Najjeera-Kiwatule'!L40)</f>
        <v>0</v>
      </c>
      <c r="M40" s="49">
        <f>AVERAGE('29.07 Najjeera-Kiwatule'!M40,'02.08 Najjeera-Kiwatule'!M40,'30.07 Najjeera-Kiwatule'!M40,'31.07 Najjeera-Kiwatule'!M40,'01.08 Najjeera-Kiwatule-24h'!M40,'03.08 Najjeera-Kiwatule-24h'!M40,'04.08 Najjeera-Kiwatule'!M40)</f>
        <v>80.142857142857139</v>
      </c>
      <c r="N40" s="49">
        <f>AVERAGE('29.07 Najjeera-Kiwatule'!N40,'02.08 Najjeera-Kiwatule'!N40,'30.07 Najjeera-Kiwatule'!N40,'31.07 Najjeera-Kiwatule'!N40,'01.08 Najjeera-Kiwatule-24h'!N40,'03.08 Najjeera-Kiwatule-24h'!N40,'04.08 Najjeera-Kiwatule'!N40)</f>
        <v>0</v>
      </c>
      <c r="O40" s="15">
        <f t="shared" si="0"/>
        <v>89.857142857142861</v>
      </c>
      <c r="P40" s="15">
        <f t="shared" si="1"/>
        <v>170</v>
      </c>
      <c r="R40" s="5" t="s">
        <v>17</v>
      </c>
      <c r="S40" s="16">
        <f t="shared" ref="S40:AF40" si="22">SUM(S10:S21)</f>
        <v>3813.1428571428569</v>
      </c>
      <c r="T40" s="16">
        <f t="shared" si="22"/>
        <v>534.85714285714278</v>
      </c>
      <c r="U40" s="16">
        <f t="shared" si="22"/>
        <v>343.14285714285717</v>
      </c>
      <c r="V40" s="16">
        <f t="shared" si="22"/>
        <v>647.14285714285711</v>
      </c>
      <c r="W40" s="16">
        <f t="shared" si="22"/>
        <v>11</v>
      </c>
      <c r="X40" s="16">
        <f t="shared" si="22"/>
        <v>1</v>
      </c>
      <c r="Y40" s="16">
        <f t="shared" si="22"/>
        <v>182.42857142857142</v>
      </c>
      <c r="Z40" s="16">
        <f t="shared" si="22"/>
        <v>36.714285714285708</v>
      </c>
      <c r="AA40" s="16">
        <f t="shared" si="22"/>
        <v>15.428571428571427</v>
      </c>
      <c r="AB40" s="16">
        <f t="shared" si="22"/>
        <v>3.8571428571428563</v>
      </c>
      <c r="AC40" s="16">
        <f t="shared" si="22"/>
        <v>4148.7142857142862</v>
      </c>
      <c r="AD40" s="16">
        <f t="shared" si="22"/>
        <v>0.42857142857142855</v>
      </c>
      <c r="AE40" s="32">
        <f t="shared" si="22"/>
        <v>5589.1428571428578</v>
      </c>
      <c r="AF40" s="32">
        <f t="shared" si="22"/>
        <v>9737.8571428571413</v>
      </c>
    </row>
    <row r="41" spans="2:32" ht="23.1" customHeight="1">
      <c r="B41" s="23" t="s">
        <v>68</v>
      </c>
      <c r="C41" s="49">
        <f>AVERAGE('29.07 Najjeera-Kiwatule'!C41,'02.08 Najjeera-Kiwatule'!C41,'30.07 Najjeera-Kiwatule'!C41,'31.07 Najjeera-Kiwatule'!C41,'01.08 Najjeera-Kiwatule-24h'!C41,'03.08 Najjeera-Kiwatule-24h'!C41,'04.08 Najjeera-Kiwatule'!C41)</f>
        <v>60.571428571428569</v>
      </c>
      <c r="D41" s="49">
        <f>AVERAGE('29.07 Najjeera-Kiwatule'!D41,'02.08 Najjeera-Kiwatule'!D41,'30.07 Najjeera-Kiwatule'!D41,'31.07 Najjeera-Kiwatule'!D41,'01.08 Najjeera-Kiwatule-24h'!D41,'03.08 Najjeera-Kiwatule-24h'!D41,'04.08 Najjeera-Kiwatule'!D41)</f>
        <v>7</v>
      </c>
      <c r="E41" s="49">
        <f>AVERAGE('29.07 Najjeera-Kiwatule'!E41,'02.08 Najjeera-Kiwatule'!E41,'30.07 Najjeera-Kiwatule'!E41,'31.07 Najjeera-Kiwatule'!E41,'01.08 Najjeera-Kiwatule-24h'!E41,'03.08 Najjeera-Kiwatule-24h'!E41,'04.08 Najjeera-Kiwatule'!E41)</f>
        <v>5.2857142857142856</v>
      </c>
      <c r="F41" s="49">
        <f>AVERAGE('29.07 Najjeera-Kiwatule'!F41,'02.08 Najjeera-Kiwatule'!F41,'30.07 Najjeera-Kiwatule'!F41,'31.07 Najjeera-Kiwatule'!F41,'01.08 Najjeera-Kiwatule-24h'!F41,'03.08 Najjeera-Kiwatule-24h'!F41,'04.08 Najjeera-Kiwatule'!F41)</f>
        <v>15.428571428571429</v>
      </c>
      <c r="G41" s="49">
        <f>AVERAGE('29.07 Najjeera-Kiwatule'!G41,'02.08 Najjeera-Kiwatule'!G41,'30.07 Najjeera-Kiwatule'!G41,'31.07 Najjeera-Kiwatule'!G41,'01.08 Najjeera-Kiwatule-24h'!G41,'03.08 Najjeera-Kiwatule-24h'!G41,'04.08 Najjeera-Kiwatule'!G41)</f>
        <v>0.42857142857142855</v>
      </c>
      <c r="H41" s="49">
        <f>AVERAGE('29.07 Najjeera-Kiwatule'!H41,'02.08 Najjeera-Kiwatule'!H41,'30.07 Najjeera-Kiwatule'!H41,'31.07 Najjeera-Kiwatule'!H41,'01.08 Najjeera-Kiwatule-24h'!H41,'03.08 Najjeera-Kiwatule-24h'!H41,'04.08 Najjeera-Kiwatule'!H41)</f>
        <v>0</v>
      </c>
      <c r="I41" s="49">
        <f>AVERAGE('29.07 Najjeera-Kiwatule'!I41,'02.08 Najjeera-Kiwatule'!I41,'30.07 Najjeera-Kiwatule'!I41,'31.07 Najjeera-Kiwatule'!I41,'01.08 Najjeera-Kiwatule-24h'!I41,'03.08 Najjeera-Kiwatule-24h'!I41,'04.08 Najjeera-Kiwatule'!I41)</f>
        <v>5.2857142857142856</v>
      </c>
      <c r="J41" s="49">
        <f>AVERAGE('29.07 Najjeera-Kiwatule'!J41,'02.08 Najjeera-Kiwatule'!J41,'30.07 Najjeera-Kiwatule'!J41,'31.07 Najjeera-Kiwatule'!J41,'01.08 Najjeera-Kiwatule-24h'!J41,'03.08 Najjeera-Kiwatule-24h'!J41,'04.08 Najjeera-Kiwatule'!J41)</f>
        <v>0.2857142857142857</v>
      </c>
      <c r="K41" s="49">
        <f>AVERAGE('29.07 Najjeera-Kiwatule'!K41,'02.08 Najjeera-Kiwatule'!K41,'30.07 Najjeera-Kiwatule'!K41,'31.07 Najjeera-Kiwatule'!K41,'01.08 Najjeera-Kiwatule-24h'!K41,'03.08 Najjeera-Kiwatule-24h'!K41,'04.08 Najjeera-Kiwatule'!K41)</f>
        <v>0.2857142857142857</v>
      </c>
      <c r="L41" s="49">
        <f>AVERAGE('29.07 Najjeera-Kiwatule'!L41,'02.08 Najjeera-Kiwatule'!L41,'30.07 Najjeera-Kiwatule'!L41,'31.07 Najjeera-Kiwatule'!L41,'01.08 Najjeera-Kiwatule-24h'!L41,'03.08 Najjeera-Kiwatule-24h'!L41,'04.08 Najjeera-Kiwatule'!L41)</f>
        <v>0.2857142857142857</v>
      </c>
      <c r="M41" s="49">
        <f>AVERAGE('29.07 Najjeera-Kiwatule'!M41,'02.08 Najjeera-Kiwatule'!M41,'30.07 Najjeera-Kiwatule'!M41,'31.07 Najjeera-Kiwatule'!M41,'01.08 Najjeera-Kiwatule-24h'!M41,'03.08 Najjeera-Kiwatule-24h'!M41,'04.08 Najjeera-Kiwatule'!M41)</f>
        <v>77</v>
      </c>
      <c r="N41" s="49">
        <f>AVERAGE('29.07 Najjeera-Kiwatule'!N41,'02.08 Najjeera-Kiwatule'!N41,'30.07 Najjeera-Kiwatule'!N41,'31.07 Najjeera-Kiwatule'!N41,'01.08 Najjeera-Kiwatule-24h'!N41,'03.08 Najjeera-Kiwatule-24h'!N41,'04.08 Najjeera-Kiwatule'!N41)</f>
        <v>0</v>
      </c>
      <c r="O41" s="15">
        <f t="shared" si="0"/>
        <v>94.85714285714289</v>
      </c>
      <c r="P41" s="15">
        <f t="shared" si="1"/>
        <v>171.85714285714289</v>
      </c>
      <c r="R41" s="5" t="s">
        <v>184</v>
      </c>
      <c r="S41" s="16">
        <f>SUM(S10:S33)</f>
        <v>18716.642857142859</v>
      </c>
      <c r="T41" s="16">
        <f t="shared" ref="T41:AD41" si="23">SUM(T10:T33)</f>
        <v>936.35714285714278</v>
      </c>
      <c r="U41" s="16">
        <f t="shared" si="23"/>
        <v>497.64285714285717</v>
      </c>
      <c r="V41" s="16">
        <f t="shared" si="23"/>
        <v>1104.1428571428571</v>
      </c>
      <c r="W41" s="16">
        <f t="shared" si="23"/>
        <v>12</v>
      </c>
      <c r="X41" s="16">
        <f t="shared" si="23"/>
        <v>1</v>
      </c>
      <c r="Y41" s="16">
        <f t="shared" si="23"/>
        <v>302.42857142857144</v>
      </c>
      <c r="Z41" s="16">
        <f t="shared" si="23"/>
        <v>43.714285714285708</v>
      </c>
      <c r="AA41" s="16">
        <f t="shared" si="23"/>
        <v>17.428571428571427</v>
      </c>
      <c r="AB41" s="16">
        <f t="shared" si="23"/>
        <v>5.8571428571428559</v>
      </c>
      <c r="AC41" s="16">
        <f t="shared" si="23"/>
        <v>9001.2142857142862</v>
      </c>
      <c r="AD41" s="16">
        <f t="shared" si="23"/>
        <v>1.9285714285714286</v>
      </c>
      <c r="AE41" s="32">
        <f>SUM(AE10:AE33)</f>
        <v>8948.6428571428587</v>
      </c>
      <c r="AF41" s="32">
        <f>SUM(AF10:AF33)</f>
        <v>17949.857142857141</v>
      </c>
    </row>
    <row r="42" spans="2:32" ht="23.1" customHeight="1">
      <c r="B42" s="24" t="s">
        <v>69</v>
      </c>
      <c r="C42" s="49">
        <f>AVERAGE('29.07 Najjeera-Kiwatule'!C42,'02.08 Najjeera-Kiwatule'!C42,'30.07 Najjeera-Kiwatule'!C42,'31.07 Najjeera-Kiwatule'!C42,'01.08 Najjeera-Kiwatule-24h'!C42,'03.08 Najjeera-Kiwatule-24h'!C42,'04.08 Najjeera-Kiwatule'!C42)</f>
        <v>64.142857142857139</v>
      </c>
      <c r="D42" s="49">
        <f>AVERAGE('29.07 Najjeera-Kiwatule'!D42,'02.08 Najjeera-Kiwatule'!D42,'30.07 Najjeera-Kiwatule'!D42,'31.07 Najjeera-Kiwatule'!D42,'01.08 Najjeera-Kiwatule-24h'!D42,'03.08 Najjeera-Kiwatule-24h'!D42,'04.08 Najjeera-Kiwatule'!D42)</f>
        <v>8.1428571428571423</v>
      </c>
      <c r="E42" s="49">
        <f>AVERAGE('29.07 Najjeera-Kiwatule'!E42,'02.08 Najjeera-Kiwatule'!E42,'30.07 Najjeera-Kiwatule'!E42,'31.07 Najjeera-Kiwatule'!E42,'01.08 Najjeera-Kiwatule-24h'!E42,'03.08 Najjeera-Kiwatule-24h'!E42,'04.08 Najjeera-Kiwatule'!E42)</f>
        <v>5.2857142857142856</v>
      </c>
      <c r="F42" s="49">
        <f>AVERAGE('29.07 Najjeera-Kiwatule'!F42,'02.08 Najjeera-Kiwatule'!F42,'30.07 Najjeera-Kiwatule'!F42,'31.07 Najjeera-Kiwatule'!F42,'01.08 Najjeera-Kiwatule-24h'!F42,'03.08 Najjeera-Kiwatule-24h'!F42,'04.08 Najjeera-Kiwatule'!F42)</f>
        <v>11</v>
      </c>
      <c r="G42" s="49">
        <f>AVERAGE('29.07 Najjeera-Kiwatule'!G42,'02.08 Najjeera-Kiwatule'!G42,'30.07 Najjeera-Kiwatule'!G42,'31.07 Najjeera-Kiwatule'!G42,'01.08 Najjeera-Kiwatule-24h'!G42,'03.08 Najjeera-Kiwatule-24h'!G42,'04.08 Najjeera-Kiwatule'!G42)</f>
        <v>0.14285714285714285</v>
      </c>
      <c r="H42" s="49">
        <f>AVERAGE('29.07 Najjeera-Kiwatule'!H42,'02.08 Najjeera-Kiwatule'!H42,'30.07 Najjeera-Kiwatule'!H42,'31.07 Najjeera-Kiwatule'!H42,'01.08 Najjeera-Kiwatule-24h'!H42,'03.08 Najjeera-Kiwatule-24h'!H42,'04.08 Najjeera-Kiwatule'!H42)</f>
        <v>0</v>
      </c>
      <c r="I42" s="49">
        <f>AVERAGE('29.07 Najjeera-Kiwatule'!I42,'02.08 Najjeera-Kiwatule'!I42,'30.07 Najjeera-Kiwatule'!I42,'31.07 Najjeera-Kiwatule'!I42,'01.08 Najjeera-Kiwatule-24h'!I42,'03.08 Najjeera-Kiwatule-24h'!I42,'04.08 Najjeera-Kiwatule'!I42)</f>
        <v>5.7142857142857144</v>
      </c>
      <c r="J42" s="49">
        <f>AVERAGE('29.07 Najjeera-Kiwatule'!J42,'02.08 Najjeera-Kiwatule'!J42,'30.07 Najjeera-Kiwatule'!J42,'31.07 Najjeera-Kiwatule'!J42,'01.08 Najjeera-Kiwatule-24h'!J42,'03.08 Najjeera-Kiwatule-24h'!J42,'04.08 Najjeera-Kiwatule'!J42)</f>
        <v>0.7142857142857143</v>
      </c>
      <c r="K42" s="49">
        <f>AVERAGE('29.07 Najjeera-Kiwatule'!K42,'02.08 Najjeera-Kiwatule'!K42,'30.07 Najjeera-Kiwatule'!K42,'31.07 Najjeera-Kiwatule'!K42,'01.08 Najjeera-Kiwatule-24h'!K42,'03.08 Najjeera-Kiwatule-24h'!K42,'04.08 Najjeera-Kiwatule'!K42)</f>
        <v>0.14285714285714285</v>
      </c>
      <c r="L42" s="49">
        <f>AVERAGE('29.07 Najjeera-Kiwatule'!L42,'02.08 Najjeera-Kiwatule'!L42,'30.07 Najjeera-Kiwatule'!L42,'31.07 Najjeera-Kiwatule'!L42,'01.08 Najjeera-Kiwatule-24h'!L42,'03.08 Najjeera-Kiwatule-24h'!L42,'04.08 Najjeera-Kiwatule'!L42)</f>
        <v>0.14285714285714285</v>
      </c>
      <c r="M42" s="49">
        <f>AVERAGE('29.07 Najjeera-Kiwatule'!M42,'02.08 Najjeera-Kiwatule'!M42,'30.07 Najjeera-Kiwatule'!M42,'31.07 Najjeera-Kiwatule'!M42,'01.08 Najjeera-Kiwatule-24h'!M42,'03.08 Najjeera-Kiwatule-24h'!M42,'04.08 Najjeera-Kiwatule'!M42)</f>
        <v>70.285714285714292</v>
      </c>
      <c r="N42" s="49">
        <f>AVERAGE('29.07 Najjeera-Kiwatule'!N42,'02.08 Najjeera-Kiwatule'!N42,'30.07 Najjeera-Kiwatule'!N42,'31.07 Najjeera-Kiwatule'!N42,'01.08 Najjeera-Kiwatule-24h'!N42,'03.08 Najjeera-Kiwatule-24h'!N42,'04.08 Najjeera-Kiwatule'!N42)</f>
        <v>0.14285714285714285</v>
      </c>
      <c r="O42" s="15">
        <f t="shared" si="0"/>
        <v>95.571428571428541</v>
      </c>
      <c r="P42" s="15">
        <f t="shared" si="1"/>
        <v>165.85714285714283</v>
      </c>
      <c r="R42" s="5" t="s">
        <v>160</v>
      </c>
      <c r="S42" s="48">
        <f>S41/S40</f>
        <v>4.9084557170687857</v>
      </c>
      <c r="T42" s="48">
        <f t="shared" ref="T42:AF42" si="24">T41/T40</f>
        <v>1.7506677350427351</v>
      </c>
      <c r="U42" s="48">
        <f t="shared" si="24"/>
        <v>1.4502497918401331</v>
      </c>
      <c r="V42" s="48">
        <f t="shared" si="24"/>
        <v>1.7061810154525388</v>
      </c>
      <c r="W42" s="48">
        <f t="shared" si="24"/>
        <v>1.0909090909090908</v>
      </c>
      <c r="X42" s="48">
        <f t="shared" si="24"/>
        <v>1</v>
      </c>
      <c r="Y42" s="48">
        <f t="shared" si="24"/>
        <v>1.6577916992952233</v>
      </c>
      <c r="Z42" s="48">
        <f t="shared" si="24"/>
        <v>1.1906614785992218</v>
      </c>
      <c r="AA42" s="48">
        <f t="shared" si="24"/>
        <v>1.1296296296296295</v>
      </c>
      <c r="AB42" s="48">
        <f t="shared" si="24"/>
        <v>1.5185185185185186</v>
      </c>
      <c r="AC42" s="48">
        <f t="shared" si="24"/>
        <v>2.1696394752246824</v>
      </c>
      <c r="AD42" s="48">
        <f t="shared" si="24"/>
        <v>4.5</v>
      </c>
      <c r="AE42" s="54">
        <f t="shared" si="24"/>
        <v>1.6010760658419385</v>
      </c>
      <c r="AF42" s="54">
        <f t="shared" si="24"/>
        <v>1.8433066823149711</v>
      </c>
    </row>
    <row r="43" spans="2:32" ht="23.1" customHeight="1">
      <c r="B43" s="23" t="s">
        <v>70</v>
      </c>
      <c r="C43" s="49">
        <f>AVERAGE('29.07 Najjeera-Kiwatule'!C43,'02.08 Najjeera-Kiwatule'!C43,'30.07 Najjeera-Kiwatule'!C43,'31.07 Najjeera-Kiwatule'!C43,'01.08 Najjeera-Kiwatule-24h'!C43,'03.08 Najjeera-Kiwatule-24h'!C43,'04.08 Najjeera-Kiwatule'!C43)</f>
        <v>63.714285714285715</v>
      </c>
      <c r="D43" s="49">
        <f>AVERAGE('29.07 Najjeera-Kiwatule'!D43,'02.08 Najjeera-Kiwatule'!D43,'30.07 Najjeera-Kiwatule'!D43,'31.07 Najjeera-Kiwatule'!D43,'01.08 Najjeera-Kiwatule-24h'!D43,'03.08 Najjeera-Kiwatule-24h'!D43,'04.08 Najjeera-Kiwatule'!D43)</f>
        <v>7.5714285714285712</v>
      </c>
      <c r="E43" s="49">
        <f>AVERAGE('29.07 Najjeera-Kiwatule'!E43,'02.08 Najjeera-Kiwatule'!E43,'30.07 Najjeera-Kiwatule'!E43,'31.07 Najjeera-Kiwatule'!E43,'01.08 Najjeera-Kiwatule-24h'!E43,'03.08 Najjeera-Kiwatule-24h'!E43,'04.08 Najjeera-Kiwatule'!E43)</f>
        <v>6</v>
      </c>
      <c r="F43" s="49">
        <f>AVERAGE('29.07 Najjeera-Kiwatule'!F43,'02.08 Najjeera-Kiwatule'!F43,'30.07 Najjeera-Kiwatule'!F43,'31.07 Najjeera-Kiwatule'!F43,'01.08 Najjeera-Kiwatule-24h'!F43,'03.08 Najjeera-Kiwatule-24h'!F43,'04.08 Najjeera-Kiwatule'!F43)</f>
        <v>11.571428571428571</v>
      </c>
      <c r="G43" s="49">
        <f>AVERAGE('29.07 Najjeera-Kiwatule'!G43,'02.08 Najjeera-Kiwatule'!G43,'30.07 Najjeera-Kiwatule'!G43,'31.07 Najjeera-Kiwatule'!G43,'01.08 Najjeera-Kiwatule-24h'!G43,'03.08 Najjeera-Kiwatule-24h'!G43,'04.08 Najjeera-Kiwatule'!G43)</f>
        <v>0.14285714285714285</v>
      </c>
      <c r="H43" s="49">
        <f>AVERAGE('29.07 Najjeera-Kiwatule'!H43,'02.08 Najjeera-Kiwatule'!H43,'30.07 Najjeera-Kiwatule'!H43,'31.07 Najjeera-Kiwatule'!H43,'01.08 Najjeera-Kiwatule-24h'!H43,'03.08 Najjeera-Kiwatule-24h'!H43,'04.08 Najjeera-Kiwatule'!H43)</f>
        <v>0</v>
      </c>
      <c r="I43" s="49">
        <f>AVERAGE('29.07 Najjeera-Kiwatule'!I43,'02.08 Najjeera-Kiwatule'!I43,'30.07 Najjeera-Kiwatule'!I43,'31.07 Najjeera-Kiwatule'!I43,'01.08 Najjeera-Kiwatule-24h'!I43,'03.08 Najjeera-Kiwatule-24h'!I43,'04.08 Najjeera-Kiwatule'!I43)</f>
        <v>4.2857142857142856</v>
      </c>
      <c r="J43" s="49">
        <f>AVERAGE('29.07 Najjeera-Kiwatule'!J43,'02.08 Najjeera-Kiwatule'!J43,'30.07 Najjeera-Kiwatule'!J43,'31.07 Najjeera-Kiwatule'!J43,'01.08 Najjeera-Kiwatule-24h'!J43,'03.08 Najjeera-Kiwatule-24h'!J43,'04.08 Najjeera-Kiwatule'!J43)</f>
        <v>0.7142857142857143</v>
      </c>
      <c r="K43" s="49">
        <f>AVERAGE('29.07 Najjeera-Kiwatule'!K43,'02.08 Najjeera-Kiwatule'!K43,'30.07 Najjeera-Kiwatule'!K43,'31.07 Najjeera-Kiwatule'!K43,'01.08 Najjeera-Kiwatule-24h'!K43,'03.08 Najjeera-Kiwatule-24h'!K43,'04.08 Najjeera-Kiwatule'!K43)</f>
        <v>0.2857142857142857</v>
      </c>
      <c r="L43" s="49">
        <f>AVERAGE('29.07 Najjeera-Kiwatule'!L43,'02.08 Najjeera-Kiwatule'!L43,'30.07 Najjeera-Kiwatule'!L43,'31.07 Najjeera-Kiwatule'!L43,'01.08 Najjeera-Kiwatule-24h'!L43,'03.08 Najjeera-Kiwatule-24h'!L43,'04.08 Najjeera-Kiwatule'!L43)</f>
        <v>0</v>
      </c>
      <c r="M43" s="49">
        <f>AVERAGE('29.07 Najjeera-Kiwatule'!M43,'02.08 Najjeera-Kiwatule'!M43,'30.07 Najjeera-Kiwatule'!M43,'31.07 Najjeera-Kiwatule'!M43,'01.08 Najjeera-Kiwatule-24h'!M43,'03.08 Najjeera-Kiwatule-24h'!M43,'04.08 Najjeera-Kiwatule'!M43)</f>
        <v>76.714285714285708</v>
      </c>
      <c r="N43" s="49">
        <f>AVERAGE('29.07 Najjeera-Kiwatule'!N43,'02.08 Najjeera-Kiwatule'!N43,'30.07 Najjeera-Kiwatule'!N43,'31.07 Najjeera-Kiwatule'!N43,'01.08 Najjeera-Kiwatule-24h'!N43,'03.08 Najjeera-Kiwatule-24h'!N43,'04.08 Najjeera-Kiwatule'!N43)</f>
        <v>0</v>
      </c>
      <c r="O43" s="15">
        <f t="shared" si="0"/>
        <v>94.285714285714292</v>
      </c>
      <c r="P43" s="15">
        <f t="shared" si="1"/>
        <v>171</v>
      </c>
    </row>
    <row r="44" spans="2:32" ht="23.1" customHeight="1">
      <c r="B44" s="25" t="s">
        <v>71</v>
      </c>
      <c r="C44" s="49">
        <f>AVERAGE('29.07 Najjeera-Kiwatule'!C44,'02.08 Najjeera-Kiwatule'!C44,'30.07 Najjeera-Kiwatule'!C44,'31.07 Najjeera-Kiwatule'!C44,'01.08 Najjeera-Kiwatule-24h'!C44,'03.08 Najjeera-Kiwatule-24h'!C44,'04.08 Najjeera-Kiwatule'!C44)</f>
        <v>62.285714285714285</v>
      </c>
      <c r="D44" s="49">
        <f>AVERAGE('29.07 Najjeera-Kiwatule'!D44,'02.08 Najjeera-Kiwatule'!D44,'30.07 Najjeera-Kiwatule'!D44,'31.07 Najjeera-Kiwatule'!D44,'01.08 Najjeera-Kiwatule-24h'!D44,'03.08 Najjeera-Kiwatule-24h'!D44,'04.08 Najjeera-Kiwatule'!D44)</f>
        <v>9.1428571428571423</v>
      </c>
      <c r="E44" s="49">
        <f>AVERAGE('29.07 Najjeera-Kiwatule'!E44,'02.08 Najjeera-Kiwatule'!E44,'30.07 Najjeera-Kiwatule'!E44,'31.07 Najjeera-Kiwatule'!E44,'01.08 Najjeera-Kiwatule-24h'!E44,'03.08 Najjeera-Kiwatule-24h'!E44,'04.08 Najjeera-Kiwatule'!E44)</f>
        <v>5.5714285714285712</v>
      </c>
      <c r="F44" s="49">
        <f>AVERAGE('29.07 Najjeera-Kiwatule'!F44,'02.08 Najjeera-Kiwatule'!F44,'30.07 Najjeera-Kiwatule'!F44,'31.07 Najjeera-Kiwatule'!F44,'01.08 Najjeera-Kiwatule-24h'!F44,'03.08 Najjeera-Kiwatule-24h'!F44,'04.08 Najjeera-Kiwatule'!F44)</f>
        <v>10</v>
      </c>
      <c r="G44" s="49">
        <f>AVERAGE('29.07 Najjeera-Kiwatule'!G44,'02.08 Najjeera-Kiwatule'!G44,'30.07 Najjeera-Kiwatule'!G44,'31.07 Najjeera-Kiwatule'!G44,'01.08 Najjeera-Kiwatule-24h'!G44,'03.08 Najjeera-Kiwatule-24h'!G44,'04.08 Najjeera-Kiwatule'!G44)</f>
        <v>0</v>
      </c>
      <c r="H44" s="49">
        <f>AVERAGE('29.07 Najjeera-Kiwatule'!H44,'02.08 Najjeera-Kiwatule'!H44,'30.07 Najjeera-Kiwatule'!H44,'31.07 Najjeera-Kiwatule'!H44,'01.08 Najjeera-Kiwatule-24h'!H44,'03.08 Najjeera-Kiwatule-24h'!H44,'04.08 Najjeera-Kiwatule'!H44)</f>
        <v>0</v>
      </c>
      <c r="I44" s="49">
        <f>AVERAGE('29.07 Najjeera-Kiwatule'!I44,'02.08 Najjeera-Kiwatule'!I44,'30.07 Najjeera-Kiwatule'!I44,'31.07 Najjeera-Kiwatule'!I44,'01.08 Najjeera-Kiwatule-24h'!I44,'03.08 Najjeera-Kiwatule-24h'!I44,'04.08 Najjeera-Kiwatule'!I44)</f>
        <v>4</v>
      </c>
      <c r="J44" s="49">
        <f>AVERAGE('29.07 Najjeera-Kiwatule'!J44,'02.08 Najjeera-Kiwatule'!J44,'30.07 Najjeera-Kiwatule'!J44,'31.07 Najjeera-Kiwatule'!J44,'01.08 Najjeera-Kiwatule-24h'!J44,'03.08 Najjeera-Kiwatule-24h'!J44,'04.08 Najjeera-Kiwatule'!J44)</f>
        <v>0.7142857142857143</v>
      </c>
      <c r="K44" s="49">
        <f>AVERAGE('29.07 Najjeera-Kiwatule'!K44,'02.08 Najjeera-Kiwatule'!K44,'30.07 Najjeera-Kiwatule'!K44,'31.07 Najjeera-Kiwatule'!K44,'01.08 Najjeera-Kiwatule-24h'!K44,'03.08 Najjeera-Kiwatule-24h'!K44,'04.08 Najjeera-Kiwatule'!K44)</f>
        <v>0.7142857142857143</v>
      </c>
      <c r="L44" s="49">
        <f>AVERAGE('29.07 Najjeera-Kiwatule'!L44,'02.08 Najjeera-Kiwatule'!L44,'30.07 Najjeera-Kiwatule'!L44,'31.07 Najjeera-Kiwatule'!L44,'01.08 Najjeera-Kiwatule-24h'!L44,'03.08 Najjeera-Kiwatule-24h'!L44,'04.08 Najjeera-Kiwatule'!L44)</f>
        <v>0.2857142857142857</v>
      </c>
      <c r="M44" s="49">
        <f>AVERAGE('29.07 Najjeera-Kiwatule'!M44,'02.08 Najjeera-Kiwatule'!M44,'30.07 Najjeera-Kiwatule'!M44,'31.07 Najjeera-Kiwatule'!M44,'01.08 Najjeera-Kiwatule-24h'!M44,'03.08 Najjeera-Kiwatule-24h'!M44,'04.08 Najjeera-Kiwatule'!M44)</f>
        <v>73</v>
      </c>
      <c r="N44" s="49">
        <f>AVERAGE('29.07 Najjeera-Kiwatule'!N44,'02.08 Najjeera-Kiwatule'!N44,'30.07 Najjeera-Kiwatule'!N44,'31.07 Najjeera-Kiwatule'!N44,'01.08 Najjeera-Kiwatule-24h'!N44,'03.08 Najjeera-Kiwatule-24h'!N44,'04.08 Najjeera-Kiwatule'!N44)</f>
        <v>0</v>
      </c>
      <c r="O44" s="15">
        <f t="shared" si="0"/>
        <v>92.714285714285708</v>
      </c>
      <c r="P44" s="15">
        <f t="shared" si="1"/>
        <v>165.71428571428572</v>
      </c>
    </row>
    <row r="45" spans="2:32" ht="23.1" customHeight="1">
      <c r="B45" s="23" t="s">
        <v>72</v>
      </c>
      <c r="C45" s="49">
        <f>AVERAGE('29.07 Najjeera-Kiwatule'!C45,'02.08 Najjeera-Kiwatule'!C45,'30.07 Najjeera-Kiwatule'!C45,'31.07 Najjeera-Kiwatule'!C45,'01.08 Najjeera-Kiwatule-24h'!C45,'03.08 Najjeera-Kiwatule-24h'!C45,'04.08 Najjeera-Kiwatule'!C45)</f>
        <v>59.714285714285715</v>
      </c>
      <c r="D45" s="49">
        <f>AVERAGE('29.07 Najjeera-Kiwatule'!D45,'02.08 Najjeera-Kiwatule'!D45,'30.07 Najjeera-Kiwatule'!D45,'31.07 Najjeera-Kiwatule'!D45,'01.08 Najjeera-Kiwatule-24h'!D45,'03.08 Najjeera-Kiwatule-24h'!D45,'04.08 Najjeera-Kiwatule'!D45)</f>
        <v>9.2857142857142865</v>
      </c>
      <c r="E45" s="49">
        <f>AVERAGE('29.07 Najjeera-Kiwatule'!E45,'02.08 Najjeera-Kiwatule'!E45,'30.07 Najjeera-Kiwatule'!E45,'31.07 Najjeera-Kiwatule'!E45,'01.08 Najjeera-Kiwatule-24h'!E45,'03.08 Najjeera-Kiwatule-24h'!E45,'04.08 Najjeera-Kiwatule'!E45)</f>
        <v>5.4285714285714288</v>
      </c>
      <c r="F45" s="49">
        <f>AVERAGE('29.07 Najjeera-Kiwatule'!F45,'02.08 Najjeera-Kiwatule'!F45,'30.07 Najjeera-Kiwatule'!F45,'31.07 Najjeera-Kiwatule'!F45,'01.08 Najjeera-Kiwatule-24h'!F45,'03.08 Najjeera-Kiwatule-24h'!F45,'04.08 Najjeera-Kiwatule'!F45)</f>
        <v>11.285714285714286</v>
      </c>
      <c r="G45" s="49">
        <f>AVERAGE('29.07 Najjeera-Kiwatule'!G45,'02.08 Najjeera-Kiwatule'!G45,'30.07 Najjeera-Kiwatule'!G45,'31.07 Najjeera-Kiwatule'!G45,'01.08 Najjeera-Kiwatule-24h'!G45,'03.08 Najjeera-Kiwatule-24h'!G45,'04.08 Najjeera-Kiwatule'!G45)</f>
        <v>0</v>
      </c>
      <c r="H45" s="49">
        <f>AVERAGE('29.07 Najjeera-Kiwatule'!H45,'02.08 Najjeera-Kiwatule'!H45,'30.07 Najjeera-Kiwatule'!H45,'31.07 Najjeera-Kiwatule'!H45,'01.08 Najjeera-Kiwatule-24h'!H45,'03.08 Najjeera-Kiwatule-24h'!H45,'04.08 Najjeera-Kiwatule'!H45)</f>
        <v>0</v>
      </c>
      <c r="I45" s="49">
        <f>AVERAGE('29.07 Najjeera-Kiwatule'!I45,'02.08 Najjeera-Kiwatule'!I45,'30.07 Najjeera-Kiwatule'!I45,'31.07 Najjeera-Kiwatule'!I45,'01.08 Najjeera-Kiwatule-24h'!I45,'03.08 Najjeera-Kiwatule-24h'!I45,'04.08 Najjeera-Kiwatule'!I45)</f>
        <v>3.4285714285714284</v>
      </c>
      <c r="J45" s="49">
        <f>AVERAGE('29.07 Najjeera-Kiwatule'!J45,'02.08 Najjeera-Kiwatule'!J45,'30.07 Najjeera-Kiwatule'!J45,'31.07 Najjeera-Kiwatule'!J45,'01.08 Najjeera-Kiwatule-24h'!J45,'03.08 Najjeera-Kiwatule-24h'!J45,'04.08 Najjeera-Kiwatule'!J45)</f>
        <v>1.1428571428571428</v>
      </c>
      <c r="K45" s="49">
        <f>AVERAGE('29.07 Najjeera-Kiwatule'!K45,'02.08 Najjeera-Kiwatule'!K45,'30.07 Najjeera-Kiwatule'!K45,'31.07 Najjeera-Kiwatule'!K45,'01.08 Najjeera-Kiwatule-24h'!K45,'03.08 Najjeera-Kiwatule-24h'!K45,'04.08 Najjeera-Kiwatule'!K45)</f>
        <v>0.2857142857142857</v>
      </c>
      <c r="L45" s="49">
        <f>AVERAGE('29.07 Najjeera-Kiwatule'!L45,'02.08 Najjeera-Kiwatule'!L45,'30.07 Najjeera-Kiwatule'!L45,'31.07 Najjeera-Kiwatule'!L45,'01.08 Najjeera-Kiwatule-24h'!L45,'03.08 Najjeera-Kiwatule-24h'!L45,'04.08 Najjeera-Kiwatule'!L45)</f>
        <v>0</v>
      </c>
      <c r="M45" s="49">
        <f>AVERAGE('29.07 Najjeera-Kiwatule'!M45,'02.08 Najjeera-Kiwatule'!M45,'30.07 Najjeera-Kiwatule'!M45,'31.07 Najjeera-Kiwatule'!M45,'01.08 Najjeera-Kiwatule-24h'!M45,'03.08 Najjeera-Kiwatule-24h'!M45,'04.08 Najjeera-Kiwatule'!M45)</f>
        <v>66.428571428571431</v>
      </c>
      <c r="N45" s="49">
        <f>AVERAGE('29.07 Najjeera-Kiwatule'!N45,'02.08 Najjeera-Kiwatule'!N45,'30.07 Najjeera-Kiwatule'!N45,'31.07 Najjeera-Kiwatule'!N45,'01.08 Najjeera-Kiwatule-24h'!N45,'03.08 Najjeera-Kiwatule-24h'!N45,'04.08 Najjeera-Kiwatule'!N45)</f>
        <v>0.14285714285714285</v>
      </c>
      <c r="O45" s="15">
        <f t="shared" si="0"/>
        <v>90.714285714285722</v>
      </c>
      <c r="P45" s="15">
        <f t="shared" si="1"/>
        <v>157.14285714285714</v>
      </c>
    </row>
    <row r="46" spans="2:32" ht="23.1" customHeight="1">
      <c r="B46" s="24" t="s">
        <v>73</v>
      </c>
      <c r="C46" s="49">
        <f>AVERAGE('29.07 Najjeera-Kiwatule'!C46,'02.08 Najjeera-Kiwatule'!C46,'30.07 Najjeera-Kiwatule'!C46,'31.07 Najjeera-Kiwatule'!C46,'01.08 Najjeera-Kiwatule-24h'!C46,'03.08 Najjeera-Kiwatule-24h'!C46,'04.08 Najjeera-Kiwatule'!C46)</f>
        <v>65.714285714285708</v>
      </c>
      <c r="D46" s="49">
        <f>AVERAGE('29.07 Najjeera-Kiwatule'!D46,'02.08 Najjeera-Kiwatule'!D46,'30.07 Najjeera-Kiwatule'!D46,'31.07 Najjeera-Kiwatule'!D46,'01.08 Najjeera-Kiwatule-24h'!D46,'03.08 Najjeera-Kiwatule-24h'!D46,'04.08 Najjeera-Kiwatule'!D46)</f>
        <v>8.2857142857142865</v>
      </c>
      <c r="E46" s="49">
        <f>AVERAGE('29.07 Najjeera-Kiwatule'!E46,'02.08 Najjeera-Kiwatule'!E46,'30.07 Najjeera-Kiwatule'!E46,'31.07 Najjeera-Kiwatule'!E46,'01.08 Najjeera-Kiwatule-24h'!E46,'03.08 Najjeera-Kiwatule-24h'!E46,'04.08 Najjeera-Kiwatule'!E46)</f>
        <v>6.2857142857142856</v>
      </c>
      <c r="F46" s="49">
        <f>AVERAGE('29.07 Najjeera-Kiwatule'!F46,'02.08 Najjeera-Kiwatule'!F46,'30.07 Najjeera-Kiwatule'!F46,'31.07 Najjeera-Kiwatule'!F46,'01.08 Najjeera-Kiwatule-24h'!F46,'03.08 Najjeera-Kiwatule-24h'!F46,'04.08 Najjeera-Kiwatule'!F46)</f>
        <v>10.142857142857142</v>
      </c>
      <c r="G46" s="49">
        <f>AVERAGE('29.07 Najjeera-Kiwatule'!G46,'02.08 Najjeera-Kiwatule'!G46,'30.07 Najjeera-Kiwatule'!G46,'31.07 Najjeera-Kiwatule'!G46,'01.08 Najjeera-Kiwatule-24h'!G46,'03.08 Najjeera-Kiwatule-24h'!G46,'04.08 Najjeera-Kiwatule'!G46)</f>
        <v>0</v>
      </c>
      <c r="H46" s="49">
        <f>AVERAGE('29.07 Najjeera-Kiwatule'!H46,'02.08 Najjeera-Kiwatule'!H46,'30.07 Najjeera-Kiwatule'!H46,'31.07 Najjeera-Kiwatule'!H46,'01.08 Najjeera-Kiwatule-24h'!H46,'03.08 Najjeera-Kiwatule-24h'!H46,'04.08 Najjeera-Kiwatule'!H46)</f>
        <v>0</v>
      </c>
      <c r="I46" s="49">
        <f>AVERAGE('29.07 Najjeera-Kiwatule'!I46,'02.08 Najjeera-Kiwatule'!I46,'30.07 Najjeera-Kiwatule'!I46,'31.07 Najjeera-Kiwatule'!I46,'01.08 Najjeera-Kiwatule-24h'!I46,'03.08 Najjeera-Kiwatule-24h'!I46,'04.08 Najjeera-Kiwatule'!I46)</f>
        <v>4.2857142857142856</v>
      </c>
      <c r="J46" s="49">
        <f>AVERAGE('29.07 Najjeera-Kiwatule'!J46,'02.08 Najjeera-Kiwatule'!J46,'30.07 Najjeera-Kiwatule'!J46,'31.07 Najjeera-Kiwatule'!J46,'01.08 Najjeera-Kiwatule-24h'!J46,'03.08 Najjeera-Kiwatule-24h'!J46,'04.08 Najjeera-Kiwatule'!J46)</f>
        <v>0.2857142857142857</v>
      </c>
      <c r="K46" s="49">
        <f>AVERAGE('29.07 Najjeera-Kiwatule'!K46,'02.08 Najjeera-Kiwatule'!K46,'30.07 Najjeera-Kiwatule'!K46,'31.07 Najjeera-Kiwatule'!K46,'01.08 Najjeera-Kiwatule-24h'!K46,'03.08 Najjeera-Kiwatule-24h'!K46,'04.08 Najjeera-Kiwatule'!K46)</f>
        <v>1.2857142857142858</v>
      </c>
      <c r="L46" s="49">
        <f>AVERAGE('29.07 Najjeera-Kiwatule'!L46,'02.08 Najjeera-Kiwatule'!L46,'30.07 Najjeera-Kiwatule'!L46,'31.07 Najjeera-Kiwatule'!L46,'01.08 Najjeera-Kiwatule-24h'!L46,'03.08 Najjeera-Kiwatule-24h'!L46,'04.08 Najjeera-Kiwatule'!L46)</f>
        <v>0.14285714285714285</v>
      </c>
      <c r="M46" s="49">
        <f>AVERAGE('29.07 Najjeera-Kiwatule'!M46,'02.08 Najjeera-Kiwatule'!M46,'30.07 Najjeera-Kiwatule'!M46,'31.07 Najjeera-Kiwatule'!M46,'01.08 Najjeera-Kiwatule-24h'!M46,'03.08 Najjeera-Kiwatule-24h'!M46,'04.08 Najjeera-Kiwatule'!M46)</f>
        <v>74.285714285714292</v>
      </c>
      <c r="N46" s="49">
        <f>AVERAGE('29.07 Najjeera-Kiwatule'!N46,'02.08 Najjeera-Kiwatule'!N46,'30.07 Najjeera-Kiwatule'!N46,'31.07 Najjeera-Kiwatule'!N46,'01.08 Najjeera-Kiwatule-24h'!N46,'03.08 Najjeera-Kiwatule-24h'!N46,'04.08 Najjeera-Kiwatule'!N46)</f>
        <v>0</v>
      </c>
      <c r="O46" s="15">
        <f t="shared" si="0"/>
        <v>96.428571428571445</v>
      </c>
      <c r="P46" s="15">
        <f t="shared" si="1"/>
        <v>170.71428571428572</v>
      </c>
      <c r="R46" s="8"/>
      <c r="T46"/>
    </row>
    <row r="47" spans="2:32" ht="23.1" customHeight="1">
      <c r="B47" s="24" t="s">
        <v>74</v>
      </c>
      <c r="C47" s="49">
        <f>AVERAGE('29.07 Najjeera-Kiwatule'!C47,'02.08 Najjeera-Kiwatule'!C47,'30.07 Najjeera-Kiwatule'!C47,'31.07 Najjeera-Kiwatule'!C47,'01.08 Najjeera-Kiwatule-24h'!C47,'03.08 Najjeera-Kiwatule-24h'!C47,'04.08 Najjeera-Kiwatule'!C47)</f>
        <v>70.285714285714292</v>
      </c>
      <c r="D47" s="49">
        <f>AVERAGE('29.07 Najjeera-Kiwatule'!D47,'02.08 Najjeera-Kiwatule'!D47,'30.07 Najjeera-Kiwatule'!D47,'31.07 Najjeera-Kiwatule'!D47,'01.08 Najjeera-Kiwatule-24h'!D47,'03.08 Najjeera-Kiwatule-24h'!D47,'04.08 Najjeera-Kiwatule'!D47)</f>
        <v>9.5714285714285712</v>
      </c>
      <c r="E47" s="49">
        <f>AVERAGE('29.07 Najjeera-Kiwatule'!E47,'02.08 Najjeera-Kiwatule'!E47,'30.07 Najjeera-Kiwatule'!E47,'31.07 Najjeera-Kiwatule'!E47,'01.08 Najjeera-Kiwatule-24h'!E47,'03.08 Najjeera-Kiwatule-24h'!E47,'04.08 Najjeera-Kiwatule'!E47)</f>
        <v>6.7142857142857144</v>
      </c>
      <c r="F47" s="49">
        <f>AVERAGE('29.07 Najjeera-Kiwatule'!F47,'02.08 Najjeera-Kiwatule'!F47,'30.07 Najjeera-Kiwatule'!F47,'31.07 Najjeera-Kiwatule'!F47,'01.08 Najjeera-Kiwatule-24h'!F47,'03.08 Najjeera-Kiwatule-24h'!F47,'04.08 Najjeera-Kiwatule'!F47)</f>
        <v>11.142857142857142</v>
      </c>
      <c r="G47" s="49">
        <f>AVERAGE('29.07 Najjeera-Kiwatule'!G47,'02.08 Najjeera-Kiwatule'!G47,'30.07 Najjeera-Kiwatule'!G47,'31.07 Najjeera-Kiwatule'!G47,'01.08 Najjeera-Kiwatule-24h'!G47,'03.08 Najjeera-Kiwatule-24h'!G47,'04.08 Najjeera-Kiwatule'!G47)</f>
        <v>0</v>
      </c>
      <c r="H47" s="49">
        <f>AVERAGE('29.07 Najjeera-Kiwatule'!H47,'02.08 Najjeera-Kiwatule'!H47,'30.07 Najjeera-Kiwatule'!H47,'31.07 Najjeera-Kiwatule'!H47,'01.08 Najjeera-Kiwatule-24h'!H47,'03.08 Najjeera-Kiwatule-24h'!H47,'04.08 Najjeera-Kiwatule'!H47)</f>
        <v>0.14285714285714285</v>
      </c>
      <c r="I47" s="49">
        <f>AVERAGE('29.07 Najjeera-Kiwatule'!I47,'02.08 Najjeera-Kiwatule'!I47,'30.07 Najjeera-Kiwatule'!I47,'31.07 Najjeera-Kiwatule'!I47,'01.08 Najjeera-Kiwatule-24h'!I47,'03.08 Najjeera-Kiwatule-24h'!I47,'04.08 Najjeera-Kiwatule'!I47)</f>
        <v>2.5714285714285716</v>
      </c>
      <c r="J47" s="49">
        <f>AVERAGE('29.07 Najjeera-Kiwatule'!J47,'02.08 Najjeera-Kiwatule'!J47,'30.07 Najjeera-Kiwatule'!J47,'31.07 Najjeera-Kiwatule'!J47,'01.08 Najjeera-Kiwatule-24h'!J47,'03.08 Najjeera-Kiwatule-24h'!J47,'04.08 Najjeera-Kiwatule'!J47)</f>
        <v>1.1428571428571428</v>
      </c>
      <c r="K47" s="49">
        <f>AVERAGE('29.07 Najjeera-Kiwatule'!K47,'02.08 Najjeera-Kiwatule'!K47,'30.07 Najjeera-Kiwatule'!K47,'31.07 Najjeera-Kiwatule'!K47,'01.08 Najjeera-Kiwatule-24h'!K47,'03.08 Najjeera-Kiwatule-24h'!K47,'04.08 Najjeera-Kiwatule'!K47)</f>
        <v>0.14285714285714285</v>
      </c>
      <c r="L47" s="49">
        <f>AVERAGE('29.07 Najjeera-Kiwatule'!L47,'02.08 Najjeera-Kiwatule'!L47,'30.07 Najjeera-Kiwatule'!L47,'31.07 Najjeera-Kiwatule'!L47,'01.08 Najjeera-Kiwatule-24h'!L47,'03.08 Najjeera-Kiwatule-24h'!L47,'04.08 Najjeera-Kiwatule'!L47)</f>
        <v>0</v>
      </c>
      <c r="M47" s="49">
        <f>AVERAGE('29.07 Najjeera-Kiwatule'!M47,'02.08 Najjeera-Kiwatule'!M47,'30.07 Najjeera-Kiwatule'!M47,'31.07 Najjeera-Kiwatule'!M47,'01.08 Najjeera-Kiwatule-24h'!M47,'03.08 Najjeera-Kiwatule-24h'!M47,'04.08 Najjeera-Kiwatule'!M47)</f>
        <v>63.714285714285715</v>
      </c>
      <c r="N47" s="49">
        <f>AVERAGE('29.07 Najjeera-Kiwatule'!N47,'02.08 Najjeera-Kiwatule'!N47,'30.07 Najjeera-Kiwatule'!N47,'31.07 Najjeera-Kiwatule'!N47,'01.08 Najjeera-Kiwatule-24h'!N47,'03.08 Najjeera-Kiwatule-24h'!N47,'04.08 Najjeera-Kiwatule'!N47)</f>
        <v>0</v>
      </c>
      <c r="O47" s="15">
        <f t="shared" si="0"/>
        <v>101.71428571428569</v>
      </c>
      <c r="P47" s="15">
        <f t="shared" si="1"/>
        <v>165.42857142857142</v>
      </c>
      <c r="R47" s="8"/>
      <c r="T47"/>
    </row>
    <row r="48" spans="2:32" ht="23.1" customHeight="1">
      <c r="B48" s="24" t="s">
        <v>75</v>
      </c>
      <c r="C48" s="49">
        <f>AVERAGE('29.07 Najjeera-Kiwatule'!C48,'02.08 Najjeera-Kiwatule'!C48,'30.07 Najjeera-Kiwatule'!C48,'31.07 Najjeera-Kiwatule'!C48,'01.08 Najjeera-Kiwatule-24h'!C48,'03.08 Najjeera-Kiwatule-24h'!C48,'04.08 Najjeera-Kiwatule'!C48)</f>
        <v>60.285714285714285</v>
      </c>
      <c r="D48" s="49">
        <f>AVERAGE('29.07 Najjeera-Kiwatule'!D48,'02.08 Najjeera-Kiwatule'!D48,'30.07 Najjeera-Kiwatule'!D48,'31.07 Najjeera-Kiwatule'!D48,'01.08 Najjeera-Kiwatule-24h'!D48,'03.08 Najjeera-Kiwatule-24h'!D48,'04.08 Najjeera-Kiwatule'!D48)</f>
        <v>7.1428571428571432</v>
      </c>
      <c r="E48" s="49">
        <f>AVERAGE('29.07 Najjeera-Kiwatule'!E48,'02.08 Najjeera-Kiwatule'!E48,'30.07 Najjeera-Kiwatule'!E48,'31.07 Najjeera-Kiwatule'!E48,'01.08 Najjeera-Kiwatule-24h'!E48,'03.08 Najjeera-Kiwatule-24h'!E48,'04.08 Najjeera-Kiwatule'!E48)</f>
        <v>8</v>
      </c>
      <c r="F48" s="49">
        <f>AVERAGE('29.07 Najjeera-Kiwatule'!F48,'02.08 Najjeera-Kiwatule'!F48,'30.07 Najjeera-Kiwatule'!F48,'31.07 Najjeera-Kiwatule'!F48,'01.08 Najjeera-Kiwatule-24h'!F48,'03.08 Najjeera-Kiwatule-24h'!F48,'04.08 Najjeera-Kiwatule'!F48)</f>
        <v>8.8571428571428577</v>
      </c>
      <c r="G48" s="49">
        <f>AVERAGE('29.07 Najjeera-Kiwatule'!G48,'02.08 Najjeera-Kiwatule'!G48,'30.07 Najjeera-Kiwatule'!G48,'31.07 Najjeera-Kiwatule'!G48,'01.08 Najjeera-Kiwatule-24h'!G48,'03.08 Najjeera-Kiwatule-24h'!G48,'04.08 Najjeera-Kiwatule'!G48)</f>
        <v>0.14285714285714285</v>
      </c>
      <c r="H48" s="49">
        <f>AVERAGE('29.07 Najjeera-Kiwatule'!H48,'02.08 Najjeera-Kiwatule'!H48,'30.07 Najjeera-Kiwatule'!H48,'31.07 Najjeera-Kiwatule'!H48,'01.08 Najjeera-Kiwatule-24h'!H48,'03.08 Najjeera-Kiwatule-24h'!H48,'04.08 Najjeera-Kiwatule'!H48)</f>
        <v>0</v>
      </c>
      <c r="I48" s="49">
        <f>AVERAGE('29.07 Najjeera-Kiwatule'!I48,'02.08 Najjeera-Kiwatule'!I48,'30.07 Najjeera-Kiwatule'!I48,'31.07 Najjeera-Kiwatule'!I48,'01.08 Najjeera-Kiwatule-24h'!I48,'03.08 Najjeera-Kiwatule-24h'!I48,'04.08 Najjeera-Kiwatule'!I48)</f>
        <v>4.8571428571428568</v>
      </c>
      <c r="J48" s="49">
        <f>AVERAGE('29.07 Najjeera-Kiwatule'!J48,'02.08 Najjeera-Kiwatule'!J48,'30.07 Najjeera-Kiwatule'!J48,'31.07 Najjeera-Kiwatule'!J48,'01.08 Najjeera-Kiwatule-24h'!J48,'03.08 Najjeera-Kiwatule-24h'!J48,'04.08 Najjeera-Kiwatule'!J48)</f>
        <v>1.2857142857142858</v>
      </c>
      <c r="K48" s="49">
        <f>AVERAGE('29.07 Najjeera-Kiwatule'!K48,'02.08 Najjeera-Kiwatule'!K48,'30.07 Najjeera-Kiwatule'!K48,'31.07 Najjeera-Kiwatule'!K48,'01.08 Najjeera-Kiwatule-24h'!K48,'03.08 Najjeera-Kiwatule-24h'!K48,'04.08 Najjeera-Kiwatule'!K48)</f>
        <v>0</v>
      </c>
      <c r="L48" s="49">
        <f>AVERAGE('29.07 Najjeera-Kiwatule'!L48,'02.08 Najjeera-Kiwatule'!L48,'30.07 Najjeera-Kiwatule'!L48,'31.07 Najjeera-Kiwatule'!L48,'01.08 Najjeera-Kiwatule-24h'!L48,'03.08 Najjeera-Kiwatule-24h'!L48,'04.08 Najjeera-Kiwatule'!L48)</f>
        <v>0.14285714285714285</v>
      </c>
      <c r="M48" s="49">
        <f>AVERAGE('29.07 Najjeera-Kiwatule'!M48,'02.08 Najjeera-Kiwatule'!M48,'30.07 Najjeera-Kiwatule'!M48,'31.07 Najjeera-Kiwatule'!M48,'01.08 Najjeera-Kiwatule-24h'!M48,'03.08 Najjeera-Kiwatule-24h'!M48,'04.08 Najjeera-Kiwatule'!M48)</f>
        <v>75.857142857142861</v>
      </c>
      <c r="N48" s="49">
        <f>AVERAGE('29.07 Najjeera-Kiwatule'!N48,'02.08 Najjeera-Kiwatule'!N48,'30.07 Najjeera-Kiwatule'!N48,'31.07 Najjeera-Kiwatule'!N48,'01.08 Najjeera-Kiwatule-24h'!N48,'03.08 Najjeera-Kiwatule-24h'!N48,'04.08 Najjeera-Kiwatule'!N48)</f>
        <v>0</v>
      </c>
      <c r="O48" s="15">
        <f t="shared" si="0"/>
        <v>90.714285714285722</v>
      </c>
      <c r="P48" s="15">
        <f t="shared" si="1"/>
        <v>166.57142857142858</v>
      </c>
      <c r="R48" s="8"/>
      <c r="T48"/>
    </row>
    <row r="49" spans="2:20" ht="23.1" customHeight="1">
      <c r="B49" s="23" t="s">
        <v>76</v>
      </c>
      <c r="C49" s="49">
        <f>AVERAGE('29.07 Najjeera-Kiwatule'!C49,'02.08 Najjeera-Kiwatule'!C49,'30.07 Najjeera-Kiwatule'!C49,'31.07 Najjeera-Kiwatule'!C49,'01.08 Najjeera-Kiwatule-24h'!C49,'03.08 Najjeera-Kiwatule-24h'!C49,'04.08 Najjeera-Kiwatule'!C49)</f>
        <v>58</v>
      </c>
      <c r="D49" s="49">
        <f>AVERAGE('29.07 Najjeera-Kiwatule'!D49,'02.08 Najjeera-Kiwatule'!D49,'30.07 Najjeera-Kiwatule'!D49,'31.07 Najjeera-Kiwatule'!D49,'01.08 Najjeera-Kiwatule-24h'!D49,'03.08 Najjeera-Kiwatule-24h'!D49,'04.08 Najjeera-Kiwatule'!D49)</f>
        <v>8.8571428571428577</v>
      </c>
      <c r="E49" s="49">
        <f>AVERAGE('29.07 Najjeera-Kiwatule'!E49,'02.08 Najjeera-Kiwatule'!E49,'30.07 Najjeera-Kiwatule'!E49,'31.07 Najjeera-Kiwatule'!E49,'01.08 Najjeera-Kiwatule-24h'!E49,'03.08 Najjeera-Kiwatule-24h'!E49,'04.08 Najjeera-Kiwatule'!E49)</f>
        <v>4.5714285714285712</v>
      </c>
      <c r="F49" s="49">
        <f>AVERAGE('29.07 Najjeera-Kiwatule'!F49,'02.08 Najjeera-Kiwatule'!F49,'30.07 Najjeera-Kiwatule'!F49,'31.07 Najjeera-Kiwatule'!F49,'01.08 Najjeera-Kiwatule-24h'!F49,'03.08 Najjeera-Kiwatule-24h'!F49,'04.08 Najjeera-Kiwatule'!F49)</f>
        <v>9.4285714285714288</v>
      </c>
      <c r="G49" s="49">
        <f>AVERAGE('29.07 Najjeera-Kiwatule'!G49,'02.08 Najjeera-Kiwatule'!G49,'30.07 Najjeera-Kiwatule'!G49,'31.07 Najjeera-Kiwatule'!G49,'01.08 Najjeera-Kiwatule-24h'!G49,'03.08 Najjeera-Kiwatule-24h'!G49,'04.08 Najjeera-Kiwatule'!G49)</f>
        <v>0.5714285714285714</v>
      </c>
      <c r="H49" s="49">
        <f>AVERAGE('29.07 Najjeera-Kiwatule'!H49,'02.08 Najjeera-Kiwatule'!H49,'30.07 Najjeera-Kiwatule'!H49,'31.07 Najjeera-Kiwatule'!H49,'01.08 Najjeera-Kiwatule-24h'!H49,'03.08 Najjeera-Kiwatule-24h'!H49,'04.08 Najjeera-Kiwatule'!H49)</f>
        <v>0.2857142857142857</v>
      </c>
      <c r="I49" s="49">
        <f>AVERAGE('29.07 Najjeera-Kiwatule'!I49,'02.08 Najjeera-Kiwatule'!I49,'30.07 Najjeera-Kiwatule'!I49,'31.07 Najjeera-Kiwatule'!I49,'01.08 Najjeera-Kiwatule-24h'!I49,'03.08 Najjeera-Kiwatule-24h'!I49,'04.08 Najjeera-Kiwatule'!I49)</f>
        <v>4.8571428571428568</v>
      </c>
      <c r="J49" s="49">
        <f>AVERAGE('29.07 Najjeera-Kiwatule'!J49,'02.08 Najjeera-Kiwatule'!J49,'30.07 Najjeera-Kiwatule'!J49,'31.07 Najjeera-Kiwatule'!J49,'01.08 Najjeera-Kiwatule-24h'!J49,'03.08 Najjeera-Kiwatule-24h'!J49,'04.08 Najjeera-Kiwatule'!J49)</f>
        <v>0.5714285714285714</v>
      </c>
      <c r="K49" s="49">
        <f>AVERAGE('29.07 Najjeera-Kiwatule'!K49,'02.08 Najjeera-Kiwatule'!K49,'30.07 Najjeera-Kiwatule'!K49,'31.07 Najjeera-Kiwatule'!K49,'01.08 Najjeera-Kiwatule-24h'!K49,'03.08 Najjeera-Kiwatule-24h'!K49,'04.08 Najjeera-Kiwatule'!K49)</f>
        <v>0.14285714285714285</v>
      </c>
      <c r="L49" s="49">
        <f>AVERAGE('29.07 Najjeera-Kiwatule'!L49,'02.08 Najjeera-Kiwatule'!L49,'30.07 Najjeera-Kiwatule'!L49,'31.07 Najjeera-Kiwatule'!L49,'01.08 Najjeera-Kiwatule-24h'!L49,'03.08 Najjeera-Kiwatule-24h'!L49,'04.08 Najjeera-Kiwatule'!L49)</f>
        <v>0.14285714285714285</v>
      </c>
      <c r="M49" s="49">
        <f>AVERAGE('29.07 Najjeera-Kiwatule'!M49,'02.08 Najjeera-Kiwatule'!M49,'30.07 Najjeera-Kiwatule'!M49,'31.07 Najjeera-Kiwatule'!M49,'01.08 Najjeera-Kiwatule-24h'!M49,'03.08 Najjeera-Kiwatule-24h'!M49,'04.08 Najjeera-Kiwatule'!M49)</f>
        <v>77.714285714285708</v>
      </c>
      <c r="N49" s="49">
        <f>AVERAGE('29.07 Najjeera-Kiwatule'!N49,'02.08 Najjeera-Kiwatule'!N49,'30.07 Najjeera-Kiwatule'!N49,'31.07 Najjeera-Kiwatule'!N49,'01.08 Najjeera-Kiwatule-24h'!N49,'03.08 Najjeera-Kiwatule-24h'!N49,'04.08 Najjeera-Kiwatule'!N49)</f>
        <v>0</v>
      </c>
      <c r="O49" s="15">
        <f t="shared" si="0"/>
        <v>87.428571428571431</v>
      </c>
      <c r="P49" s="15">
        <f t="shared" si="1"/>
        <v>165.14285714285714</v>
      </c>
      <c r="R49" s="8"/>
      <c r="T49"/>
    </row>
    <row r="50" spans="2:20" ht="23.1" customHeight="1">
      <c r="B50" s="24" t="s">
        <v>77</v>
      </c>
      <c r="C50" s="49">
        <f>AVERAGE('29.07 Najjeera-Kiwatule'!C50,'02.08 Najjeera-Kiwatule'!C50,'30.07 Najjeera-Kiwatule'!C50,'31.07 Najjeera-Kiwatule'!C50,'01.08 Najjeera-Kiwatule-24h'!C50,'03.08 Najjeera-Kiwatule-24h'!C50,'04.08 Najjeera-Kiwatule'!C50)</f>
        <v>69.714285714285708</v>
      </c>
      <c r="D50" s="49">
        <f>AVERAGE('29.07 Najjeera-Kiwatule'!D50,'02.08 Najjeera-Kiwatule'!D50,'30.07 Najjeera-Kiwatule'!D50,'31.07 Najjeera-Kiwatule'!D50,'01.08 Najjeera-Kiwatule-24h'!D50,'03.08 Najjeera-Kiwatule-24h'!D50,'04.08 Najjeera-Kiwatule'!D50)</f>
        <v>10.142857142857142</v>
      </c>
      <c r="E50" s="49">
        <f>AVERAGE('29.07 Najjeera-Kiwatule'!E50,'02.08 Najjeera-Kiwatule'!E50,'30.07 Najjeera-Kiwatule'!E50,'31.07 Najjeera-Kiwatule'!E50,'01.08 Najjeera-Kiwatule-24h'!E50,'03.08 Najjeera-Kiwatule-24h'!E50,'04.08 Najjeera-Kiwatule'!E50)</f>
        <v>7.4285714285714288</v>
      </c>
      <c r="F50" s="49">
        <f>AVERAGE('29.07 Najjeera-Kiwatule'!F50,'02.08 Najjeera-Kiwatule'!F50,'30.07 Najjeera-Kiwatule'!F50,'31.07 Najjeera-Kiwatule'!F50,'01.08 Najjeera-Kiwatule-24h'!F50,'03.08 Najjeera-Kiwatule-24h'!F50,'04.08 Najjeera-Kiwatule'!F50)</f>
        <v>10.571428571428571</v>
      </c>
      <c r="G50" s="49">
        <f>AVERAGE('29.07 Najjeera-Kiwatule'!G50,'02.08 Najjeera-Kiwatule'!G50,'30.07 Najjeera-Kiwatule'!G50,'31.07 Najjeera-Kiwatule'!G50,'01.08 Najjeera-Kiwatule-24h'!G50,'03.08 Najjeera-Kiwatule-24h'!G50,'04.08 Najjeera-Kiwatule'!G50)</f>
        <v>0.5714285714285714</v>
      </c>
      <c r="H50" s="49">
        <f>AVERAGE('29.07 Najjeera-Kiwatule'!H50,'02.08 Najjeera-Kiwatule'!H50,'30.07 Najjeera-Kiwatule'!H50,'31.07 Najjeera-Kiwatule'!H50,'01.08 Najjeera-Kiwatule-24h'!H50,'03.08 Najjeera-Kiwatule-24h'!H50,'04.08 Najjeera-Kiwatule'!H50)</f>
        <v>0.14285714285714285</v>
      </c>
      <c r="I50" s="49">
        <f>AVERAGE('29.07 Najjeera-Kiwatule'!I50,'02.08 Najjeera-Kiwatule'!I50,'30.07 Najjeera-Kiwatule'!I50,'31.07 Najjeera-Kiwatule'!I50,'01.08 Najjeera-Kiwatule-24h'!I50,'03.08 Najjeera-Kiwatule-24h'!I50,'04.08 Najjeera-Kiwatule'!I50)</f>
        <v>4.8571428571428568</v>
      </c>
      <c r="J50" s="49">
        <f>AVERAGE('29.07 Najjeera-Kiwatule'!J50,'02.08 Najjeera-Kiwatule'!J50,'30.07 Najjeera-Kiwatule'!J50,'31.07 Najjeera-Kiwatule'!J50,'01.08 Najjeera-Kiwatule-24h'!J50,'03.08 Najjeera-Kiwatule-24h'!J50,'04.08 Najjeera-Kiwatule'!J50)</f>
        <v>0.7142857142857143</v>
      </c>
      <c r="K50" s="49">
        <f>AVERAGE('29.07 Najjeera-Kiwatule'!K50,'02.08 Najjeera-Kiwatule'!K50,'30.07 Najjeera-Kiwatule'!K50,'31.07 Najjeera-Kiwatule'!K50,'01.08 Najjeera-Kiwatule-24h'!K50,'03.08 Najjeera-Kiwatule-24h'!K50,'04.08 Najjeera-Kiwatule'!K50)</f>
        <v>0.2857142857142857</v>
      </c>
      <c r="L50" s="49">
        <f>AVERAGE('29.07 Najjeera-Kiwatule'!L50,'02.08 Najjeera-Kiwatule'!L50,'30.07 Najjeera-Kiwatule'!L50,'31.07 Najjeera-Kiwatule'!L50,'01.08 Najjeera-Kiwatule-24h'!L50,'03.08 Najjeera-Kiwatule-24h'!L50,'04.08 Najjeera-Kiwatule'!L50)</f>
        <v>0.14285714285714285</v>
      </c>
      <c r="M50" s="49">
        <f>AVERAGE('29.07 Najjeera-Kiwatule'!M50,'02.08 Najjeera-Kiwatule'!M50,'30.07 Najjeera-Kiwatule'!M50,'31.07 Najjeera-Kiwatule'!M50,'01.08 Najjeera-Kiwatule-24h'!M50,'03.08 Najjeera-Kiwatule-24h'!M50,'04.08 Najjeera-Kiwatule'!M50)</f>
        <v>91.428571428571431</v>
      </c>
      <c r="N50" s="49">
        <f>AVERAGE('29.07 Najjeera-Kiwatule'!N50,'02.08 Najjeera-Kiwatule'!N50,'30.07 Najjeera-Kiwatule'!N50,'31.07 Najjeera-Kiwatule'!N50,'01.08 Najjeera-Kiwatule-24h'!N50,'03.08 Najjeera-Kiwatule-24h'!N50,'04.08 Najjeera-Kiwatule'!N50)</f>
        <v>0</v>
      </c>
      <c r="O50" s="15">
        <f t="shared" si="0"/>
        <v>104.57142857142856</v>
      </c>
      <c r="P50" s="15">
        <f t="shared" si="1"/>
        <v>196</v>
      </c>
      <c r="R50" s="8"/>
      <c r="T50"/>
    </row>
    <row r="51" spans="2:20" ht="23.1" customHeight="1">
      <c r="B51" s="24" t="s">
        <v>78</v>
      </c>
      <c r="C51" s="49">
        <f>AVERAGE('29.07 Najjeera-Kiwatule'!C51,'02.08 Najjeera-Kiwatule'!C51,'30.07 Najjeera-Kiwatule'!C51,'31.07 Najjeera-Kiwatule'!C51,'01.08 Najjeera-Kiwatule-24h'!C51,'03.08 Najjeera-Kiwatule-24h'!C51,'04.08 Najjeera-Kiwatule'!C51)</f>
        <v>74.428571428571431</v>
      </c>
      <c r="D51" s="49">
        <f>AVERAGE('29.07 Najjeera-Kiwatule'!D51,'02.08 Najjeera-Kiwatule'!D51,'30.07 Najjeera-Kiwatule'!D51,'31.07 Najjeera-Kiwatule'!D51,'01.08 Najjeera-Kiwatule-24h'!D51,'03.08 Najjeera-Kiwatule-24h'!D51,'04.08 Najjeera-Kiwatule'!D51)</f>
        <v>10.428571428571429</v>
      </c>
      <c r="E51" s="49">
        <f>AVERAGE('29.07 Najjeera-Kiwatule'!E51,'02.08 Najjeera-Kiwatule'!E51,'30.07 Najjeera-Kiwatule'!E51,'31.07 Najjeera-Kiwatule'!E51,'01.08 Najjeera-Kiwatule-24h'!E51,'03.08 Najjeera-Kiwatule-24h'!E51,'04.08 Najjeera-Kiwatule'!E51)</f>
        <v>7</v>
      </c>
      <c r="F51" s="49">
        <f>AVERAGE('29.07 Najjeera-Kiwatule'!F51,'02.08 Najjeera-Kiwatule'!F51,'30.07 Najjeera-Kiwatule'!F51,'31.07 Najjeera-Kiwatule'!F51,'01.08 Najjeera-Kiwatule-24h'!F51,'03.08 Najjeera-Kiwatule-24h'!F51,'04.08 Najjeera-Kiwatule'!F51)</f>
        <v>12.857142857142858</v>
      </c>
      <c r="G51" s="49">
        <f>AVERAGE('29.07 Najjeera-Kiwatule'!G51,'02.08 Najjeera-Kiwatule'!G51,'30.07 Najjeera-Kiwatule'!G51,'31.07 Najjeera-Kiwatule'!G51,'01.08 Najjeera-Kiwatule-24h'!G51,'03.08 Najjeera-Kiwatule-24h'!G51,'04.08 Najjeera-Kiwatule'!G51)</f>
        <v>1.4285714285714286</v>
      </c>
      <c r="H51" s="49">
        <f>AVERAGE('29.07 Najjeera-Kiwatule'!H51,'02.08 Najjeera-Kiwatule'!H51,'30.07 Najjeera-Kiwatule'!H51,'31.07 Najjeera-Kiwatule'!H51,'01.08 Najjeera-Kiwatule-24h'!H51,'03.08 Najjeera-Kiwatule-24h'!H51,'04.08 Najjeera-Kiwatule'!H51)</f>
        <v>0</v>
      </c>
      <c r="I51" s="49">
        <f>AVERAGE('29.07 Najjeera-Kiwatule'!I51,'02.08 Najjeera-Kiwatule'!I51,'30.07 Najjeera-Kiwatule'!I51,'31.07 Najjeera-Kiwatule'!I51,'01.08 Najjeera-Kiwatule-24h'!I51,'03.08 Najjeera-Kiwatule-24h'!I51,'04.08 Najjeera-Kiwatule'!I51)</f>
        <v>5.2857142857142856</v>
      </c>
      <c r="J51" s="49">
        <f>AVERAGE('29.07 Najjeera-Kiwatule'!J51,'02.08 Najjeera-Kiwatule'!J51,'30.07 Najjeera-Kiwatule'!J51,'31.07 Najjeera-Kiwatule'!J51,'01.08 Najjeera-Kiwatule-24h'!J51,'03.08 Najjeera-Kiwatule-24h'!J51,'04.08 Najjeera-Kiwatule'!J51)</f>
        <v>0.7142857142857143</v>
      </c>
      <c r="K51" s="49">
        <f>AVERAGE('29.07 Najjeera-Kiwatule'!K51,'02.08 Najjeera-Kiwatule'!K51,'30.07 Najjeera-Kiwatule'!K51,'31.07 Najjeera-Kiwatule'!K51,'01.08 Najjeera-Kiwatule-24h'!K51,'03.08 Najjeera-Kiwatule-24h'!K51,'04.08 Najjeera-Kiwatule'!K51)</f>
        <v>0.8571428571428571</v>
      </c>
      <c r="L51" s="49">
        <f>AVERAGE('29.07 Najjeera-Kiwatule'!L51,'02.08 Najjeera-Kiwatule'!L51,'30.07 Najjeera-Kiwatule'!L51,'31.07 Najjeera-Kiwatule'!L51,'01.08 Najjeera-Kiwatule-24h'!L51,'03.08 Najjeera-Kiwatule-24h'!L51,'04.08 Najjeera-Kiwatule'!L51)</f>
        <v>0</v>
      </c>
      <c r="M51" s="49">
        <f>AVERAGE('29.07 Najjeera-Kiwatule'!M51,'02.08 Najjeera-Kiwatule'!M51,'30.07 Najjeera-Kiwatule'!M51,'31.07 Najjeera-Kiwatule'!M51,'01.08 Najjeera-Kiwatule-24h'!M51,'03.08 Najjeera-Kiwatule-24h'!M51,'04.08 Najjeera-Kiwatule'!M51)</f>
        <v>87</v>
      </c>
      <c r="N51" s="49">
        <f>AVERAGE('29.07 Najjeera-Kiwatule'!N51,'02.08 Najjeera-Kiwatule'!N51,'30.07 Najjeera-Kiwatule'!N51,'31.07 Najjeera-Kiwatule'!N51,'01.08 Najjeera-Kiwatule-24h'!N51,'03.08 Najjeera-Kiwatule-24h'!N51,'04.08 Najjeera-Kiwatule'!N51)</f>
        <v>0</v>
      </c>
      <c r="O51" s="15">
        <f t="shared" si="0"/>
        <v>113.00000000000001</v>
      </c>
      <c r="P51" s="15">
        <f t="shared" si="1"/>
        <v>200</v>
      </c>
      <c r="R51" s="8"/>
      <c r="T51"/>
    </row>
    <row r="52" spans="2:20" ht="23.1" customHeight="1">
      <c r="B52" s="24" t="s">
        <v>79</v>
      </c>
      <c r="C52" s="49">
        <f>AVERAGE('29.07 Najjeera-Kiwatule'!C52,'02.08 Najjeera-Kiwatule'!C52,'30.07 Najjeera-Kiwatule'!C52,'31.07 Najjeera-Kiwatule'!C52,'01.08 Najjeera-Kiwatule-24h'!C52,'03.08 Najjeera-Kiwatule-24h'!C52,'04.08 Najjeera-Kiwatule'!C52)</f>
        <v>64.714285714285708</v>
      </c>
      <c r="D52" s="49">
        <f>AVERAGE('29.07 Najjeera-Kiwatule'!D52,'02.08 Najjeera-Kiwatule'!D52,'30.07 Najjeera-Kiwatule'!D52,'31.07 Najjeera-Kiwatule'!D52,'01.08 Najjeera-Kiwatule-24h'!D52,'03.08 Najjeera-Kiwatule-24h'!D52,'04.08 Najjeera-Kiwatule'!D52)</f>
        <v>7.8571428571428568</v>
      </c>
      <c r="E52" s="49">
        <f>AVERAGE('29.07 Najjeera-Kiwatule'!E52,'02.08 Najjeera-Kiwatule'!E52,'30.07 Najjeera-Kiwatule'!E52,'31.07 Najjeera-Kiwatule'!E52,'01.08 Najjeera-Kiwatule-24h'!E52,'03.08 Najjeera-Kiwatule-24h'!E52,'04.08 Najjeera-Kiwatule'!E52)</f>
        <v>6.7142857142857144</v>
      </c>
      <c r="F52" s="49">
        <f>AVERAGE('29.07 Najjeera-Kiwatule'!F52,'02.08 Najjeera-Kiwatule'!F52,'30.07 Najjeera-Kiwatule'!F52,'31.07 Najjeera-Kiwatule'!F52,'01.08 Najjeera-Kiwatule-24h'!F52,'03.08 Najjeera-Kiwatule-24h'!F52,'04.08 Najjeera-Kiwatule'!F52)</f>
        <v>13.142857142857142</v>
      </c>
      <c r="G52" s="49">
        <f>AVERAGE('29.07 Najjeera-Kiwatule'!G52,'02.08 Najjeera-Kiwatule'!G52,'30.07 Najjeera-Kiwatule'!G52,'31.07 Najjeera-Kiwatule'!G52,'01.08 Najjeera-Kiwatule-24h'!G52,'03.08 Najjeera-Kiwatule-24h'!G52,'04.08 Najjeera-Kiwatule'!G52)</f>
        <v>0.7142857142857143</v>
      </c>
      <c r="H52" s="49">
        <f>AVERAGE('29.07 Najjeera-Kiwatule'!H52,'02.08 Najjeera-Kiwatule'!H52,'30.07 Najjeera-Kiwatule'!H52,'31.07 Najjeera-Kiwatule'!H52,'01.08 Najjeera-Kiwatule-24h'!H52,'03.08 Najjeera-Kiwatule-24h'!H52,'04.08 Najjeera-Kiwatule'!H52)</f>
        <v>0</v>
      </c>
      <c r="I52" s="49">
        <f>AVERAGE('29.07 Najjeera-Kiwatule'!I52,'02.08 Najjeera-Kiwatule'!I52,'30.07 Najjeera-Kiwatule'!I52,'31.07 Najjeera-Kiwatule'!I52,'01.08 Najjeera-Kiwatule-24h'!I52,'03.08 Najjeera-Kiwatule-24h'!I52,'04.08 Najjeera-Kiwatule'!I52)</f>
        <v>3.4285714285714284</v>
      </c>
      <c r="J52" s="49">
        <f>AVERAGE('29.07 Najjeera-Kiwatule'!J52,'02.08 Najjeera-Kiwatule'!J52,'30.07 Najjeera-Kiwatule'!J52,'31.07 Najjeera-Kiwatule'!J52,'01.08 Najjeera-Kiwatule-24h'!J52,'03.08 Najjeera-Kiwatule-24h'!J52,'04.08 Najjeera-Kiwatule'!J52)</f>
        <v>0.14285714285714285</v>
      </c>
      <c r="K52" s="49">
        <f>AVERAGE('29.07 Najjeera-Kiwatule'!K52,'02.08 Najjeera-Kiwatule'!K52,'30.07 Najjeera-Kiwatule'!K52,'31.07 Najjeera-Kiwatule'!K52,'01.08 Najjeera-Kiwatule-24h'!K52,'03.08 Najjeera-Kiwatule-24h'!K52,'04.08 Najjeera-Kiwatule'!K52)</f>
        <v>0.42857142857142855</v>
      </c>
      <c r="L52" s="49">
        <f>AVERAGE('29.07 Najjeera-Kiwatule'!L52,'02.08 Najjeera-Kiwatule'!L52,'30.07 Najjeera-Kiwatule'!L52,'31.07 Najjeera-Kiwatule'!L52,'01.08 Najjeera-Kiwatule-24h'!L52,'03.08 Najjeera-Kiwatule-24h'!L52,'04.08 Najjeera-Kiwatule'!L52)</f>
        <v>0</v>
      </c>
      <c r="M52" s="49">
        <f>AVERAGE('29.07 Najjeera-Kiwatule'!M52,'02.08 Najjeera-Kiwatule'!M52,'30.07 Najjeera-Kiwatule'!M52,'31.07 Najjeera-Kiwatule'!M52,'01.08 Najjeera-Kiwatule-24h'!M52,'03.08 Najjeera-Kiwatule-24h'!M52,'04.08 Najjeera-Kiwatule'!M52)</f>
        <v>87.571428571428569</v>
      </c>
      <c r="N52" s="49">
        <f>AVERAGE('29.07 Najjeera-Kiwatule'!N52,'02.08 Najjeera-Kiwatule'!N52,'30.07 Najjeera-Kiwatule'!N52,'31.07 Najjeera-Kiwatule'!N52,'01.08 Najjeera-Kiwatule-24h'!N52,'03.08 Najjeera-Kiwatule-24h'!N52,'04.08 Najjeera-Kiwatule'!N52)</f>
        <v>0</v>
      </c>
      <c r="O52" s="15">
        <f t="shared" si="0"/>
        <v>97.142857142857125</v>
      </c>
      <c r="P52" s="15">
        <f t="shared" si="1"/>
        <v>184.71428571428569</v>
      </c>
      <c r="R52" s="8"/>
      <c r="T52"/>
    </row>
    <row r="53" spans="2:20" ht="23.1" customHeight="1">
      <c r="B53" s="23" t="s">
        <v>80</v>
      </c>
      <c r="C53" s="49">
        <f>AVERAGE('29.07 Najjeera-Kiwatule'!C53,'02.08 Najjeera-Kiwatule'!C53,'30.07 Najjeera-Kiwatule'!C53,'31.07 Najjeera-Kiwatule'!C53,'01.08 Najjeera-Kiwatule-24h'!C53,'03.08 Najjeera-Kiwatule-24h'!C53,'04.08 Najjeera-Kiwatule'!C53)</f>
        <v>42</v>
      </c>
      <c r="D53" s="49">
        <f>AVERAGE('29.07 Najjeera-Kiwatule'!D53,'02.08 Najjeera-Kiwatule'!D53,'30.07 Najjeera-Kiwatule'!D53,'31.07 Najjeera-Kiwatule'!D53,'01.08 Najjeera-Kiwatule-24h'!D53,'03.08 Najjeera-Kiwatule-24h'!D53,'04.08 Najjeera-Kiwatule'!D53)</f>
        <v>7.4285714285714288</v>
      </c>
      <c r="E53" s="49">
        <f>AVERAGE('29.07 Najjeera-Kiwatule'!E53,'02.08 Najjeera-Kiwatule'!E53,'30.07 Najjeera-Kiwatule'!E53,'31.07 Najjeera-Kiwatule'!E53,'01.08 Najjeera-Kiwatule-24h'!E53,'03.08 Najjeera-Kiwatule-24h'!E53,'04.08 Najjeera-Kiwatule'!E53)</f>
        <v>6</v>
      </c>
      <c r="F53" s="49">
        <f>AVERAGE('29.07 Najjeera-Kiwatule'!F53,'02.08 Najjeera-Kiwatule'!F53,'30.07 Najjeera-Kiwatule'!F53,'31.07 Najjeera-Kiwatule'!F53,'01.08 Najjeera-Kiwatule-24h'!F53,'03.08 Najjeera-Kiwatule-24h'!F53,'04.08 Najjeera-Kiwatule'!F53)</f>
        <v>10.428571428571429</v>
      </c>
      <c r="G53" s="49">
        <f>AVERAGE('29.07 Najjeera-Kiwatule'!G53,'02.08 Najjeera-Kiwatule'!G53,'30.07 Najjeera-Kiwatule'!G53,'31.07 Najjeera-Kiwatule'!G53,'01.08 Najjeera-Kiwatule-24h'!G53,'03.08 Najjeera-Kiwatule-24h'!G53,'04.08 Najjeera-Kiwatule'!G53)</f>
        <v>1</v>
      </c>
      <c r="H53" s="49">
        <f>AVERAGE('29.07 Najjeera-Kiwatule'!H53,'02.08 Najjeera-Kiwatule'!H53,'30.07 Najjeera-Kiwatule'!H53,'31.07 Najjeera-Kiwatule'!H53,'01.08 Najjeera-Kiwatule-24h'!H53,'03.08 Najjeera-Kiwatule-24h'!H53,'04.08 Najjeera-Kiwatule'!H53)</f>
        <v>0</v>
      </c>
      <c r="I53" s="49">
        <f>AVERAGE('29.07 Najjeera-Kiwatule'!I53,'02.08 Najjeera-Kiwatule'!I53,'30.07 Najjeera-Kiwatule'!I53,'31.07 Najjeera-Kiwatule'!I53,'01.08 Najjeera-Kiwatule-24h'!I53,'03.08 Najjeera-Kiwatule-24h'!I53,'04.08 Najjeera-Kiwatule'!I53)</f>
        <v>3</v>
      </c>
      <c r="J53" s="49">
        <f>AVERAGE('29.07 Najjeera-Kiwatule'!J53,'02.08 Najjeera-Kiwatule'!J53,'30.07 Najjeera-Kiwatule'!J53,'31.07 Najjeera-Kiwatule'!J53,'01.08 Najjeera-Kiwatule-24h'!J53,'03.08 Najjeera-Kiwatule-24h'!J53,'04.08 Najjeera-Kiwatule'!J53)</f>
        <v>0.14285714285714285</v>
      </c>
      <c r="K53" s="49">
        <f>AVERAGE('29.07 Najjeera-Kiwatule'!K53,'02.08 Najjeera-Kiwatule'!K53,'30.07 Najjeera-Kiwatule'!K53,'31.07 Najjeera-Kiwatule'!K53,'01.08 Najjeera-Kiwatule-24h'!K53,'03.08 Najjeera-Kiwatule-24h'!K53,'04.08 Najjeera-Kiwatule'!K53)</f>
        <v>0.42857142857142855</v>
      </c>
      <c r="L53" s="49">
        <f>AVERAGE('29.07 Najjeera-Kiwatule'!L53,'02.08 Najjeera-Kiwatule'!L53,'30.07 Najjeera-Kiwatule'!L53,'31.07 Najjeera-Kiwatule'!L53,'01.08 Najjeera-Kiwatule-24h'!L53,'03.08 Najjeera-Kiwatule-24h'!L53,'04.08 Najjeera-Kiwatule'!L53)</f>
        <v>0</v>
      </c>
      <c r="M53" s="49">
        <f>AVERAGE('29.07 Najjeera-Kiwatule'!M53,'02.08 Najjeera-Kiwatule'!M53,'30.07 Najjeera-Kiwatule'!M53,'31.07 Najjeera-Kiwatule'!M53,'01.08 Najjeera-Kiwatule-24h'!M53,'03.08 Najjeera-Kiwatule-24h'!M53,'04.08 Najjeera-Kiwatule'!M53)</f>
        <v>92.285714285714292</v>
      </c>
      <c r="N53" s="49">
        <f>AVERAGE('29.07 Najjeera-Kiwatule'!N53,'02.08 Najjeera-Kiwatule'!N53,'30.07 Najjeera-Kiwatule'!N53,'31.07 Najjeera-Kiwatule'!N53,'01.08 Najjeera-Kiwatule-24h'!N53,'03.08 Najjeera-Kiwatule-24h'!N53,'04.08 Najjeera-Kiwatule'!N53)</f>
        <v>0</v>
      </c>
      <c r="O53" s="15">
        <f t="shared" si="0"/>
        <v>70.428571428571431</v>
      </c>
      <c r="P53" s="15">
        <f t="shared" si="1"/>
        <v>162.71428571428572</v>
      </c>
      <c r="R53" s="8"/>
      <c r="T53"/>
    </row>
    <row r="54" spans="2:20" ht="23.1" customHeight="1">
      <c r="B54" s="23" t="s">
        <v>81</v>
      </c>
      <c r="C54" s="49">
        <f>AVERAGE('29.07 Najjeera-Kiwatule'!C54,'02.08 Najjeera-Kiwatule'!C54,'30.07 Najjeera-Kiwatule'!C54,'31.07 Najjeera-Kiwatule'!C54,'01.08 Najjeera-Kiwatule-24h'!C54,'03.08 Najjeera-Kiwatule-24h'!C54,'04.08 Najjeera-Kiwatule'!C54)</f>
        <v>61.285714285714285</v>
      </c>
      <c r="D54" s="49">
        <f>AVERAGE('29.07 Najjeera-Kiwatule'!D54,'02.08 Najjeera-Kiwatule'!D54,'30.07 Najjeera-Kiwatule'!D54,'31.07 Najjeera-Kiwatule'!D54,'01.08 Najjeera-Kiwatule-24h'!D54,'03.08 Najjeera-Kiwatule-24h'!D54,'04.08 Najjeera-Kiwatule'!D54)</f>
        <v>8.8571428571428577</v>
      </c>
      <c r="E54" s="49">
        <f>AVERAGE('29.07 Najjeera-Kiwatule'!E54,'02.08 Najjeera-Kiwatule'!E54,'30.07 Najjeera-Kiwatule'!E54,'31.07 Najjeera-Kiwatule'!E54,'01.08 Najjeera-Kiwatule-24h'!E54,'03.08 Najjeera-Kiwatule-24h'!E54,'04.08 Najjeera-Kiwatule'!E54)</f>
        <v>3.4285714285714284</v>
      </c>
      <c r="F54" s="49">
        <f>AVERAGE('29.07 Najjeera-Kiwatule'!F54,'02.08 Najjeera-Kiwatule'!F54,'30.07 Najjeera-Kiwatule'!F54,'31.07 Najjeera-Kiwatule'!F54,'01.08 Najjeera-Kiwatule-24h'!F54,'03.08 Najjeera-Kiwatule-24h'!F54,'04.08 Najjeera-Kiwatule'!F54)</f>
        <v>10.857142857142858</v>
      </c>
      <c r="G54" s="49">
        <f>AVERAGE('29.07 Najjeera-Kiwatule'!G54,'02.08 Najjeera-Kiwatule'!G54,'30.07 Najjeera-Kiwatule'!G54,'31.07 Najjeera-Kiwatule'!G54,'01.08 Najjeera-Kiwatule-24h'!G54,'03.08 Najjeera-Kiwatule-24h'!G54,'04.08 Najjeera-Kiwatule'!G54)</f>
        <v>0.7142857142857143</v>
      </c>
      <c r="H54" s="49">
        <f>AVERAGE('29.07 Najjeera-Kiwatule'!H54,'02.08 Najjeera-Kiwatule'!H54,'30.07 Najjeera-Kiwatule'!H54,'31.07 Najjeera-Kiwatule'!H54,'01.08 Najjeera-Kiwatule-24h'!H54,'03.08 Najjeera-Kiwatule-24h'!H54,'04.08 Najjeera-Kiwatule'!H54)</f>
        <v>0</v>
      </c>
      <c r="I54" s="49">
        <f>AVERAGE('29.07 Najjeera-Kiwatule'!I54,'02.08 Najjeera-Kiwatule'!I54,'30.07 Najjeera-Kiwatule'!I54,'31.07 Najjeera-Kiwatule'!I54,'01.08 Najjeera-Kiwatule-24h'!I54,'03.08 Najjeera-Kiwatule-24h'!I54,'04.08 Najjeera-Kiwatule'!I54)</f>
        <v>2</v>
      </c>
      <c r="J54" s="49">
        <f>AVERAGE('29.07 Najjeera-Kiwatule'!J54,'02.08 Najjeera-Kiwatule'!J54,'30.07 Najjeera-Kiwatule'!J54,'31.07 Najjeera-Kiwatule'!J54,'01.08 Najjeera-Kiwatule-24h'!J54,'03.08 Najjeera-Kiwatule-24h'!J54,'04.08 Najjeera-Kiwatule'!J54)</f>
        <v>0.14285714285714285</v>
      </c>
      <c r="K54" s="49">
        <f>AVERAGE('29.07 Najjeera-Kiwatule'!K54,'02.08 Najjeera-Kiwatule'!K54,'30.07 Najjeera-Kiwatule'!K54,'31.07 Najjeera-Kiwatule'!K54,'01.08 Najjeera-Kiwatule-24h'!K54,'03.08 Najjeera-Kiwatule-24h'!K54,'04.08 Najjeera-Kiwatule'!K54)</f>
        <v>0.2857142857142857</v>
      </c>
      <c r="L54" s="49">
        <f>AVERAGE('29.07 Najjeera-Kiwatule'!L54,'02.08 Najjeera-Kiwatule'!L54,'30.07 Najjeera-Kiwatule'!L54,'31.07 Najjeera-Kiwatule'!L54,'01.08 Najjeera-Kiwatule-24h'!L54,'03.08 Najjeera-Kiwatule-24h'!L54,'04.08 Najjeera-Kiwatule'!L54)</f>
        <v>0</v>
      </c>
      <c r="M54" s="49">
        <f>AVERAGE('29.07 Najjeera-Kiwatule'!M54,'02.08 Najjeera-Kiwatule'!M54,'30.07 Najjeera-Kiwatule'!M54,'31.07 Najjeera-Kiwatule'!M54,'01.08 Najjeera-Kiwatule-24h'!M54,'03.08 Najjeera-Kiwatule-24h'!M54,'04.08 Najjeera-Kiwatule'!M54)</f>
        <v>86.714285714285708</v>
      </c>
      <c r="N54" s="49">
        <f>AVERAGE('29.07 Najjeera-Kiwatule'!N54,'02.08 Najjeera-Kiwatule'!N54,'30.07 Najjeera-Kiwatule'!N54,'31.07 Najjeera-Kiwatule'!N54,'01.08 Najjeera-Kiwatule-24h'!N54,'03.08 Najjeera-Kiwatule-24h'!N54,'04.08 Najjeera-Kiwatule'!N54)</f>
        <v>0</v>
      </c>
      <c r="O54" s="15">
        <f t="shared" si="0"/>
        <v>87.571428571428569</v>
      </c>
      <c r="P54" s="15">
        <f t="shared" si="1"/>
        <v>174.28571428571428</v>
      </c>
      <c r="R54" s="8"/>
      <c r="T54"/>
    </row>
    <row r="55" spans="2:20" ht="23.1" customHeight="1">
      <c r="B55" s="23" t="s">
        <v>82</v>
      </c>
      <c r="C55" s="49">
        <f>AVERAGE('29.07 Najjeera-Kiwatule'!C55,'02.08 Najjeera-Kiwatule'!C55,'30.07 Najjeera-Kiwatule'!C55,'31.07 Najjeera-Kiwatule'!C55,'01.08 Najjeera-Kiwatule-24h'!C55,'03.08 Najjeera-Kiwatule-24h'!C55,'04.08 Najjeera-Kiwatule'!C55)</f>
        <v>54.428571428571431</v>
      </c>
      <c r="D55" s="49">
        <f>AVERAGE('29.07 Najjeera-Kiwatule'!D55,'02.08 Najjeera-Kiwatule'!D55,'30.07 Najjeera-Kiwatule'!D55,'31.07 Najjeera-Kiwatule'!D55,'01.08 Najjeera-Kiwatule-24h'!D55,'03.08 Najjeera-Kiwatule-24h'!D55,'04.08 Najjeera-Kiwatule'!D55)</f>
        <v>5.7142857142857144</v>
      </c>
      <c r="E55" s="49">
        <f>AVERAGE('29.07 Najjeera-Kiwatule'!E55,'02.08 Najjeera-Kiwatule'!E55,'30.07 Najjeera-Kiwatule'!E55,'31.07 Najjeera-Kiwatule'!E55,'01.08 Najjeera-Kiwatule-24h'!E55,'03.08 Najjeera-Kiwatule-24h'!E55,'04.08 Najjeera-Kiwatule'!E55)</f>
        <v>5.8571428571428568</v>
      </c>
      <c r="F55" s="49">
        <f>AVERAGE('29.07 Najjeera-Kiwatule'!F55,'02.08 Najjeera-Kiwatule'!F55,'30.07 Najjeera-Kiwatule'!F55,'31.07 Najjeera-Kiwatule'!F55,'01.08 Najjeera-Kiwatule-24h'!F55,'03.08 Najjeera-Kiwatule-24h'!F55,'04.08 Najjeera-Kiwatule'!F55)</f>
        <v>12.142857142857142</v>
      </c>
      <c r="G55" s="49">
        <f>AVERAGE('29.07 Najjeera-Kiwatule'!G55,'02.08 Najjeera-Kiwatule'!G55,'30.07 Najjeera-Kiwatule'!G55,'31.07 Najjeera-Kiwatule'!G55,'01.08 Najjeera-Kiwatule-24h'!G55,'03.08 Najjeera-Kiwatule-24h'!G55,'04.08 Najjeera-Kiwatule'!G55)</f>
        <v>0</v>
      </c>
      <c r="H55" s="49">
        <f>AVERAGE('29.07 Najjeera-Kiwatule'!H55,'02.08 Najjeera-Kiwatule'!H55,'30.07 Najjeera-Kiwatule'!H55,'31.07 Najjeera-Kiwatule'!H55,'01.08 Najjeera-Kiwatule-24h'!H55,'03.08 Najjeera-Kiwatule-24h'!H55,'04.08 Najjeera-Kiwatule'!H55)</f>
        <v>0</v>
      </c>
      <c r="I55" s="49">
        <f>AVERAGE('29.07 Najjeera-Kiwatule'!I55,'02.08 Najjeera-Kiwatule'!I55,'30.07 Najjeera-Kiwatule'!I55,'31.07 Najjeera-Kiwatule'!I55,'01.08 Najjeera-Kiwatule-24h'!I55,'03.08 Najjeera-Kiwatule-24h'!I55,'04.08 Najjeera-Kiwatule'!I55)</f>
        <v>3.8571428571428572</v>
      </c>
      <c r="J55" s="49">
        <f>AVERAGE('29.07 Najjeera-Kiwatule'!J55,'02.08 Najjeera-Kiwatule'!J55,'30.07 Najjeera-Kiwatule'!J55,'31.07 Najjeera-Kiwatule'!J55,'01.08 Najjeera-Kiwatule-24h'!J55,'03.08 Najjeera-Kiwatule-24h'!J55,'04.08 Najjeera-Kiwatule'!J55)</f>
        <v>1</v>
      </c>
      <c r="K55" s="49">
        <f>AVERAGE('29.07 Najjeera-Kiwatule'!K55,'02.08 Najjeera-Kiwatule'!K55,'30.07 Najjeera-Kiwatule'!K55,'31.07 Najjeera-Kiwatule'!K55,'01.08 Najjeera-Kiwatule-24h'!K55,'03.08 Najjeera-Kiwatule-24h'!K55,'04.08 Najjeera-Kiwatule'!K55)</f>
        <v>0.14285714285714285</v>
      </c>
      <c r="L55" s="49">
        <f>AVERAGE('29.07 Najjeera-Kiwatule'!L55,'02.08 Najjeera-Kiwatule'!L55,'30.07 Najjeera-Kiwatule'!L55,'31.07 Najjeera-Kiwatule'!L55,'01.08 Najjeera-Kiwatule-24h'!L55,'03.08 Najjeera-Kiwatule-24h'!L55,'04.08 Najjeera-Kiwatule'!L55)</f>
        <v>0</v>
      </c>
      <c r="M55" s="49">
        <f>AVERAGE('29.07 Najjeera-Kiwatule'!M55,'02.08 Najjeera-Kiwatule'!M55,'30.07 Najjeera-Kiwatule'!M55,'31.07 Najjeera-Kiwatule'!M55,'01.08 Najjeera-Kiwatule-24h'!M55,'03.08 Najjeera-Kiwatule-24h'!M55,'04.08 Najjeera-Kiwatule'!M55)</f>
        <v>89.142857142857139</v>
      </c>
      <c r="N55" s="49">
        <f>AVERAGE('29.07 Najjeera-Kiwatule'!N55,'02.08 Najjeera-Kiwatule'!N55,'30.07 Najjeera-Kiwatule'!N55,'31.07 Najjeera-Kiwatule'!N55,'01.08 Najjeera-Kiwatule-24h'!N55,'03.08 Najjeera-Kiwatule-24h'!N55,'04.08 Najjeera-Kiwatule'!N55)</f>
        <v>0</v>
      </c>
      <c r="O55" s="15">
        <f t="shared" si="0"/>
        <v>83.142857142857139</v>
      </c>
      <c r="P55" s="15">
        <f t="shared" si="1"/>
        <v>172.28571428571428</v>
      </c>
      <c r="R55" s="8"/>
      <c r="T55"/>
    </row>
    <row r="56" spans="2:20" ht="23.1" customHeight="1">
      <c r="B56" s="23" t="s">
        <v>83</v>
      </c>
      <c r="C56" s="49">
        <f>AVERAGE('29.07 Najjeera-Kiwatule'!C56,'02.08 Najjeera-Kiwatule'!C56,'30.07 Najjeera-Kiwatule'!C56,'31.07 Najjeera-Kiwatule'!C56,'01.08 Najjeera-Kiwatule-24h'!C56,'03.08 Najjeera-Kiwatule-24h'!C56,'04.08 Najjeera-Kiwatule'!C56)</f>
        <v>55.142857142857146</v>
      </c>
      <c r="D56" s="49">
        <f>AVERAGE('29.07 Najjeera-Kiwatule'!D56,'02.08 Najjeera-Kiwatule'!D56,'30.07 Najjeera-Kiwatule'!D56,'31.07 Najjeera-Kiwatule'!D56,'01.08 Najjeera-Kiwatule-24h'!D56,'03.08 Najjeera-Kiwatule-24h'!D56,'04.08 Najjeera-Kiwatule'!D56)</f>
        <v>6.2857142857142856</v>
      </c>
      <c r="E56" s="49">
        <f>AVERAGE('29.07 Najjeera-Kiwatule'!E56,'02.08 Najjeera-Kiwatule'!E56,'30.07 Najjeera-Kiwatule'!E56,'31.07 Najjeera-Kiwatule'!E56,'01.08 Najjeera-Kiwatule-24h'!E56,'03.08 Najjeera-Kiwatule-24h'!E56,'04.08 Najjeera-Kiwatule'!E56)</f>
        <v>4.8571428571428568</v>
      </c>
      <c r="F56" s="49">
        <f>AVERAGE('29.07 Najjeera-Kiwatule'!F56,'02.08 Najjeera-Kiwatule'!F56,'30.07 Najjeera-Kiwatule'!F56,'31.07 Najjeera-Kiwatule'!F56,'01.08 Najjeera-Kiwatule-24h'!F56,'03.08 Najjeera-Kiwatule-24h'!F56,'04.08 Najjeera-Kiwatule'!F56)</f>
        <v>12</v>
      </c>
      <c r="G56" s="49">
        <f>AVERAGE('29.07 Najjeera-Kiwatule'!G56,'02.08 Najjeera-Kiwatule'!G56,'30.07 Najjeera-Kiwatule'!G56,'31.07 Najjeera-Kiwatule'!G56,'01.08 Najjeera-Kiwatule-24h'!G56,'03.08 Najjeera-Kiwatule-24h'!G56,'04.08 Najjeera-Kiwatule'!G56)</f>
        <v>0.8571428571428571</v>
      </c>
      <c r="H56" s="49">
        <f>AVERAGE('29.07 Najjeera-Kiwatule'!H56,'02.08 Najjeera-Kiwatule'!H56,'30.07 Najjeera-Kiwatule'!H56,'31.07 Najjeera-Kiwatule'!H56,'01.08 Najjeera-Kiwatule-24h'!H56,'03.08 Najjeera-Kiwatule-24h'!H56,'04.08 Najjeera-Kiwatule'!H56)</f>
        <v>0</v>
      </c>
      <c r="I56" s="49">
        <f>AVERAGE('29.07 Najjeera-Kiwatule'!I56,'02.08 Najjeera-Kiwatule'!I56,'30.07 Najjeera-Kiwatule'!I56,'31.07 Najjeera-Kiwatule'!I56,'01.08 Najjeera-Kiwatule-24h'!I56,'03.08 Najjeera-Kiwatule-24h'!I56,'04.08 Najjeera-Kiwatule'!I56)</f>
        <v>4.2857142857142856</v>
      </c>
      <c r="J56" s="49">
        <f>AVERAGE('29.07 Najjeera-Kiwatule'!J56,'02.08 Najjeera-Kiwatule'!J56,'30.07 Najjeera-Kiwatule'!J56,'31.07 Najjeera-Kiwatule'!J56,'01.08 Najjeera-Kiwatule-24h'!J56,'03.08 Najjeera-Kiwatule-24h'!J56,'04.08 Najjeera-Kiwatule'!J56)</f>
        <v>0.5714285714285714</v>
      </c>
      <c r="K56" s="49">
        <f>AVERAGE('29.07 Najjeera-Kiwatule'!K56,'02.08 Najjeera-Kiwatule'!K56,'30.07 Najjeera-Kiwatule'!K56,'31.07 Najjeera-Kiwatule'!K56,'01.08 Najjeera-Kiwatule-24h'!K56,'03.08 Najjeera-Kiwatule-24h'!K56,'04.08 Najjeera-Kiwatule'!K56)</f>
        <v>0</v>
      </c>
      <c r="L56" s="49">
        <f>AVERAGE('29.07 Najjeera-Kiwatule'!L56,'02.08 Najjeera-Kiwatule'!L56,'30.07 Najjeera-Kiwatule'!L56,'31.07 Najjeera-Kiwatule'!L56,'01.08 Najjeera-Kiwatule-24h'!L56,'03.08 Najjeera-Kiwatule-24h'!L56,'04.08 Najjeera-Kiwatule'!L56)</f>
        <v>0</v>
      </c>
      <c r="M56" s="49">
        <f>AVERAGE('29.07 Najjeera-Kiwatule'!M56,'02.08 Najjeera-Kiwatule'!M56,'30.07 Najjeera-Kiwatule'!M56,'31.07 Najjeera-Kiwatule'!M56,'01.08 Najjeera-Kiwatule-24h'!M56,'03.08 Najjeera-Kiwatule-24h'!M56,'04.08 Najjeera-Kiwatule'!M56)</f>
        <v>93.857142857142861</v>
      </c>
      <c r="N56" s="49">
        <f>AVERAGE('29.07 Najjeera-Kiwatule'!N56,'02.08 Najjeera-Kiwatule'!N56,'30.07 Najjeera-Kiwatule'!N56,'31.07 Najjeera-Kiwatule'!N56,'01.08 Najjeera-Kiwatule-24h'!N56,'03.08 Najjeera-Kiwatule-24h'!N56,'04.08 Najjeera-Kiwatule'!N56)</f>
        <v>0</v>
      </c>
      <c r="O56" s="15">
        <f t="shared" si="0"/>
        <v>84.000000000000014</v>
      </c>
      <c r="P56" s="15">
        <f t="shared" si="1"/>
        <v>177.85714285714289</v>
      </c>
      <c r="R56" s="8"/>
      <c r="T56"/>
    </row>
    <row r="57" spans="2:20" ht="23.1" customHeight="1">
      <c r="B57" s="23" t="s">
        <v>84</v>
      </c>
      <c r="C57" s="49">
        <f>AVERAGE('29.07 Najjeera-Kiwatule'!C57,'02.08 Najjeera-Kiwatule'!C57,'30.07 Najjeera-Kiwatule'!C57,'31.07 Najjeera-Kiwatule'!C57,'01.08 Najjeera-Kiwatule-24h'!C57,'03.08 Najjeera-Kiwatule-24h'!C57,'04.08 Najjeera-Kiwatule'!C57)</f>
        <v>46.571428571428569</v>
      </c>
      <c r="D57" s="49">
        <f>AVERAGE('29.07 Najjeera-Kiwatule'!D57,'02.08 Najjeera-Kiwatule'!D57,'30.07 Najjeera-Kiwatule'!D57,'31.07 Najjeera-Kiwatule'!D57,'01.08 Najjeera-Kiwatule-24h'!D57,'03.08 Najjeera-Kiwatule-24h'!D57,'04.08 Najjeera-Kiwatule'!D57)</f>
        <v>7.5714285714285712</v>
      </c>
      <c r="E57" s="49">
        <f>AVERAGE('29.07 Najjeera-Kiwatule'!E57,'02.08 Najjeera-Kiwatule'!E57,'30.07 Najjeera-Kiwatule'!E57,'31.07 Najjeera-Kiwatule'!E57,'01.08 Najjeera-Kiwatule-24h'!E57,'03.08 Najjeera-Kiwatule-24h'!E57,'04.08 Najjeera-Kiwatule'!E57)</f>
        <v>5.8571428571428568</v>
      </c>
      <c r="F57" s="49">
        <f>AVERAGE('29.07 Najjeera-Kiwatule'!F57,'02.08 Najjeera-Kiwatule'!F57,'30.07 Najjeera-Kiwatule'!F57,'31.07 Najjeera-Kiwatule'!F57,'01.08 Najjeera-Kiwatule-24h'!F57,'03.08 Najjeera-Kiwatule-24h'!F57,'04.08 Najjeera-Kiwatule'!F57)</f>
        <v>14.714285714285714</v>
      </c>
      <c r="G57" s="49">
        <f>AVERAGE('29.07 Najjeera-Kiwatule'!G57,'02.08 Najjeera-Kiwatule'!G57,'30.07 Najjeera-Kiwatule'!G57,'31.07 Najjeera-Kiwatule'!G57,'01.08 Najjeera-Kiwatule-24h'!G57,'03.08 Najjeera-Kiwatule-24h'!G57,'04.08 Najjeera-Kiwatule'!G57)</f>
        <v>0.2857142857142857</v>
      </c>
      <c r="H57" s="49">
        <f>AVERAGE('29.07 Najjeera-Kiwatule'!H57,'02.08 Najjeera-Kiwatule'!H57,'30.07 Najjeera-Kiwatule'!H57,'31.07 Najjeera-Kiwatule'!H57,'01.08 Najjeera-Kiwatule-24h'!H57,'03.08 Najjeera-Kiwatule-24h'!H57,'04.08 Najjeera-Kiwatule'!H57)</f>
        <v>0</v>
      </c>
      <c r="I57" s="49">
        <f>AVERAGE('29.07 Najjeera-Kiwatule'!I57,'02.08 Najjeera-Kiwatule'!I57,'30.07 Najjeera-Kiwatule'!I57,'31.07 Najjeera-Kiwatule'!I57,'01.08 Najjeera-Kiwatule-24h'!I57,'03.08 Najjeera-Kiwatule-24h'!I57,'04.08 Najjeera-Kiwatule'!I57)</f>
        <v>3.2857142857142856</v>
      </c>
      <c r="J57" s="49">
        <f>AVERAGE('29.07 Najjeera-Kiwatule'!J57,'02.08 Najjeera-Kiwatule'!J57,'30.07 Najjeera-Kiwatule'!J57,'31.07 Najjeera-Kiwatule'!J57,'01.08 Najjeera-Kiwatule-24h'!J57,'03.08 Najjeera-Kiwatule-24h'!J57,'04.08 Najjeera-Kiwatule'!J57)</f>
        <v>0.14285714285714285</v>
      </c>
      <c r="K57" s="49">
        <f>AVERAGE('29.07 Najjeera-Kiwatule'!K57,'02.08 Najjeera-Kiwatule'!K57,'30.07 Najjeera-Kiwatule'!K57,'31.07 Najjeera-Kiwatule'!K57,'01.08 Najjeera-Kiwatule-24h'!K57,'03.08 Najjeera-Kiwatule-24h'!K57,'04.08 Najjeera-Kiwatule'!K57)</f>
        <v>0.2857142857142857</v>
      </c>
      <c r="L57" s="49">
        <f>AVERAGE('29.07 Najjeera-Kiwatule'!L57,'02.08 Najjeera-Kiwatule'!L57,'30.07 Najjeera-Kiwatule'!L57,'31.07 Najjeera-Kiwatule'!L57,'01.08 Najjeera-Kiwatule-24h'!L57,'03.08 Najjeera-Kiwatule-24h'!L57,'04.08 Najjeera-Kiwatule'!L57)</f>
        <v>0</v>
      </c>
      <c r="M57" s="49">
        <f>AVERAGE('29.07 Najjeera-Kiwatule'!M57,'02.08 Najjeera-Kiwatule'!M57,'30.07 Najjeera-Kiwatule'!M57,'31.07 Najjeera-Kiwatule'!M57,'01.08 Najjeera-Kiwatule-24h'!M57,'03.08 Najjeera-Kiwatule-24h'!M57,'04.08 Najjeera-Kiwatule'!M57)</f>
        <v>116.42857142857143</v>
      </c>
      <c r="N57" s="49">
        <f>AVERAGE('29.07 Najjeera-Kiwatule'!N57,'02.08 Najjeera-Kiwatule'!N57,'30.07 Najjeera-Kiwatule'!N57,'31.07 Najjeera-Kiwatule'!N57,'01.08 Najjeera-Kiwatule-24h'!N57,'03.08 Najjeera-Kiwatule-24h'!N57,'04.08 Najjeera-Kiwatule'!N57)</f>
        <v>0</v>
      </c>
      <c r="O57" s="15">
        <f t="shared" si="0"/>
        <v>78.714285714285722</v>
      </c>
      <c r="P57" s="15">
        <f t="shared" si="1"/>
        <v>195.14285714285717</v>
      </c>
      <c r="R57" s="8"/>
      <c r="T57"/>
    </row>
    <row r="58" spans="2:20" ht="23.1" customHeight="1">
      <c r="B58" s="23" t="s">
        <v>99</v>
      </c>
      <c r="C58" s="49">
        <f>AVERAGE('01.08 Najjeera-Kiwatule-24h'!C58,'03.08 Najjeera-Kiwatule-24h'!C58)</f>
        <v>60.5</v>
      </c>
      <c r="D58" s="49">
        <f>AVERAGE('01.08 Najjeera-Kiwatule-24h'!D58,'03.08 Najjeera-Kiwatule-24h'!D58)</f>
        <v>7</v>
      </c>
      <c r="E58" s="49">
        <f>AVERAGE('01.08 Najjeera-Kiwatule-24h'!E58,'03.08 Najjeera-Kiwatule-24h'!E58)</f>
        <v>3</v>
      </c>
      <c r="F58" s="49">
        <f>AVERAGE('01.08 Najjeera-Kiwatule-24h'!F58,'03.08 Najjeera-Kiwatule-24h'!F58)</f>
        <v>14.5</v>
      </c>
      <c r="G58" s="49">
        <f>AVERAGE('01.08 Najjeera-Kiwatule-24h'!G58,'03.08 Najjeera-Kiwatule-24h'!G58)</f>
        <v>0</v>
      </c>
      <c r="H58" s="49">
        <f>AVERAGE('01.08 Najjeera-Kiwatule-24h'!H58,'03.08 Najjeera-Kiwatule-24h'!H58)</f>
        <v>0</v>
      </c>
      <c r="I58" s="49">
        <f>AVERAGE('01.08 Najjeera-Kiwatule-24h'!I58,'03.08 Najjeera-Kiwatule-24h'!I58)</f>
        <v>3</v>
      </c>
      <c r="J58" s="49">
        <f>AVERAGE('01.08 Najjeera-Kiwatule-24h'!J58,'03.08 Najjeera-Kiwatule-24h'!J58)</f>
        <v>1</v>
      </c>
      <c r="K58" s="49">
        <f>AVERAGE('01.08 Najjeera-Kiwatule-24h'!K58,'03.08 Najjeera-Kiwatule-24h'!K58)</f>
        <v>0</v>
      </c>
      <c r="L58" s="49">
        <f>AVERAGE('01.08 Najjeera-Kiwatule-24h'!L58,'03.08 Najjeera-Kiwatule-24h'!L58)</f>
        <v>0</v>
      </c>
      <c r="M58" s="49">
        <f>AVERAGE('01.08 Najjeera-Kiwatule-24h'!M58,'03.08 Najjeera-Kiwatule-24h'!M58)</f>
        <v>117</v>
      </c>
      <c r="N58" s="49">
        <f>AVERAGE('01.08 Najjeera-Kiwatule-24h'!N58,'03.08 Najjeera-Kiwatule-24h'!N58)</f>
        <v>0</v>
      </c>
      <c r="O58" s="49">
        <f t="shared" si="0"/>
        <v>89</v>
      </c>
      <c r="P58" s="49">
        <f t="shared" si="1"/>
        <v>206</v>
      </c>
      <c r="R58" s="8"/>
      <c r="T58"/>
    </row>
    <row r="59" spans="2:20" ht="23.1" customHeight="1">
      <c r="B59" s="23" t="s">
        <v>100</v>
      </c>
      <c r="C59" s="49">
        <f>AVERAGE('01.08 Najjeera-Kiwatule-24h'!C59,'03.08 Najjeera-Kiwatule-24h'!C59)</f>
        <v>71</v>
      </c>
      <c r="D59" s="49">
        <f>AVERAGE('01.08 Najjeera-Kiwatule-24h'!D59,'03.08 Najjeera-Kiwatule-24h'!D59)</f>
        <v>11.5</v>
      </c>
      <c r="E59" s="49">
        <f>AVERAGE('01.08 Najjeera-Kiwatule-24h'!E59,'03.08 Najjeera-Kiwatule-24h'!E59)</f>
        <v>5.5</v>
      </c>
      <c r="F59" s="49">
        <f>AVERAGE('01.08 Najjeera-Kiwatule-24h'!F59,'03.08 Najjeera-Kiwatule-24h'!F59)</f>
        <v>18</v>
      </c>
      <c r="G59" s="49">
        <f>AVERAGE('01.08 Najjeera-Kiwatule-24h'!G59,'03.08 Najjeera-Kiwatule-24h'!G59)</f>
        <v>0.5</v>
      </c>
      <c r="H59" s="49">
        <f>AVERAGE('01.08 Najjeera-Kiwatule-24h'!H59,'03.08 Najjeera-Kiwatule-24h'!H59)</f>
        <v>0</v>
      </c>
      <c r="I59" s="49">
        <f>AVERAGE('01.08 Najjeera-Kiwatule-24h'!I59,'03.08 Najjeera-Kiwatule-24h'!I59)</f>
        <v>3.5</v>
      </c>
      <c r="J59" s="49">
        <f>AVERAGE('01.08 Najjeera-Kiwatule-24h'!J59,'03.08 Najjeera-Kiwatule-24h'!J59)</f>
        <v>0</v>
      </c>
      <c r="K59" s="49">
        <f>AVERAGE('01.08 Najjeera-Kiwatule-24h'!K59,'03.08 Najjeera-Kiwatule-24h'!K59)</f>
        <v>0</v>
      </c>
      <c r="L59" s="49">
        <f>AVERAGE('01.08 Najjeera-Kiwatule-24h'!L59,'03.08 Najjeera-Kiwatule-24h'!L59)</f>
        <v>0</v>
      </c>
      <c r="M59" s="49">
        <f>AVERAGE('01.08 Najjeera-Kiwatule-24h'!M59,'03.08 Najjeera-Kiwatule-24h'!M59)</f>
        <v>128</v>
      </c>
      <c r="N59" s="49">
        <f>AVERAGE('01.08 Najjeera-Kiwatule-24h'!N59,'03.08 Najjeera-Kiwatule-24h'!N59)</f>
        <v>0</v>
      </c>
      <c r="O59" s="49">
        <f t="shared" si="0"/>
        <v>110</v>
      </c>
      <c r="P59" s="49">
        <f t="shared" si="1"/>
        <v>238</v>
      </c>
      <c r="R59" s="8"/>
      <c r="T59"/>
    </row>
    <row r="60" spans="2:20" ht="23.1" customHeight="1">
      <c r="B60" s="23" t="s">
        <v>101</v>
      </c>
      <c r="C60" s="49">
        <f>AVERAGE('01.08 Najjeera-Kiwatule-24h'!C60,'03.08 Najjeera-Kiwatule-24h'!C60)</f>
        <v>56.5</v>
      </c>
      <c r="D60" s="49">
        <f>AVERAGE('01.08 Najjeera-Kiwatule-24h'!D60,'03.08 Najjeera-Kiwatule-24h'!D60)</f>
        <v>16</v>
      </c>
      <c r="E60" s="49">
        <f>AVERAGE('01.08 Najjeera-Kiwatule-24h'!E60,'03.08 Najjeera-Kiwatule-24h'!E60)</f>
        <v>6</v>
      </c>
      <c r="F60" s="49">
        <f>AVERAGE('01.08 Najjeera-Kiwatule-24h'!F60,'03.08 Najjeera-Kiwatule-24h'!F60)</f>
        <v>16</v>
      </c>
      <c r="G60" s="49">
        <f>AVERAGE('01.08 Najjeera-Kiwatule-24h'!G60,'03.08 Najjeera-Kiwatule-24h'!G60)</f>
        <v>0</v>
      </c>
      <c r="H60" s="49">
        <f>AVERAGE('01.08 Najjeera-Kiwatule-24h'!H60,'03.08 Najjeera-Kiwatule-24h'!H60)</f>
        <v>0</v>
      </c>
      <c r="I60" s="49">
        <f>AVERAGE('01.08 Najjeera-Kiwatule-24h'!I60,'03.08 Najjeera-Kiwatule-24h'!I60)</f>
        <v>4</v>
      </c>
      <c r="J60" s="49">
        <f>AVERAGE('01.08 Najjeera-Kiwatule-24h'!J60,'03.08 Najjeera-Kiwatule-24h'!J60)</f>
        <v>0</v>
      </c>
      <c r="K60" s="49">
        <f>AVERAGE('01.08 Najjeera-Kiwatule-24h'!K60,'03.08 Najjeera-Kiwatule-24h'!K60)</f>
        <v>0</v>
      </c>
      <c r="L60" s="49">
        <f>AVERAGE('01.08 Najjeera-Kiwatule-24h'!L60,'03.08 Najjeera-Kiwatule-24h'!L60)</f>
        <v>0</v>
      </c>
      <c r="M60" s="49">
        <f>AVERAGE('01.08 Najjeera-Kiwatule-24h'!M60,'03.08 Najjeera-Kiwatule-24h'!M60)</f>
        <v>106.5</v>
      </c>
      <c r="N60" s="49">
        <f>AVERAGE('01.08 Najjeera-Kiwatule-24h'!N60,'03.08 Najjeera-Kiwatule-24h'!N60)</f>
        <v>0</v>
      </c>
      <c r="O60" s="49">
        <f t="shared" si="0"/>
        <v>98.5</v>
      </c>
      <c r="P60" s="49">
        <f t="shared" si="1"/>
        <v>205</v>
      </c>
      <c r="R60" s="8"/>
      <c r="T60"/>
    </row>
    <row r="61" spans="2:20" ht="23.1" customHeight="1">
      <c r="B61" s="23" t="s">
        <v>102</v>
      </c>
      <c r="C61" s="49">
        <f>AVERAGE('01.08 Najjeera-Kiwatule-24h'!C61,'03.08 Najjeera-Kiwatule-24h'!C61)</f>
        <v>41.5</v>
      </c>
      <c r="D61" s="49">
        <f>AVERAGE('01.08 Najjeera-Kiwatule-24h'!D61,'03.08 Najjeera-Kiwatule-24h'!D61)</f>
        <v>11.5</v>
      </c>
      <c r="E61" s="49">
        <f>AVERAGE('01.08 Najjeera-Kiwatule-24h'!E61,'03.08 Najjeera-Kiwatule-24h'!E61)</f>
        <v>3</v>
      </c>
      <c r="F61" s="49">
        <f>AVERAGE('01.08 Najjeera-Kiwatule-24h'!F61,'03.08 Najjeera-Kiwatule-24h'!F61)</f>
        <v>8.5</v>
      </c>
      <c r="G61" s="49">
        <f>AVERAGE('01.08 Najjeera-Kiwatule-24h'!G61,'03.08 Najjeera-Kiwatule-24h'!G61)</f>
        <v>0</v>
      </c>
      <c r="H61" s="49">
        <f>AVERAGE('01.08 Najjeera-Kiwatule-24h'!H61,'03.08 Najjeera-Kiwatule-24h'!H61)</f>
        <v>0</v>
      </c>
      <c r="I61" s="49">
        <f>AVERAGE('01.08 Najjeera-Kiwatule-24h'!I61,'03.08 Najjeera-Kiwatule-24h'!I61)</f>
        <v>2.5</v>
      </c>
      <c r="J61" s="49">
        <f>AVERAGE('01.08 Najjeera-Kiwatule-24h'!J61,'03.08 Najjeera-Kiwatule-24h'!J61)</f>
        <v>0</v>
      </c>
      <c r="K61" s="49">
        <f>AVERAGE('01.08 Najjeera-Kiwatule-24h'!K61,'03.08 Najjeera-Kiwatule-24h'!K61)</f>
        <v>0</v>
      </c>
      <c r="L61" s="49">
        <f>AVERAGE('01.08 Najjeera-Kiwatule-24h'!L61,'03.08 Najjeera-Kiwatule-24h'!L61)</f>
        <v>0</v>
      </c>
      <c r="M61" s="49">
        <f>AVERAGE('01.08 Najjeera-Kiwatule-24h'!M61,'03.08 Najjeera-Kiwatule-24h'!M61)</f>
        <v>110.5</v>
      </c>
      <c r="N61" s="49">
        <f>AVERAGE('01.08 Najjeera-Kiwatule-24h'!N61,'03.08 Najjeera-Kiwatule-24h'!N61)</f>
        <v>0</v>
      </c>
      <c r="O61" s="49">
        <f t="shared" si="0"/>
        <v>67</v>
      </c>
      <c r="P61" s="49">
        <f t="shared" si="1"/>
        <v>177.5</v>
      </c>
      <c r="R61" s="8"/>
      <c r="T61"/>
    </row>
    <row r="62" spans="2:20" ht="23.1" customHeight="1">
      <c r="B62" s="23" t="s">
        <v>107</v>
      </c>
      <c r="C62" s="49">
        <f>AVERAGE('01.08 Najjeera-Kiwatule-24h'!C62,'03.08 Najjeera-Kiwatule-24h'!C62)</f>
        <v>37</v>
      </c>
      <c r="D62" s="49">
        <f>AVERAGE('01.08 Najjeera-Kiwatule-24h'!D62,'03.08 Najjeera-Kiwatule-24h'!D62)</f>
        <v>9</v>
      </c>
      <c r="E62" s="49">
        <f>AVERAGE('01.08 Najjeera-Kiwatule-24h'!E62,'03.08 Najjeera-Kiwatule-24h'!E62)</f>
        <v>3.5</v>
      </c>
      <c r="F62" s="49">
        <f>AVERAGE('01.08 Najjeera-Kiwatule-24h'!F62,'03.08 Najjeera-Kiwatule-24h'!F62)</f>
        <v>9</v>
      </c>
      <c r="G62" s="49">
        <f>AVERAGE('01.08 Najjeera-Kiwatule-24h'!G62,'03.08 Najjeera-Kiwatule-24h'!G62)</f>
        <v>0</v>
      </c>
      <c r="H62" s="49">
        <f>AVERAGE('01.08 Najjeera-Kiwatule-24h'!H62,'03.08 Najjeera-Kiwatule-24h'!H62)</f>
        <v>0</v>
      </c>
      <c r="I62" s="49">
        <f>AVERAGE('01.08 Najjeera-Kiwatule-24h'!I62,'03.08 Najjeera-Kiwatule-24h'!I62)</f>
        <v>2.5</v>
      </c>
      <c r="J62" s="49">
        <f>AVERAGE('01.08 Najjeera-Kiwatule-24h'!J62,'03.08 Najjeera-Kiwatule-24h'!J62)</f>
        <v>0.5</v>
      </c>
      <c r="K62" s="49">
        <f>AVERAGE('01.08 Najjeera-Kiwatule-24h'!K62,'03.08 Najjeera-Kiwatule-24h'!K62)</f>
        <v>0.5</v>
      </c>
      <c r="L62" s="49">
        <f>AVERAGE('01.08 Najjeera-Kiwatule-24h'!L62,'03.08 Najjeera-Kiwatule-24h'!L62)</f>
        <v>0</v>
      </c>
      <c r="M62" s="49">
        <f>AVERAGE('01.08 Najjeera-Kiwatule-24h'!M62,'03.08 Najjeera-Kiwatule-24h'!M62)</f>
        <v>140.5</v>
      </c>
      <c r="N62" s="49">
        <f>AVERAGE('01.08 Najjeera-Kiwatule-24h'!N62,'03.08 Najjeera-Kiwatule-24h'!N62)</f>
        <v>0</v>
      </c>
      <c r="O62" s="49">
        <f t="shared" si="0"/>
        <v>62</v>
      </c>
      <c r="P62" s="49">
        <f t="shared" si="1"/>
        <v>202.5</v>
      </c>
      <c r="R62" s="8"/>
      <c r="T62"/>
    </row>
    <row r="63" spans="2:20" ht="23.1" customHeight="1">
      <c r="B63" s="23" t="s">
        <v>108</v>
      </c>
      <c r="C63" s="49">
        <f>AVERAGE('01.08 Najjeera-Kiwatule-24h'!C63,'03.08 Najjeera-Kiwatule-24h'!C63)</f>
        <v>47</v>
      </c>
      <c r="D63" s="49">
        <f>AVERAGE('01.08 Najjeera-Kiwatule-24h'!D63,'03.08 Najjeera-Kiwatule-24h'!D63)</f>
        <v>12</v>
      </c>
      <c r="E63" s="49">
        <f>AVERAGE('01.08 Najjeera-Kiwatule-24h'!E63,'03.08 Najjeera-Kiwatule-24h'!E63)</f>
        <v>5.5</v>
      </c>
      <c r="F63" s="49">
        <f>AVERAGE('01.08 Najjeera-Kiwatule-24h'!F63,'03.08 Najjeera-Kiwatule-24h'!F63)</f>
        <v>8</v>
      </c>
      <c r="G63" s="49">
        <f>AVERAGE('01.08 Najjeera-Kiwatule-24h'!G63,'03.08 Najjeera-Kiwatule-24h'!G63)</f>
        <v>0</v>
      </c>
      <c r="H63" s="49">
        <f>AVERAGE('01.08 Najjeera-Kiwatule-24h'!H63,'03.08 Najjeera-Kiwatule-24h'!H63)</f>
        <v>0</v>
      </c>
      <c r="I63" s="49">
        <f>AVERAGE('01.08 Najjeera-Kiwatule-24h'!I63,'03.08 Najjeera-Kiwatule-24h'!I63)</f>
        <v>2.5</v>
      </c>
      <c r="J63" s="49">
        <f>AVERAGE('01.08 Najjeera-Kiwatule-24h'!J63,'03.08 Najjeera-Kiwatule-24h'!J63)</f>
        <v>0</v>
      </c>
      <c r="K63" s="49">
        <f>AVERAGE('01.08 Najjeera-Kiwatule-24h'!K63,'03.08 Najjeera-Kiwatule-24h'!K63)</f>
        <v>0</v>
      </c>
      <c r="L63" s="49">
        <f>AVERAGE('01.08 Najjeera-Kiwatule-24h'!L63,'03.08 Najjeera-Kiwatule-24h'!L63)</f>
        <v>0</v>
      </c>
      <c r="M63" s="49">
        <f>AVERAGE('01.08 Najjeera-Kiwatule-24h'!M63,'03.08 Najjeera-Kiwatule-24h'!M63)</f>
        <v>113</v>
      </c>
      <c r="N63" s="49">
        <f>AVERAGE('01.08 Najjeera-Kiwatule-24h'!N63,'03.08 Najjeera-Kiwatule-24h'!N63)</f>
        <v>0</v>
      </c>
      <c r="O63" s="49">
        <f t="shared" si="0"/>
        <v>75</v>
      </c>
      <c r="P63" s="49">
        <f t="shared" si="1"/>
        <v>188</v>
      </c>
      <c r="R63" s="8"/>
      <c r="T63"/>
    </row>
    <row r="64" spans="2:20" ht="23.1" customHeight="1">
      <c r="B64" s="23" t="s">
        <v>109</v>
      </c>
      <c r="C64" s="49">
        <f>AVERAGE('01.08 Najjeera-Kiwatule-24h'!C64,'03.08 Najjeera-Kiwatule-24h'!C64)</f>
        <v>49</v>
      </c>
      <c r="D64" s="49">
        <f>AVERAGE('01.08 Najjeera-Kiwatule-24h'!D64,'03.08 Najjeera-Kiwatule-24h'!D64)</f>
        <v>6.5</v>
      </c>
      <c r="E64" s="49">
        <f>AVERAGE('01.08 Najjeera-Kiwatule-24h'!E64,'03.08 Najjeera-Kiwatule-24h'!E64)</f>
        <v>2</v>
      </c>
      <c r="F64" s="49">
        <f>AVERAGE('01.08 Najjeera-Kiwatule-24h'!F64,'03.08 Najjeera-Kiwatule-24h'!F64)</f>
        <v>9</v>
      </c>
      <c r="G64" s="49">
        <f>AVERAGE('01.08 Najjeera-Kiwatule-24h'!G64,'03.08 Najjeera-Kiwatule-24h'!G64)</f>
        <v>0</v>
      </c>
      <c r="H64" s="49">
        <f>AVERAGE('01.08 Najjeera-Kiwatule-24h'!H64,'03.08 Najjeera-Kiwatule-24h'!H64)</f>
        <v>0</v>
      </c>
      <c r="I64" s="49">
        <f>AVERAGE('01.08 Najjeera-Kiwatule-24h'!I64,'03.08 Najjeera-Kiwatule-24h'!I64)</f>
        <v>1.5</v>
      </c>
      <c r="J64" s="49">
        <f>AVERAGE('01.08 Najjeera-Kiwatule-24h'!J64,'03.08 Najjeera-Kiwatule-24h'!J64)</f>
        <v>0</v>
      </c>
      <c r="K64" s="49">
        <f>AVERAGE('01.08 Najjeera-Kiwatule-24h'!K64,'03.08 Najjeera-Kiwatule-24h'!K64)</f>
        <v>0</v>
      </c>
      <c r="L64" s="49">
        <f>AVERAGE('01.08 Najjeera-Kiwatule-24h'!L64,'03.08 Najjeera-Kiwatule-24h'!L64)</f>
        <v>0</v>
      </c>
      <c r="M64" s="49">
        <f>AVERAGE('01.08 Najjeera-Kiwatule-24h'!M64,'03.08 Najjeera-Kiwatule-24h'!M64)</f>
        <v>103.5</v>
      </c>
      <c r="N64" s="49">
        <f>AVERAGE('01.08 Najjeera-Kiwatule-24h'!N64,'03.08 Najjeera-Kiwatule-24h'!N64)</f>
        <v>0</v>
      </c>
      <c r="O64" s="49">
        <f t="shared" si="0"/>
        <v>68</v>
      </c>
      <c r="P64" s="49">
        <f t="shared" si="1"/>
        <v>171.5</v>
      </c>
      <c r="R64" s="8"/>
      <c r="T64"/>
    </row>
    <row r="65" spans="2:20" ht="23.1" customHeight="1">
      <c r="B65" s="23" t="s">
        <v>158</v>
      </c>
      <c r="C65" s="49">
        <f>AVERAGE('01.08 Najjeera-Kiwatule-24h'!C65,'03.08 Najjeera-Kiwatule-24h'!C65)</f>
        <v>44.5</v>
      </c>
      <c r="D65" s="49">
        <f>AVERAGE('01.08 Najjeera-Kiwatule-24h'!D65,'03.08 Najjeera-Kiwatule-24h'!D65)</f>
        <v>5</v>
      </c>
      <c r="E65" s="49">
        <f>AVERAGE('01.08 Najjeera-Kiwatule-24h'!E65,'03.08 Najjeera-Kiwatule-24h'!E65)</f>
        <v>5.5</v>
      </c>
      <c r="F65" s="49">
        <f>AVERAGE('01.08 Najjeera-Kiwatule-24h'!F65,'03.08 Najjeera-Kiwatule-24h'!F65)</f>
        <v>13.5</v>
      </c>
      <c r="G65" s="49">
        <f>AVERAGE('01.08 Najjeera-Kiwatule-24h'!G65,'03.08 Najjeera-Kiwatule-24h'!G65)</f>
        <v>0</v>
      </c>
      <c r="H65" s="49">
        <f>AVERAGE('01.08 Najjeera-Kiwatule-24h'!H65,'03.08 Najjeera-Kiwatule-24h'!H65)</f>
        <v>0</v>
      </c>
      <c r="I65" s="49">
        <f>AVERAGE('01.08 Najjeera-Kiwatule-24h'!I65,'03.08 Najjeera-Kiwatule-24h'!I65)</f>
        <v>2.5</v>
      </c>
      <c r="J65" s="49">
        <f>AVERAGE('01.08 Najjeera-Kiwatule-24h'!J65,'03.08 Najjeera-Kiwatule-24h'!J65)</f>
        <v>0</v>
      </c>
      <c r="K65" s="49">
        <f>AVERAGE('01.08 Najjeera-Kiwatule-24h'!K65,'03.08 Najjeera-Kiwatule-24h'!K65)</f>
        <v>0</v>
      </c>
      <c r="L65" s="49">
        <f>AVERAGE('01.08 Najjeera-Kiwatule-24h'!L65,'03.08 Najjeera-Kiwatule-24h'!L65)</f>
        <v>0.5</v>
      </c>
      <c r="M65" s="49">
        <f>AVERAGE('01.08 Najjeera-Kiwatule-24h'!M65,'03.08 Najjeera-Kiwatule-24h'!M65)</f>
        <v>92.5</v>
      </c>
      <c r="N65" s="49">
        <f>AVERAGE('01.08 Najjeera-Kiwatule-24h'!N65,'03.08 Najjeera-Kiwatule-24h'!N65)</f>
        <v>0</v>
      </c>
      <c r="O65" s="49">
        <f t="shared" si="0"/>
        <v>71.5</v>
      </c>
      <c r="P65" s="49">
        <f t="shared" si="1"/>
        <v>164</v>
      </c>
      <c r="R65" s="8"/>
      <c r="T65"/>
    </row>
    <row r="66" spans="2:20" ht="23.1" customHeight="1">
      <c r="B66" s="23" t="s">
        <v>103</v>
      </c>
      <c r="C66" s="49">
        <f>AVERAGE('01.08 Najjeera-Kiwatule-24h'!C66,'03.08 Najjeera-Kiwatule-24h'!C66)</f>
        <v>32.5</v>
      </c>
      <c r="D66" s="49">
        <f>AVERAGE('01.08 Najjeera-Kiwatule-24h'!D66,'03.08 Najjeera-Kiwatule-24h'!D66)</f>
        <v>5.5</v>
      </c>
      <c r="E66" s="49">
        <f>AVERAGE('01.08 Najjeera-Kiwatule-24h'!E66,'03.08 Najjeera-Kiwatule-24h'!E66)</f>
        <v>1.5</v>
      </c>
      <c r="F66" s="49">
        <f>AVERAGE('01.08 Najjeera-Kiwatule-24h'!F66,'03.08 Najjeera-Kiwatule-24h'!F66)</f>
        <v>6</v>
      </c>
      <c r="G66" s="49">
        <f>AVERAGE('01.08 Najjeera-Kiwatule-24h'!G66,'03.08 Najjeera-Kiwatule-24h'!G66)</f>
        <v>0</v>
      </c>
      <c r="H66" s="49">
        <f>AVERAGE('01.08 Najjeera-Kiwatule-24h'!H66,'03.08 Najjeera-Kiwatule-24h'!H66)</f>
        <v>0</v>
      </c>
      <c r="I66" s="49">
        <f>AVERAGE('01.08 Najjeera-Kiwatule-24h'!I66,'03.08 Najjeera-Kiwatule-24h'!I66)</f>
        <v>3.5</v>
      </c>
      <c r="J66" s="49">
        <f>AVERAGE('01.08 Najjeera-Kiwatule-24h'!J66,'03.08 Najjeera-Kiwatule-24h'!J66)</f>
        <v>0</v>
      </c>
      <c r="K66" s="49">
        <f>AVERAGE('01.08 Najjeera-Kiwatule-24h'!K66,'03.08 Najjeera-Kiwatule-24h'!K66)</f>
        <v>0</v>
      </c>
      <c r="L66" s="49">
        <f>AVERAGE('01.08 Najjeera-Kiwatule-24h'!L66,'03.08 Najjeera-Kiwatule-24h'!L66)</f>
        <v>0</v>
      </c>
      <c r="M66" s="49">
        <f>AVERAGE('01.08 Najjeera-Kiwatule-24h'!M66,'03.08 Najjeera-Kiwatule-24h'!M66)</f>
        <v>88.5</v>
      </c>
      <c r="N66" s="49">
        <f>AVERAGE('01.08 Najjeera-Kiwatule-24h'!N66,'03.08 Najjeera-Kiwatule-24h'!N66)</f>
        <v>0</v>
      </c>
      <c r="O66" s="49">
        <f t="shared" si="0"/>
        <v>49</v>
      </c>
      <c r="P66" s="49">
        <f t="shared" si="1"/>
        <v>137.5</v>
      </c>
      <c r="R66" s="8"/>
      <c r="T66"/>
    </row>
    <row r="67" spans="2:20" ht="23.1" customHeight="1">
      <c r="B67" s="23" t="s">
        <v>104</v>
      </c>
      <c r="C67" s="49">
        <f>AVERAGE('01.08 Najjeera-Kiwatule-24h'!C67,'03.08 Najjeera-Kiwatule-24h'!C67)</f>
        <v>50.5</v>
      </c>
      <c r="D67" s="49">
        <f>AVERAGE('01.08 Najjeera-Kiwatule-24h'!D67,'03.08 Najjeera-Kiwatule-24h'!D67)</f>
        <v>8.5</v>
      </c>
      <c r="E67" s="49">
        <f>AVERAGE('01.08 Najjeera-Kiwatule-24h'!E67,'03.08 Najjeera-Kiwatule-24h'!E67)</f>
        <v>0.5</v>
      </c>
      <c r="F67" s="49">
        <f>AVERAGE('01.08 Najjeera-Kiwatule-24h'!F67,'03.08 Najjeera-Kiwatule-24h'!F67)</f>
        <v>9</v>
      </c>
      <c r="G67" s="49">
        <f>AVERAGE('01.08 Najjeera-Kiwatule-24h'!G67,'03.08 Najjeera-Kiwatule-24h'!G67)</f>
        <v>0</v>
      </c>
      <c r="H67" s="49">
        <f>AVERAGE('01.08 Najjeera-Kiwatule-24h'!H67,'03.08 Najjeera-Kiwatule-24h'!H67)</f>
        <v>0</v>
      </c>
      <c r="I67" s="49">
        <f>AVERAGE('01.08 Najjeera-Kiwatule-24h'!I67,'03.08 Najjeera-Kiwatule-24h'!I67)</f>
        <v>2.5</v>
      </c>
      <c r="J67" s="49">
        <f>AVERAGE('01.08 Najjeera-Kiwatule-24h'!J67,'03.08 Najjeera-Kiwatule-24h'!J67)</f>
        <v>1</v>
      </c>
      <c r="K67" s="49">
        <f>AVERAGE('01.08 Najjeera-Kiwatule-24h'!K67,'03.08 Najjeera-Kiwatule-24h'!K67)</f>
        <v>0</v>
      </c>
      <c r="L67" s="49">
        <f>AVERAGE('01.08 Najjeera-Kiwatule-24h'!L67,'03.08 Najjeera-Kiwatule-24h'!L67)</f>
        <v>0</v>
      </c>
      <c r="M67" s="49">
        <f>AVERAGE('01.08 Najjeera-Kiwatule-24h'!M67,'03.08 Najjeera-Kiwatule-24h'!M67)</f>
        <v>91</v>
      </c>
      <c r="N67" s="49">
        <f>AVERAGE('01.08 Najjeera-Kiwatule-24h'!N67,'03.08 Najjeera-Kiwatule-24h'!N67)</f>
        <v>0</v>
      </c>
      <c r="O67" s="49">
        <f t="shared" si="0"/>
        <v>72</v>
      </c>
      <c r="P67" s="49">
        <f t="shared" si="1"/>
        <v>163</v>
      </c>
      <c r="R67" s="8"/>
      <c r="T67"/>
    </row>
    <row r="68" spans="2:20" ht="23.1" customHeight="1">
      <c r="B68" s="23" t="s">
        <v>105</v>
      </c>
      <c r="C68" s="49">
        <f>AVERAGE('01.08 Najjeera-Kiwatule-24h'!C68,'03.08 Najjeera-Kiwatule-24h'!C68)</f>
        <v>43</v>
      </c>
      <c r="D68" s="49">
        <f>AVERAGE('01.08 Najjeera-Kiwatule-24h'!D68,'03.08 Najjeera-Kiwatule-24h'!D68)</f>
        <v>5.5</v>
      </c>
      <c r="E68" s="49">
        <f>AVERAGE('01.08 Najjeera-Kiwatule-24h'!E68,'03.08 Najjeera-Kiwatule-24h'!E68)</f>
        <v>3</v>
      </c>
      <c r="F68" s="49">
        <f>AVERAGE('01.08 Najjeera-Kiwatule-24h'!F68,'03.08 Najjeera-Kiwatule-24h'!F68)</f>
        <v>5.5</v>
      </c>
      <c r="G68" s="49">
        <f>AVERAGE('01.08 Najjeera-Kiwatule-24h'!G68,'03.08 Najjeera-Kiwatule-24h'!G68)</f>
        <v>0</v>
      </c>
      <c r="H68" s="49">
        <f>AVERAGE('01.08 Najjeera-Kiwatule-24h'!H68,'03.08 Najjeera-Kiwatule-24h'!H68)</f>
        <v>0</v>
      </c>
      <c r="I68" s="49">
        <f>AVERAGE('01.08 Najjeera-Kiwatule-24h'!I68,'03.08 Najjeera-Kiwatule-24h'!I68)</f>
        <v>2.5</v>
      </c>
      <c r="J68" s="49">
        <f>AVERAGE('01.08 Najjeera-Kiwatule-24h'!J68,'03.08 Najjeera-Kiwatule-24h'!J68)</f>
        <v>0</v>
      </c>
      <c r="K68" s="49">
        <f>AVERAGE('01.08 Najjeera-Kiwatule-24h'!K68,'03.08 Najjeera-Kiwatule-24h'!K68)</f>
        <v>0</v>
      </c>
      <c r="L68" s="49">
        <f>AVERAGE('01.08 Najjeera-Kiwatule-24h'!L68,'03.08 Najjeera-Kiwatule-24h'!L68)</f>
        <v>0</v>
      </c>
      <c r="M68" s="49">
        <f>AVERAGE('01.08 Najjeera-Kiwatule-24h'!M68,'03.08 Najjeera-Kiwatule-24h'!M68)</f>
        <v>84.5</v>
      </c>
      <c r="N68" s="49">
        <f>AVERAGE('01.08 Najjeera-Kiwatule-24h'!N68,'03.08 Najjeera-Kiwatule-24h'!N68)</f>
        <v>0</v>
      </c>
      <c r="O68" s="49">
        <f t="shared" si="0"/>
        <v>59.5</v>
      </c>
      <c r="P68" s="49">
        <f t="shared" si="1"/>
        <v>144</v>
      </c>
      <c r="R68" s="8"/>
      <c r="T68"/>
    </row>
    <row r="69" spans="2:20" ht="23.1" customHeight="1">
      <c r="B69" s="23" t="s">
        <v>106</v>
      </c>
      <c r="C69" s="49">
        <f>AVERAGE('01.08 Najjeera-Kiwatule-24h'!C69,'03.08 Najjeera-Kiwatule-24h'!C69)</f>
        <v>48.5</v>
      </c>
      <c r="D69" s="49">
        <f>AVERAGE('01.08 Najjeera-Kiwatule-24h'!D69,'03.08 Najjeera-Kiwatule-24h'!D69)</f>
        <v>6</v>
      </c>
      <c r="E69" s="49">
        <f>AVERAGE('01.08 Najjeera-Kiwatule-24h'!E69,'03.08 Najjeera-Kiwatule-24h'!E69)</f>
        <v>2.5</v>
      </c>
      <c r="F69" s="49">
        <f>AVERAGE('01.08 Najjeera-Kiwatule-24h'!F69,'03.08 Najjeera-Kiwatule-24h'!F69)</f>
        <v>8</v>
      </c>
      <c r="G69" s="49">
        <f>AVERAGE('01.08 Najjeera-Kiwatule-24h'!G69,'03.08 Najjeera-Kiwatule-24h'!G69)</f>
        <v>0</v>
      </c>
      <c r="H69" s="49">
        <f>AVERAGE('01.08 Najjeera-Kiwatule-24h'!H69,'03.08 Najjeera-Kiwatule-24h'!H69)</f>
        <v>0</v>
      </c>
      <c r="I69" s="49">
        <f>AVERAGE('01.08 Najjeera-Kiwatule-24h'!I69,'03.08 Najjeera-Kiwatule-24h'!I69)</f>
        <v>1.5</v>
      </c>
      <c r="J69" s="49">
        <f>AVERAGE('01.08 Najjeera-Kiwatule-24h'!J69,'03.08 Najjeera-Kiwatule-24h'!J69)</f>
        <v>0</v>
      </c>
      <c r="K69" s="49">
        <f>AVERAGE('01.08 Najjeera-Kiwatule-24h'!K69,'03.08 Najjeera-Kiwatule-24h'!K69)</f>
        <v>0</v>
      </c>
      <c r="L69" s="49">
        <f>AVERAGE('01.08 Najjeera-Kiwatule-24h'!L69,'03.08 Najjeera-Kiwatule-24h'!L69)</f>
        <v>0</v>
      </c>
      <c r="M69" s="49">
        <f>AVERAGE('01.08 Najjeera-Kiwatule-24h'!M69,'03.08 Najjeera-Kiwatule-24h'!M69)</f>
        <v>80</v>
      </c>
      <c r="N69" s="49">
        <f>AVERAGE('01.08 Najjeera-Kiwatule-24h'!N69,'03.08 Najjeera-Kiwatule-24h'!N69)</f>
        <v>0</v>
      </c>
      <c r="O69" s="49">
        <f t="shared" si="0"/>
        <v>66.5</v>
      </c>
      <c r="P69" s="49">
        <f t="shared" si="1"/>
        <v>146.5</v>
      </c>
      <c r="R69" s="8"/>
      <c r="T69"/>
    </row>
    <row r="70" spans="2:20" ht="23.1" customHeight="1">
      <c r="B70" s="23" t="s">
        <v>110</v>
      </c>
      <c r="C70" s="49">
        <f>AVERAGE('01.08 Najjeera-Kiwatule-24h'!C70,'03.08 Najjeera-Kiwatule-24h'!C70)</f>
        <v>45.5</v>
      </c>
      <c r="D70" s="49">
        <f>AVERAGE('01.08 Najjeera-Kiwatule-24h'!D70,'03.08 Najjeera-Kiwatule-24h'!D70)</f>
        <v>8.5</v>
      </c>
      <c r="E70" s="49">
        <f>AVERAGE('01.08 Najjeera-Kiwatule-24h'!E70,'03.08 Najjeera-Kiwatule-24h'!E70)</f>
        <v>3</v>
      </c>
      <c r="F70" s="49">
        <f>AVERAGE('01.08 Najjeera-Kiwatule-24h'!F70,'03.08 Najjeera-Kiwatule-24h'!F70)</f>
        <v>8</v>
      </c>
      <c r="G70" s="49">
        <f>AVERAGE('01.08 Najjeera-Kiwatule-24h'!G70,'03.08 Najjeera-Kiwatule-24h'!G70)</f>
        <v>0</v>
      </c>
      <c r="H70" s="49">
        <f>AVERAGE('01.08 Najjeera-Kiwatule-24h'!H70,'03.08 Najjeera-Kiwatule-24h'!H70)</f>
        <v>0</v>
      </c>
      <c r="I70" s="49">
        <f>AVERAGE('01.08 Najjeera-Kiwatule-24h'!I70,'03.08 Najjeera-Kiwatule-24h'!I70)</f>
        <v>3</v>
      </c>
      <c r="J70" s="49">
        <f>AVERAGE('01.08 Najjeera-Kiwatule-24h'!J70,'03.08 Najjeera-Kiwatule-24h'!J70)</f>
        <v>0</v>
      </c>
      <c r="K70" s="49">
        <f>AVERAGE('01.08 Najjeera-Kiwatule-24h'!K70,'03.08 Najjeera-Kiwatule-24h'!K70)</f>
        <v>0</v>
      </c>
      <c r="L70" s="49">
        <f>AVERAGE('01.08 Najjeera-Kiwatule-24h'!L70,'03.08 Najjeera-Kiwatule-24h'!L70)</f>
        <v>0</v>
      </c>
      <c r="M70" s="49">
        <f>AVERAGE('01.08 Najjeera-Kiwatule-24h'!M70,'03.08 Najjeera-Kiwatule-24h'!M70)</f>
        <v>108.5</v>
      </c>
      <c r="N70" s="49">
        <f>AVERAGE('01.08 Najjeera-Kiwatule-24h'!N70,'03.08 Najjeera-Kiwatule-24h'!N70)</f>
        <v>0.5</v>
      </c>
      <c r="O70" s="49">
        <f t="shared" si="0"/>
        <v>68.5</v>
      </c>
      <c r="P70" s="49">
        <f t="shared" si="1"/>
        <v>177</v>
      </c>
      <c r="R70" s="8"/>
      <c r="T70"/>
    </row>
    <row r="71" spans="2:20" ht="23.1" customHeight="1">
      <c r="B71" s="23" t="s">
        <v>111</v>
      </c>
      <c r="C71" s="49">
        <f>AVERAGE('01.08 Najjeera-Kiwatule-24h'!C71,'03.08 Najjeera-Kiwatule-24h'!C71)</f>
        <v>47</v>
      </c>
      <c r="D71" s="49">
        <f>AVERAGE('01.08 Najjeera-Kiwatule-24h'!D71,'03.08 Najjeera-Kiwatule-24h'!D71)</f>
        <v>7</v>
      </c>
      <c r="E71" s="49">
        <f>AVERAGE('01.08 Najjeera-Kiwatule-24h'!E71,'03.08 Najjeera-Kiwatule-24h'!E71)</f>
        <v>1.5</v>
      </c>
      <c r="F71" s="49">
        <f>AVERAGE('01.08 Najjeera-Kiwatule-24h'!F71,'03.08 Najjeera-Kiwatule-24h'!F71)</f>
        <v>9.5</v>
      </c>
      <c r="G71" s="49">
        <f>AVERAGE('01.08 Najjeera-Kiwatule-24h'!G71,'03.08 Najjeera-Kiwatule-24h'!G71)</f>
        <v>0</v>
      </c>
      <c r="H71" s="49">
        <f>AVERAGE('01.08 Najjeera-Kiwatule-24h'!H71,'03.08 Najjeera-Kiwatule-24h'!H71)</f>
        <v>0</v>
      </c>
      <c r="I71" s="49">
        <f>AVERAGE('01.08 Najjeera-Kiwatule-24h'!I71,'03.08 Najjeera-Kiwatule-24h'!I71)</f>
        <v>0</v>
      </c>
      <c r="J71" s="49">
        <f>AVERAGE('01.08 Najjeera-Kiwatule-24h'!J71,'03.08 Najjeera-Kiwatule-24h'!J71)</f>
        <v>0</v>
      </c>
      <c r="K71" s="49">
        <f>AVERAGE('01.08 Najjeera-Kiwatule-24h'!K71,'03.08 Najjeera-Kiwatule-24h'!K71)</f>
        <v>0</v>
      </c>
      <c r="L71" s="49">
        <f>AVERAGE('01.08 Najjeera-Kiwatule-24h'!L71,'03.08 Najjeera-Kiwatule-24h'!L71)</f>
        <v>0</v>
      </c>
      <c r="M71" s="49">
        <f>AVERAGE('01.08 Najjeera-Kiwatule-24h'!M71,'03.08 Najjeera-Kiwatule-24h'!M71)</f>
        <v>78</v>
      </c>
      <c r="N71" s="49">
        <f>AVERAGE('01.08 Najjeera-Kiwatule-24h'!N71,'03.08 Najjeera-Kiwatule-24h'!N71)</f>
        <v>0</v>
      </c>
      <c r="O71" s="49">
        <f t="shared" si="0"/>
        <v>65</v>
      </c>
      <c r="P71" s="49">
        <f t="shared" si="1"/>
        <v>143</v>
      </c>
      <c r="R71" s="8"/>
      <c r="T71"/>
    </row>
    <row r="72" spans="2:20" ht="23.1" customHeight="1">
      <c r="B72" s="23" t="s">
        <v>112</v>
      </c>
      <c r="C72" s="49">
        <f>AVERAGE('01.08 Najjeera-Kiwatule-24h'!C72,'03.08 Najjeera-Kiwatule-24h'!C72)</f>
        <v>36.5</v>
      </c>
      <c r="D72" s="49">
        <f>AVERAGE('01.08 Najjeera-Kiwatule-24h'!D72,'03.08 Najjeera-Kiwatule-24h'!D72)</f>
        <v>6</v>
      </c>
      <c r="E72" s="49">
        <f>AVERAGE('01.08 Najjeera-Kiwatule-24h'!E72,'03.08 Najjeera-Kiwatule-24h'!E72)</f>
        <v>2.5</v>
      </c>
      <c r="F72" s="49">
        <f>AVERAGE('01.08 Najjeera-Kiwatule-24h'!F72,'03.08 Najjeera-Kiwatule-24h'!F72)</f>
        <v>9.5</v>
      </c>
      <c r="G72" s="49">
        <f>AVERAGE('01.08 Najjeera-Kiwatule-24h'!G72,'03.08 Najjeera-Kiwatule-24h'!G72)</f>
        <v>0</v>
      </c>
      <c r="H72" s="49">
        <f>AVERAGE('01.08 Najjeera-Kiwatule-24h'!H72,'03.08 Najjeera-Kiwatule-24h'!H72)</f>
        <v>0</v>
      </c>
      <c r="I72" s="49">
        <f>AVERAGE('01.08 Najjeera-Kiwatule-24h'!I72,'03.08 Najjeera-Kiwatule-24h'!I72)</f>
        <v>3</v>
      </c>
      <c r="J72" s="49">
        <f>AVERAGE('01.08 Najjeera-Kiwatule-24h'!J72,'03.08 Najjeera-Kiwatule-24h'!J72)</f>
        <v>0</v>
      </c>
      <c r="K72" s="49">
        <f>AVERAGE('01.08 Najjeera-Kiwatule-24h'!K72,'03.08 Najjeera-Kiwatule-24h'!K72)</f>
        <v>0</v>
      </c>
      <c r="L72" s="49">
        <f>AVERAGE('01.08 Najjeera-Kiwatule-24h'!L72,'03.08 Najjeera-Kiwatule-24h'!L72)</f>
        <v>0</v>
      </c>
      <c r="M72" s="49">
        <f>AVERAGE('01.08 Najjeera-Kiwatule-24h'!M72,'03.08 Najjeera-Kiwatule-24h'!M72)</f>
        <v>62.5</v>
      </c>
      <c r="N72" s="49">
        <f>AVERAGE('01.08 Najjeera-Kiwatule-24h'!N72,'03.08 Najjeera-Kiwatule-24h'!N72)</f>
        <v>0</v>
      </c>
      <c r="O72" s="49">
        <f t="shared" si="0"/>
        <v>57.5</v>
      </c>
      <c r="P72" s="49">
        <f t="shared" si="1"/>
        <v>120</v>
      </c>
      <c r="R72" s="8"/>
      <c r="T72"/>
    </row>
    <row r="73" spans="2:20" ht="23.1" customHeight="1">
      <c r="B73" s="23" t="s">
        <v>113</v>
      </c>
      <c r="C73" s="49">
        <f>AVERAGE('01.08 Najjeera-Kiwatule-24h'!C73,'03.08 Najjeera-Kiwatule-24h'!C73)</f>
        <v>40.5</v>
      </c>
      <c r="D73" s="49">
        <f>AVERAGE('01.08 Najjeera-Kiwatule-24h'!D73,'03.08 Najjeera-Kiwatule-24h'!D73)</f>
        <v>1.5</v>
      </c>
      <c r="E73" s="49">
        <f>AVERAGE('01.08 Najjeera-Kiwatule-24h'!E73,'03.08 Najjeera-Kiwatule-24h'!E73)</f>
        <v>0.5</v>
      </c>
      <c r="F73" s="49">
        <f>AVERAGE('01.08 Najjeera-Kiwatule-24h'!F73,'03.08 Najjeera-Kiwatule-24h'!F73)</f>
        <v>6</v>
      </c>
      <c r="G73" s="49">
        <f>AVERAGE('01.08 Najjeera-Kiwatule-24h'!G73,'03.08 Najjeera-Kiwatule-24h'!G73)</f>
        <v>0</v>
      </c>
      <c r="H73" s="49">
        <f>AVERAGE('01.08 Najjeera-Kiwatule-24h'!H73,'03.08 Najjeera-Kiwatule-24h'!H73)</f>
        <v>0</v>
      </c>
      <c r="I73" s="49">
        <f>AVERAGE('01.08 Najjeera-Kiwatule-24h'!I73,'03.08 Najjeera-Kiwatule-24h'!I73)</f>
        <v>0.5</v>
      </c>
      <c r="J73" s="49">
        <f>AVERAGE('01.08 Najjeera-Kiwatule-24h'!J73,'03.08 Najjeera-Kiwatule-24h'!J73)</f>
        <v>0</v>
      </c>
      <c r="K73" s="49">
        <f>AVERAGE('01.08 Najjeera-Kiwatule-24h'!K73,'03.08 Najjeera-Kiwatule-24h'!K73)</f>
        <v>0</v>
      </c>
      <c r="L73" s="49">
        <f>AVERAGE('01.08 Najjeera-Kiwatule-24h'!L73,'03.08 Najjeera-Kiwatule-24h'!L73)</f>
        <v>0</v>
      </c>
      <c r="M73" s="49">
        <f>AVERAGE('01.08 Najjeera-Kiwatule-24h'!M73,'03.08 Najjeera-Kiwatule-24h'!M73)</f>
        <v>49.5</v>
      </c>
      <c r="N73" s="49">
        <f>AVERAGE('01.08 Najjeera-Kiwatule-24h'!N73,'03.08 Najjeera-Kiwatule-24h'!N73)</f>
        <v>0</v>
      </c>
      <c r="O73" s="49">
        <f t="shared" si="0"/>
        <v>49</v>
      </c>
      <c r="P73" s="49">
        <f t="shared" si="1"/>
        <v>98.5</v>
      </c>
      <c r="R73" s="8"/>
      <c r="T73"/>
    </row>
    <row r="74" spans="2:20" ht="23.1" customHeight="1">
      <c r="B74" s="23" t="s">
        <v>114</v>
      </c>
      <c r="C74" s="49">
        <f>AVERAGE('01.08 Najjeera-Kiwatule-24h'!C74,'03.08 Najjeera-Kiwatule-24h'!C74)</f>
        <v>39</v>
      </c>
      <c r="D74" s="49">
        <f>AVERAGE('01.08 Najjeera-Kiwatule-24h'!D74,'03.08 Najjeera-Kiwatule-24h'!D74)</f>
        <v>4.5</v>
      </c>
      <c r="E74" s="49">
        <f>AVERAGE('01.08 Najjeera-Kiwatule-24h'!E74,'03.08 Najjeera-Kiwatule-24h'!E74)</f>
        <v>5.5</v>
      </c>
      <c r="F74" s="49">
        <f>AVERAGE('01.08 Najjeera-Kiwatule-24h'!F74,'03.08 Najjeera-Kiwatule-24h'!F74)</f>
        <v>6.5</v>
      </c>
      <c r="G74" s="49">
        <f>AVERAGE('01.08 Najjeera-Kiwatule-24h'!G74,'03.08 Najjeera-Kiwatule-24h'!G74)</f>
        <v>0</v>
      </c>
      <c r="H74" s="49">
        <f>AVERAGE('01.08 Najjeera-Kiwatule-24h'!H74,'03.08 Najjeera-Kiwatule-24h'!H74)</f>
        <v>0</v>
      </c>
      <c r="I74" s="49">
        <f>AVERAGE('01.08 Najjeera-Kiwatule-24h'!I74,'03.08 Najjeera-Kiwatule-24h'!I74)</f>
        <v>1.5</v>
      </c>
      <c r="J74" s="49">
        <f>AVERAGE('01.08 Najjeera-Kiwatule-24h'!J74,'03.08 Najjeera-Kiwatule-24h'!J74)</f>
        <v>0</v>
      </c>
      <c r="K74" s="49">
        <f>AVERAGE('01.08 Najjeera-Kiwatule-24h'!K74,'03.08 Najjeera-Kiwatule-24h'!K74)</f>
        <v>0.5</v>
      </c>
      <c r="L74" s="49">
        <f>AVERAGE('01.08 Najjeera-Kiwatule-24h'!L74,'03.08 Najjeera-Kiwatule-24h'!L74)</f>
        <v>0</v>
      </c>
      <c r="M74" s="49">
        <f>AVERAGE('01.08 Najjeera-Kiwatule-24h'!M74,'03.08 Najjeera-Kiwatule-24h'!M74)</f>
        <v>56.5</v>
      </c>
      <c r="N74" s="49">
        <f>AVERAGE('01.08 Najjeera-Kiwatule-24h'!N74,'03.08 Najjeera-Kiwatule-24h'!N74)</f>
        <v>0</v>
      </c>
      <c r="O74" s="49">
        <f t="shared" ref="O74:O104" si="25">SUM(C74:L74,N74)</f>
        <v>57.5</v>
      </c>
      <c r="P74" s="49">
        <f t="shared" ref="P74:P104" si="26">SUM(C74:N74)</f>
        <v>114</v>
      </c>
      <c r="R74" s="8"/>
      <c r="T74"/>
    </row>
    <row r="75" spans="2:20" ht="23.1" customHeight="1">
      <c r="B75" s="23" t="s">
        <v>115</v>
      </c>
      <c r="C75" s="49">
        <f>AVERAGE('01.08 Najjeera-Kiwatule-24h'!C75,'03.08 Najjeera-Kiwatule-24h'!C75)</f>
        <v>32.5</v>
      </c>
      <c r="D75" s="49">
        <f>AVERAGE('01.08 Najjeera-Kiwatule-24h'!D75,'03.08 Najjeera-Kiwatule-24h'!D75)</f>
        <v>11</v>
      </c>
      <c r="E75" s="49">
        <f>AVERAGE('01.08 Najjeera-Kiwatule-24h'!E75,'03.08 Najjeera-Kiwatule-24h'!E75)</f>
        <v>1.5</v>
      </c>
      <c r="F75" s="49">
        <f>AVERAGE('01.08 Najjeera-Kiwatule-24h'!F75,'03.08 Najjeera-Kiwatule-24h'!F75)</f>
        <v>4.5</v>
      </c>
      <c r="G75" s="49">
        <f>AVERAGE('01.08 Najjeera-Kiwatule-24h'!G75,'03.08 Najjeera-Kiwatule-24h'!G75)</f>
        <v>0</v>
      </c>
      <c r="H75" s="49">
        <f>AVERAGE('01.08 Najjeera-Kiwatule-24h'!H75,'03.08 Najjeera-Kiwatule-24h'!H75)</f>
        <v>0</v>
      </c>
      <c r="I75" s="49">
        <f>AVERAGE('01.08 Najjeera-Kiwatule-24h'!I75,'03.08 Najjeera-Kiwatule-24h'!I75)</f>
        <v>2.5</v>
      </c>
      <c r="J75" s="49">
        <f>AVERAGE('01.08 Najjeera-Kiwatule-24h'!J75,'03.08 Najjeera-Kiwatule-24h'!J75)</f>
        <v>0</v>
      </c>
      <c r="K75" s="49">
        <f>AVERAGE('01.08 Najjeera-Kiwatule-24h'!K75,'03.08 Najjeera-Kiwatule-24h'!K75)</f>
        <v>0</v>
      </c>
      <c r="L75" s="49">
        <f>AVERAGE('01.08 Najjeera-Kiwatule-24h'!L75,'03.08 Najjeera-Kiwatule-24h'!L75)</f>
        <v>0</v>
      </c>
      <c r="M75" s="49">
        <f>AVERAGE('01.08 Najjeera-Kiwatule-24h'!M75,'03.08 Najjeera-Kiwatule-24h'!M75)</f>
        <v>62.5</v>
      </c>
      <c r="N75" s="49">
        <f>AVERAGE('01.08 Najjeera-Kiwatule-24h'!N75,'03.08 Najjeera-Kiwatule-24h'!N75)</f>
        <v>0</v>
      </c>
      <c r="O75" s="49">
        <f t="shared" si="25"/>
        <v>52</v>
      </c>
      <c r="P75" s="49">
        <f t="shared" si="26"/>
        <v>114.5</v>
      </c>
      <c r="R75" s="8"/>
      <c r="T75"/>
    </row>
    <row r="76" spans="2:20" ht="23.1" customHeight="1">
      <c r="B76" s="23" t="s">
        <v>116</v>
      </c>
      <c r="C76" s="49">
        <f>AVERAGE('01.08 Najjeera-Kiwatule-24h'!C76,'03.08 Najjeera-Kiwatule-24h'!C76)</f>
        <v>48</v>
      </c>
      <c r="D76" s="49">
        <f>AVERAGE('01.08 Najjeera-Kiwatule-24h'!D76,'03.08 Najjeera-Kiwatule-24h'!D76)</f>
        <v>5</v>
      </c>
      <c r="E76" s="49">
        <f>AVERAGE('01.08 Najjeera-Kiwatule-24h'!E76,'03.08 Najjeera-Kiwatule-24h'!E76)</f>
        <v>1</v>
      </c>
      <c r="F76" s="49">
        <f>AVERAGE('01.08 Najjeera-Kiwatule-24h'!F76,'03.08 Najjeera-Kiwatule-24h'!F76)</f>
        <v>8.5</v>
      </c>
      <c r="G76" s="49">
        <f>AVERAGE('01.08 Najjeera-Kiwatule-24h'!G76,'03.08 Najjeera-Kiwatule-24h'!G76)</f>
        <v>0.5</v>
      </c>
      <c r="H76" s="49">
        <f>AVERAGE('01.08 Najjeera-Kiwatule-24h'!H76,'03.08 Najjeera-Kiwatule-24h'!H76)</f>
        <v>0</v>
      </c>
      <c r="I76" s="49">
        <f>AVERAGE('01.08 Najjeera-Kiwatule-24h'!I76,'03.08 Najjeera-Kiwatule-24h'!I76)</f>
        <v>1.5</v>
      </c>
      <c r="J76" s="49">
        <f>AVERAGE('01.08 Najjeera-Kiwatule-24h'!J76,'03.08 Najjeera-Kiwatule-24h'!J76)</f>
        <v>0</v>
      </c>
      <c r="K76" s="49">
        <f>AVERAGE('01.08 Najjeera-Kiwatule-24h'!K76,'03.08 Najjeera-Kiwatule-24h'!K76)</f>
        <v>0</v>
      </c>
      <c r="L76" s="49">
        <f>AVERAGE('01.08 Najjeera-Kiwatule-24h'!L76,'03.08 Najjeera-Kiwatule-24h'!L76)</f>
        <v>0</v>
      </c>
      <c r="M76" s="49">
        <f>AVERAGE('01.08 Najjeera-Kiwatule-24h'!M76,'03.08 Najjeera-Kiwatule-24h'!M76)</f>
        <v>65</v>
      </c>
      <c r="N76" s="49">
        <f>AVERAGE('01.08 Najjeera-Kiwatule-24h'!N76,'03.08 Najjeera-Kiwatule-24h'!N76)</f>
        <v>0</v>
      </c>
      <c r="O76" s="49">
        <f t="shared" si="25"/>
        <v>64.5</v>
      </c>
      <c r="P76" s="49">
        <f t="shared" si="26"/>
        <v>129.5</v>
      </c>
      <c r="R76" s="8"/>
      <c r="T76"/>
    </row>
    <row r="77" spans="2:20" ht="23.1" customHeight="1">
      <c r="B77" s="23" t="s">
        <v>117</v>
      </c>
      <c r="C77" s="49">
        <f>AVERAGE('01.08 Najjeera-Kiwatule-24h'!C77,'03.08 Najjeera-Kiwatule-24h'!C77)</f>
        <v>41</v>
      </c>
      <c r="D77" s="49">
        <f>AVERAGE('01.08 Najjeera-Kiwatule-24h'!D77,'03.08 Najjeera-Kiwatule-24h'!D77)</f>
        <v>9</v>
      </c>
      <c r="E77" s="49">
        <f>AVERAGE('01.08 Najjeera-Kiwatule-24h'!E77,'03.08 Najjeera-Kiwatule-24h'!E77)</f>
        <v>3</v>
      </c>
      <c r="F77" s="49">
        <f>AVERAGE('01.08 Najjeera-Kiwatule-24h'!F77,'03.08 Najjeera-Kiwatule-24h'!F77)</f>
        <v>3</v>
      </c>
      <c r="G77" s="49">
        <f>AVERAGE('01.08 Najjeera-Kiwatule-24h'!G77,'03.08 Najjeera-Kiwatule-24h'!G77)</f>
        <v>0</v>
      </c>
      <c r="H77" s="49">
        <f>AVERAGE('01.08 Najjeera-Kiwatule-24h'!H77,'03.08 Najjeera-Kiwatule-24h'!H77)</f>
        <v>0</v>
      </c>
      <c r="I77" s="49">
        <f>AVERAGE('01.08 Najjeera-Kiwatule-24h'!I77,'03.08 Najjeera-Kiwatule-24h'!I77)</f>
        <v>1</v>
      </c>
      <c r="J77" s="49">
        <f>AVERAGE('01.08 Najjeera-Kiwatule-24h'!J77,'03.08 Najjeera-Kiwatule-24h'!J77)</f>
        <v>0</v>
      </c>
      <c r="K77" s="49">
        <f>AVERAGE('01.08 Najjeera-Kiwatule-24h'!K77,'03.08 Najjeera-Kiwatule-24h'!K77)</f>
        <v>0</v>
      </c>
      <c r="L77" s="49">
        <f>AVERAGE('01.08 Najjeera-Kiwatule-24h'!L77,'03.08 Najjeera-Kiwatule-24h'!L77)</f>
        <v>0</v>
      </c>
      <c r="M77" s="49">
        <f>AVERAGE('01.08 Najjeera-Kiwatule-24h'!M77,'03.08 Najjeera-Kiwatule-24h'!M77)</f>
        <v>48.5</v>
      </c>
      <c r="N77" s="49">
        <f>AVERAGE('01.08 Najjeera-Kiwatule-24h'!N77,'03.08 Najjeera-Kiwatule-24h'!N77)</f>
        <v>0</v>
      </c>
      <c r="O77" s="49">
        <f t="shared" si="25"/>
        <v>57</v>
      </c>
      <c r="P77" s="49">
        <f t="shared" si="26"/>
        <v>105.5</v>
      </c>
      <c r="R77" s="8"/>
      <c r="T77"/>
    </row>
    <row r="78" spans="2:20" ht="23.1" customHeight="1">
      <c r="B78" s="24" t="s">
        <v>118</v>
      </c>
      <c r="C78" s="49">
        <f>AVERAGE('01.08 Najjeera-Kiwatule-24h'!C78,'03.08 Najjeera-Kiwatule-24h'!C78)</f>
        <v>37.5</v>
      </c>
      <c r="D78" s="49">
        <f>AVERAGE('01.08 Najjeera-Kiwatule-24h'!D78,'03.08 Najjeera-Kiwatule-24h'!D78)</f>
        <v>4</v>
      </c>
      <c r="E78" s="49">
        <f>AVERAGE('01.08 Najjeera-Kiwatule-24h'!E78,'03.08 Najjeera-Kiwatule-24h'!E78)</f>
        <v>2</v>
      </c>
      <c r="F78" s="49">
        <f>AVERAGE('01.08 Najjeera-Kiwatule-24h'!F78,'03.08 Najjeera-Kiwatule-24h'!F78)</f>
        <v>3</v>
      </c>
      <c r="G78" s="49">
        <f>AVERAGE('01.08 Najjeera-Kiwatule-24h'!G78,'03.08 Najjeera-Kiwatule-24h'!G78)</f>
        <v>0</v>
      </c>
      <c r="H78" s="49">
        <f>AVERAGE('01.08 Najjeera-Kiwatule-24h'!H78,'03.08 Najjeera-Kiwatule-24h'!H78)</f>
        <v>0</v>
      </c>
      <c r="I78" s="49">
        <f>AVERAGE('01.08 Najjeera-Kiwatule-24h'!I78,'03.08 Najjeera-Kiwatule-24h'!I78)</f>
        <v>1.5</v>
      </c>
      <c r="J78" s="49">
        <f>AVERAGE('01.08 Najjeera-Kiwatule-24h'!J78,'03.08 Najjeera-Kiwatule-24h'!J78)</f>
        <v>0</v>
      </c>
      <c r="K78" s="49">
        <f>AVERAGE('01.08 Najjeera-Kiwatule-24h'!K78,'03.08 Najjeera-Kiwatule-24h'!K78)</f>
        <v>0</v>
      </c>
      <c r="L78" s="49">
        <f>AVERAGE('01.08 Najjeera-Kiwatule-24h'!L78,'03.08 Najjeera-Kiwatule-24h'!L78)</f>
        <v>0</v>
      </c>
      <c r="M78" s="49">
        <f>AVERAGE('01.08 Najjeera-Kiwatule-24h'!M78,'03.08 Najjeera-Kiwatule-24h'!M78)</f>
        <v>27.5</v>
      </c>
      <c r="N78" s="49">
        <f>AVERAGE('01.08 Najjeera-Kiwatule-24h'!N78,'03.08 Najjeera-Kiwatule-24h'!N78)</f>
        <v>0</v>
      </c>
      <c r="O78" s="49">
        <f t="shared" si="25"/>
        <v>48</v>
      </c>
      <c r="P78" s="49">
        <f t="shared" si="26"/>
        <v>75.5</v>
      </c>
      <c r="R78" s="8"/>
      <c r="T78"/>
    </row>
    <row r="79" spans="2:20" ht="23.1" customHeight="1">
      <c r="B79" s="23" t="s">
        <v>119</v>
      </c>
      <c r="C79" s="49">
        <f>AVERAGE('01.08 Najjeera-Kiwatule-24h'!C79,'03.08 Najjeera-Kiwatule-24h'!C79)</f>
        <v>40</v>
      </c>
      <c r="D79" s="49">
        <f>AVERAGE('01.08 Najjeera-Kiwatule-24h'!D79,'03.08 Najjeera-Kiwatule-24h'!D79)</f>
        <v>7.5</v>
      </c>
      <c r="E79" s="49">
        <f>AVERAGE('01.08 Najjeera-Kiwatule-24h'!E79,'03.08 Najjeera-Kiwatule-24h'!E79)</f>
        <v>2.5</v>
      </c>
      <c r="F79" s="49">
        <f>AVERAGE('01.08 Najjeera-Kiwatule-24h'!F79,'03.08 Najjeera-Kiwatule-24h'!F79)</f>
        <v>3.5</v>
      </c>
      <c r="G79" s="49">
        <f>AVERAGE('01.08 Najjeera-Kiwatule-24h'!G79,'03.08 Najjeera-Kiwatule-24h'!G79)</f>
        <v>0</v>
      </c>
      <c r="H79" s="49">
        <f>AVERAGE('01.08 Najjeera-Kiwatule-24h'!H79,'03.08 Najjeera-Kiwatule-24h'!H79)</f>
        <v>0</v>
      </c>
      <c r="I79" s="49">
        <f>AVERAGE('01.08 Najjeera-Kiwatule-24h'!I79,'03.08 Najjeera-Kiwatule-24h'!I79)</f>
        <v>2</v>
      </c>
      <c r="J79" s="49">
        <f>AVERAGE('01.08 Najjeera-Kiwatule-24h'!J79,'03.08 Najjeera-Kiwatule-24h'!J79)</f>
        <v>0</v>
      </c>
      <c r="K79" s="49">
        <f>AVERAGE('01.08 Najjeera-Kiwatule-24h'!K79,'03.08 Najjeera-Kiwatule-24h'!K79)</f>
        <v>0</v>
      </c>
      <c r="L79" s="49">
        <f>AVERAGE('01.08 Najjeera-Kiwatule-24h'!L79,'03.08 Najjeera-Kiwatule-24h'!L79)</f>
        <v>0</v>
      </c>
      <c r="M79" s="49">
        <f>AVERAGE('01.08 Najjeera-Kiwatule-24h'!M79,'03.08 Najjeera-Kiwatule-24h'!M79)</f>
        <v>34.5</v>
      </c>
      <c r="N79" s="49">
        <f>AVERAGE('01.08 Najjeera-Kiwatule-24h'!N79,'03.08 Najjeera-Kiwatule-24h'!N79)</f>
        <v>0</v>
      </c>
      <c r="O79" s="49">
        <f t="shared" si="25"/>
        <v>55.5</v>
      </c>
      <c r="P79" s="49">
        <f t="shared" si="26"/>
        <v>90</v>
      </c>
      <c r="R79" s="8"/>
      <c r="T79"/>
    </row>
    <row r="80" spans="2:20" ht="23.1" customHeight="1">
      <c r="B80" s="25" t="s">
        <v>120</v>
      </c>
      <c r="C80" s="49">
        <f>AVERAGE('01.08 Najjeera-Kiwatule-24h'!C80,'03.08 Najjeera-Kiwatule-24h'!C80)</f>
        <v>34</v>
      </c>
      <c r="D80" s="49">
        <f>AVERAGE('01.08 Najjeera-Kiwatule-24h'!D80,'03.08 Najjeera-Kiwatule-24h'!D80)</f>
        <v>5.5</v>
      </c>
      <c r="E80" s="49">
        <f>AVERAGE('01.08 Najjeera-Kiwatule-24h'!E80,'03.08 Najjeera-Kiwatule-24h'!E80)</f>
        <v>1.5</v>
      </c>
      <c r="F80" s="49">
        <f>AVERAGE('01.08 Najjeera-Kiwatule-24h'!F80,'03.08 Najjeera-Kiwatule-24h'!F80)</f>
        <v>2.5</v>
      </c>
      <c r="G80" s="49">
        <f>AVERAGE('01.08 Najjeera-Kiwatule-24h'!G80,'03.08 Najjeera-Kiwatule-24h'!G80)</f>
        <v>0</v>
      </c>
      <c r="H80" s="49">
        <f>AVERAGE('01.08 Najjeera-Kiwatule-24h'!H80,'03.08 Najjeera-Kiwatule-24h'!H80)</f>
        <v>0</v>
      </c>
      <c r="I80" s="49">
        <f>AVERAGE('01.08 Najjeera-Kiwatule-24h'!I80,'03.08 Najjeera-Kiwatule-24h'!I80)</f>
        <v>1</v>
      </c>
      <c r="J80" s="49">
        <f>AVERAGE('01.08 Najjeera-Kiwatule-24h'!J80,'03.08 Najjeera-Kiwatule-24h'!J80)</f>
        <v>0.5</v>
      </c>
      <c r="K80" s="49">
        <f>AVERAGE('01.08 Najjeera-Kiwatule-24h'!K80,'03.08 Najjeera-Kiwatule-24h'!K80)</f>
        <v>0</v>
      </c>
      <c r="L80" s="49">
        <f>AVERAGE('01.08 Najjeera-Kiwatule-24h'!L80,'03.08 Najjeera-Kiwatule-24h'!L80)</f>
        <v>0</v>
      </c>
      <c r="M80" s="49">
        <f>AVERAGE('01.08 Najjeera-Kiwatule-24h'!M80,'03.08 Najjeera-Kiwatule-24h'!M80)</f>
        <v>31.5</v>
      </c>
      <c r="N80" s="49">
        <f>AVERAGE('01.08 Najjeera-Kiwatule-24h'!N80,'03.08 Najjeera-Kiwatule-24h'!N80)</f>
        <v>0</v>
      </c>
      <c r="O80" s="49">
        <f t="shared" si="25"/>
        <v>45</v>
      </c>
      <c r="P80" s="49">
        <f t="shared" si="26"/>
        <v>76.5</v>
      </c>
      <c r="R80" s="8"/>
      <c r="T80"/>
    </row>
    <row r="81" spans="2:20" ht="23.1" customHeight="1">
      <c r="B81" s="23" t="s">
        <v>121</v>
      </c>
      <c r="C81" s="49">
        <f>AVERAGE('01.08 Najjeera-Kiwatule-24h'!C81,'03.08 Najjeera-Kiwatule-24h'!C81)</f>
        <v>29.5</v>
      </c>
      <c r="D81" s="49">
        <f>AVERAGE('01.08 Najjeera-Kiwatule-24h'!D81,'03.08 Najjeera-Kiwatule-24h'!D81)</f>
        <v>4.5</v>
      </c>
      <c r="E81" s="49">
        <f>AVERAGE('01.08 Najjeera-Kiwatule-24h'!E81,'03.08 Najjeera-Kiwatule-24h'!E81)</f>
        <v>1</v>
      </c>
      <c r="F81" s="49">
        <f>AVERAGE('01.08 Najjeera-Kiwatule-24h'!F81,'03.08 Najjeera-Kiwatule-24h'!F81)</f>
        <v>1.5</v>
      </c>
      <c r="G81" s="49">
        <f>AVERAGE('01.08 Najjeera-Kiwatule-24h'!G81,'03.08 Najjeera-Kiwatule-24h'!G81)</f>
        <v>0</v>
      </c>
      <c r="H81" s="49">
        <f>AVERAGE('01.08 Najjeera-Kiwatule-24h'!H81,'03.08 Najjeera-Kiwatule-24h'!H81)</f>
        <v>0</v>
      </c>
      <c r="I81" s="49">
        <f>AVERAGE('01.08 Najjeera-Kiwatule-24h'!I81,'03.08 Najjeera-Kiwatule-24h'!I81)</f>
        <v>0</v>
      </c>
      <c r="J81" s="49">
        <f>AVERAGE('01.08 Najjeera-Kiwatule-24h'!J81,'03.08 Najjeera-Kiwatule-24h'!J81)</f>
        <v>0</v>
      </c>
      <c r="K81" s="49">
        <f>AVERAGE('01.08 Najjeera-Kiwatule-24h'!K81,'03.08 Najjeera-Kiwatule-24h'!K81)</f>
        <v>0</v>
      </c>
      <c r="L81" s="49">
        <f>AVERAGE('01.08 Najjeera-Kiwatule-24h'!L81,'03.08 Najjeera-Kiwatule-24h'!L81)</f>
        <v>0</v>
      </c>
      <c r="M81" s="49">
        <f>AVERAGE('01.08 Najjeera-Kiwatule-24h'!M81,'03.08 Najjeera-Kiwatule-24h'!M81)</f>
        <v>28.5</v>
      </c>
      <c r="N81" s="49">
        <f>AVERAGE('01.08 Najjeera-Kiwatule-24h'!N81,'03.08 Najjeera-Kiwatule-24h'!N81)</f>
        <v>0</v>
      </c>
      <c r="O81" s="49">
        <f t="shared" si="25"/>
        <v>36.5</v>
      </c>
      <c r="P81" s="49">
        <f t="shared" si="26"/>
        <v>65</v>
      </c>
      <c r="R81" s="8"/>
      <c r="T81"/>
    </row>
    <row r="82" spans="2:20" ht="23.1" customHeight="1">
      <c r="B82" s="24" t="s">
        <v>122</v>
      </c>
      <c r="C82" s="49">
        <f>AVERAGE('01.08 Najjeera-Kiwatule-24h'!C82,'03.08 Najjeera-Kiwatule-24h'!C82)</f>
        <v>31.5</v>
      </c>
      <c r="D82" s="49">
        <f>AVERAGE('01.08 Najjeera-Kiwatule-24h'!D82,'03.08 Najjeera-Kiwatule-24h'!D82)</f>
        <v>3.5</v>
      </c>
      <c r="E82" s="49">
        <f>AVERAGE('01.08 Najjeera-Kiwatule-24h'!E82,'03.08 Najjeera-Kiwatule-24h'!E82)</f>
        <v>1</v>
      </c>
      <c r="F82" s="49">
        <f>AVERAGE('01.08 Najjeera-Kiwatule-24h'!F82,'03.08 Najjeera-Kiwatule-24h'!F82)</f>
        <v>0</v>
      </c>
      <c r="G82" s="49">
        <f>AVERAGE('01.08 Najjeera-Kiwatule-24h'!G82,'03.08 Najjeera-Kiwatule-24h'!G82)</f>
        <v>0</v>
      </c>
      <c r="H82" s="49">
        <f>AVERAGE('01.08 Najjeera-Kiwatule-24h'!H82,'03.08 Najjeera-Kiwatule-24h'!H82)</f>
        <v>0</v>
      </c>
      <c r="I82" s="49">
        <f>AVERAGE('01.08 Najjeera-Kiwatule-24h'!I82,'03.08 Najjeera-Kiwatule-24h'!I82)</f>
        <v>2</v>
      </c>
      <c r="J82" s="49">
        <f>AVERAGE('01.08 Najjeera-Kiwatule-24h'!J82,'03.08 Najjeera-Kiwatule-24h'!J82)</f>
        <v>0</v>
      </c>
      <c r="K82" s="49">
        <f>AVERAGE('01.08 Najjeera-Kiwatule-24h'!K82,'03.08 Najjeera-Kiwatule-24h'!K82)</f>
        <v>0</v>
      </c>
      <c r="L82" s="49">
        <f>AVERAGE('01.08 Najjeera-Kiwatule-24h'!L82,'03.08 Najjeera-Kiwatule-24h'!L82)</f>
        <v>0</v>
      </c>
      <c r="M82" s="49">
        <f>AVERAGE('01.08 Najjeera-Kiwatule-24h'!M82,'03.08 Najjeera-Kiwatule-24h'!M82)</f>
        <v>30</v>
      </c>
      <c r="N82" s="49">
        <f>AVERAGE('01.08 Najjeera-Kiwatule-24h'!N82,'03.08 Najjeera-Kiwatule-24h'!N82)</f>
        <v>0</v>
      </c>
      <c r="O82" s="49">
        <f t="shared" si="25"/>
        <v>38</v>
      </c>
      <c r="P82" s="49">
        <f t="shared" si="26"/>
        <v>68</v>
      </c>
      <c r="R82" s="8"/>
      <c r="T82"/>
    </row>
    <row r="83" spans="2:20" ht="23.1" customHeight="1">
      <c r="B83" s="23" t="s">
        <v>123</v>
      </c>
      <c r="C83" s="49">
        <f>AVERAGE('01.08 Najjeera-Kiwatule-24h'!C83,'03.08 Najjeera-Kiwatule-24h'!C83)</f>
        <v>21.5</v>
      </c>
      <c r="D83" s="49">
        <f>AVERAGE('01.08 Najjeera-Kiwatule-24h'!D83,'03.08 Najjeera-Kiwatule-24h'!D83)</f>
        <v>4</v>
      </c>
      <c r="E83" s="49">
        <f>AVERAGE('01.08 Najjeera-Kiwatule-24h'!E83,'03.08 Najjeera-Kiwatule-24h'!E83)</f>
        <v>0.5</v>
      </c>
      <c r="F83" s="49">
        <f>AVERAGE('01.08 Najjeera-Kiwatule-24h'!F83,'03.08 Najjeera-Kiwatule-24h'!F83)</f>
        <v>0</v>
      </c>
      <c r="G83" s="49">
        <f>AVERAGE('01.08 Najjeera-Kiwatule-24h'!G83,'03.08 Najjeera-Kiwatule-24h'!G83)</f>
        <v>0</v>
      </c>
      <c r="H83" s="49">
        <f>AVERAGE('01.08 Najjeera-Kiwatule-24h'!H83,'03.08 Najjeera-Kiwatule-24h'!H83)</f>
        <v>0</v>
      </c>
      <c r="I83" s="49">
        <f>AVERAGE('01.08 Najjeera-Kiwatule-24h'!I83,'03.08 Najjeera-Kiwatule-24h'!I83)</f>
        <v>0</v>
      </c>
      <c r="J83" s="49">
        <f>AVERAGE('01.08 Najjeera-Kiwatule-24h'!J83,'03.08 Najjeera-Kiwatule-24h'!J83)</f>
        <v>0</v>
      </c>
      <c r="K83" s="49">
        <f>AVERAGE('01.08 Najjeera-Kiwatule-24h'!K83,'03.08 Najjeera-Kiwatule-24h'!K83)</f>
        <v>0</v>
      </c>
      <c r="L83" s="49">
        <f>AVERAGE('01.08 Najjeera-Kiwatule-24h'!L83,'03.08 Najjeera-Kiwatule-24h'!L83)</f>
        <v>0</v>
      </c>
      <c r="M83" s="49">
        <f>AVERAGE('01.08 Najjeera-Kiwatule-24h'!M83,'03.08 Najjeera-Kiwatule-24h'!M83)</f>
        <v>29</v>
      </c>
      <c r="N83" s="49">
        <f>AVERAGE('01.08 Najjeera-Kiwatule-24h'!N83,'03.08 Najjeera-Kiwatule-24h'!N83)</f>
        <v>0</v>
      </c>
      <c r="O83" s="49">
        <f t="shared" si="25"/>
        <v>26</v>
      </c>
      <c r="P83" s="49">
        <f t="shared" si="26"/>
        <v>55</v>
      </c>
      <c r="R83" s="8"/>
      <c r="T83"/>
    </row>
    <row r="84" spans="2:20" ht="23.1" customHeight="1">
      <c r="B84" s="25" t="s">
        <v>124</v>
      </c>
      <c r="C84" s="49">
        <f>AVERAGE('01.08 Najjeera-Kiwatule-24h'!C84,'03.08 Najjeera-Kiwatule-24h'!C84)</f>
        <v>21.5</v>
      </c>
      <c r="D84" s="49">
        <f>AVERAGE('01.08 Najjeera-Kiwatule-24h'!D84,'03.08 Najjeera-Kiwatule-24h'!D84)</f>
        <v>3</v>
      </c>
      <c r="E84" s="49">
        <f>AVERAGE('01.08 Najjeera-Kiwatule-24h'!E84,'03.08 Najjeera-Kiwatule-24h'!E84)</f>
        <v>0</v>
      </c>
      <c r="F84" s="49">
        <f>AVERAGE('01.08 Najjeera-Kiwatule-24h'!F84,'03.08 Najjeera-Kiwatule-24h'!F84)</f>
        <v>0</v>
      </c>
      <c r="G84" s="49">
        <f>AVERAGE('01.08 Najjeera-Kiwatule-24h'!G84,'03.08 Najjeera-Kiwatule-24h'!G84)</f>
        <v>0</v>
      </c>
      <c r="H84" s="49">
        <f>AVERAGE('01.08 Najjeera-Kiwatule-24h'!H84,'03.08 Najjeera-Kiwatule-24h'!H84)</f>
        <v>0</v>
      </c>
      <c r="I84" s="49">
        <f>AVERAGE('01.08 Najjeera-Kiwatule-24h'!I84,'03.08 Najjeera-Kiwatule-24h'!I84)</f>
        <v>0.5</v>
      </c>
      <c r="J84" s="49">
        <f>AVERAGE('01.08 Najjeera-Kiwatule-24h'!J84,'03.08 Najjeera-Kiwatule-24h'!J84)</f>
        <v>0</v>
      </c>
      <c r="K84" s="49">
        <f>AVERAGE('01.08 Najjeera-Kiwatule-24h'!K84,'03.08 Najjeera-Kiwatule-24h'!K84)</f>
        <v>0</v>
      </c>
      <c r="L84" s="49">
        <f>AVERAGE('01.08 Najjeera-Kiwatule-24h'!L84,'03.08 Najjeera-Kiwatule-24h'!L84)</f>
        <v>0</v>
      </c>
      <c r="M84" s="49">
        <f>AVERAGE('01.08 Najjeera-Kiwatule-24h'!M84,'03.08 Najjeera-Kiwatule-24h'!M84)</f>
        <v>31</v>
      </c>
      <c r="N84" s="49">
        <f>AVERAGE('01.08 Najjeera-Kiwatule-24h'!N84,'03.08 Najjeera-Kiwatule-24h'!N84)</f>
        <v>0</v>
      </c>
      <c r="O84" s="49">
        <f t="shared" si="25"/>
        <v>25</v>
      </c>
      <c r="P84" s="49">
        <f t="shared" si="26"/>
        <v>56</v>
      </c>
      <c r="R84" s="8"/>
      <c r="T84"/>
    </row>
    <row r="85" spans="2:20" ht="23.1" customHeight="1">
      <c r="B85" s="23" t="s">
        <v>125</v>
      </c>
      <c r="C85" s="49">
        <f>AVERAGE('01.08 Najjeera-Kiwatule-24h'!C85,'03.08 Najjeera-Kiwatule-24h'!C85)</f>
        <v>27.5</v>
      </c>
      <c r="D85" s="49">
        <f>AVERAGE('01.08 Najjeera-Kiwatule-24h'!D85,'03.08 Najjeera-Kiwatule-24h'!D85)</f>
        <v>5</v>
      </c>
      <c r="E85" s="49">
        <f>AVERAGE('01.08 Najjeera-Kiwatule-24h'!E85,'03.08 Najjeera-Kiwatule-24h'!E85)</f>
        <v>0.5</v>
      </c>
      <c r="F85" s="49">
        <f>AVERAGE('01.08 Najjeera-Kiwatule-24h'!F85,'03.08 Najjeera-Kiwatule-24h'!F85)</f>
        <v>0</v>
      </c>
      <c r="G85" s="49">
        <f>AVERAGE('01.08 Najjeera-Kiwatule-24h'!G85,'03.08 Najjeera-Kiwatule-24h'!G85)</f>
        <v>0</v>
      </c>
      <c r="H85" s="49">
        <f>AVERAGE('01.08 Najjeera-Kiwatule-24h'!H85,'03.08 Najjeera-Kiwatule-24h'!H85)</f>
        <v>0</v>
      </c>
      <c r="I85" s="49">
        <f>AVERAGE('01.08 Najjeera-Kiwatule-24h'!I85,'03.08 Najjeera-Kiwatule-24h'!I85)</f>
        <v>0.5</v>
      </c>
      <c r="J85" s="49">
        <f>AVERAGE('01.08 Najjeera-Kiwatule-24h'!J85,'03.08 Najjeera-Kiwatule-24h'!J85)</f>
        <v>0</v>
      </c>
      <c r="K85" s="49">
        <f>AVERAGE('01.08 Najjeera-Kiwatule-24h'!K85,'03.08 Najjeera-Kiwatule-24h'!K85)</f>
        <v>0</v>
      </c>
      <c r="L85" s="49">
        <f>AVERAGE('01.08 Najjeera-Kiwatule-24h'!L85,'03.08 Najjeera-Kiwatule-24h'!L85)</f>
        <v>0</v>
      </c>
      <c r="M85" s="49">
        <f>AVERAGE('01.08 Najjeera-Kiwatule-24h'!M85,'03.08 Najjeera-Kiwatule-24h'!M85)</f>
        <v>14.5</v>
      </c>
      <c r="N85" s="49">
        <f>AVERAGE('01.08 Najjeera-Kiwatule-24h'!N85,'03.08 Najjeera-Kiwatule-24h'!N85)</f>
        <v>0</v>
      </c>
      <c r="O85" s="49">
        <f t="shared" si="25"/>
        <v>33.5</v>
      </c>
      <c r="P85" s="49">
        <f t="shared" si="26"/>
        <v>48</v>
      </c>
      <c r="R85" s="8"/>
      <c r="T85"/>
    </row>
    <row r="86" spans="2:20" ht="23.1" customHeight="1">
      <c r="B86" s="24" t="s">
        <v>126</v>
      </c>
      <c r="C86" s="49">
        <f>AVERAGE('01.08 Najjeera-Kiwatule-24h'!C86,'03.08 Najjeera-Kiwatule-24h'!C86)</f>
        <v>14</v>
      </c>
      <c r="D86" s="49">
        <f>AVERAGE('01.08 Najjeera-Kiwatule-24h'!D86,'03.08 Najjeera-Kiwatule-24h'!D86)</f>
        <v>3.5</v>
      </c>
      <c r="E86" s="49">
        <f>AVERAGE('01.08 Najjeera-Kiwatule-24h'!E86,'03.08 Najjeera-Kiwatule-24h'!E86)</f>
        <v>1</v>
      </c>
      <c r="F86" s="49">
        <f>AVERAGE('01.08 Najjeera-Kiwatule-24h'!F86,'03.08 Najjeera-Kiwatule-24h'!F86)</f>
        <v>0.5</v>
      </c>
      <c r="G86" s="49">
        <f>AVERAGE('01.08 Najjeera-Kiwatule-24h'!G86,'03.08 Najjeera-Kiwatule-24h'!G86)</f>
        <v>0</v>
      </c>
      <c r="H86" s="49">
        <f>AVERAGE('01.08 Najjeera-Kiwatule-24h'!H86,'03.08 Najjeera-Kiwatule-24h'!H86)</f>
        <v>0</v>
      </c>
      <c r="I86" s="49">
        <f>AVERAGE('01.08 Najjeera-Kiwatule-24h'!I86,'03.08 Najjeera-Kiwatule-24h'!I86)</f>
        <v>0</v>
      </c>
      <c r="J86" s="49">
        <f>AVERAGE('01.08 Najjeera-Kiwatule-24h'!J86,'03.08 Najjeera-Kiwatule-24h'!J86)</f>
        <v>0</v>
      </c>
      <c r="K86" s="49">
        <f>AVERAGE('01.08 Najjeera-Kiwatule-24h'!K86,'03.08 Najjeera-Kiwatule-24h'!K86)</f>
        <v>0</v>
      </c>
      <c r="L86" s="49">
        <f>AVERAGE('01.08 Najjeera-Kiwatule-24h'!L86,'03.08 Najjeera-Kiwatule-24h'!L86)</f>
        <v>0</v>
      </c>
      <c r="M86" s="49">
        <f>AVERAGE('01.08 Najjeera-Kiwatule-24h'!M86,'03.08 Najjeera-Kiwatule-24h'!M86)</f>
        <v>18.5</v>
      </c>
      <c r="N86" s="49">
        <f>AVERAGE('01.08 Najjeera-Kiwatule-24h'!N86,'03.08 Najjeera-Kiwatule-24h'!N86)</f>
        <v>0</v>
      </c>
      <c r="O86" s="49">
        <f t="shared" si="25"/>
        <v>19</v>
      </c>
      <c r="P86" s="49">
        <f t="shared" si="26"/>
        <v>37.5</v>
      </c>
      <c r="R86" s="8"/>
      <c r="T86"/>
    </row>
    <row r="87" spans="2:20" ht="23.1" customHeight="1">
      <c r="B87" s="23" t="s">
        <v>127</v>
      </c>
      <c r="C87" s="49">
        <f>AVERAGE('01.08 Najjeera-Kiwatule-24h'!C87,'03.08 Najjeera-Kiwatule-24h'!C87)</f>
        <v>18</v>
      </c>
      <c r="D87" s="49">
        <f>AVERAGE('01.08 Najjeera-Kiwatule-24h'!D87,'03.08 Najjeera-Kiwatule-24h'!D87)</f>
        <v>6</v>
      </c>
      <c r="E87" s="49">
        <f>AVERAGE('01.08 Najjeera-Kiwatule-24h'!E87,'03.08 Najjeera-Kiwatule-24h'!E87)</f>
        <v>0</v>
      </c>
      <c r="F87" s="49">
        <f>AVERAGE('01.08 Najjeera-Kiwatule-24h'!F87,'03.08 Najjeera-Kiwatule-24h'!F87)</f>
        <v>0.5</v>
      </c>
      <c r="G87" s="49">
        <f>AVERAGE('01.08 Najjeera-Kiwatule-24h'!G87,'03.08 Najjeera-Kiwatule-24h'!G87)</f>
        <v>0</v>
      </c>
      <c r="H87" s="49">
        <f>AVERAGE('01.08 Najjeera-Kiwatule-24h'!H87,'03.08 Najjeera-Kiwatule-24h'!H87)</f>
        <v>0</v>
      </c>
      <c r="I87" s="49">
        <f>AVERAGE('01.08 Najjeera-Kiwatule-24h'!I87,'03.08 Najjeera-Kiwatule-24h'!I87)</f>
        <v>0</v>
      </c>
      <c r="J87" s="49">
        <f>AVERAGE('01.08 Najjeera-Kiwatule-24h'!J87,'03.08 Najjeera-Kiwatule-24h'!J87)</f>
        <v>0</v>
      </c>
      <c r="K87" s="49">
        <f>AVERAGE('01.08 Najjeera-Kiwatule-24h'!K87,'03.08 Najjeera-Kiwatule-24h'!K87)</f>
        <v>0</v>
      </c>
      <c r="L87" s="49">
        <f>AVERAGE('01.08 Najjeera-Kiwatule-24h'!L87,'03.08 Najjeera-Kiwatule-24h'!L87)</f>
        <v>0</v>
      </c>
      <c r="M87" s="49">
        <f>AVERAGE('01.08 Najjeera-Kiwatule-24h'!M87,'03.08 Najjeera-Kiwatule-24h'!M87)</f>
        <v>22.5</v>
      </c>
      <c r="N87" s="49">
        <f>AVERAGE('01.08 Najjeera-Kiwatule-24h'!N87,'03.08 Najjeera-Kiwatule-24h'!N87)</f>
        <v>0</v>
      </c>
      <c r="O87" s="49">
        <f t="shared" si="25"/>
        <v>24.5</v>
      </c>
      <c r="P87" s="49">
        <f t="shared" si="26"/>
        <v>47</v>
      </c>
      <c r="R87" s="8"/>
      <c r="T87"/>
    </row>
    <row r="88" spans="2:20" ht="23.1" customHeight="1">
      <c r="B88" s="25" t="s">
        <v>128</v>
      </c>
      <c r="C88" s="49">
        <f>AVERAGE('01.08 Najjeera-Kiwatule-24h'!C88,'03.08 Najjeera-Kiwatule-24h'!C88)</f>
        <v>21</v>
      </c>
      <c r="D88" s="49">
        <f>AVERAGE('01.08 Najjeera-Kiwatule-24h'!D88,'03.08 Najjeera-Kiwatule-24h'!D88)</f>
        <v>4.5</v>
      </c>
      <c r="E88" s="49">
        <f>AVERAGE('01.08 Najjeera-Kiwatule-24h'!E88,'03.08 Najjeera-Kiwatule-24h'!E88)</f>
        <v>0.5</v>
      </c>
      <c r="F88" s="49">
        <f>AVERAGE('01.08 Najjeera-Kiwatule-24h'!F88,'03.08 Najjeera-Kiwatule-24h'!F88)</f>
        <v>1</v>
      </c>
      <c r="G88" s="49">
        <f>AVERAGE('01.08 Najjeera-Kiwatule-24h'!G88,'03.08 Najjeera-Kiwatule-24h'!G88)</f>
        <v>0</v>
      </c>
      <c r="H88" s="49">
        <f>AVERAGE('01.08 Najjeera-Kiwatule-24h'!H88,'03.08 Najjeera-Kiwatule-24h'!H88)</f>
        <v>0</v>
      </c>
      <c r="I88" s="49">
        <f>AVERAGE('01.08 Najjeera-Kiwatule-24h'!I88,'03.08 Najjeera-Kiwatule-24h'!I88)</f>
        <v>0</v>
      </c>
      <c r="J88" s="49">
        <f>AVERAGE('01.08 Najjeera-Kiwatule-24h'!J88,'03.08 Najjeera-Kiwatule-24h'!J88)</f>
        <v>0.5</v>
      </c>
      <c r="K88" s="49">
        <f>AVERAGE('01.08 Najjeera-Kiwatule-24h'!K88,'03.08 Najjeera-Kiwatule-24h'!K88)</f>
        <v>0</v>
      </c>
      <c r="L88" s="49">
        <f>AVERAGE('01.08 Najjeera-Kiwatule-24h'!L88,'03.08 Najjeera-Kiwatule-24h'!L88)</f>
        <v>0</v>
      </c>
      <c r="M88" s="49">
        <f>AVERAGE('01.08 Najjeera-Kiwatule-24h'!M88,'03.08 Najjeera-Kiwatule-24h'!M88)</f>
        <v>13</v>
      </c>
      <c r="N88" s="49">
        <f>AVERAGE('01.08 Najjeera-Kiwatule-24h'!N88,'03.08 Najjeera-Kiwatule-24h'!N88)</f>
        <v>0</v>
      </c>
      <c r="O88" s="49">
        <f t="shared" si="25"/>
        <v>27.5</v>
      </c>
      <c r="P88" s="49">
        <f t="shared" si="26"/>
        <v>40.5</v>
      </c>
      <c r="R88" s="8"/>
      <c r="T88"/>
    </row>
    <row r="89" spans="2:20" ht="23.1" customHeight="1">
      <c r="B89" s="23" t="s">
        <v>129</v>
      </c>
      <c r="C89" s="49">
        <f>AVERAGE('01.08 Najjeera-Kiwatule-24h'!C89,'03.08 Najjeera-Kiwatule-24h'!C89)</f>
        <v>16.5</v>
      </c>
      <c r="D89" s="49">
        <f>AVERAGE('01.08 Najjeera-Kiwatule-24h'!D89,'03.08 Najjeera-Kiwatule-24h'!D89)</f>
        <v>2.5</v>
      </c>
      <c r="E89" s="49">
        <f>AVERAGE('01.08 Najjeera-Kiwatule-24h'!E89,'03.08 Najjeera-Kiwatule-24h'!E89)</f>
        <v>1</v>
      </c>
      <c r="F89" s="49">
        <f>AVERAGE('01.08 Najjeera-Kiwatule-24h'!F89,'03.08 Najjeera-Kiwatule-24h'!F89)</f>
        <v>0.5</v>
      </c>
      <c r="G89" s="49">
        <f>AVERAGE('01.08 Najjeera-Kiwatule-24h'!G89,'03.08 Najjeera-Kiwatule-24h'!G89)</f>
        <v>0</v>
      </c>
      <c r="H89" s="49">
        <f>AVERAGE('01.08 Najjeera-Kiwatule-24h'!H89,'03.08 Najjeera-Kiwatule-24h'!H89)</f>
        <v>0</v>
      </c>
      <c r="I89" s="49">
        <f>AVERAGE('01.08 Najjeera-Kiwatule-24h'!I89,'03.08 Najjeera-Kiwatule-24h'!I89)</f>
        <v>0.5</v>
      </c>
      <c r="J89" s="49">
        <f>AVERAGE('01.08 Najjeera-Kiwatule-24h'!J89,'03.08 Najjeera-Kiwatule-24h'!J89)</f>
        <v>0</v>
      </c>
      <c r="K89" s="49">
        <f>AVERAGE('01.08 Najjeera-Kiwatule-24h'!K89,'03.08 Najjeera-Kiwatule-24h'!K89)</f>
        <v>0</v>
      </c>
      <c r="L89" s="49">
        <f>AVERAGE('01.08 Najjeera-Kiwatule-24h'!L89,'03.08 Najjeera-Kiwatule-24h'!L89)</f>
        <v>0</v>
      </c>
      <c r="M89" s="49">
        <f>AVERAGE('01.08 Najjeera-Kiwatule-24h'!M89,'03.08 Najjeera-Kiwatule-24h'!M89)</f>
        <v>11.5</v>
      </c>
      <c r="N89" s="49">
        <f>AVERAGE('01.08 Najjeera-Kiwatule-24h'!N89,'03.08 Najjeera-Kiwatule-24h'!N89)</f>
        <v>0</v>
      </c>
      <c r="O89" s="49">
        <f t="shared" si="25"/>
        <v>21</v>
      </c>
      <c r="P89" s="49">
        <f t="shared" si="26"/>
        <v>32.5</v>
      </c>
      <c r="R89" s="8"/>
      <c r="T89"/>
    </row>
    <row r="90" spans="2:20" ht="23.1" customHeight="1">
      <c r="B90" s="24" t="s">
        <v>130</v>
      </c>
      <c r="C90" s="49">
        <f>AVERAGE('01.08 Najjeera-Kiwatule-24h'!C90,'03.08 Najjeera-Kiwatule-24h'!C90)</f>
        <v>17.5</v>
      </c>
      <c r="D90" s="49">
        <f>AVERAGE('01.08 Najjeera-Kiwatule-24h'!D90,'03.08 Najjeera-Kiwatule-24h'!D90)</f>
        <v>4.5</v>
      </c>
      <c r="E90" s="49">
        <f>AVERAGE('01.08 Najjeera-Kiwatule-24h'!E90,'03.08 Najjeera-Kiwatule-24h'!E90)</f>
        <v>0.5</v>
      </c>
      <c r="F90" s="49">
        <f>AVERAGE('01.08 Najjeera-Kiwatule-24h'!F90,'03.08 Najjeera-Kiwatule-24h'!F90)</f>
        <v>0.5</v>
      </c>
      <c r="G90" s="49">
        <f>AVERAGE('01.08 Najjeera-Kiwatule-24h'!G90,'03.08 Najjeera-Kiwatule-24h'!G90)</f>
        <v>0</v>
      </c>
      <c r="H90" s="49">
        <f>AVERAGE('01.08 Najjeera-Kiwatule-24h'!H90,'03.08 Najjeera-Kiwatule-24h'!H90)</f>
        <v>0</v>
      </c>
      <c r="I90" s="49">
        <f>AVERAGE('01.08 Najjeera-Kiwatule-24h'!I90,'03.08 Najjeera-Kiwatule-24h'!I90)</f>
        <v>0</v>
      </c>
      <c r="J90" s="49">
        <f>AVERAGE('01.08 Najjeera-Kiwatule-24h'!J90,'03.08 Najjeera-Kiwatule-24h'!J90)</f>
        <v>0</v>
      </c>
      <c r="K90" s="49">
        <f>AVERAGE('01.08 Najjeera-Kiwatule-24h'!K90,'03.08 Najjeera-Kiwatule-24h'!K90)</f>
        <v>0</v>
      </c>
      <c r="L90" s="49">
        <f>AVERAGE('01.08 Najjeera-Kiwatule-24h'!L90,'03.08 Najjeera-Kiwatule-24h'!L90)</f>
        <v>0</v>
      </c>
      <c r="M90" s="49">
        <f>AVERAGE('01.08 Najjeera-Kiwatule-24h'!M90,'03.08 Najjeera-Kiwatule-24h'!M90)</f>
        <v>14.5</v>
      </c>
      <c r="N90" s="49">
        <f>AVERAGE('01.08 Najjeera-Kiwatule-24h'!N90,'03.08 Najjeera-Kiwatule-24h'!N90)</f>
        <v>0</v>
      </c>
      <c r="O90" s="49">
        <f t="shared" si="25"/>
        <v>23</v>
      </c>
      <c r="P90" s="49">
        <f t="shared" si="26"/>
        <v>37.5</v>
      </c>
      <c r="R90" s="8"/>
      <c r="T90"/>
    </row>
    <row r="91" spans="2:20" ht="23.1" customHeight="1">
      <c r="B91" s="23" t="s">
        <v>131</v>
      </c>
      <c r="C91" s="49">
        <f>AVERAGE('01.08 Najjeera-Kiwatule-24h'!C91,'03.08 Najjeera-Kiwatule-24h'!C91)</f>
        <v>15.5</v>
      </c>
      <c r="D91" s="49">
        <f>AVERAGE('01.08 Najjeera-Kiwatule-24h'!D91,'03.08 Najjeera-Kiwatule-24h'!D91)</f>
        <v>2</v>
      </c>
      <c r="E91" s="49">
        <f>AVERAGE('01.08 Najjeera-Kiwatule-24h'!E91,'03.08 Najjeera-Kiwatule-24h'!E91)</f>
        <v>0.5</v>
      </c>
      <c r="F91" s="49">
        <f>AVERAGE('01.08 Najjeera-Kiwatule-24h'!F91,'03.08 Najjeera-Kiwatule-24h'!F91)</f>
        <v>0</v>
      </c>
      <c r="G91" s="49">
        <f>AVERAGE('01.08 Najjeera-Kiwatule-24h'!G91,'03.08 Najjeera-Kiwatule-24h'!G91)</f>
        <v>0</v>
      </c>
      <c r="H91" s="49">
        <f>AVERAGE('01.08 Najjeera-Kiwatule-24h'!H91,'03.08 Najjeera-Kiwatule-24h'!H91)</f>
        <v>0</v>
      </c>
      <c r="I91" s="49">
        <f>AVERAGE('01.08 Najjeera-Kiwatule-24h'!I91,'03.08 Najjeera-Kiwatule-24h'!I91)</f>
        <v>0.5</v>
      </c>
      <c r="J91" s="49">
        <f>AVERAGE('01.08 Najjeera-Kiwatule-24h'!J91,'03.08 Najjeera-Kiwatule-24h'!J91)</f>
        <v>0</v>
      </c>
      <c r="K91" s="49">
        <f>AVERAGE('01.08 Najjeera-Kiwatule-24h'!K91,'03.08 Najjeera-Kiwatule-24h'!K91)</f>
        <v>0</v>
      </c>
      <c r="L91" s="49">
        <f>AVERAGE('01.08 Najjeera-Kiwatule-24h'!L91,'03.08 Najjeera-Kiwatule-24h'!L91)</f>
        <v>0</v>
      </c>
      <c r="M91" s="49">
        <f>AVERAGE('01.08 Najjeera-Kiwatule-24h'!M91,'03.08 Najjeera-Kiwatule-24h'!M91)</f>
        <v>13</v>
      </c>
      <c r="N91" s="49">
        <f>AVERAGE('01.08 Najjeera-Kiwatule-24h'!N91,'03.08 Najjeera-Kiwatule-24h'!N91)</f>
        <v>0</v>
      </c>
      <c r="O91" s="49">
        <f t="shared" si="25"/>
        <v>18.5</v>
      </c>
      <c r="P91" s="49">
        <f t="shared" si="26"/>
        <v>31.5</v>
      </c>
      <c r="R91" s="8"/>
      <c r="T91"/>
    </row>
    <row r="92" spans="2:20" ht="23.1" customHeight="1">
      <c r="B92" s="25" t="s">
        <v>132</v>
      </c>
      <c r="C92" s="49">
        <f>AVERAGE('01.08 Najjeera-Kiwatule-24h'!C92,'03.08 Najjeera-Kiwatule-24h'!C92)</f>
        <v>20</v>
      </c>
      <c r="D92" s="49">
        <f>AVERAGE('01.08 Najjeera-Kiwatule-24h'!D92,'03.08 Najjeera-Kiwatule-24h'!D92)</f>
        <v>5</v>
      </c>
      <c r="E92" s="49">
        <f>AVERAGE('01.08 Najjeera-Kiwatule-24h'!E92,'03.08 Najjeera-Kiwatule-24h'!E92)</f>
        <v>0.5</v>
      </c>
      <c r="F92" s="49">
        <f>AVERAGE('01.08 Najjeera-Kiwatule-24h'!F92,'03.08 Najjeera-Kiwatule-24h'!F92)</f>
        <v>0.5</v>
      </c>
      <c r="G92" s="49">
        <f>AVERAGE('01.08 Najjeera-Kiwatule-24h'!G92,'03.08 Najjeera-Kiwatule-24h'!G92)</f>
        <v>0</v>
      </c>
      <c r="H92" s="49">
        <f>AVERAGE('01.08 Najjeera-Kiwatule-24h'!H92,'03.08 Najjeera-Kiwatule-24h'!H92)</f>
        <v>0</v>
      </c>
      <c r="I92" s="49">
        <f>AVERAGE('01.08 Najjeera-Kiwatule-24h'!I92,'03.08 Najjeera-Kiwatule-24h'!I92)</f>
        <v>0</v>
      </c>
      <c r="J92" s="49">
        <f>AVERAGE('01.08 Najjeera-Kiwatule-24h'!J92,'03.08 Najjeera-Kiwatule-24h'!J92)</f>
        <v>0</v>
      </c>
      <c r="K92" s="49">
        <f>AVERAGE('01.08 Najjeera-Kiwatule-24h'!K92,'03.08 Najjeera-Kiwatule-24h'!K92)</f>
        <v>0</v>
      </c>
      <c r="L92" s="49">
        <f>AVERAGE('01.08 Najjeera-Kiwatule-24h'!L92,'03.08 Najjeera-Kiwatule-24h'!L92)</f>
        <v>0</v>
      </c>
      <c r="M92" s="49">
        <f>AVERAGE('01.08 Najjeera-Kiwatule-24h'!M92,'03.08 Najjeera-Kiwatule-24h'!M92)</f>
        <v>17.5</v>
      </c>
      <c r="N92" s="49">
        <f>AVERAGE('01.08 Najjeera-Kiwatule-24h'!N92,'03.08 Najjeera-Kiwatule-24h'!N92)</f>
        <v>0</v>
      </c>
      <c r="O92" s="49">
        <f t="shared" si="25"/>
        <v>26</v>
      </c>
      <c r="P92" s="49">
        <f t="shared" si="26"/>
        <v>43.5</v>
      </c>
      <c r="R92" s="8"/>
      <c r="T92"/>
    </row>
    <row r="93" spans="2:20" ht="23.1" customHeight="1">
      <c r="B93" s="23" t="s">
        <v>133</v>
      </c>
      <c r="C93" s="49">
        <f>AVERAGE('01.08 Najjeera-Kiwatule-24h'!C93,'03.08 Najjeera-Kiwatule-24h'!C93)</f>
        <v>20</v>
      </c>
      <c r="D93" s="49">
        <f>AVERAGE('01.08 Najjeera-Kiwatule-24h'!D93,'03.08 Najjeera-Kiwatule-24h'!D93)</f>
        <v>5</v>
      </c>
      <c r="E93" s="49">
        <f>AVERAGE('01.08 Najjeera-Kiwatule-24h'!E93,'03.08 Najjeera-Kiwatule-24h'!E93)</f>
        <v>1</v>
      </c>
      <c r="F93" s="49">
        <f>AVERAGE('01.08 Najjeera-Kiwatule-24h'!F93,'03.08 Najjeera-Kiwatule-24h'!F93)</f>
        <v>0</v>
      </c>
      <c r="G93" s="49">
        <f>AVERAGE('01.08 Najjeera-Kiwatule-24h'!G93,'03.08 Najjeera-Kiwatule-24h'!G93)</f>
        <v>0</v>
      </c>
      <c r="H93" s="49">
        <f>AVERAGE('01.08 Najjeera-Kiwatule-24h'!H93,'03.08 Najjeera-Kiwatule-24h'!H93)</f>
        <v>0</v>
      </c>
      <c r="I93" s="49">
        <f>AVERAGE('01.08 Najjeera-Kiwatule-24h'!I93,'03.08 Najjeera-Kiwatule-24h'!I93)</f>
        <v>0</v>
      </c>
      <c r="J93" s="49">
        <f>AVERAGE('01.08 Najjeera-Kiwatule-24h'!J93,'03.08 Najjeera-Kiwatule-24h'!J93)</f>
        <v>0.5</v>
      </c>
      <c r="K93" s="49">
        <f>AVERAGE('01.08 Najjeera-Kiwatule-24h'!K93,'03.08 Najjeera-Kiwatule-24h'!K93)</f>
        <v>0</v>
      </c>
      <c r="L93" s="49">
        <f>AVERAGE('01.08 Najjeera-Kiwatule-24h'!L93,'03.08 Najjeera-Kiwatule-24h'!L93)</f>
        <v>0</v>
      </c>
      <c r="M93" s="49">
        <f>AVERAGE('01.08 Najjeera-Kiwatule-24h'!M93,'03.08 Najjeera-Kiwatule-24h'!M93)</f>
        <v>20.5</v>
      </c>
      <c r="N93" s="49">
        <f>AVERAGE('01.08 Najjeera-Kiwatule-24h'!N93,'03.08 Najjeera-Kiwatule-24h'!N93)</f>
        <v>0</v>
      </c>
      <c r="O93" s="49">
        <f t="shared" si="25"/>
        <v>26.5</v>
      </c>
      <c r="P93" s="49">
        <f t="shared" si="26"/>
        <v>47</v>
      </c>
      <c r="R93" s="8"/>
      <c r="T93"/>
    </row>
    <row r="94" spans="2:20" ht="23.1" customHeight="1">
      <c r="B94" s="24" t="s">
        <v>134</v>
      </c>
      <c r="C94" s="49">
        <f>AVERAGE('01.08 Najjeera-Kiwatule-24h'!C94,'03.08 Najjeera-Kiwatule-24h'!C94)</f>
        <v>28.5</v>
      </c>
      <c r="D94" s="49">
        <f>AVERAGE('01.08 Najjeera-Kiwatule-24h'!D94,'03.08 Najjeera-Kiwatule-24h'!D94)</f>
        <v>1.5</v>
      </c>
      <c r="E94" s="49">
        <f>AVERAGE('01.08 Najjeera-Kiwatule-24h'!E94,'03.08 Najjeera-Kiwatule-24h'!E94)</f>
        <v>0.5</v>
      </c>
      <c r="F94" s="49">
        <f>AVERAGE('01.08 Najjeera-Kiwatule-24h'!F94,'03.08 Najjeera-Kiwatule-24h'!F94)</f>
        <v>0.5</v>
      </c>
      <c r="G94" s="49">
        <f>AVERAGE('01.08 Najjeera-Kiwatule-24h'!G94,'03.08 Najjeera-Kiwatule-24h'!G94)</f>
        <v>0</v>
      </c>
      <c r="H94" s="49">
        <f>AVERAGE('01.08 Najjeera-Kiwatule-24h'!H94,'03.08 Najjeera-Kiwatule-24h'!H94)</f>
        <v>0</v>
      </c>
      <c r="I94" s="49">
        <f>AVERAGE('01.08 Najjeera-Kiwatule-24h'!I94,'03.08 Najjeera-Kiwatule-24h'!I94)</f>
        <v>0</v>
      </c>
      <c r="J94" s="49">
        <f>AVERAGE('01.08 Najjeera-Kiwatule-24h'!J94,'03.08 Najjeera-Kiwatule-24h'!J94)</f>
        <v>0</v>
      </c>
      <c r="K94" s="49">
        <f>AVERAGE('01.08 Najjeera-Kiwatule-24h'!K94,'03.08 Najjeera-Kiwatule-24h'!K94)</f>
        <v>0</v>
      </c>
      <c r="L94" s="49">
        <f>AVERAGE('01.08 Najjeera-Kiwatule-24h'!L94,'03.08 Najjeera-Kiwatule-24h'!L94)</f>
        <v>0</v>
      </c>
      <c r="M94" s="49">
        <f>AVERAGE('01.08 Najjeera-Kiwatule-24h'!M94,'03.08 Najjeera-Kiwatule-24h'!M94)</f>
        <v>17</v>
      </c>
      <c r="N94" s="49">
        <f>AVERAGE('01.08 Najjeera-Kiwatule-24h'!N94,'03.08 Najjeera-Kiwatule-24h'!N94)</f>
        <v>0</v>
      </c>
      <c r="O94" s="49">
        <f t="shared" si="25"/>
        <v>31</v>
      </c>
      <c r="P94" s="49">
        <f t="shared" si="26"/>
        <v>48</v>
      </c>
      <c r="R94" s="8"/>
      <c r="T94"/>
    </row>
    <row r="95" spans="2:20" ht="23.1" customHeight="1">
      <c r="B95" s="23" t="s">
        <v>135</v>
      </c>
      <c r="C95" s="49">
        <f>AVERAGE('01.08 Najjeera-Kiwatule-24h'!C95,'03.08 Najjeera-Kiwatule-24h'!C95)</f>
        <v>18</v>
      </c>
      <c r="D95" s="49">
        <f>AVERAGE('01.08 Najjeera-Kiwatule-24h'!D95,'03.08 Najjeera-Kiwatule-24h'!D95)</f>
        <v>5.5</v>
      </c>
      <c r="E95" s="49">
        <f>AVERAGE('01.08 Najjeera-Kiwatule-24h'!E95,'03.08 Najjeera-Kiwatule-24h'!E95)</f>
        <v>1.5</v>
      </c>
      <c r="F95" s="49">
        <f>AVERAGE('01.08 Najjeera-Kiwatule-24h'!F95,'03.08 Najjeera-Kiwatule-24h'!F95)</f>
        <v>0.5</v>
      </c>
      <c r="G95" s="49">
        <f>AVERAGE('01.08 Najjeera-Kiwatule-24h'!G95,'03.08 Najjeera-Kiwatule-24h'!G95)</f>
        <v>0</v>
      </c>
      <c r="H95" s="49">
        <f>AVERAGE('01.08 Najjeera-Kiwatule-24h'!H95,'03.08 Najjeera-Kiwatule-24h'!H95)</f>
        <v>0</v>
      </c>
      <c r="I95" s="49">
        <f>AVERAGE('01.08 Najjeera-Kiwatule-24h'!I95,'03.08 Najjeera-Kiwatule-24h'!I95)</f>
        <v>0</v>
      </c>
      <c r="J95" s="49">
        <f>AVERAGE('01.08 Najjeera-Kiwatule-24h'!J95,'03.08 Najjeera-Kiwatule-24h'!J95)</f>
        <v>0</v>
      </c>
      <c r="K95" s="49">
        <f>AVERAGE('01.08 Najjeera-Kiwatule-24h'!K95,'03.08 Najjeera-Kiwatule-24h'!K95)</f>
        <v>0</v>
      </c>
      <c r="L95" s="49">
        <f>AVERAGE('01.08 Najjeera-Kiwatule-24h'!L95,'03.08 Najjeera-Kiwatule-24h'!L95)</f>
        <v>0</v>
      </c>
      <c r="M95" s="49">
        <f>AVERAGE('01.08 Najjeera-Kiwatule-24h'!M95,'03.08 Najjeera-Kiwatule-24h'!M95)</f>
        <v>16</v>
      </c>
      <c r="N95" s="49">
        <f>AVERAGE('01.08 Najjeera-Kiwatule-24h'!N95,'03.08 Najjeera-Kiwatule-24h'!N95)</f>
        <v>0</v>
      </c>
      <c r="O95" s="49">
        <f t="shared" si="25"/>
        <v>25.5</v>
      </c>
      <c r="P95" s="49">
        <f t="shared" si="26"/>
        <v>41.5</v>
      </c>
      <c r="R95" s="8"/>
      <c r="T95"/>
    </row>
    <row r="96" spans="2:20" ht="23.1" customHeight="1">
      <c r="B96" s="25" t="s">
        <v>136</v>
      </c>
      <c r="C96" s="49">
        <f>AVERAGE('01.08 Najjeera-Kiwatule-24h'!C96,'03.08 Najjeera-Kiwatule-24h'!C96)</f>
        <v>24</v>
      </c>
      <c r="D96" s="49">
        <f>AVERAGE('01.08 Najjeera-Kiwatule-24h'!D96,'03.08 Najjeera-Kiwatule-24h'!D96)</f>
        <v>1.5</v>
      </c>
      <c r="E96" s="49">
        <f>AVERAGE('01.08 Najjeera-Kiwatule-24h'!E96,'03.08 Najjeera-Kiwatule-24h'!E96)</f>
        <v>0</v>
      </c>
      <c r="F96" s="49">
        <f>AVERAGE('01.08 Najjeera-Kiwatule-24h'!F96,'03.08 Najjeera-Kiwatule-24h'!F96)</f>
        <v>1.5</v>
      </c>
      <c r="G96" s="49">
        <f>AVERAGE('01.08 Najjeera-Kiwatule-24h'!G96,'03.08 Najjeera-Kiwatule-24h'!G96)</f>
        <v>0</v>
      </c>
      <c r="H96" s="49">
        <f>AVERAGE('01.08 Najjeera-Kiwatule-24h'!H96,'03.08 Najjeera-Kiwatule-24h'!H96)</f>
        <v>0</v>
      </c>
      <c r="I96" s="49">
        <f>AVERAGE('01.08 Najjeera-Kiwatule-24h'!I96,'03.08 Najjeera-Kiwatule-24h'!I96)</f>
        <v>0.5</v>
      </c>
      <c r="J96" s="49">
        <f>AVERAGE('01.08 Najjeera-Kiwatule-24h'!J96,'03.08 Najjeera-Kiwatule-24h'!J96)</f>
        <v>0.5</v>
      </c>
      <c r="K96" s="49">
        <f>AVERAGE('01.08 Najjeera-Kiwatule-24h'!K96,'03.08 Najjeera-Kiwatule-24h'!K96)</f>
        <v>0</v>
      </c>
      <c r="L96" s="49">
        <f>AVERAGE('01.08 Najjeera-Kiwatule-24h'!L96,'03.08 Najjeera-Kiwatule-24h'!L96)</f>
        <v>0</v>
      </c>
      <c r="M96" s="49">
        <f>AVERAGE('01.08 Najjeera-Kiwatule-24h'!M96,'03.08 Najjeera-Kiwatule-24h'!M96)</f>
        <v>24</v>
      </c>
      <c r="N96" s="49">
        <f>AVERAGE('01.08 Najjeera-Kiwatule-24h'!N96,'03.08 Najjeera-Kiwatule-24h'!N96)</f>
        <v>0</v>
      </c>
      <c r="O96" s="49">
        <f t="shared" si="25"/>
        <v>28</v>
      </c>
      <c r="P96" s="49">
        <f t="shared" si="26"/>
        <v>52</v>
      </c>
      <c r="R96" s="8"/>
      <c r="T96"/>
    </row>
    <row r="97" spans="2:20" ht="23.1" customHeight="1">
      <c r="B97" s="23" t="s">
        <v>137</v>
      </c>
      <c r="C97" s="49">
        <f>AVERAGE('01.08 Najjeera-Kiwatule-24h'!C97,'03.08 Najjeera-Kiwatule-24h'!C97)</f>
        <v>22</v>
      </c>
      <c r="D97" s="49">
        <f>AVERAGE('01.08 Najjeera-Kiwatule-24h'!D97,'03.08 Najjeera-Kiwatule-24h'!D97)</f>
        <v>4</v>
      </c>
      <c r="E97" s="49">
        <f>AVERAGE('01.08 Najjeera-Kiwatule-24h'!E97,'03.08 Najjeera-Kiwatule-24h'!E97)</f>
        <v>1</v>
      </c>
      <c r="F97" s="49">
        <f>AVERAGE('01.08 Najjeera-Kiwatule-24h'!F97,'03.08 Najjeera-Kiwatule-24h'!F97)</f>
        <v>1.5</v>
      </c>
      <c r="G97" s="49">
        <f>AVERAGE('01.08 Najjeera-Kiwatule-24h'!G97,'03.08 Najjeera-Kiwatule-24h'!G97)</f>
        <v>0</v>
      </c>
      <c r="H97" s="49">
        <f>AVERAGE('01.08 Najjeera-Kiwatule-24h'!H97,'03.08 Najjeera-Kiwatule-24h'!H97)</f>
        <v>0</v>
      </c>
      <c r="I97" s="49">
        <f>AVERAGE('01.08 Najjeera-Kiwatule-24h'!I97,'03.08 Najjeera-Kiwatule-24h'!I97)</f>
        <v>0.5</v>
      </c>
      <c r="J97" s="49">
        <f>AVERAGE('01.08 Najjeera-Kiwatule-24h'!J97,'03.08 Najjeera-Kiwatule-24h'!J97)</f>
        <v>0</v>
      </c>
      <c r="K97" s="49">
        <f>AVERAGE('01.08 Najjeera-Kiwatule-24h'!K97,'03.08 Najjeera-Kiwatule-24h'!K97)</f>
        <v>0</v>
      </c>
      <c r="L97" s="49">
        <f>AVERAGE('01.08 Najjeera-Kiwatule-24h'!L97,'03.08 Najjeera-Kiwatule-24h'!L97)</f>
        <v>0</v>
      </c>
      <c r="M97" s="49">
        <f>AVERAGE('01.08 Najjeera-Kiwatule-24h'!M97,'03.08 Najjeera-Kiwatule-24h'!M97)</f>
        <v>14.5</v>
      </c>
      <c r="N97" s="49">
        <f>AVERAGE('01.08 Najjeera-Kiwatule-24h'!N97,'03.08 Najjeera-Kiwatule-24h'!N97)</f>
        <v>0</v>
      </c>
      <c r="O97" s="49">
        <f t="shared" si="25"/>
        <v>29</v>
      </c>
      <c r="P97" s="49">
        <f t="shared" si="26"/>
        <v>43.5</v>
      </c>
      <c r="R97" s="8"/>
      <c r="T97"/>
    </row>
    <row r="98" spans="2:20" ht="23.1" customHeight="1">
      <c r="B98" s="24" t="s">
        <v>138</v>
      </c>
      <c r="C98" s="49">
        <f>AVERAGE('01.08 Najjeera-Kiwatule-24h'!C98,'03.08 Najjeera-Kiwatule-24h'!C98)</f>
        <v>15.5</v>
      </c>
      <c r="D98" s="49">
        <f>AVERAGE('01.08 Najjeera-Kiwatule-24h'!D98,'03.08 Najjeera-Kiwatule-24h'!D98)</f>
        <v>1</v>
      </c>
      <c r="E98" s="49">
        <f>AVERAGE('01.08 Najjeera-Kiwatule-24h'!E98,'03.08 Najjeera-Kiwatule-24h'!E98)</f>
        <v>2</v>
      </c>
      <c r="F98" s="49">
        <f>AVERAGE('01.08 Najjeera-Kiwatule-24h'!F98,'03.08 Najjeera-Kiwatule-24h'!F98)</f>
        <v>4</v>
      </c>
      <c r="G98" s="49">
        <f>AVERAGE('01.08 Najjeera-Kiwatule-24h'!G98,'03.08 Najjeera-Kiwatule-24h'!G98)</f>
        <v>2</v>
      </c>
      <c r="H98" s="49">
        <f>AVERAGE('01.08 Najjeera-Kiwatule-24h'!H98,'03.08 Najjeera-Kiwatule-24h'!H98)</f>
        <v>0</v>
      </c>
      <c r="I98" s="49">
        <f>AVERAGE('01.08 Najjeera-Kiwatule-24h'!I98,'03.08 Najjeera-Kiwatule-24h'!I98)</f>
        <v>1</v>
      </c>
      <c r="J98" s="49">
        <f>AVERAGE('01.08 Najjeera-Kiwatule-24h'!J98,'03.08 Najjeera-Kiwatule-24h'!J98)</f>
        <v>0</v>
      </c>
      <c r="K98" s="49">
        <f>AVERAGE('01.08 Najjeera-Kiwatule-24h'!K98,'03.08 Najjeera-Kiwatule-24h'!K98)</f>
        <v>0</v>
      </c>
      <c r="L98" s="49">
        <f>AVERAGE('01.08 Najjeera-Kiwatule-24h'!L98,'03.08 Najjeera-Kiwatule-24h'!L98)</f>
        <v>0</v>
      </c>
      <c r="M98" s="49">
        <f>AVERAGE('01.08 Najjeera-Kiwatule-24h'!M98,'03.08 Najjeera-Kiwatule-24h'!M98)</f>
        <v>17.5</v>
      </c>
      <c r="N98" s="49">
        <f>AVERAGE('01.08 Najjeera-Kiwatule-24h'!N98,'03.08 Najjeera-Kiwatule-24h'!N98)</f>
        <v>0</v>
      </c>
      <c r="O98" s="49">
        <f t="shared" si="25"/>
        <v>25.5</v>
      </c>
      <c r="P98" s="49">
        <f t="shared" si="26"/>
        <v>43</v>
      </c>
      <c r="R98" s="8"/>
      <c r="T98"/>
    </row>
    <row r="99" spans="2:20" ht="23.1" customHeight="1">
      <c r="B99" s="23" t="s">
        <v>139</v>
      </c>
      <c r="C99" s="49">
        <f>AVERAGE('01.08 Najjeera-Kiwatule-24h'!C99,'03.08 Najjeera-Kiwatule-24h'!C99)</f>
        <v>14.5</v>
      </c>
      <c r="D99" s="49">
        <f>AVERAGE('01.08 Najjeera-Kiwatule-24h'!D99,'03.08 Najjeera-Kiwatule-24h'!D99)</f>
        <v>1.5</v>
      </c>
      <c r="E99" s="49">
        <f>AVERAGE('01.08 Najjeera-Kiwatule-24h'!E99,'03.08 Najjeera-Kiwatule-24h'!E99)</f>
        <v>2</v>
      </c>
      <c r="F99" s="49">
        <f>AVERAGE('01.08 Najjeera-Kiwatule-24h'!F99,'03.08 Najjeera-Kiwatule-24h'!F99)</f>
        <v>3</v>
      </c>
      <c r="G99" s="49">
        <f>AVERAGE('01.08 Najjeera-Kiwatule-24h'!G99,'03.08 Najjeera-Kiwatule-24h'!G99)</f>
        <v>4.5</v>
      </c>
      <c r="H99" s="49">
        <f>AVERAGE('01.08 Najjeera-Kiwatule-24h'!H99,'03.08 Najjeera-Kiwatule-24h'!H99)</f>
        <v>0</v>
      </c>
      <c r="I99" s="49">
        <f>AVERAGE('01.08 Najjeera-Kiwatule-24h'!I99,'03.08 Najjeera-Kiwatule-24h'!I99)</f>
        <v>0.5</v>
      </c>
      <c r="J99" s="49">
        <f>AVERAGE('01.08 Najjeera-Kiwatule-24h'!J99,'03.08 Najjeera-Kiwatule-24h'!J99)</f>
        <v>0</v>
      </c>
      <c r="K99" s="49">
        <f>AVERAGE('01.08 Najjeera-Kiwatule-24h'!K99,'03.08 Najjeera-Kiwatule-24h'!K99)</f>
        <v>0</v>
      </c>
      <c r="L99" s="49">
        <f>AVERAGE('01.08 Najjeera-Kiwatule-24h'!L99,'03.08 Najjeera-Kiwatule-24h'!L99)</f>
        <v>0</v>
      </c>
      <c r="M99" s="49">
        <f>AVERAGE('01.08 Najjeera-Kiwatule-24h'!M99,'03.08 Najjeera-Kiwatule-24h'!M99)</f>
        <v>15.5</v>
      </c>
      <c r="N99" s="49">
        <f>AVERAGE('01.08 Najjeera-Kiwatule-24h'!N99,'03.08 Najjeera-Kiwatule-24h'!N99)</f>
        <v>0</v>
      </c>
      <c r="O99" s="49">
        <f t="shared" si="25"/>
        <v>26</v>
      </c>
      <c r="P99" s="49">
        <f t="shared" si="26"/>
        <v>41.5</v>
      </c>
      <c r="R99" s="8"/>
      <c r="T99"/>
    </row>
    <row r="100" spans="2:20" ht="23.1" customHeight="1">
      <c r="B100" s="25" t="s">
        <v>140</v>
      </c>
      <c r="C100" s="49">
        <f>AVERAGE('01.08 Najjeera-Kiwatule-24h'!C100,'03.08 Najjeera-Kiwatule-24h'!C100)</f>
        <v>30.5</v>
      </c>
      <c r="D100" s="49">
        <f>AVERAGE('01.08 Najjeera-Kiwatule-24h'!D100,'03.08 Najjeera-Kiwatule-24h'!D100)</f>
        <v>4</v>
      </c>
      <c r="E100" s="49">
        <f>AVERAGE('01.08 Najjeera-Kiwatule-24h'!E100,'03.08 Najjeera-Kiwatule-24h'!E100)</f>
        <v>1.5</v>
      </c>
      <c r="F100" s="49">
        <f>AVERAGE('01.08 Najjeera-Kiwatule-24h'!F100,'03.08 Najjeera-Kiwatule-24h'!F100)</f>
        <v>6</v>
      </c>
      <c r="G100" s="49">
        <f>AVERAGE('01.08 Najjeera-Kiwatule-24h'!G100,'03.08 Najjeera-Kiwatule-24h'!G100)</f>
        <v>0</v>
      </c>
      <c r="H100" s="49">
        <f>AVERAGE('01.08 Najjeera-Kiwatule-24h'!H100,'03.08 Najjeera-Kiwatule-24h'!H100)</f>
        <v>0</v>
      </c>
      <c r="I100" s="49">
        <f>AVERAGE('01.08 Najjeera-Kiwatule-24h'!I100,'03.08 Najjeera-Kiwatule-24h'!I100)</f>
        <v>2</v>
      </c>
      <c r="J100" s="49">
        <f>AVERAGE('01.08 Najjeera-Kiwatule-24h'!J100,'03.08 Najjeera-Kiwatule-24h'!J100)</f>
        <v>0</v>
      </c>
      <c r="K100" s="49">
        <f>AVERAGE('01.08 Najjeera-Kiwatule-24h'!K100,'03.08 Najjeera-Kiwatule-24h'!K100)</f>
        <v>0</v>
      </c>
      <c r="L100" s="49">
        <f>AVERAGE('01.08 Najjeera-Kiwatule-24h'!L100,'03.08 Najjeera-Kiwatule-24h'!L100)</f>
        <v>0</v>
      </c>
      <c r="M100" s="49">
        <f>AVERAGE('01.08 Najjeera-Kiwatule-24h'!M100,'03.08 Najjeera-Kiwatule-24h'!M100)</f>
        <v>18.5</v>
      </c>
      <c r="N100" s="49">
        <f>AVERAGE('01.08 Najjeera-Kiwatule-24h'!N100,'03.08 Najjeera-Kiwatule-24h'!N100)</f>
        <v>0</v>
      </c>
      <c r="O100" s="49">
        <f t="shared" si="25"/>
        <v>44</v>
      </c>
      <c r="P100" s="49">
        <f t="shared" si="26"/>
        <v>62.5</v>
      </c>
      <c r="R100" s="8"/>
      <c r="T100"/>
    </row>
    <row r="101" spans="2:20" ht="23.1" customHeight="1">
      <c r="B101" s="23" t="s">
        <v>141</v>
      </c>
      <c r="C101" s="49">
        <f>AVERAGE('01.08 Najjeera-Kiwatule-24h'!C101,'03.08 Najjeera-Kiwatule-24h'!C101)</f>
        <v>68</v>
      </c>
      <c r="D101" s="49">
        <f>AVERAGE('01.08 Najjeera-Kiwatule-24h'!D101,'03.08 Najjeera-Kiwatule-24h'!D101)</f>
        <v>11.5</v>
      </c>
      <c r="E101" s="49">
        <f>AVERAGE('01.08 Najjeera-Kiwatule-24h'!E101,'03.08 Najjeera-Kiwatule-24h'!E101)</f>
        <v>4</v>
      </c>
      <c r="F101" s="49">
        <f>AVERAGE('01.08 Najjeera-Kiwatule-24h'!F101,'03.08 Najjeera-Kiwatule-24h'!F101)</f>
        <v>10.5</v>
      </c>
      <c r="G101" s="49">
        <f>AVERAGE('01.08 Najjeera-Kiwatule-24h'!G101,'03.08 Najjeera-Kiwatule-24h'!G101)</f>
        <v>0</v>
      </c>
      <c r="H101" s="49">
        <f>AVERAGE('01.08 Najjeera-Kiwatule-24h'!H101,'03.08 Najjeera-Kiwatule-24h'!H101)</f>
        <v>0</v>
      </c>
      <c r="I101" s="49">
        <f>AVERAGE('01.08 Najjeera-Kiwatule-24h'!I101,'03.08 Najjeera-Kiwatule-24h'!I101)</f>
        <v>2.5</v>
      </c>
      <c r="J101" s="49">
        <f>AVERAGE('01.08 Najjeera-Kiwatule-24h'!J101,'03.08 Najjeera-Kiwatule-24h'!J101)</f>
        <v>0.5</v>
      </c>
      <c r="K101" s="49">
        <f>AVERAGE('01.08 Najjeera-Kiwatule-24h'!K101,'03.08 Najjeera-Kiwatule-24h'!K101)</f>
        <v>0</v>
      </c>
      <c r="L101" s="49">
        <f>AVERAGE('01.08 Najjeera-Kiwatule-24h'!L101,'03.08 Najjeera-Kiwatule-24h'!L101)</f>
        <v>0</v>
      </c>
      <c r="M101" s="49">
        <f>AVERAGE('01.08 Najjeera-Kiwatule-24h'!M101,'03.08 Najjeera-Kiwatule-24h'!M101)</f>
        <v>31.5</v>
      </c>
      <c r="N101" s="49">
        <f>AVERAGE('01.08 Najjeera-Kiwatule-24h'!N101,'03.08 Najjeera-Kiwatule-24h'!N101)</f>
        <v>0</v>
      </c>
      <c r="O101" s="49">
        <f t="shared" si="25"/>
        <v>97</v>
      </c>
      <c r="P101" s="49">
        <f t="shared" si="26"/>
        <v>128.5</v>
      </c>
      <c r="R101" s="8"/>
      <c r="T101"/>
    </row>
    <row r="102" spans="2:20" ht="23.1" customHeight="1">
      <c r="B102" s="24" t="s">
        <v>142</v>
      </c>
      <c r="C102" s="49">
        <f>AVERAGE('01.08 Najjeera-Kiwatule-24h'!C102,'03.08 Najjeera-Kiwatule-24h'!C102)</f>
        <v>69.5</v>
      </c>
      <c r="D102" s="49">
        <f>AVERAGE('01.08 Najjeera-Kiwatule-24h'!D102,'03.08 Najjeera-Kiwatule-24h'!D102)</f>
        <v>6</v>
      </c>
      <c r="E102" s="49">
        <f>AVERAGE('01.08 Najjeera-Kiwatule-24h'!E102,'03.08 Najjeera-Kiwatule-24h'!E102)</f>
        <v>3</v>
      </c>
      <c r="F102" s="49">
        <f>AVERAGE('01.08 Najjeera-Kiwatule-24h'!F102,'03.08 Najjeera-Kiwatule-24h'!F102)</f>
        <v>9.5</v>
      </c>
      <c r="G102" s="49">
        <f>AVERAGE('01.08 Najjeera-Kiwatule-24h'!G102,'03.08 Najjeera-Kiwatule-24h'!G102)</f>
        <v>0</v>
      </c>
      <c r="H102" s="49">
        <f>AVERAGE('01.08 Najjeera-Kiwatule-24h'!H102,'03.08 Najjeera-Kiwatule-24h'!H102)</f>
        <v>0</v>
      </c>
      <c r="I102" s="49">
        <f>AVERAGE('01.08 Najjeera-Kiwatule-24h'!I102,'03.08 Najjeera-Kiwatule-24h'!I102)</f>
        <v>1</v>
      </c>
      <c r="J102" s="49">
        <f>AVERAGE('01.08 Najjeera-Kiwatule-24h'!J102,'03.08 Najjeera-Kiwatule-24h'!J102)</f>
        <v>0</v>
      </c>
      <c r="K102" s="49">
        <f>AVERAGE('01.08 Najjeera-Kiwatule-24h'!K102,'03.08 Najjeera-Kiwatule-24h'!K102)</f>
        <v>0.5</v>
      </c>
      <c r="L102" s="49">
        <f>AVERAGE('01.08 Najjeera-Kiwatule-24h'!L102,'03.08 Najjeera-Kiwatule-24h'!L102)</f>
        <v>0</v>
      </c>
      <c r="M102" s="49">
        <f>AVERAGE('01.08 Najjeera-Kiwatule-24h'!M102,'03.08 Najjeera-Kiwatule-24h'!M102)</f>
        <v>20</v>
      </c>
      <c r="N102" s="49">
        <f>AVERAGE('01.08 Najjeera-Kiwatule-24h'!N102,'03.08 Najjeera-Kiwatule-24h'!N102)</f>
        <v>0</v>
      </c>
      <c r="O102" s="49">
        <f t="shared" si="25"/>
        <v>89.5</v>
      </c>
      <c r="P102" s="49">
        <f t="shared" si="26"/>
        <v>109.5</v>
      </c>
      <c r="R102" s="8"/>
      <c r="T102"/>
    </row>
    <row r="103" spans="2:20" ht="23.1" customHeight="1">
      <c r="B103" s="23" t="s">
        <v>143</v>
      </c>
      <c r="C103" s="49">
        <f>AVERAGE('01.08 Najjeera-Kiwatule-24h'!C103,'03.08 Najjeera-Kiwatule-24h'!C103)</f>
        <v>83</v>
      </c>
      <c r="D103" s="49">
        <f>AVERAGE('01.08 Najjeera-Kiwatule-24h'!D103,'03.08 Najjeera-Kiwatule-24h'!D103)</f>
        <v>11</v>
      </c>
      <c r="E103" s="49">
        <f>AVERAGE('01.08 Najjeera-Kiwatule-24h'!E103,'03.08 Najjeera-Kiwatule-24h'!E103)</f>
        <v>0.5</v>
      </c>
      <c r="F103" s="49">
        <f>AVERAGE('01.08 Najjeera-Kiwatule-24h'!F103,'03.08 Najjeera-Kiwatule-24h'!F103)</f>
        <v>6.5</v>
      </c>
      <c r="G103" s="49">
        <f>AVERAGE('01.08 Najjeera-Kiwatule-24h'!G103,'03.08 Najjeera-Kiwatule-24h'!G103)</f>
        <v>0</v>
      </c>
      <c r="H103" s="49">
        <f>AVERAGE('01.08 Najjeera-Kiwatule-24h'!H103,'03.08 Najjeera-Kiwatule-24h'!H103)</f>
        <v>0</v>
      </c>
      <c r="I103" s="49">
        <f>AVERAGE('01.08 Najjeera-Kiwatule-24h'!I103,'03.08 Najjeera-Kiwatule-24h'!I103)</f>
        <v>1.5</v>
      </c>
      <c r="J103" s="49">
        <f>AVERAGE('01.08 Najjeera-Kiwatule-24h'!J103,'03.08 Najjeera-Kiwatule-24h'!J103)</f>
        <v>0</v>
      </c>
      <c r="K103" s="49">
        <f>AVERAGE('01.08 Najjeera-Kiwatule-24h'!K103,'03.08 Najjeera-Kiwatule-24h'!K103)</f>
        <v>0.5</v>
      </c>
      <c r="L103" s="49">
        <f>AVERAGE('01.08 Najjeera-Kiwatule-24h'!L103,'03.08 Najjeera-Kiwatule-24h'!L103)</f>
        <v>0</v>
      </c>
      <c r="M103" s="49">
        <f>AVERAGE('01.08 Najjeera-Kiwatule-24h'!M103,'03.08 Najjeera-Kiwatule-24h'!M103)</f>
        <v>37.5</v>
      </c>
      <c r="N103" s="49">
        <f>AVERAGE('01.08 Najjeera-Kiwatule-24h'!N103,'03.08 Najjeera-Kiwatule-24h'!N103)</f>
        <v>0</v>
      </c>
      <c r="O103" s="49">
        <f t="shared" si="25"/>
        <v>103</v>
      </c>
      <c r="P103" s="49">
        <f t="shared" si="26"/>
        <v>140.5</v>
      </c>
      <c r="R103" s="8"/>
      <c r="T103"/>
    </row>
    <row r="104" spans="2:20" ht="23.1" customHeight="1">
      <c r="B104" s="25" t="s">
        <v>144</v>
      </c>
      <c r="C104" s="49">
        <f>AVERAGE('01.08 Najjeera-Kiwatule-24h'!C104,'03.08 Najjeera-Kiwatule-24h'!C104)</f>
        <v>86.5</v>
      </c>
      <c r="D104" s="49">
        <f>AVERAGE('01.08 Najjeera-Kiwatule-24h'!D104,'03.08 Najjeera-Kiwatule-24h'!D104)</f>
        <v>11</v>
      </c>
      <c r="E104" s="49">
        <f>AVERAGE('01.08 Najjeera-Kiwatule-24h'!E104,'03.08 Najjeera-Kiwatule-24h'!E104)</f>
        <v>2.5</v>
      </c>
      <c r="F104" s="49">
        <f>AVERAGE('01.08 Najjeera-Kiwatule-24h'!F104,'03.08 Najjeera-Kiwatule-24h'!F104)</f>
        <v>7.5</v>
      </c>
      <c r="G104" s="49">
        <f>AVERAGE('01.08 Najjeera-Kiwatule-24h'!G104,'03.08 Najjeera-Kiwatule-24h'!G104)</f>
        <v>0.5</v>
      </c>
      <c r="H104" s="49">
        <f>AVERAGE('01.08 Najjeera-Kiwatule-24h'!H104,'03.08 Najjeera-Kiwatule-24h'!H104)</f>
        <v>0</v>
      </c>
      <c r="I104" s="49">
        <f>AVERAGE('01.08 Najjeera-Kiwatule-24h'!I104,'03.08 Najjeera-Kiwatule-24h'!I104)</f>
        <v>1</v>
      </c>
      <c r="J104" s="49">
        <f>AVERAGE('01.08 Najjeera-Kiwatule-24h'!J104,'03.08 Najjeera-Kiwatule-24h'!J104)</f>
        <v>0</v>
      </c>
      <c r="K104" s="49">
        <f>AVERAGE('01.08 Najjeera-Kiwatule-24h'!K104,'03.08 Najjeera-Kiwatule-24h'!K104)</f>
        <v>0.5</v>
      </c>
      <c r="L104" s="49">
        <f>AVERAGE('01.08 Najjeera-Kiwatule-24h'!L104,'03.08 Najjeera-Kiwatule-24h'!L104)</f>
        <v>0</v>
      </c>
      <c r="M104" s="49">
        <f>AVERAGE('01.08 Najjeera-Kiwatule-24h'!M104,'03.08 Najjeera-Kiwatule-24h'!M104)</f>
        <v>46</v>
      </c>
      <c r="N104" s="49">
        <f>AVERAGE('01.08 Najjeera-Kiwatule-24h'!N104,'03.08 Najjeera-Kiwatule-24h'!N104)</f>
        <v>0</v>
      </c>
      <c r="O104" s="49">
        <f t="shared" si="25"/>
        <v>109.5</v>
      </c>
      <c r="P104" s="49">
        <f t="shared" si="26"/>
        <v>155.5</v>
      </c>
      <c r="R104" s="8"/>
      <c r="T104"/>
    </row>
    <row r="105" spans="2:20" ht="23.1" customHeight="1">
      <c r="B105" s="23" t="s">
        <v>145</v>
      </c>
      <c r="C105" s="49">
        <f>AVERAGE('01.08 Najjeera-Kiwatule-24h'!C105,'03.08 Najjeera-Kiwatule-24h'!C105)</f>
        <v>99.5</v>
      </c>
      <c r="D105" s="49">
        <f>AVERAGE('01.08 Najjeera-Kiwatule-24h'!D105,'03.08 Najjeera-Kiwatule-24h'!D105)</f>
        <v>12</v>
      </c>
      <c r="E105" s="49">
        <f>AVERAGE('01.08 Najjeera-Kiwatule-24h'!E105,'03.08 Najjeera-Kiwatule-24h'!E105)</f>
        <v>3.5</v>
      </c>
      <c r="F105" s="49">
        <f>AVERAGE('01.08 Najjeera-Kiwatule-24h'!F105,'03.08 Najjeera-Kiwatule-24h'!F105)</f>
        <v>11.5</v>
      </c>
      <c r="G105" s="49">
        <f>AVERAGE('01.08 Najjeera-Kiwatule-24h'!G105,'03.08 Najjeera-Kiwatule-24h'!G105)</f>
        <v>0.5</v>
      </c>
      <c r="H105" s="49">
        <f>AVERAGE('01.08 Najjeera-Kiwatule-24h'!H105,'03.08 Najjeera-Kiwatule-24h'!H105)</f>
        <v>0</v>
      </c>
      <c r="I105" s="49">
        <f>AVERAGE('01.08 Najjeera-Kiwatule-24h'!I105,'03.08 Najjeera-Kiwatule-24h'!I105)</f>
        <v>1</v>
      </c>
      <c r="J105" s="49">
        <f>AVERAGE('01.08 Najjeera-Kiwatule-24h'!J105,'03.08 Najjeera-Kiwatule-24h'!J105)</f>
        <v>0.5</v>
      </c>
      <c r="K105" s="49">
        <f>AVERAGE('01.08 Najjeera-Kiwatule-24h'!K105,'03.08 Najjeera-Kiwatule-24h'!K105)</f>
        <v>0</v>
      </c>
      <c r="L105" s="49">
        <f>AVERAGE('01.08 Najjeera-Kiwatule-24h'!L105,'03.08 Najjeera-Kiwatule-24h'!L105)</f>
        <v>0</v>
      </c>
      <c r="M105" s="49">
        <f>AVERAGE('01.08 Najjeera-Kiwatule-24h'!M105,'03.08 Najjeera-Kiwatule-24h'!M105)</f>
        <v>48</v>
      </c>
      <c r="N105" s="49">
        <f>AVERAGE('01.08 Najjeera-Kiwatule-24h'!N105,'03.08 Najjeera-Kiwatule-24h'!N105)</f>
        <v>0</v>
      </c>
      <c r="O105" s="49">
        <f>SUM(C105:L105,N105)</f>
        <v>128.5</v>
      </c>
      <c r="P105" s="49">
        <f>SUM(C105:N105)</f>
        <v>176.5</v>
      </c>
      <c r="R105" s="8"/>
      <c r="T105"/>
    </row>
    <row r="106" spans="2:20" ht="23.1" customHeight="1">
      <c r="B106" s="26" t="s">
        <v>18</v>
      </c>
      <c r="C106" s="16">
        <f>SUM(C10:C105)</f>
        <v>5669.6428571428578</v>
      </c>
      <c r="D106" s="16">
        <f t="shared" ref="D106:P106" si="27">SUM(D10:D105)</f>
        <v>831.85714285714289</v>
      </c>
      <c r="E106" s="16">
        <f t="shared" si="27"/>
        <v>439.14285714285705</v>
      </c>
      <c r="F106" s="16">
        <f t="shared" si="27"/>
        <v>904.14285714285722</v>
      </c>
      <c r="G106" s="16">
        <f t="shared" si="27"/>
        <v>19.5</v>
      </c>
      <c r="H106" s="16">
        <f t="shared" si="27"/>
        <v>1</v>
      </c>
      <c r="I106" s="16">
        <f t="shared" si="27"/>
        <v>247.42857142857139</v>
      </c>
      <c r="J106" s="16">
        <f t="shared" si="27"/>
        <v>42.21428571428573</v>
      </c>
      <c r="K106" s="16">
        <f t="shared" si="27"/>
        <v>17.928571428571431</v>
      </c>
      <c r="L106" s="16">
        <f t="shared" si="27"/>
        <v>4.3571428571428559</v>
      </c>
      <c r="M106" s="16">
        <f t="shared" si="27"/>
        <v>6598.7142857142862</v>
      </c>
      <c r="N106" s="16">
        <f t="shared" si="27"/>
        <v>0.9285714285714286</v>
      </c>
      <c r="O106" s="16">
        <f t="shared" si="27"/>
        <v>8178.1428571428551</v>
      </c>
      <c r="P106" s="16">
        <f>SUM(P10:P105)</f>
        <v>14776.857142857143</v>
      </c>
      <c r="R106" s="8"/>
      <c r="T106"/>
    </row>
    <row r="107" spans="2:20" ht="23.1" customHeight="1">
      <c r="B107" s="26" t="s">
        <v>93</v>
      </c>
      <c r="C107" s="43">
        <f t="shared" ref="C107:N107" si="28">C106/$P$106</f>
        <v>0.38368394593862992</v>
      </c>
      <c r="D107" s="43">
        <f t="shared" si="28"/>
        <v>5.6294591929464996E-2</v>
      </c>
      <c r="E107" s="43">
        <f t="shared" si="28"/>
        <v>2.9718285349678061E-2</v>
      </c>
      <c r="F107" s="43">
        <f t="shared" si="28"/>
        <v>6.1186411183510897E-2</v>
      </c>
      <c r="G107" s="43">
        <f t="shared" si="28"/>
        <v>1.3196310833542798E-3</v>
      </c>
      <c r="H107" s="43">
        <f t="shared" si="28"/>
        <v>6.7673388889963066E-5</v>
      </c>
      <c r="I107" s="43">
        <f t="shared" si="28"/>
        <v>1.6744329936773716E-2</v>
      </c>
      <c r="J107" s="43">
        <f t="shared" si="28"/>
        <v>2.8567837738548707E-3</v>
      </c>
      <c r="K107" s="43">
        <f t="shared" si="28"/>
        <v>1.2132871865271951E-3</v>
      </c>
      <c r="L107" s="43">
        <f t="shared" si="28"/>
        <v>2.9486262302055329E-4</v>
      </c>
      <c r="M107" s="43">
        <f t="shared" si="28"/>
        <v>0.44655735803089774</v>
      </c>
      <c r="N107" s="43">
        <f t="shared" si="28"/>
        <v>6.2839575397822853E-5</v>
      </c>
      <c r="R107" s="8"/>
      <c r="T107"/>
    </row>
    <row r="108" spans="2:20" ht="23.1" customHeight="1">
      <c r="B108" s="42" t="s">
        <v>94</v>
      </c>
      <c r="C108" s="44">
        <f>C106/$O$106</f>
        <v>0.69326776949010449</v>
      </c>
      <c r="D108" s="44">
        <f t="shared" ref="D108:N108" si="29">D106/$O$106</f>
        <v>0.10171712054780166</v>
      </c>
      <c r="E108" s="44">
        <f t="shared" si="29"/>
        <v>5.369713696787605E-2</v>
      </c>
      <c r="F108" s="44">
        <f t="shared" si="29"/>
        <v>0.11055601166873377</v>
      </c>
      <c r="G108" s="44">
        <f t="shared" si="29"/>
        <v>2.3844044229391938E-3</v>
      </c>
      <c r="H108" s="44">
        <f t="shared" si="29"/>
        <v>1.2227714989431764E-4</v>
      </c>
      <c r="I108" s="44">
        <f t="shared" si="29"/>
        <v>3.0254860516708303E-2</v>
      </c>
      <c r="J108" s="44">
        <f t="shared" si="29"/>
        <v>5.1618425419672678E-3</v>
      </c>
      <c r="K108" s="44">
        <f t="shared" si="29"/>
        <v>2.1922546159624094E-3</v>
      </c>
      <c r="L108" s="44">
        <f t="shared" si="29"/>
        <v>5.3277901025381238E-4</v>
      </c>
      <c r="M108" s="44"/>
      <c r="N108" s="44">
        <f t="shared" si="29"/>
        <v>1.1354306775900924E-4</v>
      </c>
      <c r="Q108" s="7"/>
      <c r="R108" s="8"/>
      <c r="T108"/>
    </row>
    <row r="109" spans="2:20" ht="20.100000000000001" customHeight="1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0.100000000000001" customHeight="1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0.100000000000001" customHeight="1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0.100000000000001" customHeight="1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0.100000000000001" customHeight="1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0.100000000000001" customHeight="1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0.100000000000001" customHeight="1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0.100000000000001" customHeight="1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0.100000000000001" customHeight="1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0.100000000000001" customHeight="1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0.100000000000001" customHeight="1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0.100000000000001" customHeight="1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0.100000000000001" customHeight="1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0.100000000000001" customHeight="1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0.100000000000001" customHeight="1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0.100000000000001" customHeight="1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0.100000000000001" customHeight="1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0.100000000000001" customHeight="1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0.100000000000001" customHeight="1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0.100000000000001" customHeight="1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0.100000000000001" customHeight="1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0.100000000000001" customHeight="1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0.100000000000001" customHeight="1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0.100000000000001" customHeight="1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0.100000000000001" customHeight="1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0.100000000000001" customHeight="1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0.100000000000001" customHeight="1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0.100000000000001" customHeight="1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0.100000000000001" customHeight="1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0.100000000000001" customHeight="1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0.100000000000001" customHeight="1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0.100000000000001" customHeight="1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0.100000000000001" customHeight="1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0.100000000000001" customHeight="1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0.100000000000001" customHeight="1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0.100000000000001" customHeight="1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0.100000000000001" customHeight="1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0.100000000000001" customHeight="1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0.100000000000001" customHeight="1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0.100000000000001" customHeight="1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0.100000000000001" customHeight="1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0.100000000000001" customHeight="1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0.100000000000001" customHeight="1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2.5" customHeight="1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0.100000000000001" customHeight="1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0.100000000000001" customHeight="1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0.100000000000001" customHeight="1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0.100000000000001" customHeight="1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0.100000000000001" customHeight="1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0.100000000000001" customHeight="1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0.100000000000001" customHeight="1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0.100000000000001" customHeight="1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0.100000000000001" customHeight="1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0.100000000000001" customHeight="1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0.100000000000001" customHeight="1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0.100000000000001" customHeight="1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0.100000000000001" customHeight="1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0.100000000000001" customHeight="1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0.100000000000001" customHeight="1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0.100000000000001" customHeight="1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0.100000000000001" customHeight="1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0.100000000000001" customHeight="1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0.100000000000001" customHeight="1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0.100000000000001" customHeight="1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0.100000000000001" customHeight="1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0.100000000000001" customHeight="1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10">
    <mergeCell ref="R8:AF8"/>
    <mergeCell ref="D6:E6"/>
    <mergeCell ref="K5:L5"/>
    <mergeCell ref="K6:L6"/>
    <mergeCell ref="D5:E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theme="9" tint="-0.249977111117893"/>
  </sheetPr>
  <dimension ref="B1:AF174"/>
  <sheetViews>
    <sheetView view="pageBreakPreview" topLeftCell="A94" zoomScale="60" workbookViewId="0">
      <selection activeCell="S106" sqref="S106"/>
    </sheetView>
  </sheetViews>
  <sheetFormatPr defaultColWidth="15" defaultRowHeight="20.100000000000001" customHeight="1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>
      <c r="B1" s="60" t="s">
        <v>23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</row>
    <row r="2" spans="2:32" ht="20.100000000000001" customHeight="1">
      <c r="B2" s="61" t="s">
        <v>95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</row>
    <row r="3" spans="2:32" ht="20.100000000000001" customHeight="1">
      <c r="B3" s="22" t="s">
        <v>96</v>
      </c>
      <c r="C3" s="65" t="str">
        <f>'04.08 Kiwatule-Najjeera'!C3:G3</f>
        <v>MCC - C1 - STN36 - MBOGO ROAD</v>
      </c>
      <c r="D3" s="65"/>
      <c r="E3" s="65"/>
      <c r="F3" s="65"/>
      <c r="G3" s="65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>
      <c r="C5" s="4" t="s">
        <v>3</v>
      </c>
      <c r="D5" s="68" t="s">
        <v>162</v>
      </c>
      <c r="E5" s="69"/>
      <c r="F5" s="41" t="s">
        <v>1</v>
      </c>
      <c r="G5" s="66" t="str">
        <f>'04.08 Kiwatule-Najjeera'!G5:H5</f>
        <v>U Save Kiwatule</v>
      </c>
      <c r="H5" s="67"/>
      <c r="I5" s="14"/>
      <c r="J5" s="2" t="s">
        <v>5</v>
      </c>
      <c r="K5" s="66" t="str">
        <f>'04.08 Kiwatule-Najjeera'!K5:L5</f>
        <v>Olupot</v>
      </c>
      <c r="L5" s="67"/>
      <c r="M5" s="10"/>
      <c r="N5" s="10"/>
      <c r="O5" s="3"/>
      <c r="P5" s="3"/>
    </row>
    <row r="6" spans="2:32" ht="23.25" customHeight="1">
      <c r="C6" s="2" t="s">
        <v>4</v>
      </c>
      <c r="D6" s="66" t="str">
        <f>'04.08 Kiwatule-Najjeera'!D6:E6</f>
        <v>Kiwatule</v>
      </c>
      <c r="E6" s="67"/>
      <c r="F6" s="2" t="s">
        <v>2</v>
      </c>
      <c r="G6" s="66" t="str">
        <f>'04.08 Kiwatule-Najjeera'!G6:H6</f>
        <v>Najjeera</v>
      </c>
      <c r="H6" s="67"/>
      <c r="J6" s="2" t="s">
        <v>21</v>
      </c>
      <c r="K6" s="66" t="str">
        <f>'04.08 Kiwatule-Najjeera'!K6:L6</f>
        <v>Joan</v>
      </c>
      <c r="L6" s="67"/>
      <c r="M6" s="10"/>
      <c r="N6" s="10"/>
      <c r="O6" s="3"/>
      <c r="P6" s="3"/>
    </row>
    <row r="7" spans="2:32" ht="20.100000000000001" customHeight="1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9" t="s">
        <v>88</v>
      </c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</row>
    <row r="9" spans="2:32" ht="51.75" customHeight="1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>
      <c r="B10" s="23" t="s">
        <v>37</v>
      </c>
      <c r="C10" s="49">
        <f>AVERAGE('29.07 Kiwatule-Najjeera'!C10,'02.08 Kiwatule-Najjeera'!C10,'30.07 Kiwatule-Najjeera'!C10,'31.07 Kiwatule-Najjeera'!C10,'01.08 Kiwatule-Najjeera-24h'!C10,'03.08 Kiwatule-Najjeera-24h'!C10,'04.08 Kiwatule-Najjeera'!C10)</f>
        <v>22</v>
      </c>
      <c r="D10" s="49">
        <f>AVERAGE('29.07 Kiwatule-Najjeera'!D10,'02.08 Kiwatule-Najjeera'!D10,'30.07 Kiwatule-Najjeera'!D10,'31.07 Kiwatule-Najjeera'!D10,'01.08 Kiwatule-Najjeera-24h'!D10,'03.08 Kiwatule-Najjeera-24h'!D10,'04.08 Kiwatule-Najjeera'!D10)</f>
        <v>7.4285714285714288</v>
      </c>
      <c r="E10" s="49">
        <f>AVERAGE('29.07 Kiwatule-Najjeera'!E10,'02.08 Kiwatule-Najjeera'!E10,'30.07 Kiwatule-Najjeera'!E10,'31.07 Kiwatule-Najjeera'!E10,'01.08 Kiwatule-Najjeera-24h'!E10,'03.08 Kiwatule-Najjeera-24h'!E10,'04.08 Kiwatule-Najjeera'!E10)</f>
        <v>2.2857142857142856</v>
      </c>
      <c r="F10" s="49">
        <f>AVERAGE('29.07 Kiwatule-Najjeera'!F10,'02.08 Kiwatule-Najjeera'!F10,'30.07 Kiwatule-Najjeera'!F10,'31.07 Kiwatule-Najjeera'!F10,'01.08 Kiwatule-Najjeera-24h'!F10,'03.08 Kiwatule-Najjeera-24h'!F10,'04.08 Kiwatule-Najjeera'!F10)</f>
        <v>14.857142857142858</v>
      </c>
      <c r="G10" s="49">
        <f>AVERAGE('29.07 Kiwatule-Najjeera'!G10,'02.08 Kiwatule-Najjeera'!G10,'30.07 Kiwatule-Najjeera'!G10,'31.07 Kiwatule-Najjeera'!G10,'01.08 Kiwatule-Najjeera-24h'!G10,'03.08 Kiwatule-Najjeera-24h'!G10,'04.08 Kiwatule-Najjeera'!G10)</f>
        <v>0.42857142857142855</v>
      </c>
      <c r="H10" s="49">
        <f>AVERAGE('29.07 Kiwatule-Najjeera'!H10,'02.08 Kiwatule-Najjeera'!H10,'30.07 Kiwatule-Najjeera'!H10,'31.07 Kiwatule-Najjeera'!H10,'01.08 Kiwatule-Najjeera-24h'!H10,'03.08 Kiwatule-Najjeera-24h'!H10,'04.08 Kiwatule-Najjeera'!H10)</f>
        <v>0</v>
      </c>
      <c r="I10" s="49">
        <f>AVERAGE('29.07 Kiwatule-Najjeera'!I10,'02.08 Kiwatule-Najjeera'!I10,'30.07 Kiwatule-Najjeera'!I10,'31.07 Kiwatule-Najjeera'!I10,'01.08 Kiwatule-Najjeera-24h'!I10,'03.08 Kiwatule-Najjeera-24h'!I10,'04.08 Kiwatule-Najjeera'!I10)</f>
        <v>3</v>
      </c>
      <c r="J10" s="49">
        <f>AVERAGE('29.07 Kiwatule-Najjeera'!J10,'02.08 Kiwatule-Najjeera'!J10,'30.07 Kiwatule-Najjeera'!J10,'31.07 Kiwatule-Najjeera'!J10,'01.08 Kiwatule-Najjeera-24h'!J10,'03.08 Kiwatule-Najjeera-24h'!J10,'04.08 Kiwatule-Najjeera'!J10)</f>
        <v>0.42857142857142855</v>
      </c>
      <c r="K10" s="49">
        <f>AVERAGE('29.07 Kiwatule-Najjeera'!K10,'02.08 Kiwatule-Najjeera'!K10,'30.07 Kiwatule-Najjeera'!K10,'31.07 Kiwatule-Najjeera'!K10,'01.08 Kiwatule-Najjeera-24h'!K10,'03.08 Kiwatule-Najjeera-24h'!K10,'04.08 Kiwatule-Najjeera'!K10)</f>
        <v>0</v>
      </c>
      <c r="L10" s="49">
        <f>AVERAGE('29.07 Kiwatule-Najjeera'!L10,'02.08 Kiwatule-Najjeera'!L10,'30.07 Kiwatule-Najjeera'!L10,'31.07 Kiwatule-Najjeera'!L10,'01.08 Kiwatule-Najjeera-24h'!L10,'03.08 Kiwatule-Najjeera-24h'!L10,'04.08 Kiwatule-Najjeera'!L10)</f>
        <v>0</v>
      </c>
      <c r="M10" s="49">
        <f>AVERAGE('29.07 Kiwatule-Najjeera'!M10,'02.08 Kiwatule-Najjeera'!M10,'30.07 Kiwatule-Najjeera'!M10,'31.07 Kiwatule-Najjeera'!M10,'01.08 Kiwatule-Najjeera-24h'!M10,'03.08 Kiwatule-Najjeera-24h'!M10,'04.08 Kiwatule-Najjeera'!M10)</f>
        <v>26.285714285714285</v>
      </c>
      <c r="N10" s="49">
        <f>AVERAGE('29.07 Kiwatule-Najjeera'!N10,'02.08 Kiwatule-Najjeera'!N10,'30.07 Kiwatule-Najjeera'!N10,'31.07 Kiwatule-Najjeera'!N10,'01.08 Kiwatule-Najjeera-24h'!N10,'03.08 Kiwatule-Najjeera-24h'!N10,'04.08 Kiwatule-Najjeera'!N10)</f>
        <v>0</v>
      </c>
      <c r="O10" s="15">
        <f t="shared" ref="O10:O73" si="0">SUM(C10:L10,N10)</f>
        <v>50.428571428571431</v>
      </c>
      <c r="P10" s="15">
        <f t="shared" ref="P10:P73" si="1">SUM(C10:N10)</f>
        <v>76.714285714285722</v>
      </c>
      <c r="R10" s="1" t="s">
        <v>6</v>
      </c>
      <c r="S10" s="17">
        <f t="shared" ref="S10:AF10" si="2">SUM(C10:C13)</f>
        <v>113.57142857142858</v>
      </c>
      <c r="T10" s="17">
        <f t="shared" si="2"/>
        <v>24.285714285714285</v>
      </c>
      <c r="U10" s="17">
        <f t="shared" si="2"/>
        <v>10.571428571428571</v>
      </c>
      <c r="V10" s="17">
        <f t="shared" si="2"/>
        <v>70</v>
      </c>
      <c r="W10" s="17">
        <f t="shared" si="2"/>
        <v>1.857142857142857</v>
      </c>
      <c r="X10" s="17">
        <f t="shared" si="2"/>
        <v>0</v>
      </c>
      <c r="Y10" s="17">
        <f t="shared" si="2"/>
        <v>12.142857142857142</v>
      </c>
      <c r="Z10" s="17">
        <f t="shared" si="2"/>
        <v>1.4285714285714284</v>
      </c>
      <c r="AA10" s="17">
        <f t="shared" si="2"/>
        <v>0.5714285714285714</v>
      </c>
      <c r="AB10" s="17">
        <f t="shared" si="2"/>
        <v>0.42857142857142855</v>
      </c>
      <c r="AC10" s="17">
        <f t="shared" si="2"/>
        <v>135.71428571428572</v>
      </c>
      <c r="AD10" s="17">
        <f t="shared" si="2"/>
        <v>0</v>
      </c>
      <c r="AE10" s="31">
        <f t="shared" si="2"/>
        <v>234.85714285714286</v>
      </c>
      <c r="AF10" s="31">
        <f t="shared" si="2"/>
        <v>370.57142857142856</v>
      </c>
    </row>
    <row r="11" spans="2:32" s="6" customFormat="1" ht="23.1" customHeight="1">
      <c r="B11" s="23" t="s">
        <v>38</v>
      </c>
      <c r="C11" s="49">
        <f>AVERAGE('29.07 Kiwatule-Najjeera'!C11,'02.08 Kiwatule-Najjeera'!C11,'30.07 Kiwatule-Najjeera'!C11,'31.07 Kiwatule-Najjeera'!C11,'01.08 Kiwatule-Najjeera-24h'!C11,'03.08 Kiwatule-Najjeera-24h'!C11,'04.08 Kiwatule-Najjeera'!C11)</f>
        <v>28.857142857142858</v>
      </c>
      <c r="D11" s="49">
        <f>AVERAGE('29.07 Kiwatule-Najjeera'!D11,'02.08 Kiwatule-Najjeera'!D11,'30.07 Kiwatule-Najjeera'!D11,'31.07 Kiwatule-Najjeera'!D11,'01.08 Kiwatule-Najjeera-24h'!D11,'03.08 Kiwatule-Najjeera-24h'!D11,'04.08 Kiwatule-Najjeera'!D11)</f>
        <v>5.7142857142857144</v>
      </c>
      <c r="E11" s="49">
        <f>AVERAGE('29.07 Kiwatule-Najjeera'!E11,'02.08 Kiwatule-Najjeera'!E11,'30.07 Kiwatule-Najjeera'!E11,'31.07 Kiwatule-Najjeera'!E11,'01.08 Kiwatule-Najjeera-24h'!E11,'03.08 Kiwatule-Najjeera-24h'!E11,'04.08 Kiwatule-Najjeera'!E11)</f>
        <v>3</v>
      </c>
      <c r="F11" s="49">
        <f>AVERAGE('29.07 Kiwatule-Najjeera'!F11,'02.08 Kiwatule-Najjeera'!F11,'30.07 Kiwatule-Najjeera'!F11,'31.07 Kiwatule-Najjeera'!F11,'01.08 Kiwatule-Najjeera-24h'!F11,'03.08 Kiwatule-Najjeera-24h'!F11,'04.08 Kiwatule-Najjeera'!F11)</f>
        <v>16.428571428571427</v>
      </c>
      <c r="G11" s="49">
        <f>AVERAGE('29.07 Kiwatule-Najjeera'!G11,'02.08 Kiwatule-Najjeera'!G11,'30.07 Kiwatule-Najjeera'!G11,'31.07 Kiwatule-Najjeera'!G11,'01.08 Kiwatule-Najjeera-24h'!G11,'03.08 Kiwatule-Najjeera-24h'!G11,'04.08 Kiwatule-Najjeera'!G11)</f>
        <v>0.8571428571428571</v>
      </c>
      <c r="H11" s="49">
        <f>AVERAGE('29.07 Kiwatule-Najjeera'!H11,'02.08 Kiwatule-Najjeera'!H11,'30.07 Kiwatule-Najjeera'!H11,'31.07 Kiwatule-Najjeera'!H11,'01.08 Kiwatule-Najjeera-24h'!H11,'03.08 Kiwatule-Najjeera-24h'!H11,'04.08 Kiwatule-Najjeera'!H11)</f>
        <v>0</v>
      </c>
      <c r="I11" s="49">
        <f>AVERAGE('29.07 Kiwatule-Najjeera'!I11,'02.08 Kiwatule-Najjeera'!I11,'30.07 Kiwatule-Najjeera'!I11,'31.07 Kiwatule-Najjeera'!I11,'01.08 Kiwatule-Najjeera-24h'!I11,'03.08 Kiwatule-Najjeera-24h'!I11,'04.08 Kiwatule-Najjeera'!I11)</f>
        <v>4.1428571428571432</v>
      </c>
      <c r="J11" s="49">
        <f>AVERAGE('29.07 Kiwatule-Najjeera'!J11,'02.08 Kiwatule-Najjeera'!J11,'30.07 Kiwatule-Najjeera'!J11,'31.07 Kiwatule-Najjeera'!J11,'01.08 Kiwatule-Najjeera-24h'!J11,'03.08 Kiwatule-Najjeera-24h'!J11,'04.08 Kiwatule-Najjeera'!J11)</f>
        <v>0.2857142857142857</v>
      </c>
      <c r="K11" s="49">
        <f>AVERAGE('29.07 Kiwatule-Najjeera'!K11,'02.08 Kiwatule-Najjeera'!K11,'30.07 Kiwatule-Najjeera'!K11,'31.07 Kiwatule-Najjeera'!K11,'01.08 Kiwatule-Najjeera-24h'!K11,'03.08 Kiwatule-Najjeera-24h'!K11,'04.08 Kiwatule-Najjeera'!K11)</f>
        <v>0.14285714285714285</v>
      </c>
      <c r="L11" s="49">
        <f>AVERAGE('29.07 Kiwatule-Najjeera'!L11,'02.08 Kiwatule-Najjeera'!L11,'30.07 Kiwatule-Najjeera'!L11,'31.07 Kiwatule-Najjeera'!L11,'01.08 Kiwatule-Najjeera-24h'!L11,'03.08 Kiwatule-Najjeera-24h'!L11,'04.08 Kiwatule-Najjeera'!L11)</f>
        <v>0.2857142857142857</v>
      </c>
      <c r="M11" s="49">
        <f>AVERAGE('29.07 Kiwatule-Najjeera'!M11,'02.08 Kiwatule-Najjeera'!M11,'30.07 Kiwatule-Najjeera'!M11,'31.07 Kiwatule-Najjeera'!M11,'01.08 Kiwatule-Najjeera-24h'!M11,'03.08 Kiwatule-Najjeera-24h'!M11,'04.08 Kiwatule-Najjeera'!M11)</f>
        <v>34.714285714285715</v>
      </c>
      <c r="N11" s="49">
        <f>AVERAGE('29.07 Kiwatule-Najjeera'!N11,'02.08 Kiwatule-Najjeera'!N11,'30.07 Kiwatule-Najjeera'!N11,'31.07 Kiwatule-Najjeera'!N11,'01.08 Kiwatule-Najjeera-24h'!N11,'03.08 Kiwatule-Najjeera-24h'!N11,'04.08 Kiwatule-Najjeera'!N11)</f>
        <v>0</v>
      </c>
      <c r="O11" s="15">
        <f t="shared" si="0"/>
        <v>59.714285714285715</v>
      </c>
      <c r="P11" s="15">
        <f t="shared" si="1"/>
        <v>94.428571428571431</v>
      </c>
      <c r="R11" s="1" t="s">
        <v>7</v>
      </c>
      <c r="S11" s="17">
        <f t="shared" ref="S11:AF11" si="3">SUM(C14:C17)</f>
        <v>110.57142857142856</v>
      </c>
      <c r="T11" s="17">
        <f t="shared" si="3"/>
        <v>18.857142857142858</v>
      </c>
      <c r="U11" s="17">
        <f t="shared" si="3"/>
        <v>8.8571428571428577</v>
      </c>
      <c r="V11" s="17">
        <f t="shared" si="3"/>
        <v>75.714285714285722</v>
      </c>
      <c r="W11" s="17">
        <f t="shared" si="3"/>
        <v>1.4285714285714284</v>
      </c>
      <c r="X11" s="17">
        <f t="shared" si="3"/>
        <v>0.42857142857142855</v>
      </c>
      <c r="Y11" s="17">
        <f t="shared" si="3"/>
        <v>13.857142857142858</v>
      </c>
      <c r="Z11" s="17">
        <f t="shared" si="3"/>
        <v>1.2857142857142856</v>
      </c>
      <c r="AA11" s="17">
        <f t="shared" si="3"/>
        <v>1.4285714285714284</v>
      </c>
      <c r="AB11" s="17">
        <f t="shared" si="3"/>
        <v>0.42857142857142855</v>
      </c>
      <c r="AC11" s="17">
        <f t="shared" si="3"/>
        <v>189.42857142857142</v>
      </c>
      <c r="AD11" s="17">
        <f t="shared" si="3"/>
        <v>0</v>
      </c>
      <c r="AE11" s="31">
        <f t="shared" si="3"/>
        <v>232.85714285714286</v>
      </c>
      <c r="AF11" s="31">
        <f t="shared" si="3"/>
        <v>422.28571428571428</v>
      </c>
    </row>
    <row r="12" spans="2:32" ht="23.1" customHeight="1">
      <c r="B12" s="23" t="s">
        <v>39</v>
      </c>
      <c r="C12" s="49">
        <f>AVERAGE('29.07 Kiwatule-Najjeera'!C12,'02.08 Kiwatule-Najjeera'!C12,'30.07 Kiwatule-Najjeera'!C12,'31.07 Kiwatule-Najjeera'!C12,'01.08 Kiwatule-Najjeera-24h'!C12,'03.08 Kiwatule-Najjeera-24h'!C12,'04.08 Kiwatule-Najjeera'!C12)</f>
        <v>32</v>
      </c>
      <c r="D12" s="49">
        <f>AVERAGE('29.07 Kiwatule-Najjeera'!D12,'02.08 Kiwatule-Najjeera'!D12,'30.07 Kiwatule-Najjeera'!D12,'31.07 Kiwatule-Najjeera'!D12,'01.08 Kiwatule-Najjeera-24h'!D12,'03.08 Kiwatule-Najjeera-24h'!D12,'04.08 Kiwatule-Najjeera'!D12)</f>
        <v>5.5714285714285712</v>
      </c>
      <c r="E12" s="49">
        <f>AVERAGE('29.07 Kiwatule-Najjeera'!E12,'02.08 Kiwatule-Najjeera'!E12,'30.07 Kiwatule-Najjeera'!E12,'31.07 Kiwatule-Najjeera'!E12,'01.08 Kiwatule-Najjeera-24h'!E12,'03.08 Kiwatule-Najjeera-24h'!E12,'04.08 Kiwatule-Najjeera'!E12)</f>
        <v>2.7142857142857144</v>
      </c>
      <c r="F12" s="49">
        <f>AVERAGE('29.07 Kiwatule-Najjeera'!F12,'02.08 Kiwatule-Najjeera'!F12,'30.07 Kiwatule-Najjeera'!F12,'31.07 Kiwatule-Najjeera'!F12,'01.08 Kiwatule-Najjeera-24h'!F12,'03.08 Kiwatule-Najjeera-24h'!F12,'04.08 Kiwatule-Najjeera'!F12)</f>
        <v>18.714285714285715</v>
      </c>
      <c r="G12" s="49">
        <f>AVERAGE('29.07 Kiwatule-Najjeera'!G12,'02.08 Kiwatule-Najjeera'!G12,'30.07 Kiwatule-Najjeera'!G12,'31.07 Kiwatule-Najjeera'!G12,'01.08 Kiwatule-Najjeera-24h'!G12,'03.08 Kiwatule-Najjeera-24h'!G12,'04.08 Kiwatule-Najjeera'!G12)</f>
        <v>0.14285714285714285</v>
      </c>
      <c r="H12" s="49">
        <f>AVERAGE('29.07 Kiwatule-Najjeera'!H12,'02.08 Kiwatule-Najjeera'!H12,'30.07 Kiwatule-Najjeera'!H12,'31.07 Kiwatule-Najjeera'!H12,'01.08 Kiwatule-Najjeera-24h'!H12,'03.08 Kiwatule-Najjeera-24h'!H12,'04.08 Kiwatule-Najjeera'!H12)</f>
        <v>0</v>
      </c>
      <c r="I12" s="49">
        <f>AVERAGE('29.07 Kiwatule-Najjeera'!I12,'02.08 Kiwatule-Najjeera'!I12,'30.07 Kiwatule-Najjeera'!I12,'31.07 Kiwatule-Najjeera'!I12,'01.08 Kiwatule-Najjeera-24h'!I12,'03.08 Kiwatule-Najjeera-24h'!I12,'04.08 Kiwatule-Najjeera'!I12)</f>
        <v>2.8571428571428572</v>
      </c>
      <c r="J12" s="49">
        <f>AVERAGE('29.07 Kiwatule-Najjeera'!J12,'02.08 Kiwatule-Najjeera'!J12,'30.07 Kiwatule-Najjeera'!J12,'31.07 Kiwatule-Najjeera'!J12,'01.08 Kiwatule-Najjeera-24h'!J12,'03.08 Kiwatule-Najjeera-24h'!J12,'04.08 Kiwatule-Najjeera'!J12)</f>
        <v>0</v>
      </c>
      <c r="K12" s="49">
        <f>AVERAGE('29.07 Kiwatule-Najjeera'!K12,'02.08 Kiwatule-Najjeera'!K12,'30.07 Kiwatule-Najjeera'!K12,'31.07 Kiwatule-Najjeera'!K12,'01.08 Kiwatule-Najjeera-24h'!K12,'03.08 Kiwatule-Najjeera-24h'!K12,'04.08 Kiwatule-Najjeera'!K12)</f>
        <v>0.14285714285714285</v>
      </c>
      <c r="L12" s="49">
        <f>AVERAGE('29.07 Kiwatule-Najjeera'!L12,'02.08 Kiwatule-Najjeera'!L12,'30.07 Kiwatule-Najjeera'!L12,'31.07 Kiwatule-Najjeera'!L12,'01.08 Kiwatule-Najjeera-24h'!L12,'03.08 Kiwatule-Najjeera-24h'!L12,'04.08 Kiwatule-Najjeera'!L12)</f>
        <v>0</v>
      </c>
      <c r="M12" s="49">
        <f>AVERAGE('29.07 Kiwatule-Najjeera'!M12,'02.08 Kiwatule-Najjeera'!M12,'30.07 Kiwatule-Najjeera'!M12,'31.07 Kiwatule-Najjeera'!M12,'01.08 Kiwatule-Najjeera-24h'!M12,'03.08 Kiwatule-Najjeera-24h'!M12,'04.08 Kiwatule-Najjeera'!M12)</f>
        <v>32.142857142857146</v>
      </c>
      <c r="N12" s="49">
        <f>AVERAGE('29.07 Kiwatule-Najjeera'!N12,'02.08 Kiwatule-Najjeera'!N12,'30.07 Kiwatule-Najjeera'!N12,'31.07 Kiwatule-Najjeera'!N12,'01.08 Kiwatule-Najjeera-24h'!N12,'03.08 Kiwatule-Najjeera-24h'!N12,'04.08 Kiwatule-Najjeera'!N12)</f>
        <v>0</v>
      </c>
      <c r="O12" s="15">
        <f t="shared" si="0"/>
        <v>62.142857142857146</v>
      </c>
      <c r="P12" s="15">
        <f t="shared" si="1"/>
        <v>94.285714285714292</v>
      </c>
      <c r="R12" s="1" t="s">
        <v>8</v>
      </c>
      <c r="S12" s="17">
        <f t="shared" ref="S12:AF12" si="4">SUM(C18:C21)</f>
        <v>110.42857142857143</v>
      </c>
      <c r="T12" s="17">
        <f t="shared" si="4"/>
        <v>21.285714285714288</v>
      </c>
      <c r="U12" s="17">
        <f t="shared" si="4"/>
        <v>10.428571428571427</v>
      </c>
      <c r="V12" s="17">
        <f t="shared" si="4"/>
        <v>69.428571428571431</v>
      </c>
      <c r="W12" s="17">
        <f t="shared" si="4"/>
        <v>1.5714285714285712</v>
      </c>
      <c r="X12" s="17">
        <f t="shared" si="4"/>
        <v>0</v>
      </c>
      <c r="Y12" s="17">
        <f t="shared" si="4"/>
        <v>22.571428571428569</v>
      </c>
      <c r="Z12" s="17">
        <f t="shared" si="4"/>
        <v>1.7142857142857144</v>
      </c>
      <c r="AA12" s="17">
        <f t="shared" si="4"/>
        <v>0.71428571428571419</v>
      </c>
      <c r="AB12" s="17">
        <f t="shared" si="4"/>
        <v>0.2857142857142857</v>
      </c>
      <c r="AC12" s="17">
        <f t="shared" si="4"/>
        <v>211.57142857142856</v>
      </c>
      <c r="AD12" s="17">
        <f t="shared" si="4"/>
        <v>0</v>
      </c>
      <c r="AE12" s="31">
        <f t="shared" si="4"/>
        <v>238.42857142857144</v>
      </c>
      <c r="AF12" s="31">
        <f t="shared" si="4"/>
        <v>450.00000000000006</v>
      </c>
    </row>
    <row r="13" spans="2:32" ht="23.1" customHeight="1">
      <c r="B13" s="23" t="s">
        <v>40</v>
      </c>
      <c r="C13" s="49">
        <f>AVERAGE('29.07 Kiwatule-Najjeera'!C13,'02.08 Kiwatule-Najjeera'!C13,'30.07 Kiwatule-Najjeera'!C13,'31.07 Kiwatule-Najjeera'!C13,'01.08 Kiwatule-Najjeera-24h'!C13,'03.08 Kiwatule-Najjeera-24h'!C13,'04.08 Kiwatule-Najjeera'!C13)</f>
        <v>30.714285714285715</v>
      </c>
      <c r="D13" s="49">
        <f>AVERAGE('29.07 Kiwatule-Najjeera'!D13,'02.08 Kiwatule-Najjeera'!D13,'30.07 Kiwatule-Najjeera'!D13,'31.07 Kiwatule-Najjeera'!D13,'01.08 Kiwatule-Najjeera-24h'!D13,'03.08 Kiwatule-Najjeera-24h'!D13,'04.08 Kiwatule-Najjeera'!D13)</f>
        <v>5.5714285714285712</v>
      </c>
      <c r="E13" s="49">
        <f>AVERAGE('29.07 Kiwatule-Najjeera'!E13,'02.08 Kiwatule-Najjeera'!E13,'30.07 Kiwatule-Najjeera'!E13,'31.07 Kiwatule-Najjeera'!E13,'01.08 Kiwatule-Najjeera-24h'!E13,'03.08 Kiwatule-Najjeera-24h'!E13,'04.08 Kiwatule-Najjeera'!E13)</f>
        <v>2.5714285714285716</v>
      </c>
      <c r="F13" s="49">
        <f>AVERAGE('29.07 Kiwatule-Najjeera'!F13,'02.08 Kiwatule-Najjeera'!F13,'30.07 Kiwatule-Najjeera'!F13,'31.07 Kiwatule-Najjeera'!F13,'01.08 Kiwatule-Najjeera-24h'!F13,'03.08 Kiwatule-Najjeera-24h'!F13,'04.08 Kiwatule-Najjeera'!F13)</f>
        <v>20</v>
      </c>
      <c r="G13" s="49">
        <f>AVERAGE('29.07 Kiwatule-Najjeera'!G13,'02.08 Kiwatule-Najjeera'!G13,'30.07 Kiwatule-Najjeera'!G13,'31.07 Kiwatule-Najjeera'!G13,'01.08 Kiwatule-Najjeera-24h'!G13,'03.08 Kiwatule-Najjeera-24h'!G13,'04.08 Kiwatule-Najjeera'!G13)</f>
        <v>0.42857142857142855</v>
      </c>
      <c r="H13" s="49">
        <f>AVERAGE('29.07 Kiwatule-Najjeera'!H13,'02.08 Kiwatule-Najjeera'!H13,'30.07 Kiwatule-Najjeera'!H13,'31.07 Kiwatule-Najjeera'!H13,'01.08 Kiwatule-Najjeera-24h'!H13,'03.08 Kiwatule-Najjeera-24h'!H13,'04.08 Kiwatule-Najjeera'!H13)</f>
        <v>0</v>
      </c>
      <c r="I13" s="49">
        <f>AVERAGE('29.07 Kiwatule-Najjeera'!I13,'02.08 Kiwatule-Najjeera'!I13,'30.07 Kiwatule-Najjeera'!I13,'31.07 Kiwatule-Najjeera'!I13,'01.08 Kiwatule-Najjeera-24h'!I13,'03.08 Kiwatule-Najjeera-24h'!I13,'04.08 Kiwatule-Najjeera'!I13)</f>
        <v>2.1428571428571428</v>
      </c>
      <c r="J13" s="49">
        <f>AVERAGE('29.07 Kiwatule-Najjeera'!J13,'02.08 Kiwatule-Najjeera'!J13,'30.07 Kiwatule-Najjeera'!J13,'31.07 Kiwatule-Najjeera'!J13,'01.08 Kiwatule-Najjeera-24h'!J13,'03.08 Kiwatule-Najjeera-24h'!J13,'04.08 Kiwatule-Najjeera'!J13)</f>
        <v>0.7142857142857143</v>
      </c>
      <c r="K13" s="49">
        <f>AVERAGE('29.07 Kiwatule-Najjeera'!K13,'02.08 Kiwatule-Najjeera'!K13,'30.07 Kiwatule-Najjeera'!K13,'31.07 Kiwatule-Najjeera'!K13,'01.08 Kiwatule-Najjeera-24h'!K13,'03.08 Kiwatule-Najjeera-24h'!K13,'04.08 Kiwatule-Najjeera'!K13)</f>
        <v>0.2857142857142857</v>
      </c>
      <c r="L13" s="49">
        <f>AVERAGE('29.07 Kiwatule-Najjeera'!L13,'02.08 Kiwatule-Najjeera'!L13,'30.07 Kiwatule-Najjeera'!L13,'31.07 Kiwatule-Najjeera'!L13,'01.08 Kiwatule-Najjeera-24h'!L13,'03.08 Kiwatule-Najjeera-24h'!L13,'04.08 Kiwatule-Najjeera'!L13)</f>
        <v>0.14285714285714285</v>
      </c>
      <c r="M13" s="49">
        <f>AVERAGE('29.07 Kiwatule-Najjeera'!M13,'02.08 Kiwatule-Najjeera'!M13,'30.07 Kiwatule-Najjeera'!M13,'31.07 Kiwatule-Najjeera'!M13,'01.08 Kiwatule-Najjeera-24h'!M13,'03.08 Kiwatule-Najjeera-24h'!M13,'04.08 Kiwatule-Najjeera'!M13)</f>
        <v>42.571428571428569</v>
      </c>
      <c r="N13" s="49">
        <f>AVERAGE('29.07 Kiwatule-Najjeera'!N13,'02.08 Kiwatule-Najjeera'!N13,'30.07 Kiwatule-Najjeera'!N13,'31.07 Kiwatule-Najjeera'!N13,'01.08 Kiwatule-Najjeera-24h'!N13,'03.08 Kiwatule-Najjeera-24h'!N13,'04.08 Kiwatule-Najjeera'!N13)</f>
        <v>0</v>
      </c>
      <c r="O13" s="15">
        <f t="shared" si="0"/>
        <v>62.571428571428577</v>
      </c>
      <c r="P13" s="15">
        <f t="shared" si="1"/>
        <v>105.14285714285714</v>
      </c>
      <c r="R13" s="1" t="s">
        <v>9</v>
      </c>
      <c r="S13" s="17">
        <f t="shared" ref="S13:AF13" si="5">SUM(C22:C25)</f>
        <v>136.57142857142858</v>
      </c>
      <c r="T13" s="17">
        <f t="shared" si="5"/>
        <v>27.285714285714285</v>
      </c>
      <c r="U13" s="17">
        <f t="shared" si="5"/>
        <v>11.428571428571427</v>
      </c>
      <c r="V13" s="17">
        <f t="shared" si="5"/>
        <v>63.571428571428569</v>
      </c>
      <c r="W13" s="17">
        <f t="shared" si="5"/>
        <v>1.7142857142857142</v>
      </c>
      <c r="X13" s="17">
        <f t="shared" si="5"/>
        <v>0.42857142857142855</v>
      </c>
      <c r="Y13" s="17">
        <f t="shared" si="5"/>
        <v>21.142857142857142</v>
      </c>
      <c r="Z13" s="17">
        <f t="shared" si="5"/>
        <v>2.5714285714285712</v>
      </c>
      <c r="AA13" s="17">
        <f t="shared" si="5"/>
        <v>0.5714285714285714</v>
      </c>
      <c r="AB13" s="17">
        <f t="shared" si="5"/>
        <v>0.2857142857142857</v>
      </c>
      <c r="AC13" s="17">
        <f t="shared" si="5"/>
        <v>184.14285714285714</v>
      </c>
      <c r="AD13" s="17">
        <f t="shared" si="5"/>
        <v>0</v>
      </c>
      <c r="AE13" s="31">
        <f t="shared" si="5"/>
        <v>265.57142857142856</v>
      </c>
      <c r="AF13" s="31">
        <f t="shared" si="5"/>
        <v>449.71428571428572</v>
      </c>
    </row>
    <row r="14" spans="2:32" ht="23.1" customHeight="1">
      <c r="B14" s="23" t="s">
        <v>41</v>
      </c>
      <c r="C14" s="49">
        <f>AVERAGE('29.07 Kiwatule-Najjeera'!C14,'02.08 Kiwatule-Najjeera'!C14,'30.07 Kiwatule-Najjeera'!C14,'31.07 Kiwatule-Najjeera'!C14,'01.08 Kiwatule-Najjeera-24h'!C14,'03.08 Kiwatule-Najjeera-24h'!C14,'04.08 Kiwatule-Najjeera'!C14)</f>
        <v>27.285714285714285</v>
      </c>
      <c r="D14" s="49">
        <f>AVERAGE('29.07 Kiwatule-Najjeera'!D14,'02.08 Kiwatule-Najjeera'!D14,'30.07 Kiwatule-Najjeera'!D14,'31.07 Kiwatule-Najjeera'!D14,'01.08 Kiwatule-Najjeera-24h'!D14,'03.08 Kiwatule-Najjeera-24h'!D14,'04.08 Kiwatule-Najjeera'!D14)</f>
        <v>6.4285714285714288</v>
      </c>
      <c r="E14" s="49">
        <f>AVERAGE('29.07 Kiwatule-Najjeera'!E14,'02.08 Kiwatule-Najjeera'!E14,'30.07 Kiwatule-Najjeera'!E14,'31.07 Kiwatule-Najjeera'!E14,'01.08 Kiwatule-Najjeera-24h'!E14,'03.08 Kiwatule-Najjeera-24h'!E14,'04.08 Kiwatule-Najjeera'!E14)</f>
        <v>1.8571428571428572</v>
      </c>
      <c r="F14" s="49">
        <f>AVERAGE('29.07 Kiwatule-Najjeera'!F14,'02.08 Kiwatule-Najjeera'!F14,'30.07 Kiwatule-Najjeera'!F14,'31.07 Kiwatule-Najjeera'!F14,'01.08 Kiwatule-Najjeera-24h'!F14,'03.08 Kiwatule-Najjeera-24h'!F14,'04.08 Kiwatule-Najjeera'!F14)</f>
        <v>20.857142857142858</v>
      </c>
      <c r="G14" s="49">
        <f>AVERAGE('29.07 Kiwatule-Najjeera'!G14,'02.08 Kiwatule-Najjeera'!G14,'30.07 Kiwatule-Najjeera'!G14,'31.07 Kiwatule-Najjeera'!G14,'01.08 Kiwatule-Najjeera-24h'!G14,'03.08 Kiwatule-Najjeera-24h'!G14,'04.08 Kiwatule-Najjeera'!G14)</f>
        <v>0.42857142857142855</v>
      </c>
      <c r="H14" s="49">
        <f>AVERAGE('29.07 Kiwatule-Najjeera'!H14,'02.08 Kiwatule-Najjeera'!H14,'30.07 Kiwatule-Najjeera'!H14,'31.07 Kiwatule-Najjeera'!H14,'01.08 Kiwatule-Najjeera-24h'!H14,'03.08 Kiwatule-Najjeera-24h'!H14,'04.08 Kiwatule-Najjeera'!H14)</f>
        <v>0.14285714285714285</v>
      </c>
      <c r="I14" s="49">
        <f>AVERAGE('29.07 Kiwatule-Najjeera'!I14,'02.08 Kiwatule-Najjeera'!I14,'30.07 Kiwatule-Najjeera'!I14,'31.07 Kiwatule-Najjeera'!I14,'01.08 Kiwatule-Najjeera-24h'!I14,'03.08 Kiwatule-Najjeera-24h'!I14,'04.08 Kiwatule-Najjeera'!I14)</f>
        <v>3.4285714285714284</v>
      </c>
      <c r="J14" s="49">
        <f>AVERAGE('29.07 Kiwatule-Najjeera'!J14,'02.08 Kiwatule-Najjeera'!J14,'30.07 Kiwatule-Najjeera'!J14,'31.07 Kiwatule-Najjeera'!J14,'01.08 Kiwatule-Najjeera-24h'!J14,'03.08 Kiwatule-Najjeera-24h'!J14,'04.08 Kiwatule-Najjeera'!J14)</f>
        <v>0.42857142857142855</v>
      </c>
      <c r="K14" s="49">
        <f>AVERAGE('29.07 Kiwatule-Najjeera'!K14,'02.08 Kiwatule-Najjeera'!K14,'30.07 Kiwatule-Najjeera'!K14,'31.07 Kiwatule-Najjeera'!K14,'01.08 Kiwatule-Najjeera-24h'!K14,'03.08 Kiwatule-Najjeera-24h'!K14,'04.08 Kiwatule-Najjeera'!K14)</f>
        <v>0.42857142857142855</v>
      </c>
      <c r="L14" s="49">
        <f>AVERAGE('29.07 Kiwatule-Najjeera'!L14,'02.08 Kiwatule-Najjeera'!L14,'30.07 Kiwatule-Najjeera'!L14,'31.07 Kiwatule-Najjeera'!L14,'01.08 Kiwatule-Najjeera-24h'!L14,'03.08 Kiwatule-Najjeera-24h'!L14,'04.08 Kiwatule-Najjeera'!L14)</f>
        <v>0</v>
      </c>
      <c r="M14" s="49">
        <f>AVERAGE('29.07 Kiwatule-Najjeera'!M14,'02.08 Kiwatule-Najjeera'!M14,'30.07 Kiwatule-Najjeera'!M14,'31.07 Kiwatule-Najjeera'!M14,'01.08 Kiwatule-Najjeera-24h'!M14,'03.08 Kiwatule-Najjeera-24h'!M14,'04.08 Kiwatule-Najjeera'!M14)</f>
        <v>40.285714285714285</v>
      </c>
      <c r="N14" s="49">
        <f>AVERAGE('29.07 Kiwatule-Najjeera'!N14,'02.08 Kiwatule-Najjeera'!N14,'30.07 Kiwatule-Najjeera'!N14,'31.07 Kiwatule-Najjeera'!N14,'01.08 Kiwatule-Najjeera-24h'!N14,'03.08 Kiwatule-Najjeera-24h'!N14,'04.08 Kiwatule-Najjeera'!N14)</f>
        <v>0</v>
      </c>
      <c r="O14" s="15">
        <f t="shared" si="0"/>
        <v>61.285714285714299</v>
      </c>
      <c r="P14" s="15">
        <f t="shared" si="1"/>
        <v>101.57142857142858</v>
      </c>
      <c r="R14" s="1" t="s">
        <v>10</v>
      </c>
      <c r="S14" s="17">
        <f t="shared" ref="S14:AF14" si="6">SUM(C26:C29)</f>
        <v>151.57142857142856</v>
      </c>
      <c r="T14" s="17">
        <f t="shared" si="6"/>
        <v>31</v>
      </c>
      <c r="U14" s="17">
        <f t="shared" si="6"/>
        <v>13</v>
      </c>
      <c r="V14" s="17">
        <f t="shared" si="6"/>
        <v>72.571428571428569</v>
      </c>
      <c r="W14" s="17">
        <f t="shared" si="6"/>
        <v>1.5714285714285714</v>
      </c>
      <c r="X14" s="17">
        <f t="shared" si="6"/>
        <v>0.5714285714285714</v>
      </c>
      <c r="Y14" s="17">
        <f t="shared" si="6"/>
        <v>28</v>
      </c>
      <c r="Z14" s="17">
        <f t="shared" si="6"/>
        <v>2.8571428571428568</v>
      </c>
      <c r="AA14" s="17">
        <f t="shared" si="6"/>
        <v>1.2857142857142856</v>
      </c>
      <c r="AB14" s="17">
        <f t="shared" si="6"/>
        <v>0.71428571428571419</v>
      </c>
      <c r="AC14" s="17">
        <f t="shared" si="6"/>
        <v>173.28571428571431</v>
      </c>
      <c r="AD14" s="17">
        <f t="shared" si="6"/>
        <v>0</v>
      </c>
      <c r="AE14" s="31">
        <f t="shared" si="6"/>
        <v>303.14285714285717</v>
      </c>
      <c r="AF14" s="31">
        <f t="shared" si="6"/>
        <v>476.42857142857144</v>
      </c>
    </row>
    <row r="15" spans="2:32" ht="23.1" customHeight="1">
      <c r="B15" s="23" t="s">
        <v>42</v>
      </c>
      <c r="C15" s="49">
        <f>AVERAGE('29.07 Kiwatule-Najjeera'!C15,'02.08 Kiwatule-Najjeera'!C15,'30.07 Kiwatule-Najjeera'!C15,'31.07 Kiwatule-Najjeera'!C15,'01.08 Kiwatule-Najjeera-24h'!C15,'03.08 Kiwatule-Najjeera-24h'!C15,'04.08 Kiwatule-Najjeera'!C15)</f>
        <v>27.428571428571427</v>
      </c>
      <c r="D15" s="49">
        <f>AVERAGE('29.07 Kiwatule-Najjeera'!D15,'02.08 Kiwatule-Najjeera'!D15,'30.07 Kiwatule-Najjeera'!D15,'31.07 Kiwatule-Najjeera'!D15,'01.08 Kiwatule-Najjeera-24h'!D15,'03.08 Kiwatule-Najjeera-24h'!D15,'04.08 Kiwatule-Najjeera'!D15)</f>
        <v>3</v>
      </c>
      <c r="E15" s="49">
        <f>AVERAGE('29.07 Kiwatule-Najjeera'!E15,'02.08 Kiwatule-Najjeera'!E15,'30.07 Kiwatule-Najjeera'!E15,'31.07 Kiwatule-Najjeera'!E15,'01.08 Kiwatule-Najjeera-24h'!E15,'03.08 Kiwatule-Najjeera-24h'!E15,'04.08 Kiwatule-Najjeera'!E15)</f>
        <v>1.7142857142857142</v>
      </c>
      <c r="F15" s="49">
        <f>AVERAGE('29.07 Kiwatule-Najjeera'!F15,'02.08 Kiwatule-Najjeera'!F15,'30.07 Kiwatule-Najjeera'!F15,'31.07 Kiwatule-Najjeera'!F15,'01.08 Kiwatule-Najjeera-24h'!F15,'03.08 Kiwatule-Najjeera-24h'!F15,'04.08 Kiwatule-Najjeera'!F15)</f>
        <v>18.285714285714285</v>
      </c>
      <c r="G15" s="49">
        <f>AVERAGE('29.07 Kiwatule-Najjeera'!G15,'02.08 Kiwatule-Najjeera'!G15,'30.07 Kiwatule-Najjeera'!G15,'31.07 Kiwatule-Najjeera'!G15,'01.08 Kiwatule-Najjeera-24h'!G15,'03.08 Kiwatule-Najjeera-24h'!G15,'04.08 Kiwatule-Najjeera'!G15)</f>
        <v>0.42857142857142855</v>
      </c>
      <c r="H15" s="49">
        <f>AVERAGE('29.07 Kiwatule-Najjeera'!H15,'02.08 Kiwatule-Najjeera'!H15,'30.07 Kiwatule-Najjeera'!H15,'31.07 Kiwatule-Najjeera'!H15,'01.08 Kiwatule-Najjeera-24h'!H15,'03.08 Kiwatule-Najjeera-24h'!H15,'04.08 Kiwatule-Najjeera'!H15)</f>
        <v>0.14285714285714285</v>
      </c>
      <c r="I15" s="49">
        <f>AVERAGE('29.07 Kiwatule-Najjeera'!I15,'02.08 Kiwatule-Najjeera'!I15,'30.07 Kiwatule-Najjeera'!I15,'31.07 Kiwatule-Najjeera'!I15,'01.08 Kiwatule-Najjeera-24h'!I15,'03.08 Kiwatule-Najjeera-24h'!I15,'04.08 Kiwatule-Najjeera'!I15)</f>
        <v>2.7142857142857144</v>
      </c>
      <c r="J15" s="49">
        <f>AVERAGE('29.07 Kiwatule-Najjeera'!J15,'02.08 Kiwatule-Najjeera'!J15,'30.07 Kiwatule-Najjeera'!J15,'31.07 Kiwatule-Najjeera'!J15,'01.08 Kiwatule-Najjeera-24h'!J15,'03.08 Kiwatule-Najjeera-24h'!J15,'04.08 Kiwatule-Najjeera'!J15)</f>
        <v>0.2857142857142857</v>
      </c>
      <c r="K15" s="49">
        <f>AVERAGE('29.07 Kiwatule-Najjeera'!K15,'02.08 Kiwatule-Najjeera'!K15,'30.07 Kiwatule-Najjeera'!K15,'31.07 Kiwatule-Najjeera'!K15,'01.08 Kiwatule-Najjeera-24h'!K15,'03.08 Kiwatule-Najjeera-24h'!K15,'04.08 Kiwatule-Najjeera'!K15)</f>
        <v>0.14285714285714285</v>
      </c>
      <c r="L15" s="49">
        <f>AVERAGE('29.07 Kiwatule-Najjeera'!L15,'02.08 Kiwatule-Najjeera'!L15,'30.07 Kiwatule-Najjeera'!L15,'31.07 Kiwatule-Najjeera'!L15,'01.08 Kiwatule-Najjeera-24h'!L15,'03.08 Kiwatule-Najjeera-24h'!L15,'04.08 Kiwatule-Najjeera'!L15)</f>
        <v>0</v>
      </c>
      <c r="M15" s="49">
        <f>AVERAGE('29.07 Kiwatule-Najjeera'!M15,'02.08 Kiwatule-Najjeera'!M15,'30.07 Kiwatule-Najjeera'!M15,'31.07 Kiwatule-Najjeera'!M15,'01.08 Kiwatule-Najjeera-24h'!M15,'03.08 Kiwatule-Najjeera-24h'!M15,'04.08 Kiwatule-Najjeera'!M15)</f>
        <v>45.714285714285715</v>
      </c>
      <c r="N15" s="49">
        <f>AVERAGE('29.07 Kiwatule-Najjeera'!N15,'02.08 Kiwatule-Najjeera'!N15,'30.07 Kiwatule-Najjeera'!N15,'31.07 Kiwatule-Najjeera'!N15,'01.08 Kiwatule-Najjeera-24h'!N15,'03.08 Kiwatule-Najjeera-24h'!N15,'04.08 Kiwatule-Najjeera'!N15)</f>
        <v>0</v>
      </c>
      <c r="O15" s="15">
        <f t="shared" si="0"/>
        <v>54.142857142857146</v>
      </c>
      <c r="P15" s="15">
        <f t="shared" si="1"/>
        <v>99.857142857142861</v>
      </c>
      <c r="R15" s="1" t="s">
        <v>11</v>
      </c>
      <c r="S15" s="17">
        <f t="shared" ref="S15:AF15" si="7">SUM(C30:C33)</f>
        <v>150.14285714285714</v>
      </c>
      <c r="T15" s="17">
        <f t="shared" si="7"/>
        <v>35.714285714285708</v>
      </c>
      <c r="U15" s="17">
        <f t="shared" si="7"/>
        <v>13.571428571428571</v>
      </c>
      <c r="V15" s="17">
        <f t="shared" si="7"/>
        <v>71.571428571428569</v>
      </c>
      <c r="W15" s="17">
        <f t="shared" si="7"/>
        <v>3</v>
      </c>
      <c r="X15" s="17">
        <f t="shared" si="7"/>
        <v>0.2857142857142857</v>
      </c>
      <c r="Y15" s="17">
        <f t="shared" si="7"/>
        <v>21.857142857142858</v>
      </c>
      <c r="Z15" s="17">
        <f t="shared" si="7"/>
        <v>2.5714285714285712</v>
      </c>
      <c r="AA15" s="17">
        <f t="shared" si="7"/>
        <v>2.4285714285714284</v>
      </c>
      <c r="AB15" s="17">
        <f t="shared" si="7"/>
        <v>0.14285714285714285</v>
      </c>
      <c r="AC15" s="17">
        <f t="shared" si="7"/>
        <v>177.14285714285714</v>
      </c>
      <c r="AD15" s="17">
        <f t="shared" si="7"/>
        <v>0</v>
      </c>
      <c r="AE15" s="31">
        <f t="shared" si="7"/>
        <v>301.28571428571428</v>
      </c>
      <c r="AF15" s="31">
        <f t="shared" si="7"/>
        <v>478.42857142857144</v>
      </c>
    </row>
    <row r="16" spans="2:32" ht="23.1" customHeight="1">
      <c r="B16" s="23" t="s">
        <v>43</v>
      </c>
      <c r="C16" s="49">
        <f>AVERAGE('29.07 Kiwatule-Najjeera'!C16,'02.08 Kiwatule-Najjeera'!C16,'30.07 Kiwatule-Najjeera'!C16,'31.07 Kiwatule-Najjeera'!C16,'01.08 Kiwatule-Najjeera-24h'!C16,'03.08 Kiwatule-Najjeera-24h'!C16,'04.08 Kiwatule-Najjeera'!C16)</f>
        <v>31.571428571428573</v>
      </c>
      <c r="D16" s="49">
        <f>AVERAGE('29.07 Kiwatule-Najjeera'!D16,'02.08 Kiwatule-Najjeera'!D16,'30.07 Kiwatule-Najjeera'!D16,'31.07 Kiwatule-Najjeera'!D16,'01.08 Kiwatule-Najjeera-24h'!D16,'03.08 Kiwatule-Najjeera-24h'!D16,'04.08 Kiwatule-Najjeera'!D16)</f>
        <v>3.7142857142857144</v>
      </c>
      <c r="E16" s="49">
        <f>AVERAGE('29.07 Kiwatule-Najjeera'!E16,'02.08 Kiwatule-Najjeera'!E16,'30.07 Kiwatule-Najjeera'!E16,'31.07 Kiwatule-Najjeera'!E16,'01.08 Kiwatule-Najjeera-24h'!E16,'03.08 Kiwatule-Najjeera-24h'!E16,'04.08 Kiwatule-Najjeera'!E16)</f>
        <v>2.4285714285714284</v>
      </c>
      <c r="F16" s="49">
        <f>AVERAGE('29.07 Kiwatule-Najjeera'!F16,'02.08 Kiwatule-Najjeera'!F16,'30.07 Kiwatule-Najjeera'!F16,'31.07 Kiwatule-Najjeera'!F16,'01.08 Kiwatule-Najjeera-24h'!F16,'03.08 Kiwatule-Najjeera-24h'!F16,'04.08 Kiwatule-Najjeera'!F16)</f>
        <v>19.857142857142858</v>
      </c>
      <c r="G16" s="49">
        <f>AVERAGE('29.07 Kiwatule-Najjeera'!G16,'02.08 Kiwatule-Najjeera'!G16,'30.07 Kiwatule-Najjeera'!G16,'31.07 Kiwatule-Najjeera'!G16,'01.08 Kiwatule-Najjeera-24h'!G16,'03.08 Kiwatule-Najjeera-24h'!G16,'04.08 Kiwatule-Najjeera'!G16)</f>
        <v>0.5714285714285714</v>
      </c>
      <c r="H16" s="49">
        <f>AVERAGE('29.07 Kiwatule-Najjeera'!H16,'02.08 Kiwatule-Najjeera'!H16,'30.07 Kiwatule-Najjeera'!H16,'31.07 Kiwatule-Najjeera'!H16,'01.08 Kiwatule-Najjeera-24h'!H16,'03.08 Kiwatule-Najjeera-24h'!H16,'04.08 Kiwatule-Najjeera'!H16)</f>
        <v>0.14285714285714285</v>
      </c>
      <c r="I16" s="49">
        <f>AVERAGE('29.07 Kiwatule-Najjeera'!I16,'02.08 Kiwatule-Najjeera'!I16,'30.07 Kiwatule-Najjeera'!I16,'31.07 Kiwatule-Najjeera'!I16,'01.08 Kiwatule-Najjeera-24h'!I16,'03.08 Kiwatule-Najjeera-24h'!I16,'04.08 Kiwatule-Najjeera'!I16)</f>
        <v>2.8571428571428572</v>
      </c>
      <c r="J16" s="49">
        <f>AVERAGE('29.07 Kiwatule-Najjeera'!J16,'02.08 Kiwatule-Najjeera'!J16,'30.07 Kiwatule-Najjeera'!J16,'31.07 Kiwatule-Najjeera'!J16,'01.08 Kiwatule-Najjeera-24h'!J16,'03.08 Kiwatule-Najjeera-24h'!J16,'04.08 Kiwatule-Najjeera'!J16)</f>
        <v>0.5714285714285714</v>
      </c>
      <c r="K16" s="49">
        <f>AVERAGE('29.07 Kiwatule-Najjeera'!K16,'02.08 Kiwatule-Najjeera'!K16,'30.07 Kiwatule-Najjeera'!K16,'31.07 Kiwatule-Najjeera'!K16,'01.08 Kiwatule-Najjeera-24h'!K16,'03.08 Kiwatule-Najjeera-24h'!K16,'04.08 Kiwatule-Najjeera'!K16)</f>
        <v>0.14285714285714285</v>
      </c>
      <c r="L16" s="49">
        <f>AVERAGE('29.07 Kiwatule-Najjeera'!L16,'02.08 Kiwatule-Najjeera'!L16,'30.07 Kiwatule-Najjeera'!L16,'31.07 Kiwatule-Najjeera'!L16,'01.08 Kiwatule-Najjeera-24h'!L16,'03.08 Kiwatule-Najjeera-24h'!L16,'04.08 Kiwatule-Najjeera'!L16)</f>
        <v>0.14285714285714285</v>
      </c>
      <c r="M16" s="49">
        <f>AVERAGE('29.07 Kiwatule-Najjeera'!M16,'02.08 Kiwatule-Najjeera'!M16,'30.07 Kiwatule-Najjeera'!M16,'31.07 Kiwatule-Najjeera'!M16,'01.08 Kiwatule-Najjeera-24h'!M16,'03.08 Kiwatule-Najjeera-24h'!M16,'04.08 Kiwatule-Najjeera'!M16)</f>
        <v>49.142857142857146</v>
      </c>
      <c r="N16" s="49">
        <f>AVERAGE('29.07 Kiwatule-Najjeera'!N16,'02.08 Kiwatule-Najjeera'!N16,'30.07 Kiwatule-Najjeera'!N16,'31.07 Kiwatule-Najjeera'!N16,'01.08 Kiwatule-Najjeera-24h'!N16,'03.08 Kiwatule-Najjeera-24h'!N16,'04.08 Kiwatule-Najjeera'!N16)</f>
        <v>0</v>
      </c>
      <c r="O16" s="15">
        <f t="shared" si="0"/>
        <v>62</v>
      </c>
      <c r="P16" s="15">
        <f t="shared" si="1"/>
        <v>111.14285714285714</v>
      </c>
      <c r="R16" s="1" t="s">
        <v>12</v>
      </c>
      <c r="S16" s="17">
        <f t="shared" ref="S16:AF16" si="8">SUM(C34:C37)</f>
        <v>166.14285714285717</v>
      </c>
      <c r="T16" s="17">
        <f t="shared" si="8"/>
        <v>31</v>
      </c>
      <c r="U16" s="17">
        <f t="shared" si="8"/>
        <v>11.428571428571429</v>
      </c>
      <c r="V16" s="17">
        <f t="shared" si="8"/>
        <v>64.571428571428569</v>
      </c>
      <c r="W16" s="17">
        <f t="shared" si="8"/>
        <v>3.4285714285714284</v>
      </c>
      <c r="X16" s="17">
        <f t="shared" si="8"/>
        <v>0.71428571428571419</v>
      </c>
      <c r="Y16" s="17">
        <f t="shared" si="8"/>
        <v>20</v>
      </c>
      <c r="Z16" s="17">
        <f t="shared" si="8"/>
        <v>3.1428571428571428</v>
      </c>
      <c r="AA16" s="17">
        <f t="shared" si="8"/>
        <v>0.2857142857142857</v>
      </c>
      <c r="AB16" s="17">
        <f t="shared" si="8"/>
        <v>0.14285714285714285</v>
      </c>
      <c r="AC16" s="17">
        <f t="shared" si="8"/>
        <v>171.42857142857142</v>
      </c>
      <c r="AD16" s="17">
        <f t="shared" si="8"/>
        <v>0</v>
      </c>
      <c r="AE16" s="31">
        <f t="shared" si="8"/>
        <v>300.85714285714283</v>
      </c>
      <c r="AF16" s="31">
        <f t="shared" si="8"/>
        <v>472.28571428571422</v>
      </c>
    </row>
    <row r="17" spans="2:32" ht="23.1" customHeight="1">
      <c r="B17" s="23" t="s">
        <v>44</v>
      </c>
      <c r="C17" s="49">
        <f>AVERAGE('29.07 Kiwatule-Najjeera'!C17,'02.08 Kiwatule-Najjeera'!C17,'30.07 Kiwatule-Najjeera'!C17,'31.07 Kiwatule-Najjeera'!C17,'01.08 Kiwatule-Najjeera-24h'!C17,'03.08 Kiwatule-Najjeera-24h'!C17,'04.08 Kiwatule-Najjeera'!C17)</f>
        <v>24.285714285714285</v>
      </c>
      <c r="D17" s="49">
        <f>AVERAGE('29.07 Kiwatule-Najjeera'!D17,'02.08 Kiwatule-Najjeera'!D17,'30.07 Kiwatule-Najjeera'!D17,'31.07 Kiwatule-Najjeera'!D17,'01.08 Kiwatule-Najjeera-24h'!D17,'03.08 Kiwatule-Najjeera-24h'!D17,'04.08 Kiwatule-Najjeera'!D17)</f>
        <v>5.7142857142857144</v>
      </c>
      <c r="E17" s="49">
        <f>AVERAGE('29.07 Kiwatule-Najjeera'!E17,'02.08 Kiwatule-Najjeera'!E17,'30.07 Kiwatule-Najjeera'!E17,'31.07 Kiwatule-Najjeera'!E17,'01.08 Kiwatule-Najjeera-24h'!E17,'03.08 Kiwatule-Najjeera-24h'!E17,'04.08 Kiwatule-Najjeera'!E17)</f>
        <v>2.8571428571428572</v>
      </c>
      <c r="F17" s="49">
        <f>AVERAGE('29.07 Kiwatule-Najjeera'!F17,'02.08 Kiwatule-Najjeera'!F17,'30.07 Kiwatule-Najjeera'!F17,'31.07 Kiwatule-Najjeera'!F17,'01.08 Kiwatule-Najjeera-24h'!F17,'03.08 Kiwatule-Najjeera-24h'!F17,'04.08 Kiwatule-Najjeera'!F17)</f>
        <v>16.714285714285715</v>
      </c>
      <c r="G17" s="49">
        <f>AVERAGE('29.07 Kiwatule-Najjeera'!G17,'02.08 Kiwatule-Najjeera'!G17,'30.07 Kiwatule-Najjeera'!G17,'31.07 Kiwatule-Najjeera'!G17,'01.08 Kiwatule-Najjeera-24h'!G17,'03.08 Kiwatule-Najjeera-24h'!G17,'04.08 Kiwatule-Najjeera'!G17)</f>
        <v>0</v>
      </c>
      <c r="H17" s="49">
        <f>AVERAGE('29.07 Kiwatule-Najjeera'!H17,'02.08 Kiwatule-Najjeera'!H17,'30.07 Kiwatule-Najjeera'!H17,'31.07 Kiwatule-Najjeera'!H17,'01.08 Kiwatule-Najjeera-24h'!H17,'03.08 Kiwatule-Najjeera-24h'!H17,'04.08 Kiwatule-Najjeera'!H17)</f>
        <v>0</v>
      </c>
      <c r="I17" s="49">
        <f>AVERAGE('29.07 Kiwatule-Najjeera'!I17,'02.08 Kiwatule-Najjeera'!I17,'30.07 Kiwatule-Najjeera'!I17,'31.07 Kiwatule-Najjeera'!I17,'01.08 Kiwatule-Najjeera-24h'!I17,'03.08 Kiwatule-Najjeera-24h'!I17,'04.08 Kiwatule-Najjeera'!I17)</f>
        <v>4.8571428571428568</v>
      </c>
      <c r="J17" s="49">
        <f>AVERAGE('29.07 Kiwatule-Najjeera'!J17,'02.08 Kiwatule-Najjeera'!J17,'30.07 Kiwatule-Najjeera'!J17,'31.07 Kiwatule-Najjeera'!J17,'01.08 Kiwatule-Najjeera-24h'!J17,'03.08 Kiwatule-Najjeera-24h'!J17,'04.08 Kiwatule-Najjeera'!J17)</f>
        <v>0</v>
      </c>
      <c r="K17" s="49">
        <f>AVERAGE('29.07 Kiwatule-Najjeera'!K17,'02.08 Kiwatule-Najjeera'!K17,'30.07 Kiwatule-Najjeera'!K17,'31.07 Kiwatule-Najjeera'!K17,'01.08 Kiwatule-Najjeera-24h'!K17,'03.08 Kiwatule-Najjeera-24h'!K17,'04.08 Kiwatule-Najjeera'!K17)</f>
        <v>0.7142857142857143</v>
      </c>
      <c r="L17" s="49">
        <f>AVERAGE('29.07 Kiwatule-Najjeera'!L17,'02.08 Kiwatule-Najjeera'!L17,'30.07 Kiwatule-Najjeera'!L17,'31.07 Kiwatule-Najjeera'!L17,'01.08 Kiwatule-Najjeera-24h'!L17,'03.08 Kiwatule-Najjeera-24h'!L17,'04.08 Kiwatule-Najjeera'!L17)</f>
        <v>0.2857142857142857</v>
      </c>
      <c r="M17" s="49">
        <f>AVERAGE('29.07 Kiwatule-Najjeera'!M17,'02.08 Kiwatule-Najjeera'!M17,'30.07 Kiwatule-Najjeera'!M17,'31.07 Kiwatule-Najjeera'!M17,'01.08 Kiwatule-Najjeera-24h'!M17,'03.08 Kiwatule-Najjeera-24h'!M17,'04.08 Kiwatule-Najjeera'!M17)</f>
        <v>54.285714285714285</v>
      </c>
      <c r="N17" s="49">
        <f>AVERAGE('29.07 Kiwatule-Najjeera'!N17,'02.08 Kiwatule-Najjeera'!N17,'30.07 Kiwatule-Najjeera'!N17,'31.07 Kiwatule-Najjeera'!N17,'01.08 Kiwatule-Najjeera-24h'!N17,'03.08 Kiwatule-Najjeera-24h'!N17,'04.08 Kiwatule-Najjeera'!N17)</f>
        <v>0</v>
      </c>
      <c r="O17" s="15">
        <f t="shared" si="0"/>
        <v>55.428571428571423</v>
      </c>
      <c r="P17" s="15">
        <f t="shared" si="1"/>
        <v>109.71428571428571</v>
      </c>
      <c r="R17" s="1" t="s">
        <v>13</v>
      </c>
      <c r="S17" s="17">
        <f t="shared" ref="S17:AF17" si="9">SUM(C38:C41)</f>
        <v>182.14285714285714</v>
      </c>
      <c r="T17" s="17">
        <f t="shared" si="9"/>
        <v>41.857142857142854</v>
      </c>
      <c r="U17" s="17">
        <f t="shared" si="9"/>
        <v>15.714285714285715</v>
      </c>
      <c r="V17" s="17">
        <f t="shared" si="9"/>
        <v>53.285714285714285</v>
      </c>
      <c r="W17" s="17">
        <f t="shared" si="9"/>
        <v>1.9999999999999998</v>
      </c>
      <c r="X17" s="17">
        <f t="shared" si="9"/>
        <v>0.5714285714285714</v>
      </c>
      <c r="Y17" s="17">
        <f t="shared" si="9"/>
        <v>20.857142857142858</v>
      </c>
      <c r="Z17" s="17">
        <f t="shared" si="9"/>
        <v>2.8571428571428572</v>
      </c>
      <c r="AA17" s="17">
        <f t="shared" si="9"/>
        <v>0.5714285714285714</v>
      </c>
      <c r="AB17" s="17">
        <f t="shared" si="9"/>
        <v>0.42857142857142855</v>
      </c>
      <c r="AC17" s="17">
        <f t="shared" si="9"/>
        <v>140</v>
      </c>
      <c r="AD17" s="17">
        <f t="shared" si="9"/>
        <v>0</v>
      </c>
      <c r="AE17" s="31">
        <f t="shared" si="9"/>
        <v>320.28571428571433</v>
      </c>
      <c r="AF17" s="31">
        <f t="shared" si="9"/>
        <v>460.28571428571428</v>
      </c>
    </row>
    <row r="18" spans="2:32" ht="23.1" customHeight="1">
      <c r="B18" s="23" t="s">
        <v>45</v>
      </c>
      <c r="C18" s="49">
        <f>AVERAGE('29.07 Kiwatule-Najjeera'!C18,'02.08 Kiwatule-Najjeera'!C18,'30.07 Kiwatule-Najjeera'!C18,'31.07 Kiwatule-Najjeera'!C18,'01.08 Kiwatule-Najjeera-24h'!C18,'03.08 Kiwatule-Najjeera-24h'!C18,'04.08 Kiwatule-Najjeera'!C18)</f>
        <v>25.142857142857142</v>
      </c>
      <c r="D18" s="49">
        <f>AVERAGE('29.07 Kiwatule-Najjeera'!D18,'02.08 Kiwatule-Najjeera'!D18,'30.07 Kiwatule-Najjeera'!D18,'31.07 Kiwatule-Najjeera'!D18,'01.08 Kiwatule-Najjeera-24h'!D18,'03.08 Kiwatule-Najjeera-24h'!D18,'04.08 Kiwatule-Najjeera'!D18)</f>
        <v>5.1428571428571432</v>
      </c>
      <c r="E18" s="49">
        <f>AVERAGE('29.07 Kiwatule-Najjeera'!E18,'02.08 Kiwatule-Najjeera'!E18,'30.07 Kiwatule-Najjeera'!E18,'31.07 Kiwatule-Najjeera'!E18,'01.08 Kiwatule-Najjeera-24h'!E18,'03.08 Kiwatule-Najjeera-24h'!E18,'04.08 Kiwatule-Najjeera'!E18)</f>
        <v>2.7142857142857144</v>
      </c>
      <c r="F18" s="49">
        <f>AVERAGE('29.07 Kiwatule-Najjeera'!F18,'02.08 Kiwatule-Najjeera'!F18,'30.07 Kiwatule-Najjeera'!F18,'31.07 Kiwatule-Najjeera'!F18,'01.08 Kiwatule-Najjeera-24h'!F18,'03.08 Kiwatule-Najjeera-24h'!F18,'04.08 Kiwatule-Najjeera'!F18)</f>
        <v>14.142857142857142</v>
      </c>
      <c r="G18" s="49">
        <f>AVERAGE('29.07 Kiwatule-Najjeera'!G18,'02.08 Kiwatule-Najjeera'!G18,'30.07 Kiwatule-Najjeera'!G18,'31.07 Kiwatule-Najjeera'!G18,'01.08 Kiwatule-Najjeera-24h'!G18,'03.08 Kiwatule-Najjeera-24h'!G18,'04.08 Kiwatule-Najjeera'!G18)</f>
        <v>0.2857142857142857</v>
      </c>
      <c r="H18" s="49">
        <f>AVERAGE('29.07 Kiwatule-Najjeera'!H18,'02.08 Kiwatule-Najjeera'!H18,'30.07 Kiwatule-Najjeera'!H18,'31.07 Kiwatule-Najjeera'!H18,'01.08 Kiwatule-Najjeera-24h'!H18,'03.08 Kiwatule-Najjeera-24h'!H18,'04.08 Kiwatule-Najjeera'!H18)</f>
        <v>0</v>
      </c>
      <c r="I18" s="49">
        <f>AVERAGE('29.07 Kiwatule-Najjeera'!I18,'02.08 Kiwatule-Najjeera'!I18,'30.07 Kiwatule-Najjeera'!I18,'31.07 Kiwatule-Najjeera'!I18,'01.08 Kiwatule-Najjeera-24h'!I18,'03.08 Kiwatule-Najjeera-24h'!I18,'04.08 Kiwatule-Najjeera'!I18)</f>
        <v>5.4285714285714288</v>
      </c>
      <c r="J18" s="49">
        <f>AVERAGE('29.07 Kiwatule-Najjeera'!J18,'02.08 Kiwatule-Najjeera'!J18,'30.07 Kiwatule-Najjeera'!J18,'31.07 Kiwatule-Najjeera'!J18,'01.08 Kiwatule-Najjeera-24h'!J18,'03.08 Kiwatule-Najjeera-24h'!J18,'04.08 Kiwatule-Najjeera'!J18)</f>
        <v>0.5714285714285714</v>
      </c>
      <c r="K18" s="49">
        <f>AVERAGE('29.07 Kiwatule-Najjeera'!K18,'02.08 Kiwatule-Najjeera'!K18,'30.07 Kiwatule-Najjeera'!K18,'31.07 Kiwatule-Najjeera'!K18,'01.08 Kiwatule-Najjeera-24h'!K18,'03.08 Kiwatule-Najjeera-24h'!K18,'04.08 Kiwatule-Najjeera'!K18)</f>
        <v>0.14285714285714285</v>
      </c>
      <c r="L18" s="49">
        <f>AVERAGE('29.07 Kiwatule-Najjeera'!L18,'02.08 Kiwatule-Najjeera'!L18,'30.07 Kiwatule-Najjeera'!L18,'31.07 Kiwatule-Najjeera'!L18,'01.08 Kiwatule-Najjeera-24h'!L18,'03.08 Kiwatule-Najjeera-24h'!L18,'04.08 Kiwatule-Najjeera'!L18)</f>
        <v>0</v>
      </c>
      <c r="M18" s="49">
        <f>AVERAGE('29.07 Kiwatule-Najjeera'!M18,'02.08 Kiwatule-Najjeera'!M18,'30.07 Kiwatule-Najjeera'!M18,'31.07 Kiwatule-Najjeera'!M18,'01.08 Kiwatule-Najjeera-24h'!M18,'03.08 Kiwatule-Najjeera-24h'!M18,'04.08 Kiwatule-Najjeera'!M18)</f>
        <v>49.714285714285715</v>
      </c>
      <c r="N18" s="49">
        <f>AVERAGE('29.07 Kiwatule-Najjeera'!N18,'02.08 Kiwatule-Najjeera'!N18,'30.07 Kiwatule-Najjeera'!N18,'31.07 Kiwatule-Najjeera'!N18,'01.08 Kiwatule-Najjeera-24h'!N18,'03.08 Kiwatule-Najjeera-24h'!N18,'04.08 Kiwatule-Najjeera'!N18)</f>
        <v>0</v>
      </c>
      <c r="O18" s="15">
        <f t="shared" si="0"/>
        <v>53.571428571428569</v>
      </c>
      <c r="P18" s="15">
        <f t="shared" si="1"/>
        <v>103.28571428571428</v>
      </c>
      <c r="R18" s="1" t="s">
        <v>14</v>
      </c>
      <c r="S18" s="17">
        <f t="shared" ref="S18:AF18" si="10">SUM(C42:C45)</f>
        <v>230.57142857142856</v>
      </c>
      <c r="T18" s="17">
        <f t="shared" si="10"/>
        <v>35.428571428571431</v>
      </c>
      <c r="U18" s="17">
        <f t="shared" si="10"/>
        <v>17.285714285714288</v>
      </c>
      <c r="V18" s="17">
        <f t="shared" si="10"/>
        <v>57</v>
      </c>
      <c r="W18" s="17">
        <f t="shared" si="10"/>
        <v>2.5714285714285712</v>
      </c>
      <c r="X18" s="17">
        <f t="shared" si="10"/>
        <v>0.42857142857142855</v>
      </c>
      <c r="Y18" s="17">
        <f t="shared" si="10"/>
        <v>24.285714285714288</v>
      </c>
      <c r="Z18" s="17">
        <f t="shared" si="10"/>
        <v>2.7142857142857144</v>
      </c>
      <c r="AA18" s="17">
        <f t="shared" si="10"/>
        <v>1.1428571428571428</v>
      </c>
      <c r="AB18" s="17">
        <f t="shared" si="10"/>
        <v>0.42857142857142855</v>
      </c>
      <c r="AC18" s="17">
        <f t="shared" si="10"/>
        <v>193</v>
      </c>
      <c r="AD18" s="17">
        <f t="shared" si="10"/>
        <v>0</v>
      </c>
      <c r="AE18" s="31">
        <f t="shared" si="10"/>
        <v>371.85714285714289</v>
      </c>
      <c r="AF18" s="31">
        <f t="shared" si="10"/>
        <v>564.85714285714289</v>
      </c>
    </row>
    <row r="19" spans="2:32" ht="23.1" customHeight="1">
      <c r="B19" s="23" t="s">
        <v>46</v>
      </c>
      <c r="C19" s="49">
        <f>AVERAGE('29.07 Kiwatule-Najjeera'!C19,'02.08 Kiwatule-Najjeera'!C19,'30.07 Kiwatule-Najjeera'!C19,'31.07 Kiwatule-Najjeera'!C19,'01.08 Kiwatule-Najjeera-24h'!C19,'03.08 Kiwatule-Najjeera-24h'!C19,'04.08 Kiwatule-Najjeera'!C19)</f>
        <v>27.857142857142858</v>
      </c>
      <c r="D19" s="49">
        <f>AVERAGE('29.07 Kiwatule-Najjeera'!D19,'02.08 Kiwatule-Najjeera'!D19,'30.07 Kiwatule-Najjeera'!D19,'31.07 Kiwatule-Najjeera'!D19,'01.08 Kiwatule-Najjeera-24h'!D19,'03.08 Kiwatule-Najjeera-24h'!D19,'04.08 Kiwatule-Najjeera'!D19)</f>
        <v>4.7142857142857144</v>
      </c>
      <c r="E19" s="49">
        <f>AVERAGE('29.07 Kiwatule-Najjeera'!E19,'02.08 Kiwatule-Najjeera'!E19,'30.07 Kiwatule-Najjeera'!E19,'31.07 Kiwatule-Najjeera'!E19,'01.08 Kiwatule-Najjeera-24h'!E19,'03.08 Kiwatule-Najjeera-24h'!E19,'04.08 Kiwatule-Najjeera'!E19)</f>
        <v>2.4285714285714284</v>
      </c>
      <c r="F19" s="49">
        <f>AVERAGE('29.07 Kiwatule-Najjeera'!F19,'02.08 Kiwatule-Najjeera'!F19,'30.07 Kiwatule-Najjeera'!F19,'31.07 Kiwatule-Najjeera'!F19,'01.08 Kiwatule-Najjeera-24h'!F19,'03.08 Kiwatule-Najjeera-24h'!F19,'04.08 Kiwatule-Najjeera'!F19)</f>
        <v>19.857142857142858</v>
      </c>
      <c r="G19" s="49">
        <f>AVERAGE('29.07 Kiwatule-Najjeera'!G19,'02.08 Kiwatule-Najjeera'!G19,'30.07 Kiwatule-Najjeera'!G19,'31.07 Kiwatule-Najjeera'!G19,'01.08 Kiwatule-Najjeera-24h'!G19,'03.08 Kiwatule-Najjeera-24h'!G19,'04.08 Kiwatule-Najjeera'!G19)</f>
        <v>0.42857142857142855</v>
      </c>
      <c r="H19" s="49">
        <f>AVERAGE('29.07 Kiwatule-Najjeera'!H19,'02.08 Kiwatule-Najjeera'!H19,'30.07 Kiwatule-Najjeera'!H19,'31.07 Kiwatule-Najjeera'!H19,'01.08 Kiwatule-Najjeera-24h'!H19,'03.08 Kiwatule-Najjeera-24h'!H19,'04.08 Kiwatule-Najjeera'!H19)</f>
        <v>0</v>
      </c>
      <c r="I19" s="49">
        <f>AVERAGE('29.07 Kiwatule-Najjeera'!I19,'02.08 Kiwatule-Najjeera'!I19,'30.07 Kiwatule-Najjeera'!I19,'31.07 Kiwatule-Najjeera'!I19,'01.08 Kiwatule-Najjeera-24h'!I19,'03.08 Kiwatule-Najjeera-24h'!I19,'04.08 Kiwatule-Najjeera'!I19)</f>
        <v>6.4285714285714288</v>
      </c>
      <c r="J19" s="49">
        <f>AVERAGE('29.07 Kiwatule-Najjeera'!J19,'02.08 Kiwatule-Najjeera'!J19,'30.07 Kiwatule-Najjeera'!J19,'31.07 Kiwatule-Najjeera'!J19,'01.08 Kiwatule-Najjeera-24h'!J19,'03.08 Kiwatule-Najjeera-24h'!J19,'04.08 Kiwatule-Najjeera'!J19)</f>
        <v>0.42857142857142855</v>
      </c>
      <c r="K19" s="49">
        <f>AVERAGE('29.07 Kiwatule-Najjeera'!K19,'02.08 Kiwatule-Najjeera'!K19,'30.07 Kiwatule-Najjeera'!K19,'31.07 Kiwatule-Najjeera'!K19,'01.08 Kiwatule-Najjeera-24h'!K19,'03.08 Kiwatule-Najjeera-24h'!K19,'04.08 Kiwatule-Najjeera'!K19)</f>
        <v>0.14285714285714285</v>
      </c>
      <c r="L19" s="49">
        <f>AVERAGE('29.07 Kiwatule-Najjeera'!L19,'02.08 Kiwatule-Najjeera'!L19,'30.07 Kiwatule-Najjeera'!L19,'31.07 Kiwatule-Najjeera'!L19,'01.08 Kiwatule-Najjeera-24h'!L19,'03.08 Kiwatule-Najjeera-24h'!L19,'04.08 Kiwatule-Najjeera'!L19)</f>
        <v>0</v>
      </c>
      <c r="M19" s="49">
        <f>AVERAGE('29.07 Kiwatule-Najjeera'!M19,'02.08 Kiwatule-Najjeera'!M19,'30.07 Kiwatule-Najjeera'!M19,'31.07 Kiwatule-Najjeera'!M19,'01.08 Kiwatule-Najjeera-24h'!M19,'03.08 Kiwatule-Najjeera-24h'!M19,'04.08 Kiwatule-Najjeera'!M19)</f>
        <v>62.285714285714285</v>
      </c>
      <c r="N19" s="49">
        <f>AVERAGE('29.07 Kiwatule-Najjeera'!N19,'02.08 Kiwatule-Najjeera'!N19,'30.07 Kiwatule-Najjeera'!N19,'31.07 Kiwatule-Najjeera'!N19,'01.08 Kiwatule-Najjeera-24h'!N19,'03.08 Kiwatule-Najjeera-24h'!N19,'04.08 Kiwatule-Najjeera'!N19)</f>
        <v>0</v>
      </c>
      <c r="O19" s="15">
        <f t="shared" si="0"/>
        <v>62.285714285714299</v>
      </c>
      <c r="P19" s="15">
        <f t="shared" si="1"/>
        <v>124.57142857142858</v>
      </c>
      <c r="R19" s="1" t="s">
        <v>15</v>
      </c>
      <c r="S19" s="17">
        <f t="shared" ref="S19:AF19" si="11">SUM(C46:C49)</f>
        <v>330.14285714285711</v>
      </c>
      <c r="T19" s="17">
        <f t="shared" si="11"/>
        <v>57.285714285714292</v>
      </c>
      <c r="U19" s="17">
        <f t="shared" si="11"/>
        <v>18.714285714285715</v>
      </c>
      <c r="V19" s="17">
        <f t="shared" si="11"/>
        <v>53.428571428571423</v>
      </c>
      <c r="W19" s="17">
        <f t="shared" si="11"/>
        <v>1.4285714285714284</v>
      </c>
      <c r="X19" s="17">
        <f t="shared" si="11"/>
        <v>0.14285714285714285</v>
      </c>
      <c r="Y19" s="17">
        <f t="shared" si="11"/>
        <v>18.571428571428569</v>
      </c>
      <c r="Z19" s="17">
        <f t="shared" si="11"/>
        <v>2.4285714285714288</v>
      </c>
      <c r="AA19" s="17">
        <f t="shared" si="11"/>
        <v>2</v>
      </c>
      <c r="AB19" s="17">
        <f t="shared" si="11"/>
        <v>0.14285714285714285</v>
      </c>
      <c r="AC19" s="17">
        <f t="shared" si="11"/>
        <v>180</v>
      </c>
      <c r="AD19" s="17">
        <f t="shared" si="11"/>
        <v>0</v>
      </c>
      <c r="AE19" s="31">
        <f t="shared" si="11"/>
        <v>484.28571428571422</v>
      </c>
      <c r="AF19" s="31">
        <f t="shared" si="11"/>
        <v>664.28571428571422</v>
      </c>
    </row>
    <row r="20" spans="2:32" ht="23.1" customHeight="1">
      <c r="B20" s="23" t="s">
        <v>47</v>
      </c>
      <c r="C20" s="49">
        <f>AVERAGE('29.07 Kiwatule-Najjeera'!C20,'02.08 Kiwatule-Najjeera'!C20,'30.07 Kiwatule-Najjeera'!C20,'31.07 Kiwatule-Najjeera'!C20,'01.08 Kiwatule-Najjeera-24h'!C20,'03.08 Kiwatule-Najjeera-24h'!C20,'04.08 Kiwatule-Najjeera'!C20)</f>
        <v>25</v>
      </c>
      <c r="D20" s="49">
        <f>AVERAGE('29.07 Kiwatule-Najjeera'!D20,'02.08 Kiwatule-Najjeera'!D20,'30.07 Kiwatule-Najjeera'!D20,'31.07 Kiwatule-Najjeera'!D20,'01.08 Kiwatule-Najjeera-24h'!D20,'03.08 Kiwatule-Najjeera-24h'!D20,'04.08 Kiwatule-Najjeera'!D20)</f>
        <v>4.7142857142857144</v>
      </c>
      <c r="E20" s="49">
        <f>AVERAGE('29.07 Kiwatule-Najjeera'!E20,'02.08 Kiwatule-Najjeera'!E20,'30.07 Kiwatule-Najjeera'!E20,'31.07 Kiwatule-Najjeera'!E20,'01.08 Kiwatule-Najjeera-24h'!E20,'03.08 Kiwatule-Najjeera-24h'!E20,'04.08 Kiwatule-Najjeera'!E20)</f>
        <v>3.2857142857142856</v>
      </c>
      <c r="F20" s="49">
        <f>AVERAGE('29.07 Kiwatule-Najjeera'!F20,'02.08 Kiwatule-Najjeera'!F20,'30.07 Kiwatule-Najjeera'!F20,'31.07 Kiwatule-Najjeera'!F20,'01.08 Kiwatule-Najjeera-24h'!F20,'03.08 Kiwatule-Najjeera-24h'!F20,'04.08 Kiwatule-Najjeera'!F20)</f>
        <v>17.857142857142858</v>
      </c>
      <c r="G20" s="49">
        <f>AVERAGE('29.07 Kiwatule-Najjeera'!G20,'02.08 Kiwatule-Najjeera'!G20,'30.07 Kiwatule-Najjeera'!G20,'31.07 Kiwatule-Najjeera'!G20,'01.08 Kiwatule-Najjeera-24h'!G20,'03.08 Kiwatule-Najjeera-24h'!G20,'04.08 Kiwatule-Najjeera'!G20)</f>
        <v>0.2857142857142857</v>
      </c>
      <c r="H20" s="49">
        <f>AVERAGE('29.07 Kiwatule-Najjeera'!H20,'02.08 Kiwatule-Najjeera'!H20,'30.07 Kiwatule-Najjeera'!H20,'31.07 Kiwatule-Najjeera'!H20,'01.08 Kiwatule-Najjeera-24h'!H20,'03.08 Kiwatule-Najjeera-24h'!H20,'04.08 Kiwatule-Najjeera'!H20)</f>
        <v>0</v>
      </c>
      <c r="I20" s="49">
        <f>AVERAGE('29.07 Kiwatule-Najjeera'!I20,'02.08 Kiwatule-Najjeera'!I20,'30.07 Kiwatule-Najjeera'!I20,'31.07 Kiwatule-Najjeera'!I20,'01.08 Kiwatule-Najjeera-24h'!I20,'03.08 Kiwatule-Najjeera-24h'!I20,'04.08 Kiwatule-Najjeera'!I20)</f>
        <v>5.1428571428571432</v>
      </c>
      <c r="J20" s="49">
        <f>AVERAGE('29.07 Kiwatule-Najjeera'!J20,'02.08 Kiwatule-Najjeera'!J20,'30.07 Kiwatule-Najjeera'!J20,'31.07 Kiwatule-Najjeera'!J20,'01.08 Kiwatule-Najjeera-24h'!J20,'03.08 Kiwatule-Najjeera-24h'!J20,'04.08 Kiwatule-Najjeera'!J20)</f>
        <v>0.42857142857142855</v>
      </c>
      <c r="K20" s="49">
        <f>AVERAGE('29.07 Kiwatule-Najjeera'!K20,'02.08 Kiwatule-Najjeera'!K20,'30.07 Kiwatule-Najjeera'!K20,'31.07 Kiwatule-Najjeera'!K20,'01.08 Kiwatule-Najjeera-24h'!K20,'03.08 Kiwatule-Najjeera-24h'!K20,'04.08 Kiwatule-Najjeera'!K20)</f>
        <v>0.42857142857142855</v>
      </c>
      <c r="L20" s="49">
        <f>AVERAGE('29.07 Kiwatule-Najjeera'!L20,'02.08 Kiwatule-Najjeera'!L20,'30.07 Kiwatule-Najjeera'!L20,'31.07 Kiwatule-Najjeera'!L20,'01.08 Kiwatule-Najjeera-24h'!L20,'03.08 Kiwatule-Najjeera-24h'!L20,'04.08 Kiwatule-Najjeera'!L20)</f>
        <v>0</v>
      </c>
      <c r="M20" s="49">
        <f>AVERAGE('29.07 Kiwatule-Najjeera'!M20,'02.08 Kiwatule-Najjeera'!M20,'30.07 Kiwatule-Najjeera'!M20,'31.07 Kiwatule-Najjeera'!M20,'01.08 Kiwatule-Najjeera-24h'!M20,'03.08 Kiwatule-Najjeera-24h'!M20,'04.08 Kiwatule-Najjeera'!M20)</f>
        <v>49.285714285714285</v>
      </c>
      <c r="N20" s="49">
        <f>AVERAGE('29.07 Kiwatule-Najjeera'!N20,'02.08 Kiwatule-Najjeera'!N20,'30.07 Kiwatule-Najjeera'!N20,'31.07 Kiwatule-Najjeera'!N20,'01.08 Kiwatule-Najjeera-24h'!N20,'03.08 Kiwatule-Najjeera-24h'!N20,'04.08 Kiwatule-Najjeera'!N20)</f>
        <v>0</v>
      </c>
      <c r="O20" s="15">
        <f t="shared" si="0"/>
        <v>57.142857142857153</v>
      </c>
      <c r="P20" s="15">
        <f t="shared" si="1"/>
        <v>106.42857142857144</v>
      </c>
      <c r="R20" s="1" t="s">
        <v>16</v>
      </c>
      <c r="S20" s="17">
        <f t="shared" ref="S20:AF20" si="12">SUM(C50:C53)</f>
        <v>372.85714285714289</v>
      </c>
      <c r="T20" s="17">
        <f t="shared" si="12"/>
        <v>63.142857142857146</v>
      </c>
      <c r="U20" s="17">
        <f t="shared" si="12"/>
        <v>25.428571428571431</v>
      </c>
      <c r="V20" s="17">
        <f t="shared" si="12"/>
        <v>59</v>
      </c>
      <c r="W20" s="17">
        <f t="shared" si="12"/>
        <v>3</v>
      </c>
      <c r="X20" s="17">
        <f t="shared" si="12"/>
        <v>0.42857142857142855</v>
      </c>
      <c r="Y20" s="17">
        <f t="shared" si="12"/>
        <v>17.571428571428573</v>
      </c>
      <c r="Z20" s="17">
        <f t="shared" si="12"/>
        <v>2.8571428571428572</v>
      </c>
      <c r="AA20" s="17">
        <f t="shared" si="12"/>
        <v>0.42857142857142855</v>
      </c>
      <c r="AB20" s="17">
        <f t="shared" si="12"/>
        <v>0.2857142857142857</v>
      </c>
      <c r="AC20" s="17">
        <f t="shared" si="12"/>
        <v>256.42857142857144</v>
      </c>
      <c r="AD20" s="17">
        <f t="shared" si="12"/>
        <v>0</v>
      </c>
      <c r="AE20" s="31">
        <f t="shared" si="12"/>
        <v>545</v>
      </c>
      <c r="AF20" s="31">
        <f t="shared" si="12"/>
        <v>801.42857142857144</v>
      </c>
    </row>
    <row r="21" spans="2:32" ht="23.1" customHeight="1">
      <c r="B21" s="23" t="s">
        <v>48</v>
      </c>
      <c r="C21" s="49">
        <f>AVERAGE('29.07 Kiwatule-Najjeera'!C21,'02.08 Kiwatule-Najjeera'!C21,'30.07 Kiwatule-Najjeera'!C21,'31.07 Kiwatule-Najjeera'!C21,'01.08 Kiwatule-Najjeera-24h'!C21,'03.08 Kiwatule-Najjeera-24h'!C21,'04.08 Kiwatule-Najjeera'!C21)</f>
        <v>32.428571428571431</v>
      </c>
      <c r="D21" s="49">
        <f>AVERAGE('29.07 Kiwatule-Najjeera'!D21,'02.08 Kiwatule-Najjeera'!D21,'30.07 Kiwatule-Najjeera'!D21,'31.07 Kiwatule-Najjeera'!D21,'01.08 Kiwatule-Najjeera-24h'!D21,'03.08 Kiwatule-Najjeera-24h'!D21,'04.08 Kiwatule-Najjeera'!D21)</f>
        <v>6.7142857142857144</v>
      </c>
      <c r="E21" s="49">
        <f>AVERAGE('29.07 Kiwatule-Najjeera'!E21,'02.08 Kiwatule-Najjeera'!E21,'30.07 Kiwatule-Najjeera'!E21,'31.07 Kiwatule-Najjeera'!E21,'01.08 Kiwatule-Najjeera-24h'!E21,'03.08 Kiwatule-Najjeera-24h'!E21,'04.08 Kiwatule-Najjeera'!E21)</f>
        <v>2</v>
      </c>
      <c r="F21" s="49">
        <f>AVERAGE('29.07 Kiwatule-Najjeera'!F21,'02.08 Kiwatule-Najjeera'!F21,'30.07 Kiwatule-Najjeera'!F21,'31.07 Kiwatule-Najjeera'!F21,'01.08 Kiwatule-Najjeera-24h'!F21,'03.08 Kiwatule-Najjeera-24h'!F21,'04.08 Kiwatule-Najjeera'!F21)</f>
        <v>17.571428571428573</v>
      </c>
      <c r="G21" s="49">
        <f>AVERAGE('29.07 Kiwatule-Najjeera'!G21,'02.08 Kiwatule-Najjeera'!G21,'30.07 Kiwatule-Najjeera'!G21,'31.07 Kiwatule-Najjeera'!G21,'01.08 Kiwatule-Najjeera-24h'!G21,'03.08 Kiwatule-Najjeera-24h'!G21,'04.08 Kiwatule-Najjeera'!G21)</f>
        <v>0.5714285714285714</v>
      </c>
      <c r="H21" s="49">
        <f>AVERAGE('29.07 Kiwatule-Najjeera'!H21,'02.08 Kiwatule-Najjeera'!H21,'30.07 Kiwatule-Najjeera'!H21,'31.07 Kiwatule-Najjeera'!H21,'01.08 Kiwatule-Najjeera-24h'!H21,'03.08 Kiwatule-Najjeera-24h'!H21,'04.08 Kiwatule-Najjeera'!H21)</f>
        <v>0</v>
      </c>
      <c r="I21" s="49">
        <f>AVERAGE('29.07 Kiwatule-Najjeera'!I21,'02.08 Kiwatule-Najjeera'!I21,'30.07 Kiwatule-Najjeera'!I21,'31.07 Kiwatule-Najjeera'!I21,'01.08 Kiwatule-Najjeera-24h'!I21,'03.08 Kiwatule-Najjeera-24h'!I21,'04.08 Kiwatule-Najjeera'!I21)</f>
        <v>5.5714285714285712</v>
      </c>
      <c r="J21" s="49">
        <f>AVERAGE('29.07 Kiwatule-Najjeera'!J21,'02.08 Kiwatule-Najjeera'!J21,'30.07 Kiwatule-Najjeera'!J21,'31.07 Kiwatule-Najjeera'!J21,'01.08 Kiwatule-Najjeera-24h'!J21,'03.08 Kiwatule-Najjeera-24h'!J21,'04.08 Kiwatule-Najjeera'!J21)</f>
        <v>0.2857142857142857</v>
      </c>
      <c r="K21" s="49">
        <f>AVERAGE('29.07 Kiwatule-Najjeera'!K21,'02.08 Kiwatule-Najjeera'!K21,'30.07 Kiwatule-Najjeera'!K21,'31.07 Kiwatule-Najjeera'!K21,'01.08 Kiwatule-Najjeera-24h'!K21,'03.08 Kiwatule-Najjeera-24h'!K21,'04.08 Kiwatule-Najjeera'!K21)</f>
        <v>0</v>
      </c>
      <c r="L21" s="49">
        <f>AVERAGE('29.07 Kiwatule-Najjeera'!L21,'02.08 Kiwatule-Najjeera'!L21,'30.07 Kiwatule-Najjeera'!L21,'31.07 Kiwatule-Najjeera'!L21,'01.08 Kiwatule-Najjeera-24h'!L21,'03.08 Kiwatule-Najjeera-24h'!L21,'04.08 Kiwatule-Najjeera'!L21)</f>
        <v>0.2857142857142857</v>
      </c>
      <c r="M21" s="49">
        <f>AVERAGE('29.07 Kiwatule-Najjeera'!M21,'02.08 Kiwatule-Najjeera'!M21,'30.07 Kiwatule-Najjeera'!M21,'31.07 Kiwatule-Najjeera'!M21,'01.08 Kiwatule-Najjeera-24h'!M21,'03.08 Kiwatule-Najjeera-24h'!M21,'04.08 Kiwatule-Najjeera'!M21)</f>
        <v>50.285714285714285</v>
      </c>
      <c r="N21" s="49">
        <f>AVERAGE('29.07 Kiwatule-Najjeera'!N21,'02.08 Kiwatule-Najjeera'!N21,'30.07 Kiwatule-Najjeera'!N21,'31.07 Kiwatule-Najjeera'!N21,'01.08 Kiwatule-Najjeera-24h'!N21,'03.08 Kiwatule-Najjeera-24h'!N21,'04.08 Kiwatule-Najjeera'!N21)</f>
        <v>0</v>
      </c>
      <c r="O21" s="15">
        <f t="shared" si="0"/>
        <v>65.428571428571445</v>
      </c>
      <c r="P21" s="15">
        <f t="shared" si="1"/>
        <v>115.71428571428572</v>
      </c>
      <c r="R21" s="36" t="s">
        <v>20</v>
      </c>
      <c r="S21" s="34">
        <f t="shared" ref="S21:AF21" si="13">SUM(C54:C57)</f>
        <v>429</v>
      </c>
      <c r="T21" s="17">
        <f t="shared" si="13"/>
        <v>70.571428571428569</v>
      </c>
      <c r="U21" s="17">
        <f t="shared" si="13"/>
        <v>26.428571428571427</v>
      </c>
      <c r="V21" s="17">
        <f t="shared" si="13"/>
        <v>64.285714285714292</v>
      </c>
      <c r="W21" s="17">
        <f t="shared" si="13"/>
        <v>3.714285714285714</v>
      </c>
      <c r="X21" s="17">
        <f t="shared" si="13"/>
        <v>1.4285714285714286</v>
      </c>
      <c r="Y21" s="17">
        <f t="shared" si="13"/>
        <v>21</v>
      </c>
      <c r="Z21" s="17">
        <f t="shared" si="13"/>
        <v>1.5714285714285714</v>
      </c>
      <c r="AA21" s="17">
        <f t="shared" si="13"/>
        <v>1.2857142857142856</v>
      </c>
      <c r="AB21" s="17">
        <f t="shared" si="13"/>
        <v>0.5714285714285714</v>
      </c>
      <c r="AC21" s="17">
        <f t="shared" si="13"/>
        <v>276.71428571428572</v>
      </c>
      <c r="AD21" s="17">
        <f t="shared" si="13"/>
        <v>0</v>
      </c>
      <c r="AE21" s="31">
        <f t="shared" si="13"/>
        <v>619.85714285714266</v>
      </c>
      <c r="AF21" s="31">
        <f t="shared" si="13"/>
        <v>896.57142857142844</v>
      </c>
    </row>
    <row r="22" spans="2:32" ht="23.1" customHeight="1">
      <c r="B22" s="23" t="s">
        <v>49</v>
      </c>
      <c r="C22" s="49">
        <f>AVERAGE('29.07 Kiwatule-Najjeera'!C22,'02.08 Kiwatule-Najjeera'!C22,'30.07 Kiwatule-Najjeera'!C22,'31.07 Kiwatule-Najjeera'!C22,'01.08 Kiwatule-Najjeera-24h'!C22,'03.08 Kiwatule-Najjeera-24h'!C22,'04.08 Kiwatule-Najjeera'!C22)</f>
        <v>30</v>
      </c>
      <c r="D22" s="49">
        <f>AVERAGE('29.07 Kiwatule-Najjeera'!D22,'02.08 Kiwatule-Najjeera'!D22,'30.07 Kiwatule-Najjeera'!D22,'31.07 Kiwatule-Najjeera'!D22,'01.08 Kiwatule-Najjeera-24h'!D22,'03.08 Kiwatule-Najjeera-24h'!D22,'04.08 Kiwatule-Najjeera'!D22)</f>
        <v>4.4285714285714288</v>
      </c>
      <c r="E22" s="49">
        <f>AVERAGE('29.07 Kiwatule-Najjeera'!E22,'02.08 Kiwatule-Najjeera'!E22,'30.07 Kiwatule-Najjeera'!E22,'31.07 Kiwatule-Najjeera'!E22,'01.08 Kiwatule-Najjeera-24h'!E22,'03.08 Kiwatule-Najjeera-24h'!E22,'04.08 Kiwatule-Najjeera'!E22)</f>
        <v>2.7142857142857144</v>
      </c>
      <c r="F22" s="49">
        <f>AVERAGE('29.07 Kiwatule-Najjeera'!F22,'02.08 Kiwatule-Najjeera'!F22,'30.07 Kiwatule-Najjeera'!F22,'31.07 Kiwatule-Najjeera'!F22,'01.08 Kiwatule-Najjeera-24h'!F22,'03.08 Kiwatule-Najjeera-24h'!F22,'04.08 Kiwatule-Najjeera'!F22)</f>
        <v>13.714285714285714</v>
      </c>
      <c r="G22" s="49">
        <f>AVERAGE('29.07 Kiwatule-Najjeera'!G22,'02.08 Kiwatule-Najjeera'!G22,'30.07 Kiwatule-Najjeera'!G22,'31.07 Kiwatule-Najjeera'!G22,'01.08 Kiwatule-Najjeera-24h'!G22,'03.08 Kiwatule-Najjeera-24h'!G22,'04.08 Kiwatule-Najjeera'!G22)</f>
        <v>0.42857142857142855</v>
      </c>
      <c r="H22" s="49">
        <f>AVERAGE('29.07 Kiwatule-Najjeera'!H22,'02.08 Kiwatule-Najjeera'!H22,'30.07 Kiwatule-Najjeera'!H22,'31.07 Kiwatule-Najjeera'!H22,'01.08 Kiwatule-Najjeera-24h'!H22,'03.08 Kiwatule-Najjeera-24h'!H22,'04.08 Kiwatule-Najjeera'!H22)</f>
        <v>0</v>
      </c>
      <c r="I22" s="49">
        <f>AVERAGE('29.07 Kiwatule-Najjeera'!I22,'02.08 Kiwatule-Najjeera'!I22,'30.07 Kiwatule-Najjeera'!I22,'31.07 Kiwatule-Najjeera'!I22,'01.08 Kiwatule-Najjeera-24h'!I22,'03.08 Kiwatule-Najjeera-24h'!I22,'04.08 Kiwatule-Najjeera'!I22)</f>
        <v>4.8571428571428568</v>
      </c>
      <c r="J22" s="49">
        <f>AVERAGE('29.07 Kiwatule-Najjeera'!J22,'02.08 Kiwatule-Najjeera'!J22,'30.07 Kiwatule-Najjeera'!J22,'31.07 Kiwatule-Najjeera'!J22,'01.08 Kiwatule-Najjeera-24h'!J22,'03.08 Kiwatule-Najjeera-24h'!J22,'04.08 Kiwatule-Najjeera'!J22)</f>
        <v>0.5714285714285714</v>
      </c>
      <c r="K22" s="49">
        <f>AVERAGE('29.07 Kiwatule-Najjeera'!K22,'02.08 Kiwatule-Najjeera'!K22,'30.07 Kiwatule-Najjeera'!K22,'31.07 Kiwatule-Najjeera'!K22,'01.08 Kiwatule-Najjeera-24h'!K22,'03.08 Kiwatule-Najjeera-24h'!K22,'04.08 Kiwatule-Najjeera'!K22)</f>
        <v>0.2857142857142857</v>
      </c>
      <c r="L22" s="49">
        <f>AVERAGE('29.07 Kiwatule-Najjeera'!L22,'02.08 Kiwatule-Najjeera'!L22,'30.07 Kiwatule-Najjeera'!L22,'31.07 Kiwatule-Najjeera'!L22,'01.08 Kiwatule-Najjeera-24h'!L22,'03.08 Kiwatule-Najjeera-24h'!L22,'04.08 Kiwatule-Najjeera'!L22)</f>
        <v>0</v>
      </c>
      <c r="M22" s="49">
        <f>AVERAGE('29.07 Kiwatule-Najjeera'!M22,'02.08 Kiwatule-Najjeera'!M22,'30.07 Kiwatule-Najjeera'!M22,'31.07 Kiwatule-Najjeera'!M22,'01.08 Kiwatule-Najjeera-24h'!M22,'03.08 Kiwatule-Najjeera-24h'!M22,'04.08 Kiwatule-Najjeera'!M22)</f>
        <v>41.857142857142854</v>
      </c>
      <c r="N22" s="49">
        <f>AVERAGE('29.07 Kiwatule-Najjeera'!N22,'02.08 Kiwatule-Najjeera'!N22,'30.07 Kiwatule-Najjeera'!N22,'31.07 Kiwatule-Najjeera'!N22,'01.08 Kiwatule-Najjeera-24h'!N22,'03.08 Kiwatule-Najjeera-24h'!N22,'04.08 Kiwatule-Najjeera'!N22)</f>
        <v>0</v>
      </c>
      <c r="O22" s="15">
        <f t="shared" si="0"/>
        <v>57</v>
      </c>
      <c r="P22" s="15">
        <f t="shared" si="1"/>
        <v>98.857142857142861</v>
      </c>
      <c r="R22" s="1" t="s">
        <v>146</v>
      </c>
      <c r="S22" s="34">
        <f>SUM(C58:C61)</f>
        <v>365</v>
      </c>
      <c r="T22" s="34">
        <f t="shared" ref="T22:AF22" si="14">SUM(D58:D61)</f>
        <v>84</v>
      </c>
      <c r="U22" s="34">
        <f t="shared" si="14"/>
        <v>21.5</v>
      </c>
      <c r="V22" s="34">
        <f t="shared" si="14"/>
        <v>64</v>
      </c>
      <c r="W22" s="34">
        <f t="shared" si="14"/>
        <v>1</v>
      </c>
      <c r="X22" s="34">
        <f t="shared" si="14"/>
        <v>0</v>
      </c>
      <c r="Y22" s="34">
        <f t="shared" si="14"/>
        <v>7</v>
      </c>
      <c r="Z22" s="34">
        <f t="shared" si="14"/>
        <v>1</v>
      </c>
      <c r="AA22" s="34">
        <f t="shared" si="14"/>
        <v>0</v>
      </c>
      <c r="AB22" s="34">
        <f t="shared" si="14"/>
        <v>0</v>
      </c>
      <c r="AC22" s="34">
        <f t="shared" si="14"/>
        <v>328.5</v>
      </c>
      <c r="AD22" s="34">
        <f t="shared" si="14"/>
        <v>0</v>
      </c>
      <c r="AE22" s="51">
        <f t="shared" si="14"/>
        <v>543.5</v>
      </c>
      <c r="AF22" s="51">
        <f t="shared" si="14"/>
        <v>872</v>
      </c>
    </row>
    <row r="23" spans="2:32" ht="23.1" customHeight="1">
      <c r="B23" s="23" t="s">
        <v>50</v>
      </c>
      <c r="C23" s="49">
        <f>AVERAGE('29.07 Kiwatule-Najjeera'!C23,'02.08 Kiwatule-Najjeera'!C23,'30.07 Kiwatule-Najjeera'!C23,'31.07 Kiwatule-Najjeera'!C23,'01.08 Kiwatule-Najjeera-24h'!C23,'03.08 Kiwatule-Najjeera-24h'!C23,'04.08 Kiwatule-Najjeera'!C23)</f>
        <v>37.857142857142854</v>
      </c>
      <c r="D23" s="49">
        <f>AVERAGE('29.07 Kiwatule-Najjeera'!D23,'02.08 Kiwatule-Najjeera'!D23,'30.07 Kiwatule-Najjeera'!D23,'31.07 Kiwatule-Najjeera'!D23,'01.08 Kiwatule-Najjeera-24h'!D23,'03.08 Kiwatule-Najjeera-24h'!D23,'04.08 Kiwatule-Najjeera'!D23)</f>
        <v>7</v>
      </c>
      <c r="E23" s="49">
        <f>AVERAGE('29.07 Kiwatule-Najjeera'!E23,'02.08 Kiwatule-Najjeera'!E23,'30.07 Kiwatule-Najjeera'!E23,'31.07 Kiwatule-Najjeera'!E23,'01.08 Kiwatule-Najjeera-24h'!E23,'03.08 Kiwatule-Najjeera-24h'!E23,'04.08 Kiwatule-Najjeera'!E23)</f>
        <v>2.1428571428571428</v>
      </c>
      <c r="F23" s="49">
        <f>AVERAGE('29.07 Kiwatule-Najjeera'!F23,'02.08 Kiwatule-Najjeera'!F23,'30.07 Kiwatule-Najjeera'!F23,'31.07 Kiwatule-Najjeera'!F23,'01.08 Kiwatule-Najjeera-24h'!F23,'03.08 Kiwatule-Najjeera-24h'!F23,'04.08 Kiwatule-Najjeera'!F23)</f>
        <v>17.285714285714285</v>
      </c>
      <c r="G23" s="49">
        <f>AVERAGE('29.07 Kiwatule-Najjeera'!G23,'02.08 Kiwatule-Najjeera'!G23,'30.07 Kiwatule-Najjeera'!G23,'31.07 Kiwatule-Najjeera'!G23,'01.08 Kiwatule-Najjeera-24h'!G23,'03.08 Kiwatule-Najjeera-24h'!G23,'04.08 Kiwatule-Najjeera'!G23)</f>
        <v>0.14285714285714285</v>
      </c>
      <c r="H23" s="49">
        <f>AVERAGE('29.07 Kiwatule-Najjeera'!H23,'02.08 Kiwatule-Najjeera'!H23,'30.07 Kiwatule-Najjeera'!H23,'31.07 Kiwatule-Najjeera'!H23,'01.08 Kiwatule-Najjeera-24h'!H23,'03.08 Kiwatule-Najjeera-24h'!H23,'04.08 Kiwatule-Najjeera'!H23)</f>
        <v>0.14285714285714285</v>
      </c>
      <c r="I23" s="49">
        <f>AVERAGE('29.07 Kiwatule-Najjeera'!I23,'02.08 Kiwatule-Najjeera'!I23,'30.07 Kiwatule-Najjeera'!I23,'31.07 Kiwatule-Najjeera'!I23,'01.08 Kiwatule-Najjeera-24h'!I23,'03.08 Kiwatule-Najjeera-24h'!I23,'04.08 Kiwatule-Najjeera'!I23)</f>
        <v>5.7142857142857144</v>
      </c>
      <c r="J23" s="49">
        <f>AVERAGE('29.07 Kiwatule-Najjeera'!J23,'02.08 Kiwatule-Najjeera'!J23,'30.07 Kiwatule-Najjeera'!J23,'31.07 Kiwatule-Najjeera'!J23,'01.08 Kiwatule-Najjeera-24h'!J23,'03.08 Kiwatule-Najjeera-24h'!J23,'04.08 Kiwatule-Najjeera'!J23)</f>
        <v>0.5714285714285714</v>
      </c>
      <c r="K23" s="49">
        <f>AVERAGE('29.07 Kiwatule-Najjeera'!K23,'02.08 Kiwatule-Najjeera'!K23,'30.07 Kiwatule-Najjeera'!K23,'31.07 Kiwatule-Najjeera'!K23,'01.08 Kiwatule-Najjeera-24h'!K23,'03.08 Kiwatule-Najjeera-24h'!K23,'04.08 Kiwatule-Najjeera'!K23)</f>
        <v>0</v>
      </c>
      <c r="L23" s="49">
        <f>AVERAGE('29.07 Kiwatule-Najjeera'!L23,'02.08 Kiwatule-Najjeera'!L23,'30.07 Kiwatule-Najjeera'!L23,'31.07 Kiwatule-Najjeera'!L23,'01.08 Kiwatule-Najjeera-24h'!L23,'03.08 Kiwatule-Najjeera-24h'!L23,'04.08 Kiwatule-Najjeera'!L23)</f>
        <v>0.2857142857142857</v>
      </c>
      <c r="M23" s="49">
        <f>AVERAGE('29.07 Kiwatule-Najjeera'!M23,'02.08 Kiwatule-Najjeera'!M23,'30.07 Kiwatule-Najjeera'!M23,'31.07 Kiwatule-Najjeera'!M23,'01.08 Kiwatule-Najjeera-24h'!M23,'03.08 Kiwatule-Najjeera-24h'!M23,'04.08 Kiwatule-Najjeera'!M23)</f>
        <v>44.714285714285715</v>
      </c>
      <c r="N23" s="49">
        <f>AVERAGE('29.07 Kiwatule-Najjeera'!N23,'02.08 Kiwatule-Najjeera'!N23,'30.07 Kiwatule-Najjeera'!N23,'31.07 Kiwatule-Najjeera'!N23,'01.08 Kiwatule-Najjeera-24h'!N23,'03.08 Kiwatule-Najjeera-24h'!N23,'04.08 Kiwatule-Najjeera'!N23)</f>
        <v>0</v>
      </c>
      <c r="O23" s="15">
        <f t="shared" si="0"/>
        <v>71.142857142857125</v>
      </c>
      <c r="P23" s="15">
        <f t="shared" si="1"/>
        <v>115.85714285714283</v>
      </c>
      <c r="R23" s="1" t="s">
        <v>147</v>
      </c>
      <c r="S23" s="34">
        <f>SUM(C62:C65)</f>
        <v>421</v>
      </c>
      <c r="T23" s="34">
        <f t="shared" ref="T23:AF23" si="15">SUM(D62:D65)</f>
        <v>79</v>
      </c>
      <c r="U23" s="34">
        <f t="shared" si="15"/>
        <v>19</v>
      </c>
      <c r="V23" s="34">
        <f t="shared" si="15"/>
        <v>61</v>
      </c>
      <c r="W23" s="34">
        <f t="shared" si="15"/>
        <v>0.5</v>
      </c>
      <c r="X23" s="34">
        <f t="shared" si="15"/>
        <v>0</v>
      </c>
      <c r="Y23" s="34">
        <f t="shared" si="15"/>
        <v>12</v>
      </c>
      <c r="Z23" s="34">
        <f t="shared" si="15"/>
        <v>2</v>
      </c>
      <c r="AA23" s="34">
        <f t="shared" si="15"/>
        <v>0</v>
      </c>
      <c r="AB23" s="34">
        <f t="shared" si="15"/>
        <v>0</v>
      </c>
      <c r="AC23" s="34">
        <f t="shared" si="15"/>
        <v>257</v>
      </c>
      <c r="AD23" s="34">
        <f t="shared" si="15"/>
        <v>0</v>
      </c>
      <c r="AE23" s="51">
        <f t="shared" si="15"/>
        <v>594.5</v>
      </c>
      <c r="AF23" s="51">
        <f t="shared" si="15"/>
        <v>851.5</v>
      </c>
    </row>
    <row r="24" spans="2:32" ht="23.1" customHeight="1">
      <c r="B24" s="23" t="s">
        <v>51</v>
      </c>
      <c r="C24" s="49">
        <f>AVERAGE('29.07 Kiwatule-Najjeera'!C24,'02.08 Kiwatule-Najjeera'!C24,'30.07 Kiwatule-Najjeera'!C24,'31.07 Kiwatule-Najjeera'!C24,'01.08 Kiwatule-Najjeera-24h'!C24,'03.08 Kiwatule-Najjeera-24h'!C24,'04.08 Kiwatule-Najjeera'!C24)</f>
        <v>33.714285714285715</v>
      </c>
      <c r="D24" s="49">
        <f>AVERAGE('29.07 Kiwatule-Najjeera'!D24,'02.08 Kiwatule-Najjeera'!D24,'30.07 Kiwatule-Najjeera'!D24,'31.07 Kiwatule-Najjeera'!D24,'01.08 Kiwatule-Najjeera-24h'!D24,'03.08 Kiwatule-Najjeera-24h'!D24,'04.08 Kiwatule-Najjeera'!D24)</f>
        <v>8.7142857142857135</v>
      </c>
      <c r="E24" s="49">
        <f>AVERAGE('29.07 Kiwatule-Najjeera'!E24,'02.08 Kiwatule-Najjeera'!E24,'30.07 Kiwatule-Najjeera'!E24,'31.07 Kiwatule-Najjeera'!E24,'01.08 Kiwatule-Najjeera-24h'!E24,'03.08 Kiwatule-Najjeera-24h'!E24,'04.08 Kiwatule-Najjeera'!E24)</f>
        <v>3.2857142857142856</v>
      </c>
      <c r="F24" s="49">
        <f>AVERAGE('29.07 Kiwatule-Najjeera'!F24,'02.08 Kiwatule-Najjeera'!F24,'30.07 Kiwatule-Najjeera'!F24,'31.07 Kiwatule-Najjeera'!F24,'01.08 Kiwatule-Najjeera-24h'!F24,'03.08 Kiwatule-Najjeera-24h'!F24,'04.08 Kiwatule-Najjeera'!F24)</f>
        <v>17.571428571428573</v>
      </c>
      <c r="G24" s="49">
        <f>AVERAGE('29.07 Kiwatule-Najjeera'!G24,'02.08 Kiwatule-Najjeera'!G24,'30.07 Kiwatule-Najjeera'!G24,'31.07 Kiwatule-Najjeera'!G24,'01.08 Kiwatule-Najjeera-24h'!G24,'03.08 Kiwatule-Najjeera-24h'!G24,'04.08 Kiwatule-Najjeera'!G24)</f>
        <v>0.5714285714285714</v>
      </c>
      <c r="H24" s="49">
        <f>AVERAGE('29.07 Kiwatule-Najjeera'!H24,'02.08 Kiwatule-Najjeera'!H24,'30.07 Kiwatule-Najjeera'!H24,'31.07 Kiwatule-Najjeera'!H24,'01.08 Kiwatule-Najjeera-24h'!H24,'03.08 Kiwatule-Najjeera-24h'!H24,'04.08 Kiwatule-Najjeera'!H24)</f>
        <v>0.14285714285714285</v>
      </c>
      <c r="I24" s="49">
        <f>AVERAGE('29.07 Kiwatule-Najjeera'!I24,'02.08 Kiwatule-Najjeera'!I24,'30.07 Kiwatule-Najjeera'!I24,'31.07 Kiwatule-Najjeera'!I24,'01.08 Kiwatule-Najjeera-24h'!I24,'03.08 Kiwatule-Najjeera-24h'!I24,'04.08 Kiwatule-Najjeera'!I24)</f>
        <v>5.7142857142857144</v>
      </c>
      <c r="J24" s="49">
        <f>AVERAGE('29.07 Kiwatule-Najjeera'!J24,'02.08 Kiwatule-Najjeera'!J24,'30.07 Kiwatule-Najjeera'!J24,'31.07 Kiwatule-Najjeera'!J24,'01.08 Kiwatule-Najjeera-24h'!J24,'03.08 Kiwatule-Najjeera-24h'!J24,'04.08 Kiwatule-Najjeera'!J24)</f>
        <v>1</v>
      </c>
      <c r="K24" s="49">
        <f>AVERAGE('29.07 Kiwatule-Najjeera'!K24,'02.08 Kiwatule-Najjeera'!K24,'30.07 Kiwatule-Najjeera'!K24,'31.07 Kiwatule-Najjeera'!K24,'01.08 Kiwatule-Najjeera-24h'!K24,'03.08 Kiwatule-Najjeera-24h'!K24,'04.08 Kiwatule-Najjeera'!K24)</f>
        <v>0.2857142857142857</v>
      </c>
      <c r="L24" s="49">
        <f>AVERAGE('29.07 Kiwatule-Najjeera'!L24,'02.08 Kiwatule-Najjeera'!L24,'30.07 Kiwatule-Najjeera'!L24,'31.07 Kiwatule-Najjeera'!L24,'01.08 Kiwatule-Najjeera-24h'!L24,'03.08 Kiwatule-Najjeera-24h'!L24,'04.08 Kiwatule-Najjeera'!L24)</f>
        <v>0</v>
      </c>
      <c r="M24" s="49">
        <f>AVERAGE('29.07 Kiwatule-Najjeera'!M24,'02.08 Kiwatule-Najjeera'!M24,'30.07 Kiwatule-Najjeera'!M24,'31.07 Kiwatule-Najjeera'!M24,'01.08 Kiwatule-Najjeera-24h'!M24,'03.08 Kiwatule-Najjeera-24h'!M24,'04.08 Kiwatule-Najjeera'!M24)</f>
        <v>55.571428571428569</v>
      </c>
      <c r="N24" s="49">
        <f>AVERAGE('29.07 Kiwatule-Najjeera'!N24,'02.08 Kiwatule-Najjeera'!N24,'30.07 Kiwatule-Najjeera'!N24,'31.07 Kiwatule-Najjeera'!N24,'01.08 Kiwatule-Najjeera-24h'!N24,'03.08 Kiwatule-Najjeera-24h'!N24,'04.08 Kiwatule-Najjeera'!N24)</f>
        <v>0</v>
      </c>
      <c r="O24" s="15">
        <f t="shared" si="0"/>
        <v>71</v>
      </c>
      <c r="P24" s="15">
        <f t="shared" si="1"/>
        <v>126.57142857142857</v>
      </c>
      <c r="R24" s="1" t="s">
        <v>148</v>
      </c>
      <c r="S24" s="34">
        <f>SUM(C66:C69)</f>
        <v>517.5</v>
      </c>
      <c r="T24" s="34">
        <f t="shared" ref="T24:AF24" si="16">SUM(D66:D69)</f>
        <v>85.5</v>
      </c>
      <c r="U24" s="34">
        <f t="shared" si="16"/>
        <v>25</v>
      </c>
      <c r="V24" s="34">
        <f t="shared" si="16"/>
        <v>59.5</v>
      </c>
      <c r="W24" s="34">
        <f t="shared" si="16"/>
        <v>0.5</v>
      </c>
      <c r="X24" s="34">
        <f t="shared" si="16"/>
        <v>0</v>
      </c>
      <c r="Y24" s="34">
        <f t="shared" si="16"/>
        <v>10.5</v>
      </c>
      <c r="Z24" s="34">
        <f t="shared" si="16"/>
        <v>0.5</v>
      </c>
      <c r="AA24" s="34">
        <f t="shared" si="16"/>
        <v>0.5</v>
      </c>
      <c r="AB24" s="34">
        <f t="shared" si="16"/>
        <v>0</v>
      </c>
      <c r="AC24" s="34">
        <f t="shared" si="16"/>
        <v>203</v>
      </c>
      <c r="AD24" s="34">
        <f t="shared" si="16"/>
        <v>0</v>
      </c>
      <c r="AE24" s="51">
        <f t="shared" si="16"/>
        <v>699.5</v>
      </c>
      <c r="AF24" s="51">
        <f t="shared" si="16"/>
        <v>902.5</v>
      </c>
    </row>
    <row r="25" spans="2:32" ht="23.1" customHeight="1">
      <c r="B25" s="23" t="s">
        <v>52</v>
      </c>
      <c r="C25" s="49">
        <f>AVERAGE('29.07 Kiwatule-Najjeera'!C25,'02.08 Kiwatule-Najjeera'!C25,'30.07 Kiwatule-Najjeera'!C25,'31.07 Kiwatule-Najjeera'!C25,'01.08 Kiwatule-Najjeera-24h'!C25,'03.08 Kiwatule-Najjeera-24h'!C25,'04.08 Kiwatule-Najjeera'!C25)</f>
        <v>35</v>
      </c>
      <c r="D25" s="49">
        <f>AVERAGE('29.07 Kiwatule-Najjeera'!D25,'02.08 Kiwatule-Najjeera'!D25,'30.07 Kiwatule-Najjeera'!D25,'31.07 Kiwatule-Najjeera'!D25,'01.08 Kiwatule-Najjeera-24h'!D25,'03.08 Kiwatule-Najjeera-24h'!D25,'04.08 Kiwatule-Najjeera'!D25)</f>
        <v>7.1428571428571432</v>
      </c>
      <c r="E25" s="49">
        <f>AVERAGE('29.07 Kiwatule-Najjeera'!E25,'02.08 Kiwatule-Najjeera'!E25,'30.07 Kiwatule-Najjeera'!E25,'31.07 Kiwatule-Najjeera'!E25,'01.08 Kiwatule-Najjeera-24h'!E25,'03.08 Kiwatule-Najjeera-24h'!E25,'04.08 Kiwatule-Najjeera'!E25)</f>
        <v>3.2857142857142856</v>
      </c>
      <c r="F25" s="49">
        <f>AVERAGE('29.07 Kiwatule-Najjeera'!F25,'02.08 Kiwatule-Najjeera'!F25,'30.07 Kiwatule-Najjeera'!F25,'31.07 Kiwatule-Najjeera'!F25,'01.08 Kiwatule-Najjeera-24h'!F25,'03.08 Kiwatule-Najjeera-24h'!F25,'04.08 Kiwatule-Najjeera'!F25)</f>
        <v>15</v>
      </c>
      <c r="G25" s="49">
        <f>AVERAGE('29.07 Kiwatule-Najjeera'!G25,'02.08 Kiwatule-Najjeera'!G25,'30.07 Kiwatule-Najjeera'!G25,'31.07 Kiwatule-Najjeera'!G25,'01.08 Kiwatule-Najjeera-24h'!G25,'03.08 Kiwatule-Najjeera-24h'!G25,'04.08 Kiwatule-Najjeera'!G25)</f>
        <v>0.5714285714285714</v>
      </c>
      <c r="H25" s="49">
        <f>AVERAGE('29.07 Kiwatule-Najjeera'!H25,'02.08 Kiwatule-Najjeera'!H25,'30.07 Kiwatule-Najjeera'!H25,'31.07 Kiwatule-Najjeera'!H25,'01.08 Kiwatule-Najjeera-24h'!H25,'03.08 Kiwatule-Najjeera-24h'!H25,'04.08 Kiwatule-Najjeera'!H25)</f>
        <v>0.14285714285714285</v>
      </c>
      <c r="I25" s="49">
        <f>AVERAGE('29.07 Kiwatule-Najjeera'!I25,'02.08 Kiwatule-Najjeera'!I25,'30.07 Kiwatule-Najjeera'!I25,'31.07 Kiwatule-Najjeera'!I25,'01.08 Kiwatule-Najjeera-24h'!I25,'03.08 Kiwatule-Najjeera-24h'!I25,'04.08 Kiwatule-Najjeera'!I25)</f>
        <v>4.8571428571428568</v>
      </c>
      <c r="J25" s="49">
        <f>AVERAGE('29.07 Kiwatule-Najjeera'!J25,'02.08 Kiwatule-Najjeera'!J25,'30.07 Kiwatule-Najjeera'!J25,'31.07 Kiwatule-Najjeera'!J25,'01.08 Kiwatule-Najjeera-24h'!J25,'03.08 Kiwatule-Najjeera-24h'!J25,'04.08 Kiwatule-Najjeera'!J25)</f>
        <v>0.42857142857142855</v>
      </c>
      <c r="K25" s="49">
        <f>AVERAGE('29.07 Kiwatule-Najjeera'!K25,'02.08 Kiwatule-Najjeera'!K25,'30.07 Kiwatule-Najjeera'!K25,'31.07 Kiwatule-Najjeera'!K25,'01.08 Kiwatule-Najjeera-24h'!K25,'03.08 Kiwatule-Najjeera-24h'!K25,'04.08 Kiwatule-Najjeera'!K25)</f>
        <v>0</v>
      </c>
      <c r="L25" s="49">
        <f>AVERAGE('29.07 Kiwatule-Najjeera'!L25,'02.08 Kiwatule-Najjeera'!L25,'30.07 Kiwatule-Najjeera'!L25,'31.07 Kiwatule-Najjeera'!L25,'01.08 Kiwatule-Najjeera-24h'!L25,'03.08 Kiwatule-Najjeera-24h'!L25,'04.08 Kiwatule-Najjeera'!L25)</f>
        <v>0</v>
      </c>
      <c r="M25" s="49">
        <f>AVERAGE('29.07 Kiwatule-Najjeera'!M25,'02.08 Kiwatule-Najjeera'!M25,'30.07 Kiwatule-Najjeera'!M25,'31.07 Kiwatule-Najjeera'!M25,'01.08 Kiwatule-Najjeera-24h'!M25,'03.08 Kiwatule-Najjeera-24h'!M25,'04.08 Kiwatule-Najjeera'!M25)</f>
        <v>42</v>
      </c>
      <c r="N25" s="49">
        <f>AVERAGE('29.07 Kiwatule-Najjeera'!N25,'02.08 Kiwatule-Najjeera'!N25,'30.07 Kiwatule-Najjeera'!N25,'31.07 Kiwatule-Najjeera'!N25,'01.08 Kiwatule-Najjeera-24h'!N25,'03.08 Kiwatule-Najjeera-24h'!N25,'04.08 Kiwatule-Najjeera'!N25)</f>
        <v>0</v>
      </c>
      <c r="O25" s="15">
        <f t="shared" si="0"/>
        <v>66.428571428571431</v>
      </c>
      <c r="P25" s="15">
        <f t="shared" si="1"/>
        <v>108.42857142857143</v>
      </c>
      <c r="R25" s="1" t="s">
        <v>149</v>
      </c>
      <c r="S25" s="34">
        <f>SUM(C70:C73)</f>
        <v>494.5</v>
      </c>
      <c r="T25" s="34">
        <f t="shared" ref="T25:AF25" si="17">SUM(D70:D73)</f>
        <v>98.5</v>
      </c>
      <c r="U25" s="34">
        <f t="shared" si="17"/>
        <v>29</v>
      </c>
      <c r="V25" s="34">
        <f t="shared" si="17"/>
        <v>49.5</v>
      </c>
      <c r="W25" s="34">
        <f t="shared" si="17"/>
        <v>0</v>
      </c>
      <c r="X25" s="34">
        <f t="shared" si="17"/>
        <v>0</v>
      </c>
      <c r="Y25" s="34">
        <f t="shared" si="17"/>
        <v>7.5</v>
      </c>
      <c r="Z25" s="34">
        <f t="shared" si="17"/>
        <v>0.5</v>
      </c>
      <c r="AA25" s="34">
        <f t="shared" si="17"/>
        <v>0</v>
      </c>
      <c r="AB25" s="34">
        <f t="shared" si="17"/>
        <v>0</v>
      </c>
      <c r="AC25" s="34">
        <f t="shared" si="17"/>
        <v>237</v>
      </c>
      <c r="AD25" s="34">
        <f t="shared" si="17"/>
        <v>0</v>
      </c>
      <c r="AE25" s="51">
        <f t="shared" si="17"/>
        <v>679.5</v>
      </c>
      <c r="AF25" s="51">
        <f t="shared" si="17"/>
        <v>916.5</v>
      </c>
    </row>
    <row r="26" spans="2:32" ht="23.1" customHeight="1">
      <c r="B26" s="23" t="s">
        <v>53</v>
      </c>
      <c r="C26" s="49">
        <f>AVERAGE('29.07 Kiwatule-Najjeera'!C26,'02.08 Kiwatule-Najjeera'!C26,'30.07 Kiwatule-Najjeera'!C26,'31.07 Kiwatule-Najjeera'!C26,'01.08 Kiwatule-Najjeera-24h'!C26,'03.08 Kiwatule-Najjeera-24h'!C26,'04.08 Kiwatule-Najjeera'!C26)</f>
        <v>35.571428571428569</v>
      </c>
      <c r="D26" s="49">
        <f>AVERAGE('29.07 Kiwatule-Najjeera'!D26,'02.08 Kiwatule-Najjeera'!D26,'30.07 Kiwatule-Najjeera'!D26,'31.07 Kiwatule-Najjeera'!D26,'01.08 Kiwatule-Najjeera-24h'!D26,'03.08 Kiwatule-Najjeera-24h'!D26,'04.08 Kiwatule-Najjeera'!D26)</f>
        <v>7.1428571428571432</v>
      </c>
      <c r="E26" s="49">
        <f>AVERAGE('29.07 Kiwatule-Najjeera'!E26,'02.08 Kiwatule-Najjeera'!E26,'30.07 Kiwatule-Najjeera'!E26,'31.07 Kiwatule-Najjeera'!E26,'01.08 Kiwatule-Najjeera-24h'!E26,'03.08 Kiwatule-Najjeera-24h'!E26,'04.08 Kiwatule-Najjeera'!E26)</f>
        <v>3.1428571428571428</v>
      </c>
      <c r="F26" s="49">
        <f>AVERAGE('29.07 Kiwatule-Najjeera'!F26,'02.08 Kiwatule-Najjeera'!F26,'30.07 Kiwatule-Najjeera'!F26,'31.07 Kiwatule-Najjeera'!F26,'01.08 Kiwatule-Najjeera-24h'!F26,'03.08 Kiwatule-Najjeera-24h'!F26,'04.08 Kiwatule-Najjeera'!F26)</f>
        <v>14.571428571428571</v>
      </c>
      <c r="G26" s="49">
        <f>AVERAGE('29.07 Kiwatule-Najjeera'!G26,'02.08 Kiwatule-Najjeera'!G26,'30.07 Kiwatule-Najjeera'!G26,'31.07 Kiwatule-Najjeera'!G26,'01.08 Kiwatule-Najjeera-24h'!G26,'03.08 Kiwatule-Najjeera-24h'!G26,'04.08 Kiwatule-Najjeera'!G26)</f>
        <v>0.7142857142857143</v>
      </c>
      <c r="H26" s="49">
        <f>AVERAGE('29.07 Kiwatule-Najjeera'!H26,'02.08 Kiwatule-Najjeera'!H26,'30.07 Kiwatule-Najjeera'!H26,'31.07 Kiwatule-Najjeera'!H26,'01.08 Kiwatule-Najjeera-24h'!H26,'03.08 Kiwatule-Najjeera-24h'!H26,'04.08 Kiwatule-Najjeera'!H26)</f>
        <v>0</v>
      </c>
      <c r="I26" s="49">
        <f>AVERAGE('29.07 Kiwatule-Najjeera'!I26,'02.08 Kiwatule-Najjeera'!I26,'30.07 Kiwatule-Najjeera'!I26,'31.07 Kiwatule-Najjeera'!I26,'01.08 Kiwatule-Najjeera-24h'!I26,'03.08 Kiwatule-Najjeera-24h'!I26,'04.08 Kiwatule-Najjeera'!I26)</f>
        <v>7.7142857142857144</v>
      </c>
      <c r="J26" s="49">
        <f>AVERAGE('29.07 Kiwatule-Najjeera'!J26,'02.08 Kiwatule-Najjeera'!J26,'30.07 Kiwatule-Najjeera'!J26,'31.07 Kiwatule-Najjeera'!J26,'01.08 Kiwatule-Najjeera-24h'!J26,'03.08 Kiwatule-Najjeera-24h'!J26,'04.08 Kiwatule-Najjeera'!J26)</f>
        <v>0.42857142857142855</v>
      </c>
      <c r="K26" s="49">
        <f>AVERAGE('29.07 Kiwatule-Najjeera'!K26,'02.08 Kiwatule-Najjeera'!K26,'30.07 Kiwatule-Najjeera'!K26,'31.07 Kiwatule-Najjeera'!K26,'01.08 Kiwatule-Najjeera-24h'!K26,'03.08 Kiwatule-Najjeera-24h'!K26,'04.08 Kiwatule-Najjeera'!K26)</f>
        <v>0.2857142857142857</v>
      </c>
      <c r="L26" s="49">
        <f>AVERAGE('29.07 Kiwatule-Najjeera'!L26,'02.08 Kiwatule-Najjeera'!L26,'30.07 Kiwatule-Najjeera'!L26,'31.07 Kiwatule-Najjeera'!L26,'01.08 Kiwatule-Najjeera-24h'!L26,'03.08 Kiwatule-Najjeera-24h'!L26,'04.08 Kiwatule-Najjeera'!L26)</f>
        <v>0.14285714285714285</v>
      </c>
      <c r="M26" s="49">
        <f>AVERAGE('29.07 Kiwatule-Najjeera'!M26,'02.08 Kiwatule-Najjeera'!M26,'30.07 Kiwatule-Najjeera'!M26,'31.07 Kiwatule-Najjeera'!M26,'01.08 Kiwatule-Najjeera-24h'!M26,'03.08 Kiwatule-Najjeera-24h'!M26,'04.08 Kiwatule-Najjeera'!M26)</f>
        <v>42</v>
      </c>
      <c r="N26" s="49">
        <f>AVERAGE('29.07 Kiwatule-Najjeera'!N26,'02.08 Kiwatule-Najjeera'!N26,'30.07 Kiwatule-Najjeera'!N26,'31.07 Kiwatule-Najjeera'!N26,'01.08 Kiwatule-Najjeera-24h'!N26,'03.08 Kiwatule-Najjeera-24h'!N26,'04.08 Kiwatule-Najjeera'!N26)</f>
        <v>0</v>
      </c>
      <c r="O26" s="15">
        <f t="shared" si="0"/>
        <v>69.714285714285722</v>
      </c>
      <c r="P26" s="15">
        <f t="shared" si="1"/>
        <v>111.71428571428572</v>
      </c>
      <c r="R26" s="1" t="s">
        <v>150</v>
      </c>
      <c r="S26" s="34">
        <f>SUM(C74:C77)</f>
        <v>400</v>
      </c>
      <c r="T26" s="34">
        <f t="shared" ref="T26:AF26" si="18">SUM(D74:D77)</f>
        <v>77</v>
      </c>
      <c r="U26" s="34">
        <f t="shared" si="18"/>
        <v>19</v>
      </c>
      <c r="V26" s="34">
        <f t="shared" si="18"/>
        <v>21</v>
      </c>
      <c r="W26" s="34">
        <f t="shared" si="18"/>
        <v>1.5</v>
      </c>
      <c r="X26" s="34">
        <f t="shared" si="18"/>
        <v>1</v>
      </c>
      <c r="Y26" s="34">
        <f t="shared" si="18"/>
        <v>4</v>
      </c>
      <c r="Z26" s="34">
        <f t="shared" si="18"/>
        <v>1.5</v>
      </c>
      <c r="AA26" s="34">
        <f t="shared" si="18"/>
        <v>0.5</v>
      </c>
      <c r="AB26" s="34">
        <f t="shared" si="18"/>
        <v>0</v>
      </c>
      <c r="AC26" s="34">
        <f t="shared" si="18"/>
        <v>194.5</v>
      </c>
      <c r="AD26" s="34">
        <f t="shared" si="18"/>
        <v>0.5</v>
      </c>
      <c r="AE26" s="51">
        <f t="shared" si="18"/>
        <v>526</v>
      </c>
      <c r="AF26" s="51">
        <f t="shared" si="18"/>
        <v>720.5</v>
      </c>
    </row>
    <row r="27" spans="2:32" ht="23.1" customHeight="1">
      <c r="B27" s="23" t="s">
        <v>54</v>
      </c>
      <c r="C27" s="49">
        <f>AVERAGE('29.07 Kiwatule-Najjeera'!C27,'02.08 Kiwatule-Najjeera'!C27,'30.07 Kiwatule-Najjeera'!C27,'31.07 Kiwatule-Najjeera'!C27,'01.08 Kiwatule-Najjeera-24h'!C27,'03.08 Kiwatule-Najjeera-24h'!C27,'04.08 Kiwatule-Najjeera'!C27)</f>
        <v>38.285714285714285</v>
      </c>
      <c r="D27" s="49">
        <f>AVERAGE('29.07 Kiwatule-Najjeera'!D27,'02.08 Kiwatule-Najjeera'!D27,'30.07 Kiwatule-Najjeera'!D27,'31.07 Kiwatule-Najjeera'!D27,'01.08 Kiwatule-Najjeera-24h'!D27,'03.08 Kiwatule-Najjeera-24h'!D27,'04.08 Kiwatule-Najjeera'!D27)</f>
        <v>6.4285714285714288</v>
      </c>
      <c r="E27" s="49">
        <f>AVERAGE('29.07 Kiwatule-Najjeera'!E27,'02.08 Kiwatule-Najjeera'!E27,'30.07 Kiwatule-Najjeera'!E27,'31.07 Kiwatule-Najjeera'!E27,'01.08 Kiwatule-Najjeera-24h'!E27,'03.08 Kiwatule-Najjeera-24h'!E27,'04.08 Kiwatule-Najjeera'!E27)</f>
        <v>2.2857142857142856</v>
      </c>
      <c r="F27" s="49">
        <f>AVERAGE('29.07 Kiwatule-Najjeera'!F27,'02.08 Kiwatule-Najjeera'!F27,'30.07 Kiwatule-Najjeera'!F27,'31.07 Kiwatule-Najjeera'!F27,'01.08 Kiwatule-Najjeera-24h'!F27,'03.08 Kiwatule-Najjeera-24h'!F27,'04.08 Kiwatule-Najjeera'!F27)</f>
        <v>17.285714285714285</v>
      </c>
      <c r="G27" s="49">
        <f>AVERAGE('29.07 Kiwatule-Najjeera'!G27,'02.08 Kiwatule-Najjeera'!G27,'30.07 Kiwatule-Najjeera'!G27,'31.07 Kiwatule-Najjeera'!G27,'01.08 Kiwatule-Najjeera-24h'!G27,'03.08 Kiwatule-Najjeera-24h'!G27,'04.08 Kiwatule-Najjeera'!G27)</f>
        <v>0.14285714285714285</v>
      </c>
      <c r="H27" s="49">
        <f>AVERAGE('29.07 Kiwatule-Najjeera'!H27,'02.08 Kiwatule-Najjeera'!H27,'30.07 Kiwatule-Najjeera'!H27,'31.07 Kiwatule-Najjeera'!H27,'01.08 Kiwatule-Najjeera-24h'!H27,'03.08 Kiwatule-Najjeera-24h'!H27,'04.08 Kiwatule-Najjeera'!H27)</f>
        <v>0.14285714285714285</v>
      </c>
      <c r="I27" s="49">
        <f>AVERAGE('29.07 Kiwatule-Najjeera'!I27,'02.08 Kiwatule-Najjeera'!I27,'30.07 Kiwatule-Najjeera'!I27,'31.07 Kiwatule-Najjeera'!I27,'01.08 Kiwatule-Najjeera-24h'!I27,'03.08 Kiwatule-Najjeera-24h'!I27,'04.08 Kiwatule-Najjeera'!I27)</f>
        <v>7.4285714285714288</v>
      </c>
      <c r="J27" s="49">
        <f>AVERAGE('29.07 Kiwatule-Najjeera'!J27,'02.08 Kiwatule-Najjeera'!J27,'30.07 Kiwatule-Najjeera'!J27,'31.07 Kiwatule-Najjeera'!J27,'01.08 Kiwatule-Najjeera-24h'!J27,'03.08 Kiwatule-Najjeera-24h'!J27,'04.08 Kiwatule-Najjeera'!J27)</f>
        <v>1.7142857142857142</v>
      </c>
      <c r="K27" s="49">
        <f>AVERAGE('29.07 Kiwatule-Najjeera'!K27,'02.08 Kiwatule-Najjeera'!K27,'30.07 Kiwatule-Najjeera'!K27,'31.07 Kiwatule-Najjeera'!K27,'01.08 Kiwatule-Najjeera-24h'!K27,'03.08 Kiwatule-Najjeera-24h'!K27,'04.08 Kiwatule-Najjeera'!K27)</f>
        <v>0.7142857142857143</v>
      </c>
      <c r="L27" s="49">
        <f>AVERAGE('29.07 Kiwatule-Najjeera'!L27,'02.08 Kiwatule-Najjeera'!L27,'30.07 Kiwatule-Najjeera'!L27,'31.07 Kiwatule-Najjeera'!L27,'01.08 Kiwatule-Najjeera-24h'!L27,'03.08 Kiwatule-Najjeera-24h'!L27,'04.08 Kiwatule-Najjeera'!L27)</f>
        <v>0.14285714285714285</v>
      </c>
      <c r="M27" s="49">
        <f>AVERAGE('29.07 Kiwatule-Najjeera'!M27,'02.08 Kiwatule-Najjeera'!M27,'30.07 Kiwatule-Najjeera'!M27,'31.07 Kiwatule-Najjeera'!M27,'01.08 Kiwatule-Najjeera-24h'!M27,'03.08 Kiwatule-Najjeera-24h'!M27,'04.08 Kiwatule-Najjeera'!M27)</f>
        <v>43.714285714285715</v>
      </c>
      <c r="N27" s="49">
        <f>AVERAGE('29.07 Kiwatule-Najjeera'!N27,'02.08 Kiwatule-Najjeera'!N27,'30.07 Kiwatule-Najjeera'!N27,'31.07 Kiwatule-Najjeera'!N27,'01.08 Kiwatule-Najjeera-24h'!N27,'03.08 Kiwatule-Najjeera-24h'!N27,'04.08 Kiwatule-Najjeera'!N27)</f>
        <v>0</v>
      </c>
      <c r="O27" s="15">
        <f t="shared" si="0"/>
        <v>74.571428571428541</v>
      </c>
      <c r="P27" s="15">
        <f t="shared" si="1"/>
        <v>118.28571428571425</v>
      </c>
      <c r="R27" s="1" t="s">
        <v>151</v>
      </c>
      <c r="S27" s="34">
        <f>SUM(C78:C81)</f>
        <v>247.5</v>
      </c>
      <c r="T27" s="34">
        <f t="shared" ref="T27:AF27" si="19">SUM(D78:D81)</f>
        <v>52</v>
      </c>
      <c r="U27" s="34">
        <f t="shared" si="19"/>
        <v>13</v>
      </c>
      <c r="V27" s="34">
        <f t="shared" si="19"/>
        <v>9.5</v>
      </c>
      <c r="W27" s="34">
        <f t="shared" si="19"/>
        <v>0</v>
      </c>
      <c r="X27" s="34">
        <f t="shared" si="19"/>
        <v>0</v>
      </c>
      <c r="Y27" s="34">
        <f t="shared" si="19"/>
        <v>5.5</v>
      </c>
      <c r="Z27" s="34">
        <f t="shared" si="19"/>
        <v>0</v>
      </c>
      <c r="AA27" s="34">
        <f t="shared" si="19"/>
        <v>0</v>
      </c>
      <c r="AB27" s="34">
        <f t="shared" si="19"/>
        <v>0.5</v>
      </c>
      <c r="AC27" s="34">
        <f t="shared" si="19"/>
        <v>160.5</v>
      </c>
      <c r="AD27" s="34">
        <f t="shared" si="19"/>
        <v>0</v>
      </c>
      <c r="AE27" s="51">
        <f t="shared" si="19"/>
        <v>328</v>
      </c>
      <c r="AF27" s="51">
        <f t="shared" si="19"/>
        <v>488.5</v>
      </c>
    </row>
    <row r="28" spans="2:32" ht="23.1" customHeight="1">
      <c r="B28" s="23" t="s">
        <v>55</v>
      </c>
      <c r="C28" s="49">
        <f>AVERAGE('29.07 Kiwatule-Najjeera'!C28,'02.08 Kiwatule-Najjeera'!C28,'30.07 Kiwatule-Najjeera'!C28,'31.07 Kiwatule-Najjeera'!C28,'01.08 Kiwatule-Najjeera-24h'!C28,'03.08 Kiwatule-Najjeera-24h'!C28,'04.08 Kiwatule-Najjeera'!C28)</f>
        <v>37.285714285714285</v>
      </c>
      <c r="D28" s="49">
        <f>AVERAGE('29.07 Kiwatule-Najjeera'!D28,'02.08 Kiwatule-Najjeera'!D28,'30.07 Kiwatule-Najjeera'!D28,'31.07 Kiwatule-Najjeera'!D28,'01.08 Kiwatule-Najjeera-24h'!D28,'03.08 Kiwatule-Najjeera-24h'!D28,'04.08 Kiwatule-Najjeera'!D28)</f>
        <v>9.4285714285714288</v>
      </c>
      <c r="E28" s="49">
        <f>AVERAGE('29.07 Kiwatule-Najjeera'!E28,'02.08 Kiwatule-Najjeera'!E28,'30.07 Kiwatule-Najjeera'!E28,'31.07 Kiwatule-Najjeera'!E28,'01.08 Kiwatule-Najjeera-24h'!E28,'03.08 Kiwatule-Najjeera-24h'!E28,'04.08 Kiwatule-Najjeera'!E28)</f>
        <v>3.7142857142857144</v>
      </c>
      <c r="F28" s="49">
        <f>AVERAGE('29.07 Kiwatule-Najjeera'!F28,'02.08 Kiwatule-Najjeera'!F28,'30.07 Kiwatule-Najjeera'!F28,'31.07 Kiwatule-Najjeera'!F28,'01.08 Kiwatule-Najjeera-24h'!F28,'03.08 Kiwatule-Najjeera-24h'!F28,'04.08 Kiwatule-Najjeera'!F28)</f>
        <v>19.142857142857142</v>
      </c>
      <c r="G28" s="49">
        <f>AVERAGE('29.07 Kiwatule-Najjeera'!G28,'02.08 Kiwatule-Najjeera'!G28,'30.07 Kiwatule-Najjeera'!G28,'31.07 Kiwatule-Najjeera'!G28,'01.08 Kiwatule-Najjeera-24h'!G28,'03.08 Kiwatule-Najjeera-24h'!G28,'04.08 Kiwatule-Najjeera'!G28)</f>
        <v>0.2857142857142857</v>
      </c>
      <c r="H28" s="49">
        <f>AVERAGE('29.07 Kiwatule-Najjeera'!H28,'02.08 Kiwatule-Najjeera'!H28,'30.07 Kiwatule-Najjeera'!H28,'31.07 Kiwatule-Najjeera'!H28,'01.08 Kiwatule-Najjeera-24h'!H28,'03.08 Kiwatule-Najjeera-24h'!H28,'04.08 Kiwatule-Najjeera'!H28)</f>
        <v>0</v>
      </c>
      <c r="I28" s="49">
        <f>AVERAGE('29.07 Kiwatule-Najjeera'!I28,'02.08 Kiwatule-Najjeera'!I28,'30.07 Kiwatule-Najjeera'!I28,'31.07 Kiwatule-Najjeera'!I28,'01.08 Kiwatule-Najjeera-24h'!I28,'03.08 Kiwatule-Najjeera-24h'!I28,'04.08 Kiwatule-Najjeera'!I28)</f>
        <v>6.7142857142857144</v>
      </c>
      <c r="J28" s="49">
        <f>AVERAGE('29.07 Kiwatule-Najjeera'!J28,'02.08 Kiwatule-Najjeera'!J28,'30.07 Kiwatule-Najjeera'!J28,'31.07 Kiwatule-Najjeera'!J28,'01.08 Kiwatule-Najjeera-24h'!J28,'03.08 Kiwatule-Najjeera-24h'!J28,'04.08 Kiwatule-Najjeera'!J28)</f>
        <v>0.42857142857142855</v>
      </c>
      <c r="K28" s="49">
        <f>AVERAGE('29.07 Kiwatule-Najjeera'!K28,'02.08 Kiwatule-Najjeera'!K28,'30.07 Kiwatule-Najjeera'!K28,'31.07 Kiwatule-Najjeera'!K28,'01.08 Kiwatule-Najjeera-24h'!K28,'03.08 Kiwatule-Najjeera-24h'!K28,'04.08 Kiwatule-Najjeera'!K28)</f>
        <v>0.2857142857142857</v>
      </c>
      <c r="L28" s="49">
        <f>AVERAGE('29.07 Kiwatule-Najjeera'!L28,'02.08 Kiwatule-Najjeera'!L28,'30.07 Kiwatule-Najjeera'!L28,'31.07 Kiwatule-Najjeera'!L28,'01.08 Kiwatule-Najjeera-24h'!L28,'03.08 Kiwatule-Najjeera-24h'!L28,'04.08 Kiwatule-Najjeera'!L28)</f>
        <v>0.2857142857142857</v>
      </c>
      <c r="M28" s="49">
        <f>AVERAGE('29.07 Kiwatule-Najjeera'!M28,'02.08 Kiwatule-Najjeera'!M28,'30.07 Kiwatule-Najjeera'!M28,'31.07 Kiwatule-Najjeera'!M28,'01.08 Kiwatule-Najjeera-24h'!M28,'03.08 Kiwatule-Najjeera-24h'!M28,'04.08 Kiwatule-Najjeera'!M28)</f>
        <v>43.428571428571431</v>
      </c>
      <c r="N28" s="49">
        <f>AVERAGE('29.07 Kiwatule-Najjeera'!N28,'02.08 Kiwatule-Najjeera'!N28,'30.07 Kiwatule-Najjeera'!N28,'31.07 Kiwatule-Najjeera'!N28,'01.08 Kiwatule-Najjeera-24h'!N28,'03.08 Kiwatule-Najjeera-24h'!N28,'04.08 Kiwatule-Najjeera'!N28)</f>
        <v>0</v>
      </c>
      <c r="O28" s="15">
        <f t="shared" si="0"/>
        <v>77.571428571428584</v>
      </c>
      <c r="P28" s="15">
        <f t="shared" si="1"/>
        <v>121.00000000000001</v>
      </c>
      <c r="R28" s="1" t="s">
        <v>152</v>
      </c>
      <c r="S28" s="34">
        <f>SUM(C82:C85)</f>
        <v>124</v>
      </c>
      <c r="T28" s="34">
        <f t="shared" ref="T28:AF28" si="20">SUM(D82:D85)</f>
        <v>26</v>
      </c>
      <c r="U28" s="34">
        <f t="shared" si="20"/>
        <v>3</v>
      </c>
      <c r="V28" s="34">
        <f t="shared" si="20"/>
        <v>4.5</v>
      </c>
      <c r="W28" s="34">
        <f t="shared" si="20"/>
        <v>0</v>
      </c>
      <c r="X28" s="34">
        <f t="shared" si="20"/>
        <v>0</v>
      </c>
      <c r="Y28" s="34">
        <f t="shared" si="20"/>
        <v>2</v>
      </c>
      <c r="Z28" s="34">
        <f t="shared" si="20"/>
        <v>0</v>
      </c>
      <c r="AA28" s="34">
        <f t="shared" si="20"/>
        <v>0</v>
      </c>
      <c r="AB28" s="34">
        <f t="shared" si="20"/>
        <v>0</v>
      </c>
      <c r="AC28" s="34">
        <f t="shared" si="20"/>
        <v>80.5</v>
      </c>
      <c r="AD28" s="34">
        <f t="shared" si="20"/>
        <v>0</v>
      </c>
      <c r="AE28" s="51">
        <f t="shared" si="20"/>
        <v>159.5</v>
      </c>
      <c r="AF28" s="51">
        <f t="shared" si="20"/>
        <v>240</v>
      </c>
    </row>
    <row r="29" spans="2:32" ht="23.1" customHeight="1">
      <c r="B29" s="23" t="s">
        <v>56</v>
      </c>
      <c r="C29" s="49">
        <f>AVERAGE('29.07 Kiwatule-Najjeera'!C29,'02.08 Kiwatule-Najjeera'!C29,'30.07 Kiwatule-Najjeera'!C29,'31.07 Kiwatule-Najjeera'!C29,'01.08 Kiwatule-Najjeera-24h'!C29,'03.08 Kiwatule-Najjeera-24h'!C29,'04.08 Kiwatule-Najjeera'!C29)</f>
        <v>40.428571428571431</v>
      </c>
      <c r="D29" s="49">
        <f>AVERAGE('29.07 Kiwatule-Najjeera'!D29,'02.08 Kiwatule-Najjeera'!D29,'30.07 Kiwatule-Najjeera'!D29,'31.07 Kiwatule-Najjeera'!D29,'01.08 Kiwatule-Najjeera-24h'!D29,'03.08 Kiwatule-Najjeera-24h'!D29,'04.08 Kiwatule-Najjeera'!D29)</f>
        <v>8</v>
      </c>
      <c r="E29" s="49">
        <f>AVERAGE('29.07 Kiwatule-Najjeera'!E29,'02.08 Kiwatule-Najjeera'!E29,'30.07 Kiwatule-Najjeera'!E29,'31.07 Kiwatule-Najjeera'!E29,'01.08 Kiwatule-Najjeera-24h'!E29,'03.08 Kiwatule-Najjeera-24h'!E29,'04.08 Kiwatule-Najjeera'!E29)</f>
        <v>3.8571428571428572</v>
      </c>
      <c r="F29" s="49">
        <f>AVERAGE('29.07 Kiwatule-Najjeera'!F29,'02.08 Kiwatule-Najjeera'!F29,'30.07 Kiwatule-Najjeera'!F29,'31.07 Kiwatule-Najjeera'!F29,'01.08 Kiwatule-Najjeera-24h'!F29,'03.08 Kiwatule-Najjeera-24h'!F29,'04.08 Kiwatule-Najjeera'!F29)</f>
        <v>21.571428571428573</v>
      </c>
      <c r="G29" s="49">
        <f>AVERAGE('29.07 Kiwatule-Najjeera'!G29,'02.08 Kiwatule-Najjeera'!G29,'30.07 Kiwatule-Najjeera'!G29,'31.07 Kiwatule-Najjeera'!G29,'01.08 Kiwatule-Najjeera-24h'!G29,'03.08 Kiwatule-Najjeera-24h'!G29,'04.08 Kiwatule-Najjeera'!G29)</f>
        <v>0.42857142857142855</v>
      </c>
      <c r="H29" s="49">
        <f>AVERAGE('29.07 Kiwatule-Najjeera'!H29,'02.08 Kiwatule-Najjeera'!H29,'30.07 Kiwatule-Najjeera'!H29,'31.07 Kiwatule-Najjeera'!H29,'01.08 Kiwatule-Najjeera-24h'!H29,'03.08 Kiwatule-Najjeera-24h'!H29,'04.08 Kiwatule-Najjeera'!H29)</f>
        <v>0.42857142857142855</v>
      </c>
      <c r="I29" s="49">
        <f>AVERAGE('29.07 Kiwatule-Najjeera'!I29,'02.08 Kiwatule-Najjeera'!I29,'30.07 Kiwatule-Najjeera'!I29,'31.07 Kiwatule-Najjeera'!I29,'01.08 Kiwatule-Najjeera-24h'!I29,'03.08 Kiwatule-Najjeera-24h'!I29,'04.08 Kiwatule-Najjeera'!I29)</f>
        <v>6.1428571428571432</v>
      </c>
      <c r="J29" s="49">
        <f>AVERAGE('29.07 Kiwatule-Najjeera'!J29,'02.08 Kiwatule-Najjeera'!J29,'30.07 Kiwatule-Najjeera'!J29,'31.07 Kiwatule-Najjeera'!J29,'01.08 Kiwatule-Najjeera-24h'!J29,'03.08 Kiwatule-Najjeera-24h'!J29,'04.08 Kiwatule-Najjeera'!J29)</f>
        <v>0.2857142857142857</v>
      </c>
      <c r="K29" s="49">
        <f>AVERAGE('29.07 Kiwatule-Najjeera'!K29,'02.08 Kiwatule-Najjeera'!K29,'30.07 Kiwatule-Najjeera'!K29,'31.07 Kiwatule-Najjeera'!K29,'01.08 Kiwatule-Najjeera-24h'!K29,'03.08 Kiwatule-Najjeera-24h'!K29,'04.08 Kiwatule-Najjeera'!K29)</f>
        <v>0</v>
      </c>
      <c r="L29" s="49">
        <f>AVERAGE('29.07 Kiwatule-Najjeera'!L29,'02.08 Kiwatule-Najjeera'!L29,'30.07 Kiwatule-Najjeera'!L29,'31.07 Kiwatule-Najjeera'!L29,'01.08 Kiwatule-Najjeera-24h'!L29,'03.08 Kiwatule-Najjeera-24h'!L29,'04.08 Kiwatule-Najjeera'!L29)</f>
        <v>0.14285714285714285</v>
      </c>
      <c r="M29" s="49">
        <f>AVERAGE('29.07 Kiwatule-Najjeera'!M29,'02.08 Kiwatule-Najjeera'!M29,'30.07 Kiwatule-Najjeera'!M29,'31.07 Kiwatule-Najjeera'!M29,'01.08 Kiwatule-Najjeera-24h'!M29,'03.08 Kiwatule-Najjeera-24h'!M29,'04.08 Kiwatule-Najjeera'!M29)</f>
        <v>44.142857142857146</v>
      </c>
      <c r="N29" s="49">
        <f>AVERAGE('29.07 Kiwatule-Najjeera'!N29,'02.08 Kiwatule-Najjeera'!N29,'30.07 Kiwatule-Najjeera'!N29,'31.07 Kiwatule-Najjeera'!N29,'01.08 Kiwatule-Najjeera-24h'!N29,'03.08 Kiwatule-Najjeera-24h'!N29,'04.08 Kiwatule-Najjeera'!N29)</f>
        <v>0</v>
      </c>
      <c r="O29" s="15">
        <f t="shared" si="0"/>
        <v>81.285714285714292</v>
      </c>
      <c r="P29" s="15">
        <f t="shared" si="1"/>
        <v>125.42857142857144</v>
      </c>
      <c r="R29" s="1" t="s">
        <v>153</v>
      </c>
      <c r="S29" s="34">
        <f>SUM(C86:C89)</f>
        <v>127.5</v>
      </c>
      <c r="T29" s="34">
        <f t="shared" ref="T29:AF29" si="21">SUM(D86:D89)</f>
        <v>30.5</v>
      </c>
      <c r="U29" s="34">
        <f t="shared" si="21"/>
        <v>3</v>
      </c>
      <c r="V29" s="34">
        <f t="shared" si="21"/>
        <v>1</v>
      </c>
      <c r="W29" s="34">
        <f t="shared" si="21"/>
        <v>0</v>
      </c>
      <c r="X29" s="34">
        <f t="shared" si="21"/>
        <v>0</v>
      </c>
      <c r="Y29" s="34">
        <f t="shared" si="21"/>
        <v>1</v>
      </c>
      <c r="Z29" s="34">
        <f t="shared" si="21"/>
        <v>1</v>
      </c>
      <c r="AA29" s="34">
        <f t="shared" si="21"/>
        <v>0</v>
      </c>
      <c r="AB29" s="34">
        <f t="shared" si="21"/>
        <v>0.5</v>
      </c>
      <c r="AC29" s="34">
        <f t="shared" si="21"/>
        <v>62.5</v>
      </c>
      <c r="AD29" s="34">
        <f t="shared" si="21"/>
        <v>0</v>
      </c>
      <c r="AE29" s="51">
        <f t="shared" si="21"/>
        <v>164.5</v>
      </c>
      <c r="AF29" s="51">
        <f t="shared" si="21"/>
        <v>227</v>
      </c>
    </row>
    <row r="30" spans="2:32" ht="23.1" customHeight="1">
      <c r="B30" s="23" t="s">
        <v>57</v>
      </c>
      <c r="C30" s="49">
        <f>AVERAGE('29.07 Kiwatule-Najjeera'!C30,'02.08 Kiwatule-Najjeera'!C30,'30.07 Kiwatule-Najjeera'!C30,'31.07 Kiwatule-Najjeera'!C30,'01.08 Kiwatule-Najjeera-24h'!C30,'03.08 Kiwatule-Najjeera-24h'!C30,'04.08 Kiwatule-Najjeera'!C30)</f>
        <v>35.428571428571431</v>
      </c>
      <c r="D30" s="49">
        <f>AVERAGE('29.07 Kiwatule-Najjeera'!D30,'02.08 Kiwatule-Najjeera'!D30,'30.07 Kiwatule-Najjeera'!D30,'31.07 Kiwatule-Najjeera'!D30,'01.08 Kiwatule-Najjeera-24h'!D30,'03.08 Kiwatule-Najjeera-24h'!D30,'04.08 Kiwatule-Najjeera'!D30)</f>
        <v>9.8571428571428577</v>
      </c>
      <c r="E30" s="49">
        <f>AVERAGE('29.07 Kiwatule-Najjeera'!E30,'02.08 Kiwatule-Najjeera'!E30,'30.07 Kiwatule-Najjeera'!E30,'31.07 Kiwatule-Najjeera'!E30,'01.08 Kiwatule-Najjeera-24h'!E30,'03.08 Kiwatule-Najjeera-24h'!E30,'04.08 Kiwatule-Najjeera'!E30)</f>
        <v>2.5714285714285716</v>
      </c>
      <c r="F30" s="49">
        <f>AVERAGE('29.07 Kiwatule-Najjeera'!F30,'02.08 Kiwatule-Najjeera'!F30,'30.07 Kiwatule-Najjeera'!F30,'31.07 Kiwatule-Najjeera'!F30,'01.08 Kiwatule-Najjeera-24h'!F30,'03.08 Kiwatule-Najjeera-24h'!F30,'04.08 Kiwatule-Najjeera'!F30)</f>
        <v>17.142857142857142</v>
      </c>
      <c r="G30" s="49">
        <f>AVERAGE('29.07 Kiwatule-Najjeera'!G30,'02.08 Kiwatule-Najjeera'!G30,'30.07 Kiwatule-Najjeera'!G30,'31.07 Kiwatule-Najjeera'!G30,'01.08 Kiwatule-Najjeera-24h'!G30,'03.08 Kiwatule-Najjeera-24h'!G30,'04.08 Kiwatule-Najjeera'!G30)</f>
        <v>1.4285714285714286</v>
      </c>
      <c r="H30" s="49">
        <f>AVERAGE('29.07 Kiwatule-Najjeera'!H30,'02.08 Kiwatule-Najjeera'!H30,'30.07 Kiwatule-Najjeera'!H30,'31.07 Kiwatule-Najjeera'!H30,'01.08 Kiwatule-Najjeera-24h'!H30,'03.08 Kiwatule-Najjeera-24h'!H30,'04.08 Kiwatule-Najjeera'!H30)</f>
        <v>0</v>
      </c>
      <c r="I30" s="49">
        <f>AVERAGE('29.07 Kiwatule-Najjeera'!I30,'02.08 Kiwatule-Najjeera'!I30,'30.07 Kiwatule-Najjeera'!I30,'31.07 Kiwatule-Najjeera'!I30,'01.08 Kiwatule-Najjeera-24h'!I30,'03.08 Kiwatule-Najjeera-24h'!I30,'04.08 Kiwatule-Najjeera'!I30)</f>
        <v>6</v>
      </c>
      <c r="J30" s="49">
        <f>AVERAGE('29.07 Kiwatule-Najjeera'!J30,'02.08 Kiwatule-Najjeera'!J30,'30.07 Kiwatule-Najjeera'!J30,'31.07 Kiwatule-Najjeera'!J30,'01.08 Kiwatule-Najjeera-24h'!J30,'03.08 Kiwatule-Najjeera-24h'!J30,'04.08 Kiwatule-Najjeera'!J30)</f>
        <v>0.8571428571428571</v>
      </c>
      <c r="K30" s="49">
        <f>AVERAGE('29.07 Kiwatule-Najjeera'!K30,'02.08 Kiwatule-Najjeera'!K30,'30.07 Kiwatule-Najjeera'!K30,'31.07 Kiwatule-Najjeera'!K30,'01.08 Kiwatule-Najjeera-24h'!K30,'03.08 Kiwatule-Najjeera-24h'!K30,'04.08 Kiwatule-Najjeera'!K30)</f>
        <v>0.8571428571428571</v>
      </c>
      <c r="L30" s="49">
        <f>AVERAGE('29.07 Kiwatule-Najjeera'!L30,'02.08 Kiwatule-Najjeera'!L30,'30.07 Kiwatule-Najjeera'!L30,'31.07 Kiwatule-Najjeera'!L30,'01.08 Kiwatule-Najjeera-24h'!L30,'03.08 Kiwatule-Najjeera-24h'!L30,'04.08 Kiwatule-Najjeera'!L30)</f>
        <v>0</v>
      </c>
      <c r="M30" s="49">
        <f>AVERAGE('29.07 Kiwatule-Najjeera'!M30,'02.08 Kiwatule-Najjeera'!M30,'30.07 Kiwatule-Najjeera'!M30,'31.07 Kiwatule-Najjeera'!M30,'01.08 Kiwatule-Najjeera-24h'!M30,'03.08 Kiwatule-Najjeera-24h'!M30,'04.08 Kiwatule-Najjeera'!M30)</f>
        <v>43.857142857142854</v>
      </c>
      <c r="N30" s="49">
        <f>AVERAGE('29.07 Kiwatule-Najjeera'!N30,'02.08 Kiwatule-Najjeera'!N30,'30.07 Kiwatule-Najjeera'!N30,'31.07 Kiwatule-Najjeera'!N30,'01.08 Kiwatule-Najjeera-24h'!N30,'03.08 Kiwatule-Najjeera-24h'!N30,'04.08 Kiwatule-Najjeera'!N30)</f>
        <v>0</v>
      </c>
      <c r="O30" s="15">
        <f t="shared" si="0"/>
        <v>74.142857142857153</v>
      </c>
      <c r="P30" s="15">
        <f t="shared" si="1"/>
        <v>118</v>
      </c>
      <c r="R30" s="1" t="s">
        <v>154</v>
      </c>
      <c r="S30" s="34">
        <f>SUM(C90:C93)</f>
        <v>91.5</v>
      </c>
      <c r="T30" s="34">
        <f t="shared" ref="T30:AF30" si="22">SUM(D90:D93)</f>
        <v>18</v>
      </c>
      <c r="U30" s="34">
        <f t="shared" si="22"/>
        <v>5.5</v>
      </c>
      <c r="V30" s="34">
        <f t="shared" si="22"/>
        <v>2.5</v>
      </c>
      <c r="W30" s="34">
        <f t="shared" si="22"/>
        <v>0</v>
      </c>
      <c r="X30" s="34">
        <f t="shared" si="22"/>
        <v>0</v>
      </c>
      <c r="Y30" s="34">
        <f t="shared" si="22"/>
        <v>2</v>
      </c>
      <c r="Z30" s="34">
        <f t="shared" si="22"/>
        <v>1</v>
      </c>
      <c r="AA30" s="34">
        <f t="shared" si="22"/>
        <v>0.5</v>
      </c>
      <c r="AB30" s="34">
        <f t="shared" si="22"/>
        <v>0</v>
      </c>
      <c r="AC30" s="34">
        <f t="shared" si="22"/>
        <v>62</v>
      </c>
      <c r="AD30" s="34">
        <f t="shared" si="22"/>
        <v>0</v>
      </c>
      <c r="AE30" s="51">
        <f t="shared" si="22"/>
        <v>121</v>
      </c>
      <c r="AF30" s="51">
        <f t="shared" si="22"/>
        <v>183</v>
      </c>
    </row>
    <row r="31" spans="2:32" ht="23.1" customHeight="1">
      <c r="B31" s="24" t="s">
        <v>58</v>
      </c>
      <c r="C31" s="49">
        <f>AVERAGE('29.07 Kiwatule-Najjeera'!C31,'02.08 Kiwatule-Najjeera'!C31,'30.07 Kiwatule-Najjeera'!C31,'31.07 Kiwatule-Najjeera'!C31,'01.08 Kiwatule-Najjeera-24h'!C31,'03.08 Kiwatule-Najjeera-24h'!C31,'04.08 Kiwatule-Najjeera'!C31)</f>
        <v>41.714285714285715</v>
      </c>
      <c r="D31" s="49">
        <f>AVERAGE('29.07 Kiwatule-Najjeera'!D31,'02.08 Kiwatule-Najjeera'!D31,'30.07 Kiwatule-Najjeera'!D31,'31.07 Kiwatule-Najjeera'!D31,'01.08 Kiwatule-Najjeera-24h'!D31,'03.08 Kiwatule-Najjeera-24h'!D31,'04.08 Kiwatule-Najjeera'!D31)</f>
        <v>8.7142857142857135</v>
      </c>
      <c r="E31" s="49">
        <f>AVERAGE('29.07 Kiwatule-Najjeera'!E31,'02.08 Kiwatule-Najjeera'!E31,'30.07 Kiwatule-Najjeera'!E31,'31.07 Kiwatule-Najjeera'!E31,'01.08 Kiwatule-Najjeera-24h'!E31,'03.08 Kiwatule-Najjeera-24h'!E31,'04.08 Kiwatule-Najjeera'!E31)</f>
        <v>3.8571428571428572</v>
      </c>
      <c r="F31" s="49">
        <f>AVERAGE('29.07 Kiwatule-Najjeera'!F31,'02.08 Kiwatule-Najjeera'!F31,'30.07 Kiwatule-Najjeera'!F31,'31.07 Kiwatule-Najjeera'!F31,'01.08 Kiwatule-Najjeera-24h'!F31,'03.08 Kiwatule-Najjeera-24h'!F31,'04.08 Kiwatule-Najjeera'!F31)</f>
        <v>20.857142857142858</v>
      </c>
      <c r="G31" s="49">
        <f>AVERAGE('29.07 Kiwatule-Najjeera'!G31,'02.08 Kiwatule-Najjeera'!G31,'30.07 Kiwatule-Najjeera'!G31,'31.07 Kiwatule-Najjeera'!G31,'01.08 Kiwatule-Najjeera-24h'!G31,'03.08 Kiwatule-Najjeera-24h'!G31,'04.08 Kiwatule-Najjeera'!G31)</f>
        <v>0.5714285714285714</v>
      </c>
      <c r="H31" s="49">
        <f>AVERAGE('29.07 Kiwatule-Najjeera'!H31,'02.08 Kiwatule-Najjeera'!H31,'30.07 Kiwatule-Najjeera'!H31,'31.07 Kiwatule-Najjeera'!H31,'01.08 Kiwatule-Najjeera-24h'!H31,'03.08 Kiwatule-Najjeera-24h'!H31,'04.08 Kiwatule-Najjeera'!H31)</f>
        <v>0.14285714285714285</v>
      </c>
      <c r="I31" s="49">
        <f>AVERAGE('29.07 Kiwatule-Najjeera'!I31,'02.08 Kiwatule-Najjeera'!I31,'30.07 Kiwatule-Najjeera'!I31,'31.07 Kiwatule-Najjeera'!I31,'01.08 Kiwatule-Najjeera-24h'!I31,'03.08 Kiwatule-Najjeera-24h'!I31,'04.08 Kiwatule-Najjeera'!I31)</f>
        <v>6.4285714285714288</v>
      </c>
      <c r="J31" s="49">
        <f>AVERAGE('29.07 Kiwatule-Najjeera'!J31,'02.08 Kiwatule-Najjeera'!J31,'30.07 Kiwatule-Najjeera'!J31,'31.07 Kiwatule-Najjeera'!J31,'01.08 Kiwatule-Najjeera-24h'!J31,'03.08 Kiwatule-Najjeera-24h'!J31,'04.08 Kiwatule-Najjeera'!J31)</f>
        <v>0.8571428571428571</v>
      </c>
      <c r="K31" s="49">
        <f>AVERAGE('29.07 Kiwatule-Najjeera'!K31,'02.08 Kiwatule-Najjeera'!K31,'30.07 Kiwatule-Najjeera'!K31,'31.07 Kiwatule-Najjeera'!K31,'01.08 Kiwatule-Najjeera-24h'!K31,'03.08 Kiwatule-Najjeera-24h'!K31,'04.08 Kiwatule-Najjeera'!K31)</f>
        <v>0.5714285714285714</v>
      </c>
      <c r="L31" s="49">
        <f>AVERAGE('29.07 Kiwatule-Najjeera'!L31,'02.08 Kiwatule-Najjeera'!L31,'30.07 Kiwatule-Najjeera'!L31,'31.07 Kiwatule-Najjeera'!L31,'01.08 Kiwatule-Najjeera-24h'!L31,'03.08 Kiwatule-Najjeera-24h'!L31,'04.08 Kiwatule-Najjeera'!L31)</f>
        <v>0.14285714285714285</v>
      </c>
      <c r="M31" s="49">
        <f>AVERAGE('29.07 Kiwatule-Najjeera'!M31,'02.08 Kiwatule-Najjeera'!M31,'30.07 Kiwatule-Najjeera'!M31,'31.07 Kiwatule-Najjeera'!M31,'01.08 Kiwatule-Najjeera-24h'!M31,'03.08 Kiwatule-Najjeera-24h'!M31,'04.08 Kiwatule-Najjeera'!M31)</f>
        <v>48.571428571428569</v>
      </c>
      <c r="N31" s="49">
        <f>AVERAGE('29.07 Kiwatule-Najjeera'!N31,'02.08 Kiwatule-Najjeera'!N31,'30.07 Kiwatule-Najjeera'!N31,'31.07 Kiwatule-Najjeera'!N31,'01.08 Kiwatule-Najjeera-24h'!N31,'03.08 Kiwatule-Najjeera-24h'!N31,'04.08 Kiwatule-Najjeera'!N31)</f>
        <v>0</v>
      </c>
      <c r="O31" s="15">
        <f t="shared" si="0"/>
        <v>83.857142857142847</v>
      </c>
      <c r="P31" s="15">
        <f t="shared" si="1"/>
        <v>132.42857142857142</v>
      </c>
      <c r="R31" s="1" t="s">
        <v>155</v>
      </c>
      <c r="S31" s="34">
        <f>SUM(C94:C97)</f>
        <v>66.5</v>
      </c>
      <c r="T31" s="34">
        <f t="shared" ref="T31:AF31" si="23">SUM(D94:D97)</f>
        <v>18</v>
      </c>
      <c r="U31" s="34">
        <f t="shared" si="23"/>
        <v>6.5</v>
      </c>
      <c r="V31" s="34">
        <f t="shared" si="23"/>
        <v>3</v>
      </c>
      <c r="W31" s="34">
        <f t="shared" si="23"/>
        <v>1</v>
      </c>
      <c r="X31" s="34">
        <f t="shared" si="23"/>
        <v>0</v>
      </c>
      <c r="Y31" s="34">
        <f t="shared" si="23"/>
        <v>2.5</v>
      </c>
      <c r="Z31" s="34">
        <f t="shared" si="23"/>
        <v>1</v>
      </c>
      <c r="AA31" s="34">
        <f t="shared" si="23"/>
        <v>0</v>
      </c>
      <c r="AB31" s="34">
        <f t="shared" si="23"/>
        <v>0</v>
      </c>
      <c r="AC31" s="34">
        <f t="shared" si="23"/>
        <v>60</v>
      </c>
      <c r="AD31" s="34">
        <f t="shared" si="23"/>
        <v>0</v>
      </c>
      <c r="AE31" s="51">
        <f t="shared" si="23"/>
        <v>98.5</v>
      </c>
      <c r="AF31" s="51">
        <f t="shared" si="23"/>
        <v>158.5</v>
      </c>
    </row>
    <row r="32" spans="2:32" ht="23.1" customHeight="1">
      <c r="B32" s="24" t="s">
        <v>59</v>
      </c>
      <c r="C32" s="49">
        <f>AVERAGE('29.07 Kiwatule-Najjeera'!C32,'02.08 Kiwatule-Najjeera'!C32,'30.07 Kiwatule-Najjeera'!C32,'31.07 Kiwatule-Najjeera'!C32,'01.08 Kiwatule-Najjeera-24h'!C32,'03.08 Kiwatule-Najjeera-24h'!C32,'04.08 Kiwatule-Najjeera'!C32)</f>
        <v>42.142857142857146</v>
      </c>
      <c r="D32" s="49">
        <f>AVERAGE('29.07 Kiwatule-Najjeera'!D32,'02.08 Kiwatule-Najjeera'!D32,'30.07 Kiwatule-Najjeera'!D32,'31.07 Kiwatule-Najjeera'!D32,'01.08 Kiwatule-Najjeera-24h'!D32,'03.08 Kiwatule-Najjeera-24h'!D32,'04.08 Kiwatule-Najjeera'!D32)</f>
        <v>9.1428571428571423</v>
      </c>
      <c r="E32" s="49">
        <f>AVERAGE('29.07 Kiwatule-Najjeera'!E32,'02.08 Kiwatule-Najjeera'!E32,'30.07 Kiwatule-Najjeera'!E32,'31.07 Kiwatule-Najjeera'!E32,'01.08 Kiwatule-Najjeera-24h'!E32,'03.08 Kiwatule-Najjeera-24h'!E32,'04.08 Kiwatule-Najjeera'!E32)</f>
        <v>4</v>
      </c>
      <c r="F32" s="49">
        <f>AVERAGE('29.07 Kiwatule-Najjeera'!F32,'02.08 Kiwatule-Najjeera'!F32,'30.07 Kiwatule-Najjeera'!F32,'31.07 Kiwatule-Najjeera'!F32,'01.08 Kiwatule-Najjeera-24h'!F32,'03.08 Kiwatule-Najjeera-24h'!F32,'04.08 Kiwatule-Najjeera'!F32)</f>
        <v>15.428571428571429</v>
      </c>
      <c r="G32" s="49">
        <f>AVERAGE('29.07 Kiwatule-Najjeera'!G32,'02.08 Kiwatule-Najjeera'!G32,'30.07 Kiwatule-Najjeera'!G32,'31.07 Kiwatule-Najjeera'!G32,'01.08 Kiwatule-Najjeera-24h'!G32,'03.08 Kiwatule-Najjeera-24h'!G32,'04.08 Kiwatule-Najjeera'!G32)</f>
        <v>0.42857142857142855</v>
      </c>
      <c r="H32" s="49">
        <f>AVERAGE('29.07 Kiwatule-Najjeera'!H32,'02.08 Kiwatule-Najjeera'!H32,'30.07 Kiwatule-Najjeera'!H32,'31.07 Kiwatule-Najjeera'!H32,'01.08 Kiwatule-Najjeera-24h'!H32,'03.08 Kiwatule-Najjeera-24h'!H32,'04.08 Kiwatule-Najjeera'!H32)</f>
        <v>0</v>
      </c>
      <c r="I32" s="49">
        <f>AVERAGE('29.07 Kiwatule-Najjeera'!I32,'02.08 Kiwatule-Najjeera'!I32,'30.07 Kiwatule-Najjeera'!I32,'31.07 Kiwatule-Najjeera'!I32,'01.08 Kiwatule-Najjeera-24h'!I32,'03.08 Kiwatule-Najjeera-24h'!I32,'04.08 Kiwatule-Najjeera'!I32)</f>
        <v>5.1428571428571432</v>
      </c>
      <c r="J32" s="49">
        <f>AVERAGE('29.07 Kiwatule-Najjeera'!J32,'02.08 Kiwatule-Najjeera'!J32,'30.07 Kiwatule-Najjeera'!J32,'31.07 Kiwatule-Najjeera'!J32,'01.08 Kiwatule-Najjeera-24h'!J32,'03.08 Kiwatule-Najjeera-24h'!J32,'04.08 Kiwatule-Najjeera'!J32)</f>
        <v>0.2857142857142857</v>
      </c>
      <c r="K32" s="49">
        <f>AVERAGE('29.07 Kiwatule-Najjeera'!K32,'02.08 Kiwatule-Najjeera'!K32,'30.07 Kiwatule-Najjeera'!K32,'31.07 Kiwatule-Najjeera'!K32,'01.08 Kiwatule-Najjeera-24h'!K32,'03.08 Kiwatule-Najjeera-24h'!K32,'04.08 Kiwatule-Najjeera'!K32)</f>
        <v>0.42857142857142855</v>
      </c>
      <c r="L32" s="49">
        <f>AVERAGE('29.07 Kiwatule-Najjeera'!L32,'02.08 Kiwatule-Najjeera'!L32,'30.07 Kiwatule-Najjeera'!L32,'31.07 Kiwatule-Najjeera'!L32,'01.08 Kiwatule-Najjeera-24h'!L32,'03.08 Kiwatule-Najjeera-24h'!L32,'04.08 Kiwatule-Najjeera'!L32)</f>
        <v>0</v>
      </c>
      <c r="M32" s="49">
        <f>AVERAGE('29.07 Kiwatule-Najjeera'!M32,'02.08 Kiwatule-Najjeera'!M32,'30.07 Kiwatule-Najjeera'!M32,'31.07 Kiwatule-Najjeera'!M32,'01.08 Kiwatule-Najjeera-24h'!M32,'03.08 Kiwatule-Najjeera-24h'!M32,'04.08 Kiwatule-Najjeera'!M32)</f>
        <v>40.571428571428569</v>
      </c>
      <c r="N32" s="49">
        <f>AVERAGE('29.07 Kiwatule-Najjeera'!N32,'02.08 Kiwatule-Najjeera'!N32,'30.07 Kiwatule-Najjeera'!N32,'31.07 Kiwatule-Najjeera'!N32,'01.08 Kiwatule-Najjeera-24h'!N32,'03.08 Kiwatule-Najjeera-24h'!N32,'04.08 Kiwatule-Najjeera'!N32)</f>
        <v>0</v>
      </c>
      <c r="O32" s="15">
        <f t="shared" si="0"/>
        <v>77.000000000000014</v>
      </c>
      <c r="P32" s="15">
        <f t="shared" si="1"/>
        <v>117.57142857142858</v>
      </c>
      <c r="R32" s="1" t="s">
        <v>156</v>
      </c>
      <c r="S32" s="34">
        <f>SUM(C98:C101)</f>
        <v>63.5</v>
      </c>
      <c r="T32" s="34">
        <f t="shared" ref="T32:AF32" si="24">SUM(D98:D101)</f>
        <v>10.5</v>
      </c>
      <c r="U32" s="34">
        <f t="shared" si="24"/>
        <v>6</v>
      </c>
      <c r="V32" s="34">
        <f t="shared" si="24"/>
        <v>20</v>
      </c>
      <c r="W32" s="34">
        <f t="shared" si="24"/>
        <v>1</v>
      </c>
      <c r="X32" s="34">
        <f t="shared" si="24"/>
        <v>0</v>
      </c>
      <c r="Y32" s="34">
        <f t="shared" si="24"/>
        <v>1.5</v>
      </c>
      <c r="Z32" s="34">
        <f t="shared" si="24"/>
        <v>0.5</v>
      </c>
      <c r="AA32" s="34">
        <f t="shared" si="24"/>
        <v>0</v>
      </c>
      <c r="AB32" s="34">
        <f t="shared" si="24"/>
        <v>0</v>
      </c>
      <c r="AC32" s="34">
        <f t="shared" si="24"/>
        <v>53.5</v>
      </c>
      <c r="AD32" s="34">
        <f t="shared" si="24"/>
        <v>0</v>
      </c>
      <c r="AE32" s="51">
        <f t="shared" si="24"/>
        <v>103</v>
      </c>
      <c r="AF32" s="51">
        <f t="shared" si="24"/>
        <v>156.5</v>
      </c>
    </row>
    <row r="33" spans="2:32" ht="23.1" customHeight="1">
      <c r="B33" s="23" t="s">
        <v>60</v>
      </c>
      <c r="C33" s="49">
        <f>AVERAGE('29.07 Kiwatule-Najjeera'!C33,'02.08 Kiwatule-Najjeera'!C33,'30.07 Kiwatule-Najjeera'!C33,'31.07 Kiwatule-Najjeera'!C33,'01.08 Kiwatule-Najjeera-24h'!C33,'03.08 Kiwatule-Najjeera-24h'!C33,'04.08 Kiwatule-Najjeera'!C33)</f>
        <v>30.857142857142858</v>
      </c>
      <c r="D33" s="49">
        <f>AVERAGE('29.07 Kiwatule-Najjeera'!D33,'02.08 Kiwatule-Najjeera'!D33,'30.07 Kiwatule-Najjeera'!D33,'31.07 Kiwatule-Najjeera'!D33,'01.08 Kiwatule-Najjeera-24h'!D33,'03.08 Kiwatule-Najjeera-24h'!D33,'04.08 Kiwatule-Najjeera'!D33)</f>
        <v>8</v>
      </c>
      <c r="E33" s="49">
        <f>AVERAGE('29.07 Kiwatule-Najjeera'!E33,'02.08 Kiwatule-Najjeera'!E33,'30.07 Kiwatule-Najjeera'!E33,'31.07 Kiwatule-Najjeera'!E33,'01.08 Kiwatule-Najjeera-24h'!E33,'03.08 Kiwatule-Najjeera-24h'!E33,'04.08 Kiwatule-Najjeera'!E33)</f>
        <v>3.1428571428571428</v>
      </c>
      <c r="F33" s="49">
        <f>AVERAGE('29.07 Kiwatule-Najjeera'!F33,'02.08 Kiwatule-Najjeera'!F33,'30.07 Kiwatule-Najjeera'!F33,'31.07 Kiwatule-Najjeera'!F33,'01.08 Kiwatule-Najjeera-24h'!F33,'03.08 Kiwatule-Najjeera-24h'!F33,'04.08 Kiwatule-Najjeera'!F33)</f>
        <v>18.142857142857142</v>
      </c>
      <c r="G33" s="49">
        <f>AVERAGE('29.07 Kiwatule-Najjeera'!G33,'02.08 Kiwatule-Najjeera'!G33,'30.07 Kiwatule-Najjeera'!G33,'31.07 Kiwatule-Najjeera'!G33,'01.08 Kiwatule-Najjeera-24h'!G33,'03.08 Kiwatule-Najjeera-24h'!G33,'04.08 Kiwatule-Najjeera'!G33)</f>
        <v>0.5714285714285714</v>
      </c>
      <c r="H33" s="49">
        <f>AVERAGE('29.07 Kiwatule-Najjeera'!H33,'02.08 Kiwatule-Najjeera'!H33,'30.07 Kiwatule-Najjeera'!H33,'31.07 Kiwatule-Najjeera'!H33,'01.08 Kiwatule-Najjeera-24h'!H33,'03.08 Kiwatule-Najjeera-24h'!H33,'04.08 Kiwatule-Najjeera'!H33)</f>
        <v>0.14285714285714285</v>
      </c>
      <c r="I33" s="49">
        <f>AVERAGE('29.07 Kiwatule-Najjeera'!I33,'02.08 Kiwatule-Najjeera'!I33,'30.07 Kiwatule-Najjeera'!I33,'31.07 Kiwatule-Najjeera'!I33,'01.08 Kiwatule-Najjeera-24h'!I33,'03.08 Kiwatule-Najjeera-24h'!I33,'04.08 Kiwatule-Najjeera'!I33)</f>
        <v>4.2857142857142856</v>
      </c>
      <c r="J33" s="49">
        <f>AVERAGE('29.07 Kiwatule-Najjeera'!J33,'02.08 Kiwatule-Najjeera'!J33,'30.07 Kiwatule-Najjeera'!J33,'31.07 Kiwatule-Najjeera'!J33,'01.08 Kiwatule-Najjeera-24h'!J33,'03.08 Kiwatule-Najjeera-24h'!J33,'04.08 Kiwatule-Najjeera'!J33)</f>
        <v>0.5714285714285714</v>
      </c>
      <c r="K33" s="49">
        <f>AVERAGE('29.07 Kiwatule-Najjeera'!K33,'02.08 Kiwatule-Najjeera'!K33,'30.07 Kiwatule-Najjeera'!K33,'31.07 Kiwatule-Najjeera'!K33,'01.08 Kiwatule-Najjeera-24h'!K33,'03.08 Kiwatule-Najjeera-24h'!K33,'04.08 Kiwatule-Najjeera'!K33)</f>
        <v>0.5714285714285714</v>
      </c>
      <c r="L33" s="49">
        <f>AVERAGE('29.07 Kiwatule-Najjeera'!L33,'02.08 Kiwatule-Najjeera'!L33,'30.07 Kiwatule-Najjeera'!L33,'31.07 Kiwatule-Najjeera'!L33,'01.08 Kiwatule-Najjeera-24h'!L33,'03.08 Kiwatule-Najjeera-24h'!L33,'04.08 Kiwatule-Najjeera'!L33)</f>
        <v>0</v>
      </c>
      <c r="M33" s="49">
        <f>AVERAGE('29.07 Kiwatule-Najjeera'!M33,'02.08 Kiwatule-Najjeera'!M33,'30.07 Kiwatule-Najjeera'!M33,'31.07 Kiwatule-Najjeera'!M33,'01.08 Kiwatule-Najjeera-24h'!M33,'03.08 Kiwatule-Najjeera-24h'!M33,'04.08 Kiwatule-Najjeera'!M33)</f>
        <v>44.142857142857146</v>
      </c>
      <c r="N33" s="49">
        <f>AVERAGE('29.07 Kiwatule-Najjeera'!N33,'02.08 Kiwatule-Najjeera'!N33,'30.07 Kiwatule-Najjeera'!N33,'31.07 Kiwatule-Najjeera'!N33,'01.08 Kiwatule-Najjeera-24h'!N33,'03.08 Kiwatule-Najjeera-24h'!N33,'04.08 Kiwatule-Najjeera'!N33)</f>
        <v>0</v>
      </c>
      <c r="O33" s="15">
        <f t="shared" si="0"/>
        <v>66.285714285714292</v>
      </c>
      <c r="P33" s="15">
        <f t="shared" si="1"/>
        <v>110.42857142857144</v>
      </c>
      <c r="R33" s="1" t="s">
        <v>157</v>
      </c>
      <c r="S33" s="34">
        <f>SUM(C102:C105)</f>
        <v>94.5</v>
      </c>
      <c r="T33" s="34">
        <f t="shared" ref="T33:AF33" si="25">SUM(D102:D105)</f>
        <v>17.5</v>
      </c>
      <c r="U33" s="34">
        <f t="shared" si="25"/>
        <v>3.5</v>
      </c>
      <c r="V33" s="34">
        <f t="shared" si="25"/>
        <v>43</v>
      </c>
      <c r="W33" s="34">
        <f t="shared" si="25"/>
        <v>0.5</v>
      </c>
      <c r="X33" s="34">
        <f t="shared" si="25"/>
        <v>0</v>
      </c>
      <c r="Y33" s="34">
        <f t="shared" si="25"/>
        <v>3</v>
      </c>
      <c r="Z33" s="34">
        <f t="shared" si="25"/>
        <v>2</v>
      </c>
      <c r="AA33" s="34">
        <f t="shared" si="25"/>
        <v>0.5</v>
      </c>
      <c r="AB33" s="34">
        <f t="shared" si="25"/>
        <v>0</v>
      </c>
      <c r="AC33" s="34">
        <f t="shared" si="25"/>
        <v>81</v>
      </c>
      <c r="AD33" s="34">
        <f t="shared" si="25"/>
        <v>0</v>
      </c>
      <c r="AE33" s="51">
        <f t="shared" si="25"/>
        <v>164.5</v>
      </c>
      <c r="AF33" s="51">
        <f t="shared" si="25"/>
        <v>245.5</v>
      </c>
    </row>
    <row r="34" spans="2:32" ht="23.1" customHeight="1">
      <c r="B34" s="24" t="s">
        <v>61</v>
      </c>
      <c r="C34" s="49">
        <f>AVERAGE('29.07 Kiwatule-Najjeera'!C34,'02.08 Kiwatule-Najjeera'!C34,'30.07 Kiwatule-Najjeera'!C34,'31.07 Kiwatule-Najjeera'!C34,'01.08 Kiwatule-Najjeera-24h'!C34,'03.08 Kiwatule-Najjeera-24h'!C34,'04.08 Kiwatule-Najjeera'!C34)</f>
        <v>35.285714285714285</v>
      </c>
      <c r="D34" s="49">
        <f>AVERAGE('29.07 Kiwatule-Najjeera'!D34,'02.08 Kiwatule-Najjeera'!D34,'30.07 Kiwatule-Najjeera'!D34,'31.07 Kiwatule-Najjeera'!D34,'01.08 Kiwatule-Najjeera-24h'!D34,'03.08 Kiwatule-Najjeera-24h'!D34,'04.08 Kiwatule-Najjeera'!D34)</f>
        <v>5.5714285714285712</v>
      </c>
      <c r="E34" s="49">
        <f>AVERAGE('29.07 Kiwatule-Najjeera'!E34,'02.08 Kiwatule-Najjeera'!E34,'30.07 Kiwatule-Najjeera'!E34,'31.07 Kiwatule-Najjeera'!E34,'01.08 Kiwatule-Najjeera-24h'!E34,'03.08 Kiwatule-Najjeera-24h'!E34,'04.08 Kiwatule-Najjeera'!E34)</f>
        <v>1.8571428571428572</v>
      </c>
      <c r="F34" s="49">
        <f>AVERAGE('29.07 Kiwatule-Najjeera'!F34,'02.08 Kiwatule-Najjeera'!F34,'30.07 Kiwatule-Najjeera'!F34,'31.07 Kiwatule-Najjeera'!F34,'01.08 Kiwatule-Najjeera-24h'!F34,'03.08 Kiwatule-Najjeera-24h'!F34,'04.08 Kiwatule-Najjeera'!F34)</f>
        <v>15.285714285714286</v>
      </c>
      <c r="G34" s="49">
        <f>AVERAGE('29.07 Kiwatule-Najjeera'!G34,'02.08 Kiwatule-Najjeera'!G34,'30.07 Kiwatule-Najjeera'!G34,'31.07 Kiwatule-Najjeera'!G34,'01.08 Kiwatule-Najjeera-24h'!G34,'03.08 Kiwatule-Najjeera-24h'!G34,'04.08 Kiwatule-Najjeera'!G34)</f>
        <v>0.8571428571428571</v>
      </c>
      <c r="H34" s="49">
        <f>AVERAGE('29.07 Kiwatule-Najjeera'!H34,'02.08 Kiwatule-Najjeera'!H34,'30.07 Kiwatule-Najjeera'!H34,'31.07 Kiwatule-Najjeera'!H34,'01.08 Kiwatule-Najjeera-24h'!H34,'03.08 Kiwatule-Najjeera-24h'!H34,'04.08 Kiwatule-Najjeera'!H34)</f>
        <v>0.2857142857142857</v>
      </c>
      <c r="I34" s="49">
        <f>AVERAGE('29.07 Kiwatule-Najjeera'!I34,'02.08 Kiwatule-Najjeera'!I34,'30.07 Kiwatule-Najjeera'!I34,'31.07 Kiwatule-Najjeera'!I34,'01.08 Kiwatule-Najjeera-24h'!I34,'03.08 Kiwatule-Najjeera-24h'!I34,'04.08 Kiwatule-Najjeera'!I34)</f>
        <v>4.5714285714285712</v>
      </c>
      <c r="J34" s="49">
        <f>AVERAGE('29.07 Kiwatule-Najjeera'!J34,'02.08 Kiwatule-Najjeera'!J34,'30.07 Kiwatule-Najjeera'!J34,'31.07 Kiwatule-Najjeera'!J34,'01.08 Kiwatule-Najjeera-24h'!J34,'03.08 Kiwatule-Najjeera-24h'!J34,'04.08 Kiwatule-Najjeera'!J34)</f>
        <v>1.1428571428571428</v>
      </c>
      <c r="K34" s="49">
        <f>AVERAGE('29.07 Kiwatule-Najjeera'!K34,'02.08 Kiwatule-Najjeera'!K34,'30.07 Kiwatule-Najjeera'!K34,'31.07 Kiwatule-Najjeera'!K34,'01.08 Kiwatule-Najjeera-24h'!K34,'03.08 Kiwatule-Najjeera-24h'!K34,'04.08 Kiwatule-Najjeera'!K34)</f>
        <v>0</v>
      </c>
      <c r="L34" s="49">
        <f>AVERAGE('29.07 Kiwatule-Najjeera'!L34,'02.08 Kiwatule-Najjeera'!L34,'30.07 Kiwatule-Najjeera'!L34,'31.07 Kiwatule-Najjeera'!L34,'01.08 Kiwatule-Najjeera-24h'!L34,'03.08 Kiwatule-Najjeera-24h'!L34,'04.08 Kiwatule-Najjeera'!L34)</f>
        <v>0</v>
      </c>
      <c r="M34" s="49">
        <f>AVERAGE('29.07 Kiwatule-Najjeera'!M34,'02.08 Kiwatule-Najjeera'!M34,'30.07 Kiwatule-Najjeera'!M34,'31.07 Kiwatule-Najjeera'!M34,'01.08 Kiwatule-Najjeera-24h'!M34,'03.08 Kiwatule-Najjeera-24h'!M34,'04.08 Kiwatule-Najjeera'!M34)</f>
        <v>40</v>
      </c>
      <c r="N34" s="49">
        <f>AVERAGE('29.07 Kiwatule-Najjeera'!N34,'02.08 Kiwatule-Najjeera'!N34,'30.07 Kiwatule-Najjeera'!N34,'31.07 Kiwatule-Najjeera'!N34,'01.08 Kiwatule-Najjeera-24h'!N34,'03.08 Kiwatule-Najjeera-24h'!N34,'04.08 Kiwatule-Najjeera'!N34)</f>
        <v>0</v>
      </c>
      <c r="O34" s="15">
        <f t="shared" si="0"/>
        <v>64.857142857142847</v>
      </c>
      <c r="P34" s="15">
        <f t="shared" si="1"/>
        <v>104.85714285714285</v>
      </c>
      <c r="R34" s="38" t="s">
        <v>90</v>
      </c>
      <c r="S34" s="39">
        <f t="shared" ref="S34:AF34" si="26">MAX(S10:S12)</f>
        <v>113.57142857142858</v>
      </c>
      <c r="T34" s="39">
        <f t="shared" si="26"/>
        <v>24.285714285714285</v>
      </c>
      <c r="U34" s="39">
        <f t="shared" si="26"/>
        <v>10.571428571428571</v>
      </c>
      <c r="V34" s="39">
        <f t="shared" si="26"/>
        <v>75.714285714285722</v>
      </c>
      <c r="W34" s="39">
        <f t="shared" si="26"/>
        <v>1.857142857142857</v>
      </c>
      <c r="X34" s="39">
        <f t="shared" si="26"/>
        <v>0.42857142857142855</v>
      </c>
      <c r="Y34" s="39">
        <f t="shared" si="26"/>
        <v>22.571428571428569</v>
      </c>
      <c r="Z34" s="39">
        <f t="shared" si="26"/>
        <v>1.7142857142857144</v>
      </c>
      <c r="AA34" s="39">
        <f t="shared" si="26"/>
        <v>1.4285714285714284</v>
      </c>
      <c r="AB34" s="39">
        <f t="shared" si="26"/>
        <v>0.42857142857142855</v>
      </c>
      <c r="AC34" s="39">
        <f t="shared" si="26"/>
        <v>211.57142857142856</v>
      </c>
      <c r="AD34" s="39">
        <f t="shared" si="26"/>
        <v>0</v>
      </c>
      <c r="AE34" s="40">
        <f t="shared" si="26"/>
        <v>238.42857142857144</v>
      </c>
      <c r="AF34" s="40">
        <f t="shared" si="26"/>
        <v>450.00000000000006</v>
      </c>
    </row>
    <row r="35" spans="2:32" ht="23.1" customHeight="1">
      <c r="B35" s="24" t="s">
        <v>62</v>
      </c>
      <c r="C35" s="49">
        <f>AVERAGE('29.07 Kiwatule-Najjeera'!C35,'02.08 Kiwatule-Najjeera'!C35,'30.07 Kiwatule-Najjeera'!C35,'31.07 Kiwatule-Najjeera'!C35,'01.08 Kiwatule-Najjeera-24h'!C35,'03.08 Kiwatule-Najjeera-24h'!C35,'04.08 Kiwatule-Najjeera'!C35)</f>
        <v>41.142857142857146</v>
      </c>
      <c r="D35" s="49">
        <f>AVERAGE('29.07 Kiwatule-Najjeera'!D35,'02.08 Kiwatule-Najjeera'!D35,'30.07 Kiwatule-Najjeera'!D35,'31.07 Kiwatule-Najjeera'!D35,'01.08 Kiwatule-Najjeera-24h'!D35,'03.08 Kiwatule-Najjeera-24h'!D35,'04.08 Kiwatule-Najjeera'!D35)</f>
        <v>8.1428571428571423</v>
      </c>
      <c r="E35" s="49">
        <f>AVERAGE('29.07 Kiwatule-Najjeera'!E35,'02.08 Kiwatule-Najjeera'!E35,'30.07 Kiwatule-Najjeera'!E35,'31.07 Kiwatule-Najjeera'!E35,'01.08 Kiwatule-Najjeera-24h'!E35,'03.08 Kiwatule-Najjeera-24h'!E35,'04.08 Kiwatule-Najjeera'!E35)</f>
        <v>2.7142857142857144</v>
      </c>
      <c r="F35" s="49">
        <f>AVERAGE('29.07 Kiwatule-Najjeera'!F35,'02.08 Kiwatule-Najjeera'!F35,'30.07 Kiwatule-Najjeera'!F35,'31.07 Kiwatule-Najjeera'!F35,'01.08 Kiwatule-Najjeera-24h'!F35,'03.08 Kiwatule-Najjeera-24h'!F35,'04.08 Kiwatule-Najjeera'!F35)</f>
        <v>13.714285714285714</v>
      </c>
      <c r="G35" s="49">
        <f>AVERAGE('29.07 Kiwatule-Najjeera'!G35,'02.08 Kiwatule-Najjeera'!G35,'30.07 Kiwatule-Najjeera'!G35,'31.07 Kiwatule-Najjeera'!G35,'01.08 Kiwatule-Najjeera-24h'!G35,'03.08 Kiwatule-Najjeera-24h'!G35,'04.08 Kiwatule-Najjeera'!G35)</f>
        <v>0.5714285714285714</v>
      </c>
      <c r="H35" s="49">
        <f>AVERAGE('29.07 Kiwatule-Najjeera'!H35,'02.08 Kiwatule-Najjeera'!H35,'30.07 Kiwatule-Najjeera'!H35,'31.07 Kiwatule-Najjeera'!H35,'01.08 Kiwatule-Najjeera-24h'!H35,'03.08 Kiwatule-Najjeera-24h'!H35,'04.08 Kiwatule-Najjeera'!H35)</f>
        <v>0.14285714285714285</v>
      </c>
      <c r="I35" s="49">
        <f>AVERAGE('29.07 Kiwatule-Najjeera'!I35,'02.08 Kiwatule-Najjeera'!I35,'30.07 Kiwatule-Najjeera'!I35,'31.07 Kiwatule-Najjeera'!I35,'01.08 Kiwatule-Najjeera-24h'!I35,'03.08 Kiwatule-Najjeera-24h'!I35,'04.08 Kiwatule-Najjeera'!I35)</f>
        <v>4.7142857142857144</v>
      </c>
      <c r="J35" s="49">
        <f>AVERAGE('29.07 Kiwatule-Najjeera'!J35,'02.08 Kiwatule-Najjeera'!J35,'30.07 Kiwatule-Najjeera'!J35,'31.07 Kiwatule-Najjeera'!J35,'01.08 Kiwatule-Najjeera-24h'!J35,'03.08 Kiwatule-Najjeera-24h'!J35,'04.08 Kiwatule-Najjeera'!J35)</f>
        <v>0.5714285714285714</v>
      </c>
      <c r="K35" s="49">
        <f>AVERAGE('29.07 Kiwatule-Najjeera'!K35,'02.08 Kiwatule-Najjeera'!K35,'30.07 Kiwatule-Najjeera'!K35,'31.07 Kiwatule-Najjeera'!K35,'01.08 Kiwatule-Najjeera-24h'!K35,'03.08 Kiwatule-Najjeera-24h'!K35,'04.08 Kiwatule-Najjeera'!K35)</f>
        <v>0.2857142857142857</v>
      </c>
      <c r="L35" s="49">
        <f>AVERAGE('29.07 Kiwatule-Najjeera'!L35,'02.08 Kiwatule-Najjeera'!L35,'30.07 Kiwatule-Najjeera'!L35,'31.07 Kiwatule-Najjeera'!L35,'01.08 Kiwatule-Najjeera-24h'!L35,'03.08 Kiwatule-Najjeera-24h'!L35,'04.08 Kiwatule-Najjeera'!L35)</f>
        <v>0</v>
      </c>
      <c r="M35" s="49">
        <f>AVERAGE('29.07 Kiwatule-Najjeera'!M35,'02.08 Kiwatule-Najjeera'!M35,'30.07 Kiwatule-Najjeera'!M35,'31.07 Kiwatule-Najjeera'!M35,'01.08 Kiwatule-Najjeera-24h'!M35,'03.08 Kiwatule-Najjeera-24h'!M35,'04.08 Kiwatule-Najjeera'!M35)</f>
        <v>41.571428571428569</v>
      </c>
      <c r="N35" s="49">
        <f>AVERAGE('29.07 Kiwatule-Najjeera'!N35,'02.08 Kiwatule-Najjeera'!N35,'30.07 Kiwatule-Najjeera'!N35,'31.07 Kiwatule-Najjeera'!N35,'01.08 Kiwatule-Najjeera-24h'!N35,'03.08 Kiwatule-Najjeera-24h'!N35,'04.08 Kiwatule-Najjeera'!N35)</f>
        <v>0</v>
      </c>
      <c r="O35" s="15">
        <f t="shared" si="0"/>
        <v>72</v>
      </c>
      <c r="P35" s="15">
        <f t="shared" si="1"/>
        <v>113.57142857142857</v>
      </c>
      <c r="R35" s="38" t="s">
        <v>91</v>
      </c>
      <c r="S35" s="39">
        <f t="shared" ref="S35:AF35" si="27">MAX(S13:S18)</f>
        <v>230.57142857142856</v>
      </c>
      <c r="T35" s="39">
        <f t="shared" si="27"/>
        <v>41.857142857142854</v>
      </c>
      <c r="U35" s="39">
        <f t="shared" si="27"/>
        <v>17.285714285714288</v>
      </c>
      <c r="V35" s="39">
        <f t="shared" si="27"/>
        <v>72.571428571428569</v>
      </c>
      <c r="W35" s="39">
        <f t="shared" si="27"/>
        <v>3.4285714285714284</v>
      </c>
      <c r="X35" s="39">
        <f t="shared" si="27"/>
        <v>0.71428571428571419</v>
      </c>
      <c r="Y35" s="39">
        <f t="shared" si="27"/>
        <v>28</v>
      </c>
      <c r="Z35" s="39">
        <f t="shared" si="27"/>
        <v>3.1428571428571428</v>
      </c>
      <c r="AA35" s="39">
        <f t="shared" si="27"/>
        <v>2.4285714285714284</v>
      </c>
      <c r="AB35" s="39">
        <f t="shared" si="27"/>
        <v>0.71428571428571419</v>
      </c>
      <c r="AC35" s="39">
        <f t="shared" si="27"/>
        <v>193</v>
      </c>
      <c r="AD35" s="39">
        <f t="shared" si="27"/>
        <v>0</v>
      </c>
      <c r="AE35" s="40">
        <f t="shared" si="27"/>
        <v>371.85714285714289</v>
      </c>
      <c r="AF35" s="40">
        <f t="shared" si="27"/>
        <v>564.85714285714289</v>
      </c>
    </row>
    <row r="36" spans="2:32" ht="23.1" customHeight="1">
      <c r="B36" s="24" t="s">
        <v>63</v>
      </c>
      <c r="C36" s="49">
        <f>AVERAGE('29.07 Kiwatule-Najjeera'!C36,'02.08 Kiwatule-Najjeera'!C36,'30.07 Kiwatule-Najjeera'!C36,'31.07 Kiwatule-Najjeera'!C36,'01.08 Kiwatule-Najjeera-24h'!C36,'03.08 Kiwatule-Najjeera-24h'!C36,'04.08 Kiwatule-Najjeera'!C36)</f>
        <v>41.142857142857146</v>
      </c>
      <c r="D36" s="49">
        <f>AVERAGE('29.07 Kiwatule-Najjeera'!D36,'02.08 Kiwatule-Najjeera'!D36,'30.07 Kiwatule-Najjeera'!D36,'31.07 Kiwatule-Najjeera'!D36,'01.08 Kiwatule-Najjeera-24h'!D36,'03.08 Kiwatule-Najjeera-24h'!D36,'04.08 Kiwatule-Najjeera'!D36)</f>
        <v>9.2857142857142865</v>
      </c>
      <c r="E36" s="49">
        <f>AVERAGE('29.07 Kiwatule-Najjeera'!E36,'02.08 Kiwatule-Najjeera'!E36,'30.07 Kiwatule-Najjeera'!E36,'31.07 Kiwatule-Najjeera'!E36,'01.08 Kiwatule-Najjeera-24h'!E36,'03.08 Kiwatule-Najjeera-24h'!E36,'04.08 Kiwatule-Najjeera'!E36)</f>
        <v>3</v>
      </c>
      <c r="F36" s="49">
        <f>AVERAGE('29.07 Kiwatule-Najjeera'!F36,'02.08 Kiwatule-Najjeera'!F36,'30.07 Kiwatule-Najjeera'!F36,'31.07 Kiwatule-Najjeera'!F36,'01.08 Kiwatule-Najjeera-24h'!F36,'03.08 Kiwatule-Najjeera-24h'!F36,'04.08 Kiwatule-Najjeera'!F36)</f>
        <v>18.714285714285715</v>
      </c>
      <c r="G36" s="49">
        <f>AVERAGE('29.07 Kiwatule-Najjeera'!G36,'02.08 Kiwatule-Najjeera'!G36,'30.07 Kiwatule-Najjeera'!G36,'31.07 Kiwatule-Najjeera'!G36,'01.08 Kiwatule-Najjeera-24h'!G36,'03.08 Kiwatule-Najjeera-24h'!G36,'04.08 Kiwatule-Najjeera'!G36)</f>
        <v>1.1428571428571428</v>
      </c>
      <c r="H36" s="49">
        <f>AVERAGE('29.07 Kiwatule-Najjeera'!H36,'02.08 Kiwatule-Najjeera'!H36,'30.07 Kiwatule-Najjeera'!H36,'31.07 Kiwatule-Najjeera'!H36,'01.08 Kiwatule-Najjeera-24h'!H36,'03.08 Kiwatule-Najjeera-24h'!H36,'04.08 Kiwatule-Najjeera'!H36)</f>
        <v>0.2857142857142857</v>
      </c>
      <c r="I36" s="49">
        <f>AVERAGE('29.07 Kiwatule-Najjeera'!I36,'02.08 Kiwatule-Najjeera'!I36,'30.07 Kiwatule-Najjeera'!I36,'31.07 Kiwatule-Najjeera'!I36,'01.08 Kiwatule-Najjeera-24h'!I36,'03.08 Kiwatule-Najjeera-24h'!I36,'04.08 Kiwatule-Najjeera'!I36)</f>
        <v>4.4285714285714288</v>
      </c>
      <c r="J36" s="49">
        <f>AVERAGE('29.07 Kiwatule-Najjeera'!J36,'02.08 Kiwatule-Najjeera'!J36,'30.07 Kiwatule-Najjeera'!J36,'31.07 Kiwatule-Najjeera'!J36,'01.08 Kiwatule-Najjeera-24h'!J36,'03.08 Kiwatule-Najjeera-24h'!J36,'04.08 Kiwatule-Najjeera'!J36)</f>
        <v>1.2857142857142858</v>
      </c>
      <c r="K36" s="49">
        <f>AVERAGE('29.07 Kiwatule-Najjeera'!K36,'02.08 Kiwatule-Najjeera'!K36,'30.07 Kiwatule-Najjeera'!K36,'31.07 Kiwatule-Najjeera'!K36,'01.08 Kiwatule-Najjeera-24h'!K36,'03.08 Kiwatule-Najjeera-24h'!K36,'04.08 Kiwatule-Najjeera'!K36)</f>
        <v>0</v>
      </c>
      <c r="L36" s="49">
        <f>AVERAGE('29.07 Kiwatule-Najjeera'!L36,'02.08 Kiwatule-Najjeera'!L36,'30.07 Kiwatule-Najjeera'!L36,'31.07 Kiwatule-Najjeera'!L36,'01.08 Kiwatule-Najjeera-24h'!L36,'03.08 Kiwatule-Najjeera-24h'!L36,'04.08 Kiwatule-Najjeera'!L36)</f>
        <v>0.14285714285714285</v>
      </c>
      <c r="M36" s="49">
        <f>AVERAGE('29.07 Kiwatule-Najjeera'!M36,'02.08 Kiwatule-Najjeera'!M36,'30.07 Kiwatule-Najjeera'!M36,'31.07 Kiwatule-Najjeera'!M36,'01.08 Kiwatule-Najjeera-24h'!M36,'03.08 Kiwatule-Najjeera-24h'!M36,'04.08 Kiwatule-Najjeera'!M36)</f>
        <v>42.857142857142854</v>
      </c>
      <c r="N36" s="49">
        <f>AVERAGE('29.07 Kiwatule-Najjeera'!N36,'02.08 Kiwatule-Najjeera'!N36,'30.07 Kiwatule-Najjeera'!N36,'31.07 Kiwatule-Najjeera'!N36,'01.08 Kiwatule-Najjeera-24h'!N36,'03.08 Kiwatule-Najjeera-24h'!N36,'04.08 Kiwatule-Najjeera'!N36)</f>
        <v>0</v>
      </c>
      <c r="O36" s="15">
        <f t="shared" si="0"/>
        <v>79.428571428571431</v>
      </c>
      <c r="P36" s="15">
        <f t="shared" si="1"/>
        <v>122.28571428571428</v>
      </c>
      <c r="R36" s="38" t="s">
        <v>92</v>
      </c>
      <c r="S36" s="39">
        <f t="shared" ref="S36:AF36" si="28">MAX(S19:S21)</f>
        <v>429</v>
      </c>
      <c r="T36" s="39">
        <f t="shared" si="28"/>
        <v>70.571428571428569</v>
      </c>
      <c r="U36" s="39">
        <f t="shared" si="28"/>
        <v>26.428571428571427</v>
      </c>
      <c r="V36" s="39">
        <f t="shared" si="28"/>
        <v>64.285714285714292</v>
      </c>
      <c r="W36" s="39">
        <f t="shared" si="28"/>
        <v>3.714285714285714</v>
      </c>
      <c r="X36" s="39">
        <f t="shared" si="28"/>
        <v>1.4285714285714286</v>
      </c>
      <c r="Y36" s="39">
        <f t="shared" si="28"/>
        <v>21</v>
      </c>
      <c r="Z36" s="39">
        <f t="shared" si="28"/>
        <v>2.8571428571428572</v>
      </c>
      <c r="AA36" s="39">
        <f t="shared" si="28"/>
        <v>2</v>
      </c>
      <c r="AB36" s="39">
        <f t="shared" si="28"/>
        <v>0.5714285714285714</v>
      </c>
      <c r="AC36" s="39">
        <f t="shared" si="28"/>
        <v>276.71428571428572</v>
      </c>
      <c r="AD36" s="39">
        <f t="shared" si="28"/>
        <v>0</v>
      </c>
      <c r="AE36" s="40">
        <f t="shared" si="28"/>
        <v>619.85714285714266</v>
      </c>
      <c r="AF36" s="40">
        <f t="shared" si="28"/>
        <v>896.57142857142844</v>
      </c>
    </row>
    <row r="37" spans="2:32" ht="23.1" customHeight="1">
      <c r="B37" s="23" t="s">
        <v>64</v>
      </c>
      <c r="C37" s="49">
        <f>AVERAGE('29.07 Kiwatule-Najjeera'!C37,'02.08 Kiwatule-Najjeera'!C37,'30.07 Kiwatule-Najjeera'!C37,'31.07 Kiwatule-Najjeera'!C37,'01.08 Kiwatule-Najjeera-24h'!C37,'03.08 Kiwatule-Najjeera-24h'!C37,'04.08 Kiwatule-Najjeera'!C37)</f>
        <v>48.571428571428569</v>
      </c>
      <c r="D37" s="49">
        <f>AVERAGE('29.07 Kiwatule-Najjeera'!D37,'02.08 Kiwatule-Najjeera'!D37,'30.07 Kiwatule-Najjeera'!D37,'31.07 Kiwatule-Najjeera'!D37,'01.08 Kiwatule-Najjeera-24h'!D37,'03.08 Kiwatule-Najjeera-24h'!D37,'04.08 Kiwatule-Najjeera'!D37)</f>
        <v>8</v>
      </c>
      <c r="E37" s="49">
        <f>AVERAGE('29.07 Kiwatule-Najjeera'!E37,'02.08 Kiwatule-Najjeera'!E37,'30.07 Kiwatule-Najjeera'!E37,'31.07 Kiwatule-Najjeera'!E37,'01.08 Kiwatule-Najjeera-24h'!E37,'03.08 Kiwatule-Najjeera-24h'!E37,'04.08 Kiwatule-Najjeera'!E37)</f>
        <v>3.8571428571428572</v>
      </c>
      <c r="F37" s="49">
        <f>AVERAGE('29.07 Kiwatule-Najjeera'!F37,'02.08 Kiwatule-Najjeera'!F37,'30.07 Kiwatule-Najjeera'!F37,'31.07 Kiwatule-Najjeera'!F37,'01.08 Kiwatule-Najjeera-24h'!F37,'03.08 Kiwatule-Najjeera-24h'!F37,'04.08 Kiwatule-Najjeera'!F37)</f>
        <v>16.857142857142858</v>
      </c>
      <c r="G37" s="49">
        <f>AVERAGE('29.07 Kiwatule-Najjeera'!G37,'02.08 Kiwatule-Najjeera'!G37,'30.07 Kiwatule-Najjeera'!G37,'31.07 Kiwatule-Najjeera'!G37,'01.08 Kiwatule-Najjeera-24h'!G37,'03.08 Kiwatule-Najjeera-24h'!G37,'04.08 Kiwatule-Najjeera'!G37)</f>
        <v>0.8571428571428571</v>
      </c>
      <c r="H37" s="49">
        <f>AVERAGE('29.07 Kiwatule-Najjeera'!H37,'02.08 Kiwatule-Najjeera'!H37,'30.07 Kiwatule-Najjeera'!H37,'31.07 Kiwatule-Najjeera'!H37,'01.08 Kiwatule-Najjeera-24h'!H37,'03.08 Kiwatule-Najjeera-24h'!H37,'04.08 Kiwatule-Najjeera'!H37)</f>
        <v>0</v>
      </c>
      <c r="I37" s="49">
        <f>AVERAGE('29.07 Kiwatule-Najjeera'!I37,'02.08 Kiwatule-Najjeera'!I37,'30.07 Kiwatule-Najjeera'!I37,'31.07 Kiwatule-Najjeera'!I37,'01.08 Kiwatule-Najjeera-24h'!I37,'03.08 Kiwatule-Najjeera-24h'!I37,'04.08 Kiwatule-Najjeera'!I37)</f>
        <v>6.2857142857142856</v>
      </c>
      <c r="J37" s="49">
        <f>AVERAGE('29.07 Kiwatule-Najjeera'!J37,'02.08 Kiwatule-Najjeera'!J37,'30.07 Kiwatule-Najjeera'!J37,'31.07 Kiwatule-Najjeera'!J37,'01.08 Kiwatule-Najjeera-24h'!J37,'03.08 Kiwatule-Najjeera-24h'!J37,'04.08 Kiwatule-Najjeera'!J37)</f>
        <v>0.14285714285714285</v>
      </c>
      <c r="K37" s="49">
        <f>AVERAGE('29.07 Kiwatule-Najjeera'!K37,'02.08 Kiwatule-Najjeera'!K37,'30.07 Kiwatule-Najjeera'!K37,'31.07 Kiwatule-Najjeera'!K37,'01.08 Kiwatule-Najjeera-24h'!K37,'03.08 Kiwatule-Najjeera-24h'!K37,'04.08 Kiwatule-Najjeera'!K37)</f>
        <v>0</v>
      </c>
      <c r="L37" s="49">
        <f>AVERAGE('29.07 Kiwatule-Najjeera'!L37,'02.08 Kiwatule-Najjeera'!L37,'30.07 Kiwatule-Najjeera'!L37,'31.07 Kiwatule-Najjeera'!L37,'01.08 Kiwatule-Najjeera-24h'!L37,'03.08 Kiwatule-Najjeera-24h'!L37,'04.08 Kiwatule-Najjeera'!L37)</f>
        <v>0</v>
      </c>
      <c r="M37" s="49">
        <f>AVERAGE('29.07 Kiwatule-Najjeera'!M37,'02.08 Kiwatule-Najjeera'!M37,'30.07 Kiwatule-Najjeera'!M37,'31.07 Kiwatule-Najjeera'!M37,'01.08 Kiwatule-Najjeera-24h'!M37,'03.08 Kiwatule-Najjeera-24h'!M37,'04.08 Kiwatule-Najjeera'!M37)</f>
        <v>47</v>
      </c>
      <c r="N37" s="49">
        <f>AVERAGE('29.07 Kiwatule-Najjeera'!N37,'02.08 Kiwatule-Najjeera'!N37,'30.07 Kiwatule-Najjeera'!N37,'31.07 Kiwatule-Najjeera'!N37,'01.08 Kiwatule-Najjeera-24h'!N37,'03.08 Kiwatule-Najjeera-24h'!N37,'04.08 Kiwatule-Najjeera'!N37)</f>
        <v>0</v>
      </c>
      <c r="O37" s="15">
        <f t="shared" si="0"/>
        <v>84.571428571428569</v>
      </c>
      <c r="P37" s="15">
        <f t="shared" si="1"/>
        <v>131.57142857142856</v>
      </c>
      <c r="R37" s="37" t="s">
        <v>85</v>
      </c>
      <c r="S37" s="35">
        <f t="shared" ref="S37:AF37" si="29">SUM(S10:S12)</f>
        <v>334.57142857142856</v>
      </c>
      <c r="T37" s="16">
        <f t="shared" si="29"/>
        <v>64.428571428571431</v>
      </c>
      <c r="U37" s="16">
        <f t="shared" si="29"/>
        <v>29.857142857142858</v>
      </c>
      <c r="V37" s="16">
        <f t="shared" si="29"/>
        <v>215.14285714285717</v>
      </c>
      <c r="W37" s="16">
        <f t="shared" si="29"/>
        <v>4.8571428571428568</v>
      </c>
      <c r="X37" s="16">
        <f t="shared" si="29"/>
        <v>0.42857142857142855</v>
      </c>
      <c r="Y37" s="16">
        <f t="shared" si="29"/>
        <v>48.571428571428569</v>
      </c>
      <c r="Z37" s="16">
        <f t="shared" si="29"/>
        <v>4.4285714285714288</v>
      </c>
      <c r="AA37" s="16">
        <f t="shared" si="29"/>
        <v>2.714285714285714</v>
      </c>
      <c r="AB37" s="16">
        <f t="shared" si="29"/>
        <v>1.1428571428571428</v>
      </c>
      <c r="AC37" s="16">
        <f t="shared" si="29"/>
        <v>536.71428571428567</v>
      </c>
      <c r="AD37" s="16">
        <f t="shared" si="29"/>
        <v>0</v>
      </c>
      <c r="AE37" s="32">
        <f t="shared" si="29"/>
        <v>706.14285714285711</v>
      </c>
      <c r="AF37" s="32">
        <f t="shared" si="29"/>
        <v>1242.8571428571429</v>
      </c>
    </row>
    <row r="38" spans="2:32" ht="23.1" customHeight="1">
      <c r="B38" s="24" t="s">
        <v>65</v>
      </c>
      <c r="C38" s="49">
        <f>AVERAGE('29.07 Kiwatule-Najjeera'!C38,'02.08 Kiwatule-Najjeera'!C38,'30.07 Kiwatule-Najjeera'!C38,'31.07 Kiwatule-Najjeera'!C38,'01.08 Kiwatule-Najjeera-24h'!C38,'03.08 Kiwatule-Najjeera-24h'!C38,'04.08 Kiwatule-Najjeera'!C38)</f>
        <v>52.857142857142854</v>
      </c>
      <c r="D38" s="49">
        <f>AVERAGE('29.07 Kiwatule-Najjeera'!D38,'02.08 Kiwatule-Najjeera'!D38,'30.07 Kiwatule-Najjeera'!D38,'31.07 Kiwatule-Najjeera'!D38,'01.08 Kiwatule-Najjeera-24h'!D38,'03.08 Kiwatule-Najjeera-24h'!D38,'04.08 Kiwatule-Najjeera'!D38)</f>
        <v>13.428571428571429</v>
      </c>
      <c r="E38" s="49">
        <f>AVERAGE('29.07 Kiwatule-Najjeera'!E38,'02.08 Kiwatule-Najjeera'!E38,'30.07 Kiwatule-Najjeera'!E38,'31.07 Kiwatule-Najjeera'!E38,'01.08 Kiwatule-Najjeera-24h'!E38,'03.08 Kiwatule-Najjeera-24h'!E38,'04.08 Kiwatule-Najjeera'!E38)</f>
        <v>3.4285714285714284</v>
      </c>
      <c r="F38" s="49">
        <f>AVERAGE('29.07 Kiwatule-Najjeera'!F38,'02.08 Kiwatule-Najjeera'!F38,'30.07 Kiwatule-Najjeera'!F38,'31.07 Kiwatule-Najjeera'!F38,'01.08 Kiwatule-Najjeera-24h'!F38,'03.08 Kiwatule-Najjeera-24h'!F38,'04.08 Kiwatule-Najjeera'!F38)</f>
        <v>12</v>
      </c>
      <c r="G38" s="49">
        <f>AVERAGE('29.07 Kiwatule-Najjeera'!G38,'02.08 Kiwatule-Najjeera'!G38,'30.07 Kiwatule-Najjeera'!G38,'31.07 Kiwatule-Najjeera'!G38,'01.08 Kiwatule-Najjeera-24h'!G38,'03.08 Kiwatule-Najjeera-24h'!G38,'04.08 Kiwatule-Najjeera'!G38)</f>
        <v>0.2857142857142857</v>
      </c>
      <c r="H38" s="49">
        <f>AVERAGE('29.07 Kiwatule-Najjeera'!H38,'02.08 Kiwatule-Najjeera'!H38,'30.07 Kiwatule-Najjeera'!H38,'31.07 Kiwatule-Najjeera'!H38,'01.08 Kiwatule-Najjeera-24h'!H38,'03.08 Kiwatule-Najjeera-24h'!H38,'04.08 Kiwatule-Najjeera'!H38)</f>
        <v>0.14285714285714285</v>
      </c>
      <c r="I38" s="49">
        <f>AVERAGE('29.07 Kiwatule-Najjeera'!I38,'02.08 Kiwatule-Najjeera'!I38,'30.07 Kiwatule-Najjeera'!I38,'31.07 Kiwatule-Najjeera'!I38,'01.08 Kiwatule-Najjeera-24h'!I38,'03.08 Kiwatule-Najjeera-24h'!I38,'04.08 Kiwatule-Najjeera'!I38)</f>
        <v>6</v>
      </c>
      <c r="J38" s="49">
        <f>AVERAGE('29.07 Kiwatule-Najjeera'!J38,'02.08 Kiwatule-Najjeera'!J38,'30.07 Kiwatule-Najjeera'!J38,'31.07 Kiwatule-Najjeera'!J38,'01.08 Kiwatule-Najjeera-24h'!J38,'03.08 Kiwatule-Najjeera-24h'!J38,'04.08 Kiwatule-Najjeera'!J38)</f>
        <v>0.5714285714285714</v>
      </c>
      <c r="K38" s="49">
        <f>AVERAGE('29.07 Kiwatule-Najjeera'!K38,'02.08 Kiwatule-Najjeera'!K38,'30.07 Kiwatule-Najjeera'!K38,'31.07 Kiwatule-Najjeera'!K38,'01.08 Kiwatule-Najjeera-24h'!K38,'03.08 Kiwatule-Najjeera-24h'!K38,'04.08 Kiwatule-Najjeera'!K38)</f>
        <v>0.14285714285714285</v>
      </c>
      <c r="L38" s="49">
        <f>AVERAGE('29.07 Kiwatule-Najjeera'!L38,'02.08 Kiwatule-Najjeera'!L38,'30.07 Kiwatule-Najjeera'!L38,'31.07 Kiwatule-Najjeera'!L38,'01.08 Kiwatule-Najjeera-24h'!L38,'03.08 Kiwatule-Najjeera-24h'!L38,'04.08 Kiwatule-Najjeera'!L38)</f>
        <v>0.42857142857142855</v>
      </c>
      <c r="M38" s="49">
        <f>AVERAGE('29.07 Kiwatule-Najjeera'!M38,'02.08 Kiwatule-Najjeera'!M38,'30.07 Kiwatule-Najjeera'!M38,'31.07 Kiwatule-Najjeera'!M38,'01.08 Kiwatule-Najjeera-24h'!M38,'03.08 Kiwatule-Najjeera-24h'!M38,'04.08 Kiwatule-Najjeera'!M38)</f>
        <v>38.142857142857146</v>
      </c>
      <c r="N38" s="49">
        <f>AVERAGE('29.07 Kiwatule-Najjeera'!N38,'02.08 Kiwatule-Najjeera'!N38,'30.07 Kiwatule-Najjeera'!N38,'31.07 Kiwatule-Najjeera'!N38,'01.08 Kiwatule-Najjeera-24h'!N38,'03.08 Kiwatule-Najjeera-24h'!N38,'04.08 Kiwatule-Najjeera'!N38)</f>
        <v>0</v>
      </c>
      <c r="O38" s="15">
        <f t="shared" si="0"/>
        <v>89.285714285714278</v>
      </c>
      <c r="P38" s="15">
        <f t="shared" si="1"/>
        <v>127.42857142857142</v>
      </c>
      <c r="R38" s="28" t="s">
        <v>86</v>
      </c>
      <c r="S38" s="16">
        <f t="shared" ref="S38:AF38" si="30">SUM(S13:S18)</f>
        <v>1017.142857142857</v>
      </c>
      <c r="T38" s="16">
        <f t="shared" si="30"/>
        <v>202.28571428571428</v>
      </c>
      <c r="U38" s="16">
        <f t="shared" si="30"/>
        <v>82.428571428571431</v>
      </c>
      <c r="V38" s="16">
        <f t="shared" si="30"/>
        <v>382.57142857142856</v>
      </c>
      <c r="W38" s="16">
        <f t="shared" si="30"/>
        <v>14.285714285714285</v>
      </c>
      <c r="X38" s="16">
        <f t="shared" si="30"/>
        <v>2.9999999999999996</v>
      </c>
      <c r="Y38" s="16">
        <f t="shared" si="30"/>
        <v>136.14285714285714</v>
      </c>
      <c r="Z38" s="16">
        <f t="shared" si="30"/>
        <v>16.714285714285715</v>
      </c>
      <c r="AA38" s="16">
        <f t="shared" si="30"/>
        <v>6.2857142857142847</v>
      </c>
      <c r="AB38" s="16">
        <f t="shared" si="30"/>
        <v>2.1428571428571428</v>
      </c>
      <c r="AC38" s="16">
        <f t="shared" si="30"/>
        <v>1039</v>
      </c>
      <c r="AD38" s="16">
        <f t="shared" si="30"/>
        <v>0</v>
      </c>
      <c r="AE38" s="32">
        <f t="shared" si="30"/>
        <v>1863.0000000000002</v>
      </c>
      <c r="AF38" s="32">
        <f t="shared" si="30"/>
        <v>2902</v>
      </c>
    </row>
    <row r="39" spans="2:32" ht="23.1" customHeight="1">
      <c r="B39" s="24" t="s">
        <v>66</v>
      </c>
      <c r="C39" s="49">
        <f>AVERAGE('29.07 Kiwatule-Najjeera'!C39,'02.08 Kiwatule-Najjeera'!C39,'30.07 Kiwatule-Najjeera'!C39,'31.07 Kiwatule-Najjeera'!C39,'01.08 Kiwatule-Najjeera-24h'!C39,'03.08 Kiwatule-Najjeera-24h'!C39,'04.08 Kiwatule-Najjeera'!C39)</f>
        <v>43.285714285714285</v>
      </c>
      <c r="D39" s="49">
        <f>AVERAGE('29.07 Kiwatule-Najjeera'!D39,'02.08 Kiwatule-Najjeera'!D39,'30.07 Kiwatule-Najjeera'!D39,'31.07 Kiwatule-Najjeera'!D39,'01.08 Kiwatule-Najjeera-24h'!D39,'03.08 Kiwatule-Najjeera-24h'!D39,'04.08 Kiwatule-Najjeera'!D39)</f>
        <v>9.8571428571428577</v>
      </c>
      <c r="E39" s="49">
        <f>AVERAGE('29.07 Kiwatule-Najjeera'!E39,'02.08 Kiwatule-Najjeera'!E39,'30.07 Kiwatule-Najjeera'!E39,'31.07 Kiwatule-Najjeera'!E39,'01.08 Kiwatule-Najjeera-24h'!E39,'03.08 Kiwatule-Najjeera-24h'!E39,'04.08 Kiwatule-Najjeera'!E39)</f>
        <v>4.1428571428571432</v>
      </c>
      <c r="F39" s="49">
        <f>AVERAGE('29.07 Kiwatule-Najjeera'!F39,'02.08 Kiwatule-Najjeera'!F39,'30.07 Kiwatule-Najjeera'!F39,'31.07 Kiwatule-Najjeera'!F39,'01.08 Kiwatule-Najjeera-24h'!F39,'03.08 Kiwatule-Najjeera-24h'!F39,'04.08 Kiwatule-Najjeera'!F39)</f>
        <v>13.285714285714286</v>
      </c>
      <c r="G39" s="49">
        <f>AVERAGE('29.07 Kiwatule-Najjeera'!G39,'02.08 Kiwatule-Najjeera'!G39,'30.07 Kiwatule-Najjeera'!G39,'31.07 Kiwatule-Najjeera'!G39,'01.08 Kiwatule-Najjeera-24h'!G39,'03.08 Kiwatule-Najjeera-24h'!G39,'04.08 Kiwatule-Najjeera'!G39)</f>
        <v>0.2857142857142857</v>
      </c>
      <c r="H39" s="49">
        <f>AVERAGE('29.07 Kiwatule-Najjeera'!H39,'02.08 Kiwatule-Najjeera'!H39,'30.07 Kiwatule-Najjeera'!H39,'31.07 Kiwatule-Najjeera'!H39,'01.08 Kiwatule-Najjeera-24h'!H39,'03.08 Kiwatule-Najjeera-24h'!H39,'04.08 Kiwatule-Najjeera'!H39)</f>
        <v>0.14285714285714285</v>
      </c>
      <c r="I39" s="49">
        <f>AVERAGE('29.07 Kiwatule-Najjeera'!I39,'02.08 Kiwatule-Najjeera'!I39,'30.07 Kiwatule-Najjeera'!I39,'31.07 Kiwatule-Najjeera'!I39,'01.08 Kiwatule-Najjeera-24h'!I39,'03.08 Kiwatule-Najjeera-24h'!I39,'04.08 Kiwatule-Najjeera'!I39)</f>
        <v>4.8571428571428568</v>
      </c>
      <c r="J39" s="49">
        <f>AVERAGE('29.07 Kiwatule-Najjeera'!J39,'02.08 Kiwatule-Najjeera'!J39,'30.07 Kiwatule-Najjeera'!J39,'31.07 Kiwatule-Najjeera'!J39,'01.08 Kiwatule-Najjeera-24h'!J39,'03.08 Kiwatule-Najjeera-24h'!J39,'04.08 Kiwatule-Najjeera'!J39)</f>
        <v>0.2857142857142857</v>
      </c>
      <c r="K39" s="49">
        <f>AVERAGE('29.07 Kiwatule-Najjeera'!K39,'02.08 Kiwatule-Najjeera'!K39,'30.07 Kiwatule-Najjeera'!K39,'31.07 Kiwatule-Najjeera'!K39,'01.08 Kiwatule-Najjeera-24h'!K39,'03.08 Kiwatule-Najjeera-24h'!K39,'04.08 Kiwatule-Najjeera'!K39)</f>
        <v>0.2857142857142857</v>
      </c>
      <c r="L39" s="49">
        <f>AVERAGE('29.07 Kiwatule-Najjeera'!L39,'02.08 Kiwatule-Najjeera'!L39,'30.07 Kiwatule-Najjeera'!L39,'31.07 Kiwatule-Najjeera'!L39,'01.08 Kiwatule-Najjeera-24h'!L39,'03.08 Kiwatule-Najjeera-24h'!L39,'04.08 Kiwatule-Najjeera'!L39)</f>
        <v>0</v>
      </c>
      <c r="M39" s="49">
        <f>AVERAGE('29.07 Kiwatule-Najjeera'!M39,'02.08 Kiwatule-Najjeera'!M39,'30.07 Kiwatule-Najjeera'!M39,'31.07 Kiwatule-Najjeera'!M39,'01.08 Kiwatule-Najjeera-24h'!M39,'03.08 Kiwatule-Najjeera-24h'!M39,'04.08 Kiwatule-Najjeera'!M39)</f>
        <v>28.428571428571427</v>
      </c>
      <c r="N39" s="49">
        <f>AVERAGE('29.07 Kiwatule-Najjeera'!N39,'02.08 Kiwatule-Najjeera'!N39,'30.07 Kiwatule-Najjeera'!N39,'31.07 Kiwatule-Najjeera'!N39,'01.08 Kiwatule-Najjeera-24h'!N39,'03.08 Kiwatule-Najjeera-24h'!N39,'04.08 Kiwatule-Najjeera'!N39)</f>
        <v>0</v>
      </c>
      <c r="O39" s="15">
        <f t="shared" si="0"/>
        <v>76.428571428571445</v>
      </c>
      <c r="P39" s="15">
        <f t="shared" si="1"/>
        <v>104.85714285714288</v>
      </c>
      <c r="R39" s="29" t="s">
        <v>87</v>
      </c>
      <c r="S39" s="16">
        <f t="shared" ref="S39:AF39" si="31">SUM(S19:S21)</f>
        <v>1132</v>
      </c>
      <c r="T39" s="16">
        <f t="shared" si="31"/>
        <v>191</v>
      </c>
      <c r="U39" s="16">
        <f t="shared" si="31"/>
        <v>70.571428571428569</v>
      </c>
      <c r="V39" s="16">
        <f t="shared" si="31"/>
        <v>176.71428571428572</v>
      </c>
      <c r="W39" s="16">
        <f t="shared" si="31"/>
        <v>8.1428571428571423</v>
      </c>
      <c r="X39" s="16">
        <f t="shared" si="31"/>
        <v>2</v>
      </c>
      <c r="Y39" s="16">
        <f t="shared" si="31"/>
        <v>57.142857142857139</v>
      </c>
      <c r="Z39" s="16">
        <f t="shared" si="31"/>
        <v>6.8571428571428577</v>
      </c>
      <c r="AA39" s="16">
        <f t="shared" si="31"/>
        <v>3.714285714285714</v>
      </c>
      <c r="AB39" s="16">
        <f t="shared" si="31"/>
        <v>1</v>
      </c>
      <c r="AC39" s="16">
        <f t="shared" si="31"/>
        <v>713.14285714285711</v>
      </c>
      <c r="AD39" s="16">
        <f t="shared" si="31"/>
        <v>0</v>
      </c>
      <c r="AE39" s="32">
        <f t="shared" si="31"/>
        <v>1649.1428571428569</v>
      </c>
      <c r="AF39" s="32">
        <f t="shared" si="31"/>
        <v>2362.2857142857142</v>
      </c>
    </row>
    <row r="40" spans="2:32" ht="23.1" customHeight="1">
      <c r="B40" s="24" t="s">
        <v>67</v>
      </c>
      <c r="C40" s="49">
        <f>AVERAGE('29.07 Kiwatule-Najjeera'!C40,'02.08 Kiwatule-Najjeera'!C40,'30.07 Kiwatule-Najjeera'!C40,'31.07 Kiwatule-Najjeera'!C40,'01.08 Kiwatule-Najjeera-24h'!C40,'03.08 Kiwatule-Najjeera-24h'!C40,'04.08 Kiwatule-Najjeera'!C40)</f>
        <v>43.285714285714285</v>
      </c>
      <c r="D40" s="49">
        <f>AVERAGE('29.07 Kiwatule-Najjeera'!D40,'02.08 Kiwatule-Najjeera'!D40,'30.07 Kiwatule-Najjeera'!D40,'31.07 Kiwatule-Najjeera'!D40,'01.08 Kiwatule-Najjeera-24h'!D40,'03.08 Kiwatule-Najjeera-24h'!D40,'04.08 Kiwatule-Najjeera'!D40)</f>
        <v>8.2857142857142865</v>
      </c>
      <c r="E40" s="49">
        <f>AVERAGE('29.07 Kiwatule-Najjeera'!E40,'02.08 Kiwatule-Najjeera'!E40,'30.07 Kiwatule-Najjeera'!E40,'31.07 Kiwatule-Najjeera'!E40,'01.08 Kiwatule-Najjeera-24h'!E40,'03.08 Kiwatule-Najjeera-24h'!E40,'04.08 Kiwatule-Najjeera'!E40)</f>
        <v>3.2857142857142856</v>
      </c>
      <c r="F40" s="49">
        <f>AVERAGE('29.07 Kiwatule-Najjeera'!F40,'02.08 Kiwatule-Najjeera'!F40,'30.07 Kiwatule-Najjeera'!F40,'31.07 Kiwatule-Najjeera'!F40,'01.08 Kiwatule-Najjeera-24h'!F40,'03.08 Kiwatule-Najjeera-24h'!F40,'04.08 Kiwatule-Najjeera'!F40)</f>
        <v>11</v>
      </c>
      <c r="G40" s="49">
        <f>AVERAGE('29.07 Kiwatule-Najjeera'!G40,'02.08 Kiwatule-Najjeera'!G40,'30.07 Kiwatule-Najjeera'!G40,'31.07 Kiwatule-Najjeera'!G40,'01.08 Kiwatule-Najjeera-24h'!G40,'03.08 Kiwatule-Najjeera-24h'!G40,'04.08 Kiwatule-Najjeera'!G40)</f>
        <v>0.8571428571428571</v>
      </c>
      <c r="H40" s="49">
        <f>AVERAGE('29.07 Kiwatule-Najjeera'!H40,'02.08 Kiwatule-Najjeera'!H40,'30.07 Kiwatule-Najjeera'!H40,'31.07 Kiwatule-Najjeera'!H40,'01.08 Kiwatule-Najjeera-24h'!H40,'03.08 Kiwatule-Najjeera-24h'!H40,'04.08 Kiwatule-Najjeera'!H40)</f>
        <v>0</v>
      </c>
      <c r="I40" s="49">
        <f>AVERAGE('29.07 Kiwatule-Najjeera'!I40,'02.08 Kiwatule-Najjeera'!I40,'30.07 Kiwatule-Najjeera'!I40,'31.07 Kiwatule-Najjeera'!I40,'01.08 Kiwatule-Najjeera-24h'!I40,'03.08 Kiwatule-Najjeera-24h'!I40,'04.08 Kiwatule-Najjeera'!I40)</f>
        <v>4</v>
      </c>
      <c r="J40" s="49">
        <f>AVERAGE('29.07 Kiwatule-Najjeera'!J40,'02.08 Kiwatule-Najjeera'!J40,'30.07 Kiwatule-Najjeera'!J40,'31.07 Kiwatule-Najjeera'!J40,'01.08 Kiwatule-Najjeera-24h'!J40,'03.08 Kiwatule-Najjeera-24h'!J40,'04.08 Kiwatule-Najjeera'!J40)</f>
        <v>1.8571428571428572</v>
      </c>
      <c r="K40" s="49">
        <f>AVERAGE('29.07 Kiwatule-Najjeera'!K40,'02.08 Kiwatule-Najjeera'!K40,'30.07 Kiwatule-Najjeera'!K40,'31.07 Kiwatule-Najjeera'!K40,'01.08 Kiwatule-Najjeera-24h'!K40,'03.08 Kiwatule-Najjeera-24h'!K40,'04.08 Kiwatule-Najjeera'!K40)</f>
        <v>0.14285714285714285</v>
      </c>
      <c r="L40" s="49">
        <f>AVERAGE('29.07 Kiwatule-Najjeera'!L40,'02.08 Kiwatule-Najjeera'!L40,'30.07 Kiwatule-Najjeera'!L40,'31.07 Kiwatule-Najjeera'!L40,'01.08 Kiwatule-Najjeera-24h'!L40,'03.08 Kiwatule-Najjeera-24h'!L40,'04.08 Kiwatule-Najjeera'!L40)</f>
        <v>0</v>
      </c>
      <c r="M40" s="49">
        <f>AVERAGE('29.07 Kiwatule-Najjeera'!M40,'02.08 Kiwatule-Najjeera'!M40,'30.07 Kiwatule-Najjeera'!M40,'31.07 Kiwatule-Najjeera'!M40,'01.08 Kiwatule-Najjeera-24h'!M40,'03.08 Kiwatule-Najjeera-24h'!M40,'04.08 Kiwatule-Najjeera'!M40)</f>
        <v>37.285714285714285</v>
      </c>
      <c r="N40" s="49">
        <f>AVERAGE('29.07 Kiwatule-Najjeera'!N40,'02.08 Kiwatule-Najjeera'!N40,'30.07 Kiwatule-Najjeera'!N40,'31.07 Kiwatule-Najjeera'!N40,'01.08 Kiwatule-Najjeera-24h'!N40,'03.08 Kiwatule-Najjeera-24h'!N40,'04.08 Kiwatule-Najjeera'!N40)</f>
        <v>0</v>
      </c>
      <c r="O40" s="15">
        <f t="shared" si="0"/>
        <v>72.714285714285722</v>
      </c>
      <c r="P40" s="15">
        <f t="shared" si="1"/>
        <v>110</v>
      </c>
      <c r="R40" s="5" t="s">
        <v>17</v>
      </c>
      <c r="S40" s="16">
        <f t="shared" ref="S40:AF40" si="32">SUM(S10:S21)</f>
        <v>2483.7142857142858</v>
      </c>
      <c r="T40" s="16">
        <f t="shared" si="32"/>
        <v>457.71428571428572</v>
      </c>
      <c r="U40" s="16">
        <f t="shared" si="32"/>
        <v>182.85714285714286</v>
      </c>
      <c r="V40" s="16">
        <f t="shared" si="32"/>
        <v>774.42857142857144</v>
      </c>
      <c r="W40" s="16">
        <f t="shared" si="32"/>
        <v>27.285714285714281</v>
      </c>
      <c r="X40" s="16">
        <f t="shared" si="32"/>
        <v>5.428571428571427</v>
      </c>
      <c r="Y40" s="16">
        <f t="shared" si="32"/>
        <v>241.85714285714286</v>
      </c>
      <c r="Z40" s="16">
        <f t="shared" si="32"/>
        <v>28</v>
      </c>
      <c r="AA40" s="16">
        <f t="shared" si="32"/>
        <v>12.714285714285715</v>
      </c>
      <c r="AB40" s="16">
        <f t="shared" si="32"/>
        <v>4.2857142857142847</v>
      </c>
      <c r="AC40" s="16">
        <f t="shared" si="32"/>
        <v>2288.8571428571427</v>
      </c>
      <c r="AD40" s="16">
        <f t="shared" si="32"/>
        <v>0</v>
      </c>
      <c r="AE40" s="32">
        <f t="shared" si="32"/>
        <v>4218.2857142857138</v>
      </c>
      <c r="AF40" s="32">
        <f t="shared" si="32"/>
        <v>6507.1428571428569</v>
      </c>
    </row>
    <row r="41" spans="2:32" ht="23.1" customHeight="1">
      <c r="B41" s="23" t="s">
        <v>68</v>
      </c>
      <c r="C41" s="49">
        <f>AVERAGE('29.07 Kiwatule-Najjeera'!C41,'02.08 Kiwatule-Najjeera'!C41,'30.07 Kiwatule-Najjeera'!C41,'31.07 Kiwatule-Najjeera'!C41,'01.08 Kiwatule-Najjeera-24h'!C41,'03.08 Kiwatule-Najjeera-24h'!C41,'04.08 Kiwatule-Najjeera'!C41)</f>
        <v>42.714285714285715</v>
      </c>
      <c r="D41" s="49">
        <f>AVERAGE('29.07 Kiwatule-Najjeera'!D41,'02.08 Kiwatule-Najjeera'!D41,'30.07 Kiwatule-Najjeera'!D41,'31.07 Kiwatule-Najjeera'!D41,'01.08 Kiwatule-Najjeera-24h'!D41,'03.08 Kiwatule-Najjeera-24h'!D41,'04.08 Kiwatule-Najjeera'!D41)</f>
        <v>10.285714285714286</v>
      </c>
      <c r="E41" s="49">
        <f>AVERAGE('29.07 Kiwatule-Najjeera'!E41,'02.08 Kiwatule-Najjeera'!E41,'30.07 Kiwatule-Najjeera'!E41,'31.07 Kiwatule-Najjeera'!E41,'01.08 Kiwatule-Najjeera-24h'!E41,'03.08 Kiwatule-Najjeera-24h'!E41,'04.08 Kiwatule-Najjeera'!E41)</f>
        <v>4.8571428571428568</v>
      </c>
      <c r="F41" s="49">
        <f>AVERAGE('29.07 Kiwatule-Najjeera'!F41,'02.08 Kiwatule-Najjeera'!F41,'30.07 Kiwatule-Najjeera'!F41,'31.07 Kiwatule-Najjeera'!F41,'01.08 Kiwatule-Najjeera-24h'!F41,'03.08 Kiwatule-Najjeera-24h'!F41,'04.08 Kiwatule-Najjeera'!F41)</f>
        <v>17</v>
      </c>
      <c r="G41" s="49">
        <f>AVERAGE('29.07 Kiwatule-Najjeera'!G41,'02.08 Kiwatule-Najjeera'!G41,'30.07 Kiwatule-Najjeera'!G41,'31.07 Kiwatule-Najjeera'!G41,'01.08 Kiwatule-Najjeera-24h'!G41,'03.08 Kiwatule-Najjeera-24h'!G41,'04.08 Kiwatule-Najjeera'!G41)</f>
        <v>0.5714285714285714</v>
      </c>
      <c r="H41" s="49">
        <f>AVERAGE('29.07 Kiwatule-Najjeera'!H41,'02.08 Kiwatule-Najjeera'!H41,'30.07 Kiwatule-Najjeera'!H41,'31.07 Kiwatule-Najjeera'!H41,'01.08 Kiwatule-Najjeera-24h'!H41,'03.08 Kiwatule-Najjeera-24h'!H41,'04.08 Kiwatule-Najjeera'!H41)</f>
        <v>0.2857142857142857</v>
      </c>
      <c r="I41" s="49">
        <f>AVERAGE('29.07 Kiwatule-Najjeera'!I41,'02.08 Kiwatule-Najjeera'!I41,'30.07 Kiwatule-Najjeera'!I41,'31.07 Kiwatule-Najjeera'!I41,'01.08 Kiwatule-Najjeera-24h'!I41,'03.08 Kiwatule-Najjeera-24h'!I41,'04.08 Kiwatule-Najjeera'!I41)</f>
        <v>6</v>
      </c>
      <c r="J41" s="49">
        <f>AVERAGE('29.07 Kiwatule-Najjeera'!J41,'02.08 Kiwatule-Najjeera'!J41,'30.07 Kiwatule-Najjeera'!J41,'31.07 Kiwatule-Najjeera'!J41,'01.08 Kiwatule-Najjeera-24h'!J41,'03.08 Kiwatule-Najjeera-24h'!J41,'04.08 Kiwatule-Najjeera'!J41)</f>
        <v>0.14285714285714285</v>
      </c>
      <c r="K41" s="49">
        <f>AVERAGE('29.07 Kiwatule-Najjeera'!K41,'02.08 Kiwatule-Najjeera'!K41,'30.07 Kiwatule-Najjeera'!K41,'31.07 Kiwatule-Najjeera'!K41,'01.08 Kiwatule-Najjeera-24h'!K41,'03.08 Kiwatule-Najjeera-24h'!K41,'04.08 Kiwatule-Najjeera'!K41)</f>
        <v>0</v>
      </c>
      <c r="L41" s="49">
        <f>AVERAGE('29.07 Kiwatule-Najjeera'!L41,'02.08 Kiwatule-Najjeera'!L41,'30.07 Kiwatule-Najjeera'!L41,'31.07 Kiwatule-Najjeera'!L41,'01.08 Kiwatule-Najjeera-24h'!L41,'03.08 Kiwatule-Najjeera-24h'!L41,'04.08 Kiwatule-Najjeera'!L41)</f>
        <v>0</v>
      </c>
      <c r="M41" s="49">
        <f>AVERAGE('29.07 Kiwatule-Najjeera'!M41,'02.08 Kiwatule-Najjeera'!M41,'30.07 Kiwatule-Najjeera'!M41,'31.07 Kiwatule-Najjeera'!M41,'01.08 Kiwatule-Najjeera-24h'!M41,'03.08 Kiwatule-Najjeera-24h'!M41,'04.08 Kiwatule-Najjeera'!M41)</f>
        <v>36.142857142857146</v>
      </c>
      <c r="N41" s="49">
        <f>AVERAGE('29.07 Kiwatule-Najjeera'!N41,'02.08 Kiwatule-Najjeera'!N41,'30.07 Kiwatule-Najjeera'!N41,'31.07 Kiwatule-Najjeera'!N41,'01.08 Kiwatule-Najjeera-24h'!N41,'03.08 Kiwatule-Najjeera-24h'!N41,'04.08 Kiwatule-Najjeera'!N41)</f>
        <v>0</v>
      </c>
      <c r="O41" s="15">
        <f t="shared" si="0"/>
        <v>81.857142857142861</v>
      </c>
      <c r="P41" s="15">
        <f t="shared" si="1"/>
        <v>118</v>
      </c>
      <c r="R41" s="5" t="s">
        <v>184</v>
      </c>
      <c r="S41" s="55">
        <f>SUM(S10:S33)</f>
        <v>5496.7142857142862</v>
      </c>
      <c r="T41" s="55">
        <f t="shared" ref="T41:AD41" si="33">SUM(T10:T33)</f>
        <v>1054.2142857142858</v>
      </c>
      <c r="U41" s="55">
        <f t="shared" si="33"/>
        <v>336.85714285714289</v>
      </c>
      <c r="V41" s="55">
        <f t="shared" si="33"/>
        <v>1112.9285714285716</v>
      </c>
      <c r="W41" s="55">
        <f t="shared" si="33"/>
        <v>33.285714285714278</v>
      </c>
      <c r="X41" s="55">
        <f t="shared" si="33"/>
        <v>6.428571428571427</v>
      </c>
      <c r="Y41" s="55">
        <f t="shared" si="33"/>
        <v>300.35714285714289</v>
      </c>
      <c r="Z41" s="55">
        <f t="shared" si="33"/>
        <v>39</v>
      </c>
      <c r="AA41" s="55">
        <f t="shared" si="33"/>
        <v>14.714285714285715</v>
      </c>
      <c r="AB41" s="55">
        <f t="shared" si="33"/>
        <v>5.2857142857142847</v>
      </c>
      <c r="AC41" s="55">
        <f t="shared" si="33"/>
        <v>4068.8571428571427</v>
      </c>
      <c r="AD41" s="55">
        <f t="shared" si="33"/>
        <v>0.5</v>
      </c>
      <c r="AE41" s="56">
        <f>SUM(AE10:AE33)</f>
        <v>8400.2857142857138</v>
      </c>
      <c r="AF41" s="56">
        <f>SUM(AF10:AF33)</f>
        <v>12469.142857142857</v>
      </c>
    </row>
    <row r="42" spans="2:32" ht="23.1" customHeight="1">
      <c r="B42" s="24" t="s">
        <v>69</v>
      </c>
      <c r="C42" s="49">
        <f>AVERAGE('29.07 Kiwatule-Najjeera'!C42,'02.08 Kiwatule-Najjeera'!C42,'30.07 Kiwatule-Najjeera'!C42,'31.07 Kiwatule-Najjeera'!C42,'01.08 Kiwatule-Najjeera-24h'!C42,'03.08 Kiwatule-Najjeera-24h'!C42,'04.08 Kiwatule-Najjeera'!C42)</f>
        <v>61</v>
      </c>
      <c r="D42" s="49">
        <f>AVERAGE('29.07 Kiwatule-Najjeera'!D42,'02.08 Kiwatule-Najjeera'!D42,'30.07 Kiwatule-Najjeera'!D42,'31.07 Kiwatule-Najjeera'!D42,'01.08 Kiwatule-Najjeera-24h'!D42,'03.08 Kiwatule-Najjeera-24h'!D42,'04.08 Kiwatule-Najjeera'!D42)</f>
        <v>7.8571428571428568</v>
      </c>
      <c r="E42" s="49">
        <f>AVERAGE('29.07 Kiwatule-Najjeera'!E42,'02.08 Kiwatule-Najjeera'!E42,'30.07 Kiwatule-Najjeera'!E42,'31.07 Kiwatule-Najjeera'!E42,'01.08 Kiwatule-Najjeera-24h'!E42,'03.08 Kiwatule-Najjeera-24h'!E42,'04.08 Kiwatule-Najjeera'!E42)</f>
        <v>3.8571428571428572</v>
      </c>
      <c r="F42" s="49">
        <f>AVERAGE('29.07 Kiwatule-Najjeera'!F42,'02.08 Kiwatule-Najjeera'!F42,'30.07 Kiwatule-Najjeera'!F42,'31.07 Kiwatule-Najjeera'!F42,'01.08 Kiwatule-Najjeera-24h'!F42,'03.08 Kiwatule-Najjeera-24h'!F42,'04.08 Kiwatule-Najjeera'!F42)</f>
        <v>15.857142857142858</v>
      </c>
      <c r="G42" s="49">
        <f>AVERAGE('29.07 Kiwatule-Najjeera'!G42,'02.08 Kiwatule-Najjeera'!G42,'30.07 Kiwatule-Najjeera'!G42,'31.07 Kiwatule-Najjeera'!G42,'01.08 Kiwatule-Najjeera-24h'!G42,'03.08 Kiwatule-Najjeera-24h'!G42,'04.08 Kiwatule-Najjeera'!G42)</f>
        <v>0.8571428571428571</v>
      </c>
      <c r="H42" s="49">
        <f>AVERAGE('29.07 Kiwatule-Najjeera'!H42,'02.08 Kiwatule-Najjeera'!H42,'30.07 Kiwatule-Najjeera'!H42,'31.07 Kiwatule-Najjeera'!H42,'01.08 Kiwatule-Najjeera-24h'!H42,'03.08 Kiwatule-Najjeera-24h'!H42,'04.08 Kiwatule-Najjeera'!H42)</f>
        <v>0</v>
      </c>
      <c r="I42" s="49">
        <f>AVERAGE('29.07 Kiwatule-Najjeera'!I42,'02.08 Kiwatule-Najjeera'!I42,'30.07 Kiwatule-Najjeera'!I42,'31.07 Kiwatule-Najjeera'!I42,'01.08 Kiwatule-Najjeera-24h'!I42,'03.08 Kiwatule-Najjeera-24h'!I42,'04.08 Kiwatule-Najjeera'!I42)</f>
        <v>8</v>
      </c>
      <c r="J42" s="49">
        <f>AVERAGE('29.07 Kiwatule-Najjeera'!J42,'02.08 Kiwatule-Najjeera'!J42,'30.07 Kiwatule-Najjeera'!J42,'31.07 Kiwatule-Najjeera'!J42,'01.08 Kiwatule-Najjeera-24h'!J42,'03.08 Kiwatule-Najjeera-24h'!J42,'04.08 Kiwatule-Najjeera'!J42)</f>
        <v>0.5714285714285714</v>
      </c>
      <c r="K42" s="49">
        <f>AVERAGE('29.07 Kiwatule-Najjeera'!K42,'02.08 Kiwatule-Najjeera'!K42,'30.07 Kiwatule-Najjeera'!K42,'31.07 Kiwatule-Najjeera'!K42,'01.08 Kiwatule-Najjeera-24h'!K42,'03.08 Kiwatule-Najjeera-24h'!K42,'04.08 Kiwatule-Najjeera'!K42)</f>
        <v>0.42857142857142855</v>
      </c>
      <c r="L42" s="49">
        <f>AVERAGE('29.07 Kiwatule-Najjeera'!L42,'02.08 Kiwatule-Najjeera'!L42,'30.07 Kiwatule-Najjeera'!L42,'31.07 Kiwatule-Najjeera'!L42,'01.08 Kiwatule-Najjeera-24h'!L42,'03.08 Kiwatule-Najjeera-24h'!L42,'04.08 Kiwatule-Najjeera'!L42)</f>
        <v>0</v>
      </c>
      <c r="M42" s="49">
        <f>AVERAGE('29.07 Kiwatule-Najjeera'!M42,'02.08 Kiwatule-Najjeera'!M42,'30.07 Kiwatule-Najjeera'!M42,'31.07 Kiwatule-Najjeera'!M42,'01.08 Kiwatule-Najjeera-24h'!M42,'03.08 Kiwatule-Najjeera-24h'!M42,'04.08 Kiwatule-Najjeera'!M42)</f>
        <v>42.428571428571431</v>
      </c>
      <c r="N42" s="49">
        <f>AVERAGE('29.07 Kiwatule-Najjeera'!N42,'02.08 Kiwatule-Najjeera'!N42,'30.07 Kiwatule-Najjeera'!N42,'31.07 Kiwatule-Najjeera'!N42,'01.08 Kiwatule-Najjeera-24h'!N42,'03.08 Kiwatule-Najjeera-24h'!N42,'04.08 Kiwatule-Najjeera'!N42)</f>
        <v>0</v>
      </c>
      <c r="O42" s="15">
        <f t="shared" si="0"/>
        <v>98.428571428571445</v>
      </c>
      <c r="P42" s="15">
        <f t="shared" si="1"/>
        <v>140.85714285714289</v>
      </c>
      <c r="R42" s="5" t="s">
        <v>160</v>
      </c>
      <c r="S42" s="48">
        <f>S41/S40</f>
        <v>2.2131024962613597</v>
      </c>
      <c r="T42" s="48">
        <f t="shared" ref="T42:AF42" si="34">T41/T40</f>
        <v>2.303214731585518</v>
      </c>
      <c r="U42" s="48">
        <f t="shared" si="34"/>
        <v>1.8421875000000001</v>
      </c>
      <c r="V42" s="48">
        <f t="shared" si="34"/>
        <v>1.4370964766648222</v>
      </c>
      <c r="W42" s="48">
        <f t="shared" si="34"/>
        <v>1.2198952879581151</v>
      </c>
      <c r="X42" s="48">
        <f t="shared" si="34"/>
        <v>1.1842105263157896</v>
      </c>
      <c r="Y42" s="48">
        <f t="shared" si="34"/>
        <v>1.2418783225044301</v>
      </c>
      <c r="Z42" s="48">
        <f t="shared" si="34"/>
        <v>1.3928571428571428</v>
      </c>
      <c r="AA42" s="48">
        <f t="shared" si="34"/>
        <v>1.1573033707865168</v>
      </c>
      <c r="AB42" s="48">
        <f t="shared" si="34"/>
        <v>1.2333333333333334</v>
      </c>
      <c r="AC42" s="48">
        <f t="shared" si="34"/>
        <v>1.7776806890525527</v>
      </c>
      <c r="AD42" s="48" t="e">
        <f>AD41/AD40</f>
        <v>#DIV/0!</v>
      </c>
      <c r="AE42" s="54">
        <f t="shared" si="34"/>
        <v>1.991397995123273</v>
      </c>
      <c r="AF42" s="54">
        <f t="shared" si="34"/>
        <v>1.9162239297475303</v>
      </c>
    </row>
    <row r="43" spans="2:32" ht="23.1" customHeight="1">
      <c r="B43" s="23" t="s">
        <v>70</v>
      </c>
      <c r="C43" s="49">
        <f>AVERAGE('29.07 Kiwatule-Najjeera'!C43,'02.08 Kiwatule-Najjeera'!C43,'30.07 Kiwatule-Najjeera'!C43,'31.07 Kiwatule-Najjeera'!C43,'01.08 Kiwatule-Najjeera-24h'!C43,'03.08 Kiwatule-Najjeera-24h'!C43,'04.08 Kiwatule-Najjeera'!C43)</f>
        <v>50.285714285714285</v>
      </c>
      <c r="D43" s="49">
        <f>AVERAGE('29.07 Kiwatule-Najjeera'!D43,'02.08 Kiwatule-Najjeera'!D43,'30.07 Kiwatule-Najjeera'!D43,'31.07 Kiwatule-Najjeera'!D43,'01.08 Kiwatule-Najjeera-24h'!D43,'03.08 Kiwatule-Najjeera-24h'!D43,'04.08 Kiwatule-Najjeera'!D43)</f>
        <v>11.857142857142858</v>
      </c>
      <c r="E43" s="49">
        <f>AVERAGE('29.07 Kiwatule-Najjeera'!E43,'02.08 Kiwatule-Najjeera'!E43,'30.07 Kiwatule-Najjeera'!E43,'31.07 Kiwatule-Najjeera'!E43,'01.08 Kiwatule-Najjeera-24h'!E43,'03.08 Kiwatule-Najjeera-24h'!E43,'04.08 Kiwatule-Najjeera'!E43)</f>
        <v>6.5714285714285712</v>
      </c>
      <c r="F43" s="49">
        <f>AVERAGE('29.07 Kiwatule-Najjeera'!F43,'02.08 Kiwatule-Najjeera'!F43,'30.07 Kiwatule-Najjeera'!F43,'31.07 Kiwatule-Najjeera'!F43,'01.08 Kiwatule-Najjeera-24h'!F43,'03.08 Kiwatule-Najjeera-24h'!F43,'04.08 Kiwatule-Najjeera'!F43)</f>
        <v>12.571428571428571</v>
      </c>
      <c r="G43" s="49">
        <f>AVERAGE('29.07 Kiwatule-Najjeera'!G43,'02.08 Kiwatule-Najjeera'!G43,'30.07 Kiwatule-Najjeera'!G43,'31.07 Kiwatule-Najjeera'!G43,'01.08 Kiwatule-Najjeera-24h'!G43,'03.08 Kiwatule-Najjeera-24h'!G43,'04.08 Kiwatule-Najjeera'!G43)</f>
        <v>0.7142857142857143</v>
      </c>
      <c r="H43" s="49">
        <f>AVERAGE('29.07 Kiwatule-Najjeera'!H43,'02.08 Kiwatule-Najjeera'!H43,'30.07 Kiwatule-Najjeera'!H43,'31.07 Kiwatule-Najjeera'!H43,'01.08 Kiwatule-Najjeera-24h'!H43,'03.08 Kiwatule-Najjeera-24h'!H43,'04.08 Kiwatule-Najjeera'!H43)</f>
        <v>0.42857142857142855</v>
      </c>
      <c r="I43" s="49">
        <f>AVERAGE('29.07 Kiwatule-Najjeera'!I43,'02.08 Kiwatule-Najjeera'!I43,'30.07 Kiwatule-Najjeera'!I43,'31.07 Kiwatule-Najjeera'!I43,'01.08 Kiwatule-Najjeera-24h'!I43,'03.08 Kiwatule-Najjeera-24h'!I43,'04.08 Kiwatule-Najjeera'!I43)</f>
        <v>4.4285714285714288</v>
      </c>
      <c r="J43" s="49">
        <f>AVERAGE('29.07 Kiwatule-Najjeera'!J43,'02.08 Kiwatule-Najjeera'!J43,'30.07 Kiwatule-Najjeera'!J43,'31.07 Kiwatule-Najjeera'!J43,'01.08 Kiwatule-Najjeera-24h'!J43,'03.08 Kiwatule-Najjeera-24h'!J43,'04.08 Kiwatule-Najjeera'!J43)</f>
        <v>0.5714285714285714</v>
      </c>
      <c r="K43" s="49">
        <f>AVERAGE('29.07 Kiwatule-Najjeera'!K43,'02.08 Kiwatule-Najjeera'!K43,'30.07 Kiwatule-Najjeera'!K43,'31.07 Kiwatule-Najjeera'!K43,'01.08 Kiwatule-Najjeera-24h'!K43,'03.08 Kiwatule-Najjeera-24h'!K43,'04.08 Kiwatule-Najjeera'!K43)</f>
        <v>0</v>
      </c>
      <c r="L43" s="49">
        <f>AVERAGE('29.07 Kiwatule-Najjeera'!L43,'02.08 Kiwatule-Najjeera'!L43,'30.07 Kiwatule-Najjeera'!L43,'31.07 Kiwatule-Najjeera'!L43,'01.08 Kiwatule-Najjeera-24h'!L43,'03.08 Kiwatule-Najjeera-24h'!L43,'04.08 Kiwatule-Najjeera'!L43)</f>
        <v>0.14285714285714285</v>
      </c>
      <c r="M43" s="49">
        <f>AVERAGE('29.07 Kiwatule-Najjeera'!M43,'02.08 Kiwatule-Najjeera'!M43,'30.07 Kiwatule-Najjeera'!M43,'31.07 Kiwatule-Najjeera'!M43,'01.08 Kiwatule-Najjeera-24h'!M43,'03.08 Kiwatule-Najjeera-24h'!M43,'04.08 Kiwatule-Najjeera'!M43)</f>
        <v>48.142857142857146</v>
      </c>
      <c r="N43" s="49">
        <f>AVERAGE('29.07 Kiwatule-Najjeera'!N43,'02.08 Kiwatule-Najjeera'!N43,'30.07 Kiwatule-Najjeera'!N43,'31.07 Kiwatule-Najjeera'!N43,'01.08 Kiwatule-Najjeera-24h'!N43,'03.08 Kiwatule-Najjeera-24h'!N43,'04.08 Kiwatule-Najjeera'!N43)</f>
        <v>0</v>
      </c>
      <c r="O43" s="15">
        <f t="shared" si="0"/>
        <v>87.571428571428555</v>
      </c>
      <c r="P43" s="15">
        <f t="shared" si="1"/>
        <v>135.71428571428569</v>
      </c>
    </row>
    <row r="44" spans="2:32" ht="23.1" customHeight="1">
      <c r="B44" s="25" t="s">
        <v>71</v>
      </c>
      <c r="C44" s="49">
        <f>AVERAGE('29.07 Kiwatule-Najjeera'!C44,'02.08 Kiwatule-Najjeera'!C44,'30.07 Kiwatule-Najjeera'!C44,'31.07 Kiwatule-Najjeera'!C44,'01.08 Kiwatule-Najjeera-24h'!C44,'03.08 Kiwatule-Najjeera-24h'!C44,'04.08 Kiwatule-Najjeera'!C44)</f>
        <v>63.714285714285715</v>
      </c>
      <c r="D44" s="49">
        <f>AVERAGE('29.07 Kiwatule-Najjeera'!D44,'02.08 Kiwatule-Najjeera'!D44,'30.07 Kiwatule-Najjeera'!D44,'31.07 Kiwatule-Najjeera'!D44,'01.08 Kiwatule-Najjeera-24h'!D44,'03.08 Kiwatule-Najjeera-24h'!D44,'04.08 Kiwatule-Najjeera'!D44)</f>
        <v>7.2857142857142856</v>
      </c>
      <c r="E44" s="49">
        <f>AVERAGE('29.07 Kiwatule-Najjeera'!E44,'02.08 Kiwatule-Najjeera'!E44,'30.07 Kiwatule-Najjeera'!E44,'31.07 Kiwatule-Najjeera'!E44,'01.08 Kiwatule-Najjeera-24h'!E44,'03.08 Kiwatule-Najjeera-24h'!E44,'04.08 Kiwatule-Najjeera'!E44)</f>
        <v>4.2857142857142856</v>
      </c>
      <c r="F44" s="49">
        <f>AVERAGE('29.07 Kiwatule-Najjeera'!F44,'02.08 Kiwatule-Najjeera'!F44,'30.07 Kiwatule-Najjeera'!F44,'31.07 Kiwatule-Najjeera'!F44,'01.08 Kiwatule-Najjeera-24h'!F44,'03.08 Kiwatule-Najjeera-24h'!F44,'04.08 Kiwatule-Najjeera'!F44)</f>
        <v>13.571428571428571</v>
      </c>
      <c r="G44" s="49">
        <f>AVERAGE('29.07 Kiwatule-Najjeera'!G44,'02.08 Kiwatule-Najjeera'!G44,'30.07 Kiwatule-Najjeera'!G44,'31.07 Kiwatule-Najjeera'!G44,'01.08 Kiwatule-Najjeera-24h'!G44,'03.08 Kiwatule-Najjeera-24h'!G44,'04.08 Kiwatule-Najjeera'!G44)</f>
        <v>0.42857142857142855</v>
      </c>
      <c r="H44" s="49">
        <f>AVERAGE('29.07 Kiwatule-Najjeera'!H44,'02.08 Kiwatule-Najjeera'!H44,'30.07 Kiwatule-Najjeera'!H44,'31.07 Kiwatule-Najjeera'!H44,'01.08 Kiwatule-Najjeera-24h'!H44,'03.08 Kiwatule-Najjeera-24h'!H44,'04.08 Kiwatule-Najjeera'!H44)</f>
        <v>0</v>
      </c>
      <c r="I44" s="49">
        <f>AVERAGE('29.07 Kiwatule-Najjeera'!I44,'02.08 Kiwatule-Najjeera'!I44,'30.07 Kiwatule-Najjeera'!I44,'31.07 Kiwatule-Najjeera'!I44,'01.08 Kiwatule-Najjeera-24h'!I44,'03.08 Kiwatule-Najjeera-24h'!I44,'04.08 Kiwatule-Najjeera'!I44)</f>
        <v>7</v>
      </c>
      <c r="J44" s="49">
        <f>AVERAGE('29.07 Kiwatule-Najjeera'!J44,'02.08 Kiwatule-Najjeera'!J44,'30.07 Kiwatule-Najjeera'!J44,'31.07 Kiwatule-Najjeera'!J44,'01.08 Kiwatule-Najjeera-24h'!J44,'03.08 Kiwatule-Najjeera-24h'!J44,'04.08 Kiwatule-Najjeera'!J44)</f>
        <v>0.7142857142857143</v>
      </c>
      <c r="K44" s="49">
        <f>AVERAGE('29.07 Kiwatule-Najjeera'!K44,'02.08 Kiwatule-Najjeera'!K44,'30.07 Kiwatule-Najjeera'!K44,'31.07 Kiwatule-Najjeera'!K44,'01.08 Kiwatule-Najjeera-24h'!K44,'03.08 Kiwatule-Najjeera-24h'!K44,'04.08 Kiwatule-Najjeera'!K44)</f>
        <v>0.2857142857142857</v>
      </c>
      <c r="L44" s="49">
        <f>AVERAGE('29.07 Kiwatule-Najjeera'!L44,'02.08 Kiwatule-Najjeera'!L44,'30.07 Kiwatule-Najjeera'!L44,'31.07 Kiwatule-Najjeera'!L44,'01.08 Kiwatule-Najjeera-24h'!L44,'03.08 Kiwatule-Najjeera-24h'!L44,'04.08 Kiwatule-Najjeera'!L44)</f>
        <v>0.14285714285714285</v>
      </c>
      <c r="M44" s="49">
        <f>AVERAGE('29.07 Kiwatule-Najjeera'!M44,'02.08 Kiwatule-Najjeera'!M44,'30.07 Kiwatule-Najjeera'!M44,'31.07 Kiwatule-Najjeera'!M44,'01.08 Kiwatule-Najjeera-24h'!M44,'03.08 Kiwatule-Najjeera-24h'!M44,'04.08 Kiwatule-Najjeera'!M44)</f>
        <v>51</v>
      </c>
      <c r="N44" s="49">
        <f>AVERAGE('29.07 Kiwatule-Najjeera'!N44,'02.08 Kiwatule-Najjeera'!N44,'30.07 Kiwatule-Najjeera'!N44,'31.07 Kiwatule-Najjeera'!N44,'01.08 Kiwatule-Najjeera-24h'!N44,'03.08 Kiwatule-Najjeera-24h'!N44,'04.08 Kiwatule-Najjeera'!N44)</f>
        <v>0</v>
      </c>
      <c r="O44" s="15">
        <f t="shared" si="0"/>
        <v>97.428571428571431</v>
      </c>
      <c r="P44" s="15">
        <f t="shared" si="1"/>
        <v>148.42857142857144</v>
      </c>
    </row>
    <row r="45" spans="2:32" ht="23.1" customHeight="1">
      <c r="B45" s="23" t="s">
        <v>72</v>
      </c>
      <c r="C45" s="49">
        <f>AVERAGE('29.07 Kiwatule-Najjeera'!C45,'02.08 Kiwatule-Najjeera'!C45,'30.07 Kiwatule-Najjeera'!C45,'31.07 Kiwatule-Najjeera'!C45,'01.08 Kiwatule-Najjeera-24h'!C45,'03.08 Kiwatule-Najjeera-24h'!C45,'04.08 Kiwatule-Najjeera'!C45)</f>
        <v>55.571428571428569</v>
      </c>
      <c r="D45" s="49">
        <f>AVERAGE('29.07 Kiwatule-Najjeera'!D45,'02.08 Kiwatule-Najjeera'!D45,'30.07 Kiwatule-Najjeera'!D45,'31.07 Kiwatule-Najjeera'!D45,'01.08 Kiwatule-Najjeera-24h'!D45,'03.08 Kiwatule-Najjeera-24h'!D45,'04.08 Kiwatule-Najjeera'!D45)</f>
        <v>8.4285714285714288</v>
      </c>
      <c r="E45" s="49">
        <f>AVERAGE('29.07 Kiwatule-Najjeera'!E45,'02.08 Kiwatule-Najjeera'!E45,'30.07 Kiwatule-Najjeera'!E45,'31.07 Kiwatule-Najjeera'!E45,'01.08 Kiwatule-Najjeera-24h'!E45,'03.08 Kiwatule-Najjeera-24h'!E45,'04.08 Kiwatule-Najjeera'!E45)</f>
        <v>2.5714285714285716</v>
      </c>
      <c r="F45" s="49">
        <f>AVERAGE('29.07 Kiwatule-Najjeera'!F45,'02.08 Kiwatule-Najjeera'!F45,'30.07 Kiwatule-Najjeera'!F45,'31.07 Kiwatule-Najjeera'!F45,'01.08 Kiwatule-Najjeera-24h'!F45,'03.08 Kiwatule-Najjeera-24h'!F45,'04.08 Kiwatule-Najjeera'!F45)</f>
        <v>15</v>
      </c>
      <c r="G45" s="49">
        <f>AVERAGE('29.07 Kiwatule-Najjeera'!G45,'02.08 Kiwatule-Najjeera'!G45,'30.07 Kiwatule-Najjeera'!G45,'31.07 Kiwatule-Najjeera'!G45,'01.08 Kiwatule-Najjeera-24h'!G45,'03.08 Kiwatule-Najjeera-24h'!G45,'04.08 Kiwatule-Najjeera'!G45)</f>
        <v>0.5714285714285714</v>
      </c>
      <c r="H45" s="49">
        <f>AVERAGE('29.07 Kiwatule-Najjeera'!H45,'02.08 Kiwatule-Najjeera'!H45,'30.07 Kiwatule-Najjeera'!H45,'31.07 Kiwatule-Najjeera'!H45,'01.08 Kiwatule-Najjeera-24h'!H45,'03.08 Kiwatule-Najjeera-24h'!H45,'04.08 Kiwatule-Najjeera'!H45)</f>
        <v>0</v>
      </c>
      <c r="I45" s="49">
        <f>AVERAGE('29.07 Kiwatule-Najjeera'!I45,'02.08 Kiwatule-Najjeera'!I45,'30.07 Kiwatule-Najjeera'!I45,'31.07 Kiwatule-Najjeera'!I45,'01.08 Kiwatule-Najjeera-24h'!I45,'03.08 Kiwatule-Najjeera-24h'!I45,'04.08 Kiwatule-Najjeera'!I45)</f>
        <v>4.8571428571428568</v>
      </c>
      <c r="J45" s="49">
        <f>AVERAGE('29.07 Kiwatule-Najjeera'!J45,'02.08 Kiwatule-Najjeera'!J45,'30.07 Kiwatule-Najjeera'!J45,'31.07 Kiwatule-Najjeera'!J45,'01.08 Kiwatule-Najjeera-24h'!J45,'03.08 Kiwatule-Najjeera-24h'!J45,'04.08 Kiwatule-Najjeera'!J45)</f>
        <v>0.8571428571428571</v>
      </c>
      <c r="K45" s="49">
        <f>AVERAGE('29.07 Kiwatule-Najjeera'!K45,'02.08 Kiwatule-Najjeera'!K45,'30.07 Kiwatule-Najjeera'!K45,'31.07 Kiwatule-Najjeera'!K45,'01.08 Kiwatule-Najjeera-24h'!K45,'03.08 Kiwatule-Najjeera-24h'!K45,'04.08 Kiwatule-Najjeera'!K45)</f>
        <v>0.42857142857142855</v>
      </c>
      <c r="L45" s="49">
        <f>AVERAGE('29.07 Kiwatule-Najjeera'!L45,'02.08 Kiwatule-Najjeera'!L45,'30.07 Kiwatule-Najjeera'!L45,'31.07 Kiwatule-Najjeera'!L45,'01.08 Kiwatule-Najjeera-24h'!L45,'03.08 Kiwatule-Najjeera-24h'!L45,'04.08 Kiwatule-Najjeera'!L45)</f>
        <v>0.14285714285714285</v>
      </c>
      <c r="M45" s="49">
        <f>AVERAGE('29.07 Kiwatule-Najjeera'!M45,'02.08 Kiwatule-Najjeera'!M45,'30.07 Kiwatule-Najjeera'!M45,'31.07 Kiwatule-Najjeera'!M45,'01.08 Kiwatule-Najjeera-24h'!M45,'03.08 Kiwatule-Najjeera-24h'!M45,'04.08 Kiwatule-Najjeera'!M45)</f>
        <v>51.428571428571431</v>
      </c>
      <c r="N45" s="49">
        <f>AVERAGE('29.07 Kiwatule-Najjeera'!N45,'02.08 Kiwatule-Najjeera'!N45,'30.07 Kiwatule-Najjeera'!N45,'31.07 Kiwatule-Najjeera'!N45,'01.08 Kiwatule-Najjeera-24h'!N45,'03.08 Kiwatule-Najjeera-24h'!N45,'04.08 Kiwatule-Najjeera'!N45)</f>
        <v>0</v>
      </c>
      <c r="O45" s="15">
        <f t="shared" si="0"/>
        <v>88.428571428571431</v>
      </c>
      <c r="P45" s="15">
        <f t="shared" si="1"/>
        <v>139.85714285714286</v>
      </c>
    </row>
    <row r="46" spans="2:32" ht="23.1" customHeight="1">
      <c r="B46" s="24" t="s">
        <v>73</v>
      </c>
      <c r="C46" s="49">
        <f>AVERAGE('29.07 Kiwatule-Najjeera'!C46,'02.08 Kiwatule-Najjeera'!C46,'30.07 Kiwatule-Najjeera'!C46,'31.07 Kiwatule-Najjeera'!C46,'01.08 Kiwatule-Najjeera-24h'!C46,'03.08 Kiwatule-Najjeera-24h'!C46,'04.08 Kiwatule-Najjeera'!C46)</f>
        <v>70.857142857142861</v>
      </c>
      <c r="D46" s="49">
        <f>AVERAGE('29.07 Kiwatule-Najjeera'!D46,'02.08 Kiwatule-Najjeera'!D46,'30.07 Kiwatule-Najjeera'!D46,'31.07 Kiwatule-Najjeera'!D46,'01.08 Kiwatule-Najjeera-24h'!D46,'03.08 Kiwatule-Najjeera-24h'!D46,'04.08 Kiwatule-Najjeera'!D46)</f>
        <v>8.1428571428571423</v>
      </c>
      <c r="E46" s="49">
        <f>AVERAGE('29.07 Kiwatule-Najjeera'!E46,'02.08 Kiwatule-Najjeera'!E46,'30.07 Kiwatule-Najjeera'!E46,'31.07 Kiwatule-Najjeera'!E46,'01.08 Kiwatule-Najjeera-24h'!E46,'03.08 Kiwatule-Najjeera-24h'!E46,'04.08 Kiwatule-Najjeera'!E46)</f>
        <v>3.7142857142857144</v>
      </c>
      <c r="F46" s="49">
        <f>AVERAGE('29.07 Kiwatule-Najjeera'!F46,'02.08 Kiwatule-Najjeera'!F46,'30.07 Kiwatule-Najjeera'!F46,'31.07 Kiwatule-Najjeera'!F46,'01.08 Kiwatule-Najjeera-24h'!F46,'03.08 Kiwatule-Najjeera-24h'!F46,'04.08 Kiwatule-Najjeera'!F46)</f>
        <v>12.714285714285714</v>
      </c>
      <c r="G46" s="49">
        <f>AVERAGE('29.07 Kiwatule-Najjeera'!G46,'02.08 Kiwatule-Najjeera'!G46,'30.07 Kiwatule-Najjeera'!G46,'31.07 Kiwatule-Najjeera'!G46,'01.08 Kiwatule-Najjeera-24h'!G46,'03.08 Kiwatule-Najjeera-24h'!G46,'04.08 Kiwatule-Najjeera'!G46)</f>
        <v>0.5714285714285714</v>
      </c>
      <c r="H46" s="49">
        <f>AVERAGE('29.07 Kiwatule-Najjeera'!H46,'02.08 Kiwatule-Najjeera'!H46,'30.07 Kiwatule-Najjeera'!H46,'31.07 Kiwatule-Najjeera'!H46,'01.08 Kiwatule-Najjeera-24h'!H46,'03.08 Kiwatule-Najjeera-24h'!H46,'04.08 Kiwatule-Najjeera'!H46)</f>
        <v>0</v>
      </c>
      <c r="I46" s="49">
        <f>AVERAGE('29.07 Kiwatule-Najjeera'!I46,'02.08 Kiwatule-Najjeera'!I46,'30.07 Kiwatule-Najjeera'!I46,'31.07 Kiwatule-Najjeera'!I46,'01.08 Kiwatule-Najjeera-24h'!I46,'03.08 Kiwatule-Najjeera-24h'!I46,'04.08 Kiwatule-Najjeera'!I46)</f>
        <v>5.2857142857142856</v>
      </c>
      <c r="J46" s="49">
        <f>AVERAGE('29.07 Kiwatule-Najjeera'!J46,'02.08 Kiwatule-Najjeera'!J46,'30.07 Kiwatule-Najjeera'!J46,'31.07 Kiwatule-Najjeera'!J46,'01.08 Kiwatule-Najjeera-24h'!J46,'03.08 Kiwatule-Najjeera-24h'!J46,'04.08 Kiwatule-Najjeera'!J46)</f>
        <v>0.42857142857142855</v>
      </c>
      <c r="K46" s="49">
        <f>AVERAGE('29.07 Kiwatule-Najjeera'!K46,'02.08 Kiwatule-Najjeera'!K46,'30.07 Kiwatule-Najjeera'!K46,'31.07 Kiwatule-Najjeera'!K46,'01.08 Kiwatule-Najjeera-24h'!K46,'03.08 Kiwatule-Najjeera-24h'!K46,'04.08 Kiwatule-Najjeera'!K46)</f>
        <v>0.5714285714285714</v>
      </c>
      <c r="L46" s="49">
        <f>AVERAGE('29.07 Kiwatule-Najjeera'!L46,'02.08 Kiwatule-Najjeera'!L46,'30.07 Kiwatule-Najjeera'!L46,'31.07 Kiwatule-Najjeera'!L46,'01.08 Kiwatule-Najjeera-24h'!L46,'03.08 Kiwatule-Najjeera-24h'!L46,'04.08 Kiwatule-Najjeera'!L46)</f>
        <v>0.14285714285714285</v>
      </c>
      <c r="M46" s="49">
        <f>AVERAGE('29.07 Kiwatule-Najjeera'!M46,'02.08 Kiwatule-Najjeera'!M46,'30.07 Kiwatule-Najjeera'!M46,'31.07 Kiwatule-Najjeera'!M46,'01.08 Kiwatule-Najjeera-24h'!M46,'03.08 Kiwatule-Najjeera-24h'!M46,'04.08 Kiwatule-Najjeera'!M46)</f>
        <v>39.285714285714285</v>
      </c>
      <c r="N46" s="49">
        <f>AVERAGE('29.07 Kiwatule-Najjeera'!N46,'02.08 Kiwatule-Najjeera'!N46,'30.07 Kiwatule-Najjeera'!N46,'31.07 Kiwatule-Najjeera'!N46,'01.08 Kiwatule-Najjeera-24h'!N46,'03.08 Kiwatule-Najjeera-24h'!N46,'04.08 Kiwatule-Najjeera'!N46)</f>
        <v>0</v>
      </c>
      <c r="O46" s="15">
        <f t="shared" si="0"/>
        <v>102.42857142857142</v>
      </c>
      <c r="P46" s="15">
        <f t="shared" si="1"/>
        <v>141.71428571428569</v>
      </c>
      <c r="R46" s="8"/>
      <c r="T46"/>
    </row>
    <row r="47" spans="2:32" ht="23.1" customHeight="1">
      <c r="B47" s="24" t="s">
        <v>74</v>
      </c>
      <c r="C47" s="49">
        <f>AVERAGE('29.07 Kiwatule-Najjeera'!C47,'02.08 Kiwatule-Najjeera'!C47,'30.07 Kiwatule-Najjeera'!C47,'31.07 Kiwatule-Najjeera'!C47,'01.08 Kiwatule-Najjeera-24h'!C47,'03.08 Kiwatule-Najjeera-24h'!C47,'04.08 Kiwatule-Najjeera'!C47)</f>
        <v>77.428571428571431</v>
      </c>
      <c r="D47" s="49">
        <f>AVERAGE('29.07 Kiwatule-Najjeera'!D47,'02.08 Kiwatule-Najjeera'!D47,'30.07 Kiwatule-Najjeera'!D47,'31.07 Kiwatule-Najjeera'!D47,'01.08 Kiwatule-Najjeera-24h'!D47,'03.08 Kiwatule-Najjeera-24h'!D47,'04.08 Kiwatule-Najjeera'!D47)</f>
        <v>13.285714285714286</v>
      </c>
      <c r="E47" s="49">
        <f>AVERAGE('29.07 Kiwatule-Najjeera'!E47,'02.08 Kiwatule-Najjeera'!E47,'30.07 Kiwatule-Najjeera'!E47,'31.07 Kiwatule-Najjeera'!E47,'01.08 Kiwatule-Najjeera-24h'!E47,'03.08 Kiwatule-Najjeera-24h'!E47,'04.08 Kiwatule-Najjeera'!E47)</f>
        <v>3.8571428571428572</v>
      </c>
      <c r="F47" s="49">
        <f>AVERAGE('29.07 Kiwatule-Najjeera'!F47,'02.08 Kiwatule-Najjeera'!F47,'30.07 Kiwatule-Najjeera'!F47,'31.07 Kiwatule-Najjeera'!F47,'01.08 Kiwatule-Najjeera-24h'!F47,'03.08 Kiwatule-Najjeera-24h'!F47,'04.08 Kiwatule-Najjeera'!F47)</f>
        <v>14.142857142857142</v>
      </c>
      <c r="G47" s="49">
        <f>AVERAGE('29.07 Kiwatule-Najjeera'!G47,'02.08 Kiwatule-Najjeera'!G47,'30.07 Kiwatule-Najjeera'!G47,'31.07 Kiwatule-Najjeera'!G47,'01.08 Kiwatule-Najjeera-24h'!G47,'03.08 Kiwatule-Najjeera-24h'!G47,'04.08 Kiwatule-Najjeera'!G47)</f>
        <v>0</v>
      </c>
      <c r="H47" s="49">
        <f>AVERAGE('29.07 Kiwatule-Najjeera'!H47,'02.08 Kiwatule-Najjeera'!H47,'30.07 Kiwatule-Najjeera'!H47,'31.07 Kiwatule-Najjeera'!H47,'01.08 Kiwatule-Najjeera-24h'!H47,'03.08 Kiwatule-Najjeera-24h'!H47,'04.08 Kiwatule-Najjeera'!H47)</f>
        <v>0.14285714285714285</v>
      </c>
      <c r="I47" s="49">
        <f>AVERAGE('29.07 Kiwatule-Najjeera'!I47,'02.08 Kiwatule-Najjeera'!I47,'30.07 Kiwatule-Najjeera'!I47,'31.07 Kiwatule-Najjeera'!I47,'01.08 Kiwatule-Najjeera-24h'!I47,'03.08 Kiwatule-Najjeera-24h'!I47,'04.08 Kiwatule-Najjeera'!I47)</f>
        <v>4</v>
      </c>
      <c r="J47" s="49">
        <f>AVERAGE('29.07 Kiwatule-Najjeera'!J47,'02.08 Kiwatule-Najjeera'!J47,'30.07 Kiwatule-Najjeera'!J47,'31.07 Kiwatule-Najjeera'!J47,'01.08 Kiwatule-Najjeera-24h'!J47,'03.08 Kiwatule-Najjeera-24h'!J47,'04.08 Kiwatule-Najjeera'!J47)</f>
        <v>0.42857142857142855</v>
      </c>
      <c r="K47" s="49">
        <f>AVERAGE('29.07 Kiwatule-Najjeera'!K47,'02.08 Kiwatule-Najjeera'!K47,'30.07 Kiwatule-Najjeera'!K47,'31.07 Kiwatule-Najjeera'!K47,'01.08 Kiwatule-Najjeera-24h'!K47,'03.08 Kiwatule-Najjeera-24h'!K47,'04.08 Kiwatule-Najjeera'!K47)</f>
        <v>0.42857142857142855</v>
      </c>
      <c r="L47" s="49">
        <f>AVERAGE('29.07 Kiwatule-Najjeera'!L47,'02.08 Kiwatule-Najjeera'!L47,'30.07 Kiwatule-Najjeera'!L47,'31.07 Kiwatule-Najjeera'!L47,'01.08 Kiwatule-Najjeera-24h'!L47,'03.08 Kiwatule-Najjeera-24h'!L47,'04.08 Kiwatule-Najjeera'!L47)</f>
        <v>0</v>
      </c>
      <c r="M47" s="49">
        <f>AVERAGE('29.07 Kiwatule-Najjeera'!M47,'02.08 Kiwatule-Najjeera'!M47,'30.07 Kiwatule-Najjeera'!M47,'31.07 Kiwatule-Najjeera'!M47,'01.08 Kiwatule-Najjeera-24h'!M47,'03.08 Kiwatule-Najjeera-24h'!M47,'04.08 Kiwatule-Najjeera'!M47)</f>
        <v>37.285714285714285</v>
      </c>
      <c r="N47" s="49">
        <f>AVERAGE('29.07 Kiwatule-Najjeera'!N47,'02.08 Kiwatule-Najjeera'!N47,'30.07 Kiwatule-Najjeera'!N47,'31.07 Kiwatule-Najjeera'!N47,'01.08 Kiwatule-Najjeera-24h'!N47,'03.08 Kiwatule-Najjeera-24h'!N47,'04.08 Kiwatule-Najjeera'!N47)</f>
        <v>0</v>
      </c>
      <c r="O47" s="15">
        <f t="shared" si="0"/>
        <v>113.71428571428572</v>
      </c>
      <c r="P47" s="15">
        <f t="shared" si="1"/>
        <v>151</v>
      </c>
      <c r="R47" s="8"/>
      <c r="T47"/>
    </row>
    <row r="48" spans="2:32" ht="23.1" customHeight="1">
      <c r="B48" s="24" t="s">
        <v>75</v>
      </c>
      <c r="C48" s="49">
        <f>AVERAGE('29.07 Kiwatule-Najjeera'!C48,'02.08 Kiwatule-Najjeera'!C48,'30.07 Kiwatule-Najjeera'!C48,'31.07 Kiwatule-Najjeera'!C48,'01.08 Kiwatule-Najjeera-24h'!C48,'03.08 Kiwatule-Najjeera-24h'!C48,'04.08 Kiwatule-Najjeera'!C48)</f>
        <v>78.142857142857139</v>
      </c>
      <c r="D48" s="49">
        <f>AVERAGE('29.07 Kiwatule-Najjeera'!D48,'02.08 Kiwatule-Najjeera'!D48,'30.07 Kiwatule-Najjeera'!D48,'31.07 Kiwatule-Najjeera'!D48,'01.08 Kiwatule-Najjeera-24h'!D48,'03.08 Kiwatule-Najjeera-24h'!D48,'04.08 Kiwatule-Najjeera'!D48)</f>
        <v>18</v>
      </c>
      <c r="E48" s="49">
        <f>AVERAGE('29.07 Kiwatule-Najjeera'!E48,'02.08 Kiwatule-Najjeera'!E48,'30.07 Kiwatule-Najjeera'!E48,'31.07 Kiwatule-Najjeera'!E48,'01.08 Kiwatule-Najjeera-24h'!E48,'03.08 Kiwatule-Najjeera-24h'!E48,'04.08 Kiwatule-Najjeera'!E48)</f>
        <v>5.2857142857142856</v>
      </c>
      <c r="F48" s="49">
        <f>AVERAGE('29.07 Kiwatule-Najjeera'!F48,'02.08 Kiwatule-Najjeera'!F48,'30.07 Kiwatule-Najjeera'!F48,'31.07 Kiwatule-Najjeera'!F48,'01.08 Kiwatule-Najjeera-24h'!F48,'03.08 Kiwatule-Najjeera-24h'!F48,'04.08 Kiwatule-Najjeera'!F48)</f>
        <v>12.857142857142858</v>
      </c>
      <c r="G48" s="49">
        <f>AVERAGE('29.07 Kiwatule-Najjeera'!G48,'02.08 Kiwatule-Najjeera'!G48,'30.07 Kiwatule-Najjeera'!G48,'31.07 Kiwatule-Najjeera'!G48,'01.08 Kiwatule-Najjeera-24h'!G48,'03.08 Kiwatule-Najjeera-24h'!G48,'04.08 Kiwatule-Najjeera'!G48)</f>
        <v>0.2857142857142857</v>
      </c>
      <c r="H48" s="49">
        <f>AVERAGE('29.07 Kiwatule-Najjeera'!H48,'02.08 Kiwatule-Najjeera'!H48,'30.07 Kiwatule-Najjeera'!H48,'31.07 Kiwatule-Najjeera'!H48,'01.08 Kiwatule-Najjeera-24h'!H48,'03.08 Kiwatule-Najjeera-24h'!H48,'04.08 Kiwatule-Najjeera'!H48)</f>
        <v>0</v>
      </c>
      <c r="I48" s="49">
        <f>AVERAGE('29.07 Kiwatule-Najjeera'!I48,'02.08 Kiwatule-Najjeera'!I48,'30.07 Kiwatule-Najjeera'!I48,'31.07 Kiwatule-Najjeera'!I48,'01.08 Kiwatule-Najjeera-24h'!I48,'03.08 Kiwatule-Najjeera-24h'!I48,'04.08 Kiwatule-Najjeera'!I48)</f>
        <v>6.1428571428571432</v>
      </c>
      <c r="J48" s="49">
        <f>AVERAGE('29.07 Kiwatule-Najjeera'!J48,'02.08 Kiwatule-Najjeera'!J48,'30.07 Kiwatule-Najjeera'!J48,'31.07 Kiwatule-Najjeera'!J48,'01.08 Kiwatule-Najjeera-24h'!J48,'03.08 Kiwatule-Najjeera-24h'!J48,'04.08 Kiwatule-Najjeera'!J48)</f>
        <v>0.14285714285714285</v>
      </c>
      <c r="K48" s="49">
        <f>AVERAGE('29.07 Kiwatule-Najjeera'!K48,'02.08 Kiwatule-Najjeera'!K48,'30.07 Kiwatule-Najjeera'!K48,'31.07 Kiwatule-Najjeera'!K48,'01.08 Kiwatule-Najjeera-24h'!K48,'03.08 Kiwatule-Najjeera-24h'!K48,'04.08 Kiwatule-Najjeera'!K48)</f>
        <v>0.5714285714285714</v>
      </c>
      <c r="L48" s="49">
        <f>AVERAGE('29.07 Kiwatule-Najjeera'!L48,'02.08 Kiwatule-Najjeera'!L48,'30.07 Kiwatule-Najjeera'!L48,'31.07 Kiwatule-Najjeera'!L48,'01.08 Kiwatule-Najjeera-24h'!L48,'03.08 Kiwatule-Najjeera-24h'!L48,'04.08 Kiwatule-Najjeera'!L48)</f>
        <v>0</v>
      </c>
      <c r="M48" s="49">
        <f>AVERAGE('29.07 Kiwatule-Najjeera'!M48,'02.08 Kiwatule-Najjeera'!M48,'30.07 Kiwatule-Najjeera'!M48,'31.07 Kiwatule-Najjeera'!M48,'01.08 Kiwatule-Najjeera-24h'!M48,'03.08 Kiwatule-Najjeera-24h'!M48,'04.08 Kiwatule-Najjeera'!M48)</f>
        <v>54.857142857142854</v>
      </c>
      <c r="N48" s="49">
        <f>AVERAGE('29.07 Kiwatule-Najjeera'!N48,'02.08 Kiwatule-Najjeera'!N48,'30.07 Kiwatule-Najjeera'!N48,'31.07 Kiwatule-Najjeera'!N48,'01.08 Kiwatule-Najjeera-24h'!N48,'03.08 Kiwatule-Najjeera-24h'!N48,'04.08 Kiwatule-Najjeera'!N48)</f>
        <v>0</v>
      </c>
      <c r="O48" s="15">
        <f t="shared" si="0"/>
        <v>121.42857142857143</v>
      </c>
      <c r="P48" s="15">
        <f t="shared" si="1"/>
        <v>176.28571428571428</v>
      </c>
      <c r="R48" s="8"/>
      <c r="T48"/>
    </row>
    <row r="49" spans="2:20" ht="23.1" customHeight="1">
      <c r="B49" s="23" t="s">
        <v>76</v>
      </c>
      <c r="C49" s="49">
        <f>AVERAGE('29.07 Kiwatule-Najjeera'!C49,'02.08 Kiwatule-Najjeera'!C49,'30.07 Kiwatule-Najjeera'!C49,'31.07 Kiwatule-Najjeera'!C49,'01.08 Kiwatule-Najjeera-24h'!C49,'03.08 Kiwatule-Najjeera-24h'!C49,'04.08 Kiwatule-Najjeera'!C49)</f>
        <v>103.71428571428571</v>
      </c>
      <c r="D49" s="49">
        <f>AVERAGE('29.07 Kiwatule-Najjeera'!D49,'02.08 Kiwatule-Najjeera'!D49,'30.07 Kiwatule-Najjeera'!D49,'31.07 Kiwatule-Najjeera'!D49,'01.08 Kiwatule-Najjeera-24h'!D49,'03.08 Kiwatule-Najjeera-24h'!D49,'04.08 Kiwatule-Najjeera'!D49)</f>
        <v>17.857142857142858</v>
      </c>
      <c r="E49" s="49">
        <f>AVERAGE('29.07 Kiwatule-Najjeera'!E49,'02.08 Kiwatule-Najjeera'!E49,'30.07 Kiwatule-Najjeera'!E49,'31.07 Kiwatule-Najjeera'!E49,'01.08 Kiwatule-Najjeera-24h'!E49,'03.08 Kiwatule-Najjeera-24h'!E49,'04.08 Kiwatule-Najjeera'!E49)</f>
        <v>5.8571428571428568</v>
      </c>
      <c r="F49" s="49">
        <f>AVERAGE('29.07 Kiwatule-Najjeera'!F49,'02.08 Kiwatule-Najjeera'!F49,'30.07 Kiwatule-Najjeera'!F49,'31.07 Kiwatule-Najjeera'!F49,'01.08 Kiwatule-Najjeera-24h'!F49,'03.08 Kiwatule-Najjeera-24h'!F49,'04.08 Kiwatule-Najjeera'!F49)</f>
        <v>13.714285714285714</v>
      </c>
      <c r="G49" s="49">
        <f>AVERAGE('29.07 Kiwatule-Najjeera'!G49,'02.08 Kiwatule-Najjeera'!G49,'30.07 Kiwatule-Najjeera'!G49,'31.07 Kiwatule-Najjeera'!G49,'01.08 Kiwatule-Najjeera-24h'!G49,'03.08 Kiwatule-Najjeera-24h'!G49,'04.08 Kiwatule-Najjeera'!G49)</f>
        <v>0.5714285714285714</v>
      </c>
      <c r="H49" s="49">
        <f>AVERAGE('29.07 Kiwatule-Najjeera'!H49,'02.08 Kiwatule-Najjeera'!H49,'30.07 Kiwatule-Najjeera'!H49,'31.07 Kiwatule-Najjeera'!H49,'01.08 Kiwatule-Najjeera-24h'!H49,'03.08 Kiwatule-Najjeera-24h'!H49,'04.08 Kiwatule-Najjeera'!H49)</f>
        <v>0</v>
      </c>
      <c r="I49" s="49">
        <f>AVERAGE('29.07 Kiwatule-Najjeera'!I49,'02.08 Kiwatule-Najjeera'!I49,'30.07 Kiwatule-Najjeera'!I49,'31.07 Kiwatule-Najjeera'!I49,'01.08 Kiwatule-Najjeera-24h'!I49,'03.08 Kiwatule-Najjeera-24h'!I49,'04.08 Kiwatule-Najjeera'!I49)</f>
        <v>3.1428571428571428</v>
      </c>
      <c r="J49" s="49">
        <f>AVERAGE('29.07 Kiwatule-Najjeera'!J49,'02.08 Kiwatule-Najjeera'!J49,'30.07 Kiwatule-Najjeera'!J49,'31.07 Kiwatule-Najjeera'!J49,'01.08 Kiwatule-Najjeera-24h'!J49,'03.08 Kiwatule-Najjeera-24h'!J49,'04.08 Kiwatule-Najjeera'!J49)</f>
        <v>1.4285714285714286</v>
      </c>
      <c r="K49" s="49">
        <f>AVERAGE('29.07 Kiwatule-Najjeera'!K49,'02.08 Kiwatule-Najjeera'!K49,'30.07 Kiwatule-Najjeera'!K49,'31.07 Kiwatule-Najjeera'!K49,'01.08 Kiwatule-Najjeera-24h'!K49,'03.08 Kiwatule-Najjeera-24h'!K49,'04.08 Kiwatule-Najjeera'!K49)</f>
        <v>0.42857142857142855</v>
      </c>
      <c r="L49" s="49">
        <f>AVERAGE('29.07 Kiwatule-Najjeera'!L49,'02.08 Kiwatule-Najjeera'!L49,'30.07 Kiwatule-Najjeera'!L49,'31.07 Kiwatule-Najjeera'!L49,'01.08 Kiwatule-Najjeera-24h'!L49,'03.08 Kiwatule-Najjeera-24h'!L49,'04.08 Kiwatule-Najjeera'!L49)</f>
        <v>0</v>
      </c>
      <c r="M49" s="49">
        <f>AVERAGE('29.07 Kiwatule-Najjeera'!M49,'02.08 Kiwatule-Najjeera'!M49,'30.07 Kiwatule-Najjeera'!M49,'31.07 Kiwatule-Najjeera'!M49,'01.08 Kiwatule-Najjeera-24h'!M49,'03.08 Kiwatule-Najjeera-24h'!M49,'04.08 Kiwatule-Najjeera'!M49)</f>
        <v>48.571428571428569</v>
      </c>
      <c r="N49" s="49">
        <f>AVERAGE('29.07 Kiwatule-Najjeera'!N49,'02.08 Kiwatule-Najjeera'!N49,'30.07 Kiwatule-Najjeera'!N49,'31.07 Kiwatule-Najjeera'!N49,'01.08 Kiwatule-Najjeera-24h'!N49,'03.08 Kiwatule-Najjeera-24h'!N49,'04.08 Kiwatule-Najjeera'!N49)</f>
        <v>0</v>
      </c>
      <c r="O49" s="15">
        <f t="shared" si="0"/>
        <v>146.71428571428569</v>
      </c>
      <c r="P49" s="15">
        <f t="shared" si="1"/>
        <v>195.28571428571428</v>
      </c>
      <c r="R49" s="8"/>
      <c r="T49"/>
    </row>
    <row r="50" spans="2:20" ht="23.1" customHeight="1">
      <c r="B50" s="24" t="s">
        <v>77</v>
      </c>
      <c r="C50" s="49">
        <f>AVERAGE('29.07 Kiwatule-Najjeera'!C50,'02.08 Kiwatule-Najjeera'!C50,'30.07 Kiwatule-Najjeera'!C50,'31.07 Kiwatule-Najjeera'!C50,'01.08 Kiwatule-Najjeera-24h'!C50,'03.08 Kiwatule-Najjeera-24h'!C50,'04.08 Kiwatule-Najjeera'!C50)</f>
        <v>102.42857142857143</v>
      </c>
      <c r="D50" s="49">
        <f>AVERAGE('29.07 Kiwatule-Najjeera'!D50,'02.08 Kiwatule-Najjeera'!D50,'30.07 Kiwatule-Najjeera'!D50,'31.07 Kiwatule-Najjeera'!D50,'01.08 Kiwatule-Najjeera-24h'!D50,'03.08 Kiwatule-Najjeera-24h'!D50,'04.08 Kiwatule-Najjeera'!D50)</f>
        <v>14.285714285714286</v>
      </c>
      <c r="E50" s="49">
        <f>AVERAGE('29.07 Kiwatule-Najjeera'!E50,'02.08 Kiwatule-Najjeera'!E50,'30.07 Kiwatule-Najjeera'!E50,'31.07 Kiwatule-Najjeera'!E50,'01.08 Kiwatule-Najjeera-24h'!E50,'03.08 Kiwatule-Najjeera-24h'!E50,'04.08 Kiwatule-Najjeera'!E50)</f>
        <v>5.1428571428571432</v>
      </c>
      <c r="F50" s="49">
        <f>AVERAGE('29.07 Kiwatule-Najjeera'!F50,'02.08 Kiwatule-Najjeera'!F50,'30.07 Kiwatule-Najjeera'!F50,'31.07 Kiwatule-Najjeera'!F50,'01.08 Kiwatule-Najjeera-24h'!F50,'03.08 Kiwatule-Najjeera-24h'!F50,'04.08 Kiwatule-Najjeera'!F50)</f>
        <v>15.428571428571429</v>
      </c>
      <c r="G50" s="49">
        <f>AVERAGE('29.07 Kiwatule-Najjeera'!G50,'02.08 Kiwatule-Najjeera'!G50,'30.07 Kiwatule-Najjeera'!G50,'31.07 Kiwatule-Najjeera'!G50,'01.08 Kiwatule-Najjeera-24h'!G50,'03.08 Kiwatule-Najjeera-24h'!G50,'04.08 Kiwatule-Najjeera'!G50)</f>
        <v>1.4285714285714286</v>
      </c>
      <c r="H50" s="49">
        <f>AVERAGE('29.07 Kiwatule-Najjeera'!H50,'02.08 Kiwatule-Najjeera'!H50,'30.07 Kiwatule-Najjeera'!H50,'31.07 Kiwatule-Najjeera'!H50,'01.08 Kiwatule-Najjeera-24h'!H50,'03.08 Kiwatule-Najjeera-24h'!H50,'04.08 Kiwatule-Najjeera'!H50)</f>
        <v>0.14285714285714285</v>
      </c>
      <c r="I50" s="49">
        <f>AVERAGE('29.07 Kiwatule-Najjeera'!I50,'02.08 Kiwatule-Najjeera'!I50,'30.07 Kiwatule-Najjeera'!I50,'31.07 Kiwatule-Najjeera'!I50,'01.08 Kiwatule-Najjeera-24h'!I50,'03.08 Kiwatule-Najjeera-24h'!I50,'04.08 Kiwatule-Najjeera'!I50)</f>
        <v>5.7142857142857144</v>
      </c>
      <c r="J50" s="49">
        <f>AVERAGE('29.07 Kiwatule-Najjeera'!J50,'02.08 Kiwatule-Najjeera'!J50,'30.07 Kiwatule-Najjeera'!J50,'31.07 Kiwatule-Najjeera'!J50,'01.08 Kiwatule-Najjeera-24h'!J50,'03.08 Kiwatule-Najjeera-24h'!J50,'04.08 Kiwatule-Najjeera'!J50)</f>
        <v>1.2857142857142858</v>
      </c>
      <c r="K50" s="49">
        <f>AVERAGE('29.07 Kiwatule-Najjeera'!K50,'02.08 Kiwatule-Najjeera'!K50,'30.07 Kiwatule-Najjeera'!K50,'31.07 Kiwatule-Najjeera'!K50,'01.08 Kiwatule-Najjeera-24h'!K50,'03.08 Kiwatule-Najjeera-24h'!K50,'04.08 Kiwatule-Najjeera'!K50)</f>
        <v>0</v>
      </c>
      <c r="L50" s="49">
        <f>AVERAGE('29.07 Kiwatule-Najjeera'!L50,'02.08 Kiwatule-Najjeera'!L50,'30.07 Kiwatule-Najjeera'!L50,'31.07 Kiwatule-Najjeera'!L50,'01.08 Kiwatule-Najjeera-24h'!L50,'03.08 Kiwatule-Najjeera-24h'!L50,'04.08 Kiwatule-Najjeera'!L50)</f>
        <v>0</v>
      </c>
      <c r="M50" s="49">
        <f>AVERAGE('29.07 Kiwatule-Najjeera'!M50,'02.08 Kiwatule-Najjeera'!M50,'30.07 Kiwatule-Najjeera'!M50,'31.07 Kiwatule-Najjeera'!M50,'01.08 Kiwatule-Najjeera-24h'!M50,'03.08 Kiwatule-Najjeera-24h'!M50,'04.08 Kiwatule-Najjeera'!M50)</f>
        <v>48.571428571428569</v>
      </c>
      <c r="N50" s="49">
        <f>AVERAGE('29.07 Kiwatule-Najjeera'!N50,'02.08 Kiwatule-Najjeera'!N50,'30.07 Kiwatule-Najjeera'!N50,'31.07 Kiwatule-Najjeera'!N50,'01.08 Kiwatule-Najjeera-24h'!N50,'03.08 Kiwatule-Najjeera-24h'!N50,'04.08 Kiwatule-Najjeera'!N50)</f>
        <v>0</v>
      </c>
      <c r="O50" s="15">
        <f t="shared" si="0"/>
        <v>145.85714285714283</v>
      </c>
      <c r="P50" s="15">
        <f t="shared" si="1"/>
        <v>194.42857142857139</v>
      </c>
      <c r="R50" s="8"/>
      <c r="T50"/>
    </row>
    <row r="51" spans="2:20" ht="23.1" customHeight="1">
      <c r="B51" s="24" t="s">
        <v>78</v>
      </c>
      <c r="C51" s="49">
        <f>AVERAGE('29.07 Kiwatule-Najjeera'!C51,'02.08 Kiwatule-Najjeera'!C51,'30.07 Kiwatule-Najjeera'!C51,'31.07 Kiwatule-Najjeera'!C51,'01.08 Kiwatule-Najjeera-24h'!C51,'03.08 Kiwatule-Najjeera-24h'!C51,'04.08 Kiwatule-Najjeera'!C51)</f>
        <v>99.285714285714292</v>
      </c>
      <c r="D51" s="49">
        <f>AVERAGE('29.07 Kiwatule-Najjeera'!D51,'02.08 Kiwatule-Najjeera'!D51,'30.07 Kiwatule-Najjeera'!D51,'31.07 Kiwatule-Najjeera'!D51,'01.08 Kiwatule-Najjeera-24h'!D51,'03.08 Kiwatule-Najjeera-24h'!D51,'04.08 Kiwatule-Najjeera'!D51)</f>
        <v>17.714285714285715</v>
      </c>
      <c r="E51" s="49">
        <f>AVERAGE('29.07 Kiwatule-Najjeera'!E51,'02.08 Kiwatule-Najjeera'!E51,'30.07 Kiwatule-Najjeera'!E51,'31.07 Kiwatule-Najjeera'!E51,'01.08 Kiwatule-Najjeera-24h'!E51,'03.08 Kiwatule-Najjeera-24h'!E51,'04.08 Kiwatule-Najjeera'!E51)</f>
        <v>7.2857142857142856</v>
      </c>
      <c r="F51" s="49">
        <f>AVERAGE('29.07 Kiwatule-Najjeera'!F51,'02.08 Kiwatule-Najjeera'!F51,'30.07 Kiwatule-Najjeera'!F51,'31.07 Kiwatule-Najjeera'!F51,'01.08 Kiwatule-Najjeera-24h'!F51,'03.08 Kiwatule-Najjeera-24h'!F51,'04.08 Kiwatule-Najjeera'!F51)</f>
        <v>13.571428571428571</v>
      </c>
      <c r="G51" s="49">
        <f>AVERAGE('29.07 Kiwatule-Najjeera'!G51,'02.08 Kiwatule-Najjeera'!G51,'30.07 Kiwatule-Najjeera'!G51,'31.07 Kiwatule-Najjeera'!G51,'01.08 Kiwatule-Najjeera-24h'!G51,'03.08 Kiwatule-Najjeera-24h'!G51,'04.08 Kiwatule-Najjeera'!G51)</f>
        <v>0.42857142857142855</v>
      </c>
      <c r="H51" s="49">
        <f>AVERAGE('29.07 Kiwatule-Najjeera'!H51,'02.08 Kiwatule-Najjeera'!H51,'30.07 Kiwatule-Najjeera'!H51,'31.07 Kiwatule-Najjeera'!H51,'01.08 Kiwatule-Najjeera-24h'!H51,'03.08 Kiwatule-Najjeera-24h'!H51,'04.08 Kiwatule-Najjeera'!H51)</f>
        <v>0</v>
      </c>
      <c r="I51" s="49">
        <f>AVERAGE('29.07 Kiwatule-Najjeera'!I51,'02.08 Kiwatule-Najjeera'!I51,'30.07 Kiwatule-Najjeera'!I51,'31.07 Kiwatule-Najjeera'!I51,'01.08 Kiwatule-Najjeera-24h'!I51,'03.08 Kiwatule-Najjeera-24h'!I51,'04.08 Kiwatule-Najjeera'!I51)</f>
        <v>4.7142857142857144</v>
      </c>
      <c r="J51" s="49">
        <f>AVERAGE('29.07 Kiwatule-Najjeera'!J51,'02.08 Kiwatule-Najjeera'!J51,'30.07 Kiwatule-Najjeera'!J51,'31.07 Kiwatule-Najjeera'!J51,'01.08 Kiwatule-Najjeera-24h'!J51,'03.08 Kiwatule-Najjeera-24h'!J51,'04.08 Kiwatule-Najjeera'!J51)</f>
        <v>0.14285714285714285</v>
      </c>
      <c r="K51" s="49">
        <f>AVERAGE('29.07 Kiwatule-Najjeera'!K51,'02.08 Kiwatule-Najjeera'!K51,'30.07 Kiwatule-Najjeera'!K51,'31.07 Kiwatule-Najjeera'!K51,'01.08 Kiwatule-Najjeera-24h'!K51,'03.08 Kiwatule-Najjeera-24h'!K51,'04.08 Kiwatule-Najjeera'!K51)</f>
        <v>0.2857142857142857</v>
      </c>
      <c r="L51" s="49">
        <f>AVERAGE('29.07 Kiwatule-Najjeera'!L51,'02.08 Kiwatule-Najjeera'!L51,'30.07 Kiwatule-Najjeera'!L51,'31.07 Kiwatule-Najjeera'!L51,'01.08 Kiwatule-Najjeera-24h'!L51,'03.08 Kiwatule-Najjeera-24h'!L51,'04.08 Kiwatule-Najjeera'!L51)</f>
        <v>0.2857142857142857</v>
      </c>
      <c r="M51" s="49">
        <f>AVERAGE('29.07 Kiwatule-Najjeera'!M51,'02.08 Kiwatule-Najjeera'!M51,'30.07 Kiwatule-Najjeera'!M51,'31.07 Kiwatule-Najjeera'!M51,'01.08 Kiwatule-Najjeera-24h'!M51,'03.08 Kiwatule-Najjeera-24h'!M51,'04.08 Kiwatule-Najjeera'!M51)</f>
        <v>55.142857142857146</v>
      </c>
      <c r="N51" s="49">
        <f>AVERAGE('29.07 Kiwatule-Najjeera'!N51,'02.08 Kiwatule-Najjeera'!N51,'30.07 Kiwatule-Najjeera'!N51,'31.07 Kiwatule-Najjeera'!N51,'01.08 Kiwatule-Najjeera-24h'!N51,'03.08 Kiwatule-Najjeera-24h'!N51,'04.08 Kiwatule-Najjeera'!N51)</f>
        <v>0</v>
      </c>
      <c r="O51" s="15">
        <f t="shared" si="0"/>
        <v>143.71428571428569</v>
      </c>
      <c r="P51" s="15">
        <f t="shared" si="1"/>
        <v>198.85714285714283</v>
      </c>
      <c r="R51" s="8"/>
      <c r="T51"/>
    </row>
    <row r="52" spans="2:20" ht="23.1" customHeight="1">
      <c r="B52" s="24" t="s">
        <v>79</v>
      </c>
      <c r="C52" s="49">
        <f>AVERAGE('29.07 Kiwatule-Najjeera'!C52,'02.08 Kiwatule-Najjeera'!C52,'30.07 Kiwatule-Najjeera'!C52,'31.07 Kiwatule-Najjeera'!C52,'01.08 Kiwatule-Najjeera-24h'!C52,'03.08 Kiwatule-Najjeera-24h'!C52,'04.08 Kiwatule-Najjeera'!C52)</f>
        <v>88</v>
      </c>
      <c r="D52" s="49">
        <f>AVERAGE('29.07 Kiwatule-Najjeera'!D52,'02.08 Kiwatule-Najjeera'!D52,'30.07 Kiwatule-Najjeera'!D52,'31.07 Kiwatule-Najjeera'!D52,'01.08 Kiwatule-Najjeera-24h'!D52,'03.08 Kiwatule-Najjeera-24h'!D52,'04.08 Kiwatule-Najjeera'!D52)</f>
        <v>18.857142857142858</v>
      </c>
      <c r="E52" s="49">
        <f>AVERAGE('29.07 Kiwatule-Najjeera'!E52,'02.08 Kiwatule-Najjeera'!E52,'30.07 Kiwatule-Najjeera'!E52,'31.07 Kiwatule-Najjeera'!E52,'01.08 Kiwatule-Najjeera-24h'!E52,'03.08 Kiwatule-Najjeera-24h'!E52,'04.08 Kiwatule-Najjeera'!E52)</f>
        <v>6</v>
      </c>
      <c r="F52" s="49">
        <f>AVERAGE('29.07 Kiwatule-Najjeera'!F52,'02.08 Kiwatule-Najjeera'!F52,'30.07 Kiwatule-Najjeera'!F52,'31.07 Kiwatule-Najjeera'!F52,'01.08 Kiwatule-Najjeera-24h'!F52,'03.08 Kiwatule-Najjeera-24h'!F52,'04.08 Kiwatule-Najjeera'!F52)</f>
        <v>13.142857142857142</v>
      </c>
      <c r="G52" s="49">
        <f>AVERAGE('29.07 Kiwatule-Najjeera'!G52,'02.08 Kiwatule-Najjeera'!G52,'30.07 Kiwatule-Najjeera'!G52,'31.07 Kiwatule-Najjeera'!G52,'01.08 Kiwatule-Najjeera-24h'!G52,'03.08 Kiwatule-Najjeera-24h'!G52,'04.08 Kiwatule-Najjeera'!G52)</f>
        <v>0.42857142857142855</v>
      </c>
      <c r="H52" s="49">
        <f>AVERAGE('29.07 Kiwatule-Najjeera'!H52,'02.08 Kiwatule-Najjeera'!H52,'30.07 Kiwatule-Najjeera'!H52,'31.07 Kiwatule-Najjeera'!H52,'01.08 Kiwatule-Najjeera-24h'!H52,'03.08 Kiwatule-Najjeera-24h'!H52,'04.08 Kiwatule-Najjeera'!H52)</f>
        <v>0.14285714285714285</v>
      </c>
      <c r="I52" s="49">
        <f>AVERAGE('29.07 Kiwatule-Najjeera'!I52,'02.08 Kiwatule-Najjeera'!I52,'30.07 Kiwatule-Najjeera'!I52,'31.07 Kiwatule-Najjeera'!I52,'01.08 Kiwatule-Najjeera-24h'!I52,'03.08 Kiwatule-Najjeera-24h'!I52,'04.08 Kiwatule-Najjeera'!I52)</f>
        <v>2.2857142857142856</v>
      </c>
      <c r="J52" s="49">
        <f>AVERAGE('29.07 Kiwatule-Najjeera'!J52,'02.08 Kiwatule-Najjeera'!J52,'30.07 Kiwatule-Najjeera'!J52,'31.07 Kiwatule-Najjeera'!J52,'01.08 Kiwatule-Najjeera-24h'!J52,'03.08 Kiwatule-Najjeera-24h'!J52,'04.08 Kiwatule-Najjeera'!J52)</f>
        <v>0.7142857142857143</v>
      </c>
      <c r="K52" s="49">
        <f>AVERAGE('29.07 Kiwatule-Najjeera'!K52,'02.08 Kiwatule-Najjeera'!K52,'30.07 Kiwatule-Najjeera'!K52,'31.07 Kiwatule-Najjeera'!K52,'01.08 Kiwatule-Najjeera-24h'!K52,'03.08 Kiwatule-Najjeera-24h'!K52,'04.08 Kiwatule-Najjeera'!K52)</f>
        <v>0</v>
      </c>
      <c r="L52" s="49">
        <f>AVERAGE('29.07 Kiwatule-Najjeera'!L52,'02.08 Kiwatule-Najjeera'!L52,'30.07 Kiwatule-Najjeera'!L52,'31.07 Kiwatule-Najjeera'!L52,'01.08 Kiwatule-Najjeera-24h'!L52,'03.08 Kiwatule-Najjeera-24h'!L52,'04.08 Kiwatule-Najjeera'!L52)</f>
        <v>0</v>
      </c>
      <c r="M52" s="49">
        <f>AVERAGE('29.07 Kiwatule-Najjeera'!M52,'02.08 Kiwatule-Najjeera'!M52,'30.07 Kiwatule-Najjeera'!M52,'31.07 Kiwatule-Najjeera'!M52,'01.08 Kiwatule-Najjeera-24h'!M52,'03.08 Kiwatule-Najjeera-24h'!M52,'04.08 Kiwatule-Najjeera'!M52)</f>
        <v>72.142857142857139</v>
      </c>
      <c r="N52" s="49">
        <f>AVERAGE('29.07 Kiwatule-Najjeera'!N52,'02.08 Kiwatule-Najjeera'!N52,'30.07 Kiwatule-Najjeera'!N52,'31.07 Kiwatule-Najjeera'!N52,'01.08 Kiwatule-Najjeera-24h'!N52,'03.08 Kiwatule-Najjeera-24h'!N52,'04.08 Kiwatule-Najjeera'!N52)</f>
        <v>0</v>
      </c>
      <c r="O52" s="15">
        <f t="shared" si="0"/>
        <v>129.57142857142858</v>
      </c>
      <c r="P52" s="15">
        <f t="shared" si="1"/>
        <v>201.71428571428572</v>
      </c>
      <c r="R52" s="8"/>
      <c r="T52"/>
    </row>
    <row r="53" spans="2:20" ht="23.1" customHeight="1">
      <c r="B53" s="23" t="s">
        <v>80</v>
      </c>
      <c r="C53" s="49">
        <f>AVERAGE('29.07 Kiwatule-Najjeera'!C53,'02.08 Kiwatule-Najjeera'!C53,'30.07 Kiwatule-Najjeera'!C53,'31.07 Kiwatule-Najjeera'!C53,'01.08 Kiwatule-Najjeera-24h'!C53,'03.08 Kiwatule-Najjeera-24h'!C53,'04.08 Kiwatule-Najjeera'!C53)</f>
        <v>83.142857142857139</v>
      </c>
      <c r="D53" s="49">
        <f>AVERAGE('29.07 Kiwatule-Najjeera'!D53,'02.08 Kiwatule-Najjeera'!D53,'30.07 Kiwatule-Najjeera'!D53,'31.07 Kiwatule-Najjeera'!D53,'01.08 Kiwatule-Najjeera-24h'!D53,'03.08 Kiwatule-Najjeera-24h'!D53,'04.08 Kiwatule-Najjeera'!D53)</f>
        <v>12.285714285714286</v>
      </c>
      <c r="E53" s="49">
        <f>AVERAGE('29.07 Kiwatule-Najjeera'!E53,'02.08 Kiwatule-Najjeera'!E53,'30.07 Kiwatule-Najjeera'!E53,'31.07 Kiwatule-Najjeera'!E53,'01.08 Kiwatule-Najjeera-24h'!E53,'03.08 Kiwatule-Najjeera-24h'!E53,'04.08 Kiwatule-Najjeera'!E53)</f>
        <v>7</v>
      </c>
      <c r="F53" s="49">
        <f>AVERAGE('29.07 Kiwatule-Najjeera'!F53,'02.08 Kiwatule-Najjeera'!F53,'30.07 Kiwatule-Najjeera'!F53,'31.07 Kiwatule-Najjeera'!F53,'01.08 Kiwatule-Najjeera-24h'!F53,'03.08 Kiwatule-Najjeera-24h'!F53,'04.08 Kiwatule-Najjeera'!F53)</f>
        <v>16.857142857142858</v>
      </c>
      <c r="G53" s="49">
        <f>AVERAGE('29.07 Kiwatule-Najjeera'!G53,'02.08 Kiwatule-Najjeera'!G53,'30.07 Kiwatule-Najjeera'!G53,'31.07 Kiwatule-Najjeera'!G53,'01.08 Kiwatule-Najjeera-24h'!G53,'03.08 Kiwatule-Najjeera-24h'!G53,'04.08 Kiwatule-Najjeera'!G53)</f>
        <v>0.7142857142857143</v>
      </c>
      <c r="H53" s="49">
        <f>AVERAGE('29.07 Kiwatule-Najjeera'!H53,'02.08 Kiwatule-Najjeera'!H53,'30.07 Kiwatule-Najjeera'!H53,'31.07 Kiwatule-Najjeera'!H53,'01.08 Kiwatule-Najjeera-24h'!H53,'03.08 Kiwatule-Najjeera-24h'!H53,'04.08 Kiwatule-Najjeera'!H53)</f>
        <v>0.14285714285714285</v>
      </c>
      <c r="I53" s="49">
        <f>AVERAGE('29.07 Kiwatule-Najjeera'!I53,'02.08 Kiwatule-Najjeera'!I53,'30.07 Kiwatule-Najjeera'!I53,'31.07 Kiwatule-Najjeera'!I53,'01.08 Kiwatule-Najjeera-24h'!I53,'03.08 Kiwatule-Najjeera-24h'!I53,'04.08 Kiwatule-Najjeera'!I53)</f>
        <v>4.8571428571428568</v>
      </c>
      <c r="J53" s="49">
        <f>AVERAGE('29.07 Kiwatule-Najjeera'!J53,'02.08 Kiwatule-Najjeera'!J53,'30.07 Kiwatule-Najjeera'!J53,'31.07 Kiwatule-Najjeera'!J53,'01.08 Kiwatule-Najjeera-24h'!J53,'03.08 Kiwatule-Najjeera-24h'!J53,'04.08 Kiwatule-Najjeera'!J53)</f>
        <v>0.7142857142857143</v>
      </c>
      <c r="K53" s="49">
        <f>AVERAGE('29.07 Kiwatule-Najjeera'!K53,'02.08 Kiwatule-Najjeera'!K53,'30.07 Kiwatule-Najjeera'!K53,'31.07 Kiwatule-Najjeera'!K53,'01.08 Kiwatule-Najjeera-24h'!K53,'03.08 Kiwatule-Najjeera-24h'!K53,'04.08 Kiwatule-Najjeera'!K53)</f>
        <v>0.14285714285714285</v>
      </c>
      <c r="L53" s="49">
        <f>AVERAGE('29.07 Kiwatule-Najjeera'!L53,'02.08 Kiwatule-Najjeera'!L53,'30.07 Kiwatule-Najjeera'!L53,'31.07 Kiwatule-Najjeera'!L53,'01.08 Kiwatule-Najjeera-24h'!L53,'03.08 Kiwatule-Najjeera-24h'!L53,'04.08 Kiwatule-Najjeera'!L53)</f>
        <v>0</v>
      </c>
      <c r="M53" s="49">
        <f>AVERAGE('29.07 Kiwatule-Najjeera'!M53,'02.08 Kiwatule-Najjeera'!M53,'30.07 Kiwatule-Najjeera'!M53,'31.07 Kiwatule-Najjeera'!M53,'01.08 Kiwatule-Najjeera-24h'!M53,'03.08 Kiwatule-Najjeera-24h'!M53,'04.08 Kiwatule-Najjeera'!M53)</f>
        <v>80.571428571428569</v>
      </c>
      <c r="N53" s="49">
        <f>AVERAGE('29.07 Kiwatule-Najjeera'!N53,'02.08 Kiwatule-Najjeera'!N53,'30.07 Kiwatule-Najjeera'!N53,'31.07 Kiwatule-Najjeera'!N53,'01.08 Kiwatule-Najjeera-24h'!N53,'03.08 Kiwatule-Najjeera-24h'!N53,'04.08 Kiwatule-Najjeera'!N53)</f>
        <v>0</v>
      </c>
      <c r="O53" s="15">
        <f t="shared" si="0"/>
        <v>125.85714285714285</v>
      </c>
      <c r="P53" s="15">
        <f t="shared" si="1"/>
        <v>206.42857142857142</v>
      </c>
      <c r="R53" s="8"/>
      <c r="T53"/>
    </row>
    <row r="54" spans="2:20" ht="23.1" customHeight="1">
      <c r="B54" s="23" t="s">
        <v>81</v>
      </c>
      <c r="C54" s="49">
        <f>AVERAGE('29.07 Kiwatule-Najjeera'!C54,'02.08 Kiwatule-Najjeera'!C54,'30.07 Kiwatule-Najjeera'!C54,'31.07 Kiwatule-Najjeera'!C54,'01.08 Kiwatule-Najjeera-24h'!C54,'03.08 Kiwatule-Najjeera-24h'!C54,'04.08 Kiwatule-Najjeera'!C54)</f>
        <v>110</v>
      </c>
      <c r="D54" s="49">
        <f>AVERAGE('29.07 Kiwatule-Najjeera'!D54,'02.08 Kiwatule-Najjeera'!D54,'30.07 Kiwatule-Najjeera'!D54,'31.07 Kiwatule-Najjeera'!D54,'01.08 Kiwatule-Najjeera-24h'!D54,'03.08 Kiwatule-Najjeera-24h'!D54,'04.08 Kiwatule-Najjeera'!D54)</f>
        <v>17.571428571428573</v>
      </c>
      <c r="E54" s="49">
        <f>AVERAGE('29.07 Kiwatule-Najjeera'!E54,'02.08 Kiwatule-Najjeera'!E54,'30.07 Kiwatule-Najjeera'!E54,'31.07 Kiwatule-Najjeera'!E54,'01.08 Kiwatule-Najjeera-24h'!E54,'03.08 Kiwatule-Najjeera-24h'!E54,'04.08 Kiwatule-Najjeera'!E54)</f>
        <v>5.7142857142857144</v>
      </c>
      <c r="F54" s="49">
        <f>AVERAGE('29.07 Kiwatule-Najjeera'!F54,'02.08 Kiwatule-Najjeera'!F54,'30.07 Kiwatule-Najjeera'!F54,'31.07 Kiwatule-Najjeera'!F54,'01.08 Kiwatule-Najjeera-24h'!F54,'03.08 Kiwatule-Najjeera-24h'!F54,'04.08 Kiwatule-Najjeera'!F54)</f>
        <v>15.857142857142858</v>
      </c>
      <c r="G54" s="49">
        <f>AVERAGE('29.07 Kiwatule-Najjeera'!G54,'02.08 Kiwatule-Najjeera'!G54,'30.07 Kiwatule-Najjeera'!G54,'31.07 Kiwatule-Najjeera'!G54,'01.08 Kiwatule-Najjeera-24h'!G54,'03.08 Kiwatule-Najjeera-24h'!G54,'04.08 Kiwatule-Najjeera'!G54)</f>
        <v>1.1428571428571428</v>
      </c>
      <c r="H54" s="49">
        <f>AVERAGE('29.07 Kiwatule-Najjeera'!H54,'02.08 Kiwatule-Najjeera'!H54,'30.07 Kiwatule-Najjeera'!H54,'31.07 Kiwatule-Najjeera'!H54,'01.08 Kiwatule-Najjeera-24h'!H54,'03.08 Kiwatule-Najjeera-24h'!H54,'04.08 Kiwatule-Najjeera'!H54)</f>
        <v>0.2857142857142857</v>
      </c>
      <c r="I54" s="49">
        <f>AVERAGE('29.07 Kiwatule-Najjeera'!I54,'02.08 Kiwatule-Najjeera'!I54,'30.07 Kiwatule-Najjeera'!I54,'31.07 Kiwatule-Najjeera'!I54,'01.08 Kiwatule-Najjeera-24h'!I54,'03.08 Kiwatule-Najjeera-24h'!I54,'04.08 Kiwatule-Najjeera'!I54)</f>
        <v>5.4285714285714288</v>
      </c>
      <c r="J54" s="49">
        <f>AVERAGE('29.07 Kiwatule-Najjeera'!J54,'02.08 Kiwatule-Najjeera'!J54,'30.07 Kiwatule-Najjeera'!J54,'31.07 Kiwatule-Najjeera'!J54,'01.08 Kiwatule-Najjeera-24h'!J54,'03.08 Kiwatule-Najjeera-24h'!J54,'04.08 Kiwatule-Najjeera'!J54)</f>
        <v>0.42857142857142855</v>
      </c>
      <c r="K54" s="49">
        <f>AVERAGE('29.07 Kiwatule-Najjeera'!K54,'02.08 Kiwatule-Najjeera'!K54,'30.07 Kiwatule-Najjeera'!K54,'31.07 Kiwatule-Najjeera'!K54,'01.08 Kiwatule-Najjeera-24h'!K54,'03.08 Kiwatule-Najjeera-24h'!K54,'04.08 Kiwatule-Najjeera'!K54)</f>
        <v>0.2857142857142857</v>
      </c>
      <c r="L54" s="49">
        <f>AVERAGE('29.07 Kiwatule-Najjeera'!L54,'02.08 Kiwatule-Najjeera'!L54,'30.07 Kiwatule-Najjeera'!L54,'31.07 Kiwatule-Najjeera'!L54,'01.08 Kiwatule-Najjeera-24h'!L54,'03.08 Kiwatule-Najjeera-24h'!L54,'04.08 Kiwatule-Najjeera'!L54)</f>
        <v>0.14285714285714285</v>
      </c>
      <c r="M54" s="49">
        <f>AVERAGE('29.07 Kiwatule-Najjeera'!M54,'02.08 Kiwatule-Najjeera'!M54,'30.07 Kiwatule-Najjeera'!M54,'31.07 Kiwatule-Najjeera'!M54,'01.08 Kiwatule-Najjeera-24h'!M54,'03.08 Kiwatule-Najjeera-24h'!M54,'04.08 Kiwatule-Najjeera'!M54)</f>
        <v>59.571428571428569</v>
      </c>
      <c r="N54" s="49">
        <f>AVERAGE('29.07 Kiwatule-Najjeera'!N54,'02.08 Kiwatule-Najjeera'!N54,'30.07 Kiwatule-Najjeera'!N54,'31.07 Kiwatule-Najjeera'!N54,'01.08 Kiwatule-Najjeera-24h'!N54,'03.08 Kiwatule-Najjeera-24h'!N54,'04.08 Kiwatule-Najjeera'!N54)</f>
        <v>0</v>
      </c>
      <c r="O54" s="15">
        <f t="shared" si="0"/>
        <v>156.8571428571428</v>
      </c>
      <c r="P54" s="15">
        <f t="shared" si="1"/>
        <v>216.42857142857139</v>
      </c>
      <c r="R54" s="8"/>
      <c r="T54"/>
    </row>
    <row r="55" spans="2:20" ht="23.1" customHeight="1">
      <c r="B55" s="23" t="s">
        <v>82</v>
      </c>
      <c r="C55" s="49">
        <f>AVERAGE('29.07 Kiwatule-Najjeera'!C55,'02.08 Kiwatule-Najjeera'!C55,'30.07 Kiwatule-Najjeera'!C55,'31.07 Kiwatule-Najjeera'!C55,'01.08 Kiwatule-Najjeera-24h'!C55,'03.08 Kiwatule-Najjeera-24h'!C55,'04.08 Kiwatule-Najjeera'!C55)</f>
        <v>99.714285714285708</v>
      </c>
      <c r="D55" s="49">
        <f>AVERAGE('29.07 Kiwatule-Najjeera'!D55,'02.08 Kiwatule-Najjeera'!D55,'30.07 Kiwatule-Najjeera'!D55,'31.07 Kiwatule-Najjeera'!D55,'01.08 Kiwatule-Najjeera-24h'!D55,'03.08 Kiwatule-Najjeera-24h'!D55,'04.08 Kiwatule-Najjeera'!D55)</f>
        <v>14.857142857142858</v>
      </c>
      <c r="E55" s="49">
        <f>AVERAGE('29.07 Kiwatule-Najjeera'!E55,'02.08 Kiwatule-Najjeera'!E55,'30.07 Kiwatule-Najjeera'!E55,'31.07 Kiwatule-Najjeera'!E55,'01.08 Kiwatule-Najjeera-24h'!E55,'03.08 Kiwatule-Najjeera-24h'!E55,'04.08 Kiwatule-Najjeera'!E55)</f>
        <v>6.8571428571428568</v>
      </c>
      <c r="F55" s="49">
        <f>AVERAGE('29.07 Kiwatule-Najjeera'!F55,'02.08 Kiwatule-Najjeera'!F55,'30.07 Kiwatule-Najjeera'!F55,'31.07 Kiwatule-Najjeera'!F55,'01.08 Kiwatule-Najjeera-24h'!F55,'03.08 Kiwatule-Najjeera-24h'!F55,'04.08 Kiwatule-Najjeera'!F55)</f>
        <v>14.571428571428571</v>
      </c>
      <c r="G55" s="49">
        <f>AVERAGE('29.07 Kiwatule-Najjeera'!G55,'02.08 Kiwatule-Najjeera'!G55,'30.07 Kiwatule-Najjeera'!G55,'31.07 Kiwatule-Najjeera'!G55,'01.08 Kiwatule-Najjeera-24h'!G55,'03.08 Kiwatule-Najjeera-24h'!G55,'04.08 Kiwatule-Najjeera'!G55)</f>
        <v>1</v>
      </c>
      <c r="H55" s="49">
        <f>AVERAGE('29.07 Kiwatule-Najjeera'!H55,'02.08 Kiwatule-Najjeera'!H55,'30.07 Kiwatule-Najjeera'!H55,'31.07 Kiwatule-Najjeera'!H55,'01.08 Kiwatule-Najjeera-24h'!H55,'03.08 Kiwatule-Najjeera-24h'!H55,'04.08 Kiwatule-Najjeera'!H55)</f>
        <v>0.5714285714285714</v>
      </c>
      <c r="I55" s="49">
        <f>AVERAGE('29.07 Kiwatule-Najjeera'!I55,'02.08 Kiwatule-Najjeera'!I55,'30.07 Kiwatule-Najjeera'!I55,'31.07 Kiwatule-Najjeera'!I55,'01.08 Kiwatule-Najjeera-24h'!I55,'03.08 Kiwatule-Najjeera-24h'!I55,'04.08 Kiwatule-Najjeera'!I55)</f>
        <v>5.4285714285714288</v>
      </c>
      <c r="J55" s="49">
        <f>AVERAGE('29.07 Kiwatule-Najjeera'!J55,'02.08 Kiwatule-Najjeera'!J55,'30.07 Kiwatule-Najjeera'!J55,'31.07 Kiwatule-Najjeera'!J55,'01.08 Kiwatule-Najjeera-24h'!J55,'03.08 Kiwatule-Najjeera-24h'!J55,'04.08 Kiwatule-Najjeera'!J55)</f>
        <v>0.5714285714285714</v>
      </c>
      <c r="K55" s="49">
        <f>AVERAGE('29.07 Kiwatule-Najjeera'!K55,'02.08 Kiwatule-Najjeera'!K55,'30.07 Kiwatule-Najjeera'!K55,'31.07 Kiwatule-Najjeera'!K55,'01.08 Kiwatule-Najjeera-24h'!K55,'03.08 Kiwatule-Najjeera-24h'!K55,'04.08 Kiwatule-Najjeera'!K55)</f>
        <v>0.5714285714285714</v>
      </c>
      <c r="L55" s="49">
        <f>AVERAGE('29.07 Kiwatule-Najjeera'!L55,'02.08 Kiwatule-Najjeera'!L55,'30.07 Kiwatule-Najjeera'!L55,'31.07 Kiwatule-Najjeera'!L55,'01.08 Kiwatule-Najjeera-24h'!L55,'03.08 Kiwatule-Najjeera-24h'!L55,'04.08 Kiwatule-Najjeera'!L55)</f>
        <v>0.2857142857142857</v>
      </c>
      <c r="M55" s="49">
        <f>AVERAGE('29.07 Kiwatule-Najjeera'!M55,'02.08 Kiwatule-Najjeera'!M55,'30.07 Kiwatule-Najjeera'!M55,'31.07 Kiwatule-Najjeera'!M55,'01.08 Kiwatule-Najjeera-24h'!M55,'03.08 Kiwatule-Najjeera-24h'!M55,'04.08 Kiwatule-Najjeera'!M55)</f>
        <v>63.857142857142854</v>
      </c>
      <c r="N55" s="49">
        <f>AVERAGE('29.07 Kiwatule-Najjeera'!N55,'02.08 Kiwatule-Najjeera'!N55,'30.07 Kiwatule-Najjeera'!N55,'31.07 Kiwatule-Najjeera'!N55,'01.08 Kiwatule-Najjeera-24h'!N55,'03.08 Kiwatule-Najjeera-24h'!N55,'04.08 Kiwatule-Najjeera'!N55)</f>
        <v>0</v>
      </c>
      <c r="O55" s="15">
        <f t="shared" si="0"/>
        <v>144.42857142857144</v>
      </c>
      <c r="P55" s="15">
        <f t="shared" si="1"/>
        <v>208.28571428571431</v>
      </c>
      <c r="R55" s="8"/>
      <c r="T55"/>
    </row>
    <row r="56" spans="2:20" ht="23.1" customHeight="1">
      <c r="B56" s="23" t="s">
        <v>83</v>
      </c>
      <c r="C56" s="49">
        <f>AVERAGE('29.07 Kiwatule-Najjeera'!C56,'02.08 Kiwatule-Najjeera'!C56,'30.07 Kiwatule-Najjeera'!C56,'31.07 Kiwatule-Najjeera'!C56,'01.08 Kiwatule-Najjeera-24h'!C56,'03.08 Kiwatule-Najjeera-24h'!C56,'04.08 Kiwatule-Najjeera'!C56)</f>
        <v>107.14285714285714</v>
      </c>
      <c r="D56" s="49">
        <f>AVERAGE('29.07 Kiwatule-Najjeera'!D56,'02.08 Kiwatule-Najjeera'!D56,'30.07 Kiwatule-Najjeera'!D56,'31.07 Kiwatule-Najjeera'!D56,'01.08 Kiwatule-Najjeera-24h'!D56,'03.08 Kiwatule-Najjeera-24h'!D56,'04.08 Kiwatule-Najjeera'!D56)</f>
        <v>17</v>
      </c>
      <c r="E56" s="49">
        <f>AVERAGE('29.07 Kiwatule-Najjeera'!E56,'02.08 Kiwatule-Najjeera'!E56,'30.07 Kiwatule-Najjeera'!E56,'31.07 Kiwatule-Najjeera'!E56,'01.08 Kiwatule-Najjeera-24h'!E56,'03.08 Kiwatule-Najjeera-24h'!E56,'04.08 Kiwatule-Najjeera'!E56)</f>
        <v>6.5714285714285712</v>
      </c>
      <c r="F56" s="49">
        <f>AVERAGE('29.07 Kiwatule-Najjeera'!F56,'02.08 Kiwatule-Najjeera'!F56,'30.07 Kiwatule-Najjeera'!F56,'31.07 Kiwatule-Najjeera'!F56,'01.08 Kiwatule-Najjeera-24h'!F56,'03.08 Kiwatule-Najjeera-24h'!F56,'04.08 Kiwatule-Najjeera'!F56)</f>
        <v>18.571428571428573</v>
      </c>
      <c r="G56" s="49">
        <f>AVERAGE('29.07 Kiwatule-Najjeera'!G56,'02.08 Kiwatule-Najjeera'!G56,'30.07 Kiwatule-Najjeera'!G56,'31.07 Kiwatule-Najjeera'!G56,'01.08 Kiwatule-Najjeera-24h'!G56,'03.08 Kiwatule-Najjeera-24h'!G56,'04.08 Kiwatule-Najjeera'!G56)</f>
        <v>1.1428571428571428</v>
      </c>
      <c r="H56" s="49">
        <f>AVERAGE('29.07 Kiwatule-Najjeera'!H56,'02.08 Kiwatule-Najjeera'!H56,'30.07 Kiwatule-Najjeera'!H56,'31.07 Kiwatule-Najjeera'!H56,'01.08 Kiwatule-Najjeera-24h'!H56,'03.08 Kiwatule-Najjeera-24h'!H56,'04.08 Kiwatule-Najjeera'!H56)</f>
        <v>0.14285714285714285</v>
      </c>
      <c r="I56" s="49">
        <f>AVERAGE('29.07 Kiwatule-Najjeera'!I56,'02.08 Kiwatule-Najjeera'!I56,'30.07 Kiwatule-Najjeera'!I56,'31.07 Kiwatule-Najjeera'!I56,'01.08 Kiwatule-Najjeera-24h'!I56,'03.08 Kiwatule-Najjeera-24h'!I56,'04.08 Kiwatule-Najjeera'!I56)</f>
        <v>6.7142857142857144</v>
      </c>
      <c r="J56" s="49">
        <f>AVERAGE('29.07 Kiwatule-Najjeera'!J56,'02.08 Kiwatule-Najjeera'!J56,'30.07 Kiwatule-Najjeera'!J56,'31.07 Kiwatule-Najjeera'!J56,'01.08 Kiwatule-Najjeera-24h'!J56,'03.08 Kiwatule-Najjeera-24h'!J56,'04.08 Kiwatule-Najjeera'!J56)</f>
        <v>0.42857142857142855</v>
      </c>
      <c r="K56" s="49">
        <f>AVERAGE('29.07 Kiwatule-Najjeera'!K56,'02.08 Kiwatule-Najjeera'!K56,'30.07 Kiwatule-Najjeera'!K56,'31.07 Kiwatule-Najjeera'!K56,'01.08 Kiwatule-Najjeera-24h'!K56,'03.08 Kiwatule-Najjeera-24h'!K56,'04.08 Kiwatule-Najjeera'!K56)</f>
        <v>0.42857142857142855</v>
      </c>
      <c r="L56" s="49">
        <f>AVERAGE('29.07 Kiwatule-Najjeera'!L56,'02.08 Kiwatule-Najjeera'!L56,'30.07 Kiwatule-Najjeera'!L56,'31.07 Kiwatule-Najjeera'!L56,'01.08 Kiwatule-Najjeera-24h'!L56,'03.08 Kiwatule-Najjeera-24h'!L56,'04.08 Kiwatule-Najjeera'!L56)</f>
        <v>0.14285714285714285</v>
      </c>
      <c r="M56" s="49">
        <f>AVERAGE('29.07 Kiwatule-Najjeera'!M56,'02.08 Kiwatule-Najjeera'!M56,'30.07 Kiwatule-Najjeera'!M56,'31.07 Kiwatule-Najjeera'!M56,'01.08 Kiwatule-Najjeera-24h'!M56,'03.08 Kiwatule-Najjeera-24h'!M56,'04.08 Kiwatule-Najjeera'!M56)</f>
        <v>67</v>
      </c>
      <c r="N56" s="49">
        <f>AVERAGE('29.07 Kiwatule-Najjeera'!N56,'02.08 Kiwatule-Najjeera'!N56,'30.07 Kiwatule-Najjeera'!N56,'31.07 Kiwatule-Najjeera'!N56,'01.08 Kiwatule-Najjeera-24h'!N56,'03.08 Kiwatule-Najjeera-24h'!N56,'04.08 Kiwatule-Najjeera'!N56)</f>
        <v>0</v>
      </c>
      <c r="O56" s="15">
        <f t="shared" si="0"/>
        <v>158.28571428571428</v>
      </c>
      <c r="P56" s="15">
        <f t="shared" si="1"/>
        <v>225.28571428571428</v>
      </c>
      <c r="R56" s="8"/>
      <c r="T56"/>
    </row>
    <row r="57" spans="2:20" ht="23.1" customHeight="1">
      <c r="B57" s="23" t="s">
        <v>84</v>
      </c>
      <c r="C57" s="49">
        <f>AVERAGE('29.07 Kiwatule-Najjeera'!C57,'02.08 Kiwatule-Najjeera'!C57,'30.07 Kiwatule-Najjeera'!C57,'31.07 Kiwatule-Najjeera'!C57,'01.08 Kiwatule-Najjeera-24h'!C57,'03.08 Kiwatule-Najjeera-24h'!C57,'04.08 Kiwatule-Najjeera'!C57)</f>
        <v>112.14285714285714</v>
      </c>
      <c r="D57" s="49">
        <f>AVERAGE('29.07 Kiwatule-Najjeera'!D57,'02.08 Kiwatule-Najjeera'!D57,'30.07 Kiwatule-Najjeera'!D57,'31.07 Kiwatule-Najjeera'!D57,'01.08 Kiwatule-Najjeera-24h'!D57,'03.08 Kiwatule-Najjeera-24h'!D57,'04.08 Kiwatule-Najjeera'!D57)</f>
        <v>21.142857142857142</v>
      </c>
      <c r="E57" s="49">
        <f>AVERAGE('29.07 Kiwatule-Najjeera'!E57,'02.08 Kiwatule-Najjeera'!E57,'30.07 Kiwatule-Najjeera'!E57,'31.07 Kiwatule-Najjeera'!E57,'01.08 Kiwatule-Najjeera-24h'!E57,'03.08 Kiwatule-Najjeera-24h'!E57,'04.08 Kiwatule-Najjeera'!E57)</f>
        <v>7.2857142857142856</v>
      </c>
      <c r="F57" s="49">
        <f>AVERAGE('29.07 Kiwatule-Najjeera'!F57,'02.08 Kiwatule-Najjeera'!F57,'30.07 Kiwatule-Najjeera'!F57,'31.07 Kiwatule-Najjeera'!F57,'01.08 Kiwatule-Najjeera-24h'!F57,'03.08 Kiwatule-Najjeera-24h'!F57,'04.08 Kiwatule-Najjeera'!F57)</f>
        <v>15.285714285714286</v>
      </c>
      <c r="G57" s="49">
        <f>AVERAGE('29.07 Kiwatule-Najjeera'!G57,'02.08 Kiwatule-Najjeera'!G57,'30.07 Kiwatule-Najjeera'!G57,'31.07 Kiwatule-Najjeera'!G57,'01.08 Kiwatule-Najjeera-24h'!G57,'03.08 Kiwatule-Najjeera-24h'!G57,'04.08 Kiwatule-Najjeera'!G57)</f>
        <v>0.42857142857142855</v>
      </c>
      <c r="H57" s="49">
        <f>AVERAGE('29.07 Kiwatule-Najjeera'!H57,'02.08 Kiwatule-Najjeera'!H57,'30.07 Kiwatule-Najjeera'!H57,'31.07 Kiwatule-Najjeera'!H57,'01.08 Kiwatule-Najjeera-24h'!H57,'03.08 Kiwatule-Najjeera-24h'!H57,'04.08 Kiwatule-Najjeera'!H57)</f>
        <v>0.42857142857142855</v>
      </c>
      <c r="I57" s="49">
        <f>AVERAGE('29.07 Kiwatule-Najjeera'!I57,'02.08 Kiwatule-Najjeera'!I57,'30.07 Kiwatule-Najjeera'!I57,'31.07 Kiwatule-Najjeera'!I57,'01.08 Kiwatule-Najjeera-24h'!I57,'03.08 Kiwatule-Najjeera-24h'!I57,'04.08 Kiwatule-Najjeera'!I57)</f>
        <v>3.4285714285714284</v>
      </c>
      <c r="J57" s="49">
        <f>AVERAGE('29.07 Kiwatule-Najjeera'!J57,'02.08 Kiwatule-Najjeera'!J57,'30.07 Kiwatule-Najjeera'!J57,'31.07 Kiwatule-Najjeera'!J57,'01.08 Kiwatule-Najjeera-24h'!J57,'03.08 Kiwatule-Najjeera-24h'!J57,'04.08 Kiwatule-Najjeera'!J57)</f>
        <v>0.14285714285714285</v>
      </c>
      <c r="K57" s="49">
        <f>AVERAGE('29.07 Kiwatule-Najjeera'!K57,'02.08 Kiwatule-Najjeera'!K57,'30.07 Kiwatule-Najjeera'!K57,'31.07 Kiwatule-Najjeera'!K57,'01.08 Kiwatule-Najjeera-24h'!K57,'03.08 Kiwatule-Najjeera-24h'!K57,'04.08 Kiwatule-Najjeera'!K57)</f>
        <v>0</v>
      </c>
      <c r="L57" s="49">
        <f>AVERAGE('29.07 Kiwatule-Najjeera'!L57,'02.08 Kiwatule-Najjeera'!L57,'30.07 Kiwatule-Najjeera'!L57,'31.07 Kiwatule-Najjeera'!L57,'01.08 Kiwatule-Najjeera-24h'!L57,'03.08 Kiwatule-Najjeera-24h'!L57,'04.08 Kiwatule-Najjeera'!L57)</f>
        <v>0</v>
      </c>
      <c r="M57" s="49">
        <f>AVERAGE('29.07 Kiwatule-Najjeera'!M57,'02.08 Kiwatule-Najjeera'!M57,'30.07 Kiwatule-Najjeera'!M57,'31.07 Kiwatule-Najjeera'!M57,'01.08 Kiwatule-Najjeera-24h'!M57,'03.08 Kiwatule-Najjeera-24h'!M57,'04.08 Kiwatule-Najjeera'!M57)</f>
        <v>86.285714285714292</v>
      </c>
      <c r="N57" s="49">
        <f>AVERAGE('29.07 Kiwatule-Najjeera'!N57,'02.08 Kiwatule-Najjeera'!N57,'30.07 Kiwatule-Najjeera'!N57,'31.07 Kiwatule-Najjeera'!N57,'01.08 Kiwatule-Najjeera-24h'!N57,'03.08 Kiwatule-Najjeera-24h'!N57,'04.08 Kiwatule-Najjeera'!N57)</f>
        <v>0</v>
      </c>
      <c r="O57" s="15">
        <f t="shared" si="0"/>
        <v>160.28571428571422</v>
      </c>
      <c r="P57" s="15">
        <f t="shared" si="1"/>
        <v>246.5714285714285</v>
      </c>
      <c r="R57" s="8"/>
      <c r="T57"/>
    </row>
    <row r="58" spans="2:20" ht="23.1" customHeight="1">
      <c r="B58" s="23" t="s">
        <v>99</v>
      </c>
      <c r="C58" s="49">
        <f>AVERAGE('01.08 Kiwatule-Najjeera-24h'!C58,'03.08 Kiwatule-Najjeera-24h'!C58)</f>
        <v>83.5</v>
      </c>
      <c r="D58" s="49">
        <f>AVERAGE('01.08 Kiwatule-Najjeera-24h'!D58,'03.08 Kiwatule-Najjeera-24h'!D58)</f>
        <v>21.5</v>
      </c>
      <c r="E58" s="49">
        <f>AVERAGE('01.08 Kiwatule-Najjeera-24h'!E58,'03.08 Kiwatule-Najjeera-24h'!E58)</f>
        <v>4</v>
      </c>
      <c r="F58" s="49">
        <f>AVERAGE('01.08 Kiwatule-Najjeera-24h'!F58,'03.08 Kiwatule-Najjeera-24h'!F58)</f>
        <v>15</v>
      </c>
      <c r="G58" s="49">
        <f>AVERAGE('01.08 Kiwatule-Najjeera-24h'!G58,'03.08 Kiwatule-Najjeera-24h'!G58)</f>
        <v>0</v>
      </c>
      <c r="H58" s="49">
        <f>AVERAGE('01.08 Kiwatule-Najjeera-24h'!H58,'03.08 Kiwatule-Najjeera-24h'!H58)</f>
        <v>0</v>
      </c>
      <c r="I58" s="49">
        <f>AVERAGE('01.08 Kiwatule-Najjeera-24h'!I58,'03.08 Kiwatule-Najjeera-24h'!I58)</f>
        <v>2.5</v>
      </c>
      <c r="J58" s="49">
        <f>AVERAGE('01.08 Kiwatule-Najjeera-24h'!J58,'03.08 Kiwatule-Najjeera-24h'!J58)</f>
        <v>0</v>
      </c>
      <c r="K58" s="49">
        <f>AVERAGE('01.08 Kiwatule-Najjeera-24h'!K58,'03.08 Kiwatule-Najjeera-24h'!K58)</f>
        <v>0</v>
      </c>
      <c r="L58" s="49">
        <f>AVERAGE('01.08 Kiwatule-Najjeera-24h'!L58,'03.08 Kiwatule-Najjeera-24h'!L58)</f>
        <v>0</v>
      </c>
      <c r="M58" s="49">
        <f>AVERAGE('01.08 Kiwatule-Najjeera-24h'!M58,'03.08 Kiwatule-Najjeera-24h'!M58)</f>
        <v>91</v>
      </c>
      <c r="N58" s="49">
        <f>AVERAGE('01.08 Kiwatule-Najjeera-24h'!N58,'03.08 Kiwatule-Najjeera-24h'!N58)</f>
        <v>0</v>
      </c>
      <c r="O58" s="15">
        <f t="shared" si="0"/>
        <v>126.5</v>
      </c>
      <c r="P58" s="15">
        <f t="shared" si="1"/>
        <v>217.5</v>
      </c>
      <c r="R58" s="8"/>
      <c r="T58"/>
    </row>
    <row r="59" spans="2:20" ht="23.1" customHeight="1">
      <c r="B59" s="23" t="s">
        <v>100</v>
      </c>
      <c r="C59" s="49">
        <f>AVERAGE('01.08 Kiwatule-Najjeera-24h'!C59,'03.08 Kiwatule-Najjeera-24h'!C59)</f>
        <v>85</v>
      </c>
      <c r="D59" s="49">
        <f>AVERAGE('01.08 Kiwatule-Najjeera-24h'!D59,'03.08 Kiwatule-Najjeera-24h'!D59)</f>
        <v>22</v>
      </c>
      <c r="E59" s="49">
        <f>AVERAGE('01.08 Kiwatule-Najjeera-24h'!E59,'03.08 Kiwatule-Najjeera-24h'!E59)</f>
        <v>6</v>
      </c>
      <c r="F59" s="49">
        <f>AVERAGE('01.08 Kiwatule-Najjeera-24h'!F59,'03.08 Kiwatule-Najjeera-24h'!F59)</f>
        <v>10</v>
      </c>
      <c r="G59" s="49">
        <f>AVERAGE('01.08 Kiwatule-Najjeera-24h'!G59,'03.08 Kiwatule-Najjeera-24h'!G59)</f>
        <v>0.5</v>
      </c>
      <c r="H59" s="49">
        <f>AVERAGE('01.08 Kiwatule-Najjeera-24h'!H59,'03.08 Kiwatule-Najjeera-24h'!H59)</f>
        <v>0</v>
      </c>
      <c r="I59" s="49">
        <f>AVERAGE('01.08 Kiwatule-Najjeera-24h'!I59,'03.08 Kiwatule-Najjeera-24h'!I59)</f>
        <v>2</v>
      </c>
      <c r="J59" s="49">
        <f>AVERAGE('01.08 Kiwatule-Najjeera-24h'!J59,'03.08 Kiwatule-Najjeera-24h'!J59)</f>
        <v>0.5</v>
      </c>
      <c r="K59" s="49">
        <f>AVERAGE('01.08 Kiwatule-Najjeera-24h'!K59,'03.08 Kiwatule-Najjeera-24h'!K59)</f>
        <v>0</v>
      </c>
      <c r="L59" s="49">
        <f>AVERAGE('01.08 Kiwatule-Najjeera-24h'!L59,'03.08 Kiwatule-Najjeera-24h'!L59)</f>
        <v>0</v>
      </c>
      <c r="M59" s="49">
        <f>AVERAGE('01.08 Kiwatule-Najjeera-24h'!M59,'03.08 Kiwatule-Najjeera-24h'!M59)</f>
        <v>79.5</v>
      </c>
      <c r="N59" s="49">
        <f>AVERAGE('01.08 Kiwatule-Najjeera-24h'!N59,'03.08 Kiwatule-Najjeera-24h'!N59)</f>
        <v>0</v>
      </c>
      <c r="O59" s="15">
        <f t="shared" si="0"/>
        <v>126</v>
      </c>
      <c r="P59" s="15">
        <f t="shared" si="1"/>
        <v>205.5</v>
      </c>
      <c r="R59" s="8"/>
      <c r="T59"/>
    </row>
    <row r="60" spans="2:20" ht="23.1" customHeight="1">
      <c r="B60" s="23" t="s">
        <v>101</v>
      </c>
      <c r="C60" s="49">
        <f>AVERAGE('01.08 Kiwatule-Najjeera-24h'!C60,'03.08 Kiwatule-Najjeera-24h'!C60)</f>
        <v>94.5</v>
      </c>
      <c r="D60" s="49">
        <f>AVERAGE('01.08 Kiwatule-Najjeera-24h'!D60,'03.08 Kiwatule-Najjeera-24h'!D60)</f>
        <v>21.5</v>
      </c>
      <c r="E60" s="49">
        <f>AVERAGE('01.08 Kiwatule-Najjeera-24h'!E60,'03.08 Kiwatule-Najjeera-24h'!E60)</f>
        <v>3.5</v>
      </c>
      <c r="F60" s="49">
        <f>AVERAGE('01.08 Kiwatule-Najjeera-24h'!F60,'03.08 Kiwatule-Najjeera-24h'!F60)</f>
        <v>19.5</v>
      </c>
      <c r="G60" s="49">
        <f>AVERAGE('01.08 Kiwatule-Najjeera-24h'!G60,'03.08 Kiwatule-Najjeera-24h'!G60)</f>
        <v>0</v>
      </c>
      <c r="H60" s="49">
        <f>AVERAGE('01.08 Kiwatule-Najjeera-24h'!H60,'03.08 Kiwatule-Najjeera-24h'!H60)</f>
        <v>0</v>
      </c>
      <c r="I60" s="49">
        <f>AVERAGE('01.08 Kiwatule-Najjeera-24h'!I60,'03.08 Kiwatule-Najjeera-24h'!I60)</f>
        <v>1</v>
      </c>
      <c r="J60" s="49">
        <f>AVERAGE('01.08 Kiwatule-Najjeera-24h'!J60,'03.08 Kiwatule-Najjeera-24h'!J60)</f>
        <v>0.5</v>
      </c>
      <c r="K60" s="49">
        <f>AVERAGE('01.08 Kiwatule-Najjeera-24h'!K60,'03.08 Kiwatule-Najjeera-24h'!K60)</f>
        <v>0</v>
      </c>
      <c r="L60" s="49">
        <f>AVERAGE('01.08 Kiwatule-Najjeera-24h'!L60,'03.08 Kiwatule-Najjeera-24h'!L60)</f>
        <v>0</v>
      </c>
      <c r="M60" s="49">
        <f>AVERAGE('01.08 Kiwatule-Najjeera-24h'!M60,'03.08 Kiwatule-Najjeera-24h'!M60)</f>
        <v>96.5</v>
      </c>
      <c r="N60" s="49">
        <f>AVERAGE('01.08 Kiwatule-Najjeera-24h'!N60,'03.08 Kiwatule-Najjeera-24h'!N60)</f>
        <v>0</v>
      </c>
      <c r="O60" s="15">
        <f t="shared" si="0"/>
        <v>140.5</v>
      </c>
      <c r="P60" s="15">
        <f t="shared" si="1"/>
        <v>237</v>
      </c>
      <c r="R60" s="8"/>
      <c r="T60"/>
    </row>
    <row r="61" spans="2:20" ht="23.1" customHeight="1">
      <c r="B61" s="23" t="s">
        <v>102</v>
      </c>
      <c r="C61" s="49">
        <f>AVERAGE('01.08 Kiwatule-Najjeera-24h'!C61,'03.08 Kiwatule-Najjeera-24h'!C61)</f>
        <v>102</v>
      </c>
      <c r="D61" s="49">
        <f>AVERAGE('01.08 Kiwatule-Najjeera-24h'!D61,'03.08 Kiwatule-Najjeera-24h'!D61)</f>
        <v>19</v>
      </c>
      <c r="E61" s="49">
        <f>AVERAGE('01.08 Kiwatule-Najjeera-24h'!E61,'03.08 Kiwatule-Najjeera-24h'!E61)</f>
        <v>8</v>
      </c>
      <c r="F61" s="49">
        <f>AVERAGE('01.08 Kiwatule-Najjeera-24h'!F61,'03.08 Kiwatule-Najjeera-24h'!F61)</f>
        <v>19.5</v>
      </c>
      <c r="G61" s="49">
        <f>AVERAGE('01.08 Kiwatule-Najjeera-24h'!G61,'03.08 Kiwatule-Najjeera-24h'!G61)</f>
        <v>0.5</v>
      </c>
      <c r="H61" s="49">
        <f>AVERAGE('01.08 Kiwatule-Najjeera-24h'!H61,'03.08 Kiwatule-Najjeera-24h'!H61)</f>
        <v>0</v>
      </c>
      <c r="I61" s="49">
        <f>AVERAGE('01.08 Kiwatule-Najjeera-24h'!I61,'03.08 Kiwatule-Najjeera-24h'!I61)</f>
        <v>1.5</v>
      </c>
      <c r="J61" s="49">
        <f>AVERAGE('01.08 Kiwatule-Najjeera-24h'!J61,'03.08 Kiwatule-Najjeera-24h'!J61)</f>
        <v>0</v>
      </c>
      <c r="K61" s="49">
        <f>AVERAGE('01.08 Kiwatule-Najjeera-24h'!K61,'03.08 Kiwatule-Najjeera-24h'!K61)</f>
        <v>0</v>
      </c>
      <c r="L61" s="49">
        <f>AVERAGE('01.08 Kiwatule-Najjeera-24h'!L61,'03.08 Kiwatule-Najjeera-24h'!L61)</f>
        <v>0</v>
      </c>
      <c r="M61" s="49">
        <f>AVERAGE('01.08 Kiwatule-Najjeera-24h'!M61,'03.08 Kiwatule-Najjeera-24h'!M61)</f>
        <v>61.5</v>
      </c>
      <c r="N61" s="49">
        <f>AVERAGE('01.08 Kiwatule-Najjeera-24h'!N61,'03.08 Kiwatule-Najjeera-24h'!N61)</f>
        <v>0</v>
      </c>
      <c r="O61" s="15">
        <f t="shared" si="0"/>
        <v>150.5</v>
      </c>
      <c r="P61" s="15">
        <f t="shared" si="1"/>
        <v>212</v>
      </c>
      <c r="R61" s="8"/>
      <c r="T61"/>
    </row>
    <row r="62" spans="2:20" ht="23.1" customHeight="1">
      <c r="B62" s="23" t="s">
        <v>107</v>
      </c>
      <c r="C62" s="49">
        <f>AVERAGE('01.08 Kiwatule-Najjeera-24h'!C62,'03.08 Kiwatule-Najjeera-24h'!C62)</f>
        <v>68</v>
      </c>
      <c r="D62" s="49">
        <f>AVERAGE('01.08 Kiwatule-Najjeera-24h'!D62,'03.08 Kiwatule-Najjeera-24h'!D62)</f>
        <v>15</v>
      </c>
      <c r="E62" s="49">
        <f>AVERAGE('01.08 Kiwatule-Najjeera-24h'!E62,'03.08 Kiwatule-Najjeera-24h'!E62)</f>
        <v>2</v>
      </c>
      <c r="F62" s="49">
        <f>AVERAGE('01.08 Kiwatule-Najjeera-24h'!F62,'03.08 Kiwatule-Najjeera-24h'!F62)</f>
        <v>10.5</v>
      </c>
      <c r="G62" s="49">
        <f>AVERAGE('01.08 Kiwatule-Najjeera-24h'!G62,'03.08 Kiwatule-Najjeera-24h'!G62)</f>
        <v>0</v>
      </c>
      <c r="H62" s="49">
        <f>AVERAGE('01.08 Kiwatule-Najjeera-24h'!H62,'03.08 Kiwatule-Najjeera-24h'!H62)</f>
        <v>0</v>
      </c>
      <c r="I62" s="49">
        <f>AVERAGE('01.08 Kiwatule-Najjeera-24h'!I62,'03.08 Kiwatule-Najjeera-24h'!I62)</f>
        <v>1</v>
      </c>
      <c r="J62" s="49">
        <f>AVERAGE('01.08 Kiwatule-Najjeera-24h'!J62,'03.08 Kiwatule-Najjeera-24h'!J62)</f>
        <v>0</v>
      </c>
      <c r="K62" s="49">
        <f>AVERAGE('01.08 Kiwatule-Najjeera-24h'!K62,'03.08 Kiwatule-Najjeera-24h'!K62)</f>
        <v>0</v>
      </c>
      <c r="L62" s="49">
        <f>AVERAGE('01.08 Kiwatule-Najjeera-24h'!L62,'03.08 Kiwatule-Najjeera-24h'!L62)</f>
        <v>0</v>
      </c>
      <c r="M62" s="49">
        <f>AVERAGE('01.08 Kiwatule-Najjeera-24h'!M62,'03.08 Kiwatule-Najjeera-24h'!M62)</f>
        <v>85.5</v>
      </c>
      <c r="N62" s="49">
        <f>AVERAGE('01.08 Kiwatule-Najjeera-24h'!N62,'03.08 Kiwatule-Najjeera-24h'!N62)</f>
        <v>0</v>
      </c>
      <c r="O62" s="15">
        <f t="shared" si="0"/>
        <v>96.5</v>
      </c>
      <c r="P62" s="15">
        <f t="shared" si="1"/>
        <v>182</v>
      </c>
      <c r="R62" s="8"/>
      <c r="T62"/>
    </row>
    <row r="63" spans="2:20" ht="23.1" customHeight="1">
      <c r="B63" s="23" t="s">
        <v>108</v>
      </c>
      <c r="C63" s="49">
        <f>AVERAGE('01.08 Kiwatule-Najjeera-24h'!C63,'03.08 Kiwatule-Najjeera-24h'!C63)</f>
        <v>105</v>
      </c>
      <c r="D63" s="49">
        <f>AVERAGE('01.08 Kiwatule-Najjeera-24h'!D63,'03.08 Kiwatule-Najjeera-24h'!D63)</f>
        <v>19</v>
      </c>
      <c r="E63" s="49">
        <f>AVERAGE('01.08 Kiwatule-Najjeera-24h'!E63,'03.08 Kiwatule-Najjeera-24h'!E63)</f>
        <v>4</v>
      </c>
      <c r="F63" s="49">
        <f>AVERAGE('01.08 Kiwatule-Najjeera-24h'!F63,'03.08 Kiwatule-Najjeera-24h'!F63)</f>
        <v>19.5</v>
      </c>
      <c r="G63" s="49">
        <f>AVERAGE('01.08 Kiwatule-Najjeera-24h'!G63,'03.08 Kiwatule-Najjeera-24h'!G63)</f>
        <v>0.5</v>
      </c>
      <c r="H63" s="49">
        <f>AVERAGE('01.08 Kiwatule-Najjeera-24h'!H63,'03.08 Kiwatule-Najjeera-24h'!H63)</f>
        <v>0</v>
      </c>
      <c r="I63" s="49">
        <f>AVERAGE('01.08 Kiwatule-Najjeera-24h'!I63,'03.08 Kiwatule-Najjeera-24h'!I63)</f>
        <v>5.5</v>
      </c>
      <c r="J63" s="49">
        <f>AVERAGE('01.08 Kiwatule-Najjeera-24h'!J63,'03.08 Kiwatule-Najjeera-24h'!J63)</f>
        <v>0</v>
      </c>
      <c r="K63" s="49">
        <f>AVERAGE('01.08 Kiwatule-Najjeera-24h'!K63,'03.08 Kiwatule-Najjeera-24h'!K63)</f>
        <v>0</v>
      </c>
      <c r="L63" s="49">
        <f>AVERAGE('01.08 Kiwatule-Najjeera-24h'!L63,'03.08 Kiwatule-Najjeera-24h'!L63)</f>
        <v>0</v>
      </c>
      <c r="M63" s="49">
        <f>AVERAGE('01.08 Kiwatule-Najjeera-24h'!M63,'03.08 Kiwatule-Najjeera-24h'!M63)</f>
        <v>72.5</v>
      </c>
      <c r="N63" s="49">
        <f>AVERAGE('01.08 Kiwatule-Najjeera-24h'!N63,'03.08 Kiwatule-Najjeera-24h'!N63)</f>
        <v>0</v>
      </c>
      <c r="O63" s="15">
        <f t="shared" si="0"/>
        <v>153.5</v>
      </c>
      <c r="P63" s="15">
        <f t="shared" si="1"/>
        <v>226</v>
      </c>
      <c r="R63" s="8"/>
      <c r="T63"/>
    </row>
    <row r="64" spans="2:20" ht="23.1" customHeight="1">
      <c r="B64" s="23" t="s">
        <v>109</v>
      </c>
      <c r="C64" s="49">
        <f>AVERAGE('01.08 Kiwatule-Najjeera-24h'!C64,'03.08 Kiwatule-Najjeera-24h'!C64)</f>
        <v>120.5</v>
      </c>
      <c r="D64" s="49">
        <f>AVERAGE('01.08 Kiwatule-Najjeera-24h'!D64,'03.08 Kiwatule-Najjeera-24h'!D64)</f>
        <v>23.5</v>
      </c>
      <c r="E64" s="49">
        <f>AVERAGE('01.08 Kiwatule-Najjeera-24h'!E64,'03.08 Kiwatule-Najjeera-24h'!E64)</f>
        <v>8.5</v>
      </c>
      <c r="F64" s="49">
        <f>AVERAGE('01.08 Kiwatule-Najjeera-24h'!F64,'03.08 Kiwatule-Najjeera-24h'!F64)</f>
        <v>18</v>
      </c>
      <c r="G64" s="49">
        <f>AVERAGE('01.08 Kiwatule-Najjeera-24h'!G64,'03.08 Kiwatule-Najjeera-24h'!G64)</f>
        <v>0</v>
      </c>
      <c r="H64" s="49">
        <f>AVERAGE('01.08 Kiwatule-Najjeera-24h'!H64,'03.08 Kiwatule-Najjeera-24h'!H64)</f>
        <v>0</v>
      </c>
      <c r="I64" s="49">
        <f>AVERAGE('01.08 Kiwatule-Najjeera-24h'!I64,'03.08 Kiwatule-Najjeera-24h'!I64)</f>
        <v>1.5</v>
      </c>
      <c r="J64" s="49">
        <f>AVERAGE('01.08 Kiwatule-Najjeera-24h'!J64,'03.08 Kiwatule-Najjeera-24h'!J64)</f>
        <v>2</v>
      </c>
      <c r="K64" s="49">
        <f>AVERAGE('01.08 Kiwatule-Najjeera-24h'!K64,'03.08 Kiwatule-Najjeera-24h'!K64)</f>
        <v>0</v>
      </c>
      <c r="L64" s="49">
        <f>AVERAGE('01.08 Kiwatule-Najjeera-24h'!L64,'03.08 Kiwatule-Najjeera-24h'!L64)</f>
        <v>0</v>
      </c>
      <c r="M64" s="49">
        <f>AVERAGE('01.08 Kiwatule-Najjeera-24h'!M64,'03.08 Kiwatule-Najjeera-24h'!M64)</f>
        <v>43.5</v>
      </c>
      <c r="N64" s="49">
        <f>AVERAGE('01.08 Kiwatule-Najjeera-24h'!N64,'03.08 Kiwatule-Najjeera-24h'!N64)</f>
        <v>0</v>
      </c>
      <c r="O64" s="15">
        <f t="shared" si="0"/>
        <v>174</v>
      </c>
      <c r="P64" s="15">
        <f t="shared" si="1"/>
        <v>217.5</v>
      </c>
      <c r="R64" s="8"/>
      <c r="T64"/>
    </row>
    <row r="65" spans="2:20" ht="23.1" customHeight="1">
      <c r="B65" s="23" t="s">
        <v>158</v>
      </c>
      <c r="C65" s="49">
        <f>AVERAGE('01.08 Kiwatule-Najjeera-24h'!C65,'03.08 Kiwatule-Najjeera-24h'!C65)</f>
        <v>127.5</v>
      </c>
      <c r="D65" s="49">
        <f>AVERAGE('01.08 Kiwatule-Najjeera-24h'!D65,'03.08 Kiwatule-Najjeera-24h'!D65)</f>
        <v>21.5</v>
      </c>
      <c r="E65" s="49">
        <f>AVERAGE('01.08 Kiwatule-Najjeera-24h'!E65,'03.08 Kiwatule-Najjeera-24h'!E65)</f>
        <v>4.5</v>
      </c>
      <c r="F65" s="49">
        <f>AVERAGE('01.08 Kiwatule-Najjeera-24h'!F65,'03.08 Kiwatule-Najjeera-24h'!F65)</f>
        <v>13</v>
      </c>
      <c r="G65" s="49">
        <f>AVERAGE('01.08 Kiwatule-Najjeera-24h'!G65,'03.08 Kiwatule-Najjeera-24h'!G65)</f>
        <v>0</v>
      </c>
      <c r="H65" s="49">
        <f>AVERAGE('01.08 Kiwatule-Najjeera-24h'!H65,'03.08 Kiwatule-Najjeera-24h'!H65)</f>
        <v>0</v>
      </c>
      <c r="I65" s="49">
        <f>AVERAGE('01.08 Kiwatule-Najjeera-24h'!I65,'03.08 Kiwatule-Najjeera-24h'!I65)</f>
        <v>4</v>
      </c>
      <c r="J65" s="49">
        <f>AVERAGE('01.08 Kiwatule-Najjeera-24h'!J65,'03.08 Kiwatule-Najjeera-24h'!J65)</f>
        <v>0</v>
      </c>
      <c r="K65" s="49">
        <f>AVERAGE('01.08 Kiwatule-Najjeera-24h'!K65,'03.08 Kiwatule-Najjeera-24h'!K65)</f>
        <v>0</v>
      </c>
      <c r="L65" s="49">
        <f>AVERAGE('01.08 Kiwatule-Najjeera-24h'!L65,'03.08 Kiwatule-Najjeera-24h'!L65)</f>
        <v>0</v>
      </c>
      <c r="M65" s="49">
        <f>AVERAGE('01.08 Kiwatule-Najjeera-24h'!M65,'03.08 Kiwatule-Najjeera-24h'!M65)</f>
        <v>55.5</v>
      </c>
      <c r="N65" s="49">
        <f>AVERAGE('01.08 Kiwatule-Najjeera-24h'!N65,'03.08 Kiwatule-Najjeera-24h'!N65)</f>
        <v>0</v>
      </c>
      <c r="O65" s="15">
        <f t="shared" si="0"/>
        <v>170.5</v>
      </c>
      <c r="P65" s="15">
        <f t="shared" si="1"/>
        <v>226</v>
      </c>
      <c r="R65" s="8"/>
      <c r="T65"/>
    </row>
    <row r="66" spans="2:20" ht="23.1" customHeight="1">
      <c r="B66" s="23" t="s">
        <v>103</v>
      </c>
      <c r="C66" s="49">
        <f>AVERAGE('01.08 Kiwatule-Najjeera-24h'!C66,'03.08 Kiwatule-Najjeera-24h'!C66)</f>
        <v>125</v>
      </c>
      <c r="D66" s="49">
        <f>AVERAGE('01.08 Kiwatule-Najjeera-24h'!D66,'03.08 Kiwatule-Najjeera-24h'!D66)</f>
        <v>18.5</v>
      </c>
      <c r="E66" s="49">
        <f>AVERAGE('01.08 Kiwatule-Najjeera-24h'!E66,'03.08 Kiwatule-Najjeera-24h'!E66)</f>
        <v>3</v>
      </c>
      <c r="F66" s="49">
        <f>AVERAGE('01.08 Kiwatule-Najjeera-24h'!F66,'03.08 Kiwatule-Najjeera-24h'!F66)</f>
        <v>17</v>
      </c>
      <c r="G66" s="49">
        <f>AVERAGE('01.08 Kiwatule-Najjeera-24h'!G66,'03.08 Kiwatule-Najjeera-24h'!G66)</f>
        <v>0</v>
      </c>
      <c r="H66" s="49">
        <f>AVERAGE('01.08 Kiwatule-Najjeera-24h'!H66,'03.08 Kiwatule-Najjeera-24h'!H66)</f>
        <v>0</v>
      </c>
      <c r="I66" s="49">
        <f>AVERAGE('01.08 Kiwatule-Najjeera-24h'!I66,'03.08 Kiwatule-Najjeera-24h'!I66)</f>
        <v>3.5</v>
      </c>
      <c r="J66" s="49">
        <f>AVERAGE('01.08 Kiwatule-Najjeera-24h'!J66,'03.08 Kiwatule-Najjeera-24h'!J66)</f>
        <v>0.5</v>
      </c>
      <c r="K66" s="49">
        <f>AVERAGE('01.08 Kiwatule-Najjeera-24h'!K66,'03.08 Kiwatule-Najjeera-24h'!K66)</f>
        <v>0.5</v>
      </c>
      <c r="L66" s="49">
        <f>AVERAGE('01.08 Kiwatule-Najjeera-24h'!L66,'03.08 Kiwatule-Najjeera-24h'!L66)</f>
        <v>0</v>
      </c>
      <c r="M66" s="49">
        <f>AVERAGE('01.08 Kiwatule-Najjeera-24h'!M66,'03.08 Kiwatule-Najjeera-24h'!M66)</f>
        <v>41</v>
      </c>
      <c r="N66" s="49">
        <f>AVERAGE('01.08 Kiwatule-Najjeera-24h'!N66,'03.08 Kiwatule-Najjeera-24h'!N66)</f>
        <v>0</v>
      </c>
      <c r="O66" s="15">
        <f t="shared" si="0"/>
        <v>168</v>
      </c>
      <c r="P66" s="15">
        <f t="shared" si="1"/>
        <v>209</v>
      </c>
      <c r="R66" s="8"/>
      <c r="T66"/>
    </row>
    <row r="67" spans="2:20" ht="23.1" customHeight="1">
      <c r="B67" s="23" t="s">
        <v>104</v>
      </c>
      <c r="C67" s="49">
        <f>AVERAGE('01.08 Kiwatule-Najjeera-24h'!C67,'03.08 Kiwatule-Najjeera-24h'!C67)</f>
        <v>136.5</v>
      </c>
      <c r="D67" s="49">
        <f>AVERAGE('01.08 Kiwatule-Najjeera-24h'!D67,'03.08 Kiwatule-Najjeera-24h'!D67)</f>
        <v>19.5</v>
      </c>
      <c r="E67" s="49">
        <f>AVERAGE('01.08 Kiwatule-Najjeera-24h'!E67,'03.08 Kiwatule-Najjeera-24h'!E67)</f>
        <v>10.5</v>
      </c>
      <c r="F67" s="49">
        <f>AVERAGE('01.08 Kiwatule-Najjeera-24h'!F67,'03.08 Kiwatule-Najjeera-24h'!F67)</f>
        <v>17.5</v>
      </c>
      <c r="G67" s="49">
        <f>AVERAGE('01.08 Kiwatule-Najjeera-24h'!G67,'03.08 Kiwatule-Najjeera-24h'!G67)</f>
        <v>0</v>
      </c>
      <c r="H67" s="49">
        <f>AVERAGE('01.08 Kiwatule-Najjeera-24h'!H67,'03.08 Kiwatule-Najjeera-24h'!H67)</f>
        <v>0</v>
      </c>
      <c r="I67" s="49">
        <f>AVERAGE('01.08 Kiwatule-Najjeera-24h'!I67,'03.08 Kiwatule-Najjeera-24h'!I67)</f>
        <v>3</v>
      </c>
      <c r="J67" s="49">
        <f>AVERAGE('01.08 Kiwatule-Najjeera-24h'!J67,'03.08 Kiwatule-Najjeera-24h'!J67)</f>
        <v>0</v>
      </c>
      <c r="K67" s="49">
        <f>AVERAGE('01.08 Kiwatule-Najjeera-24h'!K67,'03.08 Kiwatule-Najjeera-24h'!K67)</f>
        <v>0</v>
      </c>
      <c r="L67" s="49">
        <f>AVERAGE('01.08 Kiwatule-Najjeera-24h'!L67,'03.08 Kiwatule-Najjeera-24h'!L67)</f>
        <v>0</v>
      </c>
      <c r="M67" s="49">
        <f>AVERAGE('01.08 Kiwatule-Najjeera-24h'!M67,'03.08 Kiwatule-Najjeera-24h'!M67)</f>
        <v>54.5</v>
      </c>
      <c r="N67" s="49">
        <f>AVERAGE('01.08 Kiwatule-Najjeera-24h'!N67,'03.08 Kiwatule-Najjeera-24h'!N67)</f>
        <v>0</v>
      </c>
      <c r="O67" s="15">
        <f t="shared" si="0"/>
        <v>187</v>
      </c>
      <c r="P67" s="15">
        <f t="shared" si="1"/>
        <v>241.5</v>
      </c>
      <c r="R67" s="8"/>
      <c r="T67"/>
    </row>
    <row r="68" spans="2:20" ht="23.1" customHeight="1">
      <c r="B68" s="23" t="s">
        <v>105</v>
      </c>
      <c r="C68" s="49">
        <f>AVERAGE('01.08 Kiwatule-Najjeera-24h'!C68,'03.08 Kiwatule-Najjeera-24h'!C68)</f>
        <v>123.5</v>
      </c>
      <c r="D68" s="49">
        <f>AVERAGE('01.08 Kiwatule-Najjeera-24h'!D68,'03.08 Kiwatule-Najjeera-24h'!D68)</f>
        <v>16.5</v>
      </c>
      <c r="E68" s="49">
        <f>AVERAGE('01.08 Kiwatule-Najjeera-24h'!E68,'03.08 Kiwatule-Najjeera-24h'!E68)</f>
        <v>4</v>
      </c>
      <c r="F68" s="49">
        <f>AVERAGE('01.08 Kiwatule-Najjeera-24h'!F68,'03.08 Kiwatule-Najjeera-24h'!F68)</f>
        <v>11</v>
      </c>
      <c r="G68" s="49">
        <f>AVERAGE('01.08 Kiwatule-Najjeera-24h'!G68,'03.08 Kiwatule-Najjeera-24h'!G68)</f>
        <v>0</v>
      </c>
      <c r="H68" s="49">
        <f>AVERAGE('01.08 Kiwatule-Najjeera-24h'!H68,'03.08 Kiwatule-Najjeera-24h'!H68)</f>
        <v>0</v>
      </c>
      <c r="I68" s="49">
        <f>AVERAGE('01.08 Kiwatule-Najjeera-24h'!I68,'03.08 Kiwatule-Najjeera-24h'!I68)</f>
        <v>3</v>
      </c>
      <c r="J68" s="49">
        <f>AVERAGE('01.08 Kiwatule-Najjeera-24h'!J68,'03.08 Kiwatule-Najjeera-24h'!J68)</f>
        <v>0</v>
      </c>
      <c r="K68" s="49">
        <f>AVERAGE('01.08 Kiwatule-Najjeera-24h'!K68,'03.08 Kiwatule-Najjeera-24h'!K68)</f>
        <v>0</v>
      </c>
      <c r="L68" s="49">
        <f>AVERAGE('01.08 Kiwatule-Najjeera-24h'!L68,'03.08 Kiwatule-Najjeera-24h'!L68)</f>
        <v>0</v>
      </c>
      <c r="M68" s="49">
        <f>AVERAGE('01.08 Kiwatule-Najjeera-24h'!M68,'03.08 Kiwatule-Najjeera-24h'!M68)</f>
        <v>55.5</v>
      </c>
      <c r="N68" s="49">
        <f>AVERAGE('01.08 Kiwatule-Najjeera-24h'!N68,'03.08 Kiwatule-Najjeera-24h'!N68)</f>
        <v>0</v>
      </c>
      <c r="O68" s="15">
        <f t="shared" si="0"/>
        <v>158</v>
      </c>
      <c r="P68" s="15">
        <f t="shared" si="1"/>
        <v>213.5</v>
      </c>
      <c r="R68" s="8"/>
      <c r="T68"/>
    </row>
    <row r="69" spans="2:20" ht="23.1" customHeight="1">
      <c r="B69" s="23" t="s">
        <v>106</v>
      </c>
      <c r="C69" s="49">
        <f>AVERAGE('01.08 Kiwatule-Najjeera-24h'!C69,'03.08 Kiwatule-Najjeera-24h'!C69)</f>
        <v>132.5</v>
      </c>
      <c r="D69" s="49">
        <f>AVERAGE('01.08 Kiwatule-Najjeera-24h'!D69,'03.08 Kiwatule-Najjeera-24h'!D69)</f>
        <v>31</v>
      </c>
      <c r="E69" s="49">
        <f>AVERAGE('01.08 Kiwatule-Najjeera-24h'!E69,'03.08 Kiwatule-Najjeera-24h'!E69)</f>
        <v>7.5</v>
      </c>
      <c r="F69" s="49">
        <f>AVERAGE('01.08 Kiwatule-Najjeera-24h'!F69,'03.08 Kiwatule-Najjeera-24h'!F69)</f>
        <v>14</v>
      </c>
      <c r="G69" s="49">
        <f>AVERAGE('01.08 Kiwatule-Najjeera-24h'!G69,'03.08 Kiwatule-Najjeera-24h'!G69)</f>
        <v>0.5</v>
      </c>
      <c r="H69" s="49">
        <f>AVERAGE('01.08 Kiwatule-Najjeera-24h'!H69,'03.08 Kiwatule-Najjeera-24h'!H69)</f>
        <v>0</v>
      </c>
      <c r="I69" s="49">
        <f>AVERAGE('01.08 Kiwatule-Najjeera-24h'!I69,'03.08 Kiwatule-Najjeera-24h'!I69)</f>
        <v>1</v>
      </c>
      <c r="J69" s="49">
        <f>AVERAGE('01.08 Kiwatule-Najjeera-24h'!J69,'03.08 Kiwatule-Najjeera-24h'!J69)</f>
        <v>0</v>
      </c>
      <c r="K69" s="49">
        <f>AVERAGE('01.08 Kiwatule-Najjeera-24h'!K69,'03.08 Kiwatule-Najjeera-24h'!K69)</f>
        <v>0</v>
      </c>
      <c r="L69" s="49">
        <f>AVERAGE('01.08 Kiwatule-Najjeera-24h'!L69,'03.08 Kiwatule-Najjeera-24h'!L69)</f>
        <v>0</v>
      </c>
      <c r="M69" s="49">
        <f>AVERAGE('01.08 Kiwatule-Najjeera-24h'!M69,'03.08 Kiwatule-Najjeera-24h'!M69)</f>
        <v>52</v>
      </c>
      <c r="N69" s="49">
        <f>AVERAGE('01.08 Kiwatule-Najjeera-24h'!N69,'03.08 Kiwatule-Najjeera-24h'!N69)</f>
        <v>0</v>
      </c>
      <c r="O69" s="15">
        <f t="shared" si="0"/>
        <v>186.5</v>
      </c>
      <c r="P69" s="15">
        <f t="shared" si="1"/>
        <v>238.5</v>
      </c>
      <c r="R69" s="8"/>
      <c r="T69"/>
    </row>
    <row r="70" spans="2:20" ht="23.1" customHeight="1">
      <c r="B70" s="23" t="s">
        <v>110</v>
      </c>
      <c r="C70" s="49">
        <f>AVERAGE('01.08 Kiwatule-Najjeera-24h'!C70,'03.08 Kiwatule-Najjeera-24h'!C70)</f>
        <v>137.5</v>
      </c>
      <c r="D70" s="49">
        <f>AVERAGE('01.08 Kiwatule-Najjeera-24h'!D70,'03.08 Kiwatule-Najjeera-24h'!D70)</f>
        <v>27</v>
      </c>
      <c r="E70" s="49">
        <f>AVERAGE('01.08 Kiwatule-Najjeera-24h'!E70,'03.08 Kiwatule-Najjeera-24h'!E70)</f>
        <v>8</v>
      </c>
      <c r="F70" s="49">
        <f>AVERAGE('01.08 Kiwatule-Najjeera-24h'!F70,'03.08 Kiwatule-Najjeera-24h'!F70)</f>
        <v>13</v>
      </c>
      <c r="G70" s="49">
        <f>AVERAGE('01.08 Kiwatule-Najjeera-24h'!G70,'03.08 Kiwatule-Najjeera-24h'!G70)</f>
        <v>0</v>
      </c>
      <c r="H70" s="49">
        <f>AVERAGE('01.08 Kiwatule-Najjeera-24h'!H70,'03.08 Kiwatule-Najjeera-24h'!H70)</f>
        <v>0</v>
      </c>
      <c r="I70" s="49">
        <f>AVERAGE('01.08 Kiwatule-Najjeera-24h'!I70,'03.08 Kiwatule-Najjeera-24h'!I70)</f>
        <v>1</v>
      </c>
      <c r="J70" s="49">
        <f>AVERAGE('01.08 Kiwatule-Najjeera-24h'!J70,'03.08 Kiwatule-Najjeera-24h'!J70)</f>
        <v>0</v>
      </c>
      <c r="K70" s="49">
        <f>AVERAGE('01.08 Kiwatule-Najjeera-24h'!K70,'03.08 Kiwatule-Najjeera-24h'!K70)</f>
        <v>0</v>
      </c>
      <c r="L70" s="49">
        <f>AVERAGE('01.08 Kiwatule-Najjeera-24h'!L70,'03.08 Kiwatule-Najjeera-24h'!L70)</f>
        <v>0</v>
      </c>
      <c r="M70" s="49">
        <f>AVERAGE('01.08 Kiwatule-Najjeera-24h'!M70,'03.08 Kiwatule-Najjeera-24h'!M70)</f>
        <v>48.5</v>
      </c>
      <c r="N70" s="49">
        <f>AVERAGE('01.08 Kiwatule-Najjeera-24h'!N70,'03.08 Kiwatule-Najjeera-24h'!N70)</f>
        <v>0</v>
      </c>
      <c r="O70" s="15">
        <f t="shared" si="0"/>
        <v>186.5</v>
      </c>
      <c r="P70" s="15">
        <f t="shared" si="1"/>
        <v>235</v>
      </c>
      <c r="R70" s="8"/>
      <c r="T70"/>
    </row>
    <row r="71" spans="2:20" ht="23.1" customHeight="1">
      <c r="B71" s="23" t="s">
        <v>111</v>
      </c>
      <c r="C71" s="49">
        <f>AVERAGE('01.08 Kiwatule-Najjeera-24h'!C71,'03.08 Kiwatule-Najjeera-24h'!C71)</f>
        <v>109</v>
      </c>
      <c r="D71" s="49">
        <f>AVERAGE('01.08 Kiwatule-Najjeera-24h'!D71,'03.08 Kiwatule-Najjeera-24h'!D71)</f>
        <v>21.5</v>
      </c>
      <c r="E71" s="49">
        <f>AVERAGE('01.08 Kiwatule-Najjeera-24h'!E71,'03.08 Kiwatule-Najjeera-24h'!E71)</f>
        <v>7</v>
      </c>
      <c r="F71" s="49">
        <f>AVERAGE('01.08 Kiwatule-Najjeera-24h'!F71,'03.08 Kiwatule-Najjeera-24h'!F71)</f>
        <v>13</v>
      </c>
      <c r="G71" s="49">
        <f>AVERAGE('01.08 Kiwatule-Najjeera-24h'!G71,'03.08 Kiwatule-Najjeera-24h'!G71)</f>
        <v>0</v>
      </c>
      <c r="H71" s="49">
        <f>AVERAGE('01.08 Kiwatule-Najjeera-24h'!H71,'03.08 Kiwatule-Najjeera-24h'!H71)</f>
        <v>0</v>
      </c>
      <c r="I71" s="49">
        <f>AVERAGE('01.08 Kiwatule-Najjeera-24h'!I71,'03.08 Kiwatule-Najjeera-24h'!I71)</f>
        <v>2.5</v>
      </c>
      <c r="J71" s="49">
        <f>AVERAGE('01.08 Kiwatule-Najjeera-24h'!J71,'03.08 Kiwatule-Najjeera-24h'!J71)</f>
        <v>0</v>
      </c>
      <c r="K71" s="49">
        <f>AVERAGE('01.08 Kiwatule-Najjeera-24h'!K71,'03.08 Kiwatule-Najjeera-24h'!K71)</f>
        <v>0</v>
      </c>
      <c r="L71" s="49">
        <f>AVERAGE('01.08 Kiwatule-Najjeera-24h'!L71,'03.08 Kiwatule-Najjeera-24h'!L71)</f>
        <v>0</v>
      </c>
      <c r="M71" s="49">
        <f>AVERAGE('01.08 Kiwatule-Najjeera-24h'!M71,'03.08 Kiwatule-Najjeera-24h'!M71)</f>
        <v>99</v>
      </c>
      <c r="N71" s="49">
        <f>AVERAGE('01.08 Kiwatule-Najjeera-24h'!N71,'03.08 Kiwatule-Najjeera-24h'!N71)</f>
        <v>0</v>
      </c>
      <c r="O71" s="15">
        <f t="shared" si="0"/>
        <v>153</v>
      </c>
      <c r="P71" s="15">
        <f t="shared" si="1"/>
        <v>252</v>
      </c>
      <c r="R71" s="8"/>
      <c r="T71"/>
    </row>
    <row r="72" spans="2:20" ht="23.1" customHeight="1">
      <c r="B72" s="23" t="s">
        <v>112</v>
      </c>
      <c r="C72" s="49">
        <f>AVERAGE('01.08 Kiwatule-Najjeera-24h'!C72,'03.08 Kiwatule-Najjeera-24h'!C72)</f>
        <v>125.5</v>
      </c>
      <c r="D72" s="49">
        <f>AVERAGE('01.08 Kiwatule-Najjeera-24h'!D72,'03.08 Kiwatule-Najjeera-24h'!D72)</f>
        <v>24.5</v>
      </c>
      <c r="E72" s="49">
        <f>AVERAGE('01.08 Kiwatule-Najjeera-24h'!E72,'03.08 Kiwatule-Najjeera-24h'!E72)</f>
        <v>6</v>
      </c>
      <c r="F72" s="49">
        <f>AVERAGE('01.08 Kiwatule-Najjeera-24h'!F72,'03.08 Kiwatule-Najjeera-24h'!F72)</f>
        <v>13</v>
      </c>
      <c r="G72" s="49">
        <f>AVERAGE('01.08 Kiwatule-Najjeera-24h'!G72,'03.08 Kiwatule-Najjeera-24h'!G72)</f>
        <v>0</v>
      </c>
      <c r="H72" s="49">
        <f>AVERAGE('01.08 Kiwatule-Najjeera-24h'!H72,'03.08 Kiwatule-Najjeera-24h'!H72)</f>
        <v>0</v>
      </c>
      <c r="I72" s="49">
        <f>AVERAGE('01.08 Kiwatule-Najjeera-24h'!I72,'03.08 Kiwatule-Najjeera-24h'!I72)</f>
        <v>1</v>
      </c>
      <c r="J72" s="49">
        <f>AVERAGE('01.08 Kiwatule-Najjeera-24h'!J72,'03.08 Kiwatule-Najjeera-24h'!J72)</f>
        <v>0</v>
      </c>
      <c r="K72" s="49">
        <f>AVERAGE('01.08 Kiwatule-Najjeera-24h'!K72,'03.08 Kiwatule-Najjeera-24h'!K72)</f>
        <v>0</v>
      </c>
      <c r="L72" s="49">
        <f>AVERAGE('01.08 Kiwatule-Najjeera-24h'!L72,'03.08 Kiwatule-Najjeera-24h'!L72)</f>
        <v>0</v>
      </c>
      <c r="M72" s="49">
        <f>AVERAGE('01.08 Kiwatule-Najjeera-24h'!M72,'03.08 Kiwatule-Najjeera-24h'!M72)</f>
        <v>39.5</v>
      </c>
      <c r="N72" s="49">
        <f>AVERAGE('01.08 Kiwatule-Najjeera-24h'!N72,'03.08 Kiwatule-Najjeera-24h'!N72)</f>
        <v>0</v>
      </c>
      <c r="O72" s="15">
        <f t="shared" si="0"/>
        <v>170</v>
      </c>
      <c r="P72" s="15">
        <f t="shared" si="1"/>
        <v>209.5</v>
      </c>
      <c r="R72" s="8"/>
      <c r="T72"/>
    </row>
    <row r="73" spans="2:20" ht="23.1" customHeight="1">
      <c r="B73" s="23" t="s">
        <v>113</v>
      </c>
      <c r="C73" s="49">
        <f>AVERAGE('01.08 Kiwatule-Najjeera-24h'!C73,'03.08 Kiwatule-Najjeera-24h'!C73)</f>
        <v>122.5</v>
      </c>
      <c r="D73" s="49">
        <f>AVERAGE('01.08 Kiwatule-Najjeera-24h'!D73,'03.08 Kiwatule-Najjeera-24h'!D73)</f>
        <v>25.5</v>
      </c>
      <c r="E73" s="49">
        <f>AVERAGE('01.08 Kiwatule-Najjeera-24h'!E73,'03.08 Kiwatule-Najjeera-24h'!E73)</f>
        <v>8</v>
      </c>
      <c r="F73" s="49">
        <f>AVERAGE('01.08 Kiwatule-Najjeera-24h'!F73,'03.08 Kiwatule-Najjeera-24h'!F73)</f>
        <v>10.5</v>
      </c>
      <c r="G73" s="49">
        <f>AVERAGE('01.08 Kiwatule-Najjeera-24h'!G73,'03.08 Kiwatule-Najjeera-24h'!G73)</f>
        <v>0</v>
      </c>
      <c r="H73" s="49">
        <f>AVERAGE('01.08 Kiwatule-Najjeera-24h'!H73,'03.08 Kiwatule-Najjeera-24h'!H73)</f>
        <v>0</v>
      </c>
      <c r="I73" s="49">
        <f>AVERAGE('01.08 Kiwatule-Najjeera-24h'!I73,'03.08 Kiwatule-Najjeera-24h'!I73)</f>
        <v>3</v>
      </c>
      <c r="J73" s="49">
        <f>AVERAGE('01.08 Kiwatule-Najjeera-24h'!J73,'03.08 Kiwatule-Najjeera-24h'!J73)</f>
        <v>0.5</v>
      </c>
      <c r="K73" s="49">
        <f>AVERAGE('01.08 Kiwatule-Najjeera-24h'!K73,'03.08 Kiwatule-Najjeera-24h'!K73)</f>
        <v>0</v>
      </c>
      <c r="L73" s="49">
        <f>AVERAGE('01.08 Kiwatule-Najjeera-24h'!L73,'03.08 Kiwatule-Najjeera-24h'!L73)</f>
        <v>0</v>
      </c>
      <c r="M73" s="49">
        <f>AVERAGE('01.08 Kiwatule-Najjeera-24h'!M73,'03.08 Kiwatule-Najjeera-24h'!M73)</f>
        <v>50</v>
      </c>
      <c r="N73" s="49">
        <f>AVERAGE('01.08 Kiwatule-Najjeera-24h'!N73,'03.08 Kiwatule-Najjeera-24h'!N73)</f>
        <v>0</v>
      </c>
      <c r="O73" s="15">
        <f t="shared" si="0"/>
        <v>170</v>
      </c>
      <c r="P73" s="15">
        <f t="shared" si="1"/>
        <v>220</v>
      </c>
      <c r="R73" s="8"/>
      <c r="T73"/>
    </row>
    <row r="74" spans="2:20" ht="23.1" customHeight="1">
      <c r="B74" s="23" t="s">
        <v>114</v>
      </c>
      <c r="C74" s="49">
        <f>AVERAGE('01.08 Kiwatule-Najjeera-24h'!C74,'03.08 Kiwatule-Najjeera-24h'!C74)</f>
        <v>116.5</v>
      </c>
      <c r="D74" s="49">
        <f>AVERAGE('01.08 Kiwatule-Najjeera-24h'!D74,'03.08 Kiwatule-Najjeera-24h'!D74)</f>
        <v>22.5</v>
      </c>
      <c r="E74" s="49">
        <f>AVERAGE('01.08 Kiwatule-Najjeera-24h'!E74,'03.08 Kiwatule-Najjeera-24h'!E74)</f>
        <v>3</v>
      </c>
      <c r="F74" s="49">
        <f>AVERAGE('01.08 Kiwatule-Najjeera-24h'!F74,'03.08 Kiwatule-Najjeera-24h'!F74)</f>
        <v>6.5</v>
      </c>
      <c r="G74" s="49">
        <f>AVERAGE('01.08 Kiwatule-Najjeera-24h'!G74,'03.08 Kiwatule-Najjeera-24h'!G74)</f>
        <v>0</v>
      </c>
      <c r="H74" s="49">
        <f>AVERAGE('01.08 Kiwatule-Najjeera-24h'!H74,'03.08 Kiwatule-Najjeera-24h'!H74)</f>
        <v>0</v>
      </c>
      <c r="I74" s="49">
        <f>AVERAGE('01.08 Kiwatule-Najjeera-24h'!I74,'03.08 Kiwatule-Najjeera-24h'!I74)</f>
        <v>0.5</v>
      </c>
      <c r="J74" s="49">
        <f>AVERAGE('01.08 Kiwatule-Najjeera-24h'!J74,'03.08 Kiwatule-Najjeera-24h'!J74)</f>
        <v>0.5</v>
      </c>
      <c r="K74" s="49">
        <f>AVERAGE('01.08 Kiwatule-Najjeera-24h'!K74,'03.08 Kiwatule-Najjeera-24h'!K74)</f>
        <v>0.5</v>
      </c>
      <c r="L74" s="49">
        <f>AVERAGE('01.08 Kiwatule-Najjeera-24h'!L74,'03.08 Kiwatule-Najjeera-24h'!L74)</f>
        <v>0</v>
      </c>
      <c r="M74" s="49">
        <f>AVERAGE('01.08 Kiwatule-Najjeera-24h'!M74,'03.08 Kiwatule-Najjeera-24h'!M74)</f>
        <v>62</v>
      </c>
      <c r="N74" s="49">
        <f>AVERAGE('01.08 Kiwatule-Najjeera-24h'!N74,'03.08 Kiwatule-Najjeera-24h'!N74)</f>
        <v>0</v>
      </c>
      <c r="O74" s="15">
        <f t="shared" ref="O74:O105" si="35">SUM(C74:L74,N74)</f>
        <v>150</v>
      </c>
      <c r="P74" s="15">
        <f t="shared" ref="P74:P105" si="36">SUM(C74:N74)</f>
        <v>212</v>
      </c>
      <c r="R74" s="8"/>
      <c r="T74"/>
    </row>
    <row r="75" spans="2:20" ht="23.1" customHeight="1">
      <c r="B75" s="23" t="s">
        <v>115</v>
      </c>
      <c r="C75" s="49">
        <f>AVERAGE('01.08 Kiwatule-Najjeera-24h'!C75,'03.08 Kiwatule-Najjeera-24h'!C75)</f>
        <v>95</v>
      </c>
      <c r="D75" s="49">
        <f>AVERAGE('01.08 Kiwatule-Najjeera-24h'!D75,'03.08 Kiwatule-Najjeera-24h'!D75)</f>
        <v>24</v>
      </c>
      <c r="E75" s="49">
        <f>AVERAGE('01.08 Kiwatule-Najjeera-24h'!E75,'03.08 Kiwatule-Najjeera-24h'!E75)</f>
        <v>7.5</v>
      </c>
      <c r="F75" s="49">
        <f>AVERAGE('01.08 Kiwatule-Najjeera-24h'!F75,'03.08 Kiwatule-Najjeera-24h'!F75)</f>
        <v>7</v>
      </c>
      <c r="G75" s="49">
        <f>AVERAGE('01.08 Kiwatule-Najjeera-24h'!G75,'03.08 Kiwatule-Najjeera-24h'!G75)</f>
        <v>0</v>
      </c>
      <c r="H75" s="49">
        <f>AVERAGE('01.08 Kiwatule-Najjeera-24h'!H75,'03.08 Kiwatule-Najjeera-24h'!H75)</f>
        <v>0</v>
      </c>
      <c r="I75" s="49">
        <f>AVERAGE('01.08 Kiwatule-Najjeera-24h'!I75,'03.08 Kiwatule-Najjeera-24h'!I75)</f>
        <v>1.5</v>
      </c>
      <c r="J75" s="49">
        <f>AVERAGE('01.08 Kiwatule-Najjeera-24h'!J75,'03.08 Kiwatule-Najjeera-24h'!J75)</f>
        <v>1</v>
      </c>
      <c r="K75" s="49">
        <f>AVERAGE('01.08 Kiwatule-Najjeera-24h'!K75,'03.08 Kiwatule-Najjeera-24h'!K75)</f>
        <v>0</v>
      </c>
      <c r="L75" s="49">
        <f>AVERAGE('01.08 Kiwatule-Najjeera-24h'!L75,'03.08 Kiwatule-Najjeera-24h'!L75)</f>
        <v>0</v>
      </c>
      <c r="M75" s="49">
        <f>AVERAGE('01.08 Kiwatule-Najjeera-24h'!M75,'03.08 Kiwatule-Najjeera-24h'!M75)</f>
        <v>64</v>
      </c>
      <c r="N75" s="49">
        <f>AVERAGE('01.08 Kiwatule-Najjeera-24h'!N75,'03.08 Kiwatule-Najjeera-24h'!N75)</f>
        <v>0.5</v>
      </c>
      <c r="O75" s="15">
        <f t="shared" si="35"/>
        <v>136.5</v>
      </c>
      <c r="P75" s="15">
        <f t="shared" si="36"/>
        <v>200.5</v>
      </c>
      <c r="R75" s="8"/>
      <c r="T75"/>
    </row>
    <row r="76" spans="2:20" ht="23.1" customHeight="1">
      <c r="B76" s="23" t="s">
        <v>116</v>
      </c>
      <c r="C76" s="49">
        <f>AVERAGE('01.08 Kiwatule-Najjeera-24h'!C76,'03.08 Kiwatule-Najjeera-24h'!C76)</f>
        <v>111</v>
      </c>
      <c r="D76" s="49">
        <f>AVERAGE('01.08 Kiwatule-Najjeera-24h'!D76,'03.08 Kiwatule-Najjeera-24h'!D76)</f>
        <v>16.5</v>
      </c>
      <c r="E76" s="49">
        <f>AVERAGE('01.08 Kiwatule-Najjeera-24h'!E76,'03.08 Kiwatule-Najjeera-24h'!E76)</f>
        <v>4.5</v>
      </c>
      <c r="F76" s="49">
        <f>AVERAGE('01.08 Kiwatule-Najjeera-24h'!F76,'03.08 Kiwatule-Najjeera-24h'!F76)</f>
        <v>5.5</v>
      </c>
      <c r="G76" s="49">
        <f>AVERAGE('01.08 Kiwatule-Najjeera-24h'!G76,'03.08 Kiwatule-Najjeera-24h'!G76)</f>
        <v>0.5</v>
      </c>
      <c r="H76" s="49">
        <f>AVERAGE('01.08 Kiwatule-Najjeera-24h'!H76,'03.08 Kiwatule-Najjeera-24h'!H76)</f>
        <v>1</v>
      </c>
      <c r="I76" s="49">
        <f>AVERAGE('01.08 Kiwatule-Najjeera-24h'!I76,'03.08 Kiwatule-Najjeera-24h'!I76)</f>
        <v>1</v>
      </c>
      <c r="J76" s="49">
        <f>AVERAGE('01.08 Kiwatule-Najjeera-24h'!J76,'03.08 Kiwatule-Najjeera-24h'!J76)</f>
        <v>0</v>
      </c>
      <c r="K76" s="49">
        <f>AVERAGE('01.08 Kiwatule-Najjeera-24h'!K76,'03.08 Kiwatule-Najjeera-24h'!K76)</f>
        <v>0</v>
      </c>
      <c r="L76" s="49">
        <f>AVERAGE('01.08 Kiwatule-Najjeera-24h'!L76,'03.08 Kiwatule-Najjeera-24h'!L76)</f>
        <v>0</v>
      </c>
      <c r="M76" s="49">
        <f>AVERAGE('01.08 Kiwatule-Najjeera-24h'!M76,'03.08 Kiwatule-Najjeera-24h'!M76)</f>
        <v>31.5</v>
      </c>
      <c r="N76" s="49">
        <f>AVERAGE('01.08 Kiwatule-Najjeera-24h'!N76,'03.08 Kiwatule-Najjeera-24h'!N76)</f>
        <v>0</v>
      </c>
      <c r="O76" s="15">
        <f t="shared" si="35"/>
        <v>140</v>
      </c>
      <c r="P76" s="15">
        <f t="shared" si="36"/>
        <v>171.5</v>
      </c>
      <c r="R76" s="8"/>
      <c r="T76"/>
    </row>
    <row r="77" spans="2:20" ht="23.1" customHeight="1">
      <c r="B77" s="23" t="s">
        <v>117</v>
      </c>
      <c r="C77" s="49">
        <f>AVERAGE('01.08 Kiwatule-Najjeera-24h'!C77,'03.08 Kiwatule-Najjeera-24h'!C77)</f>
        <v>77.5</v>
      </c>
      <c r="D77" s="49">
        <f>AVERAGE('01.08 Kiwatule-Najjeera-24h'!D77,'03.08 Kiwatule-Najjeera-24h'!D77)</f>
        <v>14</v>
      </c>
      <c r="E77" s="49">
        <f>AVERAGE('01.08 Kiwatule-Najjeera-24h'!E77,'03.08 Kiwatule-Najjeera-24h'!E77)</f>
        <v>4</v>
      </c>
      <c r="F77" s="49">
        <f>AVERAGE('01.08 Kiwatule-Najjeera-24h'!F77,'03.08 Kiwatule-Najjeera-24h'!F77)</f>
        <v>2</v>
      </c>
      <c r="G77" s="49">
        <f>AVERAGE('01.08 Kiwatule-Najjeera-24h'!G77,'03.08 Kiwatule-Najjeera-24h'!G77)</f>
        <v>1</v>
      </c>
      <c r="H77" s="49">
        <f>AVERAGE('01.08 Kiwatule-Najjeera-24h'!H77,'03.08 Kiwatule-Najjeera-24h'!H77)</f>
        <v>0</v>
      </c>
      <c r="I77" s="49">
        <f>AVERAGE('01.08 Kiwatule-Najjeera-24h'!I77,'03.08 Kiwatule-Najjeera-24h'!I77)</f>
        <v>1</v>
      </c>
      <c r="J77" s="49">
        <f>AVERAGE('01.08 Kiwatule-Najjeera-24h'!J77,'03.08 Kiwatule-Najjeera-24h'!J77)</f>
        <v>0</v>
      </c>
      <c r="K77" s="49">
        <f>AVERAGE('01.08 Kiwatule-Najjeera-24h'!K77,'03.08 Kiwatule-Najjeera-24h'!K77)</f>
        <v>0</v>
      </c>
      <c r="L77" s="49">
        <f>AVERAGE('01.08 Kiwatule-Najjeera-24h'!L77,'03.08 Kiwatule-Najjeera-24h'!L77)</f>
        <v>0</v>
      </c>
      <c r="M77" s="49">
        <f>AVERAGE('01.08 Kiwatule-Najjeera-24h'!M77,'03.08 Kiwatule-Najjeera-24h'!M77)</f>
        <v>37</v>
      </c>
      <c r="N77" s="49">
        <f>AVERAGE('01.08 Kiwatule-Najjeera-24h'!N77,'03.08 Kiwatule-Najjeera-24h'!N77)</f>
        <v>0</v>
      </c>
      <c r="O77" s="15">
        <f t="shared" si="35"/>
        <v>99.5</v>
      </c>
      <c r="P77" s="15">
        <f t="shared" si="36"/>
        <v>136.5</v>
      </c>
      <c r="R77" s="8"/>
      <c r="T77"/>
    </row>
    <row r="78" spans="2:20" ht="23.1" customHeight="1">
      <c r="B78" s="24" t="s">
        <v>118</v>
      </c>
      <c r="C78" s="49">
        <f>AVERAGE('01.08 Kiwatule-Najjeera-24h'!C78,'03.08 Kiwatule-Najjeera-24h'!C78)</f>
        <v>82.5</v>
      </c>
      <c r="D78" s="49">
        <f>AVERAGE('01.08 Kiwatule-Najjeera-24h'!D78,'03.08 Kiwatule-Najjeera-24h'!D78)</f>
        <v>15.5</v>
      </c>
      <c r="E78" s="49">
        <f>AVERAGE('01.08 Kiwatule-Najjeera-24h'!E78,'03.08 Kiwatule-Najjeera-24h'!E78)</f>
        <v>3.5</v>
      </c>
      <c r="F78" s="49">
        <f>AVERAGE('01.08 Kiwatule-Najjeera-24h'!F78,'03.08 Kiwatule-Najjeera-24h'!F78)</f>
        <v>3.5</v>
      </c>
      <c r="G78" s="49">
        <f>AVERAGE('01.08 Kiwatule-Najjeera-24h'!G78,'03.08 Kiwatule-Najjeera-24h'!G78)</f>
        <v>0</v>
      </c>
      <c r="H78" s="49">
        <f>AVERAGE('01.08 Kiwatule-Najjeera-24h'!H78,'03.08 Kiwatule-Najjeera-24h'!H78)</f>
        <v>0</v>
      </c>
      <c r="I78" s="49">
        <f>AVERAGE('01.08 Kiwatule-Najjeera-24h'!I78,'03.08 Kiwatule-Najjeera-24h'!I78)</f>
        <v>2.5</v>
      </c>
      <c r="J78" s="49">
        <f>AVERAGE('01.08 Kiwatule-Najjeera-24h'!J78,'03.08 Kiwatule-Najjeera-24h'!J78)</f>
        <v>0</v>
      </c>
      <c r="K78" s="49">
        <f>AVERAGE('01.08 Kiwatule-Najjeera-24h'!K78,'03.08 Kiwatule-Najjeera-24h'!K78)</f>
        <v>0</v>
      </c>
      <c r="L78" s="49">
        <f>AVERAGE('01.08 Kiwatule-Najjeera-24h'!L78,'03.08 Kiwatule-Najjeera-24h'!L78)</f>
        <v>0.5</v>
      </c>
      <c r="M78" s="49">
        <f>AVERAGE('01.08 Kiwatule-Najjeera-24h'!M78,'03.08 Kiwatule-Najjeera-24h'!M78)</f>
        <v>48</v>
      </c>
      <c r="N78" s="49">
        <f>AVERAGE('01.08 Kiwatule-Najjeera-24h'!N78,'03.08 Kiwatule-Najjeera-24h'!N78)</f>
        <v>0</v>
      </c>
      <c r="O78" s="15">
        <f t="shared" si="35"/>
        <v>108</v>
      </c>
      <c r="P78" s="15">
        <f t="shared" si="36"/>
        <v>156</v>
      </c>
      <c r="R78" s="8"/>
      <c r="T78"/>
    </row>
    <row r="79" spans="2:20" ht="23.1" customHeight="1">
      <c r="B79" s="23" t="s">
        <v>119</v>
      </c>
      <c r="C79" s="49">
        <f>AVERAGE('01.08 Kiwatule-Najjeera-24h'!C79,'03.08 Kiwatule-Najjeera-24h'!C79)</f>
        <v>54.5</v>
      </c>
      <c r="D79" s="49">
        <f>AVERAGE('01.08 Kiwatule-Najjeera-24h'!D79,'03.08 Kiwatule-Najjeera-24h'!D79)</f>
        <v>12</v>
      </c>
      <c r="E79" s="49">
        <f>AVERAGE('01.08 Kiwatule-Najjeera-24h'!E79,'03.08 Kiwatule-Najjeera-24h'!E79)</f>
        <v>5</v>
      </c>
      <c r="F79" s="49">
        <f>AVERAGE('01.08 Kiwatule-Najjeera-24h'!F79,'03.08 Kiwatule-Najjeera-24h'!F79)</f>
        <v>1</v>
      </c>
      <c r="G79" s="49">
        <f>AVERAGE('01.08 Kiwatule-Najjeera-24h'!G79,'03.08 Kiwatule-Najjeera-24h'!G79)</f>
        <v>0</v>
      </c>
      <c r="H79" s="49">
        <f>AVERAGE('01.08 Kiwatule-Najjeera-24h'!H79,'03.08 Kiwatule-Najjeera-24h'!H79)</f>
        <v>0</v>
      </c>
      <c r="I79" s="49">
        <f>AVERAGE('01.08 Kiwatule-Najjeera-24h'!I79,'03.08 Kiwatule-Najjeera-24h'!I79)</f>
        <v>1</v>
      </c>
      <c r="J79" s="49">
        <f>AVERAGE('01.08 Kiwatule-Najjeera-24h'!J79,'03.08 Kiwatule-Najjeera-24h'!J79)</f>
        <v>0</v>
      </c>
      <c r="K79" s="49">
        <f>AVERAGE('01.08 Kiwatule-Najjeera-24h'!K79,'03.08 Kiwatule-Najjeera-24h'!K79)</f>
        <v>0</v>
      </c>
      <c r="L79" s="49">
        <f>AVERAGE('01.08 Kiwatule-Najjeera-24h'!L79,'03.08 Kiwatule-Najjeera-24h'!L79)</f>
        <v>0</v>
      </c>
      <c r="M79" s="49">
        <f>AVERAGE('01.08 Kiwatule-Najjeera-24h'!M79,'03.08 Kiwatule-Najjeera-24h'!M79)</f>
        <v>39.5</v>
      </c>
      <c r="N79" s="49">
        <f>AVERAGE('01.08 Kiwatule-Najjeera-24h'!N79,'03.08 Kiwatule-Najjeera-24h'!N79)</f>
        <v>0</v>
      </c>
      <c r="O79" s="15">
        <f t="shared" si="35"/>
        <v>73.5</v>
      </c>
      <c r="P79" s="15">
        <f t="shared" si="36"/>
        <v>113</v>
      </c>
      <c r="R79" s="8"/>
      <c r="T79"/>
    </row>
    <row r="80" spans="2:20" ht="23.1" customHeight="1">
      <c r="B80" s="25" t="s">
        <v>120</v>
      </c>
      <c r="C80" s="49">
        <f>AVERAGE('01.08 Kiwatule-Najjeera-24h'!C80,'03.08 Kiwatule-Najjeera-24h'!C80)</f>
        <v>64.5</v>
      </c>
      <c r="D80" s="49">
        <f>AVERAGE('01.08 Kiwatule-Najjeera-24h'!D80,'03.08 Kiwatule-Najjeera-24h'!D80)</f>
        <v>11.5</v>
      </c>
      <c r="E80" s="49">
        <f>AVERAGE('01.08 Kiwatule-Najjeera-24h'!E80,'03.08 Kiwatule-Najjeera-24h'!E80)</f>
        <v>3.5</v>
      </c>
      <c r="F80" s="49">
        <f>AVERAGE('01.08 Kiwatule-Najjeera-24h'!F80,'03.08 Kiwatule-Najjeera-24h'!F80)</f>
        <v>4.5</v>
      </c>
      <c r="G80" s="49">
        <f>AVERAGE('01.08 Kiwatule-Najjeera-24h'!G80,'03.08 Kiwatule-Najjeera-24h'!G80)</f>
        <v>0</v>
      </c>
      <c r="H80" s="49">
        <f>AVERAGE('01.08 Kiwatule-Najjeera-24h'!H80,'03.08 Kiwatule-Najjeera-24h'!H80)</f>
        <v>0</v>
      </c>
      <c r="I80" s="49">
        <f>AVERAGE('01.08 Kiwatule-Najjeera-24h'!I80,'03.08 Kiwatule-Najjeera-24h'!I80)</f>
        <v>0.5</v>
      </c>
      <c r="J80" s="49">
        <f>AVERAGE('01.08 Kiwatule-Najjeera-24h'!J80,'03.08 Kiwatule-Najjeera-24h'!J80)</f>
        <v>0</v>
      </c>
      <c r="K80" s="49">
        <f>AVERAGE('01.08 Kiwatule-Najjeera-24h'!K80,'03.08 Kiwatule-Najjeera-24h'!K80)</f>
        <v>0</v>
      </c>
      <c r="L80" s="49">
        <f>AVERAGE('01.08 Kiwatule-Najjeera-24h'!L80,'03.08 Kiwatule-Najjeera-24h'!L80)</f>
        <v>0</v>
      </c>
      <c r="M80" s="49">
        <f>AVERAGE('01.08 Kiwatule-Najjeera-24h'!M80,'03.08 Kiwatule-Najjeera-24h'!M80)</f>
        <v>49.5</v>
      </c>
      <c r="N80" s="49">
        <f>AVERAGE('01.08 Kiwatule-Najjeera-24h'!N80,'03.08 Kiwatule-Najjeera-24h'!N80)</f>
        <v>0</v>
      </c>
      <c r="O80" s="15">
        <f t="shared" si="35"/>
        <v>84.5</v>
      </c>
      <c r="P80" s="15">
        <f t="shared" si="36"/>
        <v>134</v>
      </c>
      <c r="R80" s="8"/>
      <c r="T80"/>
    </row>
    <row r="81" spans="2:20" ht="23.1" customHeight="1">
      <c r="B81" s="23" t="s">
        <v>121</v>
      </c>
      <c r="C81" s="49">
        <f>AVERAGE('01.08 Kiwatule-Najjeera-24h'!C81,'03.08 Kiwatule-Najjeera-24h'!C81)</f>
        <v>46</v>
      </c>
      <c r="D81" s="49">
        <f>AVERAGE('01.08 Kiwatule-Najjeera-24h'!D81,'03.08 Kiwatule-Najjeera-24h'!D81)</f>
        <v>13</v>
      </c>
      <c r="E81" s="49">
        <f>AVERAGE('01.08 Kiwatule-Najjeera-24h'!E81,'03.08 Kiwatule-Najjeera-24h'!E81)</f>
        <v>1</v>
      </c>
      <c r="F81" s="49">
        <f>AVERAGE('01.08 Kiwatule-Najjeera-24h'!F81,'03.08 Kiwatule-Najjeera-24h'!F81)</f>
        <v>0.5</v>
      </c>
      <c r="G81" s="49">
        <f>AVERAGE('01.08 Kiwatule-Najjeera-24h'!G81,'03.08 Kiwatule-Najjeera-24h'!G81)</f>
        <v>0</v>
      </c>
      <c r="H81" s="49">
        <f>AVERAGE('01.08 Kiwatule-Najjeera-24h'!H81,'03.08 Kiwatule-Najjeera-24h'!H81)</f>
        <v>0</v>
      </c>
      <c r="I81" s="49">
        <f>AVERAGE('01.08 Kiwatule-Najjeera-24h'!I81,'03.08 Kiwatule-Najjeera-24h'!I81)</f>
        <v>1.5</v>
      </c>
      <c r="J81" s="49">
        <f>AVERAGE('01.08 Kiwatule-Najjeera-24h'!J81,'03.08 Kiwatule-Najjeera-24h'!J81)</f>
        <v>0</v>
      </c>
      <c r="K81" s="49">
        <f>AVERAGE('01.08 Kiwatule-Najjeera-24h'!K81,'03.08 Kiwatule-Najjeera-24h'!K81)</f>
        <v>0</v>
      </c>
      <c r="L81" s="49">
        <f>AVERAGE('01.08 Kiwatule-Najjeera-24h'!L81,'03.08 Kiwatule-Najjeera-24h'!L81)</f>
        <v>0</v>
      </c>
      <c r="M81" s="49">
        <f>AVERAGE('01.08 Kiwatule-Najjeera-24h'!M81,'03.08 Kiwatule-Najjeera-24h'!M81)</f>
        <v>23.5</v>
      </c>
      <c r="N81" s="49">
        <f>AVERAGE('01.08 Kiwatule-Najjeera-24h'!N81,'03.08 Kiwatule-Najjeera-24h'!N81)</f>
        <v>0</v>
      </c>
      <c r="O81" s="15">
        <f t="shared" si="35"/>
        <v>62</v>
      </c>
      <c r="P81" s="15">
        <f t="shared" si="36"/>
        <v>85.5</v>
      </c>
      <c r="R81" s="8"/>
      <c r="T81"/>
    </row>
    <row r="82" spans="2:20" ht="23.1" customHeight="1">
      <c r="B82" s="24" t="s">
        <v>122</v>
      </c>
      <c r="C82" s="49">
        <f>AVERAGE('01.08 Kiwatule-Najjeera-24h'!C82,'03.08 Kiwatule-Najjeera-24h'!C82)</f>
        <v>35</v>
      </c>
      <c r="D82" s="49">
        <f>AVERAGE('01.08 Kiwatule-Najjeera-24h'!D82,'03.08 Kiwatule-Najjeera-24h'!D82)</f>
        <v>6</v>
      </c>
      <c r="E82" s="49">
        <f>AVERAGE('01.08 Kiwatule-Najjeera-24h'!E82,'03.08 Kiwatule-Najjeera-24h'!E82)</f>
        <v>0.5</v>
      </c>
      <c r="F82" s="49">
        <f>AVERAGE('01.08 Kiwatule-Najjeera-24h'!F82,'03.08 Kiwatule-Najjeera-24h'!F82)</f>
        <v>1</v>
      </c>
      <c r="G82" s="49">
        <f>AVERAGE('01.08 Kiwatule-Najjeera-24h'!G82,'03.08 Kiwatule-Najjeera-24h'!G82)</f>
        <v>0</v>
      </c>
      <c r="H82" s="49">
        <f>AVERAGE('01.08 Kiwatule-Najjeera-24h'!H82,'03.08 Kiwatule-Najjeera-24h'!H82)</f>
        <v>0</v>
      </c>
      <c r="I82" s="49">
        <f>AVERAGE('01.08 Kiwatule-Najjeera-24h'!I82,'03.08 Kiwatule-Najjeera-24h'!I82)</f>
        <v>0</v>
      </c>
      <c r="J82" s="49">
        <f>AVERAGE('01.08 Kiwatule-Najjeera-24h'!J82,'03.08 Kiwatule-Najjeera-24h'!J82)</f>
        <v>0</v>
      </c>
      <c r="K82" s="49">
        <f>AVERAGE('01.08 Kiwatule-Najjeera-24h'!K82,'03.08 Kiwatule-Najjeera-24h'!K82)</f>
        <v>0</v>
      </c>
      <c r="L82" s="49">
        <f>AVERAGE('01.08 Kiwatule-Najjeera-24h'!L82,'03.08 Kiwatule-Najjeera-24h'!L82)</f>
        <v>0</v>
      </c>
      <c r="M82" s="49">
        <f>AVERAGE('01.08 Kiwatule-Najjeera-24h'!M82,'03.08 Kiwatule-Najjeera-24h'!M82)</f>
        <v>23</v>
      </c>
      <c r="N82" s="49">
        <f>AVERAGE('01.08 Kiwatule-Najjeera-24h'!N82,'03.08 Kiwatule-Najjeera-24h'!N82)</f>
        <v>0</v>
      </c>
      <c r="O82" s="15">
        <f t="shared" si="35"/>
        <v>42.5</v>
      </c>
      <c r="P82" s="15">
        <f t="shared" si="36"/>
        <v>65.5</v>
      </c>
      <c r="R82" s="8"/>
      <c r="T82"/>
    </row>
    <row r="83" spans="2:20" ht="23.1" customHeight="1">
      <c r="B83" s="23" t="s">
        <v>123</v>
      </c>
      <c r="C83" s="49">
        <f>AVERAGE('01.08 Kiwatule-Najjeera-24h'!C83,'03.08 Kiwatule-Najjeera-24h'!C83)</f>
        <v>25.5</v>
      </c>
      <c r="D83" s="49">
        <f>AVERAGE('01.08 Kiwatule-Najjeera-24h'!D83,'03.08 Kiwatule-Najjeera-24h'!D83)</f>
        <v>9</v>
      </c>
      <c r="E83" s="49">
        <f>AVERAGE('01.08 Kiwatule-Najjeera-24h'!E83,'03.08 Kiwatule-Najjeera-24h'!E83)</f>
        <v>0.5</v>
      </c>
      <c r="F83" s="49">
        <f>AVERAGE('01.08 Kiwatule-Najjeera-24h'!F83,'03.08 Kiwatule-Najjeera-24h'!F83)</f>
        <v>1</v>
      </c>
      <c r="G83" s="49">
        <f>AVERAGE('01.08 Kiwatule-Najjeera-24h'!G83,'03.08 Kiwatule-Najjeera-24h'!G83)</f>
        <v>0</v>
      </c>
      <c r="H83" s="49">
        <f>AVERAGE('01.08 Kiwatule-Najjeera-24h'!H83,'03.08 Kiwatule-Najjeera-24h'!H83)</f>
        <v>0</v>
      </c>
      <c r="I83" s="49">
        <f>AVERAGE('01.08 Kiwatule-Najjeera-24h'!I83,'03.08 Kiwatule-Najjeera-24h'!I83)</f>
        <v>1.5</v>
      </c>
      <c r="J83" s="49">
        <f>AVERAGE('01.08 Kiwatule-Najjeera-24h'!J83,'03.08 Kiwatule-Najjeera-24h'!J83)</f>
        <v>0</v>
      </c>
      <c r="K83" s="49">
        <f>AVERAGE('01.08 Kiwatule-Najjeera-24h'!K83,'03.08 Kiwatule-Najjeera-24h'!K83)</f>
        <v>0</v>
      </c>
      <c r="L83" s="49">
        <f>AVERAGE('01.08 Kiwatule-Najjeera-24h'!L83,'03.08 Kiwatule-Najjeera-24h'!L83)</f>
        <v>0</v>
      </c>
      <c r="M83" s="49">
        <f>AVERAGE('01.08 Kiwatule-Najjeera-24h'!M83,'03.08 Kiwatule-Najjeera-24h'!M83)</f>
        <v>22.5</v>
      </c>
      <c r="N83" s="49">
        <f>AVERAGE('01.08 Kiwatule-Najjeera-24h'!N83,'03.08 Kiwatule-Najjeera-24h'!N83)</f>
        <v>0</v>
      </c>
      <c r="O83" s="15">
        <f t="shared" si="35"/>
        <v>37.5</v>
      </c>
      <c r="P83" s="15">
        <f t="shared" si="36"/>
        <v>60</v>
      </c>
      <c r="R83" s="8"/>
      <c r="T83"/>
    </row>
    <row r="84" spans="2:20" ht="23.1" customHeight="1">
      <c r="B84" s="25" t="s">
        <v>124</v>
      </c>
      <c r="C84" s="49">
        <f>AVERAGE('01.08 Kiwatule-Najjeera-24h'!C84,'03.08 Kiwatule-Najjeera-24h'!C84)</f>
        <v>33</v>
      </c>
      <c r="D84" s="49">
        <f>AVERAGE('01.08 Kiwatule-Najjeera-24h'!D84,'03.08 Kiwatule-Najjeera-24h'!D84)</f>
        <v>4.5</v>
      </c>
      <c r="E84" s="49">
        <f>AVERAGE('01.08 Kiwatule-Najjeera-24h'!E84,'03.08 Kiwatule-Najjeera-24h'!E84)</f>
        <v>1</v>
      </c>
      <c r="F84" s="49">
        <f>AVERAGE('01.08 Kiwatule-Najjeera-24h'!F84,'03.08 Kiwatule-Najjeera-24h'!F84)</f>
        <v>0.5</v>
      </c>
      <c r="G84" s="49">
        <f>AVERAGE('01.08 Kiwatule-Najjeera-24h'!G84,'03.08 Kiwatule-Najjeera-24h'!G84)</f>
        <v>0</v>
      </c>
      <c r="H84" s="49">
        <f>AVERAGE('01.08 Kiwatule-Najjeera-24h'!H84,'03.08 Kiwatule-Najjeera-24h'!H84)</f>
        <v>0</v>
      </c>
      <c r="I84" s="49">
        <f>AVERAGE('01.08 Kiwatule-Najjeera-24h'!I84,'03.08 Kiwatule-Najjeera-24h'!I84)</f>
        <v>0</v>
      </c>
      <c r="J84" s="49">
        <f>AVERAGE('01.08 Kiwatule-Najjeera-24h'!J84,'03.08 Kiwatule-Najjeera-24h'!J84)</f>
        <v>0</v>
      </c>
      <c r="K84" s="49">
        <f>AVERAGE('01.08 Kiwatule-Najjeera-24h'!K84,'03.08 Kiwatule-Najjeera-24h'!K84)</f>
        <v>0</v>
      </c>
      <c r="L84" s="49">
        <f>AVERAGE('01.08 Kiwatule-Najjeera-24h'!L84,'03.08 Kiwatule-Najjeera-24h'!L84)</f>
        <v>0</v>
      </c>
      <c r="M84" s="49">
        <f>AVERAGE('01.08 Kiwatule-Najjeera-24h'!M84,'03.08 Kiwatule-Najjeera-24h'!M84)</f>
        <v>16</v>
      </c>
      <c r="N84" s="49">
        <f>AVERAGE('01.08 Kiwatule-Najjeera-24h'!N84,'03.08 Kiwatule-Najjeera-24h'!N84)</f>
        <v>0</v>
      </c>
      <c r="O84" s="15">
        <f t="shared" si="35"/>
        <v>39</v>
      </c>
      <c r="P84" s="15">
        <f t="shared" si="36"/>
        <v>55</v>
      </c>
      <c r="R84" s="8"/>
      <c r="T84"/>
    </row>
    <row r="85" spans="2:20" ht="23.1" customHeight="1">
      <c r="B85" s="23" t="s">
        <v>125</v>
      </c>
      <c r="C85" s="49">
        <f>AVERAGE('01.08 Kiwatule-Najjeera-24h'!C85,'03.08 Kiwatule-Najjeera-24h'!C85)</f>
        <v>30.5</v>
      </c>
      <c r="D85" s="49">
        <f>AVERAGE('01.08 Kiwatule-Najjeera-24h'!D85,'03.08 Kiwatule-Najjeera-24h'!D85)</f>
        <v>6.5</v>
      </c>
      <c r="E85" s="49">
        <f>AVERAGE('01.08 Kiwatule-Najjeera-24h'!E85,'03.08 Kiwatule-Najjeera-24h'!E85)</f>
        <v>1</v>
      </c>
      <c r="F85" s="49">
        <f>AVERAGE('01.08 Kiwatule-Najjeera-24h'!F85,'03.08 Kiwatule-Najjeera-24h'!F85)</f>
        <v>2</v>
      </c>
      <c r="G85" s="49">
        <f>AVERAGE('01.08 Kiwatule-Najjeera-24h'!G85,'03.08 Kiwatule-Najjeera-24h'!G85)</f>
        <v>0</v>
      </c>
      <c r="H85" s="49">
        <f>AVERAGE('01.08 Kiwatule-Najjeera-24h'!H85,'03.08 Kiwatule-Najjeera-24h'!H85)</f>
        <v>0</v>
      </c>
      <c r="I85" s="49">
        <f>AVERAGE('01.08 Kiwatule-Najjeera-24h'!I85,'03.08 Kiwatule-Najjeera-24h'!I85)</f>
        <v>0.5</v>
      </c>
      <c r="J85" s="49">
        <f>AVERAGE('01.08 Kiwatule-Najjeera-24h'!J85,'03.08 Kiwatule-Najjeera-24h'!J85)</f>
        <v>0</v>
      </c>
      <c r="K85" s="49">
        <f>AVERAGE('01.08 Kiwatule-Najjeera-24h'!K85,'03.08 Kiwatule-Najjeera-24h'!K85)</f>
        <v>0</v>
      </c>
      <c r="L85" s="49">
        <f>AVERAGE('01.08 Kiwatule-Najjeera-24h'!L85,'03.08 Kiwatule-Najjeera-24h'!L85)</f>
        <v>0</v>
      </c>
      <c r="M85" s="49">
        <f>AVERAGE('01.08 Kiwatule-Najjeera-24h'!M85,'03.08 Kiwatule-Najjeera-24h'!M85)</f>
        <v>19</v>
      </c>
      <c r="N85" s="49">
        <f>AVERAGE('01.08 Kiwatule-Najjeera-24h'!N85,'03.08 Kiwatule-Najjeera-24h'!N85)</f>
        <v>0</v>
      </c>
      <c r="O85" s="15">
        <f t="shared" si="35"/>
        <v>40.5</v>
      </c>
      <c r="P85" s="15">
        <f t="shared" si="36"/>
        <v>59.5</v>
      </c>
      <c r="R85" s="8"/>
      <c r="T85"/>
    </row>
    <row r="86" spans="2:20" ht="23.1" customHeight="1">
      <c r="B86" s="24" t="s">
        <v>126</v>
      </c>
      <c r="C86" s="49">
        <f>AVERAGE('01.08 Kiwatule-Najjeera-24h'!C86,'03.08 Kiwatule-Najjeera-24h'!C86)</f>
        <v>38</v>
      </c>
      <c r="D86" s="49">
        <f>AVERAGE('01.08 Kiwatule-Najjeera-24h'!D86,'03.08 Kiwatule-Najjeera-24h'!D86)</f>
        <v>12</v>
      </c>
      <c r="E86" s="49">
        <f>AVERAGE('01.08 Kiwatule-Najjeera-24h'!E86,'03.08 Kiwatule-Najjeera-24h'!E86)</f>
        <v>1</v>
      </c>
      <c r="F86" s="49">
        <f>AVERAGE('01.08 Kiwatule-Najjeera-24h'!F86,'03.08 Kiwatule-Najjeera-24h'!F86)</f>
        <v>0.5</v>
      </c>
      <c r="G86" s="49">
        <f>AVERAGE('01.08 Kiwatule-Najjeera-24h'!G86,'03.08 Kiwatule-Najjeera-24h'!G86)</f>
        <v>0</v>
      </c>
      <c r="H86" s="49">
        <f>AVERAGE('01.08 Kiwatule-Najjeera-24h'!H86,'03.08 Kiwatule-Najjeera-24h'!H86)</f>
        <v>0</v>
      </c>
      <c r="I86" s="49">
        <f>AVERAGE('01.08 Kiwatule-Najjeera-24h'!I86,'03.08 Kiwatule-Najjeera-24h'!I86)</f>
        <v>0</v>
      </c>
      <c r="J86" s="49">
        <f>AVERAGE('01.08 Kiwatule-Najjeera-24h'!J86,'03.08 Kiwatule-Najjeera-24h'!J86)</f>
        <v>1</v>
      </c>
      <c r="K86" s="49">
        <f>AVERAGE('01.08 Kiwatule-Najjeera-24h'!K86,'03.08 Kiwatule-Najjeera-24h'!K86)</f>
        <v>0</v>
      </c>
      <c r="L86" s="49">
        <f>AVERAGE('01.08 Kiwatule-Najjeera-24h'!L86,'03.08 Kiwatule-Najjeera-24h'!L86)</f>
        <v>0</v>
      </c>
      <c r="M86" s="49">
        <f>AVERAGE('01.08 Kiwatule-Najjeera-24h'!M86,'03.08 Kiwatule-Najjeera-24h'!M86)</f>
        <v>15</v>
      </c>
      <c r="N86" s="49">
        <f>AVERAGE('01.08 Kiwatule-Najjeera-24h'!N86,'03.08 Kiwatule-Najjeera-24h'!N86)</f>
        <v>0</v>
      </c>
      <c r="O86" s="15">
        <f t="shared" si="35"/>
        <v>52.5</v>
      </c>
      <c r="P86" s="15">
        <f t="shared" si="36"/>
        <v>67.5</v>
      </c>
      <c r="R86" s="8"/>
      <c r="T86"/>
    </row>
    <row r="87" spans="2:20" ht="23.1" customHeight="1">
      <c r="B87" s="23" t="s">
        <v>127</v>
      </c>
      <c r="C87" s="49">
        <f>AVERAGE('01.08 Kiwatule-Najjeera-24h'!C87,'03.08 Kiwatule-Najjeera-24h'!C87)</f>
        <v>29.5</v>
      </c>
      <c r="D87" s="49">
        <f>AVERAGE('01.08 Kiwatule-Najjeera-24h'!D87,'03.08 Kiwatule-Najjeera-24h'!D87)</f>
        <v>7</v>
      </c>
      <c r="E87" s="49">
        <f>AVERAGE('01.08 Kiwatule-Najjeera-24h'!E87,'03.08 Kiwatule-Najjeera-24h'!E87)</f>
        <v>1</v>
      </c>
      <c r="F87" s="49">
        <f>AVERAGE('01.08 Kiwatule-Najjeera-24h'!F87,'03.08 Kiwatule-Najjeera-24h'!F87)</f>
        <v>0</v>
      </c>
      <c r="G87" s="49">
        <f>AVERAGE('01.08 Kiwatule-Najjeera-24h'!G87,'03.08 Kiwatule-Najjeera-24h'!G87)</f>
        <v>0</v>
      </c>
      <c r="H87" s="49">
        <f>AVERAGE('01.08 Kiwatule-Najjeera-24h'!H87,'03.08 Kiwatule-Najjeera-24h'!H87)</f>
        <v>0</v>
      </c>
      <c r="I87" s="49">
        <f>AVERAGE('01.08 Kiwatule-Najjeera-24h'!I87,'03.08 Kiwatule-Najjeera-24h'!I87)</f>
        <v>0</v>
      </c>
      <c r="J87" s="49">
        <f>AVERAGE('01.08 Kiwatule-Najjeera-24h'!J87,'03.08 Kiwatule-Najjeera-24h'!J87)</f>
        <v>0</v>
      </c>
      <c r="K87" s="49">
        <f>AVERAGE('01.08 Kiwatule-Najjeera-24h'!K87,'03.08 Kiwatule-Najjeera-24h'!K87)</f>
        <v>0</v>
      </c>
      <c r="L87" s="49">
        <f>AVERAGE('01.08 Kiwatule-Najjeera-24h'!L87,'03.08 Kiwatule-Najjeera-24h'!L87)</f>
        <v>0</v>
      </c>
      <c r="M87" s="49">
        <f>AVERAGE('01.08 Kiwatule-Najjeera-24h'!M87,'03.08 Kiwatule-Najjeera-24h'!M87)</f>
        <v>21</v>
      </c>
      <c r="N87" s="49">
        <f>AVERAGE('01.08 Kiwatule-Najjeera-24h'!N87,'03.08 Kiwatule-Najjeera-24h'!N87)</f>
        <v>0</v>
      </c>
      <c r="O87" s="15">
        <f t="shared" si="35"/>
        <v>37.5</v>
      </c>
      <c r="P87" s="15">
        <f t="shared" si="36"/>
        <v>58.5</v>
      </c>
      <c r="R87" s="8"/>
      <c r="T87"/>
    </row>
    <row r="88" spans="2:20" ht="23.1" customHeight="1">
      <c r="B88" s="25" t="s">
        <v>128</v>
      </c>
      <c r="C88" s="49">
        <f>AVERAGE('01.08 Kiwatule-Najjeera-24h'!C88,'03.08 Kiwatule-Najjeera-24h'!C88)</f>
        <v>35</v>
      </c>
      <c r="D88" s="49">
        <f>AVERAGE('01.08 Kiwatule-Najjeera-24h'!D88,'03.08 Kiwatule-Najjeera-24h'!D88)</f>
        <v>8</v>
      </c>
      <c r="E88" s="49">
        <f>AVERAGE('01.08 Kiwatule-Najjeera-24h'!E88,'03.08 Kiwatule-Najjeera-24h'!E88)</f>
        <v>0.5</v>
      </c>
      <c r="F88" s="49">
        <f>AVERAGE('01.08 Kiwatule-Najjeera-24h'!F88,'03.08 Kiwatule-Najjeera-24h'!F88)</f>
        <v>0.5</v>
      </c>
      <c r="G88" s="49">
        <f>AVERAGE('01.08 Kiwatule-Najjeera-24h'!G88,'03.08 Kiwatule-Najjeera-24h'!G88)</f>
        <v>0</v>
      </c>
      <c r="H88" s="49">
        <f>AVERAGE('01.08 Kiwatule-Najjeera-24h'!H88,'03.08 Kiwatule-Najjeera-24h'!H88)</f>
        <v>0</v>
      </c>
      <c r="I88" s="49">
        <f>AVERAGE('01.08 Kiwatule-Najjeera-24h'!I88,'03.08 Kiwatule-Najjeera-24h'!I88)</f>
        <v>0.5</v>
      </c>
      <c r="J88" s="49">
        <f>AVERAGE('01.08 Kiwatule-Najjeera-24h'!J88,'03.08 Kiwatule-Najjeera-24h'!J88)</f>
        <v>0</v>
      </c>
      <c r="K88" s="49">
        <f>AVERAGE('01.08 Kiwatule-Najjeera-24h'!K88,'03.08 Kiwatule-Najjeera-24h'!K88)</f>
        <v>0</v>
      </c>
      <c r="L88" s="49">
        <f>AVERAGE('01.08 Kiwatule-Najjeera-24h'!L88,'03.08 Kiwatule-Najjeera-24h'!L88)</f>
        <v>0</v>
      </c>
      <c r="M88" s="49">
        <f>AVERAGE('01.08 Kiwatule-Najjeera-24h'!M88,'03.08 Kiwatule-Najjeera-24h'!M88)</f>
        <v>14.5</v>
      </c>
      <c r="N88" s="49">
        <f>AVERAGE('01.08 Kiwatule-Najjeera-24h'!N88,'03.08 Kiwatule-Najjeera-24h'!N88)</f>
        <v>0</v>
      </c>
      <c r="O88" s="15">
        <f t="shared" si="35"/>
        <v>44.5</v>
      </c>
      <c r="P88" s="15">
        <f t="shared" si="36"/>
        <v>59</v>
      </c>
      <c r="R88" s="8"/>
      <c r="T88"/>
    </row>
    <row r="89" spans="2:20" ht="23.1" customHeight="1">
      <c r="B89" s="23" t="s">
        <v>129</v>
      </c>
      <c r="C89" s="49">
        <f>AVERAGE('01.08 Kiwatule-Najjeera-24h'!C89,'03.08 Kiwatule-Najjeera-24h'!C89)</f>
        <v>25</v>
      </c>
      <c r="D89" s="49">
        <f>AVERAGE('01.08 Kiwatule-Najjeera-24h'!D89,'03.08 Kiwatule-Najjeera-24h'!D89)</f>
        <v>3.5</v>
      </c>
      <c r="E89" s="49">
        <f>AVERAGE('01.08 Kiwatule-Najjeera-24h'!E89,'03.08 Kiwatule-Najjeera-24h'!E89)</f>
        <v>0.5</v>
      </c>
      <c r="F89" s="49">
        <f>AVERAGE('01.08 Kiwatule-Najjeera-24h'!F89,'03.08 Kiwatule-Najjeera-24h'!F89)</f>
        <v>0</v>
      </c>
      <c r="G89" s="49">
        <f>AVERAGE('01.08 Kiwatule-Najjeera-24h'!G89,'03.08 Kiwatule-Najjeera-24h'!G89)</f>
        <v>0</v>
      </c>
      <c r="H89" s="49">
        <f>AVERAGE('01.08 Kiwatule-Najjeera-24h'!H89,'03.08 Kiwatule-Najjeera-24h'!H89)</f>
        <v>0</v>
      </c>
      <c r="I89" s="49">
        <f>AVERAGE('01.08 Kiwatule-Najjeera-24h'!I89,'03.08 Kiwatule-Najjeera-24h'!I89)</f>
        <v>0.5</v>
      </c>
      <c r="J89" s="49">
        <f>AVERAGE('01.08 Kiwatule-Najjeera-24h'!J89,'03.08 Kiwatule-Najjeera-24h'!J89)</f>
        <v>0</v>
      </c>
      <c r="K89" s="49">
        <f>AVERAGE('01.08 Kiwatule-Najjeera-24h'!K89,'03.08 Kiwatule-Najjeera-24h'!K89)</f>
        <v>0</v>
      </c>
      <c r="L89" s="49">
        <f>AVERAGE('01.08 Kiwatule-Najjeera-24h'!L89,'03.08 Kiwatule-Najjeera-24h'!L89)</f>
        <v>0.5</v>
      </c>
      <c r="M89" s="49">
        <f>AVERAGE('01.08 Kiwatule-Najjeera-24h'!M89,'03.08 Kiwatule-Najjeera-24h'!M89)</f>
        <v>12</v>
      </c>
      <c r="N89" s="49">
        <f>AVERAGE('01.08 Kiwatule-Najjeera-24h'!N89,'03.08 Kiwatule-Najjeera-24h'!N89)</f>
        <v>0</v>
      </c>
      <c r="O89" s="15">
        <f t="shared" si="35"/>
        <v>30</v>
      </c>
      <c r="P89" s="15">
        <f t="shared" si="36"/>
        <v>42</v>
      </c>
      <c r="R89" s="8"/>
      <c r="T89"/>
    </row>
    <row r="90" spans="2:20" ht="23.1" customHeight="1">
      <c r="B90" s="24" t="s">
        <v>130</v>
      </c>
      <c r="C90" s="49">
        <f>AVERAGE('01.08 Kiwatule-Najjeera-24h'!C90,'03.08 Kiwatule-Najjeera-24h'!C90)</f>
        <v>27.5</v>
      </c>
      <c r="D90" s="49">
        <f>AVERAGE('01.08 Kiwatule-Najjeera-24h'!D90,'03.08 Kiwatule-Najjeera-24h'!D90)</f>
        <v>7</v>
      </c>
      <c r="E90" s="49">
        <f>AVERAGE('01.08 Kiwatule-Najjeera-24h'!E90,'03.08 Kiwatule-Najjeera-24h'!E90)</f>
        <v>1.5</v>
      </c>
      <c r="F90" s="49">
        <f>AVERAGE('01.08 Kiwatule-Najjeera-24h'!F90,'03.08 Kiwatule-Najjeera-24h'!F90)</f>
        <v>1</v>
      </c>
      <c r="G90" s="49">
        <f>AVERAGE('01.08 Kiwatule-Najjeera-24h'!G90,'03.08 Kiwatule-Najjeera-24h'!G90)</f>
        <v>0</v>
      </c>
      <c r="H90" s="49">
        <f>AVERAGE('01.08 Kiwatule-Najjeera-24h'!H90,'03.08 Kiwatule-Najjeera-24h'!H90)</f>
        <v>0</v>
      </c>
      <c r="I90" s="49">
        <f>AVERAGE('01.08 Kiwatule-Najjeera-24h'!I90,'03.08 Kiwatule-Najjeera-24h'!I90)</f>
        <v>0</v>
      </c>
      <c r="J90" s="49">
        <f>AVERAGE('01.08 Kiwatule-Najjeera-24h'!J90,'03.08 Kiwatule-Najjeera-24h'!J90)</f>
        <v>0.5</v>
      </c>
      <c r="K90" s="49">
        <f>AVERAGE('01.08 Kiwatule-Najjeera-24h'!K90,'03.08 Kiwatule-Najjeera-24h'!K90)</f>
        <v>0</v>
      </c>
      <c r="L90" s="49">
        <f>AVERAGE('01.08 Kiwatule-Najjeera-24h'!L90,'03.08 Kiwatule-Najjeera-24h'!L90)</f>
        <v>0</v>
      </c>
      <c r="M90" s="49">
        <f>AVERAGE('01.08 Kiwatule-Najjeera-24h'!M90,'03.08 Kiwatule-Najjeera-24h'!M90)</f>
        <v>13</v>
      </c>
      <c r="N90" s="49">
        <f>AVERAGE('01.08 Kiwatule-Najjeera-24h'!N90,'03.08 Kiwatule-Najjeera-24h'!N90)</f>
        <v>0</v>
      </c>
      <c r="O90" s="15">
        <f t="shared" si="35"/>
        <v>37.5</v>
      </c>
      <c r="P90" s="15">
        <f t="shared" si="36"/>
        <v>50.5</v>
      </c>
      <c r="R90" s="8"/>
      <c r="T90"/>
    </row>
    <row r="91" spans="2:20" ht="23.1" customHeight="1">
      <c r="B91" s="23" t="s">
        <v>131</v>
      </c>
      <c r="C91" s="49">
        <f>AVERAGE('01.08 Kiwatule-Najjeera-24h'!C91,'03.08 Kiwatule-Najjeera-24h'!C91)</f>
        <v>27</v>
      </c>
      <c r="D91" s="49">
        <f>AVERAGE('01.08 Kiwatule-Najjeera-24h'!D91,'03.08 Kiwatule-Najjeera-24h'!D91)</f>
        <v>3</v>
      </c>
      <c r="E91" s="49">
        <f>AVERAGE('01.08 Kiwatule-Najjeera-24h'!E91,'03.08 Kiwatule-Najjeera-24h'!E91)</f>
        <v>2</v>
      </c>
      <c r="F91" s="49">
        <f>AVERAGE('01.08 Kiwatule-Najjeera-24h'!F91,'03.08 Kiwatule-Najjeera-24h'!F91)</f>
        <v>0</v>
      </c>
      <c r="G91" s="49">
        <f>AVERAGE('01.08 Kiwatule-Najjeera-24h'!G91,'03.08 Kiwatule-Najjeera-24h'!G91)</f>
        <v>0</v>
      </c>
      <c r="H91" s="49">
        <f>AVERAGE('01.08 Kiwatule-Najjeera-24h'!H91,'03.08 Kiwatule-Najjeera-24h'!H91)</f>
        <v>0</v>
      </c>
      <c r="I91" s="49">
        <f>AVERAGE('01.08 Kiwatule-Najjeera-24h'!I91,'03.08 Kiwatule-Najjeera-24h'!I91)</f>
        <v>0.5</v>
      </c>
      <c r="J91" s="49">
        <f>AVERAGE('01.08 Kiwatule-Najjeera-24h'!J91,'03.08 Kiwatule-Najjeera-24h'!J91)</f>
        <v>0.5</v>
      </c>
      <c r="K91" s="49">
        <f>AVERAGE('01.08 Kiwatule-Najjeera-24h'!K91,'03.08 Kiwatule-Najjeera-24h'!K91)</f>
        <v>0</v>
      </c>
      <c r="L91" s="49">
        <f>AVERAGE('01.08 Kiwatule-Najjeera-24h'!L91,'03.08 Kiwatule-Najjeera-24h'!L91)</f>
        <v>0</v>
      </c>
      <c r="M91" s="49">
        <f>AVERAGE('01.08 Kiwatule-Najjeera-24h'!M91,'03.08 Kiwatule-Najjeera-24h'!M91)</f>
        <v>14</v>
      </c>
      <c r="N91" s="49">
        <f>AVERAGE('01.08 Kiwatule-Najjeera-24h'!N91,'03.08 Kiwatule-Najjeera-24h'!N91)</f>
        <v>0</v>
      </c>
      <c r="O91" s="15">
        <f t="shared" si="35"/>
        <v>33</v>
      </c>
      <c r="P91" s="15">
        <f t="shared" si="36"/>
        <v>47</v>
      </c>
      <c r="R91" s="8"/>
      <c r="T91"/>
    </row>
    <row r="92" spans="2:20" ht="23.1" customHeight="1">
      <c r="B92" s="25" t="s">
        <v>132</v>
      </c>
      <c r="C92" s="49">
        <f>AVERAGE('01.08 Kiwatule-Najjeera-24h'!C92,'03.08 Kiwatule-Najjeera-24h'!C92)</f>
        <v>17</v>
      </c>
      <c r="D92" s="49">
        <f>AVERAGE('01.08 Kiwatule-Najjeera-24h'!D92,'03.08 Kiwatule-Najjeera-24h'!D92)</f>
        <v>5</v>
      </c>
      <c r="E92" s="49">
        <f>AVERAGE('01.08 Kiwatule-Najjeera-24h'!E92,'03.08 Kiwatule-Najjeera-24h'!E92)</f>
        <v>1.5</v>
      </c>
      <c r="F92" s="49">
        <f>AVERAGE('01.08 Kiwatule-Najjeera-24h'!F92,'03.08 Kiwatule-Najjeera-24h'!F92)</f>
        <v>1.5</v>
      </c>
      <c r="G92" s="49">
        <f>AVERAGE('01.08 Kiwatule-Najjeera-24h'!G92,'03.08 Kiwatule-Najjeera-24h'!G92)</f>
        <v>0</v>
      </c>
      <c r="H92" s="49">
        <f>AVERAGE('01.08 Kiwatule-Najjeera-24h'!H92,'03.08 Kiwatule-Najjeera-24h'!H92)</f>
        <v>0</v>
      </c>
      <c r="I92" s="49">
        <f>AVERAGE('01.08 Kiwatule-Najjeera-24h'!I92,'03.08 Kiwatule-Najjeera-24h'!I92)</f>
        <v>1</v>
      </c>
      <c r="J92" s="49">
        <f>AVERAGE('01.08 Kiwatule-Najjeera-24h'!J92,'03.08 Kiwatule-Najjeera-24h'!J92)</f>
        <v>0</v>
      </c>
      <c r="K92" s="49">
        <f>AVERAGE('01.08 Kiwatule-Najjeera-24h'!K92,'03.08 Kiwatule-Najjeera-24h'!K92)</f>
        <v>0.5</v>
      </c>
      <c r="L92" s="49">
        <f>AVERAGE('01.08 Kiwatule-Najjeera-24h'!L92,'03.08 Kiwatule-Najjeera-24h'!L92)</f>
        <v>0</v>
      </c>
      <c r="M92" s="49">
        <f>AVERAGE('01.08 Kiwatule-Najjeera-24h'!M92,'03.08 Kiwatule-Najjeera-24h'!M92)</f>
        <v>15.5</v>
      </c>
      <c r="N92" s="49">
        <f>AVERAGE('01.08 Kiwatule-Najjeera-24h'!N92,'03.08 Kiwatule-Najjeera-24h'!N92)</f>
        <v>0</v>
      </c>
      <c r="O92" s="15">
        <f t="shared" si="35"/>
        <v>26.5</v>
      </c>
      <c r="P92" s="15">
        <f t="shared" si="36"/>
        <v>42</v>
      </c>
      <c r="R92" s="8"/>
      <c r="T92"/>
    </row>
    <row r="93" spans="2:20" ht="23.1" customHeight="1">
      <c r="B93" s="23" t="s">
        <v>133</v>
      </c>
      <c r="C93" s="49">
        <f>AVERAGE('01.08 Kiwatule-Najjeera-24h'!C93,'03.08 Kiwatule-Najjeera-24h'!C93)</f>
        <v>20</v>
      </c>
      <c r="D93" s="49">
        <f>AVERAGE('01.08 Kiwatule-Najjeera-24h'!D93,'03.08 Kiwatule-Najjeera-24h'!D93)</f>
        <v>3</v>
      </c>
      <c r="E93" s="49">
        <f>AVERAGE('01.08 Kiwatule-Najjeera-24h'!E93,'03.08 Kiwatule-Najjeera-24h'!E93)</f>
        <v>0.5</v>
      </c>
      <c r="F93" s="49">
        <f>AVERAGE('01.08 Kiwatule-Najjeera-24h'!F93,'03.08 Kiwatule-Najjeera-24h'!F93)</f>
        <v>0</v>
      </c>
      <c r="G93" s="49">
        <f>AVERAGE('01.08 Kiwatule-Najjeera-24h'!G93,'03.08 Kiwatule-Najjeera-24h'!G93)</f>
        <v>0</v>
      </c>
      <c r="H93" s="49">
        <f>AVERAGE('01.08 Kiwatule-Najjeera-24h'!H93,'03.08 Kiwatule-Najjeera-24h'!H93)</f>
        <v>0</v>
      </c>
      <c r="I93" s="49">
        <f>AVERAGE('01.08 Kiwatule-Najjeera-24h'!I93,'03.08 Kiwatule-Najjeera-24h'!I93)</f>
        <v>0.5</v>
      </c>
      <c r="J93" s="49">
        <f>AVERAGE('01.08 Kiwatule-Najjeera-24h'!J93,'03.08 Kiwatule-Najjeera-24h'!J93)</f>
        <v>0</v>
      </c>
      <c r="K93" s="49">
        <f>AVERAGE('01.08 Kiwatule-Najjeera-24h'!K93,'03.08 Kiwatule-Najjeera-24h'!K93)</f>
        <v>0</v>
      </c>
      <c r="L93" s="49">
        <f>AVERAGE('01.08 Kiwatule-Najjeera-24h'!L93,'03.08 Kiwatule-Najjeera-24h'!L93)</f>
        <v>0</v>
      </c>
      <c r="M93" s="49">
        <f>AVERAGE('01.08 Kiwatule-Najjeera-24h'!M93,'03.08 Kiwatule-Najjeera-24h'!M93)</f>
        <v>19.5</v>
      </c>
      <c r="N93" s="49">
        <f>AVERAGE('01.08 Kiwatule-Najjeera-24h'!N93,'03.08 Kiwatule-Najjeera-24h'!N93)</f>
        <v>0</v>
      </c>
      <c r="O93" s="15">
        <f t="shared" si="35"/>
        <v>24</v>
      </c>
      <c r="P93" s="15">
        <f t="shared" si="36"/>
        <v>43.5</v>
      </c>
      <c r="R93" s="8"/>
      <c r="T93"/>
    </row>
    <row r="94" spans="2:20" ht="23.1" customHeight="1">
      <c r="B94" s="24" t="s">
        <v>134</v>
      </c>
      <c r="C94" s="49">
        <f>AVERAGE('01.08 Kiwatule-Najjeera-24h'!C94,'03.08 Kiwatule-Najjeera-24h'!C94)</f>
        <v>25</v>
      </c>
      <c r="D94" s="49">
        <f>AVERAGE('01.08 Kiwatule-Najjeera-24h'!D94,'03.08 Kiwatule-Najjeera-24h'!D94)</f>
        <v>7.5</v>
      </c>
      <c r="E94" s="49">
        <f>AVERAGE('01.08 Kiwatule-Najjeera-24h'!E94,'03.08 Kiwatule-Najjeera-24h'!E94)</f>
        <v>1</v>
      </c>
      <c r="F94" s="49">
        <f>AVERAGE('01.08 Kiwatule-Najjeera-24h'!F94,'03.08 Kiwatule-Najjeera-24h'!F94)</f>
        <v>0.5</v>
      </c>
      <c r="G94" s="49">
        <f>AVERAGE('01.08 Kiwatule-Najjeera-24h'!G94,'03.08 Kiwatule-Najjeera-24h'!G94)</f>
        <v>0</v>
      </c>
      <c r="H94" s="49">
        <f>AVERAGE('01.08 Kiwatule-Najjeera-24h'!H94,'03.08 Kiwatule-Najjeera-24h'!H94)</f>
        <v>0</v>
      </c>
      <c r="I94" s="49">
        <f>AVERAGE('01.08 Kiwatule-Najjeera-24h'!I94,'03.08 Kiwatule-Najjeera-24h'!I94)</f>
        <v>0</v>
      </c>
      <c r="J94" s="49">
        <f>AVERAGE('01.08 Kiwatule-Najjeera-24h'!J94,'03.08 Kiwatule-Najjeera-24h'!J94)</f>
        <v>0.5</v>
      </c>
      <c r="K94" s="49">
        <f>AVERAGE('01.08 Kiwatule-Najjeera-24h'!K94,'03.08 Kiwatule-Najjeera-24h'!K94)</f>
        <v>0</v>
      </c>
      <c r="L94" s="49">
        <f>AVERAGE('01.08 Kiwatule-Najjeera-24h'!L94,'03.08 Kiwatule-Najjeera-24h'!L94)</f>
        <v>0</v>
      </c>
      <c r="M94" s="49">
        <f>AVERAGE('01.08 Kiwatule-Najjeera-24h'!M94,'03.08 Kiwatule-Najjeera-24h'!M94)</f>
        <v>23</v>
      </c>
      <c r="N94" s="49">
        <f>AVERAGE('01.08 Kiwatule-Najjeera-24h'!N94,'03.08 Kiwatule-Najjeera-24h'!N94)</f>
        <v>0</v>
      </c>
      <c r="O94" s="15">
        <f t="shared" si="35"/>
        <v>34.5</v>
      </c>
      <c r="P94" s="15">
        <f t="shared" si="36"/>
        <v>57.5</v>
      </c>
      <c r="R94" s="8"/>
      <c r="T94"/>
    </row>
    <row r="95" spans="2:20" ht="23.1" customHeight="1">
      <c r="B95" s="23" t="s">
        <v>135</v>
      </c>
      <c r="C95" s="49">
        <f>AVERAGE('01.08 Kiwatule-Najjeera-24h'!C95,'03.08 Kiwatule-Najjeera-24h'!C95)</f>
        <v>15.5</v>
      </c>
      <c r="D95" s="49">
        <f>AVERAGE('01.08 Kiwatule-Najjeera-24h'!D95,'03.08 Kiwatule-Najjeera-24h'!D95)</f>
        <v>4</v>
      </c>
      <c r="E95" s="49">
        <f>AVERAGE('01.08 Kiwatule-Najjeera-24h'!E95,'03.08 Kiwatule-Najjeera-24h'!E95)</f>
        <v>2.5</v>
      </c>
      <c r="F95" s="49">
        <f>AVERAGE('01.08 Kiwatule-Najjeera-24h'!F95,'03.08 Kiwatule-Najjeera-24h'!F95)</f>
        <v>0.5</v>
      </c>
      <c r="G95" s="49">
        <f>AVERAGE('01.08 Kiwatule-Najjeera-24h'!G95,'03.08 Kiwatule-Najjeera-24h'!G95)</f>
        <v>0.5</v>
      </c>
      <c r="H95" s="49">
        <f>AVERAGE('01.08 Kiwatule-Najjeera-24h'!H95,'03.08 Kiwatule-Najjeera-24h'!H95)</f>
        <v>0</v>
      </c>
      <c r="I95" s="49">
        <f>AVERAGE('01.08 Kiwatule-Najjeera-24h'!I95,'03.08 Kiwatule-Najjeera-24h'!I95)</f>
        <v>0</v>
      </c>
      <c r="J95" s="49">
        <f>AVERAGE('01.08 Kiwatule-Najjeera-24h'!J95,'03.08 Kiwatule-Najjeera-24h'!J95)</f>
        <v>0.5</v>
      </c>
      <c r="K95" s="49">
        <f>AVERAGE('01.08 Kiwatule-Najjeera-24h'!K95,'03.08 Kiwatule-Najjeera-24h'!K95)</f>
        <v>0</v>
      </c>
      <c r="L95" s="49">
        <f>AVERAGE('01.08 Kiwatule-Najjeera-24h'!L95,'03.08 Kiwatule-Najjeera-24h'!L95)</f>
        <v>0</v>
      </c>
      <c r="M95" s="49">
        <f>AVERAGE('01.08 Kiwatule-Najjeera-24h'!M95,'03.08 Kiwatule-Najjeera-24h'!M95)</f>
        <v>12</v>
      </c>
      <c r="N95" s="49">
        <f>AVERAGE('01.08 Kiwatule-Najjeera-24h'!N95,'03.08 Kiwatule-Najjeera-24h'!N95)</f>
        <v>0</v>
      </c>
      <c r="O95" s="15">
        <f t="shared" si="35"/>
        <v>23.5</v>
      </c>
      <c r="P95" s="15">
        <f t="shared" si="36"/>
        <v>35.5</v>
      </c>
      <c r="R95" s="8"/>
      <c r="T95"/>
    </row>
    <row r="96" spans="2:20" ht="23.1" customHeight="1">
      <c r="B96" s="25" t="s">
        <v>136</v>
      </c>
      <c r="C96" s="49">
        <f>AVERAGE('01.08 Kiwatule-Najjeera-24h'!C96,'03.08 Kiwatule-Najjeera-24h'!C96)</f>
        <v>15.5</v>
      </c>
      <c r="D96" s="49">
        <f>AVERAGE('01.08 Kiwatule-Najjeera-24h'!D96,'03.08 Kiwatule-Najjeera-24h'!D96)</f>
        <v>3.5</v>
      </c>
      <c r="E96" s="49">
        <f>AVERAGE('01.08 Kiwatule-Najjeera-24h'!E96,'03.08 Kiwatule-Najjeera-24h'!E96)</f>
        <v>2</v>
      </c>
      <c r="F96" s="49">
        <f>AVERAGE('01.08 Kiwatule-Najjeera-24h'!F96,'03.08 Kiwatule-Najjeera-24h'!F96)</f>
        <v>0</v>
      </c>
      <c r="G96" s="49">
        <f>AVERAGE('01.08 Kiwatule-Najjeera-24h'!G96,'03.08 Kiwatule-Najjeera-24h'!G96)</f>
        <v>0</v>
      </c>
      <c r="H96" s="49">
        <f>AVERAGE('01.08 Kiwatule-Najjeera-24h'!H96,'03.08 Kiwatule-Najjeera-24h'!H96)</f>
        <v>0</v>
      </c>
      <c r="I96" s="49">
        <f>AVERAGE('01.08 Kiwatule-Najjeera-24h'!I96,'03.08 Kiwatule-Najjeera-24h'!I96)</f>
        <v>1.5</v>
      </c>
      <c r="J96" s="49">
        <f>AVERAGE('01.08 Kiwatule-Najjeera-24h'!J96,'03.08 Kiwatule-Najjeera-24h'!J96)</f>
        <v>0</v>
      </c>
      <c r="K96" s="49">
        <f>AVERAGE('01.08 Kiwatule-Najjeera-24h'!K96,'03.08 Kiwatule-Najjeera-24h'!K96)</f>
        <v>0</v>
      </c>
      <c r="L96" s="49">
        <f>AVERAGE('01.08 Kiwatule-Najjeera-24h'!L96,'03.08 Kiwatule-Najjeera-24h'!L96)</f>
        <v>0</v>
      </c>
      <c r="M96" s="49">
        <f>AVERAGE('01.08 Kiwatule-Najjeera-24h'!M96,'03.08 Kiwatule-Najjeera-24h'!M96)</f>
        <v>15</v>
      </c>
      <c r="N96" s="49">
        <f>AVERAGE('01.08 Kiwatule-Najjeera-24h'!N96,'03.08 Kiwatule-Najjeera-24h'!N96)</f>
        <v>0</v>
      </c>
      <c r="O96" s="15">
        <f t="shared" si="35"/>
        <v>22.5</v>
      </c>
      <c r="P96" s="15">
        <f t="shared" si="36"/>
        <v>37.5</v>
      </c>
      <c r="R96" s="8"/>
      <c r="T96"/>
    </row>
    <row r="97" spans="2:20" ht="23.1" customHeight="1">
      <c r="B97" s="23" t="s">
        <v>137</v>
      </c>
      <c r="C97" s="49">
        <f>AVERAGE('01.08 Kiwatule-Najjeera-24h'!C97,'03.08 Kiwatule-Najjeera-24h'!C97)</f>
        <v>10.5</v>
      </c>
      <c r="D97" s="49">
        <f>AVERAGE('01.08 Kiwatule-Najjeera-24h'!D97,'03.08 Kiwatule-Najjeera-24h'!D97)</f>
        <v>3</v>
      </c>
      <c r="E97" s="49">
        <f>AVERAGE('01.08 Kiwatule-Najjeera-24h'!E97,'03.08 Kiwatule-Najjeera-24h'!E97)</f>
        <v>1</v>
      </c>
      <c r="F97" s="49">
        <f>AVERAGE('01.08 Kiwatule-Najjeera-24h'!F97,'03.08 Kiwatule-Najjeera-24h'!F97)</f>
        <v>2</v>
      </c>
      <c r="G97" s="49">
        <f>AVERAGE('01.08 Kiwatule-Najjeera-24h'!G97,'03.08 Kiwatule-Najjeera-24h'!G97)</f>
        <v>0.5</v>
      </c>
      <c r="H97" s="49">
        <f>AVERAGE('01.08 Kiwatule-Najjeera-24h'!H97,'03.08 Kiwatule-Najjeera-24h'!H97)</f>
        <v>0</v>
      </c>
      <c r="I97" s="49">
        <f>AVERAGE('01.08 Kiwatule-Najjeera-24h'!I97,'03.08 Kiwatule-Najjeera-24h'!I97)</f>
        <v>1</v>
      </c>
      <c r="J97" s="49">
        <f>AVERAGE('01.08 Kiwatule-Najjeera-24h'!J97,'03.08 Kiwatule-Najjeera-24h'!J97)</f>
        <v>0</v>
      </c>
      <c r="K97" s="49">
        <f>AVERAGE('01.08 Kiwatule-Najjeera-24h'!K97,'03.08 Kiwatule-Najjeera-24h'!K97)</f>
        <v>0</v>
      </c>
      <c r="L97" s="49">
        <f>AVERAGE('01.08 Kiwatule-Najjeera-24h'!L97,'03.08 Kiwatule-Najjeera-24h'!L97)</f>
        <v>0</v>
      </c>
      <c r="M97" s="49">
        <f>AVERAGE('01.08 Kiwatule-Najjeera-24h'!M97,'03.08 Kiwatule-Najjeera-24h'!M97)</f>
        <v>10</v>
      </c>
      <c r="N97" s="49">
        <f>AVERAGE('01.08 Kiwatule-Najjeera-24h'!N97,'03.08 Kiwatule-Najjeera-24h'!N97)</f>
        <v>0</v>
      </c>
      <c r="O97" s="15">
        <f t="shared" si="35"/>
        <v>18</v>
      </c>
      <c r="P97" s="15">
        <f t="shared" si="36"/>
        <v>28</v>
      </c>
      <c r="R97" s="8"/>
      <c r="T97"/>
    </row>
    <row r="98" spans="2:20" ht="23.1" customHeight="1">
      <c r="B98" s="24" t="s">
        <v>138</v>
      </c>
      <c r="C98" s="49">
        <f>AVERAGE('01.08 Kiwatule-Najjeera-24h'!C98,'03.08 Kiwatule-Najjeera-24h'!C98)</f>
        <v>12.5</v>
      </c>
      <c r="D98" s="49">
        <f>AVERAGE('01.08 Kiwatule-Najjeera-24h'!D98,'03.08 Kiwatule-Najjeera-24h'!D98)</f>
        <v>1.5</v>
      </c>
      <c r="E98" s="49">
        <f>AVERAGE('01.08 Kiwatule-Najjeera-24h'!E98,'03.08 Kiwatule-Najjeera-24h'!E98)</f>
        <v>1.5</v>
      </c>
      <c r="F98" s="49">
        <f>AVERAGE('01.08 Kiwatule-Najjeera-24h'!F98,'03.08 Kiwatule-Najjeera-24h'!F98)</f>
        <v>4</v>
      </c>
      <c r="G98" s="49">
        <f>AVERAGE('01.08 Kiwatule-Najjeera-24h'!G98,'03.08 Kiwatule-Najjeera-24h'!G98)</f>
        <v>0</v>
      </c>
      <c r="H98" s="49">
        <f>AVERAGE('01.08 Kiwatule-Najjeera-24h'!H98,'03.08 Kiwatule-Najjeera-24h'!H98)</f>
        <v>0</v>
      </c>
      <c r="I98" s="49">
        <f>AVERAGE('01.08 Kiwatule-Najjeera-24h'!I98,'03.08 Kiwatule-Najjeera-24h'!I98)</f>
        <v>0.5</v>
      </c>
      <c r="J98" s="49">
        <f>AVERAGE('01.08 Kiwatule-Najjeera-24h'!J98,'03.08 Kiwatule-Najjeera-24h'!J98)</f>
        <v>0</v>
      </c>
      <c r="K98" s="49">
        <f>AVERAGE('01.08 Kiwatule-Najjeera-24h'!K98,'03.08 Kiwatule-Najjeera-24h'!K98)</f>
        <v>0</v>
      </c>
      <c r="L98" s="49">
        <f>AVERAGE('01.08 Kiwatule-Najjeera-24h'!L98,'03.08 Kiwatule-Najjeera-24h'!L98)</f>
        <v>0</v>
      </c>
      <c r="M98" s="49">
        <f>AVERAGE('01.08 Kiwatule-Najjeera-24h'!M98,'03.08 Kiwatule-Najjeera-24h'!M98)</f>
        <v>11.5</v>
      </c>
      <c r="N98" s="49">
        <f>AVERAGE('01.08 Kiwatule-Najjeera-24h'!N98,'03.08 Kiwatule-Najjeera-24h'!N98)</f>
        <v>0</v>
      </c>
      <c r="O98" s="15">
        <f t="shared" si="35"/>
        <v>20</v>
      </c>
      <c r="P98" s="15">
        <f t="shared" si="36"/>
        <v>31.5</v>
      </c>
      <c r="R98" s="8"/>
      <c r="T98"/>
    </row>
    <row r="99" spans="2:20" ht="23.1" customHeight="1">
      <c r="B99" s="23" t="s">
        <v>139</v>
      </c>
      <c r="C99" s="49">
        <f>AVERAGE('01.08 Kiwatule-Najjeera-24h'!C99,'03.08 Kiwatule-Najjeera-24h'!C99)</f>
        <v>16.5</v>
      </c>
      <c r="D99" s="49">
        <f>AVERAGE('01.08 Kiwatule-Najjeera-24h'!D99,'03.08 Kiwatule-Najjeera-24h'!D99)</f>
        <v>2.5</v>
      </c>
      <c r="E99" s="49">
        <f>AVERAGE('01.08 Kiwatule-Najjeera-24h'!E99,'03.08 Kiwatule-Najjeera-24h'!E99)</f>
        <v>1</v>
      </c>
      <c r="F99" s="49">
        <f>AVERAGE('01.08 Kiwatule-Najjeera-24h'!F99,'03.08 Kiwatule-Najjeera-24h'!F99)</f>
        <v>5.5</v>
      </c>
      <c r="G99" s="49">
        <f>AVERAGE('01.08 Kiwatule-Najjeera-24h'!G99,'03.08 Kiwatule-Najjeera-24h'!G99)</f>
        <v>1</v>
      </c>
      <c r="H99" s="49">
        <f>AVERAGE('01.08 Kiwatule-Najjeera-24h'!H99,'03.08 Kiwatule-Najjeera-24h'!H99)</f>
        <v>0</v>
      </c>
      <c r="I99" s="49">
        <f>AVERAGE('01.08 Kiwatule-Najjeera-24h'!I99,'03.08 Kiwatule-Najjeera-24h'!I99)</f>
        <v>0</v>
      </c>
      <c r="J99" s="49">
        <f>AVERAGE('01.08 Kiwatule-Najjeera-24h'!J99,'03.08 Kiwatule-Najjeera-24h'!J99)</f>
        <v>0</v>
      </c>
      <c r="K99" s="49">
        <f>AVERAGE('01.08 Kiwatule-Najjeera-24h'!K99,'03.08 Kiwatule-Najjeera-24h'!K99)</f>
        <v>0</v>
      </c>
      <c r="L99" s="49">
        <f>AVERAGE('01.08 Kiwatule-Najjeera-24h'!L99,'03.08 Kiwatule-Najjeera-24h'!L99)</f>
        <v>0</v>
      </c>
      <c r="M99" s="49">
        <f>AVERAGE('01.08 Kiwatule-Najjeera-24h'!M99,'03.08 Kiwatule-Najjeera-24h'!M99)</f>
        <v>14.5</v>
      </c>
      <c r="N99" s="49">
        <f>AVERAGE('01.08 Kiwatule-Najjeera-24h'!N99,'03.08 Kiwatule-Najjeera-24h'!N99)</f>
        <v>0</v>
      </c>
      <c r="O99" s="15">
        <f t="shared" si="35"/>
        <v>26.5</v>
      </c>
      <c r="P99" s="15">
        <f t="shared" si="36"/>
        <v>41</v>
      </c>
      <c r="R99" s="8"/>
      <c r="T99"/>
    </row>
    <row r="100" spans="2:20" ht="23.1" customHeight="1">
      <c r="B100" s="25" t="s">
        <v>140</v>
      </c>
      <c r="C100" s="49">
        <f>AVERAGE('01.08 Kiwatule-Najjeera-24h'!C100,'03.08 Kiwatule-Najjeera-24h'!C100)</f>
        <v>19.5</v>
      </c>
      <c r="D100" s="49">
        <f>AVERAGE('01.08 Kiwatule-Najjeera-24h'!D100,'03.08 Kiwatule-Najjeera-24h'!D100)</f>
        <v>3</v>
      </c>
      <c r="E100" s="49">
        <f>AVERAGE('01.08 Kiwatule-Najjeera-24h'!E100,'03.08 Kiwatule-Najjeera-24h'!E100)</f>
        <v>1</v>
      </c>
      <c r="F100" s="49">
        <f>AVERAGE('01.08 Kiwatule-Najjeera-24h'!F100,'03.08 Kiwatule-Najjeera-24h'!F100)</f>
        <v>5</v>
      </c>
      <c r="G100" s="49">
        <f>AVERAGE('01.08 Kiwatule-Najjeera-24h'!G100,'03.08 Kiwatule-Najjeera-24h'!G100)</f>
        <v>0</v>
      </c>
      <c r="H100" s="49">
        <f>AVERAGE('01.08 Kiwatule-Najjeera-24h'!H100,'03.08 Kiwatule-Najjeera-24h'!H100)</f>
        <v>0</v>
      </c>
      <c r="I100" s="49">
        <f>AVERAGE('01.08 Kiwatule-Najjeera-24h'!I100,'03.08 Kiwatule-Najjeera-24h'!I100)</f>
        <v>0</v>
      </c>
      <c r="J100" s="49">
        <f>AVERAGE('01.08 Kiwatule-Najjeera-24h'!J100,'03.08 Kiwatule-Najjeera-24h'!J100)</f>
        <v>0.5</v>
      </c>
      <c r="K100" s="49">
        <f>AVERAGE('01.08 Kiwatule-Najjeera-24h'!K100,'03.08 Kiwatule-Najjeera-24h'!K100)</f>
        <v>0</v>
      </c>
      <c r="L100" s="49">
        <f>AVERAGE('01.08 Kiwatule-Najjeera-24h'!L100,'03.08 Kiwatule-Najjeera-24h'!L100)</f>
        <v>0</v>
      </c>
      <c r="M100" s="49">
        <f>AVERAGE('01.08 Kiwatule-Najjeera-24h'!M100,'03.08 Kiwatule-Najjeera-24h'!M100)</f>
        <v>12</v>
      </c>
      <c r="N100" s="49">
        <f>AVERAGE('01.08 Kiwatule-Najjeera-24h'!N100,'03.08 Kiwatule-Najjeera-24h'!N100)</f>
        <v>0</v>
      </c>
      <c r="O100" s="15">
        <f t="shared" si="35"/>
        <v>29</v>
      </c>
      <c r="P100" s="15">
        <f t="shared" si="36"/>
        <v>41</v>
      </c>
      <c r="R100" s="8"/>
      <c r="T100"/>
    </row>
    <row r="101" spans="2:20" ht="23.1" customHeight="1">
      <c r="B101" s="23" t="s">
        <v>141</v>
      </c>
      <c r="C101" s="49">
        <f>AVERAGE('01.08 Kiwatule-Najjeera-24h'!C101,'03.08 Kiwatule-Najjeera-24h'!C101)</f>
        <v>15</v>
      </c>
      <c r="D101" s="49">
        <f>AVERAGE('01.08 Kiwatule-Najjeera-24h'!D101,'03.08 Kiwatule-Najjeera-24h'!D101)</f>
        <v>3.5</v>
      </c>
      <c r="E101" s="49">
        <f>AVERAGE('01.08 Kiwatule-Najjeera-24h'!E101,'03.08 Kiwatule-Najjeera-24h'!E101)</f>
        <v>2.5</v>
      </c>
      <c r="F101" s="49">
        <f>AVERAGE('01.08 Kiwatule-Najjeera-24h'!F101,'03.08 Kiwatule-Najjeera-24h'!F101)</f>
        <v>5.5</v>
      </c>
      <c r="G101" s="49">
        <f>AVERAGE('01.08 Kiwatule-Najjeera-24h'!G101,'03.08 Kiwatule-Najjeera-24h'!G101)</f>
        <v>0</v>
      </c>
      <c r="H101" s="49">
        <f>AVERAGE('01.08 Kiwatule-Najjeera-24h'!H101,'03.08 Kiwatule-Najjeera-24h'!H101)</f>
        <v>0</v>
      </c>
      <c r="I101" s="49">
        <f>AVERAGE('01.08 Kiwatule-Najjeera-24h'!I101,'03.08 Kiwatule-Najjeera-24h'!I101)</f>
        <v>1</v>
      </c>
      <c r="J101" s="49">
        <f>AVERAGE('01.08 Kiwatule-Najjeera-24h'!J101,'03.08 Kiwatule-Najjeera-24h'!J101)</f>
        <v>0</v>
      </c>
      <c r="K101" s="49">
        <f>AVERAGE('01.08 Kiwatule-Najjeera-24h'!K101,'03.08 Kiwatule-Najjeera-24h'!K101)</f>
        <v>0</v>
      </c>
      <c r="L101" s="49">
        <f>AVERAGE('01.08 Kiwatule-Najjeera-24h'!L101,'03.08 Kiwatule-Najjeera-24h'!L101)</f>
        <v>0</v>
      </c>
      <c r="M101" s="49">
        <f>AVERAGE('01.08 Kiwatule-Najjeera-24h'!M101,'03.08 Kiwatule-Najjeera-24h'!M101)</f>
        <v>15.5</v>
      </c>
      <c r="N101" s="49">
        <f>AVERAGE('01.08 Kiwatule-Najjeera-24h'!N101,'03.08 Kiwatule-Najjeera-24h'!N101)</f>
        <v>0</v>
      </c>
      <c r="O101" s="15">
        <f t="shared" si="35"/>
        <v>27.5</v>
      </c>
      <c r="P101" s="15">
        <f t="shared" si="36"/>
        <v>43</v>
      </c>
      <c r="R101" s="8"/>
      <c r="T101"/>
    </row>
    <row r="102" spans="2:20" ht="23.1" customHeight="1">
      <c r="B102" s="24" t="s">
        <v>142</v>
      </c>
      <c r="C102" s="49">
        <f>AVERAGE('01.08 Kiwatule-Najjeera-24h'!C102,'03.08 Kiwatule-Najjeera-24h'!C102)</f>
        <v>14</v>
      </c>
      <c r="D102" s="49">
        <f>AVERAGE('01.08 Kiwatule-Najjeera-24h'!D102,'03.08 Kiwatule-Najjeera-24h'!D102)</f>
        <v>4.5</v>
      </c>
      <c r="E102" s="49">
        <f>AVERAGE('01.08 Kiwatule-Najjeera-24h'!E102,'03.08 Kiwatule-Najjeera-24h'!E102)</f>
        <v>0</v>
      </c>
      <c r="F102" s="49">
        <f>AVERAGE('01.08 Kiwatule-Najjeera-24h'!F102,'03.08 Kiwatule-Najjeera-24h'!F102)</f>
        <v>7.5</v>
      </c>
      <c r="G102" s="49">
        <f>AVERAGE('01.08 Kiwatule-Najjeera-24h'!G102,'03.08 Kiwatule-Najjeera-24h'!G102)</f>
        <v>0.5</v>
      </c>
      <c r="H102" s="49">
        <f>AVERAGE('01.08 Kiwatule-Najjeera-24h'!H102,'03.08 Kiwatule-Najjeera-24h'!H102)</f>
        <v>0</v>
      </c>
      <c r="I102" s="49">
        <f>AVERAGE('01.08 Kiwatule-Najjeera-24h'!I102,'03.08 Kiwatule-Najjeera-24h'!I102)</f>
        <v>0.5</v>
      </c>
      <c r="J102" s="49">
        <f>AVERAGE('01.08 Kiwatule-Najjeera-24h'!J102,'03.08 Kiwatule-Najjeera-24h'!J102)</f>
        <v>1</v>
      </c>
      <c r="K102" s="49">
        <f>AVERAGE('01.08 Kiwatule-Najjeera-24h'!K102,'03.08 Kiwatule-Najjeera-24h'!K102)</f>
        <v>0.5</v>
      </c>
      <c r="L102" s="49">
        <f>AVERAGE('01.08 Kiwatule-Najjeera-24h'!L102,'03.08 Kiwatule-Najjeera-24h'!L102)</f>
        <v>0</v>
      </c>
      <c r="M102" s="49">
        <f>AVERAGE('01.08 Kiwatule-Najjeera-24h'!M102,'03.08 Kiwatule-Najjeera-24h'!M102)</f>
        <v>18.5</v>
      </c>
      <c r="N102" s="49">
        <f>AVERAGE('01.08 Kiwatule-Najjeera-24h'!N102,'03.08 Kiwatule-Najjeera-24h'!N102)</f>
        <v>0</v>
      </c>
      <c r="O102" s="15">
        <f t="shared" si="35"/>
        <v>28.5</v>
      </c>
      <c r="P102" s="15">
        <f t="shared" si="36"/>
        <v>47</v>
      </c>
      <c r="R102" s="8"/>
      <c r="T102"/>
    </row>
    <row r="103" spans="2:20" ht="23.1" customHeight="1">
      <c r="B103" s="23" t="s">
        <v>143</v>
      </c>
      <c r="C103" s="49">
        <f>AVERAGE('01.08 Kiwatule-Najjeera-24h'!C103,'03.08 Kiwatule-Najjeera-24h'!C103)</f>
        <v>26</v>
      </c>
      <c r="D103" s="49">
        <f>AVERAGE('01.08 Kiwatule-Najjeera-24h'!D103,'03.08 Kiwatule-Najjeera-24h'!D103)</f>
        <v>4.5</v>
      </c>
      <c r="E103" s="49">
        <f>AVERAGE('01.08 Kiwatule-Najjeera-24h'!E103,'03.08 Kiwatule-Najjeera-24h'!E103)</f>
        <v>2</v>
      </c>
      <c r="F103" s="49">
        <f>AVERAGE('01.08 Kiwatule-Najjeera-24h'!F103,'03.08 Kiwatule-Najjeera-24h'!F103)</f>
        <v>9.5</v>
      </c>
      <c r="G103" s="49">
        <f>AVERAGE('01.08 Kiwatule-Najjeera-24h'!G103,'03.08 Kiwatule-Najjeera-24h'!G103)</f>
        <v>0</v>
      </c>
      <c r="H103" s="49">
        <f>AVERAGE('01.08 Kiwatule-Najjeera-24h'!H103,'03.08 Kiwatule-Najjeera-24h'!H103)</f>
        <v>0</v>
      </c>
      <c r="I103" s="49">
        <f>AVERAGE('01.08 Kiwatule-Najjeera-24h'!I103,'03.08 Kiwatule-Najjeera-24h'!I103)</f>
        <v>0</v>
      </c>
      <c r="J103" s="49">
        <f>AVERAGE('01.08 Kiwatule-Najjeera-24h'!J103,'03.08 Kiwatule-Najjeera-24h'!J103)</f>
        <v>0.5</v>
      </c>
      <c r="K103" s="49">
        <f>AVERAGE('01.08 Kiwatule-Najjeera-24h'!K103,'03.08 Kiwatule-Najjeera-24h'!K103)</f>
        <v>0</v>
      </c>
      <c r="L103" s="49">
        <f>AVERAGE('01.08 Kiwatule-Najjeera-24h'!L103,'03.08 Kiwatule-Najjeera-24h'!L103)</f>
        <v>0</v>
      </c>
      <c r="M103" s="49">
        <f>AVERAGE('01.08 Kiwatule-Najjeera-24h'!M103,'03.08 Kiwatule-Najjeera-24h'!M103)</f>
        <v>21</v>
      </c>
      <c r="N103" s="49">
        <f>AVERAGE('01.08 Kiwatule-Najjeera-24h'!N103,'03.08 Kiwatule-Najjeera-24h'!N103)</f>
        <v>0</v>
      </c>
      <c r="O103" s="15">
        <f t="shared" si="35"/>
        <v>42.5</v>
      </c>
      <c r="P103" s="15">
        <f t="shared" si="36"/>
        <v>63.5</v>
      </c>
      <c r="R103" s="8"/>
      <c r="T103"/>
    </row>
    <row r="104" spans="2:20" ht="23.1" customHeight="1">
      <c r="B104" s="25" t="s">
        <v>144</v>
      </c>
      <c r="C104" s="49">
        <f>AVERAGE('01.08 Kiwatule-Najjeera-24h'!C104,'03.08 Kiwatule-Najjeera-24h'!C104)</f>
        <v>37.5</v>
      </c>
      <c r="D104" s="49">
        <f>AVERAGE('01.08 Kiwatule-Najjeera-24h'!D104,'03.08 Kiwatule-Najjeera-24h'!D104)</f>
        <v>7</v>
      </c>
      <c r="E104" s="49">
        <f>AVERAGE('01.08 Kiwatule-Najjeera-24h'!E104,'03.08 Kiwatule-Najjeera-24h'!E104)</f>
        <v>1</v>
      </c>
      <c r="F104" s="49">
        <f>AVERAGE('01.08 Kiwatule-Najjeera-24h'!F104,'03.08 Kiwatule-Najjeera-24h'!F104)</f>
        <v>16.5</v>
      </c>
      <c r="G104" s="49">
        <f>AVERAGE('01.08 Kiwatule-Najjeera-24h'!G104,'03.08 Kiwatule-Najjeera-24h'!G104)</f>
        <v>0</v>
      </c>
      <c r="H104" s="49">
        <f>AVERAGE('01.08 Kiwatule-Najjeera-24h'!H104,'03.08 Kiwatule-Najjeera-24h'!H104)</f>
        <v>0</v>
      </c>
      <c r="I104" s="49">
        <f>AVERAGE('01.08 Kiwatule-Najjeera-24h'!I104,'03.08 Kiwatule-Najjeera-24h'!I104)</f>
        <v>2</v>
      </c>
      <c r="J104" s="49">
        <f>AVERAGE('01.08 Kiwatule-Najjeera-24h'!J104,'03.08 Kiwatule-Najjeera-24h'!J104)</f>
        <v>0.5</v>
      </c>
      <c r="K104" s="49">
        <f>AVERAGE('01.08 Kiwatule-Najjeera-24h'!K104,'03.08 Kiwatule-Najjeera-24h'!K104)</f>
        <v>0</v>
      </c>
      <c r="L104" s="49">
        <f>AVERAGE('01.08 Kiwatule-Najjeera-24h'!L104,'03.08 Kiwatule-Najjeera-24h'!L104)</f>
        <v>0</v>
      </c>
      <c r="M104" s="49">
        <f>AVERAGE('01.08 Kiwatule-Najjeera-24h'!M104,'03.08 Kiwatule-Najjeera-24h'!M104)</f>
        <v>20.5</v>
      </c>
      <c r="N104" s="49">
        <f>AVERAGE('01.08 Kiwatule-Najjeera-24h'!N104,'03.08 Kiwatule-Najjeera-24h'!N104)</f>
        <v>0</v>
      </c>
      <c r="O104" s="15">
        <f t="shared" si="35"/>
        <v>64.5</v>
      </c>
      <c r="P104" s="15">
        <f t="shared" si="36"/>
        <v>85</v>
      </c>
      <c r="R104" s="8"/>
      <c r="T104"/>
    </row>
    <row r="105" spans="2:20" ht="23.1" customHeight="1">
      <c r="B105" s="23" t="s">
        <v>145</v>
      </c>
      <c r="C105" s="49">
        <f>AVERAGE('01.08 Kiwatule-Najjeera-24h'!C105,'03.08 Kiwatule-Najjeera-24h'!C105)</f>
        <v>17</v>
      </c>
      <c r="D105" s="49">
        <f>AVERAGE('01.08 Kiwatule-Najjeera-24h'!D105,'03.08 Kiwatule-Najjeera-24h'!D105)</f>
        <v>1.5</v>
      </c>
      <c r="E105" s="49">
        <f>AVERAGE('01.08 Kiwatule-Najjeera-24h'!E105,'03.08 Kiwatule-Najjeera-24h'!E105)</f>
        <v>0.5</v>
      </c>
      <c r="F105" s="49">
        <f>AVERAGE('01.08 Kiwatule-Najjeera-24h'!F105,'03.08 Kiwatule-Najjeera-24h'!F105)</f>
        <v>9.5</v>
      </c>
      <c r="G105" s="49">
        <f>AVERAGE('01.08 Kiwatule-Najjeera-24h'!G105,'03.08 Kiwatule-Najjeera-24h'!G105)</f>
        <v>0</v>
      </c>
      <c r="H105" s="49">
        <f>AVERAGE('01.08 Kiwatule-Najjeera-24h'!H105,'03.08 Kiwatule-Najjeera-24h'!H105)</f>
        <v>0</v>
      </c>
      <c r="I105" s="49">
        <f>AVERAGE('01.08 Kiwatule-Najjeera-24h'!I105,'03.08 Kiwatule-Najjeera-24h'!I105)</f>
        <v>0.5</v>
      </c>
      <c r="J105" s="49">
        <f>AVERAGE('01.08 Kiwatule-Najjeera-24h'!J105,'03.08 Kiwatule-Najjeera-24h'!J105)</f>
        <v>0</v>
      </c>
      <c r="K105" s="49">
        <f>AVERAGE('01.08 Kiwatule-Najjeera-24h'!K105,'03.08 Kiwatule-Najjeera-24h'!K105)</f>
        <v>0</v>
      </c>
      <c r="L105" s="49">
        <f>AVERAGE('01.08 Kiwatule-Najjeera-24h'!L105,'03.08 Kiwatule-Najjeera-24h'!L105)</f>
        <v>0</v>
      </c>
      <c r="M105" s="49">
        <f>AVERAGE('01.08 Kiwatule-Najjeera-24h'!M105,'03.08 Kiwatule-Najjeera-24h'!M105)</f>
        <v>21</v>
      </c>
      <c r="N105" s="49">
        <f>AVERAGE('01.08 Kiwatule-Najjeera-24h'!N105,'03.08 Kiwatule-Najjeera-24h'!N105)</f>
        <v>0</v>
      </c>
      <c r="O105" s="15">
        <f t="shared" si="35"/>
        <v>29</v>
      </c>
      <c r="P105" s="15">
        <f t="shared" si="36"/>
        <v>50</v>
      </c>
      <c r="R105" s="8"/>
      <c r="T105"/>
    </row>
    <row r="106" spans="2:20" ht="23.1" customHeight="1">
      <c r="B106" s="26" t="s">
        <v>18</v>
      </c>
      <c r="C106" s="16">
        <f>SUM(C10:C105)</f>
        <v>5496.7142857142862</v>
      </c>
      <c r="D106" s="16">
        <f t="shared" ref="D106:P106" si="37">SUM(D10:D105)</f>
        <v>1054.2142857142858</v>
      </c>
      <c r="E106" s="16">
        <f t="shared" si="37"/>
        <v>336.85714285714289</v>
      </c>
      <c r="F106" s="16">
        <f t="shared" si="37"/>
        <v>1112.9285714285716</v>
      </c>
      <c r="G106" s="16">
        <f t="shared" si="37"/>
        <v>33.285714285714285</v>
      </c>
      <c r="H106" s="16">
        <f t="shared" si="37"/>
        <v>6.4285714285714279</v>
      </c>
      <c r="I106" s="16">
        <f t="shared" si="37"/>
        <v>300.35714285714278</v>
      </c>
      <c r="J106" s="16">
        <f t="shared" si="37"/>
        <v>39</v>
      </c>
      <c r="K106" s="16">
        <f t="shared" si="37"/>
        <v>14.714285714285715</v>
      </c>
      <c r="L106" s="16">
        <f t="shared" si="37"/>
        <v>5.2857142857142847</v>
      </c>
      <c r="M106" s="16">
        <f t="shared" si="37"/>
        <v>4068.8571428571422</v>
      </c>
      <c r="N106" s="16">
        <f t="shared" si="37"/>
        <v>0.5</v>
      </c>
      <c r="O106" s="16">
        <f t="shared" si="37"/>
        <v>8400.2857142857138</v>
      </c>
      <c r="P106" s="16">
        <f>SUM(P10:P105)</f>
        <v>12469.142857142859</v>
      </c>
      <c r="R106" s="8"/>
      <c r="T106"/>
    </row>
    <row r="107" spans="2:20" ht="23.1" customHeight="1">
      <c r="B107" s="26" t="s">
        <v>93</v>
      </c>
      <c r="C107" s="43">
        <f t="shared" ref="C107:N107" si="38">C106/$P$106</f>
        <v>0.4408253517254021</v>
      </c>
      <c r="D107" s="43">
        <f t="shared" si="38"/>
        <v>8.4545850327666011E-2</v>
      </c>
      <c r="E107" s="43">
        <f t="shared" si="38"/>
        <v>2.7015260528848357E-2</v>
      </c>
      <c r="F107" s="43">
        <f t="shared" si="38"/>
        <v>8.9254617111956369E-2</v>
      </c>
      <c r="G107" s="43">
        <f t="shared" si="38"/>
        <v>2.6694468631135141E-3</v>
      </c>
      <c r="H107" s="43">
        <f t="shared" si="38"/>
        <v>5.1555840703909064E-4</v>
      </c>
      <c r="I107" s="43">
        <f t="shared" si="38"/>
        <v>2.4088034462215288E-2</v>
      </c>
      <c r="J107" s="43">
        <f t="shared" si="38"/>
        <v>3.1277210027038172E-3</v>
      </c>
      <c r="K107" s="43">
        <f t="shared" si="38"/>
        <v>1.1800559094450299E-3</v>
      </c>
      <c r="L107" s="43">
        <f t="shared" si="38"/>
        <v>4.2390357912103004E-4</v>
      </c>
      <c r="M107" s="43">
        <f t="shared" si="38"/>
        <v>0.32631410109527509</v>
      </c>
      <c r="N107" s="43">
        <f t="shared" si="38"/>
        <v>4.0098987214151499E-5</v>
      </c>
      <c r="R107" s="8"/>
      <c r="T107"/>
    </row>
    <row r="108" spans="2:20" ht="23.1" customHeight="1">
      <c r="B108" s="42" t="s">
        <v>94</v>
      </c>
      <c r="C108" s="44">
        <f>C106/$O$106</f>
        <v>0.65434849154790664</v>
      </c>
      <c r="D108" s="44">
        <f t="shared" ref="D108:N108" si="39">D106/$O$106</f>
        <v>0.12549743206013403</v>
      </c>
      <c r="E108" s="44">
        <f t="shared" si="39"/>
        <v>4.0100676847726273E-2</v>
      </c>
      <c r="F108" s="44">
        <f t="shared" si="39"/>
        <v>0.13248699023842728</v>
      </c>
      <c r="G108" s="44">
        <f t="shared" si="39"/>
        <v>3.9624502567939864E-3</v>
      </c>
      <c r="H108" s="44">
        <f t="shared" si="39"/>
        <v>7.6528009251386009E-4</v>
      </c>
      <c r="I108" s="44">
        <f t="shared" si="39"/>
        <v>3.5755586544675345E-2</v>
      </c>
      <c r="J108" s="44">
        <f t="shared" si="39"/>
        <v>4.6426992279174177E-3</v>
      </c>
      <c r="K108" s="44">
        <f t="shared" si="39"/>
        <v>1.7516411006428356E-3</v>
      </c>
      <c r="L108" s="44">
        <f t="shared" si="39"/>
        <v>6.2923029828917379E-4</v>
      </c>
      <c r="M108" s="44"/>
      <c r="N108" s="44">
        <f t="shared" si="39"/>
        <v>5.9521784973300229E-5</v>
      </c>
      <c r="Q108" s="7"/>
      <c r="R108" s="8"/>
      <c r="T108"/>
    </row>
    <row r="109" spans="2:20" ht="20.100000000000001" customHeight="1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0.100000000000001" customHeight="1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0.100000000000001" customHeight="1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0.100000000000001" customHeight="1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0.100000000000001" customHeight="1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0.100000000000001" customHeight="1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0.100000000000001" customHeight="1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0.100000000000001" customHeight="1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0.100000000000001" customHeight="1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0.100000000000001" customHeight="1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0.100000000000001" customHeight="1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0.100000000000001" customHeight="1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0.100000000000001" customHeight="1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0.100000000000001" customHeight="1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0.100000000000001" customHeight="1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0.100000000000001" customHeight="1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0.100000000000001" customHeight="1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0.100000000000001" customHeight="1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0.100000000000001" customHeight="1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0.100000000000001" customHeight="1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0.100000000000001" customHeight="1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0.100000000000001" customHeight="1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0.100000000000001" customHeight="1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0.100000000000001" customHeight="1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0.100000000000001" customHeight="1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0.100000000000001" customHeight="1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0.100000000000001" customHeight="1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0.100000000000001" customHeight="1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0.100000000000001" customHeight="1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0.100000000000001" customHeight="1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0.100000000000001" customHeight="1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0.100000000000001" customHeight="1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0.100000000000001" customHeight="1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0.100000000000001" customHeight="1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0.100000000000001" customHeight="1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0.100000000000001" customHeight="1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0.100000000000001" customHeight="1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0.100000000000001" customHeight="1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0.100000000000001" customHeight="1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0.100000000000001" customHeight="1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0.100000000000001" customHeight="1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0.100000000000001" customHeight="1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0.100000000000001" customHeight="1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2.5" customHeight="1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0.100000000000001" customHeight="1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0.100000000000001" customHeight="1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0.100000000000001" customHeight="1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0.100000000000001" customHeight="1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0.100000000000001" customHeight="1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0.100000000000001" customHeight="1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0.100000000000001" customHeight="1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0.100000000000001" customHeight="1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0.100000000000001" customHeight="1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0.100000000000001" customHeight="1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0.100000000000001" customHeight="1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0.100000000000001" customHeight="1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0.100000000000001" customHeight="1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0.100000000000001" customHeight="1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0.100000000000001" customHeight="1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0.100000000000001" customHeight="1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0.100000000000001" customHeight="1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0.100000000000001" customHeight="1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0.100000000000001" customHeight="1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0.100000000000001" customHeight="1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0.100000000000001" customHeight="1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0.100000000000001" customHeight="1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10">
    <mergeCell ref="R8:AF8"/>
    <mergeCell ref="D6:E6"/>
    <mergeCell ref="K5:L5"/>
    <mergeCell ref="K6:L6"/>
    <mergeCell ref="D5:E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theme="9" tint="-0.249977111117893"/>
  </sheetPr>
  <dimension ref="B1:AF174"/>
  <sheetViews>
    <sheetView tabSelected="1" view="pageBreakPreview" topLeftCell="L43" zoomScale="60" workbookViewId="0">
      <selection activeCell="R119" sqref="R119"/>
    </sheetView>
  </sheetViews>
  <sheetFormatPr defaultColWidth="15" defaultRowHeight="20.100000000000001" customHeight="1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1" width="10.7109375" customWidth="1"/>
    <col min="32" max="32" width="13.28515625" customWidth="1"/>
    <col min="33" max="33" width="10.7109375" customWidth="1"/>
  </cols>
  <sheetData>
    <row r="1" spans="2:32" ht="23.25" customHeight="1">
      <c r="B1" s="60" t="s">
        <v>23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</row>
    <row r="2" spans="2:32" ht="20.100000000000001" customHeight="1">
      <c r="B2" s="61" t="s">
        <v>95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</row>
    <row r="3" spans="2:32" ht="20.100000000000001" customHeight="1">
      <c r="B3" s="22" t="s">
        <v>96</v>
      </c>
      <c r="C3" s="65" t="str">
        <f>'04.08 Kiwatule-Najjeera'!C3:G3</f>
        <v>MCC - C1 - STN36 - MBOGO ROAD</v>
      </c>
      <c r="D3" s="65"/>
      <c r="E3" s="65"/>
      <c r="F3" s="65"/>
      <c r="G3" s="65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>
      <c r="C5" s="4" t="s">
        <v>3</v>
      </c>
      <c r="D5" s="68" t="s">
        <v>162</v>
      </c>
      <c r="E5" s="69"/>
      <c r="F5" s="41" t="s">
        <v>1</v>
      </c>
      <c r="G5" s="66" t="str">
        <f>'Avg Week Kiwatule-Najjeera'!G5:H5</f>
        <v>U Save Kiwatule</v>
      </c>
      <c r="H5" s="67"/>
      <c r="I5" s="14"/>
      <c r="J5" s="2" t="s">
        <v>5</v>
      </c>
      <c r="K5" s="66" t="str">
        <f>'Avg Week Kiwatule-Najjeera'!K5:L5</f>
        <v>Olupot</v>
      </c>
      <c r="L5" s="67"/>
      <c r="M5" s="10"/>
      <c r="N5" s="10"/>
      <c r="O5" s="3"/>
      <c r="P5" s="3"/>
    </row>
    <row r="6" spans="2:32" ht="23.25" customHeight="1">
      <c r="C6" s="2" t="s">
        <v>4</v>
      </c>
      <c r="D6" s="70" t="s">
        <v>161</v>
      </c>
      <c r="E6" s="71"/>
      <c r="F6" s="2" t="s">
        <v>2</v>
      </c>
      <c r="G6" s="70" t="s">
        <v>161</v>
      </c>
      <c r="H6" s="71"/>
      <c r="J6" s="2" t="s">
        <v>21</v>
      </c>
      <c r="K6" s="66" t="str">
        <f>'Avg Week Kiwatule-Najjeera'!K6:L6</f>
        <v>Joan</v>
      </c>
      <c r="L6" s="67"/>
      <c r="M6" s="10"/>
      <c r="N6" s="10"/>
      <c r="O6" s="3"/>
      <c r="P6" s="3"/>
    </row>
    <row r="7" spans="2:32" ht="20.100000000000001" customHeight="1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9" t="s">
        <v>88</v>
      </c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</row>
    <row r="9" spans="2:32" ht="51.75" customHeight="1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>
      <c r="B10" s="23" t="s">
        <v>37</v>
      </c>
      <c r="C10" s="49">
        <f>'Avg Week Najjeera-Kiwatule'!C10+'Avg Week Kiwatule-Najjeera'!C10</f>
        <v>134.71428571428572</v>
      </c>
      <c r="D10" s="49">
        <f>'Avg Week Najjeera-Kiwatule'!D10+'Avg Week Kiwatule-Najjeera'!D10</f>
        <v>22.142857142857142</v>
      </c>
      <c r="E10" s="49">
        <f>'Avg Week Najjeera-Kiwatule'!E10+'Avg Week Kiwatule-Najjeera'!E10</f>
        <v>10.142857142857142</v>
      </c>
      <c r="F10" s="49">
        <f>'Avg Week Najjeera-Kiwatule'!F10+'Avg Week Kiwatule-Najjeera'!F10</f>
        <v>33.285714285714285</v>
      </c>
      <c r="G10" s="49">
        <f>'Avg Week Najjeera-Kiwatule'!G10+'Avg Week Kiwatule-Najjeera'!G10</f>
        <v>0.8571428571428571</v>
      </c>
      <c r="H10" s="49">
        <f>'Avg Week Najjeera-Kiwatule'!H10+'Avg Week Kiwatule-Najjeera'!H10</f>
        <v>0</v>
      </c>
      <c r="I10" s="49">
        <f>'Avg Week Najjeera-Kiwatule'!I10+'Avg Week Kiwatule-Najjeera'!I10</f>
        <v>4.8571428571428577</v>
      </c>
      <c r="J10" s="49">
        <f>'Avg Week Najjeera-Kiwatule'!J10+'Avg Week Kiwatule-Najjeera'!J10</f>
        <v>1.2857142857142856</v>
      </c>
      <c r="K10" s="49">
        <f>'Avg Week Najjeera-Kiwatule'!K10+'Avg Week Kiwatule-Najjeera'!K10</f>
        <v>0.14285714285714285</v>
      </c>
      <c r="L10" s="49">
        <f>'Avg Week Najjeera-Kiwatule'!L10+'Avg Week Kiwatule-Najjeera'!L10</f>
        <v>0.2857142857142857</v>
      </c>
      <c r="M10" s="49">
        <f>'Avg Week Najjeera-Kiwatule'!M10+'Avg Week Kiwatule-Najjeera'!M10</f>
        <v>100.14285714285714</v>
      </c>
      <c r="N10" s="49">
        <f>'Avg Week Najjeera-Kiwatule'!N10+'Avg Week Kiwatule-Najjeera'!N10</f>
        <v>0</v>
      </c>
      <c r="O10" s="15">
        <f t="shared" ref="O10:O73" si="0">SUM(C10:L10,N10)</f>
        <v>207.71428571428569</v>
      </c>
      <c r="P10" s="15">
        <f t="shared" ref="P10:P73" si="1">SUM(C10:N10)</f>
        <v>307.85714285714283</v>
      </c>
      <c r="R10" s="1" t="s">
        <v>6</v>
      </c>
      <c r="S10" s="17">
        <f t="shared" ref="S10:AF10" si="2">SUM(C10:C13)</f>
        <v>592.71428571428578</v>
      </c>
      <c r="T10" s="17">
        <f t="shared" si="2"/>
        <v>82.142857142857139</v>
      </c>
      <c r="U10" s="17">
        <f t="shared" si="2"/>
        <v>49.142857142857146</v>
      </c>
      <c r="V10" s="17">
        <f t="shared" si="2"/>
        <v>146</v>
      </c>
      <c r="W10" s="17">
        <f t="shared" si="2"/>
        <v>3</v>
      </c>
      <c r="X10" s="17">
        <f t="shared" si="2"/>
        <v>0</v>
      </c>
      <c r="Y10" s="17">
        <f t="shared" si="2"/>
        <v>20.857142857142858</v>
      </c>
      <c r="Z10" s="17">
        <f t="shared" si="2"/>
        <v>3.8571428571428572</v>
      </c>
      <c r="AA10" s="17">
        <f t="shared" si="2"/>
        <v>1.1428571428571428</v>
      </c>
      <c r="AB10" s="17">
        <f t="shared" si="2"/>
        <v>0.85714285714285698</v>
      </c>
      <c r="AC10" s="17">
        <f t="shared" si="2"/>
        <v>508</v>
      </c>
      <c r="AD10" s="17">
        <f t="shared" si="2"/>
        <v>0</v>
      </c>
      <c r="AE10" s="31">
        <f t="shared" si="2"/>
        <v>899.71428571428578</v>
      </c>
      <c r="AF10" s="31">
        <f t="shared" si="2"/>
        <v>1407.7142857142858</v>
      </c>
    </row>
    <row r="11" spans="2:32" s="6" customFormat="1" ht="23.1" customHeight="1">
      <c r="B11" s="23" t="s">
        <v>38</v>
      </c>
      <c r="C11" s="49">
        <f>'Avg Week Najjeera-Kiwatule'!C11+'Avg Week Kiwatule-Najjeera'!C11</f>
        <v>141.85714285714286</v>
      </c>
      <c r="D11" s="49">
        <f>'Avg Week Najjeera-Kiwatule'!D11+'Avg Week Kiwatule-Najjeera'!D11</f>
        <v>19.571428571428573</v>
      </c>
      <c r="E11" s="49">
        <f>'Avg Week Najjeera-Kiwatule'!E11+'Avg Week Kiwatule-Najjeera'!E11</f>
        <v>13</v>
      </c>
      <c r="F11" s="49">
        <f>'Avg Week Najjeera-Kiwatule'!F11+'Avg Week Kiwatule-Najjeera'!F11</f>
        <v>34</v>
      </c>
      <c r="G11" s="49">
        <f>'Avg Week Najjeera-Kiwatule'!G11+'Avg Week Kiwatule-Najjeera'!G11</f>
        <v>0.8571428571428571</v>
      </c>
      <c r="H11" s="49">
        <f>'Avg Week Najjeera-Kiwatule'!H11+'Avg Week Kiwatule-Najjeera'!H11</f>
        <v>0</v>
      </c>
      <c r="I11" s="49">
        <f>'Avg Week Najjeera-Kiwatule'!I11+'Avg Week Kiwatule-Najjeera'!I11</f>
        <v>5.7142857142857144</v>
      </c>
      <c r="J11" s="49">
        <f>'Avg Week Najjeera-Kiwatule'!J11+'Avg Week Kiwatule-Najjeera'!J11</f>
        <v>0.5714285714285714</v>
      </c>
      <c r="K11" s="49">
        <f>'Avg Week Najjeera-Kiwatule'!K11+'Avg Week Kiwatule-Najjeera'!K11</f>
        <v>0.42857142857142855</v>
      </c>
      <c r="L11" s="49">
        <f>'Avg Week Najjeera-Kiwatule'!L11+'Avg Week Kiwatule-Najjeera'!L11</f>
        <v>0.2857142857142857</v>
      </c>
      <c r="M11" s="49">
        <f>'Avg Week Najjeera-Kiwatule'!M11+'Avg Week Kiwatule-Najjeera'!M11</f>
        <v>125.14285714285714</v>
      </c>
      <c r="N11" s="49">
        <f>'Avg Week Najjeera-Kiwatule'!N11+'Avg Week Kiwatule-Najjeera'!N11</f>
        <v>0</v>
      </c>
      <c r="O11" s="15">
        <f t="shared" si="0"/>
        <v>216.28571428571431</v>
      </c>
      <c r="P11" s="15">
        <f t="shared" si="1"/>
        <v>341.42857142857144</v>
      </c>
      <c r="R11" s="1" t="s">
        <v>7</v>
      </c>
      <c r="S11" s="17">
        <f t="shared" ref="S11:AF11" si="3">SUM(C14:C17)</f>
        <v>591.85714285714289</v>
      </c>
      <c r="T11" s="17">
        <f t="shared" si="3"/>
        <v>87.714285714285708</v>
      </c>
      <c r="U11" s="17">
        <f t="shared" si="3"/>
        <v>40.857142857142861</v>
      </c>
      <c r="V11" s="17">
        <f t="shared" si="3"/>
        <v>157</v>
      </c>
      <c r="W11" s="17">
        <f t="shared" si="3"/>
        <v>1.8571428571428572</v>
      </c>
      <c r="X11" s="17">
        <f t="shared" si="3"/>
        <v>0.42857142857142855</v>
      </c>
      <c r="Y11" s="17">
        <f t="shared" si="3"/>
        <v>26.999999999999996</v>
      </c>
      <c r="Z11" s="17">
        <f t="shared" si="3"/>
        <v>3.9999999999999996</v>
      </c>
      <c r="AA11" s="17">
        <f t="shared" si="3"/>
        <v>2.5714285714285712</v>
      </c>
      <c r="AB11" s="17">
        <f t="shared" si="3"/>
        <v>0.71428571428571419</v>
      </c>
      <c r="AC11" s="17">
        <f t="shared" si="3"/>
        <v>594.14285714285722</v>
      </c>
      <c r="AD11" s="17">
        <f t="shared" si="3"/>
        <v>0.14285714285714285</v>
      </c>
      <c r="AE11" s="31">
        <f t="shared" si="3"/>
        <v>914.14285714285711</v>
      </c>
      <c r="AF11" s="31">
        <f t="shared" si="3"/>
        <v>1508.2857142857142</v>
      </c>
    </row>
    <row r="12" spans="2:32" ht="23.1" customHeight="1">
      <c r="B12" s="23" t="s">
        <v>39</v>
      </c>
      <c r="C12" s="49">
        <f>'Avg Week Najjeera-Kiwatule'!C12+'Avg Week Kiwatule-Najjeera'!C12</f>
        <v>153.85714285714286</v>
      </c>
      <c r="D12" s="49">
        <f>'Avg Week Najjeera-Kiwatule'!D12+'Avg Week Kiwatule-Najjeera'!D12</f>
        <v>21</v>
      </c>
      <c r="E12" s="49">
        <f>'Avg Week Najjeera-Kiwatule'!E12+'Avg Week Kiwatule-Najjeera'!E12</f>
        <v>12.714285714285715</v>
      </c>
      <c r="F12" s="49">
        <f>'Avg Week Najjeera-Kiwatule'!F12+'Avg Week Kiwatule-Najjeera'!F12</f>
        <v>38.714285714285715</v>
      </c>
      <c r="G12" s="49">
        <f>'Avg Week Najjeera-Kiwatule'!G12+'Avg Week Kiwatule-Najjeera'!G12</f>
        <v>0.14285714285714285</v>
      </c>
      <c r="H12" s="49">
        <f>'Avg Week Najjeera-Kiwatule'!H12+'Avg Week Kiwatule-Najjeera'!H12</f>
        <v>0</v>
      </c>
      <c r="I12" s="49">
        <f>'Avg Week Najjeera-Kiwatule'!I12+'Avg Week Kiwatule-Najjeera'!I12</f>
        <v>5.4285714285714288</v>
      </c>
      <c r="J12" s="49">
        <f>'Avg Week Najjeera-Kiwatule'!J12+'Avg Week Kiwatule-Najjeera'!J12</f>
        <v>1.1428571428571428</v>
      </c>
      <c r="K12" s="49">
        <f>'Avg Week Najjeera-Kiwatule'!K12+'Avg Week Kiwatule-Najjeera'!K12</f>
        <v>0.2857142857142857</v>
      </c>
      <c r="L12" s="49">
        <f>'Avg Week Najjeera-Kiwatule'!L12+'Avg Week Kiwatule-Najjeera'!L12</f>
        <v>0.14285714285714285</v>
      </c>
      <c r="M12" s="49">
        <f>'Avg Week Najjeera-Kiwatule'!M12+'Avg Week Kiwatule-Najjeera'!M12</f>
        <v>139.57142857142858</v>
      </c>
      <c r="N12" s="49">
        <f>'Avg Week Najjeera-Kiwatule'!N12+'Avg Week Kiwatule-Najjeera'!N12</f>
        <v>0</v>
      </c>
      <c r="O12" s="15">
        <f t="shared" si="0"/>
        <v>233.42857142857142</v>
      </c>
      <c r="P12" s="15">
        <f t="shared" si="1"/>
        <v>373</v>
      </c>
      <c r="R12" s="1" t="s">
        <v>8</v>
      </c>
      <c r="S12" s="17">
        <f t="shared" ref="S12:AF12" si="4">SUM(C18:C21)</f>
        <v>491.57142857142856</v>
      </c>
      <c r="T12" s="17">
        <f t="shared" si="4"/>
        <v>76.285714285714278</v>
      </c>
      <c r="U12" s="17">
        <f t="shared" si="4"/>
        <v>39.857142857142861</v>
      </c>
      <c r="V12" s="17">
        <f t="shared" si="4"/>
        <v>123.42857142857142</v>
      </c>
      <c r="W12" s="17">
        <f t="shared" si="4"/>
        <v>2.2857142857142856</v>
      </c>
      <c r="X12" s="17">
        <f t="shared" si="4"/>
        <v>0</v>
      </c>
      <c r="Y12" s="17">
        <f t="shared" si="4"/>
        <v>35.714285714285715</v>
      </c>
      <c r="Z12" s="17">
        <f t="shared" si="4"/>
        <v>3.5714285714285712</v>
      </c>
      <c r="AA12" s="17">
        <f t="shared" si="4"/>
        <v>1.5714285714285714</v>
      </c>
      <c r="AB12" s="17">
        <f t="shared" si="4"/>
        <v>0.42857142857142855</v>
      </c>
      <c r="AC12" s="17">
        <f t="shared" si="4"/>
        <v>602.57142857142856</v>
      </c>
      <c r="AD12" s="17">
        <f t="shared" si="4"/>
        <v>0</v>
      </c>
      <c r="AE12" s="31">
        <f t="shared" si="4"/>
        <v>774.71428571428555</v>
      </c>
      <c r="AF12" s="31">
        <f t="shared" si="4"/>
        <v>1377.2857142857142</v>
      </c>
    </row>
    <row r="13" spans="2:32" ht="23.1" customHeight="1">
      <c r="B13" s="23" t="s">
        <v>40</v>
      </c>
      <c r="C13" s="49">
        <f>'Avg Week Najjeera-Kiwatule'!C13+'Avg Week Kiwatule-Najjeera'!C13</f>
        <v>162.28571428571431</v>
      </c>
      <c r="D13" s="49">
        <f>'Avg Week Najjeera-Kiwatule'!D13+'Avg Week Kiwatule-Najjeera'!D13</f>
        <v>19.428571428571431</v>
      </c>
      <c r="E13" s="49">
        <f>'Avg Week Najjeera-Kiwatule'!E13+'Avg Week Kiwatule-Najjeera'!E13</f>
        <v>13.285714285714285</v>
      </c>
      <c r="F13" s="49">
        <f>'Avg Week Najjeera-Kiwatule'!F13+'Avg Week Kiwatule-Najjeera'!F13</f>
        <v>40</v>
      </c>
      <c r="G13" s="49">
        <f>'Avg Week Najjeera-Kiwatule'!G13+'Avg Week Kiwatule-Najjeera'!G13</f>
        <v>1.1428571428571428</v>
      </c>
      <c r="H13" s="49">
        <f>'Avg Week Najjeera-Kiwatule'!H13+'Avg Week Kiwatule-Najjeera'!H13</f>
        <v>0</v>
      </c>
      <c r="I13" s="49">
        <f>'Avg Week Najjeera-Kiwatule'!I13+'Avg Week Kiwatule-Najjeera'!I13</f>
        <v>4.8571428571428577</v>
      </c>
      <c r="J13" s="49">
        <f>'Avg Week Najjeera-Kiwatule'!J13+'Avg Week Kiwatule-Najjeera'!J13</f>
        <v>0.85714285714285721</v>
      </c>
      <c r="K13" s="49">
        <f>'Avg Week Najjeera-Kiwatule'!K13+'Avg Week Kiwatule-Najjeera'!K13</f>
        <v>0.2857142857142857</v>
      </c>
      <c r="L13" s="49">
        <f>'Avg Week Najjeera-Kiwatule'!L13+'Avg Week Kiwatule-Najjeera'!L13</f>
        <v>0.14285714285714285</v>
      </c>
      <c r="M13" s="49">
        <f>'Avg Week Najjeera-Kiwatule'!M13+'Avg Week Kiwatule-Najjeera'!M13</f>
        <v>143.14285714285714</v>
      </c>
      <c r="N13" s="49">
        <f>'Avg Week Najjeera-Kiwatule'!N13+'Avg Week Kiwatule-Najjeera'!N13</f>
        <v>0</v>
      </c>
      <c r="O13" s="15">
        <f t="shared" si="0"/>
        <v>242.28571428571428</v>
      </c>
      <c r="P13" s="15">
        <f t="shared" si="1"/>
        <v>385.42857142857144</v>
      </c>
      <c r="R13" s="1" t="s">
        <v>9</v>
      </c>
      <c r="S13" s="17">
        <f t="shared" ref="S13:AF13" si="5">SUM(C22:C25)</f>
        <v>484</v>
      </c>
      <c r="T13" s="17">
        <f t="shared" si="5"/>
        <v>85.285714285714292</v>
      </c>
      <c r="U13" s="17">
        <f t="shared" si="5"/>
        <v>47.714285714285722</v>
      </c>
      <c r="V13" s="17">
        <f t="shared" si="5"/>
        <v>121.71428571428571</v>
      </c>
      <c r="W13" s="17">
        <f t="shared" si="5"/>
        <v>2.2857142857142856</v>
      </c>
      <c r="X13" s="17">
        <f t="shared" si="5"/>
        <v>0.42857142857142855</v>
      </c>
      <c r="Y13" s="17">
        <f t="shared" si="5"/>
        <v>36.857142857142861</v>
      </c>
      <c r="Z13" s="17">
        <f t="shared" si="5"/>
        <v>7.8571428571428568</v>
      </c>
      <c r="AA13" s="17">
        <f t="shared" si="5"/>
        <v>1.5714285714285712</v>
      </c>
      <c r="AB13" s="17">
        <f t="shared" si="5"/>
        <v>0.71428571428571419</v>
      </c>
      <c r="AC13" s="17">
        <f t="shared" si="5"/>
        <v>545.14285714285711</v>
      </c>
      <c r="AD13" s="17">
        <f t="shared" si="5"/>
        <v>0</v>
      </c>
      <c r="AE13" s="31">
        <f t="shared" si="5"/>
        <v>788.42857142857133</v>
      </c>
      <c r="AF13" s="31">
        <f t="shared" si="5"/>
        <v>1333.5714285714284</v>
      </c>
    </row>
    <row r="14" spans="2:32" ht="23.1" customHeight="1">
      <c r="B14" s="23" t="s">
        <v>41</v>
      </c>
      <c r="C14" s="49">
        <f>'Avg Week Najjeera-Kiwatule'!C14+'Avg Week Kiwatule-Najjeera'!C14</f>
        <v>153</v>
      </c>
      <c r="D14" s="49">
        <f>'Avg Week Najjeera-Kiwatule'!D14+'Avg Week Kiwatule-Najjeera'!D14</f>
        <v>23.285714285714285</v>
      </c>
      <c r="E14" s="49">
        <f>'Avg Week Najjeera-Kiwatule'!E14+'Avg Week Kiwatule-Najjeera'!E14</f>
        <v>9.1428571428571423</v>
      </c>
      <c r="F14" s="49">
        <f>'Avg Week Najjeera-Kiwatule'!F14+'Avg Week Kiwatule-Najjeera'!F14</f>
        <v>41.285714285714285</v>
      </c>
      <c r="G14" s="49">
        <f>'Avg Week Najjeera-Kiwatule'!G14+'Avg Week Kiwatule-Najjeera'!G14</f>
        <v>0.5714285714285714</v>
      </c>
      <c r="H14" s="49">
        <f>'Avg Week Najjeera-Kiwatule'!H14+'Avg Week Kiwatule-Najjeera'!H14</f>
        <v>0.14285714285714285</v>
      </c>
      <c r="I14" s="49">
        <f>'Avg Week Najjeera-Kiwatule'!I14+'Avg Week Kiwatule-Najjeera'!I14</f>
        <v>7.7142857142857135</v>
      </c>
      <c r="J14" s="49">
        <f>'Avg Week Najjeera-Kiwatule'!J14+'Avg Week Kiwatule-Najjeera'!J14</f>
        <v>0.71428571428571419</v>
      </c>
      <c r="K14" s="49">
        <f>'Avg Week Najjeera-Kiwatule'!K14+'Avg Week Kiwatule-Najjeera'!K14</f>
        <v>1.1428571428571428</v>
      </c>
      <c r="L14" s="49">
        <f>'Avg Week Najjeera-Kiwatule'!L14+'Avg Week Kiwatule-Najjeera'!L14</f>
        <v>0</v>
      </c>
      <c r="M14" s="49">
        <f>'Avg Week Najjeera-Kiwatule'!M14+'Avg Week Kiwatule-Najjeera'!M14</f>
        <v>150.57142857142858</v>
      </c>
      <c r="N14" s="49">
        <f>'Avg Week Najjeera-Kiwatule'!N14+'Avg Week Kiwatule-Najjeera'!N14</f>
        <v>0.14285714285714285</v>
      </c>
      <c r="O14" s="15">
        <f t="shared" si="0"/>
        <v>237.14285714285714</v>
      </c>
      <c r="P14" s="15">
        <f t="shared" si="1"/>
        <v>387.71428571428572</v>
      </c>
      <c r="R14" s="1" t="s">
        <v>10</v>
      </c>
      <c r="S14" s="17">
        <f t="shared" ref="S14:AF14" si="6">SUM(C26:C29)</f>
        <v>471.85714285714283</v>
      </c>
      <c r="T14" s="17">
        <f t="shared" si="6"/>
        <v>79</v>
      </c>
      <c r="U14" s="17">
        <f t="shared" si="6"/>
        <v>48.714285714285708</v>
      </c>
      <c r="V14" s="17">
        <f t="shared" si="6"/>
        <v>127</v>
      </c>
      <c r="W14" s="17">
        <f t="shared" si="6"/>
        <v>1.5714285714285714</v>
      </c>
      <c r="X14" s="17">
        <f t="shared" si="6"/>
        <v>0.5714285714285714</v>
      </c>
      <c r="Y14" s="17">
        <f t="shared" si="6"/>
        <v>43.857142857142861</v>
      </c>
      <c r="Z14" s="17">
        <f t="shared" si="6"/>
        <v>7.5714285714285712</v>
      </c>
      <c r="AA14" s="17">
        <f t="shared" si="6"/>
        <v>3.4285714285714284</v>
      </c>
      <c r="AB14" s="17">
        <f t="shared" si="6"/>
        <v>1.2857142857142856</v>
      </c>
      <c r="AC14" s="17">
        <f t="shared" si="6"/>
        <v>517</v>
      </c>
      <c r="AD14" s="17">
        <f t="shared" si="6"/>
        <v>0</v>
      </c>
      <c r="AE14" s="31">
        <f t="shared" si="6"/>
        <v>784.85714285714266</v>
      </c>
      <c r="AF14" s="31">
        <f t="shared" si="6"/>
        <v>1301.8571428571427</v>
      </c>
    </row>
    <row r="15" spans="2:32" ht="23.1" customHeight="1">
      <c r="B15" s="23" t="s">
        <v>42</v>
      </c>
      <c r="C15" s="49">
        <f>'Avg Week Najjeera-Kiwatule'!C15+'Avg Week Kiwatule-Najjeera'!C15</f>
        <v>152.71428571428572</v>
      </c>
      <c r="D15" s="49">
        <f>'Avg Week Najjeera-Kiwatule'!D15+'Avg Week Kiwatule-Najjeera'!D15</f>
        <v>16.428571428571431</v>
      </c>
      <c r="E15" s="49">
        <f>'Avg Week Najjeera-Kiwatule'!E15+'Avg Week Kiwatule-Najjeera'!E15</f>
        <v>9</v>
      </c>
      <c r="F15" s="49">
        <f>'Avg Week Najjeera-Kiwatule'!F15+'Avg Week Kiwatule-Najjeera'!F15</f>
        <v>39.285714285714285</v>
      </c>
      <c r="G15" s="49">
        <f>'Avg Week Najjeera-Kiwatule'!G15+'Avg Week Kiwatule-Najjeera'!G15</f>
        <v>0.42857142857142855</v>
      </c>
      <c r="H15" s="49">
        <f>'Avg Week Najjeera-Kiwatule'!H15+'Avg Week Kiwatule-Najjeera'!H15</f>
        <v>0.14285714285714285</v>
      </c>
      <c r="I15" s="49">
        <f>'Avg Week Najjeera-Kiwatule'!I15+'Avg Week Kiwatule-Najjeera'!I15</f>
        <v>5.7142857142857144</v>
      </c>
      <c r="J15" s="49">
        <f>'Avg Week Najjeera-Kiwatule'!J15+'Avg Week Kiwatule-Najjeera'!J15</f>
        <v>0.8571428571428571</v>
      </c>
      <c r="K15" s="49">
        <f>'Avg Week Najjeera-Kiwatule'!K15+'Avg Week Kiwatule-Najjeera'!K15</f>
        <v>0.14285714285714285</v>
      </c>
      <c r="L15" s="49">
        <f>'Avg Week Najjeera-Kiwatule'!L15+'Avg Week Kiwatule-Najjeera'!L15</f>
        <v>0</v>
      </c>
      <c r="M15" s="49">
        <f>'Avg Week Najjeera-Kiwatule'!M15+'Avg Week Kiwatule-Najjeera'!M15</f>
        <v>144.71428571428572</v>
      </c>
      <c r="N15" s="49">
        <f>'Avg Week Najjeera-Kiwatule'!N15+'Avg Week Kiwatule-Najjeera'!N15</f>
        <v>0</v>
      </c>
      <c r="O15" s="15">
        <f t="shared" si="0"/>
        <v>224.71428571428572</v>
      </c>
      <c r="P15" s="15">
        <f t="shared" si="1"/>
        <v>369.42857142857144</v>
      </c>
      <c r="R15" s="1" t="s">
        <v>11</v>
      </c>
      <c r="S15" s="17">
        <f t="shared" ref="S15:AF15" si="7">SUM(C30:C33)</f>
        <v>485.85714285714289</v>
      </c>
      <c r="T15" s="17">
        <f t="shared" si="7"/>
        <v>85.428571428571416</v>
      </c>
      <c r="U15" s="17">
        <f t="shared" si="7"/>
        <v>42.714285714285708</v>
      </c>
      <c r="V15" s="17">
        <f t="shared" si="7"/>
        <v>125.00000000000001</v>
      </c>
      <c r="W15" s="17">
        <f t="shared" si="7"/>
        <v>3</v>
      </c>
      <c r="X15" s="17">
        <f t="shared" si="7"/>
        <v>0.2857142857142857</v>
      </c>
      <c r="Y15" s="17">
        <f t="shared" si="7"/>
        <v>38.142857142857139</v>
      </c>
      <c r="Z15" s="17">
        <f t="shared" si="7"/>
        <v>6.7142857142857135</v>
      </c>
      <c r="AA15" s="17">
        <f t="shared" si="7"/>
        <v>4.1428571428571423</v>
      </c>
      <c r="AB15" s="17">
        <f t="shared" si="7"/>
        <v>0.2857142857142857</v>
      </c>
      <c r="AC15" s="17">
        <f t="shared" si="7"/>
        <v>505.85714285714289</v>
      </c>
      <c r="AD15" s="17">
        <f t="shared" si="7"/>
        <v>0</v>
      </c>
      <c r="AE15" s="31">
        <f t="shared" si="7"/>
        <v>791.57142857142856</v>
      </c>
      <c r="AF15" s="31">
        <f t="shared" si="7"/>
        <v>1297.4285714285716</v>
      </c>
    </row>
    <row r="16" spans="2:32" ht="23.1" customHeight="1">
      <c r="B16" s="23" t="s">
        <v>43</v>
      </c>
      <c r="C16" s="49">
        <f>'Avg Week Najjeera-Kiwatule'!C16+'Avg Week Kiwatule-Najjeera'!C16</f>
        <v>146</v>
      </c>
      <c r="D16" s="49">
        <f>'Avg Week Najjeera-Kiwatule'!D16+'Avg Week Kiwatule-Najjeera'!D16</f>
        <v>24.428571428571431</v>
      </c>
      <c r="E16" s="49">
        <f>'Avg Week Najjeera-Kiwatule'!E16+'Avg Week Kiwatule-Najjeera'!E16</f>
        <v>11.714285714285715</v>
      </c>
      <c r="F16" s="49">
        <f>'Avg Week Najjeera-Kiwatule'!F16+'Avg Week Kiwatule-Najjeera'!F16</f>
        <v>38.714285714285715</v>
      </c>
      <c r="G16" s="49">
        <f>'Avg Week Najjeera-Kiwatule'!G16+'Avg Week Kiwatule-Najjeera'!G16</f>
        <v>0.5714285714285714</v>
      </c>
      <c r="H16" s="49">
        <f>'Avg Week Najjeera-Kiwatule'!H16+'Avg Week Kiwatule-Najjeera'!H16</f>
        <v>0.14285714285714285</v>
      </c>
      <c r="I16" s="49">
        <f>'Avg Week Najjeera-Kiwatule'!I16+'Avg Week Kiwatule-Najjeera'!I16</f>
        <v>5.2857142857142856</v>
      </c>
      <c r="J16" s="49">
        <f>'Avg Week Najjeera-Kiwatule'!J16+'Avg Week Kiwatule-Najjeera'!J16</f>
        <v>1.5714285714285714</v>
      </c>
      <c r="K16" s="49">
        <f>'Avg Week Najjeera-Kiwatule'!K16+'Avg Week Kiwatule-Najjeera'!K16</f>
        <v>0.2857142857142857</v>
      </c>
      <c r="L16" s="49">
        <f>'Avg Week Najjeera-Kiwatule'!L16+'Avg Week Kiwatule-Najjeera'!L16</f>
        <v>0.42857142857142855</v>
      </c>
      <c r="M16" s="49">
        <f>'Avg Week Najjeera-Kiwatule'!M16+'Avg Week Kiwatule-Najjeera'!M16</f>
        <v>151</v>
      </c>
      <c r="N16" s="49">
        <f>'Avg Week Najjeera-Kiwatule'!N16+'Avg Week Kiwatule-Najjeera'!N16</f>
        <v>0</v>
      </c>
      <c r="O16" s="15">
        <f t="shared" si="0"/>
        <v>229.14285714285717</v>
      </c>
      <c r="P16" s="15">
        <f t="shared" si="1"/>
        <v>380.14285714285717</v>
      </c>
      <c r="R16" s="1" t="s">
        <v>12</v>
      </c>
      <c r="S16" s="17">
        <f t="shared" ref="S16:AF16" si="8">SUM(C34:C37)</f>
        <v>420.28571428571433</v>
      </c>
      <c r="T16" s="17">
        <f t="shared" si="8"/>
        <v>65.571428571428584</v>
      </c>
      <c r="U16" s="17">
        <f t="shared" si="8"/>
        <v>36.857142857142861</v>
      </c>
      <c r="V16" s="17">
        <f t="shared" si="8"/>
        <v>107.42857142857143</v>
      </c>
      <c r="W16" s="17">
        <f t="shared" si="8"/>
        <v>4.2857142857142847</v>
      </c>
      <c r="X16" s="17">
        <f t="shared" si="8"/>
        <v>1.1428571428571428</v>
      </c>
      <c r="Y16" s="17">
        <f t="shared" si="8"/>
        <v>37.857142857142861</v>
      </c>
      <c r="Z16" s="17">
        <f t="shared" si="8"/>
        <v>6.2857142857142847</v>
      </c>
      <c r="AA16" s="17">
        <f t="shared" si="8"/>
        <v>1.7142857142857144</v>
      </c>
      <c r="AB16" s="17">
        <f t="shared" si="8"/>
        <v>0.42857142857142855</v>
      </c>
      <c r="AC16" s="17">
        <f t="shared" si="8"/>
        <v>482.85714285714283</v>
      </c>
      <c r="AD16" s="17">
        <f t="shared" si="8"/>
        <v>0</v>
      </c>
      <c r="AE16" s="31">
        <f t="shared" si="8"/>
        <v>681.85714285714289</v>
      </c>
      <c r="AF16" s="31">
        <f t="shared" si="8"/>
        <v>1164.7142857142858</v>
      </c>
    </row>
    <row r="17" spans="2:32" ht="23.1" customHeight="1">
      <c r="B17" s="23" t="s">
        <v>44</v>
      </c>
      <c r="C17" s="49">
        <f>'Avg Week Najjeera-Kiwatule'!C17+'Avg Week Kiwatule-Najjeera'!C17</f>
        <v>140.14285714285714</v>
      </c>
      <c r="D17" s="49">
        <f>'Avg Week Najjeera-Kiwatule'!D17+'Avg Week Kiwatule-Najjeera'!D17</f>
        <v>23.571428571428573</v>
      </c>
      <c r="E17" s="49">
        <f>'Avg Week Najjeera-Kiwatule'!E17+'Avg Week Kiwatule-Najjeera'!E17</f>
        <v>11</v>
      </c>
      <c r="F17" s="49">
        <f>'Avg Week Najjeera-Kiwatule'!F17+'Avg Week Kiwatule-Najjeera'!F17</f>
        <v>37.714285714285715</v>
      </c>
      <c r="G17" s="49">
        <f>'Avg Week Najjeera-Kiwatule'!G17+'Avg Week Kiwatule-Najjeera'!G17</f>
        <v>0.2857142857142857</v>
      </c>
      <c r="H17" s="49">
        <f>'Avg Week Najjeera-Kiwatule'!H17+'Avg Week Kiwatule-Najjeera'!H17</f>
        <v>0</v>
      </c>
      <c r="I17" s="49">
        <f>'Avg Week Najjeera-Kiwatule'!I17+'Avg Week Kiwatule-Najjeera'!I17</f>
        <v>8.2857142857142847</v>
      </c>
      <c r="J17" s="49">
        <f>'Avg Week Najjeera-Kiwatule'!J17+'Avg Week Kiwatule-Najjeera'!J17</f>
        <v>0.8571428571428571</v>
      </c>
      <c r="K17" s="49">
        <f>'Avg Week Najjeera-Kiwatule'!K17+'Avg Week Kiwatule-Najjeera'!K17</f>
        <v>1</v>
      </c>
      <c r="L17" s="49">
        <f>'Avg Week Najjeera-Kiwatule'!L17+'Avg Week Kiwatule-Najjeera'!L17</f>
        <v>0.2857142857142857</v>
      </c>
      <c r="M17" s="49">
        <f>'Avg Week Najjeera-Kiwatule'!M17+'Avg Week Kiwatule-Najjeera'!M17</f>
        <v>147.85714285714286</v>
      </c>
      <c r="N17" s="49">
        <f>'Avg Week Najjeera-Kiwatule'!N17+'Avg Week Kiwatule-Najjeera'!N17</f>
        <v>0</v>
      </c>
      <c r="O17" s="15">
        <f t="shared" si="0"/>
        <v>223.14285714285714</v>
      </c>
      <c r="P17" s="15">
        <f t="shared" si="1"/>
        <v>371</v>
      </c>
      <c r="R17" s="1" t="s">
        <v>13</v>
      </c>
      <c r="S17" s="17">
        <f t="shared" ref="S17:AF17" si="9">SUM(C38:C41)</f>
        <v>423.71428571428572</v>
      </c>
      <c r="T17" s="17">
        <f t="shared" si="9"/>
        <v>72.428571428571416</v>
      </c>
      <c r="U17" s="17">
        <f t="shared" si="9"/>
        <v>37.285714285714292</v>
      </c>
      <c r="V17" s="17">
        <f t="shared" si="9"/>
        <v>100.14285714285715</v>
      </c>
      <c r="W17" s="17">
        <f t="shared" si="9"/>
        <v>2.7142857142857144</v>
      </c>
      <c r="X17" s="17">
        <f t="shared" si="9"/>
        <v>0.5714285714285714</v>
      </c>
      <c r="Y17" s="17">
        <f t="shared" si="9"/>
        <v>38.571428571428569</v>
      </c>
      <c r="Z17" s="17">
        <f t="shared" si="9"/>
        <v>5.1428571428571432</v>
      </c>
      <c r="AA17" s="17">
        <f t="shared" si="9"/>
        <v>1.4285714285714284</v>
      </c>
      <c r="AB17" s="17">
        <f t="shared" si="9"/>
        <v>0.99999999999999989</v>
      </c>
      <c r="AC17" s="17">
        <f t="shared" si="9"/>
        <v>453.42857142857144</v>
      </c>
      <c r="AD17" s="17">
        <f t="shared" si="9"/>
        <v>0</v>
      </c>
      <c r="AE17" s="31">
        <f t="shared" si="9"/>
        <v>682.99999999999989</v>
      </c>
      <c r="AF17" s="31">
        <f t="shared" si="9"/>
        <v>1136.4285714285713</v>
      </c>
    </row>
    <row r="18" spans="2:32" ht="23.1" customHeight="1">
      <c r="B18" s="23" t="s">
        <v>45</v>
      </c>
      <c r="C18" s="49">
        <f>'Avg Week Najjeera-Kiwatule'!C18+'Avg Week Kiwatule-Najjeera'!C18</f>
        <v>126</v>
      </c>
      <c r="D18" s="49">
        <f>'Avg Week Najjeera-Kiwatule'!D18+'Avg Week Kiwatule-Najjeera'!D18</f>
        <v>17.285714285714285</v>
      </c>
      <c r="E18" s="49">
        <f>'Avg Week Najjeera-Kiwatule'!E18+'Avg Week Kiwatule-Najjeera'!E18</f>
        <v>9.8571428571428577</v>
      </c>
      <c r="F18" s="49">
        <f>'Avg Week Najjeera-Kiwatule'!F18+'Avg Week Kiwatule-Najjeera'!F18</f>
        <v>26.428571428571431</v>
      </c>
      <c r="G18" s="49">
        <f>'Avg Week Najjeera-Kiwatule'!G18+'Avg Week Kiwatule-Najjeera'!G18</f>
        <v>0.2857142857142857</v>
      </c>
      <c r="H18" s="49">
        <f>'Avg Week Najjeera-Kiwatule'!H18+'Avg Week Kiwatule-Najjeera'!H18</f>
        <v>0</v>
      </c>
      <c r="I18" s="49">
        <f>'Avg Week Najjeera-Kiwatule'!I18+'Avg Week Kiwatule-Najjeera'!I18</f>
        <v>8.7142857142857153</v>
      </c>
      <c r="J18" s="49">
        <f>'Avg Week Najjeera-Kiwatule'!J18+'Avg Week Kiwatule-Najjeera'!J18</f>
        <v>1.2857142857142856</v>
      </c>
      <c r="K18" s="49">
        <f>'Avg Week Najjeera-Kiwatule'!K18+'Avg Week Kiwatule-Najjeera'!K18</f>
        <v>0.42857142857142855</v>
      </c>
      <c r="L18" s="49">
        <f>'Avg Week Najjeera-Kiwatule'!L18+'Avg Week Kiwatule-Najjeera'!L18</f>
        <v>0</v>
      </c>
      <c r="M18" s="49">
        <f>'Avg Week Najjeera-Kiwatule'!M18+'Avg Week Kiwatule-Najjeera'!M18</f>
        <v>142.28571428571428</v>
      </c>
      <c r="N18" s="49">
        <f>'Avg Week Najjeera-Kiwatule'!N18+'Avg Week Kiwatule-Najjeera'!N18</f>
        <v>0</v>
      </c>
      <c r="O18" s="15">
        <f t="shared" si="0"/>
        <v>190.28571428571425</v>
      </c>
      <c r="P18" s="15">
        <f t="shared" si="1"/>
        <v>332.57142857142856</v>
      </c>
      <c r="R18" s="1" t="s">
        <v>14</v>
      </c>
      <c r="S18" s="17">
        <f t="shared" ref="S18:AF18" si="10">SUM(C42:C45)</f>
        <v>480.42857142857139</v>
      </c>
      <c r="T18" s="17">
        <f t="shared" si="10"/>
        <v>69.571428571428584</v>
      </c>
      <c r="U18" s="17">
        <f t="shared" si="10"/>
        <v>39.571428571428569</v>
      </c>
      <c r="V18" s="17">
        <f t="shared" si="10"/>
        <v>100.85714285714286</v>
      </c>
      <c r="W18" s="17">
        <f t="shared" si="10"/>
        <v>2.8571428571428568</v>
      </c>
      <c r="X18" s="17">
        <f t="shared" si="10"/>
        <v>0.42857142857142855</v>
      </c>
      <c r="Y18" s="17">
        <f t="shared" si="10"/>
        <v>41.714285714285715</v>
      </c>
      <c r="Z18" s="17">
        <f t="shared" si="10"/>
        <v>6</v>
      </c>
      <c r="AA18" s="17">
        <f t="shared" si="10"/>
        <v>2.5714285714285712</v>
      </c>
      <c r="AB18" s="17">
        <f t="shared" si="10"/>
        <v>0.85714285714285698</v>
      </c>
      <c r="AC18" s="17">
        <f t="shared" si="10"/>
        <v>479.42857142857144</v>
      </c>
      <c r="AD18" s="17">
        <f t="shared" si="10"/>
        <v>0.2857142857142857</v>
      </c>
      <c r="AE18" s="31">
        <f t="shared" si="10"/>
        <v>745.14285714285711</v>
      </c>
      <c r="AF18" s="31">
        <f t="shared" si="10"/>
        <v>1224.5714285714287</v>
      </c>
    </row>
    <row r="19" spans="2:32" ht="23.1" customHeight="1">
      <c r="B19" s="23" t="s">
        <v>46</v>
      </c>
      <c r="C19" s="49">
        <f>'Avg Week Najjeera-Kiwatule'!C19+'Avg Week Kiwatule-Najjeera'!C19</f>
        <v>121.42857142857143</v>
      </c>
      <c r="D19" s="49">
        <f>'Avg Week Najjeera-Kiwatule'!D19+'Avg Week Kiwatule-Najjeera'!D19</f>
        <v>18.857142857142858</v>
      </c>
      <c r="E19" s="49">
        <f>'Avg Week Najjeera-Kiwatule'!E19+'Avg Week Kiwatule-Najjeera'!E19</f>
        <v>9</v>
      </c>
      <c r="F19" s="49">
        <f>'Avg Week Najjeera-Kiwatule'!F19+'Avg Week Kiwatule-Najjeera'!F19</f>
        <v>32.571428571428569</v>
      </c>
      <c r="G19" s="49">
        <f>'Avg Week Najjeera-Kiwatule'!G19+'Avg Week Kiwatule-Najjeera'!G19</f>
        <v>0.8571428571428571</v>
      </c>
      <c r="H19" s="49">
        <f>'Avg Week Najjeera-Kiwatule'!H19+'Avg Week Kiwatule-Najjeera'!H19</f>
        <v>0</v>
      </c>
      <c r="I19" s="49">
        <f>'Avg Week Najjeera-Kiwatule'!I19+'Avg Week Kiwatule-Najjeera'!I19</f>
        <v>10.285714285714286</v>
      </c>
      <c r="J19" s="49">
        <f>'Avg Week Najjeera-Kiwatule'!J19+'Avg Week Kiwatule-Najjeera'!J19</f>
        <v>0.8571428571428571</v>
      </c>
      <c r="K19" s="49">
        <f>'Avg Week Najjeera-Kiwatule'!K19+'Avg Week Kiwatule-Najjeera'!K19</f>
        <v>0.5714285714285714</v>
      </c>
      <c r="L19" s="49">
        <f>'Avg Week Najjeera-Kiwatule'!L19+'Avg Week Kiwatule-Najjeera'!L19</f>
        <v>0</v>
      </c>
      <c r="M19" s="49">
        <f>'Avg Week Najjeera-Kiwatule'!M19+'Avg Week Kiwatule-Najjeera'!M19</f>
        <v>155.42857142857142</v>
      </c>
      <c r="N19" s="49">
        <f>'Avg Week Najjeera-Kiwatule'!N19+'Avg Week Kiwatule-Najjeera'!N19</f>
        <v>0</v>
      </c>
      <c r="O19" s="15">
        <f t="shared" si="0"/>
        <v>194.42857142857142</v>
      </c>
      <c r="P19" s="15">
        <f t="shared" si="1"/>
        <v>349.85714285714283</v>
      </c>
      <c r="R19" s="1" t="s">
        <v>15</v>
      </c>
      <c r="S19" s="17">
        <f t="shared" ref="S19:AF19" si="11">SUM(C46:C49)</f>
        <v>584.42857142857133</v>
      </c>
      <c r="T19" s="17">
        <f t="shared" si="11"/>
        <v>91.142857142857139</v>
      </c>
      <c r="U19" s="17">
        <f t="shared" si="11"/>
        <v>44.285714285714278</v>
      </c>
      <c r="V19" s="17">
        <f t="shared" si="11"/>
        <v>93</v>
      </c>
      <c r="W19" s="17">
        <f t="shared" si="11"/>
        <v>2.1428571428571428</v>
      </c>
      <c r="X19" s="17">
        <f t="shared" si="11"/>
        <v>0.5714285714285714</v>
      </c>
      <c r="Y19" s="17">
        <f t="shared" si="11"/>
        <v>35.142857142857139</v>
      </c>
      <c r="Z19" s="17">
        <f t="shared" si="11"/>
        <v>5.7142857142857144</v>
      </c>
      <c r="AA19" s="17">
        <f t="shared" si="11"/>
        <v>3.5714285714285712</v>
      </c>
      <c r="AB19" s="17">
        <f t="shared" si="11"/>
        <v>0.5714285714285714</v>
      </c>
      <c r="AC19" s="17">
        <f t="shared" si="11"/>
        <v>471.57142857142861</v>
      </c>
      <c r="AD19" s="17">
        <f t="shared" si="11"/>
        <v>0</v>
      </c>
      <c r="AE19" s="31">
        <f t="shared" si="11"/>
        <v>860.57142857142856</v>
      </c>
      <c r="AF19" s="31">
        <f t="shared" si="11"/>
        <v>1332.1428571428573</v>
      </c>
    </row>
    <row r="20" spans="2:32" ht="23.1" customHeight="1">
      <c r="B20" s="23" t="s">
        <v>47</v>
      </c>
      <c r="C20" s="49">
        <f>'Avg Week Najjeera-Kiwatule'!C20+'Avg Week Kiwatule-Najjeera'!C20</f>
        <v>128</v>
      </c>
      <c r="D20" s="49">
        <f>'Avg Week Najjeera-Kiwatule'!D20+'Avg Week Kiwatule-Najjeera'!D20</f>
        <v>18.571428571428573</v>
      </c>
      <c r="E20" s="49">
        <f>'Avg Week Najjeera-Kiwatule'!E20+'Avg Week Kiwatule-Najjeera'!E20</f>
        <v>12.142857142857142</v>
      </c>
      <c r="F20" s="49">
        <f>'Avg Week Najjeera-Kiwatule'!F20+'Avg Week Kiwatule-Najjeera'!F20</f>
        <v>32.142857142857146</v>
      </c>
      <c r="G20" s="49">
        <f>'Avg Week Najjeera-Kiwatule'!G20+'Avg Week Kiwatule-Najjeera'!G20</f>
        <v>0.2857142857142857</v>
      </c>
      <c r="H20" s="49">
        <f>'Avg Week Najjeera-Kiwatule'!H20+'Avg Week Kiwatule-Najjeera'!H20</f>
        <v>0</v>
      </c>
      <c r="I20" s="49">
        <f>'Avg Week Najjeera-Kiwatule'!I20+'Avg Week Kiwatule-Najjeera'!I20</f>
        <v>8.2857142857142865</v>
      </c>
      <c r="J20" s="49">
        <f>'Avg Week Najjeera-Kiwatule'!J20+'Avg Week Kiwatule-Najjeera'!J20</f>
        <v>0.8571428571428571</v>
      </c>
      <c r="K20" s="49">
        <f>'Avg Week Najjeera-Kiwatule'!K20+'Avg Week Kiwatule-Najjeera'!K20</f>
        <v>0.42857142857142855</v>
      </c>
      <c r="L20" s="49">
        <f>'Avg Week Najjeera-Kiwatule'!L20+'Avg Week Kiwatule-Najjeera'!L20</f>
        <v>0.14285714285714285</v>
      </c>
      <c r="M20" s="49">
        <f>'Avg Week Najjeera-Kiwatule'!M20+'Avg Week Kiwatule-Najjeera'!M20</f>
        <v>155.42857142857142</v>
      </c>
      <c r="N20" s="49">
        <f>'Avg Week Najjeera-Kiwatule'!N20+'Avg Week Kiwatule-Najjeera'!N20</f>
        <v>0</v>
      </c>
      <c r="O20" s="15">
        <f t="shared" si="0"/>
        <v>200.85714285714283</v>
      </c>
      <c r="P20" s="15">
        <f t="shared" si="1"/>
        <v>356.28571428571422</v>
      </c>
      <c r="R20" s="1" t="s">
        <v>16</v>
      </c>
      <c r="S20" s="17">
        <f t="shared" ref="S20:AF20" si="12">SUM(C50:C53)</f>
        <v>623.71428571428578</v>
      </c>
      <c r="T20" s="17">
        <f t="shared" si="12"/>
        <v>99</v>
      </c>
      <c r="U20" s="17">
        <f t="shared" si="12"/>
        <v>52.571428571428569</v>
      </c>
      <c r="V20" s="17">
        <f t="shared" si="12"/>
        <v>106</v>
      </c>
      <c r="W20" s="17">
        <f t="shared" si="12"/>
        <v>6.7142857142857144</v>
      </c>
      <c r="X20" s="17">
        <f t="shared" si="12"/>
        <v>0.5714285714285714</v>
      </c>
      <c r="Y20" s="17">
        <f t="shared" si="12"/>
        <v>34.142857142857139</v>
      </c>
      <c r="Z20" s="17">
        <f t="shared" si="12"/>
        <v>4.5714285714285712</v>
      </c>
      <c r="AA20" s="17">
        <f t="shared" si="12"/>
        <v>2.4285714285714284</v>
      </c>
      <c r="AB20" s="17">
        <f t="shared" si="12"/>
        <v>0.42857142857142855</v>
      </c>
      <c r="AC20" s="17">
        <f t="shared" si="12"/>
        <v>614.71428571428567</v>
      </c>
      <c r="AD20" s="17">
        <f t="shared" si="12"/>
        <v>0</v>
      </c>
      <c r="AE20" s="31">
        <f t="shared" si="12"/>
        <v>930.14285714285722</v>
      </c>
      <c r="AF20" s="31">
        <f t="shared" si="12"/>
        <v>1544.8571428571429</v>
      </c>
    </row>
    <row r="21" spans="2:32" ht="23.1" customHeight="1">
      <c r="B21" s="23" t="s">
        <v>48</v>
      </c>
      <c r="C21" s="49">
        <f>'Avg Week Najjeera-Kiwatule'!C21+'Avg Week Kiwatule-Najjeera'!C21</f>
        <v>116.14285714285714</v>
      </c>
      <c r="D21" s="49">
        <f>'Avg Week Najjeera-Kiwatule'!D21+'Avg Week Kiwatule-Najjeera'!D21</f>
        <v>21.571428571428573</v>
      </c>
      <c r="E21" s="49">
        <f>'Avg Week Najjeera-Kiwatule'!E21+'Avg Week Kiwatule-Najjeera'!E21</f>
        <v>8.8571428571428577</v>
      </c>
      <c r="F21" s="49">
        <f>'Avg Week Najjeera-Kiwatule'!F21+'Avg Week Kiwatule-Najjeera'!F21</f>
        <v>32.285714285714285</v>
      </c>
      <c r="G21" s="49">
        <f>'Avg Week Najjeera-Kiwatule'!G21+'Avg Week Kiwatule-Najjeera'!G21</f>
        <v>0.8571428571428571</v>
      </c>
      <c r="H21" s="49">
        <f>'Avg Week Najjeera-Kiwatule'!H21+'Avg Week Kiwatule-Najjeera'!H21</f>
        <v>0</v>
      </c>
      <c r="I21" s="49">
        <f>'Avg Week Najjeera-Kiwatule'!I21+'Avg Week Kiwatule-Najjeera'!I21</f>
        <v>8.4285714285714288</v>
      </c>
      <c r="J21" s="49">
        <f>'Avg Week Najjeera-Kiwatule'!J21+'Avg Week Kiwatule-Najjeera'!J21</f>
        <v>0.5714285714285714</v>
      </c>
      <c r="K21" s="49">
        <f>'Avg Week Najjeera-Kiwatule'!K21+'Avg Week Kiwatule-Najjeera'!K21</f>
        <v>0.14285714285714285</v>
      </c>
      <c r="L21" s="49">
        <f>'Avg Week Najjeera-Kiwatule'!L21+'Avg Week Kiwatule-Najjeera'!L21</f>
        <v>0.2857142857142857</v>
      </c>
      <c r="M21" s="49">
        <f>'Avg Week Najjeera-Kiwatule'!M21+'Avg Week Kiwatule-Najjeera'!M21</f>
        <v>149.42857142857142</v>
      </c>
      <c r="N21" s="49">
        <f>'Avg Week Najjeera-Kiwatule'!N21+'Avg Week Kiwatule-Najjeera'!N21</f>
        <v>0</v>
      </c>
      <c r="O21" s="15">
        <f t="shared" si="0"/>
        <v>189.14285714285714</v>
      </c>
      <c r="P21" s="15">
        <f t="shared" si="1"/>
        <v>338.57142857142856</v>
      </c>
      <c r="R21" s="36" t="s">
        <v>20</v>
      </c>
      <c r="S21" s="34">
        <f t="shared" ref="S21:AF21" si="13">SUM(C54:C57)</f>
        <v>646.42857142857144</v>
      </c>
      <c r="T21" s="17">
        <f t="shared" si="13"/>
        <v>99</v>
      </c>
      <c r="U21" s="17">
        <f t="shared" si="13"/>
        <v>46.428571428571416</v>
      </c>
      <c r="V21" s="17">
        <f t="shared" si="13"/>
        <v>114</v>
      </c>
      <c r="W21" s="17">
        <f t="shared" si="13"/>
        <v>5.5714285714285721</v>
      </c>
      <c r="X21" s="17">
        <f t="shared" si="13"/>
        <v>1.4285714285714286</v>
      </c>
      <c r="Y21" s="17">
        <f t="shared" si="13"/>
        <v>34.428571428571431</v>
      </c>
      <c r="Z21" s="17">
        <f t="shared" si="13"/>
        <v>3.4285714285714284</v>
      </c>
      <c r="AA21" s="17">
        <f t="shared" si="13"/>
        <v>2</v>
      </c>
      <c r="AB21" s="17">
        <f t="shared" si="13"/>
        <v>0.5714285714285714</v>
      </c>
      <c r="AC21" s="17">
        <f t="shared" si="13"/>
        <v>662.85714285714289</v>
      </c>
      <c r="AD21" s="17">
        <f t="shared" si="13"/>
        <v>0</v>
      </c>
      <c r="AE21" s="31">
        <f t="shared" si="13"/>
        <v>953.28571428571433</v>
      </c>
      <c r="AF21" s="31">
        <f t="shared" si="13"/>
        <v>1616.1428571428573</v>
      </c>
    </row>
    <row r="22" spans="2:32" ht="23.1" customHeight="1">
      <c r="B22" s="23" t="s">
        <v>49</v>
      </c>
      <c r="C22" s="49">
        <f>'Avg Week Najjeera-Kiwatule'!C22+'Avg Week Kiwatule-Najjeera'!C22</f>
        <v>119.85714285714286</v>
      </c>
      <c r="D22" s="49">
        <f>'Avg Week Najjeera-Kiwatule'!D22+'Avg Week Kiwatule-Najjeera'!D22</f>
        <v>18.142857142857142</v>
      </c>
      <c r="E22" s="49">
        <f>'Avg Week Najjeera-Kiwatule'!E22+'Avg Week Kiwatule-Najjeera'!E22</f>
        <v>12.571428571428573</v>
      </c>
      <c r="F22" s="49">
        <f>'Avg Week Najjeera-Kiwatule'!F22+'Avg Week Kiwatule-Najjeera'!F22</f>
        <v>28.571428571428569</v>
      </c>
      <c r="G22" s="49">
        <f>'Avg Week Najjeera-Kiwatule'!G22+'Avg Week Kiwatule-Najjeera'!G22</f>
        <v>0.42857142857142855</v>
      </c>
      <c r="H22" s="49">
        <f>'Avg Week Najjeera-Kiwatule'!H22+'Avg Week Kiwatule-Najjeera'!H22</f>
        <v>0</v>
      </c>
      <c r="I22" s="49">
        <f>'Avg Week Najjeera-Kiwatule'!I22+'Avg Week Kiwatule-Najjeera'!I22</f>
        <v>9</v>
      </c>
      <c r="J22" s="49">
        <f>'Avg Week Najjeera-Kiwatule'!J22+'Avg Week Kiwatule-Najjeera'!J22</f>
        <v>1.5714285714285714</v>
      </c>
      <c r="K22" s="49">
        <f>'Avg Week Najjeera-Kiwatule'!K22+'Avg Week Kiwatule-Najjeera'!K22</f>
        <v>0.42857142857142855</v>
      </c>
      <c r="L22" s="49">
        <f>'Avg Week Najjeera-Kiwatule'!L22+'Avg Week Kiwatule-Najjeera'!L22</f>
        <v>0.14285714285714285</v>
      </c>
      <c r="M22" s="49">
        <f>'Avg Week Najjeera-Kiwatule'!M22+'Avg Week Kiwatule-Najjeera'!M22</f>
        <v>123.42857142857142</v>
      </c>
      <c r="N22" s="49">
        <f>'Avg Week Najjeera-Kiwatule'!N22+'Avg Week Kiwatule-Najjeera'!N22</f>
        <v>0</v>
      </c>
      <c r="O22" s="15">
        <f t="shared" si="0"/>
        <v>190.71428571428572</v>
      </c>
      <c r="P22" s="15">
        <f t="shared" si="1"/>
        <v>314.14285714285711</v>
      </c>
      <c r="R22" s="1" t="s">
        <v>146</v>
      </c>
      <c r="S22" s="34">
        <f>SUM(C58:C61)</f>
        <v>594.5</v>
      </c>
      <c r="T22" s="34">
        <f t="shared" ref="T22:AF22" si="14">SUM(D58:D61)</f>
        <v>130</v>
      </c>
      <c r="U22" s="34">
        <f t="shared" si="14"/>
        <v>39</v>
      </c>
      <c r="V22" s="34">
        <f t="shared" si="14"/>
        <v>121</v>
      </c>
      <c r="W22" s="34">
        <f t="shared" si="14"/>
        <v>1.5</v>
      </c>
      <c r="X22" s="34">
        <f t="shared" si="14"/>
        <v>0</v>
      </c>
      <c r="Y22" s="34">
        <f t="shared" si="14"/>
        <v>20</v>
      </c>
      <c r="Z22" s="34">
        <f t="shared" si="14"/>
        <v>2</v>
      </c>
      <c r="AA22" s="34">
        <f t="shared" si="14"/>
        <v>0</v>
      </c>
      <c r="AB22" s="34">
        <f t="shared" si="14"/>
        <v>0</v>
      </c>
      <c r="AC22" s="34">
        <f t="shared" si="14"/>
        <v>790.5</v>
      </c>
      <c r="AD22" s="34">
        <f t="shared" si="14"/>
        <v>0</v>
      </c>
      <c r="AE22" s="51">
        <f t="shared" si="14"/>
        <v>908</v>
      </c>
      <c r="AF22" s="51">
        <f t="shared" si="14"/>
        <v>1698.5</v>
      </c>
    </row>
    <row r="23" spans="2:32" ht="23.1" customHeight="1">
      <c r="B23" s="23" t="s">
        <v>50</v>
      </c>
      <c r="C23" s="49">
        <f>'Avg Week Najjeera-Kiwatule'!C23+'Avg Week Kiwatule-Najjeera'!C23</f>
        <v>129</v>
      </c>
      <c r="D23" s="49">
        <f>'Avg Week Najjeera-Kiwatule'!D23+'Avg Week Kiwatule-Najjeera'!D23</f>
        <v>22.857142857142858</v>
      </c>
      <c r="E23" s="49">
        <f>'Avg Week Najjeera-Kiwatule'!E23+'Avg Week Kiwatule-Najjeera'!E23</f>
        <v>9.8571428571428577</v>
      </c>
      <c r="F23" s="49">
        <f>'Avg Week Najjeera-Kiwatule'!F23+'Avg Week Kiwatule-Najjeera'!F23</f>
        <v>32.571428571428569</v>
      </c>
      <c r="G23" s="49">
        <f>'Avg Week Najjeera-Kiwatule'!G23+'Avg Week Kiwatule-Najjeera'!G23</f>
        <v>0.2857142857142857</v>
      </c>
      <c r="H23" s="49">
        <f>'Avg Week Najjeera-Kiwatule'!H23+'Avg Week Kiwatule-Najjeera'!H23</f>
        <v>0.14285714285714285</v>
      </c>
      <c r="I23" s="49">
        <f>'Avg Week Najjeera-Kiwatule'!I23+'Avg Week Kiwatule-Najjeera'!I23</f>
        <v>10.142857142857142</v>
      </c>
      <c r="J23" s="49">
        <f>'Avg Week Najjeera-Kiwatule'!J23+'Avg Week Kiwatule-Najjeera'!J23</f>
        <v>2</v>
      </c>
      <c r="K23" s="49">
        <f>'Avg Week Najjeera-Kiwatule'!K23+'Avg Week Kiwatule-Najjeera'!K23</f>
        <v>0.2857142857142857</v>
      </c>
      <c r="L23" s="49">
        <f>'Avg Week Najjeera-Kiwatule'!L23+'Avg Week Kiwatule-Najjeera'!L23</f>
        <v>0.2857142857142857</v>
      </c>
      <c r="M23" s="49">
        <f>'Avg Week Najjeera-Kiwatule'!M23+'Avg Week Kiwatule-Najjeera'!M23</f>
        <v>131</v>
      </c>
      <c r="N23" s="49">
        <f>'Avg Week Najjeera-Kiwatule'!N23+'Avg Week Kiwatule-Najjeera'!N23</f>
        <v>0</v>
      </c>
      <c r="O23" s="15">
        <f t="shared" si="0"/>
        <v>207.42857142857139</v>
      </c>
      <c r="P23" s="15">
        <f t="shared" si="1"/>
        <v>338.42857142857139</v>
      </c>
      <c r="R23" s="1" t="s">
        <v>147</v>
      </c>
      <c r="S23" s="34">
        <f>SUM(C62:C65)</f>
        <v>598.5</v>
      </c>
      <c r="T23" s="34">
        <f t="shared" ref="T23:AF23" si="15">SUM(D62:D65)</f>
        <v>111.5</v>
      </c>
      <c r="U23" s="34">
        <f t="shared" si="15"/>
        <v>35.5</v>
      </c>
      <c r="V23" s="34">
        <f t="shared" si="15"/>
        <v>100.5</v>
      </c>
      <c r="W23" s="34">
        <f t="shared" si="15"/>
        <v>0.5</v>
      </c>
      <c r="X23" s="34">
        <f t="shared" si="15"/>
        <v>0</v>
      </c>
      <c r="Y23" s="34">
        <f t="shared" si="15"/>
        <v>21</v>
      </c>
      <c r="Z23" s="34">
        <f t="shared" si="15"/>
        <v>2.5</v>
      </c>
      <c r="AA23" s="34">
        <f t="shared" si="15"/>
        <v>0.5</v>
      </c>
      <c r="AB23" s="34">
        <f t="shared" si="15"/>
        <v>0.5</v>
      </c>
      <c r="AC23" s="34">
        <f t="shared" si="15"/>
        <v>706.5</v>
      </c>
      <c r="AD23" s="34">
        <f t="shared" si="15"/>
        <v>0</v>
      </c>
      <c r="AE23" s="51">
        <f t="shared" si="15"/>
        <v>871</v>
      </c>
      <c r="AF23" s="51">
        <f t="shared" si="15"/>
        <v>1577.5</v>
      </c>
    </row>
    <row r="24" spans="2:32" ht="23.1" customHeight="1">
      <c r="B24" s="23" t="s">
        <v>51</v>
      </c>
      <c r="C24" s="49">
        <f>'Avg Week Najjeera-Kiwatule'!C24+'Avg Week Kiwatule-Najjeera'!C24</f>
        <v>121.85714285714286</v>
      </c>
      <c r="D24" s="49">
        <f>'Avg Week Najjeera-Kiwatule'!D24+'Avg Week Kiwatule-Najjeera'!D24</f>
        <v>25.857142857142854</v>
      </c>
      <c r="E24" s="49">
        <f>'Avg Week Najjeera-Kiwatule'!E24+'Avg Week Kiwatule-Najjeera'!E24</f>
        <v>14.857142857142858</v>
      </c>
      <c r="F24" s="49">
        <f>'Avg Week Najjeera-Kiwatule'!F24+'Avg Week Kiwatule-Najjeera'!F24</f>
        <v>31.142857142857146</v>
      </c>
      <c r="G24" s="49">
        <f>'Avg Week Najjeera-Kiwatule'!G24+'Avg Week Kiwatule-Najjeera'!G24</f>
        <v>0.8571428571428571</v>
      </c>
      <c r="H24" s="49">
        <f>'Avg Week Najjeera-Kiwatule'!H24+'Avg Week Kiwatule-Najjeera'!H24</f>
        <v>0.14285714285714285</v>
      </c>
      <c r="I24" s="49">
        <f>'Avg Week Najjeera-Kiwatule'!I24+'Avg Week Kiwatule-Najjeera'!I24</f>
        <v>8.5714285714285712</v>
      </c>
      <c r="J24" s="49">
        <f>'Avg Week Najjeera-Kiwatule'!J24+'Avg Week Kiwatule-Najjeera'!J24</f>
        <v>2</v>
      </c>
      <c r="K24" s="49">
        <f>'Avg Week Najjeera-Kiwatule'!K24+'Avg Week Kiwatule-Najjeera'!K24</f>
        <v>0.5714285714285714</v>
      </c>
      <c r="L24" s="49">
        <f>'Avg Week Najjeera-Kiwatule'!L24+'Avg Week Kiwatule-Najjeera'!L24</f>
        <v>0.14285714285714285</v>
      </c>
      <c r="M24" s="49">
        <f>'Avg Week Najjeera-Kiwatule'!M24+'Avg Week Kiwatule-Najjeera'!M24</f>
        <v>146.57142857142856</v>
      </c>
      <c r="N24" s="49">
        <f>'Avg Week Najjeera-Kiwatule'!N24+'Avg Week Kiwatule-Najjeera'!N24</f>
        <v>0</v>
      </c>
      <c r="O24" s="15">
        <f t="shared" si="0"/>
        <v>206.00000000000003</v>
      </c>
      <c r="P24" s="15">
        <f t="shared" si="1"/>
        <v>352.57142857142856</v>
      </c>
      <c r="R24" s="1" t="s">
        <v>148</v>
      </c>
      <c r="S24" s="34">
        <f>SUM(C66:C69)</f>
        <v>692</v>
      </c>
      <c r="T24" s="34">
        <f t="shared" ref="T24:AF24" si="16">SUM(D66:D69)</f>
        <v>111</v>
      </c>
      <c r="U24" s="34">
        <f t="shared" si="16"/>
        <v>32.5</v>
      </c>
      <c r="V24" s="34">
        <f t="shared" si="16"/>
        <v>88</v>
      </c>
      <c r="W24" s="34">
        <f t="shared" si="16"/>
        <v>0.5</v>
      </c>
      <c r="X24" s="34">
        <f t="shared" si="16"/>
        <v>0</v>
      </c>
      <c r="Y24" s="34">
        <f t="shared" si="16"/>
        <v>20.5</v>
      </c>
      <c r="Z24" s="34">
        <f t="shared" si="16"/>
        <v>1.5</v>
      </c>
      <c r="AA24" s="34">
        <f t="shared" si="16"/>
        <v>0.5</v>
      </c>
      <c r="AB24" s="34">
        <f t="shared" si="16"/>
        <v>0</v>
      </c>
      <c r="AC24" s="34">
        <f t="shared" si="16"/>
        <v>547</v>
      </c>
      <c r="AD24" s="34">
        <f t="shared" si="16"/>
        <v>0</v>
      </c>
      <c r="AE24" s="51">
        <f t="shared" si="16"/>
        <v>946.5</v>
      </c>
      <c r="AF24" s="51">
        <f t="shared" si="16"/>
        <v>1493.5</v>
      </c>
    </row>
    <row r="25" spans="2:32" ht="23.1" customHeight="1">
      <c r="B25" s="23" t="s">
        <v>52</v>
      </c>
      <c r="C25" s="49">
        <f>'Avg Week Najjeera-Kiwatule'!C25+'Avg Week Kiwatule-Najjeera'!C25</f>
        <v>113.28571428571429</v>
      </c>
      <c r="D25" s="49">
        <f>'Avg Week Najjeera-Kiwatule'!D25+'Avg Week Kiwatule-Najjeera'!D25</f>
        <v>18.428571428571431</v>
      </c>
      <c r="E25" s="49">
        <f>'Avg Week Najjeera-Kiwatule'!E25+'Avg Week Kiwatule-Najjeera'!E25</f>
        <v>10.428571428571429</v>
      </c>
      <c r="F25" s="49">
        <f>'Avg Week Najjeera-Kiwatule'!F25+'Avg Week Kiwatule-Najjeera'!F25</f>
        <v>29.428571428571431</v>
      </c>
      <c r="G25" s="49">
        <f>'Avg Week Najjeera-Kiwatule'!G25+'Avg Week Kiwatule-Najjeera'!G25</f>
        <v>0.71428571428571419</v>
      </c>
      <c r="H25" s="49">
        <f>'Avg Week Najjeera-Kiwatule'!H25+'Avg Week Kiwatule-Najjeera'!H25</f>
        <v>0.14285714285714285</v>
      </c>
      <c r="I25" s="49">
        <f>'Avg Week Najjeera-Kiwatule'!I25+'Avg Week Kiwatule-Najjeera'!I25</f>
        <v>9.1428571428571423</v>
      </c>
      <c r="J25" s="49">
        <f>'Avg Week Najjeera-Kiwatule'!J25+'Avg Week Kiwatule-Najjeera'!J25</f>
        <v>2.2857142857142856</v>
      </c>
      <c r="K25" s="49">
        <f>'Avg Week Najjeera-Kiwatule'!K25+'Avg Week Kiwatule-Najjeera'!K25</f>
        <v>0.2857142857142857</v>
      </c>
      <c r="L25" s="49">
        <f>'Avg Week Najjeera-Kiwatule'!L25+'Avg Week Kiwatule-Najjeera'!L25</f>
        <v>0.14285714285714285</v>
      </c>
      <c r="M25" s="49">
        <f>'Avg Week Najjeera-Kiwatule'!M25+'Avg Week Kiwatule-Najjeera'!M25</f>
        <v>144.14285714285714</v>
      </c>
      <c r="N25" s="49">
        <f>'Avg Week Najjeera-Kiwatule'!N25+'Avg Week Kiwatule-Najjeera'!N25</f>
        <v>0</v>
      </c>
      <c r="O25" s="15">
        <f t="shared" si="0"/>
        <v>184.28571428571425</v>
      </c>
      <c r="P25" s="15">
        <f t="shared" si="1"/>
        <v>328.42857142857139</v>
      </c>
      <c r="R25" s="1" t="s">
        <v>149</v>
      </c>
      <c r="S25" s="34">
        <f>SUM(C70:C73)</f>
        <v>664</v>
      </c>
      <c r="T25" s="34">
        <f t="shared" ref="T25:AF25" si="17">SUM(D70:D73)</f>
        <v>121.5</v>
      </c>
      <c r="U25" s="34">
        <f t="shared" si="17"/>
        <v>36.5</v>
      </c>
      <c r="V25" s="34">
        <f t="shared" si="17"/>
        <v>82.5</v>
      </c>
      <c r="W25" s="34">
        <f t="shared" si="17"/>
        <v>0</v>
      </c>
      <c r="X25" s="34">
        <f t="shared" si="17"/>
        <v>0</v>
      </c>
      <c r="Y25" s="34">
        <f t="shared" si="17"/>
        <v>14</v>
      </c>
      <c r="Z25" s="34">
        <f t="shared" si="17"/>
        <v>0.5</v>
      </c>
      <c r="AA25" s="34">
        <f t="shared" si="17"/>
        <v>0</v>
      </c>
      <c r="AB25" s="34">
        <f t="shared" si="17"/>
        <v>0</v>
      </c>
      <c r="AC25" s="34">
        <f t="shared" si="17"/>
        <v>535.5</v>
      </c>
      <c r="AD25" s="34">
        <f t="shared" si="17"/>
        <v>0.5</v>
      </c>
      <c r="AE25" s="51">
        <f t="shared" si="17"/>
        <v>919.5</v>
      </c>
      <c r="AF25" s="51">
        <f t="shared" si="17"/>
        <v>1455</v>
      </c>
    </row>
    <row r="26" spans="2:32" ht="23.1" customHeight="1">
      <c r="B26" s="23" t="s">
        <v>53</v>
      </c>
      <c r="C26" s="49">
        <f>'Avg Week Najjeera-Kiwatule'!C26+'Avg Week Kiwatule-Najjeera'!C26</f>
        <v>121.42857142857143</v>
      </c>
      <c r="D26" s="49">
        <f>'Avg Week Najjeera-Kiwatule'!D26+'Avg Week Kiwatule-Najjeera'!D26</f>
        <v>21.857142857142858</v>
      </c>
      <c r="E26" s="49">
        <f>'Avg Week Najjeera-Kiwatule'!E26+'Avg Week Kiwatule-Najjeera'!E26</f>
        <v>12.714285714285714</v>
      </c>
      <c r="F26" s="49">
        <f>'Avg Week Najjeera-Kiwatule'!F26+'Avg Week Kiwatule-Najjeera'!F26</f>
        <v>30.714285714285715</v>
      </c>
      <c r="G26" s="49">
        <f>'Avg Week Najjeera-Kiwatule'!G26+'Avg Week Kiwatule-Najjeera'!G26</f>
        <v>0.7142857142857143</v>
      </c>
      <c r="H26" s="49">
        <f>'Avg Week Najjeera-Kiwatule'!H26+'Avg Week Kiwatule-Najjeera'!H26</f>
        <v>0</v>
      </c>
      <c r="I26" s="49">
        <f>'Avg Week Najjeera-Kiwatule'!I26+'Avg Week Kiwatule-Najjeera'!I26</f>
        <v>11.428571428571429</v>
      </c>
      <c r="J26" s="49">
        <f>'Avg Week Najjeera-Kiwatule'!J26+'Avg Week Kiwatule-Najjeera'!J26</f>
        <v>1.4285714285714286</v>
      </c>
      <c r="K26" s="49">
        <f>'Avg Week Najjeera-Kiwatule'!K26+'Avg Week Kiwatule-Najjeera'!K26</f>
        <v>0.8571428571428571</v>
      </c>
      <c r="L26" s="49">
        <f>'Avg Week Najjeera-Kiwatule'!L26+'Avg Week Kiwatule-Najjeera'!L26</f>
        <v>0.2857142857142857</v>
      </c>
      <c r="M26" s="49">
        <f>'Avg Week Najjeera-Kiwatule'!M26+'Avg Week Kiwatule-Najjeera'!M26</f>
        <v>127.71428571428571</v>
      </c>
      <c r="N26" s="49">
        <f>'Avg Week Najjeera-Kiwatule'!N26+'Avg Week Kiwatule-Najjeera'!N26</f>
        <v>0</v>
      </c>
      <c r="O26" s="15">
        <f t="shared" si="0"/>
        <v>201.42857142857142</v>
      </c>
      <c r="P26" s="15">
        <f t="shared" si="1"/>
        <v>329.14285714285711</v>
      </c>
      <c r="R26" s="1" t="s">
        <v>150</v>
      </c>
      <c r="S26" s="34">
        <f>SUM(C74:C77)</f>
        <v>560.5</v>
      </c>
      <c r="T26" s="34">
        <f t="shared" ref="T26:AF26" si="18">SUM(D74:D77)</f>
        <v>106.5</v>
      </c>
      <c r="U26" s="34">
        <f t="shared" si="18"/>
        <v>30</v>
      </c>
      <c r="V26" s="34">
        <f t="shared" si="18"/>
        <v>43.5</v>
      </c>
      <c r="W26" s="34">
        <f t="shared" si="18"/>
        <v>2</v>
      </c>
      <c r="X26" s="34">
        <f t="shared" si="18"/>
        <v>1</v>
      </c>
      <c r="Y26" s="34">
        <f t="shared" si="18"/>
        <v>10.5</v>
      </c>
      <c r="Z26" s="34">
        <f t="shared" si="18"/>
        <v>1.5</v>
      </c>
      <c r="AA26" s="34">
        <f t="shared" si="18"/>
        <v>1</v>
      </c>
      <c r="AB26" s="34">
        <f t="shared" si="18"/>
        <v>0</v>
      </c>
      <c r="AC26" s="34">
        <f t="shared" si="18"/>
        <v>427</v>
      </c>
      <c r="AD26" s="34">
        <f t="shared" si="18"/>
        <v>0.5</v>
      </c>
      <c r="AE26" s="51">
        <f t="shared" si="18"/>
        <v>757</v>
      </c>
      <c r="AF26" s="51">
        <f t="shared" si="18"/>
        <v>1184</v>
      </c>
    </row>
    <row r="27" spans="2:32" ht="23.1" customHeight="1">
      <c r="B27" s="23" t="s">
        <v>54</v>
      </c>
      <c r="C27" s="49">
        <f>'Avg Week Najjeera-Kiwatule'!C27+'Avg Week Kiwatule-Najjeera'!C27</f>
        <v>124.85714285714286</v>
      </c>
      <c r="D27" s="49">
        <f>'Avg Week Najjeera-Kiwatule'!D27+'Avg Week Kiwatule-Najjeera'!D27</f>
        <v>17.142857142857142</v>
      </c>
      <c r="E27" s="49">
        <f>'Avg Week Najjeera-Kiwatule'!E27+'Avg Week Kiwatule-Najjeera'!E27</f>
        <v>11.571428571428573</v>
      </c>
      <c r="F27" s="49">
        <f>'Avg Week Najjeera-Kiwatule'!F27+'Avg Week Kiwatule-Najjeera'!F27</f>
        <v>29.142857142857142</v>
      </c>
      <c r="G27" s="49">
        <f>'Avg Week Najjeera-Kiwatule'!G27+'Avg Week Kiwatule-Najjeera'!G27</f>
        <v>0.14285714285714285</v>
      </c>
      <c r="H27" s="49">
        <f>'Avg Week Najjeera-Kiwatule'!H27+'Avg Week Kiwatule-Najjeera'!H27</f>
        <v>0.14285714285714285</v>
      </c>
      <c r="I27" s="49">
        <f>'Avg Week Najjeera-Kiwatule'!I27+'Avg Week Kiwatule-Najjeera'!I27</f>
        <v>11.142857142857142</v>
      </c>
      <c r="J27" s="49">
        <f>'Avg Week Najjeera-Kiwatule'!J27+'Avg Week Kiwatule-Najjeera'!J27</f>
        <v>3.2857142857142856</v>
      </c>
      <c r="K27" s="49">
        <f>'Avg Week Najjeera-Kiwatule'!K27+'Avg Week Kiwatule-Najjeera'!K27</f>
        <v>1.4285714285714286</v>
      </c>
      <c r="L27" s="49">
        <f>'Avg Week Najjeera-Kiwatule'!L27+'Avg Week Kiwatule-Najjeera'!L27</f>
        <v>0.42857142857142855</v>
      </c>
      <c r="M27" s="49">
        <f>'Avg Week Najjeera-Kiwatule'!M27+'Avg Week Kiwatule-Najjeera'!M27</f>
        <v>127.85714285714286</v>
      </c>
      <c r="N27" s="49">
        <f>'Avg Week Najjeera-Kiwatule'!N27+'Avg Week Kiwatule-Najjeera'!N27</f>
        <v>0</v>
      </c>
      <c r="O27" s="15">
        <f t="shared" si="0"/>
        <v>199.28571428571425</v>
      </c>
      <c r="P27" s="15">
        <f t="shared" si="1"/>
        <v>327.14285714285711</v>
      </c>
      <c r="R27" s="1" t="s">
        <v>151</v>
      </c>
      <c r="S27" s="34">
        <f>SUM(C78:C81)</f>
        <v>388.5</v>
      </c>
      <c r="T27" s="34">
        <f t="shared" ref="T27:AF27" si="19">SUM(D78:D81)</f>
        <v>73.5</v>
      </c>
      <c r="U27" s="34">
        <f t="shared" si="19"/>
        <v>20</v>
      </c>
      <c r="V27" s="34">
        <f t="shared" si="19"/>
        <v>20</v>
      </c>
      <c r="W27" s="34">
        <f t="shared" si="19"/>
        <v>0</v>
      </c>
      <c r="X27" s="34">
        <f t="shared" si="19"/>
        <v>0</v>
      </c>
      <c r="Y27" s="34">
        <f t="shared" si="19"/>
        <v>10</v>
      </c>
      <c r="Z27" s="34">
        <f t="shared" si="19"/>
        <v>0.5</v>
      </c>
      <c r="AA27" s="34">
        <f t="shared" si="19"/>
        <v>0</v>
      </c>
      <c r="AB27" s="34">
        <f t="shared" si="19"/>
        <v>0.5</v>
      </c>
      <c r="AC27" s="34">
        <f t="shared" si="19"/>
        <v>282.5</v>
      </c>
      <c r="AD27" s="34">
        <f t="shared" si="19"/>
        <v>0</v>
      </c>
      <c r="AE27" s="51">
        <f t="shared" si="19"/>
        <v>513</v>
      </c>
      <c r="AF27" s="51">
        <f t="shared" si="19"/>
        <v>795.5</v>
      </c>
    </row>
    <row r="28" spans="2:32" ht="23.1" customHeight="1">
      <c r="B28" s="23" t="s">
        <v>55</v>
      </c>
      <c r="C28" s="49">
        <f>'Avg Week Najjeera-Kiwatule'!C28+'Avg Week Kiwatule-Najjeera'!C28</f>
        <v>116.28571428571428</v>
      </c>
      <c r="D28" s="49">
        <f>'Avg Week Najjeera-Kiwatule'!D28+'Avg Week Kiwatule-Najjeera'!D28</f>
        <v>20.285714285714285</v>
      </c>
      <c r="E28" s="49">
        <f>'Avg Week Najjeera-Kiwatule'!E28+'Avg Week Kiwatule-Najjeera'!E28</f>
        <v>10.571428571428571</v>
      </c>
      <c r="F28" s="49">
        <f>'Avg Week Najjeera-Kiwatule'!F28+'Avg Week Kiwatule-Najjeera'!F28</f>
        <v>32.285714285714285</v>
      </c>
      <c r="G28" s="49">
        <f>'Avg Week Najjeera-Kiwatule'!G28+'Avg Week Kiwatule-Najjeera'!G28</f>
        <v>0.2857142857142857</v>
      </c>
      <c r="H28" s="49">
        <f>'Avg Week Najjeera-Kiwatule'!H28+'Avg Week Kiwatule-Najjeera'!H28</f>
        <v>0</v>
      </c>
      <c r="I28" s="49">
        <f>'Avg Week Najjeera-Kiwatule'!I28+'Avg Week Kiwatule-Najjeera'!I28</f>
        <v>11.428571428571429</v>
      </c>
      <c r="J28" s="49">
        <f>'Avg Week Najjeera-Kiwatule'!J28+'Avg Week Kiwatule-Najjeera'!J28</f>
        <v>1.5714285714285714</v>
      </c>
      <c r="K28" s="49">
        <f>'Avg Week Najjeera-Kiwatule'!K28+'Avg Week Kiwatule-Najjeera'!K28</f>
        <v>0.8571428571428571</v>
      </c>
      <c r="L28" s="49">
        <f>'Avg Week Najjeera-Kiwatule'!L28+'Avg Week Kiwatule-Najjeera'!L28</f>
        <v>0.2857142857142857</v>
      </c>
      <c r="M28" s="49">
        <f>'Avg Week Najjeera-Kiwatule'!M28+'Avg Week Kiwatule-Najjeera'!M28</f>
        <v>140.71428571428572</v>
      </c>
      <c r="N28" s="49">
        <f>'Avg Week Najjeera-Kiwatule'!N28+'Avg Week Kiwatule-Najjeera'!N28</f>
        <v>0</v>
      </c>
      <c r="O28" s="15">
        <f t="shared" si="0"/>
        <v>193.85714285714283</v>
      </c>
      <c r="P28" s="15">
        <f t="shared" si="1"/>
        <v>334.57142857142856</v>
      </c>
      <c r="R28" s="1" t="s">
        <v>152</v>
      </c>
      <c r="S28" s="34">
        <f>SUM(C82:C85)</f>
        <v>226</v>
      </c>
      <c r="T28" s="34">
        <f t="shared" ref="T28:AF28" si="20">SUM(D82:D85)</f>
        <v>41.5</v>
      </c>
      <c r="U28" s="34">
        <f t="shared" si="20"/>
        <v>5</v>
      </c>
      <c r="V28" s="34">
        <f t="shared" si="20"/>
        <v>4.5</v>
      </c>
      <c r="W28" s="34">
        <f t="shared" si="20"/>
        <v>0</v>
      </c>
      <c r="X28" s="34">
        <f t="shared" si="20"/>
        <v>0</v>
      </c>
      <c r="Y28" s="34">
        <f t="shared" si="20"/>
        <v>5</v>
      </c>
      <c r="Z28" s="34">
        <f t="shared" si="20"/>
        <v>0</v>
      </c>
      <c r="AA28" s="34">
        <f t="shared" si="20"/>
        <v>0</v>
      </c>
      <c r="AB28" s="34">
        <f t="shared" si="20"/>
        <v>0</v>
      </c>
      <c r="AC28" s="34">
        <f t="shared" si="20"/>
        <v>185</v>
      </c>
      <c r="AD28" s="34">
        <f t="shared" si="20"/>
        <v>0</v>
      </c>
      <c r="AE28" s="51">
        <f t="shared" si="20"/>
        <v>282</v>
      </c>
      <c r="AF28" s="51">
        <f t="shared" si="20"/>
        <v>467</v>
      </c>
    </row>
    <row r="29" spans="2:32" ht="23.1" customHeight="1">
      <c r="B29" s="23" t="s">
        <v>56</v>
      </c>
      <c r="C29" s="49">
        <f>'Avg Week Najjeera-Kiwatule'!C29+'Avg Week Kiwatule-Najjeera'!C29</f>
        <v>109.28571428571429</v>
      </c>
      <c r="D29" s="49">
        <f>'Avg Week Najjeera-Kiwatule'!D29+'Avg Week Kiwatule-Najjeera'!D29</f>
        <v>19.714285714285715</v>
      </c>
      <c r="E29" s="49">
        <f>'Avg Week Najjeera-Kiwatule'!E29+'Avg Week Kiwatule-Najjeera'!E29</f>
        <v>13.857142857142858</v>
      </c>
      <c r="F29" s="49">
        <f>'Avg Week Najjeera-Kiwatule'!F29+'Avg Week Kiwatule-Najjeera'!F29</f>
        <v>34.857142857142861</v>
      </c>
      <c r="G29" s="49">
        <f>'Avg Week Najjeera-Kiwatule'!G29+'Avg Week Kiwatule-Najjeera'!G29</f>
        <v>0.42857142857142855</v>
      </c>
      <c r="H29" s="49">
        <f>'Avg Week Najjeera-Kiwatule'!H29+'Avg Week Kiwatule-Najjeera'!H29</f>
        <v>0.42857142857142855</v>
      </c>
      <c r="I29" s="49">
        <f>'Avg Week Najjeera-Kiwatule'!I29+'Avg Week Kiwatule-Najjeera'!I29</f>
        <v>9.8571428571428577</v>
      </c>
      <c r="J29" s="49">
        <f>'Avg Week Najjeera-Kiwatule'!J29+'Avg Week Kiwatule-Najjeera'!J29</f>
        <v>1.2857142857142856</v>
      </c>
      <c r="K29" s="49">
        <f>'Avg Week Najjeera-Kiwatule'!K29+'Avg Week Kiwatule-Najjeera'!K29</f>
        <v>0.2857142857142857</v>
      </c>
      <c r="L29" s="49">
        <f>'Avg Week Najjeera-Kiwatule'!L29+'Avg Week Kiwatule-Najjeera'!L29</f>
        <v>0.2857142857142857</v>
      </c>
      <c r="M29" s="49">
        <f>'Avg Week Najjeera-Kiwatule'!M29+'Avg Week Kiwatule-Najjeera'!M29</f>
        <v>120.71428571428572</v>
      </c>
      <c r="N29" s="49">
        <f>'Avg Week Najjeera-Kiwatule'!N29+'Avg Week Kiwatule-Najjeera'!N29</f>
        <v>0</v>
      </c>
      <c r="O29" s="15">
        <f t="shared" si="0"/>
        <v>190.28571428571425</v>
      </c>
      <c r="P29" s="15">
        <f t="shared" si="1"/>
        <v>311</v>
      </c>
      <c r="R29" s="1" t="s">
        <v>153</v>
      </c>
      <c r="S29" s="34">
        <f>SUM(C86:C89)</f>
        <v>197</v>
      </c>
      <c r="T29" s="34">
        <f t="shared" ref="T29:AF29" si="21">SUM(D86:D89)</f>
        <v>47</v>
      </c>
      <c r="U29" s="34">
        <f t="shared" si="21"/>
        <v>5.5</v>
      </c>
      <c r="V29" s="34">
        <f t="shared" si="21"/>
        <v>3.5</v>
      </c>
      <c r="W29" s="34">
        <f t="shared" si="21"/>
        <v>0</v>
      </c>
      <c r="X29" s="34">
        <f t="shared" si="21"/>
        <v>0</v>
      </c>
      <c r="Y29" s="34">
        <f t="shared" si="21"/>
        <v>1.5</v>
      </c>
      <c r="Z29" s="34">
        <f t="shared" si="21"/>
        <v>1.5</v>
      </c>
      <c r="AA29" s="34">
        <f t="shared" si="21"/>
        <v>0</v>
      </c>
      <c r="AB29" s="34">
        <f t="shared" si="21"/>
        <v>0.5</v>
      </c>
      <c r="AC29" s="34">
        <f t="shared" si="21"/>
        <v>128</v>
      </c>
      <c r="AD29" s="34">
        <f t="shared" si="21"/>
        <v>0</v>
      </c>
      <c r="AE29" s="51">
        <f t="shared" si="21"/>
        <v>256.5</v>
      </c>
      <c r="AF29" s="51">
        <f t="shared" si="21"/>
        <v>384.5</v>
      </c>
    </row>
    <row r="30" spans="2:32" ht="23.1" customHeight="1">
      <c r="B30" s="23" t="s">
        <v>57</v>
      </c>
      <c r="C30" s="49">
        <f>'Avg Week Najjeera-Kiwatule'!C30+'Avg Week Kiwatule-Najjeera'!C30</f>
        <v>121.57142857142857</v>
      </c>
      <c r="D30" s="49">
        <f>'Avg Week Najjeera-Kiwatule'!D30+'Avg Week Kiwatule-Najjeera'!D30</f>
        <v>24</v>
      </c>
      <c r="E30" s="49">
        <f>'Avg Week Najjeera-Kiwatule'!E30+'Avg Week Kiwatule-Najjeera'!E30</f>
        <v>11</v>
      </c>
      <c r="F30" s="49">
        <f>'Avg Week Najjeera-Kiwatule'!F30+'Avg Week Kiwatule-Najjeera'!F30</f>
        <v>30.285714285714285</v>
      </c>
      <c r="G30" s="49">
        <f>'Avg Week Najjeera-Kiwatule'!G30+'Avg Week Kiwatule-Najjeera'!G30</f>
        <v>1.4285714285714286</v>
      </c>
      <c r="H30" s="49">
        <f>'Avg Week Najjeera-Kiwatule'!H30+'Avg Week Kiwatule-Najjeera'!H30</f>
        <v>0</v>
      </c>
      <c r="I30" s="49">
        <f>'Avg Week Najjeera-Kiwatule'!I30+'Avg Week Kiwatule-Najjeera'!I30</f>
        <v>9.2857142857142847</v>
      </c>
      <c r="J30" s="49">
        <f>'Avg Week Najjeera-Kiwatule'!J30+'Avg Week Kiwatule-Najjeera'!J30</f>
        <v>2</v>
      </c>
      <c r="K30" s="49">
        <f>'Avg Week Najjeera-Kiwatule'!K30+'Avg Week Kiwatule-Najjeera'!K30</f>
        <v>1.5714285714285714</v>
      </c>
      <c r="L30" s="49">
        <f>'Avg Week Najjeera-Kiwatule'!L30+'Avg Week Kiwatule-Najjeera'!L30</f>
        <v>0</v>
      </c>
      <c r="M30" s="49">
        <f>'Avg Week Najjeera-Kiwatule'!M30+'Avg Week Kiwatule-Najjeera'!M30</f>
        <v>126.42857142857142</v>
      </c>
      <c r="N30" s="49">
        <f>'Avg Week Najjeera-Kiwatule'!N30+'Avg Week Kiwatule-Najjeera'!N30</f>
        <v>0</v>
      </c>
      <c r="O30" s="15">
        <f t="shared" si="0"/>
        <v>201.14285714285711</v>
      </c>
      <c r="P30" s="15">
        <f t="shared" si="1"/>
        <v>327.57142857142856</v>
      </c>
      <c r="R30" s="1" t="s">
        <v>154</v>
      </c>
      <c r="S30" s="34">
        <f>SUM(C90:C93)</f>
        <v>164.5</v>
      </c>
      <c r="T30" s="34">
        <f t="shared" ref="T30:AF30" si="22">SUM(D90:D93)</f>
        <v>34.5</v>
      </c>
      <c r="U30" s="34">
        <f t="shared" si="22"/>
        <v>8</v>
      </c>
      <c r="V30" s="34">
        <f t="shared" si="22"/>
        <v>3.5</v>
      </c>
      <c r="W30" s="34">
        <f t="shared" si="22"/>
        <v>0</v>
      </c>
      <c r="X30" s="34">
        <f t="shared" si="22"/>
        <v>0</v>
      </c>
      <c r="Y30" s="34">
        <f t="shared" si="22"/>
        <v>2.5</v>
      </c>
      <c r="Z30" s="34">
        <f t="shared" si="22"/>
        <v>1.5</v>
      </c>
      <c r="AA30" s="34">
        <f t="shared" si="22"/>
        <v>0.5</v>
      </c>
      <c r="AB30" s="34">
        <f t="shared" si="22"/>
        <v>0</v>
      </c>
      <c r="AC30" s="34">
        <f t="shared" si="22"/>
        <v>127.5</v>
      </c>
      <c r="AD30" s="34">
        <f t="shared" si="22"/>
        <v>0</v>
      </c>
      <c r="AE30" s="51">
        <f t="shared" si="22"/>
        <v>215</v>
      </c>
      <c r="AF30" s="51">
        <f t="shared" si="22"/>
        <v>342.5</v>
      </c>
    </row>
    <row r="31" spans="2:32" ht="23.1" customHeight="1">
      <c r="B31" s="24" t="s">
        <v>58</v>
      </c>
      <c r="C31" s="49">
        <f>'Avg Week Najjeera-Kiwatule'!C31+'Avg Week Kiwatule-Najjeera'!C31</f>
        <v>133.57142857142858</v>
      </c>
      <c r="D31" s="49">
        <f>'Avg Week Najjeera-Kiwatule'!D31+'Avg Week Kiwatule-Najjeera'!D31</f>
        <v>21</v>
      </c>
      <c r="E31" s="49">
        <f>'Avg Week Najjeera-Kiwatule'!E31+'Avg Week Kiwatule-Najjeera'!E31</f>
        <v>10.571428571428571</v>
      </c>
      <c r="F31" s="49">
        <f>'Avg Week Najjeera-Kiwatule'!F31+'Avg Week Kiwatule-Najjeera'!F31</f>
        <v>35.428571428571431</v>
      </c>
      <c r="G31" s="49">
        <f>'Avg Week Najjeera-Kiwatule'!G31+'Avg Week Kiwatule-Najjeera'!G31</f>
        <v>0.5714285714285714</v>
      </c>
      <c r="H31" s="49">
        <f>'Avg Week Najjeera-Kiwatule'!H31+'Avg Week Kiwatule-Najjeera'!H31</f>
        <v>0.14285714285714285</v>
      </c>
      <c r="I31" s="49">
        <f>'Avg Week Najjeera-Kiwatule'!I31+'Avg Week Kiwatule-Najjeera'!I31</f>
        <v>11.142857142857142</v>
      </c>
      <c r="J31" s="49">
        <f>'Avg Week Najjeera-Kiwatule'!J31+'Avg Week Kiwatule-Najjeera'!J31</f>
        <v>2.1428571428571428</v>
      </c>
      <c r="K31" s="49">
        <f>'Avg Week Najjeera-Kiwatule'!K31+'Avg Week Kiwatule-Najjeera'!K31</f>
        <v>1</v>
      </c>
      <c r="L31" s="49">
        <f>'Avg Week Najjeera-Kiwatule'!L31+'Avg Week Kiwatule-Najjeera'!L31</f>
        <v>0.2857142857142857</v>
      </c>
      <c r="M31" s="49">
        <f>'Avg Week Najjeera-Kiwatule'!M31+'Avg Week Kiwatule-Najjeera'!M31</f>
        <v>132.42857142857144</v>
      </c>
      <c r="N31" s="49">
        <f>'Avg Week Najjeera-Kiwatule'!N31+'Avg Week Kiwatule-Najjeera'!N31</f>
        <v>0</v>
      </c>
      <c r="O31" s="15">
        <f t="shared" si="0"/>
        <v>215.85714285714289</v>
      </c>
      <c r="P31" s="15">
        <f t="shared" si="1"/>
        <v>348.28571428571433</v>
      </c>
      <c r="R31" s="1" t="s">
        <v>155</v>
      </c>
      <c r="S31" s="34">
        <f>SUM(C94:C97)</f>
        <v>159</v>
      </c>
      <c r="T31" s="34">
        <f t="shared" ref="T31:AF31" si="23">SUM(D94:D97)</f>
        <v>30.5</v>
      </c>
      <c r="U31" s="34">
        <f t="shared" si="23"/>
        <v>9.5</v>
      </c>
      <c r="V31" s="34">
        <f t="shared" si="23"/>
        <v>7</v>
      </c>
      <c r="W31" s="34">
        <f t="shared" si="23"/>
        <v>1</v>
      </c>
      <c r="X31" s="34">
        <f t="shared" si="23"/>
        <v>0</v>
      </c>
      <c r="Y31" s="34">
        <f t="shared" si="23"/>
        <v>3.5</v>
      </c>
      <c r="Z31" s="34">
        <f t="shared" si="23"/>
        <v>1.5</v>
      </c>
      <c r="AA31" s="34">
        <f t="shared" si="23"/>
        <v>0</v>
      </c>
      <c r="AB31" s="34">
        <f t="shared" si="23"/>
        <v>0</v>
      </c>
      <c r="AC31" s="34">
        <f t="shared" si="23"/>
        <v>131.5</v>
      </c>
      <c r="AD31" s="34">
        <f t="shared" si="23"/>
        <v>0</v>
      </c>
      <c r="AE31" s="51">
        <f t="shared" si="23"/>
        <v>212</v>
      </c>
      <c r="AF31" s="51">
        <f t="shared" si="23"/>
        <v>343.5</v>
      </c>
    </row>
    <row r="32" spans="2:32" ht="23.1" customHeight="1">
      <c r="B32" s="24" t="s">
        <v>59</v>
      </c>
      <c r="C32" s="49">
        <f>'Avg Week Najjeera-Kiwatule'!C32+'Avg Week Kiwatule-Najjeera'!C32</f>
        <v>128.71428571428572</v>
      </c>
      <c r="D32" s="49">
        <f>'Avg Week Najjeera-Kiwatule'!D32+'Avg Week Kiwatule-Najjeera'!D32</f>
        <v>19.285714285714285</v>
      </c>
      <c r="E32" s="49">
        <f>'Avg Week Najjeera-Kiwatule'!E32+'Avg Week Kiwatule-Najjeera'!E32</f>
        <v>11.285714285714285</v>
      </c>
      <c r="F32" s="49">
        <f>'Avg Week Najjeera-Kiwatule'!F32+'Avg Week Kiwatule-Najjeera'!F32</f>
        <v>28.857142857142858</v>
      </c>
      <c r="G32" s="49">
        <f>'Avg Week Najjeera-Kiwatule'!G32+'Avg Week Kiwatule-Najjeera'!G32</f>
        <v>0.42857142857142855</v>
      </c>
      <c r="H32" s="49">
        <f>'Avg Week Najjeera-Kiwatule'!H32+'Avg Week Kiwatule-Najjeera'!H32</f>
        <v>0</v>
      </c>
      <c r="I32" s="49">
        <f>'Avg Week Najjeera-Kiwatule'!I32+'Avg Week Kiwatule-Najjeera'!I32</f>
        <v>8.8571428571428577</v>
      </c>
      <c r="J32" s="49">
        <f>'Avg Week Najjeera-Kiwatule'!J32+'Avg Week Kiwatule-Najjeera'!J32</f>
        <v>1.2857142857142856</v>
      </c>
      <c r="K32" s="49">
        <f>'Avg Week Najjeera-Kiwatule'!K32+'Avg Week Kiwatule-Najjeera'!K32</f>
        <v>0.5714285714285714</v>
      </c>
      <c r="L32" s="49">
        <f>'Avg Week Najjeera-Kiwatule'!L32+'Avg Week Kiwatule-Najjeera'!L32</f>
        <v>0</v>
      </c>
      <c r="M32" s="49">
        <f>'Avg Week Najjeera-Kiwatule'!M32+'Avg Week Kiwatule-Najjeera'!M32</f>
        <v>123.28571428571428</v>
      </c>
      <c r="N32" s="49">
        <f>'Avg Week Najjeera-Kiwatule'!N32+'Avg Week Kiwatule-Najjeera'!N32</f>
        <v>0</v>
      </c>
      <c r="O32" s="15">
        <f t="shared" si="0"/>
        <v>199.28571428571428</v>
      </c>
      <c r="P32" s="15">
        <f t="shared" si="1"/>
        <v>322.57142857142856</v>
      </c>
      <c r="R32" s="1" t="s">
        <v>156</v>
      </c>
      <c r="S32" s="34">
        <f>SUM(C98:C101)</f>
        <v>192</v>
      </c>
      <c r="T32" s="34">
        <f t="shared" ref="T32:AF32" si="24">SUM(D98:D101)</f>
        <v>28.5</v>
      </c>
      <c r="U32" s="34">
        <f t="shared" si="24"/>
        <v>15.5</v>
      </c>
      <c r="V32" s="34">
        <f t="shared" si="24"/>
        <v>43.5</v>
      </c>
      <c r="W32" s="34">
        <f t="shared" si="24"/>
        <v>7.5</v>
      </c>
      <c r="X32" s="34">
        <f t="shared" si="24"/>
        <v>0</v>
      </c>
      <c r="Y32" s="34">
        <f t="shared" si="24"/>
        <v>7.5</v>
      </c>
      <c r="Z32" s="34">
        <f t="shared" si="24"/>
        <v>1</v>
      </c>
      <c r="AA32" s="34">
        <f t="shared" si="24"/>
        <v>0</v>
      </c>
      <c r="AB32" s="34">
        <f t="shared" si="24"/>
        <v>0</v>
      </c>
      <c r="AC32" s="34">
        <f t="shared" si="24"/>
        <v>136.5</v>
      </c>
      <c r="AD32" s="34">
        <f t="shared" si="24"/>
        <v>0</v>
      </c>
      <c r="AE32" s="51">
        <f t="shared" si="24"/>
        <v>295.5</v>
      </c>
      <c r="AF32" s="51">
        <f t="shared" si="24"/>
        <v>432</v>
      </c>
    </row>
    <row r="33" spans="2:32" ht="23.1" customHeight="1">
      <c r="B33" s="23" t="s">
        <v>60</v>
      </c>
      <c r="C33" s="49">
        <f>'Avg Week Najjeera-Kiwatule'!C33+'Avg Week Kiwatule-Najjeera'!C33</f>
        <v>102</v>
      </c>
      <c r="D33" s="49">
        <f>'Avg Week Najjeera-Kiwatule'!D33+'Avg Week Kiwatule-Najjeera'!D33</f>
        <v>21.142857142857142</v>
      </c>
      <c r="E33" s="49">
        <f>'Avg Week Najjeera-Kiwatule'!E33+'Avg Week Kiwatule-Najjeera'!E33</f>
        <v>9.8571428571428577</v>
      </c>
      <c r="F33" s="49">
        <f>'Avg Week Najjeera-Kiwatule'!F33+'Avg Week Kiwatule-Najjeera'!F33</f>
        <v>30.428571428571431</v>
      </c>
      <c r="G33" s="49">
        <f>'Avg Week Najjeera-Kiwatule'!G33+'Avg Week Kiwatule-Najjeera'!G33</f>
        <v>0.5714285714285714</v>
      </c>
      <c r="H33" s="49">
        <f>'Avg Week Najjeera-Kiwatule'!H33+'Avg Week Kiwatule-Najjeera'!H33</f>
        <v>0.14285714285714285</v>
      </c>
      <c r="I33" s="49">
        <f>'Avg Week Najjeera-Kiwatule'!I33+'Avg Week Kiwatule-Najjeera'!I33</f>
        <v>8.8571428571428577</v>
      </c>
      <c r="J33" s="49">
        <f>'Avg Week Najjeera-Kiwatule'!J33+'Avg Week Kiwatule-Najjeera'!J33</f>
        <v>1.2857142857142856</v>
      </c>
      <c r="K33" s="49">
        <f>'Avg Week Najjeera-Kiwatule'!K33+'Avg Week Kiwatule-Najjeera'!K33</f>
        <v>1</v>
      </c>
      <c r="L33" s="49">
        <f>'Avg Week Najjeera-Kiwatule'!L33+'Avg Week Kiwatule-Najjeera'!L33</f>
        <v>0</v>
      </c>
      <c r="M33" s="49">
        <f>'Avg Week Najjeera-Kiwatule'!M33+'Avg Week Kiwatule-Najjeera'!M33</f>
        <v>123.71428571428572</v>
      </c>
      <c r="N33" s="49">
        <f>'Avg Week Najjeera-Kiwatule'!N33+'Avg Week Kiwatule-Najjeera'!N33</f>
        <v>0</v>
      </c>
      <c r="O33" s="15">
        <f t="shared" si="0"/>
        <v>175.28571428571431</v>
      </c>
      <c r="P33" s="15">
        <f t="shared" si="1"/>
        <v>299</v>
      </c>
      <c r="R33" s="1" t="s">
        <v>157</v>
      </c>
      <c r="S33" s="34">
        <f>SUM(C102:C105)</f>
        <v>433</v>
      </c>
      <c r="T33" s="34">
        <f t="shared" ref="T33:AF33" si="25">SUM(D102:D105)</f>
        <v>57.5</v>
      </c>
      <c r="U33" s="34">
        <f t="shared" si="25"/>
        <v>13</v>
      </c>
      <c r="V33" s="34">
        <f t="shared" si="25"/>
        <v>78</v>
      </c>
      <c r="W33" s="34">
        <f t="shared" si="25"/>
        <v>1.5</v>
      </c>
      <c r="X33" s="34">
        <f t="shared" si="25"/>
        <v>0</v>
      </c>
      <c r="Y33" s="34">
        <f t="shared" si="25"/>
        <v>7.5</v>
      </c>
      <c r="Z33" s="34">
        <f t="shared" si="25"/>
        <v>2.5</v>
      </c>
      <c r="AA33" s="34">
        <f t="shared" si="25"/>
        <v>2</v>
      </c>
      <c r="AB33" s="34">
        <f t="shared" si="25"/>
        <v>0</v>
      </c>
      <c r="AC33" s="34">
        <f t="shared" si="25"/>
        <v>232.5</v>
      </c>
      <c r="AD33" s="34">
        <f t="shared" si="25"/>
        <v>0</v>
      </c>
      <c r="AE33" s="51">
        <f t="shared" si="25"/>
        <v>595</v>
      </c>
      <c r="AF33" s="51">
        <f t="shared" si="25"/>
        <v>827.5</v>
      </c>
    </row>
    <row r="34" spans="2:32" ht="23.1" customHeight="1">
      <c r="B34" s="24" t="s">
        <v>61</v>
      </c>
      <c r="C34" s="49">
        <f>'Avg Week Najjeera-Kiwatule'!C34+'Avg Week Kiwatule-Najjeera'!C34</f>
        <v>101.85714285714286</v>
      </c>
      <c r="D34" s="49">
        <f>'Avg Week Najjeera-Kiwatule'!D34+'Avg Week Kiwatule-Najjeera'!D34</f>
        <v>14.285714285714285</v>
      </c>
      <c r="E34" s="49">
        <f>'Avg Week Najjeera-Kiwatule'!E34+'Avg Week Kiwatule-Najjeera'!E34</f>
        <v>8.2857142857142865</v>
      </c>
      <c r="F34" s="49">
        <f>'Avg Week Najjeera-Kiwatule'!F34+'Avg Week Kiwatule-Najjeera'!F34</f>
        <v>27.714285714285715</v>
      </c>
      <c r="G34" s="49">
        <f>'Avg Week Najjeera-Kiwatule'!G34+'Avg Week Kiwatule-Najjeera'!G34</f>
        <v>0.8571428571428571</v>
      </c>
      <c r="H34" s="49">
        <f>'Avg Week Najjeera-Kiwatule'!H34+'Avg Week Kiwatule-Najjeera'!H34</f>
        <v>0.5714285714285714</v>
      </c>
      <c r="I34" s="49">
        <f>'Avg Week Najjeera-Kiwatule'!I34+'Avg Week Kiwatule-Najjeera'!I34</f>
        <v>9.5714285714285712</v>
      </c>
      <c r="J34" s="49">
        <f>'Avg Week Najjeera-Kiwatule'!J34+'Avg Week Kiwatule-Najjeera'!J34</f>
        <v>1.7142857142857142</v>
      </c>
      <c r="K34" s="49">
        <f>'Avg Week Najjeera-Kiwatule'!K34+'Avg Week Kiwatule-Najjeera'!K34</f>
        <v>0.42857142857142855</v>
      </c>
      <c r="L34" s="49">
        <f>'Avg Week Najjeera-Kiwatule'!L34+'Avg Week Kiwatule-Najjeera'!L34</f>
        <v>0.2857142857142857</v>
      </c>
      <c r="M34" s="49">
        <f>'Avg Week Najjeera-Kiwatule'!M34+'Avg Week Kiwatule-Najjeera'!M34</f>
        <v>126.42857142857143</v>
      </c>
      <c r="N34" s="49">
        <f>'Avg Week Najjeera-Kiwatule'!N34+'Avg Week Kiwatule-Najjeera'!N34</f>
        <v>0</v>
      </c>
      <c r="O34" s="15">
        <f t="shared" si="0"/>
        <v>165.57142857142858</v>
      </c>
      <c r="P34" s="15">
        <f t="shared" si="1"/>
        <v>292</v>
      </c>
      <c r="R34" s="38" t="s">
        <v>90</v>
      </c>
      <c r="S34" s="39">
        <f t="shared" ref="S34:AF34" si="26">MAX(S10:S12)</f>
        <v>592.71428571428578</v>
      </c>
      <c r="T34" s="39">
        <f t="shared" si="26"/>
        <v>87.714285714285708</v>
      </c>
      <c r="U34" s="39">
        <f t="shared" si="26"/>
        <v>49.142857142857146</v>
      </c>
      <c r="V34" s="39">
        <f t="shared" si="26"/>
        <v>157</v>
      </c>
      <c r="W34" s="39">
        <f t="shared" si="26"/>
        <v>3</v>
      </c>
      <c r="X34" s="39">
        <f t="shared" si="26"/>
        <v>0.42857142857142855</v>
      </c>
      <c r="Y34" s="39">
        <f t="shared" si="26"/>
        <v>35.714285714285715</v>
      </c>
      <c r="Z34" s="39">
        <f t="shared" si="26"/>
        <v>3.9999999999999996</v>
      </c>
      <c r="AA34" s="39">
        <f t="shared" si="26"/>
        <v>2.5714285714285712</v>
      </c>
      <c r="AB34" s="39">
        <f t="shared" si="26"/>
        <v>0.85714285714285698</v>
      </c>
      <c r="AC34" s="39">
        <f t="shared" si="26"/>
        <v>602.57142857142856</v>
      </c>
      <c r="AD34" s="39">
        <f t="shared" si="26"/>
        <v>0.14285714285714285</v>
      </c>
      <c r="AE34" s="40">
        <f t="shared" si="26"/>
        <v>914.14285714285711</v>
      </c>
      <c r="AF34" s="40">
        <f t="shared" si="26"/>
        <v>1508.2857142857142</v>
      </c>
    </row>
    <row r="35" spans="2:32" ht="23.1" customHeight="1">
      <c r="B35" s="24" t="s">
        <v>62</v>
      </c>
      <c r="C35" s="49">
        <f>'Avg Week Najjeera-Kiwatule'!C35+'Avg Week Kiwatule-Najjeera'!C35</f>
        <v>97.571428571428584</v>
      </c>
      <c r="D35" s="49">
        <f>'Avg Week Najjeera-Kiwatule'!D35+'Avg Week Kiwatule-Najjeera'!D35</f>
        <v>16.714285714285715</v>
      </c>
      <c r="E35" s="49">
        <f>'Avg Week Najjeera-Kiwatule'!E35+'Avg Week Kiwatule-Najjeera'!E35</f>
        <v>7.2857142857142856</v>
      </c>
      <c r="F35" s="49">
        <f>'Avg Week Najjeera-Kiwatule'!F35+'Avg Week Kiwatule-Najjeera'!F35</f>
        <v>24.857142857142854</v>
      </c>
      <c r="G35" s="49">
        <f>'Avg Week Najjeera-Kiwatule'!G35+'Avg Week Kiwatule-Najjeera'!G35</f>
        <v>0.5714285714285714</v>
      </c>
      <c r="H35" s="49">
        <f>'Avg Week Najjeera-Kiwatule'!H35+'Avg Week Kiwatule-Najjeera'!H35</f>
        <v>0.14285714285714285</v>
      </c>
      <c r="I35" s="49">
        <f>'Avg Week Najjeera-Kiwatule'!I35+'Avg Week Kiwatule-Najjeera'!I35</f>
        <v>9.5714285714285712</v>
      </c>
      <c r="J35" s="49">
        <f>'Avg Week Najjeera-Kiwatule'!J35+'Avg Week Kiwatule-Najjeera'!J35</f>
        <v>1.8571428571428572</v>
      </c>
      <c r="K35" s="49">
        <f>'Avg Week Najjeera-Kiwatule'!K35+'Avg Week Kiwatule-Najjeera'!K35</f>
        <v>0.5714285714285714</v>
      </c>
      <c r="L35" s="49">
        <f>'Avg Week Najjeera-Kiwatule'!L35+'Avg Week Kiwatule-Najjeera'!L35</f>
        <v>0</v>
      </c>
      <c r="M35" s="49">
        <f>'Avg Week Najjeera-Kiwatule'!M35+'Avg Week Kiwatule-Najjeera'!M35</f>
        <v>126.28571428571428</v>
      </c>
      <c r="N35" s="49">
        <f>'Avg Week Najjeera-Kiwatule'!N35+'Avg Week Kiwatule-Najjeera'!N35</f>
        <v>0</v>
      </c>
      <c r="O35" s="15">
        <f t="shared" si="0"/>
        <v>159.1428571428572</v>
      </c>
      <c r="P35" s="15">
        <f t="shared" si="1"/>
        <v>285.42857142857144</v>
      </c>
      <c r="R35" s="38" t="s">
        <v>91</v>
      </c>
      <c r="S35" s="39">
        <f t="shared" ref="S35:AF35" si="27">MAX(S13:S18)</f>
        <v>485.85714285714289</v>
      </c>
      <c r="T35" s="39">
        <f t="shared" si="27"/>
        <v>85.428571428571416</v>
      </c>
      <c r="U35" s="39">
        <f t="shared" si="27"/>
        <v>48.714285714285708</v>
      </c>
      <c r="V35" s="39">
        <f t="shared" si="27"/>
        <v>127</v>
      </c>
      <c r="W35" s="39">
        <f t="shared" si="27"/>
        <v>4.2857142857142847</v>
      </c>
      <c r="X35" s="39">
        <f t="shared" si="27"/>
        <v>1.1428571428571428</v>
      </c>
      <c r="Y35" s="39">
        <f t="shared" si="27"/>
        <v>43.857142857142861</v>
      </c>
      <c r="Z35" s="39">
        <f t="shared" si="27"/>
        <v>7.8571428571428568</v>
      </c>
      <c r="AA35" s="39">
        <f t="shared" si="27"/>
        <v>4.1428571428571423</v>
      </c>
      <c r="AB35" s="39">
        <f t="shared" si="27"/>
        <v>1.2857142857142856</v>
      </c>
      <c r="AC35" s="39">
        <f t="shared" si="27"/>
        <v>545.14285714285711</v>
      </c>
      <c r="AD35" s="39">
        <f t="shared" si="27"/>
        <v>0.2857142857142857</v>
      </c>
      <c r="AE35" s="40">
        <f t="shared" si="27"/>
        <v>791.57142857142856</v>
      </c>
      <c r="AF35" s="40">
        <f t="shared" si="27"/>
        <v>1333.5714285714284</v>
      </c>
    </row>
    <row r="36" spans="2:32" ht="23.1" customHeight="1">
      <c r="B36" s="24" t="s">
        <v>63</v>
      </c>
      <c r="C36" s="49">
        <f>'Avg Week Najjeera-Kiwatule'!C36+'Avg Week Kiwatule-Najjeera'!C36</f>
        <v>101.42857142857143</v>
      </c>
      <c r="D36" s="49">
        <f>'Avg Week Najjeera-Kiwatule'!D36+'Avg Week Kiwatule-Najjeera'!D36</f>
        <v>17.857142857142858</v>
      </c>
      <c r="E36" s="49">
        <f>'Avg Week Najjeera-Kiwatule'!E36+'Avg Week Kiwatule-Najjeera'!E36</f>
        <v>10</v>
      </c>
      <c r="F36" s="49">
        <f>'Avg Week Najjeera-Kiwatule'!F36+'Avg Week Kiwatule-Najjeera'!F36</f>
        <v>28.857142857142858</v>
      </c>
      <c r="G36" s="49">
        <f>'Avg Week Najjeera-Kiwatule'!G36+'Avg Week Kiwatule-Najjeera'!G36</f>
        <v>1.4285714285714284</v>
      </c>
      <c r="H36" s="49">
        <f>'Avg Week Najjeera-Kiwatule'!H36+'Avg Week Kiwatule-Najjeera'!H36</f>
        <v>0.2857142857142857</v>
      </c>
      <c r="I36" s="49">
        <f>'Avg Week Najjeera-Kiwatule'!I36+'Avg Week Kiwatule-Najjeera'!I36</f>
        <v>8</v>
      </c>
      <c r="J36" s="49">
        <f>'Avg Week Najjeera-Kiwatule'!J36+'Avg Week Kiwatule-Najjeera'!J36</f>
        <v>1.5714285714285716</v>
      </c>
      <c r="K36" s="49">
        <f>'Avg Week Najjeera-Kiwatule'!K36+'Avg Week Kiwatule-Najjeera'!K36</f>
        <v>0.7142857142857143</v>
      </c>
      <c r="L36" s="49">
        <f>'Avg Week Najjeera-Kiwatule'!L36+'Avg Week Kiwatule-Najjeera'!L36</f>
        <v>0.14285714285714285</v>
      </c>
      <c r="M36" s="49">
        <f>'Avg Week Najjeera-Kiwatule'!M36+'Avg Week Kiwatule-Najjeera'!M36</f>
        <v>118.85714285714286</v>
      </c>
      <c r="N36" s="49">
        <f>'Avg Week Najjeera-Kiwatule'!N36+'Avg Week Kiwatule-Najjeera'!N36</f>
        <v>0</v>
      </c>
      <c r="O36" s="15">
        <f t="shared" si="0"/>
        <v>170.28571428571428</v>
      </c>
      <c r="P36" s="15">
        <f t="shared" si="1"/>
        <v>289.14285714285711</v>
      </c>
      <c r="R36" s="38" t="s">
        <v>92</v>
      </c>
      <c r="S36" s="39">
        <f t="shared" ref="S36:AF36" si="28">MAX(S19:S21)</f>
        <v>646.42857142857144</v>
      </c>
      <c r="T36" s="39">
        <f t="shared" si="28"/>
        <v>99</v>
      </c>
      <c r="U36" s="39">
        <f t="shared" si="28"/>
        <v>52.571428571428569</v>
      </c>
      <c r="V36" s="39">
        <f t="shared" si="28"/>
        <v>114</v>
      </c>
      <c r="W36" s="39">
        <f t="shared" si="28"/>
        <v>6.7142857142857144</v>
      </c>
      <c r="X36" s="39">
        <f t="shared" si="28"/>
        <v>1.4285714285714286</v>
      </c>
      <c r="Y36" s="39">
        <f t="shared" si="28"/>
        <v>35.142857142857139</v>
      </c>
      <c r="Z36" s="39">
        <f t="shared" si="28"/>
        <v>5.7142857142857144</v>
      </c>
      <c r="AA36" s="39">
        <f t="shared" si="28"/>
        <v>3.5714285714285712</v>
      </c>
      <c r="AB36" s="39">
        <f t="shared" si="28"/>
        <v>0.5714285714285714</v>
      </c>
      <c r="AC36" s="39">
        <f t="shared" si="28"/>
        <v>662.85714285714289</v>
      </c>
      <c r="AD36" s="39">
        <f t="shared" si="28"/>
        <v>0</v>
      </c>
      <c r="AE36" s="40">
        <f t="shared" si="28"/>
        <v>953.28571428571433</v>
      </c>
      <c r="AF36" s="40">
        <f t="shared" si="28"/>
        <v>1616.1428571428573</v>
      </c>
    </row>
    <row r="37" spans="2:32" ht="23.1" customHeight="1">
      <c r="B37" s="23" t="s">
        <v>64</v>
      </c>
      <c r="C37" s="49">
        <f>'Avg Week Najjeera-Kiwatule'!C37+'Avg Week Kiwatule-Najjeera'!C37</f>
        <v>119.42857142857143</v>
      </c>
      <c r="D37" s="49">
        <f>'Avg Week Najjeera-Kiwatule'!D37+'Avg Week Kiwatule-Najjeera'!D37</f>
        <v>16.714285714285715</v>
      </c>
      <c r="E37" s="49">
        <f>'Avg Week Najjeera-Kiwatule'!E37+'Avg Week Kiwatule-Najjeera'!E37</f>
        <v>11.285714285714286</v>
      </c>
      <c r="F37" s="49">
        <f>'Avg Week Najjeera-Kiwatule'!F37+'Avg Week Kiwatule-Najjeera'!F37</f>
        <v>26</v>
      </c>
      <c r="G37" s="49">
        <f>'Avg Week Najjeera-Kiwatule'!G37+'Avg Week Kiwatule-Najjeera'!G37</f>
        <v>1.4285714285714284</v>
      </c>
      <c r="H37" s="49">
        <f>'Avg Week Najjeera-Kiwatule'!H37+'Avg Week Kiwatule-Najjeera'!H37</f>
        <v>0.14285714285714285</v>
      </c>
      <c r="I37" s="49">
        <f>'Avg Week Najjeera-Kiwatule'!I37+'Avg Week Kiwatule-Najjeera'!I37</f>
        <v>10.714285714285715</v>
      </c>
      <c r="J37" s="49">
        <f>'Avg Week Najjeera-Kiwatule'!J37+'Avg Week Kiwatule-Najjeera'!J37</f>
        <v>1.1428571428571428</v>
      </c>
      <c r="K37" s="49">
        <f>'Avg Week Najjeera-Kiwatule'!K37+'Avg Week Kiwatule-Najjeera'!K37</f>
        <v>0</v>
      </c>
      <c r="L37" s="49">
        <f>'Avg Week Najjeera-Kiwatule'!L37+'Avg Week Kiwatule-Najjeera'!L37</f>
        <v>0</v>
      </c>
      <c r="M37" s="49">
        <f>'Avg Week Najjeera-Kiwatule'!M37+'Avg Week Kiwatule-Najjeera'!M37</f>
        <v>111.28571428571429</v>
      </c>
      <c r="N37" s="49">
        <f>'Avg Week Najjeera-Kiwatule'!N37+'Avg Week Kiwatule-Najjeera'!N37</f>
        <v>0</v>
      </c>
      <c r="O37" s="15">
        <f t="shared" si="0"/>
        <v>186.85714285714283</v>
      </c>
      <c r="P37" s="15">
        <f t="shared" si="1"/>
        <v>298.14285714285711</v>
      </c>
      <c r="R37" s="37" t="s">
        <v>85</v>
      </c>
      <c r="S37" s="35">
        <f t="shared" ref="S37:AF37" si="29">SUM(S10:S12)</f>
        <v>1676.1428571428573</v>
      </c>
      <c r="T37" s="16">
        <f t="shared" si="29"/>
        <v>246.14285714285711</v>
      </c>
      <c r="U37" s="16">
        <f t="shared" si="29"/>
        <v>129.85714285714286</v>
      </c>
      <c r="V37" s="16">
        <f t="shared" si="29"/>
        <v>426.42857142857144</v>
      </c>
      <c r="W37" s="16">
        <f t="shared" si="29"/>
        <v>7.1428571428571432</v>
      </c>
      <c r="X37" s="16">
        <f t="shared" si="29"/>
        <v>0.42857142857142855</v>
      </c>
      <c r="Y37" s="16">
        <f t="shared" si="29"/>
        <v>83.571428571428569</v>
      </c>
      <c r="Z37" s="16">
        <f t="shared" si="29"/>
        <v>11.428571428571427</v>
      </c>
      <c r="AA37" s="16">
        <f t="shared" si="29"/>
        <v>5.2857142857142856</v>
      </c>
      <c r="AB37" s="16">
        <f t="shared" si="29"/>
        <v>1.9999999999999998</v>
      </c>
      <c r="AC37" s="16">
        <f t="shared" si="29"/>
        <v>1704.7142857142858</v>
      </c>
      <c r="AD37" s="16">
        <f t="shared" si="29"/>
        <v>0.14285714285714285</v>
      </c>
      <c r="AE37" s="32">
        <f t="shared" si="29"/>
        <v>2588.5714285714284</v>
      </c>
      <c r="AF37" s="32">
        <f t="shared" si="29"/>
        <v>4293.2857142857138</v>
      </c>
    </row>
    <row r="38" spans="2:32" ht="23.1" customHeight="1">
      <c r="B38" s="24" t="s">
        <v>65</v>
      </c>
      <c r="C38" s="49">
        <f>'Avg Week Najjeera-Kiwatule'!C38+'Avg Week Kiwatule-Najjeera'!C38</f>
        <v>118.57142857142856</v>
      </c>
      <c r="D38" s="49">
        <f>'Avg Week Najjeera-Kiwatule'!D38+'Avg Week Kiwatule-Najjeera'!D38</f>
        <v>22.285714285714285</v>
      </c>
      <c r="E38" s="49">
        <f>'Avg Week Najjeera-Kiwatule'!E38+'Avg Week Kiwatule-Najjeera'!E38</f>
        <v>9.5714285714285712</v>
      </c>
      <c r="F38" s="49">
        <f>'Avg Week Najjeera-Kiwatule'!F38+'Avg Week Kiwatule-Najjeera'!F38</f>
        <v>22.285714285714285</v>
      </c>
      <c r="G38" s="49">
        <f>'Avg Week Najjeera-Kiwatule'!G38+'Avg Week Kiwatule-Najjeera'!G38</f>
        <v>0.2857142857142857</v>
      </c>
      <c r="H38" s="49">
        <f>'Avg Week Najjeera-Kiwatule'!H38+'Avg Week Kiwatule-Najjeera'!H38</f>
        <v>0.14285714285714285</v>
      </c>
      <c r="I38" s="49">
        <f>'Avg Week Najjeera-Kiwatule'!I38+'Avg Week Kiwatule-Najjeera'!I38</f>
        <v>11.142857142857142</v>
      </c>
      <c r="J38" s="49">
        <f>'Avg Week Najjeera-Kiwatule'!J38+'Avg Week Kiwatule-Najjeera'!J38</f>
        <v>1.2857142857142856</v>
      </c>
      <c r="K38" s="49">
        <f>'Avg Week Najjeera-Kiwatule'!K38+'Avg Week Kiwatule-Najjeera'!K38</f>
        <v>0.42857142857142855</v>
      </c>
      <c r="L38" s="49">
        <f>'Avg Week Najjeera-Kiwatule'!L38+'Avg Week Kiwatule-Najjeera'!L38</f>
        <v>0.5714285714285714</v>
      </c>
      <c r="M38" s="49">
        <f>'Avg Week Najjeera-Kiwatule'!M38+'Avg Week Kiwatule-Najjeera'!M38</f>
        <v>118.71428571428572</v>
      </c>
      <c r="N38" s="49">
        <f>'Avg Week Najjeera-Kiwatule'!N38+'Avg Week Kiwatule-Najjeera'!N38</f>
        <v>0</v>
      </c>
      <c r="O38" s="15">
        <f t="shared" si="0"/>
        <v>186.57142857142853</v>
      </c>
      <c r="P38" s="15">
        <f t="shared" si="1"/>
        <v>305.28571428571422</v>
      </c>
      <c r="R38" s="28" t="s">
        <v>86</v>
      </c>
      <c r="S38" s="16">
        <f t="shared" ref="S38:AF38" si="30">SUM(S13:S18)</f>
        <v>2766.1428571428573</v>
      </c>
      <c r="T38" s="16">
        <f t="shared" si="30"/>
        <v>457.28571428571422</v>
      </c>
      <c r="U38" s="16">
        <f t="shared" si="30"/>
        <v>252.85714285714283</v>
      </c>
      <c r="V38" s="16">
        <f t="shared" si="30"/>
        <v>682.14285714285722</v>
      </c>
      <c r="W38" s="16">
        <f t="shared" si="30"/>
        <v>16.714285714285715</v>
      </c>
      <c r="X38" s="16">
        <f t="shared" si="30"/>
        <v>3.4285714285714284</v>
      </c>
      <c r="Y38" s="16">
        <f t="shared" si="30"/>
        <v>237</v>
      </c>
      <c r="Z38" s="16">
        <f t="shared" si="30"/>
        <v>39.571428571428569</v>
      </c>
      <c r="AA38" s="16">
        <f t="shared" si="30"/>
        <v>14.857142857142858</v>
      </c>
      <c r="AB38" s="16">
        <f t="shared" si="30"/>
        <v>4.5714285714285712</v>
      </c>
      <c r="AC38" s="16">
        <f t="shared" si="30"/>
        <v>2983.7142857142858</v>
      </c>
      <c r="AD38" s="16">
        <f t="shared" si="30"/>
        <v>0.2857142857142857</v>
      </c>
      <c r="AE38" s="32">
        <f t="shared" si="30"/>
        <v>4474.8571428571422</v>
      </c>
      <c r="AF38" s="32">
        <f t="shared" si="30"/>
        <v>7458.5714285714284</v>
      </c>
    </row>
    <row r="39" spans="2:32" ht="23.1" customHeight="1">
      <c r="B39" s="24" t="s">
        <v>66</v>
      </c>
      <c r="C39" s="49">
        <f>'Avg Week Najjeera-Kiwatule'!C39+'Avg Week Kiwatule-Najjeera'!C39</f>
        <v>96.428571428571431</v>
      </c>
      <c r="D39" s="49">
        <f>'Avg Week Najjeera-Kiwatule'!D39+'Avg Week Kiwatule-Najjeera'!D39</f>
        <v>17</v>
      </c>
      <c r="E39" s="49">
        <f>'Avg Week Najjeera-Kiwatule'!E39+'Avg Week Kiwatule-Najjeera'!E39</f>
        <v>9.571428571428573</v>
      </c>
      <c r="F39" s="49">
        <f>'Avg Week Najjeera-Kiwatule'!F39+'Avg Week Kiwatule-Najjeera'!F39</f>
        <v>23.142857142857146</v>
      </c>
      <c r="G39" s="49">
        <f>'Avg Week Najjeera-Kiwatule'!G39+'Avg Week Kiwatule-Najjeera'!G39</f>
        <v>0.5714285714285714</v>
      </c>
      <c r="H39" s="49">
        <f>'Avg Week Najjeera-Kiwatule'!H39+'Avg Week Kiwatule-Najjeera'!H39</f>
        <v>0.14285714285714285</v>
      </c>
      <c r="I39" s="49">
        <f>'Avg Week Najjeera-Kiwatule'!I39+'Avg Week Kiwatule-Najjeera'!I39</f>
        <v>8.5714285714285712</v>
      </c>
      <c r="J39" s="49">
        <f>'Avg Week Najjeera-Kiwatule'!J39+'Avg Week Kiwatule-Najjeera'!J39</f>
        <v>1</v>
      </c>
      <c r="K39" s="49">
        <f>'Avg Week Najjeera-Kiwatule'!K39+'Avg Week Kiwatule-Najjeera'!K39</f>
        <v>0.5714285714285714</v>
      </c>
      <c r="L39" s="49">
        <f>'Avg Week Najjeera-Kiwatule'!L39+'Avg Week Kiwatule-Najjeera'!L39</f>
        <v>0.14285714285714285</v>
      </c>
      <c r="M39" s="49">
        <f>'Avg Week Najjeera-Kiwatule'!M39+'Avg Week Kiwatule-Najjeera'!M39</f>
        <v>104.14285714285714</v>
      </c>
      <c r="N39" s="49">
        <f>'Avg Week Najjeera-Kiwatule'!N39+'Avg Week Kiwatule-Najjeera'!N39</f>
        <v>0</v>
      </c>
      <c r="O39" s="15">
        <f t="shared" si="0"/>
        <v>157.14285714285717</v>
      </c>
      <c r="P39" s="15">
        <f t="shared" si="1"/>
        <v>261.28571428571433</v>
      </c>
      <c r="R39" s="29" t="s">
        <v>87</v>
      </c>
      <c r="S39" s="16">
        <f t="shared" ref="S39:AF39" si="31">SUM(S19:S21)</f>
        <v>1854.5714285714284</v>
      </c>
      <c r="T39" s="16">
        <f t="shared" si="31"/>
        <v>289.14285714285711</v>
      </c>
      <c r="U39" s="16">
        <f t="shared" si="31"/>
        <v>143.28571428571428</v>
      </c>
      <c r="V39" s="16">
        <f t="shared" si="31"/>
        <v>313</v>
      </c>
      <c r="W39" s="16">
        <f t="shared" si="31"/>
        <v>14.428571428571431</v>
      </c>
      <c r="X39" s="16">
        <f t="shared" si="31"/>
        <v>2.5714285714285712</v>
      </c>
      <c r="Y39" s="16">
        <f t="shared" si="31"/>
        <v>103.71428571428571</v>
      </c>
      <c r="Z39" s="16">
        <f t="shared" si="31"/>
        <v>13.714285714285714</v>
      </c>
      <c r="AA39" s="16">
        <f t="shared" si="31"/>
        <v>8</v>
      </c>
      <c r="AB39" s="16">
        <f t="shared" si="31"/>
        <v>1.5714285714285714</v>
      </c>
      <c r="AC39" s="16">
        <f t="shared" si="31"/>
        <v>1749.1428571428571</v>
      </c>
      <c r="AD39" s="16">
        <f t="shared" si="31"/>
        <v>0</v>
      </c>
      <c r="AE39" s="32">
        <f t="shared" si="31"/>
        <v>2744</v>
      </c>
      <c r="AF39" s="32">
        <f t="shared" si="31"/>
        <v>4493.1428571428569</v>
      </c>
    </row>
    <row r="40" spans="2:32" ht="23.1" customHeight="1">
      <c r="B40" s="24" t="s">
        <v>67</v>
      </c>
      <c r="C40" s="49">
        <f>'Avg Week Najjeera-Kiwatule'!C40+'Avg Week Kiwatule-Najjeera'!C40</f>
        <v>105.42857142857143</v>
      </c>
      <c r="D40" s="49">
        <f>'Avg Week Najjeera-Kiwatule'!D40+'Avg Week Kiwatule-Najjeera'!D40</f>
        <v>15.857142857142858</v>
      </c>
      <c r="E40" s="49">
        <f>'Avg Week Najjeera-Kiwatule'!E40+'Avg Week Kiwatule-Najjeera'!E40</f>
        <v>8</v>
      </c>
      <c r="F40" s="49">
        <f>'Avg Week Najjeera-Kiwatule'!F40+'Avg Week Kiwatule-Najjeera'!F40</f>
        <v>22.285714285714285</v>
      </c>
      <c r="G40" s="49">
        <f>'Avg Week Najjeera-Kiwatule'!G40+'Avg Week Kiwatule-Najjeera'!G40</f>
        <v>0.8571428571428571</v>
      </c>
      <c r="H40" s="49">
        <f>'Avg Week Najjeera-Kiwatule'!H40+'Avg Week Kiwatule-Najjeera'!H40</f>
        <v>0</v>
      </c>
      <c r="I40" s="49">
        <f>'Avg Week Najjeera-Kiwatule'!I40+'Avg Week Kiwatule-Najjeera'!I40</f>
        <v>7.5714285714285712</v>
      </c>
      <c r="J40" s="49">
        <f>'Avg Week Najjeera-Kiwatule'!J40+'Avg Week Kiwatule-Najjeera'!J40</f>
        <v>2.4285714285714288</v>
      </c>
      <c r="K40" s="49">
        <f>'Avg Week Najjeera-Kiwatule'!K40+'Avg Week Kiwatule-Najjeera'!K40</f>
        <v>0.14285714285714285</v>
      </c>
      <c r="L40" s="49">
        <f>'Avg Week Najjeera-Kiwatule'!L40+'Avg Week Kiwatule-Najjeera'!L40</f>
        <v>0</v>
      </c>
      <c r="M40" s="49">
        <f>'Avg Week Najjeera-Kiwatule'!M40+'Avg Week Kiwatule-Najjeera'!M40</f>
        <v>117.42857142857142</v>
      </c>
      <c r="N40" s="49">
        <f>'Avg Week Najjeera-Kiwatule'!N40+'Avg Week Kiwatule-Najjeera'!N40</f>
        <v>0</v>
      </c>
      <c r="O40" s="15">
        <f t="shared" si="0"/>
        <v>162.57142857142856</v>
      </c>
      <c r="P40" s="15">
        <f t="shared" si="1"/>
        <v>280</v>
      </c>
      <c r="R40" s="5" t="s">
        <v>17</v>
      </c>
      <c r="S40" s="16">
        <f t="shared" ref="S40:AF40" si="32">SUM(S10:S21)</f>
        <v>6296.857142857144</v>
      </c>
      <c r="T40" s="16">
        <f t="shared" si="32"/>
        <v>992.57142857142844</v>
      </c>
      <c r="U40" s="16">
        <f t="shared" si="32"/>
        <v>526</v>
      </c>
      <c r="V40" s="16">
        <f t="shared" si="32"/>
        <v>1421.5714285714284</v>
      </c>
      <c r="W40" s="16">
        <f t="shared" si="32"/>
        <v>38.285714285714285</v>
      </c>
      <c r="X40" s="16">
        <f t="shared" si="32"/>
        <v>6.4285714285714279</v>
      </c>
      <c r="Y40" s="16">
        <f t="shared" si="32"/>
        <v>424.28571428571422</v>
      </c>
      <c r="Z40" s="16">
        <f t="shared" si="32"/>
        <v>64.714285714285708</v>
      </c>
      <c r="AA40" s="16">
        <f t="shared" si="32"/>
        <v>28.142857142857135</v>
      </c>
      <c r="AB40" s="16">
        <f t="shared" si="32"/>
        <v>8.1428571428571423</v>
      </c>
      <c r="AC40" s="16">
        <f t="shared" si="32"/>
        <v>6437.5714285714284</v>
      </c>
      <c r="AD40" s="16">
        <f t="shared" si="32"/>
        <v>0.42857142857142855</v>
      </c>
      <c r="AE40" s="32">
        <f t="shared" si="32"/>
        <v>9807.4285714285706</v>
      </c>
      <c r="AF40" s="32">
        <f t="shared" si="32"/>
        <v>16244.999999999998</v>
      </c>
    </row>
    <row r="41" spans="2:32" ht="23.1" customHeight="1">
      <c r="B41" s="23" t="s">
        <v>68</v>
      </c>
      <c r="C41" s="49">
        <f>'Avg Week Najjeera-Kiwatule'!C41+'Avg Week Kiwatule-Najjeera'!C41</f>
        <v>103.28571428571428</v>
      </c>
      <c r="D41" s="49">
        <f>'Avg Week Najjeera-Kiwatule'!D41+'Avg Week Kiwatule-Najjeera'!D41</f>
        <v>17.285714285714285</v>
      </c>
      <c r="E41" s="49">
        <f>'Avg Week Najjeera-Kiwatule'!E41+'Avg Week Kiwatule-Najjeera'!E41</f>
        <v>10.142857142857142</v>
      </c>
      <c r="F41" s="49">
        <f>'Avg Week Najjeera-Kiwatule'!F41+'Avg Week Kiwatule-Najjeera'!F41</f>
        <v>32.428571428571431</v>
      </c>
      <c r="G41" s="49">
        <f>'Avg Week Najjeera-Kiwatule'!G41+'Avg Week Kiwatule-Najjeera'!G41</f>
        <v>1</v>
      </c>
      <c r="H41" s="49">
        <f>'Avg Week Najjeera-Kiwatule'!H41+'Avg Week Kiwatule-Najjeera'!H41</f>
        <v>0.2857142857142857</v>
      </c>
      <c r="I41" s="49">
        <f>'Avg Week Najjeera-Kiwatule'!I41+'Avg Week Kiwatule-Najjeera'!I41</f>
        <v>11.285714285714285</v>
      </c>
      <c r="J41" s="49">
        <f>'Avg Week Najjeera-Kiwatule'!J41+'Avg Week Kiwatule-Najjeera'!J41</f>
        <v>0.42857142857142855</v>
      </c>
      <c r="K41" s="49">
        <f>'Avg Week Najjeera-Kiwatule'!K41+'Avg Week Kiwatule-Najjeera'!K41</f>
        <v>0.2857142857142857</v>
      </c>
      <c r="L41" s="49">
        <f>'Avg Week Najjeera-Kiwatule'!L41+'Avg Week Kiwatule-Najjeera'!L41</f>
        <v>0.2857142857142857</v>
      </c>
      <c r="M41" s="49">
        <f>'Avg Week Najjeera-Kiwatule'!M41+'Avg Week Kiwatule-Najjeera'!M41</f>
        <v>113.14285714285714</v>
      </c>
      <c r="N41" s="49">
        <f>'Avg Week Najjeera-Kiwatule'!N41+'Avg Week Kiwatule-Najjeera'!N41</f>
        <v>0</v>
      </c>
      <c r="O41" s="15">
        <f t="shared" si="0"/>
        <v>176.71428571428564</v>
      </c>
      <c r="P41" s="15">
        <f t="shared" si="1"/>
        <v>289.85714285714278</v>
      </c>
      <c r="R41" s="5" t="s">
        <v>184</v>
      </c>
      <c r="S41" s="55">
        <f>SUM(S10:S33)</f>
        <v>11166.357142857145</v>
      </c>
      <c r="T41" s="55">
        <f t="shared" ref="T41:AD41" si="33">SUM(T10:T33)</f>
        <v>1886.0714285714284</v>
      </c>
      <c r="U41" s="55">
        <f t="shared" si="33"/>
        <v>776</v>
      </c>
      <c r="V41" s="55">
        <f t="shared" si="33"/>
        <v>2017.0714285714284</v>
      </c>
      <c r="W41" s="55">
        <f t="shared" si="33"/>
        <v>52.785714285714285</v>
      </c>
      <c r="X41" s="55">
        <f t="shared" si="33"/>
        <v>7.4285714285714279</v>
      </c>
      <c r="Y41" s="55">
        <f t="shared" si="33"/>
        <v>547.78571428571422</v>
      </c>
      <c r="Z41" s="55">
        <f t="shared" si="33"/>
        <v>81.214285714285708</v>
      </c>
      <c r="AA41" s="55">
        <f t="shared" si="33"/>
        <v>32.642857142857139</v>
      </c>
      <c r="AB41" s="55">
        <f t="shared" si="33"/>
        <v>9.6428571428571423</v>
      </c>
      <c r="AC41" s="55">
        <f t="shared" si="33"/>
        <v>10667.571428571428</v>
      </c>
      <c r="AD41" s="55">
        <f t="shared" si="33"/>
        <v>1.4285714285714286</v>
      </c>
      <c r="AE41" s="56">
        <f>SUM(AE10:AE33)</f>
        <v>16578.428571428572</v>
      </c>
      <c r="AF41" s="56">
        <f>SUM(AF10:AF33)</f>
        <v>27246</v>
      </c>
    </row>
    <row r="42" spans="2:32" ht="23.1" customHeight="1">
      <c r="B42" s="24" t="s">
        <v>69</v>
      </c>
      <c r="C42" s="49">
        <f>'Avg Week Najjeera-Kiwatule'!C42+'Avg Week Kiwatule-Najjeera'!C42</f>
        <v>125.14285714285714</v>
      </c>
      <c r="D42" s="49">
        <f>'Avg Week Najjeera-Kiwatule'!D42+'Avg Week Kiwatule-Najjeera'!D42</f>
        <v>16</v>
      </c>
      <c r="E42" s="49">
        <f>'Avg Week Najjeera-Kiwatule'!E42+'Avg Week Kiwatule-Najjeera'!E42</f>
        <v>9.1428571428571423</v>
      </c>
      <c r="F42" s="49">
        <f>'Avg Week Najjeera-Kiwatule'!F42+'Avg Week Kiwatule-Najjeera'!F42</f>
        <v>26.857142857142858</v>
      </c>
      <c r="G42" s="49">
        <f>'Avg Week Najjeera-Kiwatule'!G42+'Avg Week Kiwatule-Najjeera'!G42</f>
        <v>1</v>
      </c>
      <c r="H42" s="49">
        <f>'Avg Week Najjeera-Kiwatule'!H42+'Avg Week Kiwatule-Najjeera'!H42</f>
        <v>0</v>
      </c>
      <c r="I42" s="49">
        <f>'Avg Week Najjeera-Kiwatule'!I42+'Avg Week Kiwatule-Najjeera'!I42</f>
        <v>13.714285714285715</v>
      </c>
      <c r="J42" s="49">
        <f>'Avg Week Najjeera-Kiwatule'!J42+'Avg Week Kiwatule-Najjeera'!J42</f>
        <v>1.2857142857142856</v>
      </c>
      <c r="K42" s="49">
        <f>'Avg Week Najjeera-Kiwatule'!K42+'Avg Week Kiwatule-Najjeera'!K42</f>
        <v>0.5714285714285714</v>
      </c>
      <c r="L42" s="49">
        <f>'Avg Week Najjeera-Kiwatule'!L42+'Avg Week Kiwatule-Najjeera'!L42</f>
        <v>0.14285714285714285</v>
      </c>
      <c r="M42" s="49">
        <f>'Avg Week Najjeera-Kiwatule'!M42+'Avg Week Kiwatule-Najjeera'!M42</f>
        <v>112.71428571428572</v>
      </c>
      <c r="N42" s="49">
        <f>'Avg Week Najjeera-Kiwatule'!N42+'Avg Week Kiwatule-Najjeera'!N42</f>
        <v>0.14285714285714285</v>
      </c>
      <c r="O42" s="15">
        <f t="shared" si="0"/>
        <v>194</v>
      </c>
      <c r="P42" s="15">
        <f t="shared" si="1"/>
        <v>306.71428571428572</v>
      </c>
      <c r="R42" s="5" t="s">
        <v>160</v>
      </c>
      <c r="S42" s="48">
        <f>S41/S40</f>
        <v>1.7733222923000136</v>
      </c>
      <c r="T42" s="48">
        <f t="shared" ref="T42:AF42" si="34">T41/T40</f>
        <v>1.9001871042026484</v>
      </c>
      <c r="U42" s="48">
        <f t="shared" si="34"/>
        <v>1.4752851711026616</v>
      </c>
      <c r="V42" s="48">
        <f t="shared" si="34"/>
        <v>1.4189026228519748</v>
      </c>
      <c r="W42" s="48">
        <f t="shared" si="34"/>
        <v>1.3787313432835822</v>
      </c>
      <c r="X42" s="48">
        <f t="shared" si="34"/>
        <v>1.1555555555555557</v>
      </c>
      <c r="Y42" s="48">
        <f t="shared" si="34"/>
        <v>1.291077441077441</v>
      </c>
      <c r="Z42" s="48">
        <f t="shared" si="34"/>
        <v>1.2549668874172186</v>
      </c>
      <c r="AA42" s="48">
        <f t="shared" si="34"/>
        <v>1.1598984771573606</v>
      </c>
      <c r="AB42" s="48">
        <f t="shared" si="34"/>
        <v>1.1842105263157894</v>
      </c>
      <c r="AC42" s="48">
        <f t="shared" si="34"/>
        <v>1.657080087876972</v>
      </c>
      <c r="AD42" s="48">
        <f t="shared" si="34"/>
        <v>3.3333333333333335</v>
      </c>
      <c r="AE42" s="54">
        <f t="shared" si="34"/>
        <v>1.6903950358328965</v>
      </c>
      <c r="AF42" s="54">
        <f t="shared" si="34"/>
        <v>1.6771929824561405</v>
      </c>
    </row>
    <row r="43" spans="2:32" ht="23.1" customHeight="1">
      <c r="B43" s="23" t="s">
        <v>70</v>
      </c>
      <c r="C43" s="49">
        <f>'Avg Week Najjeera-Kiwatule'!C43+'Avg Week Kiwatule-Najjeera'!C43</f>
        <v>114</v>
      </c>
      <c r="D43" s="49">
        <f>'Avg Week Najjeera-Kiwatule'!D43+'Avg Week Kiwatule-Najjeera'!D43</f>
        <v>19.428571428571431</v>
      </c>
      <c r="E43" s="49">
        <f>'Avg Week Najjeera-Kiwatule'!E43+'Avg Week Kiwatule-Najjeera'!E43</f>
        <v>12.571428571428571</v>
      </c>
      <c r="F43" s="49">
        <f>'Avg Week Najjeera-Kiwatule'!F43+'Avg Week Kiwatule-Najjeera'!F43</f>
        <v>24.142857142857142</v>
      </c>
      <c r="G43" s="49">
        <f>'Avg Week Najjeera-Kiwatule'!G43+'Avg Week Kiwatule-Najjeera'!G43</f>
        <v>0.85714285714285721</v>
      </c>
      <c r="H43" s="49">
        <f>'Avg Week Najjeera-Kiwatule'!H43+'Avg Week Kiwatule-Najjeera'!H43</f>
        <v>0.42857142857142855</v>
      </c>
      <c r="I43" s="49">
        <f>'Avg Week Najjeera-Kiwatule'!I43+'Avg Week Kiwatule-Najjeera'!I43</f>
        <v>8.7142857142857153</v>
      </c>
      <c r="J43" s="49">
        <f>'Avg Week Najjeera-Kiwatule'!J43+'Avg Week Kiwatule-Najjeera'!J43</f>
        <v>1.2857142857142856</v>
      </c>
      <c r="K43" s="49">
        <f>'Avg Week Najjeera-Kiwatule'!K43+'Avg Week Kiwatule-Najjeera'!K43</f>
        <v>0.2857142857142857</v>
      </c>
      <c r="L43" s="49">
        <f>'Avg Week Najjeera-Kiwatule'!L43+'Avg Week Kiwatule-Najjeera'!L43</f>
        <v>0.14285714285714285</v>
      </c>
      <c r="M43" s="49">
        <f>'Avg Week Najjeera-Kiwatule'!M43+'Avg Week Kiwatule-Najjeera'!M43</f>
        <v>124.85714285714286</v>
      </c>
      <c r="N43" s="49">
        <f>'Avg Week Najjeera-Kiwatule'!N43+'Avg Week Kiwatule-Najjeera'!N43</f>
        <v>0</v>
      </c>
      <c r="O43" s="15">
        <f t="shared" si="0"/>
        <v>181.85714285714286</v>
      </c>
      <c r="P43" s="15">
        <f t="shared" si="1"/>
        <v>306.71428571428572</v>
      </c>
    </row>
    <row r="44" spans="2:32" ht="23.1" customHeight="1">
      <c r="B44" s="25" t="s">
        <v>71</v>
      </c>
      <c r="C44" s="49">
        <f>'Avg Week Najjeera-Kiwatule'!C44+'Avg Week Kiwatule-Najjeera'!C44</f>
        <v>126</v>
      </c>
      <c r="D44" s="49">
        <f>'Avg Week Najjeera-Kiwatule'!D44+'Avg Week Kiwatule-Najjeera'!D44</f>
        <v>16.428571428571427</v>
      </c>
      <c r="E44" s="49">
        <f>'Avg Week Najjeera-Kiwatule'!E44+'Avg Week Kiwatule-Najjeera'!E44</f>
        <v>9.8571428571428577</v>
      </c>
      <c r="F44" s="49">
        <f>'Avg Week Najjeera-Kiwatule'!F44+'Avg Week Kiwatule-Najjeera'!F44</f>
        <v>23.571428571428569</v>
      </c>
      <c r="G44" s="49">
        <f>'Avg Week Najjeera-Kiwatule'!G44+'Avg Week Kiwatule-Najjeera'!G44</f>
        <v>0.42857142857142855</v>
      </c>
      <c r="H44" s="49">
        <f>'Avg Week Najjeera-Kiwatule'!H44+'Avg Week Kiwatule-Najjeera'!H44</f>
        <v>0</v>
      </c>
      <c r="I44" s="49">
        <f>'Avg Week Najjeera-Kiwatule'!I44+'Avg Week Kiwatule-Najjeera'!I44</f>
        <v>11</v>
      </c>
      <c r="J44" s="49">
        <f>'Avg Week Najjeera-Kiwatule'!J44+'Avg Week Kiwatule-Najjeera'!J44</f>
        <v>1.4285714285714286</v>
      </c>
      <c r="K44" s="49">
        <f>'Avg Week Najjeera-Kiwatule'!K44+'Avg Week Kiwatule-Najjeera'!K44</f>
        <v>1</v>
      </c>
      <c r="L44" s="49">
        <f>'Avg Week Najjeera-Kiwatule'!L44+'Avg Week Kiwatule-Najjeera'!L44</f>
        <v>0.42857142857142855</v>
      </c>
      <c r="M44" s="49">
        <f>'Avg Week Najjeera-Kiwatule'!M44+'Avg Week Kiwatule-Najjeera'!M44</f>
        <v>124</v>
      </c>
      <c r="N44" s="49">
        <f>'Avg Week Najjeera-Kiwatule'!N44+'Avg Week Kiwatule-Najjeera'!N44</f>
        <v>0</v>
      </c>
      <c r="O44" s="15">
        <f t="shared" si="0"/>
        <v>190.14285714285708</v>
      </c>
      <c r="P44" s="15">
        <f t="shared" si="1"/>
        <v>314.14285714285711</v>
      </c>
    </row>
    <row r="45" spans="2:32" ht="23.1" customHeight="1">
      <c r="B45" s="23" t="s">
        <v>72</v>
      </c>
      <c r="C45" s="49">
        <f>'Avg Week Najjeera-Kiwatule'!C45+'Avg Week Kiwatule-Najjeera'!C45</f>
        <v>115.28571428571428</v>
      </c>
      <c r="D45" s="49">
        <f>'Avg Week Najjeera-Kiwatule'!D45+'Avg Week Kiwatule-Najjeera'!D45</f>
        <v>17.714285714285715</v>
      </c>
      <c r="E45" s="49">
        <f>'Avg Week Najjeera-Kiwatule'!E45+'Avg Week Kiwatule-Najjeera'!E45</f>
        <v>8</v>
      </c>
      <c r="F45" s="49">
        <f>'Avg Week Najjeera-Kiwatule'!F45+'Avg Week Kiwatule-Najjeera'!F45</f>
        <v>26.285714285714285</v>
      </c>
      <c r="G45" s="49">
        <f>'Avg Week Najjeera-Kiwatule'!G45+'Avg Week Kiwatule-Najjeera'!G45</f>
        <v>0.5714285714285714</v>
      </c>
      <c r="H45" s="49">
        <f>'Avg Week Najjeera-Kiwatule'!H45+'Avg Week Kiwatule-Najjeera'!H45</f>
        <v>0</v>
      </c>
      <c r="I45" s="49">
        <f>'Avg Week Najjeera-Kiwatule'!I45+'Avg Week Kiwatule-Najjeera'!I45</f>
        <v>8.2857142857142847</v>
      </c>
      <c r="J45" s="49">
        <f>'Avg Week Najjeera-Kiwatule'!J45+'Avg Week Kiwatule-Najjeera'!J45</f>
        <v>2</v>
      </c>
      <c r="K45" s="49">
        <f>'Avg Week Najjeera-Kiwatule'!K45+'Avg Week Kiwatule-Najjeera'!K45</f>
        <v>0.71428571428571419</v>
      </c>
      <c r="L45" s="49">
        <f>'Avg Week Najjeera-Kiwatule'!L45+'Avg Week Kiwatule-Najjeera'!L45</f>
        <v>0.14285714285714285</v>
      </c>
      <c r="M45" s="49">
        <f>'Avg Week Najjeera-Kiwatule'!M45+'Avg Week Kiwatule-Najjeera'!M45</f>
        <v>117.85714285714286</v>
      </c>
      <c r="N45" s="49">
        <f>'Avg Week Najjeera-Kiwatule'!N45+'Avg Week Kiwatule-Najjeera'!N45</f>
        <v>0.14285714285714285</v>
      </c>
      <c r="O45" s="15">
        <f t="shared" si="0"/>
        <v>179.14285714285714</v>
      </c>
      <c r="P45" s="15">
        <f t="shared" si="1"/>
        <v>297.00000000000006</v>
      </c>
    </row>
    <row r="46" spans="2:32" ht="23.1" customHeight="1">
      <c r="B46" s="24" t="s">
        <v>73</v>
      </c>
      <c r="C46" s="49">
        <f>'Avg Week Najjeera-Kiwatule'!C46+'Avg Week Kiwatule-Najjeera'!C46</f>
        <v>136.57142857142856</v>
      </c>
      <c r="D46" s="49">
        <f>'Avg Week Najjeera-Kiwatule'!D46+'Avg Week Kiwatule-Najjeera'!D46</f>
        <v>16.428571428571431</v>
      </c>
      <c r="E46" s="49">
        <f>'Avg Week Najjeera-Kiwatule'!E46+'Avg Week Kiwatule-Najjeera'!E46</f>
        <v>10</v>
      </c>
      <c r="F46" s="49">
        <f>'Avg Week Najjeera-Kiwatule'!F46+'Avg Week Kiwatule-Najjeera'!F46</f>
        <v>22.857142857142854</v>
      </c>
      <c r="G46" s="49">
        <f>'Avg Week Najjeera-Kiwatule'!G46+'Avg Week Kiwatule-Najjeera'!G46</f>
        <v>0.5714285714285714</v>
      </c>
      <c r="H46" s="49">
        <f>'Avg Week Najjeera-Kiwatule'!H46+'Avg Week Kiwatule-Najjeera'!H46</f>
        <v>0</v>
      </c>
      <c r="I46" s="49">
        <f>'Avg Week Najjeera-Kiwatule'!I46+'Avg Week Kiwatule-Najjeera'!I46</f>
        <v>9.5714285714285712</v>
      </c>
      <c r="J46" s="49">
        <f>'Avg Week Najjeera-Kiwatule'!J46+'Avg Week Kiwatule-Najjeera'!J46</f>
        <v>0.71428571428571419</v>
      </c>
      <c r="K46" s="49">
        <f>'Avg Week Najjeera-Kiwatule'!K46+'Avg Week Kiwatule-Najjeera'!K46</f>
        <v>1.8571428571428572</v>
      </c>
      <c r="L46" s="49">
        <f>'Avg Week Najjeera-Kiwatule'!L46+'Avg Week Kiwatule-Najjeera'!L46</f>
        <v>0.2857142857142857</v>
      </c>
      <c r="M46" s="49">
        <f>'Avg Week Najjeera-Kiwatule'!M46+'Avg Week Kiwatule-Najjeera'!M46</f>
        <v>113.57142857142858</v>
      </c>
      <c r="N46" s="49">
        <f>'Avg Week Najjeera-Kiwatule'!N46+'Avg Week Kiwatule-Najjeera'!N46</f>
        <v>0</v>
      </c>
      <c r="O46" s="15">
        <f t="shared" si="0"/>
        <v>198.85714285714289</v>
      </c>
      <c r="P46" s="15">
        <f t="shared" si="1"/>
        <v>312.42857142857144</v>
      </c>
    </row>
    <row r="47" spans="2:32" ht="23.1" customHeight="1">
      <c r="B47" s="24" t="s">
        <v>74</v>
      </c>
      <c r="C47" s="49">
        <f>'Avg Week Najjeera-Kiwatule'!C47+'Avg Week Kiwatule-Najjeera'!C47</f>
        <v>147.71428571428572</v>
      </c>
      <c r="D47" s="49">
        <f>'Avg Week Najjeera-Kiwatule'!D47+'Avg Week Kiwatule-Najjeera'!D47</f>
        <v>22.857142857142858</v>
      </c>
      <c r="E47" s="49">
        <f>'Avg Week Najjeera-Kiwatule'!E47+'Avg Week Kiwatule-Najjeera'!E47</f>
        <v>10.571428571428571</v>
      </c>
      <c r="F47" s="49">
        <f>'Avg Week Najjeera-Kiwatule'!F47+'Avg Week Kiwatule-Najjeera'!F47</f>
        <v>25.285714285714285</v>
      </c>
      <c r="G47" s="49">
        <f>'Avg Week Najjeera-Kiwatule'!G47+'Avg Week Kiwatule-Najjeera'!G47</f>
        <v>0</v>
      </c>
      <c r="H47" s="49">
        <f>'Avg Week Najjeera-Kiwatule'!H47+'Avg Week Kiwatule-Najjeera'!H47</f>
        <v>0.2857142857142857</v>
      </c>
      <c r="I47" s="49">
        <f>'Avg Week Najjeera-Kiwatule'!I47+'Avg Week Kiwatule-Najjeera'!I47</f>
        <v>6.5714285714285712</v>
      </c>
      <c r="J47" s="49">
        <f>'Avg Week Najjeera-Kiwatule'!J47+'Avg Week Kiwatule-Najjeera'!J47</f>
        <v>1.5714285714285714</v>
      </c>
      <c r="K47" s="49">
        <f>'Avg Week Najjeera-Kiwatule'!K47+'Avg Week Kiwatule-Najjeera'!K47</f>
        <v>0.5714285714285714</v>
      </c>
      <c r="L47" s="49">
        <f>'Avg Week Najjeera-Kiwatule'!L47+'Avg Week Kiwatule-Najjeera'!L47</f>
        <v>0</v>
      </c>
      <c r="M47" s="49">
        <f>'Avg Week Najjeera-Kiwatule'!M47+'Avg Week Kiwatule-Najjeera'!M47</f>
        <v>101</v>
      </c>
      <c r="N47" s="49">
        <f>'Avg Week Najjeera-Kiwatule'!N47+'Avg Week Kiwatule-Najjeera'!N47</f>
        <v>0</v>
      </c>
      <c r="O47" s="15">
        <f t="shared" si="0"/>
        <v>215.42857142857147</v>
      </c>
      <c r="P47" s="15">
        <f t="shared" si="1"/>
        <v>316.42857142857144</v>
      </c>
    </row>
    <row r="48" spans="2:32" ht="23.1" customHeight="1">
      <c r="B48" s="24" t="s">
        <v>75</v>
      </c>
      <c r="C48" s="49">
        <f>'Avg Week Najjeera-Kiwatule'!C48+'Avg Week Kiwatule-Najjeera'!C48</f>
        <v>138.42857142857142</v>
      </c>
      <c r="D48" s="49">
        <f>'Avg Week Najjeera-Kiwatule'!D48+'Avg Week Kiwatule-Najjeera'!D48</f>
        <v>25.142857142857142</v>
      </c>
      <c r="E48" s="49">
        <f>'Avg Week Najjeera-Kiwatule'!E48+'Avg Week Kiwatule-Najjeera'!E48</f>
        <v>13.285714285714285</v>
      </c>
      <c r="F48" s="49">
        <f>'Avg Week Najjeera-Kiwatule'!F48+'Avg Week Kiwatule-Najjeera'!F48</f>
        <v>21.714285714285715</v>
      </c>
      <c r="G48" s="49">
        <f>'Avg Week Najjeera-Kiwatule'!G48+'Avg Week Kiwatule-Najjeera'!G48</f>
        <v>0.42857142857142855</v>
      </c>
      <c r="H48" s="49">
        <f>'Avg Week Najjeera-Kiwatule'!H48+'Avg Week Kiwatule-Najjeera'!H48</f>
        <v>0</v>
      </c>
      <c r="I48" s="49">
        <f>'Avg Week Najjeera-Kiwatule'!I48+'Avg Week Kiwatule-Najjeera'!I48</f>
        <v>11</v>
      </c>
      <c r="J48" s="49">
        <f>'Avg Week Najjeera-Kiwatule'!J48+'Avg Week Kiwatule-Najjeera'!J48</f>
        <v>1.4285714285714286</v>
      </c>
      <c r="K48" s="49">
        <f>'Avg Week Najjeera-Kiwatule'!K48+'Avg Week Kiwatule-Najjeera'!K48</f>
        <v>0.5714285714285714</v>
      </c>
      <c r="L48" s="49">
        <f>'Avg Week Najjeera-Kiwatule'!L48+'Avg Week Kiwatule-Najjeera'!L48</f>
        <v>0.14285714285714285</v>
      </c>
      <c r="M48" s="49">
        <f>'Avg Week Najjeera-Kiwatule'!M48+'Avg Week Kiwatule-Najjeera'!M48</f>
        <v>130.71428571428572</v>
      </c>
      <c r="N48" s="49">
        <f>'Avg Week Najjeera-Kiwatule'!N48+'Avg Week Kiwatule-Najjeera'!N48</f>
        <v>0</v>
      </c>
      <c r="O48" s="15">
        <f t="shared" si="0"/>
        <v>212.14285714285711</v>
      </c>
      <c r="P48" s="15">
        <f t="shared" si="1"/>
        <v>342.85714285714283</v>
      </c>
    </row>
    <row r="49" spans="2:20" ht="23.1" customHeight="1">
      <c r="B49" s="23" t="s">
        <v>76</v>
      </c>
      <c r="C49" s="49">
        <f>'Avg Week Najjeera-Kiwatule'!C49+'Avg Week Kiwatule-Najjeera'!C49</f>
        <v>161.71428571428572</v>
      </c>
      <c r="D49" s="49">
        <f>'Avg Week Najjeera-Kiwatule'!D49+'Avg Week Kiwatule-Najjeera'!D49</f>
        <v>26.714285714285715</v>
      </c>
      <c r="E49" s="49">
        <f>'Avg Week Najjeera-Kiwatule'!E49+'Avg Week Kiwatule-Najjeera'!E49</f>
        <v>10.428571428571427</v>
      </c>
      <c r="F49" s="49">
        <f>'Avg Week Najjeera-Kiwatule'!F49+'Avg Week Kiwatule-Najjeera'!F49</f>
        <v>23.142857142857142</v>
      </c>
      <c r="G49" s="49">
        <f>'Avg Week Najjeera-Kiwatule'!G49+'Avg Week Kiwatule-Najjeera'!G49</f>
        <v>1.1428571428571428</v>
      </c>
      <c r="H49" s="49">
        <f>'Avg Week Najjeera-Kiwatule'!H49+'Avg Week Kiwatule-Najjeera'!H49</f>
        <v>0.2857142857142857</v>
      </c>
      <c r="I49" s="49">
        <f>'Avg Week Najjeera-Kiwatule'!I49+'Avg Week Kiwatule-Najjeera'!I49</f>
        <v>8</v>
      </c>
      <c r="J49" s="49">
        <f>'Avg Week Najjeera-Kiwatule'!J49+'Avg Week Kiwatule-Najjeera'!J49</f>
        <v>2</v>
      </c>
      <c r="K49" s="49">
        <f>'Avg Week Najjeera-Kiwatule'!K49+'Avg Week Kiwatule-Najjeera'!K49</f>
        <v>0.5714285714285714</v>
      </c>
      <c r="L49" s="49">
        <f>'Avg Week Najjeera-Kiwatule'!L49+'Avg Week Kiwatule-Najjeera'!L49</f>
        <v>0.14285714285714285</v>
      </c>
      <c r="M49" s="49">
        <f>'Avg Week Najjeera-Kiwatule'!M49+'Avg Week Kiwatule-Najjeera'!M49</f>
        <v>126.28571428571428</v>
      </c>
      <c r="N49" s="49">
        <f>'Avg Week Najjeera-Kiwatule'!N49+'Avg Week Kiwatule-Najjeera'!N49</f>
        <v>0</v>
      </c>
      <c r="O49" s="15">
        <f t="shared" si="0"/>
        <v>234.14285714285714</v>
      </c>
      <c r="P49" s="15">
        <f t="shared" si="1"/>
        <v>360.42857142857144</v>
      </c>
    </row>
    <row r="50" spans="2:20" ht="23.1" customHeight="1">
      <c r="B50" s="24" t="s">
        <v>77</v>
      </c>
      <c r="C50" s="49">
        <f>'Avg Week Najjeera-Kiwatule'!C50+'Avg Week Kiwatule-Najjeera'!C50</f>
        <v>172.14285714285714</v>
      </c>
      <c r="D50" s="49">
        <f>'Avg Week Najjeera-Kiwatule'!D50+'Avg Week Kiwatule-Najjeera'!D50</f>
        <v>24.428571428571431</v>
      </c>
      <c r="E50" s="49">
        <f>'Avg Week Najjeera-Kiwatule'!E50+'Avg Week Kiwatule-Najjeera'!E50</f>
        <v>12.571428571428573</v>
      </c>
      <c r="F50" s="49">
        <f>'Avg Week Najjeera-Kiwatule'!F50+'Avg Week Kiwatule-Najjeera'!F50</f>
        <v>26</v>
      </c>
      <c r="G50" s="49">
        <f>'Avg Week Najjeera-Kiwatule'!G50+'Avg Week Kiwatule-Najjeera'!G50</f>
        <v>2</v>
      </c>
      <c r="H50" s="49">
        <f>'Avg Week Najjeera-Kiwatule'!H50+'Avg Week Kiwatule-Najjeera'!H50</f>
        <v>0.2857142857142857</v>
      </c>
      <c r="I50" s="49">
        <f>'Avg Week Najjeera-Kiwatule'!I50+'Avg Week Kiwatule-Najjeera'!I50</f>
        <v>10.571428571428571</v>
      </c>
      <c r="J50" s="49">
        <f>'Avg Week Najjeera-Kiwatule'!J50+'Avg Week Kiwatule-Najjeera'!J50</f>
        <v>2</v>
      </c>
      <c r="K50" s="49">
        <f>'Avg Week Najjeera-Kiwatule'!K50+'Avg Week Kiwatule-Najjeera'!K50</f>
        <v>0.2857142857142857</v>
      </c>
      <c r="L50" s="49">
        <f>'Avg Week Najjeera-Kiwatule'!L50+'Avg Week Kiwatule-Najjeera'!L50</f>
        <v>0.14285714285714285</v>
      </c>
      <c r="M50" s="49">
        <f>'Avg Week Najjeera-Kiwatule'!M50+'Avg Week Kiwatule-Najjeera'!M50</f>
        <v>140</v>
      </c>
      <c r="N50" s="49">
        <f>'Avg Week Najjeera-Kiwatule'!N50+'Avg Week Kiwatule-Najjeera'!N50</f>
        <v>0</v>
      </c>
      <c r="O50" s="15">
        <f t="shared" si="0"/>
        <v>250.42857142857142</v>
      </c>
      <c r="P50" s="15">
        <f t="shared" si="1"/>
        <v>390.42857142857144</v>
      </c>
    </row>
    <row r="51" spans="2:20" ht="23.1" customHeight="1">
      <c r="B51" s="24" t="s">
        <v>78</v>
      </c>
      <c r="C51" s="49">
        <f>'Avg Week Najjeera-Kiwatule'!C51+'Avg Week Kiwatule-Najjeera'!C51</f>
        <v>173.71428571428572</v>
      </c>
      <c r="D51" s="49">
        <f>'Avg Week Najjeera-Kiwatule'!D51+'Avg Week Kiwatule-Najjeera'!D51</f>
        <v>28.142857142857146</v>
      </c>
      <c r="E51" s="49">
        <f>'Avg Week Najjeera-Kiwatule'!E51+'Avg Week Kiwatule-Najjeera'!E51</f>
        <v>14.285714285714285</v>
      </c>
      <c r="F51" s="49">
        <f>'Avg Week Najjeera-Kiwatule'!F51+'Avg Week Kiwatule-Najjeera'!F51</f>
        <v>26.428571428571431</v>
      </c>
      <c r="G51" s="49">
        <f>'Avg Week Najjeera-Kiwatule'!G51+'Avg Week Kiwatule-Najjeera'!G51</f>
        <v>1.8571428571428572</v>
      </c>
      <c r="H51" s="49">
        <f>'Avg Week Najjeera-Kiwatule'!H51+'Avg Week Kiwatule-Najjeera'!H51</f>
        <v>0</v>
      </c>
      <c r="I51" s="49">
        <f>'Avg Week Najjeera-Kiwatule'!I51+'Avg Week Kiwatule-Najjeera'!I51</f>
        <v>10</v>
      </c>
      <c r="J51" s="49">
        <f>'Avg Week Najjeera-Kiwatule'!J51+'Avg Week Kiwatule-Najjeera'!J51</f>
        <v>0.85714285714285721</v>
      </c>
      <c r="K51" s="49">
        <f>'Avg Week Najjeera-Kiwatule'!K51+'Avg Week Kiwatule-Najjeera'!K51</f>
        <v>1.1428571428571428</v>
      </c>
      <c r="L51" s="49">
        <f>'Avg Week Najjeera-Kiwatule'!L51+'Avg Week Kiwatule-Najjeera'!L51</f>
        <v>0.2857142857142857</v>
      </c>
      <c r="M51" s="49">
        <f>'Avg Week Najjeera-Kiwatule'!M51+'Avg Week Kiwatule-Najjeera'!M51</f>
        <v>142.14285714285714</v>
      </c>
      <c r="N51" s="49">
        <f>'Avg Week Najjeera-Kiwatule'!N51+'Avg Week Kiwatule-Najjeera'!N51</f>
        <v>0</v>
      </c>
      <c r="O51" s="15">
        <f t="shared" si="0"/>
        <v>256.71428571428572</v>
      </c>
      <c r="P51" s="15">
        <f t="shared" si="1"/>
        <v>398.85714285714289</v>
      </c>
      <c r="R51" s="8"/>
      <c r="T51"/>
    </row>
    <row r="52" spans="2:20" ht="23.1" customHeight="1">
      <c r="B52" s="24" t="s">
        <v>79</v>
      </c>
      <c r="C52" s="49">
        <f>'Avg Week Najjeera-Kiwatule'!C52+'Avg Week Kiwatule-Najjeera'!C52</f>
        <v>152.71428571428572</v>
      </c>
      <c r="D52" s="49">
        <f>'Avg Week Najjeera-Kiwatule'!D52+'Avg Week Kiwatule-Najjeera'!D52</f>
        <v>26.714285714285715</v>
      </c>
      <c r="E52" s="49">
        <f>'Avg Week Najjeera-Kiwatule'!E52+'Avg Week Kiwatule-Najjeera'!E52</f>
        <v>12.714285714285715</v>
      </c>
      <c r="F52" s="49">
        <f>'Avg Week Najjeera-Kiwatule'!F52+'Avg Week Kiwatule-Najjeera'!F52</f>
        <v>26.285714285714285</v>
      </c>
      <c r="G52" s="49">
        <f>'Avg Week Najjeera-Kiwatule'!G52+'Avg Week Kiwatule-Najjeera'!G52</f>
        <v>1.1428571428571428</v>
      </c>
      <c r="H52" s="49">
        <f>'Avg Week Najjeera-Kiwatule'!H52+'Avg Week Kiwatule-Najjeera'!H52</f>
        <v>0.14285714285714285</v>
      </c>
      <c r="I52" s="49">
        <f>'Avg Week Najjeera-Kiwatule'!I52+'Avg Week Kiwatule-Najjeera'!I52</f>
        <v>5.7142857142857135</v>
      </c>
      <c r="J52" s="49">
        <f>'Avg Week Najjeera-Kiwatule'!J52+'Avg Week Kiwatule-Najjeera'!J52</f>
        <v>0.85714285714285721</v>
      </c>
      <c r="K52" s="49">
        <f>'Avg Week Najjeera-Kiwatule'!K52+'Avg Week Kiwatule-Najjeera'!K52</f>
        <v>0.42857142857142855</v>
      </c>
      <c r="L52" s="49">
        <f>'Avg Week Najjeera-Kiwatule'!L52+'Avg Week Kiwatule-Najjeera'!L52</f>
        <v>0</v>
      </c>
      <c r="M52" s="49">
        <f>'Avg Week Najjeera-Kiwatule'!M52+'Avg Week Kiwatule-Najjeera'!M52</f>
        <v>159.71428571428572</v>
      </c>
      <c r="N52" s="49">
        <f>'Avg Week Najjeera-Kiwatule'!N52+'Avg Week Kiwatule-Najjeera'!N52</f>
        <v>0</v>
      </c>
      <c r="O52" s="15">
        <f t="shared" si="0"/>
        <v>226.71428571428572</v>
      </c>
      <c r="P52" s="15">
        <f t="shared" si="1"/>
        <v>386.42857142857144</v>
      </c>
      <c r="R52" s="8"/>
      <c r="T52"/>
    </row>
    <row r="53" spans="2:20" ht="23.1" customHeight="1">
      <c r="B53" s="23" t="s">
        <v>80</v>
      </c>
      <c r="C53" s="49">
        <f>'Avg Week Najjeera-Kiwatule'!C53+'Avg Week Kiwatule-Najjeera'!C53</f>
        <v>125.14285714285714</v>
      </c>
      <c r="D53" s="49">
        <f>'Avg Week Najjeera-Kiwatule'!D53+'Avg Week Kiwatule-Najjeera'!D53</f>
        <v>19.714285714285715</v>
      </c>
      <c r="E53" s="49">
        <f>'Avg Week Najjeera-Kiwatule'!E53+'Avg Week Kiwatule-Najjeera'!E53</f>
        <v>13</v>
      </c>
      <c r="F53" s="49">
        <f>'Avg Week Najjeera-Kiwatule'!F53+'Avg Week Kiwatule-Najjeera'!F53</f>
        <v>27.285714285714285</v>
      </c>
      <c r="G53" s="49">
        <f>'Avg Week Najjeera-Kiwatule'!G53+'Avg Week Kiwatule-Najjeera'!G53</f>
        <v>1.7142857142857144</v>
      </c>
      <c r="H53" s="49">
        <f>'Avg Week Najjeera-Kiwatule'!H53+'Avg Week Kiwatule-Najjeera'!H53</f>
        <v>0.14285714285714285</v>
      </c>
      <c r="I53" s="49">
        <f>'Avg Week Najjeera-Kiwatule'!I53+'Avg Week Kiwatule-Najjeera'!I53</f>
        <v>7.8571428571428568</v>
      </c>
      <c r="J53" s="49">
        <f>'Avg Week Najjeera-Kiwatule'!J53+'Avg Week Kiwatule-Najjeera'!J53</f>
        <v>0.85714285714285721</v>
      </c>
      <c r="K53" s="49">
        <f>'Avg Week Najjeera-Kiwatule'!K53+'Avg Week Kiwatule-Najjeera'!K53</f>
        <v>0.5714285714285714</v>
      </c>
      <c r="L53" s="49">
        <f>'Avg Week Najjeera-Kiwatule'!L53+'Avg Week Kiwatule-Najjeera'!L53</f>
        <v>0</v>
      </c>
      <c r="M53" s="49">
        <f>'Avg Week Najjeera-Kiwatule'!M53+'Avg Week Kiwatule-Najjeera'!M53</f>
        <v>172.85714285714286</v>
      </c>
      <c r="N53" s="49">
        <f>'Avg Week Najjeera-Kiwatule'!N53+'Avg Week Kiwatule-Najjeera'!N53</f>
        <v>0</v>
      </c>
      <c r="O53" s="15">
        <f t="shared" si="0"/>
        <v>196.28571428571431</v>
      </c>
      <c r="P53" s="15">
        <f t="shared" si="1"/>
        <v>369.14285714285717</v>
      </c>
      <c r="R53" s="8"/>
      <c r="T53"/>
    </row>
    <row r="54" spans="2:20" ht="23.1" customHeight="1">
      <c r="B54" s="23" t="s">
        <v>81</v>
      </c>
      <c r="C54" s="49">
        <f>'Avg Week Najjeera-Kiwatule'!C54+'Avg Week Kiwatule-Najjeera'!C54</f>
        <v>171.28571428571428</v>
      </c>
      <c r="D54" s="49">
        <f>'Avg Week Najjeera-Kiwatule'!D54+'Avg Week Kiwatule-Najjeera'!D54</f>
        <v>26.428571428571431</v>
      </c>
      <c r="E54" s="49">
        <f>'Avg Week Najjeera-Kiwatule'!E54+'Avg Week Kiwatule-Najjeera'!E54</f>
        <v>9.1428571428571423</v>
      </c>
      <c r="F54" s="49">
        <f>'Avg Week Najjeera-Kiwatule'!F54+'Avg Week Kiwatule-Najjeera'!F54</f>
        <v>26.714285714285715</v>
      </c>
      <c r="G54" s="49">
        <f>'Avg Week Najjeera-Kiwatule'!G54+'Avg Week Kiwatule-Najjeera'!G54</f>
        <v>1.8571428571428572</v>
      </c>
      <c r="H54" s="49">
        <f>'Avg Week Najjeera-Kiwatule'!H54+'Avg Week Kiwatule-Najjeera'!H54</f>
        <v>0.2857142857142857</v>
      </c>
      <c r="I54" s="49">
        <f>'Avg Week Najjeera-Kiwatule'!I54+'Avg Week Kiwatule-Najjeera'!I54</f>
        <v>7.4285714285714288</v>
      </c>
      <c r="J54" s="49">
        <f>'Avg Week Najjeera-Kiwatule'!J54+'Avg Week Kiwatule-Najjeera'!J54</f>
        <v>0.5714285714285714</v>
      </c>
      <c r="K54" s="49">
        <f>'Avg Week Najjeera-Kiwatule'!K54+'Avg Week Kiwatule-Najjeera'!K54</f>
        <v>0.5714285714285714</v>
      </c>
      <c r="L54" s="49">
        <f>'Avg Week Najjeera-Kiwatule'!L54+'Avg Week Kiwatule-Najjeera'!L54</f>
        <v>0.14285714285714285</v>
      </c>
      <c r="M54" s="49">
        <f>'Avg Week Najjeera-Kiwatule'!M54+'Avg Week Kiwatule-Najjeera'!M54</f>
        <v>146.28571428571428</v>
      </c>
      <c r="N54" s="49">
        <f>'Avg Week Najjeera-Kiwatule'!N54+'Avg Week Kiwatule-Najjeera'!N54</f>
        <v>0</v>
      </c>
      <c r="O54" s="15">
        <f t="shared" si="0"/>
        <v>244.42857142857144</v>
      </c>
      <c r="P54" s="15">
        <f t="shared" si="1"/>
        <v>390.71428571428572</v>
      </c>
      <c r="R54" s="8"/>
      <c r="T54"/>
    </row>
    <row r="55" spans="2:20" ht="23.1" customHeight="1">
      <c r="B55" s="23" t="s">
        <v>82</v>
      </c>
      <c r="C55" s="49">
        <f>'Avg Week Najjeera-Kiwatule'!C55+'Avg Week Kiwatule-Najjeera'!C55</f>
        <v>154.14285714285714</v>
      </c>
      <c r="D55" s="49">
        <f>'Avg Week Najjeera-Kiwatule'!D55+'Avg Week Kiwatule-Najjeera'!D55</f>
        <v>20.571428571428573</v>
      </c>
      <c r="E55" s="49">
        <f>'Avg Week Najjeera-Kiwatule'!E55+'Avg Week Kiwatule-Najjeera'!E55</f>
        <v>12.714285714285714</v>
      </c>
      <c r="F55" s="49">
        <f>'Avg Week Najjeera-Kiwatule'!F55+'Avg Week Kiwatule-Najjeera'!F55</f>
        <v>26.714285714285715</v>
      </c>
      <c r="G55" s="49">
        <f>'Avg Week Najjeera-Kiwatule'!G55+'Avg Week Kiwatule-Najjeera'!G55</f>
        <v>1</v>
      </c>
      <c r="H55" s="49">
        <f>'Avg Week Najjeera-Kiwatule'!H55+'Avg Week Kiwatule-Najjeera'!H55</f>
        <v>0.5714285714285714</v>
      </c>
      <c r="I55" s="49">
        <f>'Avg Week Najjeera-Kiwatule'!I55+'Avg Week Kiwatule-Najjeera'!I55</f>
        <v>9.2857142857142865</v>
      </c>
      <c r="J55" s="49">
        <f>'Avg Week Najjeera-Kiwatule'!J55+'Avg Week Kiwatule-Najjeera'!J55</f>
        <v>1.5714285714285714</v>
      </c>
      <c r="K55" s="49">
        <f>'Avg Week Najjeera-Kiwatule'!K55+'Avg Week Kiwatule-Najjeera'!K55</f>
        <v>0.71428571428571419</v>
      </c>
      <c r="L55" s="49">
        <f>'Avg Week Najjeera-Kiwatule'!L55+'Avg Week Kiwatule-Najjeera'!L55</f>
        <v>0.2857142857142857</v>
      </c>
      <c r="M55" s="49">
        <f>'Avg Week Najjeera-Kiwatule'!M55+'Avg Week Kiwatule-Najjeera'!M55</f>
        <v>153</v>
      </c>
      <c r="N55" s="49">
        <f>'Avg Week Najjeera-Kiwatule'!N55+'Avg Week Kiwatule-Najjeera'!N55</f>
        <v>0</v>
      </c>
      <c r="O55" s="15">
        <f t="shared" si="0"/>
        <v>227.57142857142861</v>
      </c>
      <c r="P55" s="15">
        <f t="shared" si="1"/>
        <v>380.57142857142861</v>
      </c>
      <c r="R55" s="8"/>
      <c r="T55"/>
    </row>
    <row r="56" spans="2:20" ht="23.1" customHeight="1">
      <c r="B56" s="23" t="s">
        <v>83</v>
      </c>
      <c r="C56" s="49">
        <f>'Avg Week Najjeera-Kiwatule'!C56+'Avg Week Kiwatule-Najjeera'!C56</f>
        <v>162.28571428571428</v>
      </c>
      <c r="D56" s="49">
        <f>'Avg Week Najjeera-Kiwatule'!D56+'Avg Week Kiwatule-Najjeera'!D56</f>
        <v>23.285714285714285</v>
      </c>
      <c r="E56" s="49">
        <f>'Avg Week Najjeera-Kiwatule'!E56+'Avg Week Kiwatule-Najjeera'!E56</f>
        <v>11.428571428571427</v>
      </c>
      <c r="F56" s="49">
        <f>'Avg Week Najjeera-Kiwatule'!F56+'Avg Week Kiwatule-Najjeera'!F56</f>
        <v>30.571428571428573</v>
      </c>
      <c r="G56" s="49">
        <f>'Avg Week Najjeera-Kiwatule'!G56+'Avg Week Kiwatule-Najjeera'!G56</f>
        <v>2</v>
      </c>
      <c r="H56" s="49">
        <f>'Avg Week Najjeera-Kiwatule'!H56+'Avg Week Kiwatule-Najjeera'!H56</f>
        <v>0.14285714285714285</v>
      </c>
      <c r="I56" s="49">
        <f>'Avg Week Najjeera-Kiwatule'!I56+'Avg Week Kiwatule-Najjeera'!I56</f>
        <v>11</v>
      </c>
      <c r="J56" s="49">
        <f>'Avg Week Najjeera-Kiwatule'!J56+'Avg Week Kiwatule-Najjeera'!J56</f>
        <v>1</v>
      </c>
      <c r="K56" s="49">
        <f>'Avg Week Najjeera-Kiwatule'!K56+'Avg Week Kiwatule-Najjeera'!K56</f>
        <v>0.42857142857142855</v>
      </c>
      <c r="L56" s="49">
        <f>'Avg Week Najjeera-Kiwatule'!L56+'Avg Week Kiwatule-Najjeera'!L56</f>
        <v>0.14285714285714285</v>
      </c>
      <c r="M56" s="49">
        <f>'Avg Week Najjeera-Kiwatule'!M56+'Avg Week Kiwatule-Najjeera'!M56</f>
        <v>160.85714285714286</v>
      </c>
      <c r="N56" s="49">
        <f>'Avg Week Najjeera-Kiwatule'!N56+'Avg Week Kiwatule-Najjeera'!N56</f>
        <v>0</v>
      </c>
      <c r="O56" s="15">
        <f t="shared" si="0"/>
        <v>242.28571428571425</v>
      </c>
      <c r="P56" s="15">
        <f t="shared" si="1"/>
        <v>403.14285714285711</v>
      </c>
      <c r="R56" s="8"/>
      <c r="T56"/>
    </row>
    <row r="57" spans="2:20" ht="23.1" customHeight="1">
      <c r="B57" s="23" t="s">
        <v>84</v>
      </c>
      <c r="C57" s="49">
        <f>'Avg Week Najjeera-Kiwatule'!C57+'Avg Week Kiwatule-Najjeera'!C57</f>
        <v>158.71428571428572</v>
      </c>
      <c r="D57" s="49">
        <f>'Avg Week Najjeera-Kiwatule'!D57+'Avg Week Kiwatule-Najjeera'!D57</f>
        <v>28.714285714285715</v>
      </c>
      <c r="E57" s="49">
        <f>'Avg Week Najjeera-Kiwatule'!E57+'Avg Week Kiwatule-Najjeera'!E57</f>
        <v>13.142857142857142</v>
      </c>
      <c r="F57" s="49">
        <f>'Avg Week Najjeera-Kiwatule'!F57+'Avg Week Kiwatule-Najjeera'!F57</f>
        <v>30</v>
      </c>
      <c r="G57" s="49">
        <f>'Avg Week Najjeera-Kiwatule'!G57+'Avg Week Kiwatule-Najjeera'!G57</f>
        <v>0.71428571428571419</v>
      </c>
      <c r="H57" s="49">
        <f>'Avg Week Najjeera-Kiwatule'!H57+'Avg Week Kiwatule-Najjeera'!H57</f>
        <v>0.42857142857142855</v>
      </c>
      <c r="I57" s="49">
        <f>'Avg Week Najjeera-Kiwatule'!I57+'Avg Week Kiwatule-Najjeera'!I57</f>
        <v>6.7142857142857135</v>
      </c>
      <c r="J57" s="49">
        <f>'Avg Week Najjeera-Kiwatule'!J57+'Avg Week Kiwatule-Najjeera'!J57</f>
        <v>0.2857142857142857</v>
      </c>
      <c r="K57" s="49">
        <f>'Avg Week Najjeera-Kiwatule'!K57+'Avg Week Kiwatule-Najjeera'!K57</f>
        <v>0.2857142857142857</v>
      </c>
      <c r="L57" s="49">
        <f>'Avg Week Najjeera-Kiwatule'!L57+'Avg Week Kiwatule-Najjeera'!L57</f>
        <v>0</v>
      </c>
      <c r="M57" s="49">
        <f>'Avg Week Najjeera-Kiwatule'!M57+'Avg Week Kiwatule-Najjeera'!M57</f>
        <v>202.71428571428572</v>
      </c>
      <c r="N57" s="49">
        <f>'Avg Week Najjeera-Kiwatule'!N57+'Avg Week Kiwatule-Najjeera'!N57</f>
        <v>0</v>
      </c>
      <c r="O57" s="15">
        <f t="shared" si="0"/>
        <v>239</v>
      </c>
      <c r="P57" s="15">
        <f t="shared" si="1"/>
        <v>441.71428571428572</v>
      </c>
      <c r="R57" s="8"/>
      <c r="T57"/>
    </row>
    <row r="58" spans="2:20" ht="23.1" customHeight="1">
      <c r="B58" s="23" t="s">
        <v>99</v>
      </c>
      <c r="C58" s="49">
        <f>'Avg Week Najjeera-Kiwatule'!C58+'Avg Week Kiwatule-Najjeera'!C58</f>
        <v>144</v>
      </c>
      <c r="D58" s="49">
        <f>'Avg Week Najjeera-Kiwatule'!D58+'Avg Week Kiwatule-Najjeera'!D58</f>
        <v>28.5</v>
      </c>
      <c r="E58" s="49">
        <f>'Avg Week Najjeera-Kiwatule'!E58+'Avg Week Kiwatule-Najjeera'!E58</f>
        <v>7</v>
      </c>
      <c r="F58" s="49">
        <f>'Avg Week Najjeera-Kiwatule'!F58+'Avg Week Kiwatule-Najjeera'!F58</f>
        <v>29.5</v>
      </c>
      <c r="G58" s="49">
        <f>'Avg Week Najjeera-Kiwatule'!G58+'Avg Week Kiwatule-Najjeera'!G58</f>
        <v>0</v>
      </c>
      <c r="H58" s="49">
        <f>'Avg Week Najjeera-Kiwatule'!H58+'Avg Week Kiwatule-Najjeera'!H58</f>
        <v>0</v>
      </c>
      <c r="I58" s="49">
        <f>'Avg Week Najjeera-Kiwatule'!I58+'Avg Week Kiwatule-Najjeera'!I58</f>
        <v>5.5</v>
      </c>
      <c r="J58" s="49">
        <f>'Avg Week Najjeera-Kiwatule'!J58+'Avg Week Kiwatule-Najjeera'!J58</f>
        <v>1</v>
      </c>
      <c r="K58" s="49">
        <f>'Avg Week Najjeera-Kiwatule'!K58+'Avg Week Kiwatule-Najjeera'!K58</f>
        <v>0</v>
      </c>
      <c r="L58" s="49">
        <f>'Avg Week Najjeera-Kiwatule'!L58+'Avg Week Kiwatule-Najjeera'!L58</f>
        <v>0</v>
      </c>
      <c r="M58" s="49">
        <f>'Avg Week Najjeera-Kiwatule'!M58+'Avg Week Kiwatule-Najjeera'!M58</f>
        <v>208</v>
      </c>
      <c r="N58" s="49">
        <f>'Avg Week Najjeera-Kiwatule'!N58+'Avg Week Kiwatule-Najjeera'!N58</f>
        <v>0</v>
      </c>
      <c r="O58" s="15">
        <f t="shared" si="0"/>
        <v>215.5</v>
      </c>
      <c r="P58" s="15">
        <f t="shared" si="1"/>
        <v>423.5</v>
      </c>
      <c r="R58" s="8"/>
      <c r="T58"/>
    </row>
    <row r="59" spans="2:20" ht="23.1" customHeight="1">
      <c r="B59" s="23" t="s">
        <v>100</v>
      </c>
      <c r="C59" s="49">
        <f>'Avg Week Najjeera-Kiwatule'!C59+'Avg Week Kiwatule-Najjeera'!C59</f>
        <v>156</v>
      </c>
      <c r="D59" s="49">
        <f>'Avg Week Najjeera-Kiwatule'!D59+'Avg Week Kiwatule-Najjeera'!D59</f>
        <v>33.5</v>
      </c>
      <c r="E59" s="49">
        <f>'Avg Week Najjeera-Kiwatule'!E59+'Avg Week Kiwatule-Najjeera'!E59</f>
        <v>11.5</v>
      </c>
      <c r="F59" s="49">
        <f>'Avg Week Najjeera-Kiwatule'!F59+'Avg Week Kiwatule-Najjeera'!F59</f>
        <v>28</v>
      </c>
      <c r="G59" s="49">
        <f>'Avg Week Najjeera-Kiwatule'!G59+'Avg Week Kiwatule-Najjeera'!G59</f>
        <v>1</v>
      </c>
      <c r="H59" s="49">
        <f>'Avg Week Najjeera-Kiwatule'!H59+'Avg Week Kiwatule-Najjeera'!H59</f>
        <v>0</v>
      </c>
      <c r="I59" s="49">
        <f>'Avg Week Najjeera-Kiwatule'!I59+'Avg Week Kiwatule-Najjeera'!I59</f>
        <v>5.5</v>
      </c>
      <c r="J59" s="49">
        <f>'Avg Week Najjeera-Kiwatule'!J59+'Avg Week Kiwatule-Najjeera'!J59</f>
        <v>0.5</v>
      </c>
      <c r="K59" s="49">
        <f>'Avg Week Najjeera-Kiwatule'!K59+'Avg Week Kiwatule-Najjeera'!K59</f>
        <v>0</v>
      </c>
      <c r="L59" s="49">
        <f>'Avg Week Najjeera-Kiwatule'!L59+'Avg Week Kiwatule-Najjeera'!L59</f>
        <v>0</v>
      </c>
      <c r="M59" s="49">
        <f>'Avg Week Najjeera-Kiwatule'!M59+'Avg Week Kiwatule-Najjeera'!M59</f>
        <v>207.5</v>
      </c>
      <c r="N59" s="49">
        <f>'Avg Week Najjeera-Kiwatule'!N59+'Avg Week Kiwatule-Najjeera'!N59</f>
        <v>0</v>
      </c>
      <c r="O59" s="15">
        <f t="shared" si="0"/>
        <v>236</v>
      </c>
      <c r="P59" s="15">
        <f t="shared" si="1"/>
        <v>443.5</v>
      </c>
      <c r="R59" s="8"/>
      <c r="T59"/>
    </row>
    <row r="60" spans="2:20" ht="23.1" customHeight="1">
      <c r="B60" s="23" t="s">
        <v>101</v>
      </c>
      <c r="C60" s="49">
        <f>'Avg Week Najjeera-Kiwatule'!C60+'Avg Week Kiwatule-Najjeera'!C60</f>
        <v>151</v>
      </c>
      <c r="D60" s="49">
        <f>'Avg Week Najjeera-Kiwatule'!D60+'Avg Week Kiwatule-Najjeera'!D60</f>
        <v>37.5</v>
      </c>
      <c r="E60" s="49">
        <f>'Avg Week Najjeera-Kiwatule'!E60+'Avg Week Kiwatule-Najjeera'!E60</f>
        <v>9.5</v>
      </c>
      <c r="F60" s="49">
        <f>'Avg Week Najjeera-Kiwatule'!F60+'Avg Week Kiwatule-Najjeera'!F60</f>
        <v>35.5</v>
      </c>
      <c r="G60" s="49">
        <f>'Avg Week Najjeera-Kiwatule'!G60+'Avg Week Kiwatule-Najjeera'!G60</f>
        <v>0</v>
      </c>
      <c r="H60" s="49">
        <f>'Avg Week Najjeera-Kiwatule'!H60+'Avg Week Kiwatule-Najjeera'!H60</f>
        <v>0</v>
      </c>
      <c r="I60" s="49">
        <f>'Avg Week Najjeera-Kiwatule'!I60+'Avg Week Kiwatule-Najjeera'!I60</f>
        <v>5</v>
      </c>
      <c r="J60" s="49">
        <f>'Avg Week Najjeera-Kiwatule'!J60+'Avg Week Kiwatule-Najjeera'!J60</f>
        <v>0.5</v>
      </c>
      <c r="K60" s="49">
        <f>'Avg Week Najjeera-Kiwatule'!K60+'Avg Week Kiwatule-Najjeera'!K60</f>
        <v>0</v>
      </c>
      <c r="L60" s="49">
        <f>'Avg Week Najjeera-Kiwatule'!L60+'Avg Week Kiwatule-Najjeera'!L60</f>
        <v>0</v>
      </c>
      <c r="M60" s="49">
        <f>'Avg Week Najjeera-Kiwatule'!M60+'Avg Week Kiwatule-Najjeera'!M60</f>
        <v>203</v>
      </c>
      <c r="N60" s="49">
        <f>'Avg Week Najjeera-Kiwatule'!N60+'Avg Week Kiwatule-Najjeera'!N60</f>
        <v>0</v>
      </c>
      <c r="O60" s="15">
        <f t="shared" si="0"/>
        <v>239</v>
      </c>
      <c r="P60" s="15">
        <f t="shared" si="1"/>
        <v>442</v>
      </c>
      <c r="R60" s="8"/>
      <c r="T60"/>
    </row>
    <row r="61" spans="2:20" ht="23.1" customHeight="1">
      <c r="B61" s="23" t="s">
        <v>102</v>
      </c>
      <c r="C61" s="49">
        <f>'Avg Week Najjeera-Kiwatule'!C61+'Avg Week Kiwatule-Najjeera'!C61</f>
        <v>143.5</v>
      </c>
      <c r="D61" s="49">
        <f>'Avg Week Najjeera-Kiwatule'!D61+'Avg Week Kiwatule-Najjeera'!D61</f>
        <v>30.5</v>
      </c>
      <c r="E61" s="49">
        <f>'Avg Week Najjeera-Kiwatule'!E61+'Avg Week Kiwatule-Najjeera'!E61</f>
        <v>11</v>
      </c>
      <c r="F61" s="49">
        <f>'Avg Week Najjeera-Kiwatule'!F61+'Avg Week Kiwatule-Najjeera'!F61</f>
        <v>28</v>
      </c>
      <c r="G61" s="49">
        <f>'Avg Week Najjeera-Kiwatule'!G61+'Avg Week Kiwatule-Najjeera'!G61</f>
        <v>0.5</v>
      </c>
      <c r="H61" s="49">
        <f>'Avg Week Najjeera-Kiwatule'!H61+'Avg Week Kiwatule-Najjeera'!H61</f>
        <v>0</v>
      </c>
      <c r="I61" s="49">
        <f>'Avg Week Najjeera-Kiwatule'!I61+'Avg Week Kiwatule-Najjeera'!I61</f>
        <v>4</v>
      </c>
      <c r="J61" s="49">
        <f>'Avg Week Najjeera-Kiwatule'!J61+'Avg Week Kiwatule-Najjeera'!J61</f>
        <v>0</v>
      </c>
      <c r="K61" s="49">
        <f>'Avg Week Najjeera-Kiwatule'!K61+'Avg Week Kiwatule-Najjeera'!K61</f>
        <v>0</v>
      </c>
      <c r="L61" s="49">
        <f>'Avg Week Najjeera-Kiwatule'!L61+'Avg Week Kiwatule-Najjeera'!L61</f>
        <v>0</v>
      </c>
      <c r="M61" s="49">
        <f>'Avg Week Najjeera-Kiwatule'!M61+'Avg Week Kiwatule-Najjeera'!M61</f>
        <v>172</v>
      </c>
      <c r="N61" s="49">
        <f>'Avg Week Najjeera-Kiwatule'!N61+'Avg Week Kiwatule-Najjeera'!N61</f>
        <v>0</v>
      </c>
      <c r="O61" s="15">
        <f t="shared" si="0"/>
        <v>217.5</v>
      </c>
      <c r="P61" s="15">
        <f t="shared" si="1"/>
        <v>389.5</v>
      </c>
      <c r="R61" s="8"/>
      <c r="T61"/>
    </row>
    <row r="62" spans="2:20" ht="23.1" customHeight="1">
      <c r="B62" s="23" t="s">
        <v>107</v>
      </c>
      <c r="C62" s="49">
        <f>'Avg Week Najjeera-Kiwatule'!C62+'Avg Week Kiwatule-Najjeera'!C62</f>
        <v>105</v>
      </c>
      <c r="D62" s="49">
        <f>'Avg Week Najjeera-Kiwatule'!D62+'Avg Week Kiwatule-Najjeera'!D62</f>
        <v>24</v>
      </c>
      <c r="E62" s="49">
        <f>'Avg Week Najjeera-Kiwatule'!E62+'Avg Week Kiwatule-Najjeera'!E62</f>
        <v>5.5</v>
      </c>
      <c r="F62" s="49">
        <f>'Avg Week Najjeera-Kiwatule'!F62+'Avg Week Kiwatule-Najjeera'!F62</f>
        <v>19.5</v>
      </c>
      <c r="G62" s="49">
        <f>'Avg Week Najjeera-Kiwatule'!G62+'Avg Week Kiwatule-Najjeera'!G62</f>
        <v>0</v>
      </c>
      <c r="H62" s="49">
        <f>'Avg Week Najjeera-Kiwatule'!H62+'Avg Week Kiwatule-Najjeera'!H62</f>
        <v>0</v>
      </c>
      <c r="I62" s="49">
        <f>'Avg Week Najjeera-Kiwatule'!I62+'Avg Week Kiwatule-Najjeera'!I62</f>
        <v>3.5</v>
      </c>
      <c r="J62" s="49">
        <f>'Avg Week Najjeera-Kiwatule'!J62+'Avg Week Kiwatule-Najjeera'!J62</f>
        <v>0.5</v>
      </c>
      <c r="K62" s="49">
        <f>'Avg Week Najjeera-Kiwatule'!K62+'Avg Week Kiwatule-Najjeera'!K62</f>
        <v>0.5</v>
      </c>
      <c r="L62" s="49">
        <f>'Avg Week Najjeera-Kiwatule'!L62+'Avg Week Kiwatule-Najjeera'!L62</f>
        <v>0</v>
      </c>
      <c r="M62" s="49">
        <f>'Avg Week Najjeera-Kiwatule'!M62+'Avg Week Kiwatule-Najjeera'!M62</f>
        <v>226</v>
      </c>
      <c r="N62" s="49">
        <f>'Avg Week Najjeera-Kiwatule'!N62+'Avg Week Kiwatule-Najjeera'!N62</f>
        <v>0</v>
      </c>
      <c r="O62" s="15">
        <f t="shared" si="0"/>
        <v>158.5</v>
      </c>
      <c r="P62" s="15">
        <f t="shared" si="1"/>
        <v>384.5</v>
      </c>
      <c r="R62" s="8"/>
      <c r="T62"/>
    </row>
    <row r="63" spans="2:20" ht="23.1" customHeight="1">
      <c r="B63" s="23" t="s">
        <v>108</v>
      </c>
      <c r="C63" s="49">
        <f>'Avg Week Najjeera-Kiwatule'!C63+'Avg Week Kiwatule-Najjeera'!C63</f>
        <v>152</v>
      </c>
      <c r="D63" s="49">
        <f>'Avg Week Najjeera-Kiwatule'!D63+'Avg Week Kiwatule-Najjeera'!D63</f>
        <v>31</v>
      </c>
      <c r="E63" s="49">
        <f>'Avg Week Najjeera-Kiwatule'!E63+'Avg Week Kiwatule-Najjeera'!E63</f>
        <v>9.5</v>
      </c>
      <c r="F63" s="49">
        <f>'Avg Week Najjeera-Kiwatule'!F63+'Avg Week Kiwatule-Najjeera'!F63</f>
        <v>27.5</v>
      </c>
      <c r="G63" s="49">
        <f>'Avg Week Najjeera-Kiwatule'!G63+'Avg Week Kiwatule-Najjeera'!G63</f>
        <v>0.5</v>
      </c>
      <c r="H63" s="49">
        <f>'Avg Week Najjeera-Kiwatule'!H63+'Avg Week Kiwatule-Najjeera'!H63</f>
        <v>0</v>
      </c>
      <c r="I63" s="49">
        <f>'Avg Week Najjeera-Kiwatule'!I63+'Avg Week Kiwatule-Najjeera'!I63</f>
        <v>8</v>
      </c>
      <c r="J63" s="49">
        <f>'Avg Week Najjeera-Kiwatule'!J63+'Avg Week Kiwatule-Najjeera'!J63</f>
        <v>0</v>
      </c>
      <c r="K63" s="49">
        <f>'Avg Week Najjeera-Kiwatule'!K63+'Avg Week Kiwatule-Najjeera'!K63</f>
        <v>0</v>
      </c>
      <c r="L63" s="49">
        <f>'Avg Week Najjeera-Kiwatule'!L63+'Avg Week Kiwatule-Najjeera'!L63</f>
        <v>0</v>
      </c>
      <c r="M63" s="49">
        <f>'Avg Week Najjeera-Kiwatule'!M63+'Avg Week Kiwatule-Najjeera'!M63</f>
        <v>185.5</v>
      </c>
      <c r="N63" s="49">
        <f>'Avg Week Najjeera-Kiwatule'!N63+'Avg Week Kiwatule-Najjeera'!N63</f>
        <v>0</v>
      </c>
      <c r="O63" s="15">
        <f t="shared" si="0"/>
        <v>228.5</v>
      </c>
      <c r="P63" s="15">
        <f t="shared" si="1"/>
        <v>414</v>
      </c>
      <c r="R63" s="8"/>
      <c r="T63"/>
    </row>
    <row r="64" spans="2:20" ht="23.1" customHeight="1">
      <c r="B64" s="23" t="s">
        <v>109</v>
      </c>
      <c r="C64" s="49">
        <f>'Avg Week Najjeera-Kiwatule'!C64+'Avg Week Kiwatule-Najjeera'!C64</f>
        <v>169.5</v>
      </c>
      <c r="D64" s="49">
        <f>'Avg Week Najjeera-Kiwatule'!D64+'Avg Week Kiwatule-Najjeera'!D64</f>
        <v>30</v>
      </c>
      <c r="E64" s="49">
        <f>'Avg Week Najjeera-Kiwatule'!E64+'Avg Week Kiwatule-Najjeera'!E64</f>
        <v>10.5</v>
      </c>
      <c r="F64" s="49">
        <f>'Avg Week Najjeera-Kiwatule'!F64+'Avg Week Kiwatule-Najjeera'!F64</f>
        <v>27</v>
      </c>
      <c r="G64" s="49">
        <f>'Avg Week Najjeera-Kiwatule'!G64+'Avg Week Kiwatule-Najjeera'!G64</f>
        <v>0</v>
      </c>
      <c r="H64" s="49">
        <f>'Avg Week Najjeera-Kiwatule'!H64+'Avg Week Kiwatule-Najjeera'!H64</f>
        <v>0</v>
      </c>
      <c r="I64" s="49">
        <f>'Avg Week Najjeera-Kiwatule'!I64+'Avg Week Kiwatule-Najjeera'!I64</f>
        <v>3</v>
      </c>
      <c r="J64" s="49">
        <f>'Avg Week Najjeera-Kiwatule'!J64+'Avg Week Kiwatule-Najjeera'!J64</f>
        <v>2</v>
      </c>
      <c r="K64" s="49">
        <f>'Avg Week Najjeera-Kiwatule'!K64+'Avg Week Kiwatule-Najjeera'!K64</f>
        <v>0</v>
      </c>
      <c r="L64" s="49">
        <f>'Avg Week Najjeera-Kiwatule'!L64+'Avg Week Kiwatule-Najjeera'!L64</f>
        <v>0</v>
      </c>
      <c r="M64" s="49">
        <f>'Avg Week Najjeera-Kiwatule'!M64+'Avg Week Kiwatule-Najjeera'!M64</f>
        <v>147</v>
      </c>
      <c r="N64" s="49">
        <f>'Avg Week Najjeera-Kiwatule'!N64+'Avg Week Kiwatule-Najjeera'!N64</f>
        <v>0</v>
      </c>
      <c r="O64" s="15">
        <f t="shared" si="0"/>
        <v>242</v>
      </c>
      <c r="P64" s="15">
        <f t="shared" si="1"/>
        <v>389</v>
      </c>
      <c r="R64" s="8"/>
      <c r="T64"/>
    </row>
    <row r="65" spans="2:20" ht="23.1" customHeight="1">
      <c r="B65" s="23" t="s">
        <v>158</v>
      </c>
      <c r="C65" s="49">
        <f>'Avg Week Najjeera-Kiwatule'!C65+'Avg Week Kiwatule-Najjeera'!C65</f>
        <v>172</v>
      </c>
      <c r="D65" s="49">
        <f>'Avg Week Najjeera-Kiwatule'!D65+'Avg Week Kiwatule-Najjeera'!D65</f>
        <v>26.5</v>
      </c>
      <c r="E65" s="49">
        <f>'Avg Week Najjeera-Kiwatule'!E65+'Avg Week Kiwatule-Najjeera'!E65</f>
        <v>10</v>
      </c>
      <c r="F65" s="49">
        <f>'Avg Week Najjeera-Kiwatule'!F65+'Avg Week Kiwatule-Najjeera'!F65</f>
        <v>26.5</v>
      </c>
      <c r="G65" s="49">
        <f>'Avg Week Najjeera-Kiwatule'!G65+'Avg Week Kiwatule-Najjeera'!G65</f>
        <v>0</v>
      </c>
      <c r="H65" s="49">
        <f>'Avg Week Najjeera-Kiwatule'!H65+'Avg Week Kiwatule-Najjeera'!H65</f>
        <v>0</v>
      </c>
      <c r="I65" s="49">
        <f>'Avg Week Najjeera-Kiwatule'!I65+'Avg Week Kiwatule-Najjeera'!I65</f>
        <v>6.5</v>
      </c>
      <c r="J65" s="49">
        <f>'Avg Week Najjeera-Kiwatule'!J65+'Avg Week Kiwatule-Najjeera'!J65</f>
        <v>0</v>
      </c>
      <c r="K65" s="49">
        <f>'Avg Week Najjeera-Kiwatule'!K65+'Avg Week Kiwatule-Najjeera'!K65</f>
        <v>0</v>
      </c>
      <c r="L65" s="49">
        <f>'Avg Week Najjeera-Kiwatule'!L65+'Avg Week Kiwatule-Najjeera'!L65</f>
        <v>0.5</v>
      </c>
      <c r="M65" s="49">
        <f>'Avg Week Najjeera-Kiwatule'!M65+'Avg Week Kiwatule-Najjeera'!M65</f>
        <v>148</v>
      </c>
      <c r="N65" s="49">
        <f>'Avg Week Najjeera-Kiwatule'!N65+'Avg Week Kiwatule-Najjeera'!N65</f>
        <v>0</v>
      </c>
      <c r="O65" s="15">
        <f t="shared" si="0"/>
        <v>242</v>
      </c>
      <c r="P65" s="15">
        <f t="shared" si="1"/>
        <v>390</v>
      </c>
      <c r="R65" s="8"/>
      <c r="T65"/>
    </row>
    <row r="66" spans="2:20" ht="23.1" customHeight="1">
      <c r="B66" s="23" t="s">
        <v>103</v>
      </c>
      <c r="C66" s="49">
        <f>'Avg Week Najjeera-Kiwatule'!C66+'Avg Week Kiwatule-Najjeera'!C66</f>
        <v>157.5</v>
      </c>
      <c r="D66" s="49">
        <f>'Avg Week Najjeera-Kiwatule'!D66+'Avg Week Kiwatule-Najjeera'!D66</f>
        <v>24</v>
      </c>
      <c r="E66" s="49">
        <f>'Avg Week Najjeera-Kiwatule'!E66+'Avg Week Kiwatule-Najjeera'!E66</f>
        <v>4.5</v>
      </c>
      <c r="F66" s="49">
        <f>'Avg Week Najjeera-Kiwatule'!F66+'Avg Week Kiwatule-Najjeera'!F66</f>
        <v>23</v>
      </c>
      <c r="G66" s="49">
        <f>'Avg Week Najjeera-Kiwatule'!G66+'Avg Week Kiwatule-Najjeera'!G66</f>
        <v>0</v>
      </c>
      <c r="H66" s="49">
        <f>'Avg Week Najjeera-Kiwatule'!H66+'Avg Week Kiwatule-Najjeera'!H66</f>
        <v>0</v>
      </c>
      <c r="I66" s="49">
        <f>'Avg Week Najjeera-Kiwatule'!I66+'Avg Week Kiwatule-Najjeera'!I66</f>
        <v>7</v>
      </c>
      <c r="J66" s="49">
        <f>'Avg Week Najjeera-Kiwatule'!J66+'Avg Week Kiwatule-Najjeera'!J66</f>
        <v>0.5</v>
      </c>
      <c r="K66" s="49">
        <f>'Avg Week Najjeera-Kiwatule'!K66+'Avg Week Kiwatule-Najjeera'!K66</f>
        <v>0.5</v>
      </c>
      <c r="L66" s="49">
        <f>'Avg Week Najjeera-Kiwatule'!L66+'Avg Week Kiwatule-Najjeera'!L66</f>
        <v>0</v>
      </c>
      <c r="M66" s="49">
        <f>'Avg Week Najjeera-Kiwatule'!M66+'Avg Week Kiwatule-Najjeera'!M66</f>
        <v>129.5</v>
      </c>
      <c r="N66" s="49">
        <f>'Avg Week Najjeera-Kiwatule'!N66+'Avg Week Kiwatule-Najjeera'!N66</f>
        <v>0</v>
      </c>
      <c r="O66" s="15">
        <f t="shared" si="0"/>
        <v>217</v>
      </c>
      <c r="P66" s="15">
        <f t="shared" si="1"/>
        <v>346.5</v>
      </c>
      <c r="R66" s="8"/>
      <c r="T66"/>
    </row>
    <row r="67" spans="2:20" ht="23.1" customHeight="1">
      <c r="B67" s="23" t="s">
        <v>104</v>
      </c>
      <c r="C67" s="49">
        <f>'Avg Week Najjeera-Kiwatule'!C67+'Avg Week Kiwatule-Najjeera'!C67</f>
        <v>187</v>
      </c>
      <c r="D67" s="49">
        <f>'Avg Week Najjeera-Kiwatule'!D67+'Avg Week Kiwatule-Najjeera'!D67</f>
        <v>28</v>
      </c>
      <c r="E67" s="49">
        <f>'Avg Week Najjeera-Kiwatule'!E67+'Avg Week Kiwatule-Najjeera'!E67</f>
        <v>11</v>
      </c>
      <c r="F67" s="49">
        <f>'Avg Week Najjeera-Kiwatule'!F67+'Avg Week Kiwatule-Najjeera'!F67</f>
        <v>26.5</v>
      </c>
      <c r="G67" s="49">
        <f>'Avg Week Najjeera-Kiwatule'!G67+'Avg Week Kiwatule-Najjeera'!G67</f>
        <v>0</v>
      </c>
      <c r="H67" s="49">
        <f>'Avg Week Najjeera-Kiwatule'!H67+'Avg Week Kiwatule-Najjeera'!H67</f>
        <v>0</v>
      </c>
      <c r="I67" s="49">
        <f>'Avg Week Najjeera-Kiwatule'!I67+'Avg Week Kiwatule-Najjeera'!I67</f>
        <v>5.5</v>
      </c>
      <c r="J67" s="49">
        <f>'Avg Week Najjeera-Kiwatule'!J67+'Avg Week Kiwatule-Najjeera'!J67</f>
        <v>1</v>
      </c>
      <c r="K67" s="49">
        <f>'Avg Week Najjeera-Kiwatule'!K67+'Avg Week Kiwatule-Najjeera'!K67</f>
        <v>0</v>
      </c>
      <c r="L67" s="49">
        <f>'Avg Week Najjeera-Kiwatule'!L67+'Avg Week Kiwatule-Najjeera'!L67</f>
        <v>0</v>
      </c>
      <c r="M67" s="49">
        <f>'Avg Week Najjeera-Kiwatule'!M67+'Avg Week Kiwatule-Najjeera'!M67</f>
        <v>145.5</v>
      </c>
      <c r="N67" s="49">
        <f>'Avg Week Najjeera-Kiwatule'!N67+'Avg Week Kiwatule-Najjeera'!N67</f>
        <v>0</v>
      </c>
      <c r="O67" s="15">
        <f t="shared" si="0"/>
        <v>259</v>
      </c>
      <c r="P67" s="15">
        <f t="shared" si="1"/>
        <v>404.5</v>
      </c>
      <c r="R67" s="8"/>
      <c r="T67"/>
    </row>
    <row r="68" spans="2:20" ht="23.1" customHeight="1">
      <c r="B68" s="23" t="s">
        <v>105</v>
      </c>
      <c r="C68" s="49">
        <f>'Avg Week Najjeera-Kiwatule'!C68+'Avg Week Kiwatule-Najjeera'!C68</f>
        <v>166.5</v>
      </c>
      <c r="D68" s="49">
        <f>'Avg Week Najjeera-Kiwatule'!D68+'Avg Week Kiwatule-Najjeera'!D68</f>
        <v>22</v>
      </c>
      <c r="E68" s="49">
        <f>'Avg Week Najjeera-Kiwatule'!E68+'Avg Week Kiwatule-Najjeera'!E68</f>
        <v>7</v>
      </c>
      <c r="F68" s="49">
        <f>'Avg Week Najjeera-Kiwatule'!F68+'Avg Week Kiwatule-Najjeera'!F68</f>
        <v>16.5</v>
      </c>
      <c r="G68" s="49">
        <f>'Avg Week Najjeera-Kiwatule'!G68+'Avg Week Kiwatule-Najjeera'!G68</f>
        <v>0</v>
      </c>
      <c r="H68" s="49">
        <f>'Avg Week Najjeera-Kiwatule'!H68+'Avg Week Kiwatule-Najjeera'!H68</f>
        <v>0</v>
      </c>
      <c r="I68" s="49">
        <f>'Avg Week Najjeera-Kiwatule'!I68+'Avg Week Kiwatule-Najjeera'!I68</f>
        <v>5.5</v>
      </c>
      <c r="J68" s="49">
        <f>'Avg Week Najjeera-Kiwatule'!J68+'Avg Week Kiwatule-Najjeera'!J68</f>
        <v>0</v>
      </c>
      <c r="K68" s="49">
        <f>'Avg Week Najjeera-Kiwatule'!K68+'Avg Week Kiwatule-Najjeera'!K68</f>
        <v>0</v>
      </c>
      <c r="L68" s="49">
        <f>'Avg Week Najjeera-Kiwatule'!L68+'Avg Week Kiwatule-Najjeera'!L68</f>
        <v>0</v>
      </c>
      <c r="M68" s="49">
        <f>'Avg Week Najjeera-Kiwatule'!M68+'Avg Week Kiwatule-Najjeera'!M68</f>
        <v>140</v>
      </c>
      <c r="N68" s="49">
        <f>'Avg Week Najjeera-Kiwatule'!N68+'Avg Week Kiwatule-Najjeera'!N68</f>
        <v>0</v>
      </c>
      <c r="O68" s="15">
        <f t="shared" si="0"/>
        <v>217.5</v>
      </c>
      <c r="P68" s="15">
        <f t="shared" si="1"/>
        <v>357.5</v>
      </c>
      <c r="R68" s="8"/>
      <c r="T68"/>
    </row>
    <row r="69" spans="2:20" ht="23.1" customHeight="1">
      <c r="B69" s="23" t="s">
        <v>106</v>
      </c>
      <c r="C69" s="49">
        <f>'Avg Week Najjeera-Kiwatule'!C69+'Avg Week Kiwatule-Najjeera'!C69</f>
        <v>181</v>
      </c>
      <c r="D69" s="49">
        <f>'Avg Week Najjeera-Kiwatule'!D69+'Avg Week Kiwatule-Najjeera'!D69</f>
        <v>37</v>
      </c>
      <c r="E69" s="49">
        <f>'Avg Week Najjeera-Kiwatule'!E69+'Avg Week Kiwatule-Najjeera'!E69</f>
        <v>10</v>
      </c>
      <c r="F69" s="49">
        <f>'Avg Week Najjeera-Kiwatule'!F69+'Avg Week Kiwatule-Najjeera'!F69</f>
        <v>22</v>
      </c>
      <c r="G69" s="49">
        <f>'Avg Week Najjeera-Kiwatule'!G69+'Avg Week Kiwatule-Najjeera'!G69</f>
        <v>0.5</v>
      </c>
      <c r="H69" s="49">
        <f>'Avg Week Najjeera-Kiwatule'!H69+'Avg Week Kiwatule-Najjeera'!H69</f>
        <v>0</v>
      </c>
      <c r="I69" s="49">
        <f>'Avg Week Najjeera-Kiwatule'!I69+'Avg Week Kiwatule-Najjeera'!I69</f>
        <v>2.5</v>
      </c>
      <c r="J69" s="49">
        <f>'Avg Week Najjeera-Kiwatule'!J69+'Avg Week Kiwatule-Najjeera'!J69</f>
        <v>0</v>
      </c>
      <c r="K69" s="49">
        <f>'Avg Week Najjeera-Kiwatule'!K69+'Avg Week Kiwatule-Najjeera'!K69</f>
        <v>0</v>
      </c>
      <c r="L69" s="49">
        <f>'Avg Week Najjeera-Kiwatule'!L69+'Avg Week Kiwatule-Najjeera'!L69</f>
        <v>0</v>
      </c>
      <c r="M69" s="49">
        <f>'Avg Week Najjeera-Kiwatule'!M69+'Avg Week Kiwatule-Najjeera'!M69</f>
        <v>132</v>
      </c>
      <c r="N69" s="49">
        <f>'Avg Week Najjeera-Kiwatule'!N69+'Avg Week Kiwatule-Najjeera'!N69</f>
        <v>0</v>
      </c>
      <c r="O69" s="15">
        <f t="shared" si="0"/>
        <v>253</v>
      </c>
      <c r="P69" s="15">
        <f t="shared" si="1"/>
        <v>385</v>
      </c>
      <c r="R69" s="8"/>
      <c r="T69"/>
    </row>
    <row r="70" spans="2:20" ht="23.1" customHeight="1">
      <c r="B70" s="23" t="s">
        <v>110</v>
      </c>
      <c r="C70" s="49">
        <f>'Avg Week Najjeera-Kiwatule'!C70+'Avg Week Kiwatule-Najjeera'!C70</f>
        <v>183</v>
      </c>
      <c r="D70" s="49">
        <f>'Avg Week Najjeera-Kiwatule'!D70+'Avg Week Kiwatule-Najjeera'!D70</f>
        <v>35.5</v>
      </c>
      <c r="E70" s="49">
        <f>'Avg Week Najjeera-Kiwatule'!E70+'Avg Week Kiwatule-Najjeera'!E70</f>
        <v>11</v>
      </c>
      <c r="F70" s="49">
        <f>'Avg Week Najjeera-Kiwatule'!F70+'Avg Week Kiwatule-Najjeera'!F70</f>
        <v>21</v>
      </c>
      <c r="G70" s="49">
        <f>'Avg Week Najjeera-Kiwatule'!G70+'Avg Week Kiwatule-Najjeera'!G70</f>
        <v>0</v>
      </c>
      <c r="H70" s="49">
        <f>'Avg Week Najjeera-Kiwatule'!H70+'Avg Week Kiwatule-Najjeera'!H70</f>
        <v>0</v>
      </c>
      <c r="I70" s="49">
        <f>'Avg Week Najjeera-Kiwatule'!I70+'Avg Week Kiwatule-Najjeera'!I70</f>
        <v>4</v>
      </c>
      <c r="J70" s="49">
        <f>'Avg Week Najjeera-Kiwatule'!J70+'Avg Week Kiwatule-Najjeera'!J70</f>
        <v>0</v>
      </c>
      <c r="K70" s="49">
        <f>'Avg Week Najjeera-Kiwatule'!K70+'Avg Week Kiwatule-Najjeera'!K70</f>
        <v>0</v>
      </c>
      <c r="L70" s="49">
        <f>'Avg Week Najjeera-Kiwatule'!L70+'Avg Week Kiwatule-Najjeera'!L70</f>
        <v>0</v>
      </c>
      <c r="M70" s="49">
        <f>'Avg Week Najjeera-Kiwatule'!M70+'Avg Week Kiwatule-Najjeera'!M70</f>
        <v>157</v>
      </c>
      <c r="N70" s="49">
        <f>'Avg Week Najjeera-Kiwatule'!N70+'Avg Week Kiwatule-Najjeera'!N70</f>
        <v>0.5</v>
      </c>
      <c r="O70" s="15">
        <f t="shared" si="0"/>
        <v>255</v>
      </c>
      <c r="P70" s="15">
        <f t="shared" si="1"/>
        <v>412</v>
      </c>
      <c r="R70" s="8"/>
      <c r="T70"/>
    </row>
    <row r="71" spans="2:20" ht="23.1" customHeight="1">
      <c r="B71" s="23" t="s">
        <v>111</v>
      </c>
      <c r="C71" s="49">
        <f>'Avg Week Najjeera-Kiwatule'!C71+'Avg Week Kiwatule-Najjeera'!C71</f>
        <v>156</v>
      </c>
      <c r="D71" s="49">
        <f>'Avg Week Najjeera-Kiwatule'!D71+'Avg Week Kiwatule-Najjeera'!D71</f>
        <v>28.5</v>
      </c>
      <c r="E71" s="49">
        <f>'Avg Week Najjeera-Kiwatule'!E71+'Avg Week Kiwatule-Najjeera'!E71</f>
        <v>8.5</v>
      </c>
      <c r="F71" s="49">
        <f>'Avg Week Najjeera-Kiwatule'!F71+'Avg Week Kiwatule-Najjeera'!F71</f>
        <v>22.5</v>
      </c>
      <c r="G71" s="49">
        <f>'Avg Week Najjeera-Kiwatule'!G71+'Avg Week Kiwatule-Najjeera'!G71</f>
        <v>0</v>
      </c>
      <c r="H71" s="49">
        <f>'Avg Week Najjeera-Kiwatule'!H71+'Avg Week Kiwatule-Najjeera'!H71</f>
        <v>0</v>
      </c>
      <c r="I71" s="49">
        <f>'Avg Week Najjeera-Kiwatule'!I71+'Avg Week Kiwatule-Najjeera'!I71</f>
        <v>2.5</v>
      </c>
      <c r="J71" s="49">
        <f>'Avg Week Najjeera-Kiwatule'!J71+'Avg Week Kiwatule-Najjeera'!J71</f>
        <v>0</v>
      </c>
      <c r="K71" s="49">
        <f>'Avg Week Najjeera-Kiwatule'!K71+'Avg Week Kiwatule-Najjeera'!K71</f>
        <v>0</v>
      </c>
      <c r="L71" s="49">
        <f>'Avg Week Najjeera-Kiwatule'!L71+'Avg Week Kiwatule-Najjeera'!L71</f>
        <v>0</v>
      </c>
      <c r="M71" s="49">
        <f>'Avg Week Najjeera-Kiwatule'!M71+'Avg Week Kiwatule-Najjeera'!M71</f>
        <v>177</v>
      </c>
      <c r="N71" s="49">
        <f>'Avg Week Najjeera-Kiwatule'!N71+'Avg Week Kiwatule-Najjeera'!N71</f>
        <v>0</v>
      </c>
      <c r="O71" s="15">
        <f t="shared" si="0"/>
        <v>218</v>
      </c>
      <c r="P71" s="15">
        <f t="shared" si="1"/>
        <v>395</v>
      </c>
      <c r="R71" s="8"/>
      <c r="T71"/>
    </row>
    <row r="72" spans="2:20" ht="23.1" customHeight="1">
      <c r="B72" s="23" t="s">
        <v>112</v>
      </c>
      <c r="C72" s="49">
        <f>'Avg Week Najjeera-Kiwatule'!C72+'Avg Week Kiwatule-Najjeera'!C72</f>
        <v>162</v>
      </c>
      <c r="D72" s="49">
        <f>'Avg Week Najjeera-Kiwatule'!D72+'Avg Week Kiwatule-Najjeera'!D72</f>
        <v>30.5</v>
      </c>
      <c r="E72" s="49">
        <f>'Avg Week Najjeera-Kiwatule'!E72+'Avg Week Kiwatule-Najjeera'!E72</f>
        <v>8.5</v>
      </c>
      <c r="F72" s="49">
        <f>'Avg Week Najjeera-Kiwatule'!F72+'Avg Week Kiwatule-Najjeera'!F72</f>
        <v>22.5</v>
      </c>
      <c r="G72" s="49">
        <f>'Avg Week Najjeera-Kiwatule'!G72+'Avg Week Kiwatule-Najjeera'!G72</f>
        <v>0</v>
      </c>
      <c r="H72" s="49">
        <f>'Avg Week Najjeera-Kiwatule'!H72+'Avg Week Kiwatule-Najjeera'!H72</f>
        <v>0</v>
      </c>
      <c r="I72" s="49">
        <f>'Avg Week Najjeera-Kiwatule'!I72+'Avg Week Kiwatule-Najjeera'!I72</f>
        <v>4</v>
      </c>
      <c r="J72" s="49">
        <f>'Avg Week Najjeera-Kiwatule'!J72+'Avg Week Kiwatule-Najjeera'!J72</f>
        <v>0</v>
      </c>
      <c r="K72" s="49">
        <f>'Avg Week Najjeera-Kiwatule'!K72+'Avg Week Kiwatule-Najjeera'!K72</f>
        <v>0</v>
      </c>
      <c r="L72" s="49">
        <f>'Avg Week Najjeera-Kiwatule'!L72+'Avg Week Kiwatule-Najjeera'!L72</f>
        <v>0</v>
      </c>
      <c r="M72" s="49">
        <f>'Avg Week Najjeera-Kiwatule'!M72+'Avg Week Kiwatule-Najjeera'!M72</f>
        <v>102</v>
      </c>
      <c r="N72" s="49">
        <f>'Avg Week Najjeera-Kiwatule'!N72+'Avg Week Kiwatule-Najjeera'!N72</f>
        <v>0</v>
      </c>
      <c r="O72" s="15">
        <f t="shared" si="0"/>
        <v>227.5</v>
      </c>
      <c r="P72" s="15">
        <f t="shared" si="1"/>
        <v>329.5</v>
      </c>
      <c r="R72" s="8"/>
      <c r="T72"/>
    </row>
    <row r="73" spans="2:20" ht="23.1" customHeight="1">
      <c r="B73" s="23" t="s">
        <v>113</v>
      </c>
      <c r="C73" s="49">
        <f>'Avg Week Najjeera-Kiwatule'!C73+'Avg Week Kiwatule-Najjeera'!C73</f>
        <v>163</v>
      </c>
      <c r="D73" s="49">
        <f>'Avg Week Najjeera-Kiwatule'!D73+'Avg Week Kiwatule-Najjeera'!D73</f>
        <v>27</v>
      </c>
      <c r="E73" s="49">
        <f>'Avg Week Najjeera-Kiwatule'!E73+'Avg Week Kiwatule-Najjeera'!E73</f>
        <v>8.5</v>
      </c>
      <c r="F73" s="49">
        <f>'Avg Week Najjeera-Kiwatule'!F73+'Avg Week Kiwatule-Najjeera'!F73</f>
        <v>16.5</v>
      </c>
      <c r="G73" s="49">
        <f>'Avg Week Najjeera-Kiwatule'!G73+'Avg Week Kiwatule-Najjeera'!G73</f>
        <v>0</v>
      </c>
      <c r="H73" s="49">
        <f>'Avg Week Najjeera-Kiwatule'!H73+'Avg Week Kiwatule-Najjeera'!H73</f>
        <v>0</v>
      </c>
      <c r="I73" s="49">
        <f>'Avg Week Najjeera-Kiwatule'!I73+'Avg Week Kiwatule-Najjeera'!I73</f>
        <v>3.5</v>
      </c>
      <c r="J73" s="49">
        <f>'Avg Week Najjeera-Kiwatule'!J73+'Avg Week Kiwatule-Najjeera'!J73</f>
        <v>0.5</v>
      </c>
      <c r="K73" s="49">
        <f>'Avg Week Najjeera-Kiwatule'!K73+'Avg Week Kiwatule-Najjeera'!K73</f>
        <v>0</v>
      </c>
      <c r="L73" s="49">
        <f>'Avg Week Najjeera-Kiwatule'!L73+'Avg Week Kiwatule-Najjeera'!L73</f>
        <v>0</v>
      </c>
      <c r="M73" s="49">
        <f>'Avg Week Najjeera-Kiwatule'!M73+'Avg Week Kiwatule-Najjeera'!M73</f>
        <v>99.5</v>
      </c>
      <c r="N73" s="49">
        <f>'Avg Week Najjeera-Kiwatule'!N73+'Avg Week Kiwatule-Najjeera'!N73</f>
        <v>0</v>
      </c>
      <c r="O73" s="15">
        <f t="shared" si="0"/>
        <v>219</v>
      </c>
      <c r="P73" s="15">
        <f t="shared" si="1"/>
        <v>318.5</v>
      </c>
      <c r="R73" s="8"/>
      <c r="T73"/>
    </row>
    <row r="74" spans="2:20" ht="23.1" customHeight="1">
      <c r="B74" s="23" t="s">
        <v>114</v>
      </c>
      <c r="C74" s="49">
        <f>'Avg Week Najjeera-Kiwatule'!C74+'Avg Week Kiwatule-Najjeera'!C74</f>
        <v>155.5</v>
      </c>
      <c r="D74" s="49">
        <f>'Avg Week Najjeera-Kiwatule'!D74+'Avg Week Kiwatule-Najjeera'!D74</f>
        <v>27</v>
      </c>
      <c r="E74" s="49">
        <f>'Avg Week Najjeera-Kiwatule'!E74+'Avg Week Kiwatule-Najjeera'!E74</f>
        <v>8.5</v>
      </c>
      <c r="F74" s="49">
        <f>'Avg Week Najjeera-Kiwatule'!F74+'Avg Week Kiwatule-Najjeera'!F74</f>
        <v>13</v>
      </c>
      <c r="G74" s="49">
        <f>'Avg Week Najjeera-Kiwatule'!G74+'Avg Week Kiwatule-Najjeera'!G74</f>
        <v>0</v>
      </c>
      <c r="H74" s="49">
        <f>'Avg Week Najjeera-Kiwatule'!H74+'Avg Week Kiwatule-Najjeera'!H74</f>
        <v>0</v>
      </c>
      <c r="I74" s="49">
        <f>'Avg Week Najjeera-Kiwatule'!I74+'Avg Week Kiwatule-Najjeera'!I74</f>
        <v>2</v>
      </c>
      <c r="J74" s="49">
        <f>'Avg Week Najjeera-Kiwatule'!J74+'Avg Week Kiwatule-Najjeera'!J74</f>
        <v>0.5</v>
      </c>
      <c r="K74" s="49">
        <f>'Avg Week Najjeera-Kiwatule'!K74+'Avg Week Kiwatule-Najjeera'!K74</f>
        <v>1</v>
      </c>
      <c r="L74" s="49">
        <f>'Avg Week Najjeera-Kiwatule'!L74+'Avg Week Kiwatule-Najjeera'!L74</f>
        <v>0</v>
      </c>
      <c r="M74" s="49">
        <f>'Avg Week Najjeera-Kiwatule'!M74+'Avg Week Kiwatule-Najjeera'!M74</f>
        <v>118.5</v>
      </c>
      <c r="N74" s="49">
        <f>'Avg Week Najjeera-Kiwatule'!N74+'Avg Week Kiwatule-Najjeera'!N74</f>
        <v>0</v>
      </c>
      <c r="O74" s="15">
        <f t="shared" ref="O74:O105" si="35">SUM(C74:L74,N74)</f>
        <v>207.5</v>
      </c>
      <c r="P74" s="15">
        <f t="shared" ref="P74:P105" si="36">SUM(C74:N74)</f>
        <v>326</v>
      </c>
      <c r="R74" s="8"/>
      <c r="T74"/>
    </row>
    <row r="75" spans="2:20" ht="23.1" customHeight="1">
      <c r="B75" s="23" t="s">
        <v>115</v>
      </c>
      <c r="C75" s="49">
        <f>'Avg Week Najjeera-Kiwatule'!C75+'Avg Week Kiwatule-Najjeera'!C75</f>
        <v>127.5</v>
      </c>
      <c r="D75" s="49">
        <f>'Avg Week Najjeera-Kiwatule'!D75+'Avg Week Kiwatule-Najjeera'!D75</f>
        <v>35</v>
      </c>
      <c r="E75" s="49">
        <f>'Avg Week Najjeera-Kiwatule'!E75+'Avg Week Kiwatule-Najjeera'!E75</f>
        <v>9</v>
      </c>
      <c r="F75" s="49">
        <f>'Avg Week Najjeera-Kiwatule'!F75+'Avg Week Kiwatule-Najjeera'!F75</f>
        <v>11.5</v>
      </c>
      <c r="G75" s="49">
        <f>'Avg Week Najjeera-Kiwatule'!G75+'Avg Week Kiwatule-Najjeera'!G75</f>
        <v>0</v>
      </c>
      <c r="H75" s="49">
        <f>'Avg Week Najjeera-Kiwatule'!H75+'Avg Week Kiwatule-Najjeera'!H75</f>
        <v>0</v>
      </c>
      <c r="I75" s="49">
        <f>'Avg Week Najjeera-Kiwatule'!I75+'Avg Week Kiwatule-Najjeera'!I75</f>
        <v>4</v>
      </c>
      <c r="J75" s="49">
        <f>'Avg Week Najjeera-Kiwatule'!J75+'Avg Week Kiwatule-Najjeera'!J75</f>
        <v>1</v>
      </c>
      <c r="K75" s="49">
        <f>'Avg Week Najjeera-Kiwatule'!K75+'Avg Week Kiwatule-Najjeera'!K75</f>
        <v>0</v>
      </c>
      <c r="L75" s="49">
        <f>'Avg Week Najjeera-Kiwatule'!L75+'Avg Week Kiwatule-Najjeera'!L75</f>
        <v>0</v>
      </c>
      <c r="M75" s="49">
        <f>'Avg Week Najjeera-Kiwatule'!M75+'Avg Week Kiwatule-Najjeera'!M75</f>
        <v>126.5</v>
      </c>
      <c r="N75" s="49">
        <f>'Avg Week Najjeera-Kiwatule'!N75+'Avg Week Kiwatule-Najjeera'!N75</f>
        <v>0.5</v>
      </c>
      <c r="O75" s="15">
        <f t="shared" si="35"/>
        <v>188.5</v>
      </c>
      <c r="P75" s="15">
        <f t="shared" si="36"/>
        <v>315</v>
      </c>
      <c r="R75" s="8"/>
      <c r="T75"/>
    </row>
    <row r="76" spans="2:20" ht="23.1" customHeight="1">
      <c r="B76" s="23" t="s">
        <v>116</v>
      </c>
      <c r="C76" s="49">
        <f>'Avg Week Najjeera-Kiwatule'!C76+'Avg Week Kiwatule-Najjeera'!C76</f>
        <v>159</v>
      </c>
      <c r="D76" s="49">
        <f>'Avg Week Najjeera-Kiwatule'!D76+'Avg Week Kiwatule-Najjeera'!D76</f>
        <v>21.5</v>
      </c>
      <c r="E76" s="49">
        <f>'Avg Week Najjeera-Kiwatule'!E76+'Avg Week Kiwatule-Najjeera'!E76</f>
        <v>5.5</v>
      </c>
      <c r="F76" s="49">
        <f>'Avg Week Najjeera-Kiwatule'!F76+'Avg Week Kiwatule-Najjeera'!F76</f>
        <v>14</v>
      </c>
      <c r="G76" s="49">
        <f>'Avg Week Najjeera-Kiwatule'!G76+'Avg Week Kiwatule-Najjeera'!G76</f>
        <v>1</v>
      </c>
      <c r="H76" s="49">
        <f>'Avg Week Najjeera-Kiwatule'!H76+'Avg Week Kiwatule-Najjeera'!H76</f>
        <v>1</v>
      </c>
      <c r="I76" s="49">
        <f>'Avg Week Najjeera-Kiwatule'!I76+'Avg Week Kiwatule-Najjeera'!I76</f>
        <v>2.5</v>
      </c>
      <c r="J76" s="49">
        <f>'Avg Week Najjeera-Kiwatule'!J76+'Avg Week Kiwatule-Najjeera'!J76</f>
        <v>0</v>
      </c>
      <c r="K76" s="49">
        <f>'Avg Week Najjeera-Kiwatule'!K76+'Avg Week Kiwatule-Najjeera'!K76</f>
        <v>0</v>
      </c>
      <c r="L76" s="49">
        <f>'Avg Week Najjeera-Kiwatule'!L76+'Avg Week Kiwatule-Najjeera'!L76</f>
        <v>0</v>
      </c>
      <c r="M76" s="49">
        <f>'Avg Week Najjeera-Kiwatule'!M76+'Avg Week Kiwatule-Najjeera'!M76</f>
        <v>96.5</v>
      </c>
      <c r="N76" s="49">
        <f>'Avg Week Najjeera-Kiwatule'!N76+'Avg Week Kiwatule-Najjeera'!N76</f>
        <v>0</v>
      </c>
      <c r="O76" s="15">
        <f t="shared" si="35"/>
        <v>204.5</v>
      </c>
      <c r="P76" s="15">
        <f t="shared" si="36"/>
        <v>301</v>
      </c>
      <c r="R76" s="8"/>
      <c r="T76"/>
    </row>
    <row r="77" spans="2:20" ht="23.1" customHeight="1">
      <c r="B77" s="23" t="s">
        <v>117</v>
      </c>
      <c r="C77" s="49">
        <f>'Avg Week Najjeera-Kiwatule'!C77+'Avg Week Kiwatule-Najjeera'!C77</f>
        <v>118.5</v>
      </c>
      <c r="D77" s="49">
        <f>'Avg Week Najjeera-Kiwatule'!D77+'Avg Week Kiwatule-Najjeera'!D77</f>
        <v>23</v>
      </c>
      <c r="E77" s="49">
        <f>'Avg Week Najjeera-Kiwatule'!E77+'Avg Week Kiwatule-Najjeera'!E77</f>
        <v>7</v>
      </c>
      <c r="F77" s="49">
        <f>'Avg Week Najjeera-Kiwatule'!F77+'Avg Week Kiwatule-Najjeera'!F77</f>
        <v>5</v>
      </c>
      <c r="G77" s="49">
        <f>'Avg Week Najjeera-Kiwatule'!G77+'Avg Week Kiwatule-Najjeera'!G77</f>
        <v>1</v>
      </c>
      <c r="H77" s="49">
        <f>'Avg Week Najjeera-Kiwatule'!H77+'Avg Week Kiwatule-Najjeera'!H77</f>
        <v>0</v>
      </c>
      <c r="I77" s="49">
        <f>'Avg Week Najjeera-Kiwatule'!I77+'Avg Week Kiwatule-Najjeera'!I77</f>
        <v>2</v>
      </c>
      <c r="J77" s="49">
        <f>'Avg Week Najjeera-Kiwatule'!J77+'Avg Week Kiwatule-Najjeera'!J77</f>
        <v>0</v>
      </c>
      <c r="K77" s="49">
        <f>'Avg Week Najjeera-Kiwatule'!K77+'Avg Week Kiwatule-Najjeera'!K77</f>
        <v>0</v>
      </c>
      <c r="L77" s="49">
        <f>'Avg Week Najjeera-Kiwatule'!L77+'Avg Week Kiwatule-Najjeera'!L77</f>
        <v>0</v>
      </c>
      <c r="M77" s="49">
        <f>'Avg Week Najjeera-Kiwatule'!M77+'Avg Week Kiwatule-Najjeera'!M77</f>
        <v>85.5</v>
      </c>
      <c r="N77" s="49">
        <f>'Avg Week Najjeera-Kiwatule'!N77+'Avg Week Kiwatule-Najjeera'!N77</f>
        <v>0</v>
      </c>
      <c r="O77" s="15">
        <f t="shared" si="35"/>
        <v>156.5</v>
      </c>
      <c r="P77" s="15">
        <f t="shared" si="36"/>
        <v>242</v>
      </c>
      <c r="R77" s="8"/>
      <c r="T77"/>
    </row>
    <row r="78" spans="2:20" ht="23.1" customHeight="1">
      <c r="B78" s="24" t="s">
        <v>118</v>
      </c>
      <c r="C78" s="49">
        <f>'Avg Week Najjeera-Kiwatule'!C78+'Avg Week Kiwatule-Najjeera'!C78</f>
        <v>120</v>
      </c>
      <c r="D78" s="49">
        <f>'Avg Week Najjeera-Kiwatule'!D78+'Avg Week Kiwatule-Najjeera'!D78</f>
        <v>19.5</v>
      </c>
      <c r="E78" s="49">
        <f>'Avg Week Najjeera-Kiwatule'!E78+'Avg Week Kiwatule-Najjeera'!E78</f>
        <v>5.5</v>
      </c>
      <c r="F78" s="49">
        <f>'Avg Week Najjeera-Kiwatule'!F78+'Avg Week Kiwatule-Najjeera'!F78</f>
        <v>6.5</v>
      </c>
      <c r="G78" s="49">
        <f>'Avg Week Najjeera-Kiwatule'!G78+'Avg Week Kiwatule-Najjeera'!G78</f>
        <v>0</v>
      </c>
      <c r="H78" s="49">
        <f>'Avg Week Najjeera-Kiwatule'!H78+'Avg Week Kiwatule-Najjeera'!H78</f>
        <v>0</v>
      </c>
      <c r="I78" s="49">
        <f>'Avg Week Najjeera-Kiwatule'!I78+'Avg Week Kiwatule-Najjeera'!I78</f>
        <v>4</v>
      </c>
      <c r="J78" s="49">
        <f>'Avg Week Najjeera-Kiwatule'!J78+'Avg Week Kiwatule-Najjeera'!J78</f>
        <v>0</v>
      </c>
      <c r="K78" s="49">
        <f>'Avg Week Najjeera-Kiwatule'!K78+'Avg Week Kiwatule-Najjeera'!K78</f>
        <v>0</v>
      </c>
      <c r="L78" s="49">
        <f>'Avg Week Najjeera-Kiwatule'!L78+'Avg Week Kiwatule-Najjeera'!L78</f>
        <v>0.5</v>
      </c>
      <c r="M78" s="49">
        <f>'Avg Week Najjeera-Kiwatule'!M78+'Avg Week Kiwatule-Najjeera'!M78</f>
        <v>75.5</v>
      </c>
      <c r="N78" s="49">
        <f>'Avg Week Najjeera-Kiwatule'!N78+'Avg Week Kiwatule-Najjeera'!N78</f>
        <v>0</v>
      </c>
      <c r="O78" s="15">
        <f t="shared" si="35"/>
        <v>156</v>
      </c>
      <c r="P78" s="15">
        <f t="shared" si="36"/>
        <v>231.5</v>
      </c>
      <c r="R78" s="8"/>
      <c r="T78"/>
    </row>
    <row r="79" spans="2:20" ht="23.1" customHeight="1">
      <c r="B79" s="23" t="s">
        <v>119</v>
      </c>
      <c r="C79" s="49">
        <f>'Avg Week Najjeera-Kiwatule'!C79+'Avg Week Kiwatule-Najjeera'!C79</f>
        <v>94.5</v>
      </c>
      <c r="D79" s="49">
        <f>'Avg Week Najjeera-Kiwatule'!D79+'Avg Week Kiwatule-Najjeera'!D79</f>
        <v>19.5</v>
      </c>
      <c r="E79" s="49">
        <f>'Avg Week Najjeera-Kiwatule'!E79+'Avg Week Kiwatule-Najjeera'!E79</f>
        <v>7.5</v>
      </c>
      <c r="F79" s="49">
        <f>'Avg Week Najjeera-Kiwatule'!F79+'Avg Week Kiwatule-Najjeera'!F79</f>
        <v>4.5</v>
      </c>
      <c r="G79" s="49">
        <f>'Avg Week Najjeera-Kiwatule'!G79+'Avg Week Kiwatule-Najjeera'!G79</f>
        <v>0</v>
      </c>
      <c r="H79" s="49">
        <f>'Avg Week Najjeera-Kiwatule'!H79+'Avg Week Kiwatule-Najjeera'!H79</f>
        <v>0</v>
      </c>
      <c r="I79" s="49">
        <f>'Avg Week Najjeera-Kiwatule'!I79+'Avg Week Kiwatule-Najjeera'!I79</f>
        <v>3</v>
      </c>
      <c r="J79" s="49">
        <f>'Avg Week Najjeera-Kiwatule'!J79+'Avg Week Kiwatule-Najjeera'!J79</f>
        <v>0</v>
      </c>
      <c r="K79" s="49">
        <f>'Avg Week Najjeera-Kiwatule'!K79+'Avg Week Kiwatule-Najjeera'!K79</f>
        <v>0</v>
      </c>
      <c r="L79" s="49">
        <f>'Avg Week Najjeera-Kiwatule'!L79+'Avg Week Kiwatule-Najjeera'!L79</f>
        <v>0</v>
      </c>
      <c r="M79" s="49">
        <f>'Avg Week Najjeera-Kiwatule'!M79+'Avg Week Kiwatule-Najjeera'!M79</f>
        <v>74</v>
      </c>
      <c r="N79" s="49">
        <f>'Avg Week Najjeera-Kiwatule'!N79+'Avg Week Kiwatule-Najjeera'!N79</f>
        <v>0</v>
      </c>
      <c r="O79" s="15">
        <f t="shared" si="35"/>
        <v>129</v>
      </c>
      <c r="P79" s="15">
        <f t="shared" si="36"/>
        <v>203</v>
      </c>
      <c r="R79" s="8"/>
      <c r="T79"/>
    </row>
    <row r="80" spans="2:20" ht="23.1" customHeight="1">
      <c r="B80" s="25" t="s">
        <v>120</v>
      </c>
      <c r="C80" s="49">
        <f>'Avg Week Najjeera-Kiwatule'!C80+'Avg Week Kiwatule-Najjeera'!C80</f>
        <v>98.5</v>
      </c>
      <c r="D80" s="49">
        <f>'Avg Week Najjeera-Kiwatule'!D80+'Avg Week Kiwatule-Najjeera'!D80</f>
        <v>17</v>
      </c>
      <c r="E80" s="49">
        <f>'Avg Week Najjeera-Kiwatule'!E80+'Avg Week Kiwatule-Najjeera'!E80</f>
        <v>5</v>
      </c>
      <c r="F80" s="49">
        <f>'Avg Week Najjeera-Kiwatule'!F80+'Avg Week Kiwatule-Najjeera'!F80</f>
        <v>7</v>
      </c>
      <c r="G80" s="49">
        <f>'Avg Week Najjeera-Kiwatule'!G80+'Avg Week Kiwatule-Najjeera'!G80</f>
        <v>0</v>
      </c>
      <c r="H80" s="49">
        <f>'Avg Week Najjeera-Kiwatule'!H80+'Avg Week Kiwatule-Najjeera'!H80</f>
        <v>0</v>
      </c>
      <c r="I80" s="49">
        <f>'Avg Week Najjeera-Kiwatule'!I80+'Avg Week Kiwatule-Najjeera'!I80</f>
        <v>1.5</v>
      </c>
      <c r="J80" s="49">
        <f>'Avg Week Najjeera-Kiwatule'!J80+'Avg Week Kiwatule-Najjeera'!J80</f>
        <v>0.5</v>
      </c>
      <c r="K80" s="49">
        <f>'Avg Week Najjeera-Kiwatule'!K80+'Avg Week Kiwatule-Najjeera'!K80</f>
        <v>0</v>
      </c>
      <c r="L80" s="49">
        <f>'Avg Week Najjeera-Kiwatule'!L80+'Avg Week Kiwatule-Najjeera'!L80</f>
        <v>0</v>
      </c>
      <c r="M80" s="49">
        <f>'Avg Week Najjeera-Kiwatule'!M80+'Avg Week Kiwatule-Najjeera'!M80</f>
        <v>81</v>
      </c>
      <c r="N80" s="49">
        <f>'Avg Week Najjeera-Kiwatule'!N80+'Avg Week Kiwatule-Najjeera'!N80</f>
        <v>0</v>
      </c>
      <c r="O80" s="15">
        <f t="shared" si="35"/>
        <v>129.5</v>
      </c>
      <c r="P80" s="15">
        <f t="shared" si="36"/>
        <v>210.5</v>
      </c>
      <c r="R80" s="8"/>
      <c r="T80"/>
    </row>
    <row r="81" spans="2:20" ht="23.1" customHeight="1">
      <c r="B81" s="23" t="s">
        <v>121</v>
      </c>
      <c r="C81" s="49">
        <f>'Avg Week Najjeera-Kiwatule'!C81+'Avg Week Kiwatule-Najjeera'!C81</f>
        <v>75.5</v>
      </c>
      <c r="D81" s="49">
        <f>'Avg Week Najjeera-Kiwatule'!D81+'Avg Week Kiwatule-Najjeera'!D81</f>
        <v>17.5</v>
      </c>
      <c r="E81" s="49">
        <f>'Avg Week Najjeera-Kiwatule'!E81+'Avg Week Kiwatule-Najjeera'!E81</f>
        <v>2</v>
      </c>
      <c r="F81" s="49">
        <f>'Avg Week Najjeera-Kiwatule'!F81+'Avg Week Kiwatule-Najjeera'!F81</f>
        <v>2</v>
      </c>
      <c r="G81" s="49">
        <f>'Avg Week Najjeera-Kiwatule'!G81+'Avg Week Kiwatule-Najjeera'!G81</f>
        <v>0</v>
      </c>
      <c r="H81" s="49">
        <f>'Avg Week Najjeera-Kiwatule'!H81+'Avg Week Kiwatule-Najjeera'!H81</f>
        <v>0</v>
      </c>
      <c r="I81" s="49">
        <f>'Avg Week Najjeera-Kiwatule'!I81+'Avg Week Kiwatule-Najjeera'!I81</f>
        <v>1.5</v>
      </c>
      <c r="J81" s="49">
        <f>'Avg Week Najjeera-Kiwatule'!J81+'Avg Week Kiwatule-Najjeera'!J81</f>
        <v>0</v>
      </c>
      <c r="K81" s="49">
        <f>'Avg Week Najjeera-Kiwatule'!K81+'Avg Week Kiwatule-Najjeera'!K81</f>
        <v>0</v>
      </c>
      <c r="L81" s="49">
        <f>'Avg Week Najjeera-Kiwatule'!L81+'Avg Week Kiwatule-Najjeera'!L81</f>
        <v>0</v>
      </c>
      <c r="M81" s="49">
        <f>'Avg Week Najjeera-Kiwatule'!M81+'Avg Week Kiwatule-Najjeera'!M81</f>
        <v>52</v>
      </c>
      <c r="N81" s="49">
        <f>'Avg Week Najjeera-Kiwatule'!N81+'Avg Week Kiwatule-Najjeera'!N81</f>
        <v>0</v>
      </c>
      <c r="O81" s="15">
        <f t="shared" si="35"/>
        <v>98.5</v>
      </c>
      <c r="P81" s="15">
        <f t="shared" si="36"/>
        <v>150.5</v>
      </c>
      <c r="R81" s="8"/>
      <c r="T81"/>
    </row>
    <row r="82" spans="2:20" ht="23.1" customHeight="1">
      <c r="B82" s="24" t="s">
        <v>122</v>
      </c>
      <c r="C82" s="49">
        <f>'Avg Week Najjeera-Kiwatule'!C82+'Avg Week Kiwatule-Najjeera'!C82</f>
        <v>66.5</v>
      </c>
      <c r="D82" s="49">
        <f>'Avg Week Najjeera-Kiwatule'!D82+'Avg Week Kiwatule-Najjeera'!D82</f>
        <v>9.5</v>
      </c>
      <c r="E82" s="49">
        <f>'Avg Week Najjeera-Kiwatule'!E82+'Avg Week Kiwatule-Najjeera'!E82</f>
        <v>1.5</v>
      </c>
      <c r="F82" s="49">
        <f>'Avg Week Najjeera-Kiwatule'!F82+'Avg Week Kiwatule-Najjeera'!F82</f>
        <v>1</v>
      </c>
      <c r="G82" s="49">
        <f>'Avg Week Najjeera-Kiwatule'!G82+'Avg Week Kiwatule-Najjeera'!G82</f>
        <v>0</v>
      </c>
      <c r="H82" s="49">
        <f>'Avg Week Najjeera-Kiwatule'!H82+'Avg Week Kiwatule-Najjeera'!H82</f>
        <v>0</v>
      </c>
      <c r="I82" s="49">
        <f>'Avg Week Najjeera-Kiwatule'!I82+'Avg Week Kiwatule-Najjeera'!I82</f>
        <v>2</v>
      </c>
      <c r="J82" s="49">
        <f>'Avg Week Najjeera-Kiwatule'!J82+'Avg Week Kiwatule-Najjeera'!J82</f>
        <v>0</v>
      </c>
      <c r="K82" s="49">
        <f>'Avg Week Najjeera-Kiwatule'!K82+'Avg Week Kiwatule-Najjeera'!K82</f>
        <v>0</v>
      </c>
      <c r="L82" s="49">
        <f>'Avg Week Najjeera-Kiwatule'!L82+'Avg Week Kiwatule-Najjeera'!L82</f>
        <v>0</v>
      </c>
      <c r="M82" s="49">
        <f>'Avg Week Najjeera-Kiwatule'!M82+'Avg Week Kiwatule-Najjeera'!M82</f>
        <v>53</v>
      </c>
      <c r="N82" s="49">
        <f>'Avg Week Najjeera-Kiwatule'!N82+'Avg Week Kiwatule-Najjeera'!N82</f>
        <v>0</v>
      </c>
      <c r="O82" s="15">
        <f t="shared" si="35"/>
        <v>80.5</v>
      </c>
      <c r="P82" s="15">
        <f t="shared" si="36"/>
        <v>133.5</v>
      </c>
      <c r="R82" s="8"/>
      <c r="T82"/>
    </row>
    <row r="83" spans="2:20" ht="23.1" customHeight="1">
      <c r="B83" s="23" t="s">
        <v>123</v>
      </c>
      <c r="C83" s="49">
        <f>'Avg Week Najjeera-Kiwatule'!C83+'Avg Week Kiwatule-Najjeera'!C83</f>
        <v>47</v>
      </c>
      <c r="D83" s="49">
        <f>'Avg Week Najjeera-Kiwatule'!D83+'Avg Week Kiwatule-Najjeera'!D83</f>
        <v>13</v>
      </c>
      <c r="E83" s="49">
        <f>'Avg Week Najjeera-Kiwatule'!E83+'Avg Week Kiwatule-Najjeera'!E83</f>
        <v>1</v>
      </c>
      <c r="F83" s="49">
        <f>'Avg Week Najjeera-Kiwatule'!F83+'Avg Week Kiwatule-Najjeera'!F83</f>
        <v>1</v>
      </c>
      <c r="G83" s="49">
        <f>'Avg Week Najjeera-Kiwatule'!G83+'Avg Week Kiwatule-Najjeera'!G83</f>
        <v>0</v>
      </c>
      <c r="H83" s="49">
        <f>'Avg Week Najjeera-Kiwatule'!H83+'Avg Week Kiwatule-Najjeera'!H83</f>
        <v>0</v>
      </c>
      <c r="I83" s="49">
        <f>'Avg Week Najjeera-Kiwatule'!I83+'Avg Week Kiwatule-Najjeera'!I83</f>
        <v>1.5</v>
      </c>
      <c r="J83" s="49">
        <f>'Avg Week Najjeera-Kiwatule'!J83+'Avg Week Kiwatule-Najjeera'!J83</f>
        <v>0</v>
      </c>
      <c r="K83" s="49">
        <f>'Avg Week Najjeera-Kiwatule'!K83+'Avg Week Kiwatule-Najjeera'!K83</f>
        <v>0</v>
      </c>
      <c r="L83" s="49">
        <f>'Avg Week Najjeera-Kiwatule'!L83+'Avg Week Kiwatule-Najjeera'!L83</f>
        <v>0</v>
      </c>
      <c r="M83" s="49">
        <f>'Avg Week Najjeera-Kiwatule'!M83+'Avg Week Kiwatule-Najjeera'!M83</f>
        <v>51.5</v>
      </c>
      <c r="N83" s="49">
        <f>'Avg Week Najjeera-Kiwatule'!N83+'Avg Week Kiwatule-Najjeera'!N83</f>
        <v>0</v>
      </c>
      <c r="O83" s="15">
        <f t="shared" si="35"/>
        <v>63.5</v>
      </c>
      <c r="P83" s="15">
        <f t="shared" si="36"/>
        <v>115</v>
      </c>
      <c r="R83" s="8"/>
      <c r="T83"/>
    </row>
    <row r="84" spans="2:20" ht="23.1" customHeight="1">
      <c r="B84" s="25" t="s">
        <v>124</v>
      </c>
      <c r="C84" s="49">
        <f>'Avg Week Najjeera-Kiwatule'!C84+'Avg Week Kiwatule-Najjeera'!C84</f>
        <v>54.5</v>
      </c>
      <c r="D84" s="49">
        <f>'Avg Week Najjeera-Kiwatule'!D84+'Avg Week Kiwatule-Najjeera'!D84</f>
        <v>7.5</v>
      </c>
      <c r="E84" s="49">
        <f>'Avg Week Najjeera-Kiwatule'!E84+'Avg Week Kiwatule-Najjeera'!E84</f>
        <v>1</v>
      </c>
      <c r="F84" s="49">
        <f>'Avg Week Najjeera-Kiwatule'!F84+'Avg Week Kiwatule-Najjeera'!F84</f>
        <v>0.5</v>
      </c>
      <c r="G84" s="49">
        <f>'Avg Week Najjeera-Kiwatule'!G84+'Avg Week Kiwatule-Najjeera'!G84</f>
        <v>0</v>
      </c>
      <c r="H84" s="49">
        <f>'Avg Week Najjeera-Kiwatule'!H84+'Avg Week Kiwatule-Najjeera'!H84</f>
        <v>0</v>
      </c>
      <c r="I84" s="49">
        <f>'Avg Week Najjeera-Kiwatule'!I84+'Avg Week Kiwatule-Najjeera'!I84</f>
        <v>0.5</v>
      </c>
      <c r="J84" s="49">
        <f>'Avg Week Najjeera-Kiwatule'!J84+'Avg Week Kiwatule-Najjeera'!J84</f>
        <v>0</v>
      </c>
      <c r="K84" s="49">
        <f>'Avg Week Najjeera-Kiwatule'!K84+'Avg Week Kiwatule-Najjeera'!K84</f>
        <v>0</v>
      </c>
      <c r="L84" s="49">
        <f>'Avg Week Najjeera-Kiwatule'!L84+'Avg Week Kiwatule-Najjeera'!L84</f>
        <v>0</v>
      </c>
      <c r="M84" s="49">
        <f>'Avg Week Najjeera-Kiwatule'!M84+'Avg Week Kiwatule-Najjeera'!M84</f>
        <v>47</v>
      </c>
      <c r="N84" s="49">
        <f>'Avg Week Najjeera-Kiwatule'!N84+'Avg Week Kiwatule-Najjeera'!N84</f>
        <v>0</v>
      </c>
      <c r="O84" s="15">
        <f t="shared" si="35"/>
        <v>64</v>
      </c>
      <c r="P84" s="15">
        <f t="shared" si="36"/>
        <v>111</v>
      </c>
      <c r="R84" s="8"/>
      <c r="T84"/>
    </row>
    <row r="85" spans="2:20" ht="23.1" customHeight="1">
      <c r="B85" s="23" t="s">
        <v>125</v>
      </c>
      <c r="C85" s="49">
        <f>'Avg Week Najjeera-Kiwatule'!C85+'Avg Week Kiwatule-Najjeera'!C85</f>
        <v>58</v>
      </c>
      <c r="D85" s="49">
        <f>'Avg Week Najjeera-Kiwatule'!D85+'Avg Week Kiwatule-Najjeera'!D85</f>
        <v>11.5</v>
      </c>
      <c r="E85" s="49">
        <f>'Avg Week Najjeera-Kiwatule'!E85+'Avg Week Kiwatule-Najjeera'!E85</f>
        <v>1.5</v>
      </c>
      <c r="F85" s="49">
        <f>'Avg Week Najjeera-Kiwatule'!F85+'Avg Week Kiwatule-Najjeera'!F85</f>
        <v>2</v>
      </c>
      <c r="G85" s="49">
        <f>'Avg Week Najjeera-Kiwatule'!G85+'Avg Week Kiwatule-Najjeera'!G85</f>
        <v>0</v>
      </c>
      <c r="H85" s="49">
        <f>'Avg Week Najjeera-Kiwatule'!H85+'Avg Week Kiwatule-Najjeera'!H85</f>
        <v>0</v>
      </c>
      <c r="I85" s="49">
        <f>'Avg Week Najjeera-Kiwatule'!I85+'Avg Week Kiwatule-Najjeera'!I85</f>
        <v>1</v>
      </c>
      <c r="J85" s="49">
        <f>'Avg Week Najjeera-Kiwatule'!J85+'Avg Week Kiwatule-Najjeera'!J85</f>
        <v>0</v>
      </c>
      <c r="K85" s="49">
        <f>'Avg Week Najjeera-Kiwatule'!K85+'Avg Week Kiwatule-Najjeera'!K85</f>
        <v>0</v>
      </c>
      <c r="L85" s="49">
        <f>'Avg Week Najjeera-Kiwatule'!L85+'Avg Week Kiwatule-Najjeera'!L85</f>
        <v>0</v>
      </c>
      <c r="M85" s="49">
        <f>'Avg Week Najjeera-Kiwatule'!M85+'Avg Week Kiwatule-Najjeera'!M85</f>
        <v>33.5</v>
      </c>
      <c r="N85" s="49">
        <f>'Avg Week Najjeera-Kiwatule'!N85+'Avg Week Kiwatule-Najjeera'!N85</f>
        <v>0</v>
      </c>
      <c r="O85" s="15">
        <f t="shared" si="35"/>
        <v>74</v>
      </c>
      <c r="P85" s="15">
        <f t="shared" si="36"/>
        <v>107.5</v>
      </c>
      <c r="R85" s="8"/>
      <c r="T85"/>
    </row>
    <row r="86" spans="2:20" ht="23.1" customHeight="1">
      <c r="B86" s="24" t="s">
        <v>126</v>
      </c>
      <c r="C86" s="49">
        <f>'Avg Week Najjeera-Kiwatule'!C86+'Avg Week Kiwatule-Najjeera'!C86</f>
        <v>52</v>
      </c>
      <c r="D86" s="49">
        <f>'Avg Week Najjeera-Kiwatule'!D86+'Avg Week Kiwatule-Najjeera'!D86</f>
        <v>15.5</v>
      </c>
      <c r="E86" s="49">
        <f>'Avg Week Najjeera-Kiwatule'!E86+'Avg Week Kiwatule-Najjeera'!E86</f>
        <v>2</v>
      </c>
      <c r="F86" s="49">
        <f>'Avg Week Najjeera-Kiwatule'!F86+'Avg Week Kiwatule-Najjeera'!F86</f>
        <v>1</v>
      </c>
      <c r="G86" s="49">
        <f>'Avg Week Najjeera-Kiwatule'!G86+'Avg Week Kiwatule-Najjeera'!G86</f>
        <v>0</v>
      </c>
      <c r="H86" s="49">
        <f>'Avg Week Najjeera-Kiwatule'!H86+'Avg Week Kiwatule-Najjeera'!H86</f>
        <v>0</v>
      </c>
      <c r="I86" s="49">
        <f>'Avg Week Najjeera-Kiwatule'!I86+'Avg Week Kiwatule-Najjeera'!I86</f>
        <v>0</v>
      </c>
      <c r="J86" s="49">
        <f>'Avg Week Najjeera-Kiwatule'!J86+'Avg Week Kiwatule-Najjeera'!J86</f>
        <v>1</v>
      </c>
      <c r="K86" s="49">
        <f>'Avg Week Najjeera-Kiwatule'!K86+'Avg Week Kiwatule-Najjeera'!K86</f>
        <v>0</v>
      </c>
      <c r="L86" s="49">
        <f>'Avg Week Najjeera-Kiwatule'!L86+'Avg Week Kiwatule-Najjeera'!L86</f>
        <v>0</v>
      </c>
      <c r="M86" s="49">
        <f>'Avg Week Najjeera-Kiwatule'!M86+'Avg Week Kiwatule-Najjeera'!M86</f>
        <v>33.5</v>
      </c>
      <c r="N86" s="49">
        <f>'Avg Week Najjeera-Kiwatule'!N86+'Avg Week Kiwatule-Najjeera'!N86</f>
        <v>0</v>
      </c>
      <c r="O86" s="15">
        <f t="shared" si="35"/>
        <v>71.5</v>
      </c>
      <c r="P86" s="15">
        <f t="shared" si="36"/>
        <v>105</v>
      </c>
      <c r="R86" s="8"/>
      <c r="T86"/>
    </row>
    <row r="87" spans="2:20" ht="23.1" customHeight="1">
      <c r="B87" s="23" t="s">
        <v>127</v>
      </c>
      <c r="C87" s="49">
        <f>'Avg Week Najjeera-Kiwatule'!C87+'Avg Week Kiwatule-Najjeera'!C87</f>
        <v>47.5</v>
      </c>
      <c r="D87" s="49">
        <f>'Avg Week Najjeera-Kiwatule'!D87+'Avg Week Kiwatule-Najjeera'!D87</f>
        <v>13</v>
      </c>
      <c r="E87" s="49">
        <f>'Avg Week Najjeera-Kiwatule'!E87+'Avg Week Kiwatule-Najjeera'!E87</f>
        <v>1</v>
      </c>
      <c r="F87" s="49">
        <f>'Avg Week Najjeera-Kiwatule'!F87+'Avg Week Kiwatule-Najjeera'!F87</f>
        <v>0.5</v>
      </c>
      <c r="G87" s="49">
        <f>'Avg Week Najjeera-Kiwatule'!G87+'Avg Week Kiwatule-Najjeera'!G87</f>
        <v>0</v>
      </c>
      <c r="H87" s="49">
        <f>'Avg Week Najjeera-Kiwatule'!H87+'Avg Week Kiwatule-Najjeera'!H87</f>
        <v>0</v>
      </c>
      <c r="I87" s="49">
        <f>'Avg Week Najjeera-Kiwatule'!I87+'Avg Week Kiwatule-Najjeera'!I87</f>
        <v>0</v>
      </c>
      <c r="J87" s="49">
        <f>'Avg Week Najjeera-Kiwatule'!J87+'Avg Week Kiwatule-Najjeera'!J87</f>
        <v>0</v>
      </c>
      <c r="K87" s="49">
        <f>'Avg Week Najjeera-Kiwatule'!K87+'Avg Week Kiwatule-Najjeera'!K87</f>
        <v>0</v>
      </c>
      <c r="L87" s="49">
        <f>'Avg Week Najjeera-Kiwatule'!L87+'Avg Week Kiwatule-Najjeera'!L87</f>
        <v>0</v>
      </c>
      <c r="M87" s="49">
        <f>'Avg Week Najjeera-Kiwatule'!M87+'Avg Week Kiwatule-Najjeera'!M87</f>
        <v>43.5</v>
      </c>
      <c r="N87" s="49">
        <f>'Avg Week Najjeera-Kiwatule'!N87+'Avg Week Kiwatule-Najjeera'!N87</f>
        <v>0</v>
      </c>
      <c r="O87" s="15">
        <f t="shared" si="35"/>
        <v>62</v>
      </c>
      <c r="P87" s="15">
        <f t="shared" si="36"/>
        <v>105.5</v>
      </c>
      <c r="R87" s="8"/>
      <c r="T87"/>
    </row>
    <row r="88" spans="2:20" ht="23.1" customHeight="1">
      <c r="B88" s="25" t="s">
        <v>128</v>
      </c>
      <c r="C88" s="49">
        <f>'Avg Week Najjeera-Kiwatule'!C88+'Avg Week Kiwatule-Najjeera'!C88</f>
        <v>56</v>
      </c>
      <c r="D88" s="49">
        <f>'Avg Week Najjeera-Kiwatule'!D88+'Avg Week Kiwatule-Najjeera'!D88</f>
        <v>12.5</v>
      </c>
      <c r="E88" s="49">
        <f>'Avg Week Najjeera-Kiwatule'!E88+'Avg Week Kiwatule-Najjeera'!E88</f>
        <v>1</v>
      </c>
      <c r="F88" s="49">
        <f>'Avg Week Najjeera-Kiwatule'!F88+'Avg Week Kiwatule-Najjeera'!F88</f>
        <v>1.5</v>
      </c>
      <c r="G88" s="49">
        <f>'Avg Week Najjeera-Kiwatule'!G88+'Avg Week Kiwatule-Najjeera'!G88</f>
        <v>0</v>
      </c>
      <c r="H88" s="49">
        <f>'Avg Week Najjeera-Kiwatule'!H88+'Avg Week Kiwatule-Najjeera'!H88</f>
        <v>0</v>
      </c>
      <c r="I88" s="49">
        <f>'Avg Week Najjeera-Kiwatule'!I88+'Avg Week Kiwatule-Najjeera'!I88</f>
        <v>0.5</v>
      </c>
      <c r="J88" s="49">
        <f>'Avg Week Najjeera-Kiwatule'!J88+'Avg Week Kiwatule-Najjeera'!J88</f>
        <v>0.5</v>
      </c>
      <c r="K88" s="49">
        <f>'Avg Week Najjeera-Kiwatule'!K88+'Avg Week Kiwatule-Najjeera'!K88</f>
        <v>0</v>
      </c>
      <c r="L88" s="49">
        <f>'Avg Week Najjeera-Kiwatule'!L88+'Avg Week Kiwatule-Najjeera'!L88</f>
        <v>0</v>
      </c>
      <c r="M88" s="49">
        <f>'Avg Week Najjeera-Kiwatule'!M88+'Avg Week Kiwatule-Najjeera'!M88</f>
        <v>27.5</v>
      </c>
      <c r="N88" s="49">
        <f>'Avg Week Najjeera-Kiwatule'!N88+'Avg Week Kiwatule-Najjeera'!N88</f>
        <v>0</v>
      </c>
      <c r="O88" s="15">
        <f t="shared" si="35"/>
        <v>72</v>
      </c>
      <c r="P88" s="15">
        <f t="shared" si="36"/>
        <v>99.5</v>
      </c>
      <c r="R88" s="8"/>
      <c r="T88"/>
    </row>
    <row r="89" spans="2:20" ht="23.1" customHeight="1">
      <c r="B89" s="23" t="s">
        <v>129</v>
      </c>
      <c r="C89" s="49">
        <f>'Avg Week Najjeera-Kiwatule'!C89+'Avg Week Kiwatule-Najjeera'!C89</f>
        <v>41.5</v>
      </c>
      <c r="D89" s="49">
        <f>'Avg Week Najjeera-Kiwatule'!D89+'Avg Week Kiwatule-Najjeera'!D89</f>
        <v>6</v>
      </c>
      <c r="E89" s="49">
        <f>'Avg Week Najjeera-Kiwatule'!E89+'Avg Week Kiwatule-Najjeera'!E89</f>
        <v>1.5</v>
      </c>
      <c r="F89" s="49">
        <f>'Avg Week Najjeera-Kiwatule'!F89+'Avg Week Kiwatule-Najjeera'!F89</f>
        <v>0.5</v>
      </c>
      <c r="G89" s="49">
        <f>'Avg Week Najjeera-Kiwatule'!G89+'Avg Week Kiwatule-Najjeera'!G89</f>
        <v>0</v>
      </c>
      <c r="H89" s="49">
        <f>'Avg Week Najjeera-Kiwatule'!H89+'Avg Week Kiwatule-Najjeera'!H89</f>
        <v>0</v>
      </c>
      <c r="I89" s="49">
        <f>'Avg Week Najjeera-Kiwatule'!I89+'Avg Week Kiwatule-Najjeera'!I89</f>
        <v>1</v>
      </c>
      <c r="J89" s="49">
        <f>'Avg Week Najjeera-Kiwatule'!J89+'Avg Week Kiwatule-Najjeera'!J89</f>
        <v>0</v>
      </c>
      <c r="K89" s="49">
        <f>'Avg Week Najjeera-Kiwatule'!K89+'Avg Week Kiwatule-Najjeera'!K89</f>
        <v>0</v>
      </c>
      <c r="L89" s="49">
        <f>'Avg Week Najjeera-Kiwatule'!L89+'Avg Week Kiwatule-Najjeera'!L89</f>
        <v>0.5</v>
      </c>
      <c r="M89" s="49">
        <f>'Avg Week Najjeera-Kiwatule'!M89+'Avg Week Kiwatule-Najjeera'!M89</f>
        <v>23.5</v>
      </c>
      <c r="N89" s="49">
        <f>'Avg Week Najjeera-Kiwatule'!N89+'Avg Week Kiwatule-Najjeera'!N89</f>
        <v>0</v>
      </c>
      <c r="O89" s="15">
        <f t="shared" si="35"/>
        <v>51</v>
      </c>
      <c r="P89" s="15">
        <f t="shared" si="36"/>
        <v>74.5</v>
      </c>
      <c r="R89" s="8"/>
      <c r="T89"/>
    </row>
    <row r="90" spans="2:20" ht="23.1" customHeight="1">
      <c r="B90" s="24" t="s">
        <v>130</v>
      </c>
      <c r="C90" s="49">
        <f>'Avg Week Najjeera-Kiwatule'!C90+'Avg Week Kiwatule-Najjeera'!C90</f>
        <v>45</v>
      </c>
      <c r="D90" s="49">
        <f>'Avg Week Najjeera-Kiwatule'!D90+'Avg Week Kiwatule-Najjeera'!D90</f>
        <v>11.5</v>
      </c>
      <c r="E90" s="49">
        <f>'Avg Week Najjeera-Kiwatule'!E90+'Avg Week Kiwatule-Najjeera'!E90</f>
        <v>2</v>
      </c>
      <c r="F90" s="49">
        <f>'Avg Week Najjeera-Kiwatule'!F90+'Avg Week Kiwatule-Najjeera'!F90</f>
        <v>1.5</v>
      </c>
      <c r="G90" s="49">
        <f>'Avg Week Najjeera-Kiwatule'!G90+'Avg Week Kiwatule-Najjeera'!G90</f>
        <v>0</v>
      </c>
      <c r="H90" s="49">
        <f>'Avg Week Najjeera-Kiwatule'!H90+'Avg Week Kiwatule-Najjeera'!H90</f>
        <v>0</v>
      </c>
      <c r="I90" s="49">
        <f>'Avg Week Najjeera-Kiwatule'!I90+'Avg Week Kiwatule-Najjeera'!I90</f>
        <v>0</v>
      </c>
      <c r="J90" s="49">
        <f>'Avg Week Najjeera-Kiwatule'!J90+'Avg Week Kiwatule-Najjeera'!J90</f>
        <v>0.5</v>
      </c>
      <c r="K90" s="49">
        <f>'Avg Week Najjeera-Kiwatule'!K90+'Avg Week Kiwatule-Najjeera'!K90</f>
        <v>0</v>
      </c>
      <c r="L90" s="49">
        <f>'Avg Week Najjeera-Kiwatule'!L90+'Avg Week Kiwatule-Najjeera'!L90</f>
        <v>0</v>
      </c>
      <c r="M90" s="49">
        <f>'Avg Week Najjeera-Kiwatule'!M90+'Avg Week Kiwatule-Najjeera'!M90</f>
        <v>27.5</v>
      </c>
      <c r="N90" s="49">
        <f>'Avg Week Najjeera-Kiwatule'!N90+'Avg Week Kiwatule-Najjeera'!N90</f>
        <v>0</v>
      </c>
      <c r="O90" s="15">
        <f t="shared" si="35"/>
        <v>60.5</v>
      </c>
      <c r="P90" s="15">
        <f t="shared" si="36"/>
        <v>88</v>
      </c>
      <c r="R90" s="8"/>
      <c r="T90"/>
    </row>
    <row r="91" spans="2:20" ht="23.1" customHeight="1">
      <c r="B91" s="23" t="s">
        <v>131</v>
      </c>
      <c r="C91" s="49">
        <f>'Avg Week Najjeera-Kiwatule'!C91+'Avg Week Kiwatule-Najjeera'!C91</f>
        <v>42.5</v>
      </c>
      <c r="D91" s="49">
        <f>'Avg Week Najjeera-Kiwatule'!D91+'Avg Week Kiwatule-Najjeera'!D91</f>
        <v>5</v>
      </c>
      <c r="E91" s="49">
        <f>'Avg Week Najjeera-Kiwatule'!E91+'Avg Week Kiwatule-Najjeera'!E91</f>
        <v>2.5</v>
      </c>
      <c r="F91" s="49">
        <f>'Avg Week Najjeera-Kiwatule'!F91+'Avg Week Kiwatule-Najjeera'!F91</f>
        <v>0</v>
      </c>
      <c r="G91" s="49">
        <f>'Avg Week Najjeera-Kiwatule'!G91+'Avg Week Kiwatule-Najjeera'!G91</f>
        <v>0</v>
      </c>
      <c r="H91" s="49">
        <f>'Avg Week Najjeera-Kiwatule'!H91+'Avg Week Kiwatule-Najjeera'!H91</f>
        <v>0</v>
      </c>
      <c r="I91" s="49">
        <f>'Avg Week Najjeera-Kiwatule'!I91+'Avg Week Kiwatule-Najjeera'!I91</f>
        <v>1</v>
      </c>
      <c r="J91" s="49">
        <f>'Avg Week Najjeera-Kiwatule'!J91+'Avg Week Kiwatule-Najjeera'!J91</f>
        <v>0.5</v>
      </c>
      <c r="K91" s="49">
        <f>'Avg Week Najjeera-Kiwatule'!K91+'Avg Week Kiwatule-Najjeera'!K91</f>
        <v>0</v>
      </c>
      <c r="L91" s="49">
        <f>'Avg Week Najjeera-Kiwatule'!L91+'Avg Week Kiwatule-Najjeera'!L91</f>
        <v>0</v>
      </c>
      <c r="M91" s="49">
        <f>'Avg Week Najjeera-Kiwatule'!M91+'Avg Week Kiwatule-Najjeera'!M91</f>
        <v>27</v>
      </c>
      <c r="N91" s="49">
        <f>'Avg Week Najjeera-Kiwatule'!N91+'Avg Week Kiwatule-Najjeera'!N91</f>
        <v>0</v>
      </c>
      <c r="O91" s="15">
        <f t="shared" si="35"/>
        <v>51.5</v>
      </c>
      <c r="P91" s="15">
        <f t="shared" si="36"/>
        <v>78.5</v>
      </c>
      <c r="R91" s="8"/>
      <c r="T91"/>
    </row>
    <row r="92" spans="2:20" ht="23.1" customHeight="1">
      <c r="B92" s="25" t="s">
        <v>132</v>
      </c>
      <c r="C92" s="49">
        <f>'Avg Week Najjeera-Kiwatule'!C92+'Avg Week Kiwatule-Najjeera'!C92</f>
        <v>37</v>
      </c>
      <c r="D92" s="49">
        <f>'Avg Week Najjeera-Kiwatule'!D92+'Avg Week Kiwatule-Najjeera'!D92</f>
        <v>10</v>
      </c>
      <c r="E92" s="49">
        <f>'Avg Week Najjeera-Kiwatule'!E92+'Avg Week Kiwatule-Najjeera'!E92</f>
        <v>2</v>
      </c>
      <c r="F92" s="49">
        <f>'Avg Week Najjeera-Kiwatule'!F92+'Avg Week Kiwatule-Najjeera'!F92</f>
        <v>2</v>
      </c>
      <c r="G92" s="49">
        <f>'Avg Week Najjeera-Kiwatule'!G92+'Avg Week Kiwatule-Najjeera'!G92</f>
        <v>0</v>
      </c>
      <c r="H92" s="49">
        <f>'Avg Week Najjeera-Kiwatule'!H92+'Avg Week Kiwatule-Najjeera'!H92</f>
        <v>0</v>
      </c>
      <c r="I92" s="49">
        <f>'Avg Week Najjeera-Kiwatule'!I92+'Avg Week Kiwatule-Najjeera'!I92</f>
        <v>1</v>
      </c>
      <c r="J92" s="49">
        <f>'Avg Week Najjeera-Kiwatule'!J92+'Avg Week Kiwatule-Najjeera'!J92</f>
        <v>0</v>
      </c>
      <c r="K92" s="49">
        <f>'Avg Week Najjeera-Kiwatule'!K92+'Avg Week Kiwatule-Najjeera'!K92</f>
        <v>0.5</v>
      </c>
      <c r="L92" s="49">
        <f>'Avg Week Najjeera-Kiwatule'!L92+'Avg Week Kiwatule-Najjeera'!L92</f>
        <v>0</v>
      </c>
      <c r="M92" s="49">
        <f>'Avg Week Najjeera-Kiwatule'!M92+'Avg Week Kiwatule-Najjeera'!M92</f>
        <v>33</v>
      </c>
      <c r="N92" s="49">
        <f>'Avg Week Najjeera-Kiwatule'!N92+'Avg Week Kiwatule-Najjeera'!N92</f>
        <v>0</v>
      </c>
      <c r="O92" s="15">
        <f t="shared" si="35"/>
        <v>52.5</v>
      </c>
      <c r="P92" s="15">
        <f t="shared" si="36"/>
        <v>85.5</v>
      </c>
      <c r="R92" s="8"/>
      <c r="T92"/>
    </row>
    <row r="93" spans="2:20" ht="23.1" customHeight="1">
      <c r="B93" s="23" t="s">
        <v>133</v>
      </c>
      <c r="C93" s="49">
        <f>'Avg Week Najjeera-Kiwatule'!C93+'Avg Week Kiwatule-Najjeera'!C93</f>
        <v>40</v>
      </c>
      <c r="D93" s="49">
        <f>'Avg Week Najjeera-Kiwatule'!D93+'Avg Week Kiwatule-Najjeera'!D93</f>
        <v>8</v>
      </c>
      <c r="E93" s="49">
        <f>'Avg Week Najjeera-Kiwatule'!E93+'Avg Week Kiwatule-Najjeera'!E93</f>
        <v>1.5</v>
      </c>
      <c r="F93" s="49">
        <f>'Avg Week Najjeera-Kiwatule'!F93+'Avg Week Kiwatule-Najjeera'!F93</f>
        <v>0</v>
      </c>
      <c r="G93" s="49">
        <f>'Avg Week Najjeera-Kiwatule'!G93+'Avg Week Kiwatule-Najjeera'!G93</f>
        <v>0</v>
      </c>
      <c r="H93" s="49">
        <f>'Avg Week Najjeera-Kiwatule'!H93+'Avg Week Kiwatule-Najjeera'!H93</f>
        <v>0</v>
      </c>
      <c r="I93" s="49">
        <f>'Avg Week Najjeera-Kiwatule'!I93+'Avg Week Kiwatule-Najjeera'!I93</f>
        <v>0.5</v>
      </c>
      <c r="J93" s="49">
        <f>'Avg Week Najjeera-Kiwatule'!J93+'Avg Week Kiwatule-Najjeera'!J93</f>
        <v>0.5</v>
      </c>
      <c r="K93" s="49">
        <f>'Avg Week Najjeera-Kiwatule'!K93+'Avg Week Kiwatule-Najjeera'!K93</f>
        <v>0</v>
      </c>
      <c r="L93" s="49">
        <f>'Avg Week Najjeera-Kiwatule'!L93+'Avg Week Kiwatule-Najjeera'!L93</f>
        <v>0</v>
      </c>
      <c r="M93" s="49">
        <f>'Avg Week Najjeera-Kiwatule'!M93+'Avg Week Kiwatule-Najjeera'!M93</f>
        <v>40</v>
      </c>
      <c r="N93" s="49">
        <f>'Avg Week Najjeera-Kiwatule'!N93+'Avg Week Kiwatule-Najjeera'!N93</f>
        <v>0</v>
      </c>
      <c r="O93" s="15">
        <f t="shared" si="35"/>
        <v>50.5</v>
      </c>
      <c r="P93" s="15">
        <f t="shared" si="36"/>
        <v>90.5</v>
      </c>
      <c r="R93" s="8"/>
      <c r="T93"/>
    </row>
    <row r="94" spans="2:20" ht="23.1" customHeight="1">
      <c r="B94" s="24" t="s">
        <v>134</v>
      </c>
      <c r="C94" s="49">
        <f>'Avg Week Najjeera-Kiwatule'!C94+'Avg Week Kiwatule-Najjeera'!C94</f>
        <v>53.5</v>
      </c>
      <c r="D94" s="49">
        <f>'Avg Week Najjeera-Kiwatule'!D94+'Avg Week Kiwatule-Najjeera'!D94</f>
        <v>9</v>
      </c>
      <c r="E94" s="49">
        <f>'Avg Week Najjeera-Kiwatule'!E94+'Avg Week Kiwatule-Najjeera'!E94</f>
        <v>1.5</v>
      </c>
      <c r="F94" s="49">
        <f>'Avg Week Najjeera-Kiwatule'!F94+'Avg Week Kiwatule-Najjeera'!F94</f>
        <v>1</v>
      </c>
      <c r="G94" s="49">
        <f>'Avg Week Najjeera-Kiwatule'!G94+'Avg Week Kiwatule-Najjeera'!G94</f>
        <v>0</v>
      </c>
      <c r="H94" s="49">
        <f>'Avg Week Najjeera-Kiwatule'!H94+'Avg Week Kiwatule-Najjeera'!H94</f>
        <v>0</v>
      </c>
      <c r="I94" s="49">
        <f>'Avg Week Najjeera-Kiwatule'!I94+'Avg Week Kiwatule-Najjeera'!I94</f>
        <v>0</v>
      </c>
      <c r="J94" s="49">
        <f>'Avg Week Najjeera-Kiwatule'!J94+'Avg Week Kiwatule-Najjeera'!J94</f>
        <v>0.5</v>
      </c>
      <c r="K94" s="49">
        <f>'Avg Week Najjeera-Kiwatule'!K94+'Avg Week Kiwatule-Najjeera'!K94</f>
        <v>0</v>
      </c>
      <c r="L94" s="49">
        <f>'Avg Week Najjeera-Kiwatule'!L94+'Avg Week Kiwatule-Najjeera'!L94</f>
        <v>0</v>
      </c>
      <c r="M94" s="49">
        <f>'Avg Week Najjeera-Kiwatule'!M94+'Avg Week Kiwatule-Najjeera'!M94</f>
        <v>40</v>
      </c>
      <c r="N94" s="49">
        <f>'Avg Week Najjeera-Kiwatule'!N94+'Avg Week Kiwatule-Najjeera'!N94</f>
        <v>0</v>
      </c>
      <c r="O94" s="15">
        <f t="shared" si="35"/>
        <v>65.5</v>
      </c>
      <c r="P94" s="15">
        <f t="shared" si="36"/>
        <v>105.5</v>
      </c>
      <c r="R94" s="8"/>
      <c r="T94"/>
    </row>
    <row r="95" spans="2:20" ht="23.1" customHeight="1">
      <c r="B95" s="23" t="s">
        <v>135</v>
      </c>
      <c r="C95" s="49">
        <f>'Avg Week Najjeera-Kiwatule'!C95+'Avg Week Kiwatule-Najjeera'!C95</f>
        <v>33.5</v>
      </c>
      <c r="D95" s="49">
        <f>'Avg Week Najjeera-Kiwatule'!D95+'Avg Week Kiwatule-Najjeera'!D95</f>
        <v>9.5</v>
      </c>
      <c r="E95" s="49">
        <f>'Avg Week Najjeera-Kiwatule'!E95+'Avg Week Kiwatule-Najjeera'!E95</f>
        <v>4</v>
      </c>
      <c r="F95" s="49">
        <f>'Avg Week Najjeera-Kiwatule'!F95+'Avg Week Kiwatule-Najjeera'!F95</f>
        <v>1</v>
      </c>
      <c r="G95" s="49">
        <f>'Avg Week Najjeera-Kiwatule'!G95+'Avg Week Kiwatule-Najjeera'!G95</f>
        <v>0.5</v>
      </c>
      <c r="H95" s="49">
        <f>'Avg Week Najjeera-Kiwatule'!H95+'Avg Week Kiwatule-Najjeera'!H95</f>
        <v>0</v>
      </c>
      <c r="I95" s="49">
        <f>'Avg Week Najjeera-Kiwatule'!I95+'Avg Week Kiwatule-Najjeera'!I95</f>
        <v>0</v>
      </c>
      <c r="J95" s="49">
        <f>'Avg Week Najjeera-Kiwatule'!J95+'Avg Week Kiwatule-Najjeera'!J95</f>
        <v>0.5</v>
      </c>
      <c r="K95" s="49">
        <f>'Avg Week Najjeera-Kiwatule'!K95+'Avg Week Kiwatule-Najjeera'!K95</f>
        <v>0</v>
      </c>
      <c r="L95" s="49">
        <f>'Avg Week Najjeera-Kiwatule'!L95+'Avg Week Kiwatule-Najjeera'!L95</f>
        <v>0</v>
      </c>
      <c r="M95" s="49">
        <f>'Avg Week Najjeera-Kiwatule'!M95+'Avg Week Kiwatule-Najjeera'!M95</f>
        <v>28</v>
      </c>
      <c r="N95" s="49">
        <f>'Avg Week Najjeera-Kiwatule'!N95+'Avg Week Kiwatule-Najjeera'!N95</f>
        <v>0</v>
      </c>
      <c r="O95" s="15">
        <f t="shared" si="35"/>
        <v>49</v>
      </c>
      <c r="P95" s="15">
        <f t="shared" si="36"/>
        <v>77</v>
      </c>
      <c r="R95" s="8"/>
      <c r="T95"/>
    </row>
    <row r="96" spans="2:20" ht="23.1" customHeight="1">
      <c r="B96" s="25" t="s">
        <v>136</v>
      </c>
      <c r="C96" s="49">
        <f>'Avg Week Najjeera-Kiwatule'!C96+'Avg Week Kiwatule-Najjeera'!C96</f>
        <v>39.5</v>
      </c>
      <c r="D96" s="49">
        <f>'Avg Week Najjeera-Kiwatule'!D96+'Avg Week Kiwatule-Najjeera'!D96</f>
        <v>5</v>
      </c>
      <c r="E96" s="49">
        <f>'Avg Week Najjeera-Kiwatule'!E96+'Avg Week Kiwatule-Najjeera'!E96</f>
        <v>2</v>
      </c>
      <c r="F96" s="49">
        <f>'Avg Week Najjeera-Kiwatule'!F96+'Avg Week Kiwatule-Najjeera'!F96</f>
        <v>1.5</v>
      </c>
      <c r="G96" s="49">
        <f>'Avg Week Najjeera-Kiwatule'!G96+'Avg Week Kiwatule-Najjeera'!G96</f>
        <v>0</v>
      </c>
      <c r="H96" s="49">
        <f>'Avg Week Najjeera-Kiwatule'!H96+'Avg Week Kiwatule-Najjeera'!H96</f>
        <v>0</v>
      </c>
      <c r="I96" s="49">
        <f>'Avg Week Najjeera-Kiwatule'!I96+'Avg Week Kiwatule-Najjeera'!I96</f>
        <v>2</v>
      </c>
      <c r="J96" s="49">
        <f>'Avg Week Najjeera-Kiwatule'!J96+'Avg Week Kiwatule-Najjeera'!J96</f>
        <v>0.5</v>
      </c>
      <c r="K96" s="49">
        <f>'Avg Week Najjeera-Kiwatule'!K96+'Avg Week Kiwatule-Najjeera'!K96</f>
        <v>0</v>
      </c>
      <c r="L96" s="49">
        <f>'Avg Week Najjeera-Kiwatule'!L96+'Avg Week Kiwatule-Najjeera'!L96</f>
        <v>0</v>
      </c>
      <c r="M96" s="49">
        <f>'Avg Week Najjeera-Kiwatule'!M96+'Avg Week Kiwatule-Najjeera'!M96</f>
        <v>39</v>
      </c>
      <c r="N96" s="49">
        <f>'Avg Week Najjeera-Kiwatule'!N96+'Avg Week Kiwatule-Najjeera'!N96</f>
        <v>0</v>
      </c>
      <c r="O96" s="15">
        <f t="shared" si="35"/>
        <v>50.5</v>
      </c>
      <c r="P96" s="15">
        <f t="shared" si="36"/>
        <v>89.5</v>
      </c>
      <c r="R96" s="8"/>
      <c r="T96"/>
    </row>
    <row r="97" spans="2:20" ht="23.1" customHeight="1">
      <c r="B97" s="23" t="s">
        <v>137</v>
      </c>
      <c r="C97" s="49">
        <f>'Avg Week Najjeera-Kiwatule'!C97+'Avg Week Kiwatule-Najjeera'!C97</f>
        <v>32.5</v>
      </c>
      <c r="D97" s="49">
        <f>'Avg Week Najjeera-Kiwatule'!D97+'Avg Week Kiwatule-Najjeera'!D97</f>
        <v>7</v>
      </c>
      <c r="E97" s="49">
        <f>'Avg Week Najjeera-Kiwatule'!E97+'Avg Week Kiwatule-Najjeera'!E97</f>
        <v>2</v>
      </c>
      <c r="F97" s="49">
        <f>'Avg Week Najjeera-Kiwatule'!F97+'Avg Week Kiwatule-Najjeera'!F97</f>
        <v>3.5</v>
      </c>
      <c r="G97" s="49">
        <f>'Avg Week Najjeera-Kiwatule'!G97+'Avg Week Kiwatule-Najjeera'!G97</f>
        <v>0.5</v>
      </c>
      <c r="H97" s="49">
        <f>'Avg Week Najjeera-Kiwatule'!H97+'Avg Week Kiwatule-Najjeera'!H97</f>
        <v>0</v>
      </c>
      <c r="I97" s="49">
        <f>'Avg Week Najjeera-Kiwatule'!I97+'Avg Week Kiwatule-Najjeera'!I97</f>
        <v>1.5</v>
      </c>
      <c r="J97" s="49">
        <f>'Avg Week Najjeera-Kiwatule'!J97+'Avg Week Kiwatule-Najjeera'!J97</f>
        <v>0</v>
      </c>
      <c r="K97" s="49">
        <f>'Avg Week Najjeera-Kiwatule'!K97+'Avg Week Kiwatule-Najjeera'!K97</f>
        <v>0</v>
      </c>
      <c r="L97" s="49">
        <f>'Avg Week Najjeera-Kiwatule'!L97+'Avg Week Kiwatule-Najjeera'!L97</f>
        <v>0</v>
      </c>
      <c r="M97" s="49">
        <f>'Avg Week Najjeera-Kiwatule'!M97+'Avg Week Kiwatule-Najjeera'!M97</f>
        <v>24.5</v>
      </c>
      <c r="N97" s="49">
        <f>'Avg Week Najjeera-Kiwatule'!N97+'Avg Week Kiwatule-Najjeera'!N97</f>
        <v>0</v>
      </c>
      <c r="O97" s="15">
        <f t="shared" si="35"/>
        <v>47</v>
      </c>
      <c r="P97" s="15">
        <f t="shared" si="36"/>
        <v>71.5</v>
      </c>
      <c r="R97" s="8"/>
      <c r="T97"/>
    </row>
    <row r="98" spans="2:20" ht="23.1" customHeight="1">
      <c r="B98" s="24" t="s">
        <v>138</v>
      </c>
      <c r="C98" s="49">
        <f>'Avg Week Najjeera-Kiwatule'!C98+'Avg Week Kiwatule-Najjeera'!C98</f>
        <v>28</v>
      </c>
      <c r="D98" s="49">
        <f>'Avg Week Najjeera-Kiwatule'!D98+'Avg Week Kiwatule-Najjeera'!D98</f>
        <v>2.5</v>
      </c>
      <c r="E98" s="49">
        <f>'Avg Week Najjeera-Kiwatule'!E98+'Avg Week Kiwatule-Najjeera'!E98</f>
        <v>3.5</v>
      </c>
      <c r="F98" s="49">
        <f>'Avg Week Najjeera-Kiwatule'!F98+'Avg Week Kiwatule-Najjeera'!F98</f>
        <v>8</v>
      </c>
      <c r="G98" s="49">
        <f>'Avg Week Najjeera-Kiwatule'!G98+'Avg Week Kiwatule-Najjeera'!G98</f>
        <v>2</v>
      </c>
      <c r="H98" s="49">
        <f>'Avg Week Najjeera-Kiwatule'!H98+'Avg Week Kiwatule-Najjeera'!H98</f>
        <v>0</v>
      </c>
      <c r="I98" s="49">
        <f>'Avg Week Najjeera-Kiwatule'!I98+'Avg Week Kiwatule-Najjeera'!I98</f>
        <v>1.5</v>
      </c>
      <c r="J98" s="49">
        <f>'Avg Week Najjeera-Kiwatule'!J98+'Avg Week Kiwatule-Najjeera'!J98</f>
        <v>0</v>
      </c>
      <c r="K98" s="49">
        <f>'Avg Week Najjeera-Kiwatule'!K98+'Avg Week Kiwatule-Najjeera'!K98</f>
        <v>0</v>
      </c>
      <c r="L98" s="49">
        <f>'Avg Week Najjeera-Kiwatule'!L98+'Avg Week Kiwatule-Najjeera'!L98</f>
        <v>0</v>
      </c>
      <c r="M98" s="49">
        <f>'Avg Week Najjeera-Kiwatule'!M98+'Avg Week Kiwatule-Najjeera'!M98</f>
        <v>29</v>
      </c>
      <c r="N98" s="49">
        <f>'Avg Week Najjeera-Kiwatule'!N98+'Avg Week Kiwatule-Najjeera'!N98</f>
        <v>0</v>
      </c>
      <c r="O98" s="15">
        <f t="shared" si="35"/>
        <v>45.5</v>
      </c>
      <c r="P98" s="15">
        <f t="shared" si="36"/>
        <v>74.5</v>
      </c>
      <c r="R98" s="8"/>
      <c r="T98"/>
    </row>
    <row r="99" spans="2:20" ht="23.1" customHeight="1">
      <c r="B99" s="23" t="s">
        <v>139</v>
      </c>
      <c r="C99" s="49">
        <f>'Avg Week Najjeera-Kiwatule'!C99+'Avg Week Kiwatule-Najjeera'!C99</f>
        <v>31</v>
      </c>
      <c r="D99" s="49">
        <f>'Avg Week Najjeera-Kiwatule'!D99+'Avg Week Kiwatule-Najjeera'!D99</f>
        <v>4</v>
      </c>
      <c r="E99" s="49">
        <f>'Avg Week Najjeera-Kiwatule'!E99+'Avg Week Kiwatule-Najjeera'!E99</f>
        <v>3</v>
      </c>
      <c r="F99" s="49">
        <f>'Avg Week Najjeera-Kiwatule'!F99+'Avg Week Kiwatule-Najjeera'!F99</f>
        <v>8.5</v>
      </c>
      <c r="G99" s="49">
        <f>'Avg Week Najjeera-Kiwatule'!G99+'Avg Week Kiwatule-Najjeera'!G99</f>
        <v>5.5</v>
      </c>
      <c r="H99" s="49">
        <f>'Avg Week Najjeera-Kiwatule'!H99+'Avg Week Kiwatule-Najjeera'!H99</f>
        <v>0</v>
      </c>
      <c r="I99" s="49">
        <f>'Avg Week Najjeera-Kiwatule'!I99+'Avg Week Kiwatule-Najjeera'!I99</f>
        <v>0.5</v>
      </c>
      <c r="J99" s="49">
        <f>'Avg Week Najjeera-Kiwatule'!J99+'Avg Week Kiwatule-Najjeera'!J99</f>
        <v>0</v>
      </c>
      <c r="K99" s="49">
        <f>'Avg Week Najjeera-Kiwatule'!K99+'Avg Week Kiwatule-Najjeera'!K99</f>
        <v>0</v>
      </c>
      <c r="L99" s="49">
        <f>'Avg Week Najjeera-Kiwatule'!L99+'Avg Week Kiwatule-Najjeera'!L99</f>
        <v>0</v>
      </c>
      <c r="M99" s="49">
        <f>'Avg Week Najjeera-Kiwatule'!M99+'Avg Week Kiwatule-Najjeera'!M99</f>
        <v>30</v>
      </c>
      <c r="N99" s="49">
        <f>'Avg Week Najjeera-Kiwatule'!N99+'Avg Week Kiwatule-Najjeera'!N99</f>
        <v>0</v>
      </c>
      <c r="O99" s="15">
        <f t="shared" si="35"/>
        <v>52.5</v>
      </c>
      <c r="P99" s="15">
        <f t="shared" si="36"/>
        <v>82.5</v>
      </c>
      <c r="R99" s="8"/>
      <c r="T99"/>
    </row>
    <row r="100" spans="2:20" ht="23.1" customHeight="1">
      <c r="B100" s="25" t="s">
        <v>140</v>
      </c>
      <c r="C100" s="49">
        <f>'Avg Week Najjeera-Kiwatule'!C100+'Avg Week Kiwatule-Najjeera'!C100</f>
        <v>50</v>
      </c>
      <c r="D100" s="49">
        <f>'Avg Week Najjeera-Kiwatule'!D100+'Avg Week Kiwatule-Najjeera'!D100</f>
        <v>7</v>
      </c>
      <c r="E100" s="49">
        <f>'Avg Week Najjeera-Kiwatule'!E100+'Avg Week Kiwatule-Najjeera'!E100</f>
        <v>2.5</v>
      </c>
      <c r="F100" s="49">
        <f>'Avg Week Najjeera-Kiwatule'!F100+'Avg Week Kiwatule-Najjeera'!F100</f>
        <v>11</v>
      </c>
      <c r="G100" s="49">
        <f>'Avg Week Najjeera-Kiwatule'!G100+'Avg Week Kiwatule-Najjeera'!G100</f>
        <v>0</v>
      </c>
      <c r="H100" s="49">
        <f>'Avg Week Najjeera-Kiwatule'!H100+'Avg Week Kiwatule-Najjeera'!H100</f>
        <v>0</v>
      </c>
      <c r="I100" s="49">
        <f>'Avg Week Najjeera-Kiwatule'!I100+'Avg Week Kiwatule-Najjeera'!I100</f>
        <v>2</v>
      </c>
      <c r="J100" s="49">
        <f>'Avg Week Najjeera-Kiwatule'!J100+'Avg Week Kiwatule-Najjeera'!J100</f>
        <v>0.5</v>
      </c>
      <c r="K100" s="49">
        <f>'Avg Week Najjeera-Kiwatule'!K100+'Avg Week Kiwatule-Najjeera'!K100</f>
        <v>0</v>
      </c>
      <c r="L100" s="49">
        <f>'Avg Week Najjeera-Kiwatule'!L100+'Avg Week Kiwatule-Najjeera'!L100</f>
        <v>0</v>
      </c>
      <c r="M100" s="49">
        <f>'Avg Week Najjeera-Kiwatule'!M100+'Avg Week Kiwatule-Najjeera'!M100</f>
        <v>30.5</v>
      </c>
      <c r="N100" s="49">
        <f>'Avg Week Najjeera-Kiwatule'!N100+'Avg Week Kiwatule-Najjeera'!N100</f>
        <v>0</v>
      </c>
      <c r="O100" s="15">
        <f t="shared" si="35"/>
        <v>73</v>
      </c>
      <c r="P100" s="15">
        <f t="shared" si="36"/>
        <v>103.5</v>
      </c>
      <c r="R100" s="8"/>
      <c r="T100"/>
    </row>
    <row r="101" spans="2:20" ht="23.1" customHeight="1">
      <c r="B101" s="23" t="s">
        <v>141</v>
      </c>
      <c r="C101" s="49">
        <f>'Avg Week Najjeera-Kiwatule'!C101+'Avg Week Kiwatule-Najjeera'!C101</f>
        <v>83</v>
      </c>
      <c r="D101" s="49">
        <f>'Avg Week Najjeera-Kiwatule'!D101+'Avg Week Kiwatule-Najjeera'!D101</f>
        <v>15</v>
      </c>
      <c r="E101" s="49">
        <f>'Avg Week Najjeera-Kiwatule'!E101+'Avg Week Kiwatule-Najjeera'!E101</f>
        <v>6.5</v>
      </c>
      <c r="F101" s="49">
        <f>'Avg Week Najjeera-Kiwatule'!F101+'Avg Week Kiwatule-Najjeera'!F101</f>
        <v>16</v>
      </c>
      <c r="G101" s="49">
        <f>'Avg Week Najjeera-Kiwatule'!G101+'Avg Week Kiwatule-Najjeera'!G101</f>
        <v>0</v>
      </c>
      <c r="H101" s="49">
        <f>'Avg Week Najjeera-Kiwatule'!H101+'Avg Week Kiwatule-Najjeera'!H101</f>
        <v>0</v>
      </c>
      <c r="I101" s="49">
        <f>'Avg Week Najjeera-Kiwatule'!I101+'Avg Week Kiwatule-Najjeera'!I101</f>
        <v>3.5</v>
      </c>
      <c r="J101" s="49">
        <f>'Avg Week Najjeera-Kiwatule'!J101+'Avg Week Kiwatule-Najjeera'!J101</f>
        <v>0.5</v>
      </c>
      <c r="K101" s="49">
        <f>'Avg Week Najjeera-Kiwatule'!K101+'Avg Week Kiwatule-Najjeera'!K101</f>
        <v>0</v>
      </c>
      <c r="L101" s="49">
        <f>'Avg Week Najjeera-Kiwatule'!L101+'Avg Week Kiwatule-Najjeera'!L101</f>
        <v>0</v>
      </c>
      <c r="M101" s="49">
        <f>'Avg Week Najjeera-Kiwatule'!M101+'Avg Week Kiwatule-Najjeera'!M101</f>
        <v>47</v>
      </c>
      <c r="N101" s="49">
        <f>'Avg Week Najjeera-Kiwatule'!N101+'Avg Week Kiwatule-Najjeera'!N101</f>
        <v>0</v>
      </c>
      <c r="O101" s="15">
        <f t="shared" si="35"/>
        <v>124.5</v>
      </c>
      <c r="P101" s="15">
        <f t="shared" si="36"/>
        <v>171.5</v>
      </c>
      <c r="R101" s="8"/>
      <c r="T101"/>
    </row>
    <row r="102" spans="2:20" ht="23.1" customHeight="1">
      <c r="B102" s="24" t="s">
        <v>142</v>
      </c>
      <c r="C102" s="49">
        <f>'Avg Week Najjeera-Kiwatule'!C102+'Avg Week Kiwatule-Najjeera'!C102</f>
        <v>83.5</v>
      </c>
      <c r="D102" s="49">
        <f>'Avg Week Najjeera-Kiwatule'!D102+'Avg Week Kiwatule-Najjeera'!D102</f>
        <v>10.5</v>
      </c>
      <c r="E102" s="49">
        <f>'Avg Week Najjeera-Kiwatule'!E102+'Avg Week Kiwatule-Najjeera'!E102</f>
        <v>3</v>
      </c>
      <c r="F102" s="49">
        <f>'Avg Week Najjeera-Kiwatule'!F102+'Avg Week Kiwatule-Najjeera'!F102</f>
        <v>17</v>
      </c>
      <c r="G102" s="49">
        <f>'Avg Week Najjeera-Kiwatule'!G102+'Avg Week Kiwatule-Najjeera'!G102</f>
        <v>0.5</v>
      </c>
      <c r="H102" s="49">
        <f>'Avg Week Najjeera-Kiwatule'!H102+'Avg Week Kiwatule-Najjeera'!H102</f>
        <v>0</v>
      </c>
      <c r="I102" s="49">
        <f>'Avg Week Najjeera-Kiwatule'!I102+'Avg Week Kiwatule-Najjeera'!I102</f>
        <v>1.5</v>
      </c>
      <c r="J102" s="49">
        <f>'Avg Week Najjeera-Kiwatule'!J102+'Avg Week Kiwatule-Najjeera'!J102</f>
        <v>1</v>
      </c>
      <c r="K102" s="49">
        <f>'Avg Week Najjeera-Kiwatule'!K102+'Avg Week Kiwatule-Najjeera'!K102</f>
        <v>1</v>
      </c>
      <c r="L102" s="49">
        <f>'Avg Week Najjeera-Kiwatule'!L102+'Avg Week Kiwatule-Najjeera'!L102</f>
        <v>0</v>
      </c>
      <c r="M102" s="49">
        <f>'Avg Week Najjeera-Kiwatule'!M102+'Avg Week Kiwatule-Najjeera'!M102</f>
        <v>38.5</v>
      </c>
      <c r="N102" s="49">
        <f>'Avg Week Najjeera-Kiwatule'!N102+'Avg Week Kiwatule-Najjeera'!N102</f>
        <v>0</v>
      </c>
      <c r="O102" s="15">
        <f t="shared" si="35"/>
        <v>118</v>
      </c>
      <c r="P102" s="15">
        <f t="shared" si="36"/>
        <v>156.5</v>
      </c>
      <c r="R102" s="8"/>
      <c r="T102"/>
    </row>
    <row r="103" spans="2:20" ht="23.1" customHeight="1">
      <c r="B103" s="23" t="s">
        <v>143</v>
      </c>
      <c r="C103" s="49">
        <f>'Avg Week Najjeera-Kiwatule'!C103+'Avg Week Kiwatule-Najjeera'!C103</f>
        <v>109</v>
      </c>
      <c r="D103" s="49">
        <f>'Avg Week Najjeera-Kiwatule'!D103+'Avg Week Kiwatule-Najjeera'!D103</f>
        <v>15.5</v>
      </c>
      <c r="E103" s="49">
        <f>'Avg Week Najjeera-Kiwatule'!E103+'Avg Week Kiwatule-Najjeera'!E103</f>
        <v>2.5</v>
      </c>
      <c r="F103" s="49">
        <f>'Avg Week Najjeera-Kiwatule'!F103+'Avg Week Kiwatule-Najjeera'!F103</f>
        <v>16</v>
      </c>
      <c r="G103" s="49">
        <f>'Avg Week Najjeera-Kiwatule'!G103+'Avg Week Kiwatule-Najjeera'!G103</f>
        <v>0</v>
      </c>
      <c r="H103" s="49">
        <f>'Avg Week Najjeera-Kiwatule'!H103+'Avg Week Kiwatule-Najjeera'!H103</f>
        <v>0</v>
      </c>
      <c r="I103" s="49">
        <f>'Avg Week Najjeera-Kiwatule'!I103+'Avg Week Kiwatule-Najjeera'!I103</f>
        <v>1.5</v>
      </c>
      <c r="J103" s="49">
        <f>'Avg Week Najjeera-Kiwatule'!J103+'Avg Week Kiwatule-Najjeera'!J103</f>
        <v>0.5</v>
      </c>
      <c r="K103" s="49">
        <f>'Avg Week Najjeera-Kiwatule'!K103+'Avg Week Kiwatule-Najjeera'!K103</f>
        <v>0.5</v>
      </c>
      <c r="L103" s="49">
        <f>'Avg Week Najjeera-Kiwatule'!L103+'Avg Week Kiwatule-Najjeera'!L103</f>
        <v>0</v>
      </c>
      <c r="M103" s="49">
        <f>'Avg Week Najjeera-Kiwatule'!M103+'Avg Week Kiwatule-Najjeera'!M103</f>
        <v>58.5</v>
      </c>
      <c r="N103" s="49">
        <f>'Avg Week Najjeera-Kiwatule'!N103+'Avg Week Kiwatule-Najjeera'!N103</f>
        <v>0</v>
      </c>
      <c r="O103" s="15">
        <f t="shared" si="35"/>
        <v>145.5</v>
      </c>
      <c r="P103" s="15">
        <f t="shared" si="36"/>
        <v>204</v>
      </c>
      <c r="R103" s="8"/>
      <c r="T103"/>
    </row>
    <row r="104" spans="2:20" ht="23.1" customHeight="1">
      <c r="B104" s="25" t="s">
        <v>144</v>
      </c>
      <c r="C104" s="49">
        <f>'Avg Week Najjeera-Kiwatule'!C104+'Avg Week Kiwatule-Najjeera'!C104</f>
        <v>124</v>
      </c>
      <c r="D104" s="49">
        <f>'Avg Week Najjeera-Kiwatule'!D104+'Avg Week Kiwatule-Najjeera'!D104</f>
        <v>18</v>
      </c>
      <c r="E104" s="49">
        <f>'Avg Week Najjeera-Kiwatule'!E104+'Avg Week Kiwatule-Najjeera'!E104</f>
        <v>3.5</v>
      </c>
      <c r="F104" s="49">
        <f>'Avg Week Najjeera-Kiwatule'!F104+'Avg Week Kiwatule-Najjeera'!F104</f>
        <v>24</v>
      </c>
      <c r="G104" s="49">
        <f>'Avg Week Najjeera-Kiwatule'!G104+'Avg Week Kiwatule-Najjeera'!G104</f>
        <v>0.5</v>
      </c>
      <c r="H104" s="49">
        <f>'Avg Week Najjeera-Kiwatule'!H104+'Avg Week Kiwatule-Najjeera'!H104</f>
        <v>0</v>
      </c>
      <c r="I104" s="49">
        <f>'Avg Week Najjeera-Kiwatule'!I104+'Avg Week Kiwatule-Najjeera'!I104</f>
        <v>3</v>
      </c>
      <c r="J104" s="49">
        <f>'Avg Week Najjeera-Kiwatule'!J104+'Avg Week Kiwatule-Najjeera'!J104</f>
        <v>0.5</v>
      </c>
      <c r="K104" s="49">
        <f>'Avg Week Najjeera-Kiwatule'!K104+'Avg Week Kiwatule-Najjeera'!K104</f>
        <v>0.5</v>
      </c>
      <c r="L104" s="49">
        <f>'Avg Week Najjeera-Kiwatule'!L104+'Avg Week Kiwatule-Najjeera'!L104</f>
        <v>0</v>
      </c>
      <c r="M104" s="49">
        <f>'Avg Week Najjeera-Kiwatule'!M104+'Avg Week Kiwatule-Najjeera'!M104</f>
        <v>66.5</v>
      </c>
      <c r="N104" s="49">
        <f>'Avg Week Najjeera-Kiwatule'!N104+'Avg Week Kiwatule-Najjeera'!N104</f>
        <v>0</v>
      </c>
      <c r="O104" s="15">
        <f t="shared" si="35"/>
        <v>174</v>
      </c>
      <c r="P104" s="15">
        <f t="shared" si="36"/>
        <v>240.5</v>
      </c>
      <c r="R104" s="8"/>
      <c r="T104"/>
    </row>
    <row r="105" spans="2:20" ht="23.1" customHeight="1">
      <c r="B105" s="23" t="s">
        <v>145</v>
      </c>
      <c r="C105" s="49">
        <f>'Avg Week Najjeera-Kiwatule'!C105+'Avg Week Kiwatule-Najjeera'!C105</f>
        <v>116.5</v>
      </c>
      <c r="D105" s="49">
        <f>'Avg Week Najjeera-Kiwatule'!D105+'Avg Week Kiwatule-Najjeera'!D105</f>
        <v>13.5</v>
      </c>
      <c r="E105" s="49">
        <f>'Avg Week Najjeera-Kiwatule'!E105+'Avg Week Kiwatule-Najjeera'!E105</f>
        <v>4</v>
      </c>
      <c r="F105" s="49">
        <f>'Avg Week Najjeera-Kiwatule'!F105+'Avg Week Kiwatule-Najjeera'!F105</f>
        <v>21</v>
      </c>
      <c r="G105" s="49">
        <f>'Avg Week Najjeera-Kiwatule'!G105+'Avg Week Kiwatule-Najjeera'!G105</f>
        <v>0.5</v>
      </c>
      <c r="H105" s="49">
        <f>'Avg Week Najjeera-Kiwatule'!H105+'Avg Week Kiwatule-Najjeera'!H105</f>
        <v>0</v>
      </c>
      <c r="I105" s="49">
        <f>'Avg Week Najjeera-Kiwatule'!I105+'Avg Week Kiwatule-Najjeera'!I105</f>
        <v>1.5</v>
      </c>
      <c r="J105" s="49">
        <f>'Avg Week Najjeera-Kiwatule'!J105+'Avg Week Kiwatule-Najjeera'!J105</f>
        <v>0.5</v>
      </c>
      <c r="K105" s="49">
        <f>'Avg Week Najjeera-Kiwatule'!K105+'Avg Week Kiwatule-Najjeera'!K105</f>
        <v>0</v>
      </c>
      <c r="L105" s="49">
        <f>'Avg Week Najjeera-Kiwatule'!L105+'Avg Week Kiwatule-Najjeera'!L105</f>
        <v>0</v>
      </c>
      <c r="M105" s="49">
        <f>'Avg Week Najjeera-Kiwatule'!M105+'Avg Week Kiwatule-Najjeera'!M105</f>
        <v>69</v>
      </c>
      <c r="N105" s="49">
        <f>'Avg Week Najjeera-Kiwatule'!N105+'Avg Week Kiwatule-Najjeera'!N105</f>
        <v>0</v>
      </c>
      <c r="O105" s="15">
        <f t="shared" si="35"/>
        <v>157.5</v>
      </c>
      <c r="P105" s="15">
        <f t="shared" si="36"/>
        <v>226.5</v>
      </c>
      <c r="R105" s="8"/>
      <c r="T105"/>
    </row>
    <row r="106" spans="2:20" ht="23.1" customHeight="1">
      <c r="B106" s="26" t="s">
        <v>18</v>
      </c>
      <c r="C106" s="16">
        <f>SUM(C10:C105)</f>
        <v>11166.357142857141</v>
      </c>
      <c r="D106" s="16">
        <f t="shared" ref="D106:P106" si="37">SUM(D10:D105)</f>
        <v>1886.0714285714284</v>
      </c>
      <c r="E106" s="16">
        <f t="shared" si="37"/>
        <v>776</v>
      </c>
      <c r="F106" s="16">
        <f t="shared" si="37"/>
        <v>2017.0714285714287</v>
      </c>
      <c r="G106" s="16">
        <f t="shared" si="37"/>
        <v>52.785714285714278</v>
      </c>
      <c r="H106" s="16">
        <f t="shared" si="37"/>
        <v>7.4285714285714288</v>
      </c>
      <c r="I106" s="16">
        <f t="shared" si="37"/>
        <v>547.78571428571422</v>
      </c>
      <c r="J106" s="16">
        <f t="shared" si="37"/>
        <v>81.214285714285708</v>
      </c>
      <c r="K106" s="16">
        <f t="shared" si="37"/>
        <v>32.642857142857146</v>
      </c>
      <c r="L106" s="16">
        <f t="shared" si="37"/>
        <v>9.6428571428571441</v>
      </c>
      <c r="M106" s="16">
        <f t="shared" si="37"/>
        <v>10667.571428571428</v>
      </c>
      <c r="N106" s="16">
        <f t="shared" si="37"/>
        <v>1.4285714285714286</v>
      </c>
      <c r="O106" s="16">
        <f t="shared" si="37"/>
        <v>16578.428571428572</v>
      </c>
      <c r="P106" s="16">
        <f>SUM(P10:P105)</f>
        <v>27245.999999999996</v>
      </c>
      <c r="R106" s="8"/>
      <c r="T106"/>
    </row>
    <row r="107" spans="2:20" ht="23.1" customHeight="1">
      <c r="B107" s="26" t="s">
        <v>93</v>
      </c>
      <c r="C107" s="43">
        <f t="shared" ref="C107:N107" si="38">C106/$P$106</f>
        <v>0.40983473327670639</v>
      </c>
      <c r="D107" s="43">
        <f t="shared" si="38"/>
        <v>6.9223791696815265E-2</v>
      </c>
      <c r="E107" s="43">
        <f t="shared" si="38"/>
        <v>2.8481244953387656E-2</v>
      </c>
      <c r="F107" s="43">
        <f t="shared" si="38"/>
        <v>7.4031836914461899E-2</v>
      </c>
      <c r="G107" s="43">
        <f t="shared" si="38"/>
        <v>1.9373748177976321E-3</v>
      </c>
      <c r="H107" s="43">
        <f t="shared" si="38"/>
        <v>2.7264814756556671E-4</v>
      </c>
      <c r="I107" s="43">
        <f t="shared" si="38"/>
        <v>2.0105179266157024E-2</v>
      </c>
      <c r="J107" s="43">
        <f t="shared" si="38"/>
        <v>2.9807783055966278E-3</v>
      </c>
      <c r="K107" s="43">
        <f t="shared" si="38"/>
        <v>1.1980788792063843E-3</v>
      </c>
      <c r="L107" s="43">
        <f t="shared" si="38"/>
        <v>3.5391826847453372E-4</v>
      </c>
      <c r="M107" s="43">
        <f t="shared" si="38"/>
        <v>0.39152798313776072</v>
      </c>
      <c r="N107" s="43">
        <f t="shared" si="38"/>
        <v>5.2432336070301283E-5</v>
      </c>
      <c r="R107" s="8"/>
      <c r="T107"/>
    </row>
    <row r="108" spans="2:20" ht="23.1" customHeight="1">
      <c r="B108" s="42" t="s">
        <v>94</v>
      </c>
      <c r="C108" s="44">
        <f>C106/$O$106</f>
        <v>0.67354738084774524</v>
      </c>
      <c r="D108" s="44">
        <f t="shared" ref="D108:N108" si="39">D106/$O$106</f>
        <v>0.11376659859197406</v>
      </c>
      <c r="E108" s="44">
        <f t="shared" si="39"/>
        <v>4.6807813940662996E-2</v>
      </c>
      <c r="F108" s="44">
        <f t="shared" si="39"/>
        <v>0.12166843316185404</v>
      </c>
      <c r="G108" s="44">
        <f t="shared" si="39"/>
        <v>3.1839998621272041E-3</v>
      </c>
      <c r="H108" s="44">
        <f t="shared" si="39"/>
        <v>4.4808658411533059E-4</v>
      </c>
      <c r="I108" s="44">
        <f t="shared" si="39"/>
        <v>3.3042077053658366E-2</v>
      </c>
      <c r="J108" s="44">
        <f t="shared" si="39"/>
        <v>4.8987927513377966E-3</v>
      </c>
      <c r="K108" s="44">
        <f t="shared" si="39"/>
        <v>1.9689958551990972E-3</v>
      </c>
      <c r="L108" s="44">
        <f t="shared" si="39"/>
        <v>5.8165085438047724E-4</v>
      </c>
      <c r="M108" s="44"/>
      <c r="N108" s="44">
        <f t="shared" si="39"/>
        <v>8.6170496945255884E-5</v>
      </c>
      <c r="Q108" s="7"/>
      <c r="R108" s="8"/>
      <c r="T108"/>
    </row>
    <row r="109" spans="2:20" ht="20.100000000000001" customHeight="1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0.100000000000001" customHeight="1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0.100000000000001" customHeight="1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0.100000000000001" customHeight="1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0.100000000000001" customHeight="1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0.100000000000001" customHeight="1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0.100000000000001" customHeight="1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0.100000000000001" customHeight="1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0.100000000000001" customHeight="1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0.100000000000001" customHeight="1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0.100000000000001" customHeight="1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0.100000000000001" customHeight="1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0.100000000000001" customHeight="1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0.100000000000001" customHeight="1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0.100000000000001" customHeight="1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0.100000000000001" customHeight="1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0.100000000000001" customHeight="1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0.100000000000001" customHeight="1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0.100000000000001" customHeight="1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0.100000000000001" customHeight="1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0.100000000000001" customHeight="1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0.100000000000001" customHeight="1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0.100000000000001" customHeight="1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0.100000000000001" customHeight="1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0.100000000000001" customHeight="1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0.100000000000001" customHeight="1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0.100000000000001" customHeight="1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0.100000000000001" customHeight="1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0.100000000000001" customHeight="1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0.100000000000001" customHeight="1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0.100000000000001" customHeight="1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0.100000000000001" customHeight="1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0.100000000000001" customHeight="1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0.100000000000001" customHeight="1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0.100000000000001" customHeight="1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0.100000000000001" customHeight="1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0.100000000000001" customHeight="1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0.100000000000001" customHeight="1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0.100000000000001" customHeight="1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0.100000000000001" customHeight="1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0.100000000000001" customHeight="1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0.100000000000001" customHeight="1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0.100000000000001" customHeight="1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2.5" customHeight="1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0.100000000000001" customHeight="1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0.100000000000001" customHeight="1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0.100000000000001" customHeight="1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0.100000000000001" customHeight="1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0.100000000000001" customHeight="1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0.100000000000001" customHeight="1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0.100000000000001" customHeight="1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0.100000000000001" customHeight="1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0.100000000000001" customHeight="1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0.100000000000001" customHeight="1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0.100000000000001" customHeight="1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0.100000000000001" customHeight="1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0.100000000000001" customHeight="1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0.100000000000001" customHeight="1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0.100000000000001" customHeight="1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0.100000000000001" customHeight="1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0.100000000000001" customHeight="1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0.100000000000001" customHeight="1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0.100000000000001" customHeight="1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0.100000000000001" customHeight="1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0.100000000000001" customHeight="1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0.100000000000001" customHeight="1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10">
    <mergeCell ref="B1:AE1"/>
    <mergeCell ref="B2:AE2"/>
    <mergeCell ref="C3:G3"/>
    <mergeCell ref="G5:H5"/>
    <mergeCell ref="G6:H6"/>
    <mergeCell ref="R8:AF8"/>
    <mergeCell ref="D6:E6"/>
    <mergeCell ref="K5:L5"/>
    <mergeCell ref="K6:L6"/>
    <mergeCell ref="D5:E5"/>
  </mergeCells>
  <pageMargins left="0" right="0" top="0" bottom="0" header="0.15748031496063" footer="0.118110236220472"/>
  <pageSetup paperSize="9" scale="4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34</vt:i4>
      </vt:variant>
    </vt:vector>
  </HeadingPairs>
  <TitlesOfParts>
    <vt:vector size="51" baseType="lpstr">
      <vt:lpstr>29.07 Najjeera-Kiwatule</vt:lpstr>
      <vt:lpstr>29.07 Kiwatule-Najjeera</vt:lpstr>
      <vt:lpstr>30.07 Najjeera-Kiwatule</vt:lpstr>
      <vt:lpstr>30.07 Kiwatule-Najjeera</vt:lpstr>
      <vt:lpstr>31.07 Najjeera-Kiwatule</vt:lpstr>
      <vt:lpstr>31.07 Kiwatule-Najjeera</vt:lpstr>
      <vt:lpstr>01.08 Najjeera-Kiwatule-24h</vt:lpstr>
      <vt:lpstr>01.08 Kiwatule-Najjeera-24h</vt:lpstr>
      <vt:lpstr>02.08 Najjeera-Kiwatule</vt:lpstr>
      <vt:lpstr>02.08 Kiwatule-Najjeera</vt:lpstr>
      <vt:lpstr>03.08 Najjeera-Kiwatule-24h</vt:lpstr>
      <vt:lpstr>03.08 Kiwatule-Najjeera-24h</vt:lpstr>
      <vt:lpstr>04.08 Najjeera-Kiwatule</vt:lpstr>
      <vt:lpstr>04.08 Kiwatule-Najjeera</vt:lpstr>
      <vt:lpstr>Avg Week Najjeera-Kiwatule</vt:lpstr>
      <vt:lpstr>Avg Week Kiwatule-Najjeera</vt:lpstr>
      <vt:lpstr>Avg Week Kiwatule-Najjeera-2Dir</vt:lpstr>
      <vt:lpstr>'01.08 Kiwatule-Najjeera-24h'!Print_Area</vt:lpstr>
      <vt:lpstr>'01.08 Najjeera-Kiwatule-24h'!Print_Area</vt:lpstr>
      <vt:lpstr>'02.08 Kiwatule-Najjeera'!Print_Area</vt:lpstr>
      <vt:lpstr>'02.08 Najjeera-Kiwatule'!Print_Area</vt:lpstr>
      <vt:lpstr>'03.08 Kiwatule-Najjeera-24h'!Print_Area</vt:lpstr>
      <vt:lpstr>'03.08 Najjeera-Kiwatule-24h'!Print_Area</vt:lpstr>
      <vt:lpstr>'04.08 Kiwatule-Najjeera'!Print_Area</vt:lpstr>
      <vt:lpstr>'04.08 Najjeera-Kiwatule'!Print_Area</vt:lpstr>
      <vt:lpstr>'29.07 Kiwatule-Najjeera'!Print_Area</vt:lpstr>
      <vt:lpstr>'29.07 Najjeera-Kiwatule'!Print_Area</vt:lpstr>
      <vt:lpstr>'30.07 Kiwatule-Najjeera'!Print_Area</vt:lpstr>
      <vt:lpstr>'30.07 Najjeera-Kiwatule'!Print_Area</vt:lpstr>
      <vt:lpstr>'31.07 Kiwatule-Najjeera'!Print_Area</vt:lpstr>
      <vt:lpstr>'31.07 Najjeera-Kiwatule'!Print_Area</vt:lpstr>
      <vt:lpstr>'Avg Week Kiwatule-Najjeera'!Print_Area</vt:lpstr>
      <vt:lpstr>'Avg Week Kiwatule-Najjeera-2Dir'!Print_Area</vt:lpstr>
      <vt:lpstr>'Avg Week Najjeera-Kiwatule'!Print_Area</vt:lpstr>
      <vt:lpstr>'01.08 Kiwatule-Najjeera-24h'!Print_Titles</vt:lpstr>
      <vt:lpstr>'01.08 Najjeera-Kiwatule-24h'!Print_Titles</vt:lpstr>
      <vt:lpstr>'02.08 Kiwatule-Najjeera'!Print_Titles</vt:lpstr>
      <vt:lpstr>'02.08 Najjeera-Kiwatule'!Print_Titles</vt:lpstr>
      <vt:lpstr>'03.08 Kiwatule-Najjeera-24h'!Print_Titles</vt:lpstr>
      <vt:lpstr>'03.08 Najjeera-Kiwatule-24h'!Print_Titles</vt:lpstr>
      <vt:lpstr>'04.08 Kiwatule-Najjeera'!Print_Titles</vt:lpstr>
      <vt:lpstr>'04.08 Najjeera-Kiwatule'!Print_Titles</vt:lpstr>
      <vt:lpstr>'29.07 Kiwatule-Najjeera'!Print_Titles</vt:lpstr>
      <vt:lpstr>'29.07 Najjeera-Kiwatule'!Print_Titles</vt:lpstr>
      <vt:lpstr>'30.07 Kiwatule-Najjeera'!Print_Titles</vt:lpstr>
      <vt:lpstr>'30.07 Najjeera-Kiwatule'!Print_Titles</vt:lpstr>
      <vt:lpstr>'31.07 Kiwatule-Najjeera'!Print_Titles</vt:lpstr>
      <vt:lpstr>'31.07 Najjeera-Kiwatule'!Print_Titles</vt:lpstr>
      <vt:lpstr>'Avg Week Kiwatule-Najjeera'!Print_Titles</vt:lpstr>
      <vt:lpstr>'Avg Week Kiwatule-Najjeera-2Dir'!Print_Titles</vt:lpstr>
      <vt:lpstr>'Avg Week Najjeera-Kiwatule'!Print_Titles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steward consultancy</dc:creator>
  <cp:lastModifiedBy>STEWARD CONSULTANT</cp:lastModifiedBy>
  <cp:lastPrinted>2019-07-25T18:18:41Z</cp:lastPrinted>
  <dcterms:created xsi:type="dcterms:W3CDTF">2010-07-06T07:39:49Z</dcterms:created>
  <dcterms:modified xsi:type="dcterms:W3CDTF">2020-01-09T23:23:53Z</dcterms:modified>
</cp:coreProperties>
</file>