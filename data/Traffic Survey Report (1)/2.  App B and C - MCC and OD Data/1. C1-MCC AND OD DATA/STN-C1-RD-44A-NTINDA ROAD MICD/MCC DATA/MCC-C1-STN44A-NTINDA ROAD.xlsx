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44A-NTINDA ROAD MICD\MCC DATA\"/>
    </mc:Choice>
  </mc:AlternateContent>
  <bookViews>
    <workbookView xWindow="-120" yWindow="-120" windowWidth="20730" windowHeight="11160" tabRatio="940" firstSheet="14" activeTab="16"/>
  </bookViews>
  <sheets>
    <sheet name="29.07 NTINDA-SPEAR MOTORS" sheetId="93" r:id="rId1"/>
    <sheet name="29.07 SPEARMOTORS-NTINDA" sheetId="94" r:id="rId2"/>
    <sheet name="30.07 NTINDA-SPEARMOTORS" sheetId="95" r:id="rId3"/>
    <sheet name="30.07 SPEARMOTORS-NTINDA" sheetId="96" r:id="rId4"/>
    <sheet name="31.07 SPEAR MOTORS-NTINDA" sheetId="97" r:id="rId5"/>
    <sheet name="31.07 NTINDA-SPEAR MOTORS" sheetId="98" r:id="rId6"/>
    <sheet name="01.08 NTINDA-SPEARMOTORS-24h" sheetId="101" r:id="rId7"/>
    <sheet name="01.07 SPEARMOTORS-NTINDA-24h" sheetId="109" r:id="rId8"/>
    <sheet name="02.08 SPEARMOTORS-NTINDA" sheetId="99" r:id="rId9"/>
    <sheet name="02.08 NTINDA-SPEARMOTORS" sheetId="100" r:id="rId10"/>
    <sheet name="03.08 NTINDA-SPEARMOTORS-24h" sheetId="105" r:id="rId11"/>
    <sheet name="03.08 SPEARMOTORS-NTINDA-24h" sheetId="110" r:id="rId12"/>
    <sheet name="04.08 NTINDA-SPEARMOTORS" sheetId="103" r:id="rId13"/>
    <sheet name="04.08 SPEARMOTORS-NTINDA" sheetId="104" r:id="rId14"/>
    <sheet name="Avg Week Ntinda-SpearMotors" sheetId="107" r:id="rId15"/>
    <sheet name="Avg Week SpearMotors-Ntinda" sheetId="108" r:id="rId16"/>
    <sheet name="Avg Week Ntinda-SpearMotor-2Dir" sheetId="111" r:id="rId17"/>
  </sheets>
  <definedNames>
    <definedName name="_xlnm.Print_Area" localSheetId="7">'01.07 SPEARMOTORS-NTINDA-24h'!$A$1:$AF$108</definedName>
    <definedName name="_xlnm.Print_Area" localSheetId="6">'01.08 NTINDA-SPEARMOTORS-24h'!$A$1:$AF$108</definedName>
    <definedName name="_xlnm.Print_Area" localSheetId="9">'02.08 NTINDA-SPEARMOTORS'!$A$1:$AF$60</definedName>
    <definedName name="_xlnm.Print_Area" localSheetId="8">'02.08 SPEARMOTORS-NTINDA'!$A$1:$AF$60</definedName>
    <definedName name="_xlnm.Print_Area" localSheetId="10">'03.08 NTINDA-SPEARMOTORS-24h'!$A$1:$AF$108</definedName>
    <definedName name="_xlnm.Print_Area" localSheetId="11">'03.08 SPEARMOTORS-NTINDA-24h'!$A$1:$AF$108</definedName>
    <definedName name="_xlnm.Print_Area" localSheetId="12">'04.08 NTINDA-SPEARMOTORS'!$A$1:$AF$60</definedName>
    <definedName name="_xlnm.Print_Area" localSheetId="13">'04.08 SPEARMOTORS-NTINDA'!$A$1:$AF$60</definedName>
    <definedName name="_xlnm.Print_Area" localSheetId="0">'29.07 NTINDA-SPEAR MOTORS'!$A$1:$AF$60</definedName>
    <definedName name="_xlnm.Print_Area" localSheetId="1">'29.07 SPEARMOTORS-NTINDA'!$A$1:$AF$60</definedName>
    <definedName name="_xlnm.Print_Area" localSheetId="2">'30.07 NTINDA-SPEARMOTORS'!$A$1:$AF$60</definedName>
    <definedName name="_xlnm.Print_Area" localSheetId="3">'30.07 SPEARMOTORS-NTINDA'!$A$1:$AF$60</definedName>
    <definedName name="_xlnm.Print_Area" localSheetId="5">'31.07 NTINDA-SPEAR MOTORS'!$A$1:$AF$60</definedName>
    <definedName name="_xlnm.Print_Area" localSheetId="4">'31.07 SPEAR MOTORS-NTINDA'!$A$1:$AF$60</definedName>
    <definedName name="_xlnm.Print_Area" localSheetId="16">'Avg Week Ntinda-SpearMotor-2Dir'!$A$1:$AF$108</definedName>
    <definedName name="_xlnm.Print_Area" localSheetId="14">'Avg Week Ntinda-SpearMotors'!$A$1:$AF$108</definedName>
    <definedName name="_xlnm.Print_Area" localSheetId="15">'Avg Week SpearMotors-Ntinda'!$A$1:$AF$108</definedName>
    <definedName name="_xlnm.Print_Titles" localSheetId="7">'01.07 SPEARMOTORS-NTINDA-24h'!$1:$8</definedName>
    <definedName name="_xlnm.Print_Titles" localSheetId="6">'01.08 NTINDA-SPEARMOTORS-24h'!$1:$8</definedName>
    <definedName name="_xlnm.Print_Titles" localSheetId="9">'02.08 NTINDA-SPEARMOTORS'!$1:$8</definedName>
    <definedName name="_xlnm.Print_Titles" localSheetId="8">'02.08 SPEARMOTORS-NTINDA'!$1:$8</definedName>
    <definedName name="_xlnm.Print_Titles" localSheetId="10">'03.08 NTINDA-SPEARMOTORS-24h'!$1:$8</definedName>
    <definedName name="_xlnm.Print_Titles" localSheetId="11">'03.08 SPEARMOTORS-NTINDA-24h'!$1:$8</definedName>
    <definedName name="_xlnm.Print_Titles" localSheetId="12">'04.08 NTINDA-SPEARMOTORS'!$1:$8</definedName>
    <definedName name="_xlnm.Print_Titles" localSheetId="13">'04.08 SPEARMOTORS-NTINDA'!$1:$8</definedName>
    <definedName name="_xlnm.Print_Titles" localSheetId="0">'29.07 NTINDA-SPEAR MOTORS'!$1:$8</definedName>
    <definedName name="_xlnm.Print_Titles" localSheetId="1">'29.07 SPEARMOTORS-NTINDA'!$1:$8</definedName>
    <definedName name="_xlnm.Print_Titles" localSheetId="2">'30.07 NTINDA-SPEARMOTORS'!$1:$8</definedName>
    <definedName name="_xlnm.Print_Titles" localSheetId="3">'30.07 SPEARMOTORS-NTINDA'!$1:$8</definedName>
    <definedName name="_xlnm.Print_Titles" localSheetId="5">'31.07 NTINDA-SPEAR MOTORS'!$1:$8</definedName>
    <definedName name="_xlnm.Print_Titles" localSheetId="4">'31.07 SPEAR MOTORS-NTINDA'!$1:$8</definedName>
    <definedName name="_xlnm.Print_Titles" localSheetId="16">'Avg Week Ntinda-SpearMotor-2Dir'!$1:$8</definedName>
    <definedName name="_xlnm.Print_Titles" localSheetId="14">'Avg Week Ntinda-SpearMotors'!$1:$8</definedName>
    <definedName name="_xlnm.Print_Titles" localSheetId="15">'Avg Week SpearMotors-Ntinda'!$1:$8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6" i="108" l="1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D106" i="111"/>
  <c r="E106" i="111"/>
  <c r="F106" i="111"/>
  <c r="G106" i="111"/>
  <c r="H106" i="111"/>
  <c r="I106" i="111"/>
  <c r="J106" i="111"/>
  <c r="K106" i="111"/>
  <c r="L106" i="111"/>
  <c r="M106" i="111"/>
  <c r="N106" i="111"/>
  <c r="O106" i="111"/>
  <c r="P106" i="111"/>
  <c r="C106" i="111"/>
  <c r="D58" i="111"/>
  <c r="E58" i="111"/>
  <c r="F58" i="111"/>
  <c r="G58" i="111"/>
  <c r="H58" i="111"/>
  <c r="I58" i="111"/>
  <c r="J58" i="111"/>
  <c r="K58" i="111"/>
  <c r="L58" i="111"/>
  <c r="M58" i="111"/>
  <c r="N58" i="111"/>
  <c r="O58" i="111"/>
  <c r="P58" i="111"/>
  <c r="D59" i="111"/>
  <c r="T22" i="111" s="1"/>
  <c r="E59" i="111"/>
  <c r="F59" i="111"/>
  <c r="V22" i="111" s="1"/>
  <c r="G59" i="111"/>
  <c r="H59" i="111"/>
  <c r="X22" i="111" s="1"/>
  <c r="I59" i="111"/>
  <c r="J59" i="111"/>
  <c r="Z22" i="111" s="1"/>
  <c r="K59" i="111"/>
  <c r="L59" i="111"/>
  <c r="AB22" i="111" s="1"/>
  <c r="M59" i="111"/>
  <c r="N59" i="111"/>
  <c r="AD22" i="111" s="1"/>
  <c r="O59" i="111"/>
  <c r="P59" i="111"/>
  <c r="AF22" i="111" s="1"/>
  <c r="D60" i="111"/>
  <c r="E60" i="111"/>
  <c r="F60" i="111"/>
  <c r="G60" i="111"/>
  <c r="H60" i="111"/>
  <c r="I60" i="111"/>
  <c r="J60" i="111"/>
  <c r="K60" i="111"/>
  <c r="L60" i="111"/>
  <c r="M60" i="111"/>
  <c r="N60" i="111"/>
  <c r="O60" i="111"/>
  <c r="P60" i="111"/>
  <c r="D61" i="111"/>
  <c r="E61" i="111"/>
  <c r="F61" i="111"/>
  <c r="G61" i="111"/>
  <c r="H61" i="111"/>
  <c r="I61" i="111"/>
  <c r="J61" i="111"/>
  <c r="K61" i="111"/>
  <c r="L61" i="111"/>
  <c r="M61" i="111"/>
  <c r="N61" i="111"/>
  <c r="O61" i="111"/>
  <c r="P61" i="111"/>
  <c r="D62" i="111"/>
  <c r="E62" i="111"/>
  <c r="U23" i="111" s="1"/>
  <c r="F62" i="111"/>
  <c r="G62" i="111"/>
  <c r="W23" i="111" s="1"/>
  <c r="H62" i="111"/>
  <c r="I62" i="111"/>
  <c r="Y23" i="111" s="1"/>
  <c r="J62" i="111"/>
  <c r="K62" i="111"/>
  <c r="AA23" i="111" s="1"/>
  <c r="L62" i="111"/>
  <c r="M62" i="111"/>
  <c r="AC23" i="111" s="1"/>
  <c r="N62" i="111"/>
  <c r="O62" i="111"/>
  <c r="AE23" i="111" s="1"/>
  <c r="P62" i="111"/>
  <c r="D63" i="111"/>
  <c r="E63" i="111"/>
  <c r="F63" i="111"/>
  <c r="G63" i="111"/>
  <c r="H63" i="111"/>
  <c r="I63" i="111"/>
  <c r="J63" i="111"/>
  <c r="K63" i="111"/>
  <c r="L63" i="111"/>
  <c r="M63" i="111"/>
  <c r="N63" i="111"/>
  <c r="O63" i="111"/>
  <c r="P63" i="111"/>
  <c r="D64" i="111"/>
  <c r="E64" i="111"/>
  <c r="F64" i="111"/>
  <c r="G64" i="111"/>
  <c r="H64" i="111"/>
  <c r="I64" i="111"/>
  <c r="J64" i="111"/>
  <c r="K64" i="111"/>
  <c r="L64" i="111"/>
  <c r="M64" i="111"/>
  <c r="N64" i="111"/>
  <c r="O64" i="111"/>
  <c r="P64" i="111"/>
  <c r="D65" i="111"/>
  <c r="E65" i="111"/>
  <c r="F65" i="111"/>
  <c r="G65" i="111"/>
  <c r="H65" i="111"/>
  <c r="I65" i="111"/>
  <c r="J65" i="111"/>
  <c r="K65" i="111"/>
  <c r="L65" i="111"/>
  <c r="M65" i="111"/>
  <c r="N65" i="111"/>
  <c r="O65" i="111"/>
  <c r="P65" i="111"/>
  <c r="D66" i="111"/>
  <c r="E66" i="111"/>
  <c r="F66" i="111"/>
  <c r="G66" i="111"/>
  <c r="H66" i="111"/>
  <c r="I66" i="111"/>
  <c r="J66" i="111"/>
  <c r="K66" i="111"/>
  <c r="L66" i="111"/>
  <c r="M66" i="111"/>
  <c r="N66" i="111"/>
  <c r="O66" i="111"/>
  <c r="P66" i="111"/>
  <c r="D67" i="111"/>
  <c r="T24" i="111" s="1"/>
  <c r="E67" i="111"/>
  <c r="F67" i="111"/>
  <c r="V24" i="111" s="1"/>
  <c r="G67" i="111"/>
  <c r="H67" i="111"/>
  <c r="X24" i="111" s="1"/>
  <c r="I67" i="111"/>
  <c r="J67" i="111"/>
  <c r="Z24" i="111" s="1"/>
  <c r="K67" i="111"/>
  <c r="L67" i="111"/>
  <c r="AB24" i="111" s="1"/>
  <c r="M67" i="111"/>
  <c r="N67" i="111"/>
  <c r="AD24" i="111" s="1"/>
  <c r="O67" i="111"/>
  <c r="P67" i="111"/>
  <c r="AF24" i="111" s="1"/>
  <c r="D68" i="111"/>
  <c r="E68" i="111"/>
  <c r="F68" i="111"/>
  <c r="G68" i="111"/>
  <c r="H68" i="111"/>
  <c r="I68" i="111"/>
  <c r="J68" i="111"/>
  <c r="K68" i="111"/>
  <c r="L68" i="111"/>
  <c r="M68" i="111"/>
  <c r="N68" i="111"/>
  <c r="O68" i="111"/>
  <c r="P68" i="111"/>
  <c r="D69" i="111"/>
  <c r="E69" i="111"/>
  <c r="F69" i="111"/>
  <c r="G69" i="111"/>
  <c r="H69" i="111"/>
  <c r="I69" i="111"/>
  <c r="J69" i="111"/>
  <c r="K69" i="111"/>
  <c r="L69" i="111"/>
  <c r="M69" i="111"/>
  <c r="N69" i="111"/>
  <c r="O69" i="111"/>
  <c r="P69" i="111"/>
  <c r="D70" i="111"/>
  <c r="E70" i="111"/>
  <c r="U25" i="111" s="1"/>
  <c r="F70" i="111"/>
  <c r="G70" i="111"/>
  <c r="W25" i="111" s="1"/>
  <c r="H70" i="111"/>
  <c r="I70" i="111"/>
  <c r="Y25" i="111" s="1"/>
  <c r="J70" i="111"/>
  <c r="K70" i="111"/>
  <c r="AA25" i="111" s="1"/>
  <c r="L70" i="111"/>
  <c r="M70" i="111"/>
  <c r="AC25" i="111" s="1"/>
  <c r="N70" i="111"/>
  <c r="O70" i="111"/>
  <c r="AE25" i="111" s="1"/>
  <c r="P70" i="111"/>
  <c r="D71" i="111"/>
  <c r="E71" i="111"/>
  <c r="F71" i="111"/>
  <c r="G71" i="111"/>
  <c r="H71" i="111"/>
  <c r="I71" i="111"/>
  <c r="J71" i="111"/>
  <c r="K71" i="111"/>
  <c r="L71" i="111"/>
  <c r="M71" i="111"/>
  <c r="N71" i="111"/>
  <c r="O71" i="111"/>
  <c r="P71" i="111"/>
  <c r="D72" i="111"/>
  <c r="E72" i="111"/>
  <c r="F72" i="111"/>
  <c r="G72" i="111"/>
  <c r="H72" i="111"/>
  <c r="I72" i="111"/>
  <c r="J72" i="111"/>
  <c r="K72" i="111"/>
  <c r="L72" i="111"/>
  <c r="M72" i="111"/>
  <c r="N72" i="111"/>
  <c r="O72" i="111"/>
  <c r="P72" i="111"/>
  <c r="D73" i="111"/>
  <c r="E73" i="111"/>
  <c r="F73" i="111"/>
  <c r="G73" i="111"/>
  <c r="H73" i="111"/>
  <c r="I73" i="111"/>
  <c r="J73" i="111"/>
  <c r="K73" i="111"/>
  <c r="L73" i="111"/>
  <c r="M73" i="111"/>
  <c r="N73" i="111"/>
  <c r="O73" i="111"/>
  <c r="P73" i="111"/>
  <c r="D74" i="111"/>
  <c r="E74" i="111"/>
  <c r="F74" i="111"/>
  <c r="G74" i="111"/>
  <c r="H74" i="111"/>
  <c r="I74" i="111"/>
  <c r="J74" i="111"/>
  <c r="K74" i="111"/>
  <c r="L74" i="111"/>
  <c r="M74" i="111"/>
  <c r="N74" i="111"/>
  <c r="O74" i="111"/>
  <c r="P74" i="111"/>
  <c r="D75" i="111"/>
  <c r="T26" i="111" s="1"/>
  <c r="E75" i="111"/>
  <c r="F75" i="111"/>
  <c r="V26" i="111" s="1"/>
  <c r="G75" i="111"/>
  <c r="H75" i="111"/>
  <c r="X26" i="111" s="1"/>
  <c r="I75" i="111"/>
  <c r="J75" i="111"/>
  <c r="Z26" i="111" s="1"/>
  <c r="K75" i="111"/>
  <c r="L75" i="111"/>
  <c r="AB26" i="111" s="1"/>
  <c r="M75" i="111"/>
  <c r="N75" i="111"/>
  <c r="AD26" i="111" s="1"/>
  <c r="O75" i="111"/>
  <c r="P75" i="111"/>
  <c r="AF26" i="111" s="1"/>
  <c r="D76" i="111"/>
  <c r="E76" i="111"/>
  <c r="F76" i="111"/>
  <c r="G76" i="111"/>
  <c r="H76" i="111"/>
  <c r="I76" i="111"/>
  <c r="J76" i="111"/>
  <c r="K76" i="111"/>
  <c r="L76" i="111"/>
  <c r="M76" i="111"/>
  <c r="N76" i="111"/>
  <c r="O76" i="111"/>
  <c r="P76" i="111"/>
  <c r="D77" i="111"/>
  <c r="E77" i="111"/>
  <c r="F77" i="111"/>
  <c r="G77" i="111"/>
  <c r="H77" i="111"/>
  <c r="I77" i="111"/>
  <c r="J77" i="111"/>
  <c r="K77" i="111"/>
  <c r="L77" i="111"/>
  <c r="M77" i="111"/>
  <c r="N77" i="111"/>
  <c r="O77" i="111"/>
  <c r="P77" i="111"/>
  <c r="D78" i="111"/>
  <c r="E78" i="111"/>
  <c r="U27" i="111" s="1"/>
  <c r="F78" i="111"/>
  <c r="G78" i="111"/>
  <c r="W27" i="111" s="1"/>
  <c r="H78" i="111"/>
  <c r="I78" i="111"/>
  <c r="Y27" i="111" s="1"/>
  <c r="J78" i="111"/>
  <c r="K78" i="111"/>
  <c r="AA27" i="111" s="1"/>
  <c r="L78" i="111"/>
  <c r="M78" i="111"/>
  <c r="AC27" i="111" s="1"/>
  <c r="N78" i="111"/>
  <c r="O78" i="111"/>
  <c r="AE27" i="111" s="1"/>
  <c r="P78" i="111"/>
  <c r="D79" i="111"/>
  <c r="E79" i="111"/>
  <c r="F79" i="111"/>
  <c r="G79" i="111"/>
  <c r="H79" i="111"/>
  <c r="I79" i="111"/>
  <c r="J79" i="111"/>
  <c r="K79" i="111"/>
  <c r="L79" i="111"/>
  <c r="M79" i="111"/>
  <c r="N79" i="111"/>
  <c r="O79" i="111"/>
  <c r="P79" i="111"/>
  <c r="D80" i="111"/>
  <c r="E80" i="111"/>
  <c r="F80" i="111"/>
  <c r="G80" i="111"/>
  <c r="H80" i="111"/>
  <c r="I80" i="111"/>
  <c r="J80" i="111"/>
  <c r="K80" i="111"/>
  <c r="L80" i="111"/>
  <c r="M80" i="111"/>
  <c r="N80" i="111"/>
  <c r="O80" i="111"/>
  <c r="P80" i="111"/>
  <c r="D81" i="111"/>
  <c r="E81" i="111"/>
  <c r="F81" i="111"/>
  <c r="G81" i="111"/>
  <c r="H81" i="111"/>
  <c r="I81" i="111"/>
  <c r="J81" i="111"/>
  <c r="K81" i="111"/>
  <c r="L81" i="111"/>
  <c r="M81" i="111"/>
  <c r="N81" i="111"/>
  <c r="O81" i="111"/>
  <c r="P81" i="111"/>
  <c r="D82" i="111"/>
  <c r="E82" i="111"/>
  <c r="F82" i="111"/>
  <c r="G82" i="111"/>
  <c r="H82" i="111"/>
  <c r="I82" i="111"/>
  <c r="J82" i="111"/>
  <c r="K82" i="111"/>
  <c r="L82" i="111"/>
  <c r="M82" i="111"/>
  <c r="N82" i="111"/>
  <c r="O82" i="111"/>
  <c r="P82" i="111"/>
  <c r="D83" i="111"/>
  <c r="T28" i="111" s="1"/>
  <c r="E83" i="111"/>
  <c r="F83" i="111"/>
  <c r="V28" i="111" s="1"/>
  <c r="G83" i="111"/>
  <c r="H83" i="111"/>
  <c r="X28" i="111" s="1"/>
  <c r="I83" i="111"/>
  <c r="J83" i="111"/>
  <c r="Z28" i="111" s="1"/>
  <c r="K83" i="111"/>
  <c r="L83" i="111"/>
  <c r="AB28" i="111" s="1"/>
  <c r="M83" i="111"/>
  <c r="N83" i="111"/>
  <c r="AD28" i="111" s="1"/>
  <c r="O83" i="111"/>
  <c r="P83" i="111"/>
  <c r="AF28" i="111" s="1"/>
  <c r="D84" i="111"/>
  <c r="E84" i="111"/>
  <c r="F84" i="111"/>
  <c r="G84" i="111"/>
  <c r="H84" i="111"/>
  <c r="I84" i="111"/>
  <c r="J84" i="111"/>
  <c r="K84" i="111"/>
  <c r="L84" i="111"/>
  <c r="M84" i="111"/>
  <c r="N84" i="111"/>
  <c r="O84" i="111"/>
  <c r="P84" i="111"/>
  <c r="D85" i="111"/>
  <c r="E85" i="111"/>
  <c r="F85" i="111"/>
  <c r="G85" i="111"/>
  <c r="H85" i="111"/>
  <c r="I85" i="111"/>
  <c r="J85" i="111"/>
  <c r="K85" i="111"/>
  <c r="L85" i="111"/>
  <c r="M85" i="111"/>
  <c r="N85" i="111"/>
  <c r="O85" i="111"/>
  <c r="P85" i="111"/>
  <c r="D86" i="111"/>
  <c r="E86" i="111"/>
  <c r="U29" i="111" s="1"/>
  <c r="F86" i="111"/>
  <c r="G86" i="111"/>
  <c r="W29" i="111" s="1"/>
  <c r="H86" i="111"/>
  <c r="I86" i="111"/>
  <c r="Y29" i="111" s="1"/>
  <c r="J86" i="111"/>
  <c r="K86" i="111"/>
  <c r="AA29" i="111" s="1"/>
  <c r="L86" i="111"/>
  <c r="M86" i="111"/>
  <c r="AC29" i="111" s="1"/>
  <c r="N86" i="111"/>
  <c r="O86" i="111"/>
  <c r="AE29" i="111" s="1"/>
  <c r="P86" i="111"/>
  <c r="D87" i="111"/>
  <c r="E87" i="111"/>
  <c r="F87" i="111"/>
  <c r="G87" i="111"/>
  <c r="H87" i="111"/>
  <c r="I87" i="111"/>
  <c r="J87" i="111"/>
  <c r="K87" i="111"/>
  <c r="L87" i="111"/>
  <c r="M87" i="111"/>
  <c r="N87" i="111"/>
  <c r="O87" i="111"/>
  <c r="P87" i="111"/>
  <c r="D88" i="111"/>
  <c r="E88" i="111"/>
  <c r="F88" i="111"/>
  <c r="G88" i="111"/>
  <c r="H88" i="111"/>
  <c r="I88" i="111"/>
  <c r="J88" i="111"/>
  <c r="K88" i="111"/>
  <c r="L88" i="111"/>
  <c r="M88" i="111"/>
  <c r="N88" i="111"/>
  <c r="O88" i="111"/>
  <c r="P88" i="111"/>
  <c r="D89" i="111"/>
  <c r="E89" i="111"/>
  <c r="F89" i="111"/>
  <c r="G89" i="111"/>
  <c r="H89" i="111"/>
  <c r="I89" i="111"/>
  <c r="J89" i="111"/>
  <c r="K89" i="111"/>
  <c r="L89" i="111"/>
  <c r="M89" i="111"/>
  <c r="N89" i="111"/>
  <c r="O89" i="111"/>
  <c r="P89" i="111"/>
  <c r="D90" i="111"/>
  <c r="E90" i="111"/>
  <c r="F90" i="111"/>
  <c r="G90" i="111"/>
  <c r="H90" i="111"/>
  <c r="I90" i="111"/>
  <c r="J90" i="111"/>
  <c r="K90" i="111"/>
  <c r="L90" i="111"/>
  <c r="M90" i="111"/>
  <c r="N90" i="111"/>
  <c r="O90" i="111"/>
  <c r="P90" i="111"/>
  <c r="D91" i="111"/>
  <c r="T30" i="111" s="1"/>
  <c r="E91" i="111"/>
  <c r="F91" i="111"/>
  <c r="V30" i="111" s="1"/>
  <c r="G91" i="111"/>
  <c r="H91" i="111"/>
  <c r="X30" i="111" s="1"/>
  <c r="I91" i="111"/>
  <c r="J91" i="111"/>
  <c r="Z30" i="111" s="1"/>
  <c r="K91" i="111"/>
  <c r="L91" i="111"/>
  <c r="AB30" i="111" s="1"/>
  <c r="M91" i="111"/>
  <c r="N91" i="111"/>
  <c r="AD30" i="111" s="1"/>
  <c r="O91" i="111"/>
  <c r="P91" i="111"/>
  <c r="AF30" i="111" s="1"/>
  <c r="D92" i="111"/>
  <c r="E92" i="111"/>
  <c r="F92" i="111"/>
  <c r="G92" i="111"/>
  <c r="H92" i="111"/>
  <c r="I92" i="111"/>
  <c r="J92" i="111"/>
  <c r="K92" i="111"/>
  <c r="L92" i="111"/>
  <c r="M92" i="111"/>
  <c r="N92" i="111"/>
  <c r="O92" i="111"/>
  <c r="P92" i="111"/>
  <c r="D93" i="111"/>
  <c r="E93" i="111"/>
  <c r="F93" i="111"/>
  <c r="G93" i="111"/>
  <c r="H93" i="111"/>
  <c r="I93" i="111"/>
  <c r="J93" i="111"/>
  <c r="K93" i="111"/>
  <c r="L93" i="111"/>
  <c r="M93" i="111"/>
  <c r="N93" i="111"/>
  <c r="O93" i="111"/>
  <c r="P93" i="111"/>
  <c r="D94" i="111"/>
  <c r="E94" i="111"/>
  <c r="U31" i="111" s="1"/>
  <c r="F94" i="111"/>
  <c r="G94" i="111"/>
  <c r="W31" i="111" s="1"/>
  <c r="H94" i="111"/>
  <c r="I94" i="111"/>
  <c r="Y31" i="111" s="1"/>
  <c r="J94" i="111"/>
  <c r="K94" i="111"/>
  <c r="AA31" i="111" s="1"/>
  <c r="L94" i="111"/>
  <c r="M94" i="111"/>
  <c r="AC31" i="111" s="1"/>
  <c r="N94" i="111"/>
  <c r="O94" i="111"/>
  <c r="AE31" i="111" s="1"/>
  <c r="P94" i="111"/>
  <c r="D95" i="111"/>
  <c r="E95" i="111"/>
  <c r="F95" i="111"/>
  <c r="G95" i="111"/>
  <c r="H95" i="111"/>
  <c r="I95" i="111"/>
  <c r="J95" i="111"/>
  <c r="K95" i="111"/>
  <c r="L95" i="111"/>
  <c r="M95" i="111"/>
  <c r="N95" i="111"/>
  <c r="O95" i="111"/>
  <c r="P95" i="111"/>
  <c r="D96" i="111"/>
  <c r="E96" i="111"/>
  <c r="F96" i="111"/>
  <c r="G96" i="111"/>
  <c r="H96" i="111"/>
  <c r="I96" i="111"/>
  <c r="J96" i="111"/>
  <c r="K96" i="111"/>
  <c r="L96" i="111"/>
  <c r="M96" i="111"/>
  <c r="N96" i="111"/>
  <c r="O96" i="111"/>
  <c r="P96" i="111"/>
  <c r="D97" i="111"/>
  <c r="E97" i="111"/>
  <c r="F97" i="111"/>
  <c r="G97" i="111"/>
  <c r="H97" i="111"/>
  <c r="I97" i="111"/>
  <c r="J97" i="111"/>
  <c r="K97" i="111"/>
  <c r="L97" i="111"/>
  <c r="M97" i="111"/>
  <c r="N97" i="111"/>
  <c r="O97" i="111"/>
  <c r="P97" i="111"/>
  <c r="D98" i="111"/>
  <c r="E98" i="111"/>
  <c r="F98" i="111"/>
  <c r="G98" i="111"/>
  <c r="H98" i="111"/>
  <c r="I98" i="111"/>
  <c r="J98" i="111"/>
  <c r="K98" i="111"/>
  <c r="L98" i="111"/>
  <c r="M98" i="111"/>
  <c r="N98" i="111"/>
  <c r="O98" i="111"/>
  <c r="P98" i="111"/>
  <c r="D99" i="111"/>
  <c r="T32" i="111" s="1"/>
  <c r="E99" i="111"/>
  <c r="F99" i="111"/>
  <c r="V32" i="111" s="1"/>
  <c r="G99" i="111"/>
  <c r="H99" i="111"/>
  <c r="X32" i="111" s="1"/>
  <c r="I99" i="111"/>
  <c r="J99" i="111"/>
  <c r="Z32" i="111" s="1"/>
  <c r="K99" i="111"/>
  <c r="L99" i="111"/>
  <c r="AB32" i="111" s="1"/>
  <c r="M99" i="111"/>
  <c r="N99" i="111"/>
  <c r="AD32" i="111" s="1"/>
  <c r="O99" i="111"/>
  <c r="P99" i="111"/>
  <c r="AF32" i="111" s="1"/>
  <c r="D100" i="111"/>
  <c r="E100" i="111"/>
  <c r="F100" i="111"/>
  <c r="G100" i="111"/>
  <c r="H100" i="111"/>
  <c r="I100" i="111"/>
  <c r="J100" i="111"/>
  <c r="K100" i="111"/>
  <c r="L100" i="111"/>
  <c r="M100" i="111"/>
  <c r="N100" i="111"/>
  <c r="O100" i="111"/>
  <c r="P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O101" i="111"/>
  <c r="P101" i="111"/>
  <c r="D102" i="111"/>
  <c r="E102" i="111"/>
  <c r="U33" i="111" s="1"/>
  <c r="F102" i="111"/>
  <c r="G102" i="111"/>
  <c r="W33" i="111" s="1"/>
  <c r="H102" i="111"/>
  <c r="I102" i="111"/>
  <c r="Y33" i="111" s="1"/>
  <c r="J102" i="111"/>
  <c r="K102" i="111"/>
  <c r="AA33" i="111" s="1"/>
  <c r="L102" i="111"/>
  <c r="M102" i="111"/>
  <c r="AC33" i="111" s="1"/>
  <c r="N102" i="111"/>
  <c r="O102" i="111"/>
  <c r="AE33" i="111" s="1"/>
  <c r="P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O103" i="111"/>
  <c r="P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O104" i="111"/>
  <c r="P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O105" i="111"/>
  <c r="P105" i="111"/>
  <c r="C59" i="111"/>
  <c r="C60" i="111"/>
  <c r="C61" i="111"/>
  <c r="C62" i="111"/>
  <c r="S23" i="111" s="1"/>
  <c r="C63" i="111"/>
  <c r="C64" i="111"/>
  <c r="C65" i="111"/>
  <c r="C66" i="111"/>
  <c r="C67" i="111"/>
  <c r="C68" i="111"/>
  <c r="C69" i="111"/>
  <c r="C70" i="111"/>
  <c r="S25" i="111" s="1"/>
  <c r="C71" i="111"/>
  <c r="C72" i="111"/>
  <c r="C73" i="111"/>
  <c r="C74" i="111"/>
  <c r="C75" i="111"/>
  <c r="C76" i="111"/>
  <c r="C77" i="111"/>
  <c r="C78" i="111"/>
  <c r="S27" i="111" s="1"/>
  <c r="C79" i="111"/>
  <c r="C80" i="111"/>
  <c r="C81" i="111"/>
  <c r="C82" i="111"/>
  <c r="C83" i="111"/>
  <c r="C84" i="111"/>
  <c r="C85" i="111"/>
  <c r="C86" i="111"/>
  <c r="S29" i="111" s="1"/>
  <c r="C87" i="111"/>
  <c r="C88" i="111"/>
  <c r="C89" i="111"/>
  <c r="C90" i="111"/>
  <c r="C91" i="111"/>
  <c r="C92" i="111"/>
  <c r="C93" i="111"/>
  <c r="C94" i="111"/>
  <c r="S31" i="111" s="1"/>
  <c r="C95" i="111"/>
  <c r="C96" i="111"/>
  <c r="C97" i="111"/>
  <c r="C98" i="111"/>
  <c r="C99" i="111"/>
  <c r="C100" i="111"/>
  <c r="C101" i="111"/>
  <c r="C102" i="111"/>
  <c r="S33" i="111" s="1"/>
  <c r="C103" i="111"/>
  <c r="C104" i="111"/>
  <c r="C105" i="111"/>
  <c r="C58" i="111"/>
  <c r="T22" i="107"/>
  <c r="U22" i="107"/>
  <c r="V22" i="107"/>
  <c r="W22" i="107"/>
  <c r="X22" i="107"/>
  <c r="Y22" i="107"/>
  <c r="Z22" i="107"/>
  <c r="AA22" i="107"/>
  <c r="AB22" i="107"/>
  <c r="AC22" i="107"/>
  <c r="AD22" i="107"/>
  <c r="AE22" i="107"/>
  <c r="AF22" i="107"/>
  <c r="T23" i="107"/>
  <c r="U23" i="107"/>
  <c r="V23" i="107"/>
  <c r="W23" i="107"/>
  <c r="X23" i="107"/>
  <c r="Y23" i="107"/>
  <c r="Z23" i="107"/>
  <c r="AA23" i="107"/>
  <c r="AB23" i="107"/>
  <c r="AC23" i="107"/>
  <c r="AD23" i="107"/>
  <c r="AE23" i="107"/>
  <c r="AF23" i="107"/>
  <c r="T24" i="107"/>
  <c r="U24" i="107"/>
  <c r="V24" i="107"/>
  <c r="W24" i="107"/>
  <c r="X24" i="107"/>
  <c r="Y24" i="107"/>
  <c r="Z24" i="107"/>
  <c r="AA24" i="107"/>
  <c r="AB24" i="107"/>
  <c r="AC24" i="107"/>
  <c r="AD24" i="107"/>
  <c r="AE24" i="107"/>
  <c r="AF24" i="107"/>
  <c r="T25" i="107"/>
  <c r="U25" i="107"/>
  <c r="V25" i="107"/>
  <c r="W25" i="107"/>
  <c r="X25" i="107"/>
  <c r="Y25" i="107"/>
  <c r="Z25" i="107"/>
  <c r="AA25" i="107"/>
  <c r="AB25" i="107"/>
  <c r="AC25" i="107"/>
  <c r="AD25" i="107"/>
  <c r="AE25" i="107"/>
  <c r="AF25" i="107"/>
  <c r="T26" i="107"/>
  <c r="U26" i="107"/>
  <c r="V26" i="107"/>
  <c r="W26" i="107"/>
  <c r="X26" i="107"/>
  <c r="Y26" i="107"/>
  <c r="Z26" i="107"/>
  <c r="AA26" i="107"/>
  <c r="AB26" i="107"/>
  <c r="AC26" i="107"/>
  <c r="AD26" i="107"/>
  <c r="AE26" i="107"/>
  <c r="AF26" i="107"/>
  <c r="T27" i="107"/>
  <c r="U27" i="107"/>
  <c r="V27" i="107"/>
  <c r="W27" i="107"/>
  <c r="X27" i="107"/>
  <c r="Y27" i="107"/>
  <c r="Z27" i="107"/>
  <c r="AA27" i="107"/>
  <c r="AB27" i="107"/>
  <c r="AC27" i="107"/>
  <c r="AD27" i="107"/>
  <c r="AE27" i="107"/>
  <c r="AF27" i="107"/>
  <c r="T28" i="107"/>
  <c r="U28" i="107"/>
  <c r="V28" i="107"/>
  <c r="W28" i="107"/>
  <c r="X28" i="107"/>
  <c r="Y28" i="107"/>
  <c r="Z28" i="107"/>
  <c r="AA28" i="107"/>
  <c r="AB28" i="107"/>
  <c r="AC28" i="107"/>
  <c r="AD28" i="107"/>
  <c r="AE28" i="107"/>
  <c r="AF28" i="107"/>
  <c r="T29" i="107"/>
  <c r="U29" i="107"/>
  <c r="V29" i="107"/>
  <c r="W29" i="107"/>
  <c r="X29" i="107"/>
  <c r="Y29" i="107"/>
  <c r="Z29" i="107"/>
  <c r="AA29" i="107"/>
  <c r="AB29" i="107"/>
  <c r="AC29" i="107"/>
  <c r="AD29" i="107"/>
  <c r="AE29" i="107"/>
  <c r="AF29" i="107"/>
  <c r="T30" i="107"/>
  <c r="U30" i="107"/>
  <c r="V30" i="107"/>
  <c r="W30" i="107"/>
  <c r="X30" i="107"/>
  <c r="Y30" i="107"/>
  <c r="Z30" i="107"/>
  <c r="AA30" i="107"/>
  <c r="AB30" i="107"/>
  <c r="AC30" i="107"/>
  <c r="AD30" i="107"/>
  <c r="AE30" i="107"/>
  <c r="AF30" i="107"/>
  <c r="T31" i="107"/>
  <c r="U31" i="107"/>
  <c r="V31" i="107"/>
  <c r="W31" i="107"/>
  <c r="X31" i="107"/>
  <c r="Y31" i="107"/>
  <c r="Z31" i="107"/>
  <c r="AA31" i="107"/>
  <c r="AB31" i="107"/>
  <c r="AC31" i="107"/>
  <c r="AD31" i="107"/>
  <c r="AE31" i="107"/>
  <c r="AF31" i="107"/>
  <c r="T32" i="107"/>
  <c r="U32" i="107"/>
  <c r="V32" i="107"/>
  <c r="W32" i="107"/>
  <c r="X32" i="107"/>
  <c r="Y32" i="107"/>
  <c r="Z32" i="107"/>
  <c r="AA32" i="107"/>
  <c r="AB32" i="107"/>
  <c r="AC32" i="107"/>
  <c r="AD32" i="107"/>
  <c r="AE32" i="107"/>
  <c r="AF32" i="107"/>
  <c r="T33" i="107"/>
  <c r="U33" i="107"/>
  <c r="V33" i="107"/>
  <c r="W33" i="107"/>
  <c r="X33" i="107"/>
  <c r="Y33" i="107"/>
  <c r="Z33" i="107"/>
  <c r="AA33" i="107"/>
  <c r="AB33" i="107"/>
  <c r="AC33" i="107"/>
  <c r="AD33" i="107"/>
  <c r="AE33" i="107"/>
  <c r="AF33" i="107"/>
  <c r="T22" i="108"/>
  <c r="U22" i="108"/>
  <c r="V22" i="108"/>
  <c r="W22" i="108"/>
  <c r="X22" i="108"/>
  <c r="Y22" i="108"/>
  <c r="Z22" i="108"/>
  <c r="AA22" i="108"/>
  <c r="AB22" i="108"/>
  <c r="AC22" i="108"/>
  <c r="AD22" i="108"/>
  <c r="AE22" i="108"/>
  <c r="AF22" i="108"/>
  <c r="T23" i="108"/>
  <c r="U23" i="108"/>
  <c r="V23" i="108"/>
  <c r="W23" i="108"/>
  <c r="X23" i="108"/>
  <c r="Y23" i="108"/>
  <c r="Z23" i="108"/>
  <c r="AA23" i="108"/>
  <c r="AB23" i="108"/>
  <c r="AC23" i="108"/>
  <c r="AD23" i="108"/>
  <c r="AE23" i="108"/>
  <c r="AF23" i="108"/>
  <c r="T24" i="108"/>
  <c r="U24" i="108"/>
  <c r="V24" i="108"/>
  <c r="W24" i="108"/>
  <c r="X24" i="108"/>
  <c r="Y24" i="108"/>
  <c r="Z24" i="108"/>
  <c r="AA24" i="108"/>
  <c r="AB24" i="108"/>
  <c r="AC24" i="108"/>
  <c r="AD24" i="108"/>
  <c r="AE24" i="108"/>
  <c r="AF24" i="108"/>
  <c r="T25" i="108"/>
  <c r="U25" i="108"/>
  <c r="V25" i="108"/>
  <c r="W25" i="108"/>
  <c r="X25" i="108"/>
  <c r="Y25" i="108"/>
  <c r="Z25" i="108"/>
  <c r="AA25" i="108"/>
  <c r="AB25" i="108"/>
  <c r="AC25" i="108"/>
  <c r="AD25" i="108"/>
  <c r="AE25" i="108"/>
  <c r="AF25" i="108"/>
  <c r="T26" i="108"/>
  <c r="U26" i="108"/>
  <c r="V26" i="108"/>
  <c r="W26" i="108"/>
  <c r="X26" i="108"/>
  <c r="Y26" i="108"/>
  <c r="Z26" i="108"/>
  <c r="AA26" i="108"/>
  <c r="AB26" i="108"/>
  <c r="AC26" i="108"/>
  <c r="AD26" i="108"/>
  <c r="AE26" i="108"/>
  <c r="AF26" i="108"/>
  <c r="T27" i="108"/>
  <c r="U27" i="108"/>
  <c r="V27" i="108"/>
  <c r="W27" i="108"/>
  <c r="X27" i="108"/>
  <c r="Y27" i="108"/>
  <c r="Z27" i="108"/>
  <c r="AA27" i="108"/>
  <c r="AB27" i="108"/>
  <c r="AC27" i="108"/>
  <c r="AD27" i="108"/>
  <c r="AE27" i="108"/>
  <c r="AF27" i="108"/>
  <c r="T28" i="108"/>
  <c r="U28" i="108"/>
  <c r="V28" i="108"/>
  <c r="W28" i="108"/>
  <c r="X28" i="108"/>
  <c r="Y28" i="108"/>
  <c r="Z28" i="108"/>
  <c r="AA28" i="108"/>
  <c r="AB28" i="108"/>
  <c r="AC28" i="108"/>
  <c r="AD28" i="108"/>
  <c r="AE28" i="108"/>
  <c r="AF28" i="108"/>
  <c r="T29" i="108"/>
  <c r="U29" i="108"/>
  <c r="V29" i="108"/>
  <c r="W29" i="108"/>
  <c r="X29" i="108"/>
  <c r="Y29" i="108"/>
  <c r="Z29" i="108"/>
  <c r="AA29" i="108"/>
  <c r="AB29" i="108"/>
  <c r="AC29" i="108"/>
  <c r="AD29" i="108"/>
  <c r="AE29" i="108"/>
  <c r="AF29" i="108"/>
  <c r="T30" i="108"/>
  <c r="U30" i="108"/>
  <c r="V30" i="108"/>
  <c r="W30" i="108"/>
  <c r="X30" i="108"/>
  <c r="Y30" i="108"/>
  <c r="Z30" i="108"/>
  <c r="AA30" i="108"/>
  <c r="AB30" i="108"/>
  <c r="AC30" i="108"/>
  <c r="AD30" i="108"/>
  <c r="AE30" i="108"/>
  <c r="AF30" i="108"/>
  <c r="T31" i="108"/>
  <c r="U31" i="108"/>
  <c r="V31" i="108"/>
  <c r="W31" i="108"/>
  <c r="X31" i="108"/>
  <c r="Y31" i="108"/>
  <c r="Z31" i="108"/>
  <c r="AA31" i="108"/>
  <c r="AB31" i="108"/>
  <c r="AC31" i="108"/>
  <c r="AD31" i="108"/>
  <c r="AE31" i="108"/>
  <c r="AF31" i="108"/>
  <c r="T32" i="108"/>
  <c r="U32" i="108"/>
  <c r="V32" i="108"/>
  <c r="W32" i="108"/>
  <c r="X32" i="108"/>
  <c r="Y32" i="108"/>
  <c r="Z32" i="108"/>
  <c r="AA32" i="108"/>
  <c r="AB32" i="108"/>
  <c r="AC32" i="108"/>
  <c r="AD32" i="108"/>
  <c r="AE32" i="108"/>
  <c r="AF32" i="108"/>
  <c r="T33" i="108"/>
  <c r="U33" i="108"/>
  <c r="V33" i="108"/>
  <c r="W33" i="108"/>
  <c r="X33" i="108"/>
  <c r="Y33" i="108"/>
  <c r="Z33" i="108"/>
  <c r="AA33" i="108"/>
  <c r="AB33" i="108"/>
  <c r="AC33" i="108"/>
  <c r="AD33" i="108"/>
  <c r="AE33" i="108"/>
  <c r="AF33" i="108"/>
  <c r="U22" i="111"/>
  <c r="W22" i="111"/>
  <c r="Y22" i="111"/>
  <c r="AA22" i="111"/>
  <c r="AC22" i="111"/>
  <c r="AE22" i="111"/>
  <c r="T23" i="111"/>
  <c r="V23" i="111"/>
  <c r="X23" i="111"/>
  <c r="Z23" i="111"/>
  <c r="AB23" i="111"/>
  <c r="AD23" i="111"/>
  <c r="AF23" i="111"/>
  <c r="U24" i="111"/>
  <c r="W24" i="111"/>
  <c r="Y24" i="111"/>
  <c r="AA24" i="111"/>
  <c r="AC24" i="111"/>
  <c r="AE24" i="111"/>
  <c r="T25" i="111"/>
  <c r="V25" i="111"/>
  <c r="X25" i="111"/>
  <c r="Z25" i="111"/>
  <c r="AB25" i="111"/>
  <c r="AD25" i="111"/>
  <c r="AF25" i="111"/>
  <c r="U26" i="111"/>
  <c r="W26" i="111"/>
  <c r="Y26" i="111"/>
  <c r="AA26" i="111"/>
  <c r="AC26" i="111"/>
  <c r="AE26" i="111"/>
  <c r="T27" i="111"/>
  <c r="V27" i="111"/>
  <c r="X27" i="111"/>
  <c r="Z27" i="111"/>
  <c r="AB27" i="111"/>
  <c r="AD27" i="111"/>
  <c r="AF27" i="111"/>
  <c r="U28" i="111"/>
  <c r="W28" i="111"/>
  <c r="Y28" i="111"/>
  <c r="AA28" i="111"/>
  <c r="AC28" i="111"/>
  <c r="AE28" i="111"/>
  <c r="T29" i="111"/>
  <c r="V29" i="111"/>
  <c r="X29" i="111"/>
  <c r="Z29" i="111"/>
  <c r="AB29" i="111"/>
  <c r="AD29" i="111"/>
  <c r="AF29" i="111"/>
  <c r="U30" i="111"/>
  <c r="W30" i="111"/>
  <c r="Y30" i="111"/>
  <c r="AA30" i="111"/>
  <c r="AC30" i="111"/>
  <c r="AE30" i="111"/>
  <c r="T31" i="111"/>
  <c r="V31" i="111"/>
  <c r="X31" i="111"/>
  <c r="Z31" i="111"/>
  <c r="AB31" i="111"/>
  <c r="AD31" i="111"/>
  <c r="AF31" i="111"/>
  <c r="U32" i="111"/>
  <c r="W32" i="111"/>
  <c r="Y32" i="111"/>
  <c r="AA32" i="111"/>
  <c r="AC32" i="111"/>
  <c r="AE32" i="111"/>
  <c r="T33" i="111"/>
  <c r="V33" i="111"/>
  <c r="X33" i="111"/>
  <c r="Z33" i="111"/>
  <c r="AB33" i="111"/>
  <c r="AD33" i="111"/>
  <c r="AF33" i="111"/>
  <c r="S32" i="111"/>
  <c r="S30" i="111"/>
  <c r="S28" i="111"/>
  <c r="S26" i="111"/>
  <c r="S24" i="111"/>
  <c r="S22" i="111"/>
  <c r="S33" i="108"/>
  <c r="S32" i="108"/>
  <c r="S31" i="108"/>
  <c r="S30" i="108"/>
  <c r="S29" i="108"/>
  <c r="S28" i="108"/>
  <c r="S27" i="108"/>
  <c r="S26" i="108"/>
  <c r="S25" i="108"/>
  <c r="S24" i="108"/>
  <c r="S23" i="108"/>
  <c r="S22" i="108"/>
  <c r="S33" i="107"/>
  <c r="S32" i="107"/>
  <c r="S31" i="107"/>
  <c r="S30" i="107"/>
  <c r="S29" i="107"/>
  <c r="S28" i="107"/>
  <c r="S27" i="107"/>
  <c r="S26" i="107"/>
  <c r="S25" i="107"/>
  <c r="S24" i="107"/>
  <c r="S23" i="107"/>
  <c r="S22" i="107"/>
  <c r="D58" i="108"/>
  <c r="E58" i="108"/>
  <c r="F58" i="108"/>
  <c r="G58" i="108"/>
  <c r="H58" i="108"/>
  <c r="I58" i="108"/>
  <c r="J58" i="108"/>
  <c r="K58" i="108"/>
  <c r="L58" i="108"/>
  <c r="M58" i="108"/>
  <c r="N58" i="108"/>
  <c r="O58" i="108"/>
  <c r="P58" i="108"/>
  <c r="D59" i="108"/>
  <c r="E59" i="108"/>
  <c r="F59" i="108"/>
  <c r="G59" i="108"/>
  <c r="H59" i="108"/>
  <c r="I59" i="108"/>
  <c r="J59" i="108"/>
  <c r="K59" i="108"/>
  <c r="L59" i="108"/>
  <c r="M59" i="108"/>
  <c r="N59" i="108"/>
  <c r="O59" i="108"/>
  <c r="P59" i="108"/>
  <c r="D60" i="108"/>
  <c r="E60" i="108"/>
  <c r="F60" i="108"/>
  <c r="G60" i="108"/>
  <c r="H60" i="108"/>
  <c r="I60" i="108"/>
  <c r="J60" i="108"/>
  <c r="K60" i="108"/>
  <c r="L60" i="108"/>
  <c r="M60" i="108"/>
  <c r="N60" i="108"/>
  <c r="O60" i="108"/>
  <c r="P60" i="108"/>
  <c r="D61" i="108"/>
  <c r="E61" i="108"/>
  <c r="F61" i="108"/>
  <c r="G61" i="108"/>
  <c r="H61" i="108"/>
  <c r="I61" i="108"/>
  <c r="J61" i="108"/>
  <c r="K61" i="108"/>
  <c r="L61" i="108"/>
  <c r="M61" i="108"/>
  <c r="N61" i="108"/>
  <c r="O61" i="108"/>
  <c r="P61" i="108"/>
  <c r="D62" i="108"/>
  <c r="E62" i="108"/>
  <c r="F62" i="108"/>
  <c r="G62" i="108"/>
  <c r="H62" i="108"/>
  <c r="I62" i="108"/>
  <c r="J62" i="108"/>
  <c r="K62" i="108"/>
  <c r="L62" i="108"/>
  <c r="M62" i="108"/>
  <c r="N62" i="108"/>
  <c r="O62" i="108"/>
  <c r="P62" i="108"/>
  <c r="D63" i="108"/>
  <c r="E63" i="108"/>
  <c r="F63" i="108"/>
  <c r="G63" i="108"/>
  <c r="H63" i="108"/>
  <c r="I63" i="108"/>
  <c r="J63" i="108"/>
  <c r="K63" i="108"/>
  <c r="L63" i="108"/>
  <c r="M63" i="108"/>
  <c r="N63" i="108"/>
  <c r="O63" i="108"/>
  <c r="P63" i="108"/>
  <c r="D64" i="108"/>
  <c r="E64" i="108"/>
  <c r="F64" i="108"/>
  <c r="G64" i="108"/>
  <c r="H64" i="108"/>
  <c r="I64" i="108"/>
  <c r="J64" i="108"/>
  <c r="K64" i="108"/>
  <c r="L64" i="108"/>
  <c r="M64" i="108"/>
  <c r="N64" i="108"/>
  <c r="O64" i="108"/>
  <c r="P64" i="108"/>
  <c r="D65" i="108"/>
  <c r="E65" i="108"/>
  <c r="F65" i="108"/>
  <c r="G65" i="108"/>
  <c r="H65" i="108"/>
  <c r="I65" i="108"/>
  <c r="J65" i="108"/>
  <c r="K65" i="108"/>
  <c r="L65" i="108"/>
  <c r="M65" i="108"/>
  <c r="N65" i="108"/>
  <c r="O65" i="108"/>
  <c r="P65" i="108"/>
  <c r="D66" i="108"/>
  <c r="E66" i="108"/>
  <c r="F66" i="108"/>
  <c r="G66" i="108"/>
  <c r="H66" i="108"/>
  <c r="I66" i="108"/>
  <c r="J66" i="108"/>
  <c r="K66" i="108"/>
  <c r="L66" i="108"/>
  <c r="M66" i="108"/>
  <c r="N66" i="108"/>
  <c r="O66" i="108"/>
  <c r="P66" i="108"/>
  <c r="D67" i="108"/>
  <c r="E67" i="108"/>
  <c r="F67" i="108"/>
  <c r="G67" i="108"/>
  <c r="H67" i="108"/>
  <c r="I67" i="108"/>
  <c r="J67" i="108"/>
  <c r="K67" i="108"/>
  <c r="L67" i="108"/>
  <c r="M67" i="108"/>
  <c r="N67" i="108"/>
  <c r="O67" i="108"/>
  <c r="P67" i="108"/>
  <c r="D68" i="108"/>
  <c r="E68" i="108"/>
  <c r="F68" i="108"/>
  <c r="G68" i="108"/>
  <c r="H68" i="108"/>
  <c r="I68" i="108"/>
  <c r="J68" i="108"/>
  <c r="K68" i="108"/>
  <c r="L68" i="108"/>
  <c r="M68" i="108"/>
  <c r="N68" i="108"/>
  <c r="O68" i="108"/>
  <c r="P68" i="108"/>
  <c r="D69" i="108"/>
  <c r="E69" i="108"/>
  <c r="F69" i="108"/>
  <c r="G69" i="108"/>
  <c r="H69" i="108"/>
  <c r="I69" i="108"/>
  <c r="J69" i="108"/>
  <c r="K69" i="108"/>
  <c r="L69" i="108"/>
  <c r="M69" i="108"/>
  <c r="N69" i="108"/>
  <c r="O69" i="108"/>
  <c r="P69" i="108"/>
  <c r="D70" i="108"/>
  <c r="E70" i="108"/>
  <c r="F70" i="108"/>
  <c r="G70" i="108"/>
  <c r="H70" i="108"/>
  <c r="I70" i="108"/>
  <c r="J70" i="108"/>
  <c r="K70" i="108"/>
  <c r="L70" i="108"/>
  <c r="M70" i="108"/>
  <c r="N70" i="108"/>
  <c r="O70" i="108"/>
  <c r="P70" i="108"/>
  <c r="D71" i="108"/>
  <c r="E71" i="108"/>
  <c r="F71" i="108"/>
  <c r="G71" i="108"/>
  <c r="H71" i="108"/>
  <c r="I71" i="108"/>
  <c r="J71" i="108"/>
  <c r="K71" i="108"/>
  <c r="L71" i="108"/>
  <c r="M71" i="108"/>
  <c r="N71" i="108"/>
  <c r="O71" i="108"/>
  <c r="P71" i="108"/>
  <c r="D72" i="108"/>
  <c r="E72" i="108"/>
  <c r="F72" i="108"/>
  <c r="G72" i="108"/>
  <c r="H72" i="108"/>
  <c r="I72" i="108"/>
  <c r="J72" i="108"/>
  <c r="K72" i="108"/>
  <c r="L72" i="108"/>
  <c r="M72" i="108"/>
  <c r="N72" i="108"/>
  <c r="O72" i="108"/>
  <c r="P72" i="108"/>
  <c r="D73" i="108"/>
  <c r="E73" i="108"/>
  <c r="F73" i="108"/>
  <c r="G73" i="108"/>
  <c r="H73" i="108"/>
  <c r="I73" i="108"/>
  <c r="J73" i="108"/>
  <c r="K73" i="108"/>
  <c r="L73" i="108"/>
  <c r="M73" i="108"/>
  <c r="N73" i="108"/>
  <c r="O73" i="108"/>
  <c r="P73" i="108"/>
  <c r="D74" i="108"/>
  <c r="E74" i="108"/>
  <c r="F74" i="108"/>
  <c r="G74" i="108"/>
  <c r="H74" i="108"/>
  <c r="I74" i="108"/>
  <c r="J74" i="108"/>
  <c r="K74" i="108"/>
  <c r="L74" i="108"/>
  <c r="M74" i="108"/>
  <c r="N74" i="108"/>
  <c r="O74" i="108"/>
  <c r="P74" i="108"/>
  <c r="D75" i="108"/>
  <c r="E75" i="108"/>
  <c r="F75" i="108"/>
  <c r="G75" i="108"/>
  <c r="H75" i="108"/>
  <c r="I75" i="108"/>
  <c r="J75" i="108"/>
  <c r="K75" i="108"/>
  <c r="L75" i="108"/>
  <c r="M75" i="108"/>
  <c r="N75" i="108"/>
  <c r="O75" i="108"/>
  <c r="P75" i="108"/>
  <c r="D76" i="108"/>
  <c r="E76" i="108"/>
  <c r="F76" i="108"/>
  <c r="G76" i="108"/>
  <c r="H76" i="108"/>
  <c r="I76" i="108"/>
  <c r="J76" i="108"/>
  <c r="K76" i="108"/>
  <c r="L76" i="108"/>
  <c r="M76" i="108"/>
  <c r="N76" i="108"/>
  <c r="O76" i="108"/>
  <c r="P76" i="108"/>
  <c r="D77" i="108"/>
  <c r="E77" i="108"/>
  <c r="F77" i="108"/>
  <c r="G77" i="108"/>
  <c r="H77" i="108"/>
  <c r="I77" i="108"/>
  <c r="J77" i="108"/>
  <c r="K77" i="108"/>
  <c r="L77" i="108"/>
  <c r="M77" i="108"/>
  <c r="N77" i="108"/>
  <c r="O77" i="108"/>
  <c r="P77" i="108"/>
  <c r="D78" i="108"/>
  <c r="E78" i="108"/>
  <c r="F78" i="108"/>
  <c r="G78" i="108"/>
  <c r="H78" i="108"/>
  <c r="I78" i="108"/>
  <c r="J78" i="108"/>
  <c r="K78" i="108"/>
  <c r="L78" i="108"/>
  <c r="M78" i="108"/>
  <c r="N78" i="108"/>
  <c r="O78" i="108"/>
  <c r="P78" i="108"/>
  <c r="D79" i="108"/>
  <c r="E79" i="108"/>
  <c r="F79" i="108"/>
  <c r="G79" i="108"/>
  <c r="H79" i="108"/>
  <c r="I79" i="108"/>
  <c r="J79" i="108"/>
  <c r="K79" i="108"/>
  <c r="L79" i="108"/>
  <c r="M79" i="108"/>
  <c r="N79" i="108"/>
  <c r="O79" i="108"/>
  <c r="P79" i="108"/>
  <c r="D80" i="108"/>
  <c r="E80" i="108"/>
  <c r="F80" i="108"/>
  <c r="G80" i="108"/>
  <c r="H80" i="108"/>
  <c r="I80" i="108"/>
  <c r="J80" i="108"/>
  <c r="K80" i="108"/>
  <c r="L80" i="108"/>
  <c r="M80" i="108"/>
  <c r="N80" i="108"/>
  <c r="O80" i="108"/>
  <c r="P80" i="108"/>
  <c r="D81" i="108"/>
  <c r="E81" i="108"/>
  <c r="F81" i="108"/>
  <c r="G81" i="108"/>
  <c r="H81" i="108"/>
  <c r="I81" i="108"/>
  <c r="J81" i="108"/>
  <c r="K81" i="108"/>
  <c r="L81" i="108"/>
  <c r="M81" i="108"/>
  <c r="N81" i="108"/>
  <c r="O81" i="108"/>
  <c r="P81" i="108"/>
  <c r="D82" i="108"/>
  <c r="E82" i="108"/>
  <c r="F82" i="108"/>
  <c r="G82" i="108"/>
  <c r="H82" i="108"/>
  <c r="I82" i="108"/>
  <c r="J82" i="108"/>
  <c r="K82" i="108"/>
  <c r="L82" i="108"/>
  <c r="M82" i="108"/>
  <c r="N82" i="108"/>
  <c r="O82" i="108"/>
  <c r="P82" i="108"/>
  <c r="D83" i="108"/>
  <c r="E83" i="108"/>
  <c r="F83" i="108"/>
  <c r="G83" i="108"/>
  <c r="H83" i="108"/>
  <c r="I83" i="108"/>
  <c r="J83" i="108"/>
  <c r="K83" i="108"/>
  <c r="L83" i="108"/>
  <c r="M83" i="108"/>
  <c r="N83" i="108"/>
  <c r="O83" i="108"/>
  <c r="P83" i="108"/>
  <c r="D84" i="108"/>
  <c r="E84" i="108"/>
  <c r="F84" i="108"/>
  <c r="G84" i="108"/>
  <c r="H84" i="108"/>
  <c r="I84" i="108"/>
  <c r="J84" i="108"/>
  <c r="K84" i="108"/>
  <c r="L84" i="108"/>
  <c r="M84" i="108"/>
  <c r="N84" i="108"/>
  <c r="O84" i="108"/>
  <c r="P84" i="108"/>
  <c r="D85" i="108"/>
  <c r="E85" i="108"/>
  <c r="F85" i="108"/>
  <c r="G85" i="108"/>
  <c r="H85" i="108"/>
  <c r="I85" i="108"/>
  <c r="J85" i="108"/>
  <c r="K85" i="108"/>
  <c r="L85" i="108"/>
  <c r="M85" i="108"/>
  <c r="N85" i="108"/>
  <c r="O85" i="108"/>
  <c r="P85" i="108"/>
  <c r="D86" i="108"/>
  <c r="E86" i="108"/>
  <c r="F86" i="108"/>
  <c r="G86" i="108"/>
  <c r="H86" i="108"/>
  <c r="I86" i="108"/>
  <c r="J86" i="108"/>
  <c r="K86" i="108"/>
  <c r="L86" i="108"/>
  <c r="M86" i="108"/>
  <c r="N86" i="108"/>
  <c r="O86" i="108"/>
  <c r="P86" i="108"/>
  <c r="D87" i="108"/>
  <c r="E87" i="108"/>
  <c r="F87" i="108"/>
  <c r="G87" i="108"/>
  <c r="H87" i="108"/>
  <c r="I87" i="108"/>
  <c r="J87" i="108"/>
  <c r="K87" i="108"/>
  <c r="L87" i="108"/>
  <c r="M87" i="108"/>
  <c r="N87" i="108"/>
  <c r="O87" i="108"/>
  <c r="P87" i="108"/>
  <c r="D88" i="108"/>
  <c r="E88" i="108"/>
  <c r="F88" i="108"/>
  <c r="G88" i="108"/>
  <c r="H88" i="108"/>
  <c r="I88" i="108"/>
  <c r="J88" i="108"/>
  <c r="K88" i="108"/>
  <c r="L88" i="108"/>
  <c r="M88" i="108"/>
  <c r="N88" i="108"/>
  <c r="O88" i="108"/>
  <c r="P88" i="108"/>
  <c r="D89" i="108"/>
  <c r="E89" i="108"/>
  <c r="F89" i="108"/>
  <c r="G89" i="108"/>
  <c r="H89" i="108"/>
  <c r="I89" i="108"/>
  <c r="J89" i="108"/>
  <c r="K89" i="108"/>
  <c r="L89" i="108"/>
  <c r="M89" i="108"/>
  <c r="N89" i="108"/>
  <c r="O89" i="108"/>
  <c r="P89" i="108"/>
  <c r="D90" i="108"/>
  <c r="E90" i="108"/>
  <c r="F90" i="108"/>
  <c r="G90" i="108"/>
  <c r="H90" i="108"/>
  <c r="I90" i="108"/>
  <c r="J90" i="108"/>
  <c r="K90" i="108"/>
  <c r="L90" i="108"/>
  <c r="M90" i="108"/>
  <c r="N90" i="108"/>
  <c r="O90" i="108"/>
  <c r="P90" i="108"/>
  <c r="D91" i="108"/>
  <c r="E91" i="108"/>
  <c r="F91" i="108"/>
  <c r="G91" i="108"/>
  <c r="H91" i="108"/>
  <c r="I91" i="108"/>
  <c r="J91" i="108"/>
  <c r="K91" i="108"/>
  <c r="L91" i="108"/>
  <c r="M91" i="108"/>
  <c r="N91" i="108"/>
  <c r="O91" i="108"/>
  <c r="P91" i="108"/>
  <c r="D92" i="108"/>
  <c r="E92" i="108"/>
  <c r="F92" i="108"/>
  <c r="G92" i="108"/>
  <c r="H92" i="108"/>
  <c r="I92" i="108"/>
  <c r="J92" i="108"/>
  <c r="K92" i="108"/>
  <c r="L92" i="108"/>
  <c r="M92" i="108"/>
  <c r="N92" i="108"/>
  <c r="O92" i="108"/>
  <c r="P92" i="108"/>
  <c r="D93" i="108"/>
  <c r="E93" i="108"/>
  <c r="F93" i="108"/>
  <c r="G93" i="108"/>
  <c r="H93" i="108"/>
  <c r="I93" i="108"/>
  <c r="J93" i="108"/>
  <c r="K93" i="108"/>
  <c r="L93" i="108"/>
  <c r="M93" i="108"/>
  <c r="N93" i="108"/>
  <c r="O93" i="108"/>
  <c r="P93" i="108"/>
  <c r="D94" i="108"/>
  <c r="E94" i="108"/>
  <c r="F94" i="108"/>
  <c r="G94" i="108"/>
  <c r="H94" i="108"/>
  <c r="I94" i="108"/>
  <c r="J94" i="108"/>
  <c r="K94" i="108"/>
  <c r="L94" i="108"/>
  <c r="M94" i="108"/>
  <c r="N94" i="108"/>
  <c r="O94" i="108"/>
  <c r="P94" i="108"/>
  <c r="D95" i="108"/>
  <c r="E95" i="108"/>
  <c r="F95" i="108"/>
  <c r="G95" i="108"/>
  <c r="H95" i="108"/>
  <c r="I95" i="108"/>
  <c r="J95" i="108"/>
  <c r="K95" i="108"/>
  <c r="L95" i="108"/>
  <c r="M95" i="108"/>
  <c r="N95" i="108"/>
  <c r="O95" i="108"/>
  <c r="P95" i="108"/>
  <c r="D96" i="108"/>
  <c r="E96" i="108"/>
  <c r="F96" i="108"/>
  <c r="G96" i="108"/>
  <c r="H96" i="108"/>
  <c r="I96" i="108"/>
  <c r="J96" i="108"/>
  <c r="K96" i="108"/>
  <c r="L96" i="108"/>
  <c r="M96" i="108"/>
  <c r="N96" i="108"/>
  <c r="O96" i="108"/>
  <c r="P96" i="108"/>
  <c r="D97" i="108"/>
  <c r="E97" i="108"/>
  <c r="F97" i="108"/>
  <c r="G97" i="108"/>
  <c r="H97" i="108"/>
  <c r="I97" i="108"/>
  <c r="J97" i="108"/>
  <c r="K97" i="108"/>
  <c r="L97" i="108"/>
  <c r="M97" i="108"/>
  <c r="N97" i="108"/>
  <c r="O97" i="108"/>
  <c r="P97" i="108"/>
  <c r="D98" i="108"/>
  <c r="E98" i="108"/>
  <c r="F98" i="108"/>
  <c r="G98" i="108"/>
  <c r="H98" i="108"/>
  <c r="I98" i="108"/>
  <c r="J98" i="108"/>
  <c r="K98" i="108"/>
  <c r="L98" i="108"/>
  <c r="M98" i="108"/>
  <c r="N98" i="108"/>
  <c r="O98" i="108"/>
  <c r="P98" i="108"/>
  <c r="D99" i="108"/>
  <c r="E99" i="108"/>
  <c r="F99" i="108"/>
  <c r="G99" i="108"/>
  <c r="H99" i="108"/>
  <c r="I99" i="108"/>
  <c r="J99" i="108"/>
  <c r="K99" i="108"/>
  <c r="L99" i="108"/>
  <c r="M99" i="108"/>
  <c r="N99" i="108"/>
  <c r="O99" i="108"/>
  <c r="P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O100" i="108"/>
  <c r="P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O101" i="108"/>
  <c r="P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O102" i="108"/>
  <c r="P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O103" i="108"/>
  <c r="P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O104" i="108"/>
  <c r="P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O105" i="108"/>
  <c r="P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P105" i="107"/>
  <c r="O105" i="107"/>
  <c r="P104" i="107"/>
  <c r="O104" i="107"/>
  <c r="P103" i="107"/>
  <c r="O103" i="107"/>
  <c r="P102" i="107"/>
  <c r="O102" i="107"/>
  <c r="P101" i="107"/>
  <c r="O101" i="107"/>
  <c r="P100" i="107"/>
  <c r="O100" i="107"/>
  <c r="P99" i="107"/>
  <c r="O99" i="107"/>
  <c r="P98" i="107"/>
  <c r="O98" i="107"/>
  <c r="P97" i="107"/>
  <c r="O97" i="107"/>
  <c r="P96" i="107"/>
  <c r="O96" i="107"/>
  <c r="P95" i="107"/>
  <c r="O95" i="107"/>
  <c r="P94" i="107"/>
  <c r="O94" i="107"/>
  <c r="P93" i="107"/>
  <c r="O93" i="107"/>
  <c r="P92" i="107"/>
  <c r="O92" i="107"/>
  <c r="P91" i="107"/>
  <c r="O91" i="107"/>
  <c r="P90" i="107"/>
  <c r="O90" i="107"/>
  <c r="P89" i="107"/>
  <c r="O89" i="107"/>
  <c r="P88" i="107"/>
  <c r="O88" i="107"/>
  <c r="P87" i="107"/>
  <c r="O87" i="107"/>
  <c r="P86" i="107"/>
  <c r="O86" i="107"/>
  <c r="P85" i="107"/>
  <c r="O85" i="107"/>
  <c r="P84" i="107"/>
  <c r="O84" i="107"/>
  <c r="P83" i="107"/>
  <c r="O83" i="107"/>
  <c r="P82" i="107"/>
  <c r="O82" i="107"/>
  <c r="P81" i="107"/>
  <c r="O81" i="107"/>
  <c r="P80" i="107"/>
  <c r="O80" i="107"/>
  <c r="P79" i="107"/>
  <c r="O79" i="107"/>
  <c r="P78" i="107"/>
  <c r="O78" i="107"/>
  <c r="P77" i="107"/>
  <c r="O77" i="107"/>
  <c r="P76" i="107"/>
  <c r="O76" i="107"/>
  <c r="P75" i="107"/>
  <c r="O75" i="107"/>
  <c r="P74" i="107"/>
  <c r="O74" i="107"/>
  <c r="P73" i="107"/>
  <c r="O73" i="107"/>
  <c r="P72" i="107"/>
  <c r="O72" i="107"/>
  <c r="P71" i="107"/>
  <c r="O71" i="107"/>
  <c r="P70" i="107"/>
  <c r="O70" i="107"/>
  <c r="P69" i="107"/>
  <c r="O69" i="107"/>
  <c r="P68" i="107"/>
  <c r="O68" i="107"/>
  <c r="P67" i="107"/>
  <c r="O67" i="107"/>
  <c r="P66" i="107"/>
  <c r="O66" i="107"/>
  <c r="P65" i="107"/>
  <c r="O65" i="107"/>
  <c r="P64" i="107"/>
  <c r="O64" i="107"/>
  <c r="P63" i="107"/>
  <c r="O63" i="107"/>
  <c r="P62" i="107"/>
  <c r="O62" i="107"/>
  <c r="P61" i="107"/>
  <c r="O61" i="107"/>
  <c r="P60" i="107"/>
  <c r="O60" i="107"/>
  <c r="P59" i="107"/>
  <c r="O59" i="107"/>
  <c r="P58" i="107"/>
  <c r="O58" i="107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7"/>
  <c r="C3" i="94" l="1"/>
  <c r="K6" i="98" l="1"/>
  <c r="K6" i="100" s="1"/>
  <c r="K6" i="101" s="1"/>
  <c r="K6" i="105" s="1"/>
  <c r="K6" i="110" s="1"/>
  <c r="K6" i="103" s="1"/>
  <c r="K5" i="98"/>
  <c r="K5" i="101" s="1"/>
  <c r="G5" i="99"/>
  <c r="G5" i="100" s="1"/>
  <c r="G5" i="101" s="1"/>
  <c r="G5" i="109" s="1"/>
  <c r="G5" i="105" s="1"/>
  <c r="G5" i="110" s="1"/>
  <c r="G5" i="103" s="1"/>
  <c r="K6" i="96"/>
  <c r="K6" i="95"/>
  <c r="K6" i="94"/>
  <c r="G6" i="104"/>
  <c r="G6" i="108" s="1"/>
  <c r="G6" i="110"/>
  <c r="G6" i="98"/>
  <c r="G6" i="96"/>
  <c r="G6" i="109" s="1"/>
  <c r="G6" i="103"/>
  <c r="G6" i="107" s="1"/>
  <c r="G6" i="105"/>
  <c r="G6" i="101"/>
  <c r="G6" i="95"/>
  <c r="D6" i="104"/>
  <c r="D6" i="108" s="1"/>
  <c r="D6" i="110"/>
  <c r="D6" i="109"/>
  <c r="D6" i="98"/>
  <c r="D6" i="96"/>
  <c r="D6" i="103"/>
  <c r="D6" i="107" s="1"/>
  <c r="D6" i="105"/>
  <c r="D6" i="101"/>
  <c r="D6" i="95"/>
  <c r="D5" i="104"/>
  <c r="D5" i="110"/>
  <c r="D5" i="109"/>
  <c r="D5" i="100"/>
  <c r="D5" i="98"/>
  <c r="D5" i="96"/>
  <c r="D5" i="94"/>
  <c r="K5" i="107" l="1"/>
  <c r="K5" i="108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27" i="99" l="1"/>
  <c r="X39" i="105"/>
  <c r="AA26" i="95"/>
  <c r="X26" i="98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S38" i="110" s="1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U38" i="109" l="1"/>
  <c r="AF32" i="101"/>
  <c r="AF33" i="101"/>
  <c r="T19" i="108"/>
  <c r="Y38" i="105"/>
  <c r="V19" i="10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U39" i="107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U36" i="107" l="1"/>
  <c r="Y34" i="108"/>
  <c r="S42" i="110"/>
  <c r="AD39" i="107"/>
  <c r="AD12" i="111"/>
  <c r="AF10" i="108"/>
  <c r="T12" i="111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AA41" i="111" s="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B41" i="111" l="1"/>
  <c r="AC41" i="111"/>
  <c r="S41" i="111"/>
  <c r="Y41" i="111"/>
  <c r="AD41" i="111"/>
  <c r="U41" i="111"/>
  <c r="X41" i="111"/>
  <c r="T41" i="111"/>
  <c r="V41" i="111"/>
  <c r="V42" i="111" s="1"/>
  <c r="W41" i="111"/>
  <c r="Z41" i="11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AB42" i="111" s="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42" i="111" s="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Z42" i="111" l="1"/>
  <c r="AD42" i="111"/>
  <c r="AE41" i="111"/>
  <c r="X42" i="111"/>
  <c r="S42" i="111"/>
  <c r="AC42" i="111"/>
  <c r="AF41" i="111"/>
  <c r="W42" i="111"/>
  <c r="T42" i="111"/>
  <c r="U42" i="111"/>
  <c r="Y42" i="111"/>
  <c r="AF34" i="111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F42" i="111" l="1"/>
  <c r="AE42" i="111"/>
</calcChain>
</file>

<file path=xl/sharedStrings.xml><?xml version="1.0" encoding="utf-8"?>
<sst xmlns="http://schemas.openxmlformats.org/spreadsheetml/2006/main" count="2345" uniqueCount="190">
  <si>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</si>
  <si>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</si>
  <si>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</si>
  <si>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</si>
  <si>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</si>
  <si>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</si>
  <si>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</si>
  <si>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</si>
  <si>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</si>
  <si>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</si>
  <si>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</si>
  <si>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</si>
  <si>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</si>
  <si>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</si>
  <si>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</si>
  <si>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</si>
  <si>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</si>
  <si>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</si>
  <si>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</si>
  <si>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</si>
  <si>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</si>
  <si>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</si>
  <si>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</si>
  <si>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</si>
  <si>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</si>
  <si>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</si>
  <si>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</si>
  <si>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</si>
  <si>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</si>
  <si>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</si>
  <si>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</si>
  <si>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</si>
  <si>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</si>
  <si>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</si>
  <si>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</si>
  <si>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</si>
  <si>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</si>
  <si>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</si>
  <si>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</si>
  <si>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</si>
  <si>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</si>
  <si>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</si>
  <si>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</si>
  <si>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</si>
  <si>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</si>
  <si>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</si>
  <si>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</si>
  <si>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</si>
  <si>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</si>
  <si>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</si>
  <si>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</si>
  <si>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</si>
  <si>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</si>
  <si>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</si>
  <si>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</si>
  <si>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</si>
  <si>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</si>
  <si>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</si>
  <si>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</si>
  <si>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</si>
  <si>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</si>
  <si>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</si>
  <si>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</si>
  <si>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</si>
  <si>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</si>
  <si>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</si>
  <si>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</si>
  <si>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</si>
  <si>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</si>
  <si>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</si>
  <si>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</si>
  <si>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</si>
  <si>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</si>
  <si>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</si>
  <si>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</si>
  <si>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</si>
  <si>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</si>
  <si>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</si>
  <si>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</si>
  <si>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</si>
  <si>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</si>
  <si>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</si>
  <si>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</si>
  <si>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</si>
  <si>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</si>
  <si>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</si>
  <si>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</si>
  <si>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</si>
  <si>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</si>
  <si>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</si>
  <si>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</si>
  <si>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</si>
  <si>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</si>
  <si>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</si>
  <si>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</si>
  <si>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</si>
  <si>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</si>
  <si>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</si>
  <si>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</si>
  <si>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</si>
  <si>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</si>
  <si>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</si>
  <si>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</si>
  <si>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</si>
  <si>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</si>
  <si>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</si>
  <si>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</si>
  <si>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</si>
  <si>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</si>
  <si>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</si>
  <si>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</si>
  <si>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</si>
  <si>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</si>
  <si>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</si>
  <si>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</si>
  <si>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</si>
  <si>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</si>
  <si>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</si>
  <si>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</si>
  <si>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</si>
  <si>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</si>
  <si>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</si>
  <si>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</si>
  <si>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</si>
  <si>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</si>
  <si>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</si>
  <si>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</si>
  <si>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</si>
  <si>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</si>
  <si>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</si>
  <si>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</si>
  <si>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</si>
  <si>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</si>
  <si>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</si>
  <si>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</si>
  <si>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</si>
  <si>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</si>
  <si>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</si>
  <si>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</si>
  <si>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</si>
  <si>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</si>
  <si>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</si>
  <si>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</si>
  <si>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</si>
  <si>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</si>
  <si>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</si>
  <si>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</si>
  <si>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</si>
  <si>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</si>
  <si>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</si>
  <si>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</si>
  <si>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</si>
  <si>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</si>
  <si>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</si>
  <si>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</si>
  <si>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</si>
  <si>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</si>
  <si>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</si>
  <si>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</si>
  <si>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</si>
  <si>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</si>
  <si>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</si>
  <si>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</si>
  <si>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C1 - STN44A- NTINDA  ROAD</t>
  </si>
  <si>
    <t>29.07.19</t>
  </si>
  <si>
    <t>NAGURU</t>
  </si>
  <si>
    <t>NTINDA</t>
  </si>
  <si>
    <t>SPEAR MOTORS</t>
  </si>
  <si>
    <t>OLAYA FELIX</t>
  </si>
  <si>
    <t>KIVUMBI/DANIEL</t>
  </si>
  <si>
    <t>NAGURU BARRACKS</t>
  </si>
  <si>
    <t>EMILY/RACHEAL</t>
  </si>
  <si>
    <t>31.07.19</t>
  </si>
  <si>
    <t>FELIX/NUSULAH</t>
  </si>
  <si>
    <t>30.07.19</t>
  </si>
  <si>
    <t>KIVUMBI/RACHEAL</t>
  </si>
  <si>
    <t>01.08.19</t>
  </si>
  <si>
    <t>NUSULAH</t>
  </si>
  <si>
    <t>SAM/MARVIN</t>
  </si>
  <si>
    <t>02.08.19</t>
  </si>
  <si>
    <t>RACHEAL/EMILY</t>
  </si>
  <si>
    <t>SPEARMOTORS</t>
  </si>
  <si>
    <t>KIVUMBI G/DANIEL M</t>
  </si>
  <si>
    <t>03.08.19</t>
  </si>
  <si>
    <t>KIVUMBI GEORGE/DANIEL</t>
  </si>
  <si>
    <t>TUUYA EMILY/RACHEAL</t>
  </si>
  <si>
    <t>KIVUMBI GEORGE</t>
  </si>
  <si>
    <t>04.08.19</t>
  </si>
  <si>
    <t>TUUYA EMILY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</si>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</sst>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NTINDA-SPEAR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NTINDA-SPEAR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NTINDA-SPEAR MOTORS'!$AE$10:$AE$21</c:f>
              <c:numCache>
                <c:formatCode>0</c:formatCode>
                <c:ptCount val="12"/>
                <c:pt idx="0">
                  <c:v>285</c:v>
                </c:pt>
                <c:pt idx="1">
                  <c:v>145</c:v>
                </c:pt>
                <c:pt idx="2">
                  <c:v>167</c:v>
                </c:pt>
                <c:pt idx="3">
                  <c:v>169</c:v>
                </c:pt>
                <c:pt idx="4">
                  <c:v>169</c:v>
                </c:pt>
                <c:pt idx="5">
                  <c:v>201</c:v>
                </c:pt>
                <c:pt idx="6">
                  <c:v>173</c:v>
                </c:pt>
                <c:pt idx="7">
                  <c:v>132</c:v>
                </c:pt>
                <c:pt idx="8">
                  <c:v>173</c:v>
                </c:pt>
                <c:pt idx="9">
                  <c:v>171</c:v>
                </c:pt>
                <c:pt idx="10">
                  <c:v>152</c:v>
                </c:pt>
                <c:pt idx="11">
                  <c:v>117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NTINDA-SPEAR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NTINDA-SPEAR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NTINDA-SPEAR MOTORS'!$AF$10:$AF$21</c:f>
              <c:numCache>
                <c:formatCode>0</c:formatCode>
                <c:ptCount val="12"/>
                <c:pt idx="0">
                  <c:v>691</c:v>
                </c:pt>
                <c:pt idx="1">
                  <c:v>775</c:v>
                </c:pt>
                <c:pt idx="2">
                  <c:v>567</c:v>
                </c:pt>
                <c:pt idx="3">
                  <c:v>626</c:v>
                </c:pt>
                <c:pt idx="4">
                  <c:v>542</c:v>
                </c:pt>
                <c:pt idx="5">
                  <c:v>637</c:v>
                </c:pt>
                <c:pt idx="6">
                  <c:v>567</c:v>
                </c:pt>
                <c:pt idx="7">
                  <c:v>621</c:v>
                </c:pt>
                <c:pt idx="8">
                  <c:v>675</c:v>
                </c:pt>
                <c:pt idx="9">
                  <c:v>630</c:v>
                </c:pt>
                <c:pt idx="10">
                  <c:v>637</c:v>
                </c:pt>
                <c:pt idx="11">
                  <c:v>646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NTINDA-SPEAR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NTINDA-SPEAR MOTORS'!$C$59:$N$59</c:f>
              <c:numCache>
                <c:formatCode>0.0%</c:formatCode>
                <c:ptCount val="12"/>
                <c:pt idx="0">
                  <c:v>9.6795376937220914E-2</c:v>
                </c:pt>
                <c:pt idx="1">
                  <c:v>5.4110848437089569E-2</c:v>
                </c:pt>
                <c:pt idx="2">
                  <c:v>2.82374573154715E-2</c:v>
                </c:pt>
                <c:pt idx="3">
                  <c:v>3.3490937746256895E-2</c:v>
                </c:pt>
                <c:pt idx="4">
                  <c:v>1.5760441292356187E-3</c:v>
                </c:pt>
                <c:pt idx="5">
                  <c:v>1.3133701076963489E-4</c:v>
                </c:pt>
                <c:pt idx="6">
                  <c:v>1.4447071184659837E-2</c:v>
                </c:pt>
                <c:pt idx="7">
                  <c:v>1.1951667980036775E-2</c:v>
                </c:pt>
                <c:pt idx="8">
                  <c:v>4.8594693984764905E-3</c:v>
                </c:pt>
                <c:pt idx="9">
                  <c:v>2.4166009981612818E-2</c:v>
                </c:pt>
                <c:pt idx="10">
                  <c:v>0.73023377987916993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NTINDA-SPEAR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NTINDA-SPEAR MOTORS'!$C$60:$N$60</c:f>
              <c:numCache>
                <c:formatCode>0.00%</c:formatCode>
                <c:ptCount val="12"/>
                <c:pt idx="0">
                  <c:v>0.35881207400194742</c:v>
                </c:pt>
                <c:pt idx="1">
                  <c:v>0.20058422590068159</c:v>
                </c:pt>
                <c:pt idx="2">
                  <c:v>0.10467380720545277</c:v>
                </c:pt>
                <c:pt idx="3">
                  <c:v>0.12414800389483933</c:v>
                </c:pt>
                <c:pt idx="4">
                  <c:v>5.8422590068159686E-3</c:v>
                </c:pt>
                <c:pt idx="5">
                  <c:v>4.8685491723466409E-4</c:v>
                </c:pt>
                <c:pt idx="6">
                  <c:v>5.3554040895813046E-2</c:v>
                </c:pt>
                <c:pt idx="7">
                  <c:v>4.4303797468354431E-2</c:v>
                </c:pt>
                <c:pt idx="8">
                  <c:v>1.8013631937682569E-2</c:v>
                </c:pt>
                <c:pt idx="9">
                  <c:v>8.9581304771178191E-2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SPEARMOTORS-NTINDA'!$AE$9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SPEARMOTORS-NTINDA'!$AE$10:$AE$21</c:f>
              <c:numCache>
                <c:formatCode>0</c:formatCode>
                <c:ptCount val="12"/>
                <c:pt idx="0">
                  <c:v>266</c:v>
                </c:pt>
                <c:pt idx="1">
                  <c:v>520</c:v>
                </c:pt>
                <c:pt idx="2">
                  <c:v>322</c:v>
                </c:pt>
                <c:pt idx="3">
                  <c:v>173</c:v>
                </c:pt>
                <c:pt idx="4">
                  <c:v>248</c:v>
                </c:pt>
                <c:pt idx="5">
                  <c:v>227</c:v>
                </c:pt>
                <c:pt idx="6">
                  <c:v>262</c:v>
                </c:pt>
                <c:pt idx="7">
                  <c:v>229</c:v>
                </c:pt>
                <c:pt idx="8">
                  <c:v>276</c:v>
                </c:pt>
                <c:pt idx="9">
                  <c:v>288</c:v>
                </c:pt>
                <c:pt idx="10">
                  <c:v>321</c:v>
                </c:pt>
                <c:pt idx="11">
                  <c:v>490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SPEARMOTORS-NTINDA'!$AF$9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SPEARMOTORS-NTINDA'!$AF$10:$AF$21</c:f>
              <c:numCache>
                <c:formatCode>0</c:formatCode>
                <c:ptCount val="12"/>
                <c:pt idx="0">
                  <c:v>479</c:v>
                </c:pt>
                <c:pt idx="1">
                  <c:v>1000</c:v>
                </c:pt>
                <c:pt idx="2">
                  <c:v>806</c:v>
                </c:pt>
                <c:pt idx="3">
                  <c:v>613</c:v>
                </c:pt>
                <c:pt idx="4">
                  <c:v>701</c:v>
                </c:pt>
                <c:pt idx="5">
                  <c:v>826</c:v>
                </c:pt>
                <c:pt idx="6">
                  <c:v>811</c:v>
                </c:pt>
                <c:pt idx="7">
                  <c:v>789</c:v>
                </c:pt>
                <c:pt idx="8">
                  <c:v>834</c:v>
                </c:pt>
                <c:pt idx="9">
                  <c:v>789</c:v>
                </c:pt>
                <c:pt idx="10">
                  <c:v>851</c:v>
                </c:pt>
                <c:pt idx="11">
                  <c:v>1035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SPEARMOTORS-NTINDA'!$C$9:$N$9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SPEARMOTORS-NTINDA'!$C$59:$N$59</c:f>
              <c:numCache>
                <c:formatCode>0.0%</c:formatCode>
                <c:ptCount val="12"/>
                <c:pt idx="0">
                  <c:v>0.12261380323054331</c:v>
                </c:pt>
                <c:pt idx="1">
                  <c:v>6.2722886511432763E-2</c:v>
                </c:pt>
                <c:pt idx="2">
                  <c:v>2.4019299349695825E-2</c:v>
                </c:pt>
                <c:pt idx="3">
                  <c:v>6.6289070694357036E-2</c:v>
                </c:pt>
                <c:pt idx="4">
                  <c:v>1.3635410111181036E-3</c:v>
                </c:pt>
                <c:pt idx="5">
                  <c:v>1.0488777008600797E-4</c:v>
                </c:pt>
                <c:pt idx="6">
                  <c:v>2.4124187119781832E-2</c:v>
                </c:pt>
                <c:pt idx="7">
                  <c:v>1.038388923851479E-2</c:v>
                </c:pt>
                <c:pt idx="8">
                  <c:v>1.7411369834277324E-2</c:v>
                </c:pt>
                <c:pt idx="9">
                  <c:v>5.0870568491713869E-2</c:v>
                </c:pt>
                <c:pt idx="10">
                  <c:v>0.62009649674847911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SPEARMOTORS-NTINDA'!$S$9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SPEARMOTORS-NTINDA'!$S$10:$S$21</c:f>
              <c:numCache>
                <c:formatCode>0</c:formatCode>
                <c:ptCount val="12"/>
                <c:pt idx="0">
                  <c:v>30</c:v>
                </c:pt>
                <c:pt idx="1">
                  <c:v>129</c:v>
                </c:pt>
                <c:pt idx="2">
                  <c:v>45</c:v>
                </c:pt>
                <c:pt idx="3">
                  <c:v>42</c:v>
                </c:pt>
                <c:pt idx="4">
                  <c:v>65</c:v>
                </c:pt>
                <c:pt idx="5">
                  <c:v>53</c:v>
                </c:pt>
                <c:pt idx="6">
                  <c:v>74</c:v>
                </c:pt>
                <c:pt idx="7">
                  <c:v>83</c:v>
                </c:pt>
                <c:pt idx="8">
                  <c:v>116</c:v>
                </c:pt>
                <c:pt idx="9">
                  <c:v>116</c:v>
                </c:pt>
                <c:pt idx="10">
                  <c:v>169</c:v>
                </c:pt>
                <c:pt idx="11">
                  <c:v>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SPEARMOTORS-NTINDA'!$T$9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SPEARMOTORS-NTINDA'!$T$10:$T$21</c:f>
              <c:numCache>
                <c:formatCode>0</c:formatCode>
                <c:ptCount val="12"/>
                <c:pt idx="0">
                  <c:v>8</c:v>
                </c:pt>
                <c:pt idx="1">
                  <c:v>57</c:v>
                </c:pt>
                <c:pt idx="2">
                  <c:v>14</c:v>
                </c:pt>
                <c:pt idx="3">
                  <c:v>29</c:v>
                </c:pt>
                <c:pt idx="4">
                  <c:v>26</c:v>
                </c:pt>
                <c:pt idx="5">
                  <c:v>27</c:v>
                </c:pt>
                <c:pt idx="6">
                  <c:v>53</c:v>
                </c:pt>
                <c:pt idx="7">
                  <c:v>43</c:v>
                </c:pt>
                <c:pt idx="8">
                  <c:v>53</c:v>
                </c:pt>
                <c:pt idx="9">
                  <c:v>55</c:v>
                </c:pt>
                <c:pt idx="10">
                  <c:v>88</c:v>
                </c:pt>
                <c:pt idx="11">
                  <c:v>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SPEARMOTORS-NTINDA'!$U$9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SPEARMOTORS-NTINDA'!$U$10:$U$21</c:f>
              <c:numCache>
                <c:formatCode>0</c:formatCode>
                <c:ptCount val="12"/>
                <c:pt idx="0">
                  <c:v>13</c:v>
                </c:pt>
                <c:pt idx="1">
                  <c:v>28</c:v>
                </c:pt>
                <c:pt idx="2">
                  <c:v>5</c:v>
                </c:pt>
                <c:pt idx="3">
                  <c:v>15</c:v>
                </c:pt>
                <c:pt idx="4">
                  <c:v>24</c:v>
                </c:pt>
                <c:pt idx="5">
                  <c:v>13</c:v>
                </c:pt>
                <c:pt idx="6">
                  <c:v>18</c:v>
                </c:pt>
                <c:pt idx="7">
                  <c:v>10</c:v>
                </c:pt>
                <c:pt idx="8">
                  <c:v>11</c:v>
                </c:pt>
                <c:pt idx="9">
                  <c:v>30</c:v>
                </c:pt>
                <c:pt idx="10">
                  <c:v>25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SPEARMOTORS-NTINDA'!$V$9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SPEARMOTORS-NTINDA'!$V$10:$V$21</c:f>
              <c:numCache>
                <c:formatCode>0</c:formatCode>
                <c:ptCount val="12"/>
                <c:pt idx="0">
                  <c:v>45</c:v>
                </c:pt>
                <c:pt idx="1">
                  <c:v>140</c:v>
                </c:pt>
                <c:pt idx="2">
                  <c:v>85</c:v>
                </c:pt>
                <c:pt idx="3">
                  <c:v>62</c:v>
                </c:pt>
                <c:pt idx="4">
                  <c:v>54</c:v>
                </c:pt>
                <c:pt idx="5">
                  <c:v>43</c:v>
                </c:pt>
                <c:pt idx="6">
                  <c:v>55</c:v>
                </c:pt>
                <c:pt idx="7">
                  <c:v>37</c:v>
                </c:pt>
                <c:pt idx="8">
                  <c:v>35</c:v>
                </c:pt>
                <c:pt idx="9">
                  <c:v>33</c:v>
                </c:pt>
                <c:pt idx="10">
                  <c:v>9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SPEARMOTORS-NTINDA'!$W$9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SPEARMOTORS-NTINDA'!$W$10:$W$21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SPEARMOTORS-NTINDA'!$X$9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SPEARMOTORS-NTINDA'!$X$10:$X$21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SPEARMOTORS-NTINDA'!$Y$9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SPEARMOTORS-NTINDA'!$Y$10:$Y$21</c:f>
              <c:numCache>
                <c:formatCode>0</c:formatCode>
                <c:ptCount val="12"/>
                <c:pt idx="0">
                  <c:v>21</c:v>
                </c:pt>
                <c:pt idx="1">
                  <c:v>18</c:v>
                </c:pt>
                <c:pt idx="2">
                  <c:v>23</c:v>
                </c:pt>
                <c:pt idx="3">
                  <c:v>7</c:v>
                </c:pt>
                <c:pt idx="4">
                  <c:v>28</c:v>
                </c:pt>
                <c:pt idx="5">
                  <c:v>29</c:v>
                </c:pt>
                <c:pt idx="6">
                  <c:v>21</c:v>
                </c:pt>
                <c:pt idx="7">
                  <c:v>19</c:v>
                </c:pt>
                <c:pt idx="8">
                  <c:v>25</c:v>
                </c:pt>
                <c:pt idx="9">
                  <c:v>19</c:v>
                </c:pt>
                <c:pt idx="10">
                  <c:v>9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SPEARMOTORS-NTINDA'!$Z$9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SPEARMOTORS-NTINDA'!$Z$10:$Z$21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8</c:v>
                </c:pt>
                <c:pt idx="3">
                  <c:v>4</c:v>
                </c:pt>
                <c:pt idx="4">
                  <c:v>20</c:v>
                </c:pt>
                <c:pt idx="5">
                  <c:v>15</c:v>
                </c:pt>
                <c:pt idx="6">
                  <c:v>8</c:v>
                </c:pt>
                <c:pt idx="7">
                  <c:v>9</c:v>
                </c:pt>
                <c:pt idx="8">
                  <c:v>6</c:v>
                </c:pt>
                <c:pt idx="9">
                  <c:v>10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SPEARMOTORS-NTINDA'!$AA$9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SPEARMOTORS-NTINDA'!$AA$10:$AA$21</c:f>
              <c:numCache>
                <c:formatCode>0</c:formatCode>
                <c:ptCount val="12"/>
                <c:pt idx="0">
                  <c:v>51</c:v>
                </c:pt>
                <c:pt idx="1">
                  <c:v>16</c:v>
                </c:pt>
                <c:pt idx="2">
                  <c:v>17</c:v>
                </c:pt>
                <c:pt idx="3">
                  <c:v>6</c:v>
                </c:pt>
                <c:pt idx="4">
                  <c:v>13</c:v>
                </c:pt>
                <c:pt idx="5">
                  <c:v>16</c:v>
                </c:pt>
                <c:pt idx="6">
                  <c:v>10</c:v>
                </c:pt>
                <c:pt idx="7">
                  <c:v>8</c:v>
                </c:pt>
                <c:pt idx="8">
                  <c:v>12</c:v>
                </c:pt>
                <c:pt idx="9">
                  <c:v>8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SPEARMOTORS-NTINDA'!$AB$9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SPEARMOTORS-NTINDA'!$AB$10:$AB$21</c:f>
              <c:numCache>
                <c:formatCode>0</c:formatCode>
                <c:ptCount val="12"/>
                <c:pt idx="0">
                  <c:v>94</c:v>
                </c:pt>
                <c:pt idx="1">
                  <c:v>120</c:v>
                </c:pt>
                <c:pt idx="2">
                  <c:v>125</c:v>
                </c:pt>
                <c:pt idx="3">
                  <c:v>7</c:v>
                </c:pt>
                <c:pt idx="4">
                  <c:v>16</c:v>
                </c:pt>
                <c:pt idx="5">
                  <c:v>31</c:v>
                </c:pt>
                <c:pt idx="6">
                  <c:v>21</c:v>
                </c:pt>
                <c:pt idx="7">
                  <c:v>19</c:v>
                </c:pt>
                <c:pt idx="8">
                  <c:v>18</c:v>
                </c:pt>
                <c:pt idx="9">
                  <c:v>17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SPEARMOTORS-NTINDA'!$AC$9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SPEARMOTORS-NTINDA'!$AC$10:$AC$21</c:f>
              <c:numCache>
                <c:formatCode>0</c:formatCode>
                <c:ptCount val="12"/>
                <c:pt idx="0">
                  <c:v>213</c:v>
                </c:pt>
                <c:pt idx="1">
                  <c:v>480</c:v>
                </c:pt>
                <c:pt idx="2">
                  <c:v>484</c:v>
                </c:pt>
                <c:pt idx="3">
                  <c:v>440</c:v>
                </c:pt>
                <c:pt idx="4">
                  <c:v>453</c:v>
                </c:pt>
                <c:pt idx="5">
                  <c:v>599</c:v>
                </c:pt>
                <c:pt idx="6">
                  <c:v>549</c:v>
                </c:pt>
                <c:pt idx="7">
                  <c:v>560</c:v>
                </c:pt>
                <c:pt idx="8">
                  <c:v>558</c:v>
                </c:pt>
                <c:pt idx="9">
                  <c:v>501</c:v>
                </c:pt>
                <c:pt idx="10">
                  <c:v>530</c:v>
                </c:pt>
                <c:pt idx="11">
                  <c:v>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SPEARMOTORS-NTINDA'!$AD$9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SPEARMOTORS-NTINDA'!$AD$10:$AD$21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SPEARMOTORS-NTINDA'!$C$9:$N$9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SPEARMOTORS-NTINDA'!$C$60:$N$60</c:f>
              <c:numCache>
                <c:formatCode>0.00%</c:formatCode>
                <c:ptCount val="12"/>
                <c:pt idx="0">
                  <c:v>0.32274986195472116</c:v>
                </c:pt>
                <c:pt idx="1">
                  <c:v>0.16510215350635007</c:v>
                </c:pt>
                <c:pt idx="2">
                  <c:v>6.3224737713970178E-2</c:v>
                </c:pt>
                <c:pt idx="3">
                  <c:v>0.17448923246824957</c:v>
                </c:pt>
                <c:pt idx="4">
                  <c:v>3.5891772501380451E-3</c:v>
                </c:pt>
                <c:pt idx="5">
                  <c:v>2.7609055770292659E-4</c:v>
                </c:pt>
                <c:pt idx="6">
                  <c:v>6.350082827167311E-2</c:v>
                </c:pt>
                <c:pt idx="7">
                  <c:v>2.7332965212589728E-2</c:v>
                </c:pt>
                <c:pt idx="8">
                  <c:v>4.5831032578685808E-2</c:v>
                </c:pt>
                <c:pt idx="9">
                  <c:v>0.13390392048591937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NTINDA-SPEARMOTORS'!$AE$9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NTINDA-SPEARMOTORS'!$AE$10:$AE$21</c:f>
              <c:numCache>
                <c:formatCode>0</c:formatCode>
                <c:ptCount val="12"/>
                <c:pt idx="0">
                  <c:v>438</c:v>
                </c:pt>
                <c:pt idx="1">
                  <c:v>204</c:v>
                </c:pt>
                <c:pt idx="2">
                  <c:v>171</c:v>
                </c:pt>
                <c:pt idx="3">
                  <c:v>130</c:v>
                </c:pt>
                <c:pt idx="4">
                  <c:v>178</c:v>
                </c:pt>
                <c:pt idx="5">
                  <c:v>201</c:v>
                </c:pt>
                <c:pt idx="6">
                  <c:v>162</c:v>
                </c:pt>
                <c:pt idx="7">
                  <c:v>178</c:v>
                </c:pt>
                <c:pt idx="8">
                  <c:v>131</c:v>
                </c:pt>
                <c:pt idx="9">
                  <c:v>168</c:v>
                </c:pt>
                <c:pt idx="10">
                  <c:v>153</c:v>
                </c:pt>
                <c:pt idx="11">
                  <c:v>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NTINDA-SPEARMOTORS'!$AF$9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NTINDA-SPEARMOTORS'!$AF$10:$AF$21</c:f>
              <c:numCache>
                <c:formatCode>0</c:formatCode>
                <c:ptCount val="12"/>
                <c:pt idx="0">
                  <c:v>1023</c:v>
                </c:pt>
                <c:pt idx="1">
                  <c:v>725</c:v>
                </c:pt>
                <c:pt idx="2">
                  <c:v>750</c:v>
                </c:pt>
                <c:pt idx="3">
                  <c:v>627</c:v>
                </c:pt>
                <c:pt idx="4">
                  <c:v>632</c:v>
                </c:pt>
                <c:pt idx="5">
                  <c:v>699</c:v>
                </c:pt>
                <c:pt idx="6">
                  <c:v>640</c:v>
                </c:pt>
                <c:pt idx="7">
                  <c:v>644</c:v>
                </c:pt>
                <c:pt idx="8">
                  <c:v>619</c:v>
                </c:pt>
                <c:pt idx="9">
                  <c:v>746</c:v>
                </c:pt>
                <c:pt idx="10">
                  <c:v>684</c:v>
                </c:pt>
                <c:pt idx="11">
                  <c:v>645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NTINDA-SPEARMOTORS'!$C$9:$N$9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NTINDA-SPEARMOTORS'!$C$59:$N$59</c:f>
              <c:numCache>
                <c:formatCode>0.0%</c:formatCode>
                <c:ptCount val="12"/>
                <c:pt idx="0">
                  <c:v>0.11180934313493004</c:v>
                </c:pt>
                <c:pt idx="1">
                  <c:v>4.6715674650225282E-2</c:v>
                </c:pt>
                <c:pt idx="2">
                  <c:v>2.6322029879060942E-2</c:v>
                </c:pt>
                <c:pt idx="3">
                  <c:v>2.4306378942376097E-2</c:v>
                </c:pt>
                <c:pt idx="4">
                  <c:v>5.9283851078966094E-4</c:v>
                </c:pt>
                <c:pt idx="5">
                  <c:v>0</c:v>
                </c:pt>
                <c:pt idx="6">
                  <c:v>1.1145364002845624E-2</c:v>
                </c:pt>
                <c:pt idx="7">
                  <c:v>1.0552525492055964E-2</c:v>
                </c:pt>
                <c:pt idx="8">
                  <c:v>5.4541142992648806E-3</c:v>
                </c:pt>
                <c:pt idx="9">
                  <c:v>2.8693383922219588E-2</c:v>
                </c:pt>
                <c:pt idx="10">
                  <c:v>0.73405264405975812</c:v>
                </c:pt>
                <c:pt idx="11">
                  <c:v>3.5570310647379654E-4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NTINDA-SPEARMOTORS'!$S$9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NTINDA-SPEARMOTORS'!$S$10:$S$21</c:f>
              <c:numCache>
                <c:formatCode>0</c:formatCode>
                <c:ptCount val="12"/>
                <c:pt idx="0">
                  <c:v>188</c:v>
                </c:pt>
                <c:pt idx="1">
                  <c:v>112</c:v>
                </c:pt>
                <c:pt idx="2">
                  <c:v>70</c:v>
                </c:pt>
                <c:pt idx="3">
                  <c:v>49</c:v>
                </c:pt>
                <c:pt idx="4">
                  <c:v>66</c:v>
                </c:pt>
                <c:pt idx="5">
                  <c:v>80</c:v>
                </c:pt>
                <c:pt idx="6">
                  <c:v>66</c:v>
                </c:pt>
                <c:pt idx="7">
                  <c:v>64</c:v>
                </c:pt>
                <c:pt idx="8">
                  <c:v>41</c:v>
                </c:pt>
                <c:pt idx="9">
                  <c:v>71</c:v>
                </c:pt>
                <c:pt idx="10">
                  <c:v>65</c:v>
                </c:pt>
                <c:pt idx="11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NTINDA-SPEARMOTORS'!$T$9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NTINDA-SPEARMOTORS'!$T$10:$T$21</c:f>
              <c:numCache>
                <c:formatCode>0</c:formatCode>
                <c:ptCount val="12"/>
                <c:pt idx="0">
                  <c:v>83</c:v>
                </c:pt>
                <c:pt idx="1">
                  <c:v>52</c:v>
                </c:pt>
                <c:pt idx="2">
                  <c:v>31</c:v>
                </c:pt>
                <c:pt idx="3">
                  <c:v>29</c:v>
                </c:pt>
                <c:pt idx="4">
                  <c:v>30</c:v>
                </c:pt>
                <c:pt idx="5">
                  <c:v>31</c:v>
                </c:pt>
                <c:pt idx="6">
                  <c:v>27</c:v>
                </c:pt>
                <c:pt idx="7">
                  <c:v>38</c:v>
                </c:pt>
                <c:pt idx="8">
                  <c:v>20</c:v>
                </c:pt>
                <c:pt idx="9">
                  <c:v>25</c:v>
                </c:pt>
                <c:pt idx="10">
                  <c:v>14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NTINDA-SPEARMOTORS'!$U$9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NTINDA-SPEARMOTORS'!$U$10:$U$21</c:f>
              <c:numCache>
                <c:formatCode>0</c:formatCode>
                <c:ptCount val="12"/>
                <c:pt idx="0">
                  <c:v>60</c:v>
                </c:pt>
                <c:pt idx="1">
                  <c:v>12</c:v>
                </c:pt>
                <c:pt idx="2">
                  <c:v>19</c:v>
                </c:pt>
                <c:pt idx="3">
                  <c:v>12</c:v>
                </c:pt>
                <c:pt idx="4">
                  <c:v>14</c:v>
                </c:pt>
                <c:pt idx="5">
                  <c:v>23</c:v>
                </c:pt>
                <c:pt idx="6">
                  <c:v>11</c:v>
                </c:pt>
                <c:pt idx="7">
                  <c:v>22</c:v>
                </c:pt>
                <c:pt idx="8">
                  <c:v>12</c:v>
                </c:pt>
                <c:pt idx="9">
                  <c:v>13</c:v>
                </c:pt>
                <c:pt idx="10">
                  <c:v>13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NTINDA-SPEARMOTORS'!$V$9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NTINDA-SPEARMOTORS'!$V$10:$V$21</c:f>
              <c:numCache>
                <c:formatCode>0</c:formatCode>
                <c:ptCount val="12"/>
                <c:pt idx="0">
                  <c:v>75</c:v>
                </c:pt>
                <c:pt idx="1">
                  <c:v>6</c:v>
                </c:pt>
                <c:pt idx="2">
                  <c:v>9</c:v>
                </c:pt>
                <c:pt idx="3">
                  <c:v>7</c:v>
                </c:pt>
                <c:pt idx="4">
                  <c:v>11</c:v>
                </c:pt>
                <c:pt idx="5">
                  <c:v>14</c:v>
                </c:pt>
                <c:pt idx="6">
                  <c:v>12</c:v>
                </c:pt>
                <c:pt idx="7">
                  <c:v>22</c:v>
                </c:pt>
                <c:pt idx="8">
                  <c:v>10</c:v>
                </c:pt>
                <c:pt idx="9">
                  <c:v>16</c:v>
                </c:pt>
                <c:pt idx="10">
                  <c:v>11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NTINDA-SPEARMOTORS'!$W$9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NTINDA-SPEARMOTORS'!$W$10:$W$21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NTINDA-SPEARMOTORS'!$X$9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NTINDA-SPEARMOTORS'!$X$10:$X$21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NTINDA-SPEARMOTORS'!$Y$9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NTINDA-SPEARMOTORS'!$Y$10:$Y$21</c:f>
              <c:numCache>
                <c:formatCode>0</c:formatCode>
                <c:ptCount val="12"/>
                <c:pt idx="0">
                  <c:v>15</c:v>
                </c:pt>
                <c:pt idx="1">
                  <c:v>3</c:v>
                </c:pt>
                <c:pt idx="2">
                  <c:v>12</c:v>
                </c:pt>
                <c:pt idx="3">
                  <c:v>5</c:v>
                </c:pt>
                <c:pt idx="4">
                  <c:v>10</c:v>
                </c:pt>
                <c:pt idx="5">
                  <c:v>6</c:v>
                </c:pt>
                <c:pt idx="6">
                  <c:v>8</c:v>
                </c:pt>
                <c:pt idx="7">
                  <c:v>7</c:v>
                </c:pt>
                <c:pt idx="8">
                  <c:v>9</c:v>
                </c:pt>
                <c:pt idx="9">
                  <c:v>4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NTINDA-SPEARMOTORS'!$Z$9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NTINDA-SPEARMOTORS'!$Z$10:$Z$21</c:f>
              <c:numCache>
                <c:formatCode>0</c:formatCode>
                <c:ptCount val="12"/>
                <c:pt idx="0">
                  <c:v>8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  <c:pt idx="6">
                  <c:v>8</c:v>
                </c:pt>
                <c:pt idx="7">
                  <c:v>2</c:v>
                </c:pt>
                <c:pt idx="8">
                  <c:v>11</c:v>
                </c:pt>
                <c:pt idx="9">
                  <c:v>2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NTINDA-SPEARMOTORS'!$AA$9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NTINDA-SPEARMOTORS'!$AA$10:$AA$21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6</c:v>
                </c:pt>
                <c:pt idx="7">
                  <c:v>3</c:v>
                </c:pt>
                <c:pt idx="8">
                  <c:v>6</c:v>
                </c:pt>
                <c:pt idx="9">
                  <c:v>3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NTINDA-SPEARMOTORS'!$AB$9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NTINDA-SPEARMOTORS'!$AB$10:$AB$21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17</c:v>
                </c:pt>
                <c:pt idx="3">
                  <c:v>13</c:v>
                </c:pt>
                <c:pt idx="4">
                  <c:v>34</c:v>
                </c:pt>
                <c:pt idx="5">
                  <c:v>33</c:v>
                </c:pt>
                <c:pt idx="6">
                  <c:v>22</c:v>
                </c:pt>
                <c:pt idx="7">
                  <c:v>20</c:v>
                </c:pt>
                <c:pt idx="8">
                  <c:v>22</c:v>
                </c:pt>
                <c:pt idx="9">
                  <c:v>34</c:v>
                </c:pt>
                <c:pt idx="10">
                  <c:v>31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NTINDA-SPEARMOTORS'!$AC$9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NTINDA-SPEARMOTORS'!$AC$10:$AC$21</c:f>
              <c:numCache>
                <c:formatCode>0</c:formatCode>
                <c:ptCount val="12"/>
                <c:pt idx="0">
                  <c:v>585</c:v>
                </c:pt>
                <c:pt idx="1">
                  <c:v>521</c:v>
                </c:pt>
                <c:pt idx="2">
                  <c:v>579</c:v>
                </c:pt>
                <c:pt idx="3">
                  <c:v>497</c:v>
                </c:pt>
                <c:pt idx="4">
                  <c:v>454</c:v>
                </c:pt>
                <c:pt idx="5">
                  <c:v>498</c:v>
                </c:pt>
                <c:pt idx="6">
                  <c:v>478</c:v>
                </c:pt>
                <c:pt idx="7">
                  <c:v>466</c:v>
                </c:pt>
                <c:pt idx="8">
                  <c:v>488</c:v>
                </c:pt>
                <c:pt idx="9">
                  <c:v>578</c:v>
                </c:pt>
                <c:pt idx="10">
                  <c:v>531</c:v>
                </c:pt>
                <c:pt idx="11">
                  <c:v>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NTINDA-SPEARMOTORS'!$AD$9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NTINDA-SPEARMOTORS'!$AD$10:$AD$21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NTINDA-SPEARMOTORS'!$C$9:$N$9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NTINDA-SPEARMOTORS'!$C$60:$N$60</c:f>
              <c:numCache>
                <c:formatCode>0.00%</c:formatCode>
                <c:ptCount val="12"/>
                <c:pt idx="0">
                  <c:v>0.42041908158716007</c:v>
                </c:pt>
                <c:pt idx="1">
                  <c:v>0.17565760142666073</c:v>
                </c:pt>
                <c:pt idx="2">
                  <c:v>9.897458760588497E-2</c:v>
                </c:pt>
                <c:pt idx="3">
                  <c:v>9.1395452518947831E-2</c:v>
                </c:pt>
                <c:pt idx="4">
                  <c:v>2.229157378510923E-3</c:v>
                </c:pt>
                <c:pt idx="5">
                  <c:v>0</c:v>
                </c:pt>
                <c:pt idx="6">
                  <c:v>4.1908158716005353E-2</c:v>
                </c:pt>
                <c:pt idx="7">
                  <c:v>3.9679001337494427E-2</c:v>
                </c:pt>
                <c:pt idx="8">
                  <c:v>2.050824788230049E-2</c:v>
                </c:pt>
                <c:pt idx="9">
                  <c:v>0.10789121711992866</c:v>
                </c:pt>
                <c:pt idx="11">
                  <c:v>1.3374944271065537E-3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SPEARMOTORS-NTINDA'!$AE$9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SPEARMOTORS-NTINDA'!$AE$10:$AE$21</c:f>
              <c:numCache>
                <c:formatCode>0</c:formatCode>
                <c:ptCount val="12"/>
                <c:pt idx="0">
                  <c:v>324</c:v>
                </c:pt>
                <c:pt idx="1">
                  <c:v>198</c:v>
                </c:pt>
                <c:pt idx="2">
                  <c:v>220</c:v>
                </c:pt>
                <c:pt idx="3">
                  <c:v>313</c:v>
                </c:pt>
                <c:pt idx="4">
                  <c:v>254</c:v>
                </c:pt>
                <c:pt idx="5">
                  <c:v>238</c:v>
                </c:pt>
                <c:pt idx="6">
                  <c:v>239</c:v>
                </c:pt>
                <c:pt idx="7">
                  <c:v>255</c:v>
                </c:pt>
                <c:pt idx="8">
                  <c:v>241</c:v>
                </c:pt>
                <c:pt idx="9">
                  <c:v>240</c:v>
                </c:pt>
                <c:pt idx="10">
                  <c:v>319</c:v>
                </c:pt>
                <c:pt idx="11">
                  <c:v>242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SPEARMOTORS-NTINDA'!$AF$9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SPEARMOTORS-NTINDA'!$AF$10:$AF$21</c:f>
              <c:numCache>
                <c:formatCode>0</c:formatCode>
                <c:ptCount val="12"/>
                <c:pt idx="0">
                  <c:v>981</c:v>
                </c:pt>
                <c:pt idx="1">
                  <c:v>1073</c:v>
                </c:pt>
                <c:pt idx="2">
                  <c:v>995</c:v>
                </c:pt>
                <c:pt idx="3">
                  <c:v>885</c:v>
                </c:pt>
                <c:pt idx="4">
                  <c:v>762</c:v>
                </c:pt>
                <c:pt idx="5">
                  <c:v>693</c:v>
                </c:pt>
                <c:pt idx="6">
                  <c:v>633</c:v>
                </c:pt>
                <c:pt idx="7">
                  <c:v>729</c:v>
                </c:pt>
                <c:pt idx="8">
                  <c:v>608</c:v>
                </c:pt>
                <c:pt idx="9">
                  <c:v>693</c:v>
                </c:pt>
                <c:pt idx="10">
                  <c:v>814</c:v>
                </c:pt>
                <c:pt idx="11">
                  <c:v>717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SPEARMOTORS-NTINDA'!$C$9:$N$9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SPEARMOTORS-NTINDA'!$C$59:$N$59</c:f>
              <c:numCache>
                <c:formatCode>0.0%</c:formatCode>
                <c:ptCount val="12"/>
                <c:pt idx="0">
                  <c:v>9.3707607221120731E-2</c:v>
                </c:pt>
                <c:pt idx="1">
                  <c:v>6.9289366586663889E-2</c:v>
                </c:pt>
                <c:pt idx="2">
                  <c:v>2.6922675571324221E-2</c:v>
                </c:pt>
                <c:pt idx="3">
                  <c:v>6.083689867473651E-2</c:v>
                </c:pt>
                <c:pt idx="4">
                  <c:v>6.2610873421684228E-4</c:v>
                </c:pt>
                <c:pt idx="5">
                  <c:v>0</c:v>
                </c:pt>
                <c:pt idx="6">
                  <c:v>2.1392048419075445E-2</c:v>
                </c:pt>
                <c:pt idx="7">
                  <c:v>9.9133882917666703E-3</c:v>
                </c:pt>
                <c:pt idx="8">
                  <c:v>8.7655222790357923E-3</c:v>
                </c:pt>
                <c:pt idx="9">
                  <c:v>3.0261922153814045E-2</c:v>
                </c:pt>
                <c:pt idx="10">
                  <c:v>0.67828446206824589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SPEARMOTORS-NTINDA'!$S$9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SPEARMOTORS-NTINDA'!$S$10:$S$21</c:f>
              <c:numCache>
                <c:formatCode>0</c:formatCode>
                <c:ptCount val="12"/>
                <c:pt idx="0">
                  <c:v>54</c:v>
                </c:pt>
                <c:pt idx="1">
                  <c:v>40</c:v>
                </c:pt>
                <c:pt idx="2">
                  <c:v>57</c:v>
                </c:pt>
                <c:pt idx="3">
                  <c:v>85</c:v>
                </c:pt>
                <c:pt idx="4">
                  <c:v>58</c:v>
                </c:pt>
                <c:pt idx="5">
                  <c:v>62</c:v>
                </c:pt>
                <c:pt idx="6">
                  <c:v>78</c:v>
                </c:pt>
                <c:pt idx="7">
                  <c:v>72</c:v>
                </c:pt>
                <c:pt idx="8">
                  <c:v>77</c:v>
                </c:pt>
                <c:pt idx="9">
                  <c:v>74</c:v>
                </c:pt>
                <c:pt idx="10">
                  <c:v>143</c:v>
                </c:pt>
                <c:pt idx="11">
                  <c:v>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SPEARMOTORS-NTINDA'!$T$9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SPEARMOTORS-NTINDA'!$T$10:$T$21</c:f>
              <c:numCache>
                <c:formatCode>0</c:formatCode>
                <c:ptCount val="12"/>
                <c:pt idx="0">
                  <c:v>54</c:v>
                </c:pt>
                <c:pt idx="1">
                  <c:v>45</c:v>
                </c:pt>
                <c:pt idx="2">
                  <c:v>41</c:v>
                </c:pt>
                <c:pt idx="3">
                  <c:v>49</c:v>
                </c:pt>
                <c:pt idx="4">
                  <c:v>46</c:v>
                </c:pt>
                <c:pt idx="5">
                  <c:v>51</c:v>
                </c:pt>
                <c:pt idx="6">
                  <c:v>41</c:v>
                </c:pt>
                <c:pt idx="7">
                  <c:v>53</c:v>
                </c:pt>
                <c:pt idx="8">
                  <c:v>49</c:v>
                </c:pt>
                <c:pt idx="9">
                  <c:v>66</c:v>
                </c:pt>
                <c:pt idx="10">
                  <c:v>91</c:v>
                </c:pt>
                <c:pt idx="11">
                  <c:v>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SPEARMOTORS-NTINDA'!$U$9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SPEARMOTORS-NTINDA'!$U$10:$U$21</c:f>
              <c:numCache>
                <c:formatCode>0</c:formatCode>
                <c:ptCount val="12"/>
                <c:pt idx="0">
                  <c:v>14</c:v>
                </c:pt>
                <c:pt idx="1">
                  <c:v>14</c:v>
                </c:pt>
                <c:pt idx="2">
                  <c:v>23</c:v>
                </c:pt>
                <c:pt idx="3">
                  <c:v>26</c:v>
                </c:pt>
                <c:pt idx="4">
                  <c:v>25</c:v>
                </c:pt>
                <c:pt idx="5">
                  <c:v>15</c:v>
                </c:pt>
                <c:pt idx="6">
                  <c:v>19</c:v>
                </c:pt>
                <c:pt idx="7">
                  <c:v>22</c:v>
                </c:pt>
                <c:pt idx="8">
                  <c:v>26</c:v>
                </c:pt>
                <c:pt idx="9">
                  <c:v>28</c:v>
                </c:pt>
                <c:pt idx="10">
                  <c:v>27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SPEARMOTORS-NTINDA'!$V$9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SPEARMOTORS-NTINDA'!$V$10:$V$21</c:f>
              <c:numCache>
                <c:formatCode>0</c:formatCode>
                <c:ptCount val="12"/>
                <c:pt idx="0">
                  <c:v>46</c:v>
                </c:pt>
                <c:pt idx="1">
                  <c:v>67</c:v>
                </c:pt>
                <c:pt idx="2">
                  <c:v>58</c:v>
                </c:pt>
                <c:pt idx="3">
                  <c:v>86</c:v>
                </c:pt>
                <c:pt idx="4">
                  <c:v>72</c:v>
                </c:pt>
                <c:pt idx="5">
                  <c:v>52</c:v>
                </c:pt>
                <c:pt idx="6">
                  <c:v>61</c:v>
                </c:pt>
                <c:pt idx="7">
                  <c:v>49</c:v>
                </c:pt>
                <c:pt idx="8">
                  <c:v>39</c:v>
                </c:pt>
                <c:pt idx="9">
                  <c:v>17</c:v>
                </c:pt>
                <c:pt idx="10">
                  <c:v>17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SPEARMOTORS-NTINDA'!$W$9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SPEARMOTORS-NTINDA'!$W$10:$W$21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SPEARMOTORS-NTINDA'!$X$9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SPEARMOTORS-NTINDA'!$X$10:$X$21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SPEARMOTORS-NTINDA'!$Y$9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SPEARMOTORS-NTINDA'!$Y$10:$Y$21</c:f>
              <c:numCache>
                <c:formatCode>0</c:formatCode>
                <c:ptCount val="12"/>
                <c:pt idx="0">
                  <c:v>42</c:v>
                </c:pt>
                <c:pt idx="1">
                  <c:v>9</c:v>
                </c:pt>
                <c:pt idx="2">
                  <c:v>15</c:v>
                </c:pt>
                <c:pt idx="3">
                  <c:v>22</c:v>
                </c:pt>
                <c:pt idx="4">
                  <c:v>14</c:v>
                </c:pt>
                <c:pt idx="5">
                  <c:v>22</c:v>
                </c:pt>
                <c:pt idx="6">
                  <c:v>10</c:v>
                </c:pt>
                <c:pt idx="7">
                  <c:v>13</c:v>
                </c:pt>
                <c:pt idx="8">
                  <c:v>14</c:v>
                </c:pt>
                <c:pt idx="9">
                  <c:v>19</c:v>
                </c:pt>
                <c:pt idx="10">
                  <c:v>13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SPEARMOTORS-NTINDA'!$Z$9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SPEARMOTORS-NTINDA'!$Z$10:$Z$21</c:f>
              <c:numCache>
                <c:formatCode>0</c:formatCode>
                <c:ptCount val="12"/>
                <c:pt idx="0">
                  <c:v>20</c:v>
                </c:pt>
                <c:pt idx="1">
                  <c:v>5</c:v>
                </c:pt>
                <c:pt idx="2">
                  <c:v>3</c:v>
                </c:pt>
                <c:pt idx="3">
                  <c:v>6</c:v>
                </c:pt>
                <c:pt idx="4">
                  <c:v>9</c:v>
                </c:pt>
                <c:pt idx="5">
                  <c:v>4</c:v>
                </c:pt>
                <c:pt idx="6">
                  <c:v>9</c:v>
                </c:pt>
                <c:pt idx="7">
                  <c:v>12</c:v>
                </c:pt>
                <c:pt idx="8">
                  <c:v>5</c:v>
                </c:pt>
                <c:pt idx="9">
                  <c:v>10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SPEARMOTORS-NTINDA'!$AA$9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SPEARMOTORS-NTINDA'!$AA$10:$AA$21</c:f>
              <c:numCache>
                <c:formatCode>0</c:formatCode>
                <c:ptCount val="12"/>
                <c:pt idx="0">
                  <c:v>10</c:v>
                </c:pt>
                <c:pt idx="1">
                  <c:v>4</c:v>
                </c:pt>
                <c:pt idx="2">
                  <c:v>10</c:v>
                </c:pt>
                <c:pt idx="3">
                  <c:v>10</c:v>
                </c:pt>
                <c:pt idx="4">
                  <c:v>5</c:v>
                </c:pt>
                <c:pt idx="5">
                  <c:v>7</c:v>
                </c:pt>
                <c:pt idx="6">
                  <c:v>6</c:v>
                </c:pt>
                <c:pt idx="7">
                  <c:v>9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SPEARMOTORS-NTINDA'!$AB$9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SPEARMOTORS-NTINDA'!$AB$10:$AB$21</c:f>
              <c:numCache>
                <c:formatCode>0</c:formatCode>
                <c:ptCount val="12"/>
                <c:pt idx="0">
                  <c:v>83</c:v>
                </c:pt>
                <c:pt idx="1">
                  <c:v>14</c:v>
                </c:pt>
                <c:pt idx="2">
                  <c:v>13</c:v>
                </c:pt>
                <c:pt idx="3">
                  <c:v>27</c:v>
                </c:pt>
                <c:pt idx="4">
                  <c:v>25</c:v>
                </c:pt>
                <c:pt idx="5">
                  <c:v>25</c:v>
                </c:pt>
                <c:pt idx="6">
                  <c:v>15</c:v>
                </c:pt>
                <c:pt idx="7">
                  <c:v>25</c:v>
                </c:pt>
                <c:pt idx="8">
                  <c:v>25</c:v>
                </c:pt>
                <c:pt idx="9">
                  <c:v>18</c:v>
                </c:pt>
                <c:pt idx="10">
                  <c:v>13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SPEARMOTORS-NTINDA'!$AC$9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SPEARMOTORS-NTINDA'!$AC$10:$AC$21</c:f>
              <c:numCache>
                <c:formatCode>0</c:formatCode>
                <c:ptCount val="12"/>
                <c:pt idx="0">
                  <c:v>657</c:v>
                </c:pt>
                <c:pt idx="1">
                  <c:v>875</c:v>
                </c:pt>
                <c:pt idx="2">
                  <c:v>775</c:v>
                </c:pt>
                <c:pt idx="3">
                  <c:v>572</c:v>
                </c:pt>
                <c:pt idx="4">
                  <c:v>508</c:v>
                </c:pt>
                <c:pt idx="5">
                  <c:v>455</c:v>
                </c:pt>
                <c:pt idx="6">
                  <c:v>394</c:v>
                </c:pt>
                <c:pt idx="7">
                  <c:v>474</c:v>
                </c:pt>
                <c:pt idx="8">
                  <c:v>367</c:v>
                </c:pt>
                <c:pt idx="9">
                  <c:v>453</c:v>
                </c:pt>
                <c:pt idx="10">
                  <c:v>495</c:v>
                </c:pt>
                <c:pt idx="11">
                  <c:v>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SPEARMOTORS-NTINDA'!$AD$9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SPEARMOTORS-NTINDA'!$AD$10:$AD$21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SPEARMOTORS-NTINDA'!$C$9:$N$9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SPEARMOTORS-NTINDA'!$C$60:$N$60</c:f>
              <c:numCache>
                <c:formatCode>0.00%</c:formatCode>
                <c:ptCount val="12"/>
                <c:pt idx="0">
                  <c:v>0.2912747324035031</c:v>
                </c:pt>
                <c:pt idx="1">
                  <c:v>0.21537463509568602</c:v>
                </c:pt>
                <c:pt idx="2">
                  <c:v>8.3684722672721382E-2</c:v>
                </c:pt>
                <c:pt idx="3">
                  <c:v>0.18910152448913395</c:v>
                </c:pt>
                <c:pt idx="4">
                  <c:v>1.9461563412260785E-3</c:v>
                </c:pt>
                <c:pt idx="5">
                  <c:v>0</c:v>
                </c:pt>
                <c:pt idx="6">
                  <c:v>6.6493674991891016E-2</c:v>
                </c:pt>
                <c:pt idx="7">
                  <c:v>3.0814142069412909E-2</c:v>
                </c:pt>
                <c:pt idx="8">
                  <c:v>2.7246188777165097E-2</c:v>
                </c:pt>
                <c:pt idx="9">
                  <c:v>9.4064223159260454E-2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SPEAR MOTORS-NTINDA'!$AE$9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SPEAR 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MOTORS-NTINDA'!$AE$10:$AE$21</c:f>
              <c:numCache>
                <c:formatCode>0</c:formatCode>
                <c:ptCount val="12"/>
                <c:pt idx="0">
                  <c:v>249</c:v>
                </c:pt>
                <c:pt idx="1">
                  <c:v>146</c:v>
                </c:pt>
                <c:pt idx="2">
                  <c:v>182</c:v>
                </c:pt>
                <c:pt idx="3">
                  <c:v>233</c:v>
                </c:pt>
                <c:pt idx="4">
                  <c:v>252</c:v>
                </c:pt>
                <c:pt idx="5">
                  <c:v>198</c:v>
                </c:pt>
                <c:pt idx="6">
                  <c:v>202</c:v>
                </c:pt>
                <c:pt idx="7">
                  <c:v>237</c:v>
                </c:pt>
                <c:pt idx="8">
                  <c:v>261</c:v>
                </c:pt>
                <c:pt idx="9">
                  <c:v>489</c:v>
                </c:pt>
                <c:pt idx="10">
                  <c:v>315</c:v>
                </c:pt>
                <c:pt idx="11">
                  <c:v>276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 SPEAR MOTORS-NTINDA'!$AF$9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SPEAR 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MOTORS-NTINDA'!$AF$10:$AF$21</c:f>
              <c:numCache>
                <c:formatCode>0</c:formatCode>
                <c:ptCount val="12"/>
                <c:pt idx="0">
                  <c:v>789</c:v>
                </c:pt>
                <c:pt idx="1">
                  <c:v>846</c:v>
                </c:pt>
                <c:pt idx="2">
                  <c:v>754</c:v>
                </c:pt>
                <c:pt idx="3">
                  <c:v>716</c:v>
                </c:pt>
                <c:pt idx="4">
                  <c:v>717</c:v>
                </c:pt>
                <c:pt idx="5">
                  <c:v>578</c:v>
                </c:pt>
                <c:pt idx="6">
                  <c:v>577</c:v>
                </c:pt>
                <c:pt idx="7">
                  <c:v>617</c:v>
                </c:pt>
                <c:pt idx="8">
                  <c:v>715</c:v>
                </c:pt>
                <c:pt idx="9">
                  <c:v>959</c:v>
                </c:pt>
                <c:pt idx="10">
                  <c:v>890</c:v>
                </c:pt>
                <c:pt idx="11">
                  <c:v>906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SPEAR 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SPEAR MOTORS-NTINDA'!$C$59:$N$59</c:f>
              <c:numCache>
                <c:formatCode>0.0%</c:formatCode>
                <c:ptCount val="12"/>
                <c:pt idx="0">
                  <c:v>0.11871138570167697</c:v>
                </c:pt>
                <c:pt idx="1">
                  <c:v>6.7630185348631952E-2</c:v>
                </c:pt>
                <c:pt idx="2">
                  <c:v>2.4713150926743161E-2</c:v>
                </c:pt>
                <c:pt idx="3">
                  <c:v>6.5203000882612536E-2</c:v>
                </c:pt>
                <c:pt idx="4">
                  <c:v>4.4130626654898501E-4</c:v>
                </c:pt>
                <c:pt idx="5">
                  <c:v>1.1032656663724625E-4</c:v>
                </c:pt>
                <c:pt idx="6">
                  <c:v>1.6990291262135922E-2</c:v>
                </c:pt>
                <c:pt idx="7">
                  <c:v>1.0260370697263901E-2</c:v>
                </c:pt>
                <c:pt idx="8">
                  <c:v>8.4951456310679609E-3</c:v>
                </c:pt>
                <c:pt idx="9">
                  <c:v>2.2837599293909973E-2</c:v>
                </c:pt>
                <c:pt idx="10">
                  <c:v>0.66460723742277139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SPEAR MOTORS-NTINDA'!$S$9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SPEAR 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MOTORS-NTINDA'!$S$10:$S$21</c:f>
              <c:numCache>
                <c:formatCode>0</c:formatCode>
                <c:ptCount val="12"/>
                <c:pt idx="0">
                  <c:v>72</c:v>
                </c:pt>
                <c:pt idx="1">
                  <c:v>39</c:v>
                </c:pt>
                <c:pt idx="2">
                  <c:v>60</c:v>
                </c:pt>
                <c:pt idx="3">
                  <c:v>63</c:v>
                </c:pt>
                <c:pt idx="4">
                  <c:v>82</c:v>
                </c:pt>
                <c:pt idx="5">
                  <c:v>62</c:v>
                </c:pt>
                <c:pt idx="6">
                  <c:v>64</c:v>
                </c:pt>
                <c:pt idx="7">
                  <c:v>71</c:v>
                </c:pt>
                <c:pt idx="8">
                  <c:v>99</c:v>
                </c:pt>
                <c:pt idx="9">
                  <c:v>196</c:v>
                </c:pt>
                <c:pt idx="10">
                  <c:v>135</c:v>
                </c:pt>
                <c:pt idx="11">
                  <c:v>133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 SPEAR MOTORS-NTINDA'!$T$9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SPEAR 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MOTORS-NTINDA'!$T$10:$T$21</c:f>
              <c:numCache>
                <c:formatCode>0</c:formatCode>
                <c:ptCount val="12"/>
                <c:pt idx="0">
                  <c:v>35</c:v>
                </c:pt>
                <c:pt idx="1">
                  <c:v>19</c:v>
                </c:pt>
                <c:pt idx="2">
                  <c:v>29</c:v>
                </c:pt>
                <c:pt idx="3">
                  <c:v>32</c:v>
                </c:pt>
                <c:pt idx="4">
                  <c:v>39</c:v>
                </c:pt>
                <c:pt idx="5">
                  <c:v>30</c:v>
                </c:pt>
                <c:pt idx="6">
                  <c:v>39</c:v>
                </c:pt>
                <c:pt idx="7">
                  <c:v>47</c:v>
                </c:pt>
                <c:pt idx="8">
                  <c:v>58</c:v>
                </c:pt>
                <c:pt idx="9">
                  <c:v>147</c:v>
                </c:pt>
                <c:pt idx="10">
                  <c:v>72</c:v>
                </c:pt>
                <c:pt idx="11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 SPEAR MOTORS-NTINDA'!$U$9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MOTORS-NTINDA'!$U$10:$U$21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9</c:v>
                </c:pt>
                <c:pt idx="3">
                  <c:v>19</c:v>
                </c:pt>
                <c:pt idx="4">
                  <c:v>16</c:v>
                </c:pt>
                <c:pt idx="5">
                  <c:v>11</c:v>
                </c:pt>
                <c:pt idx="6">
                  <c:v>15</c:v>
                </c:pt>
                <c:pt idx="7">
                  <c:v>22</c:v>
                </c:pt>
                <c:pt idx="8">
                  <c:v>20</c:v>
                </c:pt>
                <c:pt idx="9">
                  <c:v>51</c:v>
                </c:pt>
                <c:pt idx="10">
                  <c:v>30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 SPEAR MOTORS-NTINDA'!$V$9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MOTORS-NTINDA'!$V$10:$V$21</c:f>
              <c:numCache>
                <c:formatCode>0</c:formatCode>
                <c:ptCount val="12"/>
                <c:pt idx="0">
                  <c:v>95</c:v>
                </c:pt>
                <c:pt idx="1">
                  <c:v>41</c:v>
                </c:pt>
                <c:pt idx="2">
                  <c:v>70</c:v>
                </c:pt>
                <c:pt idx="3">
                  <c:v>52</c:v>
                </c:pt>
                <c:pt idx="4">
                  <c:v>49</c:v>
                </c:pt>
                <c:pt idx="5">
                  <c:v>48</c:v>
                </c:pt>
                <c:pt idx="6">
                  <c:v>26</c:v>
                </c:pt>
                <c:pt idx="7">
                  <c:v>36</c:v>
                </c:pt>
                <c:pt idx="8">
                  <c:v>45</c:v>
                </c:pt>
                <c:pt idx="9">
                  <c:v>55</c:v>
                </c:pt>
                <c:pt idx="10">
                  <c:v>50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 SPEAR MOTORS-NTINDA'!$W$9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MOTORS-NTINDA'!$W$10:$W$21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 SPEAR MOTORS-NTINDA'!$X$9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MOTORS-NTINDA'!$X$10:$X$21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 SPEAR MOTORS-NTINDA'!$Y$9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MOTORS-NTINDA'!$Y$10:$Y$21</c:f>
              <c:numCache>
                <c:formatCode>0</c:formatCode>
                <c:ptCount val="12"/>
                <c:pt idx="0">
                  <c:v>13</c:v>
                </c:pt>
                <c:pt idx="1">
                  <c:v>14</c:v>
                </c:pt>
                <c:pt idx="2">
                  <c:v>2</c:v>
                </c:pt>
                <c:pt idx="3">
                  <c:v>21</c:v>
                </c:pt>
                <c:pt idx="4">
                  <c:v>9</c:v>
                </c:pt>
                <c:pt idx="5">
                  <c:v>11</c:v>
                </c:pt>
                <c:pt idx="6">
                  <c:v>12</c:v>
                </c:pt>
                <c:pt idx="7">
                  <c:v>20</c:v>
                </c:pt>
                <c:pt idx="8">
                  <c:v>12</c:v>
                </c:pt>
                <c:pt idx="9">
                  <c:v>18</c:v>
                </c:pt>
                <c:pt idx="10">
                  <c:v>13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 SPEAR MOTORS-NTINDA'!$Z$9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MOTORS-NTINDA'!$Z$10:$Z$21</c:f>
              <c:numCache>
                <c:formatCode>0</c:formatCode>
                <c:ptCount val="12"/>
                <c:pt idx="0">
                  <c:v>9</c:v>
                </c:pt>
                <c:pt idx="1">
                  <c:v>5</c:v>
                </c:pt>
                <c:pt idx="2">
                  <c:v>1</c:v>
                </c:pt>
                <c:pt idx="3">
                  <c:v>12</c:v>
                </c:pt>
                <c:pt idx="4">
                  <c:v>13</c:v>
                </c:pt>
                <c:pt idx="5">
                  <c:v>9</c:v>
                </c:pt>
                <c:pt idx="6">
                  <c:v>11</c:v>
                </c:pt>
                <c:pt idx="7">
                  <c:v>10</c:v>
                </c:pt>
                <c:pt idx="8">
                  <c:v>5</c:v>
                </c:pt>
                <c:pt idx="9">
                  <c:v>10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 SPEAR MOTORS-NTINDA'!$AA$9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MOTORS-NTINDA'!$AA$10:$AA$21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2</c:v>
                </c:pt>
                <c:pt idx="3">
                  <c:v>7</c:v>
                </c:pt>
                <c:pt idx="4">
                  <c:v>12</c:v>
                </c:pt>
                <c:pt idx="5">
                  <c:v>10</c:v>
                </c:pt>
                <c:pt idx="6">
                  <c:v>11</c:v>
                </c:pt>
                <c:pt idx="7">
                  <c:v>8</c:v>
                </c:pt>
                <c:pt idx="8">
                  <c:v>5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 SPEAR MOTORS-NTINDA'!$AB$9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MOTORS-NTINDA'!$AB$10:$AB$21</c:f>
              <c:numCache>
                <c:formatCode>0</c:formatCode>
                <c:ptCount val="12"/>
                <c:pt idx="0">
                  <c:v>12</c:v>
                </c:pt>
                <c:pt idx="1">
                  <c:v>17</c:v>
                </c:pt>
                <c:pt idx="2">
                  <c:v>9</c:v>
                </c:pt>
                <c:pt idx="3">
                  <c:v>26</c:v>
                </c:pt>
                <c:pt idx="4">
                  <c:v>30</c:v>
                </c:pt>
                <c:pt idx="5">
                  <c:v>17</c:v>
                </c:pt>
                <c:pt idx="6">
                  <c:v>24</c:v>
                </c:pt>
                <c:pt idx="7">
                  <c:v>22</c:v>
                </c:pt>
                <c:pt idx="8">
                  <c:v>17</c:v>
                </c:pt>
                <c:pt idx="9">
                  <c:v>9</c:v>
                </c:pt>
                <c:pt idx="10">
                  <c:v>8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 SPEAR MOTORS-NTINDA'!$AC$9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MOTORS-NTINDA'!$AC$10:$AC$21</c:f>
              <c:numCache>
                <c:formatCode>0</c:formatCode>
                <c:ptCount val="12"/>
                <c:pt idx="0">
                  <c:v>540</c:v>
                </c:pt>
                <c:pt idx="1">
                  <c:v>700</c:v>
                </c:pt>
                <c:pt idx="2">
                  <c:v>572</c:v>
                </c:pt>
                <c:pt idx="3">
                  <c:v>483</c:v>
                </c:pt>
                <c:pt idx="4">
                  <c:v>465</c:v>
                </c:pt>
                <c:pt idx="5">
                  <c:v>380</c:v>
                </c:pt>
                <c:pt idx="6">
                  <c:v>375</c:v>
                </c:pt>
                <c:pt idx="7">
                  <c:v>380</c:v>
                </c:pt>
                <c:pt idx="8">
                  <c:v>454</c:v>
                </c:pt>
                <c:pt idx="9">
                  <c:v>470</c:v>
                </c:pt>
                <c:pt idx="10">
                  <c:v>575</c:v>
                </c:pt>
                <c:pt idx="11">
                  <c:v>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 SPEAR MOTORS-NTINDA'!$AD$9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MOTORS-NTINDA'!$AD$10:$AD$21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SPEAR 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SPEAR MOTORS-NTINDA'!$C$60:$N$60</c:f>
              <c:numCache>
                <c:formatCode>0.00%</c:formatCode>
                <c:ptCount val="12"/>
                <c:pt idx="0">
                  <c:v>0.35394736842105262</c:v>
                </c:pt>
                <c:pt idx="1">
                  <c:v>0.20164473684210527</c:v>
                </c:pt>
                <c:pt idx="2">
                  <c:v>7.3684210526315783E-2</c:v>
                </c:pt>
                <c:pt idx="3">
                  <c:v>0.19440789473684211</c:v>
                </c:pt>
                <c:pt idx="4">
                  <c:v>1.3157894736842105E-3</c:v>
                </c:pt>
                <c:pt idx="5">
                  <c:v>3.2894736842105262E-4</c:v>
                </c:pt>
                <c:pt idx="6">
                  <c:v>5.0657894736842103E-2</c:v>
                </c:pt>
                <c:pt idx="7">
                  <c:v>3.0592105263157896E-2</c:v>
                </c:pt>
                <c:pt idx="8">
                  <c:v>2.5328947368421052E-2</c:v>
                </c:pt>
                <c:pt idx="9">
                  <c:v>6.8092105263157898E-2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NTINDA-SPEAR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NTINDA-SPEAR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NTINDA-SPEAR MOTORS'!$AE$10:$AE$21</c:f>
              <c:numCache>
                <c:formatCode>0</c:formatCode>
                <c:ptCount val="12"/>
                <c:pt idx="0">
                  <c:v>247</c:v>
                </c:pt>
                <c:pt idx="1">
                  <c:v>191</c:v>
                </c:pt>
                <c:pt idx="2">
                  <c:v>221</c:v>
                </c:pt>
                <c:pt idx="3">
                  <c:v>200</c:v>
                </c:pt>
                <c:pt idx="4">
                  <c:v>160</c:v>
                </c:pt>
                <c:pt idx="5">
                  <c:v>186</c:v>
                </c:pt>
                <c:pt idx="6">
                  <c:v>181</c:v>
                </c:pt>
                <c:pt idx="7">
                  <c:v>188</c:v>
                </c:pt>
                <c:pt idx="8">
                  <c:v>165</c:v>
                </c:pt>
                <c:pt idx="9">
                  <c:v>206</c:v>
                </c:pt>
                <c:pt idx="10">
                  <c:v>163</c:v>
                </c:pt>
                <c:pt idx="11">
                  <c:v>148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 NTINDA-SPEAR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NTINDA-SPEAR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NTINDA-SPEAR MOTORS'!$AF$10:$AF$21</c:f>
              <c:numCache>
                <c:formatCode>0</c:formatCode>
                <c:ptCount val="12"/>
                <c:pt idx="0">
                  <c:v>857</c:v>
                </c:pt>
                <c:pt idx="1">
                  <c:v>772</c:v>
                </c:pt>
                <c:pt idx="2">
                  <c:v>939</c:v>
                </c:pt>
                <c:pt idx="3">
                  <c:v>845</c:v>
                </c:pt>
                <c:pt idx="4">
                  <c:v>739</c:v>
                </c:pt>
                <c:pt idx="5">
                  <c:v>821</c:v>
                </c:pt>
                <c:pt idx="6">
                  <c:v>682</c:v>
                </c:pt>
                <c:pt idx="7">
                  <c:v>504</c:v>
                </c:pt>
                <c:pt idx="8">
                  <c:v>639</c:v>
                </c:pt>
                <c:pt idx="9">
                  <c:v>740</c:v>
                </c:pt>
                <c:pt idx="10">
                  <c:v>715</c:v>
                </c:pt>
                <c:pt idx="11">
                  <c:v>598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NTINDA-SPEAR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NTINDA-SPEAR MOTORS'!$C$59:$N$59</c:f>
              <c:numCache>
                <c:formatCode>0.0%</c:formatCode>
                <c:ptCount val="12"/>
                <c:pt idx="0">
                  <c:v>0.12258501864196136</c:v>
                </c:pt>
                <c:pt idx="1">
                  <c:v>4.3158965088690542E-2</c:v>
                </c:pt>
                <c:pt idx="2">
                  <c:v>1.8641961360298272E-2</c:v>
                </c:pt>
                <c:pt idx="3">
                  <c:v>1.9771777200316348E-2</c:v>
                </c:pt>
                <c:pt idx="4">
                  <c:v>6.7788950401084628E-4</c:v>
                </c:pt>
                <c:pt idx="5">
                  <c:v>0</c:v>
                </c:pt>
                <c:pt idx="6">
                  <c:v>8.8125635521410003E-3</c:v>
                </c:pt>
                <c:pt idx="7">
                  <c:v>9.1515083041464242E-3</c:v>
                </c:pt>
                <c:pt idx="8">
                  <c:v>5.0841712800813463E-3</c:v>
                </c:pt>
                <c:pt idx="9">
                  <c:v>2.700259857643204E-2</c:v>
                </c:pt>
                <c:pt idx="10">
                  <c:v>0.74511354649192185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NTINDA-SPEAR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NTINDA-SPEAR MOTORS'!$C$60:$N$60</c:f>
              <c:numCache>
                <c:formatCode>0.00%</c:formatCode>
                <c:ptCount val="12"/>
                <c:pt idx="0">
                  <c:v>0.48093971631205673</c:v>
                </c:pt>
                <c:pt idx="1">
                  <c:v>0.16932624113475178</c:v>
                </c:pt>
                <c:pt idx="2">
                  <c:v>7.3138297872340427E-2</c:v>
                </c:pt>
                <c:pt idx="3">
                  <c:v>7.7570921985815597E-2</c:v>
                </c:pt>
                <c:pt idx="4">
                  <c:v>2.6595744680851063E-3</c:v>
                </c:pt>
                <c:pt idx="5">
                  <c:v>0</c:v>
                </c:pt>
                <c:pt idx="6">
                  <c:v>3.4574468085106384E-2</c:v>
                </c:pt>
                <c:pt idx="7">
                  <c:v>3.5904255319148939E-2</c:v>
                </c:pt>
                <c:pt idx="8">
                  <c:v>1.9946808510638299E-2</c:v>
                </c:pt>
                <c:pt idx="9">
                  <c:v>0.10593971631205673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NTINDA-SPEARMOTORS-24h'!$AE$9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NTINDA-SPEARMOTORS-24h'!$R$10:$R$33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NTINDA-SPEARMOTORS-24h'!$AE$10:$AE$33</c:f>
              <c:numCache>
                <c:formatCode>0</c:formatCode>
                <c:ptCount val="24"/>
                <c:pt idx="0">
                  <c:v>134</c:v>
                </c:pt>
                <c:pt idx="1">
                  <c:v>185</c:v>
                </c:pt>
                <c:pt idx="2">
                  <c:v>192</c:v>
                </c:pt>
                <c:pt idx="3">
                  <c:v>134</c:v>
                </c:pt>
                <c:pt idx="4">
                  <c:v>180</c:v>
                </c:pt>
                <c:pt idx="5">
                  <c:v>189</c:v>
                </c:pt>
                <c:pt idx="6">
                  <c:v>167</c:v>
                </c:pt>
                <c:pt idx="7">
                  <c:v>165</c:v>
                </c:pt>
                <c:pt idx="8">
                  <c:v>170</c:v>
                </c:pt>
                <c:pt idx="9">
                  <c:v>170</c:v>
                </c:pt>
                <c:pt idx="10">
                  <c:v>162</c:v>
                </c:pt>
                <c:pt idx="11">
                  <c:v>144</c:v>
                </c:pt>
                <c:pt idx="12">
                  <c:v>144</c:v>
                </c:pt>
                <c:pt idx="13">
                  <c:v>142</c:v>
                </c:pt>
                <c:pt idx="14">
                  <c:v>158</c:v>
                </c:pt>
                <c:pt idx="15">
                  <c:v>115</c:v>
                </c:pt>
                <c:pt idx="16">
                  <c:v>95</c:v>
                </c:pt>
                <c:pt idx="17">
                  <c:v>49</c:v>
                </c:pt>
                <c:pt idx="18">
                  <c:v>39</c:v>
                </c:pt>
                <c:pt idx="19">
                  <c:v>25</c:v>
                </c:pt>
                <c:pt idx="20">
                  <c:v>15</c:v>
                </c:pt>
                <c:pt idx="21">
                  <c:v>21</c:v>
                </c:pt>
                <c:pt idx="22">
                  <c:v>69</c:v>
                </c:pt>
                <c:pt idx="23">
                  <c:v>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NTINDA-SPEARMOTORS-24h'!$AF$9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NTINDA-SPEARMOTORS-24h'!$R$10:$R$33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NTINDA-SPEARMOTORS-24h'!$AF$10:$AF$33</c:f>
              <c:numCache>
                <c:formatCode>0</c:formatCode>
                <c:ptCount val="24"/>
                <c:pt idx="0">
                  <c:v>799</c:v>
                </c:pt>
                <c:pt idx="1">
                  <c:v>782</c:v>
                </c:pt>
                <c:pt idx="2">
                  <c:v>905</c:v>
                </c:pt>
                <c:pt idx="3">
                  <c:v>718</c:v>
                </c:pt>
                <c:pt idx="4">
                  <c:v>632</c:v>
                </c:pt>
                <c:pt idx="5">
                  <c:v>610</c:v>
                </c:pt>
                <c:pt idx="6">
                  <c:v>653</c:v>
                </c:pt>
                <c:pt idx="7">
                  <c:v>534</c:v>
                </c:pt>
                <c:pt idx="8">
                  <c:v>488</c:v>
                </c:pt>
                <c:pt idx="9">
                  <c:v>634</c:v>
                </c:pt>
                <c:pt idx="10">
                  <c:v>638</c:v>
                </c:pt>
                <c:pt idx="11">
                  <c:v>695</c:v>
                </c:pt>
                <c:pt idx="12">
                  <c:v>625</c:v>
                </c:pt>
                <c:pt idx="13">
                  <c:v>537</c:v>
                </c:pt>
                <c:pt idx="14">
                  <c:v>491</c:v>
                </c:pt>
                <c:pt idx="15">
                  <c:v>385</c:v>
                </c:pt>
                <c:pt idx="16">
                  <c:v>297</c:v>
                </c:pt>
                <c:pt idx="17">
                  <c:v>217</c:v>
                </c:pt>
                <c:pt idx="18">
                  <c:v>101</c:v>
                </c:pt>
                <c:pt idx="19">
                  <c:v>50</c:v>
                </c:pt>
                <c:pt idx="20">
                  <c:v>37</c:v>
                </c:pt>
                <c:pt idx="21">
                  <c:v>46</c:v>
                </c:pt>
                <c:pt idx="22">
                  <c:v>222</c:v>
                </c:pt>
                <c:pt idx="23">
                  <c:v>529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NTINDA-SPEARMOTORS-24h'!$C$9:$N$9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NTINDA-SPEARMOTORS-24h'!$C$107:$N$107</c:f>
              <c:numCache>
                <c:formatCode>0.0%</c:formatCode>
                <c:ptCount val="12"/>
                <c:pt idx="0">
                  <c:v>0.10726881720430108</c:v>
                </c:pt>
                <c:pt idx="1">
                  <c:v>6.2537634408602147E-2</c:v>
                </c:pt>
                <c:pt idx="2">
                  <c:v>2.0817204301075268E-2</c:v>
                </c:pt>
                <c:pt idx="3">
                  <c:v>3.1053763440860215E-2</c:v>
                </c:pt>
                <c:pt idx="4">
                  <c:v>2.5806451612903227E-4</c:v>
                </c:pt>
                <c:pt idx="5">
                  <c:v>5.1612903225806454E-4</c:v>
                </c:pt>
                <c:pt idx="6">
                  <c:v>8.860215053763441E-3</c:v>
                </c:pt>
                <c:pt idx="7">
                  <c:v>8.3440860215053762E-3</c:v>
                </c:pt>
                <c:pt idx="8">
                  <c:v>5.0752688172043007E-3</c:v>
                </c:pt>
                <c:pt idx="9">
                  <c:v>1.7290322580645161E-2</c:v>
                </c:pt>
                <c:pt idx="10">
                  <c:v>0.73797849462365595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NTINDA-SPEARMOTORS-24h'!$C$9:$N$9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NTINDA-SPEARMOTORS-24h'!$C$108:$N$108</c:f>
              <c:numCache>
                <c:formatCode>0.00%</c:formatCode>
                <c:ptCount val="12"/>
                <c:pt idx="0">
                  <c:v>0.40938936309914642</c:v>
                </c:pt>
                <c:pt idx="1">
                  <c:v>0.23867367038739332</c:v>
                </c:pt>
                <c:pt idx="2">
                  <c:v>7.9448456992777416E-2</c:v>
                </c:pt>
                <c:pt idx="3">
                  <c:v>0.11851608667104399</c:v>
                </c:pt>
                <c:pt idx="4">
                  <c:v>9.8489822718319099E-4</c:v>
                </c:pt>
                <c:pt idx="5">
                  <c:v>1.969796454366382E-3</c:v>
                </c:pt>
                <c:pt idx="6">
                  <c:v>3.3814839133289559E-2</c:v>
                </c:pt>
                <c:pt idx="7">
                  <c:v>3.1845042678923179E-2</c:v>
                </c:pt>
                <c:pt idx="8">
                  <c:v>1.9369665134602757E-2</c:v>
                </c:pt>
                <c:pt idx="9">
                  <c:v>6.5988181221273798E-2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'01.07 SPEARMOTORS-NTINDA-24h'!$AE$9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'01.07 SPEARMOTORS-NTINDA-24h'!$R$10:$R$33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'01.07 SPEARMOTORS-NTINDA-24h'!$AE$10:$AE$33</c:f>
              <c:numCache>
                <c:formatCode>0</c:formatCode>
                <c:ptCount val="24"/>
                <c:pt idx="0">
                  <c:v>381</c:v>
                </c:pt>
                <c:pt idx="1">
                  <c:v>144</c:v>
                </c:pt>
                <c:pt idx="2">
                  <c:v>191</c:v>
                </c:pt>
                <c:pt idx="3">
                  <c:v>258</c:v>
                </c:pt>
                <c:pt idx="4">
                  <c:v>208</c:v>
                </c:pt>
                <c:pt idx="5">
                  <c:v>273</c:v>
                </c:pt>
                <c:pt idx="6">
                  <c:v>254</c:v>
                </c:pt>
                <c:pt idx="7">
                  <c:v>234</c:v>
                </c:pt>
                <c:pt idx="8">
                  <c:v>296</c:v>
                </c:pt>
                <c:pt idx="9">
                  <c:v>238</c:v>
                </c:pt>
                <c:pt idx="10">
                  <c:v>201</c:v>
                </c:pt>
                <c:pt idx="11">
                  <c:v>254</c:v>
                </c:pt>
                <c:pt idx="12">
                  <c:v>176</c:v>
                </c:pt>
                <c:pt idx="13">
                  <c:v>308</c:v>
                </c:pt>
                <c:pt idx="14">
                  <c:v>311</c:v>
                </c:pt>
                <c:pt idx="15">
                  <c:v>244</c:v>
                </c:pt>
                <c:pt idx="16">
                  <c:v>166</c:v>
                </c:pt>
                <c:pt idx="17">
                  <c:v>73</c:v>
                </c:pt>
                <c:pt idx="18">
                  <c:v>19</c:v>
                </c:pt>
                <c:pt idx="19">
                  <c:v>9</c:v>
                </c:pt>
                <c:pt idx="20">
                  <c:v>25</c:v>
                </c:pt>
                <c:pt idx="21">
                  <c:v>20</c:v>
                </c:pt>
                <c:pt idx="22">
                  <c:v>62</c:v>
                </c:pt>
                <c:pt idx="23">
                  <c:v>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'01.07 SPEARMOTORS-NTINDA-24h'!$AF$9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'01.07 SPEARMOTORS-NTINDA-24h'!$R$10:$R$33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'01.07 SPEARMOTORS-NTINDA-24h'!$AF$10:$AF$33</c:f>
              <c:numCache>
                <c:formatCode>0</c:formatCode>
                <c:ptCount val="24"/>
                <c:pt idx="0">
                  <c:v>1171</c:v>
                </c:pt>
                <c:pt idx="1">
                  <c:v>869</c:v>
                </c:pt>
                <c:pt idx="2">
                  <c:v>976</c:v>
                </c:pt>
                <c:pt idx="3">
                  <c:v>988</c:v>
                </c:pt>
                <c:pt idx="4">
                  <c:v>813</c:v>
                </c:pt>
                <c:pt idx="5">
                  <c:v>663</c:v>
                </c:pt>
                <c:pt idx="6">
                  <c:v>537</c:v>
                </c:pt>
                <c:pt idx="7">
                  <c:v>554</c:v>
                </c:pt>
                <c:pt idx="8">
                  <c:v>748</c:v>
                </c:pt>
                <c:pt idx="9">
                  <c:v>878</c:v>
                </c:pt>
                <c:pt idx="10">
                  <c:v>821</c:v>
                </c:pt>
                <c:pt idx="11">
                  <c:v>919</c:v>
                </c:pt>
                <c:pt idx="12">
                  <c:v>608</c:v>
                </c:pt>
                <c:pt idx="13">
                  <c:v>647</c:v>
                </c:pt>
                <c:pt idx="14">
                  <c:v>589</c:v>
                </c:pt>
                <c:pt idx="15">
                  <c:v>449</c:v>
                </c:pt>
                <c:pt idx="16">
                  <c:v>294</c:v>
                </c:pt>
                <c:pt idx="17">
                  <c:v>117</c:v>
                </c:pt>
                <c:pt idx="18">
                  <c:v>31</c:v>
                </c:pt>
                <c:pt idx="19">
                  <c:v>25</c:v>
                </c:pt>
                <c:pt idx="20">
                  <c:v>37</c:v>
                </c:pt>
                <c:pt idx="21">
                  <c:v>43</c:v>
                </c:pt>
                <c:pt idx="22">
                  <c:v>103</c:v>
                </c:pt>
                <c:pt idx="23">
                  <c:v>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'01.07 SPEARMOTORS-NTINDA-24h'!$C$9:$N$9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'01.07 SPEARMOTORS-NTINDA-24h'!$C$107:$N$107</c:f>
              <c:numCache>
                <c:formatCode>0.0%</c:formatCode>
                <c:ptCount val="12"/>
                <c:pt idx="0">
                  <c:v>0.13334847796456156</c:v>
                </c:pt>
                <c:pt idx="1">
                  <c:v>7.3148568832348937E-2</c:v>
                </c:pt>
                <c:pt idx="2">
                  <c:v>2.8547629865212781E-2</c:v>
                </c:pt>
                <c:pt idx="3">
                  <c:v>5.9518400726942297E-2</c:v>
                </c:pt>
                <c:pt idx="4">
                  <c:v>9.0867787369377552E-4</c:v>
                </c:pt>
                <c:pt idx="5">
                  <c:v>3.0289262456459186E-4</c:v>
                </c:pt>
                <c:pt idx="6">
                  <c:v>1.0676965015901863E-2</c:v>
                </c:pt>
                <c:pt idx="7">
                  <c:v>8.0266545509616836E-3</c:v>
                </c:pt>
                <c:pt idx="8">
                  <c:v>6.8908072088444648E-3</c:v>
                </c:pt>
                <c:pt idx="9">
                  <c:v>1.6734817507193699E-2</c:v>
                </c:pt>
                <c:pt idx="10">
                  <c:v>0.66159321520520975</c:v>
                </c:pt>
                <c:pt idx="11">
                  <c:v>3.0289262456459186E-4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'01.07 SPEARMOTORS-NTINDA-24h'!$C$9:$N$9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'01.07 SPEARMOTORS-NTINDA-24h'!$C$108:$N$108</c:f>
              <c:numCache>
                <c:formatCode>0.00%</c:formatCode>
                <c:ptCount val="12"/>
                <c:pt idx="0">
                  <c:v>0.39404788543298275</c:v>
                </c:pt>
                <c:pt idx="1">
                  <c:v>0.21615573953904677</c:v>
                </c:pt>
                <c:pt idx="2">
                  <c:v>8.4358916983665252E-2</c:v>
                </c:pt>
                <c:pt idx="3">
                  <c:v>0.17587827254419333</c:v>
                </c:pt>
                <c:pt idx="4">
                  <c:v>2.6851644663235625E-3</c:v>
                </c:pt>
                <c:pt idx="5">
                  <c:v>8.9505482210785407E-4</c:v>
                </c:pt>
                <c:pt idx="6">
                  <c:v>3.1550682479301859E-2</c:v>
                </c:pt>
                <c:pt idx="7">
                  <c:v>2.3718952785858134E-2</c:v>
                </c:pt>
                <c:pt idx="8">
                  <c:v>2.0362497202953682E-2</c:v>
                </c:pt>
                <c:pt idx="9">
                  <c:v>4.9451778921458939E-2</c:v>
                </c:pt>
                <c:pt idx="11">
                  <c:v>8.9505482210785407E-4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SPEARMOTORS-NTINDA'!$AE$9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SPEARMOTORS-NTINDA'!$AE$10:$AE$21</c:f>
              <c:numCache>
                <c:formatCode>0</c:formatCode>
                <c:ptCount val="12"/>
                <c:pt idx="0">
                  <c:v>270</c:v>
                </c:pt>
                <c:pt idx="1">
                  <c:v>154</c:v>
                </c:pt>
                <c:pt idx="2">
                  <c:v>228</c:v>
                </c:pt>
                <c:pt idx="3">
                  <c:v>260</c:v>
                </c:pt>
                <c:pt idx="4">
                  <c:v>267</c:v>
                </c:pt>
                <c:pt idx="5">
                  <c:v>193</c:v>
                </c:pt>
                <c:pt idx="6">
                  <c:v>267</c:v>
                </c:pt>
                <c:pt idx="7">
                  <c:v>222</c:v>
                </c:pt>
                <c:pt idx="8">
                  <c:v>271</c:v>
                </c:pt>
                <c:pt idx="9">
                  <c:v>291</c:v>
                </c:pt>
                <c:pt idx="10">
                  <c:v>294</c:v>
                </c:pt>
                <c:pt idx="11">
                  <c:v>160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'02.08 SPEARMOTORS-NTINDA'!$AF$9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SPEARMOTORS-NTINDA'!$AF$10:$AF$21</c:f>
              <c:numCache>
                <c:formatCode>0</c:formatCode>
                <c:ptCount val="12"/>
                <c:pt idx="0">
                  <c:v>895</c:v>
                </c:pt>
                <c:pt idx="1">
                  <c:v>969</c:v>
                </c:pt>
                <c:pt idx="2">
                  <c:v>901</c:v>
                </c:pt>
                <c:pt idx="3">
                  <c:v>725</c:v>
                </c:pt>
                <c:pt idx="4">
                  <c:v>682</c:v>
                </c:pt>
                <c:pt idx="5">
                  <c:v>596</c:v>
                </c:pt>
                <c:pt idx="6">
                  <c:v>685</c:v>
                </c:pt>
                <c:pt idx="7">
                  <c:v>707</c:v>
                </c:pt>
                <c:pt idx="8">
                  <c:v>723</c:v>
                </c:pt>
                <c:pt idx="9">
                  <c:v>886</c:v>
                </c:pt>
                <c:pt idx="10">
                  <c:v>1074</c:v>
                </c:pt>
                <c:pt idx="11">
                  <c:v>890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SPEARMOTORS-NTINDA'!$C$9:$N$9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SPEARMOTORS-NTINDA'!$C$59:$N$59</c:f>
              <c:numCache>
                <c:formatCode>0.0%</c:formatCode>
                <c:ptCount val="12"/>
                <c:pt idx="0">
                  <c:v>9.7503339155450536E-2</c:v>
                </c:pt>
                <c:pt idx="1">
                  <c:v>5.9180108907839313E-2</c:v>
                </c:pt>
                <c:pt idx="2">
                  <c:v>2.8562622007603001E-2</c:v>
                </c:pt>
                <c:pt idx="3">
                  <c:v>5.6919757525942666E-2</c:v>
                </c:pt>
                <c:pt idx="4">
                  <c:v>9.2468920168498926E-4</c:v>
                </c:pt>
                <c:pt idx="5">
                  <c:v>8.2194595705332378E-4</c:v>
                </c:pt>
                <c:pt idx="6">
                  <c:v>1.407582451453817E-2</c:v>
                </c:pt>
                <c:pt idx="7">
                  <c:v>9.1441487722182264E-3</c:v>
                </c:pt>
                <c:pt idx="8">
                  <c:v>7.5002568581115795E-3</c:v>
                </c:pt>
                <c:pt idx="9">
                  <c:v>2.0754135415596425E-2</c:v>
                </c:pt>
                <c:pt idx="10">
                  <c:v>0.70440768519469843</c:v>
                </c:pt>
                <c:pt idx="11">
                  <c:v>2.0548648926333094E-4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SPEARMOTORS-NTINDA'!$S$9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SPEARMOTORS-NTINDA'!$S$10:$S$21</c:f>
              <c:numCache>
                <c:formatCode>0</c:formatCode>
                <c:ptCount val="12"/>
                <c:pt idx="0">
                  <c:v>57</c:v>
                </c:pt>
                <c:pt idx="1">
                  <c:v>33</c:v>
                </c:pt>
                <c:pt idx="2">
                  <c:v>68</c:v>
                </c:pt>
                <c:pt idx="3">
                  <c:v>68</c:v>
                </c:pt>
                <c:pt idx="4">
                  <c:v>89</c:v>
                </c:pt>
                <c:pt idx="5">
                  <c:v>53</c:v>
                </c:pt>
                <c:pt idx="6">
                  <c:v>96</c:v>
                </c:pt>
                <c:pt idx="7">
                  <c:v>79</c:v>
                </c:pt>
                <c:pt idx="8">
                  <c:v>111</c:v>
                </c:pt>
                <c:pt idx="9">
                  <c:v>104</c:v>
                </c:pt>
                <c:pt idx="10">
                  <c:v>126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'02.08 SPEARMOTORS-NTINDA'!$T$9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SPEARMOTORS-NTINDA'!$T$10:$T$21</c:f>
              <c:numCache>
                <c:formatCode>0</c:formatCode>
                <c:ptCount val="12"/>
                <c:pt idx="0">
                  <c:v>33</c:v>
                </c:pt>
                <c:pt idx="1">
                  <c:v>27</c:v>
                </c:pt>
                <c:pt idx="2">
                  <c:v>35</c:v>
                </c:pt>
                <c:pt idx="3">
                  <c:v>86</c:v>
                </c:pt>
                <c:pt idx="4">
                  <c:v>51</c:v>
                </c:pt>
                <c:pt idx="5">
                  <c:v>32</c:v>
                </c:pt>
                <c:pt idx="6">
                  <c:v>49</c:v>
                </c:pt>
                <c:pt idx="7">
                  <c:v>44</c:v>
                </c:pt>
                <c:pt idx="8">
                  <c:v>56</c:v>
                </c:pt>
                <c:pt idx="9">
                  <c:v>62</c:v>
                </c:pt>
                <c:pt idx="10">
                  <c:v>73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'02.08 SPEARMOTORS-NTINDA'!$U$9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SPEARMOTORS-NTINDA'!$U$10:$U$21</c:f>
              <c:numCache>
                <c:formatCode>0</c:formatCode>
                <c:ptCount val="12"/>
                <c:pt idx="0">
                  <c:v>14</c:v>
                </c:pt>
                <c:pt idx="1">
                  <c:v>14</c:v>
                </c:pt>
                <c:pt idx="2">
                  <c:v>27</c:v>
                </c:pt>
                <c:pt idx="3">
                  <c:v>21</c:v>
                </c:pt>
                <c:pt idx="4">
                  <c:v>37</c:v>
                </c:pt>
                <c:pt idx="5">
                  <c:v>17</c:v>
                </c:pt>
                <c:pt idx="6">
                  <c:v>22</c:v>
                </c:pt>
                <c:pt idx="7">
                  <c:v>16</c:v>
                </c:pt>
                <c:pt idx="8">
                  <c:v>33</c:v>
                </c:pt>
                <c:pt idx="9">
                  <c:v>28</c:v>
                </c:pt>
                <c:pt idx="10">
                  <c:v>36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'02.08 SPEARMOTORS-NTINDA'!$V$9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SPEARMOTORS-NTINDA'!$V$10:$V$21</c:f>
              <c:numCache>
                <c:formatCode>0</c:formatCode>
                <c:ptCount val="12"/>
                <c:pt idx="0">
                  <c:v>92</c:v>
                </c:pt>
                <c:pt idx="1">
                  <c:v>50</c:v>
                </c:pt>
                <c:pt idx="2">
                  <c:v>60</c:v>
                </c:pt>
                <c:pt idx="3">
                  <c:v>45</c:v>
                </c:pt>
                <c:pt idx="4">
                  <c:v>66</c:v>
                </c:pt>
                <c:pt idx="5">
                  <c:v>45</c:v>
                </c:pt>
                <c:pt idx="6">
                  <c:v>40</c:v>
                </c:pt>
                <c:pt idx="7">
                  <c:v>36</c:v>
                </c:pt>
                <c:pt idx="8">
                  <c:v>41</c:v>
                </c:pt>
                <c:pt idx="9">
                  <c:v>38</c:v>
                </c:pt>
                <c:pt idx="10">
                  <c:v>24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'02.08 SPEARMOTORS-NTINDA'!$W$9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SPEARMOTORS-NTINDA'!$W$10:$W$21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'02.08 SPEARMOTORS-NTINDA'!$X$9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SPEARMOTORS-NTINDA'!$X$10:$X$21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'02.08 SPEARMOTORS-NTINDA'!$Y$9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SPEARMOTORS-NTINDA'!$Y$10:$Y$21</c:f>
              <c:numCache>
                <c:formatCode>0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10</c:v>
                </c:pt>
                <c:pt idx="3">
                  <c:v>11</c:v>
                </c:pt>
                <c:pt idx="4">
                  <c:v>8</c:v>
                </c:pt>
                <c:pt idx="5">
                  <c:v>13</c:v>
                </c:pt>
                <c:pt idx="6">
                  <c:v>15</c:v>
                </c:pt>
                <c:pt idx="7">
                  <c:v>13</c:v>
                </c:pt>
                <c:pt idx="8">
                  <c:v>10</c:v>
                </c:pt>
                <c:pt idx="9">
                  <c:v>19</c:v>
                </c:pt>
                <c:pt idx="10">
                  <c:v>10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'02.08 SPEARMOTORS-NTINDA'!$Z$9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SPEARMOTORS-NTINDA'!$Z$10:$Z$21</c:f>
              <c:numCache>
                <c:formatCode>0</c:formatCode>
                <c:ptCount val="12"/>
                <c:pt idx="0">
                  <c:v>13</c:v>
                </c:pt>
                <c:pt idx="1">
                  <c:v>6</c:v>
                </c:pt>
                <c:pt idx="2">
                  <c:v>5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12</c:v>
                </c:pt>
                <c:pt idx="7">
                  <c:v>8</c:v>
                </c:pt>
                <c:pt idx="8">
                  <c:v>5</c:v>
                </c:pt>
                <c:pt idx="9">
                  <c:v>9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'02.08 SPEARMOTORS-NTINDA'!$AA$9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SPEARMOTORS-NTINDA'!$AA$10:$AA$21</c:f>
              <c:numCache>
                <c:formatCode>0</c:formatCode>
                <c:ptCount val="12"/>
                <c:pt idx="0">
                  <c:v>20</c:v>
                </c:pt>
                <c:pt idx="1">
                  <c:v>7</c:v>
                </c:pt>
                <c:pt idx="2">
                  <c:v>3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10</c:v>
                </c:pt>
                <c:pt idx="7">
                  <c:v>4</c:v>
                </c:pt>
                <c:pt idx="8">
                  <c:v>3</c:v>
                </c:pt>
                <c:pt idx="9">
                  <c:v>7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'02.08 SPEARMOTORS-NTINDA'!$AB$9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SPEARMOTORS-NTINDA'!$AB$10:$AB$21</c:f>
              <c:numCache>
                <c:formatCode>0</c:formatCode>
                <c:ptCount val="12"/>
                <c:pt idx="0">
                  <c:v>30</c:v>
                </c:pt>
                <c:pt idx="1">
                  <c:v>9</c:v>
                </c:pt>
                <c:pt idx="2">
                  <c:v>18</c:v>
                </c:pt>
                <c:pt idx="3">
                  <c:v>17</c:v>
                </c:pt>
                <c:pt idx="4">
                  <c:v>7</c:v>
                </c:pt>
                <c:pt idx="5">
                  <c:v>17</c:v>
                </c:pt>
                <c:pt idx="6">
                  <c:v>20</c:v>
                </c:pt>
                <c:pt idx="7">
                  <c:v>21</c:v>
                </c:pt>
                <c:pt idx="8">
                  <c:v>9</c:v>
                </c:pt>
                <c:pt idx="9">
                  <c:v>23</c:v>
                </c:pt>
                <c:pt idx="10">
                  <c:v>15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'02.08 SPEARMOTORS-NTINDA'!$AC$9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SPEARMOTORS-NTINDA'!$AC$10:$AC$21</c:f>
              <c:numCache>
                <c:formatCode>0</c:formatCode>
                <c:ptCount val="12"/>
                <c:pt idx="0">
                  <c:v>625</c:v>
                </c:pt>
                <c:pt idx="1">
                  <c:v>815</c:v>
                </c:pt>
                <c:pt idx="2">
                  <c:v>673</c:v>
                </c:pt>
                <c:pt idx="3">
                  <c:v>465</c:v>
                </c:pt>
                <c:pt idx="4">
                  <c:v>415</c:v>
                </c:pt>
                <c:pt idx="5">
                  <c:v>403</c:v>
                </c:pt>
                <c:pt idx="6">
                  <c:v>418</c:v>
                </c:pt>
                <c:pt idx="7">
                  <c:v>485</c:v>
                </c:pt>
                <c:pt idx="8">
                  <c:v>452</c:v>
                </c:pt>
                <c:pt idx="9">
                  <c:v>595</c:v>
                </c:pt>
                <c:pt idx="10">
                  <c:v>780</c:v>
                </c:pt>
                <c:pt idx="11">
                  <c:v>730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'02.08 SPEARMOTORS-NTINDA'!$AD$9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SPEARMOTORS-NTINDA'!$AD$10:$AD$21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SPEARMOTORS-NTINDA'!$C$9:$N$9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SPEARMOTORS-NTINDA'!$C$60:$N$60</c:f>
              <c:numCache>
                <c:formatCode>0.00%</c:formatCode>
                <c:ptCount val="12"/>
                <c:pt idx="0">
                  <c:v>0.32985749044143203</c:v>
                </c:pt>
                <c:pt idx="1">
                  <c:v>0.20020855057351408</c:v>
                </c:pt>
                <c:pt idx="2">
                  <c:v>9.6628432394855759E-2</c:v>
                </c:pt>
                <c:pt idx="3">
                  <c:v>0.19256169621133123</c:v>
                </c:pt>
                <c:pt idx="4">
                  <c:v>3.1282586027111575E-3</c:v>
                </c:pt>
                <c:pt idx="5">
                  <c:v>2.7806743135210289E-3</c:v>
                </c:pt>
                <c:pt idx="6">
                  <c:v>4.7619047619047616E-2</c:v>
                </c:pt>
                <c:pt idx="7">
                  <c:v>3.0935001737921446E-2</c:v>
                </c:pt>
                <c:pt idx="8">
                  <c:v>2.5373653110879388E-2</c:v>
                </c:pt>
                <c:pt idx="9">
                  <c:v>7.0212026416405976E-2</c:v>
                </c:pt>
                <c:pt idx="11">
                  <c:v>6.9516857838025723E-4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NTINDA-SPEARMOTORS'!$AE$9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NTINDA-SPEARMOTORS'!$AE$10:$AE$21</c:f>
              <c:numCache>
                <c:formatCode>0</c:formatCode>
                <c:ptCount val="12"/>
                <c:pt idx="0">
                  <c:v>194</c:v>
                </c:pt>
                <c:pt idx="1">
                  <c:v>178</c:v>
                </c:pt>
                <c:pt idx="2">
                  <c:v>197</c:v>
                </c:pt>
                <c:pt idx="3">
                  <c:v>161</c:v>
                </c:pt>
                <c:pt idx="4">
                  <c:v>173</c:v>
                </c:pt>
                <c:pt idx="5">
                  <c:v>162</c:v>
                </c:pt>
                <c:pt idx="6">
                  <c:v>171</c:v>
                </c:pt>
                <c:pt idx="7">
                  <c:v>168</c:v>
                </c:pt>
                <c:pt idx="8">
                  <c:v>161</c:v>
                </c:pt>
                <c:pt idx="9">
                  <c:v>174</c:v>
                </c:pt>
                <c:pt idx="10">
                  <c:v>152</c:v>
                </c:pt>
                <c:pt idx="11">
                  <c:v>166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 NTINDA-SPEARMOTORS'!$AF$9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NTINDA-SPEARMOTORS'!$AF$10:$AF$21</c:f>
              <c:numCache>
                <c:formatCode>0</c:formatCode>
                <c:ptCount val="12"/>
                <c:pt idx="0">
                  <c:v>741</c:v>
                </c:pt>
                <c:pt idx="1">
                  <c:v>901</c:v>
                </c:pt>
                <c:pt idx="2">
                  <c:v>832</c:v>
                </c:pt>
                <c:pt idx="3">
                  <c:v>744</c:v>
                </c:pt>
                <c:pt idx="4">
                  <c:v>764</c:v>
                </c:pt>
                <c:pt idx="5">
                  <c:v>602</c:v>
                </c:pt>
                <c:pt idx="6">
                  <c:v>639</c:v>
                </c:pt>
                <c:pt idx="7">
                  <c:v>646</c:v>
                </c:pt>
                <c:pt idx="8">
                  <c:v>701</c:v>
                </c:pt>
                <c:pt idx="9">
                  <c:v>1014</c:v>
                </c:pt>
                <c:pt idx="10">
                  <c:v>1034</c:v>
                </c:pt>
                <c:pt idx="11">
                  <c:v>924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NTINDA-SPEARMOTORS'!$C$9:$N$9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NTINDA-SPEARMOTORS'!$C$59:$N$59</c:f>
              <c:numCache>
                <c:formatCode>0.0%</c:formatCode>
                <c:ptCount val="12"/>
                <c:pt idx="0">
                  <c:v>8.509746384405785E-2</c:v>
                </c:pt>
                <c:pt idx="1">
                  <c:v>4.8731922028924755E-2</c:v>
                </c:pt>
                <c:pt idx="2">
                  <c:v>2.0750366799413122E-2</c:v>
                </c:pt>
                <c:pt idx="3">
                  <c:v>1.5824774680360511E-2</c:v>
                </c:pt>
                <c:pt idx="4">
                  <c:v>5.2399916160134139E-4</c:v>
                </c:pt>
                <c:pt idx="5">
                  <c:v>4.1919932928107315E-4</c:v>
                </c:pt>
                <c:pt idx="6">
                  <c:v>9.7463844057849511E-3</c:v>
                </c:pt>
                <c:pt idx="7">
                  <c:v>8.2791867533011949E-3</c:v>
                </c:pt>
                <c:pt idx="8">
                  <c:v>4.7159924544120727E-3</c:v>
                </c:pt>
                <c:pt idx="9">
                  <c:v>2.1483965625654997E-2</c:v>
                </c:pt>
                <c:pt idx="10">
                  <c:v>0.7844267449172081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NTINDA-SPEARMOTORS'!$S$9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NTINDA-SPEARMOTORS'!$S$10:$S$21</c:f>
              <c:numCache>
                <c:formatCode>0</c:formatCode>
                <c:ptCount val="12"/>
                <c:pt idx="0">
                  <c:v>94</c:v>
                </c:pt>
                <c:pt idx="1">
                  <c:v>91</c:v>
                </c:pt>
                <c:pt idx="2">
                  <c:v>91</c:v>
                </c:pt>
                <c:pt idx="3">
                  <c:v>53</c:v>
                </c:pt>
                <c:pt idx="4">
                  <c:v>58</c:v>
                </c:pt>
                <c:pt idx="5">
                  <c:v>65</c:v>
                </c:pt>
                <c:pt idx="6">
                  <c:v>64</c:v>
                </c:pt>
                <c:pt idx="7">
                  <c:v>62</c:v>
                </c:pt>
                <c:pt idx="8">
                  <c:v>63</c:v>
                </c:pt>
                <c:pt idx="9">
                  <c:v>52</c:v>
                </c:pt>
                <c:pt idx="10">
                  <c:v>53</c:v>
                </c:pt>
                <c:pt idx="11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 NTINDA-SPEARMOTORS'!$T$9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NTINDA-SPEARMOTORS'!$T$10:$T$21</c:f>
              <c:numCache>
                <c:formatCode>0</c:formatCode>
                <c:ptCount val="12"/>
                <c:pt idx="0">
                  <c:v>51</c:v>
                </c:pt>
                <c:pt idx="1">
                  <c:v>47</c:v>
                </c:pt>
                <c:pt idx="2">
                  <c:v>44</c:v>
                </c:pt>
                <c:pt idx="3">
                  <c:v>43</c:v>
                </c:pt>
                <c:pt idx="4">
                  <c:v>34</c:v>
                </c:pt>
                <c:pt idx="5">
                  <c:v>30</c:v>
                </c:pt>
                <c:pt idx="6">
                  <c:v>32</c:v>
                </c:pt>
                <c:pt idx="7">
                  <c:v>41</c:v>
                </c:pt>
                <c:pt idx="8">
                  <c:v>30</c:v>
                </c:pt>
                <c:pt idx="9">
                  <c:v>29</c:v>
                </c:pt>
                <c:pt idx="10">
                  <c:v>35</c:v>
                </c:pt>
                <c:pt idx="11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 NTINDA-SPEARMOTORS'!$U$9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NTINDA-SPEARMOTORS'!$U$10:$U$21</c:f>
              <c:numCache>
                <c:formatCode>0</c:formatCode>
                <c:ptCount val="12"/>
                <c:pt idx="0">
                  <c:v>22</c:v>
                </c:pt>
                <c:pt idx="1">
                  <c:v>16</c:v>
                </c:pt>
                <c:pt idx="2">
                  <c:v>18</c:v>
                </c:pt>
                <c:pt idx="3">
                  <c:v>14</c:v>
                </c:pt>
                <c:pt idx="4">
                  <c:v>21</c:v>
                </c:pt>
                <c:pt idx="5">
                  <c:v>16</c:v>
                </c:pt>
                <c:pt idx="6">
                  <c:v>13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12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 NTINDA-SPEARMOTORS'!$V$9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NTINDA-SPEARMOTORS'!$V$10:$V$21</c:f>
              <c:numCache>
                <c:formatCode>0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11</c:v>
                </c:pt>
                <c:pt idx="5">
                  <c:v>11</c:v>
                </c:pt>
                <c:pt idx="6">
                  <c:v>16</c:v>
                </c:pt>
                <c:pt idx="7">
                  <c:v>11</c:v>
                </c:pt>
                <c:pt idx="8">
                  <c:v>15</c:v>
                </c:pt>
                <c:pt idx="9">
                  <c:v>13</c:v>
                </c:pt>
                <c:pt idx="10">
                  <c:v>17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 NTINDA-SPEARMOTORS'!$W$9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NTINDA-SPEARMOTORS'!$W$10:$W$21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 NTINDA-SPEARMOTORS'!$X$9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NTINDA-SPEARMOTORS'!$X$10:$X$21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 NTINDA-SPEARMOTORS'!$Y$9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NTINDA-SPEARMOTORS'!$Y$10:$Y$21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10</c:v>
                </c:pt>
                <c:pt idx="3">
                  <c:v>4</c:v>
                </c:pt>
                <c:pt idx="4">
                  <c:v>11</c:v>
                </c:pt>
                <c:pt idx="5">
                  <c:v>13</c:v>
                </c:pt>
                <c:pt idx="6">
                  <c:v>15</c:v>
                </c:pt>
                <c:pt idx="7">
                  <c:v>8</c:v>
                </c:pt>
                <c:pt idx="8">
                  <c:v>6</c:v>
                </c:pt>
                <c:pt idx="9">
                  <c:v>11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 NTINDA-SPEARMOTORS'!$Z$9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NTINDA-SPEARMOTORS'!$Z$10:$Z$21</c:f>
              <c:numCache>
                <c:formatCode>0</c:formatCode>
                <c:ptCount val="12"/>
                <c:pt idx="0">
                  <c:v>3</c:v>
                </c:pt>
                <c:pt idx="1">
                  <c:v>8</c:v>
                </c:pt>
                <c:pt idx="2">
                  <c:v>8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 NTINDA-SPEARMOTORS'!$AA$9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NTINDA-SPEARMOTORS'!$AA$10:$AA$21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4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4</c:v>
                </c:pt>
                <c:pt idx="10">
                  <c:v>7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 NTINDA-SPEARMOTORS'!$AB$9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NTINDA-SPEARMOTORS'!$AB$10:$AB$21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9</c:v>
                </c:pt>
                <c:pt idx="3">
                  <c:v>26</c:v>
                </c:pt>
                <c:pt idx="4">
                  <c:v>24</c:v>
                </c:pt>
                <c:pt idx="5">
                  <c:v>10</c:v>
                </c:pt>
                <c:pt idx="6">
                  <c:v>23</c:v>
                </c:pt>
                <c:pt idx="7">
                  <c:v>17</c:v>
                </c:pt>
                <c:pt idx="8">
                  <c:v>18</c:v>
                </c:pt>
                <c:pt idx="9">
                  <c:v>42</c:v>
                </c:pt>
                <c:pt idx="10">
                  <c:v>17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 NTINDA-SPEARMOTORS'!$AC$9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NTINDA-SPEARMOTORS'!$AC$10:$AC$21</c:f>
              <c:numCache>
                <c:formatCode>0</c:formatCode>
                <c:ptCount val="12"/>
                <c:pt idx="0">
                  <c:v>547</c:v>
                </c:pt>
                <c:pt idx="1">
                  <c:v>723</c:v>
                </c:pt>
                <c:pt idx="2">
                  <c:v>635</c:v>
                </c:pt>
                <c:pt idx="3">
                  <c:v>583</c:v>
                </c:pt>
                <c:pt idx="4">
                  <c:v>591</c:v>
                </c:pt>
                <c:pt idx="5">
                  <c:v>440</c:v>
                </c:pt>
                <c:pt idx="6">
                  <c:v>468</c:v>
                </c:pt>
                <c:pt idx="7">
                  <c:v>478</c:v>
                </c:pt>
                <c:pt idx="8">
                  <c:v>540</c:v>
                </c:pt>
                <c:pt idx="9">
                  <c:v>840</c:v>
                </c:pt>
                <c:pt idx="10">
                  <c:v>882</c:v>
                </c:pt>
                <c:pt idx="11">
                  <c:v>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 NTINDA-SPEARMOTORS'!$AD$9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NTINDA-SPEARMOTORS'!$AD$10:$AD$21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NTINDA-SPEARMOTORS'!$C$9:$N$9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NTINDA-SPEARMOTORS'!$C$60:$N$60</c:f>
              <c:numCache>
                <c:formatCode>0.00%</c:formatCode>
                <c:ptCount val="12"/>
                <c:pt idx="0">
                  <c:v>0.39474963539134661</c:v>
                </c:pt>
                <c:pt idx="1">
                  <c:v>0.22605736509479826</c:v>
                </c:pt>
                <c:pt idx="2">
                  <c:v>9.6256684491978606E-2</c:v>
                </c:pt>
                <c:pt idx="3">
                  <c:v>7.3407875546912985E-2</c:v>
                </c:pt>
                <c:pt idx="4">
                  <c:v>2.4307243558580457E-3</c:v>
                </c:pt>
                <c:pt idx="5">
                  <c:v>1.9445794846864365E-3</c:v>
                </c:pt>
                <c:pt idx="6">
                  <c:v>4.5211473018959648E-2</c:v>
                </c:pt>
                <c:pt idx="7">
                  <c:v>3.8405444822557123E-2</c:v>
                </c:pt>
                <c:pt idx="8">
                  <c:v>2.1876519202722412E-2</c:v>
                </c:pt>
                <c:pt idx="9">
                  <c:v>9.9659698590179868E-2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NTINDA-SPEARMOTORS-24h'!$AE$9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NTINDA-SPEARMOTORS-24h'!$R$10:$R$33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NTINDA-SPEARMOTORS-24h'!$AE$10:$AE$33</c:f>
              <c:numCache>
                <c:formatCode>0</c:formatCode>
                <c:ptCount val="24"/>
                <c:pt idx="0">
                  <c:v>130</c:v>
                </c:pt>
                <c:pt idx="1">
                  <c:v>187</c:v>
                </c:pt>
                <c:pt idx="2">
                  <c:v>206</c:v>
                </c:pt>
                <c:pt idx="3">
                  <c:v>205</c:v>
                </c:pt>
                <c:pt idx="4">
                  <c:v>181</c:v>
                </c:pt>
                <c:pt idx="5">
                  <c:v>145</c:v>
                </c:pt>
                <c:pt idx="6">
                  <c:v>176</c:v>
                </c:pt>
                <c:pt idx="7">
                  <c:v>168</c:v>
                </c:pt>
                <c:pt idx="8">
                  <c:v>186</c:v>
                </c:pt>
                <c:pt idx="9">
                  <c:v>184</c:v>
                </c:pt>
                <c:pt idx="10">
                  <c:v>177</c:v>
                </c:pt>
                <c:pt idx="11">
                  <c:v>153</c:v>
                </c:pt>
                <c:pt idx="12">
                  <c:v>170</c:v>
                </c:pt>
                <c:pt idx="13">
                  <c:v>213</c:v>
                </c:pt>
                <c:pt idx="14">
                  <c:v>195</c:v>
                </c:pt>
                <c:pt idx="15">
                  <c:v>203</c:v>
                </c:pt>
                <c:pt idx="16">
                  <c:v>157</c:v>
                </c:pt>
                <c:pt idx="17">
                  <c:v>101</c:v>
                </c:pt>
                <c:pt idx="18">
                  <c:v>77</c:v>
                </c:pt>
                <c:pt idx="19">
                  <c:v>44</c:v>
                </c:pt>
                <c:pt idx="20">
                  <c:v>49</c:v>
                </c:pt>
                <c:pt idx="21">
                  <c:v>37</c:v>
                </c:pt>
                <c:pt idx="22">
                  <c:v>45</c:v>
                </c:pt>
                <c:pt idx="23">
                  <c:v>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NTINDA-SPEARMOTORS-24h'!$AF$9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NTINDA-SPEARMOTORS-24h'!$R$10:$R$33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NTINDA-SPEARMOTORS-24h'!$AF$10:$AF$33</c:f>
              <c:numCache>
                <c:formatCode>0</c:formatCode>
                <c:ptCount val="24"/>
                <c:pt idx="0">
                  <c:v>518</c:v>
                </c:pt>
                <c:pt idx="1">
                  <c:v>573</c:v>
                </c:pt>
                <c:pt idx="2">
                  <c:v>575</c:v>
                </c:pt>
                <c:pt idx="3">
                  <c:v>596</c:v>
                </c:pt>
                <c:pt idx="4">
                  <c:v>568</c:v>
                </c:pt>
                <c:pt idx="5">
                  <c:v>493</c:v>
                </c:pt>
                <c:pt idx="6">
                  <c:v>673</c:v>
                </c:pt>
                <c:pt idx="7">
                  <c:v>634</c:v>
                </c:pt>
                <c:pt idx="8">
                  <c:v>806</c:v>
                </c:pt>
                <c:pt idx="9">
                  <c:v>645</c:v>
                </c:pt>
                <c:pt idx="10">
                  <c:v>645</c:v>
                </c:pt>
                <c:pt idx="11">
                  <c:v>644</c:v>
                </c:pt>
                <c:pt idx="12">
                  <c:v>591</c:v>
                </c:pt>
                <c:pt idx="13">
                  <c:v>606</c:v>
                </c:pt>
                <c:pt idx="14">
                  <c:v>543</c:v>
                </c:pt>
                <c:pt idx="15">
                  <c:v>538</c:v>
                </c:pt>
                <c:pt idx="16">
                  <c:v>342</c:v>
                </c:pt>
                <c:pt idx="17">
                  <c:v>244</c:v>
                </c:pt>
                <c:pt idx="18">
                  <c:v>116</c:v>
                </c:pt>
                <c:pt idx="19">
                  <c:v>116</c:v>
                </c:pt>
                <c:pt idx="20">
                  <c:v>92</c:v>
                </c:pt>
                <c:pt idx="21">
                  <c:v>79</c:v>
                </c:pt>
                <c:pt idx="22">
                  <c:v>124</c:v>
                </c:pt>
                <c:pt idx="23">
                  <c:v>237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NTINDA-SPEARMOTORS-24h'!$C$9:$N$9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NTINDA-SPEARMOTORS-24h'!$C$107:$N$107</c:f>
              <c:numCache>
                <c:formatCode>0.0%</c:formatCode>
                <c:ptCount val="12"/>
                <c:pt idx="0">
                  <c:v>0.14166212038552464</c:v>
                </c:pt>
                <c:pt idx="1">
                  <c:v>8.1287506819421707E-2</c:v>
                </c:pt>
                <c:pt idx="2">
                  <c:v>2.4549918166939442E-2</c:v>
                </c:pt>
                <c:pt idx="3">
                  <c:v>2.8368794326241134E-2</c:v>
                </c:pt>
                <c:pt idx="4">
                  <c:v>2.7277686852154935E-4</c:v>
                </c:pt>
                <c:pt idx="5">
                  <c:v>0</c:v>
                </c:pt>
                <c:pt idx="6">
                  <c:v>1.209310783778869E-2</c:v>
                </c:pt>
                <c:pt idx="7">
                  <c:v>8.0014548099654487E-3</c:v>
                </c:pt>
                <c:pt idx="8">
                  <c:v>4.1825786506637574E-3</c:v>
                </c:pt>
                <c:pt idx="9">
                  <c:v>1.900345517366794E-2</c:v>
                </c:pt>
                <c:pt idx="10">
                  <c:v>0.68048736133842513</c:v>
                </c:pt>
                <c:pt idx="11">
                  <c:v>9.0925622840516454E-5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NTINDA-SPEARMOTORS-24h'!$C$9:$N$9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NTINDA-SPEARMOTORS-24h'!$C$108:$N$108</c:f>
              <c:numCache>
                <c:formatCode>0.00%</c:formatCode>
                <c:ptCount val="12"/>
                <c:pt idx="0">
                  <c:v>0.44336937962435968</c:v>
                </c:pt>
                <c:pt idx="1">
                  <c:v>0.25441092771770063</c:v>
                </c:pt>
                <c:pt idx="2">
                  <c:v>7.6835515082527034E-2</c:v>
                </c:pt>
                <c:pt idx="3">
                  <c:v>8.8787706317586798E-2</c:v>
                </c:pt>
                <c:pt idx="4">
                  <c:v>8.5372794536141153E-4</c:v>
                </c:pt>
                <c:pt idx="5">
                  <c:v>0</c:v>
                </c:pt>
                <c:pt idx="6">
                  <c:v>3.7848605577689244E-2</c:v>
                </c:pt>
                <c:pt idx="7">
                  <c:v>2.5042686397268071E-2</c:v>
                </c:pt>
                <c:pt idx="8">
                  <c:v>1.309049516220831E-2</c:v>
                </c:pt>
                <c:pt idx="9">
                  <c:v>5.9476380193511667E-2</c:v>
                </c:pt>
                <c:pt idx="11">
                  <c:v>2.8457598178713718E-4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SPEARMOTORS-NTINDA-24h'!$AE$9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SPEARMOTORS-NTINDA-24h'!$R$10:$R$33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SPEARMOTORS-NTINDA-24h'!$AE$10:$AE$33</c:f>
              <c:numCache>
                <c:formatCode>0</c:formatCode>
                <c:ptCount val="24"/>
                <c:pt idx="0">
                  <c:v>463</c:v>
                </c:pt>
                <c:pt idx="1">
                  <c:v>194</c:v>
                </c:pt>
                <c:pt idx="2">
                  <c:v>206</c:v>
                </c:pt>
                <c:pt idx="3">
                  <c:v>220</c:v>
                </c:pt>
                <c:pt idx="4">
                  <c:v>195</c:v>
                </c:pt>
                <c:pt idx="5">
                  <c:v>234</c:v>
                </c:pt>
                <c:pt idx="6">
                  <c:v>222</c:v>
                </c:pt>
                <c:pt idx="7">
                  <c:v>228</c:v>
                </c:pt>
                <c:pt idx="8">
                  <c:v>243</c:v>
                </c:pt>
                <c:pt idx="9">
                  <c:v>256</c:v>
                </c:pt>
                <c:pt idx="10">
                  <c:v>284</c:v>
                </c:pt>
                <c:pt idx="11">
                  <c:v>222</c:v>
                </c:pt>
                <c:pt idx="12">
                  <c:v>314</c:v>
                </c:pt>
                <c:pt idx="13">
                  <c:v>294</c:v>
                </c:pt>
                <c:pt idx="14">
                  <c:v>365</c:v>
                </c:pt>
                <c:pt idx="15">
                  <c:v>347</c:v>
                </c:pt>
                <c:pt idx="16">
                  <c:v>254</c:v>
                </c:pt>
                <c:pt idx="17">
                  <c:v>142</c:v>
                </c:pt>
                <c:pt idx="18">
                  <c:v>62</c:v>
                </c:pt>
                <c:pt idx="19">
                  <c:v>46</c:v>
                </c:pt>
                <c:pt idx="20">
                  <c:v>73</c:v>
                </c:pt>
                <c:pt idx="21">
                  <c:v>36</c:v>
                </c:pt>
                <c:pt idx="22">
                  <c:v>35</c:v>
                </c:pt>
                <c:pt idx="23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SPEARMOTORS-NTINDA-24h'!$AF$9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SPEARMOTORS-NTINDA-24h'!$R$10:$R$33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SPEARMOTORS-NTINDA-24h'!$AF$10:$AF$33</c:f>
              <c:numCache>
                <c:formatCode>0</c:formatCode>
                <c:ptCount val="24"/>
                <c:pt idx="0">
                  <c:v>1203</c:v>
                </c:pt>
                <c:pt idx="1">
                  <c:v>929</c:v>
                </c:pt>
                <c:pt idx="2">
                  <c:v>881</c:v>
                </c:pt>
                <c:pt idx="3">
                  <c:v>810</c:v>
                </c:pt>
                <c:pt idx="4">
                  <c:v>565</c:v>
                </c:pt>
                <c:pt idx="5">
                  <c:v>570</c:v>
                </c:pt>
                <c:pt idx="6">
                  <c:v>534</c:v>
                </c:pt>
                <c:pt idx="7">
                  <c:v>517</c:v>
                </c:pt>
                <c:pt idx="8">
                  <c:v>586</c:v>
                </c:pt>
                <c:pt idx="9">
                  <c:v>656</c:v>
                </c:pt>
                <c:pt idx="10">
                  <c:v>632</c:v>
                </c:pt>
                <c:pt idx="11">
                  <c:v>563</c:v>
                </c:pt>
                <c:pt idx="12">
                  <c:v>684</c:v>
                </c:pt>
                <c:pt idx="13">
                  <c:v>624</c:v>
                </c:pt>
                <c:pt idx="14">
                  <c:v>670</c:v>
                </c:pt>
                <c:pt idx="15">
                  <c:v>559</c:v>
                </c:pt>
                <c:pt idx="16">
                  <c:v>406</c:v>
                </c:pt>
                <c:pt idx="17">
                  <c:v>264</c:v>
                </c:pt>
                <c:pt idx="18">
                  <c:v>119</c:v>
                </c:pt>
                <c:pt idx="19">
                  <c:v>104</c:v>
                </c:pt>
                <c:pt idx="20">
                  <c:v>104</c:v>
                </c:pt>
                <c:pt idx="21">
                  <c:v>69</c:v>
                </c:pt>
                <c:pt idx="22">
                  <c:v>90</c:v>
                </c:pt>
                <c:pt idx="23">
                  <c:v>159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SPEARMOTORS-NTINDA-24h'!$C$9:$N$9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SPEARMOTORS-NTINDA-24h'!$C$107:$N$107</c:f>
              <c:numCache>
                <c:formatCode>0.0%</c:formatCode>
                <c:ptCount val="12"/>
                <c:pt idx="0">
                  <c:v>0.16181492925678972</c:v>
                </c:pt>
                <c:pt idx="1">
                  <c:v>0.1096926329484469</c:v>
                </c:pt>
                <c:pt idx="2">
                  <c:v>2.878516832005204E-2</c:v>
                </c:pt>
                <c:pt idx="3">
                  <c:v>6.7328020816392914E-2</c:v>
                </c:pt>
                <c:pt idx="4">
                  <c:v>1.0570824524312897E-3</c:v>
                </c:pt>
                <c:pt idx="5">
                  <c:v>4.0657017401203447E-4</c:v>
                </c:pt>
                <c:pt idx="6">
                  <c:v>1.1627906976744186E-2</c:v>
                </c:pt>
                <c:pt idx="7">
                  <c:v>8.375345584647911E-3</c:v>
                </c:pt>
                <c:pt idx="8">
                  <c:v>5.6106684013660759E-3</c:v>
                </c:pt>
                <c:pt idx="9">
                  <c:v>1.2684989429175475E-2</c:v>
                </c:pt>
                <c:pt idx="10">
                  <c:v>0.59261668563994141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SPEARMOTORS-NTINDA-24h'!$C$9:$N$9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SPEARMOTORS-NTINDA-24h'!$C$108:$N$108</c:f>
              <c:numCache>
                <c:formatCode>0.00%</c:formatCode>
                <c:ptCount val="12"/>
                <c:pt idx="0">
                  <c:v>0.39720558882235529</c:v>
                </c:pt>
                <c:pt idx="1">
                  <c:v>0.26926147704590819</c:v>
                </c:pt>
                <c:pt idx="2">
                  <c:v>7.0658682634730532E-2</c:v>
                </c:pt>
                <c:pt idx="3">
                  <c:v>0.16526946107784432</c:v>
                </c:pt>
                <c:pt idx="4">
                  <c:v>2.594810379241517E-3</c:v>
                </c:pt>
                <c:pt idx="5">
                  <c:v>9.9800399201596798E-4</c:v>
                </c:pt>
                <c:pt idx="6">
                  <c:v>2.8542914171656688E-2</c:v>
                </c:pt>
                <c:pt idx="7">
                  <c:v>2.0558882235528941E-2</c:v>
                </c:pt>
                <c:pt idx="8">
                  <c:v>1.3772455089820359E-2</c:v>
                </c:pt>
                <c:pt idx="9">
                  <c:v>3.1137724550898204E-2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NTINDA-SPEARMOTORS'!$AE$9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NTINDA-SPEARMOTORS'!$AE$10:$AE$21</c:f>
              <c:numCache>
                <c:formatCode>0</c:formatCode>
                <c:ptCount val="12"/>
                <c:pt idx="0">
                  <c:v>113</c:v>
                </c:pt>
                <c:pt idx="1">
                  <c:v>146</c:v>
                </c:pt>
                <c:pt idx="2">
                  <c:v>156</c:v>
                </c:pt>
                <c:pt idx="3">
                  <c:v>184</c:v>
                </c:pt>
                <c:pt idx="4">
                  <c:v>227</c:v>
                </c:pt>
                <c:pt idx="5">
                  <c:v>167</c:v>
                </c:pt>
                <c:pt idx="6">
                  <c:v>211</c:v>
                </c:pt>
                <c:pt idx="7">
                  <c:v>219</c:v>
                </c:pt>
                <c:pt idx="8">
                  <c:v>225</c:v>
                </c:pt>
                <c:pt idx="9">
                  <c:v>236</c:v>
                </c:pt>
                <c:pt idx="10">
                  <c:v>204</c:v>
                </c:pt>
                <c:pt idx="11">
                  <c:v>223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NTINDA-SPEARMOTORS'!$AF$9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NTINDA-SPEARMOTORS'!$AF$10:$AF$21</c:f>
              <c:numCache>
                <c:formatCode>0</c:formatCode>
                <c:ptCount val="12"/>
                <c:pt idx="0">
                  <c:v>233</c:v>
                </c:pt>
                <c:pt idx="1">
                  <c:v>355</c:v>
                </c:pt>
                <c:pt idx="2">
                  <c:v>395</c:v>
                </c:pt>
                <c:pt idx="3">
                  <c:v>435</c:v>
                </c:pt>
                <c:pt idx="4">
                  <c:v>491</c:v>
                </c:pt>
                <c:pt idx="5">
                  <c:v>361</c:v>
                </c:pt>
                <c:pt idx="6">
                  <c:v>357</c:v>
                </c:pt>
                <c:pt idx="7">
                  <c:v>516</c:v>
                </c:pt>
                <c:pt idx="8">
                  <c:v>459</c:v>
                </c:pt>
                <c:pt idx="9">
                  <c:v>484</c:v>
                </c:pt>
                <c:pt idx="10">
                  <c:v>463</c:v>
                </c:pt>
                <c:pt idx="11">
                  <c:v>518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NTINDA-SPEARMOTORS'!$C$9:$N$9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NTINDA-SPEARMOTORS'!$C$59:$N$59</c:f>
              <c:numCache>
                <c:formatCode>0.0%</c:formatCode>
                <c:ptCount val="12"/>
                <c:pt idx="0">
                  <c:v>0.20880205249654629</c:v>
                </c:pt>
                <c:pt idx="1">
                  <c:v>0.13045194395105586</c:v>
                </c:pt>
                <c:pt idx="2">
                  <c:v>3.6708111308466546E-2</c:v>
                </c:pt>
                <c:pt idx="3">
                  <c:v>6.216696269982238E-2</c:v>
                </c:pt>
                <c:pt idx="4">
                  <c:v>3.9471087428458656E-4</c:v>
                </c:pt>
                <c:pt idx="5">
                  <c:v>0</c:v>
                </c:pt>
                <c:pt idx="6">
                  <c:v>6.7100848628379711E-3</c:v>
                </c:pt>
                <c:pt idx="7">
                  <c:v>4.9338859285573316E-3</c:v>
                </c:pt>
                <c:pt idx="8">
                  <c:v>2.170909808565226E-3</c:v>
                </c:pt>
                <c:pt idx="9">
                  <c:v>3.749753305703572E-3</c:v>
                </c:pt>
                <c:pt idx="10">
                  <c:v>0.54391158476416024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NTINDA-SPEARMOTORS'!$S$9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NTINDA-SPEARMOTORS'!$S$10:$S$21</c:f>
              <c:numCache>
                <c:formatCode>0</c:formatCode>
                <c:ptCount val="12"/>
                <c:pt idx="0">
                  <c:v>43</c:v>
                </c:pt>
                <c:pt idx="1">
                  <c:v>59</c:v>
                </c:pt>
                <c:pt idx="2">
                  <c:v>66</c:v>
                </c:pt>
                <c:pt idx="3">
                  <c:v>92</c:v>
                </c:pt>
                <c:pt idx="4">
                  <c:v>85</c:v>
                </c:pt>
                <c:pt idx="5">
                  <c:v>72</c:v>
                </c:pt>
                <c:pt idx="6">
                  <c:v>109</c:v>
                </c:pt>
                <c:pt idx="7">
                  <c:v>108</c:v>
                </c:pt>
                <c:pt idx="8">
                  <c:v>105</c:v>
                </c:pt>
                <c:pt idx="9">
                  <c:v>111</c:v>
                </c:pt>
                <c:pt idx="10">
                  <c:v>97</c:v>
                </c:pt>
                <c:pt idx="11">
                  <c:v>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NTINDA-SPEARMOTORS'!$T$9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NTINDA-SPEARMOTORS'!$R$10:$R$21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NTINDA-SPEARMOTORS'!$T$10:$T$21</c:f>
              <c:numCache>
                <c:formatCode>0</c:formatCode>
                <c:ptCount val="12"/>
                <c:pt idx="0">
                  <c:v>26</c:v>
                </c:pt>
                <c:pt idx="1">
                  <c:v>31</c:v>
                </c:pt>
                <c:pt idx="2">
                  <c:v>40</c:v>
                </c:pt>
                <c:pt idx="3">
                  <c:v>45</c:v>
                </c:pt>
                <c:pt idx="4">
                  <c:v>80</c:v>
                </c:pt>
                <c:pt idx="5">
                  <c:v>43</c:v>
                </c:pt>
                <c:pt idx="6">
                  <c:v>55</c:v>
                </c:pt>
                <c:pt idx="7">
                  <c:v>63</c:v>
                </c:pt>
                <c:pt idx="8">
                  <c:v>72</c:v>
                </c:pt>
                <c:pt idx="9">
                  <c:v>74</c:v>
                </c:pt>
                <c:pt idx="10">
                  <c:v>69</c:v>
                </c:pt>
                <c:pt idx="11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NTINDA-SPEARMOTORS'!$U$9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NTINDA-SPEARMOTORS'!$U$10:$U$21</c:f>
              <c:numCache>
                <c:formatCode>0</c:formatCode>
                <c:ptCount val="12"/>
                <c:pt idx="0">
                  <c:v>12</c:v>
                </c:pt>
                <c:pt idx="1">
                  <c:v>18</c:v>
                </c:pt>
                <c:pt idx="2">
                  <c:v>10</c:v>
                </c:pt>
                <c:pt idx="3">
                  <c:v>13</c:v>
                </c:pt>
                <c:pt idx="4">
                  <c:v>13</c:v>
                </c:pt>
                <c:pt idx="5">
                  <c:v>21</c:v>
                </c:pt>
                <c:pt idx="6">
                  <c:v>15</c:v>
                </c:pt>
                <c:pt idx="7">
                  <c:v>17</c:v>
                </c:pt>
                <c:pt idx="8">
                  <c:v>20</c:v>
                </c:pt>
                <c:pt idx="9">
                  <c:v>17</c:v>
                </c:pt>
                <c:pt idx="10">
                  <c:v>16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NTINDA-SPEARMOTORS'!$V$9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NTINDA-SPEARMOTORS'!$V$10:$V$21</c:f>
              <c:numCache>
                <c:formatCode>0</c:formatCode>
                <c:ptCount val="12"/>
                <c:pt idx="0">
                  <c:v>25</c:v>
                </c:pt>
                <c:pt idx="1">
                  <c:v>28</c:v>
                </c:pt>
                <c:pt idx="2">
                  <c:v>30</c:v>
                </c:pt>
                <c:pt idx="3">
                  <c:v>27</c:v>
                </c:pt>
                <c:pt idx="4">
                  <c:v>40</c:v>
                </c:pt>
                <c:pt idx="5">
                  <c:v>23</c:v>
                </c:pt>
                <c:pt idx="6">
                  <c:v>24</c:v>
                </c:pt>
                <c:pt idx="7">
                  <c:v>22</c:v>
                </c:pt>
                <c:pt idx="8">
                  <c:v>19</c:v>
                </c:pt>
                <c:pt idx="9">
                  <c:v>28</c:v>
                </c:pt>
                <c:pt idx="10">
                  <c:v>19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NTINDA-SPEARMOTORS'!$W$9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NTINDA-SPEARMOTORS'!$W$10:$W$21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NTINDA-SPEARMOTORS'!$X$9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NTINDA-SPEARMOTORS'!$X$10:$X$21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NTINDA-SPEARMOTORS'!$Y$9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NTINDA-SPEARMOTORS'!$Y$10:$Y$21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NTINDA-SPEARMOTORS'!$Z$9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NTINDA-SPEARMOTORS'!$Z$10:$Z$21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5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NTINDA-SPEARMOTORS'!$AA$9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NTINDA-SPEARMOTORS'!$AA$10:$AA$21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NTINDA-SPEARMOTORS'!$AB$9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NTINDA-SPEARMOTORS'!$AB$10:$AB$21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NTINDA-SPEARMOTORS'!$AC$9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NTINDA-SPEARMOTORS'!$AC$10:$AC$21</c:f>
              <c:numCache>
                <c:formatCode>0</c:formatCode>
                <c:ptCount val="12"/>
                <c:pt idx="0">
                  <c:v>120</c:v>
                </c:pt>
                <c:pt idx="1">
                  <c:v>209</c:v>
                </c:pt>
                <c:pt idx="2">
                  <c:v>239</c:v>
                </c:pt>
                <c:pt idx="3">
                  <c:v>251</c:v>
                </c:pt>
                <c:pt idx="4">
                  <c:v>264</c:v>
                </c:pt>
                <c:pt idx="5">
                  <c:v>194</c:v>
                </c:pt>
                <c:pt idx="6">
                  <c:v>146</c:v>
                </c:pt>
                <c:pt idx="7">
                  <c:v>297</c:v>
                </c:pt>
                <c:pt idx="8">
                  <c:v>234</c:v>
                </c:pt>
                <c:pt idx="9">
                  <c:v>248</c:v>
                </c:pt>
                <c:pt idx="10">
                  <c:v>259</c:v>
                </c:pt>
                <c:pt idx="11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NTINDA-SPEARMOTORS'!$AD$9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NTINDA-SPEARMOTORS'!$AD$10:$AD$21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NTINDA-SPEARMOTORS'!$C$9:$N$9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NTINDA-SPEARMOTORS'!$C$60:$N$60</c:f>
              <c:numCache>
                <c:formatCode>0.00%</c:formatCode>
                <c:ptCount val="12"/>
                <c:pt idx="0">
                  <c:v>0.45781047165729122</c:v>
                </c:pt>
                <c:pt idx="1">
                  <c:v>0.28602336650800519</c:v>
                </c:pt>
                <c:pt idx="2">
                  <c:v>8.0484638684552148E-2</c:v>
                </c:pt>
                <c:pt idx="3">
                  <c:v>0.13630463003028992</c:v>
                </c:pt>
                <c:pt idx="4">
                  <c:v>8.6542622241453913E-4</c:v>
                </c:pt>
                <c:pt idx="5">
                  <c:v>0</c:v>
                </c:pt>
                <c:pt idx="6">
                  <c:v>1.4712245781047165E-2</c:v>
                </c:pt>
                <c:pt idx="7">
                  <c:v>1.0817827780181739E-2</c:v>
                </c:pt>
                <c:pt idx="8">
                  <c:v>4.7598442232799658E-3</c:v>
                </c:pt>
                <c:pt idx="9">
                  <c:v>8.2215491129381223E-3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SPEARMOTORS-NTINDA'!$AE$9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SPEARMOTORS-NTINDA'!$AE$10:$AE$21</c:f>
              <c:numCache>
                <c:formatCode>0</c:formatCode>
                <c:ptCount val="12"/>
                <c:pt idx="0">
                  <c:v>96</c:v>
                </c:pt>
                <c:pt idx="1">
                  <c:v>170</c:v>
                </c:pt>
                <c:pt idx="2">
                  <c:v>151</c:v>
                </c:pt>
                <c:pt idx="3">
                  <c:v>141</c:v>
                </c:pt>
                <c:pt idx="4">
                  <c:v>220</c:v>
                </c:pt>
                <c:pt idx="5">
                  <c:v>218</c:v>
                </c:pt>
                <c:pt idx="6">
                  <c:v>257</c:v>
                </c:pt>
                <c:pt idx="7">
                  <c:v>268</c:v>
                </c:pt>
                <c:pt idx="8">
                  <c:v>223</c:v>
                </c:pt>
                <c:pt idx="9">
                  <c:v>278</c:v>
                </c:pt>
                <c:pt idx="10">
                  <c:v>249</c:v>
                </c:pt>
                <c:pt idx="11">
                  <c:v>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SPEARMOTORS-NTINDA'!$AF$9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SPEARMOTORS-NTINDA'!$AF$10:$AF$21</c:f>
              <c:numCache>
                <c:formatCode>0</c:formatCode>
                <c:ptCount val="12"/>
                <c:pt idx="0">
                  <c:v>272</c:v>
                </c:pt>
                <c:pt idx="1">
                  <c:v>388</c:v>
                </c:pt>
                <c:pt idx="2">
                  <c:v>383</c:v>
                </c:pt>
                <c:pt idx="3">
                  <c:v>460</c:v>
                </c:pt>
                <c:pt idx="4">
                  <c:v>415</c:v>
                </c:pt>
                <c:pt idx="5">
                  <c:v>359</c:v>
                </c:pt>
                <c:pt idx="6">
                  <c:v>422</c:v>
                </c:pt>
                <c:pt idx="7">
                  <c:v>444</c:v>
                </c:pt>
                <c:pt idx="8">
                  <c:v>456</c:v>
                </c:pt>
                <c:pt idx="9">
                  <c:v>512</c:v>
                </c:pt>
                <c:pt idx="10">
                  <c:v>579</c:v>
                </c:pt>
                <c:pt idx="11">
                  <c:v>604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SPEARMOTORS-NTINDA'!$C$9:$N$9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SPEARMOTORS-NTINDA'!$C$59:$N$59</c:f>
              <c:numCache>
                <c:formatCode>0.0%</c:formatCode>
                <c:ptCount val="12"/>
                <c:pt idx="0">
                  <c:v>0.20570457121269362</c:v>
                </c:pt>
                <c:pt idx="1">
                  <c:v>0.12240272006044579</c:v>
                </c:pt>
                <c:pt idx="2">
                  <c:v>4.0045334340763128E-2</c:v>
                </c:pt>
                <c:pt idx="3">
                  <c:v>8.9913109180204009E-2</c:v>
                </c:pt>
                <c:pt idx="4">
                  <c:v>3.7778617302606723E-4</c:v>
                </c:pt>
                <c:pt idx="5">
                  <c:v>0</c:v>
                </c:pt>
                <c:pt idx="6">
                  <c:v>5.8556856819040421E-3</c:v>
                </c:pt>
                <c:pt idx="7">
                  <c:v>6.2334718549301093E-3</c:v>
                </c:pt>
                <c:pt idx="8">
                  <c:v>2.2667170381564035E-3</c:v>
                </c:pt>
                <c:pt idx="9">
                  <c:v>9.2557612391386476E-3</c:v>
                </c:pt>
                <c:pt idx="10">
                  <c:v>0.5177559501322252</c:v>
                </c:pt>
                <c:pt idx="11">
                  <c:v>1.8889308651303362E-4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SPEARMOTORS-NTINDA'!$S$9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SPEARMOTORS-NTINDA'!$S$10:$S$21</c:f>
              <c:numCache>
                <c:formatCode>0</c:formatCode>
                <c:ptCount val="12"/>
                <c:pt idx="0">
                  <c:v>17</c:v>
                </c:pt>
                <c:pt idx="1">
                  <c:v>55</c:v>
                </c:pt>
                <c:pt idx="2">
                  <c:v>58</c:v>
                </c:pt>
                <c:pt idx="3">
                  <c:v>50</c:v>
                </c:pt>
                <c:pt idx="4">
                  <c:v>92</c:v>
                </c:pt>
                <c:pt idx="5">
                  <c:v>97</c:v>
                </c:pt>
                <c:pt idx="6">
                  <c:v>124</c:v>
                </c:pt>
                <c:pt idx="7">
                  <c:v>128</c:v>
                </c:pt>
                <c:pt idx="8">
                  <c:v>95</c:v>
                </c:pt>
                <c:pt idx="9">
                  <c:v>129</c:v>
                </c:pt>
                <c:pt idx="10">
                  <c:v>119</c:v>
                </c:pt>
                <c:pt idx="11">
                  <c:v>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SPEARMOTORS-NTINDA'!$T$9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SPEARMOTORS-NTINDA'!$R$10:$R$21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SPEARMOTORS-NTINDA'!$T$10:$T$21</c:f>
              <c:numCache>
                <c:formatCode>0</c:formatCode>
                <c:ptCount val="12"/>
                <c:pt idx="0">
                  <c:v>12</c:v>
                </c:pt>
                <c:pt idx="1">
                  <c:v>24</c:v>
                </c:pt>
                <c:pt idx="2">
                  <c:v>29</c:v>
                </c:pt>
                <c:pt idx="3">
                  <c:v>33</c:v>
                </c:pt>
                <c:pt idx="4">
                  <c:v>55</c:v>
                </c:pt>
                <c:pt idx="5">
                  <c:v>50</c:v>
                </c:pt>
                <c:pt idx="6">
                  <c:v>66</c:v>
                </c:pt>
                <c:pt idx="7">
                  <c:v>67</c:v>
                </c:pt>
                <c:pt idx="8">
                  <c:v>76</c:v>
                </c:pt>
                <c:pt idx="9">
                  <c:v>82</c:v>
                </c:pt>
                <c:pt idx="10">
                  <c:v>64</c:v>
                </c:pt>
                <c:pt idx="11">
                  <c:v>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SPEARMOTORS-NTINDA'!$U$9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SPEARMOTORS-NTINDA'!$U$10:$U$21</c:f>
              <c:numCache>
                <c:formatCode>0</c:formatCode>
                <c:ptCount val="12"/>
                <c:pt idx="0">
                  <c:v>10</c:v>
                </c:pt>
                <c:pt idx="1">
                  <c:v>16</c:v>
                </c:pt>
                <c:pt idx="2">
                  <c:v>7</c:v>
                </c:pt>
                <c:pt idx="3">
                  <c:v>10</c:v>
                </c:pt>
                <c:pt idx="4">
                  <c:v>17</c:v>
                </c:pt>
                <c:pt idx="5">
                  <c:v>31</c:v>
                </c:pt>
                <c:pt idx="6">
                  <c:v>20</c:v>
                </c:pt>
                <c:pt idx="7">
                  <c:v>20</c:v>
                </c:pt>
                <c:pt idx="8">
                  <c:v>18</c:v>
                </c:pt>
                <c:pt idx="9">
                  <c:v>24</c:v>
                </c:pt>
                <c:pt idx="10">
                  <c:v>19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SPEARMOTORS-NTINDA'!$V$9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SPEARMOTORS-NTINDA'!$V$10:$V$21</c:f>
              <c:numCache>
                <c:formatCode>0</c:formatCode>
                <c:ptCount val="12"/>
                <c:pt idx="0">
                  <c:v>34</c:v>
                </c:pt>
                <c:pt idx="1">
                  <c:v>56</c:v>
                </c:pt>
                <c:pt idx="2">
                  <c:v>48</c:v>
                </c:pt>
                <c:pt idx="3">
                  <c:v>36</c:v>
                </c:pt>
                <c:pt idx="4">
                  <c:v>48</c:v>
                </c:pt>
                <c:pt idx="5">
                  <c:v>27</c:v>
                </c:pt>
                <c:pt idx="6">
                  <c:v>44</c:v>
                </c:pt>
                <c:pt idx="7">
                  <c:v>46</c:v>
                </c:pt>
                <c:pt idx="8">
                  <c:v>23</c:v>
                </c:pt>
                <c:pt idx="9">
                  <c:v>36</c:v>
                </c:pt>
                <c:pt idx="10">
                  <c:v>39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SPEARMOTORS-NTINDA'!$W$9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SPEARMOTORS-NTINDA'!$W$10:$W$21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SPEARMOTORS-NTINDA'!$X$9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SPEARMOTORS-NTINDA'!$X$10:$X$21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SPEARMOTORS-NTINDA'!$Y$9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SPEARMOTORS-NTINDA'!$Y$10:$Y$21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SPEARMOTORS-NTINDA'!$Z$9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SPEARMOTORS-NTINDA'!$Z$10:$Z$21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3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1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SPEARMOTORS-NTINDA'!$AA$9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SPEARMOTORS-NTINDA'!$AA$10:$AA$21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SPEARMOTORS-NTINDA'!$AB$9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SPEARMOTORS-NTINDA'!$AB$10:$AB$21</c:f>
              <c:numCache>
                <c:formatCode>0</c:formatCode>
                <c:ptCount val="12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5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SPEARMOTORS-NTINDA'!$AC$9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SPEARMOTORS-NTINDA'!$AC$10:$AC$21</c:f>
              <c:numCache>
                <c:formatCode>0</c:formatCode>
                <c:ptCount val="12"/>
                <c:pt idx="0">
                  <c:v>176</c:v>
                </c:pt>
                <c:pt idx="1">
                  <c:v>218</c:v>
                </c:pt>
                <c:pt idx="2">
                  <c:v>232</c:v>
                </c:pt>
                <c:pt idx="3">
                  <c:v>319</c:v>
                </c:pt>
                <c:pt idx="4">
                  <c:v>195</c:v>
                </c:pt>
                <c:pt idx="5">
                  <c:v>141</c:v>
                </c:pt>
                <c:pt idx="6">
                  <c:v>165</c:v>
                </c:pt>
                <c:pt idx="7">
                  <c:v>176</c:v>
                </c:pt>
                <c:pt idx="8">
                  <c:v>233</c:v>
                </c:pt>
                <c:pt idx="9">
                  <c:v>234</c:v>
                </c:pt>
                <c:pt idx="10">
                  <c:v>330</c:v>
                </c:pt>
                <c:pt idx="11">
                  <c:v>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SPEARMOTORS-NTINDA'!$AD$9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SPEARMOTORS-NTINDA'!$AD$10:$AD$21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SPEARMOTORS-NTINDA'!$C$9:$N$9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SPEARMOTORS-NTINDA'!$C$60:$N$60</c:f>
              <c:numCache>
                <c:formatCode>0.00%</c:formatCode>
                <c:ptCount val="12"/>
                <c:pt idx="0">
                  <c:v>0.42655699177438305</c:v>
                </c:pt>
                <c:pt idx="1">
                  <c:v>0.25381903642773207</c:v>
                </c:pt>
                <c:pt idx="2">
                  <c:v>8.3039561300430872E-2</c:v>
                </c:pt>
                <c:pt idx="3">
                  <c:v>0.18644731688209948</c:v>
                </c:pt>
                <c:pt idx="4">
                  <c:v>7.833920877399138E-4</c:v>
                </c:pt>
                <c:pt idx="5">
                  <c:v>0</c:v>
                </c:pt>
                <c:pt idx="6">
                  <c:v>1.2142577359968664E-2</c:v>
                </c:pt>
                <c:pt idx="7">
                  <c:v>1.2925969447708578E-2</c:v>
                </c:pt>
                <c:pt idx="8">
                  <c:v>4.7003525264394828E-3</c:v>
                </c:pt>
                <c:pt idx="9">
                  <c:v>1.9193106149627888E-2</c:v>
                </c:pt>
                <c:pt idx="11">
                  <c:v>3.916960438699569E-4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Ntinda-SpearMotors'!$AE$9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Ntinda-SpearMotors'!$R$10:$R$33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Ntinda-SpearMotors'!$AE$10:$AE$33</c:f>
              <c:numCache>
                <c:formatCode>0</c:formatCode>
                <c:ptCount val="24"/>
                <c:pt idx="0">
                  <c:v>231.28571428571428</c:v>
                </c:pt>
                <c:pt idx="1">
                  <c:v>166.71428571428572</c:v>
                </c:pt>
                <c:pt idx="2">
                  <c:v>186</c:v>
                </c:pt>
                <c:pt idx="3">
                  <c:v>187.85714285714286</c:v>
                </c:pt>
                <c:pt idx="4">
                  <c:v>207.71428571428572</c:v>
                </c:pt>
                <c:pt idx="5">
                  <c:v>184.85714285714286</c:v>
                </c:pt>
                <c:pt idx="6">
                  <c:v>194</c:v>
                </c:pt>
                <c:pt idx="7">
                  <c:v>188.71428571428572</c:v>
                </c:pt>
                <c:pt idx="8">
                  <c:v>202.42857142857142</c:v>
                </c:pt>
                <c:pt idx="9">
                  <c:v>244.14285714285717</c:v>
                </c:pt>
                <c:pt idx="10">
                  <c:v>208.14285714285717</c:v>
                </c:pt>
                <c:pt idx="11">
                  <c:v>171.71428571428572</c:v>
                </c:pt>
                <c:pt idx="12">
                  <c:v>157</c:v>
                </c:pt>
                <c:pt idx="13">
                  <c:v>177.5</c:v>
                </c:pt>
                <c:pt idx="14">
                  <c:v>176.5</c:v>
                </c:pt>
                <c:pt idx="15">
                  <c:v>159</c:v>
                </c:pt>
                <c:pt idx="16">
                  <c:v>126</c:v>
                </c:pt>
                <c:pt idx="17">
                  <c:v>75</c:v>
                </c:pt>
                <c:pt idx="18">
                  <c:v>58</c:v>
                </c:pt>
                <c:pt idx="19">
                  <c:v>34.5</c:v>
                </c:pt>
                <c:pt idx="20">
                  <c:v>32</c:v>
                </c:pt>
                <c:pt idx="21">
                  <c:v>29</c:v>
                </c:pt>
                <c:pt idx="22">
                  <c:v>57</c:v>
                </c:pt>
                <c:pt idx="23">
                  <c:v>153.5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Ntinda-SpearMotors'!$AF$9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Ntinda-SpearMotors'!$R$10:$R$33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Ntinda-SpearMotors'!$AF$10:$AF$33</c:f>
              <c:numCache>
                <c:formatCode>0</c:formatCode>
                <c:ptCount val="24"/>
                <c:pt idx="0">
                  <c:v>706.85714285714289</c:v>
                </c:pt>
                <c:pt idx="1">
                  <c:v>717.85714285714289</c:v>
                </c:pt>
                <c:pt idx="2">
                  <c:v>692.42857142857133</c:v>
                </c:pt>
                <c:pt idx="3">
                  <c:v>634.71428571428578</c:v>
                </c:pt>
                <c:pt idx="4">
                  <c:v>609.14285714285711</c:v>
                </c:pt>
                <c:pt idx="5">
                  <c:v>567.71428571428567</c:v>
                </c:pt>
                <c:pt idx="6">
                  <c:v>593.14285714285722</c:v>
                </c:pt>
                <c:pt idx="7">
                  <c:v>610.42857142857144</c:v>
                </c:pt>
                <c:pt idx="8">
                  <c:v>640.71428571428578</c:v>
                </c:pt>
                <c:pt idx="9">
                  <c:v>712</c:v>
                </c:pt>
                <c:pt idx="10">
                  <c:v>718.71428571428578</c:v>
                </c:pt>
                <c:pt idx="11">
                  <c:v>706.28571428571422</c:v>
                </c:pt>
                <c:pt idx="12">
                  <c:v>608</c:v>
                </c:pt>
                <c:pt idx="13">
                  <c:v>571.5</c:v>
                </c:pt>
                <c:pt idx="14">
                  <c:v>517</c:v>
                </c:pt>
                <c:pt idx="15">
                  <c:v>461.5</c:v>
                </c:pt>
                <c:pt idx="16">
                  <c:v>319.5</c:v>
                </c:pt>
                <c:pt idx="17">
                  <c:v>230.5</c:v>
                </c:pt>
                <c:pt idx="18">
                  <c:v>108.5</c:v>
                </c:pt>
                <c:pt idx="19">
                  <c:v>83</c:v>
                </c:pt>
                <c:pt idx="20">
                  <c:v>64.5</c:v>
                </c:pt>
                <c:pt idx="21">
                  <c:v>62.5</c:v>
                </c:pt>
                <c:pt idx="22">
                  <c:v>173</c:v>
                </c:pt>
                <c:pt idx="23">
                  <c:v>383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7595868698230899E-3"/>
          <c:y val="0.20224950036585235"/>
          <c:w val="0.81785744963697715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Ntinda-SpearMotors'!$C$9:$N$9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Ntinda-SpearMotors'!$C$107:$N$107</c:f>
              <c:numCache>
                <c:formatCode>0.0%</c:formatCode>
                <c:ptCount val="12"/>
                <c:pt idx="0">
                  <c:v>0.12813325460704186</c:v>
                </c:pt>
                <c:pt idx="1">
                  <c:v>7.348892134621958E-2</c:v>
                </c:pt>
                <c:pt idx="2">
                  <c:v>2.6159917958917304E-2</c:v>
                </c:pt>
                <c:pt idx="3">
                  <c:v>4.3233164486155565E-2</c:v>
                </c:pt>
                <c:pt idx="4">
                  <c:v>5.0343391652941363E-4</c:v>
                </c:pt>
                <c:pt idx="5">
                  <c:v>2.2996364088380617E-4</c:v>
                </c:pt>
                <c:pt idx="6">
                  <c:v>1.1529258211877313E-2</c:v>
                </c:pt>
                <c:pt idx="7">
                  <c:v>8.4154262096398282E-3</c:v>
                </c:pt>
                <c:pt idx="8">
                  <c:v>4.7732993567233296E-3</c:v>
                </c:pt>
                <c:pt idx="9">
                  <c:v>1.7452375773019679E-2</c:v>
                </c:pt>
                <c:pt idx="10">
                  <c:v>0.6860064016905435</c:v>
                </c:pt>
                <c:pt idx="11">
                  <c:v>7.4582802448801999E-5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layout>
        <c:manualLayout>
          <c:xMode val="edge"/>
          <c:yMode val="edge"/>
          <c:x val="0.17652136158086307"/>
          <c:y val="9.9875156054931337E-3"/>
        </c:manualLayout>
      </c:layout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Ntinda-SpearMotors'!$C$9:$N$9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Ntinda-SpearMotors'!$C$108:$N$108</c:f>
              <c:numCache>
                <c:formatCode>0.00%</c:formatCode>
                <c:ptCount val="12"/>
                <c:pt idx="0">
                  <c:v>0.40807600950118766</c:v>
                </c:pt>
                <c:pt idx="1">
                  <c:v>0.23404592240696753</c:v>
                </c:pt>
                <c:pt idx="2">
                  <c:v>8.3313539192399047E-2</c:v>
                </c:pt>
                <c:pt idx="3">
                  <c:v>0.13768804433887569</c:v>
                </c:pt>
                <c:pt idx="4">
                  <c:v>1.6033254156769599E-3</c:v>
                </c:pt>
                <c:pt idx="5">
                  <c:v>7.3238321456848762E-4</c:v>
                </c:pt>
                <c:pt idx="6">
                  <c:v>3.671813143309581E-2</c:v>
                </c:pt>
                <c:pt idx="7">
                  <c:v>2.6801266825019796E-2</c:v>
                </c:pt>
                <c:pt idx="8">
                  <c:v>1.5201900237529693E-2</c:v>
                </c:pt>
                <c:pt idx="9">
                  <c:v>5.5581947743467953E-2</c:v>
                </c:pt>
                <c:pt idx="11">
                  <c:v>2.375296912114014E-4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SpearMotors-Ntinda'!$AE$9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SpearMotors-Ntinda'!$R$10:$R$33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SpearMotors-Ntinda'!$AE$10:$AE$33</c:f>
              <c:numCache>
                <c:formatCode>0</c:formatCode>
                <c:ptCount val="24"/>
                <c:pt idx="0">
                  <c:v>281.57142857142867</c:v>
                </c:pt>
                <c:pt idx="1">
                  <c:v>227.85714285714286</c:v>
                </c:pt>
                <c:pt idx="2">
                  <c:v>215.42857142857142</c:v>
                </c:pt>
                <c:pt idx="3">
                  <c:v>209.42857142857142</c:v>
                </c:pt>
                <c:pt idx="4">
                  <c:v>208.28571428571431</c:v>
                </c:pt>
                <c:pt idx="5">
                  <c:v>219.71428571428569</c:v>
                </c:pt>
                <c:pt idx="6">
                  <c:v>226.57142857142858</c:v>
                </c:pt>
                <c:pt idx="7">
                  <c:v>224.28571428571431</c:v>
                </c:pt>
                <c:pt idx="8">
                  <c:v>229.28571428571428</c:v>
                </c:pt>
                <c:pt idx="9">
                  <c:v>240</c:v>
                </c:pt>
                <c:pt idx="10">
                  <c:v>241.28571428571431</c:v>
                </c:pt>
                <c:pt idx="11">
                  <c:v>257.71428571428572</c:v>
                </c:pt>
                <c:pt idx="12">
                  <c:v>245</c:v>
                </c:pt>
                <c:pt idx="13">
                  <c:v>301</c:v>
                </c:pt>
                <c:pt idx="14">
                  <c:v>338</c:v>
                </c:pt>
                <c:pt idx="15">
                  <c:v>295.5</c:v>
                </c:pt>
                <c:pt idx="16">
                  <c:v>210</c:v>
                </c:pt>
                <c:pt idx="17">
                  <c:v>107.5</c:v>
                </c:pt>
                <c:pt idx="18">
                  <c:v>40.5</c:v>
                </c:pt>
                <c:pt idx="19">
                  <c:v>27.5</c:v>
                </c:pt>
                <c:pt idx="20">
                  <c:v>49</c:v>
                </c:pt>
                <c:pt idx="21">
                  <c:v>28</c:v>
                </c:pt>
                <c:pt idx="22">
                  <c:v>48.5</c:v>
                </c:pt>
                <c:pt idx="23">
                  <c:v>99.5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SpearMotors-Ntinda'!$AF$9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SpearMotors-Ntinda'!$R$10:$R$33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SpearMotors-Ntinda'!$AF$10:$AF$33</c:f>
              <c:numCache>
                <c:formatCode>0</c:formatCode>
                <c:ptCount val="24"/>
                <c:pt idx="0">
                  <c:v>814.85714285714289</c:v>
                </c:pt>
                <c:pt idx="1">
                  <c:v>847.42857142857144</c:v>
                </c:pt>
                <c:pt idx="2">
                  <c:v>830.28571428571422</c:v>
                </c:pt>
                <c:pt idx="3">
                  <c:v>763.57142857142867</c:v>
                </c:pt>
                <c:pt idx="4">
                  <c:v>679.85714285714289</c:v>
                </c:pt>
                <c:pt idx="5">
                  <c:v>647.71428571428567</c:v>
                </c:pt>
                <c:pt idx="6">
                  <c:v>608.28571428571433</c:v>
                </c:pt>
                <c:pt idx="7">
                  <c:v>597.57142857142856</c:v>
                </c:pt>
                <c:pt idx="8">
                  <c:v>653.14285714285711</c:v>
                </c:pt>
                <c:pt idx="9">
                  <c:v>754.57142857142867</c:v>
                </c:pt>
                <c:pt idx="10">
                  <c:v>778</c:v>
                </c:pt>
                <c:pt idx="11">
                  <c:v>765.71428571428567</c:v>
                </c:pt>
                <c:pt idx="12">
                  <c:v>646</c:v>
                </c:pt>
                <c:pt idx="13">
                  <c:v>635.5</c:v>
                </c:pt>
                <c:pt idx="14">
                  <c:v>629.5</c:v>
                </c:pt>
                <c:pt idx="15">
                  <c:v>504</c:v>
                </c:pt>
                <c:pt idx="16">
                  <c:v>350</c:v>
                </c:pt>
                <c:pt idx="17">
                  <c:v>190.5</c:v>
                </c:pt>
                <c:pt idx="18">
                  <c:v>75</c:v>
                </c:pt>
                <c:pt idx="19">
                  <c:v>64.5</c:v>
                </c:pt>
                <c:pt idx="20">
                  <c:v>70.5</c:v>
                </c:pt>
                <c:pt idx="21">
                  <c:v>56</c:v>
                </c:pt>
                <c:pt idx="22">
                  <c:v>96.5</c:v>
                </c:pt>
                <c:pt idx="23">
                  <c:v>242.5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3835389468824542E-2"/>
          <c:y val="0.15231884849345287"/>
          <c:w val="0.8176712406063249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SpearMotors-Ntinda'!$C$9:$N$9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SpearMotors-Ntinda'!$C$107:$N$107</c:f>
              <c:numCache>
                <c:formatCode>0.0%</c:formatCode>
                <c:ptCount val="12"/>
                <c:pt idx="0">
                  <c:v>0.14825718117999553</c:v>
                </c:pt>
                <c:pt idx="1">
                  <c:v>9.2085169636687753E-2</c:v>
                </c:pt>
                <c:pt idx="2">
                  <c:v>2.7470517532705078E-2</c:v>
                </c:pt>
                <c:pt idx="3">
                  <c:v>5.5231359706423733E-2</c:v>
                </c:pt>
                <c:pt idx="4">
                  <c:v>1.0393622148286217E-3</c:v>
                </c:pt>
                <c:pt idx="5">
                  <c:v>2.4967919127168002E-4</c:v>
                </c:pt>
                <c:pt idx="6">
                  <c:v>1.1682663554386515E-2</c:v>
                </c:pt>
                <c:pt idx="7">
                  <c:v>7.7632809007031648E-3</c:v>
                </c:pt>
                <c:pt idx="8">
                  <c:v>6.8458550351002505E-3</c:v>
                </c:pt>
                <c:pt idx="9">
                  <c:v>2.0932406617079222E-2</c:v>
                </c:pt>
                <c:pt idx="10">
                  <c:v>0.62838445950261579</c:v>
                </c:pt>
                <c:pt idx="11">
                  <c:v>5.8064928202716279E-5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layout>
        <c:manualLayout>
          <c:xMode val="edge"/>
          <c:yMode val="edge"/>
          <c:x val="0.13234957390455995"/>
          <c:y val="1.7702894944823317E-2"/>
        </c:manualLayout>
      </c:layout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4585881761437956E-2"/>
          <c:y val="0.24801568948862804"/>
          <c:w val="0.82101228366016787"/>
          <c:h val="0.7502289611568070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SpearMotors-Ntinda'!$C$9:$N$9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SpearMotors-Ntinda'!$C$108:$N$108</c:f>
              <c:numCache>
                <c:formatCode>0.00%</c:formatCode>
                <c:ptCount val="12"/>
                <c:pt idx="0">
                  <c:v>0.39895312500000013</c:v>
                </c:pt>
                <c:pt idx="1">
                  <c:v>0.24779687500000003</c:v>
                </c:pt>
                <c:pt idx="2">
                  <c:v>7.3921875000000012E-2</c:v>
                </c:pt>
                <c:pt idx="3">
                  <c:v>0.14862500000000003</c:v>
                </c:pt>
                <c:pt idx="4">
                  <c:v>2.7968750000000012E-3</c:v>
                </c:pt>
                <c:pt idx="5">
                  <c:v>6.7187500000000005E-4</c:v>
                </c:pt>
                <c:pt idx="6">
                  <c:v>3.14375E-2</c:v>
                </c:pt>
                <c:pt idx="7">
                  <c:v>2.0890624999999996E-2</c:v>
                </c:pt>
                <c:pt idx="8">
                  <c:v>1.8421875000000004E-2</c:v>
                </c:pt>
                <c:pt idx="9">
                  <c:v>5.6328125000000007E-2</c:v>
                </c:pt>
                <c:pt idx="11">
                  <c:v>1.5625E-4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798488188976384E-2"/>
          <c:y val="0.14138005726874206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Ntinda-SpearMotor-2Dir'!$C$9:$N$9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Ntinda-SpearMotor-2Dir'!$C$107:$N$107</c:f>
              <c:numCache>
                <c:formatCode>0.0%</c:formatCode>
                <c:ptCount val="12"/>
                <c:pt idx="0">
                  <c:v>0.13853732633677157</c:v>
                </c:pt>
                <c:pt idx="1">
                  <c:v>8.3103183275495651E-2</c:v>
                </c:pt>
                <c:pt idx="2">
                  <c:v>2.683749804872777E-2</c:v>
                </c:pt>
                <c:pt idx="3">
                  <c:v>4.9436232423540151E-2</c:v>
                </c:pt>
                <c:pt idx="4">
                  <c:v>7.8050889179745214E-4</c:v>
                </c:pt>
                <c:pt idx="5">
                  <c:v>2.4015658209152369E-4</c:v>
                </c:pt>
                <c:pt idx="6">
                  <c:v>1.1608568786849025E-2</c:v>
                </c:pt>
                <c:pt idx="7">
                  <c:v>8.0782670301036315E-3</c:v>
                </c:pt>
                <c:pt idx="8">
                  <c:v>5.8448108166524572E-3</c:v>
                </c:pt>
                <c:pt idx="9">
                  <c:v>1.9251552011911772E-2</c:v>
                </c:pt>
                <c:pt idx="10">
                  <c:v>0.65621585273598404</c:v>
                </c:pt>
                <c:pt idx="11">
                  <c:v>6.6043060075169006E-5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layout>
        <c:manualLayout>
          <c:xMode val="edge"/>
          <c:yMode val="edge"/>
          <c:x val="0.14216552672151619"/>
          <c:y val="1.9199999999999998E-2"/>
        </c:manualLayout>
      </c:layout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3484034176578991"/>
          <c:y val="0.23517733922073711"/>
          <c:w val="0.82819165689395213"/>
          <c:h val="0.758863473582753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Ntinda-SpearMotor-2Dir'!$C$9:$N$9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Ntinda-SpearMotor-2Dir'!$C$108:$N$108</c:f>
              <c:numCache>
                <c:formatCode>0.00%</c:formatCode>
                <c:ptCount val="12"/>
                <c:pt idx="0">
                  <c:v>0.40297764582605644</c:v>
                </c:pt>
                <c:pt idx="1">
                  <c:v>0.24173070206077543</c:v>
                </c:pt>
                <c:pt idx="2">
                  <c:v>7.8064966818023024E-2</c:v>
                </c:pt>
                <c:pt idx="3">
                  <c:v>0.1438002095703807</c:v>
                </c:pt>
                <c:pt idx="4">
                  <c:v>2.2703457911281873E-3</c:v>
                </c:pt>
                <c:pt idx="5">
                  <c:v>6.9856793573174977E-4</c:v>
                </c:pt>
                <c:pt idx="6">
                  <c:v>3.3767027593433453E-2</c:v>
                </c:pt>
                <c:pt idx="7">
                  <c:v>2.3498078938176743E-2</c:v>
                </c:pt>
                <c:pt idx="8">
                  <c:v>1.7001397135871461E-2</c:v>
                </c:pt>
                <c:pt idx="9">
                  <c:v>5.5998952148096408E-2</c:v>
                </c:pt>
                <c:pt idx="11">
                  <c:v>1.9210618232623117E-4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205989512129785E-2"/>
          <c:y val="9.5768624478110825E-2"/>
          <c:w val="0.88636855234397283"/>
          <c:h val="0.65054452836231913"/>
        </c:manualLayout>
      </c:layout>
      <c:lineChart>
        <c:grouping val="standard"/>
        <c:varyColors val="0"/>
        <c:ser>
          <c:idx val="0"/>
          <c:order val="0"/>
          <c:tx>
            <c:strRef>
              <c:f>'Avg Week Ntinda-SpearMotor-2Dir'!$AE$9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Ntinda-SpearMotor-2Dir'!$R$10:$R$33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Ntinda-SpearMotor-2Dir'!$AE$10:$AE$33</c:f>
              <c:numCache>
                <c:formatCode>0</c:formatCode>
                <c:ptCount val="24"/>
                <c:pt idx="0">
                  <c:v>512.85714285714278</c:v>
                </c:pt>
                <c:pt idx="1">
                  <c:v>394.57142857142861</c:v>
                </c:pt>
                <c:pt idx="2">
                  <c:v>401.42857142857139</c:v>
                </c:pt>
                <c:pt idx="3">
                  <c:v>397.28571428571428</c:v>
                </c:pt>
                <c:pt idx="4">
                  <c:v>416</c:v>
                </c:pt>
                <c:pt idx="5">
                  <c:v>404.57142857142856</c:v>
                </c:pt>
                <c:pt idx="6">
                  <c:v>420.57142857142856</c:v>
                </c:pt>
                <c:pt idx="7">
                  <c:v>413</c:v>
                </c:pt>
                <c:pt idx="8">
                  <c:v>431.71428571428567</c:v>
                </c:pt>
                <c:pt idx="9">
                  <c:v>484.14285714285717</c:v>
                </c:pt>
                <c:pt idx="10">
                  <c:v>449.42857142857144</c:v>
                </c:pt>
                <c:pt idx="11">
                  <c:v>429.42857142857144</c:v>
                </c:pt>
                <c:pt idx="12">
                  <c:v>402</c:v>
                </c:pt>
                <c:pt idx="13">
                  <c:v>478.5</c:v>
                </c:pt>
                <c:pt idx="14">
                  <c:v>514.5</c:v>
                </c:pt>
                <c:pt idx="15">
                  <c:v>454.5</c:v>
                </c:pt>
                <c:pt idx="16">
                  <c:v>336</c:v>
                </c:pt>
                <c:pt idx="17">
                  <c:v>182.5</c:v>
                </c:pt>
                <c:pt idx="18">
                  <c:v>98.5</c:v>
                </c:pt>
                <c:pt idx="19">
                  <c:v>62</c:v>
                </c:pt>
                <c:pt idx="20">
                  <c:v>81</c:v>
                </c:pt>
                <c:pt idx="21">
                  <c:v>57</c:v>
                </c:pt>
                <c:pt idx="22">
                  <c:v>105.5</c:v>
                </c:pt>
                <c:pt idx="23">
                  <c:v>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36-4B0C-AED0-2F434F3FB464}"/>
            </c:ext>
          </c:extLst>
        </c:ser>
        <c:ser>
          <c:idx val="1"/>
          <c:order val="1"/>
          <c:tx>
            <c:strRef>
              <c:f>'Avg Week Ntinda-SpearMotor-2Dir'!$AF$9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Ntinda-SpearMotor-2Dir'!$R$10:$R$33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Ntinda-SpearMotor-2Dir'!$AF$10:$AF$33</c:f>
              <c:numCache>
                <c:formatCode>0</c:formatCode>
                <c:ptCount val="24"/>
                <c:pt idx="0">
                  <c:v>1521.7142857142858</c:v>
                </c:pt>
                <c:pt idx="1">
                  <c:v>1565.2857142857142</c:v>
                </c:pt>
                <c:pt idx="2">
                  <c:v>1522.7142857142858</c:v>
                </c:pt>
                <c:pt idx="3">
                  <c:v>1398.2857142857142</c:v>
                </c:pt>
                <c:pt idx="4">
                  <c:v>1289</c:v>
                </c:pt>
                <c:pt idx="5">
                  <c:v>1215.4285714285713</c:v>
                </c:pt>
                <c:pt idx="6">
                  <c:v>1201.4285714285716</c:v>
                </c:pt>
                <c:pt idx="7">
                  <c:v>1208</c:v>
                </c:pt>
                <c:pt idx="8">
                  <c:v>1293.8571428571431</c:v>
                </c:pt>
                <c:pt idx="9">
                  <c:v>1466.5714285714287</c:v>
                </c:pt>
                <c:pt idx="10">
                  <c:v>1496.7142857142858</c:v>
                </c:pt>
                <c:pt idx="11">
                  <c:v>1472</c:v>
                </c:pt>
                <c:pt idx="12">
                  <c:v>1254</c:v>
                </c:pt>
                <c:pt idx="13">
                  <c:v>1207</c:v>
                </c:pt>
                <c:pt idx="14">
                  <c:v>1146.5</c:v>
                </c:pt>
                <c:pt idx="15">
                  <c:v>965.5</c:v>
                </c:pt>
                <c:pt idx="16">
                  <c:v>669.5</c:v>
                </c:pt>
                <c:pt idx="17">
                  <c:v>421</c:v>
                </c:pt>
                <c:pt idx="18">
                  <c:v>183.5</c:v>
                </c:pt>
                <c:pt idx="19">
                  <c:v>147.5</c:v>
                </c:pt>
                <c:pt idx="20">
                  <c:v>135</c:v>
                </c:pt>
                <c:pt idx="21">
                  <c:v>118.5</c:v>
                </c:pt>
                <c:pt idx="22">
                  <c:v>269.5</c:v>
                </c:pt>
                <c:pt idx="23">
                  <c:v>625.5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36-4B0C-AED0-2F434F3FB464}"/>
            </c:ext>
          </c:extLst>
        </c:ser>
        <c:ser>
          <c:idx val="5"/>
          <c:order val="2"/>
          <c:tx>
            <c:strRef>
              <c:f>'Avg Week Ntinda-SpearMotor-2Dir'!$AC$9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Ntinda-SpearMotor-2Dir'!$R$10:$R$33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Ntinda-SpearMotor-2Dir'!$AC$10:$AC$33</c:f>
              <c:numCache>
                <c:formatCode>0</c:formatCode>
                <c:ptCount val="24"/>
                <c:pt idx="0">
                  <c:v>1008.8571428571429</c:v>
                </c:pt>
                <c:pt idx="1">
                  <c:v>1170.7142857142858</c:v>
                </c:pt>
                <c:pt idx="2">
                  <c:v>1121.2857142857142</c:v>
                </c:pt>
                <c:pt idx="3">
                  <c:v>1001</c:v>
                </c:pt>
                <c:pt idx="4">
                  <c:v>873</c:v>
                </c:pt>
                <c:pt idx="5">
                  <c:v>810.85714285714278</c:v>
                </c:pt>
                <c:pt idx="6">
                  <c:v>780.85714285714289</c:v>
                </c:pt>
                <c:pt idx="7">
                  <c:v>795</c:v>
                </c:pt>
                <c:pt idx="8">
                  <c:v>862.14285714285711</c:v>
                </c:pt>
                <c:pt idx="9">
                  <c:v>982.42857142857156</c:v>
                </c:pt>
                <c:pt idx="10">
                  <c:v>1047.2857142857142</c:v>
                </c:pt>
                <c:pt idx="11">
                  <c:v>1042.5714285714284</c:v>
                </c:pt>
                <c:pt idx="12">
                  <c:v>852</c:v>
                </c:pt>
                <c:pt idx="13">
                  <c:v>728.5</c:v>
                </c:pt>
                <c:pt idx="14">
                  <c:v>632</c:v>
                </c:pt>
                <c:pt idx="15">
                  <c:v>511</c:v>
                </c:pt>
                <c:pt idx="16">
                  <c:v>333.5</c:v>
                </c:pt>
                <c:pt idx="17">
                  <c:v>238.5</c:v>
                </c:pt>
                <c:pt idx="18">
                  <c:v>85</c:v>
                </c:pt>
                <c:pt idx="19">
                  <c:v>85.5</c:v>
                </c:pt>
                <c:pt idx="20">
                  <c:v>54</c:v>
                </c:pt>
                <c:pt idx="21">
                  <c:v>61.5</c:v>
                </c:pt>
                <c:pt idx="22">
                  <c:v>164</c:v>
                </c:pt>
                <c:pt idx="23">
                  <c:v>372.5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36-4B0C-AED0-2F434F3FB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Ntinda-SpearMotor-2Dir'!$S$9:$AF$9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Ntinda-SpearMotor-2Dir'!$S$41:$AF$41</c:f>
              <c:numCache>
                <c:formatCode>0</c:formatCode>
                <c:ptCount val="14"/>
                <c:pt idx="0">
                  <c:v>3296.3571428571431</c:v>
                </c:pt>
                <c:pt idx="1">
                  <c:v>1977.3571428571429</c:v>
                </c:pt>
                <c:pt idx="2">
                  <c:v>638.57142857142867</c:v>
                </c:pt>
                <c:pt idx="3">
                  <c:v>1176.2857142857142</c:v>
                </c:pt>
                <c:pt idx="4">
                  <c:v>18.571428571428569</c:v>
                </c:pt>
                <c:pt idx="5">
                  <c:v>5.7142857142857135</c:v>
                </c:pt>
                <c:pt idx="6">
                  <c:v>276.21428571428578</c:v>
                </c:pt>
                <c:pt idx="7">
                  <c:v>192.21428571428567</c:v>
                </c:pt>
                <c:pt idx="8">
                  <c:v>139.07142857142856</c:v>
                </c:pt>
                <c:pt idx="9">
                  <c:v>458.07142857142856</c:v>
                </c:pt>
                <c:pt idx="10">
                  <c:v>15614</c:v>
                </c:pt>
                <c:pt idx="11">
                  <c:v>1.5714285714285712</c:v>
                </c:pt>
                <c:pt idx="12">
                  <c:v>8180</c:v>
                </c:pt>
                <c:pt idx="13">
                  <c:v>23794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06-4CC8-8391-0A0F84DAAA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Ntinda-SpearMotor-2Dir'!$S$9:$AF$9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Ntinda-SpearMotor-2Dir'!$S$42:$AF$42</c:f>
              <c:numCache>
                <c:formatCode>0.000</c:formatCode>
                <c:ptCount val="14"/>
                <c:pt idx="0">
                  <c:v>1.6853772551311081</c:v>
                </c:pt>
                <c:pt idx="1">
                  <c:v>1.8328257415254237</c:v>
                </c:pt>
                <c:pt idx="2">
                  <c:v>1.4830789648307898</c:v>
                </c:pt>
                <c:pt idx="3">
                  <c:v>1.519188191881919</c:v>
                </c:pt>
                <c:pt idx="4">
                  <c:v>1.6049382716049383</c:v>
                </c:pt>
                <c:pt idx="5">
                  <c:v>1.5384615384615388</c:v>
                </c:pt>
                <c:pt idx="6">
                  <c:v>1.2183364839319473</c:v>
                </c:pt>
                <c:pt idx="7">
                  <c:v>1.2265268915223337</c:v>
                </c:pt>
                <c:pt idx="8">
                  <c:v>1.1930147058823528</c:v>
                </c:pt>
                <c:pt idx="9">
                  <c:v>1.1492831541218638</c:v>
                </c:pt>
                <c:pt idx="10">
                  <c:v>1.3582115518441198</c:v>
                </c:pt>
                <c:pt idx="11">
                  <c:v>1</c:v>
                </c:pt>
                <c:pt idx="12">
                  <c:v>1.5868089233753637</c:v>
                </c:pt>
                <c:pt idx="13">
                  <c:v>1.4289832442495947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E-4423-BA43-CB8D303321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41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603251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74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41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279400</xdr:rowOff>
    </xdr:from>
    <xdr:to>
      <xdr:col>31</xdr:col>
      <xdr:colOff>587375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254000</xdr:rowOff>
    </xdr:from>
    <xdr:to>
      <xdr:col>24</xdr:col>
      <xdr:colOff>698500</xdr:colOff>
      <xdr:row>92</xdr:row>
      <xdr:rowOff>285749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25</xdr:col>
      <xdr:colOff>0</xdr:colOff>
      <xdr:row>75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43</xdr:row>
      <xdr:rowOff>0</xdr:rowOff>
    </xdr:from>
    <xdr:to>
      <xdr:col>28</xdr:col>
      <xdr:colOff>15876</xdr:colOff>
      <xdr:row>58</xdr:row>
      <xdr:rowOff>285749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539750</xdr:colOff>
      <xdr:row>74</xdr:row>
      <xdr:rowOff>284163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75</xdr:row>
      <xdr:rowOff>0</xdr:rowOff>
    </xdr:from>
    <xdr:to>
      <xdr:col>31</xdr:col>
      <xdr:colOff>555625</xdr:colOff>
      <xdr:row>93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0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">
        <v>163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2" t="s">
        <v>165</v>
      </c>
      <c r="H5" s="53"/>
      <c r="I5" s="14"/>
      <c r="J5" s="2" t="s">
        <v>5</v>
      </c>
      <c r="K5" s="52" t="s">
        <v>169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">
        <v>166</v>
      </c>
      <c r="E6" s="53"/>
      <c r="F6" s="2" t="s">
        <v>2</v>
      </c>
      <c r="G6" s="52" t="s">
        <v>167</v>
      </c>
      <c r="H6" s="53"/>
      <c r="J6" s="2" t="s">
        <v>21</v>
      </c>
      <c r="K6" s="52" t="s">
        <v>168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23</v>
      </c>
      <c r="D10" s="50">
        <v>16</v>
      </c>
      <c r="E10" s="50">
        <v>12</v>
      </c>
      <c r="F10" s="50">
        <v>13</v>
      </c>
      <c r="G10" s="50">
        <v>2</v>
      </c>
      <c r="H10" s="50">
        <v>0</v>
      </c>
      <c r="I10" s="50">
        <v>12</v>
      </c>
      <c r="J10" s="50">
        <v>0</v>
      </c>
      <c r="K10" s="50">
        <v>0</v>
      </c>
      <c r="L10" s="50">
        <v>3</v>
      </c>
      <c r="M10" s="50">
        <v>153</v>
      </c>
      <c r="N10" s="50">
        <v>0</v>
      </c>
      <c r="O10" s="15">
        <f t="shared" ref="O10:O57" si="0">SUM(C10:L10,N10)</f>
        <v>81</v>
      </c>
      <c r="P10" s="15">
        <f t="shared" ref="P10:P57" si="1">SUM(C10:N10)</f>
        <v>234</v>
      </c>
      <c r="R10" s="1" t="s">
        <v>6</v>
      </c>
      <c r="S10" s="17">
        <f t="shared" ref="S10:AF10" si="2">SUM(C10:C13)</f>
        <v>75</v>
      </c>
      <c r="T10" s="17">
        <f t="shared" si="2"/>
        <v>55</v>
      </c>
      <c r="U10" s="17">
        <f t="shared" si="2"/>
        <v>48</v>
      </c>
      <c r="V10" s="17">
        <f t="shared" si="2"/>
        <v>71</v>
      </c>
      <c r="W10" s="17">
        <f t="shared" si="2"/>
        <v>3</v>
      </c>
      <c r="X10" s="17">
        <f t="shared" si="2"/>
        <v>0</v>
      </c>
      <c r="Y10" s="17">
        <f t="shared" si="2"/>
        <v>17</v>
      </c>
      <c r="Z10" s="17">
        <f t="shared" si="2"/>
        <v>10</v>
      </c>
      <c r="AA10" s="17">
        <f t="shared" si="2"/>
        <v>3</v>
      </c>
      <c r="AB10" s="17">
        <f t="shared" si="2"/>
        <v>3</v>
      </c>
      <c r="AC10" s="17">
        <f t="shared" si="2"/>
        <v>406</v>
      </c>
      <c r="AD10" s="17">
        <f t="shared" si="2"/>
        <v>0</v>
      </c>
      <c r="AE10" s="31">
        <f t="shared" si="2"/>
        <v>285</v>
      </c>
      <c r="AF10" s="31">
        <f t="shared" si="2"/>
        <v>691</v>
      </c>
    </row>
    <row r="11" spans="2:32" s="6" customFormat="1" ht="23.1" customHeight="1" x14ac:dyDescent="0.25">
      <c r="B11" s="23" t="s">
        <v>38</v>
      </c>
      <c r="C11" s="50">
        <v>33</v>
      </c>
      <c r="D11" s="50">
        <v>22</v>
      </c>
      <c r="E11" s="50">
        <v>10</v>
      </c>
      <c r="F11" s="50">
        <v>22</v>
      </c>
      <c r="G11" s="50">
        <v>0</v>
      </c>
      <c r="H11" s="50">
        <v>0</v>
      </c>
      <c r="I11" s="50">
        <v>2</v>
      </c>
      <c r="J11" s="50">
        <v>0</v>
      </c>
      <c r="K11" s="50">
        <v>3</v>
      </c>
      <c r="L11" s="50">
        <v>0</v>
      </c>
      <c r="M11" s="50">
        <v>79</v>
      </c>
      <c r="N11" s="50">
        <v>0</v>
      </c>
      <c r="O11" s="15">
        <f t="shared" si="0"/>
        <v>92</v>
      </c>
      <c r="P11" s="15">
        <f t="shared" si="1"/>
        <v>171</v>
      </c>
      <c r="R11" s="1" t="s">
        <v>7</v>
      </c>
      <c r="S11" s="17">
        <f t="shared" ref="S11:AF11" si="3">SUM(C14:C17)</f>
        <v>41</v>
      </c>
      <c r="T11" s="17">
        <f t="shared" si="3"/>
        <v>16</v>
      </c>
      <c r="U11" s="17">
        <f t="shared" si="3"/>
        <v>19</v>
      </c>
      <c r="V11" s="17">
        <f t="shared" si="3"/>
        <v>12</v>
      </c>
      <c r="W11" s="17">
        <f t="shared" si="3"/>
        <v>1</v>
      </c>
      <c r="X11" s="17">
        <f t="shared" si="3"/>
        <v>0</v>
      </c>
      <c r="Y11" s="17">
        <f t="shared" si="3"/>
        <v>18</v>
      </c>
      <c r="Z11" s="17">
        <f t="shared" si="3"/>
        <v>15</v>
      </c>
      <c r="AA11" s="17">
        <f t="shared" si="3"/>
        <v>5</v>
      </c>
      <c r="AB11" s="17">
        <f t="shared" si="3"/>
        <v>18</v>
      </c>
      <c r="AC11" s="17">
        <f t="shared" si="3"/>
        <v>630</v>
      </c>
      <c r="AD11" s="17">
        <f t="shared" si="3"/>
        <v>0</v>
      </c>
      <c r="AE11" s="31">
        <f t="shared" si="3"/>
        <v>145</v>
      </c>
      <c r="AF11" s="31">
        <f t="shared" si="3"/>
        <v>775</v>
      </c>
    </row>
    <row r="12" spans="2:32" ht="23.1" customHeight="1" x14ac:dyDescent="0.25">
      <c r="B12" s="23" t="s">
        <v>39</v>
      </c>
      <c r="C12" s="50">
        <v>6</v>
      </c>
      <c r="D12" s="50">
        <v>4</v>
      </c>
      <c r="E12" s="50">
        <v>19</v>
      </c>
      <c r="F12" s="50">
        <v>25</v>
      </c>
      <c r="G12" s="50">
        <v>0</v>
      </c>
      <c r="H12" s="50">
        <v>0</v>
      </c>
      <c r="I12" s="50">
        <v>0</v>
      </c>
      <c r="J12" s="50">
        <v>4</v>
      </c>
      <c r="K12" s="50">
        <v>0</v>
      </c>
      <c r="L12" s="50">
        <v>0</v>
      </c>
      <c r="M12" s="50">
        <v>102</v>
      </c>
      <c r="N12" s="50">
        <v>0</v>
      </c>
      <c r="O12" s="15">
        <f t="shared" si="0"/>
        <v>58</v>
      </c>
      <c r="P12" s="15">
        <f t="shared" si="1"/>
        <v>160</v>
      </c>
      <c r="R12" s="1" t="s">
        <v>8</v>
      </c>
      <c r="S12" s="17">
        <f t="shared" ref="S12:AF12" si="4">SUM(C18:C21)</f>
        <v>39</v>
      </c>
      <c r="T12" s="17">
        <f t="shared" si="4"/>
        <v>38</v>
      </c>
      <c r="U12" s="17">
        <f t="shared" si="4"/>
        <v>16</v>
      </c>
      <c r="V12" s="17">
        <f t="shared" si="4"/>
        <v>22</v>
      </c>
      <c r="W12" s="17">
        <f t="shared" si="4"/>
        <v>4</v>
      </c>
      <c r="X12" s="17">
        <f t="shared" si="4"/>
        <v>0</v>
      </c>
      <c r="Y12" s="17">
        <f t="shared" si="4"/>
        <v>22</v>
      </c>
      <c r="Z12" s="17">
        <f t="shared" si="4"/>
        <v>10</v>
      </c>
      <c r="AA12" s="17">
        <f t="shared" si="4"/>
        <v>5</v>
      </c>
      <c r="AB12" s="17">
        <f t="shared" si="4"/>
        <v>11</v>
      </c>
      <c r="AC12" s="17">
        <f t="shared" si="4"/>
        <v>400</v>
      </c>
      <c r="AD12" s="17">
        <f t="shared" si="4"/>
        <v>0</v>
      </c>
      <c r="AE12" s="31">
        <f t="shared" si="4"/>
        <v>167</v>
      </c>
      <c r="AF12" s="31">
        <f t="shared" si="4"/>
        <v>567</v>
      </c>
    </row>
    <row r="13" spans="2:32" ht="23.1" customHeight="1" x14ac:dyDescent="0.25">
      <c r="B13" s="23" t="s">
        <v>40</v>
      </c>
      <c r="C13" s="50">
        <v>13</v>
      </c>
      <c r="D13" s="50">
        <v>13</v>
      </c>
      <c r="E13" s="50">
        <v>7</v>
      </c>
      <c r="F13" s="50">
        <v>11</v>
      </c>
      <c r="G13" s="50">
        <v>1</v>
      </c>
      <c r="H13" s="50">
        <v>0</v>
      </c>
      <c r="I13" s="50">
        <v>3</v>
      </c>
      <c r="J13" s="50">
        <v>6</v>
      </c>
      <c r="K13" s="50">
        <v>0</v>
      </c>
      <c r="L13" s="50">
        <v>0</v>
      </c>
      <c r="M13" s="50">
        <v>72</v>
      </c>
      <c r="N13" s="50">
        <v>0</v>
      </c>
      <c r="O13" s="15">
        <f t="shared" si="0"/>
        <v>54</v>
      </c>
      <c r="P13" s="15">
        <f t="shared" si="1"/>
        <v>126</v>
      </c>
      <c r="R13" s="1" t="s">
        <v>9</v>
      </c>
      <c r="S13" s="17">
        <f t="shared" ref="S13:AF13" si="5">SUM(C22:C25)</f>
        <v>68</v>
      </c>
      <c r="T13" s="17">
        <f t="shared" si="5"/>
        <v>37</v>
      </c>
      <c r="U13" s="17">
        <f t="shared" si="5"/>
        <v>24</v>
      </c>
      <c r="V13" s="17">
        <f t="shared" si="5"/>
        <v>12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9</v>
      </c>
      <c r="AA13" s="17">
        <f t="shared" si="5"/>
        <v>1</v>
      </c>
      <c r="AB13" s="17">
        <f t="shared" si="5"/>
        <v>13</v>
      </c>
      <c r="AC13" s="17">
        <f t="shared" si="5"/>
        <v>457</v>
      </c>
      <c r="AD13" s="17">
        <f t="shared" si="5"/>
        <v>0</v>
      </c>
      <c r="AE13" s="31">
        <f t="shared" si="5"/>
        <v>169</v>
      </c>
      <c r="AF13" s="31">
        <f t="shared" si="5"/>
        <v>626</v>
      </c>
    </row>
    <row r="14" spans="2:32" ht="23.1" customHeight="1" x14ac:dyDescent="0.25">
      <c r="B14" s="23" t="s">
        <v>41</v>
      </c>
      <c r="C14" s="50">
        <v>6</v>
      </c>
      <c r="D14" s="50">
        <v>3</v>
      </c>
      <c r="E14" s="50">
        <v>8</v>
      </c>
      <c r="F14" s="50">
        <v>2</v>
      </c>
      <c r="G14" s="50">
        <v>0</v>
      </c>
      <c r="H14" s="50">
        <v>0</v>
      </c>
      <c r="I14" s="50">
        <v>10</v>
      </c>
      <c r="J14" s="50">
        <v>1</v>
      </c>
      <c r="K14" s="50">
        <v>2</v>
      </c>
      <c r="L14" s="50">
        <v>6</v>
      </c>
      <c r="M14" s="50">
        <v>214</v>
      </c>
      <c r="N14" s="50">
        <v>0</v>
      </c>
      <c r="O14" s="15">
        <f t="shared" si="0"/>
        <v>38</v>
      </c>
      <c r="P14" s="15">
        <f t="shared" si="1"/>
        <v>252</v>
      </c>
      <c r="R14" s="1" t="s">
        <v>10</v>
      </c>
      <c r="S14" s="17">
        <f t="shared" ref="S14:AF14" si="6">SUM(C26:C29)</f>
        <v>67</v>
      </c>
      <c r="T14" s="17">
        <f t="shared" si="6"/>
        <v>40</v>
      </c>
      <c r="U14" s="17">
        <f t="shared" si="6"/>
        <v>13</v>
      </c>
      <c r="V14" s="17">
        <f t="shared" si="6"/>
        <v>15</v>
      </c>
      <c r="W14" s="17">
        <f t="shared" si="6"/>
        <v>1</v>
      </c>
      <c r="X14" s="17">
        <f t="shared" si="6"/>
        <v>0</v>
      </c>
      <c r="Y14" s="17">
        <f t="shared" si="6"/>
        <v>9</v>
      </c>
      <c r="Z14" s="17">
        <f t="shared" si="6"/>
        <v>4</v>
      </c>
      <c r="AA14" s="17">
        <f t="shared" si="6"/>
        <v>3</v>
      </c>
      <c r="AB14" s="17">
        <f t="shared" si="6"/>
        <v>17</v>
      </c>
      <c r="AC14" s="17">
        <f t="shared" si="6"/>
        <v>373</v>
      </c>
      <c r="AD14" s="17">
        <f t="shared" si="6"/>
        <v>0</v>
      </c>
      <c r="AE14" s="31">
        <f t="shared" si="6"/>
        <v>169</v>
      </c>
      <c r="AF14" s="31">
        <f t="shared" si="6"/>
        <v>542</v>
      </c>
    </row>
    <row r="15" spans="2:32" ht="23.1" customHeight="1" x14ac:dyDescent="0.25">
      <c r="B15" s="23" t="s">
        <v>42</v>
      </c>
      <c r="C15" s="50">
        <v>10</v>
      </c>
      <c r="D15" s="50">
        <v>4</v>
      </c>
      <c r="E15" s="50">
        <v>6</v>
      </c>
      <c r="F15" s="50">
        <v>1</v>
      </c>
      <c r="G15" s="50">
        <v>0</v>
      </c>
      <c r="H15" s="50">
        <v>0</v>
      </c>
      <c r="I15" s="50">
        <v>0</v>
      </c>
      <c r="J15" s="50">
        <v>14</v>
      </c>
      <c r="K15" s="50">
        <v>3</v>
      </c>
      <c r="L15" s="50">
        <v>0</v>
      </c>
      <c r="M15" s="50">
        <v>88</v>
      </c>
      <c r="N15" s="50">
        <v>0</v>
      </c>
      <c r="O15" s="15">
        <f t="shared" si="0"/>
        <v>38</v>
      </c>
      <c r="P15" s="15">
        <f t="shared" si="1"/>
        <v>126</v>
      </c>
      <c r="R15" s="1" t="s">
        <v>11</v>
      </c>
      <c r="S15" s="17">
        <f t="shared" ref="S15:AF15" si="7">SUM(C30:C33)</f>
        <v>84</v>
      </c>
      <c r="T15" s="17">
        <f t="shared" si="7"/>
        <v>53</v>
      </c>
      <c r="U15" s="17">
        <f t="shared" si="7"/>
        <v>11</v>
      </c>
      <c r="V15" s="17">
        <f t="shared" si="7"/>
        <v>12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7</v>
      </c>
      <c r="AA15" s="17">
        <f t="shared" si="7"/>
        <v>4</v>
      </c>
      <c r="AB15" s="17">
        <f t="shared" si="7"/>
        <v>26</v>
      </c>
      <c r="AC15" s="17">
        <f t="shared" si="7"/>
        <v>436</v>
      </c>
      <c r="AD15" s="17">
        <f t="shared" si="7"/>
        <v>0</v>
      </c>
      <c r="AE15" s="31">
        <f t="shared" si="7"/>
        <v>201</v>
      </c>
      <c r="AF15" s="31">
        <f t="shared" si="7"/>
        <v>637</v>
      </c>
    </row>
    <row r="16" spans="2:32" ht="23.1" customHeight="1" x14ac:dyDescent="0.25">
      <c r="B16" s="23" t="s">
        <v>43</v>
      </c>
      <c r="C16" s="50">
        <v>8</v>
      </c>
      <c r="D16" s="50">
        <v>2</v>
      </c>
      <c r="E16" s="50">
        <v>2</v>
      </c>
      <c r="F16" s="50">
        <v>3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1</v>
      </c>
      <c r="M16" s="50">
        <v>107</v>
      </c>
      <c r="N16" s="50">
        <v>0</v>
      </c>
      <c r="O16" s="15">
        <f t="shared" si="0"/>
        <v>18</v>
      </c>
      <c r="P16" s="15">
        <f t="shared" si="1"/>
        <v>125</v>
      </c>
      <c r="R16" s="1" t="s">
        <v>12</v>
      </c>
      <c r="S16" s="17">
        <f t="shared" ref="S16:AF16" si="8">SUM(C34:C37)</f>
        <v>74</v>
      </c>
      <c r="T16" s="17">
        <f t="shared" si="8"/>
        <v>28</v>
      </c>
      <c r="U16" s="17">
        <f t="shared" si="8"/>
        <v>13</v>
      </c>
      <c r="V16" s="17">
        <f t="shared" si="8"/>
        <v>16</v>
      </c>
      <c r="W16" s="17">
        <f t="shared" si="8"/>
        <v>0</v>
      </c>
      <c r="X16" s="17">
        <f t="shared" si="8"/>
        <v>1</v>
      </c>
      <c r="Y16" s="17">
        <f t="shared" si="8"/>
        <v>10</v>
      </c>
      <c r="Z16" s="17">
        <f t="shared" si="8"/>
        <v>10</v>
      </c>
      <c r="AA16" s="17">
        <f t="shared" si="8"/>
        <v>0</v>
      </c>
      <c r="AB16" s="17">
        <f t="shared" si="8"/>
        <v>21</v>
      </c>
      <c r="AC16" s="17">
        <f t="shared" si="8"/>
        <v>394</v>
      </c>
      <c r="AD16" s="17">
        <f t="shared" si="8"/>
        <v>0</v>
      </c>
      <c r="AE16" s="31">
        <f t="shared" si="8"/>
        <v>173</v>
      </c>
      <c r="AF16" s="31">
        <f t="shared" si="8"/>
        <v>567</v>
      </c>
    </row>
    <row r="17" spans="2:32" ht="23.1" customHeight="1" x14ac:dyDescent="0.25">
      <c r="B17" s="23" t="s">
        <v>44</v>
      </c>
      <c r="C17" s="50">
        <v>17</v>
      </c>
      <c r="D17" s="50">
        <v>7</v>
      </c>
      <c r="E17" s="50">
        <v>3</v>
      </c>
      <c r="F17" s="50">
        <v>6</v>
      </c>
      <c r="G17" s="50">
        <v>1</v>
      </c>
      <c r="H17" s="50">
        <v>0</v>
      </c>
      <c r="I17" s="50">
        <v>6</v>
      </c>
      <c r="J17" s="50">
        <v>0</v>
      </c>
      <c r="K17" s="50">
        <v>0</v>
      </c>
      <c r="L17" s="50">
        <v>11</v>
      </c>
      <c r="M17" s="50">
        <v>221</v>
      </c>
      <c r="N17" s="50">
        <v>0</v>
      </c>
      <c r="O17" s="15">
        <f t="shared" si="0"/>
        <v>51</v>
      </c>
      <c r="P17" s="15">
        <f t="shared" si="1"/>
        <v>272</v>
      </c>
      <c r="R17" s="1" t="s">
        <v>13</v>
      </c>
      <c r="S17" s="17">
        <f t="shared" ref="S17:AF17" si="9">SUM(C38:C41)</f>
        <v>45</v>
      </c>
      <c r="T17" s="17">
        <f t="shared" si="9"/>
        <v>35</v>
      </c>
      <c r="U17" s="17">
        <f t="shared" si="9"/>
        <v>18</v>
      </c>
      <c r="V17" s="17">
        <f t="shared" si="9"/>
        <v>12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3</v>
      </c>
      <c r="AA17" s="17">
        <f t="shared" si="9"/>
        <v>2</v>
      </c>
      <c r="AB17" s="17">
        <f t="shared" si="9"/>
        <v>12</v>
      </c>
      <c r="AC17" s="17">
        <f t="shared" si="9"/>
        <v>489</v>
      </c>
      <c r="AD17" s="17">
        <f t="shared" si="9"/>
        <v>0</v>
      </c>
      <c r="AE17" s="31">
        <f t="shared" si="9"/>
        <v>132</v>
      </c>
      <c r="AF17" s="31">
        <f t="shared" si="9"/>
        <v>621</v>
      </c>
    </row>
    <row r="18" spans="2:32" ht="23.1" customHeight="1" x14ac:dyDescent="0.25">
      <c r="B18" s="23" t="s">
        <v>45</v>
      </c>
      <c r="C18" s="50">
        <v>15</v>
      </c>
      <c r="D18" s="50">
        <v>13</v>
      </c>
      <c r="E18" s="50">
        <v>3</v>
      </c>
      <c r="F18" s="50">
        <v>7</v>
      </c>
      <c r="G18" s="50">
        <v>3</v>
      </c>
      <c r="H18" s="50">
        <v>0</v>
      </c>
      <c r="I18" s="50">
        <v>3</v>
      </c>
      <c r="J18" s="50">
        <v>4</v>
      </c>
      <c r="K18" s="50">
        <v>2</v>
      </c>
      <c r="L18" s="50">
        <v>0</v>
      </c>
      <c r="M18" s="50">
        <v>107</v>
      </c>
      <c r="N18" s="50">
        <v>0</v>
      </c>
      <c r="O18" s="15">
        <f t="shared" si="0"/>
        <v>50</v>
      </c>
      <c r="P18" s="15">
        <f t="shared" si="1"/>
        <v>157</v>
      </c>
      <c r="R18" s="1" t="s">
        <v>14</v>
      </c>
      <c r="S18" s="17">
        <f t="shared" ref="S18:AF18" si="10">SUM(C42:C45)</f>
        <v>68</v>
      </c>
      <c r="T18" s="17">
        <f t="shared" si="10"/>
        <v>27</v>
      </c>
      <c r="U18" s="17">
        <f t="shared" si="10"/>
        <v>21</v>
      </c>
      <c r="V18" s="17">
        <f t="shared" si="10"/>
        <v>23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8</v>
      </c>
      <c r="AA18" s="17">
        <f t="shared" si="10"/>
        <v>4</v>
      </c>
      <c r="AB18" s="17">
        <f t="shared" si="10"/>
        <v>16</v>
      </c>
      <c r="AC18" s="17">
        <f t="shared" si="10"/>
        <v>502</v>
      </c>
      <c r="AD18" s="17">
        <f t="shared" si="10"/>
        <v>0</v>
      </c>
      <c r="AE18" s="31">
        <f t="shared" si="10"/>
        <v>173</v>
      </c>
      <c r="AF18" s="31">
        <f t="shared" si="10"/>
        <v>675</v>
      </c>
    </row>
    <row r="19" spans="2:32" ht="23.1" customHeight="1" x14ac:dyDescent="0.25">
      <c r="B19" s="23" t="s">
        <v>46</v>
      </c>
      <c r="C19" s="50">
        <v>11</v>
      </c>
      <c r="D19" s="50">
        <v>13</v>
      </c>
      <c r="E19" s="50">
        <v>6</v>
      </c>
      <c r="F19" s="50">
        <v>4</v>
      </c>
      <c r="G19" s="50">
        <v>0</v>
      </c>
      <c r="H19" s="50">
        <v>0</v>
      </c>
      <c r="I19" s="50">
        <v>9</v>
      </c>
      <c r="J19" s="50">
        <v>3</v>
      </c>
      <c r="K19" s="50">
        <v>0</v>
      </c>
      <c r="L19" s="50">
        <v>3</v>
      </c>
      <c r="M19" s="50">
        <v>73</v>
      </c>
      <c r="N19" s="50">
        <v>0</v>
      </c>
      <c r="O19" s="15">
        <f t="shared" si="0"/>
        <v>49</v>
      </c>
      <c r="P19" s="15">
        <f t="shared" si="1"/>
        <v>122</v>
      </c>
      <c r="R19" s="1" t="s">
        <v>15</v>
      </c>
      <c r="S19" s="17">
        <f t="shared" ref="S19:AF19" si="11">SUM(C46:C49)</f>
        <v>61</v>
      </c>
      <c r="T19" s="17">
        <f t="shared" si="11"/>
        <v>36</v>
      </c>
      <c r="U19" s="17">
        <f t="shared" si="11"/>
        <v>11</v>
      </c>
      <c r="V19" s="17">
        <f t="shared" si="11"/>
        <v>14</v>
      </c>
      <c r="W19" s="17">
        <f t="shared" si="11"/>
        <v>1</v>
      </c>
      <c r="X19" s="17">
        <f t="shared" si="11"/>
        <v>0</v>
      </c>
      <c r="Y19" s="17">
        <f t="shared" si="11"/>
        <v>9</v>
      </c>
      <c r="Z19" s="17">
        <f t="shared" si="11"/>
        <v>10</v>
      </c>
      <c r="AA19" s="17">
        <f t="shared" si="11"/>
        <v>6</v>
      </c>
      <c r="AB19" s="17">
        <f t="shared" si="11"/>
        <v>23</v>
      </c>
      <c r="AC19" s="17">
        <f t="shared" si="11"/>
        <v>459</v>
      </c>
      <c r="AD19" s="17">
        <f t="shared" si="11"/>
        <v>0</v>
      </c>
      <c r="AE19" s="31">
        <f t="shared" si="11"/>
        <v>171</v>
      </c>
      <c r="AF19" s="31">
        <f t="shared" si="11"/>
        <v>630</v>
      </c>
    </row>
    <row r="20" spans="2:32" ht="23.1" customHeight="1" x14ac:dyDescent="0.25">
      <c r="B20" s="23" t="s">
        <v>47</v>
      </c>
      <c r="C20" s="50">
        <v>8</v>
      </c>
      <c r="D20" s="50">
        <v>4</v>
      </c>
      <c r="E20" s="50">
        <v>5</v>
      </c>
      <c r="F20" s="50">
        <v>4</v>
      </c>
      <c r="G20" s="50">
        <v>0</v>
      </c>
      <c r="H20" s="50">
        <v>0</v>
      </c>
      <c r="I20" s="50">
        <v>3</v>
      </c>
      <c r="J20" s="50">
        <v>0</v>
      </c>
      <c r="K20" s="50">
        <v>1</v>
      </c>
      <c r="L20" s="50">
        <v>2</v>
      </c>
      <c r="M20" s="50">
        <v>125</v>
      </c>
      <c r="N20" s="50">
        <v>0</v>
      </c>
      <c r="O20" s="15">
        <f t="shared" si="0"/>
        <v>27</v>
      </c>
      <c r="P20" s="15">
        <f t="shared" si="1"/>
        <v>152</v>
      </c>
      <c r="R20" s="1" t="s">
        <v>16</v>
      </c>
      <c r="S20" s="17">
        <f t="shared" ref="S20:AF20" si="12">SUM(C50:C53)</f>
        <v>71</v>
      </c>
      <c r="T20" s="17">
        <f t="shared" si="12"/>
        <v>25</v>
      </c>
      <c r="U20" s="17">
        <f t="shared" si="12"/>
        <v>11</v>
      </c>
      <c r="V20" s="17">
        <f t="shared" si="12"/>
        <v>19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4</v>
      </c>
      <c r="AA20" s="17">
        <f t="shared" si="12"/>
        <v>2</v>
      </c>
      <c r="AB20" s="17">
        <f t="shared" si="12"/>
        <v>17</v>
      </c>
      <c r="AC20" s="17">
        <f t="shared" si="12"/>
        <v>485</v>
      </c>
      <c r="AD20" s="17">
        <f t="shared" si="12"/>
        <v>0</v>
      </c>
      <c r="AE20" s="31">
        <f t="shared" si="12"/>
        <v>152</v>
      </c>
      <c r="AF20" s="31">
        <f t="shared" si="12"/>
        <v>637</v>
      </c>
    </row>
    <row r="21" spans="2:32" ht="23.1" customHeight="1" x14ac:dyDescent="0.25">
      <c r="B21" s="23" t="s">
        <v>48</v>
      </c>
      <c r="C21" s="50">
        <v>5</v>
      </c>
      <c r="D21" s="50">
        <v>8</v>
      </c>
      <c r="E21" s="50">
        <v>2</v>
      </c>
      <c r="F21" s="50">
        <v>7</v>
      </c>
      <c r="G21" s="50">
        <v>1</v>
      </c>
      <c r="H21" s="50">
        <v>0</v>
      </c>
      <c r="I21" s="50">
        <v>7</v>
      </c>
      <c r="J21" s="50">
        <v>3</v>
      </c>
      <c r="K21" s="50">
        <v>2</v>
      </c>
      <c r="L21" s="50">
        <v>6</v>
      </c>
      <c r="M21" s="50">
        <v>95</v>
      </c>
      <c r="N21" s="50">
        <v>0</v>
      </c>
      <c r="O21" s="15">
        <f t="shared" si="0"/>
        <v>41</v>
      </c>
      <c r="P21" s="15">
        <f t="shared" si="1"/>
        <v>136</v>
      </c>
      <c r="R21" s="36" t="s">
        <v>20</v>
      </c>
      <c r="S21" s="34">
        <f t="shared" ref="S21:AF21" si="13">SUM(C54:C57)</f>
        <v>44</v>
      </c>
      <c r="T21" s="17">
        <f t="shared" si="13"/>
        <v>22</v>
      </c>
      <c r="U21" s="17">
        <f t="shared" si="13"/>
        <v>10</v>
      </c>
      <c r="V21" s="17">
        <f t="shared" si="13"/>
        <v>27</v>
      </c>
      <c r="W21" s="17">
        <f t="shared" si="13"/>
        <v>2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2</v>
      </c>
      <c r="AB21" s="17">
        <f t="shared" si="13"/>
        <v>7</v>
      </c>
      <c r="AC21" s="17">
        <f t="shared" si="13"/>
        <v>529</v>
      </c>
      <c r="AD21" s="17">
        <f t="shared" si="13"/>
        <v>0</v>
      </c>
      <c r="AE21" s="31">
        <f t="shared" si="13"/>
        <v>117</v>
      </c>
      <c r="AF21" s="31">
        <f t="shared" si="13"/>
        <v>646</v>
      </c>
    </row>
    <row r="22" spans="2:32" ht="23.1" customHeight="1" x14ac:dyDescent="0.25">
      <c r="B22" s="23" t="s">
        <v>49</v>
      </c>
      <c r="C22" s="50">
        <v>3</v>
      </c>
      <c r="D22" s="50">
        <v>2</v>
      </c>
      <c r="E22" s="50">
        <v>4</v>
      </c>
      <c r="F22" s="50">
        <v>2</v>
      </c>
      <c r="G22" s="50">
        <v>0</v>
      </c>
      <c r="H22" s="50">
        <v>0</v>
      </c>
      <c r="I22" s="50">
        <v>2</v>
      </c>
      <c r="J22" s="50">
        <v>3</v>
      </c>
      <c r="K22" s="50">
        <v>1</v>
      </c>
      <c r="L22" s="50">
        <v>2</v>
      </c>
      <c r="M22" s="50">
        <v>147</v>
      </c>
      <c r="N22" s="50">
        <v>0</v>
      </c>
      <c r="O22" s="15">
        <f t="shared" si="0"/>
        <v>19</v>
      </c>
      <c r="P22" s="15">
        <f t="shared" si="1"/>
        <v>166</v>
      </c>
      <c r="R22" s="38" t="s">
        <v>90</v>
      </c>
      <c r="S22" s="39">
        <f>MAX(S10:S12)</f>
        <v>75</v>
      </c>
      <c r="T22" s="39">
        <f t="shared" ref="T22:AF22" si="14">MAX(T10:T12)</f>
        <v>55</v>
      </c>
      <c r="U22" s="39">
        <f t="shared" si="14"/>
        <v>48</v>
      </c>
      <c r="V22" s="39">
        <f t="shared" si="14"/>
        <v>71</v>
      </c>
      <c r="W22" s="39">
        <f t="shared" si="14"/>
        <v>4</v>
      </c>
      <c r="X22" s="39">
        <f t="shared" si="14"/>
        <v>0</v>
      </c>
      <c r="Y22" s="39">
        <f t="shared" si="14"/>
        <v>22</v>
      </c>
      <c r="Z22" s="39">
        <f t="shared" si="14"/>
        <v>15</v>
      </c>
      <c r="AA22" s="39">
        <f t="shared" si="14"/>
        <v>5</v>
      </c>
      <c r="AB22" s="39">
        <f t="shared" si="14"/>
        <v>18</v>
      </c>
      <c r="AC22" s="39">
        <f t="shared" si="14"/>
        <v>630</v>
      </c>
      <c r="AD22" s="39">
        <f t="shared" si="14"/>
        <v>0</v>
      </c>
      <c r="AE22" s="40">
        <f t="shared" si="14"/>
        <v>285</v>
      </c>
      <c r="AF22" s="40">
        <f t="shared" si="14"/>
        <v>775</v>
      </c>
    </row>
    <row r="23" spans="2:32" ht="23.1" customHeight="1" x14ac:dyDescent="0.25">
      <c r="B23" s="23" t="s">
        <v>50</v>
      </c>
      <c r="C23" s="50">
        <v>17</v>
      </c>
      <c r="D23" s="50">
        <v>11</v>
      </c>
      <c r="E23" s="50">
        <v>4</v>
      </c>
      <c r="F23" s="50">
        <v>2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2</v>
      </c>
      <c r="M23" s="50">
        <v>66</v>
      </c>
      <c r="N23" s="50">
        <v>0</v>
      </c>
      <c r="O23" s="15">
        <f t="shared" si="0"/>
        <v>36</v>
      </c>
      <c r="P23" s="15">
        <f t="shared" si="1"/>
        <v>102</v>
      </c>
      <c r="R23" s="38" t="s">
        <v>91</v>
      </c>
      <c r="S23" s="39">
        <f>MAX(S13:S18)</f>
        <v>84</v>
      </c>
      <c r="T23" s="39">
        <f t="shared" ref="T23:AF23" si="15">MAX(T13:T18)</f>
        <v>53</v>
      </c>
      <c r="U23" s="39">
        <f t="shared" si="15"/>
        <v>24</v>
      </c>
      <c r="V23" s="39">
        <f t="shared" si="15"/>
        <v>23</v>
      </c>
      <c r="W23" s="39">
        <f t="shared" si="15"/>
        <v>1</v>
      </c>
      <c r="X23" s="39">
        <f t="shared" si="15"/>
        <v>1</v>
      </c>
      <c r="Y23" s="39">
        <f t="shared" si="15"/>
        <v>10</v>
      </c>
      <c r="Z23" s="39">
        <f t="shared" si="15"/>
        <v>10</v>
      </c>
      <c r="AA23" s="39">
        <f t="shared" si="15"/>
        <v>4</v>
      </c>
      <c r="AB23" s="39">
        <f t="shared" si="15"/>
        <v>26</v>
      </c>
      <c r="AC23" s="39">
        <f t="shared" si="15"/>
        <v>502</v>
      </c>
      <c r="AD23" s="39">
        <f t="shared" si="15"/>
        <v>0</v>
      </c>
      <c r="AE23" s="40">
        <f t="shared" si="15"/>
        <v>201</v>
      </c>
      <c r="AF23" s="40">
        <f t="shared" si="15"/>
        <v>675</v>
      </c>
    </row>
    <row r="24" spans="2:32" ht="23.1" customHeight="1" x14ac:dyDescent="0.25">
      <c r="B24" s="23" t="s">
        <v>51</v>
      </c>
      <c r="C24" s="50">
        <v>36</v>
      </c>
      <c r="D24" s="50">
        <v>17</v>
      </c>
      <c r="E24" s="50">
        <v>13</v>
      </c>
      <c r="F24" s="50">
        <v>8</v>
      </c>
      <c r="G24" s="50">
        <v>0</v>
      </c>
      <c r="H24" s="50">
        <v>0</v>
      </c>
      <c r="I24" s="50">
        <v>0</v>
      </c>
      <c r="J24" s="50">
        <v>3</v>
      </c>
      <c r="K24" s="50">
        <v>0</v>
      </c>
      <c r="L24" s="50">
        <v>2</v>
      </c>
      <c r="M24" s="50">
        <v>131</v>
      </c>
      <c r="N24" s="50">
        <v>0</v>
      </c>
      <c r="O24" s="15">
        <f t="shared" si="0"/>
        <v>79</v>
      </c>
      <c r="P24" s="15">
        <f t="shared" si="1"/>
        <v>210</v>
      </c>
      <c r="R24" s="38" t="s">
        <v>92</v>
      </c>
      <c r="S24" s="39">
        <f>MAX(S19:S21)</f>
        <v>71</v>
      </c>
      <c r="T24" s="39">
        <f t="shared" ref="T24:AF24" si="16">MAX(T19:T21)</f>
        <v>36</v>
      </c>
      <c r="U24" s="39">
        <f t="shared" si="16"/>
        <v>11</v>
      </c>
      <c r="V24" s="39">
        <f t="shared" si="16"/>
        <v>27</v>
      </c>
      <c r="W24" s="39">
        <f t="shared" si="16"/>
        <v>2</v>
      </c>
      <c r="X24" s="39">
        <f t="shared" si="16"/>
        <v>0</v>
      </c>
      <c r="Y24" s="39">
        <f t="shared" si="16"/>
        <v>9</v>
      </c>
      <c r="Z24" s="39">
        <f t="shared" si="16"/>
        <v>10</v>
      </c>
      <c r="AA24" s="39">
        <f t="shared" si="16"/>
        <v>6</v>
      </c>
      <c r="AB24" s="39">
        <f t="shared" si="16"/>
        <v>23</v>
      </c>
      <c r="AC24" s="39">
        <f t="shared" si="16"/>
        <v>529</v>
      </c>
      <c r="AD24" s="39">
        <f t="shared" si="16"/>
        <v>0</v>
      </c>
      <c r="AE24" s="40">
        <f t="shared" si="16"/>
        <v>171</v>
      </c>
      <c r="AF24" s="40">
        <f t="shared" si="16"/>
        <v>646</v>
      </c>
    </row>
    <row r="25" spans="2:32" ht="23.1" customHeight="1" x14ac:dyDescent="0.25">
      <c r="B25" s="23" t="s">
        <v>52</v>
      </c>
      <c r="C25" s="50">
        <v>12</v>
      </c>
      <c r="D25" s="50">
        <v>7</v>
      </c>
      <c r="E25" s="50">
        <v>3</v>
      </c>
      <c r="F25" s="50">
        <v>0</v>
      </c>
      <c r="G25" s="50">
        <v>0</v>
      </c>
      <c r="H25" s="50">
        <v>0</v>
      </c>
      <c r="I25" s="50">
        <v>3</v>
      </c>
      <c r="J25" s="50">
        <v>3</v>
      </c>
      <c r="K25" s="50">
        <v>0</v>
      </c>
      <c r="L25" s="50">
        <v>7</v>
      </c>
      <c r="M25" s="50">
        <v>113</v>
      </c>
      <c r="N25" s="50">
        <v>0</v>
      </c>
      <c r="O25" s="15">
        <f t="shared" si="0"/>
        <v>35</v>
      </c>
      <c r="P25" s="15">
        <f t="shared" si="1"/>
        <v>148</v>
      </c>
      <c r="R25" s="37" t="s">
        <v>85</v>
      </c>
      <c r="S25" s="35">
        <f t="shared" ref="S25:AF25" si="17">SUM(S10:S12)</f>
        <v>155</v>
      </c>
      <c r="T25" s="16">
        <f t="shared" si="17"/>
        <v>109</v>
      </c>
      <c r="U25" s="16">
        <f t="shared" si="17"/>
        <v>83</v>
      </c>
      <c r="V25" s="16">
        <f t="shared" si="17"/>
        <v>105</v>
      </c>
      <c r="W25" s="16">
        <f t="shared" si="17"/>
        <v>8</v>
      </c>
      <c r="X25" s="16">
        <f t="shared" si="17"/>
        <v>0</v>
      </c>
      <c r="Y25" s="16">
        <f t="shared" si="17"/>
        <v>57</v>
      </c>
      <c r="Z25" s="16">
        <f t="shared" si="17"/>
        <v>35</v>
      </c>
      <c r="AA25" s="16">
        <f t="shared" si="17"/>
        <v>13</v>
      </c>
      <c r="AB25" s="16">
        <f t="shared" si="17"/>
        <v>32</v>
      </c>
      <c r="AC25" s="16">
        <f t="shared" si="17"/>
        <v>1436</v>
      </c>
      <c r="AD25" s="16">
        <f t="shared" si="17"/>
        <v>0</v>
      </c>
      <c r="AE25" s="32">
        <f t="shared" si="17"/>
        <v>597</v>
      </c>
      <c r="AF25" s="32">
        <f t="shared" si="17"/>
        <v>2033</v>
      </c>
    </row>
    <row r="26" spans="2:32" ht="23.1" customHeight="1" x14ac:dyDescent="0.25">
      <c r="B26" s="23" t="s">
        <v>53</v>
      </c>
      <c r="C26" s="50">
        <v>15</v>
      </c>
      <c r="D26" s="50">
        <v>13</v>
      </c>
      <c r="E26" s="50">
        <v>2</v>
      </c>
      <c r="F26" s="50">
        <v>1</v>
      </c>
      <c r="G26" s="50">
        <v>1</v>
      </c>
      <c r="H26" s="50">
        <v>0</v>
      </c>
      <c r="I26" s="50">
        <v>2</v>
      </c>
      <c r="J26" s="50">
        <v>1</v>
      </c>
      <c r="K26" s="50">
        <v>1</v>
      </c>
      <c r="L26" s="50">
        <v>2</v>
      </c>
      <c r="M26" s="50">
        <v>104</v>
      </c>
      <c r="N26" s="50">
        <v>0</v>
      </c>
      <c r="O26" s="15">
        <f t="shared" si="0"/>
        <v>38</v>
      </c>
      <c r="P26" s="15">
        <f t="shared" si="1"/>
        <v>142</v>
      </c>
      <c r="R26" s="28" t="s">
        <v>86</v>
      </c>
      <c r="S26" s="16">
        <f t="shared" ref="S26:AF26" si="18">SUM(S13:S18)</f>
        <v>406</v>
      </c>
      <c r="T26" s="16">
        <f t="shared" si="18"/>
        <v>220</v>
      </c>
      <c r="U26" s="16">
        <f t="shared" si="18"/>
        <v>100</v>
      </c>
      <c r="V26" s="16">
        <f t="shared" si="18"/>
        <v>90</v>
      </c>
      <c r="W26" s="16">
        <f t="shared" si="18"/>
        <v>1</v>
      </c>
      <c r="X26" s="16">
        <f t="shared" si="18"/>
        <v>1</v>
      </c>
      <c r="Y26" s="16">
        <f t="shared" si="18"/>
        <v>39</v>
      </c>
      <c r="Z26" s="16">
        <f t="shared" si="18"/>
        <v>41</v>
      </c>
      <c r="AA26" s="16">
        <f t="shared" si="18"/>
        <v>14</v>
      </c>
      <c r="AB26" s="16">
        <f t="shared" si="18"/>
        <v>105</v>
      </c>
      <c r="AC26" s="16">
        <f t="shared" si="18"/>
        <v>2651</v>
      </c>
      <c r="AD26" s="16">
        <f t="shared" si="18"/>
        <v>0</v>
      </c>
      <c r="AE26" s="32">
        <f t="shared" si="18"/>
        <v>1017</v>
      </c>
      <c r="AF26" s="32">
        <f t="shared" si="18"/>
        <v>3668</v>
      </c>
    </row>
    <row r="27" spans="2:32" ht="23.1" customHeight="1" x14ac:dyDescent="0.25">
      <c r="B27" s="23" t="s">
        <v>54</v>
      </c>
      <c r="C27" s="50">
        <v>11</v>
      </c>
      <c r="D27" s="50">
        <v>7</v>
      </c>
      <c r="E27" s="50">
        <v>4</v>
      </c>
      <c r="F27" s="50">
        <v>2</v>
      </c>
      <c r="G27" s="50">
        <v>0</v>
      </c>
      <c r="H27" s="50">
        <v>0</v>
      </c>
      <c r="I27" s="50">
        <v>3</v>
      </c>
      <c r="J27" s="50">
        <v>2</v>
      </c>
      <c r="K27" s="50">
        <v>0</v>
      </c>
      <c r="L27" s="50">
        <v>3</v>
      </c>
      <c r="M27" s="50">
        <v>83</v>
      </c>
      <c r="N27" s="50">
        <v>0</v>
      </c>
      <c r="O27" s="15">
        <f t="shared" si="0"/>
        <v>32</v>
      </c>
      <c r="P27" s="15">
        <f t="shared" si="1"/>
        <v>115</v>
      </c>
      <c r="R27" s="29" t="s">
        <v>87</v>
      </c>
      <c r="S27" s="16">
        <f t="shared" ref="S27:AF27" si="19">SUM(S19:S21)</f>
        <v>176</v>
      </c>
      <c r="T27" s="16">
        <f t="shared" si="19"/>
        <v>83</v>
      </c>
      <c r="U27" s="16">
        <f t="shared" si="19"/>
        <v>32</v>
      </c>
      <c r="V27" s="16">
        <f t="shared" si="19"/>
        <v>60</v>
      </c>
      <c r="W27" s="16">
        <f t="shared" si="19"/>
        <v>3</v>
      </c>
      <c r="X27" s="16">
        <f t="shared" si="19"/>
        <v>0</v>
      </c>
      <c r="Y27" s="16">
        <f t="shared" si="19"/>
        <v>14</v>
      </c>
      <c r="Z27" s="16">
        <f t="shared" si="19"/>
        <v>15</v>
      </c>
      <c r="AA27" s="16">
        <f t="shared" si="19"/>
        <v>10</v>
      </c>
      <c r="AB27" s="16">
        <f t="shared" si="19"/>
        <v>47</v>
      </c>
      <c r="AC27" s="16">
        <f t="shared" si="19"/>
        <v>1473</v>
      </c>
      <c r="AD27" s="16">
        <f t="shared" si="19"/>
        <v>0</v>
      </c>
      <c r="AE27" s="32">
        <f t="shared" si="19"/>
        <v>440</v>
      </c>
      <c r="AF27" s="32">
        <f t="shared" si="19"/>
        <v>1913</v>
      </c>
    </row>
    <row r="28" spans="2:32" ht="23.1" customHeight="1" x14ac:dyDescent="0.25">
      <c r="B28" s="23" t="s">
        <v>55</v>
      </c>
      <c r="C28" s="50">
        <v>26</v>
      </c>
      <c r="D28" s="50">
        <v>12</v>
      </c>
      <c r="E28" s="50">
        <v>2</v>
      </c>
      <c r="F28" s="50">
        <v>5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10</v>
      </c>
      <c r="M28" s="50">
        <v>91</v>
      </c>
      <c r="N28" s="50">
        <v>0</v>
      </c>
      <c r="O28" s="15">
        <f t="shared" si="0"/>
        <v>56</v>
      </c>
      <c r="P28" s="15">
        <f t="shared" si="1"/>
        <v>147</v>
      </c>
      <c r="R28" s="5" t="s">
        <v>17</v>
      </c>
      <c r="S28" s="16">
        <f t="shared" ref="S28:AF28" si="20">SUM(S10:S21)</f>
        <v>737</v>
      </c>
      <c r="T28" s="16">
        <f t="shared" si="20"/>
        <v>412</v>
      </c>
      <c r="U28" s="16">
        <f t="shared" si="20"/>
        <v>215</v>
      </c>
      <c r="V28" s="16">
        <f t="shared" si="20"/>
        <v>255</v>
      </c>
      <c r="W28" s="16">
        <f t="shared" si="20"/>
        <v>12</v>
      </c>
      <c r="X28" s="16">
        <f t="shared" si="20"/>
        <v>1</v>
      </c>
      <c r="Y28" s="16">
        <f t="shared" si="20"/>
        <v>110</v>
      </c>
      <c r="Z28" s="16">
        <f t="shared" si="20"/>
        <v>91</v>
      </c>
      <c r="AA28" s="16">
        <f t="shared" si="20"/>
        <v>37</v>
      </c>
      <c r="AB28" s="16">
        <f t="shared" si="20"/>
        <v>184</v>
      </c>
      <c r="AC28" s="16">
        <f t="shared" si="20"/>
        <v>5560</v>
      </c>
      <c r="AD28" s="16">
        <f t="shared" si="20"/>
        <v>0</v>
      </c>
      <c r="AE28" s="32">
        <f t="shared" si="20"/>
        <v>2054</v>
      </c>
      <c r="AF28" s="32">
        <f t="shared" si="20"/>
        <v>7614</v>
      </c>
    </row>
    <row r="29" spans="2:32" ht="23.1" customHeight="1" x14ac:dyDescent="0.25">
      <c r="B29" s="23" t="s">
        <v>56</v>
      </c>
      <c r="C29" s="50">
        <v>15</v>
      </c>
      <c r="D29" s="50">
        <v>8</v>
      </c>
      <c r="E29" s="50">
        <v>5</v>
      </c>
      <c r="F29" s="50">
        <v>7</v>
      </c>
      <c r="G29" s="50">
        <v>0</v>
      </c>
      <c r="H29" s="50">
        <v>0</v>
      </c>
      <c r="I29" s="50">
        <v>4</v>
      </c>
      <c r="J29" s="50">
        <v>0</v>
      </c>
      <c r="K29" s="50">
        <v>2</v>
      </c>
      <c r="L29" s="50">
        <v>2</v>
      </c>
      <c r="M29" s="50">
        <v>95</v>
      </c>
      <c r="N29" s="50">
        <v>0</v>
      </c>
      <c r="O29" s="15">
        <f t="shared" si="0"/>
        <v>43</v>
      </c>
      <c r="P29" s="15">
        <f t="shared" si="1"/>
        <v>138</v>
      </c>
      <c r="R29"/>
      <c r="S29" s="20"/>
      <c r="T29" s="19"/>
    </row>
    <row r="30" spans="2:32" ht="23.1" customHeight="1" x14ac:dyDescent="0.25">
      <c r="B30" s="23" t="s">
        <v>57</v>
      </c>
      <c r="C30" s="50">
        <v>22</v>
      </c>
      <c r="D30" s="50">
        <v>7</v>
      </c>
      <c r="E30" s="50">
        <v>2</v>
      </c>
      <c r="F30" s="50">
        <v>6</v>
      </c>
      <c r="G30" s="50">
        <v>0</v>
      </c>
      <c r="H30" s="50">
        <v>0</v>
      </c>
      <c r="I30" s="50">
        <v>2</v>
      </c>
      <c r="J30" s="50">
        <v>3</v>
      </c>
      <c r="K30" s="50">
        <v>1</v>
      </c>
      <c r="L30" s="50">
        <v>7</v>
      </c>
      <c r="M30" s="50">
        <v>112</v>
      </c>
      <c r="N30" s="50">
        <v>0</v>
      </c>
      <c r="O30" s="15">
        <f t="shared" si="0"/>
        <v>50</v>
      </c>
      <c r="P30" s="15">
        <f t="shared" si="1"/>
        <v>162</v>
      </c>
    </row>
    <row r="31" spans="2:32" ht="23.1" customHeight="1" x14ac:dyDescent="0.25">
      <c r="B31" s="24" t="s">
        <v>58</v>
      </c>
      <c r="C31" s="50">
        <v>14</v>
      </c>
      <c r="D31" s="50">
        <v>12</v>
      </c>
      <c r="E31" s="50">
        <v>5</v>
      </c>
      <c r="F31" s="50">
        <v>4</v>
      </c>
      <c r="G31" s="50">
        <v>0</v>
      </c>
      <c r="H31" s="50">
        <v>0</v>
      </c>
      <c r="I31" s="50">
        <v>0</v>
      </c>
      <c r="J31" s="50">
        <v>2</v>
      </c>
      <c r="K31" s="50">
        <v>1</v>
      </c>
      <c r="L31" s="50">
        <v>4</v>
      </c>
      <c r="M31" s="50">
        <v>121</v>
      </c>
      <c r="N31" s="50">
        <v>0</v>
      </c>
      <c r="O31" s="15">
        <f t="shared" si="0"/>
        <v>42</v>
      </c>
      <c r="P31" s="15">
        <f t="shared" si="1"/>
        <v>163</v>
      </c>
    </row>
    <row r="32" spans="2:32" ht="23.1" customHeight="1" x14ac:dyDescent="0.25">
      <c r="B32" s="24" t="s">
        <v>59</v>
      </c>
      <c r="C32" s="50">
        <v>29</v>
      </c>
      <c r="D32" s="50">
        <v>11</v>
      </c>
      <c r="E32" s="50">
        <v>3</v>
      </c>
      <c r="F32" s="50">
        <v>2</v>
      </c>
      <c r="G32" s="50">
        <v>0</v>
      </c>
      <c r="H32" s="50">
        <v>0</v>
      </c>
      <c r="I32" s="50">
        <v>1</v>
      </c>
      <c r="J32" s="50">
        <v>2</v>
      </c>
      <c r="K32" s="50">
        <v>2</v>
      </c>
      <c r="L32" s="50">
        <v>9</v>
      </c>
      <c r="M32" s="50">
        <v>93</v>
      </c>
      <c r="N32" s="50">
        <v>0</v>
      </c>
      <c r="O32" s="15">
        <f t="shared" si="0"/>
        <v>59</v>
      </c>
      <c r="P32" s="15">
        <f t="shared" si="1"/>
        <v>152</v>
      </c>
    </row>
    <row r="33" spans="2:20" ht="23.1" customHeight="1" x14ac:dyDescent="0.25">
      <c r="B33" s="23" t="s">
        <v>60</v>
      </c>
      <c r="C33" s="50">
        <v>19</v>
      </c>
      <c r="D33" s="50">
        <v>23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6</v>
      </c>
      <c r="M33" s="50">
        <v>110</v>
      </c>
      <c r="N33" s="50">
        <v>0</v>
      </c>
      <c r="O33" s="15">
        <f t="shared" si="0"/>
        <v>50</v>
      </c>
      <c r="P33" s="15">
        <f t="shared" si="1"/>
        <v>160</v>
      </c>
    </row>
    <row r="34" spans="2:20" ht="23.1" customHeight="1" x14ac:dyDescent="0.25">
      <c r="B34" s="24" t="s">
        <v>61</v>
      </c>
      <c r="C34" s="50">
        <v>31</v>
      </c>
      <c r="D34" s="50">
        <v>8</v>
      </c>
      <c r="E34" s="50">
        <v>9</v>
      </c>
      <c r="F34" s="50">
        <v>1</v>
      </c>
      <c r="G34" s="50">
        <v>0</v>
      </c>
      <c r="H34" s="50">
        <v>0</v>
      </c>
      <c r="I34" s="50">
        <v>5</v>
      </c>
      <c r="J34" s="50">
        <v>3</v>
      </c>
      <c r="K34" s="50">
        <v>0</v>
      </c>
      <c r="L34" s="50">
        <v>10</v>
      </c>
      <c r="M34" s="50">
        <v>118</v>
      </c>
      <c r="N34" s="50">
        <v>0</v>
      </c>
      <c r="O34" s="15">
        <f t="shared" si="0"/>
        <v>67</v>
      </c>
      <c r="P34" s="15">
        <f t="shared" si="1"/>
        <v>185</v>
      </c>
    </row>
    <row r="35" spans="2:20" ht="23.1" customHeight="1" x14ac:dyDescent="0.25">
      <c r="B35" s="24" t="s">
        <v>62</v>
      </c>
      <c r="C35" s="50">
        <v>12</v>
      </c>
      <c r="D35" s="50">
        <v>4</v>
      </c>
      <c r="E35" s="50">
        <v>2</v>
      </c>
      <c r="F35" s="50">
        <v>7</v>
      </c>
      <c r="G35" s="50">
        <v>0</v>
      </c>
      <c r="H35" s="50">
        <v>0</v>
      </c>
      <c r="I35" s="50">
        <v>4</v>
      </c>
      <c r="J35" s="50">
        <v>2</v>
      </c>
      <c r="K35" s="50">
        <v>0</v>
      </c>
      <c r="L35" s="50">
        <v>5</v>
      </c>
      <c r="M35" s="50">
        <v>122</v>
      </c>
      <c r="N35" s="50">
        <v>0</v>
      </c>
      <c r="O35" s="15">
        <f t="shared" si="0"/>
        <v>36</v>
      </c>
      <c r="P35" s="15">
        <f t="shared" si="1"/>
        <v>158</v>
      </c>
    </row>
    <row r="36" spans="2:20" ht="23.1" customHeight="1" x14ac:dyDescent="0.25">
      <c r="B36" s="24" t="s">
        <v>63</v>
      </c>
      <c r="C36" s="50">
        <v>19</v>
      </c>
      <c r="D36" s="50">
        <v>5</v>
      </c>
      <c r="E36" s="50">
        <v>2</v>
      </c>
      <c r="F36" s="50">
        <v>3</v>
      </c>
      <c r="G36" s="50">
        <v>0</v>
      </c>
      <c r="H36" s="50">
        <v>0</v>
      </c>
      <c r="I36" s="50">
        <v>0</v>
      </c>
      <c r="J36" s="50">
        <v>4</v>
      </c>
      <c r="K36" s="50">
        <v>0</v>
      </c>
      <c r="L36" s="50">
        <v>2</v>
      </c>
      <c r="M36" s="50">
        <v>65</v>
      </c>
      <c r="N36" s="50">
        <v>0</v>
      </c>
      <c r="O36" s="15">
        <f t="shared" si="0"/>
        <v>35</v>
      </c>
      <c r="P36" s="15">
        <f t="shared" si="1"/>
        <v>100</v>
      </c>
    </row>
    <row r="37" spans="2:20" ht="23.1" customHeight="1" x14ac:dyDescent="0.25">
      <c r="B37" s="23" t="s">
        <v>64</v>
      </c>
      <c r="C37" s="50">
        <v>12</v>
      </c>
      <c r="D37" s="50">
        <v>11</v>
      </c>
      <c r="E37" s="50">
        <v>0</v>
      </c>
      <c r="F37" s="50">
        <v>5</v>
      </c>
      <c r="G37" s="50">
        <v>0</v>
      </c>
      <c r="H37" s="50">
        <v>1</v>
      </c>
      <c r="I37" s="50">
        <v>1</v>
      </c>
      <c r="J37" s="50">
        <v>1</v>
      </c>
      <c r="K37" s="50">
        <v>0</v>
      </c>
      <c r="L37" s="50">
        <v>4</v>
      </c>
      <c r="M37" s="50">
        <v>89</v>
      </c>
      <c r="N37" s="50">
        <v>0</v>
      </c>
      <c r="O37" s="15">
        <f t="shared" si="0"/>
        <v>35</v>
      </c>
      <c r="P37" s="15">
        <f t="shared" si="1"/>
        <v>124</v>
      </c>
    </row>
    <row r="38" spans="2:20" ht="23.1" customHeight="1" x14ac:dyDescent="0.25">
      <c r="B38" s="24" t="s">
        <v>65</v>
      </c>
      <c r="C38" s="50">
        <v>13</v>
      </c>
      <c r="D38" s="50">
        <v>10</v>
      </c>
      <c r="E38" s="50">
        <v>3</v>
      </c>
      <c r="F38" s="50">
        <v>6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3</v>
      </c>
      <c r="M38" s="50">
        <v>91</v>
      </c>
      <c r="N38" s="50">
        <v>0</v>
      </c>
      <c r="O38" s="15">
        <f t="shared" si="0"/>
        <v>37</v>
      </c>
      <c r="P38" s="15">
        <f t="shared" si="1"/>
        <v>128</v>
      </c>
    </row>
    <row r="39" spans="2:20" ht="23.1" customHeight="1" x14ac:dyDescent="0.25">
      <c r="B39" s="24" t="s">
        <v>66</v>
      </c>
      <c r="C39" s="50">
        <v>10</v>
      </c>
      <c r="D39" s="50">
        <v>6</v>
      </c>
      <c r="E39" s="50">
        <v>5</v>
      </c>
      <c r="F39" s="50">
        <v>1</v>
      </c>
      <c r="G39" s="50">
        <v>0</v>
      </c>
      <c r="H39" s="50">
        <v>0</v>
      </c>
      <c r="I39" s="50">
        <v>3</v>
      </c>
      <c r="J39" s="50">
        <v>1</v>
      </c>
      <c r="K39" s="50">
        <v>1</v>
      </c>
      <c r="L39" s="50">
        <v>2</v>
      </c>
      <c r="M39" s="50">
        <v>99</v>
      </c>
      <c r="N39" s="50">
        <v>0</v>
      </c>
      <c r="O39" s="15">
        <f t="shared" si="0"/>
        <v>29</v>
      </c>
      <c r="P39" s="15">
        <f t="shared" si="1"/>
        <v>128</v>
      </c>
    </row>
    <row r="40" spans="2:20" ht="23.1" customHeight="1" x14ac:dyDescent="0.25">
      <c r="B40" s="24" t="s">
        <v>67</v>
      </c>
      <c r="C40" s="50">
        <v>12</v>
      </c>
      <c r="D40" s="50">
        <v>12</v>
      </c>
      <c r="E40" s="50">
        <v>5</v>
      </c>
      <c r="F40" s="50">
        <v>4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4</v>
      </c>
      <c r="M40" s="50">
        <v>128</v>
      </c>
      <c r="N40" s="50">
        <v>0</v>
      </c>
      <c r="O40" s="15">
        <f t="shared" si="0"/>
        <v>38</v>
      </c>
      <c r="P40" s="15">
        <f t="shared" si="1"/>
        <v>166</v>
      </c>
    </row>
    <row r="41" spans="2:20" ht="23.1" customHeight="1" x14ac:dyDescent="0.25">
      <c r="B41" s="23" t="s">
        <v>68</v>
      </c>
      <c r="C41" s="50">
        <v>10</v>
      </c>
      <c r="D41" s="50">
        <v>7</v>
      </c>
      <c r="E41" s="50">
        <v>5</v>
      </c>
      <c r="F41" s="50">
        <v>1</v>
      </c>
      <c r="G41" s="50">
        <v>0</v>
      </c>
      <c r="H41" s="50">
        <v>0</v>
      </c>
      <c r="I41" s="50">
        <v>0</v>
      </c>
      <c r="J41" s="50">
        <v>1</v>
      </c>
      <c r="K41" s="50">
        <v>1</v>
      </c>
      <c r="L41" s="50">
        <v>3</v>
      </c>
      <c r="M41" s="50">
        <v>171</v>
      </c>
      <c r="N41" s="50">
        <v>0</v>
      </c>
      <c r="O41" s="15">
        <f t="shared" si="0"/>
        <v>28</v>
      </c>
      <c r="P41" s="15">
        <f t="shared" si="1"/>
        <v>199</v>
      </c>
    </row>
    <row r="42" spans="2:20" ht="23.1" customHeight="1" x14ac:dyDescent="0.25">
      <c r="B42" s="24" t="s">
        <v>69</v>
      </c>
      <c r="C42" s="50">
        <v>18</v>
      </c>
      <c r="D42" s="50">
        <v>14</v>
      </c>
      <c r="E42" s="50">
        <v>12</v>
      </c>
      <c r="F42" s="50">
        <v>5</v>
      </c>
      <c r="G42" s="50">
        <v>0</v>
      </c>
      <c r="H42" s="50">
        <v>0</v>
      </c>
      <c r="I42" s="50">
        <v>3</v>
      </c>
      <c r="J42" s="50">
        <v>6</v>
      </c>
      <c r="K42" s="50">
        <v>1</v>
      </c>
      <c r="L42" s="50">
        <v>6</v>
      </c>
      <c r="M42" s="50">
        <v>213</v>
      </c>
      <c r="N42" s="50">
        <v>0</v>
      </c>
      <c r="O42" s="15">
        <f t="shared" si="0"/>
        <v>65</v>
      </c>
      <c r="P42" s="15">
        <f t="shared" si="1"/>
        <v>278</v>
      </c>
    </row>
    <row r="43" spans="2:20" ht="23.1" customHeight="1" x14ac:dyDescent="0.25">
      <c r="B43" s="23" t="s">
        <v>70</v>
      </c>
      <c r="C43" s="50">
        <v>17</v>
      </c>
      <c r="D43" s="50">
        <v>2</v>
      </c>
      <c r="E43" s="50">
        <v>1</v>
      </c>
      <c r="F43" s="50">
        <v>3</v>
      </c>
      <c r="G43" s="50">
        <v>0</v>
      </c>
      <c r="H43" s="50">
        <v>0</v>
      </c>
      <c r="I43" s="50">
        <v>2</v>
      </c>
      <c r="J43" s="50">
        <v>0</v>
      </c>
      <c r="K43" s="50">
        <v>1</v>
      </c>
      <c r="L43" s="50">
        <v>1</v>
      </c>
      <c r="M43" s="50">
        <v>149</v>
      </c>
      <c r="N43" s="50">
        <v>0</v>
      </c>
      <c r="O43" s="15">
        <f t="shared" si="0"/>
        <v>27</v>
      </c>
      <c r="P43" s="15">
        <f t="shared" si="1"/>
        <v>176</v>
      </c>
    </row>
    <row r="44" spans="2:20" ht="23.1" customHeight="1" x14ac:dyDescent="0.25">
      <c r="B44" s="25" t="s">
        <v>71</v>
      </c>
      <c r="C44" s="50">
        <v>13</v>
      </c>
      <c r="D44" s="50">
        <v>4</v>
      </c>
      <c r="E44" s="50">
        <v>6</v>
      </c>
      <c r="F44" s="50">
        <v>9</v>
      </c>
      <c r="G44" s="50">
        <v>0</v>
      </c>
      <c r="H44" s="50">
        <v>0</v>
      </c>
      <c r="I44" s="50">
        <v>0</v>
      </c>
      <c r="J44" s="50">
        <v>1</v>
      </c>
      <c r="K44" s="50">
        <v>1</v>
      </c>
      <c r="L44" s="50">
        <v>6</v>
      </c>
      <c r="M44" s="50">
        <v>67</v>
      </c>
      <c r="N44" s="50">
        <v>0</v>
      </c>
      <c r="O44" s="15">
        <f t="shared" si="0"/>
        <v>40</v>
      </c>
      <c r="P44" s="15">
        <f t="shared" si="1"/>
        <v>107</v>
      </c>
    </row>
    <row r="45" spans="2:20" ht="23.1" customHeight="1" x14ac:dyDescent="0.25">
      <c r="B45" s="23" t="s">
        <v>72</v>
      </c>
      <c r="C45" s="50">
        <v>20</v>
      </c>
      <c r="D45" s="50">
        <v>7</v>
      </c>
      <c r="E45" s="50">
        <v>2</v>
      </c>
      <c r="F45" s="50">
        <v>6</v>
      </c>
      <c r="G45" s="50">
        <v>0</v>
      </c>
      <c r="H45" s="50">
        <v>0</v>
      </c>
      <c r="I45" s="50">
        <v>1</v>
      </c>
      <c r="J45" s="50">
        <v>1</v>
      </c>
      <c r="K45" s="50">
        <v>1</v>
      </c>
      <c r="L45" s="50">
        <v>3</v>
      </c>
      <c r="M45" s="50">
        <v>73</v>
      </c>
      <c r="N45" s="50">
        <v>0</v>
      </c>
      <c r="O45" s="15">
        <f t="shared" si="0"/>
        <v>41</v>
      </c>
      <c r="P45" s="15">
        <f t="shared" si="1"/>
        <v>114</v>
      </c>
    </row>
    <row r="46" spans="2:20" ht="23.1" customHeight="1" x14ac:dyDescent="0.25">
      <c r="B46" s="24" t="s">
        <v>73</v>
      </c>
      <c r="C46" s="50">
        <v>19</v>
      </c>
      <c r="D46" s="50">
        <v>6</v>
      </c>
      <c r="E46" s="50">
        <v>2</v>
      </c>
      <c r="F46" s="50">
        <v>2</v>
      </c>
      <c r="G46" s="50">
        <v>0</v>
      </c>
      <c r="H46" s="50">
        <v>0</v>
      </c>
      <c r="I46" s="50">
        <v>3</v>
      </c>
      <c r="J46" s="50">
        <v>1</v>
      </c>
      <c r="K46" s="50">
        <v>3</v>
      </c>
      <c r="L46" s="50">
        <v>11</v>
      </c>
      <c r="M46" s="50">
        <v>128</v>
      </c>
      <c r="N46" s="50">
        <v>0</v>
      </c>
      <c r="O46" s="15">
        <f t="shared" si="0"/>
        <v>47</v>
      </c>
      <c r="P46" s="15">
        <f t="shared" si="1"/>
        <v>175</v>
      </c>
      <c r="R46" s="8"/>
      <c r="T46"/>
    </row>
    <row r="47" spans="2:20" ht="23.1" customHeight="1" x14ac:dyDescent="0.25">
      <c r="B47" s="24" t="s">
        <v>74</v>
      </c>
      <c r="C47" s="50">
        <v>16</v>
      </c>
      <c r="D47" s="50">
        <v>10</v>
      </c>
      <c r="E47" s="50">
        <v>1</v>
      </c>
      <c r="F47" s="50">
        <v>5</v>
      </c>
      <c r="G47" s="50">
        <v>1</v>
      </c>
      <c r="H47" s="50">
        <v>0</v>
      </c>
      <c r="I47" s="50">
        <v>1</v>
      </c>
      <c r="J47" s="50">
        <v>5</v>
      </c>
      <c r="K47" s="50">
        <v>0</v>
      </c>
      <c r="L47" s="50">
        <v>4</v>
      </c>
      <c r="M47" s="50">
        <v>112</v>
      </c>
      <c r="N47" s="50">
        <v>0</v>
      </c>
      <c r="O47" s="15">
        <f t="shared" si="0"/>
        <v>43</v>
      </c>
      <c r="P47" s="15">
        <f t="shared" si="1"/>
        <v>155</v>
      </c>
      <c r="R47" s="8"/>
      <c r="T47"/>
    </row>
    <row r="48" spans="2:20" ht="23.1" customHeight="1" x14ac:dyDescent="0.25">
      <c r="B48" s="24" t="s">
        <v>75</v>
      </c>
      <c r="C48" s="50">
        <v>9</v>
      </c>
      <c r="D48" s="50">
        <v>10</v>
      </c>
      <c r="E48" s="50">
        <v>5</v>
      </c>
      <c r="F48" s="50">
        <v>3</v>
      </c>
      <c r="G48" s="50">
        <v>0</v>
      </c>
      <c r="H48" s="50">
        <v>0</v>
      </c>
      <c r="I48" s="50">
        <v>3</v>
      </c>
      <c r="J48" s="50">
        <v>4</v>
      </c>
      <c r="K48" s="50">
        <v>0</v>
      </c>
      <c r="L48" s="50">
        <v>4</v>
      </c>
      <c r="M48" s="50">
        <v>95</v>
      </c>
      <c r="N48" s="50">
        <v>0</v>
      </c>
      <c r="O48" s="15">
        <f t="shared" si="0"/>
        <v>38</v>
      </c>
      <c r="P48" s="15">
        <f t="shared" si="1"/>
        <v>133</v>
      </c>
      <c r="R48" s="8"/>
      <c r="T48"/>
    </row>
    <row r="49" spans="2:20" ht="23.1" customHeight="1" x14ac:dyDescent="0.25">
      <c r="B49" s="23" t="s">
        <v>76</v>
      </c>
      <c r="C49" s="50">
        <v>17</v>
      </c>
      <c r="D49" s="50">
        <v>10</v>
      </c>
      <c r="E49" s="50">
        <v>3</v>
      </c>
      <c r="F49" s="50">
        <v>4</v>
      </c>
      <c r="G49" s="50">
        <v>0</v>
      </c>
      <c r="H49" s="50">
        <v>0</v>
      </c>
      <c r="I49" s="50">
        <v>2</v>
      </c>
      <c r="J49" s="50">
        <v>0</v>
      </c>
      <c r="K49" s="50">
        <v>3</v>
      </c>
      <c r="L49" s="50">
        <v>4</v>
      </c>
      <c r="M49" s="50">
        <v>124</v>
      </c>
      <c r="N49" s="50">
        <v>0</v>
      </c>
      <c r="O49" s="15">
        <f t="shared" si="0"/>
        <v>43</v>
      </c>
      <c r="P49" s="15">
        <f t="shared" si="1"/>
        <v>167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2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153</v>
      </c>
      <c r="N50" s="50">
        <v>0</v>
      </c>
      <c r="O50" s="15">
        <f t="shared" si="0"/>
        <v>6</v>
      </c>
      <c r="P50" s="15">
        <f t="shared" si="1"/>
        <v>159</v>
      </c>
      <c r="R50" s="8"/>
      <c r="T50"/>
    </row>
    <row r="51" spans="2:20" ht="23.1" customHeight="1" x14ac:dyDescent="0.25">
      <c r="B51" s="24" t="s">
        <v>78</v>
      </c>
      <c r="C51" s="50">
        <v>31</v>
      </c>
      <c r="D51" s="50">
        <v>8</v>
      </c>
      <c r="E51" s="50">
        <v>3</v>
      </c>
      <c r="F51" s="50">
        <v>11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139</v>
      </c>
      <c r="N51" s="50">
        <v>0</v>
      </c>
      <c r="O51" s="15">
        <f t="shared" si="0"/>
        <v>53</v>
      </c>
      <c r="P51" s="15">
        <f t="shared" si="1"/>
        <v>192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1</v>
      </c>
      <c r="F52" s="50">
        <v>1</v>
      </c>
      <c r="G52" s="50">
        <v>0</v>
      </c>
      <c r="H52" s="50">
        <v>0</v>
      </c>
      <c r="I52" s="50">
        <v>3</v>
      </c>
      <c r="J52" s="50">
        <v>2</v>
      </c>
      <c r="K52" s="50">
        <v>1</v>
      </c>
      <c r="L52" s="50">
        <v>11</v>
      </c>
      <c r="M52" s="50">
        <v>90</v>
      </c>
      <c r="N52" s="50">
        <v>0</v>
      </c>
      <c r="O52" s="15">
        <f t="shared" si="0"/>
        <v>23</v>
      </c>
      <c r="P52" s="15">
        <f t="shared" si="1"/>
        <v>113</v>
      </c>
      <c r="R52" s="8"/>
      <c r="T52"/>
    </row>
    <row r="53" spans="2:20" ht="23.1" customHeight="1" x14ac:dyDescent="0.25">
      <c r="B53" s="23" t="s">
        <v>80</v>
      </c>
      <c r="C53" s="50">
        <v>35</v>
      </c>
      <c r="D53" s="50">
        <v>14</v>
      </c>
      <c r="E53" s="50">
        <v>5</v>
      </c>
      <c r="F53" s="50">
        <v>7</v>
      </c>
      <c r="G53" s="50">
        <v>0</v>
      </c>
      <c r="H53" s="50">
        <v>0</v>
      </c>
      <c r="I53" s="50">
        <v>0</v>
      </c>
      <c r="J53" s="50">
        <v>2</v>
      </c>
      <c r="K53" s="50">
        <v>1</v>
      </c>
      <c r="L53" s="50">
        <v>6</v>
      </c>
      <c r="M53" s="50">
        <v>103</v>
      </c>
      <c r="N53" s="50">
        <v>0</v>
      </c>
      <c r="O53" s="15">
        <f t="shared" si="0"/>
        <v>70</v>
      </c>
      <c r="P53" s="15">
        <f t="shared" si="1"/>
        <v>173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4</v>
      </c>
      <c r="E54" s="50">
        <v>2</v>
      </c>
      <c r="F54" s="50">
        <v>3</v>
      </c>
      <c r="G54" s="50">
        <v>1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162</v>
      </c>
      <c r="N54" s="50">
        <v>0</v>
      </c>
      <c r="O54" s="15">
        <f t="shared" si="0"/>
        <v>24</v>
      </c>
      <c r="P54" s="15">
        <f t="shared" si="1"/>
        <v>186</v>
      </c>
      <c r="R54" s="8"/>
      <c r="T54"/>
    </row>
    <row r="55" spans="2:20" ht="23.1" customHeight="1" x14ac:dyDescent="0.25">
      <c r="B55" s="23" t="s">
        <v>82</v>
      </c>
      <c r="C55" s="50">
        <v>15</v>
      </c>
      <c r="D55" s="50">
        <v>10</v>
      </c>
      <c r="E55" s="50">
        <v>0</v>
      </c>
      <c r="F55" s="50">
        <v>10</v>
      </c>
      <c r="G55" s="50">
        <v>0</v>
      </c>
      <c r="H55" s="50">
        <v>0</v>
      </c>
      <c r="I55" s="50">
        <v>1</v>
      </c>
      <c r="J55" s="50">
        <v>1</v>
      </c>
      <c r="K55" s="50">
        <v>2</v>
      </c>
      <c r="L55" s="50">
        <v>7</v>
      </c>
      <c r="M55" s="50">
        <v>138</v>
      </c>
      <c r="N55" s="50">
        <v>0</v>
      </c>
      <c r="O55" s="15">
        <f t="shared" si="0"/>
        <v>46</v>
      </c>
      <c r="P55" s="15">
        <f t="shared" si="1"/>
        <v>184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5</v>
      </c>
      <c r="E56" s="50">
        <v>2</v>
      </c>
      <c r="F56" s="50">
        <v>6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113</v>
      </c>
      <c r="N56" s="50">
        <v>0</v>
      </c>
      <c r="O56" s="15">
        <f t="shared" si="0"/>
        <v>18</v>
      </c>
      <c r="P56" s="15">
        <f t="shared" si="1"/>
        <v>131</v>
      </c>
      <c r="R56" s="8"/>
      <c r="T56"/>
    </row>
    <row r="57" spans="2:20" ht="23.1" customHeight="1" x14ac:dyDescent="0.25">
      <c r="B57" s="23" t="s">
        <v>84</v>
      </c>
      <c r="C57" s="50">
        <v>12</v>
      </c>
      <c r="D57" s="50">
        <v>3</v>
      </c>
      <c r="E57" s="50">
        <v>6</v>
      </c>
      <c r="F57" s="50">
        <v>8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116</v>
      </c>
      <c r="N57" s="50">
        <v>0</v>
      </c>
      <c r="O57" s="15">
        <f t="shared" si="0"/>
        <v>29</v>
      </c>
      <c r="P57" s="15">
        <f t="shared" si="1"/>
        <v>145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737</v>
      </c>
      <c r="D58" s="16">
        <f t="shared" si="21"/>
        <v>412</v>
      </c>
      <c r="E58" s="16">
        <f t="shared" si="21"/>
        <v>215</v>
      </c>
      <c r="F58" s="16">
        <f t="shared" si="21"/>
        <v>255</v>
      </c>
      <c r="G58" s="16">
        <f t="shared" si="21"/>
        <v>12</v>
      </c>
      <c r="H58" s="16">
        <f t="shared" si="21"/>
        <v>1</v>
      </c>
      <c r="I58" s="16">
        <f t="shared" si="21"/>
        <v>110</v>
      </c>
      <c r="J58" s="16">
        <f t="shared" si="21"/>
        <v>91</v>
      </c>
      <c r="K58" s="16">
        <f t="shared" si="21"/>
        <v>37</v>
      </c>
      <c r="L58" s="16">
        <f t="shared" si="21"/>
        <v>184</v>
      </c>
      <c r="M58" s="16">
        <f t="shared" si="21"/>
        <v>5560</v>
      </c>
      <c r="N58" s="16">
        <f t="shared" si="21"/>
        <v>0</v>
      </c>
      <c r="O58" s="16">
        <f t="shared" si="21"/>
        <v>2054</v>
      </c>
      <c r="P58" s="16">
        <f t="shared" si="21"/>
        <v>7614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9.6795376937220914E-2</v>
      </c>
      <c r="D59" s="43">
        <f t="shared" si="22"/>
        <v>5.4110848437089569E-2</v>
      </c>
      <c r="E59" s="43">
        <f t="shared" si="22"/>
        <v>2.82374573154715E-2</v>
      </c>
      <c r="F59" s="43">
        <f t="shared" si="22"/>
        <v>3.3490937746256895E-2</v>
      </c>
      <c r="G59" s="43">
        <f t="shared" si="22"/>
        <v>1.5760441292356187E-3</v>
      </c>
      <c r="H59" s="43">
        <f t="shared" si="22"/>
        <v>1.3133701076963489E-4</v>
      </c>
      <c r="I59" s="43">
        <f t="shared" si="22"/>
        <v>1.4447071184659837E-2</v>
      </c>
      <c r="J59" s="43">
        <f t="shared" si="22"/>
        <v>1.1951667980036775E-2</v>
      </c>
      <c r="K59" s="43">
        <f t="shared" si="22"/>
        <v>4.8594693984764905E-3</v>
      </c>
      <c r="L59" s="43">
        <f t="shared" si="22"/>
        <v>2.4166009981612818E-2</v>
      </c>
      <c r="M59" s="43">
        <f t="shared" si="22"/>
        <v>0.73023377987916993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0.35881207400194742</v>
      </c>
      <c r="D60" s="44">
        <f t="shared" ref="D60:N60" si="23">D58/$O$58</f>
        <v>0.20058422590068159</v>
      </c>
      <c r="E60" s="44">
        <f t="shared" si="23"/>
        <v>0.10467380720545277</v>
      </c>
      <c r="F60" s="44">
        <f t="shared" si="23"/>
        <v>0.12414800389483933</v>
      </c>
      <c r="G60" s="44">
        <f t="shared" si="23"/>
        <v>5.8422590068159686E-3</v>
      </c>
      <c r="H60" s="44">
        <f t="shared" si="23"/>
        <v>4.8685491723466409E-4</v>
      </c>
      <c r="I60" s="44">
        <f t="shared" si="23"/>
        <v>5.3554040895813046E-2</v>
      </c>
      <c r="J60" s="44">
        <f t="shared" si="23"/>
        <v>4.4303797468354431E-2</v>
      </c>
      <c r="K60" s="44">
        <f t="shared" si="23"/>
        <v>1.8013631937682569E-2</v>
      </c>
      <c r="L60" s="44">
        <f t="shared" si="23"/>
        <v>8.9581304771178191E-2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3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NTINDA-SPEAR MOTORS'!C3:G3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NTINDA-SPEAR MOTORS'!D5</f>
        <v>29.07.19</v>
      </c>
      <c r="E5" s="3"/>
      <c r="F5" s="41" t="s">
        <v>1</v>
      </c>
      <c r="G5" s="58" t="s">
        <v>170</v>
      </c>
      <c r="H5" s="59"/>
      <c r="I5" s="14"/>
      <c r="J5" s="2" t="s">
        <v>5</v>
      </c>
      <c r="K5" s="58" t="s">
        <v>171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2" t="s">
        <v>167</v>
      </c>
      <c r="E6" s="53"/>
      <c r="F6" s="2" t="s">
        <v>2</v>
      </c>
      <c r="G6" s="52" t="s">
        <v>166</v>
      </c>
      <c r="H6" s="53"/>
      <c r="J6" s="2" t="s">
        <v>21</v>
      </c>
      <c r="K6" s="58" t="str">
        <f>'29.07 NTINDA-SPEAR MOTORS'!K6:L6</f>
        <v>OLAYA FELIX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11</v>
      </c>
      <c r="M10" s="50">
        <v>5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17</v>
      </c>
      <c r="R10" s="1" t="s">
        <v>6</v>
      </c>
      <c r="S10" s="17">
        <f t="shared" ref="S10:AF10" si="2">SUM(C10:C13)</f>
        <v>30</v>
      </c>
      <c r="T10" s="17">
        <f t="shared" si="2"/>
        <v>8</v>
      </c>
      <c r="U10" s="17">
        <f t="shared" si="2"/>
        <v>13</v>
      </c>
      <c r="V10" s="17">
        <f t="shared" si="2"/>
        <v>45</v>
      </c>
      <c r="W10" s="17">
        <f t="shared" si="2"/>
        <v>2</v>
      </c>
      <c r="X10" s="17">
        <f t="shared" si="2"/>
        <v>0</v>
      </c>
      <c r="Y10" s="17">
        <f t="shared" si="2"/>
        <v>21</v>
      </c>
      <c r="Z10" s="17">
        <f t="shared" si="2"/>
        <v>2</v>
      </c>
      <c r="AA10" s="17">
        <f t="shared" si="2"/>
        <v>51</v>
      </c>
      <c r="AB10" s="17">
        <f t="shared" si="2"/>
        <v>94</v>
      </c>
      <c r="AC10" s="17">
        <f t="shared" si="2"/>
        <v>213</v>
      </c>
      <c r="AD10" s="17">
        <f t="shared" si="2"/>
        <v>0</v>
      </c>
      <c r="AE10" s="31">
        <f t="shared" si="2"/>
        <v>266</v>
      </c>
      <c r="AF10" s="31">
        <f t="shared" si="2"/>
        <v>479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1</v>
      </c>
      <c r="K11" s="50">
        <v>1</v>
      </c>
      <c r="L11" s="50">
        <v>3</v>
      </c>
      <c r="M11" s="50">
        <v>69</v>
      </c>
      <c r="N11" s="50">
        <v>0</v>
      </c>
      <c r="O11" s="15">
        <f t="shared" si="0"/>
        <v>6</v>
      </c>
      <c r="P11" s="15">
        <f t="shared" si="1"/>
        <v>75</v>
      </c>
      <c r="R11" s="1" t="s">
        <v>7</v>
      </c>
      <c r="S11" s="17">
        <f t="shared" ref="S11:AF11" si="3">SUM(C14:C17)</f>
        <v>129</v>
      </c>
      <c r="T11" s="17">
        <f t="shared" si="3"/>
        <v>57</v>
      </c>
      <c r="U11" s="17">
        <f t="shared" si="3"/>
        <v>28</v>
      </c>
      <c r="V11" s="17">
        <f t="shared" si="3"/>
        <v>140</v>
      </c>
      <c r="W11" s="17">
        <f t="shared" si="3"/>
        <v>6</v>
      </c>
      <c r="X11" s="17">
        <f t="shared" si="3"/>
        <v>0</v>
      </c>
      <c r="Y11" s="17">
        <f t="shared" si="3"/>
        <v>18</v>
      </c>
      <c r="Z11" s="17">
        <f t="shared" si="3"/>
        <v>6</v>
      </c>
      <c r="AA11" s="17">
        <f t="shared" si="3"/>
        <v>16</v>
      </c>
      <c r="AB11" s="17">
        <f t="shared" si="3"/>
        <v>120</v>
      </c>
      <c r="AC11" s="17">
        <f t="shared" si="3"/>
        <v>480</v>
      </c>
      <c r="AD11" s="17">
        <f t="shared" si="3"/>
        <v>0</v>
      </c>
      <c r="AE11" s="31">
        <f t="shared" si="3"/>
        <v>520</v>
      </c>
      <c r="AF11" s="31">
        <f t="shared" si="3"/>
        <v>1000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45</v>
      </c>
      <c r="T12" s="17">
        <f t="shared" si="4"/>
        <v>14</v>
      </c>
      <c r="U12" s="17">
        <f t="shared" si="4"/>
        <v>5</v>
      </c>
      <c r="V12" s="17">
        <f t="shared" si="4"/>
        <v>85</v>
      </c>
      <c r="W12" s="17">
        <f t="shared" si="4"/>
        <v>0</v>
      </c>
      <c r="X12" s="17">
        <f t="shared" si="4"/>
        <v>0</v>
      </c>
      <c r="Y12" s="17">
        <f t="shared" si="4"/>
        <v>23</v>
      </c>
      <c r="Z12" s="17">
        <f t="shared" si="4"/>
        <v>8</v>
      </c>
      <c r="AA12" s="17">
        <f t="shared" si="4"/>
        <v>17</v>
      </c>
      <c r="AB12" s="17">
        <f t="shared" si="4"/>
        <v>125</v>
      </c>
      <c r="AC12" s="17">
        <f t="shared" si="4"/>
        <v>484</v>
      </c>
      <c r="AD12" s="17">
        <f t="shared" si="4"/>
        <v>0</v>
      </c>
      <c r="AE12" s="31">
        <f t="shared" si="4"/>
        <v>322</v>
      </c>
      <c r="AF12" s="31">
        <f t="shared" si="4"/>
        <v>806</v>
      </c>
    </row>
    <row r="13" spans="2:32" ht="23.1" customHeight="1" x14ac:dyDescent="0.25">
      <c r="B13" s="23" t="s">
        <v>40</v>
      </c>
      <c r="C13" s="50">
        <v>30</v>
      </c>
      <c r="D13" s="50">
        <v>8</v>
      </c>
      <c r="E13" s="50">
        <v>13</v>
      </c>
      <c r="F13" s="50">
        <v>45</v>
      </c>
      <c r="G13" s="50">
        <v>2</v>
      </c>
      <c r="H13" s="50">
        <v>0</v>
      </c>
      <c r="I13" s="50">
        <v>20</v>
      </c>
      <c r="J13" s="50">
        <v>0</v>
      </c>
      <c r="K13" s="50">
        <v>50</v>
      </c>
      <c r="L13" s="50">
        <v>80</v>
      </c>
      <c r="M13" s="50">
        <v>139</v>
      </c>
      <c r="N13" s="50">
        <v>0</v>
      </c>
      <c r="O13" s="15">
        <f t="shared" si="0"/>
        <v>248</v>
      </c>
      <c r="P13" s="15">
        <f t="shared" si="1"/>
        <v>387</v>
      </c>
      <c r="R13" s="1" t="s">
        <v>9</v>
      </c>
      <c r="S13" s="17">
        <f t="shared" ref="S13:AF13" si="5">SUM(C22:C25)</f>
        <v>42</v>
      </c>
      <c r="T13" s="17">
        <f t="shared" si="5"/>
        <v>29</v>
      </c>
      <c r="U13" s="17">
        <f t="shared" si="5"/>
        <v>15</v>
      </c>
      <c r="V13" s="17">
        <f t="shared" si="5"/>
        <v>62</v>
      </c>
      <c r="W13" s="17">
        <f t="shared" si="5"/>
        <v>1</v>
      </c>
      <c r="X13" s="17">
        <f t="shared" si="5"/>
        <v>0</v>
      </c>
      <c r="Y13" s="17">
        <f t="shared" si="5"/>
        <v>7</v>
      </c>
      <c r="Z13" s="17">
        <f t="shared" si="5"/>
        <v>4</v>
      </c>
      <c r="AA13" s="17">
        <f t="shared" si="5"/>
        <v>6</v>
      </c>
      <c r="AB13" s="17">
        <f t="shared" si="5"/>
        <v>7</v>
      </c>
      <c r="AC13" s="17">
        <f t="shared" si="5"/>
        <v>440</v>
      </c>
      <c r="AD13" s="17">
        <f t="shared" si="5"/>
        <v>0</v>
      </c>
      <c r="AE13" s="31">
        <f t="shared" si="5"/>
        <v>173</v>
      </c>
      <c r="AF13" s="31">
        <f t="shared" si="5"/>
        <v>613</v>
      </c>
    </row>
    <row r="14" spans="2:32" ht="23.1" customHeight="1" x14ac:dyDescent="0.25">
      <c r="B14" s="23" t="s">
        <v>41</v>
      </c>
      <c r="C14" s="50">
        <v>50</v>
      </c>
      <c r="D14" s="50">
        <v>24</v>
      </c>
      <c r="E14" s="50">
        <v>8</v>
      </c>
      <c r="F14" s="50">
        <v>60</v>
      </c>
      <c r="G14" s="50">
        <v>3</v>
      </c>
      <c r="H14" s="50">
        <v>0</v>
      </c>
      <c r="I14" s="50">
        <v>5</v>
      </c>
      <c r="J14" s="50">
        <v>2</v>
      </c>
      <c r="K14" s="50">
        <v>4</v>
      </c>
      <c r="L14" s="50">
        <v>40</v>
      </c>
      <c r="M14" s="50">
        <v>130</v>
      </c>
      <c r="N14" s="50">
        <v>0</v>
      </c>
      <c r="O14" s="15">
        <f t="shared" si="0"/>
        <v>196</v>
      </c>
      <c r="P14" s="15">
        <f t="shared" si="1"/>
        <v>326</v>
      </c>
      <c r="R14" s="1" t="s">
        <v>10</v>
      </c>
      <c r="S14" s="17">
        <f t="shared" ref="S14:AF14" si="6">SUM(C26:C29)</f>
        <v>65</v>
      </c>
      <c r="T14" s="17">
        <f t="shared" si="6"/>
        <v>26</v>
      </c>
      <c r="U14" s="17">
        <f t="shared" si="6"/>
        <v>24</v>
      </c>
      <c r="V14" s="17">
        <f t="shared" si="6"/>
        <v>54</v>
      </c>
      <c r="W14" s="17">
        <f t="shared" si="6"/>
        <v>2</v>
      </c>
      <c r="X14" s="17">
        <f t="shared" si="6"/>
        <v>0</v>
      </c>
      <c r="Y14" s="17">
        <f t="shared" si="6"/>
        <v>28</v>
      </c>
      <c r="Z14" s="17">
        <f t="shared" si="6"/>
        <v>20</v>
      </c>
      <c r="AA14" s="17">
        <f t="shared" si="6"/>
        <v>13</v>
      </c>
      <c r="AB14" s="17">
        <f t="shared" si="6"/>
        <v>16</v>
      </c>
      <c r="AC14" s="17">
        <f t="shared" si="6"/>
        <v>453</v>
      </c>
      <c r="AD14" s="17">
        <f t="shared" si="6"/>
        <v>0</v>
      </c>
      <c r="AE14" s="31">
        <f t="shared" si="6"/>
        <v>248</v>
      </c>
      <c r="AF14" s="31">
        <f t="shared" si="6"/>
        <v>701</v>
      </c>
    </row>
    <row r="15" spans="2:32" ht="23.1" customHeight="1" x14ac:dyDescent="0.25">
      <c r="B15" s="23" t="s">
        <v>42</v>
      </c>
      <c r="C15" s="50">
        <v>54</v>
      </c>
      <c r="D15" s="50">
        <v>15</v>
      </c>
      <c r="E15" s="50">
        <v>13</v>
      </c>
      <c r="F15" s="50">
        <v>45</v>
      </c>
      <c r="G15" s="50">
        <v>1</v>
      </c>
      <c r="H15" s="50">
        <v>0</v>
      </c>
      <c r="I15" s="50">
        <v>7</v>
      </c>
      <c r="J15" s="50">
        <v>1</v>
      </c>
      <c r="K15" s="50">
        <v>6</v>
      </c>
      <c r="L15" s="50">
        <v>35</v>
      </c>
      <c r="M15" s="50">
        <v>120</v>
      </c>
      <c r="N15" s="50">
        <v>0</v>
      </c>
      <c r="O15" s="15">
        <f t="shared" si="0"/>
        <v>177</v>
      </c>
      <c r="P15" s="15">
        <f t="shared" si="1"/>
        <v>297</v>
      </c>
      <c r="R15" s="1" t="s">
        <v>11</v>
      </c>
      <c r="S15" s="17">
        <f t="shared" ref="S15:AF15" si="7">SUM(C30:C33)</f>
        <v>53</v>
      </c>
      <c r="T15" s="17">
        <f t="shared" si="7"/>
        <v>27</v>
      </c>
      <c r="U15" s="17">
        <f t="shared" si="7"/>
        <v>13</v>
      </c>
      <c r="V15" s="17">
        <f t="shared" si="7"/>
        <v>43</v>
      </c>
      <c r="W15" s="17">
        <f t="shared" si="7"/>
        <v>0</v>
      </c>
      <c r="X15" s="17">
        <f t="shared" si="7"/>
        <v>0</v>
      </c>
      <c r="Y15" s="17">
        <f t="shared" si="7"/>
        <v>29</v>
      </c>
      <c r="Z15" s="17">
        <f t="shared" si="7"/>
        <v>15</v>
      </c>
      <c r="AA15" s="17">
        <f t="shared" si="7"/>
        <v>16</v>
      </c>
      <c r="AB15" s="17">
        <f t="shared" si="7"/>
        <v>31</v>
      </c>
      <c r="AC15" s="17">
        <f t="shared" si="7"/>
        <v>599</v>
      </c>
      <c r="AD15" s="17">
        <f t="shared" si="7"/>
        <v>0</v>
      </c>
      <c r="AE15" s="31">
        <f t="shared" si="7"/>
        <v>227</v>
      </c>
      <c r="AF15" s="31">
        <f t="shared" si="7"/>
        <v>826</v>
      </c>
    </row>
    <row r="16" spans="2:32" ht="23.1" customHeight="1" x14ac:dyDescent="0.25">
      <c r="B16" s="23" t="s">
        <v>43</v>
      </c>
      <c r="C16" s="50">
        <v>15</v>
      </c>
      <c r="D16" s="50">
        <v>10</v>
      </c>
      <c r="E16" s="50">
        <v>5</v>
      </c>
      <c r="F16" s="50">
        <v>30</v>
      </c>
      <c r="G16" s="50">
        <v>2</v>
      </c>
      <c r="H16" s="50">
        <v>0</v>
      </c>
      <c r="I16" s="50">
        <v>5</v>
      </c>
      <c r="J16" s="50">
        <v>3</v>
      </c>
      <c r="K16" s="50">
        <v>5</v>
      </c>
      <c r="L16" s="50">
        <v>25</v>
      </c>
      <c r="M16" s="50">
        <v>110</v>
      </c>
      <c r="N16" s="50">
        <v>0</v>
      </c>
      <c r="O16" s="15">
        <f t="shared" si="0"/>
        <v>100</v>
      </c>
      <c r="P16" s="15">
        <f t="shared" si="1"/>
        <v>210</v>
      </c>
      <c r="R16" s="1" t="s">
        <v>12</v>
      </c>
      <c r="S16" s="17">
        <f t="shared" ref="S16:AF16" si="8">SUM(C34:C37)</f>
        <v>74</v>
      </c>
      <c r="T16" s="17">
        <f t="shared" si="8"/>
        <v>53</v>
      </c>
      <c r="U16" s="17">
        <f t="shared" si="8"/>
        <v>18</v>
      </c>
      <c r="V16" s="17">
        <f t="shared" si="8"/>
        <v>55</v>
      </c>
      <c r="W16" s="17">
        <f t="shared" si="8"/>
        <v>2</v>
      </c>
      <c r="X16" s="17">
        <f t="shared" si="8"/>
        <v>0</v>
      </c>
      <c r="Y16" s="17">
        <f t="shared" si="8"/>
        <v>21</v>
      </c>
      <c r="Z16" s="17">
        <f t="shared" si="8"/>
        <v>8</v>
      </c>
      <c r="AA16" s="17">
        <f t="shared" si="8"/>
        <v>10</v>
      </c>
      <c r="AB16" s="17">
        <f t="shared" si="8"/>
        <v>21</v>
      </c>
      <c r="AC16" s="17">
        <f t="shared" si="8"/>
        <v>549</v>
      </c>
      <c r="AD16" s="17">
        <f t="shared" si="8"/>
        <v>0</v>
      </c>
      <c r="AE16" s="31">
        <f t="shared" si="8"/>
        <v>262</v>
      </c>
      <c r="AF16" s="31">
        <f t="shared" si="8"/>
        <v>811</v>
      </c>
    </row>
    <row r="17" spans="2:32" ht="23.1" customHeight="1" x14ac:dyDescent="0.25">
      <c r="B17" s="23" t="s">
        <v>44</v>
      </c>
      <c r="C17" s="50">
        <v>10</v>
      </c>
      <c r="D17" s="50">
        <v>8</v>
      </c>
      <c r="E17" s="50">
        <v>2</v>
      </c>
      <c r="F17" s="50">
        <v>5</v>
      </c>
      <c r="G17" s="50">
        <v>0</v>
      </c>
      <c r="H17" s="50">
        <v>0</v>
      </c>
      <c r="I17" s="50">
        <v>1</v>
      </c>
      <c r="J17" s="50">
        <v>0</v>
      </c>
      <c r="K17" s="50">
        <v>1</v>
      </c>
      <c r="L17" s="50">
        <v>20</v>
      </c>
      <c r="M17" s="50">
        <v>120</v>
      </c>
      <c r="N17" s="50">
        <v>0</v>
      </c>
      <c r="O17" s="15">
        <f t="shared" si="0"/>
        <v>47</v>
      </c>
      <c r="P17" s="15">
        <f t="shared" si="1"/>
        <v>167</v>
      </c>
      <c r="R17" s="1" t="s">
        <v>13</v>
      </c>
      <c r="S17" s="17">
        <f t="shared" ref="S17:AF17" si="9">SUM(C38:C41)</f>
        <v>83</v>
      </c>
      <c r="T17" s="17">
        <f t="shared" si="9"/>
        <v>43</v>
      </c>
      <c r="U17" s="17">
        <f t="shared" si="9"/>
        <v>10</v>
      </c>
      <c r="V17" s="17">
        <f t="shared" si="9"/>
        <v>37</v>
      </c>
      <c r="W17" s="17">
        <f t="shared" si="9"/>
        <v>0</v>
      </c>
      <c r="X17" s="17">
        <f t="shared" si="9"/>
        <v>1</v>
      </c>
      <c r="Y17" s="17">
        <f t="shared" si="9"/>
        <v>19</v>
      </c>
      <c r="Z17" s="17">
        <f t="shared" si="9"/>
        <v>9</v>
      </c>
      <c r="AA17" s="17">
        <f t="shared" si="9"/>
        <v>8</v>
      </c>
      <c r="AB17" s="17">
        <f t="shared" si="9"/>
        <v>19</v>
      </c>
      <c r="AC17" s="17">
        <f t="shared" si="9"/>
        <v>560</v>
      </c>
      <c r="AD17" s="17">
        <f t="shared" si="9"/>
        <v>0</v>
      </c>
      <c r="AE17" s="31">
        <f t="shared" si="9"/>
        <v>229</v>
      </c>
      <c r="AF17" s="31">
        <f t="shared" si="9"/>
        <v>789</v>
      </c>
    </row>
    <row r="18" spans="2:32" ht="23.1" customHeight="1" x14ac:dyDescent="0.25">
      <c r="B18" s="23" t="s">
        <v>45</v>
      </c>
      <c r="C18" s="50">
        <v>23</v>
      </c>
      <c r="D18" s="50">
        <v>3</v>
      </c>
      <c r="E18" s="50">
        <v>1</v>
      </c>
      <c r="F18" s="50">
        <v>20</v>
      </c>
      <c r="G18" s="50">
        <v>0</v>
      </c>
      <c r="H18" s="50">
        <v>0</v>
      </c>
      <c r="I18" s="50">
        <v>4</v>
      </c>
      <c r="J18" s="50">
        <v>1</v>
      </c>
      <c r="K18" s="50">
        <v>4</v>
      </c>
      <c r="L18" s="50">
        <v>42</v>
      </c>
      <c r="M18" s="50">
        <v>130</v>
      </c>
      <c r="N18" s="50">
        <v>0</v>
      </c>
      <c r="O18" s="15">
        <f t="shared" si="0"/>
        <v>98</v>
      </c>
      <c r="P18" s="15">
        <f t="shared" si="1"/>
        <v>228</v>
      </c>
      <c r="R18" s="1" t="s">
        <v>14</v>
      </c>
      <c r="S18" s="17">
        <f t="shared" ref="S18:AF18" si="10">SUM(C42:C45)</f>
        <v>116</v>
      </c>
      <c r="T18" s="17">
        <f t="shared" si="10"/>
        <v>53</v>
      </c>
      <c r="U18" s="17">
        <f t="shared" si="10"/>
        <v>11</v>
      </c>
      <c r="V18" s="17">
        <f t="shared" si="10"/>
        <v>35</v>
      </c>
      <c r="W18" s="17">
        <f t="shared" si="10"/>
        <v>0</v>
      </c>
      <c r="X18" s="17">
        <f t="shared" si="10"/>
        <v>0</v>
      </c>
      <c r="Y18" s="17">
        <f t="shared" si="10"/>
        <v>25</v>
      </c>
      <c r="Z18" s="17">
        <f t="shared" si="10"/>
        <v>6</v>
      </c>
      <c r="AA18" s="17">
        <f t="shared" si="10"/>
        <v>12</v>
      </c>
      <c r="AB18" s="17">
        <f t="shared" si="10"/>
        <v>18</v>
      </c>
      <c r="AC18" s="17">
        <f t="shared" si="10"/>
        <v>558</v>
      </c>
      <c r="AD18" s="17">
        <f t="shared" si="10"/>
        <v>0</v>
      </c>
      <c r="AE18" s="31">
        <f t="shared" si="10"/>
        <v>276</v>
      </c>
      <c r="AF18" s="31">
        <f t="shared" si="10"/>
        <v>834</v>
      </c>
    </row>
    <row r="19" spans="2:32" ht="23.1" customHeight="1" x14ac:dyDescent="0.25">
      <c r="B19" s="23" t="s">
        <v>46</v>
      </c>
      <c r="C19" s="50">
        <v>4</v>
      </c>
      <c r="D19" s="50">
        <v>3</v>
      </c>
      <c r="E19" s="50">
        <v>0</v>
      </c>
      <c r="F19" s="50">
        <v>34</v>
      </c>
      <c r="G19" s="50">
        <v>0</v>
      </c>
      <c r="H19" s="50">
        <v>0</v>
      </c>
      <c r="I19" s="50">
        <v>8</v>
      </c>
      <c r="J19" s="50">
        <v>2</v>
      </c>
      <c r="K19" s="50">
        <v>6</v>
      </c>
      <c r="L19" s="50">
        <v>35</v>
      </c>
      <c r="M19" s="50">
        <v>120</v>
      </c>
      <c r="N19" s="50">
        <v>0</v>
      </c>
      <c r="O19" s="15">
        <f t="shared" si="0"/>
        <v>92</v>
      </c>
      <c r="P19" s="15">
        <f t="shared" si="1"/>
        <v>212</v>
      </c>
      <c r="R19" s="1" t="s">
        <v>15</v>
      </c>
      <c r="S19" s="17">
        <f t="shared" ref="S19:AF19" si="11">SUM(C46:C49)</f>
        <v>116</v>
      </c>
      <c r="T19" s="17">
        <f t="shared" si="11"/>
        <v>55</v>
      </c>
      <c r="U19" s="17">
        <f t="shared" si="11"/>
        <v>30</v>
      </c>
      <c r="V19" s="17">
        <f t="shared" si="11"/>
        <v>33</v>
      </c>
      <c r="W19" s="17">
        <f t="shared" si="11"/>
        <v>0</v>
      </c>
      <c r="X19" s="17">
        <f t="shared" si="11"/>
        <v>0</v>
      </c>
      <c r="Y19" s="17">
        <f t="shared" si="11"/>
        <v>19</v>
      </c>
      <c r="Z19" s="17">
        <f t="shared" si="11"/>
        <v>10</v>
      </c>
      <c r="AA19" s="17">
        <f t="shared" si="11"/>
        <v>8</v>
      </c>
      <c r="AB19" s="17">
        <f t="shared" si="11"/>
        <v>17</v>
      </c>
      <c r="AC19" s="17">
        <f t="shared" si="11"/>
        <v>501</v>
      </c>
      <c r="AD19" s="17">
        <f t="shared" si="11"/>
        <v>0</v>
      </c>
      <c r="AE19" s="31">
        <f t="shared" si="11"/>
        <v>288</v>
      </c>
      <c r="AF19" s="31">
        <f t="shared" si="11"/>
        <v>789</v>
      </c>
    </row>
    <row r="20" spans="2:32" ht="23.1" customHeight="1" x14ac:dyDescent="0.25">
      <c r="B20" s="23" t="s">
        <v>47</v>
      </c>
      <c r="C20" s="50">
        <v>6</v>
      </c>
      <c r="D20" s="50">
        <v>4</v>
      </c>
      <c r="E20" s="50">
        <v>0</v>
      </c>
      <c r="F20" s="50">
        <v>18</v>
      </c>
      <c r="G20" s="50">
        <v>0</v>
      </c>
      <c r="H20" s="50">
        <v>0</v>
      </c>
      <c r="I20" s="50">
        <v>6</v>
      </c>
      <c r="J20" s="50">
        <v>4</v>
      </c>
      <c r="K20" s="50">
        <v>5</v>
      </c>
      <c r="L20" s="50">
        <v>25</v>
      </c>
      <c r="M20" s="50">
        <v>108</v>
      </c>
      <c r="N20" s="50">
        <v>0</v>
      </c>
      <c r="O20" s="15">
        <f t="shared" si="0"/>
        <v>68</v>
      </c>
      <c r="P20" s="15">
        <f t="shared" si="1"/>
        <v>176</v>
      </c>
      <c r="R20" s="1" t="s">
        <v>16</v>
      </c>
      <c r="S20" s="17">
        <f t="shared" ref="S20:AF20" si="12">SUM(C50:C53)</f>
        <v>169</v>
      </c>
      <c r="T20" s="17">
        <f t="shared" si="12"/>
        <v>88</v>
      </c>
      <c r="U20" s="17">
        <f t="shared" si="12"/>
        <v>25</v>
      </c>
      <c r="V20" s="17">
        <f t="shared" si="12"/>
        <v>9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7</v>
      </c>
      <c r="AA20" s="17">
        <f t="shared" si="12"/>
        <v>6</v>
      </c>
      <c r="AB20" s="17">
        <f t="shared" si="12"/>
        <v>8</v>
      </c>
      <c r="AC20" s="17">
        <f t="shared" si="12"/>
        <v>530</v>
      </c>
      <c r="AD20" s="17">
        <f t="shared" si="12"/>
        <v>0</v>
      </c>
      <c r="AE20" s="31">
        <f t="shared" si="12"/>
        <v>321</v>
      </c>
      <c r="AF20" s="31">
        <f t="shared" si="12"/>
        <v>851</v>
      </c>
    </row>
    <row r="21" spans="2:32" ht="23.1" customHeight="1" x14ac:dyDescent="0.25">
      <c r="B21" s="23" t="s">
        <v>48</v>
      </c>
      <c r="C21" s="50">
        <v>12</v>
      </c>
      <c r="D21" s="50">
        <v>4</v>
      </c>
      <c r="E21" s="50">
        <v>4</v>
      </c>
      <c r="F21" s="50">
        <v>13</v>
      </c>
      <c r="G21" s="50">
        <v>0</v>
      </c>
      <c r="H21" s="50">
        <v>0</v>
      </c>
      <c r="I21" s="50">
        <v>5</v>
      </c>
      <c r="J21" s="50">
        <v>1</v>
      </c>
      <c r="K21" s="50">
        <v>2</v>
      </c>
      <c r="L21" s="50">
        <v>23</v>
      </c>
      <c r="M21" s="50">
        <v>126</v>
      </c>
      <c r="N21" s="50">
        <v>0</v>
      </c>
      <c r="O21" s="15">
        <f t="shared" si="0"/>
        <v>64</v>
      </c>
      <c r="P21" s="15">
        <f t="shared" si="1"/>
        <v>190</v>
      </c>
      <c r="R21" s="36" t="s">
        <v>20</v>
      </c>
      <c r="S21" s="34">
        <f t="shared" ref="S21:AF21" si="13">SUM(C54:C57)</f>
        <v>247</v>
      </c>
      <c r="T21" s="17">
        <f t="shared" si="13"/>
        <v>145</v>
      </c>
      <c r="U21" s="17">
        <f t="shared" si="13"/>
        <v>37</v>
      </c>
      <c r="V21" s="17">
        <f t="shared" si="13"/>
        <v>34</v>
      </c>
      <c r="W21" s="17">
        <f t="shared" si="13"/>
        <v>0</v>
      </c>
      <c r="X21" s="17">
        <f t="shared" si="13"/>
        <v>0</v>
      </c>
      <c r="Y21" s="17">
        <f t="shared" si="13"/>
        <v>11</v>
      </c>
      <c r="Z21" s="17">
        <f t="shared" si="13"/>
        <v>4</v>
      </c>
      <c r="AA21" s="17">
        <f t="shared" si="13"/>
        <v>3</v>
      </c>
      <c r="AB21" s="17">
        <f t="shared" si="13"/>
        <v>9</v>
      </c>
      <c r="AC21" s="17">
        <f t="shared" si="13"/>
        <v>545</v>
      </c>
      <c r="AD21" s="17">
        <f t="shared" si="13"/>
        <v>0</v>
      </c>
      <c r="AE21" s="31">
        <f t="shared" si="13"/>
        <v>490</v>
      </c>
      <c r="AF21" s="31">
        <f t="shared" si="13"/>
        <v>1035</v>
      </c>
    </row>
    <row r="22" spans="2:32" ht="23.1" customHeight="1" x14ac:dyDescent="0.25">
      <c r="B22" s="23" t="s">
        <v>49</v>
      </c>
      <c r="C22" s="50">
        <v>13</v>
      </c>
      <c r="D22" s="50">
        <v>6</v>
      </c>
      <c r="E22" s="50">
        <v>2</v>
      </c>
      <c r="F22" s="50">
        <v>25</v>
      </c>
      <c r="G22" s="50">
        <v>0</v>
      </c>
      <c r="H22" s="50">
        <v>0</v>
      </c>
      <c r="I22" s="50">
        <v>2</v>
      </c>
      <c r="J22" s="50">
        <v>1</v>
      </c>
      <c r="K22" s="50">
        <v>3</v>
      </c>
      <c r="L22" s="50">
        <v>3</v>
      </c>
      <c r="M22" s="50">
        <v>100</v>
      </c>
      <c r="N22" s="50">
        <v>0</v>
      </c>
      <c r="O22" s="15">
        <f t="shared" si="0"/>
        <v>55</v>
      </c>
      <c r="P22" s="15">
        <f t="shared" si="1"/>
        <v>155</v>
      </c>
      <c r="R22" s="38" t="s">
        <v>90</v>
      </c>
      <c r="S22" s="39">
        <f>MAX(S10:S12)</f>
        <v>129</v>
      </c>
      <c r="T22" s="39">
        <f t="shared" ref="T22:AF22" si="14">MAX(T10:T12)</f>
        <v>57</v>
      </c>
      <c r="U22" s="39">
        <f t="shared" si="14"/>
        <v>28</v>
      </c>
      <c r="V22" s="39">
        <f t="shared" si="14"/>
        <v>140</v>
      </c>
      <c r="W22" s="39">
        <f t="shared" si="14"/>
        <v>6</v>
      </c>
      <c r="X22" s="39">
        <f t="shared" si="14"/>
        <v>0</v>
      </c>
      <c r="Y22" s="39">
        <f t="shared" si="14"/>
        <v>23</v>
      </c>
      <c r="Z22" s="39">
        <f t="shared" si="14"/>
        <v>8</v>
      </c>
      <c r="AA22" s="39">
        <f t="shared" si="14"/>
        <v>51</v>
      </c>
      <c r="AB22" s="39">
        <f t="shared" si="14"/>
        <v>125</v>
      </c>
      <c r="AC22" s="39">
        <f t="shared" si="14"/>
        <v>484</v>
      </c>
      <c r="AD22" s="39">
        <f t="shared" si="14"/>
        <v>0</v>
      </c>
      <c r="AE22" s="40">
        <f t="shared" si="14"/>
        <v>520</v>
      </c>
      <c r="AF22" s="40">
        <f t="shared" si="14"/>
        <v>1000</v>
      </c>
    </row>
    <row r="23" spans="2:32" ht="23.1" customHeight="1" x14ac:dyDescent="0.25">
      <c r="B23" s="23" t="s">
        <v>50</v>
      </c>
      <c r="C23" s="50">
        <v>7</v>
      </c>
      <c r="D23" s="50">
        <v>5</v>
      </c>
      <c r="E23" s="50">
        <v>4</v>
      </c>
      <c r="F23" s="50">
        <v>15</v>
      </c>
      <c r="G23" s="50">
        <v>0</v>
      </c>
      <c r="H23" s="50">
        <v>0</v>
      </c>
      <c r="I23" s="50">
        <v>2</v>
      </c>
      <c r="J23" s="50">
        <v>1</v>
      </c>
      <c r="K23" s="50">
        <v>1</v>
      </c>
      <c r="L23" s="50">
        <v>2</v>
      </c>
      <c r="M23" s="50">
        <v>78</v>
      </c>
      <c r="N23" s="50">
        <v>0</v>
      </c>
      <c r="O23" s="15">
        <f t="shared" si="0"/>
        <v>37</v>
      </c>
      <c r="P23" s="15">
        <f t="shared" si="1"/>
        <v>115</v>
      </c>
      <c r="R23" s="38" t="s">
        <v>91</v>
      </c>
      <c r="S23" s="39">
        <f>MAX(S13:S18)</f>
        <v>116</v>
      </c>
      <c r="T23" s="39">
        <f t="shared" ref="T23:AF23" si="15">MAX(T13:T18)</f>
        <v>53</v>
      </c>
      <c r="U23" s="39">
        <f t="shared" si="15"/>
        <v>24</v>
      </c>
      <c r="V23" s="39">
        <f t="shared" si="15"/>
        <v>62</v>
      </c>
      <c r="W23" s="39">
        <f t="shared" si="15"/>
        <v>2</v>
      </c>
      <c r="X23" s="39">
        <f t="shared" si="15"/>
        <v>1</v>
      </c>
      <c r="Y23" s="39">
        <f t="shared" si="15"/>
        <v>29</v>
      </c>
      <c r="Z23" s="39">
        <f t="shared" si="15"/>
        <v>20</v>
      </c>
      <c r="AA23" s="39">
        <f t="shared" si="15"/>
        <v>16</v>
      </c>
      <c r="AB23" s="39">
        <f t="shared" si="15"/>
        <v>31</v>
      </c>
      <c r="AC23" s="39">
        <f t="shared" si="15"/>
        <v>599</v>
      </c>
      <c r="AD23" s="39">
        <f t="shared" si="15"/>
        <v>0</v>
      </c>
      <c r="AE23" s="40">
        <f t="shared" si="15"/>
        <v>276</v>
      </c>
      <c r="AF23" s="40">
        <f t="shared" si="15"/>
        <v>834</v>
      </c>
    </row>
    <row r="24" spans="2:32" ht="23.1" customHeight="1" x14ac:dyDescent="0.25">
      <c r="B24" s="23" t="s">
        <v>51</v>
      </c>
      <c r="C24" s="50">
        <v>12</v>
      </c>
      <c r="D24" s="50">
        <v>10</v>
      </c>
      <c r="E24" s="50">
        <v>3</v>
      </c>
      <c r="F24" s="50">
        <v>12</v>
      </c>
      <c r="G24" s="50">
        <v>0</v>
      </c>
      <c r="H24" s="50">
        <v>0</v>
      </c>
      <c r="I24" s="50">
        <v>1</v>
      </c>
      <c r="J24" s="50">
        <v>0</v>
      </c>
      <c r="K24" s="50">
        <v>1</v>
      </c>
      <c r="L24" s="50">
        <v>2</v>
      </c>
      <c r="M24" s="50">
        <v>122</v>
      </c>
      <c r="N24" s="50">
        <v>0</v>
      </c>
      <c r="O24" s="15">
        <f t="shared" si="0"/>
        <v>41</v>
      </c>
      <c r="P24" s="15">
        <f t="shared" si="1"/>
        <v>163</v>
      </c>
      <c r="R24" s="38" t="s">
        <v>92</v>
      </c>
      <c r="S24" s="39">
        <f>MAX(S19:S21)</f>
        <v>247</v>
      </c>
      <c r="T24" s="39">
        <f t="shared" ref="T24:AF24" si="16">MAX(T19:T21)</f>
        <v>145</v>
      </c>
      <c r="U24" s="39">
        <f t="shared" si="16"/>
        <v>37</v>
      </c>
      <c r="V24" s="39">
        <f t="shared" si="16"/>
        <v>34</v>
      </c>
      <c r="W24" s="39">
        <f t="shared" si="16"/>
        <v>0</v>
      </c>
      <c r="X24" s="39">
        <f t="shared" si="16"/>
        <v>0</v>
      </c>
      <c r="Y24" s="39">
        <f t="shared" si="16"/>
        <v>19</v>
      </c>
      <c r="Z24" s="39">
        <f t="shared" si="16"/>
        <v>10</v>
      </c>
      <c r="AA24" s="39">
        <f t="shared" si="16"/>
        <v>8</v>
      </c>
      <c r="AB24" s="39">
        <f t="shared" si="16"/>
        <v>17</v>
      </c>
      <c r="AC24" s="39">
        <f t="shared" si="16"/>
        <v>545</v>
      </c>
      <c r="AD24" s="39">
        <f t="shared" si="16"/>
        <v>0</v>
      </c>
      <c r="AE24" s="40">
        <f t="shared" si="16"/>
        <v>490</v>
      </c>
      <c r="AF24" s="40">
        <f t="shared" si="16"/>
        <v>1035</v>
      </c>
    </row>
    <row r="25" spans="2:32" ht="23.1" customHeight="1" x14ac:dyDescent="0.25">
      <c r="B25" s="23" t="s">
        <v>52</v>
      </c>
      <c r="C25" s="50">
        <v>10</v>
      </c>
      <c r="D25" s="50">
        <v>8</v>
      </c>
      <c r="E25" s="50">
        <v>6</v>
      </c>
      <c r="F25" s="50">
        <v>10</v>
      </c>
      <c r="G25" s="50">
        <v>1</v>
      </c>
      <c r="H25" s="50">
        <v>0</v>
      </c>
      <c r="I25" s="50">
        <v>2</v>
      </c>
      <c r="J25" s="50">
        <v>2</v>
      </c>
      <c r="K25" s="50">
        <v>1</v>
      </c>
      <c r="L25" s="50">
        <v>0</v>
      </c>
      <c r="M25" s="50">
        <v>140</v>
      </c>
      <c r="N25" s="50">
        <v>0</v>
      </c>
      <c r="O25" s="15">
        <f t="shared" si="0"/>
        <v>40</v>
      </c>
      <c r="P25" s="15">
        <f t="shared" si="1"/>
        <v>180</v>
      </c>
      <c r="R25" s="37" t="s">
        <v>85</v>
      </c>
      <c r="S25" s="35">
        <f t="shared" ref="S25:AF25" si="17">SUM(S10:S12)</f>
        <v>204</v>
      </c>
      <c r="T25" s="16">
        <f t="shared" si="17"/>
        <v>79</v>
      </c>
      <c r="U25" s="16">
        <f t="shared" si="17"/>
        <v>46</v>
      </c>
      <c r="V25" s="16">
        <f t="shared" si="17"/>
        <v>270</v>
      </c>
      <c r="W25" s="16">
        <f t="shared" si="17"/>
        <v>8</v>
      </c>
      <c r="X25" s="16">
        <f t="shared" si="17"/>
        <v>0</v>
      </c>
      <c r="Y25" s="16">
        <f t="shared" si="17"/>
        <v>62</v>
      </c>
      <c r="Z25" s="16">
        <f t="shared" si="17"/>
        <v>16</v>
      </c>
      <c r="AA25" s="16">
        <f t="shared" si="17"/>
        <v>84</v>
      </c>
      <c r="AB25" s="16">
        <f t="shared" si="17"/>
        <v>339</v>
      </c>
      <c r="AC25" s="16">
        <f t="shared" si="17"/>
        <v>1177</v>
      </c>
      <c r="AD25" s="16">
        <f t="shared" si="17"/>
        <v>0</v>
      </c>
      <c r="AE25" s="32">
        <f t="shared" si="17"/>
        <v>1108</v>
      </c>
      <c r="AF25" s="32">
        <f t="shared" si="17"/>
        <v>2285</v>
      </c>
    </row>
    <row r="26" spans="2:32" ht="23.1" customHeight="1" x14ac:dyDescent="0.25">
      <c r="B26" s="23" t="s">
        <v>53</v>
      </c>
      <c r="C26" s="50">
        <v>19</v>
      </c>
      <c r="D26" s="50">
        <v>6</v>
      </c>
      <c r="E26" s="50">
        <v>6</v>
      </c>
      <c r="F26" s="50">
        <v>18</v>
      </c>
      <c r="G26" s="50">
        <v>2</v>
      </c>
      <c r="H26" s="50">
        <v>0</v>
      </c>
      <c r="I26" s="50">
        <v>9</v>
      </c>
      <c r="J26" s="50">
        <v>3</v>
      </c>
      <c r="K26" s="50">
        <v>1</v>
      </c>
      <c r="L26" s="50">
        <v>2</v>
      </c>
      <c r="M26" s="50">
        <v>135</v>
      </c>
      <c r="N26" s="50">
        <v>0</v>
      </c>
      <c r="O26" s="15">
        <f t="shared" si="0"/>
        <v>66</v>
      </c>
      <c r="P26" s="15">
        <f t="shared" si="1"/>
        <v>201</v>
      </c>
      <c r="R26" s="28" t="s">
        <v>86</v>
      </c>
      <c r="S26" s="16">
        <f t="shared" ref="S26:AF26" si="18">SUM(S13:S18)</f>
        <v>433</v>
      </c>
      <c r="T26" s="16">
        <f t="shared" si="18"/>
        <v>231</v>
      </c>
      <c r="U26" s="16">
        <f t="shared" si="18"/>
        <v>91</v>
      </c>
      <c r="V26" s="16">
        <f t="shared" si="18"/>
        <v>286</v>
      </c>
      <c r="W26" s="16">
        <f t="shared" si="18"/>
        <v>5</v>
      </c>
      <c r="X26" s="16">
        <f t="shared" si="18"/>
        <v>1</v>
      </c>
      <c r="Y26" s="16">
        <f t="shared" si="18"/>
        <v>129</v>
      </c>
      <c r="Z26" s="16">
        <f t="shared" si="18"/>
        <v>62</v>
      </c>
      <c r="AA26" s="16">
        <f t="shared" si="18"/>
        <v>65</v>
      </c>
      <c r="AB26" s="16">
        <f t="shared" si="18"/>
        <v>112</v>
      </c>
      <c r="AC26" s="16">
        <f t="shared" si="18"/>
        <v>3159</v>
      </c>
      <c r="AD26" s="16">
        <f t="shared" si="18"/>
        <v>0</v>
      </c>
      <c r="AE26" s="32">
        <f t="shared" si="18"/>
        <v>1415</v>
      </c>
      <c r="AF26" s="32">
        <f t="shared" si="18"/>
        <v>4574</v>
      </c>
    </row>
    <row r="27" spans="2:32" ht="23.1" customHeight="1" x14ac:dyDescent="0.25">
      <c r="B27" s="23" t="s">
        <v>54</v>
      </c>
      <c r="C27" s="50">
        <v>14</v>
      </c>
      <c r="D27" s="50">
        <v>3</v>
      </c>
      <c r="E27" s="50">
        <v>3</v>
      </c>
      <c r="F27" s="50">
        <v>11</v>
      </c>
      <c r="G27" s="50">
        <v>0</v>
      </c>
      <c r="H27" s="50">
        <v>0</v>
      </c>
      <c r="I27" s="50">
        <v>8</v>
      </c>
      <c r="J27" s="50">
        <v>8</v>
      </c>
      <c r="K27" s="50">
        <v>4</v>
      </c>
      <c r="L27" s="50">
        <v>5</v>
      </c>
      <c r="M27" s="50">
        <v>68</v>
      </c>
      <c r="N27" s="50">
        <v>0</v>
      </c>
      <c r="O27" s="15">
        <f t="shared" si="0"/>
        <v>56</v>
      </c>
      <c r="P27" s="15">
        <f t="shared" si="1"/>
        <v>124</v>
      </c>
      <c r="R27" s="29" t="s">
        <v>87</v>
      </c>
      <c r="S27" s="16">
        <f t="shared" ref="S27:AF27" si="19">SUM(S19:S21)</f>
        <v>532</v>
      </c>
      <c r="T27" s="16">
        <f t="shared" si="19"/>
        <v>288</v>
      </c>
      <c r="U27" s="16">
        <f t="shared" si="19"/>
        <v>92</v>
      </c>
      <c r="V27" s="16">
        <f t="shared" si="19"/>
        <v>76</v>
      </c>
      <c r="W27" s="16">
        <f t="shared" si="19"/>
        <v>0</v>
      </c>
      <c r="X27" s="16">
        <f t="shared" si="19"/>
        <v>0</v>
      </c>
      <c r="Y27" s="16">
        <f t="shared" si="19"/>
        <v>39</v>
      </c>
      <c r="Z27" s="16">
        <f t="shared" si="19"/>
        <v>21</v>
      </c>
      <c r="AA27" s="16">
        <f t="shared" si="19"/>
        <v>17</v>
      </c>
      <c r="AB27" s="16">
        <f t="shared" si="19"/>
        <v>34</v>
      </c>
      <c r="AC27" s="16">
        <f t="shared" si="19"/>
        <v>1576</v>
      </c>
      <c r="AD27" s="16">
        <f t="shared" si="19"/>
        <v>0</v>
      </c>
      <c r="AE27" s="32">
        <f t="shared" si="19"/>
        <v>1099</v>
      </c>
      <c r="AF27" s="32">
        <f t="shared" si="19"/>
        <v>2675</v>
      </c>
    </row>
    <row r="28" spans="2:32" ht="23.1" customHeight="1" x14ac:dyDescent="0.25">
      <c r="B28" s="23" t="s">
        <v>55</v>
      </c>
      <c r="C28" s="50">
        <v>9</v>
      </c>
      <c r="D28" s="50">
        <v>7</v>
      </c>
      <c r="E28" s="50">
        <v>7</v>
      </c>
      <c r="F28" s="50">
        <v>11</v>
      </c>
      <c r="G28" s="50">
        <v>0</v>
      </c>
      <c r="H28" s="50">
        <v>0</v>
      </c>
      <c r="I28" s="50">
        <v>4</v>
      </c>
      <c r="J28" s="50">
        <v>4</v>
      </c>
      <c r="K28" s="50">
        <v>2</v>
      </c>
      <c r="L28" s="50">
        <v>3</v>
      </c>
      <c r="M28" s="50">
        <v>100</v>
      </c>
      <c r="N28" s="50">
        <v>0</v>
      </c>
      <c r="O28" s="15">
        <f t="shared" si="0"/>
        <v>47</v>
      </c>
      <c r="P28" s="15">
        <f t="shared" si="1"/>
        <v>147</v>
      </c>
      <c r="R28" s="5" t="s">
        <v>17</v>
      </c>
      <c r="S28" s="16">
        <f t="shared" ref="S28:AF28" si="20">SUM(S10:S21)</f>
        <v>1169</v>
      </c>
      <c r="T28" s="16">
        <f t="shared" si="20"/>
        <v>598</v>
      </c>
      <c r="U28" s="16">
        <f t="shared" si="20"/>
        <v>229</v>
      </c>
      <c r="V28" s="16">
        <f t="shared" si="20"/>
        <v>632</v>
      </c>
      <c r="W28" s="16">
        <f t="shared" si="20"/>
        <v>13</v>
      </c>
      <c r="X28" s="16">
        <f t="shared" si="20"/>
        <v>1</v>
      </c>
      <c r="Y28" s="16">
        <f t="shared" si="20"/>
        <v>230</v>
      </c>
      <c r="Z28" s="16">
        <f t="shared" si="20"/>
        <v>99</v>
      </c>
      <c r="AA28" s="16">
        <f t="shared" si="20"/>
        <v>166</v>
      </c>
      <c r="AB28" s="16">
        <f t="shared" si="20"/>
        <v>485</v>
      </c>
      <c r="AC28" s="16">
        <f t="shared" si="20"/>
        <v>5912</v>
      </c>
      <c r="AD28" s="16">
        <f t="shared" si="20"/>
        <v>0</v>
      </c>
      <c r="AE28" s="32">
        <f t="shared" si="20"/>
        <v>3622</v>
      </c>
      <c r="AF28" s="32">
        <f t="shared" si="20"/>
        <v>9534</v>
      </c>
    </row>
    <row r="29" spans="2:32" ht="23.1" customHeight="1" x14ac:dyDescent="0.25">
      <c r="B29" s="23" t="s">
        <v>56</v>
      </c>
      <c r="C29" s="50">
        <v>23</v>
      </c>
      <c r="D29" s="50">
        <v>10</v>
      </c>
      <c r="E29" s="50">
        <v>8</v>
      </c>
      <c r="F29" s="50">
        <v>14</v>
      </c>
      <c r="G29" s="50">
        <v>0</v>
      </c>
      <c r="H29" s="50">
        <v>0</v>
      </c>
      <c r="I29" s="50">
        <v>7</v>
      </c>
      <c r="J29" s="50">
        <v>5</v>
      </c>
      <c r="K29" s="50">
        <v>6</v>
      </c>
      <c r="L29" s="50">
        <v>6</v>
      </c>
      <c r="M29" s="50">
        <v>150</v>
      </c>
      <c r="N29" s="50">
        <v>0</v>
      </c>
      <c r="O29" s="15">
        <f t="shared" si="0"/>
        <v>79</v>
      </c>
      <c r="P29" s="15">
        <f t="shared" si="1"/>
        <v>229</v>
      </c>
      <c r="R29"/>
      <c r="S29" s="20"/>
      <c r="T29" s="19"/>
    </row>
    <row r="30" spans="2:32" ht="23.1" customHeight="1" x14ac:dyDescent="0.25">
      <c r="B30" s="23" t="s">
        <v>57</v>
      </c>
      <c r="C30" s="50">
        <v>19</v>
      </c>
      <c r="D30" s="50">
        <v>9</v>
      </c>
      <c r="E30" s="50">
        <v>6</v>
      </c>
      <c r="F30" s="50">
        <v>16</v>
      </c>
      <c r="G30" s="50">
        <v>0</v>
      </c>
      <c r="H30" s="50">
        <v>0</v>
      </c>
      <c r="I30" s="50">
        <v>7</v>
      </c>
      <c r="J30" s="50">
        <v>1</v>
      </c>
      <c r="K30" s="50">
        <v>1</v>
      </c>
      <c r="L30" s="50">
        <v>5</v>
      </c>
      <c r="M30" s="50">
        <v>140</v>
      </c>
      <c r="N30" s="50">
        <v>0</v>
      </c>
      <c r="O30" s="15">
        <f t="shared" si="0"/>
        <v>64</v>
      </c>
      <c r="P30" s="15">
        <f t="shared" si="1"/>
        <v>204</v>
      </c>
    </row>
    <row r="31" spans="2:32" ht="23.1" customHeight="1" x14ac:dyDescent="0.25">
      <c r="B31" s="24" t="s">
        <v>58</v>
      </c>
      <c r="C31" s="50">
        <v>11</v>
      </c>
      <c r="D31" s="50">
        <v>6</v>
      </c>
      <c r="E31" s="50">
        <v>6</v>
      </c>
      <c r="F31" s="50">
        <v>13</v>
      </c>
      <c r="G31" s="50">
        <v>0</v>
      </c>
      <c r="H31" s="50">
        <v>0</v>
      </c>
      <c r="I31" s="50">
        <v>9</v>
      </c>
      <c r="J31" s="50">
        <v>7</v>
      </c>
      <c r="K31" s="50">
        <v>6</v>
      </c>
      <c r="L31" s="50">
        <v>9</v>
      </c>
      <c r="M31" s="50">
        <v>170</v>
      </c>
      <c r="N31" s="50">
        <v>0</v>
      </c>
      <c r="O31" s="15">
        <f t="shared" si="0"/>
        <v>67</v>
      </c>
      <c r="P31" s="15">
        <f t="shared" si="1"/>
        <v>237</v>
      </c>
    </row>
    <row r="32" spans="2:32" ht="23.1" customHeight="1" x14ac:dyDescent="0.25">
      <c r="B32" s="24" t="s">
        <v>59</v>
      </c>
      <c r="C32" s="50">
        <v>14</v>
      </c>
      <c r="D32" s="50">
        <v>11</v>
      </c>
      <c r="E32" s="50">
        <v>1</v>
      </c>
      <c r="F32" s="50">
        <v>11</v>
      </c>
      <c r="G32" s="50">
        <v>0</v>
      </c>
      <c r="H32" s="50">
        <v>0</v>
      </c>
      <c r="I32" s="50">
        <v>7</v>
      </c>
      <c r="J32" s="50">
        <v>4</v>
      </c>
      <c r="K32" s="50">
        <v>5</v>
      </c>
      <c r="L32" s="50">
        <v>8</v>
      </c>
      <c r="M32" s="50">
        <v>135</v>
      </c>
      <c r="N32" s="50">
        <v>0</v>
      </c>
      <c r="O32" s="15">
        <f t="shared" si="0"/>
        <v>61</v>
      </c>
      <c r="P32" s="15">
        <f t="shared" si="1"/>
        <v>196</v>
      </c>
    </row>
    <row r="33" spans="2:20" ht="23.1" customHeight="1" x14ac:dyDescent="0.25">
      <c r="B33" s="23" t="s">
        <v>60</v>
      </c>
      <c r="C33" s="50">
        <v>9</v>
      </c>
      <c r="D33" s="50">
        <v>1</v>
      </c>
      <c r="E33" s="50">
        <v>0</v>
      </c>
      <c r="F33" s="50">
        <v>3</v>
      </c>
      <c r="G33" s="50">
        <v>0</v>
      </c>
      <c r="H33" s="50">
        <v>0</v>
      </c>
      <c r="I33" s="50">
        <v>6</v>
      </c>
      <c r="J33" s="50">
        <v>3</v>
      </c>
      <c r="K33" s="50">
        <v>4</v>
      </c>
      <c r="L33" s="50">
        <v>9</v>
      </c>
      <c r="M33" s="50">
        <v>154</v>
      </c>
      <c r="N33" s="50">
        <v>0</v>
      </c>
      <c r="O33" s="15">
        <f t="shared" si="0"/>
        <v>35</v>
      </c>
      <c r="P33" s="15">
        <f t="shared" si="1"/>
        <v>189</v>
      </c>
    </row>
    <row r="34" spans="2:20" ht="23.1" customHeight="1" x14ac:dyDescent="0.25">
      <c r="B34" s="24" t="s">
        <v>61</v>
      </c>
      <c r="C34" s="50">
        <v>12</v>
      </c>
      <c r="D34" s="50">
        <v>13</v>
      </c>
      <c r="E34" s="50">
        <v>3</v>
      </c>
      <c r="F34" s="50">
        <v>13</v>
      </c>
      <c r="G34" s="50">
        <v>0</v>
      </c>
      <c r="H34" s="50">
        <v>0</v>
      </c>
      <c r="I34" s="50">
        <v>3</v>
      </c>
      <c r="J34" s="50">
        <v>3</v>
      </c>
      <c r="K34" s="50">
        <v>5</v>
      </c>
      <c r="L34" s="50">
        <v>6</v>
      </c>
      <c r="M34" s="50">
        <v>140</v>
      </c>
      <c r="N34" s="50">
        <v>0</v>
      </c>
      <c r="O34" s="15">
        <f t="shared" si="0"/>
        <v>58</v>
      </c>
      <c r="P34" s="15">
        <f t="shared" si="1"/>
        <v>198</v>
      </c>
    </row>
    <row r="35" spans="2:20" ht="23.1" customHeight="1" x14ac:dyDescent="0.25">
      <c r="B35" s="24" t="s">
        <v>62</v>
      </c>
      <c r="C35" s="50">
        <v>23</v>
      </c>
      <c r="D35" s="50">
        <v>10</v>
      </c>
      <c r="E35" s="50">
        <v>8</v>
      </c>
      <c r="F35" s="50">
        <v>7</v>
      </c>
      <c r="G35" s="50">
        <v>0</v>
      </c>
      <c r="H35" s="50">
        <v>0</v>
      </c>
      <c r="I35" s="50">
        <v>7</v>
      </c>
      <c r="J35" s="50">
        <v>2</v>
      </c>
      <c r="K35" s="50">
        <v>2</v>
      </c>
      <c r="L35" s="50">
        <v>5</v>
      </c>
      <c r="M35" s="50">
        <v>141</v>
      </c>
      <c r="N35" s="50">
        <v>0</v>
      </c>
      <c r="O35" s="15">
        <f t="shared" si="0"/>
        <v>64</v>
      </c>
      <c r="P35" s="15">
        <f t="shared" si="1"/>
        <v>205</v>
      </c>
    </row>
    <row r="36" spans="2:20" ht="23.1" customHeight="1" x14ac:dyDescent="0.25">
      <c r="B36" s="24" t="s">
        <v>63</v>
      </c>
      <c r="C36" s="50">
        <v>20</v>
      </c>
      <c r="D36" s="50">
        <v>13</v>
      </c>
      <c r="E36" s="50">
        <v>4</v>
      </c>
      <c r="F36" s="50">
        <v>22</v>
      </c>
      <c r="G36" s="50">
        <v>0</v>
      </c>
      <c r="H36" s="50">
        <v>0</v>
      </c>
      <c r="I36" s="50">
        <v>5</v>
      </c>
      <c r="J36" s="50">
        <v>2</v>
      </c>
      <c r="K36" s="50">
        <v>1</v>
      </c>
      <c r="L36" s="50">
        <v>3</v>
      </c>
      <c r="M36" s="50">
        <v>120</v>
      </c>
      <c r="N36" s="50">
        <v>0</v>
      </c>
      <c r="O36" s="15">
        <f t="shared" si="0"/>
        <v>70</v>
      </c>
      <c r="P36" s="15">
        <f t="shared" si="1"/>
        <v>190</v>
      </c>
    </row>
    <row r="37" spans="2:20" ht="23.1" customHeight="1" x14ac:dyDescent="0.25">
      <c r="B37" s="23" t="s">
        <v>64</v>
      </c>
      <c r="C37" s="50">
        <v>19</v>
      </c>
      <c r="D37" s="50">
        <v>17</v>
      </c>
      <c r="E37" s="50">
        <v>3</v>
      </c>
      <c r="F37" s="50">
        <v>13</v>
      </c>
      <c r="G37" s="50">
        <v>2</v>
      </c>
      <c r="H37" s="50">
        <v>0</v>
      </c>
      <c r="I37" s="50">
        <v>6</v>
      </c>
      <c r="J37" s="50">
        <v>1</v>
      </c>
      <c r="K37" s="50">
        <v>2</v>
      </c>
      <c r="L37" s="50">
        <v>7</v>
      </c>
      <c r="M37" s="50">
        <v>148</v>
      </c>
      <c r="N37" s="50">
        <v>0</v>
      </c>
      <c r="O37" s="15">
        <f t="shared" si="0"/>
        <v>70</v>
      </c>
      <c r="P37" s="15">
        <f t="shared" si="1"/>
        <v>218</v>
      </c>
    </row>
    <row r="38" spans="2:20" ht="23.1" customHeight="1" x14ac:dyDescent="0.25">
      <c r="B38" s="24" t="s">
        <v>65</v>
      </c>
      <c r="C38" s="50">
        <v>22</v>
      </c>
      <c r="D38" s="50">
        <v>12</v>
      </c>
      <c r="E38" s="50">
        <v>0</v>
      </c>
      <c r="F38" s="50">
        <v>12</v>
      </c>
      <c r="G38" s="50">
        <v>0</v>
      </c>
      <c r="H38" s="50">
        <v>1</v>
      </c>
      <c r="I38" s="50">
        <v>5</v>
      </c>
      <c r="J38" s="50">
        <v>3</v>
      </c>
      <c r="K38" s="50">
        <v>1</v>
      </c>
      <c r="L38" s="50">
        <v>2</v>
      </c>
      <c r="M38" s="50">
        <v>153</v>
      </c>
      <c r="N38" s="50">
        <v>0</v>
      </c>
      <c r="O38" s="15">
        <f t="shared" si="0"/>
        <v>58</v>
      </c>
      <c r="P38" s="15">
        <f t="shared" si="1"/>
        <v>211</v>
      </c>
    </row>
    <row r="39" spans="2:20" ht="23.1" customHeight="1" x14ac:dyDescent="0.25">
      <c r="B39" s="24" t="s">
        <v>66</v>
      </c>
      <c r="C39" s="50">
        <v>20</v>
      </c>
      <c r="D39" s="50">
        <v>5</v>
      </c>
      <c r="E39" s="50">
        <v>3</v>
      </c>
      <c r="F39" s="50">
        <v>9</v>
      </c>
      <c r="G39" s="50">
        <v>0</v>
      </c>
      <c r="H39" s="50">
        <v>0</v>
      </c>
      <c r="I39" s="50">
        <v>3</v>
      </c>
      <c r="J39" s="50">
        <v>1</v>
      </c>
      <c r="K39" s="50">
        <v>1</v>
      </c>
      <c r="L39" s="50">
        <v>8</v>
      </c>
      <c r="M39" s="50">
        <v>125</v>
      </c>
      <c r="N39" s="50">
        <v>0</v>
      </c>
      <c r="O39" s="15">
        <f t="shared" si="0"/>
        <v>50</v>
      </c>
      <c r="P39" s="15">
        <f t="shared" si="1"/>
        <v>175</v>
      </c>
    </row>
    <row r="40" spans="2:20" ht="23.1" customHeight="1" x14ac:dyDescent="0.25">
      <c r="B40" s="24" t="s">
        <v>67</v>
      </c>
      <c r="C40" s="50">
        <v>20</v>
      </c>
      <c r="D40" s="50">
        <v>11</v>
      </c>
      <c r="E40" s="50">
        <v>2</v>
      </c>
      <c r="F40" s="50">
        <v>11</v>
      </c>
      <c r="G40" s="50">
        <v>0</v>
      </c>
      <c r="H40" s="50">
        <v>0</v>
      </c>
      <c r="I40" s="50">
        <v>8</v>
      </c>
      <c r="J40" s="50">
        <v>4</v>
      </c>
      <c r="K40" s="50">
        <v>5</v>
      </c>
      <c r="L40" s="50">
        <v>4</v>
      </c>
      <c r="M40" s="50">
        <v>130</v>
      </c>
      <c r="N40" s="50">
        <v>0</v>
      </c>
      <c r="O40" s="15">
        <f t="shared" si="0"/>
        <v>65</v>
      </c>
      <c r="P40" s="15">
        <f t="shared" si="1"/>
        <v>195</v>
      </c>
    </row>
    <row r="41" spans="2:20" ht="23.1" customHeight="1" x14ac:dyDescent="0.25">
      <c r="B41" s="23" t="s">
        <v>68</v>
      </c>
      <c r="C41" s="50">
        <v>21</v>
      </c>
      <c r="D41" s="50">
        <v>15</v>
      </c>
      <c r="E41" s="50">
        <v>5</v>
      </c>
      <c r="F41" s="50">
        <v>5</v>
      </c>
      <c r="G41" s="50">
        <v>0</v>
      </c>
      <c r="H41" s="50">
        <v>0</v>
      </c>
      <c r="I41" s="50">
        <v>3</v>
      </c>
      <c r="J41" s="50">
        <v>1</v>
      </c>
      <c r="K41" s="50">
        <v>1</v>
      </c>
      <c r="L41" s="50">
        <v>5</v>
      </c>
      <c r="M41" s="50">
        <v>152</v>
      </c>
      <c r="N41" s="50">
        <v>0</v>
      </c>
      <c r="O41" s="15">
        <f t="shared" si="0"/>
        <v>56</v>
      </c>
      <c r="P41" s="15">
        <f t="shared" si="1"/>
        <v>208</v>
      </c>
    </row>
    <row r="42" spans="2:20" ht="23.1" customHeight="1" x14ac:dyDescent="0.25">
      <c r="B42" s="24" t="s">
        <v>69</v>
      </c>
      <c r="C42" s="50">
        <v>18</v>
      </c>
      <c r="D42" s="50">
        <v>10</v>
      </c>
      <c r="E42" s="50">
        <v>4</v>
      </c>
      <c r="F42" s="50">
        <v>1</v>
      </c>
      <c r="G42" s="50">
        <v>0</v>
      </c>
      <c r="H42" s="50">
        <v>0</v>
      </c>
      <c r="I42" s="50">
        <v>6</v>
      </c>
      <c r="J42" s="50">
        <v>1</v>
      </c>
      <c r="K42" s="50">
        <v>5</v>
      </c>
      <c r="L42" s="50">
        <v>2</v>
      </c>
      <c r="M42" s="50">
        <v>140</v>
      </c>
      <c r="N42" s="50">
        <v>0</v>
      </c>
      <c r="O42" s="15">
        <f t="shared" si="0"/>
        <v>47</v>
      </c>
      <c r="P42" s="15">
        <f t="shared" si="1"/>
        <v>187</v>
      </c>
    </row>
    <row r="43" spans="2:20" ht="23.1" customHeight="1" x14ac:dyDescent="0.25">
      <c r="B43" s="23" t="s">
        <v>70</v>
      </c>
      <c r="C43" s="50">
        <v>29</v>
      </c>
      <c r="D43" s="50">
        <v>6</v>
      </c>
      <c r="E43" s="50">
        <v>0</v>
      </c>
      <c r="F43" s="50">
        <v>12</v>
      </c>
      <c r="G43" s="50">
        <v>0</v>
      </c>
      <c r="H43" s="50">
        <v>0</v>
      </c>
      <c r="I43" s="50">
        <v>7</v>
      </c>
      <c r="J43" s="50">
        <v>0</v>
      </c>
      <c r="K43" s="50">
        <v>2</v>
      </c>
      <c r="L43" s="50">
        <v>4</v>
      </c>
      <c r="M43" s="50">
        <v>140</v>
      </c>
      <c r="N43" s="50">
        <v>0</v>
      </c>
      <c r="O43" s="15">
        <f t="shared" si="0"/>
        <v>60</v>
      </c>
      <c r="P43" s="15">
        <f t="shared" si="1"/>
        <v>200</v>
      </c>
    </row>
    <row r="44" spans="2:20" ht="23.1" customHeight="1" x14ac:dyDescent="0.25">
      <c r="B44" s="25" t="s">
        <v>71</v>
      </c>
      <c r="C44" s="50">
        <v>41</v>
      </c>
      <c r="D44" s="50">
        <v>23</v>
      </c>
      <c r="E44" s="50">
        <v>6</v>
      </c>
      <c r="F44" s="50">
        <v>9</v>
      </c>
      <c r="G44" s="50">
        <v>0</v>
      </c>
      <c r="H44" s="50">
        <v>0</v>
      </c>
      <c r="I44" s="50">
        <v>5</v>
      </c>
      <c r="J44" s="50">
        <v>2</v>
      </c>
      <c r="K44" s="50">
        <v>3</v>
      </c>
      <c r="L44" s="50">
        <v>4</v>
      </c>
      <c r="M44" s="50">
        <v>110</v>
      </c>
      <c r="N44" s="50">
        <v>0</v>
      </c>
      <c r="O44" s="15">
        <f t="shared" si="0"/>
        <v>93</v>
      </c>
      <c r="P44" s="15">
        <f t="shared" si="1"/>
        <v>203</v>
      </c>
    </row>
    <row r="45" spans="2:20" ht="23.1" customHeight="1" x14ac:dyDescent="0.25">
      <c r="B45" s="23" t="s">
        <v>72</v>
      </c>
      <c r="C45" s="50">
        <v>28</v>
      </c>
      <c r="D45" s="50">
        <v>14</v>
      </c>
      <c r="E45" s="50">
        <v>1</v>
      </c>
      <c r="F45" s="50">
        <v>13</v>
      </c>
      <c r="G45" s="50">
        <v>0</v>
      </c>
      <c r="H45" s="50">
        <v>0</v>
      </c>
      <c r="I45" s="50">
        <v>7</v>
      </c>
      <c r="J45" s="50">
        <v>3</v>
      </c>
      <c r="K45" s="50">
        <v>2</v>
      </c>
      <c r="L45" s="50">
        <v>8</v>
      </c>
      <c r="M45" s="50">
        <v>168</v>
      </c>
      <c r="N45" s="50">
        <v>0</v>
      </c>
      <c r="O45" s="15">
        <f t="shared" si="0"/>
        <v>76</v>
      </c>
      <c r="P45" s="15">
        <f t="shared" si="1"/>
        <v>244</v>
      </c>
    </row>
    <row r="46" spans="2:20" ht="23.1" customHeight="1" x14ac:dyDescent="0.25">
      <c r="B46" s="24" t="s">
        <v>73</v>
      </c>
      <c r="C46" s="50">
        <v>25</v>
      </c>
      <c r="D46" s="50">
        <v>9</v>
      </c>
      <c r="E46" s="50">
        <v>8</v>
      </c>
      <c r="F46" s="50">
        <v>13</v>
      </c>
      <c r="G46" s="50">
        <v>0</v>
      </c>
      <c r="H46" s="50">
        <v>0</v>
      </c>
      <c r="I46" s="50">
        <v>3</v>
      </c>
      <c r="J46" s="50">
        <v>2</v>
      </c>
      <c r="K46" s="50">
        <v>2</v>
      </c>
      <c r="L46" s="50">
        <v>4</v>
      </c>
      <c r="M46" s="50">
        <v>143</v>
      </c>
      <c r="N46" s="50">
        <v>0</v>
      </c>
      <c r="O46" s="15">
        <f t="shared" si="0"/>
        <v>66</v>
      </c>
      <c r="P46" s="15">
        <f t="shared" si="1"/>
        <v>209</v>
      </c>
      <c r="R46" s="8"/>
      <c r="T46"/>
    </row>
    <row r="47" spans="2:20" ht="23.1" customHeight="1" x14ac:dyDescent="0.25">
      <c r="B47" s="24" t="s">
        <v>74</v>
      </c>
      <c r="C47" s="50">
        <v>31</v>
      </c>
      <c r="D47" s="50">
        <v>13</v>
      </c>
      <c r="E47" s="50">
        <v>8</v>
      </c>
      <c r="F47" s="50">
        <v>6</v>
      </c>
      <c r="G47" s="50">
        <v>0</v>
      </c>
      <c r="H47" s="50">
        <v>0</v>
      </c>
      <c r="I47" s="50">
        <v>4</v>
      </c>
      <c r="J47" s="50">
        <v>2</v>
      </c>
      <c r="K47" s="50">
        <v>1</v>
      </c>
      <c r="L47" s="50">
        <v>5</v>
      </c>
      <c r="M47" s="50">
        <v>110</v>
      </c>
      <c r="N47" s="50">
        <v>0</v>
      </c>
      <c r="O47" s="15">
        <f t="shared" si="0"/>
        <v>70</v>
      </c>
      <c r="P47" s="15">
        <f t="shared" si="1"/>
        <v>180</v>
      </c>
      <c r="R47" s="8"/>
      <c r="T47"/>
    </row>
    <row r="48" spans="2:20" ht="23.1" customHeight="1" x14ac:dyDescent="0.25">
      <c r="B48" s="24" t="s">
        <v>75</v>
      </c>
      <c r="C48" s="50">
        <v>30</v>
      </c>
      <c r="D48" s="50">
        <v>11</v>
      </c>
      <c r="E48" s="50">
        <v>8</v>
      </c>
      <c r="F48" s="50">
        <v>7</v>
      </c>
      <c r="G48" s="50">
        <v>0</v>
      </c>
      <c r="H48" s="50">
        <v>0</v>
      </c>
      <c r="I48" s="50">
        <v>8</v>
      </c>
      <c r="J48" s="50">
        <v>3</v>
      </c>
      <c r="K48" s="50">
        <v>3</v>
      </c>
      <c r="L48" s="50">
        <v>3</v>
      </c>
      <c r="M48" s="50">
        <v>111</v>
      </c>
      <c r="N48" s="50">
        <v>0</v>
      </c>
      <c r="O48" s="15">
        <f t="shared" si="0"/>
        <v>73</v>
      </c>
      <c r="P48" s="15">
        <f t="shared" si="1"/>
        <v>184</v>
      </c>
      <c r="R48" s="8"/>
      <c r="T48"/>
    </row>
    <row r="49" spans="2:20" ht="23.1" customHeight="1" x14ac:dyDescent="0.25">
      <c r="B49" s="23" t="s">
        <v>76</v>
      </c>
      <c r="C49" s="50">
        <v>30</v>
      </c>
      <c r="D49" s="50">
        <v>22</v>
      </c>
      <c r="E49" s="50">
        <v>6</v>
      </c>
      <c r="F49" s="50">
        <v>7</v>
      </c>
      <c r="G49" s="50">
        <v>0</v>
      </c>
      <c r="H49" s="50">
        <v>0</v>
      </c>
      <c r="I49" s="50">
        <v>4</v>
      </c>
      <c r="J49" s="50">
        <v>3</v>
      </c>
      <c r="K49" s="50">
        <v>2</v>
      </c>
      <c r="L49" s="50">
        <v>5</v>
      </c>
      <c r="M49" s="50">
        <v>137</v>
      </c>
      <c r="N49" s="50">
        <v>0</v>
      </c>
      <c r="O49" s="15">
        <f t="shared" si="0"/>
        <v>79</v>
      </c>
      <c r="P49" s="15">
        <f t="shared" si="1"/>
        <v>216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8</v>
      </c>
      <c r="E50" s="50">
        <v>5</v>
      </c>
      <c r="F50" s="50">
        <v>3</v>
      </c>
      <c r="G50" s="50">
        <v>0</v>
      </c>
      <c r="H50" s="50">
        <v>0</v>
      </c>
      <c r="I50" s="50">
        <v>4</v>
      </c>
      <c r="J50" s="50">
        <v>0</v>
      </c>
      <c r="K50" s="50">
        <v>2</v>
      </c>
      <c r="L50" s="50">
        <v>1</v>
      </c>
      <c r="M50" s="50">
        <v>160</v>
      </c>
      <c r="N50" s="50">
        <v>0</v>
      </c>
      <c r="O50" s="15">
        <f t="shared" si="0"/>
        <v>36</v>
      </c>
      <c r="P50" s="15">
        <f t="shared" si="1"/>
        <v>196</v>
      </c>
      <c r="R50" s="8"/>
      <c r="T50"/>
    </row>
    <row r="51" spans="2:20" ht="23.1" customHeight="1" x14ac:dyDescent="0.25">
      <c r="B51" s="24" t="s">
        <v>78</v>
      </c>
      <c r="C51" s="50">
        <v>71</v>
      </c>
      <c r="D51" s="50">
        <v>28</v>
      </c>
      <c r="E51" s="50">
        <v>12</v>
      </c>
      <c r="F51" s="50">
        <v>2</v>
      </c>
      <c r="G51" s="50">
        <v>0</v>
      </c>
      <c r="H51" s="50">
        <v>0</v>
      </c>
      <c r="I51" s="50">
        <v>1</v>
      </c>
      <c r="J51" s="50">
        <v>1</v>
      </c>
      <c r="K51" s="50">
        <v>1</v>
      </c>
      <c r="L51" s="50">
        <v>2</v>
      </c>
      <c r="M51" s="50">
        <v>110</v>
      </c>
      <c r="N51" s="50">
        <v>0</v>
      </c>
      <c r="O51" s="15">
        <f t="shared" si="0"/>
        <v>118</v>
      </c>
      <c r="P51" s="15">
        <f t="shared" si="1"/>
        <v>228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6</v>
      </c>
      <c r="E52" s="50">
        <v>3</v>
      </c>
      <c r="F52" s="50">
        <v>3</v>
      </c>
      <c r="G52" s="50">
        <v>0</v>
      </c>
      <c r="H52" s="50">
        <v>0</v>
      </c>
      <c r="I52" s="50">
        <v>2</v>
      </c>
      <c r="J52" s="50">
        <v>3</v>
      </c>
      <c r="K52" s="50">
        <v>2</v>
      </c>
      <c r="L52" s="50">
        <v>2</v>
      </c>
      <c r="M52" s="50">
        <v>135</v>
      </c>
      <c r="N52" s="50">
        <v>0</v>
      </c>
      <c r="O52" s="15">
        <f t="shared" si="0"/>
        <v>36</v>
      </c>
      <c r="P52" s="15">
        <f t="shared" si="1"/>
        <v>171</v>
      </c>
      <c r="R52" s="8"/>
      <c r="T52"/>
    </row>
    <row r="53" spans="2:20" ht="23.1" customHeight="1" x14ac:dyDescent="0.25">
      <c r="B53" s="23" t="s">
        <v>80</v>
      </c>
      <c r="C53" s="50">
        <v>70</v>
      </c>
      <c r="D53" s="50">
        <v>46</v>
      </c>
      <c r="E53" s="50">
        <v>5</v>
      </c>
      <c r="F53" s="50">
        <v>1</v>
      </c>
      <c r="G53" s="50">
        <v>0</v>
      </c>
      <c r="H53" s="50">
        <v>0</v>
      </c>
      <c r="I53" s="50">
        <v>2</v>
      </c>
      <c r="J53" s="50">
        <v>3</v>
      </c>
      <c r="K53" s="50">
        <v>1</v>
      </c>
      <c r="L53" s="50">
        <v>3</v>
      </c>
      <c r="M53" s="50">
        <v>125</v>
      </c>
      <c r="N53" s="50">
        <v>0</v>
      </c>
      <c r="O53" s="15">
        <f t="shared" si="0"/>
        <v>131</v>
      </c>
      <c r="P53" s="15">
        <f t="shared" si="1"/>
        <v>256</v>
      </c>
      <c r="R53" s="8"/>
      <c r="T53"/>
    </row>
    <row r="54" spans="2:20" ht="23.1" customHeight="1" x14ac:dyDescent="0.25">
      <c r="B54" s="23" t="s">
        <v>81</v>
      </c>
      <c r="C54" s="50">
        <v>80</v>
      </c>
      <c r="D54" s="50">
        <v>65</v>
      </c>
      <c r="E54" s="50">
        <v>8</v>
      </c>
      <c r="F54" s="50">
        <v>4</v>
      </c>
      <c r="G54" s="50">
        <v>0</v>
      </c>
      <c r="H54" s="50">
        <v>0</v>
      </c>
      <c r="I54" s="50">
        <v>3</v>
      </c>
      <c r="J54" s="50">
        <v>1</v>
      </c>
      <c r="K54" s="50">
        <v>2</v>
      </c>
      <c r="L54" s="50">
        <v>3</v>
      </c>
      <c r="M54" s="50">
        <v>135</v>
      </c>
      <c r="N54" s="50">
        <v>0</v>
      </c>
      <c r="O54" s="15">
        <f t="shared" si="0"/>
        <v>166</v>
      </c>
      <c r="P54" s="15">
        <f t="shared" si="1"/>
        <v>301</v>
      </c>
      <c r="R54" s="8"/>
      <c r="T54"/>
    </row>
    <row r="55" spans="2:20" ht="23.1" customHeight="1" x14ac:dyDescent="0.25">
      <c r="B55" s="23" t="s">
        <v>82</v>
      </c>
      <c r="C55" s="50">
        <v>50</v>
      </c>
      <c r="D55" s="50">
        <v>20</v>
      </c>
      <c r="E55" s="50">
        <v>11</v>
      </c>
      <c r="F55" s="50">
        <v>25</v>
      </c>
      <c r="G55" s="50">
        <v>0</v>
      </c>
      <c r="H55" s="50">
        <v>0</v>
      </c>
      <c r="I55" s="50">
        <v>3</v>
      </c>
      <c r="J55" s="50">
        <v>2</v>
      </c>
      <c r="K55" s="50">
        <v>1</v>
      </c>
      <c r="L55" s="50">
        <v>3</v>
      </c>
      <c r="M55" s="50">
        <v>140</v>
      </c>
      <c r="N55" s="50">
        <v>0</v>
      </c>
      <c r="O55" s="15">
        <f t="shared" si="0"/>
        <v>115</v>
      </c>
      <c r="P55" s="15">
        <f t="shared" si="1"/>
        <v>255</v>
      </c>
      <c r="R55" s="8"/>
      <c r="T55"/>
    </row>
    <row r="56" spans="2:20" ht="23.1" customHeight="1" x14ac:dyDescent="0.25">
      <c r="B56" s="23" t="s">
        <v>83</v>
      </c>
      <c r="C56" s="50">
        <v>65</v>
      </c>
      <c r="D56" s="50">
        <v>25</v>
      </c>
      <c r="E56" s="50">
        <v>13</v>
      </c>
      <c r="F56" s="50">
        <v>3</v>
      </c>
      <c r="G56" s="50">
        <v>0</v>
      </c>
      <c r="H56" s="50">
        <v>0</v>
      </c>
      <c r="I56" s="50">
        <v>4</v>
      </c>
      <c r="J56" s="50">
        <v>0</v>
      </c>
      <c r="K56" s="50">
        <v>0</v>
      </c>
      <c r="L56" s="50">
        <v>1</v>
      </c>
      <c r="M56" s="50">
        <v>130</v>
      </c>
      <c r="N56" s="50">
        <v>0</v>
      </c>
      <c r="O56" s="15">
        <f t="shared" si="0"/>
        <v>111</v>
      </c>
      <c r="P56" s="15">
        <f t="shared" si="1"/>
        <v>241</v>
      </c>
      <c r="R56" s="8"/>
      <c r="T56"/>
    </row>
    <row r="57" spans="2:20" ht="23.1" customHeight="1" x14ac:dyDescent="0.25">
      <c r="B57" s="23" t="s">
        <v>84</v>
      </c>
      <c r="C57" s="50">
        <v>52</v>
      </c>
      <c r="D57" s="50">
        <v>35</v>
      </c>
      <c r="E57" s="50">
        <v>5</v>
      </c>
      <c r="F57" s="50">
        <v>2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2</v>
      </c>
      <c r="M57" s="50">
        <v>140</v>
      </c>
      <c r="N57" s="50">
        <v>0</v>
      </c>
      <c r="O57" s="15">
        <f t="shared" si="0"/>
        <v>98</v>
      </c>
      <c r="P57" s="15">
        <f t="shared" si="1"/>
        <v>238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1169</v>
      </c>
      <c r="D58" s="16">
        <f t="shared" si="21"/>
        <v>598</v>
      </c>
      <c r="E58" s="16">
        <f t="shared" si="21"/>
        <v>229</v>
      </c>
      <c r="F58" s="16">
        <f t="shared" si="21"/>
        <v>632</v>
      </c>
      <c r="G58" s="16">
        <f t="shared" si="21"/>
        <v>13</v>
      </c>
      <c r="H58" s="16">
        <f t="shared" si="21"/>
        <v>1</v>
      </c>
      <c r="I58" s="16">
        <f t="shared" si="21"/>
        <v>230</v>
      </c>
      <c r="J58" s="16">
        <f t="shared" si="21"/>
        <v>99</v>
      </c>
      <c r="K58" s="16">
        <f t="shared" si="21"/>
        <v>166</v>
      </c>
      <c r="L58" s="16">
        <f t="shared" si="21"/>
        <v>485</v>
      </c>
      <c r="M58" s="16">
        <f t="shared" si="21"/>
        <v>5912</v>
      </c>
      <c r="N58" s="16">
        <f t="shared" si="21"/>
        <v>0</v>
      </c>
      <c r="O58" s="16">
        <f t="shared" si="21"/>
        <v>3622</v>
      </c>
      <c r="P58" s="16">
        <f t="shared" si="21"/>
        <v>9534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0.12261380323054331</v>
      </c>
      <c r="D59" s="43">
        <f t="shared" si="22"/>
        <v>6.2722886511432763E-2</v>
      </c>
      <c r="E59" s="43">
        <f t="shared" si="22"/>
        <v>2.4019299349695825E-2</v>
      </c>
      <c r="F59" s="43">
        <f t="shared" si="22"/>
        <v>6.6289070694357036E-2</v>
      </c>
      <c r="G59" s="43">
        <f t="shared" si="22"/>
        <v>1.3635410111181036E-3</v>
      </c>
      <c r="H59" s="43">
        <f t="shared" si="22"/>
        <v>1.0488777008600797E-4</v>
      </c>
      <c r="I59" s="43">
        <f t="shared" si="22"/>
        <v>2.4124187119781832E-2</v>
      </c>
      <c r="J59" s="43">
        <f t="shared" si="22"/>
        <v>1.038388923851479E-2</v>
      </c>
      <c r="K59" s="43">
        <f t="shared" si="22"/>
        <v>1.7411369834277324E-2</v>
      </c>
      <c r="L59" s="43">
        <f t="shared" si="22"/>
        <v>5.0870568491713869E-2</v>
      </c>
      <c r="M59" s="43">
        <f t="shared" si="22"/>
        <v>0.62009649674847911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0.32274986195472116</v>
      </c>
      <c r="D60" s="44">
        <f t="shared" ref="D60:N60" si="23">D58/$O$58</f>
        <v>0.16510215350635007</v>
      </c>
      <c r="E60" s="44">
        <f t="shared" si="23"/>
        <v>6.3224737713970178E-2</v>
      </c>
      <c r="F60" s="44">
        <f t="shared" si="23"/>
        <v>0.17448923246824957</v>
      </c>
      <c r="G60" s="44">
        <f t="shared" si="23"/>
        <v>3.5891772501380451E-3</v>
      </c>
      <c r="H60" s="44">
        <f t="shared" si="23"/>
        <v>2.7609055770292659E-4</v>
      </c>
      <c r="I60" s="44">
        <f t="shared" si="23"/>
        <v>6.350082827167311E-2</v>
      </c>
      <c r="J60" s="44">
        <f t="shared" si="23"/>
        <v>2.7332965212589728E-2</v>
      </c>
      <c r="K60" s="44">
        <f t="shared" si="23"/>
        <v>4.5831032578685808E-2</v>
      </c>
      <c r="L60" s="44">
        <f t="shared" si="23"/>
        <v>0.13390392048591937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5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NTINDA-SPEAR MOTORS'!C3:G3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1" t="s">
        <v>170</v>
      </c>
      <c r="H5" s="62"/>
      <c r="I5" s="14"/>
      <c r="J5" s="2" t="s">
        <v>5</v>
      </c>
      <c r="K5" s="61" t="s">
        <v>175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'29.07 NTINDA-SPEAR MOTORS'!D6:E6</f>
        <v>NTINDA</v>
      </c>
      <c r="E6" s="62"/>
      <c r="F6" s="2" t="s">
        <v>2</v>
      </c>
      <c r="G6" s="61" t="str">
        <f>'29.07 NTINDA-SPEAR MOTORS'!G6:H6</f>
        <v>SPEAR MOTORS</v>
      </c>
      <c r="H6" s="62"/>
      <c r="J6" s="2" t="s">
        <v>21</v>
      </c>
      <c r="K6" s="61" t="str">
        <f>'29.07 NTINDA-SPEAR MOTORS'!K6:L6</f>
        <v>OLAYA FELIX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60</v>
      </c>
      <c r="D10" s="50">
        <v>22</v>
      </c>
      <c r="E10" s="50">
        <v>41</v>
      </c>
      <c r="F10" s="50">
        <v>55</v>
      </c>
      <c r="G10" s="50">
        <v>2</v>
      </c>
      <c r="H10" s="50">
        <v>0</v>
      </c>
      <c r="I10" s="50">
        <v>6</v>
      </c>
      <c r="J10" s="50">
        <v>3</v>
      </c>
      <c r="K10" s="50">
        <v>0</v>
      </c>
      <c r="L10" s="50">
        <v>0</v>
      </c>
      <c r="M10" s="50">
        <v>170</v>
      </c>
      <c r="N10" s="50">
        <v>0</v>
      </c>
      <c r="O10" s="15">
        <f t="shared" ref="O10:O57" si="0">SUM(C10:L10,N10)</f>
        <v>189</v>
      </c>
      <c r="P10" s="15">
        <f t="shared" ref="P10:P57" si="1">SUM(C10:N10)</f>
        <v>359</v>
      </c>
      <c r="R10" s="1" t="s">
        <v>6</v>
      </c>
      <c r="S10" s="17">
        <f t="shared" ref="S10:AF10" si="2">SUM(C10:C13)</f>
        <v>188</v>
      </c>
      <c r="T10" s="17">
        <f t="shared" si="2"/>
        <v>83</v>
      </c>
      <c r="U10" s="17">
        <f t="shared" si="2"/>
        <v>60</v>
      </c>
      <c r="V10" s="17">
        <f t="shared" si="2"/>
        <v>75</v>
      </c>
      <c r="W10" s="17">
        <f t="shared" si="2"/>
        <v>3</v>
      </c>
      <c r="X10" s="17">
        <f t="shared" si="2"/>
        <v>0</v>
      </c>
      <c r="Y10" s="17">
        <f t="shared" si="2"/>
        <v>15</v>
      </c>
      <c r="Z10" s="17">
        <f t="shared" si="2"/>
        <v>8</v>
      </c>
      <c r="AA10" s="17">
        <f t="shared" si="2"/>
        <v>2</v>
      </c>
      <c r="AB10" s="17">
        <f t="shared" si="2"/>
        <v>4</v>
      </c>
      <c r="AC10" s="17">
        <f t="shared" si="2"/>
        <v>585</v>
      </c>
      <c r="AD10" s="17">
        <f t="shared" si="2"/>
        <v>0</v>
      </c>
      <c r="AE10" s="31">
        <f t="shared" si="2"/>
        <v>438</v>
      </c>
      <c r="AF10" s="31">
        <f t="shared" si="2"/>
        <v>1023</v>
      </c>
    </row>
    <row r="11" spans="2:32" s="6" customFormat="1" ht="23.1" customHeight="1" x14ac:dyDescent="0.25">
      <c r="B11" s="23" t="s">
        <v>38</v>
      </c>
      <c r="C11" s="50">
        <v>56</v>
      </c>
      <c r="D11" s="50">
        <v>25</v>
      </c>
      <c r="E11" s="50">
        <v>7</v>
      </c>
      <c r="F11" s="50">
        <v>15</v>
      </c>
      <c r="G11" s="50">
        <v>0</v>
      </c>
      <c r="H11" s="50">
        <v>0</v>
      </c>
      <c r="I11" s="50">
        <v>9</v>
      </c>
      <c r="J11" s="50">
        <v>3</v>
      </c>
      <c r="K11" s="50">
        <v>2</v>
      </c>
      <c r="L11" s="50">
        <v>1</v>
      </c>
      <c r="M11" s="50">
        <v>132</v>
      </c>
      <c r="N11" s="50">
        <v>0</v>
      </c>
      <c r="O11" s="15">
        <f t="shared" si="0"/>
        <v>118</v>
      </c>
      <c r="P11" s="15">
        <f t="shared" si="1"/>
        <v>250</v>
      </c>
      <c r="R11" s="1" t="s">
        <v>7</v>
      </c>
      <c r="S11" s="17">
        <f t="shared" ref="S11:AF11" si="3">SUM(C14:C17)</f>
        <v>112</v>
      </c>
      <c r="T11" s="17">
        <f t="shared" si="3"/>
        <v>52</v>
      </c>
      <c r="U11" s="17">
        <f t="shared" si="3"/>
        <v>12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6</v>
      </c>
      <c r="AA11" s="17">
        <f t="shared" si="3"/>
        <v>5</v>
      </c>
      <c r="AB11" s="17">
        <f t="shared" si="3"/>
        <v>7</v>
      </c>
      <c r="AC11" s="17">
        <f t="shared" si="3"/>
        <v>521</v>
      </c>
      <c r="AD11" s="17">
        <f t="shared" si="3"/>
        <v>1</v>
      </c>
      <c r="AE11" s="31">
        <f t="shared" si="3"/>
        <v>204</v>
      </c>
      <c r="AF11" s="31">
        <f t="shared" si="3"/>
        <v>725</v>
      </c>
    </row>
    <row r="12" spans="2:32" ht="23.1" customHeight="1" x14ac:dyDescent="0.25">
      <c r="B12" s="23" t="s">
        <v>39</v>
      </c>
      <c r="C12" s="50">
        <v>34</v>
      </c>
      <c r="D12" s="50">
        <v>18</v>
      </c>
      <c r="E12" s="50">
        <v>6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126</v>
      </c>
      <c r="N12" s="50">
        <v>0</v>
      </c>
      <c r="O12" s="15">
        <f t="shared" si="0"/>
        <v>59</v>
      </c>
      <c r="P12" s="15">
        <f t="shared" si="1"/>
        <v>185</v>
      </c>
      <c r="R12" s="1" t="s">
        <v>8</v>
      </c>
      <c r="S12" s="17">
        <f t="shared" ref="S12:AF12" si="4">SUM(C18:C21)</f>
        <v>70</v>
      </c>
      <c r="T12" s="17">
        <f t="shared" si="4"/>
        <v>31</v>
      </c>
      <c r="U12" s="17">
        <f t="shared" si="4"/>
        <v>19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12</v>
      </c>
      <c r="Z12" s="17">
        <f t="shared" si="4"/>
        <v>10</v>
      </c>
      <c r="AA12" s="17">
        <f t="shared" si="4"/>
        <v>3</v>
      </c>
      <c r="AB12" s="17">
        <f t="shared" si="4"/>
        <v>17</v>
      </c>
      <c r="AC12" s="17">
        <f t="shared" si="4"/>
        <v>579</v>
      </c>
      <c r="AD12" s="17">
        <f t="shared" si="4"/>
        <v>0</v>
      </c>
      <c r="AE12" s="31">
        <f t="shared" si="4"/>
        <v>171</v>
      </c>
      <c r="AF12" s="31">
        <f t="shared" si="4"/>
        <v>750</v>
      </c>
    </row>
    <row r="13" spans="2:32" ht="23.1" customHeight="1" x14ac:dyDescent="0.25">
      <c r="B13" s="23" t="s">
        <v>40</v>
      </c>
      <c r="C13" s="50">
        <v>38</v>
      </c>
      <c r="D13" s="50">
        <v>18</v>
      </c>
      <c r="E13" s="50">
        <v>6</v>
      </c>
      <c r="F13" s="50">
        <v>5</v>
      </c>
      <c r="G13" s="50">
        <v>1</v>
      </c>
      <c r="H13" s="50">
        <v>0</v>
      </c>
      <c r="I13" s="50">
        <v>0</v>
      </c>
      <c r="J13" s="50">
        <v>2</v>
      </c>
      <c r="K13" s="50">
        <v>0</v>
      </c>
      <c r="L13" s="50">
        <v>2</v>
      </c>
      <c r="M13" s="50">
        <v>157</v>
      </c>
      <c r="N13" s="50">
        <v>0</v>
      </c>
      <c r="O13" s="15">
        <f t="shared" si="0"/>
        <v>72</v>
      </c>
      <c r="P13" s="15">
        <f t="shared" si="1"/>
        <v>229</v>
      </c>
      <c r="R13" s="1" t="s">
        <v>9</v>
      </c>
      <c r="S13" s="17">
        <f t="shared" ref="S13:AF13" si="5">SUM(C22:C25)</f>
        <v>49</v>
      </c>
      <c r="T13" s="17">
        <f t="shared" si="5"/>
        <v>29</v>
      </c>
      <c r="U13" s="17">
        <f t="shared" si="5"/>
        <v>12</v>
      </c>
      <c r="V13" s="17">
        <f t="shared" si="5"/>
        <v>7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12</v>
      </c>
      <c r="AA13" s="17">
        <f t="shared" si="5"/>
        <v>3</v>
      </c>
      <c r="AB13" s="17">
        <f t="shared" si="5"/>
        <v>13</v>
      </c>
      <c r="AC13" s="17">
        <f t="shared" si="5"/>
        <v>497</v>
      </c>
      <c r="AD13" s="17">
        <f t="shared" si="5"/>
        <v>0</v>
      </c>
      <c r="AE13" s="31">
        <f t="shared" si="5"/>
        <v>130</v>
      </c>
      <c r="AF13" s="31">
        <f t="shared" si="5"/>
        <v>627</v>
      </c>
    </row>
    <row r="14" spans="2:32" ht="23.1" customHeight="1" x14ac:dyDescent="0.25">
      <c r="B14" s="23" t="s">
        <v>41</v>
      </c>
      <c r="C14" s="50">
        <v>21</v>
      </c>
      <c r="D14" s="50">
        <v>12</v>
      </c>
      <c r="E14" s="50">
        <v>3</v>
      </c>
      <c r="F14" s="50">
        <v>1</v>
      </c>
      <c r="G14" s="50">
        <v>0</v>
      </c>
      <c r="H14" s="50">
        <v>0</v>
      </c>
      <c r="I14" s="50">
        <v>1</v>
      </c>
      <c r="J14" s="50">
        <v>3</v>
      </c>
      <c r="K14" s="50">
        <v>0</v>
      </c>
      <c r="L14" s="50">
        <v>1</v>
      </c>
      <c r="M14" s="50">
        <v>143</v>
      </c>
      <c r="N14" s="50">
        <v>0</v>
      </c>
      <c r="O14" s="15">
        <f t="shared" si="0"/>
        <v>42</v>
      </c>
      <c r="P14" s="15">
        <f t="shared" si="1"/>
        <v>185</v>
      </c>
      <c r="R14" s="1" t="s">
        <v>10</v>
      </c>
      <c r="S14" s="17">
        <f t="shared" ref="S14:AF14" si="6">SUM(C26:C29)</f>
        <v>66</v>
      </c>
      <c r="T14" s="17">
        <f t="shared" si="6"/>
        <v>30</v>
      </c>
      <c r="U14" s="17">
        <f t="shared" si="6"/>
        <v>14</v>
      </c>
      <c r="V14" s="17">
        <f t="shared" si="6"/>
        <v>11</v>
      </c>
      <c r="W14" s="17">
        <f t="shared" si="6"/>
        <v>0</v>
      </c>
      <c r="X14" s="17">
        <f t="shared" si="6"/>
        <v>0</v>
      </c>
      <c r="Y14" s="17">
        <f t="shared" si="6"/>
        <v>10</v>
      </c>
      <c r="Z14" s="17">
        <f t="shared" si="6"/>
        <v>10</v>
      </c>
      <c r="AA14" s="17">
        <f t="shared" si="6"/>
        <v>3</v>
      </c>
      <c r="AB14" s="17">
        <f t="shared" si="6"/>
        <v>34</v>
      </c>
      <c r="AC14" s="17">
        <f t="shared" si="6"/>
        <v>454</v>
      </c>
      <c r="AD14" s="17">
        <f t="shared" si="6"/>
        <v>0</v>
      </c>
      <c r="AE14" s="31">
        <f t="shared" si="6"/>
        <v>178</v>
      </c>
      <c r="AF14" s="31">
        <f t="shared" si="6"/>
        <v>632</v>
      </c>
    </row>
    <row r="15" spans="2:32" ht="23.1" customHeight="1" x14ac:dyDescent="0.25">
      <c r="B15" s="23" t="s">
        <v>42</v>
      </c>
      <c r="C15" s="50">
        <v>35</v>
      </c>
      <c r="D15" s="50">
        <v>18</v>
      </c>
      <c r="E15" s="50">
        <v>1</v>
      </c>
      <c r="F15" s="50">
        <v>2</v>
      </c>
      <c r="G15" s="50">
        <v>0</v>
      </c>
      <c r="H15" s="50">
        <v>0</v>
      </c>
      <c r="I15" s="50">
        <v>0</v>
      </c>
      <c r="J15" s="50">
        <v>1</v>
      </c>
      <c r="K15" s="50">
        <v>2</v>
      </c>
      <c r="L15" s="50">
        <v>1</v>
      </c>
      <c r="M15" s="50">
        <v>107</v>
      </c>
      <c r="N15" s="50">
        <v>1</v>
      </c>
      <c r="O15" s="15">
        <f t="shared" si="0"/>
        <v>61</v>
      </c>
      <c r="P15" s="15">
        <f t="shared" si="1"/>
        <v>168</v>
      </c>
      <c r="R15" s="1" t="s">
        <v>11</v>
      </c>
      <c r="S15" s="17">
        <f t="shared" ref="S15:AF15" si="7">SUM(C30:C33)</f>
        <v>80</v>
      </c>
      <c r="T15" s="17">
        <f t="shared" si="7"/>
        <v>31</v>
      </c>
      <c r="U15" s="17">
        <f t="shared" si="7"/>
        <v>23</v>
      </c>
      <c r="V15" s="17">
        <f t="shared" si="7"/>
        <v>14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12</v>
      </c>
      <c r="AA15" s="17">
        <f t="shared" si="7"/>
        <v>2</v>
      </c>
      <c r="AB15" s="17">
        <f t="shared" si="7"/>
        <v>33</v>
      </c>
      <c r="AC15" s="17">
        <f t="shared" si="7"/>
        <v>498</v>
      </c>
      <c r="AD15" s="17">
        <f t="shared" si="7"/>
        <v>0</v>
      </c>
      <c r="AE15" s="31">
        <f t="shared" si="7"/>
        <v>201</v>
      </c>
      <c r="AF15" s="31">
        <f t="shared" si="7"/>
        <v>699</v>
      </c>
    </row>
    <row r="16" spans="2:32" ht="23.1" customHeight="1" x14ac:dyDescent="0.25">
      <c r="B16" s="23" t="s">
        <v>43</v>
      </c>
      <c r="C16" s="50">
        <v>21</v>
      </c>
      <c r="D16" s="50">
        <v>7</v>
      </c>
      <c r="E16" s="50">
        <v>1</v>
      </c>
      <c r="F16" s="50">
        <v>1</v>
      </c>
      <c r="G16" s="50">
        <v>0</v>
      </c>
      <c r="H16" s="50">
        <v>0</v>
      </c>
      <c r="I16" s="50">
        <v>1</v>
      </c>
      <c r="J16" s="50">
        <v>1</v>
      </c>
      <c r="K16" s="50">
        <v>1</v>
      </c>
      <c r="L16" s="50">
        <v>3</v>
      </c>
      <c r="M16" s="50">
        <v>116</v>
      </c>
      <c r="N16" s="50">
        <v>0</v>
      </c>
      <c r="O16" s="15">
        <f t="shared" si="0"/>
        <v>36</v>
      </c>
      <c r="P16" s="15">
        <f t="shared" si="1"/>
        <v>152</v>
      </c>
      <c r="R16" s="1" t="s">
        <v>12</v>
      </c>
      <c r="S16" s="17">
        <f t="shared" ref="S16:AF16" si="8">SUM(C34:C37)</f>
        <v>66</v>
      </c>
      <c r="T16" s="17">
        <f t="shared" si="8"/>
        <v>27</v>
      </c>
      <c r="U16" s="17">
        <f t="shared" si="8"/>
        <v>11</v>
      </c>
      <c r="V16" s="17">
        <f t="shared" si="8"/>
        <v>12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8</v>
      </c>
      <c r="AA16" s="17">
        <f t="shared" si="8"/>
        <v>6</v>
      </c>
      <c r="AB16" s="17">
        <f t="shared" si="8"/>
        <v>22</v>
      </c>
      <c r="AC16" s="17">
        <f t="shared" si="8"/>
        <v>478</v>
      </c>
      <c r="AD16" s="17">
        <f t="shared" si="8"/>
        <v>2</v>
      </c>
      <c r="AE16" s="31">
        <f t="shared" si="8"/>
        <v>162</v>
      </c>
      <c r="AF16" s="31">
        <f t="shared" si="8"/>
        <v>640</v>
      </c>
    </row>
    <row r="17" spans="2:32" ht="23.1" customHeight="1" x14ac:dyDescent="0.25">
      <c r="B17" s="23" t="s">
        <v>44</v>
      </c>
      <c r="C17" s="50">
        <v>35</v>
      </c>
      <c r="D17" s="50">
        <v>15</v>
      </c>
      <c r="E17" s="50">
        <v>7</v>
      </c>
      <c r="F17" s="50">
        <v>2</v>
      </c>
      <c r="G17" s="50">
        <v>0</v>
      </c>
      <c r="H17" s="50">
        <v>0</v>
      </c>
      <c r="I17" s="50">
        <v>1</v>
      </c>
      <c r="J17" s="50">
        <v>1</v>
      </c>
      <c r="K17" s="50">
        <v>2</v>
      </c>
      <c r="L17" s="50">
        <v>2</v>
      </c>
      <c r="M17" s="50">
        <v>155</v>
      </c>
      <c r="N17" s="50">
        <v>0</v>
      </c>
      <c r="O17" s="15">
        <f t="shared" si="0"/>
        <v>65</v>
      </c>
      <c r="P17" s="15">
        <f t="shared" si="1"/>
        <v>220</v>
      </c>
      <c r="R17" s="1" t="s">
        <v>13</v>
      </c>
      <c r="S17" s="17">
        <f t="shared" ref="S17:AF17" si="9">SUM(C38:C41)</f>
        <v>64</v>
      </c>
      <c r="T17" s="17">
        <f t="shared" si="9"/>
        <v>38</v>
      </c>
      <c r="U17" s="17">
        <f t="shared" si="9"/>
        <v>22</v>
      </c>
      <c r="V17" s="17">
        <f t="shared" si="9"/>
        <v>22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2</v>
      </c>
      <c r="AA17" s="17">
        <f t="shared" si="9"/>
        <v>3</v>
      </c>
      <c r="AB17" s="17">
        <f t="shared" si="9"/>
        <v>20</v>
      </c>
      <c r="AC17" s="17">
        <f t="shared" si="9"/>
        <v>466</v>
      </c>
      <c r="AD17" s="17">
        <f t="shared" si="9"/>
        <v>0</v>
      </c>
      <c r="AE17" s="31">
        <f t="shared" si="9"/>
        <v>178</v>
      </c>
      <c r="AF17" s="31">
        <f t="shared" si="9"/>
        <v>644</v>
      </c>
    </row>
    <row r="18" spans="2:32" ht="23.1" customHeight="1" x14ac:dyDescent="0.25">
      <c r="B18" s="23" t="s">
        <v>45</v>
      </c>
      <c r="C18" s="50">
        <v>16</v>
      </c>
      <c r="D18" s="50">
        <v>7</v>
      </c>
      <c r="E18" s="50">
        <v>4</v>
      </c>
      <c r="F18" s="50">
        <v>3</v>
      </c>
      <c r="G18" s="50">
        <v>0</v>
      </c>
      <c r="H18" s="50">
        <v>0</v>
      </c>
      <c r="I18" s="50">
        <v>1</v>
      </c>
      <c r="J18" s="50">
        <v>1</v>
      </c>
      <c r="K18" s="50">
        <v>1</v>
      </c>
      <c r="L18" s="50">
        <v>2</v>
      </c>
      <c r="M18" s="50">
        <v>160</v>
      </c>
      <c r="N18" s="50">
        <v>0</v>
      </c>
      <c r="O18" s="15">
        <f t="shared" si="0"/>
        <v>35</v>
      </c>
      <c r="P18" s="15">
        <f t="shared" si="1"/>
        <v>195</v>
      </c>
      <c r="R18" s="1" t="s">
        <v>14</v>
      </c>
      <c r="S18" s="17">
        <f t="shared" ref="S18:AF18" si="10">SUM(C42:C45)</f>
        <v>41</v>
      </c>
      <c r="T18" s="17">
        <f t="shared" si="10"/>
        <v>20</v>
      </c>
      <c r="U18" s="17">
        <f t="shared" si="10"/>
        <v>12</v>
      </c>
      <c r="V18" s="17">
        <f t="shared" si="10"/>
        <v>10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11</v>
      </c>
      <c r="AA18" s="17">
        <f t="shared" si="10"/>
        <v>6</v>
      </c>
      <c r="AB18" s="17">
        <f t="shared" si="10"/>
        <v>22</v>
      </c>
      <c r="AC18" s="17">
        <f t="shared" si="10"/>
        <v>488</v>
      </c>
      <c r="AD18" s="17">
        <f t="shared" si="10"/>
        <v>0</v>
      </c>
      <c r="AE18" s="31">
        <f t="shared" si="10"/>
        <v>131</v>
      </c>
      <c r="AF18" s="31">
        <f t="shared" si="10"/>
        <v>619</v>
      </c>
    </row>
    <row r="19" spans="2:32" ht="23.1" customHeight="1" x14ac:dyDescent="0.25">
      <c r="B19" s="23" t="s">
        <v>46</v>
      </c>
      <c r="C19" s="50">
        <v>17</v>
      </c>
      <c r="D19" s="50">
        <v>4</v>
      </c>
      <c r="E19" s="50">
        <v>2</v>
      </c>
      <c r="F19" s="50">
        <v>1</v>
      </c>
      <c r="G19" s="50">
        <v>0</v>
      </c>
      <c r="H19" s="50">
        <v>0</v>
      </c>
      <c r="I19" s="50">
        <v>5</v>
      </c>
      <c r="J19" s="50">
        <v>3</v>
      </c>
      <c r="K19" s="50">
        <v>1</v>
      </c>
      <c r="L19" s="50">
        <v>5</v>
      </c>
      <c r="M19" s="50">
        <v>158</v>
      </c>
      <c r="N19" s="50">
        <v>0</v>
      </c>
      <c r="O19" s="15">
        <f t="shared" si="0"/>
        <v>38</v>
      </c>
      <c r="P19" s="15">
        <f t="shared" si="1"/>
        <v>196</v>
      </c>
      <c r="R19" s="1" t="s">
        <v>15</v>
      </c>
      <c r="S19" s="17">
        <f t="shared" ref="S19:AF19" si="11">SUM(C46:C49)</f>
        <v>71</v>
      </c>
      <c r="T19" s="17">
        <f t="shared" si="11"/>
        <v>25</v>
      </c>
      <c r="U19" s="17">
        <f t="shared" si="11"/>
        <v>13</v>
      </c>
      <c r="V19" s="17">
        <f t="shared" si="11"/>
        <v>16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2</v>
      </c>
      <c r="AA19" s="17">
        <f t="shared" si="11"/>
        <v>3</v>
      </c>
      <c r="AB19" s="17">
        <f t="shared" si="11"/>
        <v>34</v>
      </c>
      <c r="AC19" s="17">
        <f t="shared" si="11"/>
        <v>578</v>
      </c>
      <c r="AD19" s="17">
        <f t="shared" si="11"/>
        <v>0</v>
      </c>
      <c r="AE19" s="31">
        <f t="shared" si="11"/>
        <v>168</v>
      </c>
      <c r="AF19" s="31">
        <f t="shared" si="11"/>
        <v>746</v>
      </c>
    </row>
    <row r="20" spans="2:32" ht="23.1" customHeight="1" x14ac:dyDescent="0.25">
      <c r="B20" s="23" t="s">
        <v>47</v>
      </c>
      <c r="C20" s="50">
        <v>17</v>
      </c>
      <c r="D20" s="50">
        <v>11</v>
      </c>
      <c r="E20" s="50">
        <v>7</v>
      </c>
      <c r="F20" s="50">
        <v>1</v>
      </c>
      <c r="G20" s="50">
        <v>0</v>
      </c>
      <c r="H20" s="50">
        <v>0</v>
      </c>
      <c r="I20" s="50">
        <v>2</v>
      </c>
      <c r="J20" s="50">
        <v>2</v>
      </c>
      <c r="K20" s="50">
        <v>0</v>
      </c>
      <c r="L20" s="50">
        <v>2</v>
      </c>
      <c r="M20" s="50">
        <v>138</v>
      </c>
      <c r="N20" s="50">
        <v>0</v>
      </c>
      <c r="O20" s="15">
        <f t="shared" si="0"/>
        <v>42</v>
      </c>
      <c r="P20" s="15">
        <f t="shared" si="1"/>
        <v>180</v>
      </c>
      <c r="R20" s="1" t="s">
        <v>16</v>
      </c>
      <c r="S20" s="17">
        <f t="shared" ref="S20:AF20" si="12">SUM(C50:C53)</f>
        <v>65</v>
      </c>
      <c r="T20" s="17">
        <f t="shared" si="12"/>
        <v>14</v>
      </c>
      <c r="U20" s="17">
        <f t="shared" si="12"/>
        <v>13</v>
      </c>
      <c r="V20" s="17">
        <f t="shared" si="12"/>
        <v>11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5</v>
      </c>
      <c r="AA20" s="17">
        <f t="shared" si="12"/>
        <v>6</v>
      </c>
      <c r="AB20" s="17">
        <f t="shared" si="12"/>
        <v>31</v>
      </c>
      <c r="AC20" s="17">
        <f t="shared" si="12"/>
        <v>531</v>
      </c>
      <c r="AD20" s="17">
        <f t="shared" si="12"/>
        <v>0</v>
      </c>
      <c r="AE20" s="31">
        <f t="shared" si="12"/>
        <v>153</v>
      </c>
      <c r="AF20" s="31">
        <f t="shared" si="12"/>
        <v>684</v>
      </c>
    </row>
    <row r="21" spans="2:32" ht="23.1" customHeight="1" x14ac:dyDescent="0.25">
      <c r="B21" s="23" t="s">
        <v>48</v>
      </c>
      <c r="C21" s="50">
        <v>20</v>
      </c>
      <c r="D21" s="50">
        <v>9</v>
      </c>
      <c r="E21" s="50">
        <v>6</v>
      </c>
      <c r="F21" s="50">
        <v>4</v>
      </c>
      <c r="G21" s="50">
        <v>0</v>
      </c>
      <c r="H21" s="50">
        <v>0</v>
      </c>
      <c r="I21" s="50">
        <v>4</v>
      </c>
      <c r="J21" s="50">
        <v>4</v>
      </c>
      <c r="K21" s="50">
        <v>1</v>
      </c>
      <c r="L21" s="50">
        <v>8</v>
      </c>
      <c r="M21" s="50">
        <v>123</v>
      </c>
      <c r="N21" s="50">
        <v>0</v>
      </c>
      <c r="O21" s="15">
        <f t="shared" si="0"/>
        <v>56</v>
      </c>
      <c r="P21" s="15">
        <f t="shared" si="1"/>
        <v>179</v>
      </c>
      <c r="R21" s="36" t="s">
        <v>20</v>
      </c>
      <c r="S21" s="34">
        <f t="shared" ref="S21:AF21" si="13">SUM(C54:C57)</f>
        <v>71</v>
      </c>
      <c r="T21" s="17">
        <f t="shared" si="13"/>
        <v>14</v>
      </c>
      <c r="U21" s="17">
        <f t="shared" si="13"/>
        <v>11</v>
      </c>
      <c r="V21" s="17">
        <f t="shared" si="13"/>
        <v>12</v>
      </c>
      <c r="W21" s="17">
        <f t="shared" si="13"/>
        <v>1</v>
      </c>
      <c r="X21" s="17">
        <f t="shared" si="13"/>
        <v>0</v>
      </c>
      <c r="Y21" s="17">
        <f t="shared" si="13"/>
        <v>8</v>
      </c>
      <c r="Z21" s="17">
        <f t="shared" si="13"/>
        <v>3</v>
      </c>
      <c r="AA21" s="17">
        <f t="shared" si="13"/>
        <v>4</v>
      </c>
      <c r="AB21" s="17">
        <f t="shared" si="13"/>
        <v>5</v>
      </c>
      <c r="AC21" s="17">
        <f t="shared" si="13"/>
        <v>516</v>
      </c>
      <c r="AD21" s="17">
        <f t="shared" si="13"/>
        <v>0</v>
      </c>
      <c r="AE21" s="31">
        <f t="shared" si="13"/>
        <v>129</v>
      </c>
      <c r="AF21" s="31">
        <f t="shared" si="13"/>
        <v>645</v>
      </c>
    </row>
    <row r="22" spans="2:32" ht="23.1" customHeight="1" x14ac:dyDescent="0.25">
      <c r="B22" s="23" t="s">
        <v>49</v>
      </c>
      <c r="C22" s="50">
        <v>11</v>
      </c>
      <c r="D22" s="50">
        <v>7</v>
      </c>
      <c r="E22" s="50">
        <v>3</v>
      </c>
      <c r="F22" s="50">
        <v>2</v>
      </c>
      <c r="G22" s="50">
        <v>0</v>
      </c>
      <c r="H22" s="50">
        <v>0</v>
      </c>
      <c r="I22" s="50">
        <v>1</v>
      </c>
      <c r="J22" s="50">
        <v>3</v>
      </c>
      <c r="K22" s="50">
        <v>1</v>
      </c>
      <c r="L22" s="50">
        <v>4</v>
      </c>
      <c r="M22" s="50">
        <v>105</v>
      </c>
      <c r="N22" s="50">
        <v>0</v>
      </c>
      <c r="O22" s="15">
        <f t="shared" si="0"/>
        <v>32</v>
      </c>
      <c r="P22" s="15">
        <f t="shared" si="1"/>
        <v>137</v>
      </c>
      <c r="R22" s="38" t="s">
        <v>90</v>
      </c>
      <c r="S22" s="39">
        <f>MAX(S10:S12)</f>
        <v>188</v>
      </c>
      <c r="T22" s="39">
        <f t="shared" ref="T22:AF22" si="14">MAX(T10:T12)</f>
        <v>83</v>
      </c>
      <c r="U22" s="39">
        <f t="shared" si="14"/>
        <v>60</v>
      </c>
      <c r="V22" s="39">
        <f t="shared" si="14"/>
        <v>75</v>
      </c>
      <c r="W22" s="39">
        <f t="shared" si="14"/>
        <v>3</v>
      </c>
      <c r="X22" s="39">
        <f t="shared" si="14"/>
        <v>0</v>
      </c>
      <c r="Y22" s="39">
        <f t="shared" si="14"/>
        <v>15</v>
      </c>
      <c r="Z22" s="39">
        <f t="shared" si="14"/>
        <v>10</v>
      </c>
      <c r="AA22" s="39">
        <f t="shared" si="14"/>
        <v>5</v>
      </c>
      <c r="AB22" s="39">
        <f t="shared" si="14"/>
        <v>17</v>
      </c>
      <c r="AC22" s="39">
        <f t="shared" si="14"/>
        <v>585</v>
      </c>
      <c r="AD22" s="39">
        <f t="shared" si="14"/>
        <v>1</v>
      </c>
      <c r="AE22" s="40">
        <f t="shared" si="14"/>
        <v>438</v>
      </c>
      <c r="AF22" s="40">
        <f t="shared" si="14"/>
        <v>1023</v>
      </c>
    </row>
    <row r="23" spans="2:32" ht="23.1" customHeight="1" x14ac:dyDescent="0.25">
      <c r="B23" s="23" t="s">
        <v>50</v>
      </c>
      <c r="C23" s="50">
        <v>20</v>
      </c>
      <c r="D23" s="50">
        <v>10</v>
      </c>
      <c r="E23" s="50">
        <v>5</v>
      </c>
      <c r="F23" s="50">
        <v>2</v>
      </c>
      <c r="G23" s="50">
        <v>0</v>
      </c>
      <c r="H23" s="50">
        <v>0</v>
      </c>
      <c r="I23" s="50">
        <v>2</v>
      </c>
      <c r="J23" s="50">
        <v>2</v>
      </c>
      <c r="K23" s="50">
        <v>0</v>
      </c>
      <c r="L23" s="50">
        <v>3</v>
      </c>
      <c r="M23" s="50">
        <v>120</v>
      </c>
      <c r="N23" s="50">
        <v>0</v>
      </c>
      <c r="O23" s="15">
        <f t="shared" si="0"/>
        <v>44</v>
      </c>
      <c r="P23" s="15">
        <f t="shared" si="1"/>
        <v>164</v>
      </c>
      <c r="R23" s="38" t="s">
        <v>91</v>
      </c>
      <c r="S23" s="39">
        <f>MAX(S13:S18)</f>
        <v>80</v>
      </c>
      <c r="T23" s="39">
        <f t="shared" ref="T23:AF23" si="15">MAX(T13:T18)</f>
        <v>38</v>
      </c>
      <c r="U23" s="39">
        <f t="shared" si="15"/>
        <v>23</v>
      </c>
      <c r="V23" s="39">
        <f t="shared" si="15"/>
        <v>22</v>
      </c>
      <c r="W23" s="39">
        <f t="shared" si="15"/>
        <v>0</v>
      </c>
      <c r="X23" s="39">
        <f t="shared" si="15"/>
        <v>0</v>
      </c>
      <c r="Y23" s="39">
        <f t="shared" si="15"/>
        <v>10</v>
      </c>
      <c r="Z23" s="39">
        <f t="shared" si="15"/>
        <v>12</v>
      </c>
      <c r="AA23" s="39">
        <f t="shared" si="15"/>
        <v>6</v>
      </c>
      <c r="AB23" s="39">
        <f t="shared" si="15"/>
        <v>34</v>
      </c>
      <c r="AC23" s="39">
        <f t="shared" si="15"/>
        <v>498</v>
      </c>
      <c r="AD23" s="39">
        <f t="shared" si="15"/>
        <v>2</v>
      </c>
      <c r="AE23" s="40">
        <f t="shared" si="15"/>
        <v>201</v>
      </c>
      <c r="AF23" s="40">
        <f t="shared" si="15"/>
        <v>699</v>
      </c>
    </row>
    <row r="24" spans="2:32" ht="23.1" customHeight="1" x14ac:dyDescent="0.25">
      <c r="B24" s="23" t="s">
        <v>51</v>
      </c>
      <c r="C24" s="50">
        <v>11</v>
      </c>
      <c r="D24" s="50">
        <v>6</v>
      </c>
      <c r="E24" s="50">
        <v>3</v>
      </c>
      <c r="F24" s="50">
        <v>1</v>
      </c>
      <c r="G24" s="50">
        <v>0</v>
      </c>
      <c r="H24" s="50">
        <v>0</v>
      </c>
      <c r="I24" s="50">
        <v>2</v>
      </c>
      <c r="J24" s="50">
        <v>2</v>
      </c>
      <c r="K24" s="50">
        <v>0</v>
      </c>
      <c r="L24" s="50">
        <v>6</v>
      </c>
      <c r="M24" s="50">
        <v>125</v>
      </c>
      <c r="N24" s="50">
        <v>0</v>
      </c>
      <c r="O24" s="15">
        <f t="shared" si="0"/>
        <v>31</v>
      </c>
      <c r="P24" s="15">
        <f t="shared" si="1"/>
        <v>156</v>
      </c>
      <c r="R24" s="38" t="s">
        <v>92</v>
      </c>
      <c r="S24" s="39">
        <f>MAX(S19:S21)</f>
        <v>71</v>
      </c>
      <c r="T24" s="39">
        <f t="shared" ref="T24:AF24" si="16">MAX(T19:T21)</f>
        <v>25</v>
      </c>
      <c r="U24" s="39">
        <f t="shared" si="16"/>
        <v>13</v>
      </c>
      <c r="V24" s="39">
        <f t="shared" si="16"/>
        <v>16</v>
      </c>
      <c r="W24" s="39">
        <f t="shared" si="16"/>
        <v>1</v>
      </c>
      <c r="X24" s="39">
        <f t="shared" si="16"/>
        <v>0</v>
      </c>
      <c r="Y24" s="39">
        <f t="shared" si="16"/>
        <v>8</v>
      </c>
      <c r="Z24" s="39">
        <f t="shared" si="16"/>
        <v>5</v>
      </c>
      <c r="AA24" s="39">
        <f t="shared" si="16"/>
        <v>6</v>
      </c>
      <c r="AB24" s="39">
        <f t="shared" si="16"/>
        <v>34</v>
      </c>
      <c r="AC24" s="39">
        <f t="shared" si="16"/>
        <v>578</v>
      </c>
      <c r="AD24" s="39">
        <f t="shared" si="16"/>
        <v>0</v>
      </c>
      <c r="AE24" s="40">
        <f t="shared" si="16"/>
        <v>168</v>
      </c>
      <c r="AF24" s="40">
        <f t="shared" si="16"/>
        <v>746</v>
      </c>
    </row>
    <row r="25" spans="2:32" ht="23.1" customHeight="1" x14ac:dyDescent="0.25">
      <c r="B25" s="23" t="s">
        <v>52</v>
      </c>
      <c r="C25" s="50">
        <v>7</v>
      </c>
      <c r="D25" s="50">
        <v>6</v>
      </c>
      <c r="E25" s="50">
        <v>1</v>
      </c>
      <c r="F25" s="50">
        <v>2</v>
      </c>
      <c r="G25" s="50">
        <v>0</v>
      </c>
      <c r="H25" s="50">
        <v>0</v>
      </c>
      <c r="I25" s="50">
        <v>0</v>
      </c>
      <c r="J25" s="50">
        <v>5</v>
      </c>
      <c r="K25" s="50">
        <v>2</v>
      </c>
      <c r="L25" s="50">
        <v>0</v>
      </c>
      <c r="M25" s="50">
        <v>147</v>
      </c>
      <c r="N25" s="50">
        <v>0</v>
      </c>
      <c r="O25" s="15">
        <f t="shared" si="0"/>
        <v>23</v>
      </c>
      <c r="P25" s="15">
        <f t="shared" si="1"/>
        <v>170</v>
      </c>
      <c r="R25" s="37" t="s">
        <v>85</v>
      </c>
      <c r="S25" s="35">
        <f t="shared" ref="S25:AF25" si="17">SUM(S10:S12)</f>
        <v>370</v>
      </c>
      <c r="T25" s="16">
        <f t="shared" si="17"/>
        <v>166</v>
      </c>
      <c r="U25" s="16">
        <f t="shared" si="17"/>
        <v>91</v>
      </c>
      <c r="V25" s="16">
        <f t="shared" si="17"/>
        <v>90</v>
      </c>
      <c r="W25" s="16">
        <f t="shared" si="17"/>
        <v>3</v>
      </c>
      <c r="X25" s="16">
        <f t="shared" si="17"/>
        <v>0</v>
      </c>
      <c r="Y25" s="16">
        <f t="shared" si="17"/>
        <v>30</v>
      </c>
      <c r="Z25" s="16">
        <f t="shared" si="17"/>
        <v>24</v>
      </c>
      <c r="AA25" s="16">
        <f t="shared" si="17"/>
        <v>10</v>
      </c>
      <c r="AB25" s="16">
        <f t="shared" si="17"/>
        <v>28</v>
      </c>
      <c r="AC25" s="16">
        <f t="shared" si="17"/>
        <v>1685</v>
      </c>
      <c r="AD25" s="16">
        <f t="shared" si="17"/>
        <v>1</v>
      </c>
      <c r="AE25" s="32">
        <f t="shared" si="17"/>
        <v>813</v>
      </c>
      <c r="AF25" s="32">
        <f t="shared" si="17"/>
        <v>2498</v>
      </c>
    </row>
    <row r="26" spans="2:32" ht="23.1" customHeight="1" x14ac:dyDescent="0.25">
      <c r="B26" s="23" t="s">
        <v>53</v>
      </c>
      <c r="C26" s="50">
        <v>12</v>
      </c>
      <c r="D26" s="50">
        <v>5</v>
      </c>
      <c r="E26" s="50">
        <v>7</v>
      </c>
      <c r="F26" s="50">
        <v>3</v>
      </c>
      <c r="G26" s="50">
        <v>0</v>
      </c>
      <c r="H26" s="50">
        <v>0</v>
      </c>
      <c r="I26" s="50">
        <v>3</v>
      </c>
      <c r="J26" s="50">
        <v>2</v>
      </c>
      <c r="K26" s="50">
        <v>3</v>
      </c>
      <c r="L26" s="50">
        <v>8</v>
      </c>
      <c r="M26" s="50">
        <v>121</v>
      </c>
      <c r="N26" s="50">
        <v>0</v>
      </c>
      <c r="O26" s="15">
        <f t="shared" si="0"/>
        <v>43</v>
      </c>
      <c r="P26" s="15">
        <f t="shared" si="1"/>
        <v>164</v>
      </c>
      <c r="R26" s="28" t="s">
        <v>86</v>
      </c>
      <c r="S26" s="16">
        <f t="shared" ref="S26:AF26" si="18">SUM(S13:S18)</f>
        <v>366</v>
      </c>
      <c r="T26" s="16">
        <f t="shared" si="18"/>
        <v>175</v>
      </c>
      <c r="U26" s="16">
        <f t="shared" si="18"/>
        <v>94</v>
      </c>
      <c r="V26" s="16">
        <f t="shared" si="18"/>
        <v>76</v>
      </c>
      <c r="W26" s="16">
        <f t="shared" si="18"/>
        <v>0</v>
      </c>
      <c r="X26" s="16">
        <f t="shared" si="18"/>
        <v>0</v>
      </c>
      <c r="Y26" s="16">
        <f t="shared" si="18"/>
        <v>45</v>
      </c>
      <c r="Z26" s="16">
        <f t="shared" si="18"/>
        <v>55</v>
      </c>
      <c r="AA26" s="16">
        <f t="shared" si="18"/>
        <v>23</v>
      </c>
      <c r="AB26" s="16">
        <f t="shared" si="18"/>
        <v>144</v>
      </c>
      <c r="AC26" s="16">
        <f t="shared" si="18"/>
        <v>2881</v>
      </c>
      <c r="AD26" s="16">
        <f t="shared" si="18"/>
        <v>2</v>
      </c>
      <c r="AE26" s="32">
        <f t="shared" si="18"/>
        <v>980</v>
      </c>
      <c r="AF26" s="32">
        <f t="shared" si="18"/>
        <v>3861</v>
      </c>
    </row>
    <row r="27" spans="2:32" ht="23.1" customHeight="1" x14ac:dyDescent="0.25">
      <c r="B27" s="23" t="s">
        <v>54</v>
      </c>
      <c r="C27" s="50">
        <v>16</v>
      </c>
      <c r="D27" s="50">
        <v>10</v>
      </c>
      <c r="E27" s="50">
        <v>1</v>
      </c>
      <c r="F27" s="50">
        <v>6</v>
      </c>
      <c r="G27" s="50">
        <v>0</v>
      </c>
      <c r="H27" s="50">
        <v>0</v>
      </c>
      <c r="I27" s="50">
        <v>4</v>
      </c>
      <c r="J27" s="50">
        <v>4</v>
      </c>
      <c r="K27" s="50">
        <v>0</v>
      </c>
      <c r="L27" s="50">
        <v>13</v>
      </c>
      <c r="M27" s="50">
        <v>60</v>
      </c>
      <c r="N27" s="50">
        <v>0</v>
      </c>
      <c r="O27" s="15">
        <f t="shared" si="0"/>
        <v>54</v>
      </c>
      <c r="P27" s="15">
        <f t="shared" si="1"/>
        <v>114</v>
      </c>
      <c r="R27" s="29" t="s">
        <v>87</v>
      </c>
      <c r="S27" s="16">
        <f t="shared" ref="S27:AF27" si="19">SUM(S19:S21)</f>
        <v>207</v>
      </c>
      <c r="T27" s="16">
        <f t="shared" si="19"/>
        <v>53</v>
      </c>
      <c r="U27" s="16">
        <f t="shared" si="19"/>
        <v>37</v>
      </c>
      <c r="V27" s="16">
        <f t="shared" si="19"/>
        <v>39</v>
      </c>
      <c r="W27" s="16">
        <f t="shared" si="19"/>
        <v>2</v>
      </c>
      <c r="X27" s="16">
        <f t="shared" si="19"/>
        <v>0</v>
      </c>
      <c r="Y27" s="16">
        <f t="shared" si="19"/>
        <v>19</v>
      </c>
      <c r="Z27" s="16">
        <f t="shared" si="19"/>
        <v>10</v>
      </c>
      <c r="AA27" s="16">
        <f t="shared" si="19"/>
        <v>13</v>
      </c>
      <c r="AB27" s="16">
        <f t="shared" si="19"/>
        <v>70</v>
      </c>
      <c r="AC27" s="16">
        <f t="shared" si="19"/>
        <v>1625</v>
      </c>
      <c r="AD27" s="16">
        <f t="shared" si="19"/>
        <v>0</v>
      </c>
      <c r="AE27" s="32">
        <f t="shared" si="19"/>
        <v>450</v>
      </c>
      <c r="AF27" s="32">
        <f t="shared" si="19"/>
        <v>2075</v>
      </c>
    </row>
    <row r="28" spans="2:32" ht="23.1" customHeight="1" x14ac:dyDescent="0.25">
      <c r="B28" s="23" t="s">
        <v>55</v>
      </c>
      <c r="C28" s="50">
        <v>16</v>
      </c>
      <c r="D28" s="50">
        <v>4</v>
      </c>
      <c r="E28" s="50">
        <v>2</v>
      </c>
      <c r="F28" s="50">
        <v>2</v>
      </c>
      <c r="G28" s="50">
        <v>0</v>
      </c>
      <c r="H28" s="50">
        <v>0</v>
      </c>
      <c r="I28" s="50">
        <v>0</v>
      </c>
      <c r="J28" s="50">
        <v>3</v>
      </c>
      <c r="K28" s="50">
        <v>0</v>
      </c>
      <c r="L28" s="50">
        <v>6</v>
      </c>
      <c r="M28" s="50">
        <v>126</v>
      </c>
      <c r="N28" s="50">
        <v>0</v>
      </c>
      <c r="O28" s="15">
        <f t="shared" si="0"/>
        <v>33</v>
      </c>
      <c r="P28" s="15">
        <f t="shared" si="1"/>
        <v>159</v>
      </c>
      <c r="R28" s="5" t="s">
        <v>17</v>
      </c>
      <c r="S28" s="16">
        <f t="shared" ref="S28:AF28" si="20">SUM(S10:S21)</f>
        <v>943</v>
      </c>
      <c r="T28" s="16">
        <f t="shared" si="20"/>
        <v>394</v>
      </c>
      <c r="U28" s="16">
        <f t="shared" si="20"/>
        <v>222</v>
      </c>
      <c r="V28" s="16">
        <f t="shared" si="20"/>
        <v>205</v>
      </c>
      <c r="W28" s="16">
        <f t="shared" si="20"/>
        <v>5</v>
      </c>
      <c r="X28" s="16">
        <f t="shared" si="20"/>
        <v>0</v>
      </c>
      <c r="Y28" s="16">
        <f t="shared" si="20"/>
        <v>94</v>
      </c>
      <c r="Z28" s="16">
        <f t="shared" si="20"/>
        <v>89</v>
      </c>
      <c r="AA28" s="16">
        <f t="shared" si="20"/>
        <v>46</v>
      </c>
      <c r="AB28" s="16">
        <f t="shared" si="20"/>
        <v>242</v>
      </c>
      <c r="AC28" s="16">
        <f t="shared" si="20"/>
        <v>6191</v>
      </c>
      <c r="AD28" s="16">
        <f t="shared" si="20"/>
        <v>3</v>
      </c>
      <c r="AE28" s="32">
        <f t="shared" si="20"/>
        <v>2243</v>
      </c>
      <c r="AF28" s="32">
        <f t="shared" si="20"/>
        <v>8434</v>
      </c>
    </row>
    <row r="29" spans="2:32" ht="23.1" customHeight="1" x14ac:dyDescent="0.25">
      <c r="B29" s="23" t="s">
        <v>56</v>
      </c>
      <c r="C29" s="50">
        <v>22</v>
      </c>
      <c r="D29" s="50">
        <v>11</v>
      </c>
      <c r="E29" s="50">
        <v>4</v>
      </c>
      <c r="F29" s="50">
        <v>0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7</v>
      </c>
      <c r="M29" s="50">
        <v>147</v>
      </c>
      <c r="N29" s="50">
        <v>0</v>
      </c>
      <c r="O29" s="15">
        <f t="shared" si="0"/>
        <v>48</v>
      </c>
      <c r="P29" s="15">
        <f t="shared" si="1"/>
        <v>195</v>
      </c>
      <c r="R29"/>
      <c r="S29" s="20"/>
      <c r="T29" s="19"/>
    </row>
    <row r="30" spans="2:32" ht="23.1" customHeight="1" x14ac:dyDescent="0.25">
      <c r="B30" s="23" t="s">
        <v>57</v>
      </c>
      <c r="C30" s="50">
        <v>15</v>
      </c>
      <c r="D30" s="50">
        <v>6</v>
      </c>
      <c r="E30" s="50">
        <v>2</v>
      </c>
      <c r="F30" s="50">
        <v>3</v>
      </c>
      <c r="G30" s="50">
        <v>0</v>
      </c>
      <c r="H30" s="50">
        <v>0</v>
      </c>
      <c r="I30" s="50">
        <v>3</v>
      </c>
      <c r="J30" s="50">
        <v>2</v>
      </c>
      <c r="K30" s="50">
        <v>1</v>
      </c>
      <c r="L30" s="50">
        <v>13</v>
      </c>
      <c r="M30" s="50">
        <v>143</v>
      </c>
      <c r="N30" s="50">
        <v>0</v>
      </c>
      <c r="O30" s="15">
        <f t="shared" si="0"/>
        <v>45</v>
      </c>
      <c r="P30" s="15">
        <f t="shared" si="1"/>
        <v>188</v>
      </c>
    </row>
    <row r="31" spans="2:32" ht="23.1" customHeight="1" x14ac:dyDescent="0.25">
      <c r="B31" s="24" t="s">
        <v>58</v>
      </c>
      <c r="C31" s="50">
        <v>23</v>
      </c>
      <c r="D31" s="50">
        <v>3</v>
      </c>
      <c r="E31" s="50">
        <v>5</v>
      </c>
      <c r="F31" s="50">
        <v>2</v>
      </c>
      <c r="G31" s="50">
        <v>0</v>
      </c>
      <c r="H31" s="50">
        <v>0</v>
      </c>
      <c r="I31" s="50">
        <v>0</v>
      </c>
      <c r="J31" s="50">
        <v>2</v>
      </c>
      <c r="K31" s="50">
        <v>1</v>
      </c>
      <c r="L31" s="50">
        <v>5</v>
      </c>
      <c r="M31" s="50">
        <v>97</v>
      </c>
      <c r="N31" s="50">
        <v>0</v>
      </c>
      <c r="O31" s="15">
        <f t="shared" si="0"/>
        <v>41</v>
      </c>
      <c r="P31" s="15">
        <f t="shared" si="1"/>
        <v>138</v>
      </c>
    </row>
    <row r="32" spans="2:32" ht="23.1" customHeight="1" x14ac:dyDescent="0.25">
      <c r="B32" s="24" t="s">
        <v>59</v>
      </c>
      <c r="C32" s="50">
        <v>24</v>
      </c>
      <c r="D32" s="50">
        <v>14</v>
      </c>
      <c r="E32" s="50">
        <v>13</v>
      </c>
      <c r="F32" s="50">
        <v>4</v>
      </c>
      <c r="G32" s="50">
        <v>0</v>
      </c>
      <c r="H32" s="50">
        <v>0</v>
      </c>
      <c r="I32" s="50">
        <v>1</v>
      </c>
      <c r="J32" s="50">
        <v>3</v>
      </c>
      <c r="K32" s="50">
        <v>0</v>
      </c>
      <c r="L32" s="50">
        <v>6</v>
      </c>
      <c r="M32" s="50">
        <v>127</v>
      </c>
      <c r="N32" s="50">
        <v>0</v>
      </c>
      <c r="O32" s="15">
        <f t="shared" si="0"/>
        <v>65</v>
      </c>
      <c r="P32" s="15">
        <f t="shared" si="1"/>
        <v>192</v>
      </c>
    </row>
    <row r="33" spans="2:20" ht="23.1" customHeight="1" x14ac:dyDescent="0.25">
      <c r="B33" s="23" t="s">
        <v>60</v>
      </c>
      <c r="C33" s="50">
        <v>18</v>
      </c>
      <c r="D33" s="50">
        <v>8</v>
      </c>
      <c r="E33" s="50">
        <v>3</v>
      </c>
      <c r="F33" s="50">
        <v>5</v>
      </c>
      <c r="G33" s="50">
        <v>0</v>
      </c>
      <c r="H33" s="50">
        <v>0</v>
      </c>
      <c r="I33" s="50">
        <v>2</v>
      </c>
      <c r="J33" s="50">
        <v>5</v>
      </c>
      <c r="K33" s="50">
        <v>0</v>
      </c>
      <c r="L33" s="50">
        <v>9</v>
      </c>
      <c r="M33" s="50">
        <v>131</v>
      </c>
      <c r="N33" s="50">
        <v>0</v>
      </c>
      <c r="O33" s="15">
        <f t="shared" si="0"/>
        <v>50</v>
      </c>
      <c r="P33" s="15">
        <f t="shared" si="1"/>
        <v>181</v>
      </c>
    </row>
    <row r="34" spans="2:20" ht="23.1" customHeight="1" x14ac:dyDescent="0.25">
      <c r="B34" s="24" t="s">
        <v>61</v>
      </c>
      <c r="C34" s="50">
        <v>16</v>
      </c>
      <c r="D34" s="50">
        <v>7</v>
      </c>
      <c r="E34" s="50">
        <v>2</v>
      </c>
      <c r="F34" s="50">
        <v>1</v>
      </c>
      <c r="G34" s="50">
        <v>0</v>
      </c>
      <c r="H34" s="50">
        <v>0</v>
      </c>
      <c r="I34" s="50">
        <v>1</v>
      </c>
      <c r="J34" s="50">
        <v>4</v>
      </c>
      <c r="K34" s="50">
        <v>3</v>
      </c>
      <c r="L34" s="50">
        <v>10</v>
      </c>
      <c r="M34" s="50">
        <v>123</v>
      </c>
      <c r="N34" s="50">
        <v>0</v>
      </c>
      <c r="O34" s="15">
        <f t="shared" si="0"/>
        <v>44</v>
      </c>
      <c r="P34" s="15">
        <f t="shared" si="1"/>
        <v>167</v>
      </c>
    </row>
    <row r="35" spans="2:20" ht="23.1" customHeight="1" x14ac:dyDescent="0.25">
      <c r="B35" s="24" t="s">
        <v>62</v>
      </c>
      <c r="C35" s="50">
        <v>14</v>
      </c>
      <c r="D35" s="50">
        <v>7</v>
      </c>
      <c r="E35" s="50">
        <v>1</v>
      </c>
      <c r="F35" s="50">
        <v>4</v>
      </c>
      <c r="G35" s="50">
        <v>0</v>
      </c>
      <c r="H35" s="50">
        <v>0</v>
      </c>
      <c r="I35" s="50">
        <v>4</v>
      </c>
      <c r="J35" s="50">
        <v>2</v>
      </c>
      <c r="K35" s="50">
        <v>1</v>
      </c>
      <c r="L35" s="50">
        <v>3</v>
      </c>
      <c r="M35" s="50">
        <v>100</v>
      </c>
      <c r="N35" s="50">
        <v>0</v>
      </c>
      <c r="O35" s="15">
        <f t="shared" si="0"/>
        <v>36</v>
      </c>
      <c r="P35" s="15">
        <f t="shared" si="1"/>
        <v>136</v>
      </c>
    </row>
    <row r="36" spans="2:20" ht="23.1" customHeight="1" x14ac:dyDescent="0.25">
      <c r="B36" s="24" t="s">
        <v>63</v>
      </c>
      <c r="C36" s="50">
        <v>14</v>
      </c>
      <c r="D36" s="50">
        <v>8</v>
      </c>
      <c r="E36" s="50">
        <v>6</v>
      </c>
      <c r="F36" s="50">
        <v>2</v>
      </c>
      <c r="G36" s="50">
        <v>0</v>
      </c>
      <c r="H36" s="50">
        <v>0</v>
      </c>
      <c r="I36" s="50">
        <v>1</v>
      </c>
      <c r="J36" s="50">
        <v>1</v>
      </c>
      <c r="K36" s="50">
        <v>1</v>
      </c>
      <c r="L36" s="50">
        <v>5</v>
      </c>
      <c r="M36" s="50">
        <v>134</v>
      </c>
      <c r="N36" s="50">
        <v>2</v>
      </c>
      <c r="O36" s="15">
        <f t="shared" si="0"/>
        <v>40</v>
      </c>
      <c r="P36" s="15">
        <f t="shared" si="1"/>
        <v>174</v>
      </c>
    </row>
    <row r="37" spans="2:20" ht="23.1" customHeight="1" x14ac:dyDescent="0.25">
      <c r="B37" s="23" t="s">
        <v>64</v>
      </c>
      <c r="C37" s="50">
        <v>22</v>
      </c>
      <c r="D37" s="50">
        <v>5</v>
      </c>
      <c r="E37" s="50">
        <v>2</v>
      </c>
      <c r="F37" s="50">
        <v>5</v>
      </c>
      <c r="G37" s="50">
        <v>0</v>
      </c>
      <c r="H37" s="50">
        <v>0</v>
      </c>
      <c r="I37" s="50">
        <v>2</v>
      </c>
      <c r="J37" s="50">
        <v>1</v>
      </c>
      <c r="K37" s="50">
        <v>1</v>
      </c>
      <c r="L37" s="50">
        <v>4</v>
      </c>
      <c r="M37" s="50">
        <v>121</v>
      </c>
      <c r="N37" s="50">
        <v>0</v>
      </c>
      <c r="O37" s="15">
        <f t="shared" si="0"/>
        <v>42</v>
      </c>
      <c r="P37" s="15">
        <f t="shared" si="1"/>
        <v>163</v>
      </c>
    </row>
    <row r="38" spans="2:20" ht="23.1" customHeight="1" x14ac:dyDescent="0.25">
      <c r="B38" s="24" t="s">
        <v>65</v>
      </c>
      <c r="C38" s="50">
        <v>17</v>
      </c>
      <c r="D38" s="50">
        <v>11</v>
      </c>
      <c r="E38" s="50">
        <v>7</v>
      </c>
      <c r="F38" s="50">
        <v>6</v>
      </c>
      <c r="G38" s="50">
        <v>0</v>
      </c>
      <c r="H38" s="50">
        <v>0</v>
      </c>
      <c r="I38" s="50">
        <v>1</v>
      </c>
      <c r="J38" s="50">
        <v>1</v>
      </c>
      <c r="K38" s="50">
        <v>1</v>
      </c>
      <c r="L38" s="50">
        <v>2</v>
      </c>
      <c r="M38" s="50">
        <v>101</v>
      </c>
      <c r="N38" s="50">
        <v>0</v>
      </c>
      <c r="O38" s="15">
        <f t="shared" si="0"/>
        <v>46</v>
      </c>
      <c r="P38" s="15">
        <f t="shared" si="1"/>
        <v>147</v>
      </c>
    </row>
    <row r="39" spans="2:20" ht="23.1" customHeight="1" x14ac:dyDescent="0.25">
      <c r="B39" s="24" t="s">
        <v>66</v>
      </c>
      <c r="C39" s="50">
        <v>12</v>
      </c>
      <c r="D39" s="50">
        <v>6</v>
      </c>
      <c r="E39" s="50">
        <v>3</v>
      </c>
      <c r="F39" s="50">
        <v>4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3</v>
      </c>
      <c r="M39" s="50">
        <v>123</v>
      </c>
      <c r="N39" s="50">
        <v>0</v>
      </c>
      <c r="O39" s="15">
        <f t="shared" si="0"/>
        <v>28</v>
      </c>
      <c r="P39" s="15">
        <f t="shared" si="1"/>
        <v>151</v>
      </c>
    </row>
    <row r="40" spans="2:20" ht="23.1" customHeight="1" x14ac:dyDescent="0.25">
      <c r="B40" s="24" t="s">
        <v>67</v>
      </c>
      <c r="C40" s="50">
        <v>7</v>
      </c>
      <c r="D40" s="50">
        <v>9</v>
      </c>
      <c r="E40" s="50">
        <v>2</v>
      </c>
      <c r="F40" s="50">
        <v>5</v>
      </c>
      <c r="G40" s="50">
        <v>0</v>
      </c>
      <c r="H40" s="50">
        <v>0</v>
      </c>
      <c r="I40" s="50">
        <v>2</v>
      </c>
      <c r="J40" s="50">
        <v>1</v>
      </c>
      <c r="K40" s="50">
        <v>1</v>
      </c>
      <c r="L40" s="50">
        <v>4</v>
      </c>
      <c r="M40" s="50">
        <v>117</v>
      </c>
      <c r="N40" s="50">
        <v>0</v>
      </c>
      <c r="O40" s="15">
        <f t="shared" si="0"/>
        <v>31</v>
      </c>
      <c r="P40" s="15">
        <f t="shared" si="1"/>
        <v>148</v>
      </c>
    </row>
    <row r="41" spans="2:20" ht="23.1" customHeight="1" x14ac:dyDescent="0.25">
      <c r="B41" s="23" t="s">
        <v>68</v>
      </c>
      <c r="C41" s="50">
        <v>28</v>
      </c>
      <c r="D41" s="50">
        <v>12</v>
      </c>
      <c r="E41" s="50">
        <v>10</v>
      </c>
      <c r="F41" s="50">
        <v>7</v>
      </c>
      <c r="G41" s="50">
        <v>0</v>
      </c>
      <c r="H41" s="50">
        <v>0</v>
      </c>
      <c r="I41" s="50">
        <v>4</v>
      </c>
      <c r="J41" s="50">
        <v>0</v>
      </c>
      <c r="K41" s="50">
        <v>1</v>
      </c>
      <c r="L41" s="50">
        <v>11</v>
      </c>
      <c r="M41" s="50">
        <v>125</v>
      </c>
      <c r="N41" s="50">
        <v>0</v>
      </c>
      <c r="O41" s="15">
        <f t="shared" si="0"/>
        <v>73</v>
      </c>
      <c r="P41" s="15">
        <f t="shared" si="1"/>
        <v>198</v>
      </c>
    </row>
    <row r="42" spans="2:20" ht="23.1" customHeight="1" x14ac:dyDescent="0.25">
      <c r="B42" s="24" t="s">
        <v>69</v>
      </c>
      <c r="C42" s="50">
        <v>11</v>
      </c>
      <c r="D42" s="50">
        <v>3</v>
      </c>
      <c r="E42" s="50">
        <v>2</v>
      </c>
      <c r="F42" s="50">
        <v>6</v>
      </c>
      <c r="G42" s="50">
        <v>0</v>
      </c>
      <c r="H42" s="50">
        <v>0</v>
      </c>
      <c r="I42" s="50">
        <v>1</v>
      </c>
      <c r="J42" s="50">
        <v>0</v>
      </c>
      <c r="K42" s="50">
        <v>1</v>
      </c>
      <c r="L42" s="50">
        <v>3</v>
      </c>
      <c r="M42" s="50">
        <v>135</v>
      </c>
      <c r="N42" s="50">
        <v>0</v>
      </c>
      <c r="O42" s="15">
        <f t="shared" si="0"/>
        <v>27</v>
      </c>
      <c r="P42" s="15">
        <f t="shared" si="1"/>
        <v>162</v>
      </c>
    </row>
    <row r="43" spans="2:20" ht="23.1" customHeight="1" x14ac:dyDescent="0.25">
      <c r="B43" s="23" t="s">
        <v>70</v>
      </c>
      <c r="C43" s="50">
        <v>6</v>
      </c>
      <c r="D43" s="50">
        <v>1</v>
      </c>
      <c r="E43" s="50">
        <v>2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1</v>
      </c>
      <c r="M43" s="50">
        <v>110</v>
      </c>
      <c r="N43" s="50">
        <v>0</v>
      </c>
      <c r="O43" s="15">
        <f t="shared" si="0"/>
        <v>10</v>
      </c>
      <c r="P43" s="15">
        <f t="shared" si="1"/>
        <v>120</v>
      </c>
    </row>
    <row r="44" spans="2:20" ht="23.1" customHeight="1" x14ac:dyDescent="0.25">
      <c r="B44" s="25" t="s">
        <v>71</v>
      </c>
      <c r="C44" s="50">
        <v>3</v>
      </c>
      <c r="D44" s="50">
        <v>7</v>
      </c>
      <c r="E44" s="50">
        <v>2</v>
      </c>
      <c r="F44" s="50">
        <v>1</v>
      </c>
      <c r="G44" s="50">
        <v>0</v>
      </c>
      <c r="H44" s="50">
        <v>0</v>
      </c>
      <c r="I44" s="50">
        <v>4</v>
      </c>
      <c r="J44" s="50">
        <v>7</v>
      </c>
      <c r="K44" s="50">
        <v>4</v>
      </c>
      <c r="L44" s="50">
        <v>8</v>
      </c>
      <c r="M44" s="50">
        <v>123</v>
      </c>
      <c r="N44" s="50">
        <v>0</v>
      </c>
      <c r="O44" s="15">
        <f t="shared" si="0"/>
        <v>36</v>
      </c>
      <c r="P44" s="15">
        <f t="shared" si="1"/>
        <v>159</v>
      </c>
    </row>
    <row r="45" spans="2:20" ht="23.1" customHeight="1" x14ac:dyDescent="0.25">
      <c r="B45" s="23" t="s">
        <v>72</v>
      </c>
      <c r="C45" s="50">
        <v>21</v>
      </c>
      <c r="D45" s="50">
        <v>9</v>
      </c>
      <c r="E45" s="50">
        <v>6</v>
      </c>
      <c r="F45" s="50">
        <v>3</v>
      </c>
      <c r="G45" s="50">
        <v>0</v>
      </c>
      <c r="H45" s="50">
        <v>0</v>
      </c>
      <c r="I45" s="50">
        <v>4</v>
      </c>
      <c r="J45" s="50">
        <v>4</v>
      </c>
      <c r="K45" s="50">
        <v>1</v>
      </c>
      <c r="L45" s="50">
        <v>10</v>
      </c>
      <c r="M45" s="50">
        <v>120</v>
      </c>
      <c r="N45" s="50">
        <v>0</v>
      </c>
      <c r="O45" s="15">
        <f t="shared" si="0"/>
        <v>58</v>
      </c>
      <c r="P45" s="15">
        <f t="shared" si="1"/>
        <v>178</v>
      </c>
    </row>
    <row r="46" spans="2:20" ht="23.1" customHeight="1" x14ac:dyDescent="0.25">
      <c r="B46" s="24" t="s">
        <v>73</v>
      </c>
      <c r="C46" s="50">
        <v>13</v>
      </c>
      <c r="D46" s="50">
        <v>5</v>
      </c>
      <c r="E46" s="50">
        <v>4</v>
      </c>
      <c r="F46" s="50">
        <v>2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183</v>
      </c>
      <c r="N46" s="50">
        <v>0</v>
      </c>
      <c r="O46" s="15">
        <f t="shared" si="0"/>
        <v>24</v>
      </c>
      <c r="P46" s="15">
        <f t="shared" si="1"/>
        <v>207</v>
      </c>
      <c r="R46" s="8"/>
      <c r="T46"/>
    </row>
    <row r="47" spans="2:20" ht="23.1" customHeight="1" x14ac:dyDescent="0.25">
      <c r="B47" s="24" t="s">
        <v>74</v>
      </c>
      <c r="C47" s="50">
        <v>21</v>
      </c>
      <c r="D47" s="50">
        <v>9</v>
      </c>
      <c r="E47" s="50">
        <v>4</v>
      </c>
      <c r="F47" s="50">
        <v>2</v>
      </c>
      <c r="G47" s="50">
        <v>0</v>
      </c>
      <c r="H47" s="50">
        <v>0</v>
      </c>
      <c r="I47" s="50">
        <v>4</v>
      </c>
      <c r="J47" s="50">
        <v>1</v>
      </c>
      <c r="K47" s="50">
        <v>1</v>
      </c>
      <c r="L47" s="50">
        <v>19</v>
      </c>
      <c r="M47" s="50">
        <v>146</v>
      </c>
      <c r="N47" s="50">
        <v>0</v>
      </c>
      <c r="O47" s="15">
        <f t="shared" si="0"/>
        <v>61</v>
      </c>
      <c r="P47" s="15">
        <f t="shared" si="1"/>
        <v>207</v>
      </c>
      <c r="R47" s="8"/>
      <c r="T47"/>
    </row>
    <row r="48" spans="2:20" ht="23.1" customHeight="1" x14ac:dyDescent="0.25">
      <c r="B48" s="24" t="s">
        <v>75</v>
      </c>
      <c r="C48" s="50">
        <v>15</v>
      </c>
      <c r="D48" s="50">
        <v>5</v>
      </c>
      <c r="E48" s="50">
        <v>1</v>
      </c>
      <c r="F48" s="50">
        <v>3</v>
      </c>
      <c r="G48" s="50">
        <v>0</v>
      </c>
      <c r="H48" s="50">
        <v>0</v>
      </c>
      <c r="I48" s="50">
        <v>0</v>
      </c>
      <c r="J48" s="50">
        <v>0</v>
      </c>
      <c r="K48" s="50">
        <v>1</v>
      </c>
      <c r="L48" s="50">
        <v>6</v>
      </c>
      <c r="M48" s="50">
        <v>143</v>
      </c>
      <c r="N48" s="50">
        <v>0</v>
      </c>
      <c r="O48" s="15">
        <f t="shared" si="0"/>
        <v>31</v>
      </c>
      <c r="P48" s="15">
        <f t="shared" si="1"/>
        <v>174</v>
      </c>
      <c r="R48" s="8"/>
      <c r="T48"/>
    </row>
    <row r="49" spans="2:20" ht="23.1" customHeight="1" x14ac:dyDescent="0.25">
      <c r="B49" s="23" t="s">
        <v>76</v>
      </c>
      <c r="C49" s="50">
        <v>22</v>
      </c>
      <c r="D49" s="50">
        <v>6</v>
      </c>
      <c r="E49" s="50">
        <v>4</v>
      </c>
      <c r="F49" s="50">
        <v>9</v>
      </c>
      <c r="G49" s="50">
        <v>0</v>
      </c>
      <c r="H49" s="50">
        <v>0</v>
      </c>
      <c r="I49" s="50">
        <v>0</v>
      </c>
      <c r="J49" s="50">
        <v>1</v>
      </c>
      <c r="K49" s="50">
        <v>1</v>
      </c>
      <c r="L49" s="50">
        <v>9</v>
      </c>
      <c r="M49" s="50">
        <v>106</v>
      </c>
      <c r="N49" s="50">
        <v>0</v>
      </c>
      <c r="O49" s="15">
        <f t="shared" si="0"/>
        <v>52</v>
      </c>
      <c r="P49" s="15">
        <f t="shared" si="1"/>
        <v>158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0</v>
      </c>
      <c r="E50" s="50">
        <v>2</v>
      </c>
      <c r="F50" s="50">
        <v>1</v>
      </c>
      <c r="G50" s="50">
        <v>0</v>
      </c>
      <c r="H50" s="50">
        <v>0</v>
      </c>
      <c r="I50" s="50">
        <v>0</v>
      </c>
      <c r="J50" s="50">
        <v>2</v>
      </c>
      <c r="K50" s="50">
        <v>3</v>
      </c>
      <c r="L50" s="50">
        <v>8</v>
      </c>
      <c r="M50" s="50">
        <v>150</v>
      </c>
      <c r="N50" s="50">
        <v>0</v>
      </c>
      <c r="O50" s="15">
        <f t="shared" si="0"/>
        <v>23</v>
      </c>
      <c r="P50" s="15">
        <f t="shared" si="1"/>
        <v>173</v>
      </c>
      <c r="R50" s="8"/>
      <c r="T50"/>
    </row>
    <row r="51" spans="2:20" ht="23.1" customHeight="1" x14ac:dyDescent="0.25">
      <c r="B51" s="24" t="s">
        <v>78</v>
      </c>
      <c r="C51" s="50">
        <v>15</v>
      </c>
      <c r="D51" s="50">
        <v>8</v>
      </c>
      <c r="E51" s="50">
        <v>2</v>
      </c>
      <c r="F51" s="50">
        <v>5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129</v>
      </c>
      <c r="N51" s="50">
        <v>0</v>
      </c>
      <c r="O51" s="15">
        <f t="shared" si="0"/>
        <v>30</v>
      </c>
      <c r="P51" s="15">
        <f t="shared" si="1"/>
        <v>159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2</v>
      </c>
      <c r="E52" s="50">
        <v>2</v>
      </c>
      <c r="F52" s="50">
        <v>0</v>
      </c>
      <c r="G52" s="50">
        <v>0</v>
      </c>
      <c r="H52" s="50">
        <v>0</v>
      </c>
      <c r="I52" s="50">
        <v>7</v>
      </c>
      <c r="J52" s="50">
        <v>3</v>
      </c>
      <c r="K52" s="50">
        <v>3</v>
      </c>
      <c r="L52" s="50">
        <v>23</v>
      </c>
      <c r="M52" s="50">
        <v>105</v>
      </c>
      <c r="N52" s="50">
        <v>0</v>
      </c>
      <c r="O52" s="15">
        <f t="shared" si="0"/>
        <v>43</v>
      </c>
      <c r="P52" s="15">
        <f t="shared" si="1"/>
        <v>148</v>
      </c>
      <c r="R52" s="8"/>
      <c r="T52"/>
    </row>
    <row r="53" spans="2:20" ht="23.1" customHeight="1" x14ac:dyDescent="0.25">
      <c r="B53" s="23" t="s">
        <v>80</v>
      </c>
      <c r="C53" s="50">
        <v>40</v>
      </c>
      <c r="D53" s="50">
        <v>4</v>
      </c>
      <c r="E53" s="50">
        <v>7</v>
      </c>
      <c r="F53" s="50">
        <v>5</v>
      </c>
      <c r="G53" s="50">
        <v>1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147</v>
      </c>
      <c r="N53" s="50">
        <v>0</v>
      </c>
      <c r="O53" s="15">
        <f t="shared" si="0"/>
        <v>57</v>
      </c>
      <c r="P53" s="15">
        <f t="shared" si="1"/>
        <v>204</v>
      </c>
      <c r="R53" s="8"/>
      <c r="T53"/>
    </row>
    <row r="54" spans="2:20" ht="23.1" customHeight="1" x14ac:dyDescent="0.25">
      <c r="B54" s="23" t="s">
        <v>81</v>
      </c>
      <c r="C54" s="50">
        <v>18</v>
      </c>
      <c r="D54" s="50">
        <v>0</v>
      </c>
      <c r="E54" s="50">
        <v>3</v>
      </c>
      <c r="F54" s="50">
        <v>2</v>
      </c>
      <c r="G54" s="50">
        <v>0</v>
      </c>
      <c r="H54" s="50">
        <v>0</v>
      </c>
      <c r="I54" s="50">
        <v>6</v>
      </c>
      <c r="J54" s="50">
        <v>2</v>
      </c>
      <c r="K54" s="50">
        <v>2</v>
      </c>
      <c r="L54" s="50">
        <v>5</v>
      </c>
      <c r="M54" s="50">
        <v>120</v>
      </c>
      <c r="N54" s="50">
        <v>0</v>
      </c>
      <c r="O54" s="15">
        <f t="shared" si="0"/>
        <v>38</v>
      </c>
      <c r="P54" s="15">
        <f t="shared" si="1"/>
        <v>158</v>
      </c>
      <c r="R54" s="8"/>
      <c r="T54"/>
    </row>
    <row r="55" spans="2:20" ht="23.1" customHeight="1" x14ac:dyDescent="0.25">
      <c r="B55" s="23" t="s">
        <v>82</v>
      </c>
      <c r="C55" s="50">
        <v>27</v>
      </c>
      <c r="D55" s="50">
        <v>4</v>
      </c>
      <c r="E55" s="50">
        <v>2</v>
      </c>
      <c r="F55" s="50">
        <v>3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138</v>
      </c>
      <c r="N55" s="50">
        <v>0</v>
      </c>
      <c r="O55" s="15">
        <f t="shared" si="0"/>
        <v>36</v>
      </c>
      <c r="P55" s="15">
        <f t="shared" si="1"/>
        <v>174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4</v>
      </c>
      <c r="E56" s="50">
        <v>2</v>
      </c>
      <c r="F56" s="50">
        <v>4</v>
      </c>
      <c r="G56" s="50">
        <v>1</v>
      </c>
      <c r="H56" s="50">
        <v>0</v>
      </c>
      <c r="I56" s="50">
        <v>2</v>
      </c>
      <c r="J56" s="50">
        <v>1</v>
      </c>
      <c r="K56" s="50">
        <v>1</v>
      </c>
      <c r="L56" s="50">
        <v>0</v>
      </c>
      <c r="M56" s="50">
        <v>145</v>
      </c>
      <c r="N56" s="50">
        <v>0</v>
      </c>
      <c r="O56" s="15">
        <f t="shared" si="0"/>
        <v>27</v>
      </c>
      <c r="P56" s="15">
        <f t="shared" si="1"/>
        <v>172</v>
      </c>
      <c r="R56" s="8"/>
      <c r="T56"/>
    </row>
    <row r="57" spans="2:20" ht="23.1" customHeight="1" x14ac:dyDescent="0.25">
      <c r="B57" s="23" t="s">
        <v>84</v>
      </c>
      <c r="C57" s="50">
        <v>14</v>
      </c>
      <c r="D57" s="50">
        <v>6</v>
      </c>
      <c r="E57" s="50">
        <v>4</v>
      </c>
      <c r="F57" s="50">
        <v>3</v>
      </c>
      <c r="G57" s="50">
        <v>0</v>
      </c>
      <c r="H57" s="50">
        <v>0</v>
      </c>
      <c r="I57" s="50">
        <v>0</v>
      </c>
      <c r="J57" s="50">
        <v>0</v>
      </c>
      <c r="K57" s="50">
        <v>1</v>
      </c>
      <c r="L57" s="50">
        <v>0</v>
      </c>
      <c r="M57" s="50">
        <v>113</v>
      </c>
      <c r="N57" s="50">
        <v>0</v>
      </c>
      <c r="O57" s="15">
        <f t="shared" si="0"/>
        <v>28</v>
      </c>
      <c r="P57" s="15">
        <f t="shared" si="1"/>
        <v>141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943</v>
      </c>
      <c r="D58" s="16">
        <f t="shared" si="21"/>
        <v>394</v>
      </c>
      <c r="E58" s="16">
        <f t="shared" si="21"/>
        <v>222</v>
      </c>
      <c r="F58" s="16">
        <f t="shared" si="21"/>
        <v>205</v>
      </c>
      <c r="G58" s="16">
        <f t="shared" si="21"/>
        <v>5</v>
      </c>
      <c r="H58" s="16">
        <f t="shared" si="21"/>
        <v>0</v>
      </c>
      <c r="I58" s="16">
        <f t="shared" si="21"/>
        <v>94</v>
      </c>
      <c r="J58" s="16">
        <f t="shared" si="21"/>
        <v>89</v>
      </c>
      <c r="K58" s="16">
        <f t="shared" si="21"/>
        <v>46</v>
      </c>
      <c r="L58" s="16">
        <f t="shared" si="21"/>
        <v>242</v>
      </c>
      <c r="M58" s="16">
        <f t="shared" si="21"/>
        <v>6191</v>
      </c>
      <c r="N58" s="16">
        <f t="shared" si="21"/>
        <v>3</v>
      </c>
      <c r="O58" s="16">
        <f t="shared" si="21"/>
        <v>2243</v>
      </c>
      <c r="P58" s="16">
        <f t="shared" si="21"/>
        <v>8434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0.11180934313493004</v>
      </c>
      <c r="D59" s="43">
        <f t="shared" si="22"/>
        <v>4.6715674650225282E-2</v>
      </c>
      <c r="E59" s="43">
        <f t="shared" si="22"/>
        <v>2.6322029879060942E-2</v>
      </c>
      <c r="F59" s="43">
        <f t="shared" si="22"/>
        <v>2.4306378942376097E-2</v>
      </c>
      <c r="G59" s="43">
        <f t="shared" si="22"/>
        <v>5.9283851078966094E-4</v>
      </c>
      <c r="H59" s="43">
        <f t="shared" si="22"/>
        <v>0</v>
      </c>
      <c r="I59" s="43">
        <f t="shared" si="22"/>
        <v>1.1145364002845624E-2</v>
      </c>
      <c r="J59" s="43">
        <f t="shared" si="22"/>
        <v>1.0552525492055964E-2</v>
      </c>
      <c r="K59" s="43">
        <f t="shared" si="22"/>
        <v>5.4541142992648806E-3</v>
      </c>
      <c r="L59" s="43">
        <f t="shared" si="22"/>
        <v>2.8693383922219588E-2</v>
      </c>
      <c r="M59" s="43">
        <f t="shared" si="22"/>
        <v>0.73405264405975812</v>
      </c>
      <c r="N59" s="43">
        <f t="shared" si="22"/>
        <v>3.5570310647379654E-4</v>
      </c>
      <c r="R59" s="8"/>
      <c r="T59"/>
    </row>
    <row r="60" spans="2:20" ht="23.1" customHeight="1" x14ac:dyDescent="0.25">
      <c r="B60" s="42" t="s">
        <v>94</v>
      </c>
      <c r="C60" s="44">
        <f>C58/$O$58</f>
        <v>0.42041908158716007</v>
      </c>
      <c r="D60" s="44">
        <f t="shared" ref="D60:N60" si="23">D58/$O$58</f>
        <v>0.17565760142666073</v>
      </c>
      <c r="E60" s="44">
        <f t="shared" si="23"/>
        <v>9.897458760588497E-2</v>
      </c>
      <c r="F60" s="44">
        <f t="shared" si="23"/>
        <v>9.1395452518947831E-2</v>
      </c>
      <c r="G60" s="44">
        <f t="shared" si="23"/>
        <v>2.229157378510923E-3</v>
      </c>
      <c r="H60" s="44">
        <f t="shared" si="23"/>
        <v>0</v>
      </c>
      <c r="I60" s="44">
        <f t="shared" si="23"/>
        <v>4.1908158716005353E-2</v>
      </c>
      <c r="J60" s="44">
        <f t="shared" si="23"/>
        <v>3.9679001337494427E-2</v>
      </c>
      <c r="K60" s="44">
        <f t="shared" si="23"/>
        <v>2.050824788230049E-2</v>
      </c>
      <c r="L60" s="44">
        <f t="shared" si="23"/>
        <v>0.10789121711992866</v>
      </c>
      <c r="M60" s="44"/>
      <c r="N60" s="44">
        <f t="shared" si="23"/>
        <v>1.3374944271065537E-3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5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SPEARMOTORS-NTINDA'!C3:G3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NTINDA-SPEARMOTORS'!D5</f>
        <v>30.07.19</v>
      </c>
      <c r="E5" s="3"/>
      <c r="F5" s="41" t="s">
        <v>1</v>
      </c>
      <c r="G5" s="61" t="s">
        <v>170</v>
      </c>
      <c r="H5" s="62"/>
      <c r="I5" s="14"/>
      <c r="J5" s="2" t="s">
        <v>5</v>
      </c>
      <c r="K5" s="61" t="s">
        <v>171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'29.07 SPEARMOTORS-NTINDA'!D6:E6</f>
        <v>SPEAR MOTORS</v>
      </c>
      <c r="E6" s="62"/>
      <c r="F6" s="2" t="s">
        <v>2</v>
      </c>
      <c r="G6" s="61" t="str">
        <f>'29.07 SPEARMOTORS-NTINDA'!G6:H6</f>
        <v>NTINDA</v>
      </c>
      <c r="H6" s="62"/>
      <c r="J6" s="2" t="s">
        <v>21</v>
      </c>
      <c r="K6" s="61" t="str">
        <f>'29.07 NTINDA-SPEAR MOTORS'!K6:L6</f>
        <v>OLAYA FELIX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25</v>
      </c>
      <c r="D10" s="50">
        <v>20</v>
      </c>
      <c r="E10" s="50">
        <v>4</v>
      </c>
      <c r="F10" s="50">
        <v>13</v>
      </c>
      <c r="G10" s="50">
        <v>0</v>
      </c>
      <c r="H10" s="50">
        <v>0</v>
      </c>
      <c r="I10" s="50">
        <v>15</v>
      </c>
      <c r="J10" s="50">
        <v>9</v>
      </c>
      <c r="K10" s="50">
        <v>4</v>
      </c>
      <c r="L10" s="50">
        <v>45</v>
      </c>
      <c r="M10" s="50">
        <v>160</v>
      </c>
      <c r="N10" s="50">
        <v>0</v>
      </c>
      <c r="O10" s="15">
        <f t="shared" ref="O10:O57" si="0">SUM(C10:L10,N10)</f>
        <v>135</v>
      </c>
      <c r="P10" s="15">
        <f t="shared" ref="P10:P57" si="1">SUM(C10:N10)</f>
        <v>295</v>
      </c>
      <c r="R10" s="1" t="s">
        <v>6</v>
      </c>
      <c r="S10" s="17">
        <f t="shared" ref="S10:AF10" si="2">SUM(C10:C13)</f>
        <v>54</v>
      </c>
      <c r="T10" s="17">
        <f t="shared" si="2"/>
        <v>54</v>
      </c>
      <c r="U10" s="17">
        <f t="shared" si="2"/>
        <v>14</v>
      </c>
      <c r="V10" s="17">
        <f t="shared" si="2"/>
        <v>46</v>
      </c>
      <c r="W10" s="17">
        <f t="shared" si="2"/>
        <v>1</v>
      </c>
      <c r="X10" s="17">
        <f t="shared" si="2"/>
        <v>0</v>
      </c>
      <c r="Y10" s="17">
        <f t="shared" si="2"/>
        <v>42</v>
      </c>
      <c r="Z10" s="17">
        <f t="shared" si="2"/>
        <v>20</v>
      </c>
      <c r="AA10" s="17">
        <f t="shared" si="2"/>
        <v>10</v>
      </c>
      <c r="AB10" s="17">
        <f t="shared" si="2"/>
        <v>83</v>
      </c>
      <c r="AC10" s="17">
        <f t="shared" si="2"/>
        <v>657</v>
      </c>
      <c r="AD10" s="17">
        <f t="shared" si="2"/>
        <v>0</v>
      </c>
      <c r="AE10" s="31">
        <f t="shared" si="2"/>
        <v>324</v>
      </c>
      <c r="AF10" s="31">
        <f t="shared" si="2"/>
        <v>981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12</v>
      </c>
      <c r="E11" s="50">
        <v>5</v>
      </c>
      <c r="F11" s="50">
        <v>10</v>
      </c>
      <c r="G11" s="50">
        <v>0</v>
      </c>
      <c r="H11" s="50">
        <v>0</v>
      </c>
      <c r="I11" s="50">
        <v>20</v>
      </c>
      <c r="J11" s="50">
        <v>6</v>
      </c>
      <c r="K11" s="50">
        <v>4</v>
      </c>
      <c r="L11" s="50">
        <v>25</v>
      </c>
      <c r="M11" s="50">
        <v>160</v>
      </c>
      <c r="N11" s="50">
        <v>0</v>
      </c>
      <c r="O11" s="15">
        <f t="shared" si="0"/>
        <v>92</v>
      </c>
      <c r="P11" s="15">
        <f t="shared" si="1"/>
        <v>252</v>
      </c>
      <c r="R11" s="1" t="s">
        <v>7</v>
      </c>
      <c r="S11" s="17">
        <f t="shared" ref="S11:AF11" si="3">SUM(C14:C17)</f>
        <v>40</v>
      </c>
      <c r="T11" s="17">
        <f t="shared" si="3"/>
        <v>45</v>
      </c>
      <c r="U11" s="17">
        <f t="shared" si="3"/>
        <v>14</v>
      </c>
      <c r="V11" s="17">
        <f t="shared" si="3"/>
        <v>67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5</v>
      </c>
      <c r="AA11" s="17">
        <f t="shared" si="3"/>
        <v>4</v>
      </c>
      <c r="AB11" s="17">
        <f t="shared" si="3"/>
        <v>14</v>
      </c>
      <c r="AC11" s="17">
        <f t="shared" si="3"/>
        <v>875</v>
      </c>
      <c r="AD11" s="17">
        <f t="shared" si="3"/>
        <v>0</v>
      </c>
      <c r="AE11" s="31">
        <f t="shared" si="3"/>
        <v>198</v>
      </c>
      <c r="AF11" s="31">
        <f t="shared" si="3"/>
        <v>1073</v>
      </c>
    </row>
    <row r="12" spans="2:32" ht="23.1" customHeight="1" x14ac:dyDescent="0.25">
      <c r="B12" s="23" t="s">
        <v>39</v>
      </c>
      <c r="C12" s="50">
        <v>14</v>
      </c>
      <c r="D12" s="50">
        <v>14</v>
      </c>
      <c r="E12" s="50">
        <v>3</v>
      </c>
      <c r="F12" s="50">
        <v>16</v>
      </c>
      <c r="G12" s="50">
        <v>0</v>
      </c>
      <c r="H12" s="50">
        <v>0</v>
      </c>
      <c r="I12" s="50">
        <v>5</v>
      </c>
      <c r="J12" s="50">
        <v>4</v>
      </c>
      <c r="K12" s="50">
        <v>2</v>
      </c>
      <c r="L12" s="50">
        <v>10</v>
      </c>
      <c r="M12" s="50">
        <v>137</v>
      </c>
      <c r="N12" s="50">
        <v>0</v>
      </c>
      <c r="O12" s="15">
        <f t="shared" si="0"/>
        <v>68</v>
      </c>
      <c r="P12" s="15">
        <f t="shared" si="1"/>
        <v>205</v>
      </c>
      <c r="R12" s="1" t="s">
        <v>8</v>
      </c>
      <c r="S12" s="17">
        <f t="shared" ref="S12:AF12" si="4">SUM(C18:C21)</f>
        <v>57</v>
      </c>
      <c r="T12" s="17">
        <f t="shared" si="4"/>
        <v>41</v>
      </c>
      <c r="U12" s="17">
        <f t="shared" si="4"/>
        <v>23</v>
      </c>
      <c r="V12" s="17">
        <f t="shared" si="4"/>
        <v>58</v>
      </c>
      <c r="W12" s="17">
        <f t="shared" si="4"/>
        <v>0</v>
      </c>
      <c r="X12" s="17">
        <f t="shared" si="4"/>
        <v>0</v>
      </c>
      <c r="Y12" s="17">
        <f t="shared" si="4"/>
        <v>15</v>
      </c>
      <c r="Z12" s="17">
        <f t="shared" si="4"/>
        <v>3</v>
      </c>
      <c r="AA12" s="17">
        <f t="shared" si="4"/>
        <v>10</v>
      </c>
      <c r="AB12" s="17">
        <f t="shared" si="4"/>
        <v>13</v>
      </c>
      <c r="AC12" s="17">
        <f t="shared" si="4"/>
        <v>775</v>
      </c>
      <c r="AD12" s="17">
        <f t="shared" si="4"/>
        <v>0</v>
      </c>
      <c r="AE12" s="31">
        <f t="shared" si="4"/>
        <v>220</v>
      </c>
      <c r="AF12" s="31">
        <f t="shared" si="4"/>
        <v>995</v>
      </c>
    </row>
    <row r="13" spans="2:32" ht="23.1" customHeight="1" x14ac:dyDescent="0.25">
      <c r="B13" s="23" t="s">
        <v>40</v>
      </c>
      <c r="C13" s="50">
        <v>5</v>
      </c>
      <c r="D13" s="50">
        <v>8</v>
      </c>
      <c r="E13" s="50">
        <v>2</v>
      </c>
      <c r="F13" s="50">
        <v>7</v>
      </c>
      <c r="G13" s="50">
        <v>1</v>
      </c>
      <c r="H13" s="50">
        <v>0</v>
      </c>
      <c r="I13" s="50">
        <v>2</v>
      </c>
      <c r="J13" s="50">
        <v>1</v>
      </c>
      <c r="K13" s="50">
        <v>0</v>
      </c>
      <c r="L13" s="50">
        <v>3</v>
      </c>
      <c r="M13" s="50">
        <v>200</v>
      </c>
      <c r="N13" s="50">
        <v>0</v>
      </c>
      <c r="O13" s="15">
        <f t="shared" si="0"/>
        <v>29</v>
      </c>
      <c r="P13" s="15">
        <f t="shared" si="1"/>
        <v>229</v>
      </c>
      <c r="R13" s="1" t="s">
        <v>9</v>
      </c>
      <c r="S13" s="17">
        <f t="shared" ref="S13:AF13" si="5">SUM(C22:C25)</f>
        <v>85</v>
      </c>
      <c r="T13" s="17">
        <f t="shared" si="5"/>
        <v>49</v>
      </c>
      <c r="U13" s="17">
        <f t="shared" si="5"/>
        <v>26</v>
      </c>
      <c r="V13" s="17">
        <f t="shared" si="5"/>
        <v>86</v>
      </c>
      <c r="W13" s="17">
        <f t="shared" si="5"/>
        <v>2</v>
      </c>
      <c r="X13" s="17">
        <f t="shared" si="5"/>
        <v>0</v>
      </c>
      <c r="Y13" s="17">
        <f t="shared" si="5"/>
        <v>22</v>
      </c>
      <c r="Z13" s="17">
        <f t="shared" si="5"/>
        <v>6</v>
      </c>
      <c r="AA13" s="17">
        <f t="shared" si="5"/>
        <v>10</v>
      </c>
      <c r="AB13" s="17">
        <f t="shared" si="5"/>
        <v>27</v>
      </c>
      <c r="AC13" s="17">
        <f t="shared" si="5"/>
        <v>572</v>
      </c>
      <c r="AD13" s="17">
        <f t="shared" si="5"/>
        <v>0</v>
      </c>
      <c r="AE13" s="31">
        <f t="shared" si="5"/>
        <v>313</v>
      </c>
      <c r="AF13" s="31">
        <f t="shared" si="5"/>
        <v>885</v>
      </c>
    </row>
    <row r="14" spans="2:32" ht="23.1" customHeight="1" x14ac:dyDescent="0.25">
      <c r="B14" s="23" t="s">
        <v>41</v>
      </c>
      <c r="C14" s="50">
        <v>10</v>
      </c>
      <c r="D14" s="50">
        <v>4</v>
      </c>
      <c r="E14" s="50">
        <v>2</v>
      </c>
      <c r="F14" s="50">
        <v>15</v>
      </c>
      <c r="G14" s="50">
        <v>0</v>
      </c>
      <c r="H14" s="50">
        <v>0</v>
      </c>
      <c r="I14" s="50">
        <v>2</v>
      </c>
      <c r="J14" s="50">
        <v>2</v>
      </c>
      <c r="K14" s="50">
        <v>1</v>
      </c>
      <c r="L14" s="50">
        <v>2</v>
      </c>
      <c r="M14" s="50">
        <v>185</v>
      </c>
      <c r="N14" s="50">
        <v>0</v>
      </c>
      <c r="O14" s="15">
        <f t="shared" si="0"/>
        <v>38</v>
      </c>
      <c r="P14" s="15">
        <f t="shared" si="1"/>
        <v>223</v>
      </c>
      <c r="R14" s="1" t="s">
        <v>10</v>
      </c>
      <c r="S14" s="17">
        <f t="shared" ref="S14:AF14" si="6">SUM(C26:C29)</f>
        <v>58</v>
      </c>
      <c r="T14" s="17">
        <f t="shared" si="6"/>
        <v>46</v>
      </c>
      <c r="U14" s="17">
        <f t="shared" si="6"/>
        <v>25</v>
      </c>
      <c r="V14" s="17">
        <f t="shared" si="6"/>
        <v>72</v>
      </c>
      <c r="W14" s="17">
        <f t="shared" si="6"/>
        <v>0</v>
      </c>
      <c r="X14" s="17">
        <f t="shared" si="6"/>
        <v>0</v>
      </c>
      <c r="Y14" s="17">
        <f t="shared" si="6"/>
        <v>14</v>
      </c>
      <c r="Z14" s="17">
        <f t="shared" si="6"/>
        <v>9</v>
      </c>
      <c r="AA14" s="17">
        <f t="shared" si="6"/>
        <v>5</v>
      </c>
      <c r="AB14" s="17">
        <f t="shared" si="6"/>
        <v>25</v>
      </c>
      <c r="AC14" s="17">
        <f t="shared" si="6"/>
        <v>508</v>
      </c>
      <c r="AD14" s="17">
        <f t="shared" si="6"/>
        <v>0</v>
      </c>
      <c r="AE14" s="31">
        <f t="shared" si="6"/>
        <v>254</v>
      </c>
      <c r="AF14" s="31">
        <f t="shared" si="6"/>
        <v>762</v>
      </c>
    </row>
    <row r="15" spans="2:32" ht="23.1" customHeight="1" x14ac:dyDescent="0.25">
      <c r="B15" s="23" t="s">
        <v>42</v>
      </c>
      <c r="C15" s="50">
        <v>20</v>
      </c>
      <c r="D15" s="50">
        <v>16</v>
      </c>
      <c r="E15" s="50">
        <v>4</v>
      </c>
      <c r="F15" s="50">
        <v>21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2</v>
      </c>
      <c r="M15" s="50">
        <v>205</v>
      </c>
      <c r="N15" s="50">
        <v>0</v>
      </c>
      <c r="O15" s="15">
        <f t="shared" si="0"/>
        <v>64</v>
      </c>
      <c r="P15" s="15">
        <f t="shared" si="1"/>
        <v>269</v>
      </c>
      <c r="R15" s="1" t="s">
        <v>11</v>
      </c>
      <c r="S15" s="17">
        <f t="shared" ref="S15:AF15" si="7">SUM(C30:C33)</f>
        <v>62</v>
      </c>
      <c r="T15" s="17">
        <f t="shared" si="7"/>
        <v>51</v>
      </c>
      <c r="U15" s="17">
        <f t="shared" si="7"/>
        <v>15</v>
      </c>
      <c r="V15" s="17">
        <f t="shared" si="7"/>
        <v>52</v>
      </c>
      <c r="W15" s="17">
        <f t="shared" si="7"/>
        <v>0</v>
      </c>
      <c r="X15" s="17">
        <f t="shared" si="7"/>
        <v>0</v>
      </c>
      <c r="Y15" s="17">
        <f t="shared" si="7"/>
        <v>22</v>
      </c>
      <c r="Z15" s="17">
        <f t="shared" si="7"/>
        <v>4</v>
      </c>
      <c r="AA15" s="17">
        <f t="shared" si="7"/>
        <v>7</v>
      </c>
      <c r="AB15" s="17">
        <f t="shared" si="7"/>
        <v>25</v>
      </c>
      <c r="AC15" s="17">
        <f t="shared" si="7"/>
        <v>455</v>
      </c>
      <c r="AD15" s="17">
        <f t="shared" si="7"/>
        <v>0</v>
      </c>
      <c r="AE15" s="31">
        <f t="shared" si="7"/>
        <v>238</v>
      </c>
      <c r="AF15" s="31">
        <f t="shared" si="7"/>
        <v>693</v>
      </c>
    </row>
    <row r="16" spans="2:32" ht="23.1" customHeight="1" x14ac:dyDescent="0.25">
      <c r="B16" s="23" t="s">
        <v>43</v>
      </c>
      <c r="C16" s="50">
        <v>0</v>
      </c>
      <c r="D16" s="50">
        <v>18</v>
      </c>
      <c r="E16" s="50">
        <v>5</v>
      </c>
      <c r="F16" s="50">
        <v>15</v>
      </c>
      <c r="G16" s="50">
        <v>0</v>
      </c>
      <c r="H16" s="50">
        <v>0</v>
      </c>
      <c r="I16" s="50">
        <v>1</v>
      </c>
      <c r="J16" s="50">
        <v>0</v>
      </c>
      <c r="K16" s="50">
        <v>1</v>
      </c>
      <c r="L16" s="50">
        <v>3</v>
      </c>
      <c r="M16" s="50">
        <v>240</v>
      </c>
      <c r="N16" s="50">
        <v>0</v>
      </c>
      <c r="O16" s="15">
        <f t="shared" si="0"/>
        <v>43</v>
      </c>
      <c r="P16" s="15">
        <f t="shared" si="1"/>
        <v>283</v>
      </c>
      <c r="R16" s="1" t="s">
        <v>12</v>
      </c>
      <c r="S16" s="17">
        <f t="shared" ref="S16:AF16" si="8">SUM(C34:C37)</f>
        <v>78</v>
      </c>
      <c r="T16" s="17">
        <f t="shared" si="8"/>
        <v>41</v>
      </c>
      <c r="U16" s="17">
        <f t="shared" si="8"/>
        <v>19</v>
      </c>
      <c r="V16" s="17">
        <f t="shared" si="8"/>
        <v>61</v>
      </c>
      <c r="W16" s="17">
        <f t="shared" si="8"/>
        <v>0</v>
      </c>
      <c r="X16" s="17">
        <f t="shared" si="8"/>
        <v>0</v>
      </c>
      <c r="Y16" s="17">
        <f t="shared" si="8"/>
        <v>10</v>
      </c>
      <c r="Z16" s="17">
        <f t="shared" si="8"/>
        <v>9</v>
      </c>
      <c r="AA16" s="17">
        <f t="shared" si="8"/>
        <v>6</v>
      </c>
      <c r="AB16" s="17">
        <f t="shared" si="8"/>
        <v>15</v>
      </c>
      <c r="AC16" s="17">
        <f t="shared" si="8"/>
        <v>394</v>
      </c>
      <c r="AD16" s="17">
        <f t="shared" si="8"/>
        <v>0</v>
      </c>
      <c r="AE16" s="31">
        <f t="shared" si="8"/>
        <v>239</v>
      </c>
      <c r="AF16" s="31">
        <f t="shared" si="8"/>
        <v>633</v>
      </c>
    </row>
    <row r="17" spans="2:32" ht="23.1" customHeight="1" x14ac:dyDescent="0.25">
      <c r="B17" s="23" t="s">
        <v>44</v>
      </c>
      <c r="C17" s="50">
        <v>10</v>
      </c>
      <c r="D17" s="50">
        <v>7</v>
      </c>
      <c r="E17" s="50">
        <v>3</v>
      </c>
      <c r="F17" s="50">
        <v>16</v>
      </c>
      <c r="G17" s="50">
        <v>0</v>
      </c>
      <c r="H17" s="50">
        <v>0</v>
      </c>
      <c r="I17" s="50">
        <v>5</v>
      </c>
      <c r="J17" s="50">
        <v>3</v>
      </c>
      <c r="K17" s="50">
        <v>2</v>
      </c>
      <c r="L17" s="50">
        <v>7</v>
      </c>
      <c r="M17" s="50">
        <v>245</v>
      </c>
      <c r="N17" s="50">
        <v>0</v>
      </c>
      <c r="O17" s="15">
        <f t="shared" si="0"/>
        <v>53</v>
      </c>
      <c r="P17" s="15">
        <f t="shared" si="1"/>
        <v>298</v>
      </c>
      <c r="R17" s="1" t="s">
        <v>13</v>
      </c>
      <c r="S17" s="17">
        <f t="shared" ref="S17:AF17" si="9">SUM(C38:C41)</f>
        <v>72</v>
      </c>
      <c r="T17" s="17">
        <f t="shared" si="9"/>
        <v>53</v>
      </c>
      <c r="U17" s="17">
        <f t="shared" si="9"/>
        <v>22</v>
      </c>
      <c r="V17" s="17">
        <f t="shared" si="9"/>
        <v>49</v>
      </c>
      <c r="W17" s="17">
        <f t="shared" si="9"/>
        <v>0</v>
      </c>
      <c r="X17" s="17">
        <f t="shared" si="9"/>
        <v>0</v>
      </c>
      <c r="Y17" s="17">
        <f t="shared" si="9"/>
        <v>13</v>
      </c>
      <c r="Z17" s="17">
        <f t="shared" si="9"/>
        <v>12</v>
      </c>
      <c r="AA17" s="17">
        <f t="shared" si="9"/>
        <v>9</v>
      </c>
      <c r="AB17" s="17">
        <f t="shared" si="9"/>
        <v>25</v>
      </c>
      <c r="AC17" s="17">
        <f t="shared" si="9"/>
        <v>474</v>
      </c>
      <c r="AD17" s="17">
        <f t="shared" si="9"/>
        <v>0</v>
      </c>
      <c r="AE17" s="31">
        <f t="shared" si="9"/>
        <v>255</v>
      </c>
      <c r="AF17" s="31">
        <f t="shared" si="9"/>
        <v>729</v>
      </c>
    </row>
    <row r="18" spans="2:32" ht="23.1" customHeight="1" x14ac:dyDescent="0.25">
      <c r="B18" s="23" t="s">
        <v>45</v>
      </c>
      <c r="C18" s="50">
        <v>12</v>
      </c>
      <c r="D18" s="50">
        <v>16</v>
      </c>
      <c r="E18" s="50">
        <v>5</v>
      </c>
      <c r="F18" s="50">
        <v>16</v>
      </c>
      <c r="G18" s="50">
        <v>0</v>
      </c>
      <c r="H18" s="50">
        <v>0</v>
      </c>
      <c r="I18" s="50">
        <v>4</v>
      </c>
      <c r="J18" s="50">
        <v>1</v>
      </c>
      <c r="K18" s="50">
        <v>2</v>
      </c>
      <c r="L18" s="50">
        <v>3</v>
      </c>
      <c r="M18" s="50">
        <v>200</v>
      </c>
      <c r="N18" s="50">
        <v>0</v>
      </c>
      <c r="O18" s="15">
        <f t="shared" si="0"/>
        <v>59</v>
      </c>
      <c r="P18" s="15">
        <f t="shared" si="1"/>
        <v>259</v>
      </c>
      <c r="R18" s="1" t="s">
        <v>14</v>
      </c>
      <c r="S18" s="17">
        <f t="shared" ref="S18:AF18" si="10">SUM(C42:C45)</f>
        <v>77</v>
      </c>
      <c r="T18" s="17">
        <f t="shared" si="10"/>
        <v>49</v>
      </c>
      <c r="U18" s="17">
        <f t="shared" si="10"/>
        <v>26</v>
      </c>
      <c r="V18" s="17">
        <f t="shared" si="10"/>
        <v>39</v>
      </c>
      <c r="W18" s="17">
        <f t="shared" si="10"/>
        <v>0</v>
      </c>
      <c r="X18" s="17">
        <f t="shared" si="10"/>
        <v>0</v>
      </c>
      <c r="Y18" s="17">
        <f t="shared" si="10"/>
        <v>14</v>
      </c>
      <c r="Z18" s="17">
        <f t="shared" si="10"/>
        <v>5</v>
      </c>
      <c r="AA18" s="17">
        <f t="shared" si="10"/>
        <v>6</v>
      </c>
      <c r="AB18" s="17">
        <f t="shared" si="10"/>
        <v>25</v>
      </c>
      <c r="AC18" s="17">
        <f t="shared" si="10"/>
        <v>367</v>
      </c>
      <c r="AD18" s="17">
        <f t="shared" si="10"/>
        <v>0</v>
      </c>
      <c r="AE18" s="31">
        <f t="shared" si="10"/>
        <v>241</v>
      </c>
      <c r="AF18" s="31">
        <f t="shared" si="10"/>
        <v>608</v>
      </c>
    </row>
    <row r="19" spans="2:32" ht="23.1" customHeight="1" x14ac:dyDescent="0.25">
      <c r="B19" s="23" t="s">
        <v>46</v>
      </c>
      <c r="C19" s="50">
        <v>15</v>
      </c>
      <c r="D19" s="50">
        <v>5</v>
      </c>
      <c r="E19" s="50">
        <v>8</v>
      </c>
      <c r="F19" s="50">
        <v>18</v>
      </c>
      <c r="G19" s="50">
        <v>0</v>
      </c>
      <c r="H19" s="50">
        <v>0</v>
      </c>
      <c r="I19" s="50">
        <v>3</v>
      </c>
      <c r="J19" s="50">
        <v>1</v>
      </c>
      <c r="K19" s="50">
        <v>2</v>
      </c>
      <c r="L19" s="50">
        <v>4</v>
      </c>
      <c r="M19" s="50">
        <v>170</v>
      </c>
      <c r="N19" s="50">
        <v>0</v>
      </c>
      <c r="O19" s="15">
        <f t="shared" si="0"/>
        <v>56</v>
      </c>
      <c r="P19" s="15">
        <f t="shared" si="1"/>
        <v>226</v>
      </c>
      <c r="R19" s="1" t="s">
        <v>15</v>
      </c>
      <c r="S19" s="17">
        <f t="shared" ref="S19:AF19" si="11">SUM(C46:C49)</f>
        <v>74</v>
      </c>
      <c r="T19" s="17">
        <f t="shared" si="11"/>
        <v>66</v>
      </c>
      <c r="U19" s="17">
        <f t="shared" si="11"/>
        <v>28</v>
      </c>
      <c r="V19" s="17">
        <f t="shared" si="11"/>
        <v>17</v>
      </c>
      <c r="W19" s="17">
        <f t="shared" si="11"/>
        <v>1</v>
      </c>
      <c r="X19" s="17">
        <f t="shared" si="11"/>
        <v>0</v>
      </c>
      <c r="Y19" s="17">
        <f t="shared" si="11"/>
        <v>19</v>
      </c>
      <c r="Z19" s="17">
        <f t="shared" si="11"/>
        <v>10</v>
      </c>
      <c r="AA19" s="17">
        <f t="shared" si="11"/>
        <v>7</v>
      </c>
      <c r="AB19" s="17">
        <f t="shared" si="11"/>
        <v>18</v>
      </c>
      <c r="AC19" s="17">
        <f t="shared" si="11"/>
        <v>453</v>
      </c>
      <c r="AD19" s="17">
        <f t="shared" si="11"/>
        <v>0</v>
      </c>
      <c r="AE19" s="31">
        <f t="shared" si="11"/>
        <v>240</v>
      </c>
      <c r="AF19" s="31">
        <f t="shared" si="11"/>
        <v>693</v>
      </c>
    </row>
    <row r="20" spans="2:32" ht="23.1" customHeight="1" x14ac:dyDescent="0.25">
      <c r="B20" s="23" t="s">
        <v>47</v>
      </c>
      <c r="C20" s="50">
        <v>14</v>
      </c>
      <c r="D20" s="50">
        <v>12</v>
      </c>
      <c r="E20" s="50">
        <v>7</v>
      </c>
      <c r="F20" s="50">
        <v>16</v>
      </c>
      <c r="G20" s="50">
        <v>0</v>
      </c>
      <c r="H20" s="50">
        <v>0</v>
      </c>
      <c r="I20" s="50">
        <v>2</v>
      </c>
      <c r="J20" s="50">
        <v>0</v>
      </c>
      <c r="K20" s="50">
        <v>2</v>
      </c>
      <c r="L20" s="50">
        <v>1</v>
      </c>
      <c r="M20" s="50">
        <v>225</v>
      </c>
      <c r="N20" s="50">
        <v>0</v>
      </c>
      <c r="O20" s="15">
        <f t="shared" si="0"/>
        <v>54</v>
      </c>
      <c r="P20" s="15">
        <f t="shared" si="1"/>
        <v>279</v>
      </c>
      <c r="R20" s="1" t="s">
        <v>16</v>
      </c>
      <c r="S20" s="17">
        <f t="shared" ref="S20:AF20" si="12">SUM(C50:C53)</f>
        <v>143</v>
      </c>
      <c r="T20" s="17">
        <f t="shared" si="12"/>
        <v>91</v>
      </c>
      <c r="U20" s="17">
        <f t="shared" si="12"/>
        <v>27</v>
      </c>
      <c r="V20" s="17">
        <f t="shared" si="12"/>
        <v>17</v>
      </c>
      <c r="W20" s="17">
        <f t="shared" si="12"/>
        <v>1</v>
      </c>
      <c r="X20" s="17">
        <f t="shared" si="12"/>
        <v>0</v>
      </c>
      <c r="Y20" s="17">
        <f t="shared" si="12"/>
        <v>13</v>
      </c>
      <c r="Z20" s="17">
        <f t="shared" si="12"/>
        <v>6</v>
      </c>
      <c r="AA20" s="17">
        <f t="shared" si="12"/>
        <v>8</v>
      </c>
      <c r="AB20" s="17">
        <f t="shared" si="12"/>
        <v>13</v>
      </c>
      <c r="AC20" s="17">
        <f t="shared" si="12"/>
        <v>495</v>
      </c>
      <c r="AD20" s="17">
        <f t="shared" si="12"/>
        <v>0</v>
      </c>
      <c r="AE20" s="31">
        <f t="shared" si="12"/>
        <v>319</v>
      </c>
      <c r="AF20" s="31">
        <f t="shared" si="12"/>
        <v>814</v>
      </c>
    </row>
    <row r="21" spans="2:32" ht="23.1" customHeight="1" x14ac:dyDescent="0.25">
      <c r="B21" s="23" t="s">
        <v>48</v>
      </c>
      <c r="C21" s="50">
        <v>16</v>
      </c>
      <c r="D21" s="50">
        <v>8</v>
      </c>
      <c r="E21" s="50">
        <v>3</v>
      </c>
      <c r="F21" s="50">
        <v>8</v>
      </c>
      <c r="G21" s="50">
        <v>0</v>
      </c>
      <c r="H21" s="50">
        <v>0</v>
      </c>
      <c r="I21" s="50">
        <v>6</v>
      </c>
      <c r="J21" s="50">
        <v>1</v>
      </c>
      <c r="K21" s="50">
        <v>4</v>
      </c>
      <c r="L21" s="50">
        <v>5</v>
      </c>
      <c r="M21" s="50">
        <v>180</v>
      </c>
      <c r="N21" s="50">
        <v>0</v>
      </c>
      <c r="O21" s="15">
        <f t="shared" si="0"/>
        <v>51</v>
      </c>
      <c r="P21" s="15">
        <f t="shared" si="1"/>
        <v>231</v>
      </c>
      <c r="R21" s="36" t="s">
        <v>20</v>
      </c>
      <c r="S21" s="34">
        <f t="shared" ref="S21:AF21" si="13">SUM(C54:C57)</f>
        <v>98</v>
      </c>
      <c r="T21" s="17">
        <f t="shared" si="13"/>
        <v>78</v>
      </c>
      <c r="U21" s="17">
        <f t="shared" si="13"/>
        <v>19</v>
      </c>
      <c r="V21" s="17">
        <f t="shared" si="13"/>
        <v>19</v>
      </c>
      <c r="W21" s="17">
        <f t="shared" si="13"/>
        <v>1</v>
      </c>
      <c r="X21" s="17">
        <f t="shared" si="13"/>
        <v>0</v>
      </c>
      <c r="Y21" s="17">
        <f t="shared" si="13"/>
        <v>12</v>
      </c>
      <c r="Z21" s="17">
        <f t="shared" si="13"/>
        <v>6</v>
      </c>
      <c r="AA21" s="17">
        <f t="shared" si="13"/>
        <v>2</v>
      </c>
      <c r="AB21" s="17">
        <f t="shared" si="13"/>
        <v>7</v>
      </c>
      <c r="AC21" s="17">
        <f t="shared" si="13"/>
        <v>475</v>
      </c>
      <c r="AD21" s="17">
        <f t="shared" si="13"/>
        <v>0</v>
      </c>
      <c r="AE21" s="31">
        <f t="shared" si="13"/>
        <v>242</v>
      </c>
      <c r="AF21" s="31">
        <f t="shared" si="13"/>
        <v>717</v>
      </c>
    </row>
    <row r="22" spans="2:32" ht="23.1" customHeight="1" x14ac:dyDescent="0.25">
      <c r="B22" s="23" t="s">
        <v>49</v>
      </c>
      <c r="C22" s="50">
        <v>11</v>
      </c>
      <c r="D22" s="50">
        <v>16</v>
      </c>
      <c r="E22" s="50">
        <v>4</v>
      </c>
      <c r="F22" s="50">
        <v>18</v>
      </c>
      <c r="G22" s="50">
        <v>0</v>
      </c>
      <c r="H22" s="50">
        <v>0</v>
      </c>
      <c r="I22" s="50">
        <v>7</v>
      </c>
      <c r="J22" s="50">
        <v>1</v>
      </c>
      <c r="K22" s="50">
        <v>1</v>
      </c>
      <c r="L22" s="50">
        <v>3</v>
      </c>
      <c r="M22" s="50">
        <v>140</v>
      </c>
      <c r="N22" s="50">
        <v>0</v>
      </c>
      <c r="O22" s="15">
        <f t="shared" si="0"/>
        <v>61</v>
      </c>
      <c r="P22" s="15">
        <f t="shared" si="1"/>
        <v>201</v>
      </c>
      <c r="R22" s="38" t="s">
        <v>90</v>
      </c>
      <c r="S22" s="39">
        <f>MAX(S10:S12)</f>
        <v>57</v>
      </c>
      <c r="T22" s="39">
        <f t="shared" ref="T22:AF22" si="14">MAX(T10:T12)</f>
        <v>54</v>
      </c>
      <c r="U22" s="39">
        <f t="shared" si="14"/>
        <v>23</v>
      </c>
      <c r="V22" s="39">
        <f t="shared" si="14"/>
        <v>67</v>
      </c>
      <c r="W22" s="39">
        <f t="shared" si="14"/>
        <v>1</v>
      </c>
      <c r="X22" s="39">
        <f t="shared" si="14"/>
        <v>0</v>
      </c>
      <c r="Y22" s="39">
        <f t="shared" si="14"/>
        <v>42</v>
      </c>
      <c r="Z22" s="39">
        <f t="shared" si="14"/>
        <v>20</v>
      </c>
      <c r="AA22" s="39">
        <f t="shared" si="14"/>
        <v>10</v>
      </c>
      <c r="AB22" s="39">
        <f t="shared" si="14"/>
        <v>83</v>
      </c>
      <c r="AC22" s="39">
        <f t="shared" si="14"/>
        <v>875</v>
      </c>
      <c r="AD22" s="39">
        <f t="shared" si="14"/>
        <v>0</v>
      </c>
      <c r="AE22" s="40">
        <f t="shared" si="14"/>
        <v>324</v>
      </c>
      <c r="AF22" s="40">
        <f t="shared" si="14"/>
        <v>1073</v>
      </c>
    </row>
    <row r="23" spans="2:32" ht="23.1" customHeight="1" x14ac:dyDescent="0.25">
      <c r="B23" s="23" t="s">
        <v>50</v>
      </c>
      <c r="C23" s="50">
        <v>36</v>
      </c>
      <c r="D23" s="50">
        <v>15</v>
      </c>
      <c r="E23" s="50">
        <v>14</v>
      </c>
      <c r="F23" s="50">
        <v>30</v>
      </c>
      <c r="G23" s="50">
        <v>2</v>
      </c>
      <c r="H23" s="50">
        <v>0</v>
      </c>
      <c r="I23" s="50">
        <v>5</v>
      </c>
      <c r="J23" s="50">
        <v>2</v>
      </c>
      <c r="K23" s="50">
        <v>6</v>
      </c>
      <c r="L23" s="50">
        <v>6</v>
      </c>
      <c r="M23" s="50">
        <v>155</v>
      </c>
      <c r="N23" s="50">
        <v>0</v>
      </c>
      <c r="O23" s="15">
        <f t="shared" si="0"/>
        <v>116</v>
      </c>
      <c r="P23" s="15">
        <f t="shared" si="1"/>
        <v>271</v>
      </c>
      <c r="R23" s="38" t="s">
        <v>91</v>
      </c>
      <c r="S23" s="39">
        <f>MAX(S13:S18)</f>
        <v>85</v>
      </c>
      <c r="T23" s="39">
        <f t="shared" ref="T23:AF23" si="15">MAX(T13:T18)</f>
        <v>53</v>
      </c>
      <c r="U23" s="39">
        <f t="shared" si="15"/>
        <v>26</v>
      </c>
      <c r="V23" s="39">
        <f t="shared" si="15"/>
        <v>86</v>
      </c>
      <c r="W23" s="39">
        <f t="shared" si="15"/>
        <v>2</v>
      </c>
      <c r="X23" s="39">
        <f t="shared" si="15"/>
        <v>0</v>
      </c>
      <c r="Y23" s="39">
        <f t="shared" si="15"/>
        <v>22</v>
      </c>
      <c r="Z23" s="39">
        <f t="shared" si="15"/>
        <v>12</v>
      </c>
      <c r="AA23" s="39">
        <f t="shared" si="15"/>
        <v>10</v>
      </c>
      <c r="AB23" s="39">
        <f t="shared" si="15"/>
        <v>27</v>
      </c>
      <c r="AC23" s="39">
        <f t="shared" si="15"/>
        <v>572</v>
      </c>
      <c r="AD23" s="39">
        <f t="shared" si="15"/>
        <v>0</v>
      </c>
      <c r="AE23" s="40">
        <f t="shared" si="15"/>
        <v>313</v>
      </c>
      <c r="AF23" s="40">
        <f t="shared" si="15"/>
        <v>885</v>
      </c>
    </row>
    <row r="24" spans="2:32" ht="23.1" customHeight="1" x14ac:dyDescent="0.25">
      <c r="B24" s="23" t="s">
        <v>51</v>
      </c>
      <c r="C24" s="50">
        <v>29</v>
      </c>
      <c r="D24" s="50">
        <v>10</v>
      </c>
      <c r="E24" s="50">
        <v>2</v>
      </c>
      <c r="F24" s="50">
        <v>26</v>
      </c>
      <c r="G24" s="50">
        <v>0</v>
      </c>
      <c r="H24" s="50">
        <v>0</v>
      </c>
      <c r="I24" s="50">
        <v>8</v>
      </c>
      <c r="J24" s="50">
        <v>2</v>
      </c>
      <c r="K24" s="50">
        <v>1</v>
      </c>
      <c r="L24" s="50">
        <v>6</v>
      </c>
      <c r="M24" s="50">
        <v>162</v>
      </c>
      <c r="N24" s="50">
        <v>0</v>
      </c>
      <c r="O24" s="15">
        <f t="shared" si="0"/>
        <v>84</v>
      </c>
      <c r="P24" s="15">
        <f t="shared" si="1"/>
        <v>246</v>
      </c>
      <c r="R24" s="38" t="s">
        <v>92</v>
      </c>
      <c r="S24" s="39">
        <f>MAX(S19:S21)</f>
        <v>143</v>
      </c>
      <c r="T24" s="39">
        <f t="shared" ref="T24:AF24" si="16">MAX(T19:T21)</f>
        <v>91</v>
      </c>
      <c r="U24" s="39">
        <f t="shared" si="16"/>
        <v>28</v>
      </c>
      <c r="V24" s="39">
        <f t="shared" si="16"/>
        <v>19</v>
      </c>
      <c r="W24" s="39">
        <f t="shared" si="16"/>
        <v>1</v>
      </c>
      <c r="X24" s="39">
        <f t="shared" si="16"/>
        <v>0</v>
      </c>
      <c r="Y24" s="39">
        <f t="shared" si="16"/>
        <v>19</v>
      </c>
      <c r="Z24" s="39">
        <f t="shared" si="16"/>
        <v>10</v>
      </c>
      <c r="AA24" s="39">
        <f t="shared" si="16"/>
        <v>8</v>
      </c>
      <c r="AB24" s="39">
        <f t="shared" si="16"/>
        <v>18</v>
      </c>
      <c r="AC24" s="39">
        <f t="shared" si="16"/>
        <v>495</v>
      </c>
      <c r="AD24" s="39">
        <f t="shared" si="16"/>
        <v>0</v>
      </c>
      <c r="AE24" s="40">
        <f t="shared" si="16"/>
        <v>319</v>
      </c>
      <c r="AF24" s="40">
        <f t="shared" si="16"/>
        <v>814</v>
      </c>
    </row>
    <row r="25" spans="2:32" ht="23.1" customHeight="1" x14ac:dyDescent="0.25">
      <c r="B25" s="23" t="s">
        <v>52</v>
      </c>
      <c r="C25" s="50">
        <v>9</v>
      </c>
      <c r="D25" s="50">
        <v>8</v>
      </c>
      <c r="E25" s="50">
        <v>6</v>
      </c>
      <c r="F25" s="50">
        <v>12</v>
      </c>
      <c r="G25" s="50">
        <v>0</v>
      </c>
      <c r="H25" s="50">
        <v>0</v>
      </c>
      <c r="I25" s="50">
        <v>2</v>
      </c>
      <c r="J25" s="50">
        <v>1</v>
      </c>
      <c r="K25" s="50">
        <v>2</v>
      </c>
      <c r="L25" s="50">
        <v>12</v>
      </c>
      <c r="M25" s="50">
        <v>115</v>
      </c>
      <c r="N25" s="50">
        <v>0</v>
      </c>
      <c r="O25" s="15">
        <f t="shared" si="0"/>
        <v>52</v>
      </c>
      <c r="P25" s="15">
        <f t="shared" si="1"/>
        <v>167</v>
      </c>
      <c r="R25" s="37" t="s">
        <v>85</v>
      </c>
      <c r="S25" s="35">
        <f t="shared" ref="S25:AF25" si="17">SUM(S10:S12)</f>
        <v>151</v>
      </c>
      <c r="T25" s="16">
        <f t="shared" si="17"/>
        <v>140</v>
      </c>
      <c r="U25" s="16">
        <f t="shared" si="17"/>
        <v>51</v>
      </c>
      <c r="V25" s="16">
        <f t="shared" si="17"/>
        <v>171</v>
      </c>
      <c r="W25" s="16">
        <f t="shared" si="17"/>
        <v>1</v>
      </c>
      <c r="X25" s="16">
        <f t="shared" si="17"/>
        <v>0</v>
      </c>
      <c r="Y25" s="16">
        <f t="shared" si="17"/>
        <v>66</v>
      </c>
      <c r="Z25" s="16">
        <f t="shared" si="17"/>
        <v>28</v>
      </c>
      <c r="AA25" s="16">
        <f t="shared" si="17"/>
        <v>24</v>
      </c>
      <c r="AB25" s="16">
        <f t="shared" si="17"/>
        <v>110</v>
      </c>
      <c r="AC25" s="16">
        <f t="shared" si="17"/>
        <v>2307</v>
      </c>
      <c r="AD25" s="16">
        <f t="shared" si="17"/>
        <v>0</v>
      </c>
      <c r="AE25" s="32">
        <f t="shared" si="17"/>
        <v>742</v>
      </c>
      <c r="AF25" s="32">
        <f t="shared" si="17"/>
        <v>3049</v>
      </c>
    </row>
    <row r="26" spans="2:32" ht="23.1" customHeight="1" x14ac:dyDescent="0.25">
      <c r="B26" s="23" t="s">
        <v>53</v>
      </c>
      <c r="C26" s="50">
        <v>17</v>
      </c>
      <c r="D26" s="50">
        <v>12</v>
      </c>
      <c r="E26" s="50">
        <v>9</v>
      </c>
      <c r="F26" s="50">
        <v>24</v>
      </c>
      <c r="G26" s="50">
        <v>0</v>
      </c>
      <c r="H26" s="50">
        <v>0</v>
      </c>
      <c r="I26" s="50">
        <v>3</v>
      </c>
      <c r="J26" s="50">
        <v>1</v>
      </c>
      <c r="K26" s="50">
        <v>2</v>
      </c>
      <c r="L26" s="50">
        <v>8</v>
      </c>
      <c r="M26" s="50">
        <v>116</v>
      </c>
      <c r="N26" s="50">
        <v>0</v>
      </c>
      <c r="O26" s="15">
        <f t="shared" si="0"/>
        <v>76</v>
      </c>
      <c r="P26" s="15">
        <f t="shared" si="1"/>
        <v>192</v>
      </c>
      <c r="R26" s="28" t="s">
        <v>86</v>
      </c>
      <c r="S26" s="16">
        <f t="shared" ref="S26:AF26" si="18">SUM(S13:S18)</f>
        <v>432</v>
      </c>
      <c r="T26" s="16">
        <f t="shared" si="18"/>
        <v>289</v>
      </c>
      <c r="U26" s="16">
        <f t="shared" si="18"/>
        <v>133</v>
      </c>
      <c r="V26" s="16">
        <f t="shared" si="18"/>
        <v>359</v>
      </c>
      <c r="W26" s="16">
        <f t="shared" si="18"/>
        <v>2</v>
      </c>
      <c r="X26" s="16">
        <f t="shared" si="18"/>
        <v>0</v>
      </c>
      <c r="Y26" s="16">
        <f t="shared" si="18"/>
        <v>95</v>
      </c>
      <c r="Z26" s="16">
        <f t="shared" si="18"/>
        <v>45</v>
      </c>
      <c r="AA26" s="16">
        <f t="shared" si="18"/>
        <v>43</v>
      </c>
      <c r="AB26" s="16">
        <f t="shared" si="18"/>
        <v>142</v>
      </c>
      <c r="AC26" s="16">
        <f t="shared" si="18"/>
        <v>2770</v>
      </c>
      <c r="AD26" s="16">
        <f t="shared" si="18"/>
        <v>0</v>
      </c>
      <c r="AE26" s="32">
        <f t="shared" si="18"/>
        <v>1540</v>
      </c>
      <c r="AF26" s="32">
        <f t="shared" si="18"/>
        <v>4310</v>
      </c>
    </row>
    <row r="27" spans="2:32" ht="23.1" customHeight="1" x14ac:dyDescent="0.25">
      <c r="B27" s="23" t="s">
        <v>54</v>
      </c>
      <c r="C27" s="50">
        <v>20</v>
      </c>
      <c r="D27" s="50">
        <v>14</v>
      </c>
      <c r="E27" s="50">
        <v>5</v>
      </c>
      <c r="F27" s="50">
        <v>15</v>
      </c>
      <c r="G27" s="50">
        <v>0</v>
      </c>
      <c r="H27" s="50">
        <v>0</v>
      </c>
      <c r="I27" s="50">
        <v>7</v>
      </c>
      <c r="J27" s="50">
        <v>3</v>
      </c>
      <c r="K27" s="50">
        <v>2</v>
      </c>
      <c r="L27" s="50">
        <v>7</v>
      </c>
      <c r="M27" s="50">
        <v>117</v>
      </c>
      <c r="N27" s="50">
        <v>0</v>
      </c>
      <c r="O27" s="15">
        <f t="shared" si="0"/>
        <v>73</v>
      </c>
      <c r="P27" s="15">
        <f t="shared" si="1"/>
        <v>190</v>
      </c>
      <c r="R27" s="29" t="s">
        <v>87</v>
      </c>
      <c r="S27" s="16">
        <f t="shared" ref="S27:AF27" si="19">SUM(S19:S21)</f>
        <v>315</v>
      </c>
      <c r="T27" s="16">
        <f t="shared" si="19"/>
        <v>235</v>
      </c>
      <c r="U27" s="16">
        <f t="shared" si="19"/>
        <v>74</v>
      </c>
      <c r="V27" s="16">
        <f t="shared" si="19"/>
        <v>53</v>
      </c>
      <c r="W27" s="16">
        <f t="shared" si="19"/>
        <v>3</v>
      </c>
      <c r="X27" s="16">
        <f t="shared" si="19"/>
        <v>0</v>
      </c>
      <c r="Y27" s="16">
        <f t="shared" si="19"/>
        <v>44</v>
      </c>
      <c r="Z27" s="16">
        <f t="shared" si="19"/>
        <v>22</v>
      </c>
      <c r="AA27" s="16">
        <f t="shared" si="19"/>
        <v>17</v>
      </c>
      <c r="AB27" s="16">
        <f t="shared" si="19"/>
        <v>38</v>
      </c>
      <c r="AC27" s="16">
        <f t="shared" si="19"/>
        <v>1423</v>
      </c>
      <c r="AD27" s="16">
        <f t="shared" si="19"/>
        <v>0</v>
      </c>
      <c r="AE27" s="32">
        <f t="shared" si="19"/>
        <v>801</v>
      </c>
      <c r="AF27" s="32">
        <f t="shared" si="19"/>
        <v>2224</v>
      </c>
    </row>
    <row r="28" spans="2:32" ht="23.1" customHeight="1" x14ac:dyDescent="0.25">
      <c r="B28" s="23" t="s">
        <v>55</v>
      </c>
      <c r="C28" s="50">
        <v>12</v>
      </c>
      <c r="D28" s="50">
        <v>13</v>
      </c>
      <c r="E28" s="50">
        <v>9</v>
      </c>
      <c r="F28" s="50">
        <v>13</v>
      </c>
      <c r="G28" s="50">
        <v>0</v>
      </c>
      <c r="H28" s="50">
        <v>0</v>
      </c>
      <c r="I28" s="50">
        <v>2</v>
      </c>
      <c r="J28" s="50">
        <v>1</v>
      </c>
      <c r="K28" s="50">
        <v>1</v>
      </c>
      <c r="L28" s="50">
        <v>5</v>
      </c>
      <c r="M28" s="50">
        <v>115</v>
      </c>
      <c r="N28" s="50">
        <v>0</v>
      </c>
      <c r="O28" s="15">
        <f t="shared" si="0"/>
        <v>56</v>
      </c>
      <c r="P28" s="15">
        <f t="shared" si="1"/>
        <v>171</v>
      </c>
      <c r="R28" s="5" t="s">
        <v>17</v>
      </c>
      <c r="S28" s="16">
        <f t="shared" ref="S28:AF28" si="20">SUM(S10:S21)</f>
        <v>898</v>
      </c>
      <c r="T28" s="16">
        <f t="shared" si="20"/>
        <v>664</v>
      </c>
      <c r="U28" s="16">
        <f t="shared" si="20"/>
        <v>258</v>
      </c>
      <c r="V28" s="16">
        <f t="shared" si="20"/>
        <v>583</v>
      </c>
      <c r="W28" s="16">
        <f t="shared" si="20"/>
        <v>6</v>
      </c>
      <c r="X28" s="16">
        <f t="shared" si="20"/>
        <v>0</v>
      </c>
      <c r="Y28" s="16">
        <f t="shared" si="20"/>
        <v>205</v>
      </c>
      <c r="Z28" s="16">
        <f t="shared" si="20"/>
        <v>95</v>
      </c>
      <c r="AA28" s="16">
        <f t="shared" si="20"/>
        <v>84</v>
      </c>
      <c r="AB28" s="16">
        <f t="shared" si="20"/>
        <v>290</v>
      </c>
      <c r="AC28" s="16">
        <f t="shared" si="20"/>
        <v>6500</v>
      </c>
      <c r="AD28" s="16">
        <f t="shared" si="20"/>
        <v>0</v>
      </c>
      <c r="AE28" s="32">
        <f t="shared" si="20"/>
        <v>3083</v>
      </c>
      <c r="AF28" s="32">
        <f t="shared" si="20"/>
        <v>9583</v>
      </c>
    </row>
    <row r="29" spans="2:32" ht="23.1" customHeight="1" x14ac:dyDescent="0.25">
      <c r="B29" s="23" t="s">
        <v>56</v>
      </c>
      <c r="C29" s="50">
        <v>9</v>
      </c>
      <c r="D29" s="50">
        <v>7</v>
      </c>
      <c r="E29" s="50">
        <v>2</v>
      </c>
      <c r="F29" s="50">
        <v>20</v>
      </c>
      <c r="G29" s="50">
        <v>0</v>
      </c>
      <c r="H29" s="50">
        <v>0</v>
      </c>
      <c r="I29" s="50">
        <v>2</v>
      </c>
      <c r="J29" s="50">
        <v>4</v>
      </c>
      <c r="K29" s="50">
        <v>0</v>
      </c>
      <c r="L29" s="50">
        <v>5</v>
      </c>
      <c r="M29" s="50">
        <v>160</v>
      </c>
      <c r="N29" s="50">
        <v>0</v>
      </c>
      <c r="O29" s="15">
        <f t="shared" si="0"/>
        <v>49</v>
      </c>
      <c r="P29" s="15">
        <f t="shared" si="1"/>
        <v>209</v>
      </c>
      <c r="R29"/>
      <c r="S29" s="20"/>
      <c r="T29" s="19"/>
    </row>
    <row r="30" spans="2:32" ht="23.1" customHeight="1" x14ac:dyDescent="0.25">
      <c r="B30" s="23" t="s">
        <v>57</v>
      </c>
      <c r="C30" s="50">
        <v>16</v>
      </c>
      <c r="D30" s="50">
        <v>16</v>
      </c>
      <c r="E30" s="50">
        <v>4</v>
      </c>
      <c r="F30" s="50">
        <v>24</v>
      </c>
      <c r="G30" s="50">
        <v>0</v>
      </c>
      <c r="H30" s="50">
        <v>0</v>
      </c>
      <c r="I30" s="50">
        <v>1</v>
      </c>
      <c r="J30" s="50">
        <v>1</v>
      </c>
      <c r="K30" s="50">
        <v>2</v>
      </c>
      <c r="L30" s="50">
        <v>4</v>
      </c>
      <c r="M30" s="50">
        <v>100</v>
      </c>
      <c r="N30" s="50">
        <v>0</v>
      </c>
      <c r="O30" s="15">
        <f t="shared" si="0"/>
        <v>68</v>
      </c>
      <c r="P30" s="15">
        <f t="shared" si="1"/>
        <v>168</v>
      </c>
    </row>
    <row r="31" spans="2:32" ht="23.1" customHeight="1" x14ac:dyDescent="0.25">
      <c r="B31" s="24" t="s">
        <v>58</v>
      </c>
      <c r="C31" s="50">
        <v>18</v>
      </c>
      <c r="D31" s="50">
        <v>15</v>
      </c>
      <c r="E31" s="50">
        <v>3</v>
      </c>
      <c r="F31" s="50">
        <v>3</v>
      </c>
      <c r="G31" s="50">
        <v>0</v>
      </c>
      <c r="H31" s="50">
        <v>0</v>
      </c>
      <c r="I31" s="50">
        <v>7</v>
      </c>
      <c r="J31" s="50">
        <v>0</v>
      </c>
      <c r="K31" s="50">
        <v>0</v>
      </c>
      <c r="L31" s="50">
        <v>6</v>
      </c>
      <c r="M31" s="50">
        <v>120</v>
      </c>
      <c r="N31" s="50">
        <v>0</v>
      </c>
      <c r="O31" s="15">
        <f t="shared" si="0"/>
        <v>52</v>
      </c>
      <c r="P31" s="15">
        <f t="shared" si="1"/>
        <v>172</v>
      </c>
    </row>
    <row r="32" spans="2:32" ht="23.1" customHeight="1" x14ac:dyDescent="0.25">
      <c r="B32" s="24" t="s">
        <v>59</v>
      </c>
      <c r="C32" s="50">
        <v>20</v>
      </c>
      <c r="D32" s="50">
        <v>16</v>
      </c>
      <c r="E32" s="50">
        <v>7</v>
      </c>
      <c r="F32" s="50">
        <v>15</v>
      </c>
      <c r="G32" s="50">
        <v>0</v>
      </c>
      <c r="H32" s="50">
        <v>0</v>
      </c>
      <c r="I32" s="50">
        <v>7</v>
      </c>
      <c r="J32" s="50">
        <v>0</v>
      </c>
      <c r="K32" s="50">
        <v>1</v>
      </c>
      <c r="L32" s="50">
        <v>5</v>
      </c>
      <c r="M32" s="50">
        <v>120</v>
      </c>
      <c r="N32" s="50">
        <v>0</v>
      </c>
      <c r="O32" s="15">
        <f t="shared" si="0"/>
        <v>71</v>
      </c>
      <c r="P32" s="15">
        <f t="shared" si="1"/>
        <v>191</v>
      </c>
    </row>
    <row r="33" spans="2:20" ht="23.1" customHeight="1" x14ac:dyDescent="0.25">
      <c r="B33" s="23" t="s">
        <v>60</v>
      </c>
      <c r="C33" s="50">
        <v>8</v>
      </c>
      <c r="D33" s="50">
        <v>4</v>
      </c>
      <c r="E33" s="50">
        <v>1</v>
      </c>
      <c r="F33" s="50">
        <v>10</v>
      </c>
      <c r="G33" s="50">
        <v>0</v>
      </c>
      <c r="H33" s="50">
        <v>0</v>
      </c>
      <c r="I33" s="50">
        <v>7</v>
      </c>
      <c r="J33" s="50">
        <v>3</v>
      </c>
      <c r="K33" s="50">
        <v>4</v>
      </c>
      <c r="L33" s="50">
        <v>10</v>
      </c>
      <c r="M33" s="50">
        <v>115</v>
      </c>
      <c r="N33" s="50">
        <v>0</v>
      </c>
      <c r="O33" s="15">
        <f t="shared" si="0"/>
        <v>47</v>
      </c>
      <c r="P33" s="15">
        <f t="shared" si="1"/>
        <v>162</v>
      </c>
    </row>
    <row r="34" spans="2:20" ht="23.1" customHeight="1" x14ac:dyDescent="0.25">
      <c r="B34" s="24" t="s">
        <v>61</v>
      </c>
      <c r="C34" s="50">
        <v>18</v>
      </c>
      <c r="D34" s="50">
        <v>10</v>
      </c>
      <c r="E34" s="50">
        <v>7</v>
      </c>
      <c r="F34" s="50">
        <v>12</v>
      </c>
      <c r="G34" s="50">
        <v>0</v>
      </c>
      <c r="H34" s="50">
        <v>0</v>
      </c>
      <c r="I34" s="50">
        <v>3</v>
      </c>
      <c r="J34" s="50">
        <v>1</v>
      </c>
      <c r="K34" s="50">
        <v>1</v>
      </c>
      <c r="L34" s="50">
        <v>5</v>
      </c>
      <c r="M34" s="50">
        <v>116</v>
      </c>
      <c r="N34" s="50">
        <v>0</v>
      </c>
      <c r="O34" s="15">
        <f t="shared" si="0"/>
        <v>57</v>
      </c>
      <c r="P34" s="15">
        <f t="shared" si="1"/>
        <v>173</v>
      </c>
    </row>
    <row r="35" spans="2:20" ht="23.1" customHeight="1" x14ac:dyDescent="0.25">
      <c r="B35" s="24" t="s">
        <v>62</v>
      </c>
      <c r="C35" s="50">
        <v>26</v>
      </c>
      <c r="D35" s="50">
        <v>13</v>
      </c>
      <c r="E35" s="50">
        <v>4</v>
      </c>
      <c r="F35" s="50">
        <v>20</v>
      </c>
      <c r="G35" s="50">
        <v>0</v>
      </c>
      <c r="H35" s="50">
        <v>0</v>
      </c>
      <c r="I35" s="50">
        <v>1</v>
      </c>
      <c r="J35" s="50">
        <v>2</v>
      </c>
      <c r="K35" s="50">
        <v>1</v>
      </c>
      <c r="L35" s="50">
        <v>3</v>
      </c>
      <c r="M35" s="50">
        <v>90</v>
      </c>
      <c r="N35" s="50">
        <v>0</v>
      </c>
      <c r="O35" s="15">
        <f t="shared" si="0"/>
        <v>70</v>
      </c>
      <c r="P35" s="15">
        <f t="shared" si="1"/>
        <v>160</v>
      </c>
    </row>
    <row r="36" spans="2:20" ht="23.1" customHeight="1" x14ac:dyDescent="0.25">
      <c r="B36" s="24" t="s">
        <v>63</v>
      </c>
      <c r="C36" s="50">
        <v>14</v>
      </c>
      <c r="D36" s="50">
        <v>8</v>
      </c>
      <c r="E36" s="50">
        <v>3</v>
      </c>
      <c r="F36" s="50">
        <v>14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3</v>
      </c>
      <c r="M36" s="50">
        <v>80</v>
      </c>
      <c r="N36" s="50">
        <v>0</v>
      </c>
      <c r="O36" s="15">
        <f t="shared" si="0"/>
        <v>46</v>
      </c>
      <c r="P36" s="15">
        <f t="shared" si="1"/>
        <v>126</v>
      </c>
    </row>
    <row r="37" spans="2:20" ht="23.1" customHeight="1" x14ac:dyDescent="0.25">
      <c r="B37" s="23" t="s">
        <v>64</v>
      </c>
      <c r="C37" s="50">
        <v>20</v>
      </c>
      <c r="D37" s="50">
        <v>10</v>
      </c>
      <c r="E37" s="50">
        <v>5</v>
      </c>
      <c r="F37" s="50">
        <v>15</v>
      </c>
      <c r="G37" s="50">
        <v>0</v>
      </c>
      <c r="H37" s="50">
        <v>0</v>
      </c>
      <c r="I37" s="50">
        <v>4</v>
      </c>
      <c r="J37" s="50">
        <v>4</v>
      </c>
      <c r="K37" s="50">
        <v>4</v>
      </c>
      <c r="L37" s="50">
        <v>4</v>
      </c>
      <c r="M37" s="50">
        <v>108</v>
      </c>
      <c r="N37" s="50">
        <v>0</v>
      </c>
      <c r="O37" s="15">
        <f t="shared" si="0"/>
        <v>66</v>
      </c>
      <c r="P37" s="15">
        <f t="shared" si="1"/>
        <v>174</v>
      </c>
    </row>
    <row r="38" spans="2:20" ht="23.1" customHeight="1" x14ac:dyDescent="0.25">
      <c r="B38" s="24" t="s">
        <v>65</v>
      </c>
      <c r="C38" s="50">
        <v>14</v>
      </c>
      <c r="D38" s="50">
        <v>9</v>
      </c>
      <c r="E38" s="50">
        <v>2</v>
      </c>
      <c r="F38" s="50">
        <v>12</v>
      </c>
      <c r="G38" s="50">
        <v>0</v>
      </c>
      <c r="H38" s="50">
        <v>0</v>
      </c>
      <c r="I38" s="50">
        <v>1</v>
      </c>
      <c r="J38" s="50">
        <v>3</v>
      </c>
      <c r="K38" s="50">
        <v>1</v>
      </c>
      <c r="L38" s="50">
        <v>3</v>
      </c>
      <c r="M38" s="50">
        <v>127</v>
      </c>
      <c r="N38" s="50">
        <v>0</v>
      </c>
      <c r="O38" s="15">
        <f t="shared" si="0"/>
        <v>45</v>
      </c>
      <c r="P38" s="15">
        <f t="shared" si="1"/>
        <v>172</v>
      </c>
    </row>
    <row r="39" spans="2:20" ht="23.1" customHeight="1" x14ac:dyDescent="0.25">
      <c r="B39" s="24" t="s">
        <v>66</v>
      </c>
      <c r="C39" s="50">
        <v>18</v>
      </c>
      <c r="D39" s="50">
        <v>12</v>
      </c>
      <c r="E39" s="50">
        <v>2</v>
      </c>
      <c r="F39" s="50">
        <v>14</v>
      </c>
      <c r="G39" s="50">
        <v>0</v>
      </c>
      <c r="H39" s="50">
        <v>0</v>
      </c>
      <c r="I39" s="50">
        <v>2</v>
      </c>
      <c r="J39" s="50">
        <v>3</v>
      </c>
      <c r="K39" s="50">
        <v>3</v>
      </c>
      <c r="L39" s="50">
        <v>3</v>
      </c>
      <c r="M39" s="50">
        <v>155</v>
      </c>
      <c r="N39" s="50">
        <v>0</v>
      </c>
      <c r="O39" s="15">
        <f t="shared" si="0"/>
        <v>57</v>
      </c>
      <c r="P39" s="15">
        <f t="shared" si="1"/>
        <v>212</v>
      </c>
    </row>
    <row r="40" spans="2:20" ht="23.1" customHeight="1" x14ac:dyDescent="0.25">
      <c r="B40" s="24" t="s">
        <v>67</v>
      </c>
      <c r="C40" s="50">
        <v>21</v>
      </c>
      <c r="D40" s="50">
        <v>11</v>
      </c>
      <c r="E40" s="50">
        <v>8</v>
      </c>
      <c r="F40" s="50">
        <v>11</v>
      </c>
      <c r="G40" s="50">
        <v>0</v>
      </c>
      <c r="H40" s="50">
        <v>0</v>
      </c>
      <c r="I40" s="50">
        <v>3</v>
      </c>
      <c r="J40" s="50">
        <v>3</v>
      </c>
      <c r="K40" s="50">
        <v>4</v>
      </c>
      <c r="L40" s="50">
        <v>8</v>
      </c>
      <c r="M40" s="50">
        <v>100</v>
      </c>
      <c r="N40" s="50">
        <v>0</v>
      </c>
      <c r="O40" s="15">
        <f t="shared" si="0"/>
        <v>69</v>
      </c>
      <c r="P40" s="15">
        <f t="shared" si="1"/>
        <v>169</v>
      </c>
    </row>
    <row r="41" spans="2:20" ht="23.1" customHeight="1" x14ac:dyDescent="0.25">
      <c r="B41" s="23" t="s">
        <v>68</v>
      </c>
      <c r="C41" s="50">
        <v>19</v>
      </c>
      <c r="D41" s="50">
        <v>21</v>
      </c>
      <c r="E41" s="50">
        <v>10</v>
      </c>
      <c r="F41" s="50">
        <v>12</v>
      </c>
      <c r="G41" s="50">
        <v>0</v>
      </c>
      <c r="H41" s="50">
        <v>0</v>
      </c>
      <c r="I41" s="50">
        <v>7</v>
      </c>
      <c r="J41" s="50">
        <v>3</v>
      </c>
      <c r="K41" s="50">
        <v>1</v>
      </c>
      <c r="L41" s="50">
        <v>11</v>
      </c>
      <c r="M41" s="50">
        <v>92</v>
      </c>
      <c r="N41" s="50">
        <v>0</v>
      </c>
      <c r="O41" s="15">
        <f t="shared" si="0"/>
        <v>84</v>
      </c>
      <c r="P41" s="15">
        <f t="shared" si="1"/>
        <v>176</v>
      </c>
    </row>
    <row r="42" spans="2:20" ht="23.1" customHeight="1" x14ac:dyDescent="0.25">
      <c r="B42" s="24" t="s">
        <v>69</v>
      </c>
      <c r="C42" s="50">
        <v>24</v>
      </c>
      <c r="D42" s="50">
        <v>7</v>
      </c>
      <c r="E42" s="50">
        <v>5</v>
      </c>
      <c r="F42" s="50">
        <v>13</v>
      </c>
      <c r="G42" s="50">
        <v>0</v>
      </c>
      <c r="H42" s="50">
        <v>0</v>
      </c>
      <c r="I42" s="50">
        <v>5</v>
      </c>
      <c r="J42" s="50">
        <v>1</v>
      </c>
      <c r="K42" s="50">
        <v>3</v>
      </c>
      <c r="L42" s="50">
        <v>8</v>
      </c>
      <c r="M42" s="50">
        <v>70</v>
      </c>
      <c r="N42" s="50">
        <v>0</v>
      </c>
      <c r="O42" s="15">
        <f t="shared" si="0"/>
        <v>66</v>
      </c>
      <c r="P42" s="15">
        <f t="shared" si="1"/>
        <v>136</v>
      </c>
    </row>
    <row r="43" spans="2:20" ht="23.1" customHeight="1" x14ac:dyDescent="0.25">
      <c r="B43" s="23" t="s">
        <v>70</v>
      </c>
      <c r="C43" s="50">
        <v>20</v>
      </c>
      <c r="D43" s="50">
        <v>9</v>
      </c>
      <c r="E43" s="50">
        <v>6</v>
      </c>
      <c r="F43" s="50">
        <v>9</v>
      </c>
      <c r="G43" s="50">
        <v>0</v>
      </c>
      <c r="H43" s="50">
        <v>0</v>
      </c>
      <c r="I43" s="50">
        <v>2</v>
      </c>
      <c r="J43" s="50">
        <v>1</v>
      </c>
      <c r="K43" s="50">
        <v>0</v>
      </c>
      <c r="L43" s="50">
        <v>7</v>
      </c>
      <c r="M43" s="50">
        <v>92</v>
      </c>
      <c r="N43" s="50">
        <v>0</v>
      </c>
      <c r="O43" s="15">
        <f t="shared" si="0"/>
        <v>54</v>
      </c>
      <c r="P43" s="15">
        <f t="shared" si="1"/>
        <v>146</v>
      </c>
    </row>
    <row r="44" spans="2:20" ht="23.1" customHeight="1" x14ac:dyDescent="0.25">
      <c r="B44" s="25" t="s">
        <v>71</v>
      </c>
      <c r="C44" s="50">
        <v>17</v>
      </c>
      <c r="D44" s="50">
        <v>18</v>
      </c>
      <c r="E44" s="50">
        <v>8</v>
      </c>
      <c r="F44" s="50">
        <v>7</v>
      </c>
      <c r="G44" s="50">
        <v>0</v>
      </c>
      <c r="H44" s="50">
        <v>0</v>
      </c>
      <c r="I44" s="50">
        <v>2</v>
      </c>
      <c r="J44" s="50">
        <v>1</v>
      </c>
      <c r="K44" s="50">
        <v>1</v>
      </c>
      <c r="L44" s="50">
        <v>4</v>
      </c>
      <c r="M44" s="50">
        <v>70</v>
      </c>
      <c r="N44" s="50">
        <v>0</v>
      </c>
      <c r="O44" s="15">
        <f t="shared" si="0"/>
        <v>58</v>
      </c>
      <c r="P44" s="15">
        <f t="shared" si="1"/>
        <v>128</v>
      </c>
    </row>
    <row r="45" spans="2:20" ht="23.1" customHeight="1" x14ac:dyDescent="0.25">
      <c r="B45" s="23" t="s">
        <v>72</v>
      </c>
      <c r="C45" s="50">
        <v>16</v>
      </c>
      <c r="D45" s="50">
        <v>15</v>
      </c>
      <c r="E45" s="50">
        <v>7</v>
      </c>
      <c r="F45" s="50">
        <v>10</v>
      </c>
      <c r="G45" s="50">
        <v>0</v>
      </c>
      <c r="H45" s="50">
        <v>0</v>
      </c>
      <c r="I45" s="50">
        <v>5</v>
      </c>
      <c r="J45" s="50">
        <v>2</v>
      </c>
      <c r="K45" s="50">
        <v>2</v>
      </c>
      <c r="L45" s="50">
        <v>6</v>
      </c>
      <c r="M45" s="50">
        <v>135</v>
      </c>
      <c r="N45" s="50">
        <v>0</v>
      </c>
      <c r="O45" s="15">
        <f t="shared" si="0"/>
        <v>63</v>
      </c>
      <c r="P45" s="15">
        <f t="shared" si="1"/>
        <v>198</v>
      </c>
    </row>
    <row r="46" spans="2:20" ht="23.1" customHeight="1" x14ac:dyDescent="0.25">
      <c r="B46" s="24" t="s">
        <v>73</v>
      </c>
      <c r="C46" s="50">
        <v>14</v>
      </c>
      <c r="D46" s="50">
        <v>9</v>
      </c>
      <c r="E46" s="50">
        <v>10</v>
      </c>
      <c r="F46" s="50">
        <v>7</v>
      </c>
      <c r="G46" s="50">
        <v>0</v>
      </c>
      <c r="H46" s="50">
        <v>0</v>
      </c>
      <c r="I46" s="50">
        <v>3</v>
      </c>
      <c r="J46" s="50">
        <v>3</v>
      </c>
      <c r="K46" s="50">
        <v>2</v>
      </c>
      <c r="L46" s="50">
        <v>4</v>
      </c>
      <c r="M46" s="50">
        <v>100</v>
      </c>
      <c r="N46" s="50">
        <v>0</v>
      </c>
      <c r="O46" s="15">
        <f t="shared" si="0"/>
        <v>52</v>
      </c>
      <c r="P46" s="15">
        <f t="shared" si="1"/>
        <v>152</v>
      </c>
      <c r="R46" s="8"/>
      <c r="T46"/>
    </row>
    <row r="47" spans="2:20" ht="23.1" customHeight="1" x14ac:dyDescent="0.25">
      <c r="B47" s="24" t="s">
        <v>74</v>
      </c>
      <c r="C47" s="50">
        <v>27</v>
      </c>
      <c r="D47" s="50">
        <v>18</v>
      </c>
      <c r="E47" s="50">
        <v>7</v>
      </c>
      <c r="F47" s="50">
        <v>1</v>
      </c>
      <c r="G47" s="50">
        <v>0</v>
      </c>
      <c r="H47" s="50">
        <v>0</v>
      </c>
      <c r="I47" s="50">
        <v>7</v>
      </c>
      <c r="J47" s="50">
        <v>2</v>
      </c>
      <c r="K47" s="50">
        <v>2</v>
      </c>
      <c r="L47" s="50">
        <v>7</v>
      </c>
      <c r="M47" s="50">
        <v>118</v>
      </c>
      <c r="N47" s="50">
        <v>0</v>
      </c>
      <c r="O47" s="15">
        <f t="shared" si="0"/>
        <v>71</v>
      </c>
      <c r="P47" s="15">
        <f t="shared" si="1"/>
        <v>189</v>
      </c>
      <c r="R47" s="8"/>
      <c r="T47"/>
    </row>
    <row r="48" spans="2:20" ht="23.1" customHeight="1" x14ac:dyDescent="0.25">
      <c r="B48" s="24" t="s">
        <v>75</v>
      </c>
      <c r="C48" s="50">
        <v>7</v>
      </c>
      <c r="D48" s="50">
        <v>19</v>
      </c>
      <c r="E48" s="50">
        <v>3</v>
      </c>
      <c r="F48" s="50">
        <v>4</v>
      </c>
      <c r="G48" s="50">
        <v>1</v>
      </c>
      <c r="H48" s="50">
        <v>0</v>
      </c>
      <c r="I48" s="50">
        <v>4</v>
      </c>
      <c r="J48" s="50">
        <v>2</v>
      </c>
      <c r="K48" s="50">
        <v>2</v>
      </c>
      <c r="L48" s="50">
        <v>2</v>
      </c>
      <c r="M48" s="50">
        <v>125</v>
      </c>
      <c r="N48" s="50">
        <v>0</v>
      </c>
      <c r="O48" s="15">
        <f t="shared" si="0"/>
        <v>44</v>
      </c>
      <c r="P48" s="15">
        <f t="shared" si="1"/>
        <v>169</v>
      </c>
      <c r="R48" s="8"/>
      <c r="T48"/>
    </row>
    <row r="49" spans="2:20" ht="23.1" customHeight="1" x14ac:dyDescent="0.25">
      <c r="B49" s="23" t="s">
        <v>76</v>
      </c>
      <c r="C49" s="50">
        <v>26</v>
      </c>
      <c r="D49" s="50">
        <v>20</v>
      </c>
      <c r="E49" s="50">
        <v>8</v>
      </c>
      <c r="F49" s="50">
        <v>5</v>
      </c>
      <c r="G49" s="50">
        <v>0</v>
      </c>
      <c r="H49" s="50">
        <v>0</v>
      </c>
      <c r="I49" s="50">
        <v>5</v>
      </c>
      <c r="J49" s="50">
        <v>3</v>
      </c>
      <c r="K49" s="50">
        <v>1</v>
      </c>
      <c r="L49" s="50">
        <v>5</v>
      </c>
      <c r="M49" s="50">
        <v>110</v>
      </c>
      <c r="N49" s="50">
        <v>0</v>
      </c>
      <c r="O49" s="15">
        <f t="shared" si="0"/>
        <v>73</v>
      </c>
      <c r="P49" s="15">
        <f t="shared" si="1"/>
        <v>183</v>
      </c>
      <c r="R49" s="8"/>
      <c r="T49"/>
    </row>
    <row r="50" spans="2:20" ht="23.1" customHeight="1" x14ac:dyDescent="0.25">
      <c r="B50" s="24" t="s">
        <v>77</v>
      </c>
      <c r="C50" s="50">
        <v>22</v>
      </c>
      <c r="D50" s="50">
        <v>11</v>
      </c>
      <c r="E50" s="50">
        <v>8</v>
      </c>
      <c r="F50" s="50">
        <v>1</v>
      </c>
      <c r="G50" s="50">
        <v>0</v>
      </c>
      <c r="H50" s="50">
        <v>0</v>
      </c>
      <c r="I50" s="50">
        <v>2</v>
      </c>
      <c r="J50" s="50">
        <v>2</v>
      </c>
      <c r="K50" s="50">
        <v>3</v>
      </c>
      <c r="L50" s="50">
        <v>6</v>
      </c>
      <c r="M50" s="50">
        <v>115</v>
      </c>
      <c r="N50" s="50">
        <v>0</v>
      </c>
      <c r="O50" s="15">
        <f t="shared" si="0"/>
        <v>55</v>
      </c>
      <c r="P50" s="15">
        <f t="shared" si="1"/>
        <v>170</v>
      </c>
      <c r="R50" s="8"/>
      <c r="T50"/>
    </row>
    <row r="51" spans="2:20" ht="23.1" customHeight="1" x14ac:dyDescent="0.25">
      <c r="B51" s="24" t="s">
        <v>78</v>
      </c>
      <c r="C51" s="50">
        <v>50</v>
      </c>
      <c r="D51" s="50">
        <v>41</v>
      </c>
      <c r="E51" s="50">
        <v>4</v>
      </c>
      <c r="F51" s="50">
        <v>4</v>
      </c>
      <c r="G51" s="50">
        <v>1</v>
      </c>
      <c r="H51" s="50">
        <v>0</v>
      </c>
      <c r="I51" s="50">
        <v>5</v>
      </c>
      <c r="J51" s="50">
        <v>2</v>
      </c>
      <c r="K51" s="50">
        <v>3</v>
      </c>
      <c r="L51" s="50">
        <v>1</v>
      </c>
      <c r="M51" s="50">
        <v>125</v>
      </c>
      <c r="N51" s="50">
        <v>0</v>
      </c>
      <c r="O51" s="15">
        <f t="shared" si="0"/>
        <v>111</v>
      </c>
      <c r="P51" s="15">
        <f t="shared" si="1"/>
        <v>236</v>
      </c>
      <c r="R51" s="8"/>
      <c r="T51"/>
    </row>
    <row r="52" spans="2:20" ht="23.1" customHeight="1" x14ac:dyDescent="0.25">
      <c r="B52" s="24" t="s">
        <v>79</v>
      </c>
      <c r="C52" s="50">
        <v>19</v>
      </c>
      <c r="D52" s="50">
        <v>8</v>
      </c>
      <c r="E52" s="50">
        <v>1</v>
      </c>
      <c r="F52" s="50">
        <v>9</v>
      </c>
      <c r="G52" s="50">
        <v>0</v>
      </c>
      <c r="H52" s="50">
        <v>0</v>
      </c>
      <c r="I52" s="50">
        <v>1</v>
      </c>
      <c r="J52" s="50">
        <v>1</v>
      </c>
      <c r="K52" s="50">
        <v>1</v>
      </c>
      <c r="L52" s="50">
        <v>1</v>
      </c>
      <c r="M52" s="50">
        <v>155</v>
      </c>
      <c r="N52" s="50">
        <v>0</v>
      </c>
      <c r="O52" s="15">
        <f t="shared" si="0"/>
        <v>41</v>
      </c>
      <c r="P52" s="15">
        <f t="shared" si="1"/>
        <v>196</v>
      </c>
      <c r="R52" s="8"/>
      <c r="T52"/>
    </row>
    <row r="53" spans="2:20" ht="23.1" customHeight="1" x14ac:dyDescent="0.25">
      <c r="B53" s="23" t="s">
        <v>80</v>
      </c>
      <c r="C53" s="50">
        <v>52</v>
      </c>
      <c r="D53" s="50">
        <v>31</v>
      </c>
      <c r="E53" s="50">
        <v>14</v>
      </c>
      <c r="F53" s="50">
        <v>3</v>
      </c>
      <c r="G53" s="50">
        <v>0</v>
      </c>
      <c r="H53" s="50">
        <v>0</v>
      </c>
      <c r="I53" s="50">
        <v>5</v>
      </c>
      <c r="J53" s="50">
        <v>1</v>
      </c>
      <c r="K53" s="50">
        <v>1</v>
      </c>
      <c r="L53" s="50">
        <v>5</v>
      </c>
      <c r="M53" s="50">
        <v>100</v>
      </c>
      <c r="N53" s="50">
        <v>0</v>
      </c>
      <c r="O53" s="15">
        <f t="shared" si="0"/>
        <v>112</v>
      </c>
      <c r="P53" s="15">
        <f t="shared" si="1"/>
        <v>212</v>
      </c>
      <c r="R53" s="8"/>
      <c r="T53"/>
    </row>
    <row r="54" spans="2:20" ht="23.1" customHeight="1" x14ac:dyDescent="0.25">
      <c r="B54" s="23" t="s">
        <v>81</v>
      </c>
      <c r="C54" s="50">
        <v>27</v>
      </c>
      <c r="D54" s="50">
        <v>16</v>
      </c>
      <c r="E54" s="50">
        <v>2</v>
      </c>
      <c r="F54" s="50">
        <v>2</v>
      </c>
      <c r="G54" s="50">
        <v>0</v>
      </c>
      <c r="H54" s="50">
        <v>0</v>
      </c>
      <c r="I54" s="50">
        <v>4</v>
      </c>
      <c r="J54" s="50">
        <v>1</v>
      </c>
      <c r="K54" s="50">
        <v>0</v>
      </c>
      <c r="L54" s="50">
        <v>3</v>
      </c>
      <c r="M54" s="50">
        <v>105</v>
      </c>
      <c r="N54" s="50">
        <v>0</v>
      </c>
      <c r="O54" s="15">
        <f t="shared" si="0"/>
        <v>55</v>
      </c>
      <c r="P54" s="15">
        <f t="shared" si="1"/>
        <v>160</v>
      </c>
      <c r="R54" s="8"/>
      <c r="T54"/>
    </row>
    <row r="55" spans="2:20" ht="23.1" customHeight="1" x14ac:dyDescent="0.25">
      <c r="B55" s="23" t="s">
        <v>82</v>
      </c>
      <c r="C55" s="50">
        <v>25</v>
      </c>
      <c r="D55" s="50">
        <v>15</v>
      </c>
      <c r="E55" s="50">
        <v>3</v>
      </c>
      <c r="F55" s="50">
        <v>3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1</v>
      </c>
      <c r="M55" s="50">
        <v>110</v>
      </c>
      <c r="N55" s="50">
        <v>0</v>
      </c>
      <c r="O55" s="15">
        <f t="shared" si="0"/>
        <v>51</v>
      </c>
      <c r="P55" s="15">
        <f t="shared" si="1"/>
        <v>161</v>
      </c>
      <c r="R55" s="8"/>
      <c r="T55"/>
    </row>
    <row r="56" spans="2:20" ht="23.1" customHeight="1" x14ac:dyDescent="0.25">
      <c r="B56" s="23" t="s">
        <v>83</v>
      </c>
      <c r="C56" s="50">
        <v>24</v>
      </c>
      <c r="D56" s="50">
        <v>26</v>
      </c>
      <c r="E56" s="50">
        <v>8</v>
      </c>
      <c r="F56" s="50">
        <v>4</v>
      </c>
      <c r="G56" s="50">
        <v>1</v>
      </c>
      <c r="H56" s="50">
        <v>0</v>
      </c>
      <c r="I56" s="50">
        <v>2</v>
      </c>
      <c r="J56" s="50">
        <v>1</v>
      </c>
      <c r="K56" s="50">
        <v>2</v>
      </c>
      <c r="L56" s="50">
        <v>2</v>
      </c>
      <c r="M56" s="50">
        <v>125</v>
      </c>
      <c r="N56" s="50">
        <v>0</v>
      </c>
      <c r="O56" s="15">
        <f t="shared" si="0"/>
        <v>70</v>
      </c>
      <c r="P56" s="15">
        <f t="shared" si="1"/>
        <v>195</v>
      </c>
      <c r="R56" s="8"/>
      <c r="T56"/>
    </row>
    <row r="57" spans="2:20" ht="23.1" customHeight="1" x14ac:dyDescent="0.25">
      <c r="B57" s="23" t="s">
        <v>84</v>
      </c>
      <c r="C57" s="50">
        <v>22</v>
      </c>
      <c r="D57" s="50">
        <v>21</v>
      </c>
      <c r="E57" s="50">
        <v>6</v>
      </c>
      <c r="F57" s="50">
        <v>10</v>
      </c>
      <c r="G57" s="50">
        <v>0</v>
      </c>
      <c r="H57" s="50">
        <v>0</v>
      </c>
      <c r="I57" s="50">
        <v>3</v>
      </c>
      <c r="J57" s="50">
        <v>3</v>
      </c>
      <c r="K57" s="50">
        <v>0</v>
      </c>
      <c r="L57" s="50">
        <v>1</v>
      </c>
      <c r="M57" s="50">
        <v>135</v>
      </c>
      <c r="N57" s="50">
        <v>0</v>
      </c>
      <c r="O57" s="15">
        <f t="shared" si="0"/>
        <v>66</v>
      </c>
      <c r="P57" s="15">
        <f t="shared" si="1"/>
        <v>201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898</v>
      </c>
      <c r="D58" s="16">
        <f t="shared" si="21"/>
        <v>664</v>
      </c>
      <c r="E58" s="16">
        <f t="shared" si="21"/>
        <v>258</v>
      </c>
      <c r="F58" s="16">
        <f t="shared" si="21"/>
        <v>583</v>
      </c>
      <c r="G58" s="16">
        <f t="shared" si="21"/>
        <v>6</v>
      </c>
      <c r="H58" s="16">
        <f t="shared" si="21"/>
        <v>0</v>
      </c>
      <c r="I58" s="16">
        <f t="shared" si="21"/>
        <v>205</v>
      </c>
      <c r="J58" s="16">
        <f t="shared" si="21"/>
        <v>95</v>
      </c>
      <c r="K58" s="16">
        <f t="shared" si="21"/>
        <v>84</v>
      </c>
      <c r="L58" s="16">
        <f t="shared" si="21"/>
        <v>290</v>
      </c>
      <c r="M58" s="16">
        <f t="shared" si="21"/>
        <v>6500</v>
      </c>
      <c r="N58" s="16">
        <f t="shared" si="21"/>
        <v>0</v>
      </c>
      <c r="O58" s="16">
        <f t="shared" si="21"/>
        <v>3083</v>
      </c>
      <c r="P58" s="16">
        <f t="shared" si="21"/>
        <v>9583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9.3707607221120731E-2</v>
      </c>
      <c r="D59" s="43">
        <f t="shared" si="22"/>
        <v>6.9289366586663889E-2</v>
      </c>
      <c r="E59" s="43">
        <f t="shared" si="22"/>
        <v>2.6922675571324221E-2</v>
      </c>
      <c r="F59" s="43">
        <f t="shared" si="22"/>
        <v>6.083689867473651E-2</v>
      </c>
      <c r="G59" s="43">
        <f t="shared" si="22"/>
        <v>6.2610873421684228E-4</v>
      </c>
      <c r="H59" s="43">
        <f t="shared" si="22"/>
        <v>0</v>
      </c>
      <c r="I59" s="43">
        <f t="shared" si="22"/>
        <v>2.1392048419075445E-2</v>
      </c>
      <c r="J59" s="43">
        <f t="shared" si="22"/>
        <v>9.9133882917666703E-3</v>
      </c>
      <c r="K59" s="43">
        <f t="shared" si="22"/>
        <v>8.7655222790357923E-3</v>
      </c>
      <c r="L59" s="43">
        <f t="shared" si="22"/>
        <v>3.0261922153814045E-2</v>
      </c>
      <c r="M59" s="43">
        <f t="shared" si="22"/>
        <v>0.67828446206824589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0.2912747324035031</v>
      </c>
      <c r="D60" s="44">
        <f t="shared" ref="D60:N60" si="23">D58/$O$58</f>
        <v>0.21537463509568602</v>
      </c>
      <c r="E60" s="44">
        <f t="shared" si="23"/>
        <v>8.3684722672721382E-2</v>
      </c>
      <c r="F60" s="44">
        <f t="shared" si="23"/>
        <v>0.18910152448913395</v>
      </c>
      <c r="G60" s="44">
        <f t="shared" si="23"/>
        <v>1.9461563412260785E-3</v>
      </c>
      <c r="H60" s="44">
        <f t="shared" si="23"/>
        <v>0</v>
      </c>
      <c r="I60" s="44">
        <f t="shared" si="23"/>
        <v>6.6493674991891016E-2</v>
      </c>
      <c r="J60" s="44">
        <f t="shared" si="23"/>
        <v>3.0814142069412909E-2</v>
      </c>
      <c r="K60" s="44">
        <f t="shared" si="23"/>
        <v>2.7246188777165097E-2</v>
      </c>
      <c r="L60" s="44">
        <f t="shared" si="23"/>
        <v>9.4064223159260454E-2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B10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NTINDA-SPEAR MOTORS'!C3:G3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1" t="s">
        <v>170</v>
      </c>
      <c r="H5" s="62"/>
      <c r="I5" s="14"/>
      <c r="J5" s="2" t="s">
        <v>5</v>
      </c>
      <c r="K5" s="61" t="s">
        <v>171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">
        <v>167</v>
      </c>
      <c r="E6" s="62"/>
      <c r="F6" s="2" t="s">
        <v>2</v>
      </c>
      <c r="G6" s="61" t="s">
        <v>166</v>
      </c>
      <c r="H6" s="62"/>
      <c r="J6" s="2" t="s">
        <v>21</v>
      </c>
      <c r="K6" s="61" t="s">
        <v>173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15</v>
      </c>
      <c r="D10" s="50">
        <v>15</v>
      </c>
      <c r="E10" s="50">
        <v>2</v>
      </c>
      <c r="F10" s="50">
        <v>40</v>
      </c>
      <c r="G10" s="50">
        <v>0</v>
      </c>
      <c r="H10" s="50">
        <v>0</v>
      </c>
      <c r="I10" s="50">
        <v>1</v>
      </c>
      <c r="J10" s="50">
        <v>2</v>
      </c>
      <c r="K10" s="50">
        <v>3</v>
      </c>
      <c r="L10" s="50">
        <v>3</v>
      </c>
      <c r="M10" s="50">
        <v>155</v>
      </c>
      <c r="N10" s="50">
        <v>0</v>
      </c>
      <c r="O10" s="15">
        <f t="shared" ref="O10:O57" si="0">SUM(C10:L10,N10)</f>
        <v>81</v>
      </c>
      <c r="P10" s="15">
        <f t="shared" ref="P10:P57" si="1">SUM(C10:N10)</f>
        <v>236</v>
      </c>
      <c r="R10" s="1" t="s">
        <v>6</v>
      </c>
      <c r="S10" s="17">
        <f t="shared" ref="S10:AF10" si="2">SUM(C10:C13)</f>
        <v>72</v>
      </c>
      <c r="T10" s="17">
        <f t="shared" si="2"/>
        <v>35</v>
      </c>
      <c r="U10" s="17">
        <f t="shared" si="2"/>
        <v>5</v>
      </c>
      <c r="V10" s="17">
        <f t="shared" si="2"/>
        <v>95</v>
      </c>
      <c r="W10" s="17">
        <f t="shared" si="2"/>
        <v>0</v>
      </c>
      <c r="X10" s="17">
        <f t="shared" si="2"/>
        <v>0</v>
      </c>
      <c r="Y10" s="17">
        <f t="shared" si="2"/>
        <v>13</v>
      </c>
      <c r="Z10" s="17">
        <f t="shared" si="2"/>
        <v>9</v>
      </c>
      <c r="AA10" s="17">
        <f t="shared" si="2"/>
        <v>8</v>
      </c>
      <c r="AB10" s="17">
        <f t="shared" si="2"/>
        <v>12</v>
      </c>
      <c r="AC10" s="17">
        <f t="shared" si="2"/>
        <v>540</v>
      </c>
      <c r="AD10" s="17">
        <f t="shared" si="2"/>
        <v>0</v>
      </c>
      <c r="AE10" s="31">
        <f t="shared" si="2"/>
        <v>249</v>
      </c>
      <c r="AF10" s="31">
        <f t="shared" si="2"/>
        <v>789</v>
      </c>
    </row>
    <row r="11" spans="2:32" s="6" customFormat="1" ht="23.1" customHeight="1" x14ac:dyDescent="0.25">
      <c r="B11" s="23" t="s">
        <v>38</v>
      </c>
      <c r="C11" s="50">
        <v>19</v>
      </c>
      <c r="D11" s="50">
        <v>1</v>
      </c>
      <c r="E11" s="50">
        <v>0</v>
      </c>
      <c r="F11" s="50">
        <v>20</v>
      </c>
      <c r="G11" s="50">
        <v>0</v>
      </c>
      <c r="H11" s="50">
        <v>0</v>
      </c>
      <c r="I11" s="50">
        <v>2</v>
      </c>
      <c r="J11" s="50">
        <v>2</v>
      </c>
      <c r="K11" s="50">
        <v>2</v>
      </c>
      <c r="L11" s="50">
        <v>3</v>
      </c>
      <c r="M11" s="50">
        <v>110</v>
      </c>
      <c r="N11" s="50">
        <v>0</v>
      </c>
      <c r="O11" s="15">
        <f t="shared" si="0"/>
        <v>49</v>
      </c>
      <c r="P11" s="15">
        <f t="shared" si="1"/>
        <v>159</v>
      </c>
      <c r="R11" s="1" t="s">
        <v>7</v>
      </c>
      <c r="S11" s="17">
        <f t="shared" ref="S11:AF11" si="3">SUM(C14:C17)</f>
        <v>39</v>
      </c>
      <c r="T11" s="17">
        <f t="shared" si="3"/>
        <v>19</v>
      </c>
      <c r="U11" s="17">
        <f t="shared" si="3"/>
        <v>6</v>
      </c>
      <c r="V11" s="17">
        <f t="shared" si="3"/>
        <v>41</v>
      </c>
      <c r="W11" s="17">
        <f t="shared" si="3"/>
        <v>1</v>
      </c>
      <c r="X11" s="17">
        <f t="shared" si="3"/>
        <v>0</v>
      </c>
      <c r="Y11" s="17">
        <f t="shared" si="3"/>
        <v>14</v>
      </c>
      <c r="Z11" s="17">
        <f t="shared" si="3"/>
        <v>5</v>
      </c>
      <c r="AA11" s="17">
        <f t="shared" si="3"/>
        <v>4</v>
      </c>
      <c r="AB11" s="17">
        <f t="shared" si="3"/>
        <v>17</v>
      </c>
      <c r="AC11" s="17">
        <f t="shared" si="3"/>
        <v>700</v>
      </c>
      <c r="AD11" s="17">
        <f t="shared" si="3"/>
        <v>0</v>
      </c>
      <c r="AE11" s="31">
        <f t="shared" si="3"/>
        <v>146</v>
      </c>
      <c r="AF11" s="31">
        <f t="shared" si="3"/>
        <v>846</v>
      </c>
    </row>
    <row r="12" spans="2:32" ht="23.1" customHeight="1" x14ac:dyDescent="0.25">
      <c r="B12" s="23" t="s">
        <v>39</v>
      </c>
      <c r="C12" s="50">
        <v>15</v>
      </c>
      <c r="D12" s="50">
        <v>12</v>
      </c>
      <c r="E12" s="50">
        <v>2</v>
      </c>
      <c r="F12" s="50">
        <v>16</v>
      </c>
      <c r="G12" s="50">
        <v>0</v>
      </c>
      <c r="H12" s="50">
        <v>0</v>
      </c>
      <c r="I12" s="50">
        <v>6</v>
      </c>
      <c r="J12" s="50">
        <v>1</v>
      </c>
      <c r="K12" s="50">
        <v>1</v>
      </c>
      <c r="L12" s="50">
        <v>2</v>
      </c>
      <c r="M12" s="50">
        <v>125</v>
      </c>
      <c r="N12" s="50">
        <v>0</v>
      </c>
      <c r="O12" s="15">
        <f t="shared" si="0"/>
        <v>55</v>
      </c>
      <c r="P12" s="15">
        <f t="shared" si="1"/>
        <v>180</v>
      </c>
      <c r="R12" s="1" t="s">
        <v>8</v>
      </c>
      <c r="S12" s="17">
        <f t="shared" ref="S12:AF12" si="4">SUM(C18:C21)</f>
        <v>60</v>
      </c>
      <c r="T12" s="17">
        <f t="shared" si="4"/>
        <v>29</v>
      </c>
      <c r="U12" s="17">
        <f t="shared" si="4"/>
        <v>9</v>
      </c>
      <c r="V12" s="17">
        <f t="shared" si="4"/>
        <v>70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2</v>
      </c>
      <c r="AB12" s="17">
        <f t="shared" si="4"/>
        <v>9</v>
      </c>
      <c r="AC12" s="17">
        <f t="shared" si="4"/>
        <v>572</v>
      </c>
      <c r="AD12" s="17">
        <f t="shared" si="4"/>
        <v>0</v>
      </c>
      <c r="AE12" s="31">
        <f t="shared" si="4"/>
        <v>182</v>
      </c>
      <c r="AF12" s="31">
        <f t="shared" si="4"/>
        <v>754</v>
      </c>
    </row>
    <row r="13" spans="2:32" ht="23.1" customHeight="1" x14ac:dyDescent="0.25">
      <c r="B13" s="23" t="s">
        <v>40</v>
      </c>
      <c r="C13" s="50">
        <v>23</v>
      </c>
      <c r="D13" s="50">
        <v>7</v>
      </c>
      <c r="E13" s="50">
        <v>1</v>
      </c>
      <c r="F13" s="50">
        <v>19</v>
      </c>
      <c r="G13" s="50">
        <v>0</v>
      </c>
      <c r="H13" s="50">
        <v>0</v>
      </c>
      <c r="I13" s="50">
        <v>4</v>
      </c>
      <c r="J13" s="50">
        <v>4</v>
      </c>
      <c r="K13" s="50">
        <v>2</v>
      </c>
      <c r="L13" s="50">
        <v>4</v>
      </c>
      <c r="M13" s="50">
        <v>150</v>
      </c>
      <c r="N13" s="50">
        <v>0</v>
      </c>
      <c r="O13" s="15">
        <f t="shared" si="0"/>
        <v>64</v>
      </c>
      <c r="P13" s="15">
        <f t="shared" si="1"/>
        <v>214</v>
      </c>
      <c r="R13" s="1" t="s">
        <v>9</v>
      </c>
      <c r="S13" s="17">
        <f t="shared" ref="S13:AF13" si="5">SUM(C22:C25)</f>
        <v>63</v>
      </c>
      <c r="T13" s="17">
        <f t="shared" si="5"/>
        <v>32</v>
      </c>
      <c r="U13" s="17">
        <f t="shared" si="5"/>
        <v>19</v>
      </c>
      <c r="V13" s="17">
        <f t="shared" si="5"/>
        <v>52</v>
      </c>
      <c r="W13" s="17">
        <f t="shared" si="5"/>
        <v>1</v>
      </c>
      <c r="X13" s="17">
        <f t="shared" si="5"/>
        <v>0</v>
      </c>
      <c r="Y13" s="17">
        <f t="shared" si="5"/>
        <v>21</v>
      </c>
      <c r="Z13" s="17">
        <f t="shared" si="5"/>
        <v>12</v>
      </c>
      <c r="AA13" s="17">
        <f t="shared" si="5"/>
        <v>7</v>
      </c>
      <c r="AB13" s="17">
        <f t="shared" si="5"/>
        <v>26</v>
      </c>
      <c r="AC13" s="17">
        <f t="shared" si="5"/>
        <v>483</v>
      </c>
      <c r="AD13" s="17">
        <f t="shared" si="5"/>
        <v>0</v>
      </c>
      <c r="AE13" s="31">
        <f t="shared" si="5"/>
        <v>233</v>
      </c>
      <c r="AF13" s="31">
        <f t="shared" si="5"/>
        <v>716</v>
      </c>
    </row>
    <row r="14" spans="2:32" ht="23.1" customHeight="1" x14ac:dyDescent="0.25">
      <c r="B14" s="23" t="s">
        <v>41</v>
      </c>
      <c r="C14" s="50">
        <v>14</v>
      </c>
      <c r="D14" s="50">
        <v>3</v>
      </c>
      <c r="E14" s="50">
        <v>1</v>
      </c>
      <c r="F14" s="50">
        <v>9</v>
      </c>
      <c r="G14" s="50">
        <v>1</v>
      </c>
      <c r="H14" s="50">
        <v>0</v>
      </c>
      <c r="I14" s="50">
        <v>4</v>
      </c>
      <c r="J14" s="50">
        <v>0</v>
      </c>
      <c r="K14" s="50">
        <v>2</v>
      </c>
      <c r="L14" s="50">
        <v>6</v>
      </c>
      <c r="M14" s="50">
        <v>185</v>
      </c>
      <c r="N14" s="50">
        <v>0</v>
      </c>
      <c r="O14" s="15">
        <f t="shared" si="0"/>
        <v>40</v>
      </c>
      <c r="P14" s="15">
        <f t="shared" si="1"/>
        <v>225</v>
      </c>
      <c r="R14" s="1" t="s">
        <v>10</v>
      </c>
      <c r="S14" s="17">
        <f t="shared" ref="S14:AF14" si="6">SUM(C26:C29)</f>
        <v>82</v>
      </c>
      <c r="T14" s="17">
        <f t="shared" si="6"/>
        <v>39</v>
      </c>
      <c r="U14" s="17">
        <f t="shared" si="6"/>
        <v>16</v>
      </c>
      <c r="V14" s="17">
        <f t="shared" si="6"/>
        <v>49</v>
      </c>
      <c r="W14" s="17">
        <f t="shared" si="6"/>
        <v>2</v>
      </c>
      <c r="X14" s="17">
        <f t="shared" si="6"/>
        <v>0</v>
      </c>
      <c r="Y14" s="17">
        <f t="shared" si="6"/>
        <v>9</v>
      </c>
      <c r="Z14" s="17">
        <f t="shared" si="6"/>
        <v>13</v>
      </c>
      <c r="AA14" s="17">
        <f t="shared" si="6"/>
        <v>12</v>
      </c>
      <c r="AB14" s="17">
        <f t="shared" si="6"/>
        <v>30</v>
      </c>
      <c r="AC14" s="17">
        <f t="shared" si="6"/>
        <v>465</v>
      </c>
      <c r="AD14" s="17">
        <f t="shared" si="6"/>
        <v>0</v>
      </c>
      <c r="AE14" s="31">
        <f t="shared" si="6"/>
        <v>252</v>
      </c>
      <c r="AF14" s="31">
        <f t="shared" si="6"/>
        <v>717</v>
      </c>
    </row>
    <row r="15" spans="2:32" ht="23.1" customHeight="1" x14ac:dyDescent="0.25">
      <c r="B15" s="23" t="s">
        <v>42</v>
      </c>
      <c r="C15" s="50">
        <v>8</v>
      </c>
      <c r="D15" s="50">
        <v>7</v>
      </c>
      <c r="E15" s="50">
        <v>4</v>
      </c>
      <c r="F15" s="50">
        <v>19</v>
      </c>
      <c r="G15" s="50">
        <v>0</v>
      </c>
      <c r="H15" s="50">
        <v>0</v>
      </c>
      <c r="I15" s="50">
        <v>4</v>
      </c>
      <c r="J15" s="50">
        <v>1</v>
      </c>
      <c r="K15" s="50">
        <v>0</v>
      </c>
      <c r="L15" s="50">
        <v>3</v>
      </c>
      <c r="M15" s="50">
        <v>175</v>
      </c>
      <c r="N15" s="50">
        <v>0</v>
      </c>
      <c r="O15" s="15">
        <f t="shared" si="0"/>
        <v>46</v>
      </c>
      <c r="P15" s="15">
        <f t="shared" si="1"/>
        <v>221</v>
      </c>
      <c r="R15" s="1" t="s">
        <v>11</v>
      </c>
      <c r="S15" s="17">
        <f t="shared" ref="S15:AF15" si="7">SUM(C30:C33)</f>
        <v>62</v>
      </c>
      <c r="T15" s="17">
        <f t="shared" si="7"/>
        <v>30</v>
      </c>
      <c r="U15" s="17">
        <f t="shared" si="7"/>
        <v>11</v>
      </c>
      <c r="V15" s="17">
        <f t="shared" si="7"/>
        <v>48</v>
      </c>
      <c r="W15" s="17">
        <f t="shared" si="7"/>
        <v>0</v>
      </c>
      <c r="X15" s="17">
        <f t="shared" si="7"/>
        <v>0</v>
      </c>
      <c r="Y15" s="17">
        <f t="shared" si="7"/>
        <v>11</v>
      </c>
      <c r="Z15" s="17">
        <f t="shared" si="7"/>
        <v>9</v>
      </c>
      <c r="AA15" s="17">
        <f t="shared" si="7"/>
        <v>10</v>
      </c>
      <c r="AB15" s="17">
        <f t="shared" si="7"/>
        <v>17</v>
      </c>
      <c r="AC15" s="17">
        <f t="shared" si="7"/>
        <v>380</v>
      </c>
      <c r="AD15" s="17">
        <f t="shared" si="7"/>
        <v>0</v>
      </c>
      <c r="AE15" s="31">
        <f t="shared" si="7"/>
        <v>198</v>
      </c>
      <c r="AF15" s="31">
        <f t="shared" si="7"/>
        <v>578</v>
      </c>
    </row>
    <row r="16" spans="2:32" ht="23.1" customHeight="1" x14ac:dyDescent="0.25">
      <c r="B16" s="23" t="s">
        <v>43</v>
      </c>
      <c r="C16" s="50">
        <v>13</v>
      </c>
      <c r="D16" s="50">
        <v>5</v>
      </c>
      <c r="E16" s="50">
        <v>0</v>
      </c>
      <c r="F16" s="50">
        <v>7</v>
      </c>
      <c r="G16" s="50">
        <v>0</v>
      </c>
      <c r="H16" s="50">
        <v>0</v>
      </c>
      <c r="I16" s="50">
        <v>3</v>
      </c>
      <c r="J16" s="50">
        <v>2</v>
      </c>
      <c r="K16" s="50">
        <v>0</v>
      </c>
      <c r="L16" s="50">
        <v>5</v>
      </c>
      <c r="M16" s="50">
        <v>180</v>
      </c>
      <c r="N16" s="50">
        <v>0</v>
      </c>
      <c r="O16" s="15">
        <f t="shared" si="0"/>
        <v>35</v>
      </c>
      <c r="P16" s="15">
        <f t="shared" si="1"/>
        <v>215</v>
      </c>
      <c r="R16" s="1" t="s">
        <v>12</v>
      </c>
      <c r="S16" s="17">
        <f t="shared" ref="S16:AF16" si="8">SUM(C34:C37)</f>
        <v>64</v>
      </c>
      <c r="T16" s="17">
        <f t="shared" si="8"/>
        <v>39</v>
      </c>
      <c r="U16" s="17">
        <f t="shared" si="8"/>
        <v>15</v>
      </c>
      <c r="V16" s="17">
        <f t="shared" si="8"/>
        <v>26</v>
      </c>
      <c r="W16" s="17">
        <f t="shared" si="8"/>
        <v>0</v>
      </c>
      <c r="X16" s="17">
        <f t="shared" si="8"/>
        <v>0</v>
      </c>
      <c r="Y16" s="17">
        <f t="shared" si="8"/>
        <v>12</v>
      </c>
      <c r="Z16" s="17">
        <f t="shared" si="8"/>
        <v>11</v>
      </c>
      <c r="AA16" s="17">
        <f t="shared" si="8"/>
        <v>11</v>
      </c>
      <c r="AB16" s="17">
        <f t="shared" si="8"/>
        <v>24</v>
      </c>
      <c r="AC16" s="17">
        <f t="shared" si="8"/>
        <v>375</v>
      </c>
      <c r="AD16" s="17">
        <f t="shared" si="8"/>
        <v>0</v>
      </c>
      <c r="AE16" s="31">
        <f t="shared" si="8"/>
        <v>202</v>
      </c>
      <c r="AF16" s="31">
        <f t="shared" si="8"/>
        <v>577</v>
      </c>
    </row>
    <row r="17" spans="2:32" ht="23.1" customHeight="1" x14ac:dyDescent="0.25">
      <c r="B17" s="23" t="s">
        <v>44</v>
      </c>
      <c r="C17" s="50">
        <v>4</v>
      </c>
      <c r="D17" s="50">
        <v>4</v>
      </c>
      <c r="E17" s="50">
        <v>1</v>
      </c>
      <c r="F17" s="50">
        <v>6</v>
      </c>
      <c r="G17" s="50">
        <v>0</v>
      </c>
      <c r="H17" s="50">
        <v>0</v>
      </c>
      <c r="I17" s="50">
        <v>3</v>
      </c>
      <c r="J17" s="50">
        <v>2</v>
      </c>
      <c r="K17" s="50">
        <v>2</v>
      </c>
      <c r="L17" s="50">
        <v>3</v>
      </c>
      <c r="M17" s="50">
        <v>160</v>
      </c>
      <c r="N17" s="50">
        <v>0</v>
      </c>
      <c r="O17" s="15">
        <f t="shared" si="0"/>
        <v>25</v>
      </c>
      <c r="P17" s="15">
        <f t="shared" si="1"/>
        <v>185</v>
      </c>
      <c r="R17" s="1" t="s">
        <v>13</v>
      </c>
      <c r="S17" s="17">
        <f t="shared" ref="S17:AF17" si="9">SUM(C38:C41)</f>
        <v>71</v>
      </c>
      <c r="T17" s="17">
        <f t="shared" si="9"/>
        <v>47</v>
      </c>
      <c r="U17" s="17">
        <f t="shared" si="9"/>
        <v>22</v>
      </c>
      <c r="V17" s="17">
        <f t="shared" si="9"/>
        <v>36</v>
      </c>
      <c r="W17" s="17">
        <f t="shared" si="9"/>
        <v>0</v>
      </c>
      <c r="X17" s="17">
        <f t="shared" si="9"/>
        <v>1</v>
      </c>
      <c r="Y17" s="17">
        <f t="shared" si="9"/>
        <v>20</v>
      </c>
      <c r="Z17" s="17">
        <f t="shared" si="9"/>
        <v>10</v>
      </c>
      <c r="AA17" s="17">
        <f t="shared" si="9"/>
        <v>8</v>
      </c>
      <c r="AB17" s="17">
        <f t="shared" si="9"/>
        <v>22</v>
      </c>
      <c r="AC17" s="17">
        <f t="shared" si="9"/>
        <v>380</v>
      </c>
      <c r="AD17" s="17">
        <f t="shared" si="9"/>
        <v>0</v>
      </c>
      <c r="AE17" s="31">
        <f t="shared" si="9"/>
        <v>237</v>
      </c>
      <c r="AF17" s="31">
        <f t="shared" si="9"/>
        <v>617</v>
      </c>
    </row>
    <row r="18" spans="2:32" ht="23.1" customHeight="1" x14ac:dyDescent="0.25">
      <c r="B18" s="23" t="s">
        <v>45</v>
      </c>
      <c r="C18" s="50">
        <v>13</v>
      </c>
      <c r="D18" s="50">
        <v>7</v>
      </c>
      <c r="E18" s="50">
        <v>3</v>
      </c>
      <c r="F18" s="50">
        <v>9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3</v>
      </c>
      <c r="M18" s="50">
        <v>167</v>
      </c>
      <c r="N18" s="50">
        <v>0</v>
      </c>
      <c r="O18" s="15">
        <f t="shared" si="0"/>
        <v>35</v>
      </c>
      <c r="P18" s="15">
        <f t="shared" si="1"/>
        <v>202</v>
      </c>
      <c r="R18" s="1" t="s">
        <v>14</v>
      </c>
      <c r="S18" s="17">
        <f t="shared" ref="S18:AF18" si="10">SUM(C42:C45)</f>
        <v>99</v>
      </c>
      <c r="T18" s="17">
        <f t="shared" si="10"/>
        <v>58</v>
      </c>
      <c r="U18" s="17">
        <f t="shared" si="10"/>
        <v>20</v>
      </c>
      <c r="V18" s="17">
        <f t="shared" si="10"/>
        <v>45</v>
      </c>
      <c r="W18" s="17">
        <f t="shared" si="10"/>
        <v>0</v>
      </c>
      <c r="X18" s="17">
        <f t="shared" si="10"/>
        <v>0</v>
      </c>
      <c r="Y18" s="17">
        <f t="shared" si="10"/>
        <v>12</v>
      </c>
      <c r="Z18" s="17">
        <f t="shared" si="10"/>
        <v>5</v>
      </c>
      <c r="AA18" s="17">
        <f t="shared" si="10"/>
        <v>5</v>
      </c>
      <c r="AB18" s="17">
        <f t="shared" si="10"/>
        <v>17</v>
      </c>
      <c r="AC18" s="17">
        <f t="shared" si="10"/>
        <v>454</v>
      </c>
      <c r="AD18" s="17">
        <f t="shared" si="10"/>
        <v>0</v>
      </c>
      <c r="AE18" s="31">
        <f t="shared" si="10"/>
        <v>261</v>
      </c>
      <c r="AF18" s="31">
        <f t="shared" si="10"/>
        <v>715</v>
      </c>
    </row>
    <row r="19" spans="2:32" ht="23.1" customHeight="1" x14ac:dyDescent="0.25">
      <c r="B19" s="23" t="s">
        <v>46</v>
      </c>
      <c r="C19" s="50">
        <v>21</v>
      </c>
      <c r="D19" s="50">
        <v>8</v>
      </c>
      <c r="E19" s="50">
        <v>0</v>
      </c>
      <c r="F19" s="50">
        <v>23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2</v>
      </c>
      <c r="M19" s="50">
        <v>155</v>
      </c>
      <c r="N19" s="50">
        <v>0</v>
      </c>
      <c r="O19" s="15">
        <f t="shared" si="0"/>
        <v>55</v>
      </c>
      <c r="P19" s="15">
        <f t="shared" si="1"/>
        <v>210</v>
      </c>
      <c r="R19" s="1" t="s">
        <v>15</v>
      </c>
      <c r="S19" s="17">
        <f t="shared" ref="S19:AF19" si="11">SUM(C46:C49)</f>
        <v>196</v>
      </c>
      <c r="T19" s="17">
        <f t="shared" si="11"/>
        <v>147</v>
      </c>
      <c r="U19" s="17">
        <f t="shared" si="11"/>
        <v>51</v>
      </c>
      <c r="V19" s="17">
        <f t="shared" si="11"/>
        <v>55</v>
      </c>
      <c r="W19" s="17">
        <f t="shared" si="11"/>
        <v>0</v>
      </c>
      <c r="X19" s="17">
        <f t="shared" si="11"/>
        <v>0</v>
      </c>
      <c r="Y19" s="17">
        <f t="shared" si="11"/>
        <v>18</v>
      </c>
      <c r="Z19" s="17">
        <f t="shared" si="11"/>
        <v>10</v>
      </c>
      <c r="AA19" s="17">
        <f t="shared" si="11"/>
        <v>3</v>
      </c>
      <c r="AB19" s="17">
        <f t="shared" si="11"/>
        <v>9</v>
      </c>
      <c r="AC19" s="17">
        <f t="shared" si="11"/>
        <v>470</v>
      </c>
      <c r="AD19" s="17">
        <f t="shared" si="11"/>
        <v>0</v>
      </c>
      <c r="AE19" s="31">
        <f t="shared" si="11"/>
        <v>489</v>
      </c>
      <c r="AF19" s="31">
        <f t="shared" si="11"/>
        <v>959</v>
      </c>
    </row>
    <row r="20" spans="2:32" ht="23.1" customHeight="1" x14ac:dyDescent="0.25">
      <c r="B20" s="23" t="s">
        <v>47</v>
      </c>
      <c r="C20" s="50">
        <v>12</v>
      </c>
      <c r="D20" s="50">
        <v>9</v>
      </c>
      <c r="E20" s="50">
        <v>3</v>
      </c>
      <c r="F20" s="50">
        <v>18</v>
      </c>
      <c r="G20" s="50">
        <v>0</v>
      </c>
      <c r="H20" s="50">
        <v>0</v>
      </c>
      <c r="I20" s="50">
        <v>0</v>
      </c>
      <c r="J20" s="50">
        <v>1</v>
      </c>
      <c r="K20" s="50">
        <v>1</v>
      </c>
      <c r="L20" s="50">
        <v>3</v>
      </c>
      <c r="M20" s="50">
        <v>150</v>
      </c>
      <c r="N20" s="50">
        <v>0</v>
      </c>
      <c r="O20" s="15">
        <f t="shared" si="0"/>
        <v>47</v>
      </c>
      <c r="P20" s="15">
        <f t="shared" si="1"/>
        <v>197</v>
      </c>
      <c r="R20" s="1" t="s">
        <v>16</v>
      </c>
      <c r="S20" s="17">
        <f t="shared" ref="S20:AF20" si="12">SUM(C50:C53)</f>
        <v>135</v>
      </c>
      <c r="T20" s="17">
        <f t="shared" si="12"/>
        <v>72</v>
      </c>
      <c r="U20" s="17">
        <f t="shared" si="12"/>
        <v>30</v>
      </c>
      <c r="V20" s="17">
        <f t="shared" si="12"/>
        <v>50</v>
      </c>
      <c r="W20" s="17">
        <f t="shared" si="12"/>
        <v>0</v>
      </c>
      <c r="X20" s="17">
        <f t="shared" si="12"/>
        <v>0</v>
      </c>
      <c r="Y20" s="17">
        <f t="shared" si="12"/>
        <v>13</v>
      </c>
      <c r="Z20" s="17">
        <f t="shared" si="12"/>
        <v>4</v>
      </c>
      <c r="AA20" s="17">
        <f t="shared" si="12"/>
        <v>3</v>
      </c>
      <c r="AB20" s="17">
        <f t="shared" si="12"/>
        <v>8</v>
      </c>
      <c r="AC20" s="17">
        <f t="shared" si="12"/>
        <v>575</v>
      </c>
      <c r="AD20" s="17">
        <f t="shared" si="12"/>
        <v>0</v>
      </c>
      <c r="AE20" s="31">
        <f t="shared" si="12"/>
        <v>315</v>
      </c>
      <c r="AF20" s="31">
        <f t="shared" si="12"/>
        <v>890</v>
      </c>
    </row>
    <row r="21" spans="2:32" ht="23.1" customHeight="1" x14ac:dyDescent="0.25">
      <c r="B21" s="23" t="s">
        <v>48</v>
      </c>
      <c r="C21" s="50">
        <v>14</v>
      </c>
      <c r="D21" s="50">
        <v>5</v>
      </c>
      <c r="E21" s="50">
        <v>3</v>
      </c>
      <c r="F21" s="50">
        <v>20</v>
      </c>
      <c r="G21" s="50">
        <v>0</v>
      </c>
      <c r="H21" s="50">
        <v>0</v>
      </c>
      <c r="I21" s="50">
        <v>1</v>
      </c>
      <c r="J21" s="50">
        <v>0</v>
      </c>
      <c r="K21" s="50">
        <v>1</v>
      </c>
      <c r="L21" s="50">
        <v>1</v>
      </c>
      <c r="M21" s="50">
        <v>100</v>
      </c>
      <c r="N21" s="50">
        <v>0</v>
      </c>
      <c r="O21" s="15">
        <f t="shared" si="0"/>
        <v>45</v>
      </c>
      <c r="P21" s="15">
        <f t="shared" si="1"/>
        <v>145</v>
      </c>
      <c r="R21" s="36" t="s">
        <v>20</v>
      </c>
      <c r="S21" s="34">
        <f t="shared" ref="S21:AF21" si="13">SUM(C54:C57)</f>
        <v>133</v>
      </c>
      <c r="T21" s="17">
        <f t="shared" si="13"/>
        <v>66</v>
      </c>
      <c r="U21" s="17">
        <f t="shared" si="13"/>
        <v>20</v>
      </c>
      <c r="V21" s="17">
        <f t="shared" si="13"/>
        <v>24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4</v>
      </c>
      <c r="AA21" s="17">
        <f t="shared" si="13"/>
        <v>4</v>
      </c>
      <c r="AB21" s="17">
        <f t="shared" si="13"/>
        <v>16</v>
      </c>
      <c r="AC21" s="17">
        <f t="shared" si="13"/>
        <v>630</v>
      </c>
      <c r="AD21" s="17">
        <f t="shared" si="13"/>
        <v>0</v>
      </c>
      <c r="AE21" s="31">
        <f t="shared" si="13"/>
        <v>276</v>
      </c>
      <c r="AF21" s="31">
        <f t="shared" si="13"/>
        <v>906</v>
      </c>
    </row>
    <row r="22" spans="2:32" ht="23.1" customHeight="1" x14ac:dyDescent="0.25">
      <c r="B22" s="23" t="s">
        <v>49</v>
      </c>
      <c r="C22" s="50">
        <v>16</v>
      </c>
      <c r="D22" s="50">
        <v>5</v>
      </c>
      <c r="E22" s="50">
        <v>1</v>
      </c>
      <c r="F22" s="50">
        <v>13</v>
      </c>
      <c r="G22" s="50">
        <v>0</v>
      </c>
      <c r="H22" s="50">
        <v>0</v>
      </c>
      <c r="I22" s="50">
        <v>4</v>
      </c>
      <c r="J22" s="50">
        <v>1</v>
      </c>
      <c r="K22" s="50">
        <v>2</v>
      </c>
      <c r="L22" s="50">
        <v>7</v>
      </c>
      <c r="M22" s="50">
        <v>110</v>
      </c>
      <c r="N22" s="50">
        <v>0</v>
      </c>
      <c r="O22" s="15">
        <f t="shared" si="0"/>
        <v>49</v>
      </c>
      <c r="P22" s="15">
        <f t="shared" si="1"/>
        <v>159</v>
      </c>
      <c r="R22" s="38" t="s">
        <v>90</v>
      </c>
      <c r="S22" s="39">
        <f>MAX(S10:S12)</f>
        <v>72</v>
      </c>
      <c r="T22" s="39">
        <f t="shared" ref="T22:AF22" si="14">MAX(T10:T12)</f>
        <v>35</v>
      </c>
      <c r="U22" s="39">
        <f t="shared" si="14"/>
        <v>9</v>
      </c>
      <c r="V22" s="39">
        <f t="shared" si="14"/>
        <v>95</v>
      </c>
      <c r="W22" s="39">
        <f t="shared" si="14"/>
        <v>1</v>
      </c>
      <c r="X22" s="39">
        <f t="shared" si="14"/>
        <v>0</v>
      </c>
      <c r="Y22" s="39">
        <f t="shared" si="14"/>
        <v>14</v>
      </c>
      <c r="Z22" s="39">
        <f t="shared" si="14"/>
        <v>9</v>
      </c>
      <c r="AA22" s="39">
        <f t="shared" si="14"/>
        <v>8</v>
      </c>
      <c r="AB22" s="39">
        <f t="shared" si="14"/>
        <v>17</v>
      </c>
      <c r="AC22" s="39">
        <f t="shared" si="14"/>
        <v>700</v>
      </c>
      <c r="AD22" s="39">
        <f t="shared" si="14"/>
        <v>0</v>
      </c>
      <c r="AE22" s="40">
        <f t="shared" si="14"/>
        <v>249</v>
      </c>
      <c r="AF22" s="40">
        <f t="shared" si="14"/>
        <v>846</v>
      </c>
    </row>
    <row r="23" spans="2:32" ht="23.1" customHeight="1" x14ac:dyDescent="0.25">
      <c r="B23" s="23" t="s">
        <v>50</v>
      </c>
      <c r="C23" s="50">
        <v>25</v>
      </c>
      <c r="D23" s="50">
        <v>9</v>
      </c>
      <c r="E23" s="50">
        <v>5</v>
      </c>
      <c r="F23" s="50">
        <v>21</v>
      </c>
      <c r="G23" s="50">
        <v>1</v>
      </c>
      <c r="H23" s="50">
        <v>0</v>
      </c>
      <c r="I23" s="50">
        <v>6</v>
      </c>
      <c r="J23" s="50">
        <v>6</v>
      </c>
      <c r="K23" s="50">
        <v>2</v>
      </c>
      <c r="L23" s="50">
        <v>4</v>
      </c>
      <c r="M23" s="50">
        <v>115</v>
      </c>
      <c r="N23" s="50">
        <v>0</v>
      </c>
      <c r="O23" s="15">
        <f t="shared" si="0"/>
        <v>79</v>
      </c>
      <c r="P23" s="15">
        <f t="shared" si="1"/>
        <v>194</v>
      </c>
      <c r="R23" s="38" t="s">
        <v>91</v>
      </c>
      <c r="S23" s="39">
        <f>MAX(S13:S18)</f>
        <v>99</v>
      </c>
      <c r="T23" s="39">
        <f t="shared" ref="T23:AF23" si="15">MAX(T13:T18)</f>
        <v>58</v>
      </c>
      <c r="U23" s="39">
        <f t="shared" si="15"/>
        <v>22</v>
      </c>
      <c r="V23" s="39">
        <f t="shared" si="15"/>
        <v>52</v>
      </c>
      <c r="W23" s="39">
        <f t="shared" si="15"/>
        <v>2</v>
      </c>
      <c r="X23" s="39">
        <f t="shared" si="15"/>
        <v>1</v>
      </c>
      <c r="Y23" s="39">
        <f t="shared" si="15"/>
        <v>21</v>
      </c>
      <c r="Z23" s="39">
        <f t="shared" si="15"/>
        <v>13</v>
      </c>
      <c r="AA23" s="39">
        <f t="shared" si="15"/>
        <v>12</v>
      </c>
      <c r="AB23" s="39">
        <f t="shared" si="15"/>
        <v>30</v>
      </c>
      <c r="AC23" s="39">
        <f t="shared" si="15"/>
        <v>483</v>
      </c>
      <c r="AD23" s="39">
        <f t="shared" si="15"/>
        <v>0</v>
      </c>
      <c r="AE23" s="40">
        <f t="shared" si="15"/>
        <v>261</v>
      </c>
      <c r="AF23" s="40">
        <f t="shared" si="15"/>
        <v>717</v>
      </c>
    </row>
    <row r="24" spans="2:32" ht="23.1" customHeight="1" x14ac:dyDescent="0.25">
      <c r="B24" s="23" t="s">
        <v>51</v>
      </c>
      <c r="C24" s="50">
        <v>7</v>
      </c>
      <c r="D24" s="50">
        <v>5</v>
      </c>
      <c r="E24" s="50">
        <v>4</v>
      </c>
      <c r="F24" s="50">
        <v>8</v>
      </c>
      <c r="G24" s="50">
        <v>0</v>
      </c>
      <c r="H24" s="50">
        <v>0</v>
      </c>
      <c r="I24" s="50">
        <v>8</v>
      </c>
      <c r="J24" s="50">
        <v>3</v>
      </c>
      <c r="K24" s="50">
        <v>1</v>
      </c>
      <c r="L24" s="50">
        <v>11</v>
      </c>
      <c r="M24" s="50">
        <v>135</v>
      </c>
      <c r="N24" s="50">
        <v>0</v>
      </c>
      <c r="O24" s="15">
        <f t="shared" si="0"/>
        <v>47</v>
      </c>
      <c r="P24" s="15">
        <f t="shared" si="1"/>
        <v>182</v>
      </c>
      <c r="R24" s="38" t="s">
        <v>92</v>
      </c>
      <c r="S24" s="39">
        <f>MAX(S19:S21)</f>
        <v>196</v>
      </c>
      <c r="T24" s="39">
        <f t="shared" ref="T24:AF24" si="16">MAX(T19:T21)</f>
        <v>147</v>
      </c>
      <c r="U24" s="39">
        <f t="shared" si="16"/>
        <v>51</v>
      </c>
      <c r="V24" s="39">
        <f t="shared" si="16"/>
        <v>55</v>
      </c>
      <c r="W24" s="39">
        <f t="shared" si="16"/>
        <v>0</v>
      </c>
      <c r="X24" s="39">
        <f t="shared" si="16"/>
        <v>0</v>
      </c>
      <c r="Y24" s="39">
        <f t="shared" si="16"/>
        <v>18</v>
      </c>
      <c r="Z24" s="39">
        <f t="shared" si="16"/>
        <v>10</v>
      </c>
      <c r="AA24" s="39">
        <f t="shared" si="16"/>
        <v>4</v>
      </c>
      <c r="AB24" s="39">
        <f t="shared" si="16"/>
        <v>16</v>
      </c>
      <c r="AC24" s="39">
        <f t="shared" si="16"/>
        <v>630</v>
      </c>
      <c r="AD24" s="39">
        <f t="shared" si="16"/>
        <v>0</v>
      </c>
      <c r="AE24" s="40">
        <f t="shared" si="16"/>
        <v>489</v>
      </c>
      <c r="AF24" s="40">
        <f t="shared" si="16"/>
        <v>959</v>
      </c>
    </row>
    <row r="25" spans="2:32" ht="23.1" customHeight="1" x14ac:dyDescent="0.25">
      <c r="B25" s="23" t="s">
        <v>52</v>
      </c>
      <c r="C25" s="50">
        <v>15</v>
      </c>
      <c r="D25" s="50">
        <v>13</v>
      </c>
      <c r="E25" s="50">
        <v>9</v>
      </c>
      <c r="F25" s="50">
        <v>10</v>
      </c>
      <c r="G25" s="50">
        <v>0</v>
      </c>
      <c r="H25" s="50">
        <v>0</v>
      </c>
      <c r="I25" s="50">
        <v>3</v>
      </c>
      <c r="J25" s="50">
        <v>2</v>
      </c>
      <c r="K25" s="50">
        <v>2</v>
      </c>
      <c r="L25" s="50">
        <v>4</v>
      </c>
      <c r="M25" s="50">
        <v>123</v>
      </c>
      <c r="N25" s="50">
        <v>0</v>
      </c>
      <c r="O25" s="15">
        <f t="shared" si="0"/>
        <v>58</v>
      </c>
      <c r="P25" s="15">
        <f t="shared" si="1"/>
        <v>181</v>
      </c>
      <c r="R25" s="37" t="s">
        <v>85</v>
      </c>
      <c r="S25" s="35">
        <f t="shared" ref="S25:AF25" si="17">SUM(S10:S12)</f>
        <v>171</v>
      </c>
      <c r="T25" s="16">
        <f t="shared" si="17"/>
        <v>83</v>
      </c>
      <c r="U25" s="16">
        <f t="shared" si="17"/>
        <v>20</v>
      </c>
      <c r="V25" s="16">
        <f t="shared" si="17"/>
        <v>206</v>
      </c>
      <c r="W25" s="16">
        <f t="shared" si="17"/>
        <v>1</v>
      </c>
      <c r="X25" s="16">
        <f t="shared" si="17"/>
        <v>0</v>
      </c>
      <c r="Y25" s="16">
        <f t="shared" si="17"/>
        <v>29</v>
      </c>
      <c r="Z25" s="16">
        <f t="shared" si="17"/>
        <v>15</v>
      </c>
      <c r="AA25" s="16">
        <f t="shared" si="17"/>
        <v>14</v>
      </c>
      <c r="AB25" s="16">
        <f t="shared" si="17"/>
        <v>38</v>
      </c>
      <c r="AC25" s="16">
        <f t="shared" si="17"/>
        <v>1812</v>
      </c>
      <c r="AD25" s="16">
        <f t="shared" si="17"/>
        <v>0</v>
      </c>
      <c r="AE25" s="32">
        <f t="shared" si="17"/>
        <v>577</v>
      </c>
      <c r="AF25" s="32">
        <f t="shared" si="17"/>
        <v>2389</v>
      </c>
    </row>
    <row r="26" spans="2:32" ht="23.1" customHeight="1" x14ac:dyDescent="0.25">
      <c r="B26" s="23" t="s">
        <v>53</v>
      </c>
      <c r="C26" s="50">
        <v>19</v>
      </c>
      <c r="D26" s="50">
        <v>6</v>
      </c>
      <c r="E26" s="50">
        <v>3</v>
      </c>
      <c r="F26" s="50">
        <v>8</v>
      </c>
      <c r="G26" s="50">
        <v>0</v>
      </c>
      <c r="H26" s="50">
        <v>0</v>
      </c>
      <c r="I26" s="50">
        <v>2</v>
      </c>
      <c r="J26" s="50">
        <v>3</v>
      </c>
      <c r="K26" s="50">
        <v>3</v>
      </c>
      <c r="L26" s="50">
        <v>5</v>
      </c>
      <c r="M26" s="50">
        <v>120</v>
      </c>
      <c r="N26" s="50">
        <v>0</v>
      </c>
      <c r="O26" s="15">
        <f t="shared" si="0"/>
        <v>49</v>
      </c>
      <c r="P26" s="15">
        <f t="shared" si="1"/>
        <v>169</v>
      </c>
      <c r="R26" s="28" t="s">
        <v>86</v>
      </c>
      <c r="S26" s="16">
        <f t="shared" ref="S26:AF26" si="18">SUM(S13:S18)</f>
        <v>441</v>
      </c>
      <c r="T26" s="16">
        <f t="shared" si="18"/>
        <v>245</v>
      </c>
      <c r="U26" s="16">
        <f t="shared" si="18"/>
        <v>103</v>
      </c>
      <c r="V26" s="16">
        <f t="shared" si="18"/>
        <v>256</v>
      </c>
      <c r="W26" s="16">
        <f t="shared" si="18"/>
        <v>3</v>
      </c>
      <c r="X26" s="16">
        <f t="shared" si="18"/>
        <v>1</v>
      </c>
      <c r="Y26" s="16">
        <f t="shared" si="18"/>
        <v>85</v>
      </c>
      <c r="Z26" s="16">
        <f t="shared" si="18"/>
        <v>60</v>
      </c>
      <c r="AA26" s="16">
        <f t="shared" si="18"/>
        <v>53</v>
      </c>
      <c r="AB26" s="16">
        <f t="shared" si="18"/>
        <v>136</v>
      </c>
      <c r="AC26" s="16">
        <f t="shared" si="18"/>
        <v>2537</v>
      </c>
      <c r="AD26" s="16">
        <f t="shared" si="18"/>
        <v>0</v>
      </c>
      <c r="AE26" s="32">
        <f t="shared" si="18"/>
        <v>1383</v>
      </c>
      <c r="AF26" s="32">
        <f t="shared" si="18"/>
        <v>3920</v>
      </c>
    </row>
    <row r="27" spans="2:32" ht="23.1" customHeight="1" x14ac:dyDescent="0.25">
      <c r="B27" s="23" t="s">
        <v>54</v>
      </c>
      <c r="C27" s="50">
        <v>27</v>
      </c>
      <c r="D27" s="50">
        <v>11</v>
      </c>
      <c r="E27" s="50">
        <v>5</v>
      </c>
      <c r="F27" s="50">
        <v>18</v>
      </c>
      <c r="G27" s="50">
        <v>2</v>
      </c>
      <c r="H27" s="50">
        <v>0</v>
      </c>
      <c r="I27" s="50">
        <v>3</v>
      </c>
      <c r="J27" s="50">
        <v>5</v>
      </c>
      <c r="K27" s="50">
        <v>5</v>
      </c>
      <c r="L27" s="50">
        <v>12</v>
      </c>
      <c r="M27" s="50">
        <v>105</v>
      </c>
      <c r="N27" s="50">
        <v>0</v>
      </c>
      <c r="O27" s="15">
        <f t="shared" si="0"/>
        <v>88</v>
      </c>
      <c r="P27" s="15">
        <f t="shared" si="1"/>
        <v>193</v>
      </c>
      <c r="R27" s="29" t="s">
        <v>87</v>
      </c>
      <c r="S27" s="16">
        <f t="shared" ref="S27:AF27" si="19">SUM(S19:S21)</f>
        <v>464</v>
      </c>
      <c r="T27" s="16">
        <f t="shared" si="19"/>
        <v>285</v>
      </c>
      <c r="U27" s="16">
        <f t="shared" si="19"/>
        <v>101</v>
      </c>
      <c r="V27" s="16">
        <f t="shared" si="19"/>
        <v>129</v>
      </c>
      <c r="W27" s="16">
        <f t="shared" si="19"/>
        <v>0</v>
      </c>
      <c r="X27" s="16">
        <f t="shared" si="19"/>
        <v>0</v>
      </c>
      <c r="Y27" s="16">
        <f t="shared" si="19"/>
        <v>40</v>
      </c>
      <c r="Z27" s="16">
        <f t="shared" si="19"/>
        <v>18</v>
      </c>
      <c r="AA27" s="16">
        <f t="shared" si="19"/>
        <v>10</v>
      </c>
      <c r="AB27" s="16">
        <f t="shared" si="19"/>
        <v>33</v>
      </c>
      <c r="AC27" s="16">
        <f t="shared" si="19"/>
        <v>1675</v>
      </c>
      <c r="AD27" s="16">
        <f t="shared" si="19"/>
        <v>0</v>
      </c>
      <c r="AE27" s="32">
        <f t="shared" si="19"/>
        <v>1080</v>
      </c>
      <c r="AF27" s="32">
        <f t="shared" si="19"/>
        <v>2755</v>
      </c>
    </row>
    <row r="28" spans="2:32" ht="23.1" customHeight="1" x14ac:dyDescent="0.25">
      <c r="B28" s="23" t="s">
        <v>55</v>
      </c>
      <c r="C28" s="50">
        <v>18</v>
      </c>
      <c r="D28" s="50">
        <v>16</v>
      </c>
      <c r="E28" s="50">
        <v>2</v>
      </c>
      <c r="F28" s="50">
        <v>12</v>
      </c>
      <c r="G28" s="50">
        <v>0</v>
      </c>
      <c r="H28" s="50">
        <v>0</v>
      </c>
      <c r="I28" s="50">
        <v>0</v>
      </c>
      <c r="J28" s="50">
        <v>2</v>
      </c>
      <c r="K28" s="50">
        <v>3</v>
      </c>
      <c r="L28" s="50">
        <v>7</v>
      </c>
      <c r="M28" s="50">
        <v>115</v>
      </c>
      <c r="N28" s="50">
        <v>0</v>
      </c>
      <c r="O28" s="15">
        <f t="shared" si="0"/>
        <v>60</v>
      </c>
      <c r="P28" s="15">
        <f t="shared" si="1"/>
        <v>175</v>
      </c>
      <c r="R28" s="5" t="s">
        <v>17</v>
      </c>
      <c r="S28" s="16">
        <f t="shared" ref="S28:AF28" si="20">SUM(S10:S21)</f>
        <v>1076</v>
      </c>
      <c r="T28" s="16">
        <f t="shared" si="20"/>
        <v>613</v>
      </c>
      <c r="U28" s="16">
        <f t="shared" si="20"/>
        <v>224</v>
      </c>
      <c r="V28" s="16">
        <f t="shared" si="20"/>
        <v>591</v>
      </c>
      <c r="W28" s="16">
        <f t="shared" si="20"/>
        <v>4</v>
      </c>
      <c r="X28" s="16">
        <f t="shared" si="20"/>
        <v>1</v>
      </c>
      <c r="Y28" s="16">
        <f t="shared" si="20"/>
        <v>154</v>
      </c>
      <c r="Z28" s="16">
        <f t="shared" si="20"/>
        <v>93</v>
      </c>
      <c r="AA28" s="16">
        <f t="shared" si="20"/>
        <v>77</v>
      </c>
      <c r="AB28" s="16">
        <f t="shared" si="20"/>
        <v>207</v>
      </c>
      <c r="AC28" s="16">
        <f t="shared" si="20"/>
        <v>6024</v>
      </c>
      <c r="AD28" s="16">
        <f t="shared" si="20"/>
        <v>0</v>
      </c>
      <c r="AE28" s="32">
        <f t="shared" si="20"/>
        <v>3040</v>
      </c>
      <c r="AF28" s="32">
        <f t="shared" si="20"/>
        <v>9064</v>
      </c>
    </row>
    <row r="29" spans="2:32" ht="23.1" customHeight="1" x14ac:dyDescent="0.25">
      <c r="B29" s="23" t="s">
        <v>56</v>
      </c>
      <c r="C29" s="50">
        <v>18</v>
      </c>
      <c r="D29" s="50">
        <v>6</v>
      </c>
      <c r="E29" s="50">
        <v>6</v>
      </c>
      <c r="F29" s="50">
        <v>11</v>
      </c>
      <c r="G29" s="50">
        <v>0</v>
      </c>
      <c r="H29" s="50">
        <v>0</v>
      </c>
      <c r="I29" s="50">
        <v>4</v>
      </c>
      <c r="J29" s="50">
        <v>3</v>
      </c>
      <c r="K29" s="50">
        <v>1</v>
      </c>
      <c r="L29" s="50">
        <v>6</v>
      </c>
      <c r="M29" s="50">
        <v>125</v>
      </c>
      <c r="N29" s="50">
        <v>0</v>
      </c>
      <c r="O29" s="15">
        <f t="shared" si="0"/>
        <v>55</v>
      </c>
      <c r="P29" s="15">
        <f t="shared" si="1"/>
        <v>180</v>
      </c>
      <c r="R29"/>
      <c r="S29" s="20"/>
      <c r="T29" s="19"/>
    </row>
    <row r="30" spans="2:32" ht="23.1" customHeight="1" x14ac:dyDescent="0.25">
      <c r="B30" s="23" t="s">
        <v>57</v>
      </c>
      <c r="C30" s="50">
        <v>18</v>
      </c>
      <c r="D30" s="50">
        <v>10</v>
      </c>
      <c r="E30" s="50">
        <v>3</v>
      </c>
      <c r="F30" s="50">
        <v>17</v>
      </c>
      <c r="G30" s="50">
        <v>0</v>
      </c>
      <c r="H30" s="50">
        <v>0</v>
      </c>
      <c r="I30" s="50">
        <v>3</v>
      </c>
      <c r="J30" s="50">
        <v>3</v>
      </c>
      <c r="K30" s="50">
        <v>4</v>
      </c>
      <c r="L30" s="50">
        <v>5</v>
      </c>
      <c r="M30" s="50">
        <v>90</v>
      </c>
      <c r="N30" s="50">
        <v>0</v>
      </c>
      <c r="O30" s="15">
        <f t="shared" si="0"/>
        <v>63</v>
      </c>
      <c r="P30" s="15">
        <f t="shared" si="1"/>
        <v>153</v>
      </c>
    </row>
    <row r="31" spans="2:32" ht="23.1" customHeight="1" x14ac:dyDescent="0.25">
      <c r="B31" s="24" t="s">
        <v>58</v>
      </c>
      <c r="C31" s="50">
        <v>26</v>
      </c>
      <c r="D31" s="50">
        <v>9</v>
      </c>
      <c r="E31" s="50">
        <v>2</v>
      </c>
      <c r="F31" s="50">
        <v>18</v>
      </c>
      <c r="G31" s="50">
        <v>0</v>
      </c>
      <c r="H31" s="50">
        <v>0</v>
      </c>
      <c r="I31" s="50">
        <v>4</v>
      </c>
      <c r="J31" s="50">
        <v>1</v>
      </c>
      <c r="K31" s="50">
        <v>2</v>
      </c>
      <c r="L31" s="50">
        <v>2</v>
      </c>
      <c r="M31" s="50">
        <v>100</v>
      </c>
      <c r="N31" s="50">
        <v>0</v>
      </c>
      <c r="O31" s="15">
        <f t="shared" si="0"/>
        <v>64</v>
      </c>
      <c r="P31" s="15">
        <f t="shared" si="1"/>
        <v>164</v>
      </c>
    </row>
    <row r="32" spans="2:32" ht="23.1" customHeight="1" x14ac:dyDescent="0.25">
      <c r="B32" s="24" t="s">
        <v>59</v>
      </c>
      <c r="C32" s="50">
        <v>11</v>
      </c>
      <c r="D32" s="50">
        <v>5</v>
      </c>
      <c r="E32" s="50">
        <v>2</v>
      </c>
      <c r="F32" s="50">
        <v>1</v>
      </c>
      <c r="G32" s="50">
        <v>0</v>
      </c>
      <c r="H32" s="50">
        <v>0</v>
      </c>
      <c r="I32" s="50">
        <v>3</v>
      </c>
      <c r="J32" s="50">
        <v>4</v>
      </c>
      <c r="K32" s="50">
        <v>2</v>
      </c>
      <c r="L32" s="50">
        <v>5</v>
      </c>
      <c r="M32" s="50">
        <v>100</v>
      </c>
      <c r="N32" s="50">
        <v>0</v>
      </c>
      <c r="O32" s="15">
        <f t="shared" si="0"/>
        <v>33</v>
      </c>
      <c r="P32" s="15">
        <f t="shared" si="1"/>
        <v>133</v>
      </c>
    </row>
    <row r="33" spans="2:20" ht="23.1" customHeight="1" x14ac:dyDescent="0.25">
      <c r="B33" s="23" t="s">
        <v>60</v>
      </c>
      <c r="C33" s="50">
        <v>7</v>
      </c>
      <c r="D33" s="50">
        <v>6</v>
      </c>
      <c r="E33" s="50">
        <v>4</v>
      </c>
      <c r="F33" s="50">
        <v>12</v>
      </c>
      <c r="G33" s="50">
        <v>0</v>
      </c>
      <c r="H33" s="50">
        <v>0</v>
      </c>
      <c r="I33" s="50">
        <v>1</v>
      </c>
      <c r="J33" s="50">
        <v>1</v>
      </c>
      <c r="K33" s="50">
        <v>2</v>
      </c>
      <c r="L33" s="50">
        <v>5</v>
      </c>
      <c r="M33" s="50">
        <v>90</v>
      </c>
      <c r="N33" s="50">
        <v>0</v>
      </c>
      <c r="O33" s="15">
        <f t="shared" si="0"/>
        <v>38</v>
      </c>
      <c r="P33" s="15">
        <f t="shared" si="1"/>
        <v>128</v>
      </c>
    </row>
    <row r="34" spans="2:20" ht="23.1" customHeight="1" x14ac:dyDescent="0.25">
      <c r="B34" s="24" t="s">
        <v>61</v>
      </c>
      <c r="C34" s="50">
        <v>21</v>
      </c>
      <c r="D34" s="50">
        <v>14</v>
      </c>
      <c r="E34" s="50">
        <v>6</v>
      </c>
      <c r="F34" s="50">
        <v>11</v>
      </c>
      <c r="G34" s="50">
        <v>0</v>
      </c>
      <c r="H34" s="50">
        <v>0</v>
      </c>
      <c r="I34" s="50">
        <v>7</v>
      </c>
      <c r="J34" s="50">
        <v>4</v>
      </c>
      <c r="K34" s="50">
        <v>3</v>
      </c>
      <c r="L34" s="50">
        <v>7</v>
      </c>
      <c r="M34" s="50">
        <v>115</v>
      </c>
      <c r="N34" s="50">
        <v>0</v>
      </c>
      <c r="O34" s="15">
        <f t="shared" si="0"/>
        <v>73</v>
      </c>
      <c r="P34" s="15">
        <f t="shared" si="1"/>
        <v>188</v>
      </c>
    </row>
    <row r="35" spans="2:20" ht="23.1" customHeight="1" x14ac:dyDescent="0.25">
      <c r="B35" s="24" t="s">
        <v>62</v>
      </c>
      <c r="C35" s="50">
        <v>7</v>
      </c>
      <c r="D35" s="50">
        <v>5</v>
      </c>
      <c r="E35" s="50">
        <v>1</v>
      </c>
      <c r="F35" s="50">
        <v>2</v>
      </c>
      <c r="G35" s="50">
        <v>0</v>
      </c>
      <c r="H35" s="50">
        <v>0</v>
      </c>
      <c r="I35" s="50">
        <v>2</v>
      </c>
      <c r="J35" s="50">
        <v>2</v>
      </c>
      <c r="K35" s="50">
        <v>2</v>
      </c>
      <c r="L35" s="50">
        <v>8</v>
      </c>
      <c r="M35" s="50">
        <v>90</v>
      </c>
      <c r="N35" s="50">
        <v>0</v>
      </c>
      <c r="O35" s="15">
        <f t="shared" si="0"/>
        <v>29</v>
      </c>
      <c r="P35" s="15">
        <f t="shared" si="1"/>
        <v>119</v>
      </c>
    </row>
    <row r="36" spans="2:20" ht="23.1" customHeight="1" x14ac:dyDescent="0.25">
      <c r="B36" s="24" t="s">
        <v>63</v>
      </c>
      <c r="C36" s="50">
        <v>25</v>
      </c>
      <c r="D36" s="50">
        <v>11</v>
      </c>
      <c r="E36" s="50">
        <v>3</v>
      </c>
      <c r="F36" s="50">
        <v>7</v>
      </c>
      <c r="G36" s="50">
        <v>0</v>
      </c>
      <c r="H36" s="50">
        <v>0</v>
      </c>
      <c r="I36" s="50">
        <v>1</v>
      </c>
      <c r="J36" s="50">
        <v>3</v>
      </c>
      <c r="K36" s="50">
        <v>3</v>
      </c>
      <c r="L36" s="50">
        <v>7</v>
      </c>
      <c r="M36" s="50">
        <v>110</v>
      </c>
      <c r="N36" s="50">
        <v>0</v>
      </c>
      <c r="O36" s="15">
        <f t="shared" si="0"/>
        <v>60</v>
      </c>
      <c r="P36" s="15">
        <f t="shared" si="1"/>
        <v>170</v>
      </c>
    </row>
    <row r="37" spans="2:20" ht="23.1" customHeight="1" x14ac:dyDescent="0.25">
      <c r="B37" s="23" t="s">
        <v>64</v>
      </c>
      <c r="C37" s="50">
        <v>11</v>
      </c>
      <c r="D37" s="50">
        <v>9</v>
      </c>
      <c r="E37" s="50">
        <v>5</v>
      </c>
      <c r="F37" s="50">
        <v>6</v>
      </c>
      <c r="G37" s="50">
        <v>0</v>
      </c>
      <c r="H37" s="50">
        <v>0</v>
      </c>
      <c r="I37" s="50">
        <v>2</v>
      </c>
      <c r="J37" s="50">
        <v>2</v>
      </c>
      <c r="K37" s="50">
        <v>3</v>
      </c>
      <c r="L37" s="50">
        <v>2</v>
      </c>
      <c r="M37" s="50">
        <v>60</v>
      </c>
      <c r="N37" s="50">
        <v>0</v>
      </c>
      <c r="O37" s="15">
        <f t="shared" si="0"/>
        <v>40</v>
      </c>
      <c r="P37" s="15">
        <f t="shared" si="1"/>
        <v>100</v>
      </c>
    </row>
    <row r="38" spans="2:20" ht="23.1" customHeight="1" x14ac:dyDescent="0.25">
      <c r="B38" s="24" t="s">
        <v>65</v>
      </c>
      <c r="C38" s="50">
        <v>5</v>
      </c>
      <c r="D38" s="50">
        <v>7</v>
      </c>
      <c r="E38" s="50">
        <v>5</v>
      </c>
      <c r="F38" s="50">
        <v>13</v>
      </c>
      <c r="G38" s="50">
        <v>0</v>
      </c>
      <c r="H38" s="50">
        <v>0</v>
      </c>
      <c r="I38" s="50">
        <v>6</v>
      </c>
      <c r="J38" s="50">
        <v>2</v>
      </c>
      <c r="K38" s="50">
        <v>2</v>
      </c>
      <c r="L38" s="50">
        <v>6</v>
      </c>
      <c r="M38" s="50">
        <v>95</v>
      </c>
      <c r="N38" s="50">
        <v>0</v>
      </c>
      <c r="O38" s="15">
        <f t="shared" si="0"/>
        <v>46</v>
      </c>
      <c r="P38" s="15">
        <f t="shared" si="1"/>
        <v>141</v>
      </c>
    </row>
    <row r="39" spans="2:20" ht="23.1" customHeight="1" x14ac:dyDescent="0.25">
      <c r="B39" s="24" t="s">
        <v>66</v>
      </c>
      <c r="C39" s="50">
        <v>13</v>
      </c>
      <c r="D39" s="50">
        <v>10</v>
      </c>
      <c r="E39" s="50">
        <v>5</v>
      </c>
      <c r="F39" s="50">
        <v>4</v>
      </c>
      <c r="G39" s="50">
        <v>0</v>
      </c>
      <c r="H39" s="50">
        <v>0</v>
      </c>
      <c r="I39" s="50">
        <v>4</v>
      </c>
      <c r="J39" s="50">
        <v>3</v>
      </c>
      <c r="K39" s="50">
        <v>2</v>
      </c>
      <c r="L39" s="50">
        <v>3</v>
      </c>
      <c r="M39" s="50">
        <v>100</v>
      </c>
      <c r="N39" s="50">
        <v>0</v>
      </c>
      <c r="O39" s="15">
        <f t="shared" si="0"/>
        <v>44</v>
      </c>
      <c r="P39" s="15">
        <f t="shared" si="1"/>
        <v>144</v>
      </c>
    </row>
    <row r="40" spans="2:20" ht="23.1" customHeight="1" x14ac:dyDescent="0.25">
      <c r="B40" s="24" t="s">
        <v>67</v>
      </c>
      <c r="C40" s="50">
        <v>22</v>
      </c>
      <c r="D40" s="50">
        <v>15</v>
      </c>
      <c r="E40" s="50">
        <v>9</v>
      </c>
      <c r="F40" s="50">
        <v>11</v>
      </c>
      <c r="G40" s="50">
        <v>0</v>
      </c>
      <c r="H40" s="50">
        <v>0</v>
      </c>
      <c r="I40" s="50">
        <v>7</v>
      </c>
      <c r="J40" s="50">
        <v>3</v>
      </c>
      <c r="K40" s="50">
        <v>2</v>
      </c>
      <c r="L40" s="50">
        <v>7</v>
      </c>
      <c r="M40" s="50">
        <v>90</v>
      </c>
      <c r="N40" s="50">
        <v>0</v>
      </c>
      <c r="O40" s="15">
        <f t="shared" si="0"/>
        <v>76</v>
      </c>
      <c r="P40" s="15">
        <f t="shared" si="1"/>
        <v>166</v>
      </c>
    </row>
    <row r="41" spans="2:20" ht="23.1" customHeight="1" x14ac:dyDescent="0.25">
      <c r="B41" s="23" t="s">
        <v>68</v>
      </c>
      <c r="C41" s="50">
        <v>31</v>
      </c>
      <c r="D41" s="50">
        <v>15</v>
      </c>
      <c r="E41" s="50">
        <v>3</v>
      </c>
      <c r="F41" s="50">
        <v>8</v>
      </c>
      <c r="G41" s="50">
        <v>0</v>
      </c>
      <c r="H41" s="50">
        <v>1</v>
      </c>
      <c r="I41" s="50">
        <v>3</v>
      </c>
      <c r="J41" s="50">
        <v>2</v>
      </c>
      <c r="K41" s="50">
        <v>2</v>
      </c>
      <c r="L41" s="50">
        <v>6</v>
      </c>
      <c r="M41" s="50">
        <v>95</v>
      </c>
      <c r="N41" s="50">
        <v>0</v>
      </c>
      <c r="O41" s="15">
        <f t="shared" si="0"/>
        <v>71</v>
      </c>
      <c r="P41" s="15">
        <f t="shared" si="1"/>
        <v>166</v>
      </c>
    </row>
    <row r="42" spans="2:20" ht="23.1" customHeight="1" x14ac:dyDescent="0.25">
      <c r="B42" s="24" t="s">
        <v>69</v>
      </c>
      <c r="C42" s="50">
        <v>22</v>
      </c>
      <c r="D42" s="50">
        <v>15</v>
      </c>
      <c r="E42" s="50">
        <v>6</v>
      </c>
      <c r="F42" s="50">
        <v>10</v>
      </c>
      <c r="G42" s="50">
        <v>0</v>
      </c>
      <c r="H42" s="50">
        <v>0</v>
      </c>
      <c r="I42" s="50">
        <v>1</v>
      </c>
      <c r="J42" s="50">
        <v>2</v>
      </c>
      <c r="K42" s="50">
        <v>1</v>
      </c>
      <c r="L42" s="50">
        <v>4</v>
      </c>
      <c r="M42" s="50">
        <v>105</v>
      </c>
      <c r="N42" s="50">
        <v>0</v>
      </c>
      <c r="O42" s="15">
        <f t="shared" si="0"/>
        <v>61</v>
      </c>
      <c r="P42" s="15">
        <f t="shared" si="1"/>
        <v>166</v>
      </c>
    </row>
    <row r="43" spans="2:20" ht="23.1" customHeight="1" x14ac:dyDescent="0.25">
      <c r="B43" s="23" t="s">
        <v>70</v>
      </c>
      <c r="C43" s="50">
        <v>21</v>
      </c>
      <c r="D43" s="50">
        <v>10</v>
      </c>
      <c r="E43" s="50">
        <v>3</v>
      </c>
      <c r="F43" s="50">
        <v>13</v>
      </c>
      <c r="G43" s="50">
        <v>0</v>
      </c>
      <c r="H43" s="50">
        <v>0</v>
      </c>
      <c r="I43" s="50">
        <v>2</v>
      </c>
      <c r="J43" s="50">
        <v>0</v>
      </c>
      <c r="K43" s="50">
        <v>1</v>
      </c>
      <c r="L43" s="50">
        <v>3</v>
      </c>
      <c r="M43" s="50">
        <v>99</v>
      </c>
      <c r="N43" s="50">
        <v>0</v>
      </c>
      <c r="O43" s="15">
        <f t="shared" si="0"/>
        <v>53</v>
      </c>
      <c r="P43" s="15">
        <f t="shared" si="1"/>
        <v>152</v>
      </c>
    </row>
    <row r="44" spans="2:20" ht="23.1" customHeight="1" x14ac:dyDescent="0.25">
      <c r="B44" s="25" t="s">
        <v>71</v>
      </c>
      <c r="C44" s="50">
        <v>31</v>
      </c>
      <c r="D44" s="50">
        <v>21</v>
      </c>
      <c r="E44" s="50">
        <v>5</v>
      </c>
      <c r="F44" s="50">
        <v>15</v>
      </c>
      <c r="G44" s="50">
        <v>0</v>
      </c>
      <c r="H44" s="50">
        <v>0</v>
      </c>
      <c r="I44" s="50">
        <v>5</v>
      </c>
      <c r="J44" s="50">
        <v>1</v>
      </c>
      <c r="K44" s="50">
        <v>2</v>
      </c>
      <c r="L44" s="50">
        <v>6</v>
      </c>
      <c r="M44" s="50">
        <v>115</v>
      </c>
      <c r="N44" s="50">
        <v>0</v>
      </c>
      <c r="O44" s="15">
        <f t="shared" si="0"/>
        <v>86</v>
      </c>
      <c r="P44" s="15">
        <f t="shared" si="1"/>
        <v>201</v>
      </c>
    </row>
    <row r="45" spans="2:20" ht="23.1" customHeight="1" x14ac:dyDescent="0.25">
      <c r="B45" s="23" t="s">
        <v>72</v>
      </c>
      <c r="C45" s="50">
        <v>25</v>
      </c>
      <c r="D45" s="50">
        <v>12</v>
      </c>
      <c r="E45" s="50">
        <v>6</v>
      </c>
      <c r="F45" s="50">
        <v>7</v>
      </c>
      <c r="G45" s="50">
        <v>0</v>
      </c>
      <c r="H45" s="50">
        <v>0</v>
      </c>
      <c r="I45" s="50">
        <v>4</v>
      </c>
      <c r="J45" s="50">
        <v>2</v>
      </c>
      <c r="K45" s="50">
        <v>1</v>
      </c>
      <c r="L45" s="50">
        <v>4</v>
      </c>
      <c r="M45" s="50">
        <v>135</v>
      </c>
      <c r="N45" s="50">
        <v>0</v>
      </c>
      <c r="O45" s="15">
        <f t="shared" si="0"/>
        <v>61</v>
      </c>
      <c r="P45" s="15">
        <f t="shared" si="1"/>
        <v>196</v>
      </c>
    </row>
    <row r="46" spans="2:20" ht="23.1" customHeight="1" x14ac:dyDescent="0.25">
      <c r="B46" s="24" t="s">
        <v>73</v>
      </c>
      <c r="C46" s="50">
        <v>50</v>
      </c>
      <c r="D46" s="50">
        <v>30</v>
      </c>
      <c r="E46" s="50">
        <v>23</v>
      </c>
      <c r="F46" s="50">
        <v>20</v>
      </c>
      <c r="G46" s="50">
        <v>0</v>
      </c>
      <c r="H46" s="50">
        <v>0</v>
      </c>
      <c r="I46" s="50">
        <v>4</v>
      </c>
      <c r="J46" s="50">
        <v>3</v>
      </c>
      <c r="K46" s="50">
        <v>0</v>
      </c>
      <c r="L46" s="50">
        <v>3</v>
      </c>
      <c r="M46" s="50">
        <v>105</v>
      </c>
      <c r="N46" s="50">
        <v>0</v>
      </c>
      <c r="O46" s="15">
        <f t="shared" si="0"/>
        <v>133</v>
      </c>
      <c r="P46" s="15">
        <f t="shared" si="1"/>
        <v>238</v>
      </c>
      <c r="R46" s="8"/>
      <c r="T46"/>
    </row>
    <row r="47" spans="2:20" ht="23.1" customHeight="1" x14ac:dyDescent="0.25">
      <c r="B47" s="24" t="s">
        <v>74</v>
      </c>
      <c r="C47" s="50">
        <v>55</v>
      </c>
      <c r="D47" s="50">
        <v>34</v>
      </c>
      <c r="E47" s="50">
        <v>11</v>
      </c>
      <c r="F47" s="50">
        <v>15</v>
      </c>
      <c r="G47" s="50">
        <v>0</v>
      </c>
      <c r="H47" s="50">
        <v>0</v>
      </c>
      <c r="I47" s="50">
        <v>5</v>
      </c>
      <c r="J47" s="50">
        <v>0</v>
      </c>
      <c r="K47" s="50">
        <v>2</v>
      </c>
      <c r="L47" s="50">
        <v>2</v>
      </c>
      <c r="M47" s="50">
        <v>110</v>
      </c>
      <c r="N47" s="50">
        <v>0</v>
      </c>
      <c r="O47" s="15">
        <f t="shared" si="0"/>
        <v>124</v>
      </c>
      <c r="P47" s="15">
        <f t="shared" si="1"/>
        <v>234</v>
      </c>
      <c r="R47" s="8"/>
      <c r="T47"/>
    </row>
    <row r="48" spans="2:20" ht="23.1" customHeight="1" x14ac:dyDescent="0.25">
      <c r="B48" s="24" t="s">
        <v>75</v>
      </c>
      <c r="C48" s="50">
        <v>46</v>
      </c>
      <c r="D48" s="50">
        <v>23</v>
      </c>
      <c r="E48" s="50">
        <v>2</v>
      </c>
      <c r="F48" s="50">
        <v>19</v>
      </c>
      <c r="G48" s="50">
        <v>0</v>
      </c>
      <c r="H48" s="50">
        <v>0</v>
      </c>
      <c r="I48" s="50">
        <v>4</v>
      </c>
      <c r="J48" s="50">
        <v>4</v>
      </c>
      <c r="K48" s="50">
        <v>1</v>
      </c>
      <c r="L48" s="50">
        <v>1</v>
      </c>
      <c r="M48" s="50">
        <v>120</v>
      </c>
      <c r="N48" s="50">
        <v>0</v>
      </c>
      <c r="O48" s="15">
        <f t="shared" si="0"/>
        <v>100</v>
      </c>
      <c r="P48" s="15">
        <f t="shared" si="1"/>
        <v>220</v>
      </c>
      <c r="R48" s="8"/>
      <c r="T48"/>
    </row>
    <row r="49" spans="2:20" ht="23.1" customHeight="1" x14ac:dyDescent="0.25">
      <c r="B49" s="23" t="s">
        <v>76</v>
      </c>
      <c r="C49" s="50">
        <v>45</v>
      </c>
      <c r="D49" s="50">
        <v>60</v>
      </c>
      <c r="E49" s="50">
        <v>15</v>
      </c>
      <c r="F49" s="50">
        <v>1</v>
      </c>
      <c r="G49" s="50">
        <v>0</v>
      </c>
      <c r="H49" s="50">
        <v>0</v>
      </c>
      <c r="I49" s="50">
        <v>5</v>
      </c>
      <c r="J49" s="50">
        <v>3</v>
      </c>
      <c r="K49" s="50">
        <v>0</v>
      </c>
      <c r="L49" s="50">
        <v>3</v>
      </c>
      <c r="M49" s="50">
        <v>135</v>
      </c>
      <c r="N49" s="50">
        <v>0</v>
      </c>
      <c r="O49" s="15">
        <f t="shared" si="0"/>
        <v>132</v>
      </c>
      <c r="P49" s="15">
        <f t="shared" si="1"/>
        <v>267</v>
      </c>
      <c r="R49" s="8"/>
      <c r="T49"/>
    </row>
    <row r="50" spans="2:20" ht="23.1" customHeight="1" x14ac:dyDescent="0.25">
      <c r="B50" s="24" t="s">
        <v>77</v>
      </c>
      <c r="C50" s="50">
        <v>60</v>
      </c>
      <c r="D50" s="50">
        <v>25</v>
      </c>
      <c r="E50" s="50">
        <v>20</v>
      </c>
      <c r="F50" s="50">
        <v>40</v>
      </c>
      <c r="G50" s="50">
        <v>0</v>
      </c>
      <c r="H50" s="50">
        <v>0</v>
      </c>
      <c r="I50" s="50">
        <v>5</v>
      </c>
      <c r="J50" s="50">
        <v>1</v>
      </c>
      <c r="K50" s="50">
        <v>0</v>
      </c>
      <c r="L50" s="50">
        <v>3</v>
      </c>
      <c r="M50" s="50">
        <v>110</v>
      </c>
      <c r="N50" s="50">
        <v>0</v>
      </c>
      <c r="O50" s="15">
        <f t="shared" si="0"/>
        <v>154</v>
      </c>
      <c r="P50" s="15">
        <f t="shared" si="1"/>
        <v>264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1</v>
      </c>
      <c r="E51" s="50">
        <v>2</v>
      </c>
      <c r="F51" s="50">
        <v>2</v>
      </c>
      <c r="G51" s="50">
        <v>0</v>
      </c>
      <c r="H51" s="50">
        <v>0</v>
      </c>
      <c r="I51" s="50">
        <v>2</v>
      </c>
      <c r="J51" s="50">
        <v>1</v>
      </c>
      <c r="K51" s="50">
        <v>1</v>
      </c>
      <c r="L51" s="50">
        <v>1</v>
      </c>
      <c r="M51" s="50">
        <v>155</v>
      </c>
      <c r="N51" s="50">
        <v>0</v>
      </c>
      <c r="O51" s="15">
        <f t="shared" si="0"/>
        <v>20</v>
      </c>
      <c r="P51" s="15">
        <f t="shared" si="1"/>
        <v>175</v>
      </c>
      <c r="R51" s="8"/>
      <c r="T51"/>
    </row>
    <row r="52" spans="2:20" ht="23.1" customHeight="1" x14ac:dyDescent="0.25">
      <c r="B52" s="24" t="s">
        <v>79</v>
      </c>
      <c r="C52" s="50">
        <v>38</v>
      </c>
      <c r="D52" s="50">
        <v>26</v>
      </c>
      <c r="E52" s="50">
        <v>4</v>
      </c>
      <c r="F52" s="50">
        <v>5</v>
      </c>
      <c r="G52" s="50">
        <v>0</v>
      </c>
      <c r="H52" s="50">
        <v>0</v>
      </c>
      <c r="I52" s="50">
        <v>4</v>
      </c>
      <c r="J52" s="50">
        <v>1</v>
      </c>
      <c r="K52" s="50">
        <v>2</v>
      </c>
      <c r="L52" s="50">
        <v>2</v>
      </c>
      <c r="M52" s="50">
        <v>150</v>
      </c>
      <c r="N52" s="50">
        <v>0</v>
      </c>
      <c r="O52" s="15">
        <f t="shared" si="0"/>
        <v>82</v>
      </c>
      <c r="P52" s="15">
        <f t="shared" si="1"/>
        <v>232</v>
      </c>
      <c r="R52" s="8"/>
      <c r="T52"/>
    </row>
    <row r="53" spans="2:20" ht="23.1" customHeight="1" x14ac:dyDescent="0.25">
      <c r="B53" s="23" t="s">
        <v>80</v>
      </c>
      <c r="C53" s="50">
        <v>27</v>
      </c>
      <c r="D53" s="50">
        <v>20</v>
      </c>
      <c r="E53" s="50">
        <v>4</v>
      </c>
      <c r="F53" s="50">
        <v>3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2</v>
      </c>
      <c r="M53" s="50">
        <v>160</v>
      </c>
      <c r="N53" s="50">
        <v>0</v>
      </c>
      <c r="O53" s="15">
        <f t="shared" si="0"/>
        <v>59</v>
      </c>
      <c r="P53" s="15">
        <f t="shared" si="1"/>
        <v>219</v>
      </c>
      <c r="R53" s="8"/>
      <c r="T53"/>
    </row>
    <row r="54" spans="2:20" ht="23.1" customHeight="1" x14ac:dyDescent="0.25">
      <c r="B54" s="23" t="s">
        <v>81</v>
      </c>
      <c r="C54" s="50">
        <v>38</v>
      </c>
      <c r="D54" s="50">
        <v>15</v>
      </c>
      <c r="E54" s="50">
        <v>2</v>
      </c>
      <c r="F54" s="50">
        <v>8</v>
      </c>
      <c r="G54" s="50">
        <v>0</v>
      </c>
      <c r="H54" s="50">
        <v>0</v>
      </c>
      <c r="I54" s="50">
        <v>3</v>
      </c>
      <c r="J54" s="50">
        <v>1</v>
      </c>
      <c r="K54" s="50">
        <v>2</v>
      </c>
      <c r="L54" s="50">
        <v>4</v>
      </c>
      <c r="M54" s="50">
        <v>150</v>
      </c>
      <c r="N54" s="50">
        <v>0</v>
      </c>
      <c r="O54" s="15">
        <f t="shared" si="0"/>
        <v>73</v>
      </c>
      <c r="P54" s="15">
        <f t="shared" si="1"/>
        <v>223</v>
      </c>
      <c r="R54" s="8"/>
      <c r="T54"/>
    </row>
    <row r="55" spans="2:20" ht="23.1" customHeight="1" x14ac:dyDescent="0.25">
      <c r="B55" s="23" t="s">
        <v>82</v>
      </c>
      <c r="C55" s="50">
        <v>40</v>
      </c>
      <c r="D55" s="50">
        <v>26</v>
      </c>
      <c r="E55" s="50">
        <v>6</v>
      </c>
      <c r="F55" s="50">
        <v>10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1</v>
      </c>
      <c r="M55" s="50">
        <v>145</v>
      </c>
      <c r="N55" s="50">
        <v>0</v>
      </c>
      <c r="O55" s="15">
        <f t="shared" si="0"/>
        <v>87</v>
      </c>
      <c r="P55" s="15">
        <f t="shared" si="1"/>
        <v>232</v>
      </c>
      <c r="R55" s="8"/>
      <c r="T55"/>
    </row>
    <row r="56" spans="2:20" ht="23.1" customHeight="1" x14ac:dyDescent="0.25">
      <c r="B56" s="23" t="s">
        <v>83</v>
      </c>
      <c r="C56" s="50">
        <v>35</v>
      </c>
      <c r="D56" s="50">
        <v>16</v>
      </c>
      <c r="E56" s="50">
        <v>3</v>
      </c>
      <c r="F56" s="50">
        <v>4</v>
      </c>
      <c r="G56" s="50">
        <v>0</v>
      </c>
      <c r="H56" s="50">
        <v>0</v>
      </c>
      <c r="I56" s="50">
        <v>1</v>
      </c>
      <c r="J56" s="50">
        <v>1</v>
      </c>
      <c r="K56" s="50">
        <v>1</v>
      </c>
      <c r="L56" s="50">
        <v>6</v>
      </c>
      <c r="M56" s="50">
        <v>155</v>
      </c>
      <c r="N56" s="50">
        <v>0</v>
      </c>
      <c r="O56" s="15">
        <f t="shared" si="0"/>
        <v>67</v>
      </c>
      <c r="P56" s="15">
        <f t="shared" si="1"/>
        <v>222</v>
      </c>
      <c r="R56" s="8"/>
      <c r="T56"/>
    </row>
    <row r="57" spans="2:20" ht="23.1" customHeight="1" x14ac:dyDescent="0.25">
      <c r="B57" s="23" t="s">
        <v>84</v>
      </c>
      <c r="C57" s="50">
        <v>20</v>
      </c>
      <c r="D57" s="50">
        <v>9</v>
      </c>
      <c r="E57" s="50">
        <v>9</v>
      </c>
      <c r="F57" s="50">
        <v>2</v>
      </c>
      <c r="G57" s="50">
        <v>0</v>
      </c>
      <c r="H57" s="50">
        <v>0</v>
      </c>
      <c r="I57" s="50">
        <v>2</v>
      </c>
      <c r="J57" s="50">
        <v>1</v>
      </c>
      <c r="K57" s="50">
        <v>1</v>
      </c>
      <c r="L57" s="50">
        <v>5</v>
      </c>
      <c r="M57" s="50">
        <v>180</v>
      </c>
      <c r="N57" s="50">
        <v>0</v>
      </c>
      <c r="O57" s="15">
        <f t="shared" si="0"/>
        <v>49</v>
      </c>
      <c r="P57" s="15">
        <f t="shared" si="1"/>
        <v>229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1076</v>
      </c>
      <c r="D58" s="16">
        <f t="shared" si="21"/>
        <v>613</v>
      </c>
      <c r="E58" s="16">
        <f t="shared" si="21"/>
        <v>224</v>
      </c>
      <c r="F58" s="16">
        <f t="shared" si="21"/>
        <v>591</v>
      </c>
      <c r="G58" s="16">
        <f t="shared" si="21"/>
        <v>4</v>
      </c>
      <c r="H58" s="16">
        <f t="shared" si="21"/>
        <v>1</v>
      </c>
      <c r="I58" s="16">
        <f t="shared" si="21"/>
        <v>154</v>
      </c>
      <c r="J58" s="16">
        <f t="shared" si="21"/>
        <v>93</v>
      </c>
      <c r="K58" s="16">
        <f t="shared" si="21"/>
        <v>77</v>
      </c>
      <c r="L58" s="16">
        <f t="shared" si="21"/>
        <v>207</v>
      </c>
      <c r="M58" s="16">
        <f t="shared" si="21"/>
        <v>6024</v>
      </c>
      <c r="N58" s="16">
        <f t="shared" si="21"/>
        <v>0</v>
      </c>
      <c r="O58" s="16">
        <f t="shared" si="21"/>
        <v>3040</v>
      </c>
      <c r="P58" s="16">
        <f t="shared" si="21"/>
        <v>9064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0.11871138570167697</v>
      </c>
      <c r="D59" s="43">
        <f t="shared" si="22"/>
        <v>6.7630185348631952E-2</v>
      </c>
      <c r="E59" s="43">
        <f t="shared" si="22"/>
        <v>2.4713150926743161E-2</v>
      </c>
      <c r="F59" s="43">
        <f t="shared" si="22"/>
        <v>6.5203000882612536E-2</v>
      </c>
      <c r="G59" s="43">
        <f t="shared" si="22"/>
        <v>4.4130626654898501E-4</v>
      </c>
      <c r="H59" s="43">
        <f t="shared" si="22"/>
        <v>1.1032656663724625E-4</v>
      </c>
      <c r="I59" s="43">
        <f t="shared" si="22"/>
        <v>1.6990291262135922E-2</v>
      </c>
      <c r="J59" s="43">
        <f t="shared" si="22"/>
        <v>1.0260370697263901E-2</v>
      </c>
      <c r="K59" s="43">
        <f t="shared" si="22"/>
        <v>8.4951456310679609E-3</v>
      </c>
      <c r="L59" s="43">
        <f t="shared" si="22"/>
        <v>2.2837599293909973E-2</v>
      </c>
      <c r="M59" s="43">
        <f t="shared" si="22"/>
        <v>0.66460723742277139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0.35394736842105262</v>
      </c>
      <c r="D60" s="44">
        <f t="shared" ref="D60:N60" si="23">D58/$O$58</f>
        <v>0.20164473684210527</v>
      </c>
      <c r="E60" s="44">
        <f t="shared" si="23"/>
        <v>7.3684210526315783E-2</v>
      </c>
      <c r="F60" s="44">
        <f t="shared" si="23"/>
        <v>0.19440789473684211</v>
      </c>
      <c r="G60" s="44">
        <f t="shared" si="23"/>
        <v>1.3157894736842105E-3</v>
      </c>
      <c r="H60" s="44">
        <f t="shared" si="23"/>
        <v>3.2894736842105262E-4</v>
      </c>
      <c r="I60" s="44">
        <f t="shared" si="23"/>
        <v>5.0657894736842103E-2</v>
      </c>
      <c r="J60" s="44">
        <f t="shared" si="23"/>
        <v>3.0592105263157896E-2</v>
      </c>
      <c r="K60" s="44">
        <f t="shared" si="23"/>
        <v>2.5328947368421052E-2</v>
      </c>
      <c r="L60" s="44">
        <f t="shared" si="23"/>
        <v>6.8092105263157898E-2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2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SPEARMOTORS-NTINDA'!C3:G3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SPEAR MOTORS-NTINDA'!D5</f>
        <v>31.07.19</v>
      </c>
      <c r="E5" s="3"/>
      <c r="F5" s="41" t="s">
        <v>1</v>
      </c>
      <c r="G5" s="61" t="s">
        <v>170</v>
      </c>
      <c r="H5" s="62"/>
      <c r="I5" s="14"/>
      <c r="J5" s="2" t="s">
        <v>5</v>
      </c>
      <c r="K5" s="61" t="str">
        <f>'29.07 NTINDA-SPEAR MOTORS'!K5:L5</f>
        <v>KIVUMBI/DANIEL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'29.07 SPEARMOTORS-NTINDA'!D6:E6</f>
        <v>SPEAR MOTORS</v>
      </c>
      <c r="E6" s="62"/>
      <c r="F6" s="2" t="s">
        <v>2</v>
      </c>
      <c r="G6" s="61" t="str">
        <f>'29.07 SPEARMOTORS-NTINDA'!G6:H6</f>
        <v>NTINDA</v>
      </c>
      <c r="H6" s="62"/>
      <c r="J6" s="2" t="s">
        <v>21</v>
      </c>
      <c r="K6" s="61" t="str">
        <f>'29.07 NTINDA-SPEAR MOTORS'!K6:L6</f>
        <v>OLAYA FELIX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47</v>
      </c>
      <c r="D10" s="50">
        <v>8</v>
      </c>
      <c r="E10" s="50">
        <v>4</v>
      </c>
      <c r="F10" s="50">
        <v>3</v>
      </c>
      <c r="G10" s="50">
        <v>0</v>
      </c>
      <c r="H10" s="50">
        <v>0</v>
      </c>
      <c r="I10" s="50">
        <v>1</v>
      </c>
      <c r="J10" s="50">
        <v>2</v>
      </c>
      <c r="K10" s="50">
        <v>3</v>
      </c>
      <c r="L10" s="50">
        <v>0</v>
      </c>
      <c r="M10" s="50">
        <v>173</v>
      </c>
      <c r="N10" s="50">
        <v>0</v>
      </c>
      <c r="O10" s="15">
        <f t="shared" ref="O10:O57" si="0">SUM(C10:L10,N10)</f>
        <v>68</v>
      </c>
      <c r="P10" s="15">
        <f t="shared" ref="P10:P57" si="1">SUM(C10:N10)</f>
        <v>241</v>
      </c>
      <c r="R10" s="1" t="s">
        <v>6</v>
      </c>
      <c r="S10" s="17">
        <f t="shared" ref="S10:AF10" si="2">SUM(C10:C13)</f>
        <v>172</v>
      </c>
      <c r="T10" s="17">
        <f t="shared" si="2"/>
        <v>29</v>
      </c>
      <c r="U10" s="17">
        <f t="shared" si="2"/>
        <v>14</v>
      </c>
      <c r="V10" s="17">
        <f t="shared" si="2"/>
        <v>13</v>
      </c>
      <c r="W10" s="17">
        <f t="shared" si="2"/>
        <v>1</v>
      </c>
      <c r="X10" s="17">
        <f t="shared" si="2"/>
        <v>0</v>
      </c>
      <c r="Y10" s="17">
        <f t="shared" si="2"/>
        <v>4</v>
      </c>
      <c r="Z10" s="17">
        <f t="shared" si="2"/>
        <v>8</v>
      </c>
      <c r="AA10" s="17">
        <f t="shared" si="2"/>
        <v>3</v>
      </c>
      <c r="AB10" s="17">
        <f t="shared" si="2"/>
        <v>3</v>
      </c>
      <c r="AC10" s="17">
        <f t="shared" si="2"/>
        <v>610</v>
      </c>
      <c r="AD10" s="17">
        <f t="shared" si="2"/>
        <v>0</v>
      </c>
      <c r="AE10" s="31">
        <f t="shared" si="2"/>
        <v>247</v>
      </c>
      <c r="AF10" s="31">
        <f t="shared" si="2"/>
        <v>857</v>
      </c>
    </row>
    <row r="11" spans="2:32" s="6" customFormat="1" ht="23.1" customHeight="1" x14ac:dyDescent="0.25">
      <c r="B11" s="23" t="s">
        <v>38</v>
      </c>
      <c r="C11" s="50">
        <v>39</v>
      </c>
      <c r="D11" s="50">
        <v>7</v>
      </c>
      <c r="E11" s="50">
        <v>2</v>
      </c>
      <c r="F11" s="50">
        <v>8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2</v>
      </c>
      <c r="M11" s="50">
        <v>109</v>
      </c>
      <c r="N11" s="50">
        <v>0</v>
      </c>
      <c r="O11" s="15">
        <f t="shared" si="0"/>
        <v>59</v>
      </c>
      <c r="P11" s="15">
        <f t="shared" si="1"/>
        <v>168</v>
      </c>
      <c r="R11" s="1" t="s">
        <v>7</v>
      </c>
      <c r="S11" s="17">
        <f t="shared" ref="S11:AF11" si="3">SUM(C14:C17)</f>
        <v>129</v>
      </c>
      <c r="T11" s="17">
        <f t="shared" si="3"/>
        <v>16</v>
      </c>
      <c r="U11" s="17">
        <f t="shared" si="3"/>
        <v>12</v>
      </c>
      <c r="V11" s="17">
        <f t="shared" si="3"/>
        <v>11</v>
      </c>
      <c r="W11" s="17">
        <f t="shared" si="3"/>
        <v>1</v>
      </c>
      <c r="X11" s="17">
        <f t="shared" si="3"/>
        <v>0</v>
      </c>
      <c r="Y11" s="17">
        <f t="shared" si="3"/>
        <v>3</v>
      </c>
      <c r="Z11" s="17">
        <f t="shared" si="3"/>
        <v>8</v>
      </c>
      <c r="AA11" s="17">
        <f t="shared" si="3"/>
        <v>4</v>
      </c>
      <c r="AB11" s="17">
        <f t="shared" si="3"/>
        <v>7</v>
      </c>
      <c r="AC11" s="17">
        <f t="shared" si="3"/>
        <v>581</v>
      </c>
      <c r="AD11" s="17">
        <f t="shared" si="3"/>
        <v>0</v>
      </c>
      <c r="AE11" s="31">
        <f t="shared" si="3"/>
        <v>191</v>
      </c>
      <c r="AF11" s="31">
        <f t="shared" si="3"/>
        <v>772</v>
      </c>
    </row>
    <row r="12" spans="2:32" ht="23.1" customHeight="1" x14ac:dyDescent="0.25">
      <c r="B12" s="23" t="s">
        <v>39</v>
      </c>
      <c r="C12" s="50">
        <v>53</v>
      </c>
      <c r="D12" s="50">
        <v>9</v>
      </c>
      <c r="E12" s="50">
        <v>4</v>
      </c>
      <c r="F12" s="50">
        <v>0</v>
      </c>
      <c r="G12" s="50">
        <v>0</v>
      </c>
      <c r="H12" s="50">
        <v>0</v>
      </c>
      <c r="I12" s="50">
        <v>1</v>
      </c>
      <c r="J12" s="50">
        <v>3</v>
      </c>
      <c r="K12" s="50">
        <v>0</v>
      </c>
      <c r="L12" s="50">
        <v>0</v>
      </c>
      <c r="M12" s="50">
        <v>141</v>
      </c>
      <c r="N12" s="50">
        <v>0</v>
      </c>
      <c r="O12" s="15">
        <f t="shared" si="0"/>
        <v>70</v>
      </c>
      <c r="P12" s="15">
        <f t="shared" si="1"/>
        <v>211</v>
      </c>
      <c r="R12" s="1" t="s">
        <v>8</v>
      </c>
      <c r="S12" s="17">
        <f t="shared" ref="S12:AF12" si="4">SUM(C18:C21)</f>
        <v>134</v>
      </c>
      <c r="T12" s="17">
        <f t="shared" si="4"/>
        <v>22</v>
      </c>
      <c r="U12" s="17">
        <f t="shared" si="4"/>
        <v>13</v>
      </c>
      <c r="V12" s="17">
        <f t="shared" si="4"/>
        <v>14</v>
      </c>
      <c r="W12" s="17">
        <f t="shared" si="4"/>
        <v>0</v>
      </c>
      <c r="X12" s="17">
        <f t="shared" si="4"/>
        <v>0</v>
      </c>
      <c r="Y12" s="17">
        <f t="shared" si="4"/>
        <v>9</v>
      </c>
      <c r="Z12" s="17">
        <f t="shared" si="4"/>
        <v>8</v>
      </c>
      <c r="AA12" s="17">
        <f t="shared" si="4"/>
        <v>6</v>
      </c>
      <c r="AB12" s="17">
        <f t="shared" si="4"/>
        <v>15</v>
      </c>
      <c r="AC12" s="17">
        <f t="shared" si="4"/>
        <v>718</v>
      </c>
      <c r="AD12" s="17">
        <f t="shared" si="4"/>
        <v>0</v>
      </c>
      <c r="AE12" s="31">
        <f t="shared" si="4"/>
        <v>221</v>
      </c>
      <c r="AF12" s="31">
        <f t="shared" si="4"/>
        <v>939</v>
      </c>
    </row>
    <row r="13" spans="2:32" ht="23.1" customHeight="1" x14ac:dyDescent="0.25">
      <c r="B13" s="23" t="s">
        <v>40</v>
      </c>
      <c r="C13" s="50">
        <v>33</v>
      </c>
      <c r="D13" s="50">
        <v>5</v>
      </c>
      <c r="E13" s="50">
        <v>4</v>
      </c>
      <c r="F13" s="50">
        <v>2</v>
      </c>
      <c r="G13" s="50">
        <v>1</v>
      </c>
      <c r="H13" s="50">
        <v>0</v>
      </c>
      <c r="I13" s="50">
        <v>1</v>
      </c>
      <c r="J13" s="50">
        <v>3</v>
      </c>
      <c r="K13" s="50">
        <v>0</v>
      </c>
      <c r="L13" s="50">
        <v>1</v>
      </c>
      <c r="M13" s="50">
        <v>187</v>
      </c>
      <c r="N13" s="50">
        <v>0</v>
      </c>
      <c r="O13" s="15">
        <f t="shared" si="0"/>
        <v>50</v>
      </c>
      <c r="P13" s="15">
        <f t="shared" si="1"/>
        <v>237</v>
      </c>
      <c r="R13" s="1" t="s">
        <v>9</v>
      </c>
      <c r="S13" s="17">
        <f t="shared" ref="S13:AF13" si="5">SUM(C22:C25)</f>
        <v>109</v>
      </c>
      <c r="T13" s="17">
        <f t="shared" si="5"/>
        <v>24</v>
      </c>
      <c r="U13" s="17">
        <f t="shared" si="5"/>
        <v>23</v>
      </c>
      <c r="V13" s="17">
        <f t="shared" si="5"/>
        <v>12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9</v>
      </c>
      <c r="AA13" s="17">
        <f t="shared" si="5"/>
        <v>1</v>
      </c>
      <c r="AB13" s="17">
        <f t="shared" si="5"/>
        <v>16</v>
      </c>
      <c r="AC13" s="17">
        <f t="shared" si="5"/>
        <v>645</v>
      </c>
      <c r="AD13" s="17">
        <f t="shared" si="5"/>
        <v>0</v>
      </c>
      <c r="AE13" s="31">
        <f t="shared" si="5"/>
        <v>200</v>
      </c>
      <c r="AF13" s="31">
        <f t="shared" si="5"/>
        <v>845</v>
      </c>
    </row>
    <row r="14" spans="2:32" ht="23.1" customHeight="1" x14ac:dyDescent="0.25">
      <c r="B14" s="23" t="s">
        <v>41</v>
      </c>
      <c r="C14" s="50">
        <v>45</v>
      </c>
      <c r="D14" s="50">
        <v>2</v>
      </c>
      <c r="E14" s="50">
        <v>2</v>
      </c>
      <c r="F14" s="50">
        <v>3</v>
      </c>
      <c r="G14" s="50">
        <v>0</v>
      </c>
      <c r="H14" s="50">
        <v>0</v>
      </c>
      <c r="I14" s="50">
        <v>2</v>
      </c>
      <c r="J14" s="50">
        <v>2</v>
      </c>
      <c r="K14" s="50">
        <v>1</v>
      </c>
      <c r="L14" s="50">
        <v>2</v>
      </c>
      <c r="M14" s="50">
        <v>102</v>
      </c>
      <c r="N14" s="50">
        <v>0</v>
      </c>
      <c r="O14" s="15">
        <f t="shared" si="0"/>
        <v>59</v>
      </c>
      <c r="P14" s="15">
        <f t="shared" si="1"/>
        <v>161</v>
      </c>
      <c r="R14" s="1" t="s">
        <v>10</v>
      </c>
      <c r="S14" s="17">
        <f t="shared" ref="S14:AF14" si="6">SUM(C26:C29)</f>
        <v>90</v>
      </c>
      <c r="T14" s="17">
        <f t="shared" si="6"/>
        <v>14</v>
      </c>
      <c r="U14" s="17">
        <f t="shared" si="6"/>
        <v>10</v>
      </c>
      <c r="V14" s="17">
        <f t="shared" si="6"/>
        <v>11</v>
      </c>
      <c r="W14" s="17">
        <f t="shared" si="6"/>
        <v>1</v>
      </c>
      <c r="X14" s="17">
        <f t="shared" si="6"/>
        <v>0</v>
      </c>
      <c r="Y14" s="17">
        <f t="shared" si="6"/>
        <v>11</v>
      </c>
      <c r="Z14" s="17">
        <f t="shared" si="6"/>
        <v>2</v>
      </c>
      <c r="AA14" s="17">
        <f t="shared" si="6"/>
        <v>5</v>
      </c>
      <c r="AB14" s="17">
        <f t="shared" si="6"/>
        <v>16</v>
      </c>
      <c r="AC14" s="17">
        <f t="shared" si="6"/>
        <v>579</v>
      </c>
      <c r="AD14" s="17">
        <f t="shared" si="6"/>
        <v>0</v>
      </c>
      <c r="AE14" s="31">
        <f t="shared" si="6"/>
        <v>160</v>
      </c>
      <c r="AF14" s="31">
        <f t="shared" si="6"/>
        <v>739</v>
      </c>
    </row>
    <row r="15" spans="2:32" ht="23.1" customHeight="1" x14ac:dyDescent="0.25">
      <c r="B15" s="23" t="s">
        <v>42</v>
      </c>
      <c r="C15" s="50">
        <v>33</v>
      </c>
      <c r="D15" s="50">
        <v>4</v>
      </c>
      <c r="E15" s="50">
        <v>2</v>
      </c>
      <c r="F15" s="50">
        <v>1</v>
      </c>
      <c r="G15" s="50">
        <v>1</v>
      </c>
      <c r="H15" s="50">
        <v>0</v>
      </c>
      <c r="I15" s="50">
        <v>1</v>
      </c>
      <c r="J15" s="50">
        <v>2</v>
      </c>
      <c r="K15" s="50">
        <v>0</v>
      </c>
      <c r="L15" s="50">
        <v>1</v>
      </c>
      <c r="M15" s="50">
        <v>154</v>
      </c>
      <c r="N15" s="50">
        <v>0</v>
      </c>
      <c r="O15" s="15">
        <f t="shared" si="0"/>
        <v>45</v>
      </c>
      <c r="P15" s="15">
        <f t="shared" si="1"/>
        <v>199</v>
      </c>
      <c r="R15" s="1" t="s">
        <v>11</v>
      </c>
      <c r="S15" s="17">
        <f t="shared" ref="S15:AF15" si="7">SUM(C30:C33)</f>
        <v>89</v>
      </c>
      <c r="T15" s="17">
        <f t="shared" si="7"/>
        <v>26</v>
      </c>
      <c r="U15" s="17">
        <f t="shared" si="7"/>
        <v>15</v>
      </c>
      <c r="V15" s="17">
        <f t="shared" si="7"/>
        <v>18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13</v>
      </c>
      <c r="AA15" s="17">
        <f t="shared" si="7"/>
        <v>3</v>
      </c>
      <c r="AB15" s="17">
        <f t="shared" si="7"/>
        <v>14</v>
      </c>
      <c r="AC15" s="17">
        <f t="shared" si="7"/>
        <v>635</v>
      </c>
      <c r="AD15" s="17">
        <f t="shared" si="7"/>
        <v>0</v>
      </c>
      <c r="AE15" s="31">
        <f t="shared" si="7"/>
        <v>186</v>
      </c>
      <c r="AF15" s="31">
        <f t="shared" si="7"/>
        <v>821</v>
      </c>
    </row>
    <row r="16" spans="2:32" ht="23.1" customHeight="1" x14ac:dyDescent="0.25">
      <c r="B16" s="23" t="s">
        <v>43</v>
      </c>
      <c r="C16" s="50">
        <v>10</v>
      </c>
      <c r="D16" s="50">
        <v>2</v>
      </c>
      <c r="E16" s="50">
        <v>3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1</v>
      </c>
      <c r="L16" s="50">
        <v>1</v>
      </c>
      <c r="M16" s="50">
        <v>190</v>
      </c>
      <c r="N16" s="50">
        <v>0</v>
      </c>
      <c r="O16" s="15">
        <f t="shared" si="0"/>
        <v>18</v>
      </c>
      <c r="P16" s="15">
        <f t="shared" si="1"/>
        <v>208</v>
      </c>
      <c r="R16" s="1" t="s">
        <v>12</v>
      </c>
      <c r="S16" s="17">
        <f t="shared" ref="S16:AF16" si="8">SUM(C34:C37)</f>
        <v>57</v>
      </c>
      <c r="T16" s="17">
        <f t="shared" si="8"/>
        <v>49</v>
      </c>
      <c r="U16" s="17">
        <f t="shared" si="8"/>
        <v>14</v>
      </c>
      <c r="V16" s="17">
        <f t="shared" si="8"/>
        <v>15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9</v>
      </c>
      <c r="AA16" s="17">
        <f t="shared" si="8"/>
        <v>11</v>
      </c>
      <c r="AB16" s="17">
        <f t="shared" si="8"/>
        <v>20</v>
      </c>
      <c r="AC16" s="17">
        <f t="shared" si="8"/>
        <v>501</v>
      </c>
      <c r="AD16" s="17">
        <f t="shared" si="8"/>
        <v>0</v>
      </c>
      <c r="AE16" s="31">
        <f t="shared" si="8"/>
        <v>181</v>
      </c>
      <c r="AF16" s="31">
        <f t="shared" si="8"/>
        <v>682</v>
      </c>
    </row>
    <row r="17" spans="2:32" ht="23.1" customHeight="1" x14ac:dyDescent="0.25">
      <c r="B17" s="23" t="s">
        <v>44</v>
      </c>
      <c r="C17" s="50">
        <v>41</v>
      </c>
      <c r="D17" s="50">
        <v>8</v>
      </c>
      <c r="E17" s="50">
        <v>5</v>
      </c>
      <c r="F17" s="50">
        <v>7</v>
      </c>
      <c r="G17" s="50">
        <v>0</v>
      </c>
      <c r="H17" s="50">
        <v>0</v>
      </c>
      <c r="I17" s="50">
        <v>0</v>
      </c>
      <c r="J17" s="50">
        <v>3</v>
      </c>
      <c r="K17" s="50">
        <v>2</v>
      </c>
      <c r="L17" s="50">
        <v>3</v>
      </c>
      <c r="M17" s="50">
        <v>135</v>
      </c>
      <c r="N17" s="50">
        <v>0</v>
      </c>
      <c r="O17" s="15">
        <f t="shared" si="0"/>
        <v>69</v>
      </c>
      <c r="P17" s="15">
        <f t="shared" si="1"/>
        <v>204</v>
      </c>
      <c r="R17" s="1" t="s">
        <v>13</v>
      </c>
      <c r="S17" s="17">
        <f t="shared" ref="S17:AF17" si="9">SUM(C38:C41)</f>
        <v>63</v>
      </c>
      <c r="T17" s="17">
        <f t="shared" si="9"/>
        <v>59</v>
      </c>
      <c r="U17" s="17">
        <f t="shared" si="9"/>
        <v>20</v>
      </c>
      <c r="V17" s="17">
        <f t="shared" si="9"/>
        <v>12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3</v>
      </c>
      <c r="AA17" s="17">
        <f t="shared" si="9"/>
        <v>5</v>
      </c>
      <c r="AB17" s="17">
        <f t="shared" si="9"/>
        <v>21</v>
      </c>
      <c r="AC17" s="17">
        <f t="shared" si="9"/>
        <v>316</v>
      </c>
      <c r="AD17" s="17">
        <f t="shared" si="9"/>
        <v>0</v>
      </c>
      <c r="AE17" s="31">
        <f t="shared" si="9"/>
        <v>188</v>
      </c>
      <c r="AF17" s="31">
        <f t="shared" si="9"/>
        <v>504</v>
      </c>
    </row>
    <row r="18" spans="2:32" ht="23.1" customHeight="1" x14ac:dyDescent="0.25">
      <c r="B18" s="23" t="s">
        <v>45</v>
      </c>
      <c r="C18" s="50">
        <v>39</v>
      </c>
      <c r="D18" s="50">
        <v>5</v>
      </c>
      <c r="E18" s="50">
        <v>1</v>
      </c>
      <c r="F18" s="50">
        <v>2</v>
      </c>
      <c r="G18" s="50">
        <v>0</v>
      </c>
      <c r="H18" s="50">
        <v>0</v>
      </c>
      <c r="I18" s="50">
        <v>1</v>
      </c>
      <c r="J18" s="50">
        <v>1</v>
      </c>
      <c r="K18" s="50">
        <v>2</v>
      </c>
      <c r="L18" s="50">
        <v>1</v>
      </c>
      <c r="M18" s="50">
        <v>220</v>
      </c>
      <c r="N18" s="50">
        <v>0</v>
      </c>
      <c r="O18" s="15">
        <f t="shared" si="0"/>
        <v>52</v>
      </c>
      <c r="P18" s="15">
        <f t="shared" si="1"/>
        <v>272</v>
      </c>
      <c r="R18" s="1" t="s">
        <v>14</v>
      </c>
      <c r="S18" s="17">
        <f t="shared" ref="S18:AF18" si="10">SUM(C42:C45)</f>
        <v>53</v>
      </c>
      <c r="T18" s="17">
        <f t="shared" si="10"/>
        <v>40</v>
      </c>
      <c r="U18" s="17">
        <f t="shared" si="10"/>
        <v>11</v>
      </c>
      <c r="V18" s="17">
        <f t="shared" si="10"/>
        <v>14</v>
      </c>
      <c r="W18" s="17">
        <f t="shared" si="10"/>
        <v>1</v>
      </c>
      <c r="X18" s="17">
        <f t="shared" si="10"/>
        <v>0</v>
      </c>
      <c r="Y18" s="17">
        <f t="shared" si="10"/>
        <v>6</v>
      </c>
      <c r="Z18" s="17">
        <f t="shared" si="10"/>
        <v>7</v>
      </c>
      <c r="AA18" s="17">
        <f t="shared" si="10"/>
        <v>1</v>
      </c>
      <c r="AB18" s="17">
        <f t="shared" si="10"/>
        <v>32</v>
      </c>
      <c r="AC18" s="17">
        <f t="shared" si="10"/>
        <v>474</v>
      </c>
      <c r="AD18" s="17">
        <f t="shared" si="10"/>
        <v>0</v>
      </c>
      <c r="AE18" s="31">
        <f t="shared" si="10"/>
        <v>165</v>
      </c>
      <c r="AF18" s="31">
        <f t="shared" si="10"/>
        <v>639</v>
      </c>
    </row>
    <row r="19" spans="2:32" ht="23.1" customHeight="1" x14ac:dyDescent="0.25">
      <c r="B19" s="23" t="s">
        <v>46</v>
      </c>
      <c r="C19" s="50">
        <v>26</v>
      </c>
      <c r="D19" s="50">
        <v>3</v>
      </c>
      <c r="E19" s="50">
        <v>1</v>
      </c>
      <c r="F19" s="50">
        <v>1</v>
      </c>
      <c r="G19" s="50">
        <v>0</v>
      </c>
      <c r="H19" s="50">
        <v>0</v>
      </c>
      <c r="I19" s="50">
        <v>4</v>
      </c>
      <c r="J19" s="50">
        <v>2</v>
      </c>
      <c r="K19" s="50">
        <v>1</v>
      </c>
      <c r="L19" s="50">
        <v>6</v>
      </c>
      <c r="M19" s="50">
        <v>188</v>
      </c>
      <c r="N19" s="50">
        <v>0</v>
      </c>
      <c r="O19" s="15">
        <f t="shared" si="0"/>
        <v>44</v>
      </c>
      <c r="P19" s="15">
        <f t="shared" si="1"/>
        <v>232</v>
      </c>
      <c r="R19" s="1" t="s">
        <v>15</v>
      </c>
      <c r="S19" s="17">
        <f t="shared" ref="S19:AF19" si="11">SUM(C46:C49)</f>
        <v>59</v>
      </c>
      <c r="T19" s="17">
        <f t="shared" si="11"/>
        <v>40</v>
      </c>
      <c r="U19" s="17">
        <f t="shared" si="11"/>
        <v>11</v>
      </c>
      <c r="V19" s="17">
        <f t="shared" si="11"/>
        <v>22</v>
      </c>
      <c r="W19" s="17">
        <f t="shared" si="11"/>
        <v>1</v>
      </c>
      <c r="X19" s="17">
        <f t="shared" si="11"/>
        <v>0</v>
      </c>
      <c r="Y19" s="17">
        <f t="shared" si="11"/>
        <v>4</v>
      </c>
      <c r="Z19" s="17">
        <f t="shared" si="11"/>
        <v>6</v>
      </c>
      <c r="AA19" s="17">
        <f t="shared" si="11"/>
        <v>0</v>
      </c>
      <c r="AB19" s="17">
        <f t="shared" si="11"/>
        <v>63</v>
      </c>
      <c r="AC19" s="17">
        <f t="shared" si="11"/>
        <v>534</v>
      </c>
      <c r="AD19" s="17">
        <f t="shared" si="11"/>
        <v>0</v>
      </c>
      <c r="AE19" s="31">
        <f t="shared" si="11"/>
        <v>206</v>
      </c>
      <c r="AF19" s="31">
        <f t="shared" si="11"/>
        <v>740</v>
      </c>
    </row>
    <row r="20" spans="2:32" ht="23.1" customHeight="1" x14ac:dyDescent="0.25">
      <c r="B20" s="23" t="s">
        <v>47</v>
      </c>
      <c r="C20" s="50">
        <v>37</v>
      </c>
      <c r="D20" s="50">
        <v>3</v>
      </c>
      <c r="E20" s="50">
        <v>4</v>
      </c>
      <c r="F20" s="50">
        <v>2</v>
      </c>
      <c r="G20" s="50">
        <v>0</v>
      </c>
      <c r="H20" s="50">
        <v>0</v>
      </c>
      <c r="I20" s="50">
        <v>2</v>
      </c>
      <c r="J20" s="50">
        <v>2</v>
      </c>
      <c r="K20" s="50">
        <v>2</v>
      </c>
      <c r="L20" s="50">
        <v>6</v>
      </c>
      <c r="M20" s="50">
        <v>170</v>
      </c>
      <c r="N20" s="50">
        <v>0</v>
      </c>
      <c r="O20" s="15">
        <f t="shared" si="0"/>
        <v>58</v>
      </c>
      <c r="P20" s="15">
        <f t="shared" si="1"/>
        <v>228</v>
      </c>
      <c r="R20" s="1" t="s">
        <v>16</v>
      </c>
      <c r="S20" s="17">
        <f t="shared" ref="S20:AF20" si="12">SUM(C50:C53)</f>
        <v>72</v>
      </c>
      <c r="T20" s="17">
        <f t="shared" si="12"/>
        <v>29</v>
      </c>
      <c r="U20" s="17">
        <f t="shared" si="12"/>
        <v>10</v>
      </c>
      <c r="V20" s="17">
        <f t="shared" si="12"/>
        <v>11</v>
      </c>
      <c r="W20" s="17">
        <f t="shared" si="12"/>
        <v>1</v>
      </c>
      <c r="X20" s="17">
        <f t="shared" si="12"/>
        <v>0</v>
      </c>
      <c r="Y20" s="17">
        <f t="shared" si="12"/>
        <v>11</v>
      </c>
      <c r="Z20" s="17">
        <f t="shared" si="12"/>
        <v>5</v>
      </c>
      <c r="AA20" s="17">
        <f t="shared" si="12"/>
        <v>3</v>
      </c>
      <c r="AB20" s="17">
        <f t="shared" si="12"/>
        <v>21</v>
      </c>
      <c r="AC20" s="17">
        <f t="shared" si="12"/>
        <v>552</v>
      </c>
      <c r="AD20" s="17">
        <f t="shared" si="12"/>
        <v>0</v>
      </c>
      <c r="AE20" s="31">
        <f t="shared" si="12"/>
        <v>163</v>
      </c>
      <c r="AF20" s="31">
        <f t="shared" si="12"/>
        <v>715</v>
      </c>
    </row>
    <row r="21" spans="2:32" ht="23.1" customHeight="1" x14ac:dyDescent="0.25">
      <c r="B21" s="23" t="s">
        <v>48</v>
      </c>
      <c r="C21" s="50">
        <v>32</v>
      </c>
      <c r="D21" s="50">
        <v>11</v>
      </c>
      <c r="E21" s="50">
        <v>7</v>
      </c>
      <c r="F21" s="50">
        <v>9</v>
      </c>
      <c r="G21" s="50">
        <v>0</v>
      </c>
      <c r="H21" s="50">
        <v>0</v>
      </c>
      <c r="I21" s="50">
        <v>2</v>
      </c>
      <c r="J21" s="50">
        <v>3</v>
      </c>
      <c r="K21" s="50">
        <v>1</v>
      </c>
      <c r="L21" s="50">
        <v>2</v>
      </c>
      <c r="M21" s="50">
        <v>140</v>
      </c>
      <c r="N21" s="50">
        <v>0</v>
      </c>
      <c r="O21" s="15">
        <f t="shared" si="0"/>
        <v>67</v>
      </c>
      <c r="P21" s="15">
        <f t="shared" si="1"/>
        <v>207</v>
      </c>
      <c r="R21" s="36" t="s">
        <v>20</v>
      </c>
      <c r="S21" s="34">
        <f t="shared" ref="S21:AF21" si="13">SUM(C54:C57)</f>
        <v>58</v>
      </c>
      <c r="T21" s="17">
        <f t="shared" si="13"/>
        <v>34</v>
      </c>
      <c r="U21" s="17">
        <f t="shared" si="13"/>
        <v>12</v>
      </c>
      <c r="V21" s="17">
        <f t="shared" si="13"/>
        <v>22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3</v>
      </c>
      <c r="AA21" s="17">
        <f t="shared" si="13"/>
        <v>3</v>
      </c>
      <c r="AB21" s="17">
        <f t="shared" si="13"/>
        <v>11</v>
      </c>
      <c r="AC21" s="17">
        <f t="shared" si="13"/>
        <v>450</v>
      </c>
      <c r="AD21" s="17">
        <f t="shared" si="13"/>
        <v>0</v>
      </c>
      <c r="AE21" s="31">
        <f t="shared" si="13"/>
        <v>148</v>
      </c>
      <c r="AF21" s="31">
        <f t="shared" si="13"/>
        <v>598</v>
      </c>
    </row>
    <row r="22" spans="2:32" ht="23.1" customHeight="1" x14ac:dyDescent="0.25">
      <c r="B22" s="23" t="s">
        <v>49</v>
      </c>
      <c r="C22" s="50">
        <v>29</v>
      </c>
      <c r="D22" s="50">
        <v>9</v>
      </c>
      <c r="E22" s="50">
        <v>9</v>
      </c>
      <c r="F22" s="50">
        <v>2</v>
      </c>
      <c r="G22" s="50">
        <v>0</v>
      </c>
      <c r="H22" s="50">
        <v>0</v>
      </c>
      <c r="I22" s="50">
        <v>1</v>
      </c>
      <c r="J22" s="50">
        <v>2</v>
      </c>
      <c r="K22" s="50">
        <v>0</v>
      </c>
      <c r="L22" s="50">
        <v>5</v>
      </c>
      <c r="M22" s="50">
        <v>185</v>
      </c>
      <c r="N22" s="50">
        <v>0</v>
      </c>
      <c r="O22" s="15">
        <f t="shared" si="0"/>
        <v>57</v>
      </c>
      <c r="P22" s="15">
        <f t="shared" si="1"/>
        <v>242</v>
      </c>
      <c r="R22" s="38" t="s">
        <v>90</v>
      </c>
      <c r="S22" s="39">
        <f>MAX(S10:S12)</f>
        <v>172</v>
      </c>
      <c r="T22" s="39">
        <f t="shared" ref="T22:AF22" si="14">MAX(T10:T12)</f>
        <v>29</v>
      </c>
      <c r="U22" s="39">
        <f t="shared" si="14"/>
        <v>14</v>
      </c>
      <c r="V22" s="39">
        <f t="shared" si="14"/>
        <v>14</v>
      </c>
      <c r="W22" s="39">
        <f t="shared" si="14"/>
        <v>1</v>
      </c>
      <c r="X22" s="39">
        <f t="shared" si="14"/>
        <v>0</v>
      </c>
      <c r="Y22" s="39">
        <f t="shared" si="14"/>
        <v>9</v>
      </c>
      <c r="Z22" s="39">
        <f t="shared" si="14"/>
        <v>8</v>
      </c>
      <c r="AA22" s="39">
        <f t="shared" si="14"/>
        <v>6</v>
      </c>
      <c r="AB22" s="39">
        <f t="shared" si="14"/>
        <v>15</v>
      </c>
      <c r="AC22" s="39">
        <f t="shared" si="14"/>
        <v>718</v>
      </c>
      <c r="AD22" s="39">
        <f t="shared" si="14"/>
        <v>0</v>
      </c>
      <c r="AE22" s="40">
        <f t="shared" si="14"/>
        <v>247</v>
      </c>
      <c r="AF22" s="40">
        <f t="shared" si="14"/>
        <v>939</v>
      </c>
    </row>
    <row r="23" spans="2:32" ht="23.1" customHeight="1" x14ac:dyDescent="0.25">
      <c r="B23" s="23" t="s">
        <v>50</v>
      </c>
      <c r="C23" s="50">
        <v>37</v>
      </c>
      <c r="D23" s="50">
        <v>9</v>
      </c>
      <c r="E23" s="50">
        <v>5</v>
      </c>
      <c r="F23" s="50">
        <v>6</v>
      </c>
      <c r="G23" s="50">
        <v>0</v>
      </c>
      <c r="H23" s="50">
        <v>0</v>
      </c>
      <c r="I23" s="50">
        <v>2</v>
      </c>
      <c r="J23" s="50">
        <v>3</v>
      </c>
      <c r="K23" s="50">
        <v>1</v>
      </c>
      <c r="L23" s="50">
        <v>2</v>
      </c>
      <c r="M23" s="50">
        <v>163</v>
      </c>
      <c r="N23" s="50">
        <v>0</v>
      </c>
      <c r="O23" s="15">
        <f t="shared" si="0"/>
        <v>65</v>
      </c>
      <c r="P23" s="15">
        <f t="shared" si="1"/>
        <v>228</v>
      </c>
      <c r="R23" s="38" t="s">
        <v>91</v>
      </c>
      <c r="S23" s="39">
        <f>MAX(S13:S18)</f>
        <v>109</v>
      </c>
      <c r="T23" s="39">
        <f t="shared" ref="T23:AF23" si="15">MAX(T13:T18)</f>
        <v>59</v>
      </c>
      <c r="U23" s="39">
        <f t="shared" si="15"/>
        <v>23</v>
      </c>
      <c r="V23" s="39">
        <f t="shared" si="15"/>
        <v>18</v>
      </c>
      <c r="W23" s="39">
        <f t="shared" si="15"/>
        <v>1</v>
      </c>
      <c r="X23" s="39">
        <f t="shared" si="15"/>
        <v>0</v>
      </c>
      <c r="Y23" s="39">
        <f t="shared" si="15"/>
        <v>11</v>
      </c>
      <c r="Z23" s="39">
        <f t="shared" si="15"/>
        <v>13</v>
      </c>
      <c r="AA23" s="39">
        <f t="shared" si="15"/>
        <v>11</v>
      </c>
      <c r="AB23" s="39">
        <f t="shared" si="15"/>
        <v>32</v>
      </c>
      <c r="AC23" s="39">
        <f t="shared" si="15"/>
        <v>645</v>
      </c>
      <c r="AD23" s="39">
        <f t="shared" si="15"/>
        <v>0</v>
      </c>
      <c r="AE23" s="40">
        <f t="shared" si="15"/>
        <v>200</v>
      </c>
      <c r="AF23" s="40">
        <f t="shared" si="15"/>
        <v>845</v>
      </c>
    </row>
    <row r="24" spans="2:32" ht="23.1" customHeight="1" x14ac:dyDescent="0.25">
      <c r="B24" s="23" t="s">
        <v>51</v>
      </c>
      <c r="C24" s="50">
        <v>18</v>
      </c>
      <c r="D24" s="50">
        <v>2</v>
      </c>
      <c r="E24" s="50">
        <v>6</v>
      </c>
      <c r="F24" s="50">
        <v>2</v>
      </c>
      <c r="G24" s="50">
        <v>0</v>
      </c>
      <c r="H24" s="50">
        <v>0</v>
      </c>
      <c r="I24" s="50">
        <v>1</v>
      </c>
      <c r="J24" s="50">
        <v>3</v>
      </c>
      <c r="K24" s="50">
        <v>0</v>
      </c>
      <c r="L24" s="50">
        <v>4</v>
      </c>
      <c r="M24" s="50">
        <v>160</v>
      </c>
      <c r="N24" s="50">
        <v>0</v>
      </c>
      <c r="O24" s="15">
        <f t="shared" si="0"/>
        <v>36</v>
      </c>
      <c r="P24" s="15">
        <f t="shared" si="1"/>
        <v>196</v>
      </c>
      <c r="R24" s="38" t="s">
        <v>92</v>
      </c>
      <c r="S24" s="39">
        <f>MAX(S19:S21)</f>
        <v>72</v>
      </c>
      <c r="T24" s="39">
        <f t="shared" ref="T24:AF24" si="16">MAX(T19:T21)</f>
        <v>40</v>
      </c>
      <c r="U24" s="39">
        <f t="shared" si="16"/>
        <v>12</v>
      </c>
      <c r="V24" s="39">
        <f t="shared" si="16"/>
        <v>22</v>
      </c>
      <c r="W24" s="39">
        <f t="shared" si="16"/>
        <v>1</v>
      </c>
      <c r="X24" s="39">
        <f t="shared" si="16"/>
        <v>0</v>
      </c>
      <c r="Y24" s="39">
        <f t="shared" si="16"/>
        <v>11</v>
      </c>
      <c r="Z24" s="39">
        <f t="shared" si="16"/>
        <v>6</v>
      </c>
      <c r="AA24" s="39">
        <f t="shared" si="16"/>
        <v>3</v>
      </c>
      <c r="AB24" s="39">
        <f t="shared" si="16"/>
        <v>63</v>
      </c>
      <c r="AC24" s="39">
        <f t="shared" si="16"/>
        <v>552</v>
      </c>
      <c r="AD24" s="39">
        <f t="shared" si="16"/>
        <v>0</v>
      </c>
      <c r="AE24" s="40">
        <f t="shared" si="16"/>
        <v>206</v>
      </c>
      <c r="AF24" s="40">
        <f t="shared" si="16"/>
        <v>740</v>
      </c>
    </row>
    <row r="25" spans="2:32" ht="23.1" customHeight="1" x14ac:dyDescent="0.25">
      <c r="B25" s="23" t="s">
        <v>52</v>
      </c>
      <c r="C25" s="50">
        <v>25</v>
      </c>
      <c r="D25" s="50">
        <v>4</v>
      </c>
      <c r="E25" s="50">
        <v>3</v>
      </c>
      <c r="F25" s="50">
        <v>2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5</v>
      </c>
      <c r="M25" s="50">
        <v>137</v>
      </c>
      <c r="N25" s="50">
        <v>0</v>
      </c>
      <c r="O25" s="15">
        <f t="shared" si="0"/>
        <v>42</v>
      </c>
      <c r="P25" s="15">
        <f t="shared" si="1"/>
        <v>179</v>
      </c>
      <c r="R25" s="37" t="s">
        <v>85</v>
      </c>
      <c r="S25" s="35">
        <f t="shared" ref="S25:AF25" si="17">SUM(S10:S12)</f>
        <v>435</v>
      </c>
      <c r="T25" s="16">
        <f t="shared" si="17"/>
        <v>67</v>
      </c>
      <c r="U25" s="16">
        <f t="shared" si="17"/>
        <v>39</v>
      </c>
      <c r="V25" s="16">
        <f t="shared" si="17"/>
        <v>38</v>
      </c>
      <c r="W25" s="16">
        <f t="shared" si="17"/>
        <v>2</v>
      </c>
      <c r="X25" s="16">
        <f t="shared" si="17"/>
        <v>0</v>
      </c>
      <c r="Y25" s="16">
        <f t="shared" si="17"/>
        <v>16</v>
      </c>
      <c r="Z25" s="16">
        <f t="shared" si="17"/>
        <v>24</v>
      </c>
      <c r="AA25" s="16">
        <f t="shared" si="17"/>
        <v>13</v>
      </c>
      <c r="AB25" s="16">
        <f t="shared" si="17"/>
        <v>25</v>
      </c>
      <c r="AC25" s="16">
        <f t="shared" si="17"/>
        <v>1909</v>
      </c>
      <c r="AD25" s="16">
        <f t="shared" si="17"/>
        <v>0</v>
      </c>
      <c r="AE25" s="32">
        <f t="shared" si="17"/>
        <v>659</v>
      </c>
      <c r="AF25" s="32">
        <f t="shared" si="17"/>
        <v>2568</v>
      </c>
    </row>
    <row r="26" spans="2:32" ht="23.1" customHeight="1" x14ac:dyDescent="0.25">
      <c r="B26" s="23" t="s">
        <v>53</v>
      </c>
      <c r="C26" s="50">
        <v>21</v>
      </c>
      <c r="D26" s="50">
        <v>3</v>
      </c>
      <c r="E26" s="50">
        <v>3</v>
      </c>
      <c r="F26" s="50">
        <v>4</v>
      </c>
      <c r="G26" s="50">
        <v>0</v>
      </c>
      <c r="H26" s="50">
        <v>0</v>
      </c>
      <c r="I26" s="50">
        <v>4</v>
      </c>
      <c r="J26" s="50">
        <v>0</v>
      </c>
      <c r="K26" s="50">
        <v>3</v>
      </c>
      <c r="L26" s="50">
        <v>4</v>
      </c>
      <c r="M26" s="50">
        <v>178</v>
      </c>
      <c r="N26" s="50">
        <v>0</v>
      </c>
      <c r="O26" s="15">
        <f t="shared" si="0"/>
        <v>42</v>
      </c>
      <c r="P26" s="15">
        <f t="shared" si="1"/>
        <v>220</v>
      </c>
      <c r="R26" s="28" t="s">
        <v>86</v>
      </c>
      <c r="S26" s="16">
        <f t="shared" ref="S26:AF26" si="18">SUM(S13:S18)</f>
        <v>461</v>
      </c>
      <c r="T26" s="16">
        <f t="shared" si="18"/>
        <v>212</v>
      </c>
      <c r="U26" s="16">
        <f t="shared" si="18"/>
        <v>93</v>
      </c>
      <c r="V26" s="16">
        <f t="shared" si="18"/>
        <v>82</v>
      </c>
      <c r="W26" s="16">
        <f t="shared" si="18"/>
        <v>2</v>
      </c>
      <c r="X26" s="16">
        <f t="shared" si="18"/>
        <v>0</v>
      </c>
      <c r="Y26" s="16">
        <f t="shared" si="18"/>
        <v>42</v>
      </c>
      <c r="Z26" s="16">
        <f t="shared" si="18"/>
        <v>43</v>
      </c>
      <c r="AA26" s="16">
        <f t="shared" si="18"/>
        <v>26</v>
      </c>
      <c r="AB26" s="16">
        <f t="shared" si="18"/>
        <v>119</v>
      </c>
      <c r="AC26" s="16">
        <f t="shared" si="18"/>
        <v>3150</v>
      </c>
      <c r="AD26" s="16">
        <f t="shared" si="18"/>
        <v>0</v>
      </c>
      <c r="AE26" s="32">
        <f t="shared" si="18"/>
        <v>1080</v>
      </c>
      <c r="AF26" s="32">
        <f t="shared" si="18"/>
        <v>4230</v>
      </c>
    </row>
    <row r="27" spans="2:32" ht="23.1" customHeight="1" x14ac:dyDescent="0.25">
      <c r="B27" s="23" t="s">
        <v>54</v>
      </c>
      <c r="C27" s="50">
        <v>39</v>
      </c>
      <c r="D27" s="50">
        <v>3</v>
      </c>
      <c r="E27" s="50">
        <v>3</v>
      </c>
      <c r="F27" s="50">
        <v>6</v>
      </c>
      <c r="G27" s="50">
        <v>0</v>
      </c>
      <c r="H27" s="50">
        <v>0</v>
      </c>
      <c r="I27" s="50">
        <v>3</v>
      </c>
      <c r="J27" s="50">
        <v>0</v>
      </c>
      <c r="K27" s="50">
        <v>2</v>
      </c>
      <c r="L27" s="50">
        <v>5</v>
      </c>
      <c r="M27" s="50">
        <v>125</v>
      </c>
      <c r="N27" s="50">
        <v>0</v>
      </c>
      <c r="O27" s="15">
        <f t="shared" si="0"/>
        <v>61</v>
      </c>
      <c r="P27" s="15">
        <f t="shared" si="1"/>
        <v>186</v>
      </c>
      <c r="R27" s="29" t="s">
        <v>87</v>
      </c>
      <c r="S27" s="16">
        <f t="shared" ref="S27:AF27" si="19">SUM(S19:S21)</f>
        <v>189</v>
      </c>
      <c r="T27" s="16">
        <f t="shared" si="19"/>
        <v>103</v>
      </c>
      <c r="U27" s="16">
        <f t="shared" si="19"/>
        <v>33</v>
      </c>
      <c r="V27" s="16">
        <f t="shared" si="19"/>
        <v>55</v>
      </c>
      <c r="W27" s="16">
        <f t="shared" si="19"/>
        <v>2</v>
      </c>
      <c r="X27" s="16">
        <f t="shared" si="19"/>
        <v>0</v>
      </c>
      <c r="Y27" s="16">
        <f t="shared" si="19"/>
        <v>20</v>
      </c>
      <c r="Z27" s="16">
        <f t="shared" si="19"/>
        <v>14</v>
      </c>
      <c r="AA27" s="16">
        <f t="shared" si="19"/>
        <v>6</v>
      </c>
      <c r="AB27" s="16">
        <f t="shared" si="19"/>
        <v>95</v>
      </c>
      <c r="AC27" s="16">
        <f t="shared" si="19"/>
        <v>1536</v>
      </c>
      <c r="AD27" s="16">
        <f t="shared" si="19"/>
        <v>0</v>
      </c>
      <c r="AE27" s="32">
        <f t="shared" si="19"/>
        <v>517</v>
      </c>
      <c r="AF27" s="32">
        <f t="shared" si="19"/>
        <v>2053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1</v>
      </c>
      <c r="F28" s="50">
        <v>0</v>
      </c>
      <c r="G28" s="50">
        <v>1</v>
      </c>
      <c r="H28" s="50">
        <v>0</v>
      </c>
      <c r="I28" s="50">
        <v>1</v>
      </c>
      <c r="J28" s="50">
        <v>0</v>
      </c>
      <c r="K28" s="50">
        <v>0</v>
      </c>
      <c r="L28" s="50">
        <v>1</v>
      </c>
      <c r="M28" s="50">
        <v>147</v>
      </c>
      <c r="N28" s="50">
        <v>0</v>
      </c>
      <c r="O28" s="15">
        <f t="shared" si="0"/>
        <v>6</v>
      </c>
      <c r="P28" s="15">
        <f t="shared" si="1"/>
        <v>153</v>
      </c>
      <c r="R28" s="5" t="s">
        <v>17</v>
      </c>
      <c r="S28" s="16">
        <f t="shared" ref="S28:AF28" si="20">SUM(S10:S21)</f>
        <v>1085</v>
      </c>
      <c r="T28" s="16">
        <f t="shared" si="20"/>
        <v>382</v>
      </c>
      <c r="U28" s="16">
        <f t="shared" si="20"/>
        <v>165</v>
      </c>
      <c r="V28" s="16">
        <f t="shared" si="20"/>
        <v>175</v>
      </c>
      <c r="W28" s="16">
        <f t="shared" si="20"/>
        <v>6</v>
      </c>
      <c r="X28" s="16">
        <f t="shared" si="20"/>
        <v>0</v>
      </c>
      <c r="Y28" s="16">
        <f t="shared" si="20"/>
        <v>78</v>
      </c>
      <c r="Z28" s="16">
        <f t="shared" si="20"/>
        <v>81</v>
      </c>
      <c r="AA28" s="16">
        <f t="shared" si="20"/>
        <v>45</v>
      </c>
      <c r="AB28" s="16">
        <f t="shared" si="20"/>
        <v>239</v>
      </c>
      <c r="AC28" s="16">
        <f t="shared" si="20"/>
        <v>6595</v>
      </c>
      <c r="AD28" s="16">
        <f t="shared" si="20"/>
        <v>0</v>
      </c>
      <c r="AE28" s="32">
        <f t="shared" si="20"/>
        <v>2256</v>
      </c>
      <c r="AF28" s="32">
        <f t="shared" si="20"/>
        <v>8851</v>
      </c>
    </row>
    <row r="29" spans="2:32" ht="23.1" customHeight="1" x14ac:dyDescent="0.25">
      <c r="B29" s="23" t="s">
        <v>56</v>
      </c>
      <c r="C29" s="50">
        <v>29</v>
      </c>
      <c r="D29" s="50">
        <v>7</v>
      </c>
      <c r="E29" s="50">
        <v>3</v>
      </c>
      <c r="F29" s="50">
        <v>1</v>
      </c>
      <c r="G29" s="50">
        <v>0</v>
      </c>
      <c r="H29" s="50">
        <v>0</v>
      </c>
      <c r="I29" s="50">
        <v>3</v>
      </c>
      <c r="J29" s="50">
        <v>2</v>
      </c>
      <c r="K29" s="50">
        <v>0</v>
      </c>
      <c r="L29" s="50">
        <v>6</v>
      </c>
      <c r="M29" s="50">
        <v>129</v>
      </c>
      <c r="N29" s="50">
        <v>0</v>
      </c>
      <c r="O29" s="15">
        <f t="shared" si="0"/>
        <v>51</v>
      </c>
      <c r="P29" s="15">
        <f t="shared" si="1"/>
        <v>180</v>
      </c>
      <c r="R29"/>
      <c r="S29" s="20"/>
      <c r="T29" s="19"/>
    </row>
    <row r="30" spans="2:32" ht="23.1" customHeight="1" x14ac:dyDescent="0.25">
      <c r="B30" s="23" t="s">
        <v>57</v>
      </c>
      <c r="C30" s="50">
        <v>32</v>
      </c>
      <c r="D30" s="50">
        <v>17</v>
      </c>
      <c r="E30" s="50">
        <v>11</v>
      </c>
      <c r="F30" s="50">
        <v>3</v>
      </c>
      <c r="G30" s="50">
        <v>0</v>
      </c>
      <c r="H30" s="50">
        <v>0</v>
      </c>
      <c r="I30" s="50">
        <v>3</v>
      </c>
      <c r="J30" s="50">
        <v>7</v>
      </c>
      <c r="K30" s="50">
        <v>2</v>
      </c>
      <c r="L30" s="50">
        <v>4</v>
      </c>
      <c r="M30" s="50">
        <v>208</v>
      </c>
      <c r="N30" s="50">
        <v>0</v>
      </c>
      <c r="O30" s="15">
        <f t="shared" si="0"/>
        <v>79</v>
      </c>
      <c r="P30" s="15">
        <f t="shared" si="1"/>
        <v>287</v>
      </c>
    </row>
    <row r="31" spans="2:32" ht="23.1" customHeight="1" x14ac:dyDescent="0.25">
      <c r="B31" s="24" t="s">
        <v>58</v>
      </c>
      <c r="C31" s="50">
        <v>21</v>
      </c>
      <c r="D31" s="50">
        <v>4</v>
      </c>
      <c r="E31" s="50">
        <v>0</v>
      </c>
      <c r="F31" s="50">
        <v>5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5</v>
      </c>
      <c r="M31" s="50">
        <v>159</v>
      </c>
      <c r="N31" s="50">
        <v>0</v>
      </c>
      <c r="O31" s="15">
        <f t="shared" si="0"/>
        <v>39</v>
      </c>
      <c r="P31" s="15">
        <f t="shared" si="1"/>
        <v>198</v>
      </c>
    </row>
    <row r="32" spans="2:32" ht="23.1" customHeight="1" x14ac:dyDescent="0.25">
      <c r="B32" s="24" t="s">
        <v>59</v>
      </c>
      <c r="C32" s="50">
        <v>28</v>
      </c>
      <c r="D32" s="50">
        <v>4</v>
      </c>
      <c r="E32" s="50">
        <v>3</v>
      </c>
      <c r="F32" s="50">
        <v>10</v>
      </c>
      <c r="G32" s="50">
        <v>0</v>
      </c>
      <c r="H32" s="50">
        <v>0</v>
      </c>
      <c r="I32" s="50">
        <v>2</v>
      </c>
      <c r="J32" s="50">
        <v>5</v>
      </c>
      <c r="K32" s="50">
        <v>1</v>
      </c>
      <c r="L32" s="50">
        <v>5</v>
      </c>
      <c r="M32" s="50">
        <v>143</v>
      </c>
      <c r="N32" s="50">
        <v>0</v>
      </c>
      <c r="O32" s="15">
        <f t="shared" si="0"/>
        <v>58</v>
      </c>
      <c r="P32" s="15">
        <f t="shared" si="1"/>
        <v>201</v>
      </c>
    </row>
    <row r="33" spans="2:20" ht="23.1" customHeight="1" x14ac:dyDescent="0.25">
      <c r="B33" s="23" t="s">
        <v>60</v>
      </c>
      <c r="C33" s="50">
        <v>8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125</v>
      </c>
      <c r="N33" s="50">
        <v>0</v>
      </c>
      <c r="O33" s="15">
        <f t="shared" si="0"/>
        <v>10</v>
      </c>
      <c r="P33" s="15">
        <f t="shared" si="1"/>
        <v>135</v>
      </c>
    </row>
    <row r="34" spans="2:20" ht="23.1" customHeight="1" x14ac:dyDescent="0.25">
      <c r="B34" s="24" t="s">
        <v>61</v>
      </c>
      <c r="C34" s="50">
        <v>15</v>
      </c>
      <c r="D34" s="50">
        <v>10</v>
      </c>
      <c r="E34" s="50">
        <v>4</v>
      </c>
      <c r="F34" s="50">
        <v>1</v>
      </c>
      <c r="G34" s="50">
        <v>0</v>
      </c>
      <c r="H34" s="50">
        <v>0</v>
      </c>
      <c r="I34" s="50">
        <v>2</v>
      </c>
      <c r="J34" s="50">
        <v>4</v>
      </c>
      <c r="K34" s="50">
        <v>1</v>
      </c>
      <c r="L34" s="50">
        <v>6</v>
      </c>
      <c r="M34" s="50">
        <v>167</v>
      </c>
      <c r="N34" s="50">
        <v>0</v>
      </c>
      <c r="O34" s="15">
        <f t="shared" si="0"/>
        <v>43</v>
      </c>
      <c r="P34" s="15">
        <f t="shared" si="1"/>
        <v>210</v>
      </c>
    </row>
    <row r="35" spans="2:20" ht="23.1" customHeight="1" x14ac:dyDescent="0.25">
      <c r="B35" s="24" t="s">
        <v>62</v>
      </c>
      <c r="C35" s="50">
        <v>11</v>
      </c>
      <c r="D35" s="50">
        <v>12</v>
      </c>
      <c r="E35" s="50">
        <v>6</v>
      </c>
      <c r="F35" s="50">
        <v>3</v>
      </c>
      <c r="G35" s="50">
        <v>0</v>
      </c>
      <c r="H35" s="50">
        <v>0</v>
      </c>
      <c r="I35" s="50">
        <v>2</v>
      </c>
      <c r="J35" s="50">
        <v>1</v>
      </c>
      <c r="K35" s="50">
        <v>2</v>
      </c>
      <c r="L35" s="50">
        <v>4</v>
      </c>
      <c r="M35" s="50">
        <v>123</v>
      </c>
      <c r="N35" s="50">
        <v>0</v>
      </c>
      <c r="O35" s="15">
        <f t="shared" si="0"/>
        <v>41</v>
      </c>
      <c r="P35" s="15">
        <f t="shared" si="1"/>
        <v>164</v>
      </c>
    </row>
    <row r="36" spans="2:20" ht="23.1" customHeight="1" x14ac:dyDescent="0.25">
      <c r="B36" s="24" t="s">
        <v>63</v>
      </c>
      <c r="C36" s="50">
        <v>17</v>
      </c>
      <c r="D36" s="50">
        <v>13</v>
      </c>
      <c r="E36" s="50">
        <v>3</v>
      </c>
      <c r="F36" s="50">
        <v>6</v>
      </c>
      <c r="G36" s="50">
        <v>0</v>
      </c>
      <c r="H36" s="50">
        <v>0</v>
      </c>
      <c r="I36" s="50">
        <v>1</v>
      </c>
      <c r="J36" s="50">
        <v>2</v>
      </c>
      <c r="K36" s="50">
        <v>4</v>
      </c>
      <c r="L36" s="50">
        <v>4</v>
      </c>
      <c r="M36" s="50">
        <v>111</v>
      </c>
      <c r="N36" s="50">
        <v>0</v>
      </c>
      <c r="O36" s="15">
        <f t="shared" si="0"/>
        <v>50</v>
      </c>
      <c r="P36" s="15">
        <f t="shared" si="1"/>
        <v>161</v>
      </c>
    </row>
    <row r="37" spans="2:20" ht="23.1" customHeight="1" x14ac:dyDescent="0.25">
      <c r="B37" s="23" t="s">
        <v>64</v>
      </c>
      <c r="C37" s="50">
        <v>14</v>
      </c>
      <c r="D37" s="50">
        <v>14</v>
      </c>
      <c r="E37" s="50">
        <v>1</v>
      </c>
      <c r="F37" s="50">
        <v>5</v>
      </c>
      <c r="G37" s="50">
        <v>0</v>
      </c>
      <c r="H37" s="50">
        <v>0</v>
      </c>
      <c r="I37" s="50">
        <v>1</v>
      </c>
      <c r="J37" s="50">
        <v>2</v>
      </c>
      <c r="K37" s="50">
        <v>4</v>
      </c>
      <c r="L37" s="50">
        <v>6</v>
      </c>
      <c r="M37" s="50">
        <v>100</v>
      </c>
      <c r="N37" s="50">
        <v>0</v>
      </c>
      <c r="O37" s="15">
        <f t="shared" si="0"/>
        <v>47</v>
      </c>
      <c r="P37" s="15">
        <f t="shared" si="1"/>
        <v>147</v>
      </c>
    </row>
    <row r="38" spans="2:20" ht="23.1" customHeight="1" x14ac:dyDescent="0.25">
      <c r="B38" s="24" t="s">
        <v>65</v>
      </c>
      <c r="C38" s="50">
        <v>12</v>
      </c>
      <c r="D38" s="50">
        <v>15</v>
      </c>
      <c r="E38" s="50">
        <v>6</v>
      </c>
      <c r="F38" s="50">
        <v>4</v>
      </c>
      <c r="G38" s="50">
        <v>0</v>
      </c>
      <c r="H38" s="50">
        <v>0</v>
      </c>
      <c r="I38" s="50">
        <v>0</v>
      </c>
      <c r="J38" s="50">
        <v>1</v>
      </c>
      <c r="K38" s="50">
        <v>1</v>
      </c>
      <c r="L38" s="50">
        <v>1</v>
      </c>
      <c r="M38" s="50">
        <v>83</v>
      </c>
      <c r="N38" s="50">
        <v>0</v>
      </c>
      <c r="O38" s="15">
        <f t="shared" si="0"/>
        <v>40</v>
      </c>
      <c r="P38" s="15">
        <f t="shared" si="1"/>
        <v>123</v>
      </c>
    </row>
    <row r="39" spans="2:20" ht="23.1" customHeight="1" x14ac:dyDescent="0.25">
      <c r="B39" s="24" t="s">
        <v>66</v>
      </c>
      <c r="C39" s="50">
        <v>15</v>
      </c>
      <c r="D39" s="50">
        <v>13</v>
      </c>
      <c r="E39" s="50">
        <v>4</v>
      </c>
      <c r="F39" s="50">
        <v>2</v>
      </c>
      <c r="G39" s="50">
        <v>0</v>
      </c>
      <c r="H39" s="50">
        <v>0</v>
      </c>
      <c r="I39" s="50">
        <v>3</v>
      </c>
      <c r="J39" s="50">
        <v>2</v>
      </c>
      <c r="K39" s="50">
        <v>1</v>
      </c>
      <c r="L39" s="50">
        <v>6</v>
      </c>
      <c r="M39" s="50">
        <v>68</v>
      </c>
      <c r="N39" s="50">
        <v>0</v>
      </c>
      <c r="O39" s="15">
        <f t="shared" si="0"/>
        <v>46</v>
      </c>
      <c r="P39" s="15">
        <f t="shared" si="1"/>
        <v>114</v>
      </c>
    </row>
    <row r="40" spans="2:20" ht="23.1" customHeight="1" x14ac:dyDescent="0.25">
      <c r="B40" s="24" t="s">
        <v>67</v>
      </c>
      <c r="C40" s="50">
        <v>21</v>
      </c>
      <c r="D40" s="50">
        <v>16</v>
      </c>
      <c r="E40" s="50">
        <v>7</v>
      </c>
      <c r="F40" s="50">
        <v>5</v>
      </c>
      <c r="G40" s="50">
        <v>0</v>
      </c>
      <c r="H40" s="50">
        <v>0</v>
      </c>
      <c r="I40" s="50">
        <v>1</v>
      </c>
      <c r="J40" s="50">
        <v>0</v>
      </c>
      <c r="K40" s="50">
        <v>3</v>
      </c>
      <c r="L40" s="50">
        <v>4</v>
      </c>
      <c r="M40" s="50">
        <v>77</v>
      </c>
      <c r="N40" s="50">
        <v>0</v>
      </c>
      <c r="O40" s="15">
        <f t="shared" si="0"/>
        <v>57</v>
      </c>
      <c r="P40" s="15">
        <f t="shared" si="1"/>
        <v>134</v>
      </c>
    </row>
    <row r="41" spans="2:20" ht="23.1" customHeight="1" x14ac:dyDescent="0.25">
      <c r="B41" s="23" t="s">
        <v>68</v>
      </c>
      <c r="C41" s="50">
        <v>15</v>
      </c>
      <c r="D41" s="50">
        <v>15</v>
      </c>
      <c r="E41" s="50">
        <v>3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10</v>
      </c>
      <c r="M41" s="50">
        <v>88</v>
      </c>
      <c r="N41" s="50">
        <v>0</v>
      </c>
      <c r="O41" s="15">
        <f t="shared" si="0"/>
        <v>45</v>
      </c>
      <c r="P41" s="15">
        <f t="shared" si="1"/>
        <v>133</v>
      </c>
    </row>
    <row r="42" spans="2:20" ht="23.1" customHeight="1" x14ac:dyDescent="0.25">
      <c r="B42" s="24" t="s">
        <v>69</v>
      </c>
      <c r="C42" s="50">
        <v>19</v>
      </c>
      <c r="D42" s="50">
        <v>12</v>
      </c>
      <c r="E42" s="50">
        <v>3</v>
      </c>
      <c r="F42" s="50">
        <v>2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8</v>
      </c>
      <c r="M42" s="50">
        <v>92</v>
      </c>
      <c r="N42" s="50">
        <v>0</v>
      </c>
      <c r="O42" s="15">
        <f t="shared" si="0"/>
        <v>45</v>
      </c>
      <c r="P42" s="15">
        <f t="shared" si="1"/>
        <v>137</v>
      </c>
    </row>
    <row r="43" spans="2:20" ht="23.1" customHeight="1" x14ac:dyDescent="0.25">
      <c r="B43" s="23" t="s">
        <v>70</v>
      </c>
      <c r="C43" s="50">
        <v>13</v>
      </c>
      <c r="D43" s="50">
        <v>12</v>
      </c>
      <c r="E43" s="50">
        <v>6</v>
      </c>
      <c r="F43" s="50">
        <v>6</v>
      </c>
      <c r="G43" s="50">
        <v>1</v>
      </c>
      <c r="H43" s="50">
        <v>0</v>
      </c>
      <c r="I43" s="50">
        <v>0</v>
      </c>
      <c r="J43" s="50">
        <v>1</v>
      </c>
      <c r="K43" s="50">
        <v>0</v>
      </c>
      <c r="L43" s="50">
        <v>15</v>
      </c>
      <c r="M43" s="50">
        <v>105</v>
      </c>
      <c r="N43" s="50">
        <v>0</v>
      </c>
      <c r="O43" s="15">
        <f t="shared" si="0"/>
        <v>54</v>
      </c>
      <c r="P43" s="15">
        <f t="shared" si="1"/>
        <v>159</v>
      </c>
    </row>
    <row r="44" spans="2:20" ht="23.1" customHeight="1" x14ac:dyDescent="0.25">
      <c r="B44" s="25" t="s">
        <v>71</v>
      </c>
      <c r="C44" s="50">
        <v>16</v>
      </c>
      <c r="D44" s="50">
        <v>12</v>
      </c>
      <c r="E44" s="50">
        <v>1</v>
      </c>
      <c r="F44" s="50">
        <v>6</v>
      </c>
      <c r="G44" s="50">
        <v>0</v>
      </c>
      <c r="H44" s="50">
        <v>0</v>
      </c>
      <c r="I44" s="50">
        <v>1</v>
      </c>
      <c r="J44" s="50">
        <v>2</v>
      </c>
      <c r="K44" s="50">
        <v>1</v>
      </c>
      <c r="L44" s="50">
        <v>6</v>
      </c>
      <c r="M44" s="50">
        <v>157</v>
      </c>
      <c r="N44" s="50">
        <v>0</v>
      </c>
      <c r="O44" s="15">
        <f t="shared" si="0"/>
        <v>45</v>
      </c>
      <c r="P44" s="15">
        <f t="shared" si="1"/>
        <v>202</v>
      </c>
    </row>
    <row r="45" spans="2:20" ht="23.1" customHeight="1" x14ac:dyDescent="0.25">
      <c r="B45" s="23" t="s">
        <v>72</v>
      </c>
      <c r="C45" s="50">
        <v>5</v>
      </c>
      <c r="D45" s="50">
        <v>4</v>
      </c>
      <c r="E45" s="50">
        <v>1</v>
      </c>
      <c r="F45" s="50">
        <v>0</v>
      </c>
      <c r="G45" s="50">
        <v>0</v>
      </c>
      <c r="H45" s="50">
        <v>0</v>
      </c>
      <c r="I45" s="50">
        <v>5</v>
      </c>
      <c r="J45" s="50">
        <v>3</v>
      </c>
      <c r="K45" s="50">
        <v>0</v>
      </c>
      <c r="L45" s="50">
        <v>3</v>
      </c>
      <c r="M45" s="50">
        <v>120</v>
      </c>
      <c r="N45" s="50">
        <v>0</v>
      </c>
      <c r="O45" s="15">
        <f t="shared" si="0"/>
        <v>21</v>
      </c>
      <c r="P45" s="15">
        <f t="shared" si="1"/>
        <v>141</v>
      </c>
    </row>
    <row r="46" spans="2:20" ht="23.1" customHeight="1" x14ac:dyDescent="0.25">
      <c r="B46" s="24" t="s">
        <v>73</v>
      </c>
      <c r="C46" s="50">
        <v>14</v>
      </c>
      <c r="D46" s="50">
        <v>15</v>
      </c>
      <c r="E46" s="50">
        <v>4</v>
      </c>
      <c r="F46" s="50">
        <v>7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8</v>
      </c>
      <c r="M46" s="50">
        <v>134</v>
      </c>
      <c r="N46" s="50">
        <v>0</v>
      </c>
      <c r="O46" s="15">
        <f t="shared" si="0"/>
        <v>51</v>
      </c>
      <c r="P46" s="15">
        <f t="shared" si="1"/>
        <v>185</v>
      </c>
      <c r="R46" s="8"/>
      <c r="T46"/>
    </row>
    <row r="47" spans="2:20" ht="23.1" customHeight="1" x14ac:dyDescent="0.25">
      <c r="B47" s="24" t="s">
        <v>74</v>
      </c>
      <c r="C47" s="50">
        <v>17</v>
      </c>
      <c r="D47" s="50">
        <v>11</v>
      </c>
      <c r="E47" s="50">
        <v>4</v>
      </c>
      <c r="F47" s="50">
        <v>6</v>
      </c>
      <c r="G47" s="50">
        <v>1</v>
      </c>
      <c r="H47" s="50">
        <v>0</v>
      </c>
      <c r="I47" s="50">
        <v>1</v>
      </c>
      <c r="J47" s="50">
        <v>1</v>
      </c>
      <c r="K47" s="50">
        <v>0</v>
      </c>
      <c r="L47" s="50">
        <v>9</v>
      </c>
      <c r="M47" s="50">
        <v>112</v>
      </c>
      <c r="N47" s="50">
        <v>0</v>
      </c>
      <c r="O47" s="15">
        <f t="shared" si="0"/>
        <v>50</v>
      </c>
      <c r="P47" s="15">
        <f t="shared" si="1"/>
        <v>162</v>
      </c>
      <c r="R47" s="8"/>
      <c r="T47"/>
    </row>
    <row r="48" spans="2:20" ht="23.1" customHeight="1" x14ac:dyDescent="0.25">
      <c r="B48" s="24" t="s">
        <v>75</v>
      </c>
      <c r="C48" s="50">
        <v>15</v>
      </c>
      <c r="D48" s="50">
        <v>7</v>
      </c>
      <c r="E48" s="50">
        <v>2</v>
      </c>
      <c r="F48" s="50">
        <v>6</v>
      </c>
      <c r="G48" s="50">
        <v>0</v>
      </c>
      <c r="H48" s="50">
        <v>0</v>
      </c>
      <c r="I48" s="50">
        <v>1</v>
      </c>
      <c r="J48" s="50">
        <v>2</v>
      </c>
      <c r="K48" s="50">
        <v>0</v>
      </c>
      <c r="L48" s="50">
        <v>42</v>
      </c>
      <c r="M48" s="50">
        <v>150</v>
      </c>
      <c r="N48" s="50">
        <v>0</v>
      </c>
      <c r="O48" s="15">
        <f t="shared" si="0"/>
        <v>75</v>
      </c>
      <c r="P48" s="15">
        <f t="shared" si="1"/>
        <v>225</v>
      </c>
      <c r="R48" s="8"/>
      <c r="T48"/>
    </row>
    <row r="49" spans="2:20" ht="23.1" customHeight="1" x14ac:dyDescent="0.25">
      <c r="B49" s="23" t="s">
        <v>76</v>
      </c>
      <c r="C49" s="50">
        <v>13</v>
      </c>
      <c r="D49" s="50">
        <v>7</v>
      </c>
      <c r="E49" s="50">
        <v>1</v>
      </c>
      <c r="F49" s="50">
        <v>3</v>
      </c>
      <c r="G49" s="50">
        <v>0</v>
      </c>
      <c r="H49" s="50">
        <v>0</v>
      </c>
      <c r="I49" s="50">
        <v>0</v>
      </c>
      <c r="J49" s="50">
        <v>2</v>
      </c>
      <c r="K49" s="50">
        <v>0</v>
      </c>
      <c r="L49" s="50">
        <v>4</v>
      </c>
      <c r="M49" s="50">
        <v>138</v>
      </c>
      <c r="N49" s="50">
        <v>0</v>
      </c>
      <c r="O49" s="15">
        <f t="shared" si="0"/>
        <v>30</v>
      </c>
      <c r="P49" s="15">
        <f t="shared" si="1"/>
        <v>168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6</v>
      </c>
      <c r="E50" s="50">
        <v>1</v>
      </c>
      <c r="F50" s="50">
        <v>1</v>
      </c>
      <c r="G50" s="50">
        <v>0</v>
      </c>
      <c r="H50" s="50">
        <v>0</v>
      </c>
      <c r="I50" s="50">
        <v>1</v>
      </c>
      <c r="J50" s="50">
        <v>1</v>
      </c>
      <c r="K50" s="50">
        <v>1</v>
      </c>
      <c r="L50" s="50">
        <v>7</v>
      </c>
      <c r="M50" s="50">
        <v>130</v>
      </c>
      <c r="N50" s="50">
        <v>0</v>
      </c>
      <c r="O50" s="15">
        <f t="shared" si="0"/>
        <v>31</v>
      </c>
      <c r="P50" s="15">
        <f t="shared" si="1"/>
        <v>161</v>
      </c>
      <c r="R50" s="8"/>
      <c r="T50"/>
    </row>
    <row r="51" spans="2:20" ht="23.1" customHeight="1" x14ac:dyDescent="0.25">
      <c r="B51" s="24" t="s">
        <v>78</v>
      </c>
      <c r="C51" s="50">
        <v>20</v>
      </c>
      <c r="D51" s="50">
        <v>8</v>
      </c>
      <c r="E51" s="50">
        <v>4</v>
      </c>
      <c r="F51" s="50">
        <v>2</v>
      </c>
      <c r="G51" s="50">
        <v>0</v>
      </c>
      <c r="H51" s="50">
        <v>0</v>
      </c>
      <c r="I51" s="50">
        <v>3</v>
      </c>
      <c r="J51" s="50">
        <v>4</v>
      </c>
      <c r="K51" s="50">
        <v>1</v>
      </c>
      <c r="L51" s="50">
        <v>2</v>
      </c>
      <c r="M51" s="50">
        <v>125</v>
      </c>
      <c r="N51" s="50">
        <v>0</v>
      </c>
      <c r="O51" s="15">
        <f t="shared" si="0"/>
        <v>44</v>
      </c>
      <c r="P51" s="15">
        <f t="shared" si="1"/>
        <v>169</v>
      </c>
      <c r="R51" s="8"/>
      <c r="T51"/>
    </row>
    <row r="52" spans="2:20" ht="23.1" customHeight="1" x14ac:dyDescent="0.25">
      <c r="B52" s="24" t="s">
        <v>79</v>
      </c>
      <c r="C52" s="50">
        <v>17</v>
      </c>
      <c r="D52" s="50">
        <v>7</v>
      </c>
      <c r="E52" s="50">
        <v>5</v>
      </c>
      <c r="F52" s="50">
        <v>4</v>
      </c>
      <c r="G52" s="50">
        <v>1</v>
      </c>
      <c r="H52" s="50">
        <v>0</v>
      </c>
      <c r="I52" s="50">
        <v>4</v>
      </c>
      <c r="J52" s="50">
        <v>0</v>
      </c>
      <c r="K52" s="50">
        <v>1</v>
      </c>
      <c r="L52" s="50">
        <v>5</v>
      </c>
      <c r="M52" s="50">
        <v>153</v>
      </c>
      <c r="N52" s="50">
        <v>0</v>
      </c>
      <c r="O52" s="15">
        <f t="shared" si="0"/>
        <v>44</v>
      </c>
      <c r="P52" s="15">
        <f t="shared" si="1"/>
        <v>197</v>
      </c>
      <c r="R52" s="8"/>
      <c r="T52"/>
    </row>
    <row r="53" spans="2:20" ht="23.1" customHeight="1" x14ac:dyDescent="0.25">
      <c r="B53" s="23" t="s">
        <v>80</v>
      </c>
      <c r="C53" s="50">
        <v>22</v>
      </c>
      <c r="D53" s="50">
        <v>8</v>
      </c>
      <c r="E53" s="50">
        <v>0</v>
      </c>
      <c r="F53" s="50">
        <v>4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7</v>
      </c>
      <c r="M53" s="50">
        <v>144</v>
      </c>
      <c r="N53" s="50">
        <v>0</v>
      </c>
      <c r="O53" s="15">
        <f t="shared" si="0"/>
        <v>44</v>
      </c>
      <c r="P53" s="15">
        <f t="shared" si="1"/>
        <v>188</v>
      </c>
      <c r="R53" s="8"/>
      <c r="T53"/>
    </row>
    <row r="54" spans="2:20" ht="23.1" customHeight="1" x14ac:dyDescent="0.25">
      <c r="B54" s="23" t="s">
        <v>81</v>
      </c>
      <c r="C54" s="50">
        <v>8</v>
      </c>
      <c r="D54" s="50">
        <v>3</v>
      </c>
      <c r="E54" s="50">
        <v>4</v>
      </c>
      <c r="F54" s="50">
        <v>2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2</v>
      </c>
      <c r="M54" s="50">
        <v>110</v>
      </c>
      <c r="N54" s="50">
        <v>0</v>
      </c>
      <c r="O54" s="15">
        <f t="shared" si="0"/>
        <v>19</v>
      </c>
      <c r="P54" s="15">
        <f t="shared" si="1"/>
        <v>129</v>
      </c>
      <c r="R54" s="8"/>
      <c r="T54"/>
    </row>
    <row r="55" spans="2:20" ht="23.1" customHeight="1" x14ac:dyDescent="0.25">
      <c r="B55" s="23" t="s">
        <v>82</v>
      </c>
      <c r="C55" s="50">
        <v>26</v>
      </c>
      <c r="D55" s="50">
        <v>17</v>
      </c>
      <c r="E55" s="50">
        <v>4</v>
      </c>
      <c r="F55" s="50">
        <v>7</v>
      </c>
      <c r="G55" s="50">
        <v>0</v>
      </c>
      <c r="H55" s="50">
        <v>0</v>
      </c>
      <c r="I55" s="50">
        <v>4</v>
      </c>
      <c r="J55" s="50">
        <v>2</v>
      </c>
      <c r="K55" s="50">
        <v>1</v>
      </c>
      <c r="L55" s="50">
        <v>6</v>
      </c>
      <c r="M55" s="50">
        <v>130</v>
      </c>
      <c r="N55" s="50">
        <v>0</v>
      </c>
      <c r="O55" s="15">
        <f t="shared" si="0"/>
        <v>67</v>
      </c>
      <c r="P55" s="15">
        <f t="shared" si="1"/>
        <v>197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11</v>
      </c>
      <c r="E56" s="50">
        <v>2</v>
      </c>
      <c r="F56" s="50">
        <v>9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1</v>
      </c>
      <c r="M56" s="50">
        <v>87</v>
      </c>
      <c r="N56" s="50">
        <v>0</v>
      </c>
      <c r="O56" s="15">
        <f t="shared" si="0"/>
        <v>38</v>
      </c>
      <c r="P56" s="15">
        <f t="shared" si="1"/>
        <v>125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3</v>
      </c>
      <c r="E57" s="50">
        <v>2</v>
      </c>
      <c r="F57" s="50">
        <v>4</v>
      </c>
      <c r="G57" s="50">
        <v>0</v>
      </c>
      <c r="H57" s="50">
        <v>0</v>
      </c>
      <c r="I57" s="50">
        <v>0</v>
      </c>
      <c r="J57" s="50">
        <v>0</v>
      </c>
      <c r="K57" s="50">
        <v>2</v>
      </c>
      <c r="L57" s="50">
        <v>2</v>
      </c>
      <c r="M57" s="50">
        <v>123</v>
      </c>
      <c r="N57" s="50">
        <v>0</v>
      </c>
      <c r="O57" s="15">
        <f t="shared" si="0"/>
        <v>24</v>
      </c>
      <c r="P57" s="15">
        <f t="shared" si="1"/>
        <v>147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1085</v>
      </c>
      <c r="D58" s="16">
        <f t="shared" si="21"/>
        <v>382</v>
      </c>
      <c r="E58" s="16">
        <f t="shared" si="21"/>
        <v>165</v>
      </c>
      <c r="F58" s="16">
        <f t="shared" si="21"/>
        <v>175</v>
      </c>
      <c r="G58" s="16">
        <f t="shared" si="21"/>
        <v>6</v>
      </c>
      <c r="H58" s="16">
        <f t="shared" si="21"/>
        <v>0</v>
      </c>
      <c r="I58" s="16">
        <f t="shared" si="21"/>
        <v>78</v>
      </c>
      <c r="J58" s="16">
        <f t="shared" si="21"/>
        <v>81</v>
      </c>
      <c r="K58" s="16">
        <f t="shared" si="21"/>
        <v>45</v>
      </c>
      <c r="L58" s="16">
        <f t="shared" si="21"/>
        <v>239</v>
      </c>
      <c r="M58" s="16">
        <f t="shared" si="21"/>
        <v>6595</v>
      </c>
      <c r="N58" s="16">
        <f t="shared" si="21"/>
        <v>0</v>
      </c>
      <c r="O58" s="16">
        <f t="shared" si="21"/>
        <v>2256</v>
      </c>
      <c r="P58" s="16">
        <f t="shared" si="21"/>
        <v>8851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0.12258501864196136</v>
      </c>
      <c r="D59" s="43">
        <f t="shared" si="22"/>
        <v>4.3158965088690542E-2</v>
      </c>
      <c r="E59" s="43">
        <f t="shared" si="22"/>
        <v>1.8641961360298272E-2</v>
      </c>
      <c r="F59" s="43">
        <f t="shared" si="22"/>
        <v>1.9771777200316348E-2</v>
      </c>
      <c r="G59" s="43">
        <f t="shared" si="22"/>
        <v>6.7788950401084628E-4</v>
      </c>
      <c r="H59" s="43">
        <f t="shared" si="22"/>
        <v>0</v>
      </c>
      <c r="I59" s="43">
        <f t="shared" si="22"/>
        <v>8.8125635521410003E-3</v>
      </c>
      <c r="J59" s="43">
        <f t="shared" si="22"/>
        <v>9.1515083041464242E-3</v>
      </c>
      <c r="K59" s="43">
        <f t="shared" si="22"/>
        <v>5.0841712800813463E-3</v>
      </c>
      <c r="L59" s="43">
        <f t="shared" si="22"/>
        <v>2.700259857643204E-2</v>
      </c>
      <c r="M59" s="43">
        <f t="shared" si="22"/>
        <v>0.74511354649192185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0.48093971631205673</v>
      </c>
      <c r="D60" s="44">
        <f t="shared" ref="D60:N60" si="23">D58/$O$58</f>
        <v>0.16932624113475178</v>
      </c>
      <c r="E60" s="44">
        <f t="shared" si="23"/>
        <v>7.3138297872340427E-2</v>
      </c>
      <c r="F60" s="44">
        <f t="shared" si="23"/>
        <v>7.7570921985815597E-2</v>
      </c>
      <c r="G60" s="44">
        <f t="shared" si="23"/>
        <v>2.6595744680851063E-3</v>
      </c>
      <c r="H60" s="44">
        <f t="shared" si="23"/>
        <v>0</v>
      </c>
      <c r="I60" s="44">
        <f t="shared" si="23"/>
        <v>3.4574468085106384E-2</v>
      </c>
      <c r="J60" s="44">
        <f t="shared" si="23"/>
        <v>3.5904255319148939E-2</v>
      </c>
      <c r="K60" s="44">
        <f t="shared" si="23"/>
        <v>1.9946808510638299E-2</v>
      </c>
      <c r="L60" s="44">
        <f t="shared" si="23"/>
        <v>0.10593971631205673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N105" sqref="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NTINDA-SPEAR MOTORS'!C3:G3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61" t="str">
        <f>'02.08 NTINDA-SPEARMOTORS'!G5:H5</f>
        <v>NAGURU BARRACKS</v>
      </c>
      <c r="H5" s="62"/>
      <c r="I5" s="14"/>
      <c r="J5" s="2" t="s">
        <v>5</v>
      </c>
      <c r="K5" s="61" t="str">
        <f>'02.08 NTINDA-SPEARMOTORS'!K5:L5</f>
        <v>KIVUMBI G/DANIEL M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'29.07 NTINDA-SPEAR MOTORS'!D6:E6</f>
        <v>NTINDA</v>
      </c>
      <c r="E6" s="62"/>
      <c r="F6" s="2" t="s">
        <v>2</v>
      </c>
      <c r="G6" s="61" t="str">
        <f>'29.07 NTINDA-SPEAR MOTORS'!G6:H6</f>
        <v>SPEAR MOTORS</v>
      </c>
      <c r="H6" s="62"/>
      <c r="J6" s="2" t="s">
        <v>21</v>
      </c>
      <c r="K6" s="61" t="str">
        <f>'02.08 NTINDA-SPEARMOTORS'!K6:L6</f>
        <v>NUSULAH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4</v>
      </c>
      <c r="J10" s="50">
        <v>0</v>
      </c>
      <c r="K10" s="50">
        <v>1</v>
      </c>
      <c r="L10" s="50">
        <v>2</v>
      </c>
      <c r="M10" s="50">
        <v>168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175</v>
      </c>
      <c r="R10" s="1" t="s">
        <v>6</v>
      </c>
      <c r="S10" s="17">
        <f t="shared" ref="S10:AF10" si="2">SUM(C10:C13)</f>
        <v>67</v>
      </c>
      <c r="T10" s="17">
        <f t="shared" si="2"/>
        <v>34</v>
      </c>
      <c r="U10" s="17">
        <f t="shared" si="2"/>
        <v>11</v>
      </c>
      <c r="V10" s="17">
        <f t="shared" si="2"/>
        <v>3</v>
      </c>
      <c r="W10" s="17">
        <f t="shared" si="2"/>
        <v>2</v>
      </c>
      <c r="X10" s="17">
        <f t="shared" si="2"/>
        <v>0</v>
      </c>
      <c r="Y10" s="17">
        <f t="shared" si="2"/>
        <v>5</v>
      </c>
      <c r="Z10" s="17">
        <f t="shared" si="2"/>
        <v>4</v>
      </c>
      <c r="AA10" s="17">
        <f t="shared" si="2"/>
        <v>5</v>
      </c>
      <c r="AB10" s="17">
        <f t="shared" si="2"/>
        <v>3</v>
      </c>
      <c r="AC10" s="17">
        <f t="shared" si="2"/>
        <v>665</v>
      </c>
      <c r="AD10" s="17">
        <f t="shared" si="2"/>
        <v>0</v>
      </c>
      <c r="AE10" s="31">
        <f t="shared" si="2"/>
        <v>134</v>
      </c>
      <c r="AF10" s="31">
        <f t="shared" si="2"/>
        <v>799</v>
      </c>
    </row>
    <row r="11" spans="2:32" s="6" customFormat="1" ht="23.1" customHeight="1" x14ac:dyDescent="0.25">
      <c r="B11" s="45" t="s">
        <v>38</v>
      </c>
      <c r="C11" s="50">
        <v>13</v>
      </c>
      <c r="D11" s="50">
        <v>5</v>
      </c>
      <c r="E11" s="50">
        <v>1</v>
      </c>
      <c r="F11" s="50">
        <v>1</v>
      </c>
      <c r="G11" s="50">
        <v>0</v>
      </c>
      <c r="H11" s="50">
        <v>0</v>
      </c>
      <c r="I11" s="50">
        <v>1</v>
      </c>
      <c r="J11" s="50">
        <v>2</v>
      </c>
      <c r="K11" s="50">
        <v>3</v>
      </c>
      <c r="L11" s="50">
        <v>0</v>
      </c>
      <c r="M11" s="50">
        <v>161</v>
      </c>
      <c r="N11" s="50">
        <v>0</v>
      </c>
      <c r="O11" s="15">
        <f t="shared" si="0"/>
        <v>26</v>
      </c>
      <c r="P11" s="15">
        <f t="shared" si="1"/>
        <v>187</v>
      </c>
      <c r="R11" s="1" t="s">
        <v>7</v>
      </c>
      <c r="S11" s="17">
        <f t="shared" ref="S11:AF11" si="3">SUM(C14:C17)</f>
        <v>110</v>
      </c>
      <c r="T11" s="17">
        <f t="shared" si="3"/>
        <v>36</v>
      </c>
      <c r="U11" s="17">
        <f t="shared" si="3"/>
        <v>16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7</v>
      </c>
      <c r="AA11" s="17">
        <f t="shared" si="3"/>
        <v>2</v>
      </c>
      <c r="AB11" s="17">
        <f t="shared" si="3"/>
        <v>5</v>
      </c>
      <c r="AC11" s="17">
        <f t="shared" si="3"/>
        <v>597</v>
      </c>
      <c r="AD11" s="17">
        <f t="shared" si="3"/>
        <v>0</v>
      </c>
      <c r="AE11" s="31">
        <f t="shared" si="3"/>
        <v>185</v>
      </c>
      <c r="AF11" s="31">
        <f t="shared" si="3"/>
        <v>782</v>
      </c>
    </row>
    <row r="12" spans="2:32" ht="23.1" customHeight="1" x14ac:dyDescent="0.25">
      <c r="B12" s="45" t="s">
        <v>39</v>
      </c>
      <c r="C12" s="50">
        <v>34</v>
      </c>
      <c r="D12" s="50">
        <v>15</v>
      </c>
      <c r="E12" s="50">
        <v>3</v>
      </c>
      <c r="F12" s="50">
        <v>2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0</v>
      </c>
      <c r="M12" s="50">
        <v>123</v>
      </c>
      <c r="N12" s="50">
        <v>0</v>
      </c>
      <c r="O12" s="15">
        <f t="shared" si="0"/>
        <v>55</v>
      </c>
      <c r="P12" s="15">
        <f t="shared" si="1"/>
        <v>178</v>
      </c>
      <c r="R12" s="1" t="s">
        <v>8</v>
      </c>
      <c r="S12" s="17">
        <f t="shared" ref="S12:AF12" si="4">SUM(C18:C21)</f>
        <v>92</v>
      </c>
      <c r="T12" s="17">
        <f t="shared" si="4"/>
        <v>41</v>
      </c>
      <c r="U12" s="17">
        <f t="shared" si="4"/>
        <v>15</v>
      </c>
      <c r="V12" s="17">
        <f t="shared" si="4"/>
        <v>10</v>
      </c>
      <c r="W12" s="17">
        <f t="shared" si="4"/>
        <v>0</v>
      </c>
      <c r="X12" s="17">
        <f t="shared" si="4"/>
        <v>0</v>
      </c>
      <c r="Y12" s="17">
        <f t="shared" si="4"/>
        <v>11</v>
      </c>
      <c r="Z12" s="17">
        <f t="shared" si="4"/>
        <v>6</v>
      </c>
      <c r="AA12" s="17">
        <f t="shared" si="4"/>
        <v>5</v>
      </c>
      <c r="AB12" s="17">
        <f t="shared" si="4"/>
        <v>12</v>
      </c>
      <c r="AC12" s="17">
        <f t="shared" si="4"/>
        <v>713</v>
      </c>
      <c r="AD12" s="17">
        <f t="shared" si="4"/>
        <v>0</v>
      </c>
      <c r="AE12" s="31">
        <f t="shared" si="4"/>
        <v>192</v>
      </c>
      <c r="AF12" s="31">
        <f t="shared" si="4"/>
        <v>905</v>
      </c>
    </row>
    <row r="13" spans="2:32" ht="23.1" customHeight="1" x14ac:dyDescent="0.25">
      <c r="B13" s="45" t="s">
        <v>40</v>
      </c>
      <c r="C13" s="50">
        <v>20</v>
      </c>
      <c r="D13" s="50">
        <v>14</v>
      </c>
      <c r="E13" s="50">
        <v>7</v>
      </c>
      <c r="F13" s="50">
        <v>0</v>
      </c>
      <c r="G13" s="50">
        <v>2</v>
      </c>
      <c r="H13" s="50">
        <v>0</v>
      </c>
      <c r="I13" s="50">
        <v>0</v>
      </c>
      <c r="J13" s="50">
        <v>2</v>
      </c>
      <c r="K13" s="50">
        <v>0</v>
      </c>
      <c r="L13" s="50">
        <v>1</v>
      </c>
      <c r="M13" s="50">
        <v>213</v>
      </c>
      <c r="N13" s="50">
        <v>0</v>
      </c>
      <c r="O13" s="15">
        <f t="shared" si="0"/>
        <v>46</v>
      </c>
      <c r="P13" s="15">
        <f t="shared" si="1"/>
        <v>259</v>
      </c>
      <c r="R13" s="1" t="s">
        <v>9</v>
      </c>
      <c r="S13" s="17">
        <f t="shared" ref="S13:AF13" si="5">SUM(C22:C25)</f>
        <v>50</v>
      </c>
      <c r="T13" s="17">
        <f t="shared" si="5"/>
        <v>30</v>
      </c>
      <c r="U13" s="17">
        <f t="shared" si="5"/>
        <v>18</v>
      </c>
      <c r="V13" s="17">
        <f t="shared" si="5"/>
        <v>9</v>
      </c>
      <c r="W13" s="17">
        <f t="shared" si="5"/>
        <v>0</v>
      </c>
      <c r="X13" s="17">
        <f t="shared" si="5"/>
        <v>1</v>
      </c>
      <c r="Y13" s="17">
        <f t="shared" si="5"/>
        <v>6</v>
      </c>
      <c r="Z13" s="17">
        <f t="shared" si="5"/>
        <v>6</v>
      </c>
      <c r="AA13" s="17">
        <f t="shared" si="5"/>
        <v>4</v>
      </c>
      <c r="AB13" s="17">
        <f t="shared" si="5"/>
        <v>10</v>
      </c>
      <c r="AC13" s="17">
        <f t="shared" si="5"/>
        <v>584</v>
      </c>
      <c r="AD13" s="17">
        <f t="shared" si="5"/>
        <v>0</v>
      </c>
      <c r="AE13" s="31">
        <f t="shared" si="5"/>
        <v>134</v>
      </c>
      <c r="AF13" s="31">
        <f t="shared" si="5"/>
        <v>718</v>
      </c>
    </row>
    <row r="14" spans="2:32" ht="23.1" customHeight="1" x14ac:dyDescent="0.25">
      <c r="B14" s="45" t="s">
        <v>41</v>
      </c>
      <c r="C14" s="50">
        <v>33</v>
      </c>
      <c r="D14" s="50">
        <v>14</v>
      </c>
      <c r="E14" s="50">
        <v>2</v>
      </c>
      <c r="F14" s="50">
        <v>3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175</v>
      </c>
      <c r="N14" s="50">
        <v>0</v>
      </c>
      <c r="O14" s="15">
        <f t="shared" si="0"/>
        <v>54</v>
      </c>
      <c r="P14" s="15">
        <f t="shared" si="1"/>
        <v>229</v>
      </c>
      <c r="R14" s="1" t="s">
        <v>10</v>
      </c>
      <c r="S14" s="17">
        <f t="shared" ref="S14:AF14" si="6">SUM(C26:C29)</f>
        <v>73</v>
      </c>
      <c r="T14" s="17">
        <f t="shared" si="6"/>
        <v>38</v>
      </c>
      <c r="U14" s="17">
        <f t="shared" si="6"/>
        <v>15</v>
      </c>
      <c r="V14" s="17">
        <f t="shared" si="6"/>
        <v>10</v>
      </c>
      <c r="W14" s="17">
        <f t="shared" si="6"/>
        <v>1</v>
      </c>
      <c r="X14" s="17">
        <f t="shared" si="6"/>
        <v>2</v>
      </c>
      <c r="Y14" s="17">
        <f t="shared" si="6"/>
        <v>9</v>
      </c>
      <c r="Z14" s="17">
        <f t="shared" si="6"/>
        <v>11</v>
      </c>
      <c r="AA14" s="17">
        <f t="shared" si="6"/>
        <v>2</v>
      </c>
      <c r="AB14" s="17">
        <f t="shared" si="6"/>
        <v>19</v>
      </c>
      <c r="AC14" s="17">
        <f t="shared" si="6"/>
        <v>452</v>
      </c>
      <c r="AD14" s="17">
        <f t="shared" si="6"/>
        <v>0</v>
      </c>
      <c r="AE14" s="31">
        <f t="shared" si="6"/>
        <v>180</v>
      </c>
      <c r="AF14" s="31">
        <f t="shared" si="6"/>
        <v>632</v>
      </c>
    </row>
    <row r="15" spans="2:32" ht="23.1" customHeight="1" x14ac:dyDescent="0.25">
      <c r="B15" s="45" t="s">
        <v>42</v>
      </c>
      <c r="C15" s="50">
        <v>36</v>
      </c>
      <c r="D15" s="50">
        <v>6</v>
      </c>
      <c r="E15" s="50">
        <v>3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2</v>
      </c>
      <c r="M15" s="50">
        <v>138</v>
      </c>
      <c r="N15" s="50">
        <v>0</v>
      </c>
      <c r="O15" s="15">
        <f t="shared" si="0"/>
        <v>48</v>
      </c>
      <c r="P15" s="15">
        <f t="shared" si="1"/>
        <v>186</v>
      </c>
      <c r="R15" s="1" t="s">
        <v>11</v>
      </c>
      <c r="S15" s="17">
        <f t="shared" ref="S15:AF15" si="7">SUM(C30:C33)</f>
        <v>75</v>
      </c>
      <c r="T15" s="17">
        <f t="shared" si="7"/>
        <v>43</v>
      </c>
      <c r="U15" s="17">
        <f t="shared" si="7"/>
        <v>18</v>
      </c>
      <c r="V15" s="17">
        <f t="shared" si="7"/>
        <v>8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5</v>
      </c>
      <c r="AA15" s="17">
        <f t="shared" si="7"/>
        <v>4</v>
      </c>
      <c r="AB15" s="17">
        <f t="shared" si="7"/>
        <v>30</v>
      </c>
      <c r="AC15" s="17">
        <f t="shared" si="7"/>
        <v>421</v>
      </c>
      <c r="AD15" s="17">
        <f t="shared" si="7"/>
        <v>0</v>
      </c>
      <c r="AE15" s="31">
        <f t="shared" si="7"/>
        <v>189</v>
      </c>
      <c r="AF15" s="31">
        <f t="shared" si="7"/>
        <v>610</v>
      </c>
    </row>
    <row r="16" spans="2:32" ht="23.1" customHeight="1" x14ac:dyDescent="0.25">
      <c r="B16" s="45" t="s">
        <v>43</v>
      </c>
      <c r="C16" s="50">
        <v>19</v>
      </c>
      <c r="D16" s="50">
        <v>7</v>
      </c>
      <c r="E16" s="50">
        <v>2</v>
      </c>
      <c r="F16" s="50">
        <v>1</v>
      </c>
      <c r="G16" s="50">
        <v>0</v>
      </c>
      <c r="H16" s="50">
        <v>0</v>
      </c>
      <c r="I16" s="50">
        <v>1</v>
      </c>
      <c r="J16" s="50">
        <v>4</v>
      </c>
      <c r="K16" s="50">
        <v>1</v>
      </c>
      <c r="L16" s="50">
        <v>1</v>
      </c>
      <c r="M16" s="50">
        <v>163</v>
      </c>
      <c r="N16" s="50">
        <v>0</v>
      </c>
      <c r="O16" s="15">
        <f t="shared" si="0"/>
        <v>36</v>
      </c>
      <c r="P16" s="15">
        <f t="shared" si="1"/>
        <v>199</v>
      </c>
      <c r="R16" s="1" t="s">
        <v>12</v>
      </c>
      <c r="S16" s="17">
        <f t="shared" ref="S16:AF16" si="8">SUM(C34:C37)</f>
        <v>84</v>
      </c>
      <c r="T16" s="17">
        <f t="shared" si="8"/>
        <v>32</v>
      </c>
      <c r="U16" s="17">
        <f t="shared" si="8"/>
        <v>6</v>
      </c>
      <c r="V16" s="17">
        <f t="shared" si="8"/>
        <v>18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4</v>
      </c>
      <c r="AA16" s="17">
        <f t="shared" si="8"/>
        <v>2</v>
      </c>
      <c r="AB16" s="17">
        <f t="shared" si="8"/>
        <v>12</v>
      </c>
      <c r="AC16" s="17">
        <f t="shared" si="8"/>
        <v>486</v>
      </c>
      <c r="AD16" s="17">
        <f t="shared" si="8"/>
        <v>0</v>
      </c>
      <c r="AE16" s="31">
        <f t="shared" si="8"/>
        <v>167</v>
      </c>
      <c r="AF16" s="31">
        <f t="shared" si="8"/>
        <v>653</v>
      </c>
    </row>
    <row r="17" spans="2:32" ht="23.1" customHeight="1" x14ac:dyDescent="0.25">
      <c r="B17" s="45" t="s">
        <v>44</v>
      </c>
      <c r="C17" s="50">
        <v>22</v>
      </c>
      <c r="D17" s="50">
        <v>9</v>
      </c>
      <c r="E17" s="50">
        <v>9</v>
      </c>
      <c r="F17" s="50">
        <v>2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2</v>
      </c>
      <c r="M17" s="50">
        <v>121</v>
      </c>
      <c r="N17" s="50">
        <v>0</v>
      </c>
      <c r="O17" s="15">
        <f t="shared" si="0"/>
        <v>47</v>
      </c>
      <c r="P17" s="15">
        <f t="shared" si="1"/>
        <v>168</v>
      </c>
      <c r="R17" s="1" t="s">
        <v>13</v>
      </c>
      <c r="S17" s="17">
        <f t="shared" ref="S17:AF17" si="9">SUM(C38:C41)</f>
        <v>55</v>
      </c>
      <c r="T17" s="17">
        <f t="shared" si="9"/>
        <v>45</v>
      </c>
      <c r="U17" s="17">
        <f t="shared" si="9"/>
        <v>11</v>
      </c>
      <c r="V17" s="17">
        <f t="shared" si="9"/>
        <v>13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6</v>
      </c>
      <c r="AA17" s="17">
        <f t="shared" si="9"/>
        <v>13</v>
      </c>
      <c r="AB17" s="17">
        <f t="shared" si="9"/>
        <v>10</v>
      </c>
      <c r="AC17" s="17">
        <f t="shared" si="9"/>
        <v>369</v>
      </c>
      <c r="AD17" s="17">
        <f t="shared" si="9"/>
        <v>0</v>
      </c>
      <c r="AE17" s="31">
        <f t="shared" si="9"/>
        <v>165</v>
      </c>
      <c r="AF17" s="31">
        <f t="shared" si="9"/>
        <v>534</v>
      </c>
    </row>
    <row r="18" spans="2:32" ht="23.1" customHeight="1" x14ac:dyDescent="0.25">
      <c r="B18" s="45" t="s">
        <v>45</v>
      </c>
      <c r="C18" s="50">
        <v>31</v>
      </c>
      <c r="D18" s="50">
        <v>13</v>
      </c>
      <c r="E18" s="50">
        <v>4</v>
      </c>
      <c r="F18" s="50">
        <v>4</v>
      </c>
      <c r="G18" s="50">
        <v>0</v>
      </c>
      <c r="H18" s="50">
        <v>0</v>
      </c>
      <c r="I18" s="50">
        <v>2</v>
      </c>
      <c r="J18" s="50">
        <v>2</v>
      </c>
      <c r="K18" s="50">
        <v>3</v>
      </c>
      <c r="L18" s="50">
        <v>2</v>
      </c>
      <c r="M18" s="50">
        <v>164</v>
      </c>
      <c r="N18" s="50">
        <v>0</v>
      </c>
      <c r="O18" s="15">
        <f t="shared" si="0"/>
        <v>61</v>
      </c>
      <c r="P18" s="15">
        <f t="shared" si="1"/>
        <v>225</v>
      </c>
      <c r="R18" s="1" t="s">
        <v>14</v>
      </c>
      <c r="S18" s="17">
        <f t="shared" ref="S18:AF18" si="10">SUM(C42:C45)</f>
        <v>54</v>
      </c>
      <c r="T18" s="17">
        <f t="shared" si="10"/>
        <v>34</v>
      </c>
      <c r="U18" s="17">
        <f t="shared" si="10"/>
        <v>6</v>
      </c>
      <c r="V18" s="17">
        <f t="shared" si="10"/>
        <v>19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10</v>
      </c>
      <c r="AA18" s="17">
        <f t="shared" si="10"/>
        <v>8</v>
      </c>
      <c r="AB18" s="17">
        <f t="shared" si="10"/>
        <v>29</v>
      </c>
      <c r="AC18" s="17">
        <f t="shared" si="10"/>
        <v>318</v>
      </c>
      <c r="AD18" s="17">
        <f t="shared" si="10"/>
        <v>0</v>
      </c>
      <c r="AE18" s="31">
        <f t="shared" si="10"/>
        <v>170</v>
      </c>
      <c r="AF18" s="31">
        <f t="shared" si="10"/>
        <v>488</v>
      </c>
    </row>
    <row r="19" spans="2:32" ht="23.1" customHeight="1" x14ac:dyDescent="0.25">
      <c r="B19" s="45" t="s">
        <v>46</v>
      </c>
      <c r="C19" s="50">
        <v>22</v>
      </c>
      <c r="D19" s="50">
        <v>8</v>
      </c>
      <c r="E19" s="50">
        <v>4</v>
      </c>
      <c r="F19" s="50">
        <v>1</v>
      </c>
      <c r="G19" s="50">
        <v>0</v>
      </c>
      <c r="H19" s="50">
        <v>0</v>
      </c>
      <c r="I19" s="50">
        <v>2</v>
      </c>
      <c r="J19" s="50">
        <v>2</v>
      </c>
      <c r="K19" s="50">
        <v>1</v>
      </c>
      <c r="L19" s="50">
        <v>4</v>
      </c>
      <c r="M19" s="50">
        <v>165</v>
      </c>
      <c r="N19" s="50">
        <v>0</v>
      </c>
      <c r="O19" s="15">
        <f t="shared" si="0"/>
        <v>44</v>
      </c>
      <c r="P19" s="15">
        <f t="shared" si="1"/>
        <v>209</v>
      </c>
      <c r="R19" s="1" t="s">
        <v>15</v>
      </c>
      <c r="S19" s="17">
        <f t="shared" ref="S19:AF19" si="11">SUM(C46:C49)</f>
        <v>61</v>
      </c>
      <c r="T19" s="17">
        <f t="shared" si="11"/>
        <v>37</v>
      </c>
      <c r="U19" s="17">
        <f t="shared" si="11"/>
        <v>13</v>
      </c>
      <c r="V19" s="17">
        <f t="shared" si="11"/>
        <v>19</v>
      </c>
      <c r="W19" s="17">
        <f t="shared" si="11"/>
        <v>0</v>
      </c>
      <c r="X19" s="17">
        <f t="shared" si="11"/>
        <v>2</v>
      </c>
      <c r="Y19" s="17">
        <f t="shared" si="11"/>
        <v>5</v>
      </c>
      <c r="Z19" s="17">
        <f t="shared" si="11"/>
        <v>9</v>
      </c>
      <c r="AA19" s="17">
        <f t="shared" si="11"/>
        <v>4</v>
      </c>
      <c r="AB19" s="17">
        <f t="shared" si="11"/>
        <v>20</v>
      </c>
      <c r="AC19" s="17">
        <f t="shared" si="11"/>
        <v>464</v>
      </c>
      <c r="AD19" s="17">
        <f t="shared" si="11"/>
        <v>0</v>
      </c>
      <c r="AE19" s="31">
        <f t="shared" si="11"/>
        <v>170</v>
      </c>
      <c r="AF19" s="31">
        <f t="shared" si="11"/>
        <v>634</v>
      </c>
    </row>
    <row r="20" spans="2:32" ht="23.1" customHeight="1" x14ac:dyDescent="0.25">
      <c r="B20" s="45" t="s">
        <v>47</v>
      </c>
      <c r="C20" s="50">
        <v>3</v>
      </c>
      <c r="D20" s="50">
        <v>1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203</v>
      </c>
      <c r="N20" s="50">
        <v>0</v>
      </c>
      <c r="O20" s="15">
        <f t="shared" si="0"/>
        <v>6</v>
      </c>
      <c r="P20" s="15">
        <f t="shared" si="1"/>
        <v>209</v>
      </c>
      <c r="R20" s="1" t="s">
        <v>16</v>
      </c>
      <c r="S20" s="17">
        <f t="shared" ref="S20:AF20" si="12">SUM(C50:C53)</f>
        <v>56</v>
      </c>
      <c r="T20" s="17">
        <f t="shared" si="12"/>
        <v>42</v>
      </c>
      <c r="U20" s="17">
        <f t="shared" si="12"/>
        <v>15</v>
      </c>
      <c r="V20" s="17">
        <f t="shared" si="12"/>
        <v>18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8</v>
      </c>
      <c r="AA20" s="17">
        <f t="shared" si="12"/>
        <v>5</v>
      </c>
      <c r="AB20" s="17">
        <f t="shared" si="12"/>
        <v>15</v>
      </c>
      <c r="AC20" s="17">
        <f t="shared" si="12"/>
        <v>476</v>
      </c>
      <c r="AD20" s="17">
        <f t="shared" si="12"/>
        <v>0</v>
      </c>
      <c r="AE20" s="31">
        <f t="shared" si="12"/>
        <v>162</v>
      </c>
      <c r="AF20" s="31">
        <f t="shared" si="12"/>
        <v>638</v>
      </c>
    </row>
    <row r="21" spans="2:32" ht="23.1" customHeight="1" x14ac:dyDescent="0.25">
      <c r="B21" s="45" t="s">
        <v>48</v>
      </c>
      <c r="C21" s="50">
        <v>36</v>
      </c>
      <c r="D21" s="50">
        <v>19</v>
      </c>
      <c r="E21" s="50">
        <v>7</v>
      </c>
      <c r="F21" s="50">
        <v>4</v>
      </c>
      <c r="G21" s="50">
        <v>0</v>
      </c>
      <c r="H21" s="50">
        <v>0</v>
      </c>
      <c r="I21" s="50">
        <v>7</v>
      </c>
      <c r="J21" s="50">
        <v>1</v>
      </c>
      <c r="K21" s="50">
        <v>1</v>
      </c>
      <c r="L21" s="50">
        <v>6</v>
      </c>
      <c r="M21" s="50">
        <v>181</v>
      </c>
      <c r="N21" s="50">
        <v>0</v>
      </c>
      <c r="O21" s="15">
        <f t="shared" si="0"/>
        <v>81</v>
      </c>
      <c r="P21" s="15">
        <f t="shared" si="1"/>
        <v>262</v>
      </c>
      <c r="R21" s="36" t="s">
        <v>20</v>
      </c>
      <c r="S21" s="34">
        <f t="shared" ref="S21:AF21" si="13">SUM(C54:C57)</f>
        <v>55</v>
      </c>
      <c r="T21" s="17">
        <f t="shared" si="13"/>
        <v>39</v>
      </c>
      <c r="U21" s="17">
        <f t="shared" si="13"/>
        <v>17</v>
      </c>
      <c r="V21" s="17">
        <f t="shared" si="13"/>
        <v>22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2</v>
      </c>
      <c r="AA21" s="17">
        <f t="shared" si="13"/>
        <v>1</v>
      </c>
      <c r="AB21" s="17">
        <f t="shared" si="13"/>
        <v>5</v>
      </c>
      <c r="AC21" s="17">
        <f t="shared" si="13"/>
        <v>551</v>
      </c>
      <c r="AD21" s="17">
        <f t="shared" si="13"/>
        <v>0</v>
      </c>
      <c r="AE21" s="31">
        <f t="shared" si="13"/>
        <v>144</v>
      </c>
      <c r="AF21" s="31">
        <f t="shared" si="13"/>
        <v>695</v>
      </c>
    </row>
    <row r="22" spans="2:32" ht="23.1" customHeight="1" x14ac:dyDescent="0.25">
      <c r="B22" s="45" t="s">
        <v>49</v>
      </c>
      <c r="C22" s="50">
        <v>18</v>
      </c>
      <c r="D22" s="50">
        <v>11</v>
      </c>
      <c r="E22" s="50">
        <v>9</v>
      </c>
      <c r="F22" s="50">
        <v>5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152</v>
      </c>
      <c r="N22" s="50">
        <v>0</v>
      </c>
      <c r="O22" s="15">
        <f t="shared" si="0"/>
        <v>43</v>
      </c>
      <c r="P22" s="15">
        <f t="shared" si="1"/>
        <v>195</v>
      </c>
      <c r="R22" s="36" t="s">
        <v>146</v>
      </c>
      <c r="S22" s="34">
        <f>SUM(C58:C61)</f>
        <v>50</v>
      </c>
      <c r="T22" s="34">
        <f t="shared" ref="T22:AF22" si="14">SUM(D58:D61)</f>
        <v>35</v>
      </c>
      <c r="U22" s="34">
        <f t="shared" si="14"/>
        <v>14</v>
      </c>
      <c r="V22" s="34">
        <f t="shared" si="14"/>
        <v>33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6</v>
      </c>
      <c r="AA22" s="34">
        <f t="shared" si="14"/>
        <v>0</v>
      </c>
      <c r="AB22" s="34">
        <f t="shared" si="14"/>
        <v>5</v>
      </c>
      <c r="AC22" s="34">
        <f t="shared" si="14"/>
        <v>481</v>
      </c>
      <c r="AD22" s="34">
        <f t="shared" si="14"/>
        <v>0</v>
      </c>
      <c r="AE22" s="31">
        <f t="shared" si="14"/>
        <v>144</v>
      </c>
      <c r="AF22" s="31">
        <f t="shared" si="14"/>
        <v>625</v>
      </c>
    </row>
    <row r="23" spans="2:32" ht="23.1" customHeight="1" x14ac:dyDescent="0.25">
      <c r="B23" s="45" t="s">
        <v>50</v>
      </c>
      <c r="C23" s="50">
        <v>7</v>
      </c>
      <c r="D23" s="50">
        <v>8</v>
      </c>
      <c r="E23" s="50">
        <v>3</v>
      </c>
      <c r="F23" s="50">
        <v>3</v>
      </c>
      <c r="G23" s="50">
        <v>0</v>
      </c>
      <c r="H23" s="50">
        <v>0</v>
      </c>
      <c r="I23" s="50">
        <v>2</v>
      </c>
      <c r="J23" s="50">
        <v>2</v>
      </c>
      <c r="K23" s="50">
        <v>2</v>
      </c>
      <c r="L23" s="50">
        <v>6</v>
      </c>
      <c r="M23" s="50">
        <v>148</v>
      </c>
      <c r="N23" s="50">
        <v>0</v>
      </c>
      <c r="O23" s="15">
        <f t="shared" si="0"/>
        <v>33</v>
      </c>
      <c r="P23" s="15">
        <f t="shared" si="1"/>
        <v>181</v>
      </c>
      <c r="R23" s="36" t="s">
        <v>147</v>
      </c>
      <c r="S23" s="34">
        <f>SUM(C62:C65)</f>
        <v>43</v>
      </c>
      <c r="T23" s="34">
        <f t="shared" ref="T23:AF23" si="15">SUM(D62:D65)</f>
        <v>31</v>
      </c>
      <c r="U23" s="34">
        <f t="shared" si="15"/>
        <v>4</v>
      </c>
      <c r="V23" s="34">
        <f t="shared" si="15"/>
        <v>53</v>
      </c>
      <c r="W23" s="34">
        <f t="shared" si="15"/>
        <v>0</v>
      </c>
      <c r="X23" s="34">
        <f t="shared" si="15"/>
        <v>0</v>
      </c>
      <c r="Y23" s="34">
        <f t="shared" si="15"/>
        <v>5</v>
      </c>
      <c r="Z23" s="34">
        <f t="shared" si="15"/>
        <v>1</v>
      </c>
      <c r="AA23" s="34">
        <f t="shared" si="15"/>
        <v>3</v>
      </c>
      <c r="AB23" s="34">
        <f t="shared" si="15"/>
        <v>2</v>
      </c>
      <c r="AC23" s="34">
        <f t="shared" si="15"/>
        <v>395</v>
      </c>
      <c r="AD23" s="34">
        <f t="shared" si="15"/>
        <v>0</v>
      </c>
      <c r="AE23" s="31">
        <f t="shared" si="15"/>
        <v>142</v>
      </c>
      <c r="AF23" s="31">
        <f t="shared" si="15"/>
        <v>537</v>
      </c>
    </row>
    <row r="24" spans="2:32" ht="23.1" customHeight="1" x14ac:dyDescent="0.25">
      <c r="B24" s="45" t="s">
        <v>51</v>
      </c>
      <c r="C24" s="50">
        <v>15</v>
      </c>
      <c r="D24" s="50">
        <v>5</v>
      </c>
      <c r="E24" s="50">
        <v>4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1</v>
      </c>
      <c r="L24" s="50">
        <v>2</v>
      </c>
      <c r="M24" s="50">
        <v>169</v>
      </c>
      <c r="N24" s="50">
        <v>0</v>
      </c>
      <c r="O24" s="15">
        <f t="shared" si="0"/>
        <v>29</v>
      </c>
      <c r="P24" s="15">
        <f t="shared" si="1"/>
        <v>198</v>
      </c>
      <c r="R24" s="36" t="s">
        <v>148</v>
      </c>
      <c r="S24" s="34">
        <f>SUM(C66:C69)</f>
        <v>56</v>
      </c>
      <c r="T24" s="34">
        <f t="shared" ref="T24:AF24" si="16">SUM(D66:D69)</f>
        <v>36</v>
      </c>
      <c r="U24" s="34">
        <f t="shared" si="16"/>
        <v>16</v>
      </c>
      <c r="V24" s="34">
        <f t="shared" si="16"/>
        <v>43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3</v>
      </c>
      <c r="AA24" s="34">
        <f t="shared" si="16"/>
        <v>0</v>
      </c>
      <c r="AB24" s="34">
        <f t="shared" si="16"/>
        <v>2</v>
      </c>
      <c r="AC24" s="34">
        <f t="shared" si="16"/>
        <v>333</v>
      </c>
      <c r="AD24" s="34">
        <f t="shared" si="16"/>
        <v>0</v>
      </c>
      <c r="AE24" s="31">
        <f t="shared" si="16"/>
        <v>158</v>
      </c>
      <c r="AF24" s="31">
        <f t="shared" si="16"/>
        <v>491</v>
      </c>
    </row>
    <row r="25" spans="2:32" ht="23.1" customHeight="1" x14ac:dyDescent="0.25">
      <c r="B25" s="45" t="s">
        <v>52</v>
      </c>
      <c r="C25" s="50">
        <v>10</v>
      </c>
      <c r="D25" s="50">
        <v>6</v>
      </c>
      <c r="E25" s="50">
        <v>2</v>
      </c>
      <c r="F25" s="50">
        <v>0</v>
      </c>
      <c r="G25" s="50">
        <v>0</v>
      </c>
      <c r="H25" s="50">
        <v>1</v>
      </c>
      <c r="I25" s="50">
        <v>3</v>
      </c>
      <c r="J25" s="50">
        <v>4</v>
      </c>
      <c r="K25" s="50">
        <v>1</v>
      </c>
      <c r="L25" s="50">
        <v>2</v>
      </c>
      <c r="M25" s="50">
        <v>115</v>
      </c>
      <c r="N25" s="50">
        <v>0</v>
      </c>
      <c r="O25" s="15">
        <f t="shared" si="0"/>
        <v>29</v>
      </c>
      <c r="P25" s="15">
        <f t="shared" si="1"/>
        <v>144</v>
      </c>
      <c r="R25" s="36" t="s">
        <v>149</v>
      </c>
      <c r="S25" s="34">
        <f>SUM(C70:C73)</f>
        <v>53</v>
      </c>
      <c r="T25" s="34">
        <f t="shared" ref="T25:AF25" si="17">SUM(D70:D73)</f>
        <v>33</v>
      </c>
      <c r="U25" s="34">
        <f t="shared" si="17"/>
        <v>10</v>
      </c>
      <c r="V25" s="34">
        <f t="shared" si="17"/>
        <v>17</v>
      </c>
      <c r="W25" s="34">
        <f t="shared" si="17"/>
        <v>0</v>
      </c>
      <c r="X25" s="34">
        <f t="shared" si="17"/>
        <v>1</v>
      </c>
      <c r="Y25" s="34">
        <f t="shared" si="17"/>
        <v>0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270</v>
      </c>
      <c r="AD25" s="34">
        <f t="shared" si="17"/>
        <v>0</v>
      </c>
      <c r="AE25" s="31">
        <f t="shared" si="17"/>
        <v>115</v>
      </c>
      <c r="AF25" s="31">
        <f t="shared" si="17"/>
        <v>385</v>
      </c>
    </row>
    <row r="26" spans="2:32" ht="23.1" customHeight="1" x14ac:dyDescent="0.25">
      <c r="B26" s="45" t="s">
        <v>53</v>
      </c>
      <c r="C26" s="50">
        <v>20</v>
      </c>
      <c r="D26" s="50">
        <v>10</v>
      </c>
      <c r="E26" s="50">
        <v>5</v>
      </c>
      <c r="F26" s="50">
        <v>3</v>
      </c>
      <c r="G26" s="50">
        <v>1</v>
      </c>
      <c r="H26" s="50">
        <v>1</v>
      </c>
      <c r="I26" s="50">
        <v>2</v>
      </c>
      <c r="J26" s="50">
        <v>1</v>
      </c>
      <c r="K26" s="50">
        <v>1</v>
      </c>
      <c r="L26" s="50">
        <v>6</v>
      </c>
      <c r="M26" s="50">
        <v>130</v>
      </c>
      <c r="N26" s="50">
        <v>0</v>
      </c>
      <c r="O26" s="15">
        <f t="shared" si="0"/>
        <v>50</v>
      </c>
      <c r="P26" s="15">
        <f t="shared" si="1"/>
        <v>180</v>
      </c>
      <c r="R26" s="36" t="s">
        <v>150</v>
      </c>
      <c r="S26" s="34">
        <f>SUM(C74:C77)</f>
        <v>50</v>
      </c>
      <c r="T26" s="34">
        <f t="shared" ref="T26:AF26" si="18">SUM(D74:D77)</f>
        <v>24</v>
      </c>
      <c r="U26" s="34">
        <f t="shared" si="18"/>
        <v>15</v>
      </c>
      <c r="V26" s="34">
        <f t="shared" si="18"/>
        <v>5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202</v>
      </c>
      <c r="AD26" s="34">
        <f t="shared" si="18"/>
        <v>0</v>
      </c>
      <c r="AE26" s="31">
        <f t="shared" si="18"/>
        <v>95</v>
      </c>
      <c r="AF26" s="31">
        <f t="shared" si="18"/>
        <v>297</v>
      </c>
    </row>
    <row r="27" spans="2:32" ht="23.1" customHeight="1" x14ac:dyDescent="0.25">
      <c r="B27" s="45" t="s">
        <v>54</v>
      </c>
      <c r="C27" s="50">
        <v>29</v>
      </c>
      <c r="D27" s="50">
        <v>13</v>
      </c>
      <c r="E27" s="50">
        <v>4</v>
      </c>
      <c r="F27" s="50">
        <v>3</v>
      </c>
      <c r="G27" s="50">
        <v>0</v>
      </c>
      <c r="H27" s="50">
        <v>0</v>
      </c>
      <c r="I27" s="50">
        <v>4</v>
      </c>
      <c r="J27" s="50">
        <v>5</v>
      </c>
      <c r="K27" s="50">
        <v>0</v>
      </c>
      <c r="L27" s="50">
        <v>5</v>
      </c>
      <c r="M27" s="50">
        <v>110</v>
      </c>
      <c r="N27" s="50">
        <v>0</v>
      </c>
      <c r="O27" s="15">
        <f t="shared" si="0"/>
        <v>63</v>
      </c>
      <c r="P27" s="15">
        <f t="shared" si="1"/>
        <v>173</v>
      </c>
      <c r="R27" s="36" t="s">
        <v>151</v>
      </c>
      <c r="S27" s="34">
        <f>SUM(C78:C81)</f>
        <v>24</v>
      </c>
      <c r="T27" s="34">
        <f t="shared" ref="T27:AF27" si="19">SUM(D78:D81)</f>
        <v>21</v>
      </c>
      <c r="U27" s="34">
        <f t="shared" si="19"/>
        <v>1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168</v>
      </c>
      <c r="AD27" s="34">
        <f t="shared" si="19"/>
        <v>0</v>
      </c>
      <c r="AE27" s="31">
        <f t="shared" si="19"/>
        <v>49</v>
      </c>
      <c r="AF27" s="31">
        <f t="shared" si="19"/>
        <v>217</v>
      </c>
    </row>
    <row r="28" spans="2:32" ht="23.1" customHeight="1" x14ac:dyDescent="0.25">
      <c r="B28" s="45" t="s">
        <v>55</v>
      </c>
      <c r="C28" s="50">
        <v>23</v>
      </c>
      <c r="D28" s="50">
        <v>9</v>
      </c>
      <c r="E28" s="50">
        <v>4</v>
      </c>
      <c r="F28" s="50">
        <v>1</v>
      </c>
      <c r="G28" s="50">
        <v>0</v>
      </c>
      <c r="H28" s="50">
        <v>0</v>
      </c>
      <c r="I28" s="50">
        <v>1</v>
      </c>
      <c r="J28" s="50">
        <v>5</v>
      </c>
      <c r="K28" s="50">
        <v>0</v>
      </c>
      <c r="L28" s="50">
        <v>7</v>
      </c>
      <c r="M28" s="50">
        <v>95</v>
      </c>
      <c r="N28" s="50">
        <v>0</v>
      </c>
      <c r="O28" s="15">
        <f t="shared" si="0"/>
        <v>50</v>
      </c>
      <c r="P28" s="15">
        <f t="shared" si="1"/>
        <v>145</v>
      </c>
      <c r="R28" s="36" t="s">
        <v>152</v>
      </c>
      <c r="S28" s="34">
        <f>SUM(C82:C85)</f>
        <v>21</v>
      </c>
      <c r="T28" s="34">
        <f t="shared" ref="T28:AF28" si="20">SUM(D82:D85)</f>
        <v>11</v>
      </c>
      <c r="U28" s="34">
        <f t="shared" si="20"/>
        <v>2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1</v>
      </c>
      <c r="AA28" s="34">
        <f t="shared" si="20"/>
        <v>0</v>
      </c>
      <c r="AB28" s="34">
        <f t="shared" si="20"/>
        <v>1</v>
      </c>
      <c r="AC28" s="34">
        <f t="shared" si="20"/>
        <v>62</v>
      </c>
      <c r="AD28" s="34">
        <f t="shared" si="20"/>
        <v>0</v>
      </c>
      <c r="AE28" s="31">
        <f t="shared" si="20"/>
        <v>39</v>
      </c>
      <c r="AF28" s="31">
        <f t="shared" si="20"/>
        <v>101</v>
      </c>
    </row>
    <row r="29" spans="2:32" ht="23.1" customHeight="1" x14ac:dyDescent="0.25">
      <c r="B29" s="45" t="s">
        <v>56</v>
      </c>
      <c r="C29" s="50">
        <v>1</v>
      </c>
      <c r="D29" s="50">
        <v>6</v>
      </c>
      <c r="E29" s="50">
        <v>2</v>
      </c>
      <c r="F29" s="50">
        <v>3</v>
      </c>
      <c r="G29" s="50">
        <v>0</v>
      </c>
      <c r="H29" s="50">
        <v>1</v>
      </c>
      <c r="I29" s="50">
        <v>2</v>
      </c>
      <c r="J29" s="50">
        <v>0</v>
      </c>
      <c r="K29" s="50">
        <v>1</v>
      </c>
      <c r="L29" s="50">
        <v>1</v>
      </c>
      <c r="M29" s="50">
        <v>117</v>
      </c>
      <c r="N29" s="50">
        <v>0</v>
      </c>
      <c r="O29" s="15">
        <f t="shared" si="0"/>
        <v>17</v>
      </c>
      <c r="P29" s="15">
        <f t="shared" si="1"/>
        <v>134</v>
      </c>
      <c r="R29" s="36" t="s">
        <v>153</v>
      </c>
      <c r="S29" s="34">
        <f>SUM(C86:C89)</f>
        <v>10</v>
      </c>
      <c r="T29" s="34">
        <f t="shared" ref="T29:AF29" si="21">SUM(D86:D89)</f>
        <v>8</v>
      </c>
      <c r="U29" s="34">
        <f t="shared" si="21"/>
        <v>1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4</v>
      </c>
      <c r="AC29" s="34">
        <f t="shared" si="21"/>
        <v>25</v>
      </c>
      <c r="AD29" s="34">
        <f t="shared" si="21"/>
        <v>0</v>
      </c>
      <c r="AE29" s="31">
        <f t="shared" si="21"/>
        <v>25</v>
      </c>
      <c r="AF29" s="31">
        <f t="shared" si="21"/>
        <v>50</v>
      </c>
    </row>
    <row r="30" spans="2:32" ht="23.1" customHeight="1" x14ac:dyDescent="0.25">
      <c r="B30" s="45" t="s">
        <v>57</v>
      </c>
      <c r="C30" s="50">
        <v>25</v>
      </c>
      <c r="D30" s="50">
        <v>13</v>
      </c>
      <c r="E30" s="50">
        <v>5</v>
      </c>
      <c r="F30" s="50">
        <v>2</v>
      </c>
      <c r="G30" s="50">
        <v>0</v>
      </c>
      <c r="H30" s="50">
        <v>0</v>
      </c>
      <c r="I30" s="50">
        <v>2</v>
      </c>
      <c r="J30" s="50">
        <v>1</v>
      </c>
      <c r="K30" s="50">
        <v>2</v>
      </c>
      <c r="L30" s="50">
        <v>15</v>
      </c>
      <c r="M30" s="50">
        <v>123</v>
      </c>
      <c r="N30" s="50">
        <v>0</v>
      </c>
      <c r="O30" s="15">
        <f t="shared" si="0"/>
        <v>65</v>
      </c>
      <c r="P30" s="15">
        <f t="shared" si="1"/>
        <v>188</v>
      </c>
      <c r="R30" s="36" t="s">
        <v>154</v>
      </c>
      <c r="S30" s="34">
        <f>SUM(C90:C93)</f>
        <v>6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1</v>
      </c>
      <c r="AA30" s="34">
        <f t="shared" si="22"/>
        <v>0</v>
      </c>
      <c r="AB30" s="34">
        <f t="shared" si="22"/>
        <v>6</v>
      </c>
      <c r="AC30" s="34">
        <f t="shared" si="22"/>
        <v>22</v>
      </c>
      <c r="AD30" s="34">
        <f t="shared" si="22"/>
        <v>0</v>
      </c>
      <c r="AE30" s="31">
        <f t="shared" si="22"/>
        <v>15</v>
      </c>
      <c r="AF30" s="31">
        <f t="shared" si="22"/>
        <v>37</v>
      </c>
    </row>
    <row r="31" spans="2:32" ht="23.1" customHeight="1" x14ac:dyDescent="0.25">
      <c r="B31" s="46" t="s">
        <v>58</v>
      </c>
      <c r="C31" s="50">
        <v>9</v>
      </c>
      <c r="D31" s="50">
        <v>4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75</v>
      </c>
      <c r="N31" s="50">
        <v>0</v>
      </c>
      <c r="O31" s="15">
        <f t="shared" si="0"/>
        <v>14</v>
      </c>
      <c r="P31" s="15">
        <f t="shared" si="1"/>
        <v>89</v>
      </c>
      <c r="R31" s="36" t="s">
        <v>155</v>
      </c>
      <c r="S31" s="34">
        <f>SUM(C94:C97)</f>
        <v>6</v>
      </c>
      <c r="T31" s="34">
        <f t="shared" ref="T31:AF31" si="23">SUM(D94:D97)</f>
        <v>3</v>
      </c>
      <c r="U31" s="34">
        <f t="shared" si="23"/>
        <v>1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1</v>
      </c>
      <c r="AB31" s="34">
        <f t="shared" si="23"/>
        <v>5</v>
      </c>
      <c r="AC31" s="34">
        <f t="shared" si="23"/>
        <v>25</v>
      </c>
      <c r="AD31" s="34">
        <f t="shared" si="23"/>
        <v>0</v>
      </c>
      <c r="AE31" s="31">
        <f t="shared" si="23"/>
        <v>21</v>
      </c>
      <c r="AF31" s="31">
        <f t="shared" si="23"/>
        <v>46</v>
      </c>
    </row>
    <row r="32" spans="2:32" ht="23.1" customHeight="1" x14ac:dyDescent="0.25">
      <c r="B32" s="46" t="s">
        <v>59</v>
      </c>
      <c r="C32" s="50">
        <v>26</v>
      </c>
      <c r="D32" s="50">
        <v>12</v>
      </c>
      <c r="E32" s="50">
        <v>6</v>
      </c>
      <c r="F32" s="50">
        <v>4</v>
      </c>
      <c r="G32" s="50">
        <v>0</v>
      </c>
      <c r="H32" s="50">
        <v>0</v>
      </c>
      <c r="I32" s="50">
        <v>2</v>
      </c>
      <c r="J32" s="50">
        <v>4</v>
      </c>
      <c r="K32" s="50">
        <v>1</v>
      </c>
      <c r="L32" s="50">
        <v>8</v>
      </c>
      <c r="M32" s="50">
        <v>118</v>
      </c>
      <c r="N32" s="50">
        <v>0</v>
      </c>
      <c r="O32" s="15">
        <f t="shared" si="0"/>
        <v>63</v>
      </c>
      <c r="P32" s="15">
        <f t="shared" si="1"/>
        <v>181</v>
      </c>
      <c r="R32" s="33" t="s">
        <v>156</v>
      </c>
      <c r="S32" s="34">
        <f>SUM(C98:C101)</f>
        <v>19</v>
      </c>
      <c r="T32" s="34">
        <f t="shared" ref="T32:AF32" si="24">SUM(D98:D101)</f>
        <v>15</v>
      </c>
      <c r="U32" s="34">
        <f t="shared" si="24"/>
        <v>6</v>
      </c>
      <c r="V32" s="34">
        <f t="shared" si="24"/>
        <v>21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0</v>
      </c>
      <c r="AB32" s="34">
        <f t="shared" si="24"/>
        <v>6</v>
      </c>
      <c r="AC32" s="34">
        <f t="shared" si="24"/>
        <v>153</v>
      </c>
      <c r="AD32" s="34">
        <f t="shared" si="24"/>
        <v>0</v>
      </c>
      <c r="AE32" s="31">
        <f t="shared" si="24"/>
        <v>69</v>
      </c>
      <c r="AF32" s="31">
        <f t="shared" si="24"/>
        <v>222</v>
      </c>
    </row>
    <row r="33" spans="2:32" ht="23.1" customHeight="1" x14ac:dyDescent="0.25">
      <c r="B33" s="45" t="s">
        <v>60</v>
      </c>
      <c r="C33" s="50">
        <v>15</v>
      </c>
      <c r="D33" s="50">
        <v>14</v>
      </c>
      <c r="E33" s="50">
        <v>6</v>
      </c>
      <c r="F33" s="50">
        <v>2</v>
      </c>
      <c r="G33" s="50">
        <v>0</v>
      </c>
      <c r="H33" s="50">
        <v>0</v>
      </c>
      <c r="I33" s="50">
        <v>2</v>
      </c>
      <c r="J33" s="50">
        <v>0</v>
      </c>
      <c r="K33" s="50">
        <v>1</v>
      </c>
      <c r="L33" s="50">
        <v>7</v>
      </c>
      <c r="M33" s="50">
        <v>105</v>
      </c>
      <c r="N33" s="50">
        <v>0</v>
      </c>
      <c r="O33" s="15">
        <f t="shared" si="0"/>
        <v>47</v>
      </c>
      <c r="P33" s="15">
        <f t="shared" si="1"/>
        <v>152</v>
      </c>
      <c r="R33" s="33" t="s">
        <v>157</v>
      </c>
      <c r="S33" s="34">
        <f>SUM(C102:C105)</f>
        <v>77</v>
      </c>
      <c r="T33" s="34">
        <f t="shared" ref="T33:AF33" si="25">SUM(D102:D105)</f>
        <v>58</v>
      </c>
      <c r="U33" s="34">
        <f t="shared" si="25"/>
        <v>11</v>
      </c>
      <c r="V33" s="34">
        <f t="shared" si="25"/>
        <v>26</v>
      </c>
      <c r="W33" s="34">
        <f t="shared" si="25"/>
        <v>0</v>
      </c>
      <c r="X33" s="34">
        <f t="shared" si="25"/>
        <v>0</v>
      </c>
      <c r="Y33" s="34">
        <f t="shared" si="25"/>
        <v>6</v>
      </c>
      <c r="Z33" s="34">
        <f t="shared" si="25"/>
        <v>4</v>
      </c>
      <c r="AA33" s="34">
        <f t="shared" si="25"/>
        <v>0</v>
      </c>
      <c r="AB33" s="34">
        <f t="shared" si="25"/>
        <v>0</v>
      </c>
      <c r="AC33" s="34">
        <f t="shared" si="25"/>
        <v>347</v>
      </c>
      <c r="AD33" s="34">
        <f t="shared" si="25"/>
        <v>0</v>
      </c>
      <c r="AE33" s="31">
        <f t="shared" si="25"/>
        <v>182</v>
      </c>
      <c r="AF33" s="31">
        <f t="shared" si="25"/>
        <v>529</v>
      </c>
    </row>
    <row r="34" spans="2:32" ht="23.1" customHeight="1" x14ac:dyDescent="0.25">
      <c r="B34" s="46" t="s">
        <v>61</v>
      </c>
      <c r="C34" s="50">
        <v>18</v>
      </c>
      <c r="D34" s="50">
        <v>5</v>
      </c>
      <c r="E34" s="50">
        <v>0</v>
      </c>
      <c r="F34" s="50">
        <v>2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134</v>
      </c>
      <c r="N34" s="50">
        <v>0</v>
      </c>
      <c r="O34" s="15">
        <f t="shared" si="0"/>
        <v>26</v>
      </c>
      <c r="P34" s="15">
        <f t="shared" si="1"/>
        <v>160</v>
      </c>
      <c r="R34" s="38" t="s">
        <v>90</v>
      </c>
      <c r="S34" s="39">
        <f t="shared" ref="S34:AF34" si="26">MAX(S10:S12)</f>
        <v>110</v>
      </c>
      <c r="T34" s="39">
        <f t="shared" si="26"/>
        <v>41</v>
      </c>
      <c r="U34" s="39">
        <f t="shared" si="26"/>
        <v>16</v>
      </c>
      <c r="V34" s="39">
        <f t="shared" si="26"/>
        <v>10</v>
      </c>
      <c r="W34" s="39">
        <f t="shared" si="26"/>
        <v>2</v>
      </c>
      <c r="X34" s="39">
        <f t="shared" si="26"/>
        <v>0</v>
      </c>
      <c r="Y34" s="39">
        <f t="shared" si="26"/>
        <v>11</v>
      </c>
      <c r="Z34" s="39">
        <f t="shared" si="26"/>
        <v>7</v>
      </c>
      <c r="AA34" s="39">
        <f t="shared" si="26"/>
        <v>5</v>
      </c>
      <c r="AB34" s="39">
        <f t="shared" si="26"/>
        <v>12</v>
      </c>
      <c r="AC34" s="39">
        <f t="shared" si="26"/>
        <v>713</v>
      </c>
      <c r="AD34" s="39">
        <f t="shared" si="26"/>
        <v>0</v>
      </c>
      <c r="AE34" s="40">
        <f t="shared" si="26"/>
        <v>192</v>
      </c>
      <c r="AF34" s="40">
        <f t="shared" si="26"/>
        <v>905</v>
      </c>
    </row>
    <row r="35" spans="2:32" ht="23.1" customHeight="1" x14ac:dyDescent="0.25">
      <c r="B35" s="46" t="s">
        <v>62</v>
      </c>
      <c r="C35" s="50">
        <v>23</v>
      </c>
      <c r="D35" s="50">
        <v>13</v>
      </c>
      <c r="E35" s="50">
        <v>1</v>
      </c>
      <c r="F35" s="50">
        <v>2</v>
      </c>
      <c r="G35" s="50">
        <v>0</v>
      </c>
      <c r="H35" s="50">
        <v>0</v>
      </c>
      <c r="I35" s="50">
        <v>2</v>
      </c>
      <c r="J35" s="50">
        <v>2</v>
      </c>
      <c r="K35" s="50">
        <v>1</v>
      </c>
      <c r="L35" s="50">
        <v>4</v>
      </c>
      <c r="M35" s="50">
        <v>110</v>
      </c>
      <c r="N35" s="50">
        <v>0</v>
      </c>
      <c r="O35" s="15">
        <f t="shared" si="0"/>
        <v>48</v>
      </c>
      <c r="P35" s="15">
        <f t="shared" si="1"/>
        <v>158</v>
      </c>
      <c r="R35" s="38" t="s">
        <v>91</v>
      </c>
      <c r="S35" s="39">
        <f t="shared" ref="S35:AF35" si="27">MAX(S13:S18)</f>
        <v>84</v>
      </c>
      <c r="T35" s="39">
        <f t="shared" si="27"/>
        <v>45</v>
      </c>
      <c r="U35" s="39">
        <f t="shared" si="27"/>
        <v>18</v>
      </c>
      <c r="V35" s="39">
        <f t="shared" si="27"/>
        <v>19</v>
      </c>
      <c r="W35" s="39">
        <f t="shared" si="27"/>
        <v>1</v>
      </c>
      <c r="X35" s="39">
        <f t="shared" si="27"/>
        <v>2</v>
      </c>
      <c r="Y35" s="39">
        <f t="shared" si="27"/>
        <v>12</v>
      </c>
      <c r="Z35" s="39">
        <f t="shared" si="27"/>
        <v>11</v>
      </c>
      <c r="AA35" s="39">
        <f t="shared" si="27"/>
        <v>13</v>
      </c>
      <c r="AB35" s="39">
        <f t="shared" si="27"/>
        <v>30</v>
      </c>
      <c r="AC35" s="39">
        <f t="shared" si="27"/>
        <v>584</v>
      </c>
      <c r="AD35" s="39">
        <f t="shared" si="27"/>
        <v>0</v>
      </c>
      <c r="AE35" s="40">
        <f t="shared" si="27"/>
        <v>189</v>
      </c>
      <c r="AF35" s="40">
        <f t="shared" si="27"/>
        <v>718</v>
      </c>
    </row>
    <row r="36" spans="2:32" ht="23.1" customHeight="1" x14ac:dyDescent="0.25">
      <c r="B36" s="46" t="s">
        <v>63</v>
      </c>
      <c r="C36" s="50">
        <v>25</v>
      </c>
      <c r="D36" s="50">
        <v>5</v>
      </c>
      <c r="E36" s="50">
        <v>5</v>
      </c>
      <c r="F36" s="50">
        <v>6</v>
      </c>
      <c r="G36" s="50">
        <v>0</v>
      </c>
      <c r="H36" s="50">
        <v>0</v>
      </c>
      <c r="I36" s="50">
        <v>3</v>
      </c>
      <c r="J36" s="50">
        <v>2</v>
      </c>
      <c r="K36" s="50">
        <v>0</v>
      </c>
      <c r="L36" s="50">
        <v>6</v>
      </c>
      <c r="M36" s="50">
        <v>125</v>
      </c>
      <c r="N36" s="50">
        <v>0</v>
      </c>
      <c r="O36" s="15">
        <f t="shared" si="0"/>
        <v>52</v>
      </c>
      <c r="P36" s="15">
        <f t="shared" si="1"/>
        <v>177</v>
      </c>
      <c r="R36" s="38" t="s">
        <v>92</v>
      </c>
      <c r="S36" s="39">
        <f t="shared" ref="S36:AF36" si="28">MAX(S19:S21)</f>
        <v>61</v>
      </c>
      <c r="T36" s="39">
        <f t="shared" si="28"/>
        <v>42</v>
      </c>
      <c r="U36" s="39">
        <f t="shared" si="28"/>
        <v>17</v>
      </c>
      <c r="V36" s="39">
        <f t="shared" si="28"/>
        <v>22</v>
      </c>
      <c r="W36" s="39">
        <f t="shared" si="28"/>
        <v>0</v>
      </c>
      <c r="X36" s="39">
        <f t="shared" si="28"/>
        <v>2</v>
      </c>
      <c r="Y36" s="39">
        <f t="shared" si="28"/>
        <v>5</v>
      </c>
      <c r="Z36" s="39">
        <f t="shared" si="28"/>
        <v>9</v>
      </c>
      <c r="AA36" s="39">
        <f t="shared" si="28"/>
        <v>5</v>
      </c>
      <c r="AB36" s="39">
        <f t="shared" si="28"/>
        <v>20</v>
      </c>
      <c r="AC36" s="39">
        <f t="shared" si="28"/>
        <v>551</v>
      </c>
      <c r="AD36" s="39">
        <f t="shared" si="28"/>
        <v>0</v>
      </c>
      <c r="AE36" s="40">
        <f t="shared" si="28"/>
        <v>170</v>
      </c>
      <c r="AF36" s="40">
        <f t="shared" si="28"/>
        <v>695</v>
      </c>
    </row>
    <row r="37" spans="2:32" ht="23.1" customHeight="1" x14ac:dyDescent="0.25">
      <c r="B37" s="45" t="s">
        <v>64</v>
      </c>
      <c r="C37" s="50">
        <v>18</v>
      </c>
      <c r="D37" s="50">
        <v>9</v>
      </c>
      <c r="E37" s="50">
        <v>0</v>
      </c>
      <c r="F37" s="50">
        <v>8</v>
      </c>
      <c r="G37" s="50">
        <v>0</v>
      </c>
      <c r="H37" s="50">
        <v>0</v>
      </c>
      <c r="I37" s="50">
        <v>4</v>
      </c>
      <c r="J37" s="50">
        <v>0</v>
      </c>
      <c r="K37" s="50">
        <v>1</v>
      </c>
      <c r="L37" s="50">
        <v>1</v>
      </c>
      <c r="M37" s="50">
        <v>117</v>
      </c>
      <c r="N37" s="50">
        <v>0</v>
      </c>
      <c r="O37" s="15">
        <f t="shared" si="0"/>
        <v>41</v>
      </c>
      <c r="P37" s="15">
        <f t="shared" si="1"/>
        <v>158</v>
      </c>
      <c r="R37" s="37" t="s">
        <v>85</v>
      </c>
      <c r="S37" s="35">
        <f t="shared" ref="S37:AF37" si="29">SUM(S10:S12)</f>
        <v>269</v>
      </c>
      <c r="T37" s="16">
        <f t="shared" si="29"/>
        <v>111</v>
      </c>
      <c r="U37" s="16">
        <f t="shared" si="29"/>
        <v>42</v>
      </c>
      <c r="V37" s="16">
        <f t="shared" si="29"/>
        <v>19</v>
      </c>
      <c r="W37" s="16">
        <f t="shared" si="29"/>
        <v>2</v>
      </c>
      <c r="X37" s="16">
        <f t="shared" si="29"/>
        <v>0</v>
      </c>
      <c r="Y37" s="16">
        <f t="shared" si="29"/>
        <v>19</v>
      </c>
      <c r="Z37" s="16">
        <f t="shared" si="29"/>
        <v>17</v>
      </c>
      <c r="AA37" s="16">
        <f t="shared" si="29"/>
        <v>12</v>
      </c>
      <c r="AB37" s="16">
        <f t="shared" si="29"/>
        <v>20</v>
      </c>
      <c r="AC37" s="16">
        <f t="shared" si="29"/>
        <v>1975</v>
      </c>
      <c r="AD37" s="16">
        <f t="shared" si="29"/>
        <v>0</v>
      </c>
      <c r="AE37" s="32">
        <f t="shared" si="29"/>
        <v>511</v>
      </c>
      <c r="AF37" s="32">
        <f t="shared" si="29"/>
        <v>2486</v>
      </c>
    </row>
    <row r="38" spans="2:32" ht="23.1" customHeight="1" x14ac:dyDescent="0.25">
      <c r="B38" s="46" t="s">
        <v>65</v>
      </c>
      <c r="C38" s="50">
        <v>16</v>
      </c>
      <c r="D38" s="50">
        <v>9</v>
      </c>
      <c r="E38" s="50">
        <v>4</v>
      </c>
      <c r="F38" s="50">
        <v>4</v>
      </c>
      <c r="G38" s="50">
        <v>0</v>
      </c>
      <c r="H38" s="50">
        <v>0</v>
      </c>
      <c r="I38" s="50">
        <v>8</v>
      </c>
      <c r="J38" s="50">
        <v>2</v>
      </c>
      <c r="K38" s="50">
        <v>3</v>
      </c>
      <c r="L38" s="50">
        <v>1</v>
      </c>
      <c r="M38" s="50">
        <v>108</v>
      </c>
      <c r="N38" s="50">
        <v>0</v>
      </c>
      <c r="O38" s="15">
        <f t="shared" si="0"/>
        <v>47</v>
      </c>
      <c r="P38" s="15">
        <f t="shared" si="1"/>
        <v>155</v>
      </c>
      <c r="R38" s="28" t="s">
        <v>86</v>
      </c>
      <c r="S38" s="16">
        <f t="shared" ref="S38:AF38" si="30">SUM(S13:S18)</f>
        <v>391</v>
      </c>
      <c r="T38" s="16">
        <f t="shared" si="30"/>
        <v>222</v>
      </c>
      <c r="U38" s="16">
        <f t="shared" si="30"/>
        <v>74</v>
      </c>
      <c r="V38" s="16">
        <f t="shared" si="30"/>
        <v>77</v>
      </c>
      <c r="W38" s="16">
        <f t="shared" si="30"/>
        <v>1</v>
      </c>
      <c r="X38" s="16">
        <f t="shared" si="30"/>
        <v>3</v>
      </c>
      <c r="Y38" s="16">
        <f t="shared" si="30"/>
        <v>52</v>
      </c>
      <c r="Z38" s="16">
        <f t="shared" si="30"/>
        <v>42</v>
      </c>
      <c r="AA38" s="16">
        <f t="shared" si="30"/>
        <v>33</v>
      </c>
      <c r="AB38" s="16">
        <f t="shared" si="30"/>
        <v>110</v>
      </c>
      <c r="AC38" s="16">
        <f t="shared" si="30"/>
        <v>2630</v>
      </c>
      <c r="AD38" s="16">
        <f t="shared" si="30"/>
        <v>0</v>
      </c>
      <c r="AE38" s="32">
        <f t="shared" si="30"/>
        <v>1005</v>
      </c>
      <c r="AF38" s="32">
        <f t="shared" si="30"/>
        <v>3635</v>
      </c>
    </row>
    <row r="39" spans="2:32" ht="23.1" customHeight="1" x14ac:dyDescent="0.25">
      <c r="B39" s="46" t="s">
        <v>66</v>
      </c>
      <c r="C39" s="50">
        <v>12</v>
      </c>
      <c r="D39" s="50">
        <v>8</v>
      </c>
      <c r="E39" s="50">
        <v>0</v>
      </c>
      <c r="F39" s="50">
        <v>2</v>
      </c>
      <c r="G39" s="50">
        <v>0</v>
      </c>
      <c r="H39" s="50">
        <v>0</v>
      </c>
      <c r="I39" s="50">
        <v>2</v>
      </c>
      <c r="J39" s="50">
        <v>2</v>
      </c>
      <c r="K39" s="50">
        <v>2</v>
      </c>
      <c r="L39" s="50">
        <v>3</v>
      </c>
      <c r="M39" s="50">
        <v>83</v>
      </c>
      <c r="N39" s="50">
        <v>0</v>
      </c>
      <c r="O39" s="15">
        <f t="shared" si="0"/>
        <v>31</v>
      </c>
      <c r="P39" s="15">
        <f t="shared" si="1"/>
        <v>114</v>
      </c>
      <c r="R39" s="29" t="s">
        <v>87</v>
      </c>
      <c r="S39" s="16">
        <f t="shared" ref="S39:AF39" si="31">SUM(S19:S21)</f>
        <v>172</v>
      </c>
      <c r="T39" s="16">
        <f t="shared" si="31"/>
        <v>118</v>
      </c>
      <c r="U39" s="16">
        <f t="shared" si="31"/>
        <v>45</v>
      </c>
      <c r="V39" s="16">
        <f t="shared" si="31"/>
        <v>59</v>
      </c>
      <c r="W39" s="16">
        <f t="shared" si="31"/>
        <v>0</v>
      </c>
      <c r="X39" s="16">
        <f t="shared" si="31"/>
        <v>2</v>
      </c>
      <c r="Y39" s="16">
        <f t="shared" si="31"/>
        <v>11</v>
      </c>
      <c r="Z39" s="16">
        <f t="shared" si="31"/>
        <v>19</v>
      </c>
      <c r="AA39" s="16">
        <f t="shared" si="31"/>
        <v>10</v>
      </c>
      <c r="AB39" s="16">
        <f t="shared" si="31"/>
        <v>40</v>
      </c>
      <c r="AC39" s="16">
        <f t="shared" si="31"/>
        <v>1491</v>
      </c>
      <c r="AD39" s="16">
        <f t="shared" si="31"/>
        <v>0</v>
      </c>
      <c r="AE39" s="32">
        <f t="shared" si="31"/>
        <v>476</v>
      </c>
      <c r="AF39" s="32">
        <f t="shared" si="31"/>
        <v>1967</v>
      </c>
    </row>
    <row r="40" spans="2:32" ht="23.1" customHeight="1" x14ac:dyDescent="0.25">
      <c r="B40" s="46" t="s">
        <v>67</v>
      </c>
      <c r="C40" s="50">
        <v>11</v>
      </c>
      <c r="D40" s="50">
        <v>12</v>
      </c>
      <c r="E40" s="50">
        <v>2</v>
      </c>
      <c r="F40" s="50">
        <v>2</v>
      </c>
      <c r="G40" s="50">
        <v>0</v>
      </c>
      <c r="H40" s="50">
        <v>0</v>
      </c>
      <c r="I40" s="50">
        <v>1</v>
      </c>
      <c r="J40" s="50">
        <v>1</v>
      </c>
      <c r="K40" s="50">
        <v>6</v>
      </c>
      <c r="L40" s="50">
        <v>3</v>
      </c>
      <c r="M40" s="50">
        <v>95</v>
      </c>
      <c r="N40" s="50">
        <v>0</v>
      </c>
      <c r="O40" s="15">
        <f t="shared" si="0"/>
        <v>38</v>
      </c>
      <c r="P40" s="15">
        <f t="shared" si="1"/>
        <v>133</v>
      </c>
      <c r="R40" s="5" t="s">
        <v>17</v>
      </c>
      <c r="S40" s="16">
        <f t="shared" ref="S40:AF40" si="32">SUM(S10:S21)</f>
        <v>832</v>
      </c>
      <c r="T40" s="16">
        <f t="shared" si="32"/>
        <v>451</v>
      </c>
      <c r="U40" s="16">
        <f t="shared" si="32"/>
        <v>161</v>
      </c>
      <c r="V40" s="16">
        <f t="shared" si="32"/>
        <v>155</v>
      </c>
      <c r="W40" s="16">
        <f t="shared" si="32"/>
        <v>3</v>
      </c>
      <c r="X40" s="16">
        <f t="shared" si="32"/>
        <v>5</v>
      </c>
      <c r="Y40" s="16">
        <f t="shared" si="32"/>
        <v>82</v>
      </c>
      <c r="Z40" s="16">
        <f t="shared" si="32"/>
        <v>78</v>
      </c>
      <c r="AA40" s="16">
        <f t="shared" si="32"/>
        <v>55</v>
      </c>
      <c r="AB40" s="16">
        <f t="shared" si="32"/>
        <v>170</v>
      </c>
      <c r="AC40" s="16">
        <f t="shared" si="32"/>
        <v>6096</v>
      </c>
      <c r="AD40" s="16">
        <f t="shared" si="32"/>
        <v>0</v>
      </c>
      <c r="AE40" s="32">
        <f t="shared" si="32"/>
        <v>1992</v>
      </c>
      <c r="AF40" s="32">
        <f t="shared" si="32"/>
        <v>8088</v>
      </c>
    </row>
    <row r="41" spans="2:32" ht="23.1" customHeight="1" x14ac:dyDescent="0.25">
      <c r="B41" s="45" t="s">
        <v>68</v>
      </c>
      <c r="C41" s="50">
        <v>16</v>
      </c>
      <c r="D41" s="50">
        <v>16</v>
      </c>
      <c r="E41" s="50">
        <v>5</v>
      </c>
      <c r="F41" s="50">
        <v>5</v>
      </c>
      <c r="G41" s="50">
        <v>0</v>
      </c>
      <c r="H41" s="50">
        <v>0</v>
      </c>
      <c r="I41" s="50">
        <v>1</v>
      </c>
      <c r="J41" s="50">
        <v>1</v>
      </c>
      <c r="K41" s="50">
        <v>2</v>
      </c>
      <c r="L41" s="50">
        <v>3</v>
      </c>
      <c r="M41" s="50">
        <v>83</v>
      </c>
      <c r="N41" s="50">
        <v>0</v>
      </c>
      <c r="O41" s="15">
        <f t="shared" si="0"/>
        <v>49</v>
      </c>
      <c r="P41" s="15">
        <f t="shared" si="1"/>
        <v>132</v>
      </c>
      <c r="R41" s="5" t="s">
        <v>159</v>
      </c>
      <c r="S41" s="16">
        <f>SUM(S10:S33)</f>
        <v>1247</v>
      </c>
      <c r="T41" s="16">
        <f t="shared" ref="T41:AF41" si="33">SUM(T10:T33)</f>
        <v>727</v>
      </c>
      <c r="U41" s="16">
        <f t="shared" si="33"/>
        <v>242</v>
      </c>
      <c r="V41" s="16">
        <f t="shared" si="33"/>
        <v>361</v>
      </c>
      <c r="W41" s="16">
        <f t="shared" si="33"/>
        <v>3</v>
      </c>
      <c r="X41" s="16">
        <f t="shared" si="33"/>
        <v>6</v>
      </c>
      <c r="Y41" s="16">
        <f t="shared" si="33"/>
        <v>103</v>
      </c>
      <c r="Z41" s="16">
        <f t="shared" si="33"/>
        <v>97</v>
      </c>
      <c r="AA41" s="16">
        <f t="shared" si="33"/>
        <v>59</v>
      </c>
      <c r="AB41" s="16">
        <f t="shared" si="33"/>
        <v>201</v>
      </c>
      <c r="AC41" s="16">
        <f t="shared" si="33"/>
        <v>8579</v>
      </c>
      <c r="AD41" s="16">
        <f t="shared" si="33"/>
        <v>0</v>
      </c>
      <c r="AE41" s="32">
        <f t="shared" si="33"/>
        <v>3046</v>
      </c>
      <c r="AF41" s="32">
        <f t="shared" si="33"/>
        <v>11625</v>
      </c>
    </row>
    <row r="42" spans="2:32" ht="23.1" customHeight="1" x14ac:dyDescent="0.25">
      <c r="B42" s="46" t="s">
        <v>69</v>
      </c>
      <c r="C42" s="50">
        <v>12</v>
      </c>
      <c r="D42" s="50">
        <v>6</v>
      </c>
      <c r="E42" s="50">
        <v>1</v>
      </c>
      <c r="F42" s="50">
        <v>6</v>
      </c>
      <c r="G42" s="50">
        <v>0</v>
      </c>
      <c r="H42" s="50">
        <v>0</v>
      </c>
      <c r="I42" s="50">
        <v>1</v>
      </c>
      <c r="J42" s="50">
        <v>3</v>
      </c>
      <c r="K42" s="50">
        <v>4</v>
      </c>
      <c r="L42" s="50">
        <v>5</v>
      </c>
      <c r="M42" s="50">
        <v>63</v>
      </c>
      <c r="N42" s="50">
        <v>0</v>
      </c>
      <c r="O42" s="15">
        <f t="shared" si="0"/>
        <v>38</v>
      </c>
      <c r="P42" s="15">
        <f t="shared" si="1"/>
        <v>101</v>
      </c>
      <c r="R42" s="5" t="s">
        <v>160</v>
      </c>
      <c r="S42" s="48">
        <f>S41/S40</f>
        <v>1.4987980769230769</v>
      </c>
      <c r="T42" s="48">
        <f t="shared" ref="T42:AF42" si="34">T41/T40</f>
        <v>1.6119733924611974</v>
      </c>
      <c r="U42" s="48">
        <f t="shared" si="34"/>
        <v>1.5031055900621118</v>
      </c>
      <c r="V42" s="48">
        <f t="shared" si="34"/>
        <v>2.3290322580645162</v>
      </c>
      <c r="W42" s="48">
        <f t="shared" si="34"/>
        <v>1</v>
      </c>
      <c r="X42" s="48">
        <f t="shared" si="34"/>
        <v>1.2</v>
      </c>
      <c r="Y42" s="48">
        <f t="shared" si="34"/>
        <v>1.2560975609756098</v>
      </c>
      <c r="Z42" s="48">
        <f t="shared" si="34"/>
        <v>1.2435897435897436</v>
      </c>
      <c r="AA42" s="48">
        <f t="shared" si="34"/>
        <v>1.0727272727272728</v>
      </c>
      <c r="AB42" s="48">
        <f t="shared" si="34"/>
        <v>1.1823529411764706</v>
      </c>
      <c r="AC42" s="48">
        <f t="shared" si="34"/>
        <v>1.4073162729658792</v>
      </c>
      <c r="AD42" s="48" t="e">
        <f t="shared" si="34"/>
        <v>#DIV/0!</v>
      </c>
      <c r="AE42" s="48">
        <f t="shared" si="34"/>
        <v>1.5291164658634537</v>
      </c>
      <c r="AF42" s="48">
        <f t="shared" si="34"/>
        <v>1.4373145400593472</v>
      </c>
    </row>
    <row r="43" spans="2:32" ht="23.1" customHeight="1" x14ac:dyDescent="0.25">
      <c r="B43" s="45" t="s">
        <v>70</v>
      </c>
      <c r="C43" s="50">
        <v>10</v>
      </c>
      <c r="D43" s="50">
        <v>9</v>
      </c>
      <c r="E43" s="50">
        <v>3</v>
      </c>
      <c r="F43" s="50">
        <v>5</v>
      </c>
      <c r="G43" s="50">
        <v>0</v>
      </c>
      <c r="H43" s="50">
        <v>0</v>
      </c>
      <c r="I43" s="50">
        <v>4</v>
      </c>
      <c r="J43" s="50">
        <v>3</v>
      </c>
      <c r="K43" s="50">
        <v>2</v>
      </c>
      <c r="L43" s="50">
        <v>8</v>
      </c>
      <c r="M43" s="50">
        <v>70</v>
      </c>
      <c r="N43" s="50">
        <v>0</v>
      </c>
      <c r="O43" s="15">
        <f t="shared" si="0"/>
        <v>44</v>
      </c>
      <c r="P43" s="15">
        <f t="shared" si="1"/>
        <v>114</v>
      </c>
    </row>
    <row r="44" spans="2:32" ht="23.1" customHeight="1" x14ac:dyDescent="0.25">
      <c r="B44" s="47" t="s">
        <v>71</v>
      </c>
      <c r="C44" s="50">
        <v>18</v>
      </c>
      <c r="D44" s="50">
        <v>7</v>
      </c>
      <c r="E44" s="50">
        <v>0</v>
      </c>
      <c r="F44" s="50">
        <v>4</v>
      </c>
      <c r="G44" s="50">
        <v>0</v>
      </c>
      <c r="H44" s="50">
        <v>0</v>
      </c>
      <c r="I44" s="50">
        <v>1</v>
      </c>
      <c r="J44" s="50">
        <v>0</v>
      </c>
      <c r="K44" s="50">
        <v>1</v>
      </c>
      <c r="L44" s="50">
        <v>8</v>
      </c>
      <c r="M44" s="50">
        <v>88</v>
      </c>
      <c r="N44" s="50">
        <v>0</v>
      </c>
      <c r="O44" s="15">
        <f t="shared" si="0"/>
        <v>39</v>
      </c>
      <c r="P44" s="15">
        <f t="shared" si="1"/>
        <v>127</v>
      </c>
    </row>
    <row r="45" spans="2:32" ht="23.1" customHeight="1" x14ac:dyDescent="0.25">
      <c r="B45" s="45" t="s">
        <v>72</v>
      </c>
      <c r="C45" s="50">
        <v>14</v>
      </c>
      <c r="D45" s="50">
        <v>12</v>
      </c>
      <c r="E45" s="50">
        <v>2</v>
      </c>
      <c r="F45" s="50">
        <v>4</v>
      </c>
      <c r="G45" s="50">
        <v>0</v>
      </c>
      <c r="H45" s="50">
        <v>0</v>
      </c>
      <c r="I45" s="50">
        <v>4</v>
      </c>
      <c r="J45" s="50">
        <v>4</v>
      </c>
      <c r="K45" s="50">
        <v>1</v>
      </c>
      <c r="L45" s="50">
        <v>8</v>
      </c>
      <c r="M45" s="50">
        <v>97</v>
      </c>
      <c r="N45" s="50">
        <v>0</v>
      </c>
      <c r="O45" s="15">
        <f t="shared" si="0"/>
        <v>49</v>
      </c>
      <c r="P45" s="15">
        <f t="shared" si="1"/>
        <v>146</v>
      </c>
    </row>
    <row r="46" spans="2:32" ht="23.1" customHeight="1" x14ac:dyDescent="0.25">
      <c r="B46" s="46" t="s">
        <v>73</v>
      </c>
      <c r="C46" s="50">
        <v>15</v>
      </c>
      <c r="D46" s="50">
        <v>8</v>
      </c>
      <c r="E46" s="50">
        <v>3</v>
      </c>
      <c r="F46" s="50">
        <v>6</v>
      </c>
      <c r="G46" s="50">
        <v>0</v>
      </c>
      <c r="H46" s="50">
        <v>1</v>
      </c>
      <c r="I46" s="50">
        <v>1</v>
      </c>
      <c r="J46" s="50">
        <v>2</v>
      </c>
      <c r="K46" s="50">
        <v>0</v>
      </c>
      <c r="L46" s="50">
        <v>3</v>
      </c>
      <c r="M46" s="50">
        <v>115</v>
      </c>
      <c r="N46" s="50">
        <v>0</v>
      </c>
      <c r="O46" s="15">
        <f t="shared" si="0"/>
        <v>39</v>
      </c>
      <c r="P46" s="15">
        <f t="shared" si="1"/>
        <v>154</v>
      </c>
      <c r="R46" s="8"/>
      <c r="T46"/>
    </row>
    <row r="47" spans="2:32" ht="23.1" customHeight="1" x14ac:dyDescent="0.25">
      <c r="B47" s="46" t="s">
        <v>74</v>
      </c>
      <c r="C47" s="50">
        <v>13</v>
      </c>
      <c r="D47" s="50">
        <v>9</v>
      </c>
      <c r="E47" s="50">
        <v>7</v>
      </c>
      <c r="F47" s="50">
        <v>4</v>
      </c>
      <c r="G47" s="50">
        <v>0</v>
      </c>
      <c r="H47" s="50">
        <v>1</v>
      </c>
      <c r="I47" s="50">
        <v>2</v>
      </c>
      <c r="J47" s="50">
        <v>4</v>
      </c>
      <c r="K47" s="50">
        <v>1</v>
      </c>
      <c r="L47" s="50">
        <v>5</v>
      </c>
      <c r="M47" s="50">
        <v>121</v>
      </c>
      <c r="N47" s="50">
        <v>0</v>
      </c>
      <c r="O47" s="15">
        <f t="shared" si="0"/>
        <v>46</v>
      </c>
      <c r="P47" s="15">
        <f t="shared" si="1"/>
        <v>167</v>
      </c>
      <c r="R47" s="8"/>
      <c r="T47"/>
    </row>
    <row r="48" spans="2:32" ht="23.1" customHeight="1" x14ac:dyDescent="0.25">
      <c r="B48" s="46" t="s">
        <v>75</v>
      </c>
      <c r="C48" s="50">
        <v>12</v>
      </c>
      <c r="D48" s="50">
        <v>7</v>
      </c>
      <c r="E48" s="50">
        <v>1</v>
      </c>
      <c r="F48" s="50">
        <v>6</v>
      </c>
      <c r="G48" s="50">
        <v>0</v>
      </c>
      <c r="H48" s="50">
        <v>0</v>
      </c>
      <c r="I48" s="50">
        <v>1</v>
      </c>
      <c r="J48" s="50">
        <v>1</v>
      </c>
      <c r="K48" s="50">
        <v>2</v>
      </c>
      <c r="L48" s="50">
        <v>5</v>
      </c>
      <c r="M48" s="50">
        <v>143</v>
      </c>
      <c r="N48" s="50">
        <v>0</v>
      </c>
      <c r="O48" s="15">
        <f t="shared" si="0"/>
        <v>35</v>
      </c>
      <c r="P48" s="15">
        <f t="shared" si="1"/>
        <v>178</v>
      </c>
      <c r="R48" s="8"/>
      <c r="T48"/>
    </row>
    <row r="49" spans="2:20" ht="23.1" customHeight="1" x14ac:dyDescent="0.25">
      <c r="B49" s="45" t="s">
        <v>76</v>
      </c>
      <c r="C49" s="50">
        <v>21</v>
      </c>
      <c r="D49" s="50">
        <v>13</v>
      </c>
      <c r="E49" s="50">
        <v>2</v>
      </c>
      <c r="F49" s="50">
        <v>3</v>
      </c>
      <c r="G49" s="50">
        <v>0</v>
      </c>
      <c r="H49" s="50">
        <v>0</v>
      </c>
      <c r="I49" s="50">
        <v>1</v>
      </c>
      <c r="J49" s="50">
        <v>2</v>
      </c>
      <c r="K49" s="50">
        <v>1</v>
      </c>
      <c r="L49" s="50">
        <v>7</v>
      </c>
      <c r="M49" s="50">
        <v>85</v>
      </c>
      <c r="N49" s="50">
        <v>0</v>
      </c>
      <c r="O49" s="15">
        <f t="shared" si="0"/>
        <v>50</v>
      </c>
      <c r="P49" s="15">
        <f t="shared" si="1"/>
        <v>135</v>
      </c>
      <c r="R49" s="8"/>
      <c r="T49"/>
    </row>
    <row r="50" spans="2:20" ht="23.1" customHeight="1" x14ac:dyDescent="0.25">
      <c r="B50" s="46" t="s">
        <v>77</v>
      </c>
      <c r="C50" s="50">
        <v>6</v>
      </c>
      <c r="D50" s="50">
        <v>6</v>
      </c>
      <c r="E50" s="50">
        <v>1</v>
      </c>
      <c r="F50" s="50">
        <v>2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128</v>
      </c>
      <c r="N50" s="50">
        <v>0</v>
      </c>
      <c r="O50" s="15">
        <f t="shared" si="0"/>
        <v>15</v>
      </c>
      <c r="P50" s="15">
        <f t="shared" si="1"/>
        <v>143</v>
      </c>
      <c r="R50" s="8"/>
      <c r="T50"/>
    </row>
    <row r="51" spans="2:20" ht="23.1" customHeight="1" x14ac:dyDescent="0.25">
      <c r="B51" s="46" t="s">
        <v>78</v>
      </c>
      <c r="C51" s="50">
        <v>12</v>
      </c>
      <c r="D51" s="50">
        <v>10</v>
      </c>
      <c r="E51" s="50">
        <v>7</v>
      </c>
      <c r="F51" s="50">
        <v>4</v>
      </c>
      <c r="G51" s="50">
        <v>0</v>
      </c>
      <c r="H51" s="50">
        <v>0</v>
      </c>
      <c r="I51" s="50">
        <v>2</v>
      </c>
      <c r="J51" s="50">
        <v>4</v>
      </c>
      <c r="K51" s="50">
        <v>0</v>
      </c>
      <c r="L51" s="50">
        <v>9</v>
      </c>
      <c r="M51" s="50">
        <v>123</v>
      </c>
      <c r="N51" s="50">
        <v>0</v>
      </c>
      <c r="O51" s="15">
        <f t="shared" si="0"/>
        <v>48</v>
      </c>
      <c r="P51" s="15">
        <f t="shared" si="1"/>
        <v>171</v>
      </c>
      <c r="R51" s="8"/>
      <c r="T51"/>
    </row>
    <row r="52" spans="2:20" ht="23.1" customHeight="1" x14ac:dyDescent="0.25">
      <c r="B52" s="46" t="s">
        <v>79</v>
      </c>
      <c r="C52" s="50">
        <v>21</v>
      </c>
      <c r="D52" s="50">
        <v>15</v>
      </c>
      <c r="E52" s="50">
        <v>3</v>
      </c>
      <c r="F52" s="50">
        <v>6</v>
      </c>
      <c r="G52" s="50">
        <v>0</v>
      </c>
      <c r="H52" s="50">
        <v>0</v>
      </c>
      <c r="I52" s="50">
        <v>0</v>
      </c>
      <c r="J52" s="50">
        <v>3</v>
      </c>
      <c r="K52" s="50">
        <v>3</v>
      </c>
      <c r="L52" s="50">
        <v>5</v>
      </c>
      <c r="M52" s="50">
        <v>120</v>
      </c>
      <c r="N52" s="50">
        <v>0</v>
      </c>
      <c r="O52" s="15">
        <f t="shared" si="0"/>
        <v>56</v>
      </c>
      <c r="P52" s="15">
        <f t="shared" si="1"/>
        <v>176</v>
      </c>
      <c r="R52" s="8"/>
      <c r="T52"/>
    </row>
    <row r="53" spans="2:20" ht="23.1" customHeight="1" x14ac:dyDescent="0.25">
      <c r="B53" s="45" t="s">
        <v>80</v>
      </c>
      <c r="C53" s="50">
        <v>17</v>
      </c>
      <c r="D53" s="50">
        <v>11</v>
      </c>
      <c r="E53" s="50">
        <v>4</v>
      </c>
      <c r="F53" s="50">
        <v>6</v>
      </c>
      <c r="G53" s="50">
        <v>0</v>
      </c>
      <c r="H53" s="50">
        <v>0</v>
      </c>
      <c r="I53" s="50">
        <v>1</v>
      </c>
      <c r="J53" s="50">
        <v>1</v>
      </c>
      <c r="K53" s="50">
        <v>2</v>
      </c>
      <c r="L53" s="50">
        <v>1</v>
      </c>
      <c r="M53" s="50">
        <v>105</v>
      </c>
      <c r="N53" s="50">
        <v>0</v>
      </c>
      <c r="O53" s="15">
        <f t="shared" si="0"/>
        <v>43</v>
      </c>
      <c r="P53" s="15">
        <f t="shared" si="1"/>
        <v>148</v>
      </c>
      <c r="R53" s="8"/>
      <c r="T53"/>
    </row>
    <row r="54" spans="2:20" ht="23.1" customHeight="1" x14ac:dyDescent="0.25">
      <c r="B54" s="45" t="s">
        <v>81</v>
      </c>
      <c r="C54" s="50">
        <v>20</v>
      </c>
      <c r="D54" s="50">
        <v>12</v>
      </c>
      <c r="E54" s="50">
        <v>6</v>
      </c>
      <c r="F54" s="50">
        <v>5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4</v>
      </c>
      <c r="M54" s="50">
        <v>110</v>
      </c>
      <c r="N54" s="50">
        <v>0</v>
      </c>
      <c r="O54" s="15">
        <f t="shared" si="0"/>
        <v>50</v>
      </c>
      <c r="P54" s="15">
        <f t="shared" si="1"/>
        <v>160</v>
      </c>
      <c r="R54" s="8"/>
      <c r="T54"/>
    </row>
    <row r="55" spans="2:20" ht="23.1" customHeight="1" x14ac:dyDescent="0.25">
      <c r="B55" s="45" t="s">
        <v>82</v>
      </c>
      <c r="C55" s="50">
        <v>12</v>
      </c>
      <c r="D55" s="50">
        <v>13</v>
      </c>
      <c r="E55" s="50">
        <v>1</v>
      </c>
      <c r="F55" s="50">
        <v>7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142</v>
      </c>
      <c r="N55" s="50">
        <v>0</v>
      </c>
      <c r="O55" s="15">
        <f t="shared" si="0"/>
        <v>33</v>
      </c>
      <c r="P55" s="15">
        <f t="shared" si="1"/>
        <v>175</v>
      </c>
      <c r="R55" s="8"/>
      <c r="T55"/>
    </row>
    <row r="56" spans="2:20" ht="23.1" customHeight="1" x14ac:dyDescent="0.25">
      <c r="B56" s="45" t="s">
        <v>83</v>
      </c>
      <c r="C56" s="50">
        <v>12</v>
      </c>
      <c r="D56" s="50">
        <v>6</v>
      </c>
      <c r="E56" s="50">
        <v>6</v>
      </c>
      <c r="F56" s="50">
        <v>5</v>
      </c>
      <c r="G56" s="50">
        <v>0</v>
      </c>
      <c r="H56" s="50">
        <v>0</v>
      </c>
      <c r="I56" s="50">
        <v>0</v>
      </c>
      <c r="J56" s="50">
        <v>2</v>
      </c>
      <c r="K56" s="50">
        <v>0</v>
      </c>
      <c r="L56" s="50">
        <v>1</v>
      </c>
      <c r="M56" s="50">
        <v>121</v>
      </c>
      <c r="N56" s="50">
        <v>0</v>
      </c>
      <c r="O56" s="15">
        <f t="shared" si="0"/>
        <v>32</v>
      </c>
      <c r="P56" s="15">
        <f t="shared" si="1"/>
        <v>153</v>
      </c>
      <c r="R56" s="8"/>
      <c r="T56"/>
    </row>
    <row r="57" spans="2:20" ht="23.1" customHeight="1" x14ac:dyDescent="0.25">
      <c r="B57" s="45" t="s">
        <v>84</v>
      </c>
      <c r="C57" s="50">
        <v>11</v>
      </c>
      <c r="D57" s="50">
        <v>8</v>
      </c>
      <c r="E57" s="50">
        <v>4</v>
      </c>
      <c r="F57" s="50">
        <v>5</v>
      </c>
      <c r="G57" s="50">
        <v>0</v>
      </c>
      <c r="H57" s="50">
        <v>0</v>
      </c>
      <c r="I57" s="50">
        <v>0</v>
      </c>
      <c r="J57" s="50">
        <v>0</v>
      </c>
      <c r="K57" s="50">
        <v>1</v>
      </c>
      <c r="L57" s="50">
        <v>0</v>
      </c>
      <c r="M57" s="50">
        <v>178</v>
      </c>
      <c r="N57" s="50">
        <v>0</v>
      </c>
      <c r="O57" s="15">
        <f t="shared" si="0"/>
        <v>29</v>
      </c>
      <c r="P57" s="15">
        <f t="shared" si="1"/>
        <v>207</v>
      </c>
      <c r="R57" s="8"/>
      <c r="T57"/>
    </row>
    <row r="58" spans="2:20" ht="23.1" customHeight="1" x14ac:dyDescent="0.25">
      <c r="B58" s="45" t="s">
        <v>99</v>
      </c>
      <c r="C58" s="50">
        <v>16</v>
      </c>
      <c r="D58" s="50">
        <v>8</v>
      </c>
      <c r="E58" s="50">
        <v>5</v>
      </c>
      <c r="F58" s="50">
        <v>7</v>
      </c>
      <c r="G58" s="50">
        <v>0</v>
      </c>
      <c r="H58" s="50">
        <v>0</v>
      </c>
      <c r="I58" s="50">
        <v>0</v>
      </c>
      <c r="J58" s="50">
        <v>1</v>
      </c>
      <c r="K58" s="50">
        <v>0</v>
      </c>
      <c r="L58" s="50">
        <v>0</v>
      </c>
      <c r="M58" s="50">
        <v>138</v>
      </c>
      <c r="N58" s="50">
        <v>0</v>
      </c>
      <c r="O58" s="15">
        <f t="shared" ref="O58:O105" si="35">SUM(C58:L58,N58)</f>
        <v>37</v>
      </c>
      <c r="P58" s="15">
        <f t="shared" ref="P58:P105" si="36">SUM(C58:N58)</f>
        <v>175</v>
      </c>
      <c r="R58" s="8"/>
      <c r="T58"/>
    </row>
    <row r="59" spans="2:20" ht="23.1" customHeight="1" x14ac:dyDescent="0.25">
      <c r="B59" s="45" t="s">
        <v>100</v>
      </c>
      <c r="C59" s="50">
        <v>12</v>
      </c>
      <c r="D59" s="50">
        <v>11</v>
      </c>
      <c r="E59" s="50">
        <v>3</v>
      </c>
      <c r="F59" s="50">
        <v>8</v>
      </c>
      <c r="G59" s="50">
        <v>0</v>
      </c>
      <c r="H59" s="50">
        <v>0</v>
      </c>
      <c r="I59" s="50">
        <v>0</v>
      </c>
      <c r="J59" s="50">
        <v>1</v>
      </c>
      <c r="K59" s="50">
        <v>0</v>
      </c>
      <c r="L59" s="50">
        <v>0</v>
      </c>
      <c r="M59" s="50">
        <v>92</v>
      </c>
      <c r="N59" s="50">
        <v>0</v>
      </c>
      <c r="O59" s="15">
        <f t="shared" si="35"/>
        <v>35</v>
      </c>
      <c r="P59" s="15">
        <f t="shared" si="36"/>
        <v>127</v>
      </c>
      <c r="R59" s="8"/>
      <c r="T59"/>
    </row>
    <row r="60" spans="2:20" ht="23.1" customHeight="1" x14ac:dyDescent="0.25">
      <c r="B60" s="45" t="s">
        <v>101</v>
      </c>
      <c r="C60" s="50">
        <v>12</v>
      </c>
      <c r="D60" s="50">
        <v>9</v>
      </c>
      <c r="E60" s="50">
        <v>2</v>
      </c>
      <c r="F60" s="50">
        <v>12</v>
      </c>
      <c r="G60" s="50">
        <v>0</v>
      </c>
      <c r="H60" s="50">
        <v>0</v>
      </c>
      <c r="I60" s="50">
        <v>0</v>
      </c>
      <c r="J60" s="50">
        <v>2</v>
      </c>
      <c r="K60" s="50">
        <v>0</v>
      </c>
      <c r="L60" s="50">
        <v>0</v>
      </c>
      <c r="M60" s="50">
        <v>118</v>
      </c>
      <c r="N60" s="50">
        <v>0</v>
      </c>
      <c r="O60" s="15">
        <f t="shared" si="35"/>
        <v>37</v>
      </c>
      <c r="P60" s="15">
        <f t="shared" si="36"/>
        <v>155</v>
      </c>
      <c r="R60" s="8"/>
      <c r="T60"/>
    </row>
    <row r="61" spans="2:20" ht="23.1" customHeight="1" x14ac:dyDescent="0.25">
      <c r="B61" s="45" t="s">
        <v>102</v>
      </c>
      <c r="C61" s="50">
        <v>10</v>
      </c>
      <c r="D61" s="50">
        <v>7</v>
      </c>
      <c r="E61" s="50">
        <v>4</v>
      </c>
      <c r="F61" s="50">
        <v>6</v>
      </c>
      <c r="G61" s="50">
        <v>0</v>
      </c>
      <c r="H61" s="50">
        <v>0</v>
      </c>
      <c r="I61" s="50">
        <v>1</v>
      </c>
      <c r="J61" s="50">
        <v>2</v>
      </c>
      <c r="K61" s="50">
        <v>0</v>
      </c>
      <c r="L61" s="50">
        <v>5</v>
      </c>
      <c r="M61" s="50">
        <v>133</v>
      </c>
      <c r="N61" s="50">
        <v>0</v>
      </c>
      <c r="O61" s="15">
        <f t="shared" si="35"/>
        <v>35</v>
      </c>
      <c r="P61" s="15">
        <f t="shared" si="36"/>
        <v>168</v>
      </c>
      <c r="R61" s="8"/>
      <c r="T61"/>
    </row>
    <row r="62" spans="2:20" ht="23.1" customHeight="1" x14ac:dyDescent="0.25">
      <c r="B62" s="45" t="s">
        <v>107</v>
      </c>
      <c r="C62" s="50">
        <v>14</v>
      </c>
      <c r="D62" s="50">
        <v>12</v>
      </c>
      <c r="E62" s="50">
        <v>1</v>
      </c>
      <c r="F62" s="50">
        <v>15</v>
      </c>
      <c r="G62" s="50">
        <v>0</v>
      </c>
      <c r="H62" s="50">
        <v>0</v>
      </c>
      <c r="I62" s="50">
        <v>0</v>
      </c>
      <c r="J62" s="50">
        <v>0</v>
      </c>
      <c r="K62" s="50">
        <v>2</v>
      </c>
      <c r="L62" s="50">
        <v>1</v>
      </c>
      <c r="M62" s="50">
        <v>98</v>
      </c>
      <c r="N62" s="50">
        <v>0</v>
      </c>
      <c r="O62" s="15">
        <f t="shared" si="35"/>
        <v>45</v>
      </c>
      <c r="P62" s="15">
        <f t="shared" si="36"/>
        <v>143</v>
      </c>
      <c r="R62" s="8"/>
      <c r="T62"/>
    </row>
    <row r="63" spans="2:20" ht="23.1" customHeight="1" x14ac:dyDescent="0.25">
      <c r="B63" s="45" t="s">
        <v>108</v>
      </c>
      <c r="C63" s="50">
        <v>6</v>
      </c>
      <c r="D63" s="50">
        <v>10</v>
      </c>
      <c r="E63" s="50">
        <v>2</v>
      </c>
      <c r="F63" s="50">
        <v>17</v>
      </c>
      <c r="G63" s="50">
        <v>0</v>
      </c>
      <c r="H63" s="50">
        <v>0</v>
      </c>
      <c r="I63" s="50">
        <v>3</v>
      </c>
      <c r="J63" s="50">
        <v>0</v>
      </c>
      <c r="K63" s="50">
        <v>0</v>
      </c>
      <c r="L63" s="50">
        <v>1</v>
      </c>
      <c r="M63" s="50">
        <v>121</v>
      </c>
      <c r="N63" s="50">
        <v>0</v>
      </c>
      <c r="O63" s="15">
        <f t="shared" si="35"/>
        <v>39</v>
      </c>
      <c r="P63" s="15">
        <f t="shared" si="36"/>
        <v>160</v>
      </c>
      <c r="R63" s="8"/>
      <c r="T63"/>
    </row>
    <row r="64" spans="2:20" ht="23.1" customHeight="1" x14ac:dyDescent="0.25">
      <c r="B64" s="45" t="s">
        <v>109</v>
      </c>
      <c r="C64" s="50">
        <v>13</v>
      </c>
      <c r="D64" s="50">
        <v>6</v>
      </c>
      <c r="E64" s="50">
        <v>0</v>
      </c>
      <c r="F64" s="50">
        <v>10</v>
      </c>
      <c r="G64" s="50">
        <v>0</v>
      </c>
      <c r="H64" s="50">
        <v>0</v>
      </c>
      <c r="I64" s="50">
        <v>1</v>
      </c>
      <c r="J64" s="50">
        <v>1</v>
      </c>
      <c r="K64" s="50">
        <v>0</v>
      </c>
      <c r="L64" s="50">
        <v>0</v>
      </c>
      <c r="M64" s="50">
        <v>107</v>
      </c>
      <c r="N64" s="50">
        <v>0</v>
      </c>
      <c r="O64" s="15">
        <f t="shared" si="35"/>
        <v>31</v>
      </c>
      <c r="P64" s="15">
        <f t="shared" si="36"/>
        <v>138</v>
      </c>
      <c r="R64" s="8"/>
      <c r="T64"/>
    </row>
    <row r="65" spans="2:20" ht="23.1" customHeight="1" x14ac:dyDescent="0.25">
      <c r="B65" s="45" t="s">
        <v>158</v>
      </c>
      <c r="C65" s="50">
        <v>10</v>
      </c>
      <c r="D65" s="50">
        <v>3</v>
      </c>
      <c r="E65" s="50">
        <v>1</v>
      </c>
      <c r="F65" s="50">
        <v>11</v>
      </c>
      <c r="G65" s="50">
        <v>0</v>
      </c>
      <c r="H65" s="50">
        <v>0</v>
      </c>
      <c r="I65" s="50">
        <v>1</v>
      </c>
      <c r="J65" s="50">
        <v>0</v>
      </c>
      <c r="K65" s="50">
        <v>1</v>
      </c>
      <c r="L65" s="50">
        <v>0</v>
      </c>
      <c r="M65" s="50">
        <v>69</v>
      </c>
      <c r="N65" s="50">
        <v>0</v>
      </c>
      <c r="O65" s="15">
        <f t="shared" si="35"/>
        <v>27</v>
      </c>
      <c r="P65" s="15">
        <f t="shared" si="36"/>
        <v>96</v>
      </c>
      <c r="R65" s="8"/>
      <c r="T65"/>
    </row>
    <row r="66" spans="2:20" ht="23.1" customHeight="1" x14ac:dyDescent="0.25">
      <c r="B66" s="45" t="s">
        <v>103</v>
      </c>
      <c r="C66" s="50">
        <v>19</v>
      </c>
      <c r="D66" s="50">
        <v>6</v>
      </c>
      <c r="E66" s="50">
        <v>5</v>
      </c>
      <c r="F66" s="50">
        <v>14</v>
      </c>
      <c r="G66" s="50">
        <v>0</v>
      </c>
      <c r="H66" s="50">
        <v>0</v>
      </c>
      <c r="I66" s="50">
        <v>0</v>
      </c>
      <c r="J66" s="50">
        <v>2</v>
      </c>
      <c r="K66" s="50">
        <v>0</v>
      </c>
      <c r="L66" s="50">
        <v>1</v>
      </c>
      <c r="M66" s="50">
        <v>96</v>
      </c>
      <c r="N66" s="50">
        <v>0</v>
      </c>
      <c r="O66" s="15">
        <f t="shared" si="35"/>
        <v>47</v>
      </c>
      <c r="P66" s="15">
        <f t="shared" si="36"/>
        <v>143</v>
      </c>
      <c r="R66" s="8"/>
      <c r="T66"/>
    </row>
    <row r="67" spans="2:20" ht="23.1" customHeight="1" x14ac:dyDescent="0.25">
      <c r="B67" s="45" t="s">
        <v>104</v>
      </c>
      <c r="C67" s="50">
        <v>9</v>
      </c>
      <c r="D67" s="50">
        <v>13</v>
      </c>
      <c r="E67" s="50">
        <v>4</v>
      </c>
      <c r="F67" s="50">
        <v>10</v>
      </c>
      <c r="G67" s="50">
        <v>0</v>
      </c>
      <c r="H67" s="50">
        <v>0</v>
      </c>
      <c r="I67" s="50">
        <v>0</v>
      </c>
      <c r="J67" s="50">
        <v>1</v>
      </c>
      <c r="K67" s="50">
        <v>0</v>
      </c>
      <c r="L67" s="50">
        <v>0</v>
      </c>
      <c r="M67" s="50">
        <v>80</v>
      </c>
      <c r="N67" s="50">
        <v>0</v>
      </c>
      <c r="O67" s="15">
        <f t="shared" si="35"/>
        <v>37</v>
      </c>
      <c r="P67" s="15">
        <f t="shared" si="36"/>
        <v>117</v>
      </c>
      <c r="R67" s="8"/>
      <c r="T67"/>
    </row>
    <row r="68" spans="2:20" ht="23.1" customHeight="1" x14ac:dyDescent="0.25">
      <c r="B68" s="45" t="s">
        <v>105</v>
      </c>
      <c r="C68" s="50">
        <v>15</v>
      </c>
      <c r="D68" s="50">
        <v>6</v>
      </c>
      <c r="E68" s="50">
        <v>4</v>
      </c>
      <c r="F68" s="50">
        <v>10</v>
      </c>
      <c r="G68" s="50">
        <v>0</v>
      </c>
      <c r="H68" s="50">
        <v>0</v>
      </c>
      <c r="I68" s="50">
        <v>2</v>
      </c>
      <c r="J68" s="50">
        <v>0</v>
      </c>
      <c r="K68" s="50">
        <v>0</v>
      </c>
      <c r="L68" s="50">
        <v>0</v>
      </c>
      <c r="M68" s="50">
        <v>82</v>
      </c>
      <c r="N68" s="50">
        <v>0</v>
      </c>
      <c r="O68" s="15">
        <f t="shared" si="35"/>
        <v>37</v>
      </c>
      <c r="P68" s="15">
        <f t="shared" si="36"/>
        <v>119</v>
      </c>
      <c r="R68" s="8"/>
      <c r="T68"/>
    </row>
    <row r="69" spans="2:20" ht="23.1" customHeight="1" x14ac:dyDescent="0.25">
      <c r="B69" s="45" t="s">
        <v>106</v>
      </c>
      <c r="C69" s="50">
        <v>13</v>
      </c>
      <c r="D69" s="50">
        <v>11</v>
      </c>
      <c r="E69" s="50">
        <v>3</v>
      </c>
      <c r="F69" s="50">
        <v>9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1</v>
      </c>
      <c r="M69" s="50">
        <v>75</v>
      </c>
      <c r="N69" s="50">
        <v>0</v>
      </c>
      <c r="O69" s="15">
        <f t="shared" si="35"/>
        <v>37</v>
      </c>
      <c r="P69" s="15">
        <f t="shared" si="36"/>
        <v>112</v>
      </c>
      <c r="R69" s="8"/>
      <c r="T69"/>
    </row>
    <row r="70" spans="2:20" ht="23.1" customHeight="1" x14ac:dyDescent="0.25">
      <c r="B70" s="45" t="s">
        <v>110</v>
      </c>
      <c r="C70" s="50">
        <v>16</v>
      </c>
      <c r="D70" s="50">
        <v>11</v>
      </c>
      <c r="E70" s="50">
        <v>2</v>
      </c>
      <c r="F70" s="50">
        <v>7</v>
      </c>
      <c r="G70" s="50">
        <v>0</v>
      </c>
      <c r="H70" s="50">
        <v>1</v>
      </c>
      <c r="I70" s="50">
        <v>0</v>
      </c>
      <c r="J70" s="50">
        <v>0</v>
      </c>
      <c r="K70" s="50">
        <v>0</v>
      </c>
      <c r="L70" s="50">
        <v>0</v>
      </c>
      <c r="M70" s="50">
        <v>75</v>
      </c>
      <c r="N70" s="50">
        <v>0</v>
      </c>
      <c r="O70" s="15">
        <f t="shared" si="35"/>
        <v>37</v>
      </c>
      <c r="P70" s="15">
        <f t="shared" si="36"/>
        <v>112</v>
      </c>
      <c r="R70" s="8"/>
      <c r="T70"/>
    </row>
    <row r="71" spans="2:20" ht="23.1" customHeight="1" x14ac:dyDescent="0.25">
      <c r="B71" s="45" t="s">
        <v>111</v>
      </c>
      <c r="C71" s="50">
        <v>15</v>
      </c>
      <c r="D71" s="50">
        <v>5</v>
      </c>
      <c r="E71" s="50">
        <v>4</v>
      </c>
      <c r="F71" s="50">
        <v>3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0</v>
      </c>
      <c r="M71" s="50">
        <v>65</v>
      </c>
      <c r="N71" s="50">
        <v>0</v>
      </c>
      <c r="O71" s="15">
        <f t="shared" si="35"/>
        <v>28</v>
      </c>
      <c r="P71" s="15">
        <f t="shared" si="36"/>
        <v>93</v>
      </c>
      <c r="R71" s="8"/>
      <c r="T71"/>
    </row>
    <row r="72" spans="2:20" ht="23.1" customHeight="1" x14ac:dyDescent="0.25">
      <c r="B72" s="45" t="s">
        <v>112</v>
      </c>
      <c r="C72" s="50">
        <v>13</v>
      </c>
      <c r="D72" s="50">
        <v>12</v>
      </c>
      <c r="E72" s="50">
        <v>2</v>
      </c>
      <c r="F72" s="50">
        <v>3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80</v>
      </c>
      <c r="N72" s="50">
        <v>0</v>
      </c>
      <c r="O72" s="15">
        <f t="shared" si="35"/>
        <v>30</v>
      </c>
      <c r="P72" s="15">
        <f t="shared" si="36"/>
        <v>110</v>
      </c>
      <c r="R72" s="8"/>
      <c r="T72"/>
    </row>
    <row r="73" spans="2:20" ht="23.1" customHeight="1" x14ac:dyDescent="0.25">
      <c r="B73" s="45" t="s">
        <v>113</v>
      </c>
      <c r="C73" s="50">
        <v>9</v>
      </c>
      <c r="D73" s="50">
        <v>5</v>
      </c>
      <c r="E73" s="50">
        <v>2</v>
      </c>
      <c r="F73" s="50">
        <v>4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50</v>
      </c>
      <c r="N73" s="50">
        <v>0</v>
      </c>
      <c r="O73" s="15">
        <f t="shared" si="35"/>
        <v>20</v>
      </c>
      <c r="P73" s="15">
        <f t="shared" si="36"/>
        <v>70</v>
      </c>
      <c r="R73" s="8"/>
      <c r="T73"/>
    </row>
    <row r="74" spans="2:20" ht="23.1" customHeight="1" x14ac:dyDescent="0.25">
      <c r="B74" s="45" t="s">
        <v>114</v>
      </c>
      <c r="C74" s="50">
        <v>16</v>
      </c>
      <c r="D74" s="50">
        <v>8</v>
      </c>
      <c r="E74" s="50">
        <v>4</v>
      </c>
      <c r="F74" s="50">
        <v>2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53</v>
      </c>
      <c r="N74" s="50">
        <v>0</v>
      </c>
      <c r="O74" s="15">
        <f t="shared" si="35"/>
        <v>30</v>
      </c>
      <c r="P74" s="15">
        <f t="shared" si="36"/>
        <v>83</v>
      </c>
      <c r="R74" s="8"/>
      <c r="T74"/>
    </row>
    <row r="75" spans="2:20" ht="23.1" customHeight="1" x14ac:dyDescent="0.25">
      <c r="B75" s="45" t="s">
        <v>115</v>
      </c>
      <c r="C75" s="50">
        <v>8</v>
      </c>
      <c r="D75" s="50">
        <v>6</v>
      </c>
      <c r="E75" s="50">
        <v>7</v>
      </c>
      <c r="F75" s="50">
        <v>2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46</v>
      </c>
      <c r="N75" s="50">
        <v>0</v>
      </c>
      <c r="O75" s="15">
        <f t="shared" si="35"/>
        <v>23</v>
      </c>
      <c r="P75" s="15">
        <f t="shared" si="36"/>
        <v>69</v>
      </c>
      <c r="R75" s="8"/>
      <c r="T75"/>
    </row>
    <row r="76" spans="2:20" ht="23.1" customHeight="1" x14ac:dyDescent="0.25">
      <c r="B76" s="45" t="s">
        <v>116</v>
      </c>
      <c r="C76" s="50">
        <v>15</v>
      </c>
      <c r="D76" s="50">
        <v>7</v>
      </c>
      <c r="E76" s="50">
        <v>2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45</v>
      </c>
      <c r="N76" s="50">
        <v>0</v>
      </c>
      <c r="O76" s="15">
        <f t="shared" si="35"/>
        <v>25</v>
      </c>
      <c r="P76" s="15">
        <f t="shared" si="36"/>
        <v>70</v>
      </c>
      <c r="R76" s="8"/>
      <c r="T76"/>
    </row>
    <row r="77" spans="2:20" ht="23.1" customHeight="1" x14ac:dyDescent="0.25">
      <c r="B77" s="45" t="s">
        <v>117</v>
      </c>
      <c r="C77" s="50">
        <v>11</v>
      </c>
      <c r="D77" s="50">
        <v>3</v>
      </c>
      <c r="E77" s="50">
        <v>2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58</v>
      </c>
      <c r="N77" s="50">
        <v>0</v>
      </c>
      <c r="O77" s="15">
        <f t="shared" si="35"/>
        <v>17</v>
      </c>
      <c r="P77" s="15">
        <f t="shared" si="36"/>
        <v>75</v>
      </c>
      <c r="R77" s="8"/>
      <c r="T77"/>
    </row>
    <row r="78" spans="2:20" ht="23.1" customHeight="1" x14ac:dyDescent="0.25">
      <c r="B78" s="46" t="s">
        <v>118</v>
      </c>
      <c r="C78" s="50">
        <v>9</v>
      </c>
      <c r="D78" s="50">
        <v>7</v>
      </c>
      <c r="E78" s="50">
        <v>0</v>
      </c>
      <c r="F78" s="50">
        <v>3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42</v>
      </c>
      <c r="N78" s="50">
        <v>0</v>
      </c>
      <c r="O78" s="15">
        <f t="shared" si="35"/>
        <v>19</v>
      </c>
      <c r="P78" s="15">
        <f t="shared" si="36"/>
        <v>61</v>
      </c>
      <c r="R78" s="8"/>
      <c r="T78"/>
    </row>
    <row r="79" spans="2:20" ht="23.1" customHeight="1" x14ac:dyDescent="0.25">
      <c r="B79" s="45" t="s">
        <v>119</v>
      </c>
      <c r="C79" s="50">
        <v>7</v>
      </c>
      <c r="D79" s="50">
        <v>6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48</v>
      </c>
      <c r="N79" s="50">
        <v>0</v>
      </c>
      <c r="O79" s="15">
        <f t="shared" si="35"/>
        <v>13</v>
      </c>
      <c r="P79" s="15">
        <f t="shared" si="36"/>
        <v>61</v>
      </c>
      <c r="R79" s="8"/>
      <c r="T79"/>
    </row>
    <row r="80" spans="2:20" ht="23.1" customHeight="1" x14ac:dyDescent="0.25">
      <c r="B80" s="47" t="s">
        <v>120</v>
      </c>
      <c r="C80" s="50">
        <v>6</v>
      </c>
      <c r="D80" s="50">
        <v>4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35</v>
      </c>
      <c r="N80" s="50">
        <v>0</v>
      </c>
      <c r="O80" s="15">
        <f t="shared" si="35"/>
        <v>11</v>
      </c>
      <c r="P80" s="15">
        <f t="shared" si="36"/>
        <v>46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4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43</v>
      </c>
      <c r="N81" s="50">
        <v>0</v>
      </c>
      <c r="O81" s="15">
        <f t="shared" si="35"/>
        <v>6</v>
      </c>
      <c r="P81" s="15">
        <f t="shared" si="36"/>
        <v>49</v>
      </c>
      <c r="R81" s="8"/>
      <c r="T81"/>
    </row>
    <row r="82" spans="2:20" ht="23.1" customHeight="1" x14ac:dyDescent="0.25">
      <c r="B82" s="46" t="s">
        <v>122</v>
      </c>
      <c r="C82" s="50">
        <v>3</v>
      </c>
      <c r="D82" s="50">
        <v>3</v>
      </c>
      <c r="E82" s="50">
        <v>1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12</v>
      </c>
      <c r="N82" s="50">
        <v>0</v>
      </c>
      <c r="O82" s="15">
        <f t="shared" si="35"/>
        <v>8</v>
      </c>
      <c r="P82" s="15">
        <f t="shared" si="36"/>
        <v>20</v>
      </c>
      <c r="R82" s="8"/>
      <c r="T82"/>
    </row>
    <row r="83" spans="2:20" ht="23.1" customHeight="1" x14ac:dyDescent="0.25">
      <c r="B83" s="45" t="s">
        <v>123</v>
      </c>
      <c r="C83" s="50">
        <v>13</v>
      </c>
      <c r="D83" s="50">
        <v>5</v>
      </c>
      <c r="E83" s="50">
        <v>1</v>
      </c>
      <c r="F83" s="50">
        <v>1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26</v>
      </c>
      <c r="N83" s="50">
        <v>0</v>
      </c>
      <c r="O83" s="15">
        <f t="shared" si="35"/>
        <v>20</v>
      </c>
      <c r="P83" s="15">
        <f t="shared" si="36"/>
        <v>46</v>
      </c>
      <c r="R83" s="8"/>
      <c r="T83"/>
    </row>
    <row r="84" spans="2:20" ht="23.1" customHeight="1" x14ac:dyDescent="0.25">
      <c r="B84" s="47" t="s">
        <v>124</v>
      </c>
      <c r="C84" s="50">
        <v>3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1</v>
      </c>
      <c r="K84" s="50">
        <v>0</v>
      </c>
      <c r="L84" s="50">
        <v>1</v>
      </c>
      <c r="M84" s="50">
        <v>16</v>
      </c>
      <c r="N84" s="50">
        <v>0</v>
      </c>
      <c r="O84" s="15">
        <f t="shared" si="35"/>
        <v>7</v>
      </c>
      <c r="P84" s="15">
        <f t="shared" si="36"/>
        <v>23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2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8</v>
      </c>
      <c r="N85" s="50">
        <v>0</v>
      </c>
      <c r="O85" s="15">
        <f t="shared" si="35"/>
        <v>4</v>
      </c>
      <c r="P85" s="15">
        <f t="shared" si="36"/>
        <v>12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2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4</v>
      </c>
      <c r="N86" s="50">
        <v>0</v>
      </c>
      <c r="O86" s="15">
        <f t="shared" si="35"/>
        <v>8</v>
      </c>
      <c r="P86" s="15">
        <f t="shared" si="36"/>
        <v>12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1</v>
      </c>
      <c r="M87" s="50">
        <v>4</v>
      </c>
      <c r="N87" s="50">
        <v>0</v>
      </c>
      <c r="O87" s="15">
        <f t="shared" si="35"/>
        <v>2</v>
      </c>
      <c r="P87" s="15">
        <f t="shared" si="36"/>
        <v>6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3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1</v>
      </c>
      <c r="M88" s="50">
        <v>2</v>
      </c>
      <c r="N88" s="50">
        <v>0</v>
      </c>
      <c r="O88" s="15">
        <f t="shared" si="35"/>
        <v>6</v>
      </c>
      <c r="P88" s="15">
        <f t="shared" si="36"/>
        <v>8</v>
      </c>
      <c r="R88" s="8"/>
      <c r="T88"/>
    </row>
    <row r="89" spans="2:20" ht="23.1" customHeight="1" x14ac:dyDescent="0.25">
      <c r="B89" s="45" t="s">
        <v>129</v>
      </c>
      <c r="C89" s="50">
        <v>3</v>
      </c>
      <c r="D89" s="50">
        <v>2</v>
      </c>
      <c r="E89" s="50">
        <v>1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2</v>
      </c>
      <c r="M89" s="50">
        <v>15</v>
      </c>
      <c r="N89" s="50">
        <v>0</v>
      </c>
      <c r="O89" s="15">
        <f t="shared" si="35"/>
        <v>9</v>
      </c>
      <c r="P89" s="15">
        <f t="shared" si="36"/>
        <v>24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7</v>
      </c>
      <c r="N90" s="50">
        <v>0</v>
      </c>
      <c r="O90" s="15">
        <f t="shared" si="35"/>
        <v>0</v>
      </c>
      <c r="P90" s="15">
        <f t="shared" si="36"/>
        <v>7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2</v>
      </c>
      <c r="M91" s="50">
        <v>4</v>
      </c>
      <c r="N91" s="50">
        <v>0</v>
      </c>
      <c r="O91" s="15">
        <f t="shared" si="35"/>
        <v>5</v>
      </c>
      <c r="P91" s="15">
        <f t="shared" si="36"/>
        <v>9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1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1</v>
      </c>
      <c r="M92" s="50">
        <v>8</v>
      </c>
      <c r="N92" s="50">
        <v>0</v>
      </c>
      <c r="O92" s="15">
        <f t="shared" si="35"/>
        <v>4</v>
      </c>
      <c r="P92" s="15">
        <f t="shared" si="36"/>
        <v>12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3</v>
      </c>
      <c r="M93" s="50">
        <v>3</v>
      </c>
      <c r="N93" s="50">
        <v>0</v>
      </c>
      <c r="O93" s="15">
        <f t="shared" si="35"/>
        <v>6</v>
      </c>
      <c r="P93" s="15">
        <f t="shared" si="36"/>
        <v>9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4</v>
      </c>
      <c r="N94" s="50">
        <v>0</v>
      </c>
      <c r="O94" s="15">
        <f t="shared" si="35"/>
        <v>1</v>
      </c>
      <c r="P94" s="15">
        <f t="shared" si="36"/>
        <v>5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1</v>
      </c>
      <c r="K95" s="50">
        <v>0</v>
      </c>
      <c r="L95" s="50">
        <v>1</v>
      </c>
      <c r="M95" s="50">
        <v>4</v>
      </c>
      <c r="N95" s="50">
        <v>0</v>
      </c>
      <c r="O95" s="15">
        <f t="shared" si="35"/>
        <v>5</v>
      </c>
      <c r="P95" s="15">
        <f t="shared" si="36"/>
        <v>9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2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1</v>
      </c>
      <c r="L96" s="50">
        <v>2</v>
      </c>
      <c r="M96" s="50">
        <v>2</v>
      </c>
      <c r="N96" s="50">
        <v>0</v>
      </c>
      <c r="O96" s="15">
        <f t="shared" si="35"/>
        <v>6</v>
      </c>
      <c r="P96" s="15">
        <f t="shared" si="36"/>
        <v>8</v>
      </c>
      <c r="R96" s="8"/>
      <c r="T96"/>
    </row>
    <row r="97" spans="2:20" ht="23.1" customHeight="1" x14ac:dyDescent="0.25">
      <c r="B97" s="45" t="s">
        <v>137</v>
      </c>
      <c r="C97" s="50">
        <v>3</v>
      </c>
      <c r="D97" s="50">
        <v>0</v>
      </c>
      <c r="E97" s="50">
        <v>1</v>
      </c>
      <c r="F97" s="50">
        <v>2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2</v>
      </c>
      <c r="M97" s="50">
        <v>15</v>
      </c>
      <c r="N97" s="50">
        <v>0</v>
      </c>
      <c r="O97" s="15">
        <f t="shared" si="35"/>
        <v>9</v>
      </c>
      <c r="P97" s="15">
        <f t="shared" si="36"/>
        <v>24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1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22</v>
      </c>
      <c r="N98" s="50">
        <v>0</v>
      </c>
      <c r="O98" s="15">
        <f t="shared" si="35"/>
        <v>5</v>
      </c>
      <c r="P98" s="15">
        <f t="shared" si="36"/>
        <v>27</v>
      </c>
      <c r="R98" s="8"/>
      <c r="T98"/>
    </row>
    <row r="99" spans="2:20" ht="23.1" customHeight="1" x14ac:dyDescent="0.25">
      <c r="B99" s="45" t="s">
        <v>139</v>
      </c>
      <c r="C99" s="50">
        <v>4</v>
      </c>
      <c r="D99" s="50">
        <v>3</v>
      </c>
      <c r="E99" s="50">
        <v>1</v>
      </c>
      <c r="F99" s="50">
        <v>7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2</v>
      </c>
      <c r="M99" s="50">
        <v>35</v>
      </c>
      <c r="N99" s="50">
        <v>0</v>
      </c>
      <c r="O99" s="15">
        <f t="shared" si="35"/>
        <v>18</v>
      </c>
      <c r="P99" s="15">
        <f t="shared" si="36"/>
        <v>53</v>
      </c>
      <c r="R99" s="8"/>
      <c r="T99"/>
    </row>
    <row r="100" spans="2:20" ht="23.1" customHeight="1" x14ac:dyDescent="0.25">
      <c r="B100" s="47" t="s">
        <v>140</v>
      </c>
      <c r="C100" s="50">
        <v>4</v>
      </c>
      <c r="D100" s="50">
        <v>2</v>
      </c>
      <c r="E100" s="50">
        <v>4</v>
      </c>
      <c r="F100" s="50">
        <v>6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1</v>
      </c>
      <c r="M100" s="50">
        <v>46</v>
      </c>
      <c r="N100" s="50">
        <v>0</v>
      </c>
      <c r="O100" s="15">
        <f t="shared" si="35"/>
        <v>17</v>
      </c>
      <c r="P100" s="15">
        <f t="shared" si="36"/>
        <v>63</v>
      </c>
      <c r="R100" s="8"/>
      <c r="T100"/>
    </row>
    <row r="101" spans="2:20" ht="23.1" customHeight="1" x14ac:dyDescent="0.25">
      <c r="B101" s="45" t="s">
        <v>141</v>
      </c>
      <c r="C101" s="50">
        <v>8</v>
      </c>
      <c r="D101" s="50">
        <v>9</v>
      </c>
      <c r="E101" s="50">
        <v>1</v>
      </c>
      <c r="F101" s="50">
        <v>7</v>
      </c>
      <c r="G101" s="50">
        <v>0</v>
      </c>
      <c r="H101" s="50">
        <v>0</v>
      </c>
      <c r="I101" s="50">
        <v>0</v>
      </c>
      <c r="J101" s="50">
        <v>1</v>
      </c>
      <c r="K101" s="50">
        <v>0</v>
      </c>
      <c r="L101" s="50">
        <v>3</v>
      </c>
      <c r="M101" s="50">
        <v>50</v>
      </c>
      <c r="N101" s="50">
        <v>0</v>
      </c>
      <c r="O101" s="15">
        <f t="shared" si="35"/>
        <v>29</v>
      </c>
      <c r="P101" s="15">
        <f t="shared" si="36"/>
        <v>79</v>
      </c>
      <c r="R101" s="8"/>
      <c r="T101"/>
    </row>
    <row r="102" spans="2:20" ht="23.1" customHeight="1" x14ac:dyDescent="0.25">
      <c r="B102" s="46" t="s">
        <v>142</v>
      </c>
      <c r="C102" s="50">
        <v>7</v>
      </c>
      <c r="D102" s="50">
        <v>12</v>
      </c>
      <c r="E102" s="50">
        <v>4</v>
      </c>
      <c r="F102" s="50">
        <v>6</v>
      </c>
      <c r="G102" s="50">
        <v>0</v>
      </c>
      <c r="H102" s="50">
        <v>0</v>
      </c>
      <c r="I102" s="50">
        <v>3</v>
      </c>
      <c r="J102" s="50">
        <v>2</v>
      </c>
      <c r="K102" s="50">
        <v>0</v>
      </c>
      <c r="L102" s="50">
        <v>0</v>
      </c>
      <c r="M102" s="50">
        <v>70</v>
      </c>
      <c r="N102" s="50">
        <v>0</v>
      </c>
      <c r="O102" s="15">
        <f t="shared" si="35"/>
        <v>34</v>
      </c>
      <c r="P102" s="15">
        <f t="shared" si="36"/>
        <v>104</v>
      </c>
      <c r="R102" s="8"/>
      <c r="T102"/>
    </row>
    <row r="103" spans="2:20" ht="23.1" customHeight="1" x14ac:dyDescent="0.25">
      <c r="B103" s="45" t="s">
        <v>143</v>
      </c>
      <c r="C103" s="50">
        <v>12</v>
      </c>
      <c r="D103" s="50">
        <v>13</v>
      </c>
      <c r="E103" s="50">
        <v>1</v>
      </c>
      <c r="F103" s="50">
        <v>11</v>
      </c>
      <c r="G103" s="50">
        <v>0</v>
      </c>
      <c r="H103" s="50">
        <v>0</v>
      </c>
      <c r="I103" s="50">
        <v>1</v>
      </c>
      <c r="J103" s="50">
        <v>1</v>
      </c>
      <c r="K103" s="50">
        <v>0</v>
      </c>
      <c r="L103" s="50">
        <v>0</v>
      </c>
      <c r="M103" s="50">
        <v>80</v>
      </c>
      <c r="N103" s="50">
        <v>0</v>
      </c>
      <c r="O103" s="15">
        <f t="shared" si="35"/>
        <v>39</v>
      </c>
      <c r="P103" s="15">
        <f t="shared" si="36"/>
        <v>119</v>
      </c>
      <c r="R103" s="8"/>
      <c r="T103"/>
    </row>
    <row r="104" spans="2:20" ht="23.1" customHeight="1" x14ac:dyDescent="0.25">
      <c r="B104" s="47" t="s">
        <v>144</v>
      </c>
      <c r="C104" s="50">
        <v>30</v>
      </c>
      <c r="D104" s="50">
        <v>21</v>
      </c>
      <c r="E104" s="50">
        <v>2</v>
      </c>
      <c r="F104" s="50">
        <v>4</v>
      </c>
      <c r="G104" s="50">
        <v>0</v>
      </c>
      <c r="H104" s="50">
        <v>0</v>
      </c>
      <c r="I104" s="50">
        <v>1</v>
      </c>
      <c r="J104" s="50">
        <v>1</v>
      </c>
      <c r="K104" s="50">
        <v>0</v>
      </c>
      <c r="L104" s="50">
        <v>0</v>
      </c>
      <c r="M104" s="50">
        <v>87</v>
      </c>
      <c r="N104" s="50">
        <v>0</v>
      </c>
      <c r="O104" s="15">
        <f t="shared" si="35"/>
        <v>59</v>
      </c>
      <c r="P104" s="15">
        <f t="shared" si="36"/>
        <v>146</v>
      </c>
      <c r="R104" s="8"/>
      <c r="T104"/>
    </row>
    <row r="105" spans="2:20" ht="23.1" customHeight="1" x14ac:dyDescent="0.25">
      <c r="B105" s="45" t="s">
        <v>145</v>
      </c>
      <c r="C105" s="50">
        <v>28</v>
      </c>
      <c r="D105" s="50">
        <v>12</v>
      </c>
      <c r="E105" s="50">
        <v>4</v>
      </c>
      <c r="F105" s="50">
        <v>5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110</v>
      </c>
      <c r="N105" s="50">
        <v>0</v>
      </c>
      <c r="O105" s="15">
        <f t="shared" si="35"/>
        <v>50</v>
      </c>
      <c r="P105" s="15">
        <f t="shared" si="36"/>
        <v>160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1247</v>
      </c>
      <c r="D106" s="16">
        <f t="shared" ref="D106:P106" si="37">SUM(D10:D105)</f>
        <v>727</v>
      </c>
      <c r="E106" s="16">
        <f t="shared" si="37"/>
        <v>242</v>
      </c>
      <c r="F106" s="16">
        <f t="shared" si="37"/>
        <v>361</v>
      </c>
      <c r="G106" s="16">
        <f t="shared" si="37"/>
        <v>3</v>
      </c>
      <c r="H106" s="16">
        <f t="shared" si="37"/>
        <v>6</v>
      </c>
      <c r="I106" s="16">
        <f t="shared" si="37"/>
        <v>103</v>
      </c>
      <c r="J106" s="16">
        <f t="shared" si="37"/>
        <v>97</v>
      </c>
      <c r="K106" s="16">
        <f t="shared" si="37"/>
        <v>59</v>
      </c>
      <c r="L106" s="16">
        <f t="shared" si="37"/>
        <v>201</v>
      </c>
      <c r="M106" s="16">
        <f t="shared" si="37"/>
        <v>8579</v>
      </c>
      <c r="N106" s="16">
        <f t="shared" si="37"/>
        <v>0</v>
      </c>
      <c r="O106" s="16">
        <f t="shared" si="37"/>
        <v>3046</v>
      </c>
      <c r="P106" s="16">
        <f t="shared" si="37"/>
        <v>11625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0.10726881720430108</v>
      </c>
      <c r="D107" s="43">
        <f t="shared" si="38"/>
        <v>6.2537634408602147E-2</v>
      </c>
      <c r="E107" s="43">
        <f t="shared" si="38"/>
        <v>2.0817204301075268E-2</v>
      </c>
      <c r="F107" s="43">
        <f t="shared" si="38"/>
        <v>3.1053763440860215E-2</v>
      </c>
      <c r="G107" s="43">
        <f t="shared" si="38"/>
        <v>2.5806451612903227E-4</v>
      </c>
      <c r="H107" s="43">
        <f t="shared" si="38"/>
        <v>5.1612903225806454E-4</v>
      </c>
      <c r="I107" s="43">
        <f t="shared" si="38"/>
        <v>8.860215053763441E-3</v>
      </c>
      <c r="J107" s="43">
        <f t="shared" si="38"/>
        <v>8.3440860215053762E-3</v>
      </c>
      <c r="K107" s="43">
        <f t="shared" si="38"/>
        <v>5.0752688172043007E-3</v>
      </c>
      <c r="L107" s="43">
        <f t="shared" si="38"/>
        <v>1.7290322580645161E-2</v>
      </c>
      <c r="M107" s="43">
        <f t="shared" si="38"/>
        <v>0.73797849462365595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0.40938936309914642</v>
      </c>
      <c r="D108" s="44">
        <f t="shared" ref="D108:N108" si="39">D106/$O$106</f>
        <v>0.23867367038739332</v>
      </c>
      <c r="E108" s="44">
        <f t="shared" si="39"/>
        <v>7.9448456992777416E-2</v>
      </c>
      <c r="F108" s="44">
        <f t="shared" si="39"/>
        <v>0.11851608667104399</v>
      </c>
      <c r="G108" s="44">
        <f t="shared" si="39"/>
        <v>9.8489822718319099E-4</v>
      </c>
      <c r="H108" s="44">
        <f t="shared" si="39"/>
        <v>1.969796454366382E-3</v>
      </c>
      <c r="I108" s="44">
        <f t="shared" si="39"/>
        <v>3.3814839133289559E-2</v>
      </c>
      <c r="J108" s="44">
        <f t="shared" si="39"/>
        <v>3.1845042678923179E-2</v>
      </c>
      <c r="K108" s="44">
        <f t="shared" si="39"/>
        <v>1.9369665134602757E-2</v>
      </c>
      <c r="L108" s="44">
        <f t="shared" si="39"/>
        <v>6.5988181221273798E-2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N105" sqref="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NTINDA-SPEAR MOTORS'!C3:G3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NTINDA-SPEARMOTORS-24h'!D5</f>
        <v>01.08.19</v>
      </c>
      <c r="E5" s="3"/>
      <c r="F5" s="41" t="s">
        <v>1</v>
      </c>
      <c r="G5" s="61" t="str">
        <f>'01.08 NTINDA-SPEARMOTORS-24h'!G5:H5</f>
        <v>NAGURU BARRACKS</v>
      </c>
      <c r="H5" s="62"/>
      <c r="I5" s="14"/>
      <c r="J5" s="2" t="s">
        <v>5</v>
      </c>
      <c r="K5" s="61" t="s">
        <v>178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'29.07 SPEARMOTORS-NTINDA'!D6:E6</f>
        <v>SPEAR MOTORS</v>
      </c>
      <c r="E6" s="62"/>
      <c r="F6" s="2" t="s">
        <v>2</v>
      </c>
      <c r="G6" s="61" t="str">
        <f>'30.07 SPEARMOTORS-NTINDA'!G6:H6</f>
        <v>NTINDA</v>
      </c>
      <c r="H6" s="62"/>
      <c r="J6" s="2" t="s">
        <v>21</v>
      </c>
      <c r="K6" s="61" t="s">
        <v>177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55</v>
      </c>
      <c r="D10" s="50">
        <v>40</v>
      </c>
      <c r="E10" s="50">
        <v>30</v>
      </c>
      <c r="F10" s="50">
        <v>55</v>
      </c>
      <c r="G10" s="50">
        <v>1</v>
      </c>
      <c r="H10" s="50">
        <v>0</v>
      </c>
      <c r="I10" s="50">
        <v>2</v>
      </c>
      <c r="J10" s="50">
        <v>2</v>
      </c>
      <c r="K10" s="50">
        <v>3</v>
      </c>
      <c r="L10" s="50">
        <v>4</v>
      </c>
      <c r="M10" s="50">
        <v>175</v>
      </c>
      <c r="N10" s="50">
        <v>0</v>
      </c>
      <c r="O10" s="15">
        <f t="shared" ref="O10:O73" si="0">SUM(C10:L10,N10)</f>
        <v>192</v>
      </c>
      <c r="P10" s="15">
        <f t="shared" ref="P10:P73" si="1">SUM(C10:N10)</f>
        <v>367</v>
      </c>
      <c r="R10" s="1" t="s">
        <v>6</v>
      </c>
      <c r="S10" s="17">
        <f t="shared" ref="S10:AF10" si="2">SUM(C10:C13)</f>
        <v>124</v>
      </c>
      <c r="T10" s="17">
        <f t="shared" si="2"/>
        <v>83</v>
      </c>
      <c r="U10" s="17">
        <f t="shared" si="2"/>
        <v>46</v>
      </c>
      <c r="V10" s="17">
        <f t="shared" si="2"/>
        <v>104</v>
      </c>
      <c r="W10" s="17">
        <f t="shared" si="2"/>
        <v>1</v>
      </c>
      <c r="X10" s="17">
        <f t="shared" si="2"/>
        <v>0</v>
      </c>
      <c r="Y10" s="17">
        <f t="shared" si="2"/>
        <v>5</v>
      </c>
      <c r="Z10" s="17">
        <f t="shared" si="2"/>
        <v>5</v>
      </c>
      <c r="AA10" s="17">
        <f t="shared" si="2"/>
        <v>4</v>
      </c>
      <c r="AB10" s="17">
        <f t="shared" si="2"/>
        <v>9</v>
      </c>
      <c r="AC10" s="17">
        <f t="shared" si="2"/>
        <v>790</v>
      </c>
      <c r="AD10" s="17">
        <f t="shared" si="2"/>
        <v>0</v>
      </c>
      <c r="AE10" s="31">
        <f t="shared" si="2"/>
        <v>381</v>
      </c>
      <c r="AF10" s="31">
        <f t="shared" si="2"/>
        <v>1171</v>
      </c>
    </row>
    <row r="11" spans="2:32" s="6" customFormat="1" ht="23.1" customHeight="1" x14ac:dyDescent="0.25">
      <c r="B11" s="45" t="s">
        <v>38</v>
      </c>
      <c r="C11" s="50">
        <v>45</v>
      </c>
      <c r="D11" s="50">
        <v>33</v>
      </c>
      <c r="E11" s="50">
        <v>2</v>
      </c>
      <c r="F11" s="50">
        <v>25</v>
      </c>
      <c r="G11" s="50">
        <v>0</v>
      </c>
      <c r="H11" s="50">
        <v>0</v>
      </c>
      <c r="I11" s="50">
        <v>1</v>
      </c>
      <c r="J11" s="50">
        <v>2</v>
      </c>
      <c r="K11" s="50">
        <v>1</v>
      </c>
      <c r="L11" s="50">
        <v>2</v>
      </c>
      <c r="M11" s="50">
        <v>185</v>
      </c>
      <c r="N11" s="50">
        <v>0</v>
      </c>
      <c r="O11" s="15">
        <f t="shared" si="0"/>
        <v>111</v>
      </c>
      <c r="P11" s="15">
        <f t="shared" si="1"/>
        <v>296</v>
      </c>
      <c r="R11" s="1" t="s">
        <v>7</v>
      </c>
      <c r="S11" s="17">
        <f t="shared" ref="S11:AF11" si="3">SUM(C14:C17)</f>
        <v>47</v>
      </c>
      <c r="T11" s="17">
        <f t="shared" si="3"/>
        <v>18</v>
      </c>
      <c r="U11" s="17">
        <f t="shared" si="3"/>
        <v>12</v>
      </c>
      <c r="V11" s="17">
        <f t="shared" si="3"/>
        <v>43</v>
      </c>
      <c r="W11" s="17">
        <f t="shared" si="3"/>
        <v>2</v>
      </c>
      <c r="X11" s="17">
        <f t="shared" si="3"/>
        <v>0</v>
      </c>
      <c r="Y11" s="17">
        <f t="shared" si="3"/>
        <v>6</v>
      </c>
      <c r="Z11" s="17">
        <f t="shared" si="3"/>
        <v>2</v>
      </c>
      <c r="AA11" s="17">
        <f t="shared" si="3"/>
        <v>7</v>
      </c>
      <c r="AB11" s="17">
        <f t="shared" si="3"/>
        <v>7</v>
      </c>
      <c r="AC11" s="17">
        <f t="shared" si="3"/>
        <v>725</v>
      </c>
      <c r="AD11" s="17">
        <f t="shared" si="3"/>
        <v>0</v>
      </c>
      <c r="AE11" s="31">
        <f t="shared" si="3"/>
        <v>144</v>
      </c>
      <c r="AF11" s="31">
        <f t="shared" si="3"/>
        <v>869</v>
      </c>
    </row>
    <row r="12" spans="2:32" ht="23.1" customHeight="1" x14ac:dyDescent="0.25">
      <c r="B12" s="45" t="s">
        <v>39</v>
      </c>
      <c r="C12" s="50">
        <v>7</v>
      </c>
      <c r="D12" s="50">
        <v>7</v>
      </c>
      <c r="E12" s="50">
        <v>12</v>
      </c>
      <c r="F12" s="50">
        <v>7</v>
      </c>
      <c r="G12" s="50">
        <v>0</v>
      </c>
      <c r="H12" s="50">
        <v>0</v>
      </c>
      <c r="I12" s="50">
        <v>2</v>
      </c>
      <c r="J12" s="50">
        <v>1</v>
      </c>
      <c r="K12" s="50">
        <v>0</v>
      </c>
      <c r="L12" s="50">
        <v>2</v>
      </c>
      <c r="M12" s="50">
        <v>205</v>
      </c>
      <c r="N12" s="50">
        <v>0</v>
      </c>
      <c r="O12" s="15">
        <f t="shared" si="0"/>
        <v>38</v>
      </c>
      <c r="P12" s="15">
        <f t="shared" si="1"/>
        <v>243</v>
      </c>
      <c r="R12" s="1" t="s">
        <v>8</v>
      </c>
      <c r="S12" s="17">
        <f t="shared" ref="S12:AF12" si="4">SUM(C18:C21)</f>
        <v>53</v>
      </c>
      <c r="T12" s="17">
        <f t="shared" si="4"/>
        <v>26</v>
      </c>
      <c r="U12" s="17">
        <f t="shared" si="4"/>
        <v>13</v>
      </c>
      <c r="V12" s="17">
        <f t="shared" si="4"/>
        <v>44</v>
      </c>
      <c r="W12" s="17">
        <f t="shared" si="4"/>
        <v>0</v>
      </c>
      <c r="X12" s="17">
        <f t="shared" si="4"/>
        <v>0</v>
      </c>
      <c r="Y12" s="17">
        <f t="shared" si="4"/>
        <v>15</v>
      </c>
      <c r="Z12" s="17">
        <f t="shared" si="4"/>
        <v>12</v>
      </c>
      <c r="AA12" s="17">
        <f t="shared" si="4"/>
        <v>8</v>
      </c>
      <c r="AB12" s="17">
        <f t="shared" si="4"/>
        <v>20</v>
      </c>
      <c r="AC12" s="17">
        <f t="shared" si="4"/>
        <v>785</v>
      </c>
      <c r="AD12" s="17">
        <f t="shared" si="4"/>
        <v>0</v>
      </c>
      <c r="AE12" s="31">
        <f t="shared" si="4"/>
        <v>191</v>
      </c>
      <c r="AF12" s="31">
        <f t="shared" si="4"/>
        <v>976</v>
      </c>
    </row>
    <row r="13" spans="2:32" ht="23.1" customHeight="1" x14ac:dyDescent="0.25">
      <c r="B13" s="45" t="s">
        <v>40</v>
      </c>
      <c r="C13" s="50">
        <v>17</v>
      </c>
      <c r="D13" s="50">
        <v>3</v>
      </c>
      <c r="E13" s="50">
        <v>2</v>
      </c>
      <c r="F13" s="50">
        <v>17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225</v>
      </c>
      <c r="N13" s="50">
        <v>0</v>
      </c>
      <c r="O13" s="15">
        <f t="shared" si="0"/>
        <v>40</v>
      </c>
      <c r="P13" s="15">
        <f t="shared" si="1"/>
        <v>265</v>
      </c>
      <c r="R13" s="1" t="s">
        <v>9</v>
      </c>
      <c r="S13" s="17">
        <f t="shared" ref="S13:AF13" si="5">SUM(C22:C25)</f>
        <v>71</v>
      </c>
      <c r="T13" s="17">
        <f t="shared" si="5"/>
        <v>47</v>
      </c>
      <c r="U13" s="17">
        <f t="shared" si="5"/>
        <v>20</v>
      </c>
      <c r="V13" s="17">
        <f t="shared" si="5"/>
        <v>71</v>
      </c>
      <c r="W13" s="17">
        <f t="shared" si="5"/>
        <v>0</v>
      </c>
      <c r="X13" s="17">
        <f t="shared" si="5"/>
        <v>0</v>
      </c>
      <c r="Y13" s="17">
        <f t="shared" si="5"/>
        <v>15</v>
      </c>
      <c r="Z13" s="17">
        <f t="shared" si="5"/>
        <v>9</v>
      </c>
      <c r="AA13" s="17">
        <f t="shared" si="5"/>
        <v>8</v>
      </c>
      <c r="AB13" s="17">
        <f t="shared" si="5"/>
        <v>16</v>
      </c>
      <c r="AC13" s="17">
        <f t="shared" si="5"/>
        <v>730</v>
      </c>
      <c r="AD13" s="17">
        <f t="shared" si="5"/>
        <v>1</v>
      </c>
      <c r="AE13" s="31">
        <f t="shared" si="5"/>
        <v>258</v>
      </c>
      <c r="AF13" s="31">
        <f t="shared" si="5"/>
        <v>988</v>
      </c>
    </row>
    <row r="14" spans="2:32" ht="23.1" customHeight="1" x14ac:dyDescent="0.25">
      <c r="B14" s="45" t="s">
        <v>41</v>
      </c>
      <c r="C14" s="50">
        <v>17</v>
      </c>
      <c r="D14" s="50">
        <v>6</v>
      </c>
      <c r="E14" s="50">
        <v>6</v>
      </c>
      <c r="F14" s="50">
        <v>8</v>
      </c>
      <c r="G14" s="50">
        <v>1</v>
      </c>
      <c r="H14" s="50">
        <v>0</v>
      </c>
      <c r="I14" s="50">
        <v>2</v>
      </c>
      <c r="J14" s="50">
        <v>0</v>
      </c>
      <c r="K14" s="50">
        <v>1</v>
      </c>
      <c r="L14" s="50">
        <v>1</v>
      </c>
      <c r="M14" s="50">
        <v>200</v>
      </c>
      <c r="N14" s="50">
        <v>0</v>
      </c>
      <c r="O14" s="15">
        <f t="shared" si="0"/>
        <v>42</v>
      </c>
      <c r="P14" s="15">
        <f t="shared" si="1"/>
        <v>242</v>
      </c>
      <c r="R14" s="1" t="s">
        <v>10</v>
      </c>
      <c r="S14" s="17">
        <f t="shared" ref="S14:AF14" si="6">SUM(C26:C29)</f>
        <v>59</v>
      </c>
      <c r="T14" s="17">
        <f t="shared" si="6"/>
        <v>45</v>
      </c>
      <c r="U14" s="17">
        <f t="shared" si="6"/>
        <v>14</v>
      </c>
      <c r="V14" s="17">
        <f t="shared" si="6"/>
        <v>37</v>
      </c>
      <c r="W14" s="17">
        <f t="shared" si="6"/>
        <v>0</v>
      </c>
      <c r="X14" s="17">
        <f t="shared" si="6"/>
        <v>0</v>
      </c>
      <c r="Y14" s="17">
        <f t="shared" si="6"/>
        <v>15</v>
      </c>
      <c r="Z14" s="17">
        <f t="shared" si="6"/>
        <v>8</v>
      </c>
      <c r="AA14" s="17">
        <f t="shared" si="6"/>
        <v>6</v>
      </c>
      <c r="AB14" s="17">
        <f t="shared" si="6"/>
        <v>23</v>
      </c>
      <c r="AC14" s="17">
        <f t="shared" si="6"/>
        <v>605</v>
      </c>
      <c r="AD14" s="17">
        <f t="shared" si="6"/>
        <v>1</v>
      </c>
      <c r="AE14" s="31">
        <f t="shared" si="6"/>
        <v>208</v>
      </c>
      <c r="AF14" s="31">
        <f t="shared" si="6"/>
        <v>813</v>
      </c>
    </row>
    <row r="15" spans="2:32" ht="23.1" customHeight="1" x14ac:dyDescent="0.25">
      <c r="B15" s="45" t="s">
        <v>42</v>
      </c>
      <c r="C15" s="50">
        <v>9</v>
      </c>
      <c r="D15" s="50">
        <v>5</v>
      </c>
      <c r="E15" s="50">
        <v>1</v>
      </c>
      <c r="F15" s="50">
        <v>13</v>
      </c>
      <c r="G15" s="50">
        <v>0</v>
      </c>
      <c r="H15" s="50">
        <v>0</v>
      </c>
      <c r="I15" s="50">
        <v>1</v>
      </c>
      <c r="J15" s="50">
        <v>1</v>
      </c>
      <c r="K15" s="50">
        <v>2</v>
      </c>
      <c r="L15" s="50">
        <v>1</v>
      </c>
      <c r="M15" s="50">
        <v>195</v>
      </c>
      <c r="N15" s="50">
        <v>0</v>
      </c>
      <c r="O15" s="15">
        <f t="shared" si="0"/>
        <v>33</v>
      </c>
      <c r="P15" s="15">
        <f t="shared" si="1"/>
        <v>228</v>
      </c>
      <c r="R15" s="1" t="s">
        <v>11</v>
      </c>
      <c r="S15" s="17">
        <f t="shared" ref="S15:AF15" si="7">SUM(C30:C33)</f>
        <v>88</v>
      </c>
      <c r="T15" s="17">
        <f t="shared" si="7"/>
        <v>50</v>
      </c>
      <c r="U15" s="17">
        <f t="shared" si="7"/>
        <v>23</v>
      </c>
      <c r="V15" s="17">
        <f t="shared" si="7"/>
        <v>60</v>
      </c>
      <c r="W15" s="17">
        <f t="shared" si="7"/>
        <v>0</v>
      </c>
      <c r="X15" s="17">
        <f t="shared" si="7"/>
        <v>0</v>
      </c>
      <c r="Y15" s="17">
        <f t="shared" si="7"/>
        <v>16</v>
      </c>
      <c r="Z15" s="17">
        <f t="shared" si="7"/>
        <v>13</v>
      </c>
      <c r="AA15" s="17">
        <f t="shared" si="7"/>
        <v>10</v>
      </c>
      <c r="AB15" s="17">
        <f t="shared" si="7"/>
        <v>12</v>
      </c>
      <c r="AC15" s="17">
        <f t="shared" si="7"/>
        <v>390</v>
      </c>
      <c r="AD15" s="17">
        <f t="shared" si="7"/>
        <v>1</v>
      </c>
      <c r="AE15" s="31">
        <f t="shared" si="7"/>
        <v>273</v>
      </c>
      <c r="AF15" s="31">
        <f t="shared" si="7"/>
        <v>663</v>
      </c>
    </row>
    <row r="16" spans="2:32" ht="23.1" customHeight="1" x14ac:dyDescent="0.25">
      <c r="B16" s="45" t="s">
        <v>43</v>
      </c>
      <c r="C16" s="50">
        <v>8</v>
      </c>
      <c r="D16" s="50">
        <v>6</v>
      </c>
      <c r="E16" s="50">
        <v>4</v>
      </c>
      <c r="F16" s="50">
        <v>11</v>
      </c>
      <c r="G16" s="50">
        <v>1</v>
      </c>
      <c r="H16" s="50">
        <v>0</v>
      </c>
      <c r="I16" s="50">
        <v>0</v>
      </c>
      <c r="J16" s="50">
        <v>1</v>
      </c>
      <c r="K16" s="50">
        <v>3</v>
      </c>
      <c r="L16" s="50">
        <v>4</v>
      </c>
      <c r="M16" s="50">
        <v>155</v>
      </c>
      <c r="N16" s="50">
        <v>0</v>
      </c>
      <c r="O16" s="15">
        <f t="shared" si="0"/>
        <v>38</v>
      </c>
      <c r="P16" s="15">
        <f t="shared" si="1"/>
        <v>193</v>
      </c>
      <c r="R16" s="1" t="s">
        <v>12</v>
      </c>
      <c r="S16" s="17">
        <f t="shared" ref="S16:AF16" si="8">SUM(C34:C37)</f>
        <v>84</v>
      </c>
      <c r="T16" s="17">
        <f t="shared" si="8"/>
        <v>58</v>
      </c>
      <c r="U16" s="17">
        <f t="shared" si="8"/>
        <v>20</v>
      </c>
      <c r="V16" s="17">
        <f t="shared" si="8"/>
        <v>47</v>
      </c>
      <c r="W16" s="17">
        <f t="shared" si="8"/>
        <v>0</v>
      </c>
      <c r="X16" s="17">
        <f t="shared" si="8"/>
        <v>0</v>
      </c>
      <c r="Y16" s="17">
        <f t="shared" si="8"/>
        <v>10</v>
      </c>
      <c r="Z16" s="17">
        <f t="shared" si="8"/>
        <v>12</v>
      </c>
      <c r="AA16" s="17">
        <f t="shared" si="8"/>
        <v>8</v>
      </c>
      <c r="AB16" s="17">
        <f t="shared" si="8"/>
        <v>15</v>
      </c>
      <c r="AC16" s="17">
        <f t="shared" si="8"/>
        <v>283</v>
      </c>
      <c r="AD16" s="17">
        <f t="shared" si="8"/>
        <v>0</v>
      </c>
      <c r="AE16" s="31">
        <f t="shared" si="8"/>
        <v>254</v>
      </c>
      <c r="AF16" s="31">
        <f t="shared" si="8"/>
        <v>537</v>
      </c>
    </row>
    <row r="17" spans="2:32" ht="23.1" customHeight="1" x14ac:dyDescent="0.25">
      <c r="B17" s="45" t="s">
        <v>44</v>
      </c>
      <c r="C17" s="50">
        <v>13</v>
      </c>
      <c r="D17" s="50">
        <v>1</v>
      </c>
      <c r="E17" s="50">
        <v>1</v>
      </c>
      <c r="F17" s="50">
        <v>11</v>
      </c>
      <c r="G17" s="50">
        <v>0</v>
      </c>
      <c r="H17" s="50">
        <v>0</v>
      </c>
      <c r="I17" s="50">
        <v>3</v>
      </c>
      <c r="J17" s="50">
        <v>0</v>
      </c>
      <c r="K17" s="50">
        <v>1</v>
      </c>
      <c r="L17" s="50">
        <v>1</v>
      </c>
      <c r="M17" s="50">
        <v>175</v>
      </c>
      <c r="N17" s="50">
        <v>0</v>
      </c>
      <c r="O17" s="15">
        <f t="shared" si="0"/>
        <v>31</v>
      </c>
      <c r="P17" s="15">
        <f t="shared" si="1"/>
        <v>206</v>
      </c>
      <c r="R17" s="1" t="s">
        <v>13</v>
      </c>
      <c r="S17" s="17">
        <f t="shared" ref="S17:AF17" si="9">SUM(C38:C41)</f>
        <v>90</v>
      </c>
      <c r="T17" s="17">
        <f t="shared" si="9"/>
        <v>51</v>
      </c>
      <c r="U17" s="17">
        <f t="shared" si="9"/>
        <v>19</v>
      </c>
      <c r="V17" s="17">
        <f t="shared" si="9"/>
        <v>38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6</v>
      </c>
      <c r="AA17" s="17">
        <f t="shared" si="9"/>
        <v>10</v>
      </c>
      <c r="AB17" s="17">
        <f t="shared" si="9"/>
        <v>11</v>
      </c>
      <c r="AC17" s="17">
        <f t="shared" si="9"/>
        <v>320</v>
      </c>
      <c r="AD17" s="17">
        <f t="shared" si="9"/>
        <v>0</v>
      </c>
      <c r="AE17" s="31">
        <f t="shared" si="9"/>
        <v>234</v>
      </c>
      <c r="AF17" s="31">
        <f t="shared" si="9"/>
        <v>554</v>
      </c>
    </row>
    <row r="18" spans="2:32" ht="23.1" customHeight="1" x14ac:dyDescent="0.25">
      <c r="B18" s="45" t="s">
        <v>45</v>
      </c>
      <c r="C18" s="50">
        <v>12</v>
      </c>
      <c r="D18" s="50">
        <v>7</v>
      </c>
      <c r="E18" s="50">
        <v>4</v>
      </c>
      <c r="F18" s="50">
        <v>5</v>
      </c>
      <c r="G18" s="50">
        <v>0</v>
      </c>
      <c r="H18" s="50">
        <v>0</v>
      </c>
      <c r="I18" s="50">
        <v>5</v>
      </c>
      <c r="J18" s="50">
        <v>5</v>
      </c>
      <c r="K18" s="50">
        <v>2</v>
      </c>
      <c r="L18" s="50">
        <v>4</v>
      </c>
      <c r="M18" s="50">
        <v>220</v>
      </c>
      <c r="N18" s="50">
        <v>0</v>
      </c>
      <c r="O18" s="15">
        <f t="shared" si="0"/>
        <v>44</v>
      </c>
      <c r="P18" s="15">
        <f t="shared" si="1"/>
        <v>264</v>
      </c>
      <c r="R18" s="1" t="s">
        <v>14</v>
      </c>
      <c r="S18" s="17">
        <f t="shared" ref="S18:AF18" si="10">SUM(C42:C45)</f>
        <v>124</v>
      </c>
      <c r="T18" s="17">
        <f t="shared" si="10"/>
        <v>56</v>
      </c>
      <c r="U18" s="17">
        <f t="shared" si="10"/>
        <v>26</v>
      </c>
      <c r="V18" s="17">
        <f t="shared" si="10"/>
        <v>38</v>
      </c>
      <c r="W18" s="17">
        <f t="shared" si="10"/>
        <v>2</v>
      </c>
      <c r="X18" s="17">
        <f t="shared" si="10"/>
        <v>1</v>
      </c>
      <c r="Y18" s="17">
        <f t="shared" si="10"/>
        <v>18</v>
      </c>
      <c r="Z18" s="17">
        <f t="shared" si="10"/>
        <v>12</v>
      </c>
      <c r="AA18" s="17">
        <f t="shared" si="10"/>
        <v>3</v>
      </c>
      <c r="AB18" s="17">
        <f t="shared" si="10"/>
        <v>16</v>
      </c>
      <c r="AC18" s="17">
        <f t="shared" si="10"/>
        <v>452</v>
      </c>
      <c r="AD18" s="17">
        <f t="shared" si="10"/>
        <v>0</v>
      </c>
      <c r="AE18" s="31">
        <f t="shared" si="10"/>
        <v>296</v>
      </c>
      <c r="AF18" s="31">
        <f t="shared" si="10"/>
        <v>748</v>
      </c>
    </row>
    <row r="19" spans="2:32" ht="23.1" customHeight="1" x14ac:dyDescent="0.25">
      <c r="B19" s="45" t="s">
        <v>46</v>
      </c>
      <c r="C19" s="50">
        <v>15</v>
      </c>
      <c r="D19" s="50">
        <v>6</v>
      </c>
      <c r="E19" s="50">
        <v>1</v>
      </c>
      <c r="F19" s="50">
        <v>13</v>
      </c>
      <c r="G19" s="50">
        <v>0</v>
      </c>
      <c r="H19" s="50">
        <v>0</v>
      </c>
      <c r="I19" s="50">
        <v>1</v>
      </c>
      <c r="J19" s="50">
        <v>2</v>
      </c>
      <c r="K19" s="50">
        <v>1</v>
      </c>
      <c r="L19" s="50">
        <v>4</v>
      </c>
      <c r="M19" s="50">
        <v>195</v>
      </c>
      <c r="N19" s="50">
        <v>0</v>
      </c>
      <c r="O19" s="15">
        <f t="shared" si="0"/>
        <v>43</v>
      </c>
      <c r="P19" s="15">
        <f t="shared" si="1"/>
        <v>238</v>
      </c>
      <c r="R19" s="1" t="s">
        <v>15</v>
      </c>
      <c r="S19" s="17">
        <f t="shared" ref="S19:AF19" si="11">SUM(C46:C49)</f>
        <v>89</v>
      </c>
      <c r="T19" s="17">
        <f t="shared" si="11"/>
        <v>43</v>
      </c>
      <c r="U19" s="17">
        <f t="shared" si="11"/>
        <v>17</v>
      </c>
      <c r="V19" s="17">
        <f t="shared" si="11"/>
        <v>39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7</v>
      </c>
      <c r="AA19" s="17">
        <f t="shared" si="11"/>
        <v>8</v>
      </c>
      <c r="AB19" s="17">
        <f t="shared" si="11"/>
        <v>21</v>
      </c>
      <c r="AC19" s="17">
        <f t="shared" si="11"/>
        <v>640</v>
      </c>
      <c r="AD19" s="17">
        <f t="shared" si="11"/>
        <v>0</v>
      </c>
      <c r="AE19" s="31">
        <f t="shared" si="11"/>
        <v>238</v>
      </c>
      <c r="AF19" s="31">
        <f t="shared" si="11"/>
        <v>878</v>
      </c>
    </row>
    <row r="20" spans="2:32" ht="23.1" customHeight="1" x14ac:dyDescent="0.25">
      <c r="B20" s="45" t="s">
        <v>47</v>
      </c>
      <c r="C20" s="50">
        <v>7</v>
      </c>
      <c r="D20" s="50">
        <v>1</v>
      </c>
      <c r="E20" s="50">
        <v>2</v>
      </c>
      <c r="F20" s="50">
        <v>17</v>
      </c>
      <c r="G20" s="50">
        <v>0</v>
      </c>
      <c r="H20" s="50">
        <v>0</v>
      </c>
      <c r="I20" s="50">
        <v>4</v>
      </c>
      <c r="J20" s="50">
        <v>2</v>
      </c>
      <c r="K20" s="50">
        <v>1</v>
      </c>
      <c r="L20" s="50">
        <v>5</v>
      </c>
      <c r="M20" s="50">
        <v>205</v>
      </c>
      <c r="N20" s="50">
        <v>0</v>
      </c>
      <c r="O20" s="15">
        <f t="shared" si="0"/>
        <v>39</v>
      </c>
      <c r="P20" s="15">
        <f t="shared" si="1"/>
        <v>244</v>
      </c>
      <c r="R20" s="1" t="s">
        <v>16</v>
      </c>
      <c r="S20" s="17">
        <f t="shared" ref="S20:AF20" si="12">SUM(C50:C53)</f>
        <v>84</v>
      </c>
      <c r="T20" s="17">
        <f t="shared" si="12"/>
        <v>56</v>
      </c>
      <c r="U20" s="17">
        <f t="shared" si="12"/>
        <v>12</v>
      </c>
      <c r="V20" s="17">
        <f t="shared" si="12"/>
        <v>20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4</v>
      </c>
      <c r="AA20" s="17">
        <f t="shared" si="12"/>
        <v>6</v>
      </c>
      <c r="AB20" s="17">
        <f t="shared" si="12"/>
        <v>10</v>
      </c>
      <c r="AC20" s="17">
        <f t="shared" si="12"/>
        <v>620</v>
      </c>
      <c r="AD20" s="17">
        <f t="shared" si="12"/>
        <v>0</v>
      </c>
      <c r="AE20" s="31">
        <f t="shared" si="12"/>
        <v>201</v>
      </c>
      <c r="AF20" s="31">
        <f t="shared" si="12"/>
        <v>821</v>
      </c>
    </row>
    <row r="21" spans="2:32" ht="23.1" customHeight="1" x14ac:dyDescent="0.25">
      <c r="B21" s="45" t="s">
        <v>48</v>
      </c>
      <c r="C21" s="50">
        <v>19</v>
      </c>
      <c r="D21" s="50">
        <v>12</v>
      </c>
      <c r="E21" s="50">
        <v>6</v>
      </c>
      <c r="F21" s="50">
        <v>9</v>
      </c>
      <c r="G21" s="50">
        <v>0</v>
      </c>
      <c r="H21" s="50">
        <v>0</v>
      </c>
      <c r="I21" s="50">
        <v>5</v>
      </c>
      <c r="J21" s="50">
        <v>3</v>
      </c>
      <c r="K21" s="50">
        <v>4</v>
      </c>
      <c r="L21" s="50">
        <v>7</v>
      </c>
      <c r="M21" s="50">
        <v>165</v>
      </c>
      <c r="N21" s="50">
        <v>0</v>
      </c>
      <c r="O21" s="15">
        <f t="shared" si="0"/>
        <v>65</v>
      </c>
      <c r="P21" s="15">
        <f t="shared" si="1"/>
        <v>230</v>
      </c>
      <c r="R21" s="36" t="s">
        <v>20</v>
      </c>
      <c r="S21" s="34">
        <f t="shared" ref="S21:AF21" si="13">SUM(C54:C57)</f>
        <v>113</v>
      </c>
      <c r="T21" s="17">
        <f t="shared" si="13"/>
        <v>85</v>
      </c>
      <c r="U21" s="17">
        <f t="shared" si="13"/>
        <v>13</v>
      </c>
      <c r="V21" s="17">
        <f t="shared" si="13"/>
        <v>23</v>
      </c>
      <c r="W21" s="17">
        <f t="shared" si="13"/>
        <v>1</v>
      </c>
      <c r="X21" s="17">
        <f t="shared" si="13"/>
        <v>1</v>
      </c>
      <c r="Y21" s="17">
        <f t="shared" si="13"/>
        <v>2</v>
      </c>
      <c r="Z21" s="17">
        <f t="shared" si="13"/>
        <v>4</v>
      </c>
      <c r="AA21" s="17">
        <f t="shared" si="13"/>
        <v>2</v>
      </c>
      <c r="AB21" s="17">
        <f t="shared" si="13"/>
        <v>9</v>
      </c>
      <c r="AC21" s="17">
        <f t="shared" si="13"/>
        <v>665</v>
      </c>
      <c r="AD21" s="17">
        <f t="shared" si="13"/>
        <v>1</v>
      </c>
      <c r="AE21" s="31">
        <f t="shared" si="13"/>
        <v>254</v>
      </c>
      <c r="AF21" s="31">
        <f t="shared" si="13"/>
        <v>919</v>
      </c>
    </row>
    <row r="22" spans="2:32" ht="23.1" customHeight="1" x14ac:dyDescent="0.25">
      <c r="B22" s="45" t="s">
        <v>49</v>
      </c>
      <c r="C22" s="50">
        <v>24</v>
      </c>
      <c r="D22" s="50">
        <v>11</v>
      </c>
      <c r="E22" s="50">
        <v>7</v>
      </c>
      <c r="F22" s="50">
        <v>15</v>
      </c>
      <c r="G22" s="50">
        <v>0</v>
      </c>
      <c r="H22" s="50">
        <v>0</v>
      </c>
      <c r="I22" s="50">
        <v>4</v>
      </c>
      <c r="J22" s="50">
        <v>3</v>
      </c>
      <c r="K22" s="50">
        <v>1</v>
      </c>
      <c r="L22" s="50">
        <v>1</v>
      </c>
      <c r="M22" s="50">
        <v>210</v>
      </c>
      <c r="N22" s="50">
        <v>0</v>
      </c>
      <c r="O22" s="15">
        <f t="shared" si="0"/>
        <v>66</v>
      </c>
      <c r="P22" s="15">
        <f t="shared" si="1"/>
        <v>276</v>
      </c>
      <c r="R22" s="36" t="s">
        <v>146</v>
      </c>
      <c r="S22" s="34">
        <f>SUM(C58:C61)</f>
        <v>78</v>
      </c>
      <c r="T22" s="34">
        <f t="shared" ref="T22:AF22" si="14">SUM(D58:D61)</f>
        <v>37</v>
      </c>
      <c r="U22" s="34">
        <f t="shared" si="14"/>
        <v>26</v>
      </c>
      <c r="V22" s="34">
        <f t="shared" si="14"/>
        <v>16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3</v>
      </c>
      <c r="AA22" s="34">
        <f t="shared" si="14"/>
        <v>1</v>
      </c>
      <c r="AB22" s="34">
        <f t="shared" si="14"/>
        <v>13</v>
      </c>
      <c r="AC22" s="34">
        <f t="shared" si="14"/>
        <v>432</v>
      </c>
      <c r="AD22" s="34">
        <f t="shared" si="14"/>
        <v>0</v>
      </c>
      <c r="AE22" s="31">
        <f t="shared" si="14"/>
        <v>176</v>
      </c>
      <c r="AF22" s="31">
        <f t="shared" si="14"/>
        <v>608</v>
      </c>
    </row>
    <row r="23" spans="2:32" ht="23.1" customHeight="1" x14ac:dyDescent="0.25">
      <c r="B23" s="45" t="s">
        <v>50</v>
      </c>
      <c r="C23" s="50">
        <v>17</v>
      </c>
      <c r="D23" s="50">
        <v>5</v>
      </c>
      <c r="E23" s="50">
        <v>5</v>
      </c>
      <c r="F23" s="50">
        <v>14</v>
      </c>
      <c r="G23" s="50">
        <v>0</v>
      </c>
      <c r="H23" s="50">
        <v>0</v>
      </c>
      <c r="I23" s="50">
        <v>2</v>
      </c>
      <c r="J23" s="50">
        <v>1</v>
      </c>
      <c r="K23" s="50">
        <v>3</v>
      </c>
      <c r="L23" s="50">
        <v>6</v>
      </c>
      <c r="M23" s="50">
        <v>180</v>
      </c>
      <c r="N23" s="50">
        <v>0</v>
      </c>
      <c r="O23" s="15">
        <f t="shared" si="0"/>
        <v>53</v>
      </c>
      <c r="P23" s="15">
        <f t="shared" si="1"/>
        <v>233</v>
      </c>
      <c r="R23" s="36" t="s">
        <v>147</v>
      </c>
      <c r="S23" s="34">
        <f>SUM(C62:C65)</f>
        <v>153</v>
      </c>
      <c r="T23" s="34">
        <f t="shared" ref="T23:AF23" si="15">SUM(D62:D65)</f>
        <v>72</v>
      </c>
      <c r="U23" s="34">
        <f t="shared" si="15"/>
        <v>22</v>
      </c>
      <c r="V23" s="34">
        <f t="shared" si="15"/>
        <v>54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1</v>
      </c>
      <c r="AB23" s="34">
        <f t="shared" si="15"/>
        <v>6</v>
      </c>
      <c r="AC23" s="34">
        <f t="shared" si="15"/>
        <v>339</v>
      </c>
      <c r="AD23" s="34">
        <f t="shared" si="15"/>
        <v>0</v>
      </c>
      <c r="AE23" s="31">
        <f t="shared" si="15"/>
        <v>308</v>
      </c>
      <c r="AF23" s="31">
        <f t="shared" si="15"/>
        <v>647</v>
      </c>
    </row>
    <row r="24" spans="2:32" ht="23.1" customHeight="1" x14ac:dyDescent="0.25">
      <c r="B24" s="45" t="s">
        <v>51</v>
      </c>
      <c r="C24" s="50">
        <v>13</v>
      </c>
      <c r="D24" s="50">
        <v>14</v>
      </c>
      <c r="E24" s="50">
        <v>3</v>
      </c>
      <c r="F24" s="50">
        <v>24</v>
      </c>
      <c r="G24" s="50">
        <v>0</v>
      </c>
      <c r="H24" s="50">
        <v>0</v>
      </c>
      <c r="I24" s="50">
        <v>5</v>
      </c>
      <c r="J24" s="50">
        <v>4</v>
      </c>
      <c r="K24" s="50">
        <v>1</v>
      </c>
      <c r="L24" s="50">
        <v>4</v>
      </c>
      <c r="M24" s="50">
        <v>195</v>
      </c>
      <c r="N24" s="50">
        <v>1</v>
      </c>
      <c r="O24" s="15">
        <f t="shared" si="0"/>
        <v>69</v>
      </c>
      <c r="P24" s="15">
        <f t="shared" si="1"/>
        <v>264</v>
      </c>
      <c r="R24" s="36" t="s">
        <v>148</v>
      </c>
      <c r="S24" s="34">
        <f>SUM(C66:C69)</f>
        <v>156</v>
      </c>
      <c r="T24" s="34">
        <f t="shared" ref="T24:AF24" si="16">SUM(D66:D69)</f>
        <v>68</v>
      </c>
      <c r="U24" s="34">
        <f t="shared" si="16"/>
        <v>18</v>
      </c>
      <c r="V24" s="34">
        <f t="shared" si="16"/>
        <v>62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1</v>
      </c>
      <c r="AA24" s="34">
        <f t="shared" si="16"/>
        <v>3</v>
      </c>
      <c r="AB24" s="34">
        <f t="shared" si="16"/>
        <v>2</v>
      </c>
      <c r="AC24" s="34">
        <f t="shared" si="16"/>
        <v>278</v>
      </c>
      <c r="AD24" s="34">
        <f t="shared" si="16"/>
        <v>0</v>
      </c>
      <c r="AE24" s="31">
        <f t="shared" si="16"/>
        <v>311</v>
      </c>
      <c r="AF24" s="31">
        <f t="shared" si="16"/>
        <v>589</v>
      </c>
    </row>
    <row r="25" spans="2:32" ht="23.1" customHeight="1" x14ac:dyDescent="0.25">
      <c r="B25" s="45" t="s">
        <v>52</v>
      </c>
      <c r="C25" s="50">
        <v>17</v>
      </c>
      <c r="D25" s="50">
        <v>17</v>
      </c>
      <c r="E25" s="50">
        <v>5</v>
      </c>
      <c r="F25" s="50">
        <v>18</v>
      </c>
      <c r="G25" s="50">
        <v>0</v>
      </c>
      <c r="H25" s="50">
        <v>0</v>
      </c>
      <c r="I25" s="50">
        <v>4</v>
      </c>
      <c r="J25" s="50">
        <v>1</v>
      </c>
      <c r="K25" s="50">
        <v>3</v>
      </c>
      <c r="L25" s="50">
        <v>5</v>
      </c>
      <c r="M25" s="50">
        <v>145</v>
      </c>
      <c r="N25" s="50">
        <v>0</v>
      </c>
      <c r="O25" s="15">
        <f t="shared" si="0"/>
        <v>70</v>
      </c>
      <c r="P25" s="15">
        <f t="shared" si="1"/>
        <v>215</v>
      </c>
      <c r="R25" s="36" t="s">
        <v>149</v>
      </c>
      <c r="S25" s="34">
        <f>SUM(C70:C73)</f>
        <v>124</v>
      </c>
      <c r="T25" s="34">
        <f t="shared" ref="T25:AF25" si="17">SUM(D70:D73)</f>
        <v>66</v>
      </c>
      <c r="U25" s="34">
        <f t="shared" si="17"/>
        <v>15</v>
      </c>
      <c r="V25" s="34">
        <f t="shared" si="17"/>
        <v>35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1</v>
      </c>
      <c r="AA25" s="34">
        <f t="shared" si="17"/>
        <v>0</v>
      </c>
      <c r="AB25" s="34">
        <f t="shared" si="17"/>
        <v>2</v>
      </c>
      <c r="AC25" s="34">
        <f t="shared" si="17"/>
        <v>205</v>
      </c>
      <c r="AD25" s="34">
        <f t="shared" si="17"/>
        <v>0</v>
      </c>
      <c r="AE25" s="31">
        <f t="shared" si="17"/>
        <v>244</v>
      </c>
      <c r="AF25" s="31">
        <f t="shared" si="17"/>
        <v>449</v>
      </c>
    </row>
    <row r="26" spans="2:32" ht="23.1" customHeight="1" x14ac:dyDescent="0.25">
      <c r="B26" s="45" t="s">
        <v>53</v>
      </c>
      <c r="C26" s="50">
        <v>16</v>
      </c>
      <c r="D26" s="50">
        <v>16</v>
      </c>
      <c r="E26" s="50">
        <v>3</v>
      </c>
      <c r="F26" s="50">
        <v>13</v>
      </c>
      <c r="G26" s="50">
        <v>0</v>
      </c>
      <c r="H26" s="50">
        <v>0</v>
      </c>
      <c r="I26" s="50">
        <v>4</v>
      </c>
      <c r="J26" s="50">
        <v>4</v>
      </c>
      <c r="K26" s="50">
        <v>1</v>
      </c>
      <c r="L26" s="50">
        <v>6</v>
      </c>
      <c r="M26" s="50">
        <v>190</v>
      </c>
      <c r="N26" s="50">
        <v>1</v>
      </c>
      <c r="O26" s="15">
        <f t="shared" si="0"/>
        <v>64</v>
      </c>
      <c r="P26" s="15">
        <f t="shared" si="1"/>
        <v>254</v>
      </c>
      <c r="R26" s="36" t="s">
        <v>150</v>
      </c>
      <c r="S26" s="34">
        <f>SUM(C74:C77)</f>
        <v>84</v>
      </c>
      <c r="T26" s="34">
        <f t="shared" ref="T26:AF26" si="18">SUM(D74:D77)</f>
        <v>53</v>
      </c>
      <c r="U26" s="34">
        <f t="shared" si="18"/>
        <v>15</v>
      </c>
      <c r="V26" s="34">
        <f t="shared" si="18"/>
        <v>7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1</v>
      </c>
      <c r="AA26" s="34">
        <f t="shared" si="18"/>
        <v>1</v>
      </c>
      <c r="AB26" s="34">
        <f t="shared" si="18"/>
        <v>4</v>
      </c>
      <c r="AC26" s="34">
        <f t="shared" si="18"/>
        <v>128</v>
      </c>
      <c r="AD26" s="34">
        <f t="shared" si="18"/>
        <v>0</v>
      </c>
      <c r="AE26" s="31">
        <f t="shared" si="18"/>
        <v>166</v>
      </c>
      <c r="AF26" s="31">
        <f t="shared" si="18"/>
        <v>294</v>
      </c>
    </row>
    <row r="27" spans="2:32" ht="23.1" customHeight="1" x14ac:dyDescent="0.25">
      <c r="B27" s="45" t="s">
        <v>54</v>
      </c>
      <c r="C27" s="50">
        <v>21</v>
      </c>
      <c r="D27" s="50">
        <v>19</v>
      </c>
      <c r="E27" s="50">
        <v>6</v>
      </c>
      <c r="F27" s="50">
        <v>16</v>
      </c>
      <c r="G27" s="50">
        <v>0</v>
      </c>
      <c r="H27" s="50">
        <v>0</v>
      </c>
      <c r="I27" s="50">
        <v>5</v>
      </c>
      <c r="J27" s="50">
        <v>1</v>
      </c>
      <c r="K27" s="50">
        <v>3</v>
      </c>
      <c r="L27" s="50">
        <v>8</v>
      </c>
      <c r="M27" s="50">
        <v>150</v>
      </c>
      <c r="N27" s="50">
        <v>0</v>
      </c>
      <c r="O27" s="15">
        <f t="shared" si="0"/>
        <v>79</v>
      </c>
      <c r="P27" s="15">
        <f t="shared" si="1"/>
        <v>229</v>
      </c>
      <c r="R27" s="36" t="s">
        <v>151</v>
      </c>
      <c r="S27" s="34">
        <f>SUM(C78:C81)</f>
        <v>46</v>
      </c>
      <c r="T27" s="34">
        <f t="shared" ref="T27:AF27" si="19">SUM(D78:D81)</f>
        <v>15</v>
      </c>
      <c r="U27" s="34">
        <f t="shared" si="19"/>
        <v>6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1</v>
      </c>
      <c r="AB27" s="34">
        <f t="shared" si="19"/>
        <v>4</v>
      </c>
      <c r="AC27" s="34">
        <f t="shared" si="19"/>
        <v>44</v>
      </c>
      <c r="AD27" s="34">
        <f t="shared" si="19"/>
        <v>0</v>
      </c>
      <c r="AE27" s="31">
        <f t="shared" si="19"/>
        <v>73</v>
      </c>
      <c r="AF27" s="31">
        <f t="shared" si="19"/>
        <v>117</v>
      </c>
    </row>
    <row r="28" spans="2:32" ht="23.1" customHeight="1" x14ac:dyDescent="0.25">
      <c r="B28" s="45" t="s">
        <v>55</v>
      </c>
      <c r="C28" s="50">
        <v>18</v>
      </c>
      <c r="D28" s="50">
        <v>6</v>
      </c>
      <c r="E28" s="50">
        <v>2</v>
      </c>
      <c r="F28" s="50">
        <v>3</v>
      </c>
      <c r="G28" s="50">
        <v>0</v>
      </c>
      <c r="H28" s="50">
        <v>0</v>
      </c>
      <c r="I28" s="50">
        <v>5</v>
      </c>
      <c r="J28" s="50">
        <v>2</v>
      </c>
      <c r="K28" s="50">
        <v>1</v>
      </c>
      <c r="L28" s="50">
        <v>3</v>
      </c>
      <c r="M28" s="50">
        <v>125</v>
      </c>
      <c r="N28" s="50">
        <v>0</v>
      </c>
      <c r="O28" s="15">
        <f t="shared" si="0"/>
        <v>40</v>
      </c>
      <c r="P28" s="15">
        <f t="shared" si="1"/>
        <v>165</v>
      </c>
      <c r="R28" s="36" t="s">
        <v>152</v>
      </c>
      <c r="S28" s="34">
        <f>SUM(C82:C85)</f>
        <v>13</v>
      </c>
      <c r="T28" s="34">
        <f t="shared" ref="T28:AF28" si="20">SUM(D82:D85)</f>
        <v>4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1</v>
      </c>
      <c r="AC28" s="34">
        <f t="shared" si="20"/>
        <v>12</v>
      </c>
      <c r="AD28" s="34">
        <f t="shared" si="20"/>
        <v>0</v>
      </c>
      <c r="AE28" s="31">
        <f t="shared" si="20"/>
        <v>19</v>
      </c>
      <c r="AF28" s="31">
        <f t="shared" si="20"/>
        <v>31</v>
      </c>
    </row>
    <row r="29" spans="2:32" ht="23.1" customHeight="1" x14ac:dyDescent="0.25">
      <c r="B29" s="45" t="s">
        <v>56</v>
      </c>
      <c r="C29" s="50">
        <v>4</v>
      </c>
      <c r="D29" s="50">
        <v>4</v>
      </c>
      <c r="E29" s="50">
        <v>3</v>
      </c>
      <c r="F29" s="50">
        <v>5</v>
      </c>
      <c r="G29" s="50">
        <v>0</v>
      </c>
      <c r="H29" s="50">
        <v>0</v>
      </c>
      <c r="I29" s="50">
        <v>1</v>
      </c>
      <c r="J29" s="50">
        <v>1</v>
      </c>
      <c r="K29" s="50">
        <v>1</v>
      </c>
      <c r="L29" s="50">
        <v>6</v>
      </c>
      <c r="M29" s="50">
        <v>140</v>
      </c>
      <c r="N29" s="50">
        <v>0</v>
      </c>
      <c r="O29" s="15">
        <f t="shared" si="0"/>
        <v>25</v>
      </c>
      <c r="P29" s="15">
        <f t="shared" si="1"/>
        <v>165</v>
      </c>
      <c r="R29" s="36" t="s">
        <v>153</v>
      </c>
      <c r="S29" s="34">
        <f>SUM(C86:C89)</f>
        <v>4</v>
      </c>
      <c r="T29" s="34">
        <f t="shared" ref="T29:AF29" si="21">SUM(D86:D89)</f>
        <v>2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2</v>
      </c>
      <c r="AC29" s="34">
        <f t="shared" si="21"/>
        <v>16</v>
      </c>
      <c r="AD29" s="34">
        <f t="shared" si="21"/>
        <v>0</v>
      </c>
      <c r="AE29" s="31">
        <f t="shared" si="21"/>
        <v>9</v>
      </c>
      <c r="AF29" s="31">
        <f t="shared" si="21"/>
        <v>25</v>
      </c>
    </row>
    <row r="30" spans="2:32" ht="23.1" customHeight="1" x14ac:dyDescent="0.25">
      <c r="B30" s="45" t="s">
        <v>57</v>
      </c>
      <c r="C30" s="50">
        <v>30</v>
      </c>
      <c r="D30" s="50">
        <v>15</v>
      </c>
      <c r="E30" s="50">
        <v>9</v>
      </c>
      <c r="F30" s="50">
        <v>24</v>
      </c>
      <c r="G30" s="50">
        <v>0</v>
      </c>
      <c r="H30" s="50">
        <v>0</v>
      </c>
      <c r="I30" s="50">
        <v>6</v>
      </c>
      <c r="J30" s="50">
        <v>4</v>
      </c>
      <c r="K30" s="50">
        <v>4</v>
      </c>
      <c r="L30" s="50">
        <v>1</v>
      </c>
      <c r="M30" s="50">
        <v>105</v>
      </c>
      <c r="N30" s="50">
        <v>0</v>
      </c>
      <c r="O30" s="15">
        <f t="shared" si="0"/>
        <v>93</v>
      </c>
      <c r="P30" s="15">
        <f t="shared" si="1"/>
        <v>198</v>
      </c>
      <c r="R30" s="36" t="s">
        <v>154</v>
      </c>
      <c r="S30" s="34">
        <f>SUM(C90:C93)</f>
        <v>18</v>
      </c>
      <c r="T30" s="34">
        <f t="shared" ref="T30:AF30" si="22">SUM(D90:D93)</f>
        <v>1</v>
      </c>
      <c r="U30" s="34">
        <f t="shared" si="22"/>
        <v>4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2</v>
      </c>
      <c r="AC30" s="34">
        <f t="shared" si="22"/>
        <v>12</v>
      </c>
      <c r="AD30" s="34">
        <f t="shared" si="22"/>
        <v>0</v>
      </c>
      <c r="AE30" s="31">
        <f t="shared" si="22"/>
        <v>25</v>
      </c>
      <c r="AF30" s="31">
        <f t="shared" si="22"/>
        <v>37</v>
      </c>
    </row>
    <row r="31" spans="2:32" ht="23.1" customHeight="1" x14ac:dyDescent="0.25">
      <c r="B31" s="46" t="s">
        <v>58</v>
      </c>
      <c r="C31" s="50">
        <v>11</v>
      </c>
      <c r="D31" s="50">
        <v>8</v>
      </c>
      <c r="E31" s="50">
        <v>5</v>
      </c>
      <c r="F31" s="50">
        <v>14</v>
      </c>
      <c r="G31" s="50">
        <v>0</v>
      </c>
      <c r="H31" s="50">
        <v>0</v>
      </c>
      <c r="I31" s="50">
        <v>5</v>
      </c>
      <c r="J31" s="50">
        <v>2</v>
      </c>
      <c r="K31" s="50">
        <v>2</v>
      </c>
      <c r="L31" s="50">
        <v>3</v>
      </c>
      <c r="M31" s="50">
        <v>90</v>
      </c>
      <c r="N31" s="50">
        <v>0</v>
      </c>
      <c r="O31" s="15">
        <f t="shared" si="0"/>
        <v>50</v>
      </c>
      <c r="P31" s="15">
        <f t="shared" si="1"/>
        <v>140</v>
      </c>
      <c r="R31" s="36" t="s">
        <v>155</v>
      </c>
      <c r="S31" s="34">
        <f>SUM(C94:C97)</f>
        <v>9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2</v>
      </c>
      <c r="AA31" s="34">
        <f t="shared" si="23"/>
        <v>0</v>
      </c>
      <c r="AB31" s="34">
        <f t="shared" si="23"/>
        <v>6</v>
      </c>
      <c r="AC31" s="34">
        <f t="shared" si="23"/>
        <v>23</v>
      </c>
      <c r="AD31" s="34">
        <f t="shared" si="23"/>
        <v>0</v>
      </c>
      <c r="AE31" s="31">
        <f t="shared" si="23"/>
        <v>20</v>
      </c>
      <c r="AF31" s="31">
        <f t="shared" si="23"/>
        <v>43</v>
      </c>
    </row>
    <row r="32" spans="2:32" ht="23.1" customHeight="1" x14ac:dyDescent="0.25">
      <c r="B32" s="46" t="s">
        <v>59</v>
      </c>
      <c r="C32" s="50">
        <v>25</v>
      </c>
      <c r="D32" s="50">
        <v>5</v>
      </c>
      <c r="E32" s="50">
        <v>5</v>
      </c>
      <c r="F32" s="50">
        <v>13</v>
      </c>
      <c r="G32" s="50">
        <v>0</v>
      </c>
      <c r="H32" s="50">
        <v>0</v>
      </c>
      <c r="I32" s="50">
        <v>1</v>
      </c>
      <c r="J32" s="50">
        <v>6</v>
      </c>
      <c r="K32" s="50">
        <v>1</v>
      </c>
      <c r="L32" s="50">
        <v>4</v>
      </c>
      <c r="M32" s="50">
        <v>95</v>
      </c>
      <c r="N32" s="50">
        <v>0</v>
      </c>
      <c r="O32" s="15">
        <f t="shared" si="0"/>
        <v>60</v>
      </c>
      <c r="P32" s="15">
        <f t="shared" si="1"/>
        <v>155</v>
      </c>
      <c r="R32" s="33" t="s">
        <v>156</v>
      </c>
      <c r="S32" s="34">
        <f>SUM(C98:C101)</f>
        <v>14</v>
      </c>
      <c r="T32" s="34">
        <f t="shared" ref="T32:AF32" si="24">SUM(D98:D101)</f>
        <v>12</v>
      </c>
      <c r="U32" s="34">
        <f t="shared" si="24"/>
        <v>9</v>
      </c>
      <c r="V32" s="34">
        <f t="shared" si="24"/>
        <v>11</v>
      </c>
      <c r="W32" s="34">
        <f t="shared" si="24"/>
        <v>4</v>
      </c>
      <c r="X32" s="34">
        <f t="shared" si="24"/>
        <v>2</v>
      </c>
      <c r="Y32" s="34">
        <f t="shared" si="24"/>
        <v>1</v>
      </c>
      <c r="Z32" s="34">
        <f t="shared" si="24"/>
        <v>1</v>
      </c>
      <c r="AA32" s="34">
        <f t="shared" si="24"/>
        <v>2</v>
      </c>
      <c r="AB32" s="34">
        <f t="shared" si="24"/>
        <v>6</v>
      </c>
      <c r="AC32" s="34">
        <f t="shared" si="24"/>
        <v>41</v>
      </c>
      <c r="AD32" s="34">
        <f t="shared" si="24"/>
        <v>0</v>
      </c>
      <c r="AE32" s="31">
        <f t="shared" si="24"/>
        <v>62</v>
      </c>
      <c r="AF32" s="31">
        <f t="shared" si="24"/>
        <v>103</v>
      </c>
    </row>
    <row r="33" spans="2:32" ht="23.1" customHeight="1" x14ac:dyDescent="0.25">
      <c r="B33" s="45" t="s">
        <v>60</v>
      </c>
      <c r="C33" s="50">
        <v>22</v>
      </c>
      <c r="D33" s="50">
        <v>22</v>
      </c>
      <c r="E33" s="50">
        <v>4</v>
      </c>
      <c r="F33" s="50">
        <v>9</v>
      </c>
      <c r="G33" s="50">
        <v>0</v>
      </c>
      <c r="H33" s="50">
        <v>0</v>
      </c>
      <c r="I33" s="50">
        <v>4</v>
      </c>
      <c r="J33" s="50">
        <v>1</v>
      </c>
      <c r="K33" s="50">
        <v>3</v>
      </c>
      <c r="L33" s="50">
        <v>4</v>
      </c>
      <c r="M33" s="50">
        <v>100</v>
      </c>
      <c r="N33" s="50">
        <v>1</v>
      </c>
      <c r="O33" s="15">
        <f t="shared" si="0"/>
        <v>70</v>
      </c>
      <c r="P33" s="15">
        <f t="shared" si="1"/>
        <v>170</v>
      </c>
      <c r="R33" s="33" t="s">
        <v>157</v>
      </c>
      <c r="S33" s="34">
        <f>SUM(C102:C105)</f>
        <v>36</v>
      </c>
      <c r="T33" s="34">
        <f t="shared" ref="T33:AF33" si="25">SUM(D102:D105)</f>
        <v>18</v>
      </c>
      <c r="U33" s="34">
        <f t="shared" si="25"/>
        <v>24</v>
      </c>
      <c r="V33" s="34">
        <f t="shared" si="25"/>
        <v>35</v>
      </c>
      <c r="W33" s="34">
        <f t="shared" si="25"/>
        <v>2</v>
      </c>
      <c r="X33" s="34">
        <f t="shared" si="25"/>
        <v>0</v>
      </c>
      <c r="Y33" s="34">
        <f t="shared" si="25"/>
        <v>1</v>
      </c>
      <c r="Z33" s="34">
        <f t="shared" si="25"/>
        <v>2</v>
      </c>
      <c r="AA33" s="34">
        <f t="shared" si="25"/>
        <v>2</v>
      </c>
      <c r="AB33" s="34">
        <f t="shared" si="25"/>
        <v>4</v>
      </c>
      <c r="AC33" s="34">
        <f t="shared" si="25"/>
        <v>202</v>
      </c>
      <c r="AD33" s="34">
        <f t="shared" si="25"/>
        <v>0</v>
      </c>
      <c r="AE33" s="31">
        <f t="shared" si="25"/>
        <v>124</v>
      </c>
      <c r="AF33" s="31">
        <f t="shared" si="25"/>
        <v>326</v>
      </c>
    </row>
    <row r="34" spans="2:32" ht="23.1" customHeight="1" x14ac:dyDescent="0.25">
      <c r="B34" s="46" t="s">
        <v>61</v>
      </c>
      <c r="C34" s="50">
        <v>11</v>
      </c>
      <c r="D34" s="50">
        <v>9</v>
      </c>
      <c r="E34" s="50">
        <v>6</v>
      </c>
      <c r="F34" s="50">
        <v>13</v>
      </c>
      <c r="G34" s="50">
        <v>0</v>
      </c>
      <c r="H34" s="50">
        <v>0</v>
      </c>
      <c r="I34" s="50">
        <v>3</v>
      </c>
      <c r="J34" s="50">
        <v>2</v>
      </c>
      <c r="K34" s="50">
        <v>2</v>
      </c>
      <c r="L34" s="50">
        <v>3</v>
      </c>
      <c r="M34" s="50">
        <v>73</v>
      </c>
      <c r="N34" s="50">
        <v>0</v>
      </c>
      <c r="O34" s="15">
        <f t="shared" si="0"/>
        <v>49</v>
      </c>
      <c r="P34" s="15">
        <f t="shared" si="1"/>
        <v>122</v>
      </c>
      <c r="R34" s="38" t="s">
        <v>90</v>
      </c>
      <c r="S34" s="39">
        <f t="shared" ref="S34:AF34" si="26">MAX(S10:S12)</f>
        <v>124</v>
      </c>
      <c r="T34" s="39">
        <f t="shared" si="26"/>
        <v>83</v>
      </c>
      <c r="U34" s="39">
        <f t="shared" si="26"/>
        <v>46</v>
      </c>
      <c r="V34" s="39">
        <f t="shared" si="26"/>
        <v>104</v>
      </c>
      <c r="W34" s="39">
        <f t="shared" si="26"/>
        <v>2</v>
      </c>
      <c r="X34" s="39">
        <f t="shared" si="26"/>
        <v>0</v>
      </c>
      <c r="Y34" s="39">
        <f t="shared" si="26"/>
        <v>15</v>
      </c>
      <c r="Z34" s="39">
        <f t="shared" si="26"/>
        <v>12</v>
      </c>
      <c r="AA34" s="39">
        <f t="shared" si="26"/>
        <v>8</v>
      </c>
      <c r="AB34" s="39">
        <f t="shared" si="26"/>
        <v>20</v>
      </c>
      <c r="AC34" s="39">
        <f t="shared" si="26"/>
        <v>790</v>
      </c>
      <c r="AD34" s="39">
        <f t="shared" si="26"/>
        <v>0</v>
      </c>
      <c r="AE34" s="40">
        <f t="shared" si="26"/>
        <v>381</v>
      </c>
      <c r="AF34" s="40">
        <f t="shared" si="26"/>
        <v>1171</v>
      </c>
    </row>
    <row r="35" spans="2:32" ht="23.1" customHeight="1" x14ac:dyDescent="0.25">
      <c r="B35" s="46" t="s">
        <v>62</v>
      </c>
      <c r="C35" s="50">
        <v>23</v>
      </c>
      <c r="D35" s="50">
        <v>11</v>
      </c>
      <c r="E35" s="50">
        <v>6</v>
      </c>
      <c r="F35" s="50">
        <v>7</v>
      </c>
      <c r="G35" s="50">
        <v>0</v>
      </c>
      <c r="H35" s="50">
        <v>0</v>
      </c>
      <c r="I35" s="50">
        <v>3</v>
      </c>
      <c r="J35" s="50">
        <v>3</v>
      </c>
      <c r="K35" s="50">
        <v>1</v>
      </c>
      <c r="L35" s="50">
        <v>6</v>
      </c>
      <c r="M35" s="50">
        <v>55</v>
      </c>
      <c r="N35" s="50">
        <v>0</v>
      </c>
      <c r="O35" s="15">
        <f t="shared" si="0"/>
        <v>60</v>
      </c>
      <c r="P35" s="15">
        <f t="shared" si="1"/>
        <v>115</v>
      </c>
      <c r="R35" s="38" t="s">
        <v>91</v>
      </c>
      <c r="S35" s="39">
        <f t="shared" ref="S35:AF35" si="27">MAX(S13:S18)</f>
        <v>124</v>
      </c>
      <c r="T35" s="39">
        <f t="shared" si="27"/>
        <v>58</v>
      </c>
      <c r="U35" s="39">
        <f t="shared" si="27"/>
        <v>26</v>
      </c>
      <c r="V35" s="39">
        <f t="shared" si="27"/>
        <v>71</v>
      </c>
      <c r="W35" s="39">
        <f t="shared" si="27"/>
        <v>2</v>
      </c>
      <c r="X35" s="39">
        <f t="shared" si="27"/>
        <v>1</v>
      </c>
      <c r="Y35" s="39">
        <f t="shared" si="27"/>
        <v>18</v>
      </c>
      <c r="Z35" s="39">
        <f t="shared" si="27"/>
        <v>13</v>
      </c>
      <c r="AA35" s="39">
        <f t="shared" si="27"/>
        <v>10</v>
      </c>
      <c r="AB35" s="39">
        <f t="shared" si="27"/>
        <v>23</v>
      </c>
      <c r="AC35" s="39">
        <f t="shared" si="27"/>
        <v>730</v>
      </c>
      <c r="AD35" s="39">
        <f t="shared" si="27"/>
        <v>1</v>
      </c>
      <c r="AE35" s="40">
        <f t="shared" si="27"/>
        <v>296</v>
      </c>
      <c r="AF35" s="40">
        <f t="shared" si="27"/>
        <v>988</v>
      </c>
    </row>
    <row r="36" spans="2:32" ht="23.1" customHeight="1" x14ac:dyDescent="0.25">
      <c r="B36" s="46" t="s">
        <v>63</v>
      </c>
      <c r="C36" s="50">
        <v>26</v>
      </c>
      <c r="D36" s="50">
        <v>13</v>
      </c>
      <c r="E36" s="50">
        <v>5</v>
      </c>
      <c r="F36" s="50">
        <v>11</v>
      </c>
      <c r="G36" s="50">
        <v>0</v>
      </c>
      <c r="H36" s="50">
        <v>0</v>
      </c>
      <c r="I36" s="50">
        <v>2</v>
      </c>
      <c r="J36" s="50">
        <v>4</v>
      </c>
      <c r="K36" s="50">
        <v>2</v>
      </c>
      <c r="L36" s="50">
        <v>5</v>
      </c>
      <c r="M36" s="50">
        <v>65</v>
      </c>
      <c r="N36" s="50">
        <v>0</v>
      </c>
      <c r="O36" s="15">
        <f t="shared" si="0"/>
        <v>68</v>
      </c>
      <c r="P36" s="15">
        <f t="shared" si="1"/>
        <v>133</v>
      </c>
      <c r="R36" s="38" t="s">
        <v>92</v>
      </c>
      <c r="S36" s="39">
        <f t="shared" ref="S36:AF36" si="28">MAX(S19:S21)</f>
        <v>113</v>
      </c>
      <c r="T36" s="39">
        <f t="shared" si="28"/>
        <v>85</v>
      </c>
      <c r="U36" s="39">
        <f t="shared" si="28"/>
        <v>17</v>
      </c>
      <c r="V36" s="39">
        <f t="shared" si="28"/>
        <v>39</v>
      </c>
      <c r="W36" s="39">
        <f t="shared" si="28"/>
        <v>1</v>
      </c>
      <c r="X36" s="39">
        <f t="shared" si="28"/>
        <v>1</v>
      </c>
      <c r="Y36" s="39">
        <f t="shared" si="28"/>
        <v>14</v>
      </c>
      <c r="Z36" s="39">
        <f t="shared" si="28"/>
        <v>7</v>
      </c>
      <c r="AA36" s="39">
        <f t="shared" si="28"/>
        <v>8</v>
      </c>
      <c r="AB36" s="39">
        <f t="shared" si="28"/>
        <v>21</v>
      </c>
      <c r="AC36" s="39">
        <f t="shared" si="28"/>
        <v>665</v>
      </c>
      <c r="AD36" s="39">
        <f t="shared" si="28"/>
        <v>1</v>
      </c>
      <c r="AE36" s="40">
        <f t="shared" si="28"/>
        <v>254</v>
      </c>
      <c r="AF36" s="40">
        <f t="shared" si="28"/>
        <v>919</v>
      </c>
    </row>
    <row r="37" spans="2:32" ht="23.1" customHeight="1" x14ac:dyDescent="0.25">
      <c r="B37" s="45" t="s">
        <v>64</v>
      </c>
      <c r="C37" s="50">
        <v>24</v>
      </c>
      <c r="D37" s="50">
        <v>25</v>
      </c>
      <c r="E37" s="50">
        <v>3</v>
      </c>
      <c r="F37" s="50">
        <v>16</v>
      </c>
      <c r="G37" s="50">
        <v>0</v>
      </c>
      <c r="H37" s="50">
        <v>0</v>
      </c>
      <c r="I37" s="50">
        <v>2</v>
      </c>
      <c r="J37" s="50">
        <v>3</v>
      </c>
      <c r="K37" s="50">
        <v>3</v>
      </c>
      <c r="L37" s="50">
        <v>1</v>
      </c>
      <c r="M37" s="50">
        <v>90</v>
      </c>
      <c r="N37" s="50">
        <v>0</v>
      </c>
      <c r="O37" s="15">
        <f t="shared" si="0"/>
        <v>77</v>
      </c>
      <c r="P37" s="15">
        <f t="shared" si="1"/>
        <v>167</v>
      </c>
      <c r="R37" s="37" t="s">
        <v>85</v>
      </c>
      <c r="S37" s="35">
        <f t="shared" ref="S37:AF37" si="29">SUM(S10:S12)</f>
        <v>224</v>
      </c>
      <c r="T37" s="16">
        <f t="shared" si="29"/>
        <v>127</v>
      </c>
      <c r="U37" s="16">
        <f t="shared" si="29"/>
        <v>71</v>
      </c>
      <c r="V37" s="16">
        <f t="shared" si="29"/>
        <v>191</v>
      </c>
      <c r="W37" s="16">
        <f t="shared" si="29"/>
        <v>3</v>
      </c>
      <c r="X37" s="16">
        <f t="shared" si="29"/>
        <v>0</v>
      </c>
      <c r="Y37" s="16">
        <f t="shared" si="29"/>
        <v>26</v>
      </c>
      <c r="Z37" s="16">
        <f t="shared" si="29"/>
        <v>19</v>
      </c>
      <c r="AA37" s="16">
        <f t="shared" si="29"/>
        <v>19</v>
      </c>
      <c r="AB37" s="16">
        <f t="shared" si="29"/>
        <v>36</v>
      </c>
      <c r="AC37" s="16">
        <f t="shared" si="29"/>
        <v>2300</v>
      </c>
      <c r="AD37" s="16">
        <f t="shared" si="29"/>
        <v>0</v>
      </c>
      <c r="AE37" s="32">
        <f t="shared" si="29"/>
        <v>716</v>
      </c>
      <c r="AF37" s="32">
        <f t="shared" si="29"/>
        <v>3016</v>
      </c>
    </row>
    <row r="38" spans="2:32" ht="23.1" customHeight="1" x14ac:dyDescent="0.25">
      <c r="B38" s="46" t="s">
        <v>65</v>
      </c>
      <c r="C38" s="50">
        <v>23</v>
      </c>
      <c r="D38" s="50">
        <v>14</v>
      </c>
      <c r="E38" s="50">
        <v>2</v>
      </c>
      <c r="F38" s="50">
        <v>9</v>
      </c>
      <c r="G38" s="50">
        <v>0</v>
      </c>
      <c r="H38" s="50">
        <v>0</v>
      </c>
      <c r="I38" s="50">
        <v>1</v>
      </c>
      <c r="J38" s="50">
        <v>1</v>
      </c>
      <c r="K38" s="50">
        <v>3</v>
      </c>
      <c r="L38" s="50">
        <v>1</v>
      </c>
      <c r="M38" s="50">
        <v>65</v>
      </c>
      <c r="N38" s="50">
        <v>0</v>
      </c>
      <c r="O38" s="15">
        <f t="shared" si="0"/>
        <v>54</v>
      </c>
      <c r="P38" s="15">
        <f t="shared" si="1"/>
        <v>119</v>
      </c>
      <c r="R38" s="28" t="s">
        <v>86</v>
      </c>
      <c r="S38" s="16">
        <f t="shared" ref="S38:AF38" si="30">SUM(S13:S18)</f>
        <v>516</v>
      </c>
      <c r="T38" s="16">
        <f t="shared" si="30"/>
        <v>307</v>
      </c>
      <c r="U38" s="16">
        <f t="shared" si="30"/>
        <v>122</v>
      </c>
      <c r="V38" s="16">
        <f t="shared" si="30"/>
        <v>291</v>
      </c>
      <c r="W38" s="16">
        <f t="shared" si="30"/>
        <v>2</v>
      </c>
      <c r="X38" s="16">
        <f t="shared" si="30"/>
        <v>1</v>
      </c>
      <c r="Y38" s="16">
        <f t="shared" si="30"/>
        <v>83</v>
      </c>
      <c r="Z38" s="16">
        <f t="shared" si="30"/>
        <v>60</v>
      </c>
      <c r="AA38" s="16">
        <f t="shared" si="30"/>
        <v>45</v>
      </c>
      <c r="AB38" s="16">
        <f t="shared" si="30"/>
        <v>93</v>
      </c>
      <c r="AC38" s="16">
        <f t="shared" si="30"/>
        <v>2780</v>
      </c>
      <c r="AD38" s="16">
        <f t="shared" si="30"/>
        <v>3</v>
      </c>
      <c r="AE38" s="32">
        <f t="shared" si="30"/>
        <v>1523</v>
      </c>
      <c r="AF38" s="32">
        <f t="shared" si="30"/>
        <v>4303</v>
      </c>
    </row>
    <row r="39" spans="2:32" ht="23.1" customHeight="1" x14ac:dyDescent="0.25">
      <c r="B39" s="46" t="s">
        <v>66</v>
      </c>
      <c r="C39" s="50">
        <v>26</v>
      </c>
      <c r="D39" s="50">
        <v>17</v>
      </c>
      <c r="E39" s="50">
        <v>7</v>
      </c>
      <c r="F39" s="50">
        <v>10</v>
      </c>
      <c r="G39" s="50">
        <v>0</v>
      </c>
      <c r="H39" s="50">
        <v>0</v>
      </c>
      <c r="I39" s="50">
        <v>2</v>
      </c>
      <c r="J39" s="50">
        <v>3</v>
      </c>
      <c r="K39" s="50">
        <v>6</v>
      </c>
      <c r="L39" s="50">
        <v>3</v>
      </c>
      <c r="M39" s="50">
        <v>70</v>
      </c>
      <c r="N39" s="50">
        <v>0</v>
      </c>
      <c r="O39" s="15">
        <f t="shared" si="0"/>
        <v>74</v>
      </c>
      <c r="P39" s="15">
        <f t="shared" si="1"/>
        <v>144</v>
      </c>
      <c r="R39" s="29" t="s">
        <v>87</v>
      </c>
      <c r="S39" s="16">
        <f t="shared" ref="S39:AF39" si="31">SUM(S19:S21)</f>
        <v>286</v>
      </c>
      <c r="T39" s="16">
        <f t="shared" si="31"/>
        <v>184</v>
      </c>
      <c r="U39" s="16">
        <f t="shared" si="31"/>
        <v>42</v>
      </c>
      <c r="V39" s="16">
        <f t="shared" si="31"/>
        <v>82</v>
      </c>
      <c r="W39" s="16">
        <f t="shared" si="31"/>
        <v>1</v>
      </c>
      <c r="X39" s="16">
        <f t="shared" si="31"/>
        <v>1</v>
      </c>
      <c r="Y39" s="16">
        <f t="shared" si="31"/>
        <v>25</v>
      </c>
      <c r="Z39" s="16">
        <f t="shared" si="31"/>
        <v>15</v>
      </c>
      <c r="AA39" s="16">
        <f t="shared" si="31"/>
        <v>16</v>
      </c>
      <c r="AB39" s="16">
        <f t="shared" si="31"/>
        <v>40</v>
      </c>
      <c r="AC39" s="16">
        <f t="shared" si="31"/>
        <v>1925</v>
      </c>
      <c r="AD39" s="16">
        <f t="shared" si="31"/>
        <v>1</v>
      </c>
      <c r="AE39" s="32">
        <f t="shared" si="31"/>
        <v>693</v>
      </c>
      <c r="AF39" s="32">
        <f t="shared" si="31"/>
        <v>2618</v>
      </c>
    </row>
    <row r="40" spans="2:32" ht="23.1" customHeight="1" x14ac:dyDescent="0.25">
      <c r="B40" s="46" t="s">
        <v>67</v>
      </c>
      <c r="C40" s="50">
        <v>24</v>
      </c>
      <c r="D40" s="50">
        <v>10</v>
      </c>
      <c r="E40" s="50">
        <v>8</v>
      </c>
      <c r="F40" s="50">
        <v>10</v>
      </c>
      <c r="G40" s="50">
        <v>0</v>
      </c>
      <c r="H40" s="50">
        <v>0</v>
      </c>
      <c r="I40" s="50">
        <v>4</v>
      </c>
      <c r="J40" s="50">
        <v>0</v>
      </c>
      <c r="K40" s="50">
        <v>0</v>
      </c>
      <c r="L40" s="50">
        <v>4</v>
      </c>
      <c r="M40" s="50">
        <v>85</v>
      </c>
      <c r="N40" s="50">
        <v>0</v>
      </c>
      <c r="O40" s="15">
        <f t="shared" si="0"/>
        <v>60</v>
      </c>
      <c r="P40" s="15">
        <f t="shared" si="1"/>
        <v>145</v>
      </c>
      <c r="R40" s="5" t="s">
        <v>17</v>
      </c>
      <c r="S40" s="16">
        <f t="shared" ref="S40:AF40" si="32">SUM(S10:S21)</f>
        <v>1026</v>
      </c>
      <c r="T40" s="16">
        <f t="shared" si="32"/>
        <v>618</v>
      </c>
      <c r="U40" s="16">
        <f t="shared" si="32"/>
        <v>235</v>
      </c>
      <c r="V40" s="16">
        <f t="shared" si="32"/>
        <v>564</v>
      </c>
      <c r="W40" s="16">
        <f t="shared" si="32"/>
        <v>6</v>
      </c>
      <c r="X40" s="16">
        <f t="shared" si="32"/>
        <v>2</v>
      </c>
      <c r="Y40" s="16">
        <f t="shared" si="32"/>
        <v>134</v>
      </c>
      <c r="Z40" s="16">
        <f t="shared" si="32"/>
        <v>94</v>
      </c>
      <c r="AA40" s="16">
        <f t="shared" si="32"/>
        <v>80</v>
      </c>
      <c r="AB40" s="16">
        <f t="shared" si="32"/>
        <v>169</v>
      </c>
      <c r="AC40" s="16">
        <f t="shared" si="32"/>
        <v>7005</v>
      </c>
      <c r="AD40" s="16">
        <f t="shared" si="32"/>
        <v>4</v>
      </c>
      <c r="AE40" s="32">
        <f t="shared" si="32"/>
        <v>2932</v>
      </c>
      <c r="AF40" s="32">
        <f t="shared" si="32"/>
        <v>9937</v>
      </c>
    </row>
    <row r="41" spans="2:32" ht="23.1" customHeight="1" x14ac:dyDescent="0.25">
      <c r="B41" s="45" t="s">
        <v>68</v>
      </c>
      <c r="C41" s="50">
        <v>17</v>
      </c>
      <c r="D41" s="50">
        <v>10</v>
      </c>
      <c r="E41" s="50">
        <v>2</v>
      </c>
      <c r="F41" s="50">
        <v>9</v>
      </c>
      <c r="G41" s="50">
        <v>0</v>
      </c>
      <c r="H41" s="50">
        <v>0</v>
      </c>
      <c r="I41" s="50">
        <v>2</v>
      </c>
      <c r="J41" s="50">
        <v>2</v>
      </c>
      <c r="K41" s="50">
        <v>1</v>
      </c>
      <c r="L41" s="50">
        <v>3</v>
      </c>
      <c r="M41" s="50">
        <v>100</v>
      </c>
      <c r="N41" s="50">
        <v>0</v>
      </c>
      <c r="O41" s="15">
        <f t="shared" si="0"/>
        <v>46</v>
      </c>
      <c r="P41" s="15">
        <f t="shared" si="1"/>
        <v>146</v>
      </c>
      <c r="R41" s="5" t="s">
        <v>159</v>
      </c>
      <c r="S41" s="16">
        <f>SUM(S10:S33)</f>
        <v>1761</v>
      </c>
      <c r="T41" s="16">
        <f t="shared" ref="T41:AF41" si="33">SUM(T10:T33)</f>
        <v>966</v>
      </c>
      <c r="U41" s="16">
        <f t="shared" si="33"/>
        <v>377</v>
      </c>
      <c r="V41" s="16">
        <f t="shared" si="33"/>
        <v>786</v>
      </c>
      <c r="W41" s="16">
        <f t="shared" si="33"/>
        <v>12</v>
      </c>
      <c r="X41" s="16">
        <f t="shared" si="33"/>
        <v>4</v>
      </c>
      <c r="Y41" s="16">
        <f t="shared" si="33"/>
        <v>141</v>
      </c>
      <c r="Z41" s="16">
        <f t="shared" si="33"/>
        <v>106</v>
      </c>
      <c r="AA41" s="16">
        <f t="shared" si="33"/>
        <v>91</v>
      </c>
      <c r="AB41" s="16">
        <f t="shared" si="33"/>
        <v>221</v>
      </c>
      <c r="AC41" s="16">
        <f t="shared" si="33"/>
        <v>8737</v>
      </c>
      <c r="AD41" s="16">
        <f t="shared" si="33"/>
        <v>4</v>
      </c>
      <c r="AE41" s="32">
        <f t="shared" si="33"/>
        <v>4469</v>
      </c>
      <c r="AF41" s="32">
        <f t="shared" si="33"/>
        <v>13206</v>
      </c>
    </row>
    <row r="42" spans="2:32" ht="23.1" customHeight="1" x14ac:dyDescent="0.25">
      <c r="B42" s="46" t="s">
        <v>69</v>
      </c>
      <c r="C42" s="50">
        <v>35</v>
      </c>
      <c r="D42" s="50">
        <v>13</v>
      </c>
      <c r="E42" s="50">
        <v>4</v>
      </c>
      <c r="F42" s="50">
        <v>10</v>
      </c>
      <c r="G42" s="50">
        <v>1</v>
      </c>
      <c r="H42" s="50">
        <v>1</v>
      </c>
      <c r="I42" s="50">
        <v>4</v>
      </c>
      <c r="J42" s="50">
        <v>2</v>
      </c>
      <c r="K42" s="50">
        <v>1</v>
      </c>
      <c r="L42" s="50">
        <v>5</v>
      </c>
      <c r="M42" s="50">
        <v>110</v>
      </c>
      <c r="N42" s="50">
        <v>0</v>
      </c>
      <c r="O42" s="15">
        <f t="shared" si="0"/>
        <v>76</v>
      </c>
      <c r="P42" s="15">
        <f t="shared" si="1"/>
        <v>186</v>
      </c>
      <c r="R42" s="5" t="s">
        <v>160</v>
      </c>
      <c r="S42" s="48">
        <f>S41/S40</f>
        <v>1.7163742690058479</v>
      </c>
      <c r="T42" s="48">
        <f t="shared" ref="T42:AF42" si="34">T41/T40</f>
        <v>1.5631067961165048</v>
      </c>
      <c r="U42" s="48">
        <f t="shared" si="34"/>
        <v>1.6042553191489362</v>
      </c>
      <c r="V42" s="48">
        <f t="shared" si="34"/>
        <v>1.3936170212765957</v>
      </c>
      <c r="W42" s="48">
        <f t="shared" si="34"/>
        <v>2</v>
      </c>
      <c r="X42" s="48">
        <f t="shared" si="34"/>
        <v>2</v>
      </c>
      <c r="Y42" s="48">
        <f t="shared" si="34"/>
        <v>1.0522388059701493</v>
      </c>
      <c r="Z42" s="48">
        <f t="shared" si="34"/>
        <v>1.1276595744680851</v>
      </c>
      <c r="AA42" s="48">
        <f t="shared" si="34"/>
        <v>1.1375</v>
      </c>
      <c r="AB42" s="48">
        <f t="shared" si="34"/>
        <v>1.3076923076923077</v>
      </c>
      <c r="AC42" s="48">
        <f t="shared" si="34"/>
        <v>1.2472519628836545</v>
      </c>
      <c r="AD42" s="48">
        <f t="shared" si="34"/>
        <v>1</v>
      </c>
      <c r="AE42" s="48">
        <f t="shared" si="34"/>
        <v>1.5242155525238745</v>
      </c>
      <c r="AF42" s="48">
        <f t="shared" si="34"/>
        <v>1.3289725269195933</v>
      </c>
    </row>
    <row r="43" spans="2:32" ht="23.1" customHeight="1" x14ac:dyDescent="0.25">
      <c r="B43" s="45" t="s">
        <v>70</v>
      </c>
      <c r="C43" s="50">
        <v>33</v>
      </c>
      <c r="D43" s="50">
        <v>15</v>
      </c>
      <c r="E43" s="50">
        <v>8</v>
      </c>
      <c r="F43" s="50">
        <v>8</v>
      </c>
      <c r="G43" s="50">
        <v>0</v>
      </c>
      <c r="H43" s="50">
        <v>0</v>
      </c>
      <c r="I43" s="50">
        <v>3</v>
      </c>
      <c r="J43" s="50">
        <v>4</v>
      </c>
      <c r="K43" s="50">
        <v>1</v>
      </c>
      <c r="L43" s="50">
        <v>2</v>
      </c>
      <c r="M43" s="50">
        <v>115</v>
      </c>
      <c r="N43" s="50">
        <v>0</v>
      </c>
      <c r="O43" s="15">
        <f t="shared" si="0"/>
        <v>74</v>
      </c>
      <c r="P43" s="15">
        <f t="shared" si="1"/>
        <v>189</v>
      </c>
    </row>
    <row r="44" spans="2:32" ht="23.1" customHeight="1" x14ac:dyDescent="0.25">
      <c r="B44" s="47" t="s">
        <v>71</v>
      </c>
      <c r="C44" s="50">
        <v>21</v>
      </c>
      <c r="D44" s="50">
        <v>14</v>
      </c>
      <c r="E44" s="50">
        <v>10</v>
      </c>
      <c r="F44" s="50">
        <v>10</v>
      </c>
      <c r="G44" s="50">
        <v>1</v>
      </c>
      <c r="H44" s="50">
        <v>0</v>
      </c>
      <c r="I44" s="50">
        <v>3</v>
      </c>
      <c r="J44" s="50">
        <v>3</v>
      </c>
      <c r="K44" s="50">
        <v>1</v>
      </c>
      <c r="L44" s="50">
        <v>3</v>
      </c>
      <c r="M44" s="50">
        <v>102</v>
      </c>
      <c r="N44" s="50">
        <v>0</v>
      </c>
      <c r="O44" s="15">
        <f t="shared" si="0"/>
        <v>66</v>
      </c>
      <c r="P44" s="15">
        <f t="shared" si="1"/>
        <v>168</v>
      </c>
    </row>
    <row r="45" spans="2:32" ht="23.1" customHeight="1" x14ac:dyDescent="0.25">
      <c r="B45" s="45" t="s">
        <v>72</v>
      </c>
      <c r="C45" s="50">
        <v>35</v>
      </c>
      <c r="D45" s="50">
        <v>14</v>
      </c>
      <c r="E45" s="50">
        <v>4</v>
      </c>
      <c r="F45" s="50">
        <v>10</v>
      </c>
      <c r="G45" s="50">
        <v>0</v>
      </c>
      <c r="H45" s="50">
        <v>0</v>
      </c>
      <c r="I45" s="50">
        <v>8</v>
      </c>
      <c r="J45" s="50">
        <v>3</v>
      </c>
      <c r="K45" s="50">
        <v>0</v>
      </c>
      <c r="L45" s="50">
        <v>6</v>
      </c>
      <c r="M45" s="50">
        <v>125</v>
      </c>
      <c r="N45" s="50">
        <v>0</v>
      </c>
      <c r="O45" s="15">
        <f t="shared" si="0"/>
        <v>80</v>
      </c>
      <c r="P45" s="15">
        <f t="shared" si="1"/>
        <v>205</v>
      </c>
    </row>
    <row r="46" spans="2:32" ht="23.1" customHeight="1" x14ac:dyDescent="0.25">
      <c r="B46" s="46" t="s">
        <v>73</v>
      </c>
      <c r="C46" s="50">
        <v>26</v>
      </c>
      <c r="D46" s="50">
        <v>9</v>
      </c>
      <c r="E46" s="50">
        <v>8</v>
      </c>
      <c r="F46" s="50">
        <v>12</v>
      </c>
      <c r="G46" s="50">
        <v>0</v>
      </c>
      <c r="H46" s="50">
        <v>0</v>
      </c>
      <c r="I46" s="50">
        <v>3</v>
      </c>
      <c r="J46" s="50">
        <v>2</v>
      </c>
      <c r="K46" s="50">
        <v>0</v>
      </c>
      <c r="L46" s="50">
        <v>6</v>
      </c>
      <c r="M46" s="50">
        <v>140</v>
      </c>
      <c r="N46" s="50">
        <v>0</v>
      </c>
      <c r="O46" s="15">
        <f t="shared" si="0"/>
        <v>66</v>
      </c>
      <c r="P46" s="15">
        <f t="shared" si="1"/>
        <v>206</v>
      </c>
      <c r="R46" s="8"/>
      <c r="T46"/>
    </row>
    <row r="47" spans="2:32" ht="23.1" customHeight="1" x14ac:dyDescent="0.25">
      <c r="B47" s="46" t="s">
        <v>74</v>
      </c>
      <c r="C47" s="50">
        <v>20</v>
      </c>
      <c r="D47" s="50">
        <v>9</v>
      </c>
      <c r="E47" s="50">
        <v>3</v>
      </c>
      <c r="F47" s="50">
        <v>13</v>
      </c>
      <c r="G47" s="50">
        <v>0</v>
      </c>
      <c r="H47" s="50">
        <v>0</v>
      </c>
      <c r="I47" s="50">
        <v>3</v>
      </c>
      <c r="J47" s="50">
        <v>2</v>
      </c>
      <c r="K47" s="50">
        <v>4</v>
      </c>
      <c r="L47" s="50">
        <v>9</v>
      </c>
      <c r="M47" s="50">
        <v>165</v>
      </c>
      <c r="N47" s="50">
        <v>0</v>
      </c>
      <c r="O47" s="15">
        <f t="shared" si="0"/>
        <v>63</v>
      </c>
      <c r="P47" s="15">
        <f t="shared" si="1"/>
        <v>228</v>
      </c>
      <c r="R47" s="8"/>
      <c r="T47"/>
    </row>
    <row r="48" spans="2:32" ht="23.1" customHeight="1" x14ac:dyDescent="0.25">
      <c r="B48" s="46" t="s">
        <v>75</v>
      </c>
      <c r="C48" s="50">
        <v>17</v>
      </c>
      <c r="D48" s="50">
        <v>11</v>
      </c>
      <c r="E48" s="50">
        <v>2</v>
      </c>
      <c r="F48" s="50">
        <v>3</v>
      </c>
      <c r="G48" s="50">
        <v>0</v>
      </c>
      <c r="H48" s="50">
        <v>0</v>
      </c>
      <c r="I48" s="50">
        <v>3</v>
      </c>
      <c r="J48" s="50">
        <v>2</v>
      </c>
      <c r="K48" s="50">
        <v>4</v>
      </c>
      <c r="L48" s="50">
        <v>4</v>
      </c>
      <c r="M48" s="50">
        <v>160</v>
      </c>
      <c r="N48" s="50">
        <v>0</v>
      </c>
      <c r="O48" s="15">
        <f t="shared" si="0"/>
        <v>46</v>
      </c>
      <c r="P48" s="15">
        <f t="shared" si="1"/>
        <v>206</v>
      </c>
      <c r="R48" s="8"/>
      <c r="T48"/>
    </row>
    <row r="49" spans="2:20" ht="23.1" customHeight="1" x14ac:dyDescent="0.25">
      <c r="B49" s="45" t="s">
        <v>76</v>
      </c>
      <c r="C49" s="50">
        <v>26</v>
      </c>
      <c r="D49" s="50">
        <v>14</v>
      </c>
      <c r="E49" s="50">
        <v>4</v>
      </c>
      <c r="F49" s="50">
        <v>11</v>
      </c>
      <c r="G49" s="50">
        <v>0</v>
      </c>
      <c r="H49" s="50">
        <v>0</v>
      </c>
      <c r="I49" s="50">
        <v>5</v>
      </c>
      <c r="J49" s="50">
        <v>1</v>
      </c>
      <c r="K49" s="50">
        <v>0</v>
      </c>
      <c r="L49" s="50">
        <v>2</v>
      </c>
      <c r="M49" s="50">
        <v>175</v>
      </c>
      <c r="N49" s="50">
        <v>0</v>
      </c>
      <c r="O49" s="15">
        <f t="shared" si="0"/>
        <v>63</v>
      </c>
      <c r="P49" s="15">
        <f t="shared" si="1"/>
        <v>238</v>
      </c>
      <c r="R49" s="8"/>
      <c r="T49"/>
    </row>
    <row r="50" spans="2:20" ht="23.1" customHeight="1" x14ac:dyDescent="0.25">
      <c r="B50" s="46" t="s">
        <v>77</v>
      </c>
      <c r="C50" s="50">
        <v>20</v>
      </c>
      <c r="D50" s="50">
        <v>7</v>
      </c>
      <c r="E50" s="50">
        <v>2</v>
      </c>
      <c r="F50" s="50">
        <v>4</v>
      </c>
      <c r="G50" s="50">
        <v>0</v>
      </c>
      <c r="H50" s="50">
        <v>0</v>
      </c>
      <c r="I50" s="50">
        <v>4</v>
      </c>
      <c r="J50" s="50">
        <v>2</v>
      </c>
      <c r="K50" s="50">
        <v>4</v>
      </c>
      <c r="L50" s="50">
        <v>3</v>
      </c>
      <c r="M50" s="50">
        <v>185</v>
      </c>
      <c r="N50" s="50">
        <v>0</v>
      </c>
      <c r="O50" s="15">
        <f t="shared" si="0"/>
        <v>46</v>
      </c>
      <c r="P50" s="15">
        <f t="shared" si="1"/>
        <v>231</v>
      </c>
      <c r="R50" s="8"/>
      <c r="T50"/>
    </row>
    <row r="51" spans="2:20" ht="23.1" customHeight="1" x14ac:dyDescent="0.25">
      <c r="B51" s="46" t="s">
        <v>78</v>
      </c>
      <c r="C51" s="50">
        <v>16</v>
      </c>
      <c r="D51" s="50">
        <v>9</v>
      </c>
      <c r="E51" s="50">
        <v>2</v>
      </c>
      <c r="F51" s="50">
        <v>0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3</v>
      </c>
      <c r="M51" s="50">
        <v>115</v>
      </c>
      <c r="N51" s="50">
        <v>0</v>
      </c>
      <c r="O51" s="15">
        <f t="shared" si="0"/>
        <v>32</v>
      </c>
      <c r="P51" s="15">
        <f t="shared" si="1"/>
        <v>147</v>
      </c>
      <c r="R51" s="8"/>
      <c r="T51"/>
    </row>
    <row r="52" spans="2:20" ht="23.1" customHeight="1" x14ac:dyDescent="0.25">
      <c r="B52" s="46" t="s">
        <v>79</v>
      </c>
      <c r="C52" s="50">
        <v>17</v>
      </c>
      <c r="D52" s="50">
        <v>14</v>
      </c>
      <c r="E52" s="50">
        <v>4</v>
      </c>
      <c r="F52" s="50">
        <v>5</v>
      </c>
      <c r="G52" s="50">
        <v>0</v>
      </c>
      <c r="H52" s="50">
        <v>0</v>
      </c>
      <c r="I52" s="50">
        <v>4</v>
      </c>
      <c r="J52" s="50">
        <v>0</v>
      </c>
      <c r="K52" s="50">
        <v>1</v>
      </c>
      <c r="L52" s="50">
        <v>1</v>
      </c>
      <c r="M52" s="50">
        <v>170</v>
      </c>
      <c r="N52" s="50">
        <v>0</v>
      </c>
      <c r="O52" s="15">
        <f t="shared" si="0"/>
        <v>46</v>
      </c>
      <c r="P52" s="15">
        <f t="shared" si="1"/>
        <v>216</v>
      </c>
      <c r="R52" s="8"/>
      <c r="T52"/>
    </row>
    <row r="53" spans="2:20" ht="23.1" customHeight="1" x14ac:dyDescent="0.25">
      <c r="B53" s="45" t="s">
        <v>80</v>
      </c>
      <c r="C53" s="50">
        <v>31</v>
      </c>
      <c r="D53" s="50">
        <v>26</v>
      </c>
      <c r="E53" s="50">
        <v>4</v>
      </c>
      <c r="F53" s="50">
        <v>11</v>
      </c>
      <c r="G53" s="50">
        <v>0</v>
      </c>
      <c r="H53" s="50">
        <v>0</v>
      </c>
      <c r="I53" s="50">
        <v>0</v>
      </c>
      <c r="J53" s="50">
        <v>1</v>
      </c>
      <c r="K53" s="50">
        <v>1</v>
      </c>
      <c r="L53" s="50">
        <v>3</v>
      </c>
      <c r="M53" s="50">
        <v>150</v>
      </c>
      <c r="N53" s="50">
        <v>0</v>
      </c>
      <c r="O53" s="15">
        <f t="shared" si="0"/>
        <v>77</v>
      </c>
      <c r="P53" s="15">
        <f t="shared" si="1"/>
        <v>227</v>
      </c>
      <c r="R53" s="8"/>
      <c r="T53"/>
    </row>
    <row r="54" spans="2:20" ht="23.1" customHeight="1" x14ac:dyDescent="0.25">
      <c r="B54" s="45" t="s">
        <v>81</v>
      </c>
      <c r="C54" s="50">
        <v>35</v>
      </c>
      <c r="D54" s="50">
        <v>19</v>
      </c>
      <c r="E54" s="50">
        <v>3</v>
      </c>
      <c r="F54" s="50">
        <v>5</v>
      </c>
      <c r="G54" s="50">
        <v>0</v>
      </c>
      <c r="H54" s="50">
        <v>0</v>
      </c>
      <c r="I54" s="50">
        <v>1</v>
      </c>
      <c r="J54" s="50">
        <v>3</v>
      </c>
      <c r="K54" s="50">
        <v>0</v>
      </c>
      <c r="L54" s="50">
        <v>2</v>
      </c>
      <c r="M54" s="50">
        <v>180</v>
      </c>
      <c r="N54" s="50">
        <v>1</v>
      </c>
      <c r="O54" s="15">
        <f t="shared" si="0"/>
        <v>69</v>
      </c>
      <c r="P54" s="15">
        <f t="shared" si="1"/>
        <v>249</v>
      </c>
      <c r="R54" s="8"/>
      <c r="T54"/>
    </row>
    <row r="55" spans="2:20" ht="23.1" customHeight="1" x14ac:dyDescent="0.25">
      <c r="B55" s="45" t="s">
        <v>82</v>
      </c>
      <c r="C55" s="50">
        <v>32</v>
      </c>
      <c r="D55" s="50">
        <v>26</v>
      </c>
      <c r="E55" s="50">
        <v>6</v>
      </c>
      <c r="F55" s="50">
        <v>5</v>
      </c>
      <c r="G55" s="50">
        <v>0</v>
      </c>
      <c r="H55" s="50">
        <v>0</v>
      </c>
      <c r="I55" s="50">
        <v>1</v>
      </c>
      <c r="J55" s="50">
        <v>1</v>
      </c>
      <c r="K55" s="50">
        <v>1</v>
      </c>
      <c r="L55" s="50">
        <v>1</v>
      </c>
      <c r="M55" s="50">
        <v>160</v>
      </c>
      <c r="N55" s="50">
        <v>0</v>
      </c>
      <c r="O55" s="15">
        <f t="shared" si="0"/>
        <v>73</v>
      </c>
      <c r="P55" s="15">
        <f t="shared" si="1"/>
        <v>233</v>
      </c>
      <c r="R55" s="8"/>
      <c r="T55"/>
    </row>
    <row r="56" spans="2:20" ht="23.1" customHeight="1" x14ac:dyDescent="0.25">
      <c r="B56" s="45" t="s">
        <v>83</v>
      </c>
      <c r="C56" s="50">
        <v>25</v>
      </c>
      <c r="D56" s="50">
        <v>18</v>
      </c>
      <c r="E56" s="50">
        <v>3</v>
      </c>
      <c r="F56" s="50">
        <v>7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2</v>
      </c>
      <c r="M56" s="50">
        <v>170</v>
      </c>
      <c r="N56" s="50">
        <v>0</v>
      </c>
      <c r="O56" s="15">
        <f t="shared" si="0"/>
        <v>56</v>
      </c>
      <c r="P56" s="15">
        <f t="shared" si="1"/>
        <v>226</v>
      </c>
      <c r="R56" s="8"/>
      <c r="T56"/>
    </row>
    <row r="57" spans="2:20" ht="23.1" customHeight="1" x14ac:dyDescent="0.25">
      <c r="B57" s="45" t="s">
        <v>84</v>
      </c>
      <c r="C57" s="50">
        <v>21</v>
      </c>
      <c r="D57" s="50">
        <v>22</v>
      </c>
      <c r="E57" s="50">
        <v>1</v>
      </c>
      <c r="F57" s="50">
        <v>6</v>
      </c>
      <c r="G57" s="50">
        <v>0</v>
      </c>
      <c r="H57" s="50">
        <v>1</v>
      </c>
      <c r="I57" s="50">
        <v>0</v>
      </c>
      <c r="J57" s="50">
        <v>0</v>
      </c>
      <c r="K57" s="50">
        <v>1</v>
      </c>
      <c r="L57" s="50">
        <v>4</v>
      </c>
      <c r="M57" s="50">
        <v>155</v>
      </c>
      <c r="N57" s="50">
        <v>0</v>
      </c>
      <c r="O57" s="15">
        <f t="shared" si="0"/>
        <v>56</v>
      </c>
      <c r="P57" s="15">
        <f t="shared" si="1"/>
        <v>211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2</v>
      </c>
      <c r="E58" s="50">
        <v>1</v>
      </c>
      <c r="F58" s="50">
        <v>2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11</v>
      </c>
      <c r="M58" s="50">
        <v>100</v>
      </c>
      <c r="N58" s="50">
        <v>0</v>
      </c>
      <c r="O58" s="15">
        <f t="shared" si="0"/>
        <v>20</v>
      </c>
      <c r="P58" s="15">
        <f t="shared" si="1"/>
        <v>120</v>
      </c>
      <c r="R58" s="8"/>
      <c r="T58"/>
    </row>
    <row r="59" spans="2:20" ht="23.1" customHeight="1" x14ac:dyDescent="0.25">
      <c r="B59" s="45" t="s">
        <v>100</v>
      </c>
      <c r="C59" s="50">
        <v>11</v>
      </c>
      <c r="D59" s="50">
        <v>6</v>
      </c>
      <c r="E59" s="50">
        <v>2</v>
      </c>
      <c r="F59" s="50">
        <v>5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95</v>
      </c>
      <c r="N59" s="50">
        <v>0</v>
      </c>
      <c r="O59" s="15">
        <f t="shared" si="0"/>
        <v>24</v>
      </c>
      <c r="P59" s="15">
        <f t="shared" si="1"/>
        <v>119</v>
      </c>
      <c r="R59" s="8"/>
      <c r="T59"/>
    </row>
    <row r="60" spans="2:20" ht="23.1" customHeight="1" x14ac:dyDescent="0.25">
      <c r="B60" s="45" t="s">
        <v>101</v>
      </c>
      <c r="C60" s="50">
        <v>27</v>
      </c>
      <c r="D60" s="50">
        <v>10</v>
      </c>
      <c r="E60" s="50">
        <v>7</v>
      </c>
      <c r="F60" s="50">
        <v>9</v>
      </c>
      <c r="G60" s="50">
        <v>0</v>
      </c>
      <c r="H60" s="50">
        <v>0</v>
      </c>
      <c r="I60" s="50">
        <v>1</v>
      </c>
      <c r="J60" s="50">
        <v>3</v>
      </c>
      <c r="K60" s="50">
        <v>1</v>
      </c>
      <c r="L60" s="50">
        <v>1</v>
      </c>
      <c r="M60" s="50">
        <v>137</v>
      </c>
      <c r="N60" s="50">
        <v>0</v>
      </c>
      <c r="O60" s="15">
        <f t="shared" si="0"/>
        <v>59</v>
      </c>
      <c r="P60" s="15">
        <f t="shared" si="1"/>
        <v>196</v>
      </c>
      <c r="R60" s="8"/>
      <c r="T60"/>
    </row>
    <row r="61" spans="2:20" ht="23.1" customHeight="1" x14ac:dyDescent="0.25">
      <c r="B61" s="45" t="s">
        <v>102</v>
      </c>
      <c r="C61" s="50">
        <v>37</v>
      </c>
      <c r="D61" s="50">
        <v>19</v>
      </c>
      <c r="E61" s="50">
        <v>16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1</v>
      </c>
      <c r="M61" s="50">
        <v>100</v>
      </c>
      <c r="N61" s="50">
        <v>0</v>
      </c>
      <c r="O61" s="15">
        <f t="shared" si="0"/>
        <v>73</v>
      </c>
      <c r="P61" s="15">
        <f t="shared" si="1"/>
        <v>173</v>
      </c>
      <c r="R61" s="8"/>
      <c r="T61"/>
    </row>
    <row r="62" spans="2:20" ht="23.1" customHeight="1" x14ac:dyDescent="0.25">
      <c r="B62" s="45" t="s">
        <v>107</v>
      </c>
      <c r="C62" s="50">
        <v>31</v>
      </c>
      <c r="D62" s="50">
        <v>16</v>
      </c>
      <c r="E62" s="50">
        <v>4</v>
      </c>
      <c r="F62" s="50">
        <v>11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3</v>
      </c>
      <c r="M62" s="50">
        <v>100</v>
      </c>
      <c r="N62" s="50">
        <v>0</v>
      </c>
      <c r="O62" s="15">
        <f t="shared" si="0"/>
        <v>65</v>
      </c>
      <c r="P62" s="15">
        <f t="shared" si="1"/>
        <v>165</v>
      </c>
      <c r="R62" s="8"/>
      <c r="T62"/>
    </row>
    <row r="63" spans="2:20" ht="23.1" customHeight="1" x14ac:dyDescent="0.25">
      <c r="B63" s="45" t="s">
        <v>108</v>
      </c>
      <c r="C63" s="50">
        <v>34</v>
      </c>
      <c r="D63" s="50">
        <v>19</v>
      </c>
      <c r="E63" s="50">
        <v>3</v>
      </c>
      <c r="F63" s="50">
        <v>12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1</v>
      </c>
      <c r="M63" s="50">
        <v>97</v>
      </c>
      <c r="N63" s="50">
        <v>0</v>
      </c>
      <c r="O63" s="15">
        <f t="shared" si="0"/>
        <v>69</v>
      </c>
      <c r="P63" s="15">
        <f t="shared" si="1"/>
        <v>166</v>
      </c>
      <c r="R63" s="8"/>
      <c r="T63"/>
    </row>
    <row r="64" spans="2:20" ht="23.1" customHeight="1" x14ac:dyDescent="0.25">
      <c r="B64" s="45" t="s">
        <v>109</v>
      </c>
      <c r="C64" s="50">
        <v>48</v>
      </c>
      <c r="D64" s="50">
        <v>20</v>
      </c>
      <c r="E64" s="50">
        <v>4</v>
      </c>
      <c r="F64" s="50">
        <v>15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1</v>
      </c>
      <c r="M64" s="50">
        <v>77</v>
      </c>
      <c r="N64" s="50">
        <v>0</v>
      </c>
      <c r="O64" s="15">
        <f t="shared" si="0"/>
        <v>88</v>
      </c>
      <c r="P64" s="15">
        <f t="shared" si="1"/>
        <v>165</v>
      </c>
      <c r="R64" s="8"/>
      <c r="T64"/>
    </row>
    <row r="65" spans="2:20" ht="23.1" customHeight="1" x14ac:dyDescent="0.25">
      <c r="B65" s="45" t="s">
        <v>158</v>
      </c>
      <c r="C65" s="50">
        <v>40</v>
      </c>
      <c r="D65" s="50">
        <v>17</v>
      </c>
      <c r="E65" s="50">
        <v>11</v>
      </c>
      <c r="F65" s="50">
        <v>16</v>
      </c>
      <c r="G65" s="50">
        <v>0</v>
      </c>
      <c r="H65" s="50">
        <v>0</v>
      </c>
      <c r="I65" s="50">
        <v>0</v>
      </c>
      <c r="J65" s="50">
        <v>0</v>
      </c>
      <c r="K65" s="50">
        <v>1</v>
      </c>
      <c r="L65" s="50">
        <v>1</v>
      </c>
      <c r="M65" s="50">
        <v>65</v>
      </c>
      <c r="N65" s="50">
        <v>0</v>
      </c>
      <c r="O65" s="15">
        <f t="shared" si="0"/>
        <v>86</v>
      </c>
      <c r="P65" s="15">
        <f t="shared" si="1"/>
        <v>151</v>
      </c>
      <c r="R65" s="8"/>
      <c r="T65"/>
    </row>
    <row r="66" spans="2:20" ht="23.1" customHeight="1" x14ac:dyDescent="0.25">
      <c r="B66" s="45" t="s">
        <v>103</v>
      </c>
      <c r="C66" s="50">
        <v>43</v>
      </c>
      <c r="D66" s="50">
        <v>11</v>
      </c>
      <c r="E66" s="50">
        <v>6</v>
      </c>
      <c r="F66" s="50">
        <v>13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1</v>
      </c>
      <c r="M66" s="50">
        <v>70</v>
      </c>
      <c r="N66" s="50">
        <v>0</v>
      </c>
      <c r="O66" s="15">
        <f t="shared" si="0"/>
        <v>75</v>
      </c>
      <c r="P66" s="15">
        <f t="shared" si="1"/>
        <v>145</v>
      </c>
      <c r="R66" s="8"/>
      <c r="T66"/>
    </row>
    <row r="67" spans="2:20" ht="23.1" customHeight="1" x14ac:dyDescent="0.25">
      <c r="B67" s="45" t="s">
        <v>104</v>
      </c>
      <c r="C67" s="50">
        <v>33</v>
      </c>
      <c r="D67" s="50">
        <v>20</v>
      </c>
      <c r="E67" s="50">
        <v>2</v>
      </c>
      <c r="F67" s="50">
        <v>10</v>
      </c>
      <c r="G67" s="50">
        <v>0</v>
      </c>
      <c r="H67" s="50">
        <v>0</v>
      </c>
      <c r="I67" s="50">
        <v>0</v>
      </c>
      <c r="J67" s="50">
        <v>1</v>
      </c>
      <c r="K67" s="50">
        <v>1</v>
      </c>
      <c r="L67" s="50">
        <v>0</v>
      </c>
      <c r="M67" s="50">
        <v>70</v>
      </c>
      <c r="N67" s="50">
        <v>0</v>
      </c>
      <c r="O67" s="15">
        <f t="shared" si="0"/>
        <v>67</v>
      </c>
      <c r="P67" s="15">
        <f t="shared" si="1"/>
        <v>137</v>
      </c>
      <c r="R67" s="8"/>
      <c r="T67"/>
    </row>
    <row r="68" spans="2:20" ht="23.1" customHeight="1" x14ac:dyDescent="0.25">
      <c r="B68" s="45" t="s">
        <v>105</v>
      </c>
      <c r="C68" s="50">
        <v>30</v>
      </c>
      <c r="D68" s="50">
        <v>18</v>
      </c>
      <c r="E68" s="50">
        <v>5</v>
      </c>
      <c r="F68" s="50">
        <v>23</v>
      </c>
      <c r="G68" s="50">
        <v>0</v>
      </c>
      <c r="H68" s="50">
        <v>0</v>
      </c>
      <c r="I68" s="50">
        <v>0</v>
      </c>
      <c r="J68" s="50">
        <v>0</v>
      </c>
      <c r="K68" s="50">
        <v>1</v>
      </c>
      <c r="L68" s="50">
        <v>0</v>
      </c>
      <c r="M68" s="50">
        <v>65</v>
      </c>
      <c r="N68" s="50">
        <v>0</v>
      </c>
      <c r="O68" s="15">
        <f t="shared" si="0"/>
        <v>77</v>
      </c>
      <c r="P68" s="15">
        <f t="shared" si="1"/>
        <v>142</v>
      </c>
      <c r="R68" s="8"/>
      <c r="T68"/>
    </row>
    <row r="69" spans="2:20" ht="23.1" customHeight="1" x14ac:dyDescent="0.25">
      <c r="B69" s="45" t="s">
        <v>106</v>
      </c>
      <c r="C69" s="50">
        <v>50</v>
      </c>
      <c r="D69" s="50">
        <v>19</v>
      </c>
      <c r="E69" s="50">
        <v>5</v>
      </c>
      <c r="F69" s="50">
        <v>16</v>
      </c>
      <c r="G69" s="50">
        <v>0</v>
      </c>
      <c r="H69" s="50">
        <v>0</v>
      </c>
      <c r="I69" s="50">
        <v>0</v>
      </c>
      <c r="J69" s="50">
        <v>0</v>
      </c>
      <c r="K69" s="50">
        <v>1</v>
      </c>
      <c r="L69" s="50">
        <v>1</v>
      </c>
      <c r="M69" s="50">
        <v>73</v>
      </c>
      <c r="N69" s="50">
        <v>0</v>
      </c>
      <c r="O69" s="15">
        <f t="shared" si="0"/>
        <v>92</v>
      </c>
      <c r="P69" s="15">
        <f t="shared" si="1"/>
        <v>165</v>
      </c>
      <c r="R69" s="8"/>
      <c r="T69"/>
    </row>
    <row r="70" spans="2:20" ht="23.1" customHeight="1" x14ac:dyDescent="0.25">
      <c r="B70" s="45" t="s">
        <v>110</v>
      </c>
      <c r="C70" s="50">
        <v>32</v>
      </c>
      <c r="D70" s="50">
        <v>25</v>
      </c>
      <c r="E70" s="50">
        <v>5</v>
      </c>
      <c r="F70" s="50">
        <v>11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55</v>
      </c>
      <c r="N70" s="50">
        <v>0</v>
      </c>
      <c r="O70" s="15">
        <f t="shared" si="0"/>
        <v>74</v>
      </c>
      <c r="P70" s="15">
        <f t="shared" si="1"/>
        <v>129</v>
      </c>
      <c r="R70" s="8"/>
      <c r="T70"/>
    </row>
    <row r="71" spans="2:20" ht="23.1" customHeight="1" x14ac:dyDescent="0.25">
      <c r="B71" s="45" t="s">
        <v>111</v>
      </c>
      <c r="C71" s="50">
        <v>34</v>
      </c>
      <c r="D71" s="50">
        <v>9</v>
      </c>
      <c r="E71" s="50">
        <v>1</v>
      </c>
      <c r="F71" s="50">
        <v>9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2</v>
      </c>
      <c r="M71" s="50">
        <v>55</v>
      </c>
      <c r="N71" s="50">
        <v>0</v>
      </c>
      <c r="O71" s="15">
        <f t="shared" si="0"/>
        <v>55</v>
      </c>
      <c r="P71" s="15">
        <f t="shared" si="1"/>
        <v>110</v>
      </c>
      <c r="R71" s="8"/>
      <c r="T71"/>
    </row>
    <row r="72" spans="2:20" ht="23.1" customHeight="1" x14ac:dyDescent="0.25">
      <c r="B72" s="45" t="s">
        <v>112</v>
      </c>
      <c r="C72" s="50">
        <v>30</v>
      </c>
      <c r="D72" s="50">
        <v>18</v>
      </c>
      <c r="E72" s="50">
        <v>3</v>
      </c>
      <c r="F72" s="50">
        <v>9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55</v>
      </c>
      <c r="N72" s="50">
        <v>0</v>
      </c>
      <c r="O72" s="15">
        <f t="shared" si="0"/>
        <v>60</v>
      </c>
      <c r="P72" s="15">
        <f t="shared" si="1"/>
        <v>115</v>
      </c>
      <c r="R72" s="8"/>
      <c r="T72"/>
    </row>
    <row r="73" spans="2:20" ht="23.1" customHeight="1" x14ac:dyDescent="0.25">
      <c r="B73" s="45" t="s">
        <v>113</v>
      </c>
      <c r="C73" s="50">
        <v>28</v>
      </c>
      <c r="D73" s="50">
        <v>14</v>
      </c>
      <c r="E73" s="50">
        <v>6</v>
      </c>
      <c r="F73" s="50">
        <v>6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40</v>
      </c>
      <c r="N73" s="50">
        <v>0</v>
      </c>
      <c r="O73" s="15">
        <f t="shared" si="0"/>
        <v>55</v>
      </c>
      <c r="P73" s="15">
        <f t="shared" si="1"/>
        <v>95</v>
      </c>
      <c r="R73" s="8"/>
      <c r="T73"/>
    </row>
    <row r="74" spans="2:20" ht="23.1" customHeight="1" x14ac:dyDescent="0.25">
      <c r="B74" s="45" t="s">
        <v>114</v>
      </c>
      <c r="C74" s="50">
        <v>21</v>
      </c>
      <c r="D74" s="50">
        <v>17</v>
      </c>
      <c r="E74" s="50">
        <v>5</v>
      </c>
      <c r="F74" s="50">
        <v>1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1</v>
      </c>
      <c r="M74" s="50">
        <v>42</v>
      </c>
      <c r="N74" s="50">
        <v>0</v>
      </c>
      <c r="O74" s="15">
        <f t="shared" ref="O74:O105" si="35">SUM(C74:L74,N74)</f>
        <v>45</v>
      </c>
      <c r="P74" s="15">
        <f t="shared" ref="P74:P105" si="36">SUM(C74:N74)</f>
        <v>87</v>
      </c>
      <c r="R74" s="8"/>
      <c r="T74"/>
    </row>
    <row r="75" spans="2:20" ht="23.1" customHeight="1" x14ac:dyDescent="0.25">
      <c r="B75" s="45" t="s">
        <v>115</v>
      </c>
      <c r="C75" s="50">
        <v>22</v>
      </c>
      <c r="D75" s="50">
        <v>15</v>
      </c>
      <c r="E75" s="50">
        <v>3</v>
      </c>
      <c r="F75" s="50">
        <v>2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1</v>
      </c>
      <c r="M75" s="50">
        <v>26</v>
      </c>
      <c r="N75" s="50">
        <v>0</v>
      </c>
      <c r="O75" s="15">
        <f t="shared" si="35"/>
        <v>44</v>
      </c>
      <c r="P75" s="15">
        <f t="shared" si="36"/>
        <v>70</v>
      </c>
      <c r="R75" s="8"/>
      <c r="T75"/>
    </row>
    <row r="76" spans="2:20" ht="23.1" customHeight="1" x14ac:dyDescent="0.25">
      <c r="B76" s="45" t="s">
        <v>116</v>
      </c>
      <c r="C76" s="50">
        <v>20</v>
      </c>
      <c r="D76" s="50">
        <v>12</v>
      </c>
      <c r="E76" s="50">
        <v>3</v>
      </c>
      <c r="F76" s="50">
        <v>1</v>
      </c>
      <c r="G76" s="50">
        <v>0</v>
      </c>
      <c r="H76" s="50">
        <v>0</v>
      </c>
      <c r="I76" s="50">
        <v>0</v>
      </c>
      <c r="J76" s="50">
        <v>1</v>
      </c>
      <c r="K76" s="50">
        <v>1</v>
      </c>
      <c r="L76" s="50">
        <v>1</v>
      </c>
      <c r="M76" s="50">
        <v>35</v>
      </c>
      <c r="N76" s="50">
        <v>0</v>
      </c>
      <c r="O76" s="15">
        <f t="shared" si="35"/>
        <v>39</v>
      </c>
      <c r="P76" s="15">
        <f t="shared" si="36"/>
        <v>74</v>
      </c>
      <c r="R76" s="8"/>
      <c r="T76"/>
    </row>
    <row r="77" spans="2:20" ht="23.1" customHeight="1" x14ac:dyDescent="0.25">
      <c r="B77" s="45" t="s">
        <v>117</v>
      </c>
      <c r="C77" s="50">
        <v>21</v>
      </c>
      <c r="D77" s="50">
        <v>9</v>
      </c>
      <c r="E77" s="50">
        <v>4</v>
      </c>
      <c r="F77" s="50">
        <v>3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1</v>
      </c>
      <c r="M77" s="50">
        <v>25</v>
      </c>
      <c r="N77" s="50">
        <v>0</v>
      </c>
      <c r="O77" s="15">
        <f t="shared" si="35"/>
        <v>38</v>
      </c>
      <c r="P77" s="15">
        <f t="shared" si="36"/>
        <v>63</v>
      </c>
      <c r="R77" s="8"/>
      <c r="T77"/>
    </row>
    <row r="78" spans="2:20" ht="23.1" customHeight="1" x14ac:dyDescent="0.25">
      <c r="B78" s="46" t="s">
        <v>118</v>
      </c>
      <c r="C78" s="50">
        <v>15</v>
      </c>
      <c r="D78" s="50">
        <v>5</v>
      </c>
      <c r="E78" s="50">
        <v>2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1</v>
      </c>
      <c r="M78" s="50">
        <v>16</v>
      </c>
      <c r="N78" s="50">
        <v>0</v>
      </c>
      <c r="O78" s="15">
        <f t="shared" si="35"/>
        <v>23</v>
      </c>
      <c r="P78" s="15">
        <f t="shared" si="36"/>
        <v>39</v>
      </c>
      <c r="R78" s="8"/>
      <c r="T78"/>
    </row>
    <row r="79" spans="2:20" ht="23.1" customHeight="1" x14ac:dyDescent="0.25">
      <c r="B79" s="45" t="s">
        <v>119</v>
      </c>
      <c r="C79" s="50">
        <v>15</v>
      </c>
      <c r="D79" s="50">
        <v>2</v>
      </c>
      <c r="E79" s="50">
        <v>2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1</v>
      </c>
      <c r="L79" s="50">
        <v>2</v>
      </c>
      <c r="M79" s="50">
        <v>7</v>
      </c>
      <c r="N79" s="50">
        <v>0</v>
      </c>
      <c r="O79" s="15">
        <f t="shared" si="35"/>
        <v>22</v>
      </c>
      <c r="P79" s="15">
        <f t="shared" si="36"/>
        <v>29</v>
      </c>
      <c r="R79" s="8"/>
      <c r="T79"/>
    </row>
    <row r="80" spans="2:20" ht="23.1" customHeight="1" x14ac:dyDescent="0.25">
      <c r="B80" s="47" t="s">
        <v>120</v>
      </c>
      <c r="C80" s="50">
        <v>7</v>
      </c>
      <c r="D80" s="50">
        <v>3</v>
      </c>
      <c r="E80" s="50">
        <v>2</v>
      </c>
      <c r="F80" s="50">
        <v>0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1</v>
      </c>
      <c r="M80" s="50">
        <v>11</v>
      </c>
      <c r="N80" s="50">
        <v>0</v>
      </c>
      <c r="O80" s="15">
        <f t="shared" si="35"/>
        <v>14</v>
      </c>
      <c r="P80" s="15">
        <f t="shared" si="36"/>
        <v>25</v>
      </c>
      <c r="R80" s="8"/>
      <c r="T80"/>
    </row>
    <row r="81" spans="2:20" ht="23.1" customHeight="1" x14ac:dyDescent="0.25">
      <c r="B81" s="45" t="s">
        <v>121</v>
      </c>
      <c r="C81" s="50">
        <v>9</v>
      </c>
      <c r="D81" s="50">
        <v>5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10</v>
      </c>
      <c r="N81" s="50">
        <v>0</v>
      </c>
      <c r="O81" s="15">
        <f t="shared" si="35"/>
        <v>14</v>
      </c>
      <c r="P81" s="15">
        <f t="shared" si="36"/>
        <v>24</v>
      </c>
      <c r="R81" s="8"/>
      <c r="T81"/>
    </row>
    <row r="82" spans="2:20" ht="23.1" customHeight="1" x14ac:dyDescent="0.25">
      <c r="B82" s="46" t="s">
        <v>122</v>
      </c>
      <c r="C82" s="50">
        <v>4</v>
      </c>
      <c r="D82" s="50">
        <v>3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1</v>
      </c>
      <c r="M82" s="50">
        <v>2</v>
      </c>
      <c r="N82" s="50">
        <v>0</v>
      </c>
      <c r="O82" s="15">
        <f t="shared" si="35"/>
        <v>9</v>
      </c>
      <c r="P82" s="15">
        <f t="shared" si="36"/>
        <v>11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1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3</v>
      </c>
      <c r="N83" s="50">
        <v>0</v>
      </c>
      <c r="O83" s="15">
        <f t="shared" si="35"/>
        <v>6</v>
      </c>
      <c r="P83" s="15">
        <f t="shared" si="36"/>
        <v>9</v>
      </c>
      <c r="R83" s="8"/>
      <c r="T83"/>
    </row>
    <row r="84" spans="2:20" ht="23.1" customHeight="1" x14ac:dyDescent="0.25">
      <c r="B84" s="47" t="s">
        <v>124</v>
      </c>
      <c r="C84" s="50">
        <v>3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3</v>
      </c>
      <c r="N84" s="50">
        <v>0</v>
      </c>
      <c r="O84" s="15">
        <f t="shared" si="35"/>
        <v>3</v>
      </c>
      <c r="P84" s="15">
        <f t="shared" si="36"/>
        <v>6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4</v>
      </c>
      <c r="N85" s="50">
        <v>0</v>
      </c>
      <c r="O85" s="15">
        <f t="shared" si="35"/>
        <v>1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1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2</v>
      </c>
      <c r="N86" s="50">
        <v>0</v>
      </c>
      <c r="O86" s="15">
        <f t="shared" si="35"/>
        <v>2</v>
      </c>
      <c r="P86" s="15">
        <f t="shared" si="36"/>
        <v>4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4</v>
      </c>
      <c r="N87" s="50">
        <v>0</v>
      </c>
      <c r="O87" s="15">
        <f t="shared" si="35"/>
        <v>0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1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5</v>
      </c>
      <c r="N88" s="50">
        <v>0</v>
      </c>
      <c r="O88" s="15">
        <f t="shared" si="35"/>
        <v>1</v>
      </c>
      <c r="P88" s="15">
        <f t="shared" si="36"/>
        <v>6</v>
      </c>
      <c r="R88" s="8"/>
      <c r="T88"/>
    </row>
    <row r="89" spans="2:20" ht="23.1" customHeight="1" x14ac:dyDescent="0.25">
      <c r="B89" s="45" t="s">
        <v>129</v>
      </c>
      <c r="C89" s="50">
        <v>3</v>
      </c>
      <c r="D89" s="50">
        <v>0</v>
      </c>
      <c r="E89" s="50">
        <v>1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2</v>
      </c>
      <c r="M89" s="50">
        <v>5</v>
      </c>
      <c r="N89" s="50">
        <v>0</v>
      </c>
      <c r="O89" s="15">
        <f t="shared" si="35"/>
        <v>6</v>
      </c>
      <c r="P89" s="15">
        <f t="shared" si="36"/>
        <v>11</v>
      </c>
      <c r="R89" s="8"/>
      <c r="T89"/>
    </row>
    <row r="90" spans="2:20" ht="23.1" customHeight="1" x14ac:dyDescent="0.25">
      <c r="B90" s="46" t="s">
        <v>130</v>
      </c>
      <c r="C90" s="50">
        <v>4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1</v>
      </c>
      <c r="M90" s="50">
        <v>2</v>
      </c>
      <c r="N90" s="50">
        <v>0</v>
      </c>
      <c r="O90" s="15">
        <f t="shared" si="35"/>
        <v>5</v>
      </c>
      <c r="P90" s="15">
        <f t="shared" si="36"/>
        <v>7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0</v>
      </c>
      <c r="E91" s="50">
        <v>2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5</v>
      </c>
      <c r="P91" s="15">
        <f t="shared" si="36"/>
        <v>8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1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1</v>
      </c>
      <c r="M92" s="50">
        <v>5</v>
      </c>
      <c r="N92" s="50">
        <v>0</v>
      </c>
      <c r="O92" s="15">
        <f t="shared" si="35"/>
        <v>6</v>
      </c>
      <c r="P92" s="15">
        <f t="shared" si="36"/>
        <v>11</v>
      </c>
      <c r="R92" s="8"/>
      <c r="T92"/>
    </row>
    <row r="93" spans="2:20" ht="23.1" customHeight="1" x14ac:dyDescent="0.25">
      <c r="B93" s="45" t="s">
        <v>133</v>
      </c>
      <c r="C93" s="50">
        <v>7</v>
      </c>
      <c r="D93" s="50">
        <v>0</v>
      </c>
      <c r="E93" s="50">
        <v>2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9</v>
      </c>
      <c r="P93" s="15">
        <f t="shared" si="36"/>
        <v>11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2</v>
      </c>
      <c r="M94" s="50">
        <v>2</v>
      </c>
      <c r="N94" s="50">
        <v>0</v>
      </c>
      <c r="O94" s="15">
        <f t="shared" si="35"/>
        <v>5</v>
      </c>
      <c r="P94" s="15">
        <f t="shared" si="36"/>
        <v>7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3</v>
      </c>
      <c r="M95" s="50">
        <v>8</v>
      </c>
      <c r="N95" s="50">
        <v>0</v>
      </c>
      <c r="O95" s="15">
        <f t="shared" si="35"/>
        <v>4</v>
      </c>
      <c r="P95" s="15">
        <f t="shared" si="36"/>
        <v>12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8</v>
      </c>
      <c r="N96" s="50">
        <v>0</v>
      </c>
      <c r="O96" s="15">
        <f t="shared" si="35"/>
        <v>1</v>
      </c>
      <c r="P96" s="15">
        <f t="shared" si="36"/>
        <v>9</v>
      </c>
      <c r="R96" s="8"/>
      <c r="T96"/>
    </row>
    <row r="97" spans="2:20" ht="23.1" customHeight="1" x14ac:dyDescent="0.25">
      <c r="B97" s="45" t="s">
        <v>137</v>
      </c>
      <c r="C97" s="50">
        <v>5</v>
      </c>
      <c r="D97" s="50">
        <v>0</v>
      </c>
      <c r="E97" s="50">
        <v>1</v>
      </c>
      <c r="F97" s="50">
        <v>2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1</v>
      </c>
      <c r="M97" s="50">
        <v>5</v>
      </c>
      <c r="N97" s="50">
        <v>0</v>
      </c>
      <c r="O97" s="15">
        <f t="shared" si="35"/>
        <v>10</v>
      </c>
      <c r="P97" s="15">
        <f t="shared" si="36"/>
        <v>15</v>
      </c>
      <c r="R97" s="8"/>
      <c r="T97"/>
    </row>
    <row r="98" spans="2:20" ht="23.1" customHeight="1" x14ac:dyDescent="0.25">
      <c r="B98" s="46" t="s">
        <v>138</v>
      </c>
      <c r="C98" s="50">
        <v>5</v>
      </c>
      <c r="D98" s="50">
        <v>4</v>
      </c>
      <c r="E98" s="50">
        <v>1</v>
      </c>
      <c r="F98" s="50">
        <v>1</v>
      </c>
      <c r="G98" s="50">
        <v>0</v>
      </c>
      <c r="H98" s="50">
        <v>0</v>
      </c>
      <c r="I98" s="50">
        <v>0</v>
      </c>
      <c r="J98" s="50">
        <v>1</v>
      </c>
      <c r="K98" s="50">
        <v>1</v>
      </c>
      <c r="L98" s="50">
        <v>0</v>
      </c>
      <c r="M98" s="50">
        <v>5</v>
      </c>
      <c r="N98" s="50">
        <v>0</v>
      </c>
      <c r="O98" s="15">
        <f t="shared" si="35"/>
        <v>13</v>
      </c>
      <c r="P98" s="15">
        <f t="shared" si="36"/>
        <v>18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1</v>
      </c>
      <c r="E99" s="50">
        <v>2</v>
      </c>
      <c r="F99" s="50">
        <v>2</v>
      </c>
      <c r="G99" s="50">
        <v>0</v>
      </c>
      <c r="H99" s="50">
        <v>0</v>
      </c>
      <c r="I99" s="50">
        <v>0</v>
      </c>
      <c r="J99" s="50">
        <v>0</v>
      </c>
      <c r="K99" s="50">
        <v>1</v>
      </c>
      <c r="L99" s="50">
        <v>1</v>
      </c>
      <c r="M99" s="50">
        <v>16</v>
      </c>
      <c r="N99" s="50">
        <v>0</v>
      </c>
      <c r="O99" s="15">
        <f t="shared" si="35"/>
        <v>9</v>
      </c>
      <c r="P99" s="15">
        <f t="shared" si="36"/>
        <v>25</v>
      </c>
      <c r="R99" s="8"/>
      <c r="T99"/>
    </row>
    <row r="100" spans="2:20" ht="23.1" customHeight="1" x14ac:dyDescent="0.25">
      <c r="B100" s="47" t="s">
        <v>140</v>
      </c>
      <c r="C100" s="50">
        <v>4</v>
      </c>
      <c r="D100" s="50">
        <v>1</v>
      </c>
      <c r="E100" s="50">
        <v>3</v>
      </c>
      <c r="F100" s="50">
        <v>4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3</v>
      </c>
      <c r="M100" s="50">
        <v>9</v>
      </c>
      <c r="N100" s="50">
        <v>0</v>
      </c>
      <c r="O100" s="15">
        <f t="shared" si="35"/>
        <v>16</v>
      </c>
      <c r="P100" s="15">
        <f t="shared" si="36"/>
        <v>25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6</v>
      </c>
      <c r="E101" s="50">
        <v>3</v>
      </c>
      <c r="F101" s="50">
        <v>4</v>
      </c>
      <c r="G101" s="50">
        <v>4</v>
      </c>
      <c r="H101" s="50">
        <v>2</v>
      </c>
      <c r="I101" s="50">
        <v>0</v>
      </c>
      <c r="J101" s="50">
        <v>0</v>
      </c>
      <c r="K101" s="50">
        <v>0</v>
      </c>
      <c r="L101" s="50">
        <v>2</v>
      </c>
      <c r="M101" s="50">
        <v>11</v>
      </c>
      <c r="N101" s="50">
        <v>0</v>
      </c>
      <c r="O101" s="15">
        <f t="shared" si="35"/>
        <v>24</v>
      </c>
      <c r="P101" s="15">
        <f t="shared" si="36"/>
        <v>35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3</v>
      </c>
      <c r="E102" s="50">
        <v>2</v>
      </c>
      <c r="F102" s="50">
        <v>5</v>
      </c>
      <c r="G102" s="50">
        <v>1</v>
      </c>
      <c r="H102" s="50">
        <v>0</v>
      </c>
      <c r="I102" s="50">
        <v>0</v>
      </c>
      <c r="J102" s="50">
        <v>0</v>
      </c>
      <c r="K102" s="50">
        <v>1</v>
      </c>
      <c r="L102" s="50">
        <v>0</v>
      </c>
      <c r="M102" s="50">
        <v>22</v>
      </c>
      <c r="N102" s="50">
        <v>0</v>
      </c>
      <c r="O102" s="15">
        <f t="shared" si="35"/>
        <v>15</v>
      </c>
      <c r="P102" s="15">
        <f t="shared" si="36"/>
        <v>37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3</v>
      </c>
      <c r="E103" s="50">
        <v>7</v>
      </c>
      <c r="F103" s="50">
        <v>8</v>
      </c>
      <c r="G103" s="50">
        <v>0</v>
      </c>
      <c r="H103" s="50">
        <v>0</v>
      </c>
      <c r="I103" s="50">
        <v>1</v>
      </c>
      <c r="J103" s="50">
        <v>2</v>
      </c>
      <c r="K103" s="50">
        <v>1</v>
      </c>
      <c r="L103" s="50">
        <v>2</v>
      </c>
      <c r="M103" s="50">
        <v>40</v>
      </c>
      <c r="N103" s="50">
        <v>0</v>
      </c>
      <c r="O103" s="15">
        <f t="shared" si="35"/>
        <v>27</v>
      </c>
      <c r="P103" s="15">
        <f t="shared" si="36"/>
        <v>67</v>
      </c>
      <c r="R103" s="8"/>
      <c r="T103"/>
    </row>
    <row r="104" spans="2:20" ht="23.1" customHeight="1" x14ac:dyDescent="0.25">
      <c r="B104" s="47" t="s">
        <v>144</v>
      </c>
      <c r="C104" s="50">
        <v>9</v>
      </c>
      <c r="D104" s="50">
        <v>5</v>
      </c>
      <c r="E104" s="50">
        <v>7</v>
      </c>
      <c r="F104" s="50">
        <v>10</v>
      </c>
      <c r="G104" s="50">
        <v>1</v>
      </c>
      <c r="H104" s="50">
        <v>0</v>
      </c>
      <c r="I104" s="50">
        <v>0</v>
      </c>
      <c r="J104" s="50">
        <v>0</v>
      </c>
      <c r="K104" s="50">
        <v>0</v>
      </c>
      <c r="L104" s="50">
        <v>1</v>
      </c>
      <c r="M104" s="50">
        <v>60</v>
      </c>
      <c r="N104" s="50">
        <v>0</v>
      </c>
      <c r="O104" s="15">
        <f t="shared" si="35"/>
        <v>33</v>
      </c>
      <c r="P104" s="15">
        <f t="shared" si="36"/>
        <v>93</v>
      </c>
      <c r="R104" s="8"/>
      <c r="T104"/>
    </row>
    <row r="105" spans="2:20" ht="23.1" customHeight="1" x14ac:dyDescent="0.25">
      <c r="B105" s="45" t="s">
        <v>145</v>
      </c>
      <c r="C105" s="50">
        <v>21</v>
      </c>
      <c r="D105" s="50">
        <v>7</v>
      </c>
      <c r="E105" s="50">
        <v>8</v>
      </c>
      <c r="F105" s="50">
        <v>12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1</v>
      </c>
      <c r="M105" s="50">
        <v>80</v>
      </c>
      <c r="N105" s="50">
        <v>0</v>
      </c>
      <c r="O105" s="15">
        <f t="shared" si="35"/>
        <v>49</v>
      </c>
      <c r="P105" s="15">
        <f t="shared" si="36"/>
        <v>129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1761</v>
      </c>
      <c r="D106" s="16">
        <f t="shared" ref="D106:P106" si="37">SUM(D10:D105)</f>
        <v>966</v>
      </c>
      <c r="E106" s="16">
        <f t="shared" si="37"/>
        <v>377</v>
      </c>
      <c r="F106" s="16">
        <f t="shared" si="37"/>
        <v>786</v>
      </c>
      <c r="G106" s="16">
        <f t="shared" si="37"/>
        <v>12</v>
      </c>
      <c r="H106" s="16">
        <f t="shared" si="37"/>
        <v>4</v>
      </c>
      <c r="I106" s="16">
        <f t="shared" si="37"/>
        <v>141</v>
      </c>
      <c r="J106" s="16">
        <f t="shared" si="37"/>
        <v>106</v>
      </c>
      <c r="K106" s="16">
        <f t="shared" si="37"/>
        <v>91</v>
      </c>
      <c r="L106" s="16">
        <f t="shared" si="37"/>
        <v>221</v>
      </c>
      <c r="M106" s="16">
        <f t="shared" si="37"/>
        <v>8737</v>
      </c>
      <c r="N106" s="16">
        <f t="shared" si="37"/>
        <v>4</v>
      </c>
      <c r="O106" s="16">
        <f t="shared" si="37"/>
        <v>4469</v>
      </c>
      <c r="P106" s="16">
        <f t="shared" si="37"/>
        <v>13206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0.13334847796456156</v>
      </c>
      <c r="D107" s="43">
        <f t="shared" si="38"/>
        <v>7.3148568832348937E-2</v>
      </c>
      <c r="E107" s="43">
        <f t="shared" si="38"/>
        <v>2.8547629865212781E-2</v>
      </c>
      <c r="F107" s="43">
        <f t="shared" si="38"/>
        <v>5.9518400726942297E-2</v>
      </c>
      <c r="G107" s="43">
        <f t="shared" si="38"/>
        <v>9.0867787369377552E-4</v>
      </c>
      <c r="H107" s="43">
        <f t="shared" si="38"/>
        <v>3.0289262456459186E-4</v>
      </c>
      <c r="I107" s="43">
        <f t="shared" si="38"/>
        <v>1.0676965015901863E-2</v>
      </c>
      <c r="J107" s="43">
        <f t="shared" si="38"/>
        <v>8.0266545509616836E-3</v>
      </c>
      <c r="K107" s="43">
        <f t="shared" si="38"/>
        <v>6.8908072088444648E-3</v>
      </c>
      <c r="L107" s="43">
        <f t="shared" si="38"/>
        <v>1.6734817507193699E-2</v>
      </c>
      <c r="M107" s="43">
        <f t="shared" si="38"/>
        <v>0.66159321520520975</v>
      </c>
      <c r="N107" s="43">
        <f t="shared" si="38"/>
        <v>3.0289262456459186E-4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0.39404788543298275</v>
      </c>
      <c r="D108" s="44">
        <f t="shared" ref="D108:N108" si="39">D106/$O$106</f>
        <v>0.21615573953904677</v>
      </c>
      <c r="E108" s="44">
        <f t="shared" si="39"/>
        <v>8.4358916983665252E-2</v>
      </c>
      <c r="F108" s="44">
        <f t="shared" si="39"/>
        <v>0.17587827254419333</v>
      </c>
      <c r="G108" s="44">
        <f t="shared" si="39"/>
        <v>2.6851644663235625E-3</v>
      </c>
      <c r="H108" s="44">
        <f t="shared" si="39"/>
        <v>8.9505482210785407E-4</v>
      </c>
      <c r="I108" s="44">
        <f t="shared" si="39"/>
        <v>3.1550682479301859E-2</v>
      </c>
      <c r="J108" s="44">
        <f t="shared" si="39"/>
        <v>2.3718952785858134E-2</v>
      </c>
      <c r="K108" s="44">
        <f t="shared" si="39"/>
        <v>2.0362497202953682E-2</v>
      </c>
      <c r="L108" s="44">
        <f t="shared" si="39"/>
        <v>4.9451778921458939E-2</v>
      </c>
      <c r="M108" s="44"/>
      <c r="N108" s="44">
        <f t="shared" si="39"/>
        <v>8.9505482210785407E-4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NTINDA-SPEAR MOTORS'!C3:G3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179</v>
      </c>
      <c r="E5" s="3"/>
      <c r="F5" s="41" t="s">
        <v>1</v>
      </c>
      <c r="G5" s="61" t="str">
        <f>'31.07 NTINDA-SPEAR MOTORS'!G5:H5</f>
        <v>NAGURU BARRACKS</v>
      </c>
      <c r="H5" s="62"/>
      <c r="I5" s="14"/>
      <c r="J5" s="2" t="s">
        <v>5</v>
      </c>
      <c r="K5" s="61" t="s">
        <v>180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">
        <v>181</v>
      </c>
      <c r="E6" s="62"/>
      <c r="F6" s="2" t="s">
        <v>2</v>
      </c>
      <c r="G6" s="61" t="s">
        <v>166</v>
      </c>
      <c r="H6" s="62"/>
      <c r="J6" s="2" t="s">
        <v>21</v>
      </c>
      <c r="K6" s="61" t="s">
        <v>177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15</v>
      </c>
      <c r="E10" s="50">
        <v>6</v>
      </c>
      <c r="F10" s="50">
        <v>44</v>
      </c>
      <c r="G10" s="50">
        <v>0</v>
      </c>
      <c r="H10" s="50">
        <v>0</v>
      </c>
      <c r="I10" s="50">
        <v>6</v>
      </c>
      <c r="J10" s="50">
        <v>8</v>
      </c>
      <c r="K10" s="50">
        <v>15</v>
      </c>
      <c r="L10" s="50">
        <v>20</v>
      </c>
      <c r="M10" s="50">
        <v>130</v>
      </c>
      <c r="N10" s="50">
        <v>0</v>
      </c>
      <c r="O10" s="15">
        <f t="shared" ref="O10:O57" si="0">SUM(C10:L10,N10)</f>
        <v>144</v>
      </c>
      <c r="P10" s="15">
        <f t="shared" ref="P10:P57" si="1">SUM(C10:N10)</f>
        <v>274</v>
      </c>
      <c r="R10" s="1" t="s">
        <v>6</v>
      </c>
      <c r="S10" s="17">
        <f t="shared" ref="S10:AF10" si="2">SUM(C10:C13)</f>
        <v>57</v>
      </c>
      <c r="T10" s="17">
        <f t="shared" si="2"/>
        <v>33</v>
      </c>
      <c r="U10" s="17">
        <f t="shared" si="2"/>
        <v>14</v>
      </c>
      <c r="V10" s="17">
        <f t="shared" si="2"/>
        <v>92</v>
      </c>
      <c r="W10" s="17">
        <f t="shared" si="2"/>
        <v>2</v>
      </c>
      <c r="X10" s="17">
        <f t="shared" si="2"/>
        <v>0</v>
      </c>
      <c r="Y10" s="17">
        <f t="shared" si="2"/>
        <v>9</v>
      </c>
      <c r="Z10" s="17">
        <f t="shared" si="2"/>
        <v>13</v>
      </c>
      <c r="AA10" s="17">
        <f t="shared" si="2"/>
        <v>20</v>
      </c>
      <c r="AB10" s="17">
        <f t="shared" si="2"/>
        <v>30</v>
      </c>
      <c r="AC10" s="17">
        <f t="shared" si="2"/>
        <v>625</v>
      </c>
      <c r="AD10" s="17">
        <f t="shared" si="2"/>
        <v>0</v>
      </c>
      <c r="AE10" s="31">
        <f t="shared" si="2"/>
        <v>270</v>
      </c>
      <c r="AF10" s="31">
        <f t="shared" si="2"/>
        <v>895</v>
      </c>
    </row>
    <row r="11" spans="2:32" s="6" customFormat="1" ht="23.1" customHeight="1" x14ac:dyDescent="0.25">
      <c r="B11" s="23" t="s">
        <v>38</v>
      </c>
      <c r="C11" s="50">
        <v>4</v>
      </c>
      <c r="D11" s="50">
        <v>6</v>
      </c>
      <c r="E11" s="50">
        <v>1</v>
      </c>
      <c r="F11" s="50">
        <v>16</v>
      </c>
      <c r="G11" s="50">
        <v>1</v>
      </c>
      <c r="H11" s="50">
        <v>0</v>
      </c>
      <c r="I11" s="50">
        <v>0</v>
      </c>
      <c r="J11" s="50">
        <v>0</v>
      </c>
      <c r="K11" s="50">
        <v>2</v>
      </c>
      <c r="L11" s="50">
        <v>1</v>
      </c>
      <c r="M11" s="50">
        <v>145</v>
      </c>
      <c r="N11" s="50">
        <v>0</v>
      </c>
      <c r="O11" s="15">
        <f t="shared" si="0"/>
        <v>31</v>
      </c>
      <c r="P11" s="15">
        <f t="shared" si="1"/>
        <v>176</v>
      </c>
      <c r="R11" s="1" t="s">
        <v>7</v>
      </c>
      <c r="S11" s="17">
        <f t="shared" ref="S11:AF11" si="3">SUM(C14:C17)</f>
        <v>33</v>
      </c>
      <c r="T11" s="17">
        <f t="shared" si="3"/>
        <v>27</v>
      </c>
      <c r="U11" s="17">
        <f t="shared" si="3"/>
        <v>14</v>
      </c>
      <c r="V11" s="17">
        <f t="shared" si="3"/>
        <v>50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6</v>
      </c>
      <c r="AA11" s="17">
        <f t="shared" si="3"/>
        <v>7</v>
      </c>
      <c r="AB11" s="17">
        <f t="shared" si="3"/>
        <v>9</v>
      </c>
      <c r="AC11" s="17">
        <f t="shared" si="3"/>
        <v>815</v>
      </c>
      <c r="AD11" s="17">
        <f t="shared" si="3"/>
        <v>0</v>
      </c>
      <c r="AE11" s="31">
        <f t="shared" si="3"/>
        <v>154</v>
      </c>
      <c r="AF11" s="31">
        <f t="shared" si="3"/>
        <v>969</v>
      </c>
    </row>
    <row r="12" spans="2:32" ht="23.1" customHeight="1" x14ac:dyDescent="0.25">
      <c r="B12" s="23" t="s">
        <v>39</v>
      </c>
      <c r="C12" s="50">
        <v>12</v>
      </c>
      <c r="D12" s="50">
        <v>4</v>
      </c>
      <c r="E12" s="50">
        <v>2</v>
      </c>
      <c r="F12" s="50">
        <v>7</v>
      </c>
      <c r="G12" s="50">
        <v>0</v>
      </c>
      <c r="H12" s="50">
        <v>0</v>
      </c>
      <c r="I12" s="50">
        <v>2</v>
      </c>
      <c r="J12" s="50">
        <v>1</v>
      </c>
      <c r="K12" s="50">
        <v>0</v>
      </c>
      <c r="L12" s="50">
        <v>3</v>
      </c>
      <c r="M12" s="50">
        <v>150</v>
      </c>
      <c r="N12" s="50">
        <v>0</v>
      </c>
      <c r="O12" s="15">
        <f t="shared" si="0"/>
        <v>31</v>
      </c>
      <c r="P12" s="15">
        <f t="shared" si="1"/>
        <v>181</v>
      </c>
      <c r="R12" s="1" t="s">
        <v>8</v>
      </c>
      <c r="S12" s="17">
        <f t="shared" ref="S12:AF12" si="4">SUM(C18:C21)</f>
        <v>68</v>
      </c>
      <c r="T12" s="17">
        <f t="shared" si="4"/>
        <v>35</v>
      </c>
      <c r="U12" s="17">
        <f t="shared" si="4"/>
        <v>27</v>
      </c>
      <c r="V12" s="17">
        <f t="shared" si="4"/>
        <v>60</v>
      </c>
      <c r="W12" s="17">
        <f t="shared" si="4"/>
        <v>0</v>
      </c>
      <c r="X12" s="17">
        <f t="shared" si="4"/>
        <v>2</v>
      </c>
      <c r="Y12" s="17">
        <f t="shared" si="4"/>
        <v>10</v>
      </c>
      <c r="Z12" s="17">
        <f t="shared" si="4"/>
        <v>5</v>
      </c>
      <c r="AA12" s="17">
        <f t="shared" si="4"/>
        <v>3</v>
      </c>
      <c r="AB12" s="17">
        <f t="shared" si="4"/>
        <v>18</v>
      </c>
      <c r="AC12" s="17">
        <f t="shared" si="4"/>
        <v>673</v>
      </c>
      <c r="AD12" s="17">
        <f t="shared" si="4"/>
        <v>0</v>
      </c>
      <c r="AE12" s="31">
        <f t="shared" si="4"/>
        <v>228</v>
      </c>
      <c r="AF12" s="31">
        <f t="shared" si="4"/>
        <v>901</v>
      </c>
    </row>
    <row r="13" spans="2:32" ht="23.1" customHeight="1" x14ac:dyDescent="0.25">
      <c r="B13" s="23" t="s">
        <v>40</v>
      </c>
      <c r="C13" s="50">
        <v>11</v>
      </c>
      <c r="D13" s="50">
        <v>8</v>
      </c>
      <c r="E13" s="50">
        <v>5</v>
      </c>
      <c r="F13" s="50">
        <v>25</v>
      </c>
      <c r="G13" s="50">
        <v>1</v>
      </c>
      <c r="H13" s="50">
        <v>0</v>
      </c>
      <c r="I13" s="50">
        <v>1</v>
      </c>
      <c r="J13" s="50">
        <v>4</v>
      </c>
      <c r="K13" s="50">
        <v>3</v>
      </c>
      <c r="L13" s="50">
        <v>6</v>
      </c>
      <c r="M13" s="50">
        <v>200</v>
      </c>
      <c r="N13" s="50">
        <v>0</v>
      </c>
      <c r="O13" s="15">
        <f t="shared" si="0"/>
        <v>64</v>
      </c>
      <c r="P13" s="15">
        <f t="shared" si="1"/>
        <v>264</v>
      </c>
      <c r="R13" s="1" t="s">
        <v>9</v>
      </c>
      <c r="S13" s="17">
        <f t="shared" ref="S13:AF13" si="5">SUM(C22:C25)</f>
        <v>68</v>
      </c>
      <c r="T13" s="17">
        <f t="shared" si="5"/>
        <v>86</v>
      </c>
      <c r="U13" s="17">
        <f t="shared" si="5"/>
        <v>21</v>
      </c>
      <c r="V13" s="17">
        <f t="shared" si="5"/>
        <v>45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8</v>
      </c>
      <c r="AA13" s="17">
        <f t="shared" si="5"/>
        <v>4</v>
      </c>
      <c r="AB13" s="17">
        <f t="shared" si="5"/>
        <v>17</v>
      </c>
      <c r="AC13" s="17">
        <f t="shared" si="5"/>
        <v>465</v>
      </c>
      <c r="AD13" s="17">
        <f t="shared" si="5"/>
        <v>0</v>
      </c>
      <c r="AE13" s="31">
        <f t="shared" si="5"/>
        <v>260</v>
      </c>
      <c r="AF13" s="31">
        <f t="shared" si="5"/>
        <v>725</v>
      </c>
    </row>
    <row r="14" spans="2:32" ht="23.1" customHeight="1" x14ac:dyDescent="0.25">
      <c r="B14" s="23" t="s">
        <v>41</v>
      </c>
      <c r="C14" s="50">
        <v>13</v>
      </c>
      <c r="D14" s="50">
        <v>4</v>
      </c>
      <c r="E14" s="50">
        <v>4</v>
      </c>
      <c r="F14" s="50">
        <v>13</v>
      </c>
      <c r="G14" s="50">
        <v>0</v>
      </c>
      <c r="H14" s="50">
        <v>0</v>
      </c>
      <c r="I14" s="50">
        <v>2</v>
      </c>
      <c r="J14" s="50">
        <v>1</v>
      </c>
      <c r="K14" s="50">
        <v>2</v>
      </c>
      <c r="L14" s="50">
        <v>3</v>
      </c>
      <c r="M14" s="50">
        <v>205</v>
      </c>
      <c r="N14" s="50">
        <v>0</v>
      </c>
      <c r="O14" s="15">
        <f t="shared" si="0"/>
        <v>42</v>
      </c>
      <c r="P14" s="15">
        <f t="shared" si="1"/>
        <v>247</v>
      </c>
      <c r="R14" s="1" t="s">
        <v>10</v>
      </c>
      <c r="S14" s="17">
        <f t="shared" ref="S14:AF14" si="6">SUM(C26:C29)</f>
        <v>89</v>
      </c>
      <c r="T14" s="17">
        <f t="shared" si="6"/>
        <v>51</v>
      </c>
      <c r="U14" s="17">
        <f t="shared" si="6"/>
        <v>37</v>
      </c>
      <c r="V14" s="17">
        <f t="shared" si="6"/>
        <v>66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7</v>
      </c>
      <c r="AA14" s="17">
        <f t="shared" si="6"/>
        <v>2</v>
      </c>
      <c r="AB14" s="17">
        <f t="shared" si="6"/>
        <v>7</v>
      </c>
      <c r="AC14" s="17">
        <f t="shared" si="6"/>
        <v>415</v>
      </c>
      <c r="AD14" s="17">
        <f t="shared" si="6"/>
        <v>0</v>
      </c>
      <c r="AE14" s="31">
        <f t="shared" si="6"/>
        <v>267</v>
      </c>
      <c r="AF14" s="31">
        <f t="shared" si="6"/>
        <v>682</v>
      </c>
    </row>
    <row r="15" spans="2:32" ht="23.1" customHeight="1" x14ac:dyDescent="0.25">
      <c r="B15" s="23" t="s">
        <v>42</v>
      </c>
      <c r="C15" s="50">
        <v>9</v>
      </c>
      <c r="D15" s="50">
        <v>5</v>
      </c>
      <c r="E15" s="50">
        <v>4</v>
      </c>
      <c r="F15" s="50">
        <v>8</v>
      </c>
      <c r="G15" s="50">
        <v>0</v>
      </c>
      <c r="H15" s="50">
        <v>0</v>
      </c>
      <c r="I15" s="50">
        <v>2</v>
      </c>
      <c r="J15" s="50">
        <v>3</v>
      </c>
      <c r="K15" s="50">
        <v>2</v>
      </c>
      <c r="L15" s="50">
        <v>3</v>
      </c>
      <c r="M15" s="50">
        <v>200</v>
      </c>
      <c r="N15" s="50">
        <v>0</v>
      </c>
      <c r="O15" s="15">
        <f t="shared" si="0"/>
        <v>36</v>
      </c>
      <c r="P15" s="15">
        <f t="shared" si="1"/>
        <v>236</v>
      </c>
      <c r="R15" s="1" t="s">
        <v>11</v>
      </c>
      <c r="S15" s="17">
        <f t="shared" ref="S15:AF15" si="7">SUM(C30:C33)</f>
        <v>53</v>
      </c>
      <c r="T15" s="17">
        <f t="shared" si="7"/>
        <v>32</v>
      </c>
      <c r="U15" s="17">
        <f t="shared" si="7"/>
        <v>17</v>
      </c>
      <c r="V15" s="17">
        <f t="shared" si="7"/>
        <v>45</v>
      </c>
      <c r="W15" s="17">
        <f t="shared" si="7"/>
        <v>1</v>
      </c>
      <c r="X15" s="17">
        <f t="shared" si="7"/>
        <v>2</v>
      </c>
      <c r="Y15" s="17">
        <f t="shared" si="7"/>
        <v>13</v>
      </c>
      <c r="Z15" s="17">
        <f t="shared" si="7"/>
        <v>6</v>
      </c>
      <c r="AA15" s="17">
        <f t="shared" si="7"/>
        <v>6</v>
      </c>
      <c r="AB15" s="17">
        <f t="shared" si="7"/>
        <v>17</v>
      </c>
      <c r="AC15" s="17">
        <f t="shared" si="7"/>
        <v>403</v>
      </c>
      <c r="AD15" s="17">
        <f t="shared" si="7"/>
        <v>1</v>
      </c>
      <c r="AE15" s="31">
        <f t="shared" si="7"/>
        <v>193</v>
      </c>
      <c r="AF15" s="31">
        <f t="shared" si="7"/>
        <v>596</v>
      </c>
    </row>
    <row r="16" spans="2:32" ht="23.1" customHeight="1" x14ac:dyDescent="0.25">
      <c r="B16" s="23" t="s">
        <v>43</v>
      </c>
      <c r="C16" s="50">
        <v>6</v>
      </c>
      <c r="D16" s="50">
        <v>12</v>
      </c>
      <c r="E16" s="50">
        <v>6</v>
      </c>
      <c r="F16" s="50">
        <v>12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2</v>
      </c>
      <c r="M16" s="50">
        <v>210</v>
      </c>
      <c r="N16" s="50">
        <v>0</v>
      </c>
      <c r="O16" s="15">
        <f t="shared" si="0"/>
        <v>40</v>
      </c>
      <c r="P16" s="15">
        <f t="shared" si="1"/>
        <v>250</v>
      </c>
      <c r="R16" s="1" t="s">
        <v>12</v>
      </c>
      <c r="S16" s="17">
        <f t="shared" ref="S16:AF16" si="8">SUM(C34:C37)</f>
        <v>96</v>
      </c>
      <c r="T16" s="17">
        <f t="shared" si="8"/>
        <v>49</v>
      </c>
      <c r="U16" s="17">
        <f t="shared" si="8"/>
        <v>22</v>
      </c>
      <c r="V16" s="17">
        <f t="shared" si="8"/>
        <v>40</v>
      </c>
      <c r="W16" s="17">
        <f t="shared" si="8"/>
        <v>3</v>
      </c>
      <c r="X16" s="17">
        <f t="shared" si="8"/>
        <v>0</v>
      </c>
      <c r="Y16" s="17">
        <f t="shared" si="8"/>
        <v>15</v>
      </c>
      <c r="Z16" s="17">
        <f t="shared" si="8"/>
        <v>12</v>
      </c>
      <c r="AA16" s="17">
        <f t="shared" si="8"/>
        <v>10</v>
      </c>
      <c r="AB16" s="17">
        <f t="shared" si="8"/>
        <v>20</v>
      </c>
      <c r="AC16" s="17">
        <f t="shared" si="8"/>
        <v>418</v>
      </c>
      <c r="AD16" s="17">
        <f t="shared" si="8"/>
        <v>0</v>
      </c>
      <c r="AE16" s="31">
        <f t="shared" si="8"/>
        <v>267</v>
      </c>
      <c r="AF16" s="31">
        <f t="shared" si="8"/>
        <v>685</v>
      </c>
    </row>
    <row r="17" spans="2:32" ht="23.1" customHeight="1" x14ac:dyDescent="0.25">
      <c r="B17" s="23" t="s">
        <v>44</v>
      </c>
      <c r="C17" s="50">
        <v>5</v>
      </c>
      <c r="D17" s="50">
        <v>6</v>
      </c>
      <c r="E17" s="50">
        <v>0</v>
      </c>
      <c r="F17" s="50">
        <v>17</v>
      </c>
      <c r="G17" s="50">
        <v>0</v>
      </c>
      <c r="H17" s="50">
        <v>0</v>
      </c>
      <c r="I17" s="50">
        <v>3</v>
      </c>
      <c r="J17" s="50">
        <v>1</v>
      </c>
      <c r="K17" s="50">
        <v>3</v>
      </c>
      <c r="L17" s="50">
        <v>1</v>
      </c>
      <c r="M17" s="50">
        <v>200</v>
      </c>
      <c r="N17" s="50">
        <v>0</v>
      </c>
      <c r="O17" s="15">
        <f t="shared" si="0"/>
        <v>36</v>
      </c>
      <c r="P17" s="15">
        <f t="shared" si="1"/>
        <v>236</v>
      </c>
      <c r="R17" s="1" t="s">
        <v>13</v>
      </c>
      <c r="S17" s="17">
        <f t="shared" ref="S17:AF17" si="9">SUM(C38:C41)</f>
        <v>79</v>
      </c>
      <c r="T17" s="17">
        <f t="shared" si="9"/>
        <v>44</v>
      </c>
      <c r="U17" s="17">
        <f t="shared" si="9"/>
        <v>16</v>
      </c>
      <c r="V17" s="17">
        <f t="shared" si="9"/>
        <v>36</v>
      </c>
      <c r="W17" s="17">
        <f t="shared" si="9"/>
        <v>0</v>
      </c>
      <c r="X17" s="17">
        <f t="shared" si="9"/>
        <v>1</v>
      </c>
      <c r="Y17" s="17">
        <f t="shared" si="9"/>
        <v>13</v>
      </c>
      <c r="Z17" s="17">
        <f t="shared" si="9"/>
        <v>8</v>
      </c>
      <c r="AA17" s="17">
        <f t="shared" si="9"/>
        <v>4</v>
      </c>
      <c r="AB17" s="17">
        <f t="shared" si="9"/>
        <v>21</v>
      </c>
      <c r="AC17" s="17">
        <f t="shared" si="9"/>
        <v>485</v>
      </c>
      <c r="AD17" s="17">
        <f t="shared" si="9"/>
        <v>0</v>
      </c>
      <c r="AE17" s="31">
        <f t="shared" si="9"/>
        <v>222</v>
      </c>
      <c r="AF17" s="31">
        <f t="shared" si="9"/>
        <v>707</v>
      </c>
    </row>
    <row r="18" spans="2:32" ht="23.1" customHeight="1" x14ac:dyDescent="0.25">
      <c r="B18" s="23" t="s">
        <v>45</v>
      </c>
      <c r="C18" s="50">
        <v>16</v>
      </c>
      <c r="D18" s="50">
        <v>10</v>
      </c>
      <c r="E18" s="50">
        <v>4</v>
      </c>
      <c r="F18" s="50">
        <v>14</v>
      </c>
      <c r="G18" s="50">
        <v>0</v>
      </c>
      <c r="H18" s="50">
        <v>1</v>
      </c>
      <c r="I18" s="50">
        <v>2</v>
      </c>
      <c r="J18" s="50">
        <v>1</v>
      </c>
      <c r="K18" s="50">
        <v>0</v>
      </c>
      <c r="L18" s="50">
        <v>3</v>
      </c>
      <c r="M18" s="50">
        <v>175</v>
      </c>
      <c r="N18" s="50">
        <v>0</v>
      </c>
      <c r="O18" s="15">
        <f t="shared" si="0"/>
        <v>51</v>
      </c>
      <c r="P18" s="15">
        <f t="shared" si="1"/>
        <v>226</v>
      </c>
      <c r="R18" s="1" t="s">
        <v>14</v>
      </c>
      <c r="S18" s="17">
        <f t="shared" ref="S18:AF18" si="10">SUM(C42:C45)</f>
        <v>111</v>
      </c>
      <c r="T18" s="17">
        <f t="shared" si="10"/>
        <v>56</v>
      </c>
      <c r="U18" s="17">
        <f t="shared" si="10"/>
        <v>33</v>
      </c>
      <c r="V18" s="17">
        <f t="shared" si="10"/>
        <v>41</v>
      </c>
      <c r="W18" s="17">
        <f t="shared" si="10"/>
        <v>2</v>
      </c>
      <c r="X18" s="17">
        <f t="shared" si="10"/>
        <v>0</v>
      </c>
      <c r="Y18" s="17">
        <f t="shared" si="10"/>
        <v>10</v>
      </c>
      <c r="Z18" s="17">
        <f t="shared" si="10"/>
        <v>5</v>
      </c>
      <c r="AA18" s="17">
        <f t="shared" si="10"/>
        <v>3</v>
      </c>
      <c r="AB18" s="17">
        <f t="shared" si="10"/>
        <v>9</v>
      </c>
      <c r="AC18" s="17">
        <f t="shared" si="10"/>
        <v>452</v>
      </c>
      <c r="AD18" s="17">
        <f t="shared" si="10"/>
        <v>1</v>
      </c>
      <c r="AE18" s="31">
        <f t="shared" si="10"/>
        <v>271</v>
      </c>
      <c r="AF18" s="31">
        <f t="shared" si="10"/>
        <v>723</v>
      </c>
    </row>
    <row r="19" spans="2:32" ht="23.1" customHeight="1" x14ac:dyDescent="0.25">
      <c r="B19" s="23" t="s">
        <v>46</v>
      </c>
      <c r="C19" s="50">
        <v>22</v>
      </c>
      <c r="D19" s="50">
        <v>5</v>
      </c>
      <c r="E19" s="50">
        <v>5</v>
      </c>
      <c r="F19" s="50">
        <v>19</v>
      </c>
      <c r="G19" s="50">
        <v>0</v>
      </c>
      <c r="H19" s="50">
        <v>0</v>
      </c>
      <c r="I19" s="50">
        <v>3</v>
      </c>
      <c r="J19" s="50">
        <v>2</v>
      </c>
      <c r="K19" s="50">
        <v>1</v>
      </c>
      <c r="L19" s="50">
        <v>2</v>
      </c>
      <c r="M19" s="50">
        <v>185</v>
      </c>
      <c r="N19" s="50">
        <v>0</v>
      </c>
      <c r="O19" s="15">
        <f t="shared" si="0"/>
        <v>59</v>
      </c>
      <c r="P19" s="15">
        <f t="shared" si="1"/>
        <v>244</v>
      </c>
      <c r="R19" s="1" t="s">
        <v>15</v>
      </c>
      <c r="S19" s="17">
        <f t="shared" ref="S19:AF19" si="11">SUM(C46:C49)</f>
        <v>104</v>
      </c>
      <c r="T19" s="17">
        <f t="shared" si="11"/>
        <v>62</v>
      </c>
      <c r="U19" s="17">
        <f t="shared" si="11"/>
        <v>28</v>
      </c>
      <c r="V19" s="17">
        <f t="shared" si="11"/>
        <v>38</v>
      </c>
      <c r="W19" s="17">
        <f t="shared" si="11"/>
        <v>0</v>
      </c>
      <c r="X19" s="17">
        <f t="shared" si="11"/>
        <v>1</v>
      </c>
      <c r="Y19" s="17">
        <f t="shared" si="11"/>
        <v>19</v>
      </c>
      <c r="Z19" s="17">
        <f t="shared" si="11"/>
        <v>9</v>
      </c>
      <c r="AA19" s="17">
        <f t="shared" si="11"/>
        <v>7</v>
      </c>
      <c r="AB19" s="17">
        <f t="shared" si="11"/>
        <v>23</v>
      </c>
      <c r="AC19" s="17">
        <f t="shared" si="11"/>
        <v>595</v>
      </c>
      <c r="AD19" s="17">
        <f t="shared" si="11"/>
        <v>0</v>
      </c>
      <c r="AE19" s="31">
        <f t="shared" si="11"/>
        <v>291</v>
      </c>
      <c r="AF19" s="31">
        <f t="shared" si="11"/>
        <v>886</v>
      </c>
    </row>
    <row r="20" spans="2:32" ht="23.1" customHeight="1" x14ac:dyDescent="0.25">
      <c r="B20" s="23" t="s">
        <v>47</v>
      </c>
      <c r="C20" s="50">
        <v>20</v>
      </c>
      <c r="D20" s="50">
        <v>15</v>
      </c>
      <c r="E20" s="50">
        <v>7</v>
      </c>
      <c r="F20" s="50">
        <v>7</v>
      </c>
      <c r="G20" s="50">
        <v>0</v>
      </c>
      <c r="H20" s="50">
        <v>1</v>
      </c>
      <c r="I20" s="50">
        <v>3</v>
      </c>
      <c r="J20" s="50">
        <v>2</v>
      </c>
      <c r="K20" s="50">
        <v>0</v>
      </c>
      <c r="L20" s="50">
        <v>5</v>
      </c>
      <c r="M20" s="50">
        <v>163</v>
      </c>
      <c r="N20" s="50">
        <v>0</v>
      </c>
      <c r="O20" s="15">
        <f t="shared" si="0"/>
        <v>60</v>
      </c>
      <c r="P20" s="15">
        <f t="shared" si="1"/>
        <v>223</v>
      </c>
      <c r="R20" s="1" t="s">
        <v>16</v>
      </c>
      <c r="S20" s="17">
        <f t="shared" ref="S20:AF20" si="12">SUM(C50:C53)</f>
        <v>126</v>
      </c>
      <c r="T20" s="17">
        <f t="shared" si="12"/>
        <v>73</v>
      </c>
      <c r="U20" s="17">
        <f t="shared" si="12"/>
        <v>36</v>
      </c>
      <c r="V20" s="17">
        <f t="shared" si="12"/>
        <v>24</v>
      </c>
      <c r="W20" s="17">
        <f t="shared" si="12"/>
        <v>1</v>
      </c>
      <c r="X20" s="17">
        <f t="shared" si="12"/>
        <v>1</v>
      </c>
      <c r="Y20" s="17">
        <f t="shared" si="12"/>
        <v>10</v>
      </c>
      <c r="Z20" s="17">
        <f t="shared" si="12"/>
        <v>6</v>
      </c>
      <c r="AA20" s="17">
        <f t="shared" si="12"/>
        <v>2</v>
      </c>
      <c r="AB20" s="17">
        <f t="shared" si="12"/>
        <v>15</v>
      </c>
      <c r="AC20" s="17">
        <f t="shared" si="12"/>
        <v>780</v>
      </c>
      <c r="AD20" s="17">
        <f t="shared" si="12"/>
        <v>0</v>
      </c>
      <c r="AE20" s="31">
        <f t="shared" si="12"/>
        <v>294</v>
      </c>
      <c r="AF20" s="31">
        <f t="shared" si="12"/>
        <v>1074</v>
      </c>
    </row>
    <row r="21" spans="2:32" ht="23.1" customHeight="1" x14ac:dyDescent="0.25">
      <c r="B21" s="23" t="s">
        <v>48</v>
      </c>
      <c r="C21" s="50">
        <v>10</v>
      </c>
      <c r="D21" s="50">
        <v>5</v>
      </c>
      <c r="E21" s="50">
        <v>11</v>
      </c>
      <c r="F21" s="50">
        <v>20</v>
      </c>
      <c r="G21" s="50">
        <v>0</v>
      </c>
      <c r="H21" s="50">
        <v>0</v>
      </c>
      <c r="I21" s="50">
        <v>2</v>
      </c>
      <c r="J21" s="50">
        <v>0</v>
      </c>
      <c r="K21" s="50">
        <v>2</v>
      </c>
      <c r="L21" s="50">
        <v>8</v>
      </c>
      <c r="M21" s="50">
        <v>150</v>
      </c>
      <c r="N21" s="50">
        <v>0</v>
      </c>
      <c r="O21" s="15">
        <f t="shared" si="0"/>
        <v>58</v>
      </c>
      <c r="P21" s="15">
        <f t="shared" si="1"/>
        <v>208</v>
      </c>
      <c r="R21" s="36" t="s">
        <v>20</v>
      </c>
      <c r="S21" s="34">
        <f t="shared" ref="S21:AF21" si="13">SUM(C54:C57)</f>
        <v>65</v>
      </c>
      <c r="T21" s="17">
        <f t="shared" si="13"/>
        <v>28</v>
      </c>
      <c r="U21" s="17">
        <f t="shared" si="13"/>
        <v>13</v>
      </c>
      <c r="V21" s="17">
        <f t="shared" si="13"/>
        <v>17</v>
      </c>
      <c r="W21" s="17">
        <f t="shared" si="13"/>
        <v>0</v>
      </c>
      <c r="X21" s="17">
        <f t="shared" si="13"/>
        <v>1</v>
      </c>
      <c r="Y21" s="17">
        <f t="shared" si="13"/>
        <v>11</v>
      </c>
      <c r="Z21" s="17">
        <f t="shared" si="13"/>
        <v>4</v>
      </c>
      <c r="AA21" s="17">
        <f t="shared" si="13"/>
        <v>5</v>
      </c>
      <c r="AB21" s="17">
        <f t="shared" si="13"/>
        <v>16</v>
      </c>
      <c r="AC21" s="17">
        <f t="shared" si="13"/>
        <v>730</v>
      </c>
      <c r="AD21" s="17">
        <f t="shared" si="13"/>
        <v>0</v>
      </c>
      <c r="AE21" s="31">
        <f t="shared" si="13"/>
        <v>160</v>
      </c>
      <c r="AF21" s="31">
        <f t="shared" si="13"/>
        <v>890</v>
      </c>
    </row>
    <row r="22" spans="2:32" ht="23.1" customHeight="1" x14ac:dyDescent="0.25">
      <c r="B22" s="23" t="s">
        <v>49</v>
      </c>
      <c r="C22" s="50">
        <v>22</v>
      </c>
      <c r="D22" s="50">
        <v>53</v>
      </c>
      <c r="E22" s="50">
        <v>8</v>
      </c>
      <c r="F22" s="50">
        <v>10</v>
      </c>
      <c r="G22" s="50">
        <v>0</v>
      </c>
      <c r="H22" s="50">
        <v>0</v>
      </c>
      <c r="I22" s="50">
        <v>7</v>
      </c>
      <c r="J22" s="50">
        <v>2</v>
      </c>
      <c r="K22" s="50">
        <v>1</v>
      </c>
      <c r="L22" s="50">
        <v>6</v>
      </c>
      <c r="M22" s="50">
        <v>120</v>
      </c>
      <c r="N22" s="50">
        <v>0</v>
      </c>
      <c r="O22" s="15">
        <f t="shared" si="0"/>
        <v>109</v>
      </c>
      <c r="P22" s="15">
        <f t="shared" si="1"/>
        <v>229</v>
      </c>
      <c r="R22" s="38" t="s">
        <v>90</v>
      </c>
      <c r="S22" s="39">
        <f>MAX(S10:S12)</f>
        <v>68</v>
      </c>
      <c r="T22" s="39">
        <f t="shared" ref="T22:AF22" si="14">MAX(T10:T12)</f>
        <v>35</v>
      </c>
      <c r="U22" s="39">
        <f t="shared" si="14"/>
        <v>27</v>
      </c>
      <c r="V22" s="39">
        <f t="shared" si="14"/>
        <v>92</v>
      </c>
      <c r="W22" s="39">
        <f t="shared" si="14"/>
        <v>2</v>
      </c>
      <c r="X22" s="39">
        <f t="shared" si="14"/>
        <v>2</v>
      </c>
      <c r="Y22" s="39">
        <f t="shared" si="14"/>
        <v>10</v>
      </c>
      <c r="Z22" s="39">
        <f t="shared" si="14"/>
        <v>13</v>
      </c>
      <c r="AA22" s="39">
        <f t="shared" si="14"/>
        <v>20</v>
      </c>
      <c r="AB22" s="39">
        <f t="shared" si="14"/>
        <v>30</v>
      </c>
      <c r="AC22" s="39">
        <f t="shared" si="14"/>
        <v>815</v>
      </c>
      <c r="AD22" s="39">
        <f t="shared" si="14"/>
        <v>0</v>
      </c>
      <c r="AE22" s="40">
        <f t="shared" si="14"/>
        <v>270</v>
      </c>
      <c r="AF22" s="40">
        <f t="shared" si="14"/>
        <v>969</v>
      </c>
    </row>
    <row r="23" spans="2:32" ht="23.1" customHeight="1" x14ac:dyDescent="0.25">
      <c r="B23" s="23" t="s">
        <v>50</v>
      </c>
      <c r="C23" s="50">
        <v>21</v>
      </c>
      <c r="D23" s="50">
        <v>9</v>
      </c>
      <c r="E23" s="50">
        <v>4</v>
      </c>
      <c r="F23" s="50">
        <v>7</v>
      </c>
      <c r="G23" s="50">
        <v>0</v>
      </c>
      <c r="H23" s="50">
        <v>0</v>
      </c>
      <c r="I23" s="50">
        <v>1</v>
      </c>
      <c r="J23" s="50">
        <v>2</v>
      </c>
      <c r="K23" s="50">
        <v>1</v>
      </c>
      <c r="L23" s="50">
        <v>6</v>
      </c>
      <c r="M23" s="50">
        <v>130</v>
      </c>
      <c r="N23" s="50">
        <v>0</v>
      </c>
      <c r="O23" s="15">
        <f t="shared" si="0"/>
        <v>51</v>
      </c>
      <c r="P23" s="15">
        <f t="shared" si="1"/>
        <v>181</v>
      </c>
      <c r="R23" s="38" t="s">
        <v>91</v>
      </c>
      <c r="S23" s="39">
        <f>MAX(S13:S18)</f>
        <v>111</v>
      </c>
      <c r="T23" s="39">
        <f t="shared" ref="T23:AF23" si="15">MAX(T13:T18)</f>
        <v>86</v>
      </c>
      <c r="U23" s="39">
        <f t="shared" si="15"/>
        <v>37</v>
      </c>
      <c r="V23" s="39">
        <f t="shared" si="15"/>
        <v>66</v>
      </c>
      <c r="W23" s="39">
        <f t="shared" si="15"/>
        <v>3</v>
      </c>
      <c r="X23" s="39">
        <f t="shared" si="15"/>
        <v>2</v>
      </c>
      <c r="Y23" s="39">
        <f t="shared" si="15"/>
        <v>15</v>
      </c>
      <c r="Z23" s="39">
        <f t="shared" si="15"/>
        <v>12</v>
      </c>
      <c r="AA23" s="39">
        <f t="shared" si="15"/>
        <v>10</v>
      </c>
      <c r="AB23" s="39">
        <f t="shared" si="15"/>
        <v>21</v>
      </c>
      <c r="AC23" s="39">
        <f t="shared" si="15"/>
        <v>485</v>
      </c>
      <c r="AD23" s="39">
        <f t="shared" si="15"/>
        <v>1</v>
      </c>
      <c r="AE23" s="40">
        <f t="shared" si="15"/>
        <v>271</v>
      </c>
      <c r="AF23" s="40">
        <f t="shared" si="15"/>
        <v>725</v>
      </c>
    </row>
    <row r="24" spans="2:32" ht="23.1" customHeight="1" x14ac:dyDescent="0.25">
      <c r="B24" s="23" t="s">
        <v>51</v>
      </c>
      <c r="C24" s="50">
        <v>12</v>
      </c>
      <c r="D24" s="50">
        <v>11</v>
      </c>
      <c r="E24" s="50">
        <v>2</v>
      </c>
      <c r="F24" s="50">
        <v>11</v>
      </c>
      <c r="G24" s="50">
        <v>0</v>
      </c>
      <c r="H24" s="50">
        <v>0</v>
      </c>
      <c r="I24" s="50">
        <v>3</v>
      </c>
      <c r="J24" s="50">
        <v>2</v>
      </c>
      <c r="K24" s="50">
        <v>1</v>
      </c>
      <c r="L24" s="50">
        <v>4</v>
      </c>
      <c r="M24" s="50">
        <v>110</v>
      </c>
      <c r="N24" s="50">
        <v>0</v>
      </c>
      <c r="O24" s="15">
        <f t="shared" si="0"/>
        <v>46</v>
      </c>
      <c r="P24" s="15">
        <f t="shared" si="1"/>
        <v>156</v>
      </c>
      <c r="R24" s="38" t="s">
        <v>92</v>
      </c>
      <c r="S24" s="39">
        <f>MAX(S19:S21)</f>
        <v>126</v>
      </c>
      <c r="T24" s="39">
        <f t="shared" ref="T24:AF24" si="16">MAX(T19:T21)</f>
        <v>73</v>
      </c>
      <c r="U24" s="39">
        <f t="shared" si="16"/>
        <v>36</v>
      </c>
      <c r="V24" s="39">
        <f t="shared" si="16"/>
        <v>38</v>
      </c>
      <c r="W24" s="39">
        <f t="shared" si="16"/>
        <v>1</v>
      </c>
      <c r="X24" s="39">
        <f t="shared" si="16"/>
        <v>1</v>
      </c>
      <c r="Y24" s="39">
        <f t="shared" si="16"/>
        <v>19</v>
      </c>
      <c r="Z24" s="39">
        <f t="shared" si="16"/>
        <v>9</v>
      </c>
      <c r="AA24" s="39">
        <f t="shared" si="16"/>
        <v>7</v>
      </c>
      <c r="AB24" s="39">
        <f t="shared" si="16"/>
        <v>23</v>
      </c>
      <c r="AC24" s="39">
        <f t="shared" si="16"/>
        <v>780</v>
      </c>
      <c r="AD24" s="39">
        <f t="shared" si="16"/>
        <v>0</v>
      </c>
      <c r="AE24" s="40">
        <f t="shared" si="16"/>
        <v>294</v>
      </c>
      <c r="AF24" s="40">
        <f t="shared" si="16"/>
        <v>1074</v>
      </c>
    </row>
    <row r="25" spans="2:32" ht="23.1" customHeight="1" x14ac:dyDescent="0.25">
      <c r="B25" s="23" t="s">
        <v>52</v>
      </c>
      <c r="C25" s="50">
        <v>13</v>
      </c>
      <c r="D25" s="50">
        <v>13</v>
      </c>
      <c r="E25" s="50">
        <v>7</v>
      </c>
      <c r="F25" s="50">
        <v>17</v>
      </c>
      <c r="G25" s="50">
        <v>0</v>
      </c>
      <c r="H25" s="50">
        <v>0</v>
      </c>
      <c r="I25" s="50">
        <v>0</v>
      </c>
      <c r="J25" s="50">
        <v>2</v>
      </c>
      <c r="K25" s="50">
        <v>1</v>
      </c>
      <c r="L25" s="50">
        <v>1</v>
      </c>
      <c r="M25" s="50">
        <v>105</v>
      </c>
      <c r="N25" s="50">
        <v>0</v>
      </c>
      <c r="O25" s="15">
        <f t="shared" si="0"/>
        <v>54</v>
      </c>
      <c r="P25" s="15">
        <f t="shared" si="1"/>
        <v>159</v>
      </c>
      <c r="R25" s="37" t="s">
        <v>85</v>
      </c>
      <c r="S25" s="35">
        <f t="shared" ref="S25:AF25" si="17">SUM(S10:S12)</f>
        <v>158</v>
      </c>
      <c r="T25" s="16">
        <f t="shared" si="17"/>
        <v>95</v>
      </c>
      <c r="U25" s="16">
        <f t="shared" si="17"/>
        <v>55</v>
      </c>
      <c r="V25" s="16">
        <f t="shared" si="17"/>
        <v>202</v>
      </c>
      <c r="W25" s="16">
        <f t="shared" si="17"/>
        <v>2</v>
      </c>
      <c r="X25" s="16">
        <f t="shared" si="17"/>
        <v>2</v>
      </c>
      <c r="Y25" s="16">
        <f t="shared" si="17"/>
        <v>27</v>
      </c>
      <c r="Z25" s="16">
        <f t="shared" si="17"/>
        <v>24</v>
      </c>
      <c r="AA25" s="16">
        <f t="shared" si="17"/>
        <v>30</v>
      </c>
      <c r="AB25" s="16">
        <f t="shared" si="17"/>
        <v>57</v>
      </c>
      <c r="AC25" s="16">
        <f t="shared" si="17"/>
        <v>2113</v>
      </c>
      <c r="AD25" s="16">
        <f t="shared" si="17"/>
        <v>0</v>
      </c>
      <c r="AE25" s="32">
        <f t="shared" si="17"/>
        <v>652</v>
      </c>
      <c r="AF25" s="32">
        <f t="shared" si="17"/>
        <v>2765</v>
      </c>
    </row>
    <row r="26" spans="2:32" ht="23.1" customHeight="1" x14ac:dyDescent="0.25">
      <c r="B26" s="23" t="s">
        <v>53</v>
      </c>
      <c r="C26" s="50">
        <v>15</v>
      </c>
      <c r="D26" s="50">
        <v>10</v>
      </c>
      <c r="E26" s="50">
        <v>7</v>
      </c>
      <c r="F26" s="50">
        <v>13</v>
      </c>
      <c r="G26" s="50">
        <v>0</v>
      </c>
      <c r="H26" s="50">
        <v>0</v>
      </c>
      <c r="I26" s="50">
        <v>4</v>
      </c>
      <c r="J26" s="50">
        <v>3</v>
      </c>
      <c r="K26" s="50">
        <v>0</v>
      </c>
      <c r="L26" s="50">
        <v>2</v>
      </c>
      <c r="M26" s="50">
        <v>95</v>
      </c>
      <c r="N26" s="50">
        <v>0</v>
      </c>
      <c r="O26" s="15">
        <f t="shared" si="0"/>
        <v>54</v>
      </c>
      <c r="P26" s="15">
        <f t="shared" si="1"/>
        <v>149</v>
      </c>
      <c r="R26" s="28" t="s">
        <v>86</v>
      </c>
      <c r="S26" s="16">
        <f t="shared" ref="S26:AF26" si="18">SUM(S13:S18)</f>
        <v>496</v>
      </c>
      <c r="T26" s="16">
        <f t="shared" si="18"/>
        <v>318</v>
      </c>
      <c r="U26" s="16">
        <f t="shared" si="18"/>
        <v>146</v>
      </c>
      <c r="V26" s="16">
        <f t="shared" si="18"/>
        <v>273</v>
      </c>
      <c r="W26" s="16">
        <f t="shared" si="18"/>
        <v>6</v>
      </c>
      <c r="X26" s="16">
        <f t="shared" si="18"/>
        <v>3</v>
      </c>
      <c r="Y26" s="16">
        <f t="shared" si="18"/>
        <v>70</v>
      </c>
      <c r="Z26" s="16">
        <f t="shared" si="18"/>
        <v>46</v>
      </c>
      <c r="AA26" s="16">
        <f t="shared" si="18"/>
        <v>29</v>
      </c>
      <c r="AB26" s="16">
        <f t="shared" si="18"/>
        <v>91</v>
      </c>
      <c r="AC26" s="16">
        <f t="shared" si="18"/>
        <v>2638</v>
      </c>
      <c r="AD26" s="16">
        <f t="shared" si="18"/>
        <v>2</v>
      </c>
      <c r="AE26" s="32">
        <f t="shared" si="18"/>
        <v>1480</v>
      </c>
      <c r="AF26" s="32">
        <f t="shared" si="18"/>
        <v>4118</v>
      </c>
    </row>
    <row r="27" spans="2:32" ht="23.1" customHeight="1" x14ac:dyDescent="0.25">
      <c r="B27" s="23" t="s">
        <v>54</v>
      </c>
      <c r="C27" s="50">
        <v>35</v>
      </c>
      <c r="D27" s="50">
        <v>29</v>
      </c>
      <c r="E27" s="50">
        <v>14</v>
      </c>
      <c r="F27" s="50">
        <v>26</v>
      </c>
      <c r="G27" s="50">
        <v>0</v>
      </c>
      <c r="H27" s="50">
        <v>0</v>
      </c>
      <c r="I27" s="50">
        <v>1</v>
      </c>
      <c r="J27" s="50">
        <v>1</v>
      </c>
      <c r="K27" s="50">
        <v>1</v>
      </c>
      <c r="L27" s="50">
        <v>1</v>
      </c>
      <c r="M27" s="50">
        <v>110</v>
      </c>
      <c r="N27" s="50">
        <v>0</v>
      </c>
      <c r="O27" s="15">
        <f t="shared" si="0"/>
        <v>108</v>
      </c>
      <c r="P27" s="15">
        <f t="shared" si="1"/>
        <v>218</v>
      </c>
      <c r="R27" s="29" t="s">
        <v>87</v>
      </c>
      <c r="S27" s="16">
        <f t="shared" ref="S27:AF27" si="19">SUM(S19:S21)</f>
        <v>295</v>
      </c>
      <c r="T27" s="16">
        <f t="shared" si="19"/>
        <v>163</v>
      </c>
      <c r="U27" s="16">
        <f t="shared" si="19"/>
        <v>77</v>
      </c>
      <c r="V27" s="16">
        <f t="shared" si="19"/>
        <v>79</v>
      </c>
      <c r="W27" s="16">
        <f t="shared" si="19"/>
        <v>1</v>
      </c>
      <c r="X27" s="16">
        <f t="shared" si="19"/>
        <v>3</v>
      </c>
      <c r="Y27" s="16">
        <f t="shared" si="19"/>
        <v>40</v>
      </c>
      <c r="Z27" s="16">
        <f t="shared" si="19"/>
        <v>19</v>
      </c>
      <c r="AA27" s="16">
        <f t="shared" si="19"/>
        <v>14</v>
      </c>
      <c r="AB27" s="16">
        <f t="shared" si="19"/>
        <v>54</v>
      </c>
      <c r="AC27" s="16">
        <f t="shared" si="19"/>
        <v>2105</v>
      </c>
      <c r="AD27" s="16">
        <f t="shared" si="19"/>
        <v>0</v>
      </c>
      <c r="AE27" s="32">
        <f t="shared" si="19"/>
        <v>745</v>
      </c>
      <c r="AF27" s="32">
        <f t="shared" si="19"/>
        <v>2850</v>
      </c>
    </row>
    <row r="28" spans="2:32" ht="23.1" customHeight="1" x14ac:dyDescent="0.25">
      <c r="B28" s="23" t="s">
        <v>55</v>
      </c>
      <c r="C28" s="50">
        <v>24</v>
      </c>
      <c r="D28" s="50">
        <v>7</v>
      </c>
      <c r="E28" s="50">
        <v>9</v>
      </c>
      <c r="F28" s="50">
        <v>15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3</v>
      </c>
      <c r="M28" s="50">
        <v>95</v>
      </c>
      <c r="N28" s="50">
        <v>0</v>
      </c>
      <c r="O28" s="15">
        <f t="shared" si="0"/>
        <v>59</v>
      </c>
      <c r="P28" s="15">
        <f t="shared" si="1"/>
        <v>154</v>
      </c>
      <c r="R28" s="5" t="s">
        <v>17</v>
      </c>
      <c r="S28" s="16">
        <f t="shared" ref="S28:AF28" si="20">SUM(S10:S21)</f>
        <v>949</v>
      </c>
      <c r="T28" s="16">
        <f t="shared" si="20"/>
        <v>576</v>
      </c>
      <c r="U28" s="16">
        <f t="shared" si="20"/>
        <v>278</v>
      </c>
      <c r="V28" s="16">
        <f t="shared" si="20"/>
        <v>554</v>
      </c>
      <c r="W28" s="16">
        <f t="shared" si="20"/>
        <v>9</v>
      </c>
      <c r="X28" s="16">
        <f t="shared" si="20"/>
        <v>8</v>
      </c>
      <c r="Y28" s="16">
        <f t="shared" si="20"/>
        <v>137</v>
      </c>
      <c r="Z28" s="16">
        <f t="shared" si="20"/>
        <v>89</v>
      </c>
      <c r="AA28" s="16">
        <f t="shared" si="20"/>
        <v>73</v>
      </c>
      <c r="AB28" s="16">
        <f t="shared" si="20"/>
        <v>202</v>
      </c>
      <c r="AC28" s="16">
        <f t="shared" si="20"/>
        <v>6856</v>
      </c>
      <c r="AD28" s="16">
        <f t="shared" si="20"/>
        <v>2</v>
      </c>
      <c r="AE28" s="32">
        <f t="shared" si="20"/>
        <v>2877</v>
      </c>
      <c r="AF28" s="32">
        <f t="shared" si="20"/>
        <v>9733</v>
      </c>
    </row>
    <row r="29" spans="2:32" ht="23.1" customHeight="1" x14ac:dyDescent="0.25">
      <c r="B29" s="23" t="s">
        <v>56</v>
      </c>
      <c r="C29" s="50">
        <v>15</v>
      </c>
      <c r="D29" s="50">
        <v>5</v>
      </c>
      <c r="E29" s="50">
        <v>7</v>
      </c>
      <c r="F29" s="50">
        <v>12</v>
      </c>
      <c r="G29" s="50">
        <v>0</v>
      </c>
      <c r="H29" s="50">
        <v>0</v>
      </c>
      <c r="I29" s="50">
        <v>2</v>
      </c>
      <c r="J29" s="50">
        <v>3</v>
      </c>
      <c r="K29" s="50">
        <v>1</v>
      </c>
      <c r="L29" s="50">
        <v>1</v>
      </c>
      <c r="M29" s="50">
        <v>115</v>
      </c>
      <c r="N29" s="50">
        <v>0</v>
      </c>
      <c r="O29" s="15">
        <f t="shared" si="0"/>
        <v>46</v>
      </c>
      <c r="P29" s="15">
        <f t="shared" si="1"/>
        <v>161</v>
      </c>
      <c r="R29"/>
      <c r="S29" s="20"/>
      <c r="T29" s="19"/>
    </row>
    <row r="30" spans="2:32" ht="23.1" customHeight="1" x14ac:dyDescent="0.25">
      <c r="B30" s="23" t="s">
        <v>57</v>
      </c>
      <c r="C30" s="50">
        <v>17</v>
      </c>
      <c r="D30" s="50">
        <v>12</v>
      </c>
      <c r="E30" s="50">
        <v>6</v>
      </c>
      <c r="F30" s="50">
        <v>11</v>
      </c>
      <c r="G30" s="50">
        <v>0</v>
      </c>
      <c r="H30" s="50">
        <v>0</v>
      </c>
      <c r="I30" s="50">
        <v>2</v>
      </c>
      <c r="J30" s="50">
        <v>1</v>
      </c>
      <c r="K30" s="50">
        <v>2</v>
      </c>
      <c r="L30" s="50">
        <v>2</v>
      </c>
      <c r="M30" s="50">
        <v>90</v>
      </c>
      <c r="N30" s="50">
        <v>0</v>
      </c>
      <c r="O30" s="15">
        <f t="shared" si="0"/>
        <v>53</v>
      </c>
      <c r="P30" s="15">
        <f t="shared" si="1"/>
        <v>143</v>
      </c>
    </row>
    <row r="31" spans="2:32" ht="23.1" customHeight="1" x14ac:dyDescent="0.25">
      <c r="B31" s="24" t="s">
        <v>58</v>
      </c>
      <c r="C31" s="50">
        <v>13</v>
      </c>
      <c r="D31" s="50">
        <v>6</v>
      </c>
      <c r="E31" s="50">
        <v>6</v>
      </c>
      <c r="F31" s="50">
        <v>12</v>
      </c>
      <c r="G31" s="50">
        <v>1</v>
      </c>
      <c r="H31" s="50">
        <v>0</v>
      </c>
      <c r="I31" s="50">
        <v>5</v>
      </c>
      <c r="J31" s="50">
        <v>2</v>
      </c>
      <c r="K31" s="50">
        <v>1</v>
      </c>
      <c r="L31" s="50">
        <v>5</v>
      </c>
      <c r="M31" s="50">
        <v>100</v>
      </c>
      <c r="N31" s="50">
        <v>0</v>
      </c>
      <c r="O31" s="15">
        <f t="shared" si="0"/>
        <v>51</v>
      </c>
      <c r="P31" s="15">
        <f t="shared" si="1"/>
        <v>151</v>
      </c>
    </row>
    <row r="32" spans="2:32" ht="23.1" customHeight="1" x14ac:dyDescent="0.25">
      <c r="B32" s="24" t="s">
        <v>59</v>
      </c>
      <c r="C32" s="50">
        <v>15</v>
      </c>
      <c r="D32" s="50">
        <v>9</v>
      </c>
      <c r="E32" s="50">
        <v>2</v>
      </c>
      <c r="F32" s="50">
        <v>14</v>
      </c>
      <c r="G32" s="50">
        <v>0</v>
      </c>
      <c r="H32" s="50">
        <v>2</v>
      </c>
      <c r="I32" s="50">
        <v>2</v>
      </c>
      <c r="J32" s="50">
        <v>1</v>
      </c>
      <c r="K32" s="50">
        <v>1</v>
      </c>
      <c r="L32" s="50">
        <v>1</v>
      </c>
      <c r="M32" s="50">
        <v>108</v>
      </c>
      <c r="N32" s="50">
        <v>0</v>
      </c>
      <c r="O32" s="15">
        <f t="shared" si="0"/>
        <v>47</v>
      </c>
      <c r="P32" s="15">
        <f t="shared" si="1"/>
        <v>155</v>
      </c>
    </row>
    <row r="33" spans="2:20" ht="23.1" customHeight="1" x14ac:dyDescent="0.25">
      <c r="B33" s="23" t="s">
        <v>60</v>
      </c>
      <c r="C33" s="50">
        <v>8</v>
      </c>
      <c r="D33" s="50">
        <v>5</v>
      </c>
      <c r="E33" s="50">
        <v>3</v>
      </c>
      <c r="F33" s="50">
        <v>8</v>
      </c>
      <c r="G33" s="50">
        <v>0</v>
      </c>
      <c r="H33" s="50">
        <v>0</v>
      </c>
      <c r="I33" s="50">
        <v>4</v>
      </c>
      <c r="J33" s="50">
        <v>2</v>
      </c>
      <c r="K33" s="50">
        <v>2</v>
      </c>
      <c r="L33" s="50">
        <v>9</v>
      </c>
      <c r="M33" s="50">
        <v>105</v>
      </c>
      <c r="N33" s="50">
        <v>1</v>
      </c>
      <c r="O33" s="15">
        <f t="shared" si="0"/>
        <v>42</v>
      </c>
      <c r="P33" s="15">
        <f t="shared" si="1"/>
        <v>147</v>
      </c>
    </row>
    <row r="34" spans="2:20" ht="23.1" customHeight="1" x14ac:dyDescent="0.25">
      <c r="B34" s="24" t="s">
        <v>61</v>
      </c>
      <c r="C34" s="50">
        <v>24</v>
      </c>
      <c r="D34" s="50">
        <v>12</v>
      </c>
      <c r="E34" s="50">
        <v>8</v>
      </c>
      <c r="F34" s="50">
        <v>12</v>
      </c>
      <c r="G34" s="50">
        <v>0</v>
      </c>
      <c r="H34" s="50">
        <v>0</v>
      </c>
      <c r="I34" s="50">
        <v>2</v>
      </c>
      <c r="J34" s="50">
        <v>2</v>
      </c>
      <c r="K34" s="50">
        <v>3</v>
      </c>
      <c r="L34" s="50">
        <v>7</v>
      </c>
      <c r="M34" s="50">
        <v>120</v>
      </c>
      <c r="N34" s="50">
        <v>0</v>
      </c>
      <c r="O34" s="15">
        <f t="shared" si="0"/>
        <v>70</v>
      </c>
      <c r="P34" s="15">
        <f t="shared" si="1"/>
        <v>190</v>
      </c>
    </row>
    <row r="35" spans="2:20" ht="23.1" customHeight="1" x14ac:dyDescent="0.25">
      <c r="B35" s="24" t="s">
        <v>62</v>
      </c>
      <c r="C35" s="50">
        <v>10</v>
      </c>
      <c r="D35" s="50">
        <v>11</v>
      </c>
      <c r="E35" s="50">
        <v>4</v>
      </c>
      <c r="F35" s="50">
        <v>8</v>
      </c>
      <c r="G35" s="50">
        <v>0</v>
      </c>
      <c r="H35" s="50">
        <v>0</v>
      </c>
      <c r="I35" s="50">
        <v>3</v>
      </c>
      <c r="J35" s="50">
        <v>4</v>
      </c>
      <c r="K35" s="50">
        <v>2</v>
      </c>
      <c r="L35" s="50">
        <v>5</v>
      </c>
      <c r="M35" s="50">
        <v>110</v>
      </c>
      <c r="N35" s="50">
        <v>0</v>
      </c>
      <c r="O35" s="15">
        <f t="shared" si="0"/>
        <v>47</v>
      </c>
      <c r="P35" s="15">
        <f t="shared" si="1"/>
        <v>157</v>
      </c>
    </row>
    <row r="36" spans="2:20" ht="23.1" customHeight="1" x14ac:dyDescent="0.25">
      <c r="B36" s="24" t="s">
        <v>63</v>
      </c>
      <c r="C36" s="50">
        <v>29</v>
      </c>
      <c r="D36" s="50">
        <v>12</v>
      </c>
      <c r="E36" s="50">
        <v>6</v>
      </c>
      <c r="F36" s="50">
        <v>12</v>
      </c>
      <c r="G36" s="50">
        <v>1</v>
      </c>
      <c r="H36" s="50">
        <v>0</v>
      </c>
      <c r="I36" s="50">
        <v>3</v>
      </c>
      <c r="J36" s="50">
        <v>3</v>
      </c>
      <c r="K36" s="50">
        <v>3</v>
      </c>
      <c r="L36" s="50">
        <v>3</v>
      </c>
      <c r="M36" s="50">
        <v>105</v>
      </c>
      <c r="N36" s="50">
        <v>0</v>
      </c>
      <c r="O36" s="15">
        <f t="shared" si="0"/>
        <v>72</v>
      </c>
      <c r="P36" s="15">
        <f t="shared" si="1"/>
        <v>177</v>
      </c>
    </row>
    <row r="37" spans="2:20" ht="23.1" customHeight="1" x14ac:dyDescent="0.25">
      <c r="B37" s="23" t="s">
        <v>64</v>
      </c>
      <c r="C37" s="50">
        <v>33</v>
      </c>
      <c r="D37" s="50">
        <v>14</v>
      </c>
      <c r="E37" s="50">
        <v>4</v>
      </c>
      <c r="F37" s="50">
        <v>8</v>
      </c>
      <c r="G37" s="50">
        <v>2</v>
      </c>
      <c r="H37" s="50">
        <v>0</v>
      </c>
      <c r="I37" s="50">
        <v>7</v>
      </c>
      <c r="J37" s="50">
        <v>3</v>
      </c>
      <c r="K37" s="50">
        <v>2</v>
      </c>
      <c r="L37" s="50">
        <v>5</v>
      </c>
      <c r="M37" s="50">
        <v>83</v>
      </c>
      <c r="N37" s="50">
        <v>0</v>
      </c>
      <c r="O37" s="15">
        <f t="shared" si="0"/>
        <v>78</v>
      </c>
      <c r="P37" s="15">
        <f t="shared" si="1"/>
        <v>161</v>
      </c>
    </row>
    <row r="38" spans="2:20" ht="23.1" customHeight="1" x14ac:dyDescent="0.25">
      <c r="B38" s="24" t="s">
        <v>65</v>
      </c>
      <c r="C38" s="50">
        <v>20</v>
      </c>
      <c r="D38" s="50">
        <v>10</v>
      </c>
      <c r="E38" s="50">
        <v>2</v>
      </c>
      <c r="F38" s="50">
        <v>8</v>
      </c>
      <c r="G38" s="50">
        <v>0</v>
      </c>
      <c r="H38" s="50">
        <v>1</v>
      </c>
      <c r="I38" s="50">
        <v>3</v>
      </c>
      <c r="J38" s="50">
        <v>2</v>
      </c>
      <c r="K38" s="50">
        <v>1</v>
      </c>
      <c r="L38" s="50">
        <v>7</v>
      </c>
      <c r="M38" s="50">
        <v>80</v>
      </c>
      <c r="N38" s="50">
        <v>0</v>
      </c>
      <c r="O38" s="15">
        <f t="shared" si="0"/>
        <v>54</v>
      </c>
      <c r="P38" s="15">
        <f t="shared" si="1"/>
        <v>134</v>
      </c>
    </row>
    <row r="39" spans="2:20" ht="23.1" customHeight="1" x14ac:dyDescent="0.25">
      <c r="B39" s="24" t="s">
        <v>66</v>
      </c>
      <c r="C39" s="50">
        <v>25</v>
      </c>
      <c r="D39" s="50">
        <v>17</v>
      </c>
      <c r="E39" s="50">
        <v>5</v>
      </c>
      <c r="F39" s="50">
        <v>11</v>
      </c>
      <c r="G39" s="50">
        <v>0</v>
      </c>
      <c r="H39" s="50">
        <v>0</v>
      </c>
      <c r="I39" s="50">
        <v>4</v>
      </c>
      <c r="J39" s="50">
        <v>2</v>
      </c>
      <c r="K39" s="50">
        <v>1</v>
      </c>
      <c r="L39" s="50">
        <v>7</v>
      </c>
      <c r="M39" s="50">
        <v>125</v>
      </c>
      <c r="N39" s="50">
        <v>0</v>
      </c>
      <c r="O39" s="15">
        <f t="shared" si="0"/>
        <v>72</v>
      </c>
      <c r="P39" s="15">
        <f t="shared" si="1"/>
        <v>197</v>
      </c>
    </row>
    <row r="40" spans="2:20" ht="23.1" customHeight="1" x14ac:dyDescent="0.25">
      <c r="B40" s="24" t="s">
        <v>67</v>
      </c>
      <c r="C40" s="50">
        <v>25</v>
      </c>
      <c r="D40" s="50">
        <v>13</v>
      </c>
      <c r="E40" s="50">
        <v>8</v>
      </c>
      <c r="F40" s="50">
        <v>7</v>
      </c>
      <c r="G40" s="50">
        <v>0</v>
      </c>
      <c r="H40" s="50">
        <v>0</v>
      </c>
      <c r="I40" s="50">
        <v>5</v>
      </c>
      <c r="J40" s="50">
        <v>2</v>
      </c>
      <c r="K40" s="50">
        <v>0</v>
      </c>
      <c r="L40" s="50">
        <v>3</v>
      </c>
      <c r="M40" s="50">
        <v>150</v>
      </c>
      <c r="N40" s="50">
        <v>0</v>
      </c>
      <c r="O40" s="15">
        <f t="shared" si="0"/>
        <v>63</v>
      </c>
      <c r="P40" s="15">
        <f t="shared" si="1"/>
        <v>213</v>
      </c>
    </row>
    <row r="41" spans="2:20" ht="23.1" customHeight="1" x14ac:dyDescent="0.25">
      <c r="B41" s="23" t="s">
        <v>68</v>
      </c>
      <c r="C41" s="50">
        <v>9</v>
      </c>
      <c r="D41" s="50">
        <v>4</v>
      </c>
      <c r="E41" s="50">
        <v>1</v>
      </c>
      <c r="F41" s="50">
        <v>10</v>
      </c>
      <c r="G41" s="50">
        <v>0</v>
      </c>
      <c r="H41" s="50">
        <v>0</v>
      </c>
      <c r="I41" s="50">
        <v>1</v>
      </c>
      <c r="J41" s="50">
        <v>2</v>
      </c>
      <c r="K41" s="50">
        <v>2</v>
      </c>
      <c r="L41" s="50">
        <v>4</v>
      </c>
      <c r="M41" s="50">
        <v>130</v>
      </c>
      <c r="N41" s="50">
        <v>0</v>
      </c>
      <c r="O41" s="15">
        <f t="shared" si="0"/>
        <v>33</v>
      </c>
      <c r="P41" s="15">
        <f t="shared" si="1"/>
        <v>163</v>
      </c>
    </row>
    <row r="42" spans="2:20" ht="23.1" customHeight="1" x14ac:dyDescent="0.25">
      <c r="B42" s="24" t="s">
        <v>69</v>
      </c>
      <c r="C42" s="50">
        <v>38</v>
      </c>
      <c r="D42" s="50">
        <v>10</v>
      </c>
      <c r="E42" s="50">
        <v>10</v>
      </c>
      <c r="F42" s="50">
        <v>13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1</v>
      </c>
      <c r="M42" s="50">
        <v>120</v>
      </c>
      <c r="N42" s="50">
        <v>1</v>
      </c>
      <c r="O42" s="15">
        <f t="shared" si="0"/>
        <v>75</v>
      </c>
      <c r="P42" s="15">
        <f t="shared" si="1"/>
        <v>195</v>
      </c>
    </row>
    <row r="43" spans="2:20" ht="23.1" customHeight="1" x14ac:dyDescent="0.25">
      <c r="B43" s="23" t="s">
        <v>70</v>
      </c>
      <c r="C43" s="50">
        <v>23</v>
      </c>
      <c r="D43" s="50">
        <v>12</v>
      </c>
      <c r="E43" s="50">
        <v>5</v>
      </c>
      <c r="F43" s="50">
        <v>12</v>
      </c>
      <c r="G43" s="50">
        <v>2</v>
      </c>
      <c r="H43" s="50">
        <v>0</v>
      </c>
      <c r="I43" s="50">
        <v>4</v>
      </c>
      <c r="J43" s="50">
        <v>1</v>
      </c>
      <c r="K43" s="50">
        <v>2</v>
      </c>
      <c r="L43" s="50">
        <v>5</v>
      </c>
      <c r="M43" s="50">
        <v>112</v>
      </c>
      <c r="N43" s="50">
        <v>0</v>
      </c>
      <c r="O43" s="15">
        <f t="shared" si="0"/>
        <v>66</v>
      </c>
      <c r="P43" s="15">
        <f t="shared" si="1"/>
        <v>178</v>
      </c>
    </row>
    <row r="44" spans="2:20" ht="23.1" customHeight="1" x14ac:dyDescent="0.25">
      <c r="B44" s="25" t="s">
        <v>71</v>
      </c>
      <c r="C44" s="50">
        <v>30</v>
      </c>
      <c r="D44" s="50">
        <v>23</v>
      </c>
      <c r="E44" s="50">
        <v>12</v>
      </c>
      <c r="F44" s="50">
        <v>9</v>
      </c>
      <c r="G44" s="50">
        <v>0</v>
      </c>
      <c r="H44" s="50">
        <v>0</v>
      </c>
      <c r="I44" s="50">
        <v>3</v>
      </c>
      <c r="J44" s="50">
        <v>2</v>
      </c>
      <c r="K44" s="50">
        <v>1</v>
      </c>
      <c r="L44" s="50">
        <v>2</v>
      </c>
      <c r="M44" s="50">
        <v>90</v>
      </c>
      <c r="N44" s="50">
        <v>0</v>
      </c>
      <c r="O44" s="15">
        <f t="shared" si="0"/>
        <v>82</v>
      </c>
      <c r="P44" s="15">
        <f t="shared" si="1"/>
        <v>172</v>
      </c>
    </row>
    <row r="45" spans="2:20" ht="23.1" customHeight="1" x14ac:dyDescent="0.25">
      <c r="B45" s="23" t="s">
        <v>72</v>
      </c>
      <c r="C45" s="50">
        <v>20</v>
      </c>
      <c r="D45" s="50">
        <v>11</v>
      </c>
      <c r="E45" s="50">
        <v>6</v>
      </c>
      <c r="F45" s="50">
        <v>7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1</v>
      </c>
      <c r="M45" s="50">
        <v>130</v>
      </c>
      <c r="N45" s="50">
        <v>0</v>
      </c>
      <c r="O45" s="15">
        <f t="shared" si="0"/>
        <v>48</v>
      </c>
      <c r="P45" s="15">
        <f t="shared" si="1"/>
        <v>178</v>
      </c>
    </row>
    <row r="46" spans="2:20" ht="23.1" customHeight="1" x14ac:dyDescent="0.25">
      <c r="B46" s="24" t="s">
        <v>73</v>
      </c>
      <c r="C46" s="50">
        <v>19</v>
      </c>
      <c r="D46" s="50">
        <v>19</v>
      </c>
      <c r="E46" s="50">
        <v>9</v>
      </c>
      <c r="F46" s="50">
        <v>7</v>
      </c>
      <c r="G46" s="50">
        <v>0</v>
      </c>
      <c r="H46" s="50">
        <v>0</v>
      </c>
      <c r="I46" s="50">
        <v>4</v>
      </c>
      <c r="J46" s="50">
        <v>5</v>
      </c>
      <c r="K46" s="50">
        <v>1</v>
      </c>
      <c r="L46" s="50">
        <v>7</v>
      </c>
      <c r="M46" s="50">
        <v>105</v>
      </c>
      <c r="N46" s="50">
        <v>0</v>
      </c>
      <c r="O46" s="15">
        <f t="shared" si="0"/>
        <v>71</v>
      </c>
      <c r="P46" s="15">
        <f t="shared" si="1"/>
        <v>176</v>
      </c>
      <c r="R46" s="8"/>
      <c r="T46"/>
    </row>
    <row r="47" spans="2:20" ht="23.1" customHeight="1" x14ac:dyDescent="0.25">
      <c r="B47" s="24" t="s">
        <v>74</v>
      </c>
      <c r="C47" s="50">
        <v>36</v>
      </c>
      <c r="D47" s="50">
        <v>13</v>
      </c>
      <c r="E47" s="50">
        <v>9</v>
      </c>
      <c r="F47" s="50">
        <v>3</v>
      </c>
      <c r="G47" s="50">
        <v>0</v>
      </c>
      <c r="H47" s="50">
        <v>1</v>
      </c>
      <c r="I47" s="50">
        <v>8</v>
      </c>
      <c r="J47" s="50">
        <v>1</v>
      </c>
      <c r="K47" s="50">
        <v>3</v>
      </c>
      <c r="L47" s="50">
        <v>5</v>
      </c>
      <c r="M47" s="50">
        <v>155</v>
      </c>
      <c r="N47" s="50">
        <v>0</v>
      </c>
      <c r="O47" s="15">
        <f t="shared" si="0"/>
        <v>79</v>
      </c>
      <c r="P47" s="15">
        <f t="shared" si="1"/>
        <v>234</v>
      </c>
      <c r="R47" s="8"/>
      <c r="T47"/>
    </row>
    <row r="48" spans="2:20" ht="23.1" customHeight="1" x14ac:dyDescent="0.25">
      <c r="B48" s="24" t="s">
        <v>75</v>
      </c>
      <c r="C48" s="50">
        <v>25</v>
      </c>
      <c r="D48" s="50">
        <v>15</v>
      </c>
      <c r="E48" s="50">
        <v>2</v>
      </c>
      <c r="F48" s="50">
        <v>15</v>
      </c>
      <c r="G48" s="50">
        <v>0</v>
      </c>
      <c r="H48" s="50">
        <v>0</v>
      </c>
      <c r="I48" s="50">
        <v>3</v>
      </c>
      <c r="J48" s="50">
        <v>2</v>
      </c>
      <c r="K48" s="50">
        <v>2</v>
      </c>
      <c r="L48" s="50">
        <v>4</v>
      </c>
      <c r="M48" s="50">
        <v>145</v>
      </c>
      <c r="N48" s="50">
        <v>0</v>
      </c>
      <c r="O48" s="15">
        <f t="shared" si="0"/>
        <v>68</v>
      </c>
      <c r="P48" s="15">
        <f t="shared" si="1"/>
        <v>213</v>
      </c>
      <c r="R48" s="8"/>
      <c r="T48"/>
    </row>
    <row r="49" spans="2:20" ht="23.1" customHeight="1" x14ac:dyDescent="0.25">
      <c r="B49" s="23" t="s">
        <v>76</v>
      </c>
      <c r="C49" s="50">
        <v>24</v>
      </c>
      <c r="D49" s="50">
        <v>15</v>
      </c>
      <c r="E49" s="50">
        <v>8</v>
      </c>
      <c r="F49" s="50">
        <v>13</v>
      </c>
      <c r="G49" s="50">
        <v>0</v>
      </c>
      <c r="H49" s="50">
        <v>0</v>
      </c>
      <c r="I49" s="50">
        <v>4</v>
      </c>
      <c r="J49" s="50">
        <v>1</v>
      </c>
      <c r="K49" s="50">
        <v>1</v>
      </c>
      <c r="L49" s="50">
        <v>7</v>
      </c>
      <c r="M49" s="50">
        <v>190</v>
      </c>
      <c r="N49" s="50">
        <v>0</v>
      </c>
      <c r="O49" s="15">
        <f t="shared" si="0"/>
        <v>73</v>
      </c>
      <c r="P49" s="15">
        <f t="shared" si="1"/>
        <v>263</v>
      </c>
      <c r="R49" s="8"/>
      <c r="T49"/>
    </row>
    <row r="50" spans="2:20" ht="23.1" customHeight="1" x14ac:dyDescent="0.25">
      <c r="B50" s="24" t="s">
        <v>77</v>
      </c>
      <c r="C50" s="50">
        <v>34</v>
      </c>
      <c r="D50" s="50">
        <v>15</v>
      </c>
      <c r="E50" s="50">
        <v>10</v>
      </c>
      <c r="F50" s="50">
        <v>6</v>
      </c>
      <c r="G50" s="50">
        <v>1</v>
      </c>
      <c r="H50" s="50">
        <v>0</v>
      </c>
      <c r="I50" s="50">
        <v>2</v>
      </c>
      <c r="J50" s="50">
        <v>2</v>
      </c>
      <c r="K50" s="50">
        <v>1</v>
      </c>
      <c r="L50" s="50">
        <v>5</v>
      </c>
      <c r="M50" s="50">
        <v>240</v>
      </c>
      <c r="N50" s="50">
        <v>0</v>
      </c>
      <c r="O50" s="15">
        <f t="shared" si="0"/>
        <v>76</v>
      </c>
      <c r="P50" s="15">
        <f t="shared" si="1"/>
        <v>316</v>
      </c>
      <c r="R50" s="8"/>
      <c r="T50"/>
    </row>
    <row r="51" spans="2:20" ht="23.1" customHeight="1" x14ac:dyDescent="0.25">
      <c r="B51" s="24" t="s">
        <v>78</v>
      </c>
      <c r="C51" s="50">
        <v>21</v>
      </c>
      <c r="D51" s="50">
        <v>21</v>
      </c>
      <c r="E51" s="50">
        <v>7</v>
      </c>
      <c r="F51" s="50">
        <v>3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1</v>
      </c>
      <c r="M51" s="50">
        <v>176</v>
      </c>
      <c r="N51" s="50">
        <v>0</v>
      </c>
      <c r="O51" s="15">
        <f t="shared" si="0"/>
        <v>55</v>
      </c>
      <c r="P51" s="15">
        <f t="shared" si="1"/>
        <v>231</v>
      </c>
      <c r="R51" s="8"/>
      <c r="T51"/>
    </row>
    <row r="52" spans="2:20" ht="23.1" customHeight="1" x14ac:dyDescent="0.25">
      <c r="B52" s="24" t="s">
        <v>79</v>
      </c>
      <c r="C52" s="50">
        <v>40</v>
      </c>
      <c r="D52" s="50">
        <v>21</v>
      </c>
      <c r="E52" s="50">
        <v>10</v>
      </c>
      <c r="F52" s="50">
        <v>2</v>
      </c>
      <c r="G52" s="50">
        <v>0</v>
      </c>
      <c r="H52" s="50">
        <v>1</v>
      </c>
      <c r="I52" s="50">
        <v>2</v>
      </c>
      <c r="J52" s="50">
        <v>3</v>
      </c>
      <c r="K52" s="50">
        <v>1</v>
      </c>
      <c r="L52" s="50">
        <v>4</v>
      </c>
      <c r="M52" s="50">
        <v>180</v>
      </c>
      <c r="N52" s="50">
        <v>0</v>
      </c>
      <c r="O52" s="15">
        <f t="shared" si="0"/>
        <v>84</v>
      </c>
      <c r="P52" s="15">
        <f t="shared" si="1"/>
        <v>264</v>
      </c>
      <c r="R52" s="8"/>
      <c r="T52"/>
    </row>
    <row r="53" spans="2:20" ht="23.1" customHeight="1" x14ac:dyDescent="0.25">
      <c r="B53" s="23" t="s">
        <v>80</v>
      </c>
      <c r="C53" s="50">
        <v>31</v>
      </c>
      <c r="D53" s="50">
        <v>16</v>
      </c>
      <c r="E53" s="50">
        <v>9</v>
      </c>
      <c r="F53" s="50">
        <v>13</v>
      </c>
      <c r="G53" s="50">
        <v>0</v>
      </c>
      <c r="H53" s="50">
        <v>0</v>
      </c>
      <c r="I53" s="50">
        <v>4</v>
      </c>
      <c r="J53" s="50">
        <v>1</v>
      </c>
      <c r="K53" s="50">
        <v>0</v>
      </c>
      <c r="L53" s="50">
        <v>5</v>
      </c>
      <c r="M53" s="50">
        <v>184</v>
      </c>
      <c r="N53" s="50">
        <v>0</v>
      </c>
      <c r="O53" s="15">
        <f t="shared" si="0"/>
        <v>79</v>
      </c>
      <c r="P53" s="15">
        <f t="shared" si="1"/>
        <v>263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9</v>
      </c>
      <c r="E54" s="50">
        <v>2</v>
      </c>
      <c r="F54" s="50">
        <v>7</v>
      </c>
      <c r="G54" s="50">
        <v>0</v>
      </c>
      <c r="H54" s="50">
        <v>0</v>
      </c>
      <c r="I54" s="50">
        <v>3</v>
      </c>
      <c r="J54" s="50">
        <v>2</v>
      </c>
      <c r="K54" s="50">
        <v>1</v>
      </c>
      <c r="L54" s="50">
        <v>4</v>
      </c>
      <c r="M54" s="50">
        <v>175</v>
      </c>
      <c r="N54" s="50">
        <v>0</v>
      </c>
      <c r="O54" s="15">
        <f t="shared" si="0"/>
        <v>41</v>
      </c>
      <c r="P54" s="15">
        <f t="shared" si="1"/>
        <v>216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7</v>
      </c>
      <c r="E55" s="50">
        <v>1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1</v>
      </c>
      <c r="L55" s="50">
        <v>5</v>
      </c>
      <c r="M55" s="50">
        <v>190</v>
      </c>
      <c r="N55" s="50">
        <v>0</v>
      </c>
      <c r="O55" s="15">
        <f t="shared" si="0"/>
        <v>34</v>
      </c>
      <c r="P55" s="15">
        <f t="shared" si="1"/>
        <v>224</v>
      </c>
      <c r="R55" s="8"/>
      <c r="T55"/>
    </row>
    <row r="56" spans="2:20" ht="23.1" customHeight="1" x14ac:dyDescent="0.25">
      <c r="B56" s="23" t="s">
        <v>83</v>
      </c>
      <c r="C56" s="50">
        <v>15</v>
      </c>
      <c r="D56" s="50">
        <v>7</v>
      </c>
      <c r="E56" s="50">
        <v>6</v>
      </c>
      <c r="F56" s="50">
        <v>3</v>
      </c>
      <c r="G56" s="50">
        <v>0</v>
      </c>
      <c r="H56" s="50">
        <v>0</v>
      </c>
      <c r="I56" s="50">
        <v>3</v>
      </c>
      <c r="J56" s="50">
        <v>0</v>
      </c>
      <c r="K56" s="50">
        <v>2</v>
      </c>
      <c r="L56" s="50">
        <v>3</v>
      </c>
      <c r="M56" s="50">
        <v>200</v>
      </c>
      <c r="N56" s="50">
        <v>0</v>
      </c>
      <c r="O56" s="15">
        <f t="shared" si="0"/>
        <v>39</v>
      </c>
      <c r="P56" s="15">
        <f t="shared" si="1"/>
        <v>239</v>
      </c>
      <c r="R56" s="8"/>
      <c r="T56"/>
    </row>
    <row r="57" spans="2:20" ht="23.1" customHeight="1" x14ac:dyDescent="0.25">
      <c r="B57" s="23" t="s">
        <v>84</v>
      </c>
      <c r="C57" s="50">
        <v>20</v>
      </c>
      <c r="D57" s="50">
        <v>5</v>
      </c>
      <c r="E57" s="50">
        <v>4</v>
      </c>
      <c r="F57" s="50">
        <v>5</v>
      </c>
      <c r="G57" s="50">
        <v>0</v>
      </c>
      <c r="H57" s="50">
        <v>1</v>
      </c>
      <c r="I57" s="50">
        <v>4</v>
      </c>
      <c r="J57" s="50">
        <v>2</v>
      </c>
      <c r="K57" s="50">
        <v>1</v>
      </c>
      <c r="L57" s="50">
        <v>4</v>
      </c>
      <c r="M57" s="50">
        <v>165</v>
      </c>
      <c r="N57" s="50">
        <v>0</v>
      </c>
      <c r="O57" s="15">
        <f t="shared" si="0"/>
        <v>46</v>
      </c>
      <c r="P57" s="15">
        <f t="shared" si="1"/>
        <v>211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949</v>
      </c>
      <c r="D58" s="16">
        <f t="shared" si="21"/>
        <v>576</v>
      </c>
      <c r="E58" s="16">
        <f t="shared" si="21"/>
        <v>278</v>
      </c>
      <c r="F58" s="16">
        <f t="shared" si="21"/>
        <v>554</v>
      </c>
      <c r="G58" s="16">
        <f t="shared" si="21"/>
        <v>9</v>
      </c>
      <c r="H58" s="16">
        <f t="shared" si="21"/>
        <v>8</v>
      </c>
      <c r="I58" s="16">
        <f t="shared" si="21"/>
        <v>137</v>
      </c>
      <c r="J58" s="16">
        <f t="shared" si="21"/>
        <v>89</v>
      </c>
      <c r="K58" s="16">
        <f t="shared" si="21"/>
        <v>73</v>
      </c>
      <c r="L58" s="16">
        <f t="shared" si="21"/>
        <v>202</v>
      </c>
      <c r="M58" s="16">
        <f t="shared" si="21"/>
        <v>6856</v>
      </c>
      <c r="N58" s="16">
        <f t="shared" si="21"/>
        <v>2</v>
      </c>
      <c r="O58" s="16">
        <f t="shared" si="21"/>
        <v>2877</v>
      </c>
      <c r="P58" s="16">
        <f t="shared" si="21"/>
        <v>9733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9.7503339155450536E-2</v>
      </c>
      <c r="D59" s="43">
        <f t="shared" si="22"/>
        <v>5.9180108907839313E-2</v>
      </c>
      <c r="E59" s="43">
        <f t="shared" si="22"/>
        <v>2.8562622007603001E-2</v>
      </c>
      <c r="F59" s="43">
        <f t="shared" si="22"/>
        <v>5.6919757525942666E-2</v>
      </c>
      <c r="G59" s="43">
        <f t="shared" si="22"/>
        <v>9.2468920168498926E-4</v>
      </c>
      <c r="H59" s="43">
        <f t="shared" si="22"/>
        <v>8.2194595705332378E-4</v>
      </c>
      <c r="I59" s="43">
        <f t="shared" si="22"/>
        <v>1.407582451453817E-2</v>
      </c>
      <c r="J59" s="43">
        <f t="shared" si="22"/>
        <v>9.1441487722182264E-3</v>
      </c>
      <c r="K59" s="43">
        <f t="shared" si="22"/>
        <v>7.5002568581115795E-3</v>
      </c>
      <c r="L59" s="43">
        <f t="shared" si="22"/>
        <v>2.0754135415596425E-2</v>
      </c>
      <c r="M59" s="43">
        <f t="shared" si="22"/>
        <v>0.70440768519469843</v>
      </c>
      <c r="N59" s="43">
        <f t="shared" si="22"/>
        <v>2.0548648926333094E-4</v>
      </c>
      <c r="R59" s="8"/>
      <c r="T59"/>
    </row>
    <row r="60" spans="2:20" ht="23.1" customHeight="1" x14ac:dyDescent="0.25">
      <c r="B60" s="42" t="s">
        <v>94</v>
      </c>
      <c r="C60" s="44">
        <f>C58/$O$58</f>
        <v>0.32985749044143203</v>
      </c>
      <c r="D60" s="44">
        <f t="shared" ref="D60:N60" si="23">D58/$O$58</f>
        <v>0.20020855057351408</v>
      </c>
      <c r="E60" s="44">
        <f t="shared" si="23"/>
        <v>9.6628432394855759E-2</v>
      </c>
      <c r="F60" s="44">
        <f t="shared" si="23"/>
        <v>0.19256169621133123</v>
      </c>
      <c r="G60" s="44">
        <f t="shared" si="23"/>
        <v>3.1282586027111575E-3</v>
      </c>
      <c r="H60" s="44">
        <f t="shared" si="23"/>
        <v>2.7806743135210289E-3</v>
      </c>
      <c r="I60" s="44">
        <f t="shared" si="23"/>
        <v>4.7619047619047616E-2</v>
      </c>
      <c r="J60" s="44">
        <f t="shared" si="23"/>
        <v>3.0935001737921446E-2</v>
      </c>
      <c r="K60" s="44">
        <f t="shared" si="23"/>
        <v>2.5373653110879388E-2</v>
      </c>
      <c r="L60" s="44">
        <f t="shared" si="23"/>
        <v>7.0212026416405976E-2</v>
      </c>
      <c r="M60" s="44"/>
      <c r="N60" s="44">
        <f t="shared" si="23"/>
        <v>6.9516857838025723E-4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G13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SPEARMOTORS-NTINDA'!C3:G3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SPEARMOTORS-NTINDA'!D5</f>
        <v>02.08.19</v>
      </c>
      <c r="E5" s="3"/>
      <c r="F5" s="41" t="s">
        <v>1</v>
      </c>
      <c r="G5" s="61" t="str">
        <f>'02.08 SPEARMOTORS-NTINDA'!G5:H5</f>
        <v>NAGURU BARRACKS</v>
      </c>
      <c r="H5" s="62"/>
      <c r="I5" s="14"/>
      <c r="J5" s="2" t="s">
        <v>5</v>
      </c>
      <c r="K5" s="61" t="s">
        <v>182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">
        <v>166</v>
      </c>
      <c r="E6" s="62"/>
      <c r="F6" s="2" t="s">
        <v>2</v>
      </c>
      <c r="G6" s="61" t="s">
        <v>181</v>
      </c>
      <c r="H6" s="62"/>
      <c r="J6" s="2" t="s">
        <v>21</v>
      </c>
      <c r="K6" s="61" t="str">
        <f>'02.08 SPEARMOTORS-NTINDA'!K6:L6</f>
        <v>NUSULAH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10</v>
      </c>
      <c r="E10" s="50">
        <v>8</v>
      </c>
      <c r="F10" s="50">
        <v>4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3</v>
      </c>
      <c r="M10" s="50">
        <v>131</v>
      </c>
      <c r="N10" s="50">
        <v>0</v>
      </c>
      <c r="O10" s="15">
        <f t="shared" ref="O10:O57" si="0">SUM(C10:L10,N10)</f>
        <v>36</v>
      </c>
      <c r="P10" s="15">
        <f t="shared" ref="P10:P57" si="1">SUM(C10:N10)</f>
        <v>167</v>
      </c>
      <c r="R10" s="1" t="s">
        <v>6</v>
      </c>
      <c r="S10" s="17">
        <f t="shared" ref="S10:AF10" si="2">SUM(C10:C13)</f>
        <v>94</v>
      </c>
      <c r="T10" s="17">
        <f t="shared" si="2"/>
        <v>51</v>
      </c>
      <c r="U10" s="17">
        <f t="shared" si="2"/>
        <v>22</v>
      </c>
      <c r="V10" s="17">
        <f t="shared" si="2"/>
        <v>10</v>
      </c>
      <c r="W10" s="17">
        <f t="shared" si="2"/>
        <v>3</v>
      </c>
      <c r="X10" s="17">
        <f t="shared" si="2"/>
        <v>0</v>
      </c>
      <c r="Y10" s="17">
        <f t="shared" si="2"/>
        <v>2</v>
      </c>
      <c r="Z10" s="17">
        <f t="shared" si="2"/>
        <v>3</v>
      </c>
      <c r="AA10" s="17">
        <f t="shared" si="2"/>
        <v>2</v>
      </c>
      <c r="AB10" s="17">
        <f t="shared" si="2"/>
        <v>7</v>
      </c>
      <c r="AC10" s="17">
        <f t="shared" si="2"/>
        <v>547</v>
      </c>
      <c r="AD10" s="17">
        <f t="shared" si="2"/>
        <v>0</v>
      </c>
      <c r="AE10" s="31">
        <f t="shared" si="2"/>
        <v>194</v>
      </c>
      <c r="AF10" s="31">
        <f t="shared" si="2"/>
        <v>741</v>
      </c>
    </row>
    <row r="11" spans="2:32" s="6" customFormat="1" ht="23.1" customHeight="1" x14ac:dyDescent="0.25">
      <c r="B11" s="23" t="s">
        <v>38</v>
      </c>
      <c r="C11" s="50">
        <v>32</v>
      </c>
      <c r="D11" s="50">
        <v>18</v>
      </c>
      <c r="E11" s="50">
        <v>3</v>
      </c>
      <c r="F11" s="50">
        <v>1</v>
      </c>
      <c r="G11" s="50">
        <v>1</v>
      </c>
      <c r="H11" s="50">
        <v>0</v>
      </c>
      <c r="I11" s="50">
        <v>1</v>
      </c>
      <c r="J11" s="50">
        <v>2</v>
      </c>
      <c r="K11" s="50">
        <v>1</v>
      </c>
      <c r="L11" s="50">
        <v>1</v>
      </c>
      <c r="M11" s="50">
        <v>143</v>
      </c>
      <c r="N11" s="50">
        <v>0</v>
      </c>
      <c r="O11" s="15">
        <f t="shared" si="0"/>
        <v>60</v>
      </c>
      <c r="P11" s="15">
        <f t="shared" si="1"/>
        <v>203</v>
      </c>
      <c r="R11" s="1" t="s">
        <v>7</v>
      </c>
      <c r="S11" s="17">
        <f t="shared" ref="S11:AF11" si="3">SUM(C14:C17)</f>
        <v>91</v>
      </c>
      <c r="T11" s="17">
        <f t="shared" si="3"/>
        <v>47</v>
      </c>
      <c r="U11" s="17">
        <f t="shared" si="3"/>
        <v>16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8</v>
      </c>
      <c r="AA11" s="17">
        <f t="shared" si="3"/>
        <v>2</v>
      </c>
      <c r="AB11" s="17">
        <f t="shared" si="3"/>
        <v>5</v>
      </c>
      <c r="AC11" s="17">
        <f t="shared" si="3"/>
        <v>723</v>
      </c>
      <c r="AD11" s="17">
        <f t="shared" si="3"/>
        <v>0</v>
      </c>
      <c r="AE11" s="31">
        <f t="shared" si="3"/>
        <v>178</v>
      </c>
      <c r="AF11" s="31">
        <f t="shared" si="3"/>
        <v>901</v>
      </c>
    </row>
    <row r="12" spans="2:32" ht="23.1" customHeight="1" x14ac:dyDescent="0.25">
      <c r="B12" s="23" t="s">
        <v>39</v>
      </c>
      <c r="C12" s="50">
        <v>33</v>
      </c>
      <c r="D12" s="50">
        <v>14</v>
      </c>
      <c r="E12" s="50">
        <v>6</v>
      </c>
      <c r="F12" s="50">
        <v>3</v>
      </c>
      <c r="G12" s="50">
        <v>1</v>
      </c>
      <c r="H12" s="50">
        <v>0</v>
      </c>
      <c r="I12" s="50">
        <v>0</v>
      </c>
      <c r="J12" s="50">
        <v>1</v>
      </c>
      <c r="K12" s="50">
        <v>1</v>
      </c>
      <c r="L12" s="50">
        <v>3</v>
      </c>
      <c r="M12" s="50">
        <v>140</v>
      </c>
      <c r="N12" s="50">
        <v>0</v>
      </c>
      <c r="O12" s="15">
        <f t="shared" si="0"/>
        <v>62</v>
      </c>
      <c r="P12" s="15">
        <f t="shared" si="1"/>
        <v>202</v>
      </c>
      <c r="R12" s="1" t="s">
        <v>8</v>
      </c>
      <c r="S12" s="17">
        <f t="shared" ref="S12:AF12" si="4">SUM(C18:C21)</f>
        <v>91</v>
      </c>
      <c r="T12" s="17">
        <f t="shared" si="4"/>
        <v>44</v>
      </c>
      <c r="U12" s="17">
        <f t="shared" si="4"/>
        <v>18</v>
      </c>
      <c r="V12" s="17">
        <f t="shared" si="4"/>
        <v>10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8</v>
      </c>
      <c r="AA12" s="17">
        <f t="shared" si="4"/>
        <v>7</v>
      </c>
      <c r="AB12" s="17">
        <f t="shared" si="4"/>
        <v>9</v>
      </c>
      <c r="AC12" s="17">
        <f t="shared" si="4"/>
        <v>635</v>
      </c>
      <c r="AD12" s="17">
        <f t="shared" si="4"/>
        <v>0</v>
      </c>
      <c r="AE12" s="31">
        <f t="shared" si="4"/>
        <v>197</v>
      </c>
      <c r="AF12" s="31">
        <f t="shared" si="4"/>
        <v>832</v>
      </c>
    </row>
    <row r="13" spans="2:32" ht="23.1" customHeight="1" x14ac:dyDescent="0.25">
      <c r="B13" s="23" t="s">
        <v>40</v>
      </c>
      <c r="C13" s="50">
        <v>19</v>
      </c>
      <c r="D13" s="50">
        <v>9</v>
      </c>
      <c r="E13" s="50">
        <v>5</v>
      </c>
      <c r="F13" s="50">
        <v>2</v>
      </c>
      <c r="G13" s="50">
        <v>1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133</v>
      </c>
      <c r="N13" s="50">
        <v>0</v>
      </c>
      <c r="O13" s="15">
        <f t="shared" si="0"/>
        <v>36</v>
      </c>
      <c r="P13" s="15">
        <f t="shared" si="1"/>
        <v>169</v>
      </c>
      <c r="R13" s="1" t="s">
        <v>9</v>
      </c>
      <c r="S13" s="17">
        <f t="shared" ref="S13:AF13" si="5">SUM(C22:C25)</f>
        <v>53</v>
      </c>
      <c r="T13" s="17">
        <f t="shared" si="5"/>
        <v>43</v>
      </c>
      <c r="U13" s="17">
        <f t="shared" si="5"/>
        <v>14</v>
      </c>
      <c r="V13" s="17">
        <f t="shared" si="5"/>
        <v>12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5</v>
      </c>
      <c r="AA13" s="17">
        <f t="shared" si="5"/>
        <v>4</v>
      </c>
      <c r="AB13" s="17">
        <f t="shared" si="5"/>
        <v>26</v>
      </c>
      <c r="AC13" s="17">
        <f t="shared" si="5"/>
        <v>583</v>
      </c>
      <c r="AD13" s="17">
        <f t="shared" si="5"/>
        <v>0</v>
      </c>
      <c r="AE13" s="31">
        <f t="shared" si="5"/>
        <v>161</v>
      </c>
      <c r="AF13" s="31">
        <f t="shared" si="5"/>
        <v>744</v>
      </c>
    </row>
    <row r="14" spans="2:32" ht="23.1" customHeight="1" x14ac:dyDescent="0.25">
      <c r="B14" s="23" t="s">
        <v>41</v>
      </c>
      <c r="C14" s="50">
        <v>40</v>
      </c>
      <c r="D14" s="50">
        <v>11</v>
      </c>
      <c r="E14" s="50">
        <v>7</v>
      </c>
      <c r="F14" s="50">
        <v>1</v>
      </c>
      <c r="G14" s="50">
        <v>0</v>
      </c>
      <c r="H14" s="50">
        <v>0</v>
      </c>
      <c r="I14" s="50">
        <v>0</v>
      </c>
      <c r="J14" s="50">
        <v>4</v>
      </c>
      <c r="K14" s="50">
        <v>0</v>
      </c>
      <c r="L14" s="50">
        <v>1</v>
      </c>
      <c r="M14" s="50">
        <v>175</v>
      </c>
      <c r="N14" s="50">
        <v>0</v>
      </c>
      <c r="O14" s="15">
        <f t="shared" si="0"/>
        <v>64</v>
      </c>
      <c r="P14" s="15">
        <f t="shared" si="1"/>
        <v>239</v>
      </c>
      <c r="R14" s="1" t="s">
        <v>10</v>
      </c>
      <c r="S14" s="17">
        <f t="shared" ref="S14:AF14" si="6">SUM(C26:C29)</f>
        <v>58</v>
      </c>
      <c r="T14" s="17">
        <f t="shared" si="6"/>
        <v>34</v>
      </c>
      <c r="U14" s="17">
        <f t="shared" si="6"/>
        <v>21</v>
      </c>
      <c r="V14" s="17">
        <f t="shared" si="6"/>
        <v>11</v>
      </c>
      <c r="W14" s="17">
        <f t="shared" si="6"/>
        <v>0</v>
      </c>
      <c r="X14" s="17">
        <f t="shared" si="6"/>
        <v>3</v>
      </c>
      <c r="Y14" s="17">
        <f t="shared" si="6"/>
        <v>11</v>
      </c>
      <c r="Z14" s="17">
        <f t="shared" si="6"/>
        <v>7</v>
      </c>
      <c r="AA14" s="17">
        <f t="shared" si="6"/>
        <v>4</v>
      </c>
      <c r="AB14" s="17">
        <f t="shared" si="6"/>
        <v>24</v>
      </c>
      <c r="AC14" s="17">
        <f t="shared" si="6"/>
        <v>591</v>
      </c>
      <c r="AD14" s="17">
        <f t="shared" si="6"/>
        <v>0</v>
      </c>
      <c r="AE14" s="31">
        <f t="shared" si="6"/>
        <v>173</v>
      </c>
      <c r="AF14" s="31">
        <f t="shared" si="6"/>
        <v>764</v>
      </c>
    </row>
    <row r="15" spans="2:32" ht="23.1" customHeight="1" x14ac:dyDescent="0.25">
      <c r="B15" s="23" t="s">
        <v>42</v>
      </c>
      <c r="C15" s="50">
        <v>19</v>
      </c>
      <c r="D15" s="50">
        <v>12</v>
      </c>
      <c r="E15" s="50">
        <v>4</v>
      </c>
      <c r="F15" s="50">
        <v>3</v>
      </c>
      <c r="G15" s="50">
        <v>0</v>
      </c>
      <c r="H15" s="50">
        <v>0</v>
      </c>
      <c r="I15" s="50">
        <v>1</v>
      </c>
      <c r="J15" s="50">
        <v>3</v>
      </c>
      <c r="K15" s="50">
        <v>0</v>
      </c>
      <c r="L15" s="50">
        <v>1</v>
      </c>
      <c r="M15" s="50">
        <v>170</v>
      </c>
      <c r="N15" s="50">
        <v>0</v>
      </c>
      <c r="O15" s="15">
        <f t="shared" si="0"/>
        <v>43</v>
      </c>
      <c r="P15" s="15">
        <f t="shared" si="1"/>
        <v>213</v>
      </c>
      <c r="R15" s="1" t="s">
        <v>11</v>
      </c>
      <c r="S15" s="17">
        <f t="shared" ref="S15:AF15" si="7">SUM(C30:C33)</f>
        <v>65</v>
      </c>
      <c r="T15" s="17">
        <f t="shared" si="7"/>
        <v>30</v>
      </c>
      <c r="U15" s="17">
        <f t="shared" si="7"/>
        <v>16</v>
      </c>
      <c r="V15" s="17">
        <f t="shared" si="7"/>
        <v>11</v>
      </c>
      <c r="W15" s="17">
        <f t="shared" si="7"/>
        <v>0</v>
      </c>
      <c r="X15" s="17">
        <f t="shared" si="7"/>
        <v>0</v>
      </c>
      <c r="Y15" s="17">
        <f t="shared" si="7"/>
        <v>13</v>
      </c>
      <c r="Z15" s="17">
        <f t="shared" si="7"/>
        <v>11</v>
      </c>
      <c r="AA15" s="17">
        <f t="shared" si="7"/>
        <v>6</v>
      </c>
      <c r="AB15" s="17">
        <f t="shared" si="7"/>
        <v>10</v>
      </c>
      <c r="AC15" s="17">
        <f t="shared" si="7"/>
        <v>440</v>
      </c>
      <c r="AD15" s="17">
        <f t="shared" si="7"/>
        <v>0</v>
      </c>
      <c r="AE15" s="31">
        <f t="shared" si="7"/>
        <v>162</v>
      </c>
      <c r="AF15" s="31">
        <f t="shared" si="7"/>
        <v>602</v>
      </c>
    </row>
    <row r="16" spans="2:32" ht="23.1" customHeight="1" x14ac:dyDescent="0.25">
      <c r="B16" s="23" t="s">
        <v>43</v>
      </c>
      <c r="C16" s="50">
        <v>21</v>
      </c>
      <c r="D16" s="50">
        <v>16</v>
      </c>
      <c r="E16" s="50">
        <v>2</v>
      </c>
      <c r="F16" s="50">
        <v>1</v>
      </c>
      <c r="G16" s="50">
        <v>0</v>
      </c>
      <c r="H16" s="50">
        <v>0</v>
      </c>
      <c r="I16" s="50">
        <v>2</v>
      </c>
      <c r="J16" s="50">
        <v>1</v>
      </c>
      <c r="K16" s="50">
        <v>2</v>
      </c>
      <c r="L16" s="50">
        <v>1</v>
      </c>
      <c r="M16" s="50">
        <v>175</v>
      </c>
      <c r="N16" s="50">
        <v>0</v>
      </c>
      <c r="O16" s="15">
        <f t="shared" si="0"/>
        <v>46</v>
      </c>
      <c r="P16" s="15">
        <f t="shared" si="1"/>
        <v>221</v>
      </c>
      <c r="R16" s="1" t="s">
        <v>12</v>
      </c>
      <c r="S16" s="17">
        <f t="shared" ref="S16:AF16" si="8">SUM(C34:C37)</f>
        <v>64</v>
      </c>
      <c r="T16" s="17">
        <f t="shared" si="8"/>
        <v>32</v>
      </c>
      <c r="U16" s="17">
        <f t="shared" si="8"/>
        <v>13</v>
      </c>
      <c r="V16" s="17">
        <f t="shared" si="8"/>
        <v>16</v>
      </c>
      <c r="W16" s="17">
        <f t="shared" si="8"/>
        <v>0</v>
      </c>
      <c r="X16" s="17">
        <f t="shared" si="8"/>
        <v>0</v>
      </c>
      <c r="Y16" s="17">
        <f t="shared" si="8"/>
        <v>15</v>
      </c>
      <c r="Z16" s="17">
        <f t="shared" si="8"/>
        <v>6</v>
      </c>
      <c r="AA16" s="17">
        <f t="shared" si="8"/>
        <v>2</v>
      </c>
      <c r="AB16" s="17">
        <f t="shared" si="8"/>
        <v>23</v>
      </c>
      <c r="AC16" s="17">
        <f t="shared" si="8"/>
        <v>468</v>
      </c>
      <c r="AD16" s="17">
        <f t="shared" si="8"/>
        <v>0</v>
      </c>
      <c r="AE16" s="31">
        <f t="shared" si="8"/>
        <v>171</v>
      </c>
      <c r="AF16" s="31">
        <f t="shared" si="8"/>
        <v>639</v>
      </c>
    </row>
    <row r="17" spans="2:32" ht="23.1" customHeight="1" x14ac:dyDescent="0.25">
      <c r="B17" s="23" t="s">
        <v>44</v>
      </c>
      <c r="C17" s="50">
        <v>11</v>
      </c>
      <c r="D17" s="50">
        <v>8</v>
      </c>
      <c r="E17" s="50">
        <v>3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2</v>
      </c>
      <c r="M17" s="50">
        <v>203</v>
      </c>
      <c r="N17" s="50">
        <v>0</v>
      </c>
      <c r="O17" s="15">
        <f t="shared" si="0"/>
        <v>25</v>
      </c>
      <c r="P17" s="15">
        <f t="shared" si="1"/>
        <v>228</v>
      </c>
      <c r="R17" s="1" t="s">
        <v>13</v>
      </c>
      <c r="S17" s="17">
        <f t="shared" ref="S17:AF17" si="9">SUM(C38:C41)</f>
        <v>62</v>
      </c>
      <c r="T17" s="17">
        <f t="shared" si="9"/>
        <v>41</v>
      </c>
      <c r="U17" s="17">
        <f t="shared" si="9"/>
        <v>18</v>
      </c>
      <c r="V17" s="17">
        <f t="shared" si="9"/>
        <v>11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8</v>
      </c>
      <c r="AA17" s="17">
        <f t="shared" si="9"/>
        <v>3</v>
      </c>
      <c r="AB17" s="17">
        <f t="shared" si="9"/>
        <v>17</v>
      </c>
      <c r="AC17" s="17">
        <f t="shared" si="9"/>
        <v>478</v>
      </c>
      <c r="AD17" s="17">
        <f t="shared" si="9"/>
        <v>0</v>
      </c>
      <c r="AE17" s="31">
        <f t="shared" si="9"/>
        <v>168</v>
      </c>
      <c r="AF17" s="31">
        <f t="shared" si="9"/>
        <v>646</v>
      </c>
    </row>
    <row r="18" spans="2:32" ht="23.1" customHeight="1" x14ac:dyDescent="0.25">
      <c r="B18" s="23" t="s">
        <v>45</v>
      </c>
      <c r="C18" s="50">
        <v>21</v>
      </c>
      <c r="D18" s="50">
        <v>11</v>
      </c>
      <c r="E18" s="50">
        <v>3</v>
      </c>
      <c r="F18" s="50">
        <v>2</v>
      </c>
      <c r="G18" s="50">
        <v>0</v>
      </c>
      <c r="H18" s="50">
        <v>0</v>
      </c>
      <c r="I18" s="50">
        <v>6</v>
      </c>
      <c r="J18" s="50">
        <v>4</v>
      </c>
      <c r="K18" s="50">
        <v>1</v>
      </c>
      <c r="L18" s="50">
        <v>1</v>
      </c>
      <c r="M18" s="50">
        <v>185</v>
      </c>
      <c r="N18" s="50">
        <v>0</v>
      </c>
      <c r="O18" s="15">
        <f t="shared" si="0"/>
        <v>49</v>
      </c>
      <c r="P18" s="15">
        <f t="shared" si="1"/>
        <v>234</v>
      </c>
      <c r="R18" s="1" t="s">
        <v>14</v>
      </c>
      <c r="S18" s="17">
        <f t="shared" ref="S18:AF18" si="10">SUM(C42:C45)</f>
        <v>63</v>
      </c>
      <c r="T18" s="17">
        <f t="shared" si="10"/>
        <v>30</v>
      </c>
      <c r="U18" s="17">
        <f t="shared" si="10"/>
        <v>18</v>
      </c>
      <c r="V18" s="17">
        <f t="shared" si="10"/>
        <v>15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8</v>
      </c>
      <c r="AA18" s="17">
        <f t="shared" si="10"/>
        <v>3</v>
      </c>
      <c r="AB18" s="17">
        <f t="shared" si="10"/>
        <v>18</v>
      </c>
      <c r="AC18" s="17">
        <f t="shared" si="10"/>
        <v>540</v>
      </c>
      <c r="AD18" s="17">
        <f t="shared" si="10"/>
        <v>0</v>
      </c>
      <c r="AE18" s="31">
        <f t="shared" si="10"/>
        <v>161</v>
      </c>
      <c r="AF18" s="31">
        <f t="shared" si="10"/>
        <v>701</v>
      </c>
    </row>
    <row r="19" spans="2:32" ht="23.1" customHeight="1" x14ac:dyDescent="0.25">
      <c r="B19" s="23" t="s">
        <v>46</v>
      </c>
      <c r="C19" s="50">
        <v>23</v>
      </c>
      <c r="D19" s="50">
        <v>9</v>
      </c>
      <c r="E19" s="50">
        <v>4</v>
      </c>
      <c r="F19" s="50">
        <v>2</v>
      </c>
      <c r="G19" s="50">
        <v>0</v>
      </c>
      <c r="H19" s="50">
        <v>0</v>
      </c>
      <c r="I19" s="50">
        <v>2</v>
      </c>
      <c r="J19" s="50">
        <v>2</v>
      </c>
      <c r="K19" s="50">
        <v>0</v>
      </c>
      <c r="L19" s="50">
        <v>5</v>
      </c>
      <c r="M19" s="50">
        <v>145</v>
      </c>
      <c r="N19" s="50">
        <v>0</v>
      </c>
      <c r="O19" s="15">
        <f t="shared" si="0"/>
        <v>47</v>
      </c>
      <c r="P19" s="15">
        <f t="shared" si="1"/>
        <v>192</v>
      </c>
      <c r="R19" s="1" t="s">
        <v>15</v>
      </c>
      <c r="S19" s="17">
        <f t="shared" ref="S19:AF19" si="11">SUM(C46:C49)</f>
        <v>52</v>
      </c>
      <c r="T19" s="17">
        <f t="shared" si="11"/>
        <v>29</v>
      </c>
      <c r="U19" s="17">
        <f t="shared" si="11"/>
        <v>18</v>
      </c>
      <c r="V19" s="17">
        <f t="shared" si="11"/>
        <v>13</v>
      </c>
      <c r="W19" s="17">
        <f t="shared" si="11"/>
        <v>0</v>
      </c>
      <c r="X19" s="17">
        <f t="shared" si="11"/>
        <v>0</v>
      </c>
      <c r="Y19" s="17">
        <f t="shared" si="11"/>
        <v>11</v>
      </c>
      <c r="Z19" s="17">
        <f t="shared" si="11"/>
        <v>5</v>
      </c>
      <c r="AA19" s="17">
        <f t="shared" si="11"/>
        <v>4</v>
      </c>
      <c r="AB19" s="17">
        <f t="shared" si="11"/>
        <v>42</v>
      </c>
      <c r="AC19" s="17">
        <f t="shared" si="11"/>
        <v>840</v>
      </c>
      <c r="AD19" s="17">
        <f t="shared" si="11"/>
        <v>0</v>
      </c>
      <c r="AE19" s="31">
        <f t="shared" si="11"/>
        <v>174</v>
      </c>
      <c r="AF19" s="31">
        <f t="shared" si="11"/>
        <v>1014</v>
      </c>
    </row>
    <row r="20" spans="2:32" ht="23.1" customHeight="1" x14ac:dyDescent="0.25">
      <c r="B20" s="23" t="s">
        <v>47</v>
      </c>
      <c r="C20" s="50">
        <v>30</v>
      </c>
      <c r="D20" s="50">
        <v>14</v>
      </c>
      <c r="E20" s="50">
        <v>3</v>
      </c>
      <c r="F20" s="50">
        <v>1</v>
      </c>
      <c r="G20" s="50">
        <v>0</v>
      </c>
      <c r="H20" s="50">
        <v>0</v>
      </c>
      <c r="I20" s="50">
        <v>1</v>
      </c>
      <c r="J20" s="50">
        <v>1</v>
      </c>
      <c r="K20" s="50">
        <v>5</v>
      </c>
      <c r="L20" s="50">
        <v>3</v>
      </c>
      <c r="M20" s="50">
        <v>170</v>
      </c>
      <c r="N20" s="50">
        <v>0</v>
      </c>
      <c r="O20" s="15">
        <f t="shared" si="0"/>
        <v>58</v>
      </c>
      <c r="P20" s="15">
        <f t="shared" si="1"/>
        <v>228</v>
      </c>
      <c r="R20" s="1" t="s">
        <v>16</v>
      </c>
      <c r="S20" s="17">
        <f t="shared" ref="S20:AF20" si="12">SUM(C50:C53)</f>
        <v>53</v>
      </c>
      <c r="T20" s="17">
        <f t="shared" si="12"/>
        <v>35</v>
      </c>
      <c r="U20" s="17">
        <f t="shared" si="12"/>
        <v>12</v>
      </c>
      <c r="V20" s="17">
        <f t="shared" si="12"/>
        <v>17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5</v>
      </c>
      <c r="AA20" s="17">
        <f t="shared" si="12"/>
        <v>7</v>
      </c>
      <c r="AB20" s="17">
        <f t="shared" si="12"/>
        <v>17</v>
      </c>
      <c r="AC20" s="17">
        <f t="shared" si="12"/>
        <v>882</v>
      </c>
      <c r="AD20" s="17">
        <f t="shared" si="12"/>
        <v>0</v>
      </c>
      <c r="AE20" s="31">
        <f t="shared" si="12"/>
        <v>152</v>
      </c>
      <c r="AF20" s="31">
        <f t="shared" si="12"/>
        <v>1034</v>
      </c>
    </row>
    <row r="21" spans="2:32" ht="23.1" customHeight="1" x14ac:dyDescent="0.25">
      <c r="B21" s="23" t="s">
        <v>48</v>
      </c>
      <c r="C21" s="50">
        <v>17</v>
      </c>
      <c r="D21" s="50">
        <v>10</v>
      </c>
      <c r="E21" s="50">
        <v>8</v>
      </c>
      <c r="F21" s="50">
        <v>5</v>
      </c>
      <c r="G21" s="50">
        <v>0</v>
      </c>
      <c r="H21" s="50">
        <v>0</v>
      </c>
      <c r="I21" s="50">
        <v>1</v>
      </c>
      <c r="J21" s="50">
        <v>1</v>
      </c>
      <c r="K21" s="50">
        <v>1</v>
      </c>
      <c r="L21" s="50">
        <v>0</v>
      </c>
      <c r="M21" s="50">
        <v>135</v>
      </c>
      <c r="N21" s="50">
        <v>0</v>
      </c>
      <c r="O21" s="15">
        <f t="shared" si="0"/>
        <v>43</v>
      </c>
      <c r="P21" s="15">
        <f t="shared" si="1"/>
        <v>178</v>
      </c>
      <c r="R21" s="36" t="s">
        <v>20</v>
      </c>
      <c r="S21" s="34">
        <f t="shared" ref="S21:AF21" si="13">SUM(C54:C57)</f>
        <v>66</v>
      </c>
      <c r="T21" s="17">
        <f t="shared" si="13"/>
        <v>49</v>
      </c>
      <c r="U21" s="17">
        <f t="shared" si="13"/>
        <v>12</v>
      </c>
      <c r="V21" s="17">
        <f t="shared" si="13"/>
        <v>19</v>
      </c>
      <c r="W21" s="17">
        <f t="shared" si="13"/>
        <v>2</v>
      </c>
      <c r="X21" s="17">
        <f t="shared" si="13"/>
        <v>1</v>
      </c>
      <c r="Y21" s="17">
        <f t="shared" si="13"/>
        <v>4</v>
      </c>
      <c r="Z21" s="17">
        <f t="shared" si="13"/>
        <v>5</v>
      </c>
      <c r="AA21" s="17">
        <f t="shared" si="13"/>
        <v>1</v>
      </c>
      <c r="AB21" s="17">
        <f t="shared" si="13"/>
        <v>7</v>
      </c>
      <c r="AC21" s="17">
        <f t="shared" si="13"/>
        <v>758</v>
      </c>
      <c r="AD21" s="17">
        <f t="shared" si="13"/>
        <v>0</v>
      </c>
      <c r="AE21" s="31">
        <f t="shared" si="13"/>
        <v>166</v>
      </c>
      <c r="AF21" s="31">
        <f t="shared" si="13"/>
        <v>924</v>
      </c>
    </row>
    <row r="22" spans="2:32" ht="23.1" customHeight="1" x14ac:dyDescent="0.25">
      <c r="B22" s="23" t="s">
        <v>49</v>
      </c>
      <c r="C22" s="50">
        <v>11</v>
      </c>
      <c r="D22" s="50">
        <v>7</v>
      </c>
      <c r="E22" s="50">
        <v>4</v>
      </c>
      <c r="F22" s="50">
        <v>3</v>
      </c>
      <c r="G22" s="50">
        <v>0</v>
      </c>
      <c r="H22" s="50">
        <v>0</v>
      </c>
      <c r="I22" s="50">
        <v>0</v>
      </c>
      <c r="J22" s="50">
        <v>1</v>
      </c>
      <c r="K22" s="50">
        <v>1</v>
      </c>
      <c r="L22" s="50">
        <v>6</v>
      </c>
      <c r="M22" s="50">
        <v>155</v>
      </c>
      <c r="N22" s="50">
        <v>0</v>
      </c>
      <c r="O22" s="15">
        <f t="shared" si="0"/>
        <v>33</v>
      </c>
      <c r="P22" s="15">
        <f t="shared" si="1"/>
        <v>188</v>
      </c>
      <c r="R22" s="38" t="s">
        <v>90</v>
      </c>
      <c r="S22" s="39">
        <f>MAX(S10:S12)</f>
        <v>94</v>
      </c>
      <c r="T22" s="39">
        <f t="shared" ref="T22:AF22" si="14">MAX(T10:T12)</f>
        <v>51</v>
      </c>
      <c r="U22" s="39">
        <f t="shared" si="14"/>
        <v>22</v>
      </c>
      <c r="V22" s="39">
        <f t="shared" si="14"/>
        <v>10</v>
      </c>
      <c r="W22" s="39">
        <f t="shared" si="14"/>
        <v>3</v>
      </c>
      <c r="X22" s="39">
        <f t="shared" si="14"/>
        <v>0</v>
      </c>
      <c r="Y22" s="39">
        <f t="shared" si="14"/>
        <v>10</v>
      </c>
      <c r="Z22" s="39">
        <f t="shared" si="14"/>
        <v>8</v>
      </c>
      <c r="AA22" s="39">
        <f t="shared" si="14"/>
        <v>7</v>
      </c>
      <c r="AB22" s="39">
        <f t="shared" si="14"/>
        <v>9</v>
      </c>
      <c r="AC22" s="39">
        <f t="shared" si="14"/>
        <v>723</v>
      </c>
      <c r="AD22" s="39">
        <f t="shared" si="14"/>
        <v>0</v>
      </c>
      <c r="AE22" s="40">
        <f t="shared" si="14"/>
        <v>197</v>
      </c>
      <c r="AF22" s="40">
        <f t="shared" si="14"/>
        <v>901</v>
      </c>
    </row>
    <row r="23" spans="2:32" ht="23.1" customHeight="1" x14ac:dyDescent="0.25">
      <c r="B23" s="23" t="s">
        <v>50</v>
      </c>
      <c r="C23" s="50">
        <v>13</v>
      </c>
      <c r="D23" s="50">
        <v>13</v>
      </c>
      <c r="E23" s="50">
        <v>3</v>
      </c>
      <c r="F23" s="50">
        <v>2</v>
      </c>
      <c r="G23" s="50">
        <v>0</v>
      </c>
      <c r="H23" s="50">
        <v>0</v>
      </c>
      <c r="I23" s="50">
        <v>2</v>
      </c>
      <c r="J23" s="50">
        <v>0</v>
      </c>
      <c r="K23" s="50">
        <v>1</v>
      </c>
      <c r="L23" s="50">
        <v>8</v>
      </c>
      <c r="M23" s="50">
        <v>140</v>
      </c>
      <c r="N23" s="50">
        <v>0</v>
      </c>
      <c r="O23" s="15">
        <f t="shared" si="0"/>
        <v>42</v>
      </c>
      <c r="P23" s="15">
        <f t="shared" si="1"/>
        <v>182</v>
      </c>
      <c r="R23" s="38" t="s">
        <v>91</v>
      </c>
      <c r="S23" s="39">
        <f>MAX(S13:S18)</f>
        <v>65</v>
      </c>
      <c r="T23" s="39">
        <f t="shared" ref="T23:AF23" si="15">MAX(T13:T18)</f>
        <v>43</v>
      </c>
      <c r="U23" s="39">
        <f t="shared" si="15"/>
        <v>21</v>
      </c>
      <c r="V23" s="39">
        <f t="shared" si="15"/>
        <v>16</v>
      </c>
      <c r="W23" s="39">
        <f t="shared" si="15"/>
        <v>0</v>
      </c>
      <c r="X23" s="39">
        <f t="shared" si="15"/>
        <v>3</v>
      </c>
      <c r="Y23" s="39">
        <f t="shared" si="15"/>
        <v>15</v>
      </c>
      <c r="Z23" s="39">
        <f t="shared" si="15"/>
        <v>11</v>
      </c>
      <c r="AA23" s="39">
        <f t="shared" si="15"/>
        <v>6</v>
      </c>
      <c r="AB23" s="39">
        <f t="shared" si="15"/>
        <v>26</v>
      </c>
      <c r="AC23" s="39">
        <f t="shared" si="15"/>
        <v>591</v>
      </c>
      <c r="AD23" s="39">
        <f t="shared" si="15"/>
        <v>0</v>
      </c>
      <c r="AE23" s="40">
        <f t="shared" si="15"/>
        <v>173</v>
      </c>
      <c r="AF23" s="40">
        <f t="shared" si="15"/>
        <v>764</v>
      </c>
    </row>
    <row r="24" spans="2:32" ht="23.1" customHeight="1" x14ac:dyDescent="0.25">
      <c r="B24" s="23" t="s">
        <v>51</v>
      </c>
      <c r="C24" s="50">
        <v>15</v>
      </c>
      <c r="D24" s="50">
        <v>14</v>
      </c>
      <c r="E24" s="50">
        <v>6</v>
      </c>
      <c r="F24" s="50">
        <v>6</v>
      </c>
      <c r="G24" s="50">
        <v>0</v>
      </c>
      <c r="H24" s="50">
        <v>0</v>
      </c>
      <c r="I24" s="50">
        <v>1</v>
      </c>
      <c r="J24" s="50">
        <v>0</v>
      </c>
      <c r="K24" s="50">
        <v>2</v>
      </c>
      <c r="L24" s="50">
        <v>6</v>
      </c>
      <c r="M24" s="50">
        <v>150</v>
      </c>
      <c r="N24" s="50">
        <v>0</v>
      </c>
      <c r="O24" s="15">
        <f t="shared" si="0"/>
        <v>50</v>
      </c>
      <c r="P24" s="15">
        <f t="shared" si="1"/>
        <v>200</v>
      </c>
      <c r="R24" s="38" t="s">
        <v>92</v>
      </c>
      <c r="S24" s="39">
        <f>MAX(S19:S21)</f>
        <v>66</v>
      </c>
      <c r="T24" s="39">
        <f t="shared" ref="T24:AF24" si="16">MAX(T19:T21)</f>
        <v>49</v>
      </c>
      <c r="U24" s="39">
        <f t="shared" si="16"/>
        <v>18</v>
      </c>
      <c r="V24" s="39">
        <f t="shared" si="16"/>
        <v>19</v>
      </c>
      <c r="W24" s="39">
        <f t="shared" si="16"/>
        <v>2</v>
      </c>
      <c r="X24" s="39">
        <f t="shared" si="16"/>
        <v>1</v>
      </c>
      <c r="Y24" s="39">
        <f t="shared" si="16"/>
        <v>11</v>
      </c>
      <c r="Z24" s="39">
        <f t="shared" si="16"/>
        <v>5</v>
      </c>
      <c r="AA24" s="39">
        <f t="shared" si="16"/>
        <v>7</v>
      </c>
      <c r="AB24" s="39">
        <f t="shared" si="16"/>
        <v>42</v>
      </c>
      <c r="AC24" s="39">
        <f t="shared" si="16"/>
        <v>882</v>
      </c>
      <c r="AD24" s="39">
        <f t="shared" si="16"/>
        <v>0</v>
      </c>
      <c r="AE24" s="40">
        <f t="shared" si="16"/>
        <v>174</v>
      </c>
      <c r="AF24" s="40">
        <f t="shared" si="16"/>
        <v>1034</v>
      </c>
    </row>
    <row r="25" spans="2:32" ht="23.1" customHeight="1" x14ac:dyDescent="0.25">
      <c r="B25" s="23" t="s">
        <v>52</v>
      </c>
      <c r="C25" s="50">
        <v>14</v>
      </c>
      <c r="D25" s="50">
        <v>9</v>
      </c>
      <c r="E25" s="50">
        <v>1</v>
      </c>
      <c r="F25" s="50">
        <v>1</v>
      </c>
      <c r="G25" s="50">
        <v>0</v>
      </c>
      <c r="H25" s="50">
        <v>0</v>
      </c>
      <c r="I25" s="50">
        <v>1</v>
      </c>
      <c r="J25" s="50">
        <v>4</v>
      </c>
      <c r="K25" s="50">
        <v>0</v>
      </c>
      <c r="L25" s="50">
        <v>6</v>
      </c>
      <c r="M25" s="50">
        <v>138</v>
      </c>
      <c r="N25" s="50">
        <v>0</v>
      </c>
      <c r="O25" s="15">
        <f t="shared" si="0"/>
        <v>36</v>
      </c>
      <c r="P25" s="15">
        <f t="shared" si="1"/>
        <v>174</v>
      </c>
      <c r="R25" s="37" t="s">
        <v>85</v>
      </c>
      <c r="S25" s="35">
        <f t="shared" ref="S25:AF25" si="17">SUM(S10:S12)</f>
        <v>276</v>
      </c>
      <c r="T25" s="16">
        <f t="shared" si="17"/>
        <v>142</v>
      </c>
      <c r="U25" s="16">
        <f t="shared" si="17"/>
        <v>56</v>
      </c>
      <c r="V25" s="16">
        <f t="shared" si="17"/>
        <v>26</v>
      </c>
      <c r="W25" s="16">
        <f t="shared" si="17"/>
        <v>3</v>
      </c>
      <c r="X25" s="16">
        <f t="shared" si="17"/>
        <v>0</v>
      </c>
      <c r="Y25" s="16">
        <f t="shared" si="17"/>
        <v>15</v>
      </c>
      <c r="Z25" s="16">
        <f t="shared" si="17"/>
        <v>19</v>
      </c>
      <c r="AA25" s="16">
        <f t="shared" si="17"/>
        <v>11</v>
      </c>
      <c r="AB25" s="16">
        <f t="shared" si="17"/>
        <v>21</v>
      </c>
      <c r="AC25" s="16">
        <f t="shared" si="17"/>
        <v>1905</v>
      </c>
      <c r="AD25" s="16">
        <f t="shared" si="17"/>
        <v>0</v>
      </c>
      <c r="AE25" s="32">
        <f t="shared" si="17"/>
        <v>569</v>
      </c>
      <c r="AF25" s="32">
        <f t="shared" si="17"/>
        <v>2474</v>
      </c>
    </row>
    <row r="26" spans="2:32" ht="23.1" customHeight="1" x14ac:dyDescent="0.25">
      <c r="B26" s="23" t="s">
        <v>53</v>
      </c>
      <c r="C26" s="50">
        <v>11</v>
      </c>
      <c r="D26" s="50">
        <v>6</v>
      </c>
      <c r="E26" s="50">
        <v>8</v>
      </c>
      <c r="F26" s="50">
        <v>4</v>
      </c>
      <c r="G26" s="50">
        <v>0</v>
      </c>
      <c r="H26" s="50">
        <v>0</v>
      </c>
      <c r="I26" s="50">
        <v>3</v>
      </c>
      <c r="J26" s="50">
        <v>3</v>
      </c>
      <c r="K26" s="50">
        <v>0</v>
      </c>
      <c r="L26" s="50">
        <v>1</v>
      </c>
      <c r="M26" s="50">
        <v>155</v>
      </c>
      <c r="N26" s="50">
        <v>0</v>
      </c>
      <c r="O26" s="15">
        <f t="shared" si="0"/>
        <v>36</v>
      </c>
      <c r="P26" s="15">
        <f t="shared" si="1"/>
        <v>191</v>
      </c>
      <c r="R26" s="28" t="s">
        <v>86</v>
      </c>
      <c r="S26" s="16">
        <f t="shared" ref="S26:AF26" si="18">SUM(S13:S18)</f>
        <v>365</v>
      </c>
      <c r="T26" s="16">
        <f t="shared" si="18"/>
        <v>210</v>
      </c>
      <c r="U26" s="16">
        <f t="shared" si="18"/>
        <v>100</v>
      </c>
      <c r="V26" s="16">
        <f t="shared" si="18"/>
        <v>76</v>
      </c>
      <c r="W26" s="16">
        <f t="shared" si="18"/>
        <v>0</v>
      </c>
      <c r="X26" s="16">
        <f t="shared" si="18"/>
        <v>3</v>
      </c>
      <c r="Y26" s="16">
        <f t="shared" si="18"/>
        <v>57</v>
      </c>
      <c r="Z26" s="16">
        <f t="shared" si="18"/>
        <v>45</v>
      </c>
      <c r="AA26" s="16">
        <f t="shared" si="18"/>
        <v>22</v>
      </c>
      <c r="AB26" s="16">
        <f t="shared" si="18"/>
        <v>118</v>
      </c>
      <c r="AC26" s="16">
        <f t="shared" si="18"/>
        <v>3100</v>
      </c>
      <c r="AD26" s="16">
        <f t="shared" si="18"/>
        <v>0</v>
      </c>
      <c r="AE26" s="32">
        <f t="shared" si="18"/>
        <v>996</v>
      </c>
      <c r="AF26" s="32">
        <f t="shared" si="18"/>
        <v>4096</v>
      </c>
    </row>
    <row r="27" spans="2:32" ht="23.1" customHeight="1" x14ac:dyDescent="0.25">
      <c r="B27" s="23" t="s">
        <v>54</v>
      </c>
      <c r="C27" s="50">
        <v>16</v>
      </c>
      <c r="D27" s="50">
        <v>8</v>
      </c>
      <c r="E27" s="50">
        <v>4</v>
      </c>
      <c r="F27" s="50">
        <v>0</v>
      </c>
      <c r="G27" s="50">
        <v>0</v>
      </c>
      <c r="H27" s="50">
        <v>3</v>
      </c>
      <c r="I27" s="50">
        <v>1</v>
      </c>
      <c r="J27" s="50">
        <v>0</v>
      </c>
      <c r="K27" s="50">
        <v>0</v>
      </c>
      <c r="L27" s="50">
        <v>8</v>
      </c>
      <c r="M27" s="50">
        <v>131</v>
      </c>
      <c r="N27" s="50">
        <v>0</v>
      </c>
      <c r="O27" s="15">
        <f t="shared" si="0"/>
        <v>40</v>
      </c>
      <c r="P27" s="15">
        <f t="shared" si="1"/>
        <v>171</v>
      </c>
      <c r="R27" s="29" t="s">
        <v>87</v>
      </c>
      <c r="S27" s="16">
        <f t="shared" ref="S27:AF27" si="19">SUM(S19:S21)</f>
        <v>171</v>
      </c>
      <c r="T27" s="16">
        <f t="shared" si="19"/>
        <v>113</v>
      </c>
      <c r="U27" s="16">
        <f t="shared" si="19"/>
        <v>42</v>
      </c>
      <c r="V27" s="16">
        <f t="shared" si="19"/>
        <v>49</v>
      </c>
      <c r="W27" s="16">
        <f t="shared" si="19"/>
        <v>2</v>
      </c>
      <c r="X27" s="16">
        <f t="shared" si="19"/>
        <v>1</v>
      </c>
      <c r="Y27" s="16">
        <f t="shared" si="19"/>
        <v>21</v>
      </c>
      <c r="Z27" s="16">
        <f t="shared" si="19"/>
        <v>15</v>
      </c>
      <c r="AA27" s="16">
        <f t="shared" si="19"/>
        <v>12</v>
      </c>
      <c r="AB27" s="16">
        <f t="shared" si="19"/>
        <v>66</v>
      </c>
      <c r="AC27" s="16">
        <f t="shared" si="19"/>
        <v>2480</v>
      </c>
      <c r="AD27" s="16">
        <f t="shared" si="19"/>
        <v>0</v>
      </c>
      <c r="AE27" s="32">
        <f t="shared" si="19"/>
        <v>492</v>
      </c>
      <c r="AF27" s="32">
        <f t="shared" si="19"/>
        <v>2972</v>
      </c>
    </row>
    <row r="28" spans="2:32" ht="23.1" customHeight="1" x14ac:dyDescent="0.25">
      <c r="B28" s="23" t="s">
        <v>55</v>
      </c>
      <c r="C28" s="50">
        <v>16</v>
      </c>
      <c r="D28" s="50">
        <v>10</v>
      </c>
      <c r="E28" s="50">
        <v>4</v>
      </c>
      <c r="F28" s="50">
        <v>1</v>
      </c>
      <c r="G28" s="50">
        <v>0</v>
      </c>
      <c r="H28" s="50">
        <v>0</v>
      </c>
      <c r="I28" s="50">
        <v>1</v>
      </c>
      <c r="J28" s="50">
        <v>1</v>
      </c>
      <c r="K28" s="50">
        <v>2</v>
      </c>
      <c r="L28" s="50">
        <v>10</v>
      </c>
      <c r="M28" s="50">
        <v>152</v>
      </c>
      <c r="N28" s="50">
        <v>0</v>
      </c>
      <c r="O28" s="15">
        <f t="shared" si="0"/>
        <v>45</v>
      </c>
      <c r="P28" s="15">
        <f t="shared" si="1"/>
        <v>197</v>
      </c>
      <c r="R28" s="5" t="s">
        <v>17</v>
      </c>
      <c r="S28" s="16">
        <f t="shared" ref="S28:AF28" si="20">SUM(S10:S21)</f>
        <v>812</v>
      </c>
      <c r="T28" s="16">
        <f t="shared" si="20"/>
        <v>465</v>
      </c>
      <c r="U28" s="16">
        <f t="shared" si="20"/>
        <v>198</v>
      </c>
      <c r="V28" s="16">
        <f t="shared" si="20"/>
        <v>151</v>
      </c>
      <c r="W28" s="16">
        <f t="shared" si="20"/>
        <v>5</v>
      </c>
      <c r="X28" s="16">
        <f t="shared" si="20"/>
        <v>4</v>
      </c>
      <c r="Y28" s="16">
        <f t="shared" si="20"/>
        <v>93</v>
      </c>
      <c r="Z28" s="16">
        <f t="shared" si="20"/>
        <v>79</v>
      </c>
      <c r="AA28" s="16">
        <f t="shared" si="20"/>
        <v>45</v>
      </c>
      <c r="AB28" s="16">
        <f t="shared" si="20"/>
        <v>205</v>
      </c>
      <c r="AC28" s="16">
        <f t="shared" si="20"/>
        <v>7485</v>
      </c>
      <c r="AD28" s="16">
        <f t="shared" si="20"/>
        <v>0</v>
      </c>
      <c r="AE28" s="32">
        <f t="shared" si="20"/>
        <v>2057</v>
      </c>
      <c r="AF28" s="32">
        <f t="shared" si="20"/>
        <v>9542</v>
      </c>
    </row>
    <row r="29" spans="2:32" ht="23.1" customHeight="1" x14ac:dyDescent="0.25">
      <c r="B29" s="23" t="s">
        <v>56</v>
      </c>
      <c r="C29" s="50">
        <v>15</v>
      </c>
      <c r="D29" s="50">
        <v>10</v>
      </c>
      <c r="E29" s="50">
        <v>5</v>
      </c>
      <c r="F29" s="50">
        <v>6</v>
      </c>
      <c r="G29" s="50">
        <v>0</v>
      </c>
      <c r="H29" s="50">
        <v>0</v>
      </c>
      <c r="I29" s="50">
        <v>6</v>
      </c>
      <c r="J29" s="50">
        <v>3</v>
      </c>
      <c r="K29" s="50">
        <v>2</v>
      </c>
      <c r="L29" s="50">
        <v>5</v>
      </c>
      <c r="M29" s="50">
        <v>153</v>
      </c>
      <c r="N29" s="50">
        <v>0</v>
      </c>
      <c r="O29" s="15">
        <f t="shared" si="0"/>
        <v>52</v>
      </c>
      <c r="P29" s="15">
        <f t="shared" si="1"/>
        <v>205</v>
      </c>
      <c r="R29"/>
      <c r="S29" s="20"/>
      <c r="T29" s="19"/>
    </row>
    <row r="30" spans="2:32" ht="23.1" customHeight="1" x14ac:dyDescent="0.25">
      <c r="B30" s="23" t="s">
        <v>57</v>
      </c>
      <c r="C30" s="50">
        <v>23</v>
      </c>
      <c r="D30" s="50">
        <v>9</v>
      </c>
      <c r="E30" s="50">
        <v>5</v>
      </c>
      <c r="F30" s="50">
        <v>4</v>
      </c>
      <c r="G30" s="50">
        <v>0</v>
      </c>
      <c r="H30" s="50">
        <v>0</v>
      </c>
      <c r="I30" s="50">
        <v>5</v>
      </c>
      <c r="J30" s="50">
        <v>2</v>
      </c>
      <c r="K30" s="50">
        <v>2</v>
      </c>
      <c r="L30" s="50">
        <v>1</v>
      </c>
      <c r="M30" s="50">
        <v>100</v>
      </c>
      <c r="N30" s="50">
        <v>0</v>
      </c>
      <c r="O30" s="15">
        <f t="shared" si="0"/>
        <v>51</v>
      </c>
      <c r="P30" s="15">
        <f t="shared" si="1"/>
        <v>151</v>
      </c>
    </row>
    <row r="31" spans="2:32" ht="23.1" customHeight="1" x14ac:dyDescent="0.25">
      <c r="B31" s="24" t="s">
        <v>58</v>
      </c>
      <c r="C31" s="50">
        <v>5</v>
      </c>
      <c r="D31" s="50">
        <v>3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3</v>
      </c>
      <c r="M31" s="50">
        <v>120</v>
      </c>
      <c r="N31" s="50">
        <v>0</v>
      </c>
      <c r="O31" s="15">
        <f t="shared" si="0"/>
        <v>14</v>
      </c>
      <c r="P31" s="15">
        <f t="shared" si="1"/>
        <v>134</v>
      </c>
    </row>
    <row r="32" spans="2:32" ht="23.1" customHeight="1" x14ac:dyDescent="0.25">
      <c r="B32" s="24" t="s">
        <v>59</v>
      </c>
      <c r="C32" s="50">
        <v>10</v>
      </c>
      <c r="D32" s="50">
        <v>10</v>
      </c>
      <c r="E32" s="50">
        <v>2</v>
      </c>
      <c r="F32" s="50">
        <v>3</v>
      </c>
      <c r="G32" s="50">
        <v>0</v>
      </c>
      <c r="H32" s="50">
        <v>0</v>
      </c>
      <c r="I32" s="50">
        <v>1</v>
      </c>
      <c r="J32" s="50">
        <v>6</v>
      </c>
      <c r="K32" s="50">
        <v>3</v>
      </c>
      <c r="L32" s="50">
        <v>5</v>
      </c>
      <c r="M32" s="50">
        <v>99</v>
      </c>
      <c r="N32" s="50">
        <v>0</v>
      </c>
      <c r="O32" s="15">
        <f t="shared" si="0"/>
        <v>40</v>
      </c>
      <c r="P32" s="15">
        <f t="shared" si="1"/>
        <v>139</v>
      </c>
    </row>
    <row r="33" spans="2:20" ht="23.1" customHeight="1" x14ac:dyDescent="0.25">
      <c r="B33" s="23" t="s">
        <v>60</v>
      </c>
      <c r="C33" s="50">
        <v>27</v>
      </c>
      <c r="D33" s="50">
        <v>8</v>
      </c>
      <c r="E33" s="50">
        <v>9</v>
      </c>
      <c r="F33" s="50">
        <v>3</v>
      </c>
      <c r="G33" s="50">
        <v>0</v>
      </c>
      <c r="H33" s="50">
        <v>0</v>
      </c>
      <c r="I33" s="50">
        <v>6</v>
      </c>
      <c r="J33" s="50">
        <v>2</v>
      </c>
      <c r="K33" s="50">
        <v>1</v>
      </c>
      <c r="L33" s="50">
        <v>1</v>
      </c>
      <c r="M33" s="50">
        <v>121</v>
      </c>
      <c r="N33" s="50">
        <v>0</v>
      </c>
      <c r="O33" s="15">
        <f t="shared" si="0"/>
        <v>57</v>
      </c>
      <c r="P33" s="15">
        <f t="shared" si="1"/>
        <v>178</v>
      </c>
    </row>
    <row r="34" spans="2:20" ht="23.1" customHeight="1" x14ac:dyDescent="0.25">
      <c r="B34" s="24" t="s">
        <v>61</v>
      </c>
      <c r="C34" s="50">
        <v>4</v>
      </c>
      <c r="D34" s="50">
        <v>3</v>
      </c>
      <c r="E34" s="50">
        <v>0</v>
      </c>
      <c r="F34" s="50">
        <v>5</v>
      </c>
      <c r="G34" s="50">
        <v>0</v>
      </c>
      <c r="H34" s="50">
        <v>0</v>
      </c>
      <c r="I34" s="50">
        <v>2</v>
      </c>
      <c r="J34" s="50">
        <v>1</v>
      </c>
      <c r="K34" s="50">
        <v>0</v>
      </c>
      <c r="L34" s="50">
        <v>9</v>
      </c>
      <c r="M34" s="50">
        <v>150</v>
      </c>
      <c r="N34" s="50">
        <v>0</v>
      </c>
      <c r="O34" s="15">
        <f t="shared" si="0"/>
        <v>24</v>
      </c>
      <c r="P34" s="15">
        <f t="shared" si="1"/>
        <v>174</v>
      </c>
    </row>
    <row r="35" spans="2:20" ht="23.1" customHeight="1" x14ac:dyDescent="0.25">
      <c r="B35" s="24" t="s">
        <v>62</v>
      </c>
      <c r="C35" s="50">
        <v>18</v>
      </c>
      <c r="D35" s="50">
        <v>10</v>
      </c>
      <c r="E35" s="50">
        <v>3</v>
      </c>
      <c r="F35" s="50">
        <v>5</v>
      </c>
      <c r="G35" s="50">
        <v>0</v>
      </c>
      <c r="H35" s="50">
        <v>0</v>
      </c>
      <c r="I35" s="50">
        <v>10</v>
      </c>
      <c r="J35" s="50">
        <v>2</v>
      </c>
      <c r="K35" s="50">
        <v>1</v>
      </c>
      <c r="L35" s="50">
        <v>2</v>
      </c>
      <c r="M35" s="50">
        <v>110</v>
      </c>
      <c r="N35" s="50">
        <v>0</v>
      </c>
      <c r="O35" s="15">
        <f t="shared" si="0"/>
        <v>51</v>
      </c>
      <c r="P35" s="15">
        <f t="shared" si="1"/>
        <v>161</v>
      </c>
    </row>
    <row r="36" spans="2:20" ht="23.1" customHeight="1" x14ac:dyDescent="0.25">
      <c r="B36" s="24" t="s">
        <v>63</v>
      </c>
      <c r="C36" s="50">
        <v>16</v>
      </c>
      <c r="D36" s="50">
        <v>9</v>
      </c>
      <c r="E36" s="50">
        <v>2</v>
      </c>
      <c r="F36" s="50">
        <v>2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6</v>
      </c>
      <c r="M36" s="50">
        <v>115</v>
      </c>
      <c r="N36" s="50">
        <v>0</v>
      </c>
      <c r="O36" s="15">
        <f t="shared" si="0"/>
        <v>36</v>
      </c>
      <c r="P36" s="15">
        <f t="shared" si="1"/>
        <v>151</v>
      </c>
    </row>
    <row r="37" spans="2:20" ht="23.1" customHeight="1" x14ac:dyDescent="0.25">
      <c r="B37" s="23" t="s">
        <v>64</v>
      </c>
      <c r="C37" s="50">
        <v>26</v>
      </c>
      <c r="D37" s="50">
        <v>10</v>
      </c>
      <c r="E37" s="50">
        <v>8</v>
      </c>
      <c r="F37" s="50">
        <v>4</v>
      </c>
      <c r="G37" s="50">
        <v>0</v>
      </c>
      <c r="H37" s="50">
        <v>0</v>
      </c>
      <c r="I37" s="50">
        <v>2</v>
      </c>
      <c r="J37" s="50">
        <v>3</v>
      </c>
      <c r="K37" s="50">
        <v>1</v>
      </c>
      <c r="L37" s="50">
        <v>6</v>
      </c>
      <c r="M37" s="50">
        <v>93</v>
      </c>
      <c r="N37" s="50">
        <v>0</v>
      </c>
      <c r="O37" s="15">
        <f t="shared" si="0"/>
        <v>60</v>
      </c>
      <c r="P37" s="15">
        <f t="shared" si="1"/>
        <v>153</v>
      </c>
    </row>
    <row r="38" spans="2:20" ht="23.1" customHeight="1" x14ac:dyDescent="0.25">
      <c r="B38" s="24" t="s">
        <v>65</v>
      </c>
      <c r="C38" s="50">
        <v>22</v>
      </c>
      <c r="D38" s="50">
        <v>18</v>
      </c>
      <c r="E38" s="50">
        <v>5</v>
      </c>
      <c r="F38" s="50">
        <v>3</v>
      </c>
      <c r="G38" s="50">
        <v>0</v>
      </c>
      <c r="H38" s="50">
        <v>0</v>
      </c>
      <c r="I38" s="50">
        <v>3</v>
      </c>
      <c r="J38" s="50">
        <v>1</v>
      </c>
      <c r="K38" s="50">
        <v>0</v>
      </c>
      <c r="L38" s="50">
        <v>2</v>
      </c>
      <c r="M38" s="50">
        <v>155</v>
      </c>
      <c r="N38" s="50">
        <v>0</v>
      </c>
      <c r="O38" s="15">
        <f t="shared" si="0"/>
        <v>54</v>
      </c>
      <c r="P38" s="15">
        <f t="shared" si="1"/>
        <v>209</v>
      </c>
    </row>
    <row r="39" spans="2:20" ht="23.1" customHeight="1" x14ac:dyDescent="0.25">
      <c r="B39" s="24" t="s">
        <v>66</v>
      </c>
      <c r="C39" s="50">
        <v>10</v>
      </c>
      <c r="D39" s="50">
        <v>6</v>
      </c>
      <c r="E39" s="50">
        <v>3</v>
      </c>
      <c r="F39" s="50">
        <v>2</v>
      </c>
      <c r="G39" s="50">
        <v>0</v>
      </c>
      <c r="H39" s="50">
        <v>0</v>
      </c>
      <c r="I39" s="50">
        <v>1</v>
      </c>
      <c r="J39" s="50">
        <v>0</v>
      </c>
      <c r="K39" s="50">
        <v>1</v>
      </c>
      <c r="L39" s="50">
        <v>6</v>
      </c>
      <c r="M39" s="50">
        <v>75</v>
      </c>
      <c r="N39" s="50">
        <v>0</v>
      </c>
      <c r="O39" s="15">
        <f t="shared" si="0"/>
        <v>29</v>
      </c>
      <c r="P39" s="15">
        <f t="shared" si="1"/>
        <v>104</v>
      </c>
    </row>
    <row r="40" spans="2:20" ht="23.1" customHeight="1" x14ac:dyDescent="0.25">
      <c r="B40" s="24" t="s">
        <v>67</v>
      </c>
      <c r="C40" s="50">
        <v>17</v>
      </c>
      <c r="D40" s="50">
        <v>9</v>
      </c>
      <c r="E40" s="50">
        <v>4</v>
      </c>
      <c r="F40" s="50">
        <v>3</v>
      </c>
      <c r="G40" s="50">
        <v>0</v>
      </c>
      <c r="H40" s="50">
        <v>0</v>
      </c>
      <c r="I40" s="50">
        <v>3</v>
      </c>
      <c r="J40" s="50">
        <v>3</v>
      </c>
      <c r="K40" s="50">
        <v>1</v>
      </c>
      <c r="L40" s="50">
        <v>4</v>
      </c>
      <c r="M40" s="50">
        <v>111</v>
      </c>
      <c r="N40" s="50">
        <v>0</v>
      </c>
      <c r="O40" s="15">
        <f t="shared" si="0"/>
        <v>44</v>
      </c>
      <c r="P40" s="15">
        <f t="shared" si="1"/>
        <v>155</v>
      </c>
    </row>
    <row r="41" spans="2:20" ht="23.1" customHeight="1" x14ac:dyDescent="0.25">
      <c r="B41" s="23" t="s">
        <v>68</v>
      </c>
      <c r="C41" s="50">
        <v>13</v>
      </c>
      <c r="D41" s="50">
        <v>8</v>
      </c>
      <c r="E41" s="50">
        <v>6</v>
      </c>
      <c r="F41" s="50">
        <v>3</v>
      </c>
      <c r="G41" s="50">
        <v>0</v>
      </c>
      <c r="H41" s="50">
        <v>0</v>
      </c>
      <c r="I41" s="50">
        <v>1</v>
      </c>
      <c r="J41" s="50">
        <v>4</v>
      </c>
      <c r="K41" s="50">
        <v>1</v>
      </c>
      <c r="L41" s="50">
        <v>5</v>
      </c>
      <c r="M41" s="50">
        <v>137</v>
      </c>
      <c r="N41" s="50">
        <v>0</v>
      </c>
      <c r="O41" s="15">
        <f t="shared" si="0"/>
        <v>41</v>
      </c>
      <c r="P41" s="15">
        <f t="shared" si="1"/>
        <v>178</v>
      </c>
    </row>
    <row r="42" spans="2:20" ht="23.1" customHeight="1" x14ac:dyDescent="0.25">
      <c r="B42" s="24" t="s">
        <v>69</v>
      </c>
      <c r="C42" s="50">
        <v>10</v>
      </c>
      <c r="D42" s="50">
        <v>5</v>
      </c>
      <c r="E42" s="50">
        <v>3</v>
      </c>
      <c r="F42" s="50">
        <v>1</v>
      </c>
      <c r="G42" s="50">
        <v>0</v>
      </c>
      <c r="H42" s="50">
        <v>0</v>
      </c>
      <c r="I42" s="50">
        <v>4</v>
      </c>
      <c r="J42" s="50">
        <v>5</v>
      </c>
      <c r="K42" s="50">
        <v>0</v>
      </c>
      <c r="L42" s="50">
        <v>3</v>
      </c>
      <c r="M42" s="50">
        <v>122</v>
      </c>
      <c r="N42" s="50">
        <v>0</v>
      </c>
      <c r="O42" s="15">
        <f t="shared" si="0"/>
        <v>31</v>
      </c>
      <c r="P42" s="15">
        <f t="shared" si="1"/>
        <v>153</v>
      </c>
    </row>
    <row r="43" spans="2:20" ht="23.1" customHeight="1" x14ac:dyDescent="0.25">
      <c r="B43" s="23" t="s">
        <v>70</v>
      </c>
      <c r="C43" s="50">
        <v>18</v>
      </c>
      <c r="D43" s="50">
        <v>7</v>
      </c>
      <c r="E43" s="50">
        <v>7</v>
      </c>
      <c r="F43" s="50">
        <v>3</v>
      </c>
      <c r="G43" s="50">
        <v>0</v>
      </c>
      <c r="H43" s="50">
        <v>0</v>
      </c>
      <c r="I43" s="50">
        <v>0</v>
      </c>
      <c r="J43" s="50">
        <v>0</v>
      </c>
      <c r="K43" s="50">
        <v>2</v>
      </c>
      <c r="L43" s="50">
        <v>1</v>
      </c>
      <c r="M43" s="50">
        <v>143</v>
      </c>
      <c r="N43" s="50">
        <v>0</v>
      </c>
      <c r="O43" s="15">
        <f t="shared" si="0"/>
        <v>38</v>
      </c>
      <c r="P43" s="15">
        <f t="shared" si="1"/>
        <v>181</v>
      </c>
    </row>
    <row r="44" spans="2:20" ht="23.1" customHeight="1" x14ac:dyDescent="0.25">
      <c r="B44" s="25" t="s">
        <v>71</v>
      </c>
      <c r="C44" s="50">
        <v>14</v>
      </c>
      <c r="D44" s="50">
        <v>9</v>
      </c>
      <c r="E44" s="50">
        <v>3</v>
      </c>
      <c r="F44" s="50">
        <v>4</v>
      </c>
      <c r="G44" s="50">
        <v>0</v>
      </c>
      <c r="H44" s="50">
        <v>0</v>
      </c>
      <c r="I44" s="50">
        <v>2</v>
      </c>
      <c r="J44" s="50">
        <v>3</v>
      </c>
      <c r="K44" s="50">
        <v>1</v>
      </c>
      <c r="L44" s="50">
        <v>7</v>
      </c>
      <c r="M44" s="50">
        <v>125</v>
      </c>
      <c r="N44" s="50">
        <v>0</v>
      </c>
      <c r="O44" s="15">
        <f t="shared" si="0"/>
        <v>43</v>
      </c>
      <c r="P44" s="15">
        <f t="shared" si="1"/>
        <v>168</v>
      </c>
    </row>
    <row r="45" spans="2:20" ht="23.1" customHeight="1" x14ac:dyDescent="0.25">
      <c r="B45" s="23" t="s">
        <v>72</v>
      </c>
      <c r="C45" s="50">
        <v>21</v>
      </c>
      <c r="D45" s="50">
        <v>9</v>
      </c>
      <c r="E45" s="50">
        <v>5</v>
      </c>
      <c r="F45" s="50">
        <v>7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7</v>
      </c>
      <c r="M45" s="50">
        <v>150</v>
      </c>
      <c r="N45" s="50">
        <v>0</v>
      </c>
      <c r="O45" s="15">
        <f t="shared" si="0"/>
        <v>49</v>
      </c>
      <c r="P45" s="15">
        <f t="shared" si="1"/>
        <v>199</v>
      </c>
    </row>
    <row r="46" spans="2:20" ht="23.1" customHeight="1" x14ac:dyDescent="0.25">
      <c r="B46" s="24" t="s">
        <v>73</v>
      </c>
      <c r="C46" s="50">
        <v>19</v>
      </c>
      <c r="D46" s="50">
        <v>14</v>
      </c>
      <c r="E46" s="50">
        <v>6</v>
      </c>
      <c r="F46" s="50">
        <v>5</v>
      </c>
      <c r="G46" s="50">
        <v>0</v>
      </c>
      <c r="H46" s="50">
        <v>0</v>
      </c>
      <c r="I46" s="50">
        <v>4</v>
      </c>
      <c r="J46" s="50">
        <v>1</v>
      </c>
      <c r="K46" s="50">
        <v>2</v>
      </c>
      <c r="L46" s="50">
        <v>8</v>
      </c>
      <c r="M46" s="50">
        <v>230</v>
      </c>
      <c r="N46" s="50">
        <v>0</v>
      </c>
      <c r="O46" s="15">
        <f t="shared" si="0"/>
        <v>59</v>
      </c>
      <c r="P46" s="15">
        <f t="shared" si="1"/>
        <v>289</v>
      </c>
      <c r="R46" s="8"/>
      <c r="T46"/>
    </row>
    <row r="47" spans="2:20" ht="23.1" customHeight="1" x14ac:dyDescent="0.25">
      <c r="B47" s="24" t="s">
        <v>74</v>
      </c>
      <c r="C47" s="50">
        <v>18</v>
      </c>
      <c r="D47" s="50">
        <v>5</v>
      </c>
      <c r="E47" s="50">
        <v>3</v>
      </c>
      <c r="F47" s="50">
        <v>5</v>
      </c>
      <c r="G47" s="50">
        <v>0</v>
      </c>
      <c r="H47" s="50">
        <v>0</v>
      </c>
      <c r="I47" s="50">
        <v>5</v>
      </c>
      <c r="J47" s="50">
        <v>2</v>
      </c>
      <c r="K47" s="50">
        <v>1</v>
      </c>
      <c r="L47" s="50">
        <v>14</v>
      </c>
      <c r="M47" s="50">
        <v>200</v>
      </c>
      <c r="N47" s="50">
        <v>0</v>
      </c>
      <c r="O47" s="15">
        <f t="shared" si="0"/>
        <v>53</v>
      </c>
      <c r="P47" s="15">
        <f t="shared" si="1"/>
        <v>253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6</v>
      </c>
      <c r="E48" s="50">
        <v>2</v>
      </c>
      <c r="F48" s="50">
        <v>2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15</v>
      </c>
      <c r="M48" s="50">
        <v>195</v>
      </c>
      <c r="N48" s="50">
        <v>0</v>
      </c>
      <c r="O48" s="15">
        <f t="shared" si="0"/>
        <v>35</v>
      </c>
      <c r="P48" s="15">
        <f t="shared" si="1"/>
        <v>230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4</v>
      </c>
      <c r="E49" s="50">
        <v>7</v>
      </c>
      <c r="F49" s="50">
        <v>1</v>
      </c>
      <c r="G49" s="50">
        <v>0</v>
      </c>
      <c r="H49" s="50">
        <v>0</v>
      </c>
      <c r="I49" s="50">
        <v>1</v>
      </c>
      <c r="J49" s="50">
        <v>1</v>
      </c>
      <c r="K49" s="50">
        <v>1</v>
      </c>
      <c r="L49" s="50">
        <v>5</v>
      </c>
      <c r="M49" s="50">
        <v>215</v>
      </c>
      <c r="N49" s="50">
        <v>0</v>
      </c>
      <c r="O49" s="15">
        <f t="shared" si="0"/>
        <v>27</v>
      </c>
      <c r="P49" s="15">
        <f t="shared" si="1"/>
        <v>242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4</v>
      </c>
      <c r="E50" s="50">
        <v>3</v>
      </c>
      <c r="F50" s="50">
        <v>4</v>
      </c>
      <c r="G50" s="50">
        <v>0</v>
      </c>
      <c r="H50" s="50">
        <v>0</v>
      </c>
      <c r="I50" s="50">
        <v>2</v>
      </c>
      <c r="J50" s="50">
        <v>0</v>
      </c>
      <c r="K50" s="50">
        <v>1</v>
      </c>
      <c r="L50" s="50">
        <v>5</v>
      </c>
      <c r="M50" s="50">
        <v>227</v>
      </c>
      <c r="N50" s="50">
        <v>0</v>
      </c>
      <c r="O50" s="15">
        <f t="shared" si="0"/>
        <v>32</v>
      </c>
      <c r="P50" s="15">
        <f t="shared" si="1"/>
        <v>259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10</v>
      </c>
      <c r="E51" s="50">
        <v>3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1</v>
      </c>
      <c r="L51" s="50">
        <v>6</v>
      </c>
      <c r="M51" s="50">
        <v>260</v>
      </c>
      <c r="N51" s="50">
        <v>0</v>
      </c>
      <c r="O51" s="15">
        <f t="shared" si="0"/>
        <v>33</v>
      </c>
      <c r="P51" s="15">
        <f t="shared" si="1"/>
        <v>293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16</v>
      </c>
      <c r="E52" s="50">
        <v>4</v>
      </c>
      <c r="F52" s="50">
        <v>6</v>
      </c>
      <c r="G52" s="50">
        <v>0</v>
      </c>
      <c r="H52" s="50">
        <v>0</v>
      </c>
      <c r="I52" s="50">
        <v>1</v>
      </c>
      <c r="J52" s="50">
        <v>2</v>
      </c>
      <c r="K52" s="50">
        <v>2</v>
      </c>
      <c r="L52" s="50">
        <v>4</v>
      </c>
      <c r="M52" s="50">
        <v>205</v>
      </c>
      <c r="N52" s="50">
        <v>0</v>
      </c>
      <c r="O52" s="15">
        <f t="shared" si="0"/>
        <v>50</v>
      </c>
      <c r="P52" s="15">
        <f t="shared" si="1"/>
        <v>255</v>
      </c>
      <c r="R52" s="8"/>
      <c r="T52"/>
    </row>
    <row r="53" spans="2:20" ht="23.1" customHeight="1" x14ac:dyDescent="0.25">
      <c r="B53" s="23" t="s">
        <v>80</v>
      </c>
      <c r="C53" s="50">
        <v>15</v>
      </c>
      <c r="D53" s="50">
        <v>5</v>
      </c>
      <c r="E53" s="50">
        <v>2</v>
      </c>
      <c r="F53" s="50">
        <v>5</v>
      </c>
      <c r="G53" s="50">
        <v>0</v>
      </c>
      <c r="H53" s="50">
        <v>0</v>
      </c>
      <c r="I53" s="50">
        <v>2</v>
      </c>
      <c r="J53" s="50">
        <v>3</v>
      </c>
      <c r="K53" s="50">
        <v>3</v>
      </c>
      <c r="L53" s="50">
        <v>2</v>
      </c>
      <c r="M53" s="50">
        <v>190</v>
      </c>
      <c r="N53" s="50">
        <v>0</v>
      </c>
      <c r="O53" s="15">
        <f t="shared" si="0"/>
        <v>37</v>
      </c>
      <c r="P53" s="15">
        <f t="shared" si="1"/>
        <v>227</v>
      </c>
      <c r="R53" s="8"/>
      <c r="T53"/>
    </row>
    <row r="54" spans="2:20" ht="23.1" customHeight="1" x14ac:dyDescent="0.25">
      <c r="B54" s="23" t="s">
        <v>81</v>
      </c>
      <c r="C54" s="50">
        <v>28</v>
      </c>
      <c r="D54" s="50">
        <v>15</v>
      </c>
      <c r="E54" s="50">
        <v>3</v>
      </c>
      <c r="F54" s="50">
        <v>5</v>
      </c>
      <c r="G54" s="50">
        <v>1</v>
      </c>
      <c r="H54" s="50">
        <v>0</v>
      </c>
      <c r="I54" s="50">
        <v>1</v>
      </c>
      <c r="J54" s="50">
        <v>2</v>
      </c>
      <c r="K54" s="50">
        <v>0</v>
      </c>
      <c r="L54" s="50">
        <v>1</v>
      </c>
      <c r="M54" s="50">
        <v>188</v>
      </c>
      <c r="N54" s="50">
        <v>0</v>
      </c>
      <c r="O54" s="15">
        <f t="shared" si="0"/>
        <v>56</v>
      </c>
      <c r="P54" s="15">
        <f t="shared" si="1"/>
        <v>244</v>
      </c>
      <c r="R54" s="8"/>
      <c r="T54"/>
    </row>
    <row r="55" spans="2:20" ht="23.1" customHeight="1" x14ac:dyDescent="0.25">
      <c r="B55" s="23" t="s">
        <v>82</v>
      </c>
      <c r="C55" s="50">
        <v>12</v>
      </c>
      <c r="D55" s="50">
        <v>6</v>
      </c>
      <c r="E55" s="50">
        <v>1</v>
      </c>
      <c r="F55" s="50">
        <v>1</v>
      </c>
      <c r="G55" s="50">
        <v>1</v>
      </c>
      <c r="H55" s="50">
        <v>0</v>
      </c>
      <c r="I55" s="50">
        <v>0</v>
      </c>
      <c r="J55" s="50">
        <v>0</v>
      </c>
      <c r="K55" s="50">
        <v>0</v>
      </c>
      <c r="L55" s="50">
        <v>2</v>
      </c>
      <c r="M55" s="50">
        <v>155</v>
      </c>
      <c r="N55" s="50">
        <v>0</v>
      </c>
      <c r="O55" s="15">
        <f t="shared" si="0"/>
        <v>23</v>
      </c>
      <c r="P55" s="15">
        <f t="shared" si="1"/>
        <v>178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10</v>
      </c>
      <c r="E56" s="50">
        <v>2</v>
      </c>
      <c r="F56" s="50">
        <v>5</v>
      </c>
      <c r="G56" s="50">
        <v>0</v>
      </c>
      <c r="H56" s="50">
        <v>1</v>
      </c>
      <c r="I56" s="50">
        <v>2</v>
      </c>
      <c r="J56" s="50">
        <v>2</v>
      </c>
      <c r="K56" s="50">
        <v>0</v>
      </c>
      <c r="L56" s="50">
        <v>2</v>
      </c>
      <c r="M56" s="50">
        <v>205</v>
      </c>
      <c r="N56" s="50">
        <v>0</v>
      </c>
      <c r="O56" s="15">
        <f t="shared" si="0"/>
        <v>28</v>
      </c>
      <c r="P56" s="15">
        <f t="shared" si="1"/>
        <v>233</v>
      </c>
      <c r="R56" s="8"/>
      <c r="T56"/>
    </row>
    <row r="57" spans="2:20" ht="23.1" customHeight="1" x14ac:dyDescent="0.25">
      <c r="B57" s="23" t="s">
        <v>84</v>
      </c>
      <c r="C57" s="50">
        <v>22</v>
      </c>
      <c r="D57" s="50">
        <v>18</v>
      </c>
      <c r="E57" s="50">
        <v>6</v>
      </c>
      <c r="F57" s="50">
        <v>8</v>
      </c>
      <c r="G57" s="50">
        <v>0</v>
      </c>
      <c r="H57" s="50">
        <v>0</v>
      </c>
      <c r="I57" s="50">
        <v>1</v>
      </c>
      <c r="J57" s="50">
        <v>1</v>
      </c>
      <c r="K57" s="50">
        <v>1</v>
      </c>
      <c r="L57" s="50">
        <v>2</v>
      </c>
      <c r="M57" s="50">
        <v>210</v>
      </c>
      <c r="N57" s="50">
        <v>0</v>
      </c>
      <c r="O57" s="15">
        <f t="shared" si="0"/>
        <v>59</v>
      </c>
      <c r="P57" s="15">
        <f t="shared" si="1"/>
        <v>269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812</v>
      </c>
      <c r="D58" s="16">
        <f t="shared" si="21"/>
        <v>465</v>
      </c>
      <c r="E58" s="16">
        <f t="shared" si="21"/>
        <v>198</v>
      </c>
      <c r="F58" s="16">
        <f t="shared" si="21"/>
        <v>151</v>
      </c>
      <c r="G58" s="16">
        <f t="shared" si="21"/>
        <v>5</v>
      </c>
      <c r="H58" s="16">
        <f t="shared" si="21"/>
        <v>4</v>
      </c>
      <c r="I58" s="16">
        <f t="shared" si="21"/>
        <v>93</v>
      </c>
      <c r="J58" s="16">
        <f t="shared" si="21"/>
        <v>79</v>
      </c>
      <c r="K58" s="16">
        <f t="shared" si="21"/>
        <v>45</v>
      </c>
      <c r="L58" s="16">
        <f t="shared" si="21"/>
        <v>205</v>
      </c>
      <c r="M58" s="16">
        <f t="shared" si="21"/>
        <v>7485</v>
      </c>
      <c r="N58" s="16">
        <f t="shared" si="21"/>
        <v>0</v>
      </c>
      <c r="O58" s="16">
        <f t="shared" si="21"/>
        <v>2057</v>
      </c>
      <c r="P58" s="16">
        <f t="shared" si="21"/>
        <v>9542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8.509746384405785E-2</v>
      </c>
      <c r="D59" s="43">
        <f t="shared" si="22"/>
        <v>4.8731922028924755E-2</v>
      </c>
      <c r="E59" s="43">
        <f t="shared" si="22"/>
        <v>2.0750366799413122E-2</v>
      </c>
      <c r="F59" s="43">
        <f t="shared" si="22"/>
        <v>1.5824774680360511E-2</v>
      </c>
      <c r="G59" s="43">
        <f t="shared" si="22"/>
        <v>5.2399916160134139E-4</v>
      </c>
      <c r="H59" s="43">
        <f t="shared" si="22"/>
        <v>4.1919932928107315E-4</v>
      </c>
      <c r="I59" s="43">
        <f t="shared" si="22"/>
        <v>9.7463844057849511E-3</v>
      </c>
      <c r="J59" s="43">
        <f t="shared" si="22"/>
        <v>8.2791867533011949E-3</v>
      </c>
      <c r="K59" s="43">
        <f t="shared" si="22"/>
        <v>4.7159924544120727E-3</v>
      </c>
      <c r="L59" s="43">
        <f t="shared" si="22"/>
        <v>2.1483965625654997E-2</v>
      </c>
      <c r="M59" s="43">
        <f t="shared" si="22"/>
        <v>0.7844267449172081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0.39474963539134661</v>
      </c>
      <c r="D60" s="44">
        <f t="shared" ref="D60:N60" si="23">D58/$O$58</f>
        <v>0.22605736509479826</v>
      </c>
      <c r="E60" s="44">
        <f t="shared" si="23"/>
        <v>9.6256684491978606E-2</v>
      </c>
      <c r="F60" s="44">
        <f t="shared" si="23"/>
        <v>7.3407875546912985E-2</v>
      </c>
      <c r="G60" s="44">
        <f t="shared" si="23"/>
        <v>2.4307243558580457E-3</v>
      </c>
      <c r="H60" s="44">
        <f t="shared" si="23"/>
        <v>1.9445794846864365E-3</v>
      </c>
      <c r="I60" s="44">
        <f t="shared" si="23"/>
        <v>4.5211473018959648E-2</v>
      </c>
      <c r="J60" s="44">
        <f t="shared" si="23"/>
        <v>3.8405444822557123E-2</v>
      </c>
      <c r="K60" s="44">
        <f t="shared" si="23"/>
        <v>2.1876519202722412E-2</v>
      </c>
      <c r="L60" s="44">
        <f t="shared" si="23"/>
        <v>9.9659698590179868E-2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9" zoomScale="60" workbookViewId="0">
      <selection activeCell="N105" sqref="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NTINDA-SPEAR MOTORS'!C3:G3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183</v>
      </c>
      <c r="E5" s="3"/>
      <c r="F5" s="41" t="s">
        <v>1</v>
      </c>
      <c r="G5" s="61" t="str">
        <f>'01.07 SPEARMOTORS-NTINDA-24h'!G5:H5</f>
        <v>NAGURU BARRACKS</v>
      </c>
      <c r="H5" s="62"/>
      <c r="I5" s="14"/>
      <c r="J5" s="2" t="s">
        <v>5</v>
      </c>
      <c r="K5" s="61" t="s">
        <v>184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'29.07 NTINDA-SPEAR MOTORS'!D6:E6</f>
        <v>NTINDA</v>
      </c>
      <c r="E6" s="62"/>
      <c r="F6" s="2" t="s">
        <v>2</v>
      </c>
      <c r="G6" s="61" t="str">
        <f>'29.07 NTINDA-SPEAR MOTORS'!G6:H6</f>
        <v>SPEAR MOTORS</v>
      </c>
      <c r="H6" s="62"/>
      <c r="J6" s="2" t="s">
        <v>21</v>
      </c>
      <c r="K6" s="61" t="str">
        <f>'01.07 SPEARMOTORS-NTINDA-24h'!K6:L6</f>
        <v>NUSULAH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12</v>
      </c>
      <c r="D10" s="50">
        <v>10</v>
      </c>
      <c r="E10" s="50">
        <v>4</v>
      </c>
      <c r="F10" s="50">
        <v>3</v>
      </c>
      <c r="G10" s="50">
        <v>0</v>
      </c>
      <c r="H10" s="50">
        <v>0</v>
      </c>
      <c r="I10" s="50">
        <v>4</v>
      </c>
      <c r="J10" s="50">
        <v>3</v>
      </c>
      <c r="K10" s="50">
        <v>0</v>
      </c>
      <c r="L10" s="50">
        <v>3</v>
      </c>
      <c r="M10" s="50">
        <v>102</v>
      </c>
      <c r="N10" s="50">
        <v>0</v>
      </c>
      <c r="O10" s="15">
        <f t="shared" ref="O10:O73" si="0">SUM(C10:L10,N10)</f>
        <v>39</v>
      </c>
      <c r="P10" s="15">
        <f t="shared" ref="P10:P73" si="1">SUM(C10:N10)</f>
        <v>141</v>
      </c>
      <c r="R10" s="1" t="s">
        <v>6</v>
      </c>
      <c r="S10" s="17">
        <f t="shared" ref="S10:AF10" si="2">SUM(C10:C13)</f>
        <v>45</v>
      </c>
      <c r="T10" s="17">
        <f t="shared" si="2"/>
        <v>38</v>
      </c>
      <c r="U10" s="17">
        <f t="shared" si="2"/>
        <v>11</v>
      </c>
      <c r="V10" s="17">
        <f t="shared" si="2"/>
        <v>13</v>
      </c>
      <c r="W10" s="17">
        <f t="shared" si="2"/>
        <v>1</v>
      </c>
      <c r="X10" s="17">
        <f t="shared" si="2"/>
        <v>0</v>
      </c>
      <c r="Y10" s="17">
        <f t="shared" si="2"/>
        <v>7</v>
      </c>
      <c r="Z10" s="17">
        <f t="shared" si="2"/>
        <v>4</v>
      </c>
      <c r="AA10" s="17">
        <f t="shared" si="2"/>
        <v>2</v>
      </c>
      <c r="AB10" s="17">
        <f t="shared" si="2"/>
        <v>9</v>
      </c>
      <c r="AC10" s="17">
        <f t="shared" si="2"/>
        <v>388</v>
      </c>
      <c r="AD10" s="17">
        <f t="shared" si="2"/>
        <v>0</v>
      </c>
      <c r="AE10" s="31">
        <f t="shared" si="2"/>
        <v>130</v>
      </c>
      <c r="AF10" s="31">
        <f t="shared" si="2"/>
        <v>518</v>
      </c>
    </row>
    <row r="11" spans="2:32" s="6" customFormat="1" ht="23.1" customHeight="1" x14ac:dyDescent="0.25">
      <c r="B11" s="45" t="s">
        <v>38</v>
      </c>
      <c r="C11" s="50">
        <v>7</v>
      </c>
      <c r="D11" s="50">
        <v>13</v>
      </c>
      <c r="E11" s="50">
        <v>2</v>
      </c>
      <c r="F11" s="50">
        <v>1</v>
      </c>
      <c r="G11" s="50">
        <v>1</v>
      </c>
      <c r="H11" s="50">
        <v>0</v>
      </c>
      <c r="I11" s="50">
        <v>0</v>
      </c>
      <c r="J11" s="50">
        <v>1</v>
      </c>
      <c r="K11" s="50">
        <v>2</v>
      </c>
      <c r="L11" s="50">
        <v>1</v>
      </c>
      <c r="M11" s="50">
        <v>101</v>
      </c>
      <c r="N11" s="50">
        <v>0</v>
      </c>
      <c r="O11" s="15">
        <f t="shared" si="0"/>
        <v>28</v>
      </c>
      <c r="P11" s="15">
        <f t="shared" si="1"/>
        <v>129</v>
      </c>
      <c r="R11" s="1" t="s">
        <v>7</v>
      </c>
      <c r="S11" s="17">
        <f t="shared" ref="S11:AF11" si="3">SUM(C14:C17)</f>
        <v>86</v>
      </c>
      <c r="T11" s="17">
        <f t="shared" si="3"/>
        <v>51</v>
      </c>
      <c r="U11" s="17">
        <f t="shared" si="3"/>
        <v>22</v>
      </c>
      <c r="V11" s="17">
        <f t="shared" si="3"/>
        <v>12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5</v>
      </c>
      <c r="AA11" s="17">
        <f t="shared" si="3"/>
        <v>2</v>
      </c>
      <c r="AB11" s="17">
        <f t="shared" si="3"/>
        <v>4</v>
      </c>
      <c r="AC11" s="17">
        <f t="shared" si="3"/>
        <v>386</v>
      </c>
      <c r="AD11" s="17">
        <f t="shared" si="3"/>
        <v>1</v>
      </c>
      <c r="AE11" s="31">
        <f t="shared" si="3"/>
        <v>187</v>
      </c>
      <c r="AF11" s="31">
        <f t="shared" si="3"/>
        <v>573</v>
      </c>
    </row>
    <row r="12" spans="2:32" ht="23.1" customHeight="1" x14ac:dyDescent="0.25">
      <c r="B12" s="45" t="s">
        <v>39</v>
      </c>
      <c r="C12" s="50">
        <v>10</v>
      </c>
      <c r="D12" s="50">
        <v>7</v>
      </c>
      <c r="E12" s="50">
        <v>1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3</v>
      </c>
      <c r="M12" s="50">
        <v>98</v>
      </c>
      <c r="N12" s="50">
        <v>0</v>
      </c>
      <c r="O12" s="15">
        <f t="shared" si="0"/>
        <v>25</v>
      </c>
      <c r="P12" s="15">
        <f t="shared" si="1"/>
        <v>123</v>
      </c>
      <c r="R12" s="1" t="s">
        <v>8</v>
      </c>
      <c r="S12" s="17">
        <f t="shared" ref="S12:AF12" si="4">SUM(C18:C21)</f>
        <v>82</v>
      </c>
      <c r="T12" s="17">
        <f t="shared" si="4"/>
        <v>53</v>
      </c>
      <c r="U12" s="17">
        <f t="shared" si="4"/>
        <v>18</v>
      </c>
      <c r="V12" s="17">
        <f t="shared" si="4"/>
        <v>19</v>
      </c>
      <c r="W12" s="17">
        <f t="shared" si="4"/>
        <v>0</v>
      </c>
      <c r="X12" s="17">
        <f t="shared" si="4"/>
        <v>0</v>
      </c>
      <c r="Y12" s="17">
        <f t="shared" si="4"/>
        <v>13</v>
      </c>
      <c r="Z12" s="17">
        <f t="shared" si="4"/>
        <v>4</v>
      </c>
      <c r="AA12" s="17">
        <f t="shared" si="4"/>
        <v>6</v>
      </c>
      <c r="AB12" s="17">
        <f t="shared" si="4"/>
        <v>11</v>
      </c>
      <c r="AC12" s="17">
        <f t="shared" si="4"/>
        <v>369</v>
      </c>
      <c r="AD12" s="17">
        <f t="shared" si="4"/>
        <v>0</v>
      </c>
      <c r="AE12" s="31">
        <f t="shared" si="4"/>
        <v>206</v>
      </c>
      <c r="AF12" s="31">
        <f t="shared" si="4"/>
        <v>575</v>
      </c>
    </row>
    <row r="13" spans="2:32" ht="23.1" customHeight="1" x14ac:dyDescent="0.25">
      <c r="B13" s="45" t="s">
        <v>40</v>
      </c>
      <c r="C13" s="50">
        <v>16</v>
      </c>
      <c r="D13" s="50">
        <v>8</v>
      </c>
      <c r="E13" s="50">
        <v>4</v>
      </c>
      <c r="F13" s="50">
        <v>6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2</v>
      </c>
      <c r="M13" s="50">
        <v>87</v>
      </c>
      <c r="N13" s="50">
        <v>0</v>
      </c>
      <c r="O13" s="15">
        <f t="shared" si="0"/>
        <v>38</v>
      </c>
      <c r="P13" s="15">
        <f t="shared" si="1"/>
        <v>125</v>
      </c>
      <c r="R13" s="1" t="s">
        <v>9</v>
      </c>
      <c r="S13" s="17">
        <f t="shared" ref="S13:AF13" si="5">SUM(C22:C25)</f>
        <v>88</v>
      </c>
      <c r="T13" s="17">
        <f t="shared" si="5"/>
        <v>57</v>
      </c>
      <c r="U13" s="17">
        <f t="shared" si="5"/>
        <v>11</v>
      </c>
      <c r="V13" s="17">
        <f t="shared" si="5"/>
        <v>14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4</v>
      </c>
      <c r="AA13" s="17">
        <f t="shared" si="5"/>
        <v>5</v>
      </c>
      <c r="AB13" s="17">
        <f t="shared" si="5"/>
        <v>16</v>
      </c>
      <c r="AC13" s="17">
        <f t="shared" si="5"/>
        <v>391</v>
      </c>
      <c r="AD13" s="17">
        <f t="shared" si="5"/>
        <v>0</v>
      </c>
      <c r="AE13" s="31">
        <f t="shared" si="5"/>
        <v>205</v>
      </c>
      <c r="AF13" s="31">
        <f t="shared" si="5"/>
        <v>596</v>
      </c>
    </row>
    <row r="14" spans="2:32" ht="23.1" customHeight="1" x14ac:dyDescent="0.25">
      <c r="B14" s="45" t="s">
        <v>41</v>
      </c>
      <c r="C14" s="50">
        <v>21</v>
      </c>
      <c r="D14" s="50">
        <v>8</v>
      </c>
      <c r="E14" s="50">
        <v>9</v>
      </c>
      <c r="F14" s="50">
        <v>4</v>
      </c>
      <c r="G14" s="50">
        <v>0</v>
      </c>
      <c r="H14" s="50">
        <v>0</v>
      </c>
      <c r="I14" s="50">
        <v>3</v>
      </c>
      <c r="J14" s="50">
        <v>1</v>
      </c>
      <c r="K14" s="50">
        <v>2</v>
      </c>
      <c r="L14" s="50">
        <v>2</v>
      </c>
      <c r="M14" s="50">
        <v>92</v>
      </c>
      <c r="N14" s="50">
        <v>0</v>
      </c>
      <c r="O14" s="15">
        <f t="shared" si="0"/>
        <v>50</v>
      </c>
      <c r="P14" s="15">
        <f t="shared" si="1"/>
        <v>142</v>
      </c>
      <c r="R14" s="1" t="s">
        <v>10</v>
      </c>
      <c r="S14" s="17">
        <f t="shared" ref="S14:AF14" si="6">SUM(C26:C29)</f>
        <v>75</v>
      </c>
      <c r="T14" s="17">
        <f t="shared" si="6"/>
        <v>39</v>
      </c>
      <c r="U14" s="17">
        <f t="shared" si="6"/>
        <v>14</v>
      </c>
      <c r="V14" s="17">
        <f t="shared" si="6"/>
        <v>14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8</v>
      </c>
      <c r="AA14" s="17">
        <f t="shared" si="6"/>
        <v>3</v>
      </c>
      <c r="AB14" s="17">
        <f t="shared" si="6"/>
        <v>20</v>
      </c>
      <c r="AC14" s="17">
        <f t="shared" si="6"/>
        <v>387</v>
      </c>
      <c r="AD14" s="17">
        <f t="shared" si="6"/>
        <v>0</v>
      </c>
      <c r="AE14" s="31">
        <f t="shared" si="6"/>
        <v>181</v>
      </c>
      <c r="AF14" s="31">
        <f t="shared" si="6"/>
        <v>568</v>
      </c>
    </row>
    <row r="15" spans="2:32" ht="23.1" customHeight="1" x14ac:dyDescent="0.25">
      <c r="B15" s="45" t="s">
        <v>42</v>
      </c>
      <c r="C15" s="50">
        <v>13</v>
      </c>
      <c r="D15" s="50">
        <v>9</v>
      </c>
      <c r="E15" s="50">
        <v>1</v>
      </c>
      <c r="F15" s="50">
        <v>3</v>
      </c>
      <c r="G15" s="50">
        <v>0</v>
      </c>
      <c r="H15" s="50">
        <v>0</v>
      </c>
      <c r="I15" s="50">
        <v>1</v>
      </c>
      <c r="J15" s="50">
        <v>2</v>
      </c>
      <c r="K15" s="50">
        <v>0</v>
      </c>
      <c r="L15" s="50">
        <v>0</v>
      </c>
      <c r="M15" s="50">
        <v>85</v>
      </c>
      <c r="N15" s="50">
        <v>1</v>
      </c>
      <c r="O15" s="15">
        <f t="shared" si="0"/>
        <v>30</v>
      </c>
      <c r="P15" s="15">
        <f t="shared" si="1"/>
        <v>115</v>
      </c>
      <c r="R15" s="1" t="s">
        <v>11</v>
      </c>
      <c r="S15" s="17">
        <f t="shared" ref="S15:AF15" si="7">SUM(C30:C33)</f>
        <v>60</v>
      </c>
      <c r="T15" s="17">
        <f t="shared" si="7"/>
        <v>33</v>
      </c>
      <c r="U15" s="17">
        <f t="shared" si="7"/>
        <v>10</v>
      </c>
      <c r="V15" s="17">
        <f t="shared" si="7"/>
        <v>7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5</v>
      </c>
      <c r="AA15" s="17">
        <f t="shared" si="7"/>
        <v>1</v>
      </c>
      <c r="AB15" s="17">
        <f t="shared" si="7"/>
        <v>24</v>
      </c>
      <c r="AC15" s="17">
        <f t="shared" si="7"/>
        <v>348</v>
      </c>
      <c r="AD15" s="17">
        <f t="shared" si="7"/>
        <v>0</v>
      </c>
      <c r="AE15" s="31">
        <f t="shared" si="7"/>
        <v>145</v>
      </c>
      <c r="AF15" s="31">
        <f t="shared" si="7"/>
        <v>493</v>
      </c>
    </row>
    <row r="16" spans="2:32" ht="23.1" customHeight="1" x14ac:dyDescent="0.25">
      <c r="B16" s="45" t="s">
        <v>43</v>
      </c>
      <c r="C16" s="50">
        <v>22</v>
      </c>
      <c r="D16" s="50">
        <v>17</v>
      </c>
      <c r="E16" s="50">
        <v>8</v>
      </c>
      <c r="F16" s="50">
        <v>2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2</v>
      </c>
      <c r="M16" s="50">
        <v>116</v>
      </c>
      <c r="N16" s="50">
        <v>0</v>
      </c>
      <c r="O16" s="15">
        <f t="shared" si="0"/>
        <v>53</v>
      </c>
      <c r="P16" s="15">
        <f t="shared" si="1"/>
        <v>169</v>
      </c>
      <c r="R16" s="1" t="s">
        <v>12</v>
      </c>
      <c r="S16" s="17">
        <f t="shared" ref="S16:AF16" si="8">SUM(C34:C37)</f>
        <v>69</v>
      </c>
      <c r="T16" s="17">
        <f t="shared" si="8"/>
        <v>41</v>
      </c>
      <c r="U16" s="17">
        <f t="shared" si="8"/>
        <v>9</v>
      </c>
      <c r="V16" s="17">
        <f t="shared" si="8"/>
        <v>9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5</v>
      </c>
      <c r="AA16" s="17">
        <f t="shared" si="8"/>
        <v>4</v>
      </c>
      <c r="AB16" s="17">
        <f t="shared" si="8"/>
        <v>31</v>
      </c>
      <c r="AC16" s="17">
        <f t="shared" si="8"/>
        <v>497</v>
      </c>
      <c r="AD16" s="17">
        <f t="shared" si="8"/>
        <v>0</v>
      </c>
      <c r="AE16" s="31">
        <f t="shared" si="8"/>
        <v>176</v>
      </c>
      <c r="AF16" s="31">
        <f t="shared" si="8"/>
        <v>673</v>
      </c>
    </row>
    <row r="17" spans="2:32" ht="23.1" customHeight="1" x14ac:dyDescent="0.25">
      <c r="B17" s="45" t="s">
        <v>44</v>
      </c>
      <c r="C17" s="50">
        <v>30</v>
      </c>
      <c r="D17" s="50">
        <v>17</v>
      </c>
      <c r="E17" s="50">
        <v>4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93</v>
      </c>
      <c r="N17" s="50">
        <v>0</v>
      </c>
      <c r="O17" s="15">
        <f t="shared" si="0"/>
        <v>54</v>
      </c>
      <c r="P17" s="15">
        <f t="shared" si="1"/>
        <v>147</v>
      </c>
      <c r="R17" s="1" t="s">
        <v>13</v>
      </c>
      <c r="S17" s="17">
        <f t="shared" ref="S17:AF17" si="9">SUM(C38:C41)</f>
        <v>77</v>
      </c>
      <c r="T17" s="17">
        <f t="shared" si="9"/>
        <v>34</v>
      </c>
      <c r="U17" s="17">
        <f t="shared" si="9"/>
        <v>11</v>
      </c>
      <c r="V17" s="17">
        <f t="shared" si="9"/>
        <v>11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8</v>
      </c>
      <c r="AA17" s="17">
        <f t="shared" si="9"/>
        <v>4</v>
      </c>
      <c r="AB17" s="17">
        <f t="shared" si="9"/>
        <v>14</v>
      </c>
      <c r="AC17" s="17">
        <f t="shared" si="9"/>
        <v>466</v>
      </c>
      <c r="AD17" s="17">
        <f t="shared" si="9"/>
        <v>0</v>
      </c>
      <c r="AE17" s="31">
        <f t="shared" si="9"/>
        <v>168</v>
      </c>
      <c r="AF17" s="31">
        <f t="shared" si="9"/>
        <v>634</v>
      </c>
    </row>
    <row r="18" spans="2:32" ht="23.1" customHeight="1" x14ac:dyDescent="0.25">
      <c r="B18" s="45" t="s">
        <v>45</v>
      </c>
      <c r="C18" s="50">
        <v>22</v>
      </c>
      <c r="D18" s="50">
        <v>9</v>
      </c>
      <c r="E18" s="50">
        <v>7</v>
      </c>
      <c r="F18" s="50">
        <v>5</v>
      </c>
      <c r="G18" s="50">
        <v>0</v>
      </c>
      <c r="H18" s="50">
        <v>0</v>
      </c>
      <c r="I18" s="50">
        <v>1</v>
      </c>
      <c r="J18" s="50">
        <v>2</v>
      </c>
      <c r="K18" s="50">
        <v>2</v>
      </c>
      <c r="L18" s="50">
        <v>4</v>
      </c>
      <c r="M18" s="50">
        <v>73</v>
      </c>
      <c r="N18" s="50">
        <v>0</v>
      </c>
      <c r="O18" s="15">
        <f t="shared" si="0"/>
        <v>52</v>
      </c>
      <c r="P18" s="15">
        <f t="shared" si="1"/>
        <v>125</v>
      </c>
      <c r="R18" s="1" t="s">
        <v>14</v>
      </c>
      <c r="S18" s="17">
        <f t="shared" ref="S18:AF18" si="10">SUM(C42:C45)</f>
        <v>73</v>
      </c>
      <c r="T18" s="17">
        <f t="shared" si="10"/>
        <v>32</v>
      </c>
      <c r="U18" s="17">
        <f t="shared" si="10"/>
        <v>8</v>
      </c>
      <c r="V18" s="17">
        <f t="shared" si="10"/>
        <v>17</v>
      </c>
      <c r="W18" s="17">
        <f t="shared" si="10"/>
        <v>1</v>
      </c>
      <c r="X18" s="17">
        <f t="shared" si="10"/>
        <v>0</v>
      </c>
      <c r="Y18" s="17">
        <f t="shared" si="10"/>
        <v>6</v>
      </c>
      <c r="Z18" s="17">
        <f t="shared" si="10"/>
        <v>7</v>
      </c>
      <c r="AA18" s="17">
        <f t="shared" si="10"/>
        <v>7</v>
      </c>
      <c r="AB18" s="17">
        <f t="shared" si="10"/>
        <v>35</v>
      </c>
      <c r="AC18" s="17">
        <f t="shared" si="10"/>
        <v>620</v>
      </c>
      <c r="AD18" s="17">
        <f t="shared" si="10"/>
        <v>0</v>
      </c>
      <c r="AE18" s="31">
        <f t="shared" si="10"/>
        <v>186</v>
      </c>
      <c r="AF18" s="31">
        <f t="shared" si="10"/>
        <v>806</v>
      </c>
    </row>
    <row r="19" spans="2:32" ht="23.1" customHeight="1" x14ac:dyDescent="0.25">
      <c r="B19" s="45" t="s">
        <v>46</v>
      </c>
      <c r="C19" s="50">
        <v>20</v>
      </c>
      <c r="D19" s="50">
        <v>8</v>
      </c>
      <c r="E19" s="50">
        <v>5</v>
      </c>
      <c r="F19" s="50">
        <v>6</v>
      </c>
      <c r="G19" s="50">
        <v>0</v>
      </c>
      <c r="H19" s="50">
        <v>0</v>
      </c>
      <c r="I19" s="50">
        <v>5</v>
      </c>
      <c r="J19" s="50">
        <v>0</v>
      </c>
      <c r="K19" s="50">
        <v>1</v>
      </c>
      <c r="L19" s="50">
        <v>3</v>
      </c>
      <c r="M19" s="50">
        <v>108</v>
      </c>
      <c r="N19" s="50">
        <v>0</v>
      </c>
      <c r="O19" s="15">
        <f t="shared" si="0"/>
        <v>48</v>
      </c>
      <c r="P19" s="15">
        <f t="shared" si="1"/>
        <v>156</v>
      </c>
      <c r="R19" s="1" t="s">
        <v>15</v>
      </c>
      <c r="S19" s="17">
        <f t="shared" ref="S19:AF19" si="11">SUM(C46:C49)</f>
        <v>82</v>
      </c>
      <c r="T19" s="17">
        <f t="shared" si="11"/>
        <v>50</v>
      </c>
      <c r="U19" s="17">
        <f t="shared" si="11"/>
        <v>13</v>
      </c>
      <c r="V19" s="17">
        <f t="shared" si="11"/>
        <v>14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8</v>
      </c>
      <c r="AA19" s="17">
        <f t="shared" si="11"/>
        <v>2</v>
      </c>
      <c r="AB19" s="17">
        <f t="shared" si="11"/>
        <v>11</v>
      </c>
      <c r="AC19" s="17">
        <f t="shared" si="11"/>
        <v>461</v>
      </c>
      <c r="AD19" s="17">
        <f t="shared" si="11"/>
        <v>0</v>
      </c>
      <c r="AE19" s="31">
        <f t="shared" si="11"/>
        <v>184</v>
      </c>
      <c r="AF19" s="31">
        <f t="shared" si="11"/>
        <v>645</v>
      </c>
    </row>
    <row r="20" spans="2:32" ht="23.1" customHeight="1" x14ac:dyDescent="0.25">
      <c r="B20" s="45" t="s">
        <v>47</v>
      </c>
      <c r="C20" s="50">
        <v>17</v>
      </c>
      <c r="D20" s="50">
        <v>15</v>
      </c>
      <c r="E20" s="50">
        <v>2</v>
      </c>
      <c r="F20" s="50">
        <v>4</v>
      </c>
      <c r="G20" s="50">
        <v>0</v>
      </c>
      <c r="H20" s="50">
        <v>0</v>
      </c>
      <c r="I20" s="50">
        <v>3</v>
      </c>
      <c r="J20" s="50">
        <v>1</v>
      </c>
      <c r="K20" s="50">
        <v>1</v>
      </c>
      <c r="L20" s="50">
        <v>1</v>
      </c>
      <c r="M20" s="50">
        <v>101</v>
      </c>
      <c r="N20" s="50">
        <v>0</v>
      </c>
      <c r="O20" s="15">
        <f t="shared" si="0"/>
        <v>44</v>
      </c>
      <c r="P20" s="15">
        <f t="shared" si="1"/>
        <v>145</v>
      </c>
      <c r="R20" s="1" t="s">
        <v>16</v>
      </c>
      <c r="S20" s="17">
        <f t="shared" ref="S20:AF20" si="12">SUM(C50:C53)</f>
        <v>77</v>
      </c>
      <c r="T20" s="17">
        <f t="shared" si="12"/>
        <v>42</v>
      </c>
      <c r="U20" s="17">
        <f t="shared" si="12"/>
        <v>24</v>
      </c>
      <c r="V20" s="17">
        <f t="shared" si="12"/>
        <v>16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4</v>
      </c>
      <c r="AA20" s="17">
        <f t="shared" si="12"/>
        <v>0</v>
      </c>
      <c r="AB20" s="17">
        <f t="shared" si="12"/>
        <v>5</v>
      </c>
      <c r="AC20" s="17">
        <f t="shared" si="12"/>
        <v>468</v>
      </c>
      <c r="AD20" s="17">
        <f t="shared" si="12"/>
        <v>0</v>
      </c>
      <c r="AE20" s="31">
        <f t="shared" si="12"/>
        <v>177</v>
      </c>
      <c r="AF20" s="31">
        <f t="shared" si="12"/>
        <v>645</v>
      </c>
    </row>
    <row r="21" spans="2:32" ht="23.1" customHeight="1" x14ac:dyDescent="0.25">
      <c r="B21" s="45" t="s">
        <v>48</v>
      </c>
      <c r="C21" s="50">
        <v>23</v>
      </c>
      <c r="D21" s="50">
        <v>21</v>
      </c>
      <c r="E21" s="50">
        <v>4</v>
      </c>
      <c r="F21" s="50">
        <v>4</v>
      </c>
      <c r="G21" s="50">
        <v>0</v>
      </c>
      <c r="H21" s="50">
        <v>0</v>
      </c>
      <c r="I21" s="50">
        <v>4</v>
      </c>
      <c r="J21" s="50">
        <v>1</v>
      </c>
      <c r="K21" s="50">
        <v>2</v>
      </c>
      <c r="L21" s="50">
        <v>3</v>
      </c>
      <c r="M21" s="50">
        <v>87</v>
      </c>
      <c r="N21" s="50">
        <v>0</v>
      </c>
      <c r="O21" s="15">
        <f t="shared" si="0"/>
        <v>62</v>
      </c>
      <c r="P21" s="15">
        <f t="shared" si="1"/>
        <v>149</v>
      </c>
      <c r="R21" s="36" t="s">
        <v>20</v>
      </c>
      <c r="S21" s="34">
        <f t="shared" ref="S21:AF21" si="13">SUM(C54:C57)</f>
        <v>63</v>
      </c>
      <c r="T21" s="17">
        <f t="shared" si="13"/>
        <v>46</v>
      </c>
      <c r="U21" s="17">
        <f t="shared" si="13"/>
        <v>13</v>
      </c>
      <c r="V21" s="17">
        <f t="shared" si="13"/>
        <v>18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3</v>
      </c>
      <c r="AA21" s="17">
        <f t="shared" si="13"/>
        <v>0</v>
      </c>
      <c r="AB21" s="17">
        <f t="shared" si="13"/>
        <v>4</v>
      </c>
      <c r="AC21" s="17">
        <f t="shared" si="13"/>
        <v>491</v>
      </c>
      <c r="AD21" s="17">
        <f t="shared" si="13"/>
        <v>0</v>
      </c>
      <c r="AE21" s="31">
        <f t="shared" si="13"/>
        <v>153</v>
      </c>
      <c r="AF21" s="31">
        <f t="shared" si="13"/>
        <v>644</v>
      </c>
    </row>
    <row r="22" spans="2:32" ht="23.1" customHeight="1" x14ac:dyDescent="0.25">
      <c r="B22" s="45" t="s">
        <v>49</v>
      </c>
      <c r="C22" s="50">
        <v>25</v>
      </c>
      <c r="D22" s="50">
        <v>16</v>
      </c>
      <c r="E22" s="50">
        <v>7</v>
      </c>
      <c r="F22" s="50">
        <v>5</v>
      </c>
      <c r="G22" s="50">
        <v>0</v>
      </c>
      <c r="H22" s="50">
        <v>0</v>
      </c>
      <c r="I22" s="50">
        <v>6</v>
      </c>
      <c r="J22" s="50">
        <v>1</v>
      </c>
      <c r="K22" s="50">
        <v>1</v>
      </c>
      <c r="L22" s="50">
        <v>3</v>
      </c>
      <c r="M22" s="50">
        <v>87</v>
      </c>
      <c r="N22" s="50">
        <v>0</v>
      </c>
      <c r="O22" s="15">
        <f t="shared" si="0"/>
        <v>64</v>
      </c>
      <c r="P22" s="15">
        <f t="shared" si="1"/>
        <v>151</v>
      </c>
      <c r="R22" s="36" t="s">
        <v>146</v>
      </c>
      <c r="S22" s="34">
        <f>SUM(C58:C61)</f>
        <v>74</v>
      </c>
      <c r="T22" s="34">
        <f t="shared" ref="T22:AF22" si="14">SUM(D58:D61)</f>
        <v>39</v>
      </c>
      <c r="U22" s="34">
        <f t="shared" si="14"/>
        <v>21</v>
      </c>
      <c r="V22" s="34">
        <f t="shared" si="14"/>
        <v>29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1</v>
      </c>
      <c r="AA22" s="34">
        <f t="shared" si="14"/>
        <v>1</v>
      </c>
      <c r="AB22" s="34">
        <f t="shared" si="14"/>
        <v>3</v>
      </c>
      <c r="AC22" s="34">
        <f t="shared" si="14"/>
        <v>421</v>
      </c>
      <c r="AD22" s="34">
        <f t="shared" si="14"/>
        <v>0</v>
      </c>
      <c r="AE22" s="31">
        <f t="shared" si="14"/>
        <v>170</v>
      </c>
      <c r="AF22" s="31">
        <f t="shared" si="14"/>
        <v>591</v>
      </c>
    </row>
    <row r="23" spans="2:32" ht="23.1" customHeight="1" x14ac:dyDescent="0.25">
      <c r="B23" s="45" t="s">
        <v>50</v>
      </c>
      <c r="C23" s="50">
        <v>15</v>
      </c>
      <c r="D23" s="50">
        <v>12</v>
      </c>
      <c r="E23" s="50">
        <v>0</v>
      </c>
      <c r="F23" s="50">
        <v>0</v>
      </c>
      <c r="G23" s="50">
        <v>0</v>
      </c>
      <c r="H23" s="50">
        <v>0</v>
      </c>
      <c r="I23" s="50">
        <v>3</v>
      </c>
      <c r="J23" s="50">
        <v>1</v>
      </c>
      <c r="K23" s="50">
        <v>1</v>
      </c>
      <c r="L23" s="50">
        <v>5</v>
      </c>
      <c r="M23" s="50">
        <v>101</v>
      </c>
      <c r="N23" s="50">
        <v>0</v>
      </c>
      <c r="O23" s="15">
        <f t="shared" si="0"/>
        <v>37</v>
      </c>
      <c r="P23" s="15">
        <f t="shared" si="1"/>
        <v>138</v>
      </c>
      <c r="R23" s="36" t="s">
        <v>147</v>
      </c>
      <c r="S23" s="34">
        <f>SUM(C62:C65)</f>
        <v>96</v>
      </c>
      <c r="T23" s="34">
        <f t="shared" ref="T23:AF23" si="15">SUM(D62:D65)</f>
        <v>54</v>
      </c>
      <c r="U23" s="34">
        <f t="shared" si="15"/>
        <v>19</v>
      </c>
      <c r="V23" s="34">
        <f t="shared" si="15"/>
        <v>39</v>
      </c>
      <c r="W23" s="34">
        <f t="shared" si="15"/>
        <v>0</v>
      </c>
      <c r="X23" s="34">
        <f t="shared" si="15"/>
        <v>0</v>
      </c>
      <c r="Y23" s="34">
        <f t="shared" si="15"/>
        <v>4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393</v>
      </c>
      <c r="AD23" s="34">
        <f t="shared" si="15"/>
        <v>0</v>
      </c>
      <c r="AE23" s="31">
        <f t="shared" si="15"/>
        <v>213</v>
      </c>
      <c r="AF23" s="31">
        <f t="shared" si="15"/>
        <v>606</v>
      </c>
    </row>
    <row r="24" spans="2:32" ht="23.1" customHeight="1" x14ac:dyDescent="0.25">
      <c r="B24" s="45" t="s">
        <v>51</v>
      </c>
      <c r="C24" s="50">
        <v>24</v>
      </c>
      <c r="D24" s="50">
        <v>15</v>
      </c>
      <c r="E24" s="50">
        <v>2</v>
      </c>
      <c r="F24" s="50">
        <v>6</v>
      </c>
      <c r="G24" s="50">
        <v>0</v>
      </c>
      <c r="H24" s="50">
        <v>0</v>
      </c>
      <c r="I24" s="50">
        <v>1</v>
      </c>
      <c r="J24" s="50">
        <v>0</v>
      </c>
      <c r="K24" s="50">
        <v>2</v>
      </c>
      <c r="L24" s="50">
        <v>4</v>
      </c>
      <c r="M24" s="50">
        <v>113</v>
      </c>
      <c r="N24" s="50">
        <v>0</v>
      </c>
      <c r="O24" s="15">
        <f t="shared" si="0"/>
        <v>54</v>
      </c>
      <c r="P24" s="15">
        <f t="shared" si="1"/>
        <v>167</v>
      </c>
      <c r="R24" s="36" t="s">
        <v>148</v>
      </c>
      <c r="S24" s="34">
        <f>SUM(C66:C69)</f>
        <v>100</v>
      </c>
      <c r="T24" s="34">
        <f t="shared" ref="T24:AF24" si="16">SUM(D66:D69)</f>
        <v>56</v>
      </c>
      <c r="U24" s="34">
        <f t="shared" si="16"/>
        <v>12</v>
      </c>
      <c r="V24" s="34">
        <f t="shared" si="16"/>
        <v>22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0</v>
      </c>
      <c r="AA24" s="34">
        <f t="shared" si="16"/>
        <v>0</v>
      </c>
      <c r="AB24" s="34">
        <f t="shared" si="16"/>
        <v>1</v>
      </c>
      <c r="AC24" s="34">
        <f t="shared" si="16"/>
        <v>348</v>
      </c>
      <c r="AD24" s="34">
        <f t="shared" si="16"/>
        <v>0</v>
      </c>
      <c r="AE24" s="31">
        <f t="shared" si="16"/>
        <v>195</v>
      </c>
      <c r="AF24" s="31">
        <f t="shared" si="16"/>
        <v>543</v>
      </c>
    </row>
    <row r="25" spans="2:32" ht="23.1" customHeight="1" x14ac:dyDescent="0.25">
      <c r="B25" s="45" t="s">
        <v>52</v>
      </c>
      <c r="C25" s="50">
        <v>24</v>
      </c>
      <c r="D25" s="50">
        <v>14</v>
      </c>
      <c r="E25" s="50">
        <v>2</v>
      </c>
      <c r="F25" s="50">
        <v>3</v>
      </c>
      <c r="G25" s="50">
        <v>0</v>
      </c>
      <c r="H25" s="50">
        <v>0</v>
      </c>
      <c r="I25" s="50">
        <v>0</v>
      </c>
      <c r="J25" s="50">
        <v>2</v>
      </c>
      <c r="K25" s="50">
        <v>1</v>
      </c>
      <c r="L25" s="50">
        <v>4</v>
      </c>
      <c r="M25" s="50">
        <v>90</v>
      </c>
      <c r="N25" s="50">
        <v>0</v>
      </c>
      <c r="O25" s="15">
        <f t="shared" si="0"/>
        <v>50</v>
      </c>
      <c r="P25" s="15">
        <f t="shared" si="1"/>
        <v>140</v>
      </c>
      <c r="R25" s="36" t="s">
        <v>149</v>
      </c>
      <c r="S25" s="34">
        <f>SUM(C70:C73)</f>
        <v>102</v>
      </c>
      <c r="T25" s="34">
        <f t="shared" ref="T25:AF25" si="17">SUM(D70:D73)</f>
        <v>59</v>
      </c>
      <c r="U25" s="34">
        <f t="shared" si="17"/>
        <v>11</v>
      </c>
      <c r="V25" s="34">
        <f t="shared" si="17"/>
        <v>23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1</v>
      </c>
      <c r="AA25" s="34">
        <f t="shared" si="17"/>
        <v>2</v>
      </c>
      <c r="AB25" s="34">
        <f t="shared" si="17"/>
        <v>2</v>
      </c>
      <c r="AC25" s="34">
        <f t="shared" si="17"/>
        <v>335</v>
      </c>
      <c r="AD25" s="34">
        <f t="shared" si="17"/>
        <v>0</v>
      </c>
      <c r="AE25" s="31">
        <f t="shared" si="17"/>
        <v>203</v>
      </c>
      <c r="AF25" s="31">
        <f t="shared" si="17"/>
        <v>538</v>
      </c>
    </row>
    <row r="26" spans="2:32" ht="23.1" customHeight="1" x14ac:dyDescent="0.25">
      <c r="B26" s="45" t="s">
        <v>53</v>
      </c>
      <c r="C26" s="50">
        <v>25</v>
      </c>
      <c r="D26" s="50">
        <v>14</v>
      </c>
      <c r="E26" s="50">
        <v>6</v>
      </c>
      <c r="F26" s="50">
        <v>2</v>
      </c>
      <c r="G26" s="50">
        <v>0</v>
      </c>
      <c r="H26" s="50">
        <v>0</v>
      </c>
      <c r="I26" s="50">
        <v>5</v>
      </c>
      <c r="J26" s="50">
        <v>2</v>
      </c>
      <c r="K26" s="50">
        <v>0</v>
      </c>
      <c r="L26" s="50">
        <v>6</v>
      </c>
      <c r="M26" s="50">
        <v>92</v>
      </c>
      <c r="N26" s="50">
        <v>0</v>
      </c>
      <c r="O26" s="15">
        <f t="shared" si="0"/>
        <v>60</v>
      </c>
      <c r="P26" s="15">
        <f t="shared" si="1"/>
        <v>152</v>
      </c>
      <c r="R26" s="36" t="s">
        <v>150</v>
      </c>
      <c r="S26" s="34">
        <f>SUM(C74:C77)</f>
        <v>82</v>
      </c>
      <c r="T26" s="34">
        <f t="shared" ref="T26:AF26" si="18">SUM(D74:D77)</f>
        <v>54</v>
      </c>
      <c r="U26" s="34">
        <f t="shared" si="18"/>
        <v>6</v>
      </c>
      <c r="V26" s="34">
        <f t="shared" si="18"/>
        <v>8</v>
      </c>
      <c r="W26" s="34">
        <f t="shared" si="18"/>
        <v>0</v>
      </c>
      <c r="X26" s="34">
        <f t="shared" si="18"/>
        <v>0</v>
      </c>
      <c r="Y26" s="34">
        <f t="shared" si="18"/>
        <v>5</v>
      </c>
      <c r="Z26" s="34">
        <f t="shared" si="18"/>
        <v>1</v>
      </c>
      <c r="AA26" s="34">
        <f t="shared" si="18"/>
        <v>0</v>
      </c>
      <c r="AB26" s="34">
        <f t="shared" si="18"/>
        <v>1</v>
      </c>
      <c r="AC26" s="34">
        <f t="shared" si="18"/>
        <v>185</v>
      </c>
      <c r="AD26" s="34">
        <f t="shared" si="18"/>
        <v>0</v>
      </c>
      <c r="AE26" s="31">
        <f t="shared" si="18"/>
        <v>157</v>
      </c>
      <c r="AF26" s="31">
        <f t="shared" si="18"/>
        <v>342</v>
      </c>
    </row>
    <row r="27" spans="2:32" ht="23.1" customHeight="1" x14ac:dyDescent="0.25">
      <c r="B27" s="45" t="s">
        <v>54</v>
      </c>
      <c r="C27" s="50">
        <v>6</v>
      </c>
      <c r="D27" s="50">
        <v>4</v>
      </c>
      <c r="E27" s="50">
        <v>2</v>
      </c>
      <c r="F27" s="50">
        <v>1</v>
      </c>
      <c r="G27" s="50">
        <v>0</v>
      </c>
      <c r="H27" s="50">
        <v>0</v>
      </c>
      <c r="I27" s="50">
        <v>0</v>
      </c>
      <c r="J27" s="50">
        <v>1</v>
      </c>
      <c r="K27" s="50">
        <v>1</v>
      </c>
      <c r="L27" s="50">
        <v>4</v>
      </c>
      <c r="M27" s="50">
        <v>98</v>
      </c>
      <c r="N27" s="50">
        <v>0</v>
      </c>
      <c r="O27" s="15">
        <f t="shared" si="0"/>
        <v>19</v>
      </c>
      <c r="P27" s="15">
        <f t="shared" si="1"/>
        <v>117</v>
      </c>
      <c r="R27" s="36" t="s">
        <v>151</v>
      </c>
      <c r="S27" s="34">
        <f>SUM(C78:C81)</f>
        <v>53</v>
      </c>
      <c r="T27" s="34">
        <f t="shared" ref="T27:AF27" si="19">SUM(D78:D81)</f>
        <v>27</v>
      </c>
      <c r="U27" s="34">
        <f t="shared" si="19"/>
        <v>12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1</v>
      </c>
      <c r="AA27" s="34">
        <f t="shared" si="19"/>
        <v>1</v>
      </c>
      <c r="AB27" s="34">
        <f t="shared" si="19"/>
        <v>2</v>
      </c>
      <c r="AC27" s="34">
        <f t="shared" si="19"/>
        <v>143</v>
      </c>
      <c r="AD27" s="34">
        <f t="shared" si="19"/>
        <v>0</v>
      </c>
      <c r="AE27" s="31">
        <f t="shared" si="19"/>
        <v>101</v>
      </c>
      <c r="AF27" s="31">
        <f t="shared" si="19"/>
        <v>244</v>
      </c>
    </row>
    <row r="28" spans="2:32" ht="23.1" customHeight="1" x14ac:dyDescent="0.25">
      <c r="B28" s="45" t="s">
        <v>55</v>
      </c>
      <c r="C28" s="50">
        <v>31</v>
      </c>
      <c r="D28" s="50">
        <v>12</v>
      </c>
      <c r="E28" s="50">
        <v>5</v>
      </c>
      <c r="F28" s="50">
        <v>8</v>
      </c>
      <c r="G28" s="50">
        <v>0</v>
      </c>
      <c r="H28" s="50">
        <v>0</v>
      </c>
      <c r="I28" s="50">
        <v>3</v>
      </c>
      <c r="J28" s="50">
        <v>2</v>
      </c>
      <c r="K28" s="50">
        <v>1</v>
      </c>
      <c r="L28" s="50">
        <v>3</v>
      </c>
      <c r="M28" s="50">
        <v>92</v>
      </c>
      <c r="N28" s="50">
        <v>0</v>
      </c>
      <c r="O28" s="15">
        <f t="shared" si="0"/>
        <v>65</v>
      </c>
      <c r="P28" s="15">
        <f t="shared" si="1"/>
        <v>157</v>
      </c>
      <c r="R28" s="36" t="s">
        <v>152</v>
      </c>
      <c r="S28" s="34">
        <f>SUM(C82:C85)</f>
        <v>44</v>
      </c>
      <c r="T28" s="34">
        <f t="shared" ref="T28:AF28" si="20">SUM(D82:D85)</f>
        <v>16</v>
      </c>
      <c r="U28" s="34">
        <f t="shared" si="20"/>
        <v>4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5</v>
      </c>
      <c r="Z28" s="34">
        <f t="shared" si="20"/>
        <v>2</v>
      </c>
      <c r="AA28" s="34">
        <f t="shared" si="20"/>
        <v>1</v>
      </c>
      <c r="AB28" s="34">
        <f t="shared" si="20"/>
        <v>4</v>
      </c>
      <c r="AC28" s="34">
        <f t="shared" si="20"/>
        <v>39</v>
      </c>
      <c r="AD28" s="34">
        <f t="shared" si="20"/>
        <v>0</v>
      </c>
      <c r="AE28" s="31">
        <f t="shared" si="20"/>
        <v>77</v>
      </c>
      <c r="AF28" s="31">
        <f t="shared" si="20"/>
        <v>116</v>
      </c>
    </row>
    <row r="29" spans="2:32" ht="23.1" customHeight="1" x14ac:dyDescent="0.25">
      <c r="B29" s="45" t="s">
        <v>56</v>
      </c>
      <c r="C29" s="50">
        <v>13</v>
      </c>
      <c r="D29" s="50">
        <v>9</v>
      </c>
      <c r="E29" s="50">
        <v>1</v>
      </c>
      <c r="F29" s="50">
        <v>3</v>
      </c>
      <c r="G29" s="50">
        <v>0</v>
      </c>
      <c r="H29" s="50">
        <v>0</v>
      </c>
      <c r="I29" s="50">
        <v>0</v>
      </c>
      <c r="J29" s="50">
        <v>3</v>
      </c>
      <c r="K29" s="50">
        <v>1</v>
      </c>
      <c r="L29" s="50">
        <v>7</v>
      </c>
      <c r="M29" s="50">
        <v>105</v>
      </c>
      <c r="N29" s="50">
        <v>0</v>
      </c>
      <c r="O29" s="15">
        <f t="shared" si="0"/>
        <v>37</v>
      </c>
      <c r="P29" s="15">
        <f t="shared" si="1"/>
        <v>142</v>
      </c>
      <c r="R29" s="36" t="s">
        <v>153</v>
      </c>
      <c r="S29" s="34">
        <f>SUM(C86:C89)</f>
        <v>27</v>
      </c>
      <c r="T29" s="34">
        <f t="shared" ref="T29:AF29" si="21">SUM(D86:D89)</f>
        <v>7</v>
      </c>
      <c r="U29" s="34">
        <f t="shared" si="21"/>
        <v>3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3</v>
      </c>
      <c r="AA29" s="34">
        <f t="shared" si="21"/>
        <v>0</v>
      </c>
      <c r="AB29" s="34">
        <f t="shared" si="21"/>
        <v>2</v>
      </c>
      <c r="AC29" s="34">
        <f t="shared" si="21"/>
        <v>72</v>
      </c>
      <c r="AD29" s="34">
        <f t="shared" si="21"/>
        <v>0</v>
      </c>
      <c r="AE29" s="31">
        <f t="shared" si="21"/>
        <v>44</v>
      </c>
      <c r="AF29" s="31">
        <f t="shared" si="21"/>
        <v>116</v>
      </c>
    </row>
    <row r="30" spans="2:32" ht="23.1" customHeight="1" x14ac:dyDescent="0.25">
      <c r="B30" s="45" t="s">
        <v>57</v>
      </c>
      <c r="C30" s="50">
        <v>12</v>
      </c>
      <c r="D30" s="50">
        <v>1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4</v>
      </c>
      <c r="M30" s="50">
        <v>65</v>
      </c>
      <c r="N30" s="50">
        <v>0</v>
      </c>
      <c r="O30" s="15">
        <f t="shared" si="0"/>
        <v>19</v>
      </c>
      <c r="P30" s="15">
        <f t="shared" si="1"/>
        <v>84</v>
      </c>
      <c r="R30" s="36" t="s">
        <v>154</v>
      </c>
      <c r="S30" s="34">
        <f>SUM(C90:C93)</f>
        <v>16</v>
      </c>
      <c r="T30" s="34">
        <f t="shared" ref="T30:AF30" si="22">SUM(D90:D93)</f>
        <v>13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5</v>
      </c>
      <c r="Z30" s="34">
        <f t="shared" si="22"/>
        <v>4</v>
      </c>
      <c r="AA30" s="34">
        <f t="shared" si="22"/>
        <v>3</v>
      </c>
      <c r="AB30" s="34">
        <f t="shared" si="22"/>
        <v>4</v>
      </c>
      <c r="AC30" s="34">
        <f t="shared" si="22"/>
        <v>43</v>
      </c>
      <c r="AD30" s="34">
        <f t="shared" si="22"/>
        <v>0</v>
      </c>
      <c r="AE30" s="31">
        <f t="shared" si="22"/>
        <v>49</v>
      </c>
      <c r="AF30" s="31">
        <f t="shared" si="22"/>
        <v>92</v>
      </c>
    </row>
    <row r="31" spans="2:32" ht="23.1" customHeight="1" x14ac:dyDescent="0.25">
      <c r="B31" s="46" t="s">
        <v>58</v>
      </c>
      <c r="C31" s="50">
        <v>16</v>
      </c>
      <c r="D31" s="50">
        <v>12</v>
      </c>
      <c r="E31" s="50">
        <v>1</v>
      </c>
      <c r="F31" s="50">
        <v>3</v>
      </c>
      <c r="G31" s="50">
        <v>0</v>
      </c>
      <c r="H31" s="50">
        <v>0</v>
      </c>
      <c r="I31" s="50">
        <v>3</v>
      </c>
      <c r="J31" s="50">
        <v>3</v>
      </c>
      <c r="K31" s="50">
        <v>1</v>
      </c>
      <c r="L31" s="50">
        <v>5</v>
      </c>
      <c r="M31" s="50">
        <v>88</v>
      </c>
      <c r="N31" s="50">
        <v>0</v>
      </c>
      <c r="O31" s="15">
        <f t="shared" si="0"/>
        <v>44</v>
      </c>
      <c r="P31" s="15">
        <f t="shared" si="1"/>
        <v>132</v>
      </c>
      <c r="R31" s="36" t="s">
        <v>155</v>
      </c>
      <c r="S31" s="34">
        <f>SUM(C94:C97)</f>
        <v>17</v>
      </c>
      <c r="T31" s="34">
        <f t="shared" ref="T31:AF31" si="23">SUM(D94:D97)</f>
        <v>6</v>
      </c>
      <c r="U31" s="34">
        <f t="shared" si="23"/>
        <v>0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6</v>
      </c>
      <c r="Z31" s="34">
        <f t="shared" si="23"/>
        <v>3</v>
      </c>
      <c r="AA31" s="34">
        <f t="shared" si="23"/>
        <v>1</v>
      </c>
      <c r="AB31" s="34">
        <f t="shared" si="23"/>
        <v>2</v>
      </c>
      <c r="AC31" s="34">
        <f t="shared" si="23"/>
        <v>42</v>
      </c>
      <c r="AD31" s="34">
        <f t="shared" si="23"/>
        <v>0</v>
      </c>
      <c r="AE31" s="31">
        <f t="shared" si="23"/>
        <v>37</v>
      </c>
      <c r="AF31" s="31">
        <f t="shared" si="23"/>
        <v>79</v>
      </c>
    </row>
    <row r="32" spans="2:32" ht="23.1" customHeight="1" x14ac:dyDescent="0.25">
      <c r="B32" s="46" t="s">
        <v>59</v>
      </c>
      <c r="C32" s="50">
        <v>6</v>
      </c>
      <c r="D32" s="50">
        <v>7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90</v>
      </c>
      <c r="N32" s="50">
        <v>0</v>
      </c>
      <c r="O32" s="15">
        <f t="shared" si="0"/>
        <v>13</v>
      </c>
      <c r="P32" s="15">
        <f t="shared" si="1"/>
        <v>103</v>
      </c>
      <c r="R32" s="33" t="s">
        <v>156</v>
      </c>
      <c r="S32" s="34">
        <f>SUM(C98:C101)</f>
        <v>23</v>
      </c>
      <c r="T32" s="34">
        <f t="shared" ref="T32:AF32" si="24">SUM(D98:D101)</f>
        <v>7</v>
      </c>
      <c r="U32" s="34">
        <f t="shared" si="24"/>
        <v>4</v>
      </c>
      <c r="V32" s="34">
        <f t="shared" si="24"/>
        <v>6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0</v>
      </c>
      <c r="AB32" s="34">
        <f t="shared" si="24"/>
        <v>3</v>
      </c>
      <c r="AC32" s="34">
        <f t="shared" si="24"/>
        <v>79</v>
      </c>
      <c r="AD32" s="34">
        <f t="shared" si="24"/>
        <v>0</v>
      </c>
      <c r="AE32" s="31">
        <f t="shared" si="24"/>
        <v>45</v>
      </c>
      <c r="AF32" s="31">
        <f t="shared" si="24"/>
        <v>124</v>
      </c>
    </row>
    <row r="33" spans="2:32" ht="23.1" customHeight="1" x14ac:dyDescent="0.25">
      <c r="B33" s="45" t="s">
        <v>60</v>
      </c>
      <c r="C33" s="50">
        <v>26</v>
      </c>
      <c r="D33" s="50">
        <v>13</v>
      </c>
      <c r="E33" s="50">
        <v>8</v>
      </c>
      <c r="F33" s="50">
        <v>4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15</v>
      </c>
      <c r="M33" s="50">
        <v>105</v>
      </c>
      <c r="N33" s="50">
        <v>0</v>
      </c>
      <c r="O33" s="15">
        <f t="shared" si="0"/>
        <v>69</v>
      </c>
      <c r="P33" s="15">
        <f t="shared" si="1"/>
        <v>174</v>
      </c>
      <c r="R33" s="33" t="s">
        <v>157</v>
      </c>
      <c r="S33" s="34">
        <f>SUM(C102:C105)</f>
        <v>47</v>
      </c>
      <c r="T33" s="34">
        <f t="shared" ref="T33:AF33" si="25">SUM(D102:D105)</f>
        <v>40</v>
      </c>
      <c r="U33" s="34">
        <f t="shared" si="25"/>
        <v>12</v>
      </c>
      <c r="V33" s="34">
        <f t="shared" si="25"/>
        <v>14</v>
      </c>
      <c r="W33" s="34">
        <f t="shared" si="25"/>
        <v>1</v>
      </c>
      <c r="X33" s="34">
        <f t="shared" si="25"/>
        <v>0</v>
      </c>
      <c r="Y33" s="34">
        <f t="shared" si="25"/>
        <v>4</v>
      </c>
      <c r="Z33" s="34">
        <f t="shared" si="25"/>
        <v>5</v>
      </c>
      <c r="AA33" s="34">
        <f t="shared" si="25"/>
        <v>1</v>
      </c>
      <c r="AB33" s="34">
        <f t="shared" si="25"/>
        <v>1</v>
      </c>
      <c r="AC33" s="34">
        <f t="shared" si="25"/>
        <v>112</v>
      </c>
      <c r="AD33" s="34">
        <f t="shared" si="25"/>
        <v>0</v>
      </c>
      <c r="AE33" s="31">
        <f t="shared" si="25"/>
        <v>125</v>
      </c>
      <c r="AF33" s="31">
        <f t="shared" si="25"/>
        <v>237</v>
      </c>
    </row>
    <row r="34" spans="2:32" ht="23.1" customHeight="1" x14ac:dyDescent="0.25">
      <c r="B34" s="46" t="s">
        <v>61</v>
      </c>
      <c r="C34" s="50">
        <v>23</v>
      </c>
      <c r="D34" s="50">
        <v>9</v>
      </c>
      <c r="E34" s="50">
        <v>3</v>
      </c>
      <c r="F34" s="50">
        <v>3</v>
      </c>
      <c r="G34" s="50">
        <v>0</v>
      </c>
      <c r="H34" s="50">
        <v>0</v>
      </c>
      <c r="I34" s="50">
        <v>3</v>
      </c>
      <c r="J34" s="50">
        <v>0</v>
      </c>
      <c r="K34" s="50">
        <v>1</v>
      </c>
      <c r="L34" s="50">
        <v>13</v>
      </c>
      <c r="M34" s="50">
        <v>128</v>
      </c>
      <c r="N34" s="50">
        <v>0</v>
      </c>
      <c r="O34" s="15">
        <f t="shared" si="0"/>
        <v>55</v>
      </c>
      <c r="P34" s="15">
        <f t="shared" si="1"/>
        <v>183</v>
      </c>
      <c r="R34" s="38" t="s">
        <v>90</v>
      </c>
      <c r="S34" s="39">
        <f t="shared" ref="S34:AF34" si="26">MAX(S10:S12)</f>
        <v>86</v>
      </c>
      <c r="T34" s="39">
        <f t="shared" si="26"/>
        <v>53</v>
      </c>
      <c r="U34" s="39">
        <f t="shared" si="26"/>
        <v>22</v>
      </c>
      <c r="V34" s="39">
        <f t="shared" si="26"/>
        <v>19</v>
      </c>
      <c r="W34" s="39">
        <f t="shared" si="26"/>
        <v>1</v>
      </c>
      <c r="X34" s="39">
        <f t="shared" si="26"/>
        <v>0</v>
      </c>
      <c r="Y34" s="39">
        <f t="shared" si="26"/>
        <v>13</v>
      </c>
      <c r="Z34" s="39">
        <f t="shared" si="26"/>
        <v>5</v>
      </c>
      <c r="AA34" s="39">
        <f t="shared" si="26"/>
        <v>6</v>
      </c>
      <c r="AB34" s="39">
        <f t="shared" si="26"/>
        <v>11</v>
      </c>
      <c r="AC34" s="39">
        <f t="shared" si="26"/>
        <v>388</v>
      </c>
      <c r="AD34" s="39">
        <f t="shared" si="26"/>
        <v>1</v>
      </c>
      <c r="AE34" s="40">
        <f t="shared" si="26"/>
        <v>206</v>
      </c>
      <c r="AF34" s="40">
        <f t="shared" si="26"/>
        <v>575</v>
      </c>
    </row>
    <row r="35" spans="2:32" ht="23.1" customHeight="1" x14ac:dyDescent="0.25">
      <c r="B35" s="46" t="s">
        <v>62</v>
      </c>
      <c r="C35" s="50">
        <v>12</v>
      </c>
      <c r="D35" s="50">
        <v>11</v>
      </c>
      <c r="E35" s="50">
        <v>1</v>
      </c>
      <c r="F35" s="50">
        <v>4</v>
      </c>
      <c r="G35" s="50">
        <v>0</v>
      </c>
      <c r="H35" s="50">
        <v>0</v>
      </c>
      <c r="I35" s="50">
        <v>2</v>
      </c>
      <c r="J35" s="50">
        <v>3</v>
      </c>
      <c r="K35" s="50">
        <v>3</v>
      </c>
      <c r="L35" s="50">
        <v>6</v>
      </c>
      <c r="M35" s="50">
        <v>119</v>
      </c>
      <c r="N35" s="50">
        <v>0</v>
      </c>
      <c r="O35" s="15">
        <f t="shared" si="0"/>
        <v>42</v>
      </c>
      <c r="P35" s="15">
        <f t="shared" si="1"/>
        <v>161</v>
      </c>
      <c r="R35" s="38" t="s">
        <v>91</v>
      </c>
      <c r="S35" s="39">
        <f t="shared" ref="S35:AF35" si="27">MAX(S13:S18)</f>
        <v>88</v>
      </c>
      <c r="T35" s="39">
        <f t="shared" si="27"/>
        <v>57</v>
      </c>
      <c r="U35" s="39">
        <f t="shared" si="27"/>
        <v>14</v>
      </c>
      <c r="V35" s="39">
        <f t="shared" si="27"/>
        <v>17</v>
      </c>
      <c r="W35" s="39">
        <f t="shared" si="27"/>
        <v>1</v>
      </c>
      <c r="X35" s="39">
        <f t="shared" si="27"/>
        <v>0</v>
      </c>
      <c r="Y35" s="39">
        <f t="shared" si="27"/>
        <v>10</v>
      </c>
      <c r="Z35" s="39">
        <f t="shared" si="27"/>
        <v>8</v>
      </c>
      <c r="AA35" s="39">
        <f t="shared" si="27"/>
        <v>7</v>
      </c>
      <c r="AB35" s="39">
        <f t="shared" si="27"/>
        <v>35</v>
      </c>
      <c r="AC35" s="39">
        <f t="shared" si="27"/>
        <v>620</v>
      </c>
      <c r="AD35" s="39">
        <f t="shared" si="27"/>
        <v>0</v>
      </c>
      <c r="AE35" s="40">
        <f t="shared" si="27"/>
        <v>205</v>
      </c>
      <c r="AF35" s="40">
        <f t="shared" si="27"/>
        <v>806</v>
      </c>
    </row>
    <row r="36" spans="2:32" ht="23.1" customHeight="1" x14ac:dyDescent="0.25">
      <c r="B36" s="46" t="s">
        <v>63</v>
      </c>
      <c r="C36" s="50">
        <v>15</v>
      </c>
      <c r="D36" s="50">
        <v>11</v>
      </c>
      <c r="E36" s="50">
        <v>2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4</v>
      </c>
      <c r="M36" s="50">
        <v>130</v>
      </c>
      <c r="N36" s="50">
        <v>0</v>
      </c>
      <c r="O36" s="15">
        <f t="shared" si="0"/>
        <v>34</v>
      </c>
      <c r="P36" s="15">
        <f t="shared" si="1"/>
        <v>164</v>
      </c>
      <c r="R36" s="38" t="s">
        <v>92</v>
      </c>
      <c r="S36" s="39">
        <f t="shared" ref="S36:AF36" si="28">MAX(S19:S21)</f>
        <v>82</v>
      </c>
      <c r="T36" s="39">
        <f t="shared" si="28"/>
        <v>50</v>
      </c>
      <c r="U36" s="39">
        <f t="shared" si="28"/>
        <v>24</v>
      </c>
      <c r="V36" s="39">
        <f t="shared" si="28"/>
        <v>18</v>
      </c>
      <c r="W36" s="39">
        <f t="shared" si="28"/>
        <v>0</v>
      </c>
      <c r="X36" s="39">
        <f t="shared" si="28"/>
        <v>0</v>
      </c>
      <c r="Y36" s="39">
        <f t="shared" si="28"/>
        <v>9</v>
      </c>
      <c r="Z36" s="39">
        <f t="shared" si="28"/>
        <v>8</v>
      </c>
      <c r="AA36" s="39">
        <f t="shared" si="28"/>
        <v>2</v>
      </c>
      <c r="AB36" s="39">
        <f t="shared" si="28"/>
        <v>11</v>
      </c>
      <c r="AC36" s="39">
        <f t="shared" si="28"/>
        <v>491</v>
      </c>
      <c r="AD36" s="39">
        <f t="shared" si="28"/>
        <v>0</v>
      </c>
      <c r="AE36" s="40">
        <f t="shared" si="28"/>
        <v>184</v>
      </c>
      <c r="AF36" s="40">
        <f t="shared" si="28"/>
        <v>645</v>
      </c>
    </row>
    <row r="37" spans="2:32" ht="23.1" customHeight="1" x14ac:dyDescent="0.25">
      <c r="B37" s="45" t="s">
        <v>64</v>
      </c>
      <c r="C37" s="50">
        <v>19</v>
      </c>
      <c r="D37" s="50">
        <v>10</v>
      </c>
      <c r="E37" s="50">
        <v>3</v>
      </c>
      <c r="F37" s="50">
        <v>1</v>
      </c>
      <c r="G37" s="50">
        <v>0</v>
      </c>
      <c r="H37" s="50">
        <v>0</v>
      </c>
      <c r="I37" s="50">
        <v>2</v>
      </c>
      <c r="J37" s="50">
        <v>2</v>
      </c>
      <c r="K37" s="50">
        <v>0</v>
      </c>
      <c r="L37" s="50">
        <v>8</v>
      </c>
      <c r="M37" s="50">
        <v>120</v>
      </c>
      <c r="N37" s="50">
        <v>0</v>
      </c>
      <c r="O37" s="15">
        <f t="shared" si="0"/>
        <v>45</v>
      </c>
      <c r="P37" s="15">
        <f t="shared" si="1"/>
        <v>165</v>
      </c>
      <c r="R37" s="37" t="s">
        <v>85</v>
      </c>
      <c r="S37" s="35">
        <f t="shared" ref="S37:AF37" si="29">SUM(S10:S12)</f>
        <v>213</v>
      </c>
      <c r="T37" s="16">
        <f t="shared" si="29"/>
        <v>142</v>
      </c>
      <c r="U37" s="16">
        <f t="shared" si="29"/>
        <v>51</v>
      </c>
      <c r="V37" s="16">
        <f t="shared" si="29"/>
        <v>44</v>
      </c>
      <c r="W37" s="16">
        <f t="shared" si="29"/>
        <v>1</v>
      </c>
      <c r="X37" s="16">
        <f t="shared" si="29"/>
        <v>0</v>
      </c>
      <c r="Y37" s="16">
        <f t="shared" si="29"/>
        <v>24</v>
      </c>
      <c r="Z37" s="16">
        <f t="shared" si="29"/>
        <v>13</v>
      </c>
      <c r="AA37" s="16">
        <f t="shared" si="29"/>
        <v>10</v>
      </c>
      <c r="AB37" s="16">
        <f t="shared" si="29"/>
        <v>24</v>
      </c>
      <c r="AC37" s="16">
        <f t="shared" si="29"/>
        <v>1143</v>
      </c>
      <c r="AD37" s="16">
        <f t="shared" si="29"/>
        <v>1</v>
      </c>
      <c r="AE37" s="32">
        <f t="shared" si="29"/>
        <v>523</v>
      </c>
      <c r="AF37" s="32">
        <f t="shared" si="29"/>
        <v>1666</v>
      </c>
    </row>
    <row r="38" spans="2:32" ht="23.1" customHeight="1" x14ac:dyDescent="0.25">
      <c r="B38" s="46" t="s">
        <v>65</v>
      </c>
      <c r="C38" s="50">
        <v>28</v>
      </c>
      <c r="D38" s="50">
        <v>8</v>
      </c>
      <c r="E38" s="50">
        <v>2</v>
      </c>
      <c r="F38" s="50">
        <v>3</v>
      </c>
      <c r="G38" s="50">
        <v>0</v>
      </c>
      <c r="H38" s="50">
        <v>0</v>
      </c>
      <c r="I38" s="50">
        <v>3</v>
      </c>
      <c r="J38" s="50">
        <v>1</v>
      </c>
      <c r="K38" s="50">
        <v>2</v>
      </c>
      <c r="L38" s="50">
        <v>3</v>
      </c>
      <c r="M38" s="50">
        <v>123</v>
      </c>
      <c r="N38" s="50">
        <v>0</v>
      </c>
      <c r="O38" s="15">
        <f t="shared" si="0"/>
        <v>50</v>
      </c>
      <c r="P38" s="15">
        <f t="shared" si="1"/>
        <v>173</v>
      </c>
      <c r="R38" s="28" t="s">
        <v>86</v>
      </c>
      <c r="S38" s="16">
        <f t="shared" ref="S38:AF38" si="30">SUM(S13:S18)</f>
        <v>442</v>
      </c>
      <c r="T38" s="16">
        <f t="shared" si="30"/>
        <v>236</v>
      </c>
      <c r="U38" s="16">
        <f t="shared" si="30"/>
        <v>63</v>
      </c>
      <c r="V38" s="16">
        <f t="shared" si="30"/>
        <v>72</v>
      </c>
      <c r="W38" s="16">
        <f t="shared" si="30"/>
        <v>1</v>
      </c>
      <c r="X38" s="16">
        <f t="shared" si="30"/>
        <v>0</v>
      </c>
      <c r="Y38" s="16">
        <f t="shared" si="30"/>
        <v>46</v>
      </c>
      <c r="Z38" s="16">
        <f t="shared" si="30"/>
        <v>37</v>
      </c>
      <c r="AA38" s="16">
        <f t="shared" si="30"/>
        <v>24</v>
      </c>
      <c r="AB38" s="16">
        <f t="shared" si="30"/>
        <v>140</v>
      </c>
      <c r="AC38" s="16">
        <f t="shared" si="30"/>
        <v>2709</v>
      </c>
      <c r="AD38" s="16">
        <f t="shared" si="30"/>
        <v>0</v>
      </c>
      <c r="AE38" s="32">
        <f t="shared" si="30"/>
        <v>1061</v>
      </c>
      <c r="AF38" s="32">
        <f t="shared" si="30"/>
        <v>3770</v>
      </c>
    </row>
    <row r="39" spans="2:32" ht="23.1" customHeight="1" x14ac:dyDescent="0.25">
      <c r="B39" s="46" t="s">
        <v>66</v>
      </c>
      <c r="C39" s="50">
        <v>23</v>
      </c>
      <c r="D39" s="50">
        <v>11</v>
      </c>
      <c r="E39" s="50">
        <v>5</v>
      </c>
      <c r="F39" s="50">
        <v>5</v>
      </c>
      <c r="G39" s="50">
        <v>0</v>
      </c>
      <c r="H39" s="50">
        <v>0</v>
      </c>
      <c r="I39" s="50">
        <v>4</v>
      </c>
      <c r="J39" s="50">
        <v>4</v>
      </c>
      <c r="K39" s="50">
        <v>0</v>
      </c>
      <c r="L39" s="50">
        <v>4</v>
      </c>
      <c r="M39" s="50">
        <v>115</v>
      </c>
      <c r="N39" s="50">
        <v>0</v>
      </c>
      <c r="O39" s="15">
        <f t="shared" si="0"/>
        <v>56</v>
      </c>
      <c r="P39" s="15">
        <f t="shared" si="1"/>
        <v>171</v>
      </c>
      <c r="R39" s="29" t="s">
        <v>87</v>
      </c>
      <c r="S39" s="16">
        <f t="shared" ref="S39:AF39" si="31">SUM(S19:S21)</f>
        <v>222</v>
      </c>
      <c r="T39" s="16">
        <f t="shared" si="31"/>
        <v>138</v>
      </c>
      <c r="U39" s="16">
        <f t="shared" si="31"/>
        <v>50</v>
      </c>
      <c r="V39" s="16">
        <f t="shared" si="31"/>
        <v>48</v>
      </c>
      <c r="W39" s="16">
        <f t="shared" si="31"/>
        <v>0</v>
      </c>
      <c r="X39" s="16">
        <f t="shared" si="31"/>
        <v>0</v>
      </c>
      <c r="Y39" s="16">
        <f t="shared" si="31"/>
        <v>19</v>
      </c>
      <c r="Z39" s="16">
        <f t="shared" si="31"/>
        <v>15</v>
      </c>
      <c r="AA39" s="16">
        <f t="shared" si="31"/>
        <v>2</v>
      </c>
      <c r="AB39" s="16">
        <f t="shared" si="31"/>
        <v>20</v>
      </c>
      <c r="AC39" s="16">
        <f t="shared" si="31"/>
        <v>1420</v>
      </c>
      <c r="AD39" s="16">
        <f t="shared" si="31"/>
        <v>0</v>
      </c>
      <c r="AE39" s="32">
        <f t="shared" si="31"/>
        <v>514</v>
      </c>
      <c r="AF39" s="32">
        <f t="shared" si="31"/>
        <v>1934</v>
      </c>
    </row>
    <row r="40" spans="2:32" ht="23.1" customHeight="1" x14ac:dyDescent="0.25">
      <c r="B40" s="46" t="s">
        <v>67</v>
      </c>
      <c r="C40" s="50">
        <v>5</v>
      </c>
      <c r="D40" s="50">
        <v>2</v>
      </c>
      <c r="E40" s="50">
        <v>1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128</v>
      </c>
      <c r="N40" s="50">
        <v>0</v>
      </c>
      <c r="O40" s="15">
        <f t="shared" si="0"/>
        <v>9</v>
      </c>
      <c r="P40" s="15">
        <f t="shared" si="1"/>
        <v>137</v>
      </c>
      <c r="R40" s="5" t="s">
        <v>17</v>
      </c>
      <c r="S40" s="16">
        <f t="shared" ref="S40:AF40" si="32">SUM(S10:S21)</f>
        <v>877</v>
      </c>
      <c r="T40" s="16">
        <f t="shared" si="32"/>
        <v>516</v>
      </c>
      <c r="U40" s="16">
        <f t="shared" si="32"/>
        <v>164</v>
      </c>
      <c r="V40" s="16">
        <f t="shared" si="32"/>
        <v>164</v>
      </c>
      <c r="W40" s="16">
        <f t="shared" si="32"/>
        <v>2</v>
      </c>
      <c r="X40" s="16">
        <f t="shared" si="32"/>
        <v>0</v>
      </c>
      <c r="Y40" s="16">
        <f t="shared" si="32"/>
        <v>89</v>
      </c>
      <c r="Z40" s="16">
        <f t="shared" si="32"/>
        <v>65</v>
      </c>
      <c r="AA40" s="16">
        <f t="shared" si="32"/>
        <v>36</v>
      </c>
      <c r="AB40" s="16">
        <f t="shared" si="32"/>
        <v>184</v>
      </c>
      <c r="AC40" s="16">
        <f t="shared" si="32"/>
        <v>5272</v>
      </c>
      <c r="AD40" s="16">
        <f t="shared" si="32"/>
        <v>1</v>
      </c>
      <c r="AE40" s="32">
        <f t="shared" si="32"/>
        <v>2098</v>
      </c>
      <c r="AF40" s="32">
        <f t="shared" si="32"/>
        <v>7370</v>
      </c>
    </row>
    <row r="41" spans="2:32" ht="23.1" customHeight="1" x14ac:dyDescent="0.25">
      <c r="B41" s="45" t="s">
        <v>68</v>
      </c>
      <c r="C41" s="50">
        <v>21</v>
      </c>
      <c r="D41" s="50">
        <v>13</v>
      </c>
      <c r="E41" s="50">
        <v>3</v>
      </c>
      <c r="F41" s="50">
        <v>2</v>
      </c>
      <c r="G41" s="50">
        <v>0</v>
      </c>
      <c r="H41" s="50">
        <v>0</v>
      </c>
      <c r="I41" s="50">
        <v>2</v>
      </c>
      <c r="J41" s="50">
        <v>3</v>
      </c>
      <c r="K41" s="50">
        <v>2</v>
      </c>
      <c r="L41" s="50">
        <v>7</v>
      </c>
      <c r="M41" s="50">
        <v>100</v>
      </c>
      <c r="N41" s="50">
        <v>0</v>
      </c>
      <c r="O41" s="15">
        <f t="shared" si="0"/>
        <v>53</v>
      </c>
      <c r="P41" s="15">
        <f t="shared" si="1"/>
        <v>153</v>
      </c>
      <c r="R41" s="5" t="s">
        <v>159</v>
      </c>
      <c r="S41" s="16">
        <f>SUM(S10:S33)</f>
        <v>1558</v>
      </c>
      <c r="T41" s="16">
        <f t="shared" ref="T41:AF41" si="33">SUM(T10:T33)</f>
        <v>894</v>
      </c>
      <c r="U41" s="16">
        <f t="shared" si="33"/>
        <v>270</v>
      </c>
      <c r="V41" s="16">
        <f t="shared" si="33"/>
        <v>312</v>
      </c>
      <c r="W41" s="16">
        <f t="shared" si="33"/>
        <v>3</v>
      </c>
      <c r="X41" s="16">
        <f t="shared" si="33"/>
        <v>0</v>
      </c>
      <c r="Y41" s="16">
        <f t="shared" si="33"/>
        <v>133</v>
      </c>
      <c r="Z41" s="16">
        <f t="shared" si="33"/>
        <v>88</v>
      </c>
      <c r="AA41" s="16">
        <f t="shared" si="33"/>
        <v>46</v>
      </c>
      <c r="AB41" s="16">
        <f t="shared" si="33"/>
        <v>209</v>
      </c>
      <c r="AC41" s="16">
        <f t="shared" si="33"/>
        <v>7484</v>
      </c>
      <c r="AD41" s="16">
        <f t="shared" si="33"/>
        <v>1</v>
      </c>
      <c r="AE41" s="32">
        <f t="shared" si="33"/>
        <v>3514</v>
      </c>
      <c r="AF41" s="32">
        <f t="shared" si="33"/>
        <v>10998</v>
      </c>
    </row>
    <row r="42" spans="2:32" ht="23.1" customHeight="1" x14ac:dyDescent="0.25">
      <c r="B42" s="46" t="s">
        <v>69</v>
      </c>
      <c r="C42" s="50">
        <v>25</v>
      </c>
      <c r="D42" s="50">
        <v>12</v>
      </c>
      <c r="E42" s="50">
        <v>0</v>
      </c>
      <c r="F42" s="50">
        <v>5</v>
      </c>
      <c r="G42" s="50">
        <v>0</v>
      </c>
      <c r="H42" s="50">
        <v>0</v>
      </c>
      <c r="I42" s="50">
        <v>3</v>
      </c>
      <c r="J42" s="50">
        <v>2</v>
      </c>
      <c r="K42" s="50">
        <v>1</v>
      </c>
      <c r="L42" s="50">
        <v>10</v>
      </c>
      <c r="M42" s="50">
        <v>200</v>
      </c>
      <c r="N42" s="50">
        <v>0</v>
      </c>
      <c r="O42" s="15">
        <f t="shared" si="0"/>
        <v>58</v>
      </c>
      <c r="P42" s="15">
        <f t="shared" si="1"/>
        <v>258</v>
      </c>
      <c r="R42" s="5" t="s">
        <v>160</v>
      </c>
      <c r="S42" s="48">
        <f>S41/S40</f>
        <v>1.7765108323831242</v>
      </c>
      <c r="T42" s="48">
        <f t="shared" ref="T42:AF42" si="34">T41/T40</f>
        <v>1.7325581395348837</v>
      </c>
      <c r="U42" s="48">
        <f t="shared" si="34"/>
        <v>1.6463414634146341</v>
      </c>
      <c r="V42" s="48">
        <f t="shared" si="34"/>
        <v>1.9024390243902438</v>
      </c>
      <c r="W42" s="48">
        <f t="shared" si="34"/>
        <v>1.5</v>
      </c>
      <c r="X42" s="48" t="e">
        <f t="shared" si="34"/>
        <v>#DIV/0!</v>
      </c>
      <c r="Y42" s="48">
        <f t="shared" si="34"/>
        <v>1.4943820224719102</v>
      </c>
      <c r="Z42" s="48">
        <f t="shared" si="34"/>
        <v>1.3538461538461539</v>
      </c>
      <c r="AA42" s="48">
        <f t="shared" si="34"/>
        <v>1.2777777777777777</v>
      </c>
      <c r="AB42" s="48">
        <f t="shared" si="34"/>
        <v>1.1358695652173914</v>
      </c>
      <c r="AC42" s="48">
        <f t="shared" si="34"/>
        <v>1.4195751138088013</v>
      </c>
      <c r="AD42" s="48">
        <f t="shared" si="34"/>
        <v>1</v>
      </c>
      <c r="AE42" s="48">
        <f t="shared" si="34"/>
        <v>1.6749285033365109</v>
      </c>
      <c r="AF42" s="48">
        <f t="shared" si="34"/>
        <v>1.4922659430122116</v>
      </c>
    </row>
    <row r="43" spans="2:32" ht="23.1" customHeight="1" x14ac:dyDescent="0.25">
      <c r="B43" s="45" t="s">
        <v>70</v>
      </c>
      <c r="C43" s="50">
        <v>5</v>
      </c>
      <c r="D43" s="50">
        <v>3</v>
      </c>
      <c r="E43" s="50">
        <v>1</v>
      </c>
      <c r="F43" s="50">
        <v>3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148</v>
      </c>
      <c r="N43" s="50">
        <v>0</v>
      </c>
      <c r="O43" s="15">
        <f t="shared" si="0"/>
        <v>12</v>
      </c>
      <c r="P43" s="15">
        <f t="shared" si="1"/>
        <v>160</v>
      </c>
    </row>
    <row r="44" spans="2:32" ht="23.1" customHeight="1" x14ac:dyDescent="0.25">
      <c r="B44" s="47" t="s">
        <v>71</v>
      </c>
      <c r="C44" s="50">
        <v>13</v>
      </c>
      <c r="D44" s="50">
        <v>4</v>
      </c>
      <c r="E44" s="50">
        <v>1</v>
      </c>
      <c r="F44" s="50">
        <v>1</v>
      </c>
      <c r="G44" s="50">
        <v>1</v>
      </c>
      <c r="H44" s="50">
        <v>0</v>
      </c>
      <c r="I44" s="50">
        <v>2</v>
      </c>
      <c r="J44" s="50">
        <v>3</v>
      </c>
      <c r="K44" s="50">
        <v>3</v>
      </c>
      <c r="L44" s="50">
        <v>10</v>
      </c>
      <c r="M44" s="50">
        <v>135</v>
      </c>
      <c r="N44" s="50">
        <v>0</v>
      </c>
      <c r="O44" s="15">
        <f t="shared" si="0"/>
        <v>38</v>
      </c>
      <c r="P44" s="15">
        <f t="shared" si="1"/>
        <v>173</v>
      </c>
    </row>
    <row r="45" spans="2:32" ht="23.1" customHeight="1" x14ac:dyDescent="0.25">
      <c r="B45" s="45" t="s">
        <v>72</v>
      </c>
      <c r="C45" s="50">
        <v>30</v>
      </c>
      <c r="D45" s="50">
        <v>13</v>
      </c>
      <c r="E45" s="50">
        <v>6</v>
      </c>
      <c r="F45" s="50">
        <v>8</v>
      </c>
      <c r="G45" s="50">
        <v>0</v>
      </c>
      <c r="H45" s="50">
        <v>0</v>
      </c>
      <c r="I45" s="50">
        <v>1</v>
      </c>
      <c r="J45" s="50">
        <v>2</v>
      </c>
      <c r="K45" s="50">
        <v>3</v>
      </c>
      <c r="L45" s="50">
        <v>15</v>
      </c>
      <c r="M45" s="50">
        <v>137</v>
      </c>
      <c r="N45" s="50">
        <v>0</v>
      </c>
      <c r="O45" s="15">
        <f t="shared" si="0"/>
        <v>78</v>
      </c>
      <c r="P45" s="15">
        <f t="shared" si="1"/>
        <v>215</v>
      </c>
    </row>
    <row r="46" spans="2:32" ht="23.1" customHeight="1" x14ac:dyDescent="0.25">
      <c r="B46" s="46" t="s">
        <v>73</v>
      </c>
      <c r="C46" s="50">
        <v>18</v>
      </c>
      <c r="D46" s="50">
        <v>13</v>
      </c>
      <c r="E46" s="50">
        <v>6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1</v>
      </c>
      <c r="M46" s="50">
        <v>111</v>
      </c>
      <c r="N46" s="50">
        <v>0</v>
      </c>
      <c r="O46" s="15">
        <f t="shared" si="0"/>
        <v>39</v>
      </c>
      <c r="P46" s="15">
        <f t="shared" si="1"/>
        <v>150</v>
      </c>
      <c r="R46" s="8"/>
      <c r="T46"/>
    </row>
    <row r="47" spans="2:32" ht="23.1" customHeight="1" x14ac:dyDescent="0.25">
      <c r="B47" s="46" t="s">
        <v>74</v>
      </c>
      <c r="C47" s="50">
        <v>19</v>
      </c>
      <c r="D47" s="50">
        <v>5</v>
      </c>
      <c r="E47" s="50">
        <v>0</v>
      </c>
      <c r="F47" s="50">
        <v>5</v>
      </c>
      <c r="G47" s="50">
        <v>0</v>
      </c>
      <c r="H47" s="50">
        <v>0</v>
      </c>
      <c r="I47" s="50">
        <v>1</v>
      </c>
      <c r="J47" s="50">
        <v>5</v>
      </c>
      <c r="K47" s="50">
        <v>0</v>
      </c>
      <c r="L47" s="50">
        <v>5</v>
      </c>
      <c r="M47" s="50">
        <v>123</v>
      </c>
      <c r="N47" s="50">
        <v>0</v>
      </c>
      <c r="O47" s="15">
        <f t="shared" si="0"/>
        <v>40</v>
      </c>
      <c r="P47" s="15">
        <f t="shared" si="1"/>
        <v>163</v>
      </c>
      <c r="R47" s="8"/>
      <c r="T47"/>
    </row>
    <row r="48" spans="2:32" ht="23.1" customHeight="1" x14ac:dyDescent="0.25">
      <c r="B48" s="46" t="s">
        <v>75</v>
      </c>
      <c r="C48" s="50">
        <v>20</v>
      </c>
      <c r="D48" s="50">
        <v>19</v>
      </c>
      <c r="E48" s="50">
        <v>3</v>
      </c>
      <c r="F48" s="50">
        <v>2</v>
      </c>
      <c r="G48" s="50">
        <v>0</v>
      </c>
      <c r="H48" s="50">
        <v>0</v>
      </c>
      <c r="I48" s="50">
        <v>2</v>
      </c>
      <c r="J48" s="50">
        <v>1</v>
      </c>
      <c r="K48" s="50">
        <v>1</v>
      </c>
      <c r="L48" s="50">
        <v>2</v>
      </c>
      <c r="M48" s="50">
        <v>134</v>
      </c>
      <c r="N48" s="50">
        <v>0</v>
      </c>
      <c r="O48" s="15">
        <f t="shared" si="0"/>
        <v>50</v>
      </c>
      <c r="P48" s="15">
        <f t="shared" si="1"/>
        <v>184</v>
      </c>
      <c r="R48" s="8"/>
      <c r="T48"/>
    </row>
    <row r="49" spans="2:20" ht="23.1" customHeight="1" x14ac:dyDescent="0.25">
      <c r="B49" s="45" t="s">
        <v>76</v>
      </c>
      <c r="C49" s="50">
        <v>25</v>
      </c>
      <c r="D49" s="50">
        <v>13</v>
      </c>
      <c r="E49" s="50">
        <v>4</v>
      </c>
      <c r="F49" s="50">
        <v>7</v>
      </c>
      <c r="G49" s="50">
        <v>0</v>
      </c>
      <c r="H49" s="50">
        <v>0</v>
      </c>
      <c r="I49" s="50">
        <v>1</v>
      </c>
      <c r="J49" s="50">
        <v>1</v>
      </c>
      <c r="K49" s="50">
        <v>1</v>
      </c>
      <c r="L49" s="50">
        <v>3</v>
      </c>
      <c r="M49" s="50">
        <v>93</v>
      </c>
      <c r="N49" s="50">
        <v>0</v>
      </c>
      <c r="O49" s="15">
        <f t="shared" si="0"/>
        <v>55</v>
      </c>
      <c r="P49" s="15">
        <f t="shared" si="1"/>
        <v>148</v>
      </c>
      <c r="R49" s="8"/>
      <c r="T49"/>
    </row>
    <row r="50" spans="2:20" ht="23.1" customHeight="1" x14ac:dyDescent="0.25">
      <c r="B50" s="46" t="s">
        <v>77</v>
      </c>
      <c r="C50" s="50">
        <v>17</v>
      </c>
      <c r="D50" s="50">
        <v>13</v>
      </c>
      <c r="E50" s="50">
        <v>3</v>
      </c>
      <c r="F50" s="50">
        <v>4</v>
      </c>
      <c r="G50" s="50">
        <v>0</v>
      </c>
      <c r="H50" s="50">
        <v>0</v>
      </c>
      <c r="I50" s="50">
        <v>4</v>
      </c>
      <c r="J50" s="50">
        <v>1</v>
      </c>
      <c r="K50" s="50">
        <v>0</v>
      </c>
      <c r="L50" s="50">
        <v>4</v>
      </c>
      <c r="M50" s="50">
        <v>118</v>
      </c>
      <c r="N50" s="50">
        <v>0</v>
      </c>
      <c r="O50" s="15">
        <f t="shared" si="0"/>
        <v>46</v>
      </c>
      <c r="P50" s="15">
        <f t="shared" si="1"/>
        <v>164</v>
      </c>
      <c r="R50" s="8"/>
      <c r="T50"/>
    </row>
    <row r="51" spans="2:20" ht="23.1" customHeight="1" x14ac:dyDescent="0.25">
      <c r="B51" s="46" t="s">
        <v>78</v>
      </c>
      <c r="C51" s="50">
        <v>22</v>
      </c>
      <c r="D51" s="50">
        <v>11</v>
      </c>
      <c r="E51" s="50">
        <v>6</v>
      </c>
      <c r="F51" s="50">
        <v>3</v>
      </c>
      <c r="G51" s="50">
        <v>0</v>
      </c>
      <c r="H51" s="50">
        <v>0</v>
      </c>
      <c r="I51" s="50">
        <v>2</v>
      </c>
      <c r="J51" s="50">
        <v>2</v>
      </c>
      <c r="K51" s="50">
        <v>0</v>
      </c>
      <c r="L51" s="50">
        <v>1</v>
      </c>
      <c r="M51" s="50">
        <v>135</v>
      </c>
      <c r="N51" s="50">
        <v>0</v>
      </c>
      <c r="O51" s="15">
        <f t="shared" si="0"/>
        <v>47</v>
      </c>
      <c r="P51" s="15">
        <f t="shared" si="1"/>
        <v>182</v>
      </c>
      <c r="R51" s="8"/>
      <c r="T51"/>
    </row>
    <row r="52" spans="2:20" ht="23.1" customHeight="1" x14ac:dyDescent="0.25">
      <c r="B52" s="46" t="s">
        <v>79</v>
      </c>
      <c r="C52" s="50">
        <v>22</v>
      </c>
      <c r="D52" s="50">
        <v>10</v>
      </c>
      <c r="E52" s="50">
        <v>6</v>
      </c>
      <c r="F52" s="50">
        <v>6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103</v>
      </c>
      <c r="N52" s="50">
        <v>0</v>
      </c>
      <c r="O52" s="15">
        <f t="shared" si="0"/>
        <v>46</v>
      </c>
      <c r="P52" s="15">
        <f t="shared" si="1"/>
        <v>149</v>
      </c>
      <c r="R52" s="8"/>
      <c r="T52"/>
    </row>
    <row r="53" spans="2:20" ht="23.1" customHeight="1" x14ac:dyDescent="0.25">
      <c r="B53" s="45" t="s">
        <v>80</v>
      </c>
      <c r="C53" s="50">
        <v>16</v>
      </c>
      <c r="D53" s="50">
        <v>8</v>
      </c>
      <c r="E53" s="50">
        <v>9</v>
      </c>
      <c r="F53" s="50">
        <v>3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112</v>
      </c>
      <c r="N53" s="50">
        <v>0</v>
      </c>
      <c r="O53" s="15">
        <f t="shared" si="0"/>
        <v>38</v>
      </c>
      <c r="P53" s="15">
        <f t="shared" si="1"/>
        <v>150</v>
      </c>
      <c r="R53" s="8"/>
      <c r="T53"/>
    </row>
    <row r="54" spans="2:20" ht="23.1" customHeight="1" x14ac:dyDescent="0.25">
      <c r="B54" s="45" t="s">
        <v>81</v>
      </c>
      <c r="C54" s="50">
        <v>14</v>
      </c>
      <c r="D54" s="50">
        <v>7</v>
      </c>
      <c r="E54" s="50">
        <v>0</v>
      </c>
      <c r="F54" s="50">
        <v>4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1</v>
      </c>
      <c r="M54" s="50">
        <v>121</v>
      </c>
      <c r="N54" s="50">
        <v>0</v>
      </c>
      <c r="O54" s="15">
        <f t="shared" si="0"/>
        <v>28</v>
      </c>
      <c r="P54" s="15">
        <f t="shared" si="1"/>
        <v>149</v>
      </c>
      <c r="R54" s="8"/>
      <c r="T54"/>
    </row>
    <row r="55" spans="2:20" ht="23.1" customHeight="1" x14ac:dyDescent="0.25">
      <c r="B55" s="45" t="s">
        <v>82</v>
      </c>
      <c r="C55" s="50">
        <v>18</v>
      </c>
      <c r="D55" s="50">
        <v>16</v>
      </c>
      <c r="E55" s="50">
        <v>1</v>
      </c>
      <c r="F55" s="50">
        <v>4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125</v>
      </c>
      <c r="N55" s="50">
        <v>0</v>
      </c>
      <c r="O55" s="15">
        <f t="shared" si="0"/>
        <v>39</v>
      </c>
      <c r="P55" s="15">
        <f t="shared" si="1"/>
        <v>164</v>
      </c>
      <c r="R55" s="8"/>
      <c r="T55"/>
    </row>
    <row r="56" spans="2:20" ht="23.1" customHeight="1" x14ac:dyDescent="0.25">
      <c r="B56" s="45" t="s">
        <v>83</v>
      </c>
      <c r="C56" s="50">
        <v>15</v>
      </c>
      <c r="D56" s="50">
        <v>11</v>
      </c>
      <c r="E56" s="50">
        <v>8</v>
      </c>
      <c r="F56" s="50">
        <v>5</v>
      </c>
      <c r="G56" s="50">
        <v>0</v>
      </c>
      <c r="H56" s="50">
        <v>0</v>
      </c>
      <c r="I56" s="50">
        <v>3</v>
      </c>
      <c r="J56" s="50">
        <v>1</v>
      </c>
      <c r="K56" s="50">
        <v>0</v>
      </c>
      <c r="L56" s="50">
        <v>2</v>
      </c>
      <c r="M56" s="50">
        <v>142</v>
      </c>
      <c r="N56" s="50">
        <v>0</v>
      </c>
      <c r="O56" s="15">
        <f t="shared" si="0"/>
        <v>45</v>
      </c>
      <c r="P56" s="15">
        <f t="shared" si="1"/>
        <v>187</v>
      </c>
      <c r="R56" s="8"/>
      <c r="T56"/>
    </row>
    <row r="57" spans="2:20" ht="23.1" customHeight="1" x14ac:dyDescent="0.25">
      <c r="B57" s="45" t="s">
        <v>84</v>
      </c>
      <c r="C57" s="50">
        <v>16</v>
      </c>
      <c r="D57" s="50">
        <v>12</v>
      </c>
      <c r="E57" s="50">
        <v>4</v>
      </c>
      <c r="F57" s="50">
        <v>5</v>
      </c>
      <c r="G57" s="50">
        <v>0</v>
      </c>
      <c r="H57" s="50">
        <v>0</v>
      </c>
      <c r="I57" s="50">
        <v>1</v>
      </c>
      <c r="J57" s="50">
        <v>2</v>
      </c>
      <c r="K57" s="50">
        <v>0</v>
      </c>
      <c r="L57" s="50">
        <v>1</v>
      </c>
      <c r="M57" s="50">
        <v>103</v>
      </c>
      <c r="N57" s="50">
        <v>0</v>
      </c>
      <c r="O57" s="15">
        <f t="shared" si="0"/>
        <v>41</v>
      </c>
      <c r="P57" s="15">
        <f t="shared" si="1"/>
        <v>144</v>
      </c>
      <c r="R57" s="8"/>
      <c r="T57"/>
    </row>
    <row r="58" spans="2:20" ht="23.1" customHeight="1" x14ac:dyDescent="0.25">
      <c r="B58" s="45" t="s">
        <v>99</v>
      </c>
      <c r="C58" s="50">
        <v>10</v>
      </c>
      <c r="D58" s="50">
        <v>9</v>
      </c>
      <c r="E58" s="50">
        <v>6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105</v>
      </c>
      <c r="N58" s="50">
        <v>0</v>
      </c>
      <c r="O58" s="15">
        <f t="shared" si="0"/>
        <v>25</v>
      </c>
      <c r="P58" s="15">
        <f t="shared" si="1"/>
        <v>130</v>
      </c>
      <c r="R58" s="8"/>
      <c r="T58"/>
    </row>
    <row r="59" spans="2:20" ht="23.1" customHeight="1" x14ac:dyDescent="0.25">
      <c r="B59" s="45" t="s">
        <v>100</v>
      </c>
      <c r="C59" s="50">
        <v>20</v>
      </c>
      <c r="D59" s="50">
        <v>12</v>
      </c>
      <c r="E59" s="50">
        <v>2</v>
      </c>
      <c r="F59" s="50">
        <v>7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2</v>
      </c>
      <c r="M59" s="50">
        <v>103</v>
      </c>
      <c r="N59" s="50">
        <v>0</v>
      </c>
      <c r="O59" s="15">
        <f t="shared" si="0"/>
        <v>43</v>
      </c>
      <c r="P59" s="15">
        <f t="shared" si="1"/>
        <v>146</v>
      </c>
      <c r="R59" s="8"/>
      <c r="T59"/>
    </row>
    <row r="60" spans="2:20" ht="23.1" customHeight="1" x14ac:dyDescent="0.25">
      <c r="B60" s="45" t="s">
        <v>101</v>
      </c>
      <c r="C60" s="50">
        <v>25</v>
      </c>
      <c r="D60" s="50">
        <v>8</v>
      </c>
      <c r="E60" s="50">
        <v>7</v>
      </c>
      <c r="F60" s="50">
        <v>14</v>
      </c>
      <c r="G60" s="50">
        <v>0</v>
      </c>
      <c r="H60" s="50">
        <v>0</v>
      </c>
      <c r="I60" s="50">
        <v>1</v>
      </c>
      <c r="J60" s="50">
        <v>1</v>
      </c>
      <c r="K60" s="50">
        <v>1</v>
      </c>
      <c r="L60" s="50">
        <v>1</v>
      </c>
      <c r="M60" s="50">
        <v>90</v>
      </c>
      <c r="N60" s="50">
        <v>0</v>
      </c>
      <c r="O60" s="15">
        <f t="shared" si="0"/>
        <v>58</v>
      </c>
      <c r="P60" s="15">
        <f t="shared" si="1"/>
        <v>148</v>
      </c>
      <c r="R60" s="8"/>
      <c r="T60"/>
    </row>
    <row r="61" spans="2:20" ht="23.1" customHeight="1" x14ac:dyDescent="0.25">
      <c r="B61" s="45" t="s">
        <v>102</v>
      </c>
      <c r="C61" s="50">
        <v>19</v>
      </c>
      <c r="D61" s="50">
        <v>10</v>
      </c>
      <c r="E61" s="50">
        <v>6</v>
      </c>
      <c r="F61" s="50">
        <v>8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123</v>
      </c>
      <c r="N61" s="50">
        <v>0</v>
      </c>
      <c r="O61" s="15">
        <f t="shared" si="0"/>
        <v>44</v>
      </c>
      <c r="P61" s="15">
        <f t="shared" si="1"/>
        <v>167</v>
      </c>
      <c r="R61" s="8"/>
      <c r="T61"/>
    </row>
    <row r="62" spans="2:20" ht="23.1" customHeight="1" x14ac:dyDescent="0.25">
      <c r="B62" s="45" t="s">
        <v>107</v>
      </c>
      <c r="C62" s="50">
        <v>29</v>
      </c>
      <c r="D62" s="50">
        <v>13</v>
      </c>
      <c r="E62" s="50">
        <v>11</v>
      </c>
      <c r="F62" s="50">
        <v>13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95</v>
      </c>
      <c r="N62" s="50">
        <v>0</v>
      </c>
      <c r="O62" s="15">
        <f t="shared" si="0"/>
        <v>67</v>
      </c>
      <c r="P62" s="15">
        <f t="shared" si="1"/>
        <v>162</v>
      </c>
      <c r="R62" s="8"/>
      <c r="T62"/>
    </row>
    <row r="63" spans="2:20" ht="23.1" customHeight="1" x14ac:dyDescent="0.25">
      <c r="B63" s="45" t="s">
        <v>108</v>
      </c>
      <c r="C63" s="50">
        <v>25</v>
      </c>
      <c r="D63" s="50">
        <v>12</v>
      </c>
      <c r="E63" s="50">
        <v>2</v>
      </c>
      <c r="F63" s="50">
        <v>10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98</v>
      </c>
      <c r="N63" s="50">
        <v>0</v>
      </c>
      <c r="O63" s="15">
        <f t="shared" si="0"/>
        <v>50</v>
      </c>
      <c r="P63" s="15">
        <f t="shared" si="1"/>
        <v>148</v>
      </c>
      <c r="R63" s="8"/>
      <c r="T63"/>
    </row>
    <row r="64" spans="2:20" ht="23.1" customHeight="1" x14ac:dyDescent="0.25">
      <c r="B64" s="45" t="s">
        <v>109</v>
      </c>
      <c r="C64" s="50">
        <v>19</v>
      </c>
      <c r="D64" s="50">
        <v>8</v>
      </c>
      <c r="E64" s="50">
        <v>1</v>
      </c>
      <c r="F64" s="50">
        <v>6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105</v>
      </c>
      <c r="N64" s="50">
        <v>0</v>
      </c>
      <c r="O64" s="15">
        <f t="shared" si="0"/>
        <v>35</v>
      </c>
      <c r="P64" s="15">
        <f t="shared" si="1"/>
        <v>140</v>
      </c>
      <c r="R64" s="8"/>
      <c r="T64"/>
    </row>
    <row r="65" spans="2:20" ht="23.1" customHeight="1" x14ac:dyDescent="0.25">
      <c r="B65" s="45" t="s">
        <v>158</v>
      </c>
      <c r="C65" s="50">
        <v>23</v>
      </c>
      <c r="D65" s="50">
        <v>21</v>
      </c>
      <c r="E65" s="50">
        <v>5</v>
      </c>
      <c r="F65" s="50">
        <v>10</v>
      </c>
      <c r="G65" s="50">
        <v>0</v>
      </c>
      <c r="H65" s="50">
        <v>0</v>
      </c>
      <c r="I65" s="50">
        <v>1</v>
      </c>
      <c r="J65" s="50">
        <v>1</v>
      </c>
      <c r="K65" s="50">
        <v>0</v>
      </c>
      <c r="L65" s="50">
        <v>0</v>
      </c>
      <c r="M65" s="50">
        <v>95</v>
      </c>
      <c r="N65" s="50">
        <v>0</v>
      </c>
      <c r="O65" s="15">
        <f t="shared" si="0"/>
        <v>61</v>
      </c>
      <c r="P65" s="15">
        <f t="shared" si="1"/>
        <v>156</v>
      </c>
      <c r="R65" s="8"/>
      <c r="T65"/>
    </row>
    <row r="66" spans="2:20" ht="23.1" customHeight="1" x14ac:dyDescent="0.25">
      <c r="B66" s="45" t="s">
        <v>103</v>
      </c>
      <c r="C66" s="50">
        <v>25</v>
      </c>
      <c r="D66" s="50">
        <v>14</v>
      </c>
      <c r="E66" s="50">
        <v>7</v>
      </c>
      <c r="F66" s="50">
        <v>10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80</v>
      </c>
      <c r="N66" s="50">
        <v>0</v>
      </c>
      <c r="O66" s="15">
        <f t="shared" si="0"/>
        <v>58</v>
      </c>
      <c r="P66" s="15">
        <f t="shared" si="1"/>
        <v>138</v>
      </c>
      <c r="R66" s="8"/>
      <c r="T66"/>
    </row>
    <row r="67" spans="2:20" ht="23.1" customHeight="1" x14ac:dyDescent="0.25">
      <c r="B67" s="45" t="s">
        <v>104</v>
      </c>
      <c r="C67" s="50">
        <v>11</v>
      </c>
      <c r="D67" s="50">
        <v>12</v>
      </c>
      <c r="E67" s="50">
        <v>2</v>
      </c>
      <c r="F67" s="50">
        <v>3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78</v>
      </c>
      <c r="N67" s="50">
        <v>0</v>
      </c>
      <c r="O67" s="15">
        <f t="shared" si="0"/>
        <v>29</v>
      </c>
      <c r="P67" s="15">
        <f t="shared" si="1"/>
        <v>107</v>
      </c>
      <c r="R67" s="8"/>
      <c r="T67"/>
    </row>
    <row r="68" spans="2:20" ht="23.1" customHeight="1" x14ac:dyDescent="0.25">
      <c r="B68" s="45" t="s">
        <v>105</v>
      </c>
      <c r="C68" s="50">
        <v>35</v>
      </c>
      <c r="D68" s="50">
        <v>13</v>
      </c>
      <c r="E68" s="50">
        <v>3</v>
      </c>
      <c r="F68" s="50">
        <v>3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93</v>
      </c>
      <c r="N68" s="50">
        <v>0</v>
      </c>
      <c r="O68" s="15">
        <f t="shared" si="0"/>
        <v>54</v>
      </c>
      <c r="P68" s="15">
        <f t="shared" si="1"/>
        <v>147</v>
      </c>
      <c r="R68" s="8"/>
      <c r="T68"/>
    </row>
    <row r="69" spans="2:20" ht="23.1" customHeight="1" x14ac:dyDescent="0.25">
      <c r="B69" s="45" t="s">
        <v>106</v>
      </c>
      <c r="C69" s="50">
        <v>29</v>
      </c>
      <c r="D69" s="50">
        <v>17</v>
      </c>
      <c r="E69" s="50">
        <v>0</v>
      </c>
      <c r="F69" s="50">
        <v>6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1</v>
      </c>
      <c r="M69" s="50">
        <v>97</v>
      </c>
      <c r="N69" s="50">
        <v>0</v>
      </c>
      <c r="O69" s="15">
        <f t="shared" si="0"/>
        <v>54</v>
      </c>
      <c r="P69" s="15">
        <f t="shared" si="1"/>
        <v>151</v>
      </c>
      <c r="R69" s="8"/>
      <c r="T69"/>
    </row>
    <row r="70" spans="2:20" ht="23.1" customHeight="1" x14ac:dyDescent="0.25">
      <c r="B70" s="45" t="s">
        <v>110</v>
      </c>
      <c r="C70" s="50">
        <v>22</v>
      </c>
      <c r="D70" s="50">
        <v>10</v>
      </c>
      <c r="E70" s="50">
        <v>3</v>
      </c>
      <c r="F70" s="50">
        <v>5</v>
      </c>
      <c r="G70" s="50">
        <v>0</v>
      </c>
      <c r="H70" s="50">
        <v>0</v>
      </c>
      <c r="I70" s="50">
        <v>1</v>
      </c>
      <c r="J70" s="50">
        <v>1</v>
      </c>
      <c r="K70" s="50">
        <v>0</v>
      </c>
      <c r="L70" s="50">
        <v>1</v>
      </c>
      <c r="M70" s="50">
        <v>95</v>
      </c>
      <c r="N70" s="50">
        <v>0</v>
      </c>
      <c r="O70" s="15">
        <f t="shared" si="0"/>
        <v>43</v>
      </c>
      <c r="P70" s="15">
        <f t="shared" si="1"/>
        <v>138</v>
      </c>
      <c r="R70" s="8"/>
      <c r="T70"/>
    </row>
    <row r="71" spans="2:20" ht="23.1" customHeight="1" x14ac:dyDescent="0.25">
      <c r="B71" s="45" t="s">
        <v>111</v>
      </c>
      <c r="C71" s="50">
        <v>30</v>
      </c>
      <c r="D71" s="50">
        <v>10</v>
      </c>
      <c r="E71" s="50">
        <v>3</v>
      </c>
      <c r="F71" s="50">
        <v>6</v>
      </c>
      <c r="G71" s="50">
        <v>0</v>
      </c>
      <c r="H71" s="50">
        <v>0</v>
      </c>
      <c r="I71" s="50">
        <v>1</v>
      </c>
      <c r="J71" s="50">
        <v>0</v>
      </c>
      <c r="K71" s="50">
        <v>1</v>
      </c>
      <c r="L71" s="50">
        <v>0</v>
      </c>
      <c r="M71" s="50">
        <v>60</v>
      </c>
      <c r="N71" s="50">
        <v>0</v>
      </c>
      <c r="O71" s="15">
        <f t="shared" si="0"/>
        <v>51</v>
      </c>
      <c r="P71" s="15">
        <f t="shared" si="1"/>
        <v>111</v>
      </c>
      <c r="R71" s="8"/>
      <c r="T71"/>
    </row>
    <row r="72" spans="2:20" ht="23.1" customHeight="1" x14ac:dyDescent="0.25">
      <c r="B72" s="45" t="s">
        <v>112</v>
      </c>
      <c r="C72" s="50">
        <v>29</v>
      </c>
      <c r="D72" s="50">
        <v>18</v>
      </c>
      <c r="E72" s="50">
        <v>5</v>
      </c>
      <c r="F72" s="50">
        <v>8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1</v>
      </c>
      <c r="M72" s="50">
        <v>102</v>
      </c>
      <c r="N72" s="50">
        <v>0</v>
      </c>
      <c r="O72" s="15">
        <f t="shared" si="0"/>
        <v>62</v>
      </c>
      <c r="P72" s="15">
        <f t="shared" si="1"/>
        <v>164</v>
      </c>
      <c r="R72" s="8"/>
      <c r="T72"/>
    </row>
    <row r="73" spans="2:20" ht="23.1" customHeight="1" x14ac:dyDescent="0.25">
      <c r="B73" s="45" t="s">
        <v>113</v>
      </c>
      <c r="C73" s="50">
        <v>21</v>
      </c>
      <c r="D73" s="50">
        <v>21</v>
      </c>
      <c r="E73" s="50">
        <v>0</v>
      </c>
      <c r="F73" s="50">
        <v>4</v>
      </c>
      <c r="G73" s="50">
        <v>0</v>
      </c>
      <c r="H73" s="50">
        <v>0</v>
      </c>
      <c r="I73" s="50">
        <v>0</v>
      </c>
      <c r="J73" s="50">
        <v>0</v>
      </c>
      <c r="K73" s="50">
        <v>1</v>
      </c>
      <c r="L73" s="50">
        <v>0</v>
      </c>
      <c r="M73" s="50">
        <v>78</v>
      </c>
      <c r="N73" s="50">
        <v>0</v>
      </c>
      <c r="O73" s="15">
        <f t="shared" si="0"/>
        <v>47</v>
      </c>
      <c r="P73" s="15">
        <f t="shared" si="1"/>
        <v>125</v>
      </c>
      <c r="R73" s="8"/>
      <c r="T73"/>
    </row>
    <row r="74" spans="2:20" ht="23.1" customHeight="1" x14ac:dyDescent="0.25">
      <c r="B74" s="45" t="s">
        <v>114</v>
      </c>
      <c r="C74" s="50">
        <v>22</v>
      </c>
      <c r="D74" s="50">
        <v>15</v>
      </c>
      <c r="E74" s="50">
        <v>1</v>
      </c>
      <c r="F74" s="50">
        <v>3</v>
      </c>
      <c r="G74" s="50">
        <v>0</v>
      </c>
      <c r="H74" s="50">
        <v>0</v>
      </c>
      <c r="I74" s="50">
        <v>0</v>
      </c>
      <c r="J74" s="50">
        <v>1</v>
      </c>
      <c r="K74" s="50">
        <v>0</v>
      </c>
      <c r="L74" s="50">
        <v>1</v>
      </c>
      <c r="M74" s="50">
        <v>38</v>
      </c>
      <c r="N74" s="50">
        <v>0</v>
      </c>
      <c r="O74" s="15">
        <f t="shared" ref="O74:O105" si="35">SUM(C74:L74,N74)</f>
        <v>43</v>
      </c>
      <c r="P74" s="15">
        <f t="shared" ref="P74:P105" si="36">SUM(C74:N74)</f>
        <v>81</v>
      </c>
      <c r="R74" s="8"/>
      <c r="T74"/>
    </row>
    <row r="75" spans="2:20" ht="23.1" customHeight="1" x14ac:dyDescent="0.25">
      <c r="B75" s="45" t="s">
        <v>115</v>
      </c>
      <c r="C75" s="50">
        <v>23</v>
      </c>
      <c r="D75" s="50">
        <v>14</v>
      </c>
      <c r="E75" s="50">
        <v>2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49</v>
      </c>
      <c r="N75" s="50">
        <v>0</v>
      </c>
      <c r="O75" s="15">
        <f t="shared" si="35"/>
        <v>39</v>
      </c>
      <c r="P75" s="15">
        <f t="shared" si="36"/>
        <v>88</v>
      </c>
      <c r="R75" s="8"/>
      <c r="T75"/>
    </row>
    <row r="76" spans="2:20" ht="23.1" customHeight="1" x14ac:dyDescent="0.25">
      <c r="B76" s="45" t="s">
        <v>116</v>
      </c>
      <c r="C76" s="50">
        <v>19</v>
      </c>
      <c r="D76" s="50">
        <v>11</v>
      </c>
      <c r="E76" s="50">
        <v>2</v>
      </c>
      <c r="F76" s="50">
        <v>3</v>
      </c>
      <c r="G76" s="50">
        <v>0</v>
      </c>
      <c r="H76" s="50">
        <v>0</v>
      </c>
      <c r="I76" s="50">
        <v>3</v>
      </c>
      <c r="J76" s="50">
        <v>0</v>
      </c>
      <c r="K76" s="50">
        <v>0</v>
      </c>
      <c r="L76" s="50">
        <v>0</v>
      </c>
      <c r="M76" s="50">
        <v>48</v>
      </c>
      <c r="N76" s="50">
        <v>0</v>
      </c>
      <c r="O76" s="15">
        <f t="shared" si="35"/>
        <v>38</v>
      </c>
      <c r="P76" s="15">
        <f t="shared" si="36"/>
        <v>86</v>
      </c>
      <c r="R76" s="8"/>
      <c r="T76"/>
    </row>
    <row r="77" spans="2:20" ht="23.1" customHeight="1" x14ac:dyDescent="0.25">
      <c r="B77" s="45" t="s">
        <v>117</v>
      </c>
      <c r="C77" s="50">
        <v>18</v>
      </c>
      <c r="D77" s="50">
        <v>14</v>
      </c>
      <c r="E77" s="50">
        <v>1</v>
      </c>
      <c r="F77" s="50">
        <v>2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50</v>
      </c>
      <c r="N77" s="50">
        <v>0</v>
      </c>
      <c r="O77" s="15">
        <f t="shared" si="35"/>
        <v>37</v>
      </c>
      <c r="P77" s="15">
        <f t="shared" si="36"/>
        <v>87</v>
      </c>
      <c r="R77" s="8"/>
      <c r="T77"/>
    </row>
    <row r="78" spans="2:20" ht="23.1" customHeight="1" x14ac:dyDescent="0.25">
      <c r="B78" s="46" t="s">
        <v>118</v>
      </c>
      <c r="C78" s="50">
        <v>13</v>
      </c>
      <c r="D78" s="50">
        <v>10</v>
      </c>
      <c r="E78" s="50">
        <v>3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41</v>
      </c>
      <c r="N78" s="50">
        <v>0</v>
      </c>
      <c r="O78" s="15">
        <f t="shared" si="35"/>
        <v>27</v>
      </c>
      <c r="P78" s="15">
        <f t="shared" si="36"/>
        <v>68</v>
      </c>
      <c r="R78" s="8"/>
      <c r="T78"/>
    </row>
    <row r="79" spans="2:20" ht="23.1" customHeight="1" x14ac:dyDescent="0.25">
      <c r="B79" s="45" t="s">
        <v>119</v>
      </c>
      <c r="C79" s="50">
        <v>23</v>
      </c>
      <c r="D79" s="50">
        <v>8</v>
      </c>
      <c r="E79" s="50">
        <v>4</v>
      </c>
      <c r="F79" s="50">
        <v>0</v>
      </c>
      <c r="G79" s="50">
        <v>0</v>
      </c>
      <c r="H79" s="50">
        <v>0</v>
      </c>
      <c r="I79" s="50">
        <v>3</v>
      </c>
      <c r="J79" s="50">
        <v>0</v>
      </c>
      <c r="K79" s="50">
        <v>0</v>
      </c>
      <c r="L79" s="50">
        <v>0</v>
      </c>
      <c r="M79" s="50">
        <v>40</v>
      </c>
      <c r="N79" s="50">
        <v>0</v>
      </c>
      <c r="O79" s="15">
        <f t="shared" si="35"/>
        <v>38</v>
      </c>
      <c r="P79" s="15">
        <f t="shared" si="36"/>
        <v>78</v>
      </c>
      <c r="R79" s="8"/>
      <c r="T79"/>
    </row>
    <row r="80" spans="2:20" ht="23.1" customHeight="1" x14ac:dyDescent="0.25">
      <c r="B80" s="47" t="s">
        <v>120</v>
      </c>
      <c r="C80" s="50">
        <v>5</v>
      </c>
      <c r="D80" s="50">
        <v>4</v>
      </c>
      <c r="E80" s="50">
        <v>3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2</v>
      </c>
      <c r="M80" s="50">
        <v>38</v>
      </c>
      <c r="N80" s="50">
        <v>0</v>
      </c>
      <c r="O80" s="15">
        <f t="shared" si="35"/>
        <v>14</v>
      </c>
      <c r="P80" s="15">
        <f t="shared" si="36"/>
        <v>52</v>
      </c>
      <c r="R80" s="8"/>
      <c r="T80"/>
    </row>
    <row r="81" spans="2:20" ht="23.1" customHeight="1" x14ac:dyDescent="0.25">
      <c r="B81" s="45" t="s">
        <v>121</v>
      </c>
      <c r="C81" s="50">
        <v>12</v>
      </c>
      <c r="D81" s="50">
        <v>5</v>
      </c>
      <c r="E81" s="50">
        <v>2</v>
      </c>
      <c r="F81" s="50">
        <v>1</v>
      </c>
      <c r="G81" s="50">
        <v>0</v>
      </c>
      <c r="H81" s="50">
        <v>0</v>
      </c>
      <c r="I81" s="50">
        <v>0</v>
      </c>
      <c r="J81" s="50">
        <v>1</v>
      </c>
      <c r="K81" s="50">
        <v>1</v>
      </c>
      <c r="L81" s="50">
        <v>0</v>
      </c>
      <c r="M81" s="50">
        <v>24</v>
      </c>
      <c r="N81" s="50">
        <v>0</v>
      </c>
      <c r="O81" s="15">
        <f t="shared" si="35"/>
        <v>22</v>
      </c>
      <c r="P81" s="15">
        <f t="shared" si="36"/>
        <v>46</v>
      </c>
      <c r="R81" s="8"/>
      <c r="T81"/>
    </row>
    <row r="82" spans="2:20" ht="23.1" customHeight="1" x14ac:dyDescent="0.25">
      <c r="B82" s="46" t="s">
        <v>122</v>
      </c>
      <c r="C82" s="50">
        <v>8</v>
      </c>
      <c r="D82" s="50">
        <v>3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11</v>
      </c>
      <c r="N82" s="50">
        <v>0</v>
      </c>
      <c r="O82" s="15">
        <f t="shared" si="35"/>
        <v>11</v>
      </c>
      <c r="P82" s="15">
        <f t="shared" si="36"/>
        <v>22</v>
      </c>
      <c r="R82" s="8"/>
      <c r="T82"/>
    </row>
    <row r="83" spans="2:20" ht="23.1" customHeight="1" x14ac:dyDescent="0.25">
      <c r="B83" s="45" t="s">
        <v>123</v>
      </c>
      <c r="C83" s="50">
        <v>12</v>
      </c>
      <c r="D83" s="50">
        <v>9</v>
      </c>
      <c r="E83" s="50">
        <v>2</v>
      </c>
      <c r="F83" s="50">
        <v>0</v>
      </c>
      <c r="G83" s="50">
        <v>0</v>
      </c>
      <c r="H83" s="50">
        <v>0</v>
      </c>
      <c r="I83" s="50">
        <v>3</v>
      </c>
      <c r="J83" s="50">
        <v>0</v>
      </c>
      <c r="K83" s="50">
        <v>0</v>
      </c>
      <c r="L83" s="50">
        <v>1</v>
      </c>
      <c r="M83" s="50">
        <v>18</v>
      </c>
      <c r="N83" s="50">
        <v>0</v>
      </c>
      <c r="O83" s="15">
        <f t="shared" si="35"/>
        <v>27</v>
      </c>
      <c r="P83" s="15">
        <f t="shared" si="36"/>
        <v>45</v>
      </c>
      <c r="R83" s="8"/>
      <c r="T83"/>
    </row>
    <row r="84" spans="2:20" ht="23.1" customHeight="1" x14ac:dyDescent="0.25">
      <c r="B84" s="47" t="s">
        <v>124</v>
      </c>
      <c r="C84" s="50">
        <v>12</v>
      </c>
      <c r="D84" s="50">
        <v>3</v>
      </c>
      <c r="E84" s="50">
        <v>0</v>
      </c>
      <c r="F84" s="50">
        <v>0</v>
      </c>
      <c r="G84" s="50">
        <v>0</v>
      </c>
      <c r="H84" s="50">
        <v>0</v>
      </c>
      <c r="I84" s="50">
        <v>2</v>
      </c>
      <c r="J84" s="50">
        <v>0</v>
      </c>
      <c r="K84" s="50">
        <v>1</v>
      </c>
      <c r="L84" s="50">
        <v>3</v>
      </c>
      <c r="M84" s="50">
        <v>4</v>
      </c>
      <c r="N84" s="50">
        <v>0</v>
      </c>
      <c r="O84" s="15">
        <f t="shared" si="35"/>
        <v>21</v>
      </c>
      <c r="P84" s="15">
        <f t="shared" si="36"/>
        <v>25</v>
      </c>
      <c r="R84" s="8"/>
      <c r="T84"/>
    </row>
    <row r="85" spans="2:20" ht="23.1" customHeight="1" x14ac:dyDescent="0.25">
      <c r="B85" s="45" t="s">
        <v>125</v>
      </c>
      <c r="C85" s="50">
        <v>12</v>
      </c>
      <c r="D85" s="50">
        <v>1</v>
      </c>
      <c r="E85" s="50">
        <v>2</v>
      </c>
      <c r="F85" s="50">
        <v>1</v>
      </c>
      <c r="G85" s="50">
        <v>0</v>
      </c>
      <c r="H85" s="50">
        <v>0</v>
      </c>
      <c r="I85" s="50">
        <v>0</v>
      </c>
      <c r="J85" s="50">
        <v>2</v>
      </c>
      <c r="K85" s="50">
        <v>0</v>
      </c>
      <c r="L85" s="50">
        <v>0</v>
      </c>
      <c r="M85" s="50">
        <v>6</v>
      </c>
      <c r="N85" s="50">
        <v>0</v>
      </c>
      <c r="O85" s="15">
        <f t="shared" si="35"/>
        <v>18</v>
      </c>
      <c r="P85" s="15">
        <f t="shared" si="36"/>
        <v>24</v>
      </c>
      <c r="R85" s="8"/>
      <c r="T85"/>
    </row>
    <row r="86" spans="2:20" ht="23.1" customHeight="1" x14ac:dyDescent="0.25">
      <c r="B86" s="46" t="s">
        <v>126</v>
      </c>
      <c r="C86" s="50">
        <v>8</v>
      </c>
      <c r="D86" s="50">
        <v>2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10</v>
      </c>
      <c r="N86" s="50">
        <v>0</v>
      </c>
      <c r="O86" s="15">
        <f t="shared" si="35"/>
        <v>11</v>
      </c>
      <c r="P86" s="15">
        <f t="shared" si="36"/>
        <v>21</v>
      </c>
      <c r="R86" s="8"/>
      <c r="T86"/>
    </row>
    <row r="87" spans="2:20" ht="23.1" customHeight="1" x14ac:dyDescent="0.25">
      <c r="B87" s="45" t="s">
        <v>127</v>
      </c>
      <c r="C87" s="50">
        <v>6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3</v>
      </c>
      <c r="K87" s="50">
        <v>0</v>
      </c>
      <c r="L87" s="50">
        <v>2</v>
      </c>
      <c r="M87" s="50">
        <v>18</v>
      </c>
      <c r="N87" s="50">
        <v>0</v>
      </c>
      <c r="O87" s="15">
        <f t="shared" si="35"/>
        <v>13</v>
      </c>
      <c r="P87" s="15">
        <f t="shared" si="36"/>
        <v>31</v>
      </c>
      <c r="R87" s="8"/>
      <c r="T87"/>
    </row>
    <row r="88" spans="2:20" ht="23.1" customHeight="1" x14ac:dyDescent="0.25">
      <c r="B88" s="47" t="s">
        <v>128</v>
      </c>
      <c r="C88" s="50">
        <v>8</v>
      </c>
      <c r="D88" s="50">
        <v>2</v>
      </c>
      <c r="E88" s="50">
        <v>2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16</v>
      </c>
      <c r="N88" s="50">
        <v>0</v>
      </c>
      <c r="O88" s="15">
        <f t="shared" si="35"/>
        <v>13</v>
      </c>
      <c r="P88" s="15">
        <f t="shared" si="36"/>
        <v>29</v>
      </c>
      <c r="R88" s="8"/>
      <c r="T88"/>
    </row>
    <row r="89" spans="2:20" ht="23.1" customHeight="1" x14ac:dyDescent="0.25">
      <c r="B89" s="45" t="s">
        <v>129</v>
      </c>
      <c r="C89" s="50">
        <v>5</v>
      </c>
      <c r="D89" s="50">
        <v>2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28</v>
      </c>
      <c r="N89" s="50">
        <v>0</v>
      </c>
      <c r="O89" s="15">
        <f t="shared" si="35"/>
        <v>7</v>
      </c>
      <c r="P89" s="15">
        <f t="shared" si="36"/>
        <v>35</v>
      </c>
      <c r="R89" s="8"/>
      <c r="T89"/>
    </row>
    <row r="90" spans="2:20" ht="23.1" customHeight="1" x14ac:dyDescent="0.25">
      <c r="B90" s="46" t="s">
        <v>130</v>
      </c>
      <c r="C90" s="50">
        <v>4</v>
      </c>
      <c r="D90" s="50">
        <v>5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12</v>
      </c>
      <c r="N90" s="50">
        <v>0</v>
      </c>
      <c r="O90" s="15">
        <f t="shared" si="35"/>
        <v>9</v>
      </c>
      <c r="P90" s="15">
        <f t="shared" si="36"/>
        <v>21</v>
      </c>
      <c r="R90" s="8"/>
      <c r="T90"/>
    </row>
    <row r="91" spans="2:20" ht="23.1" customHeight="1" x14ac:dyDescent="0.25">
      <c r="B91" s="45" t="s">
        <v>131</v>
      </c>
      <c r="C91" s="50">
        <v>5</v>
      </c>
      <c r="D91" s="50">
        <v>1</v>
      </c>
      <c r="E91" s="50">
        <v>1</v>
      </c>
      <c r="F91" s="50">
        <v>1</v>
      </c>
      <c r="G91" s="50">
        <v>0</v>
      </c>
      <c r="H91" s="50">
        <v>0</v>
      </c>
      <c r="I91" s="50">
        <v>5</v>
      </c>
      <c r="J91" s="50">
        <v>0</v>
      </c>
      <c r="K91" s="50">
        <v>1</v>
      </c>
      <c r="L91" s="50">
        <v>3</v>
      </c>
      <c r="M91" s="50">
        <v>4</v>
      </c>
      <c r="N91" s="50">
        <v>0</v>
      </c>
      <c r="O91" s="15">
        <f t="shared" si="35"/>
        <v>17</v>
      </c>
      <c r="P91" s="15">
        <f t="shared" si="36"/>
        <v>21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4</v>
      </c>
      <c r="E92" s="50">
        <v>1</v>
      </c>
      <c r="F92" s="50">
        <v>1</v>
      </c>
      <c r="G92" s="50">
        <v>0</v>
      </c>
      <c r="H92" s="50">
        <v>0</v>
      </c>
      <c r="I92" s="50">
        <v>0</v>
      </c>
      <c r="J92" s="50">
        <v>4</v>
      </c>
      <c r="K92" s="50">
        <v>2</v>
      </c>
      <c r="L92" s="50">
        <v>0</v>
      </c>
      <c r="M92" s="50">
        <v>10</v>
      </c>
      <c r="N92" s="50">
        <v>0</v>
      </c>
      <c r="O92" s="15">
        <f t="shared" si="35"/>
        <v>14</v>
      </c>
      <c r="P92" s="15">
        <f t="shared" si="36"/>
        <v>24</v>
      </c>
      <c r="R92" s="8"/>
      <c r="T92"/>
    </row>
    <row r="93" spans="2:20" ht="23.1" customHeight="1" x14ac:dyDescent="0.25">
      <c r="B93" s="45" t="s">
        <v>133</v>
      </c>
      <c r="C93" s="50">
        <v>5</v>
      </c>
      <c r="D93" s="50">
        <v>3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1</v>
      </c>
      <c r="M93" s="50">
        <v>17</v>
      </c>
      <c r="N93" s="50">
        <v>0</v>
      </c>
      <c r="O93" s="15">
        <f t="shared" si="35"/>
        <v>9</v>
      </c>
      <c r="P93" s="15">
        <f t="shared" si="36"/>
        <v>26</v>
      </c>
      <c r="R93" s="8"/>
      <c r="T93"/>
    </row>
    <row r="94" spans="2:20" ht="23.1" customHeight="1" x14ac:dyDescent="0.25">
      <c r="B94" s="46" t="s">
        <v>134</v>
      </c>
      <c r="C94" s="50">
        <v>5</v>
      </c>
      <c r="D94" s="50">
        <v>1</v>
      </c>
      <c r="E94" s="50">
        <v>0</v>
      </c>
      <c r="F94" s="50">
        <v>2</v>
      </c>
      <c r="G94" s="50">
        <v>0</v>
      </c>
      <c r="H94" s="50">
        <v>0</v>
      </c>
      <c r="I94" s="50">
        <v>1</v>
      </c>
      <c r="J94" s="50">
        <v>1</v>
      </c>
      <c r="K94" s="50">
        <v>0</v>
      </c>
      <c r="L94" s="50">
        <v>0</v>
      </c>
      <c r="M94" s="50">
        <v>8</v>
      </c>
      <c r="N94" s="50">
        <v>0</v>
      </c>
      <c r="O94" s="15">
        <f t="shared" si="35"/>
        <v>10</v>
      </c>
      <c r="P94" s="15">
        <f t="shared" si="36"/>
        <v>18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1</v>
      </c>
      <c r="L95" s="50">
        <v>0</v>
      </c>
      <c r="M95" s="50">
        <v>13</v>
      </c>
      <c r="N95" s="50">
        <v>0</v>
      </c>
      <c r="O95" s="15">
        <f t="shared" si="35"/>
        <v>3</v>
      </c>
      <c r="P95" s="15">
        <f t="shared" si="36"/>
        <v>16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4</v>
      </c>
      <c r="E96" s="50">
        <v>0</v>
      </c>
      <c r="F96" s="50">
        <v>0</v>
      </c>
      <c r="G96" s="50">
        <v>0</v>
      </c>
      <c r="H96" s="50">
        <v>0</v>
      </c>
      <c r="I96" s="50">
        <v>3</v>
      </c>
      <c r="J96" s="50">
        <v>2</v>
      </c>
      <c r="K96" s="50">
        <v>0</v>
      </c>
      <c r="L96" s="50">
        <v>0</v>
      </c>
      <c r="M96" s="50">
        <v>16</v>
      </c>
      <c r="N96" s="50">
        <v>0</v>
      </c>
      <c r="O96" s="15">
        <f t="shared" si="35"/>
        <v>14</v>
      </c>
      <c r="P96" s="15">
        <f t="shared" si="36"/>
        <v>30</v>
      </c>
      <c r="R96" s="8"/>
      <c r="T96"/>
    </row>
    <row r="97" spans="2:20" ht="23.1" customHeight="1" x14ac:dyDescent="0.25">
      <c r="B97" s="45" t="s">
        <v>137</v>
      </c>
      <c r="C97" s="50">
        <v>6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2</v>
      </c>
      <c r="J97" s="50">
        <v>0</v>
      </c>
      <c r="K97" s="50">
        <v>0</v>
      </c>
      <c r="L97" s="50">
        <v>2</v>
      </c>
      <c r="M97" s="50">
        <v>5</v>
      </c>
      <c r="N97" s="50">
        <v>0</v>
      </c>
      <c r="O97" s="15">
        <f t="shared" si="35"/>
        <v>10</v>
      </c>
      <c r="P97" s="15">
        <f t="shared" si="36"/>
        <v>15</v>
      </c>
      <c r="R97" s="8"/>
      <c r="T97"/>
    </row>
    <row r="98" spans="2:20" ht="23.1" customHeight="1" x14ac:dyDescent="0.25">
      <c r="B98" s="46" t="s">
        <v>138</v>
      </c>
      <c r="C98" s="50">
        <v>6</v>
      </c>
      <c r="D98" s="50">
        <v>1</v>
      </c>
      <c r="E98" s="50">
        <v>2</v>
      </c>
      <c r="F98" s="50">
        <v>1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12</v>
      </c>
      <c r="N98" s="50">
        <v>0</v>
      </c>
      <c r="O98" s="15">
        <f t="shared" si="35"/>
        <v>10</v>
      </c>
      <c r="P98" s="15">
        <f t="shared" si="36"/>
        <v>22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2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27</v>
      </c>
      <c r="N99" s="50">
        <v>0</v>
      </c>
      <c r="O99" s="15">
        <f t="shared" si="35"/>
        <v>9</v>
      </c>
      <c r="P99" s="15">
        <f t="shared" si="36"/>
        <v>36</v>
      </c>
      <c r="R99" s="8"/>
      <c r="T99"/>
    </row>
    <row r="100" spans="2:20" ht="23.1" customHeight="1" x14ac:dyDescent="0.25">
      <c r="B100" s="47" t="s">
        <v>140</v>
      </c>
      <c r="C100" s="50">
        <v>3</v>
      </c>
      <c r="D100" s="50">
        <v>1</v>
      </c>
      <c r="E100" s="50">
        <v>0</v>
      </c>
      <c r="F100" s="50">
        <v>1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2</v>
      </c>
      <c r="M100" s="50">
        <v>25</v>
      </c>
      <c r="N100" s="50">
        <v>0</v>
      </c>
      <c r="O100" s="15">
        <f t="shared" si="35"/>
        <v>8</v>
      </c>
      <c r="P100" s="15">
        <f t="shared" si="36"/>
        <v>33</v>
      </c>
      <c r="R100" s="8"/>
      <c r="T100"/>
    </row>
    <row r="101" spans="2:20" ht="23.1" customHeight="1" x14ac:dyDescent="0.25">
      <c r="B101" s="45" t="s">
        <v>141</v>
      </c>
      <c r="C101" s="50">
        <v>9</v>
      </c>
      <c r="D101" s="50">
        <v>3</v>
      </c>
      <c r="E101" s="50">
        <v>1</v>
      </c>
      <c r="F101" s="50">
        <v>4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1</v>
      </c>
      <c r="M101" s="50">
        <v>15</v>
      </c>
      <c r="N101" s="50">
        <v>0</v>
      </c>
      <c r="O101" s="15">
        <f t="shared" si="35"/>
        <v>18</v>
      </c>
      <c r="P101" s="15">
        <f t="shared" si="36"/>
        <v>33</v>
      </c>
      <c r="R101" s="8"/>
      <c r="T101"/>
    </row>
    <row r="102" spans="2:20" ht="23.1" customHeight="1" x14ac:dyDescent="0.25">
      <c r="B102" s="46" t="s">
        <v>142</v>
      </c>
      <c r="C102" s="50">
        <v>12</v>
      </c>
      <c r="D102" s="50">
        <v>10</v>
      </c>
      <c r="E102" s="50">
        <v>4</v>
      </c>
      <c r="F102" s="50">
        <v>3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12</v>
      </c>
      <c r="N102" s="50">
        <v>0</v>
      </c>
      <c r="O102" s="15">
        <f t="shared" si="35"/>
        <v>29</v>
      </c>
      <c r="P102" s="15">
        <f t="shared" si="36"/>
        <v>41</v>
      </c>
      <c r="R102" s="8"/>
      <c r="T102"/>
    </row>
    <row r="103" spans="2:20" ht="23.1" customHeight="1" x14ac:dyDescent="0.25">
      <c r="B103" s="45" t="s">
        <v>143</v>
      </c>
      <c r="C103" s="50">
        <v>8</v>
      </c>
      <c r="D103" s="50">
        <v>13</v>
      </c>
      <c r="E103" s="50">
        <v>3</v>
      </c>
      <c r="F103" s="50">
        <v>2</v>
      </c>
      <c r="G103" s="50">
        <v>1</v>
      </c>
      <c r="H103" s="50">
        <v>0</v>
      </c>
      <c r="I103" s="50">
        <v>0</v>
      </c>
      <c r="J103" s="50">
        <v>2</v>
      </c>
      <c r="K103" s="50">
        <v>0</v>
      </c>
      <c r="L103" s="50">
        <v>0</v>
      </c>
      <c r="M103" s="50">
        <v>22</v>
      </c>
      <c r="N103" s="50">
        <v>0</v>
      </c>
      <c r="O103" s="15">
        <f t="shared" si="35"/>
        <v>29</v>
      </c>
      <c r="P103" s="15">
        <f t="shared" si="36"/>
        <v>51</v>
      </c>
      <c r="R103" s="8"/>
      <c r="T103"/>
    </row>
    <row r="104" spans="2:20" ht="23.1" customHeight="1" x14ac:dyDescent="0.25">
      <c r="B104" s="47" t="s">
        <v>144</v>
      </c>
      <c r="C104" s="50">
        <v>10</v>
      </c>
      <c r="D104" s="50">
        <v>8</v>
      </c>
      <c r="E104" s="50">
        <v>1</v>
      </c>
      <c r="F104" s="50">
        <v>3</v>
      </c>
      <c r="G104" s="50">
        <v>0</v>
      </c>
      <c r="H104" s="50">
        <v>0</v>
      </c>
      <c r="I104" s="50">
        <v>3</v>
      </c>
      <c r="J104" s="50">
        <v>0</v>
      </c>
      <c r="K104" s="50">
        <v>0</v>
      </c>
      <c r="L104" s="50">
        <v>1</v>
      </c>
      <c r="M104" s="50">
        <v>33</v>
      </c>
      <c r="N104" s="50">
        <v>0</v>
      </c>
      <c r="O104" s="15">
        <f t="shared" si="35"/>
        <v>26</v>
      </c>
      <c r="P104" s="15">
        <f t="shared" si="36"/>
        <v>59</v>
      </c>
      <c r="R104" s="8"/>
      <c r="T104"/>
    </row>
    <row r="105" spans="2:20" ht="23.1" customHeight="1" x14ac:dyDescent="0.25">
      <c r="B105" s="45" t="s">
        <v>145</v>
      </c>
      <c r="C105" s="50">
        <v>17</v>
      </c>
      <c r="D105" s="50">
        <v>9</v>
      </c>
      <c r="E105" s="50">
        <v>4</v>
      </c>
      <c r="F105" s="50">
        <v>6</v>
      </c>
      <c r="G105" s="50">
        <v>0</v>
      </c>
      <c r="H105" s="50">
        <v>0</v>
      </c>
      <c r="I105" s="50">
        <v>1</v>
      </c>
      <c r="J105" s="50">
        <v>3</v>
      </c>
      <c r="K105" s="50">
        <v>1</v>
      </c>
      <c r="L105" s="50">
        <v>0</v>
      </c>
      <c r="M105" s="50">
        <v>45</v>
      </c>
      <c r="N105" s="50">
        <v>0</v>
      </c>
      <c r="O105" s="15">
        <f t="shared" si="35"/>
        <v>41</v>
      </c>
      <c r="P105" s="15">
        <f t="shared" si="36"/>
        <v>86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1558</v>
      </c>
      <c r="D106" s="16">
        <f t="shared" ref="D106:P106" si="37">SUM(D10:D105)</f>
        <v>894</v>
      </c>
      <c r="E106" s="16">
        <f t="shared" si="37"/>
        <v>270</v>
      </c>
      <c r="F106" s="16">
        <f t="shared" si="37"/>
        <v>312</v>
      </c>
      <c r="G106" s="16">
        <f t="shared" si="37"/>
        <v>3</v>
      </c>
      <c r="H106" s="16">
        <f t="shared" si="37"/>
        <v>0</v>
      </c>
      <c r="I106" s="16">
        <f t="shared" si="37"/>
        <v>133</v>
      </c>
      <c r="J106" s="16">
        <f t="shared" si="37"/>
        <v>88</v>
      </c>
      <c r="K106" s="16">
        <f t="shared" si="37"/>
        <v>46</v>
      </c>
      <c r="L106" s="16">
        <f t="shared" si="37"/>
        <v>209</v>
      </c>
      <c r="M106" s="16">
        <f t="shared" si="37"/>
        <v>7484</v>
      </c>
      <c r="N106" s="16">
        <f t="shared" si="37"/>
        <v>1</v>
      </c>
      <c r="O106" s="16">
        <f t="shared" si="37"/>
        <v>3514</v>
      </c>
      <c r="P106" s="16">
        <f t="shared" si="37"/>
        <v>10998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0.14166212038552464</v>
      </c>
      <c r="D107" s="43">
        <f t="shared" si="38"/>
        <v>8.1287506819421707E-2</v>
      </c>
      <c r="E107" s="43">
        <f t="shared" si="38"/>
        <v>2.4549918166939442E-2</v>
      </c>
      <c r="F107" s="43">
        <f t="shared" si="38"/>
        <v>2.8368794326241134E-2</v>
      </c>
      <c r="G107" s="43">
        <f t="shared" si="38"/>
        <v>2.7277686852154935E-4</v>
      </c>
      <c r="H107" s="43">
        <f t="shared" si="38"/>
        <v>0</v>
      </c>
      <c r="I107" s="43">
        <f t="shared" si="38"/>
        <v>1.209310783778869E-2</v>
      </c>
      <c r="J107" s="43">
        <f t="shared" si="38"/>
        <v>8.0014548099654487E-3</v>
      </c>
      <c r="K107" s="43">
        <f t="shared" si="38"/>
        <v>4.1825786506637574E-3</v>
      </c>
      <c r="L107" s="43">
        <f t="shared" si="38"/>
        <v>1.900345517366794E-2</v>
      </c>
      <c r="M107" s="43">
        <f t="shared" si="38"/>
        <v>0.68048736133842513</v>
      </c>
      <c r="N107" s="43">
        <f t="shared" si="38"/>
        <v>9.0925622840516454E-5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0.44336937962435968</v>
      </c>
      <c r="D108" s="44">
        <f t="shared" ref="D108:N108" si="39">D106/$O$106</f>
        <v>0.25441092771770063</v>
      </c>
      <c r="E108" s="44">
        <f t="shared" si="39"/>
        <v>7.6835515082527034E-2</v>
      </c>
      <c r="F108" s="44">
        <f t="shared" si="39"/>
        <v>8.8787706317586798E-2</v>
      </c>
      <c r="G108" s="44">
        <f t="shared" si="39"/>
        <v>8.5372794536141153E-4</v>
      </c>
      <c r="H108" s="44">
        <f t="shared" si="39"/>
        <v>0</v>
      </c>
      <c r="I108" s="44">
        <f t="shared" si="39"/>
        <v>3.7848605577689244E-2</v>
      </c>
      <c r="J108" s="44">
        <f t="shared" si="39"/>
        <v>2.5042686397268071E-2</v>
      </c>
      <c r="K108" s="44">
        <f t="shared" si="39"/>
        <v>1.309049516220831E-2</v>
      </c>
      <c r="L108" s="44">
        <f t="shared" si="39"/>
        <v>5.9476380193511667E-2</v>
      </c>
      <c r="M108" s="44"/>
      <c r="N108" s="44">
        <f t="shared" si="39"/>
        <v>2.8457598178713718E-4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9" zoomScale="60" workbookViewId="0">
      <selection activeCell="C106" sqref="C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NTINDA-SPEAR MOTORS'!C3:G3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NTINDA-SPEARMOTORS-24h'!D5</f>
        <v>03.08.19</v>
      </c>
      <c r="E5" s="3"/>
      <c r="F5" s="41" t="s">
        <v>1</v>
      </c>
      <c r="G5" s="61" t="str">
        <f>'03.08 NTINDA-SPEARMOTORS-24h'!G5:H5</f>
        <v>NAGURU BARRACKS</v>
      </c>
      <c r="H5" s="62"/>
      <c r="I5" s="14"/>
      <c r="J5" s="2" t="s">
        <v>5</v>
      </c>
      <c r="K5" s="61" t="s">
        <v>185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'29.07 SPEARMOTORS-NTINDA'!D6:E6</f>
        <v>SPEAR MOTORS</v>
      </c>
      <c r="E6" s="62"/>
      <c r="F6" s="2" t="s">
        <v>2</v>
      </c>
      <c r="G6" s="61" t="str">
        <f>'29.07 SPEARMOTORS-NTINDA'!G6:H6</f>
        <v>NTINDA</v>
      </c>
      <c r="H6" s="62"/>
      <c r="J6" s="2" t="s">
        <v>21</v>
      </c>
      <c r="K6" s="61" t="str">
        <f>'03.08 NTINDA-SPEARMOTORS-24h'!K6:L6</f>
        <v>NUSULAH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30</v>
      </c>
      <c r="D10" s="50">
        <v>30</v>
      </c>
      <c r="E10" s="50">
        <v>15</v>
      </c>
      <c r="F10" s="50">
        <v>45</v>
      </c>
      <c r="G10" s="50">
        <v>1</v>
      </c>
      <c r="H10" s="50">
        <v>0</v>
      </c>
      <c r="I10" s="50">
        <v>3</v>
      </c>
      <c r="J10" s="50">
        <v>1</v>
      </c>
      <c r="K10" s="50">
        <v>0</v>
      </c>
      <c r="L10" s="50">
        <v>2</v>
      </c>
      <c r="M10" s="50">
        <v>180</v>
      </c>
      <c r="N10" s="50">
        <v>0</v>
      </c>
      <c r="O10" s="15">
        <f t="shared" ref="O10:O73" si="0">SUM(C10:L10,N10)</f>
        <v>127</v>
      </c>
      <c r="P10" s="15">
        <f t="shared" ref="P10:P73" si="1">SUM(C10:N10)</f>
        <v>307</v>
      </c>
      <c r="R10" s="1" t="s">
        <v>6</v>
      </c>
      <c r="S10" s="17">
        <f t="shared" ref="S10:AF10" si="2">SUM(C10:C13)</f>
        <v>128</v>
      </c>
      <c r="T10" s="17">
        <f t="shared" si="2"/>
        <v>77</v>
      </c>
      <c r="U10" s="17">
        <f t="shared" si="2"/>
        <v>61</v>
      </c>
      <c r="V10" s="17">
        <f t="shared" si="2"/>
        <v>165</v>
      </c>
      <c r="W10" s="17">
        <f t="shared" si="2"/>
        <v>2</v>
      </c>
      <c r="X10" s="17">
        <f t="shared" si="2"/>
        <v>0</v>
      </c>
      <c r="Y10" s="17">
        <f t="shared" si="2"/>
        <v>12</v>
      </c>
      <c r="Z10" s="17">
        <f t="shared" si="2"/>
        <v>3</v>
      </c>
      <c r="AA10" s="17">
        <f t="shared" si="2"/>
        <v>2</v>
      </c>
      <c r="AB10" s="17">
        <f t="shared" si="2"/>
        <v>13</v>
      </c>
      <c r="AC10" s="17">
        <f t="shared" si="2"/>
        <v>740</v>
      </c>
      <c r="AD10" s="17">
        <f t="shared" si="2"/>
        <v>0</v>
      </c>
      <c r="AE10" s="31">
        <f t="shared" si="2"/>
        <v>463</v>
      </c>
      <c r="AF10" s="31">
        <f t="shared" si="2"/>
        <v>1203</v>
      </c>
    </row>
    <row r="11" spans="2:32" s="6" customFormat="1" ht="23.1" customHeight="1" x14ac:dyDescent="0.25">
      <c r="B11" s="45" t="s">
        <v>38</v>
      </c>
      <c r="C11" s="50">
        <v>40</v>
      </c>
      <c r="D11" s="50">
        <v>20</v>
      </c>
      <c r="E11" s="50">
        <v>19</v>
      </c>
      <c r="F11" s="50">
        <v>55</v>
      </c>
      <c r="G11" s="50">
        <v>1</v>
      </c>
      <c r="H11" s="50">
        <v>0</v>
      </c>
      <c r="I11" s="50">
        <v>2</v>
      </c>
      <c r="J11" s="50">
        <v>0</v>
      </c>
      <c r="K11" s="50">
        <v>1</v>
      </c>
      <c r="L11" s="50">
        <v>2</v>
      </c>
      <c r="M11" s="50">
        <v>210</v>
      </c>
      <c r="N11" s="50">
        <v>0</v>
      </c>
      <c r="O11" s="15">
        <f t="shared" si="0"/>
        <v>140</v>
      </c>
      <c r="P11" s="15">
        <f t="shared" si="1"/>
        <v>350</v>
      </c>
      <c r="R11" s="1" t="s">
        <v>7</v>
      </c>
      <c r="S11" s="17">
        <f t="shared" ref="S11:AF11" si="3">SUM(C14:C17)</f>
        <v>59</v>
      </c>
      <c r="T11" s="17">
        <f t="shared" si="3"/>
        <v>35</v>
      </c>
      <c r="U11" s="17">
        <f t="shared" si="3"/>
        <v>20</v>
      </c>
      <c r="V11" s="17">
        <f t="shared" si="3"/>
        <v>53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2</v>
      </c>
      <c r="AA11" s="17">
        <f t="shared" si="3"/>
        <v>5</v>
      </c>
      <c r="AB11" s="17">
        <f t="shared" si="3"/>
        <v>11</v>
      </c>
      <c r="AC11" s="17">
        <f t="shared" si="3"/>
        <v>735</v>
      </c>
      <c r="AD11" s="17">
        <f t="shared" si="3"/>
        <v>0</v>
      </c>
      <c r="AE11" s="31">
        <f t="shared" si="3"/>
        <v>194</v>
      </c>
      <c r="AF11" s="31">
        <f t="shared" si="3"/>
        <v>929</v>
      </c>
    </row>
    <row r="12" spans="2:32" ht="23.1" customHeight="1" x14ac:dyDescent="0.25">
      <c r="B12" s="45" t="s">
        <v>39</v>
      </c>
      <c r="C12" s="50">
        <v>28</v>
      </c>
      <c r="D12" s="50">
        <v>15</v>
      </c>
      <c r="E12" s="50">
        <v>13</v>
      </c>
      <c r="F12" s="50">
        <v>35</v>
      </c>
      <c r="G12" s="50">
        <v>0</v>
      </c>
      <c r="H12" s="50">
        <v>0</v>
      </c>
      <c r="I12" s="50">
        <v>4</v>
      </c>
      <c r="J12" s="50">
        <v>2</v>
      </c>
      <c r="K12" s="50">
        <v>0</v>
      </c>
      <c r="L12" s="50">
        <v>5</v>
      </c>
      <c r="M12" s="50">
        <v>165</v>
      </c>
      <c r="N12" s="50">
        <v>0</v>
      </c>
      <c r="O12" s="15">
        <f t="shared" si="0"/>
        <v>102</v>
      </c>
      <c r="P12" s="15">
        <f t="shared" si="1"/>
        <v>267</v>
      </c>
      <c r="R12" s="1" t="s">
        <v>8</v>
      </c>
      <c r="S12" s="17">
        <f t="shared" ref="S12:AF12" si="4">SUM(C18:C21)</f>
        <v>53</v>
      </c>
      <c r="T12" s="17">
        <f t="shared" si="4"/>
        <v>41</v>
      </c>
      <c r="U12" s="17">
        <f t="shared" si="4"/>
        <v>19</v>
      </c>
      <c r="V12" s="17">
        <f t="shared" si="4"/>
        <v>78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6</v>
      </c>
      <c r="AA12" s="17">
        <f t="shared" si="4"/>
        <v>2</v>
      </c>
      <c r="AB12" s="17">
        <f t="shared" si="4"/>
        <v>4</v>
      </c>
      <c r="AC12" s="17">
        <f t="shared" si="4"/>
        <v>675</v>
      </c>
      <c r="AD12" s="17">
        <f t="shared" si="4"/>
        <v>0</v>
      </c>
      <c r="AE12" s="31">
        <f t="shared" si="4"/>
        <v>206</v>
      </c>
      <c r="AF12" s="31">
        <f t="shared" si="4"/>
        <v>881</v>
      </c>
    </row>
    <row r="13" spans="2:32" ht="23.1" customHeight="1" x14ac:dyDescent="0.25">
      <c r="B13" s="45" t="s">
        <v>40</v>
      </c>
      <c r="C13" s="50">
        <v>30</v>
      </c>
      <c r="D13" s="50">
        <v>12</v>
      </c>
      <c r="E13" s="50">
        <v>14</v>
      </c>
      <c r="F13" s="50">
        <v>30</v>
      </c>
      <c r="G13" s="50">
        <v>0</v>
      </c>
      <c r="H13" s="50">
        <v>0</v>
      </c>
      <c r="I13" s="50">
        <v>3</v>
      </c>
      <c r="J13" s="50">
        <v>0</v>
      </c>
      <c r="K13" s="50">
        <v>1</v>
      </c>
      <c r="L13" s="50">
        <v>4</v>
      </c>
      <c r="M13" s="50">
        <v>185</v>
      </c>
      <c r="N13" s="50">
        <v>0</v>
      </c>
      <c r="O13" s="15">
        <f t="shared" si="0"/>
        <v>94</v>
      </c>
      <c r="P13" s="15">
        <f t="shared" si="1"/>
        <v>279</v>
      </c>
      <c r="R13" s="1" t="s">
        <v>9</v>
      </c>
      <c r="S13" s="17">
        <f t="shared" ref="S13:AF13" si="5">SUM(C22:C25)</f>
        <v>80</v>
      </c>
      <c r="T13" s="17">
        <f t="shared" si="5"/>
        <v>35</v>
      </c>
      <c r="U13" s="17">
        <f t="shared" si="5"/>
        <v>19</v>
      </c>
      <c r="V13" s="17">
        <f t="shared" si="5"/>
        <v>46</v>
      </c>
      <c r="W13" s="17">
        <f t="shared" si="5"/>
        <v>0</v>
      </c>
      <c r="X13" s="17">
        <f t="shared" si="5"/>
        <v>0</v>
      </c>
      <c r="Y13" s="17">
        <f t="shared" si="5"/>
        <v>18</v>
      </c>
      <c r="Z13" s="17">
        <f t="shared" si="5"/>
        <v>9</v>
      </c>
      <c r="AA13" s="17">
        <f t="shared" si="5"/>
        <v>4</v>
      </c>
      <c r="AB13" s="17">
        <f t="shared" si="5"/>
        <v>9</v>
      </c>
      <c r="AC13" s="17">
        <f t="shared" si="5"/>
        <v>590</v>
      </c>
      <c r="AD13" s="17">
        <f t="shared" si="5"/>
        <v>0</v>
      </c>
      <c r="AE13" s="31">
        <f t="shared" si="5"/>
        <v>220</v>
      </c>
      <c r="AF13" s="31">
        <f t="shared" si="5"/>
        <v>810</v>
      </c>
    </row>
    <row r="14" spans="2:32" ht="23.1" customHeight="1" x14ac:dyDescent="0.25">
      <c r="B14" s="45" t="s">
        <v>41</v>
      </c>
      <c r="C14" s="50">
        <v>19</v>
      </c>
      <c r="D14" s="50">
        <v>13</v>
      </c>
      <c r="E14" s="50">
        <v>7</v>
      </c>
      <c r="F14" s="50">
        <v>12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175</v>
      </c>
      <c r="N14" s="50">
        <v>0</v>
      </c>
      <c r="O14" s="15">
        <f t="shared" si="0"/>
        <v>53</v>
      </c>
      <c r="P14" s="15">
        <f t="shared" si="1"/>
        <v>228</v>
      </c>
      <c r="R14" s="1" t="s">
        <v>10</v>
      </c>
      <c r="S14" s="17">
        <f t="shared" ref="S14:AF14" si="6">SUM(C26:C29)</f>
        <v>67</v>
      </c>
      <c r="T14" s="17">
        <f t="shared" si="6"/>
        <v>45</v>
      </c>
      <c r="U14" s="17">
        <f t="shared" si="6"/>
        <v>17</v>
      </c>
      <c r="V14" s="17">
        <f t="shared" si="6"/>
        <v>28</v>
      </c>
      <c r="W14" s="17">
        <f t="shared" si="6"/>
        <v>0</v>
      </c>
      <c r="X14" s="17">
        <f t="shared" si="6"/>
        <v>0</v>
      </c>
      <c r="Y14" s="17">
        <f t="shared" si="6"/>
        <v>11</v>
      </c>
      <c r="Z14" s="17">
        <f t="shared" si="6"/>
        <v>8</v>
      </c>
      <c r="AA14" s="17">
        <f t="shared" si="6"/>
        <v>4</v>
      </c>
      <c r="AB14" s="17">
        <f t="shared" si="6"/>
        <v>15</v>
      </c>
      <c r="AC14" s="17">
        <f t="shared" si="6"/>
        <v>370</v>
      </c>
      <c r="AD14" s="17">
        <f t="shared" si="6"/>
        <v>0</v>
      </c>
      <c r="AE14" s="31">
        <f t="shared" si="6"/>
        <v>195</v>
      </c>
      <c r="AF14" s="31">
        <f t="shared" si="6"/>
        <v>565</v>
      </c>
    </row>
    <row r="15" spans="2:32" ht="23.1" customHeight="1" x14ac:dyDescent="0.25">
      <c r="B15" s="45" t="s">
        <v>42</v>
      </c>
      <c r="C15" s="50">
        <v>19</v>
      </c>
      <c r="D15" s="50">
        <v>11</v>
      </c>
      <c r="E15" s="50">
        <v>6</v>
      </c>
      <c r="F15" s="50">
        <v>19</v>
      </c>
      <c r="G15" s="50">
        <v>0</v>
      </c>
      <c r="H15" s="50">
        <v>0</v>
      </c>
      <c r="I15" s="50">
        <v>4</v>
      </c>
      <c r="J15" s="50">
        <v>0</v>
      </c>
      <c r="K15" s="50">
        <v>2</v>
      </c>
      <c r="L15" s="50">
        <v>4</v>
      </c>
      <c r="M15" s="50">
        <v>160</v>
      </c>
      <c r="N15" s="50">
        <v>0</v>
      </c>
      <c r="O15" s="15">
        <f t="shared" si="0"/>
        <v>65</v>
      </c>
      <c r="P15" s="15">
        <f t="shared" si="1"/>
        <v>225</v>
      </c>
      <c r="R15" s="1" t="s">
        <v>11</v>
      </c>
      <c r="S15" s="17">
        <f t="shared" ref="S15:AF15" si="7">SUM(C30:C33)</f>
        <v>98</v>
      </c>
      <c r="T15" s="17">
        <f t="shared" si="7"/>
        <v>36</v>
      </c>
      <c r="U15" s="17">
        <f t="shared" si="7"/>
        <v>24</v>
      </c>
      <c r="V15" s="17">
        <f t="shared" si="7"/>
        <v>41</v>
      </c>
      <c r="W15" s="17">
        <f t="shared" si="7"/>
        <v>1</v>
      </c>
      <c r="X15" s="17">
        <f t="shared" si="7"/>
        <v>0</v>
      </c>
      <c r="Y15" s="17">
        <f t="shared" si="7"/>
        <v>13</v>
      </c>
      <c r="Z15" s="17">
        <f t="shared" si="7"/>
        <v>4</v>
      </c>
      <c r="AA15" s="17">
        <f t="shared" si="7"/>
        <v>5</v>
      </c>
      <c r="AB15" s="17">
        <f t="shared" si="7"/>
        <v>12</v>
      </c>
      <c r="AC15" s="17">
        <f t="shared" si="7"/>
        <v>336</v>
      </c>
      <c r="AD15" s="17">
        <f t="shared" si="7"/>
        <v>0</v>
      </c>
      <c r="AE15" s="31">
        <f t="shared" si="7"/>
        <v>234</v>
      </c>
      <c r="AF15" s="31">
        <f t="shared" si="7"/>
        <v>570</v>
      </c>
    </row>
    <row r="16" spans="2:32" ht="23.1" customHeight="1" x14ac:dyDescent="0.25">
      <c r="B16" s="45" t="s">
        <v>43</v>
      </c>
      <c r="C16" s="50">
        <v>5</v>
      </c>
      <c r="D16" s="50">
        <v>1</v>
      </c>
      <c r="E16" s="50">
        <v>4</v>
      </c>
      <c r="F16" s="50">
        <v>10</v>
      </c>
      <c r="G16" s="50">
        <v>0</v>
      </c>
      <c r="H16" s="50">
        <v>0</v>
      </c>
      <c r="I16" s="50">
        <v>2</v>
      </c>
      <c r="J16" s="50">
        <v>1</v>
      </c>
      <c r="K16" s="50">
        <v>2</v>
      </c>
      <c r="L16" s="50">
        <v>4</v>
      </c>
      <c r="M16" s="50">
        <v>195</v>
      </c>
      <c r="N16" s="50">
        <v>0</v>
      </c>
      <c r="O16" s="15">
        <f t="shared" si="0"/>
        <v>29</v>
      </c>
      <c r="P16" s="15">
        <f t="shared" si="1"/>
        <v>224</v>
      </c>
      <c r="R16" s="1" t="s">
        <v>12</v>
      </c>
      <c r="S16" s="17">
        <f t="shared" ref="S16:AF16" si="8">SUM(C34:C37)</f>
        <v>91</v>
      </c>
      <c r="T16" s="17">
        <f t="shared" si="8"/>
        <v>50</v>
      </c>
      <c r="U16" s="17">
        <f t="shared" si="8"/>
        <v>14</v>
      </c>
      <c r="V16" s="17">
        <f t="shared" si="8"/>
        <v>20</v>
      </c>
      <c r="W16" s="17">
        <f t="shared" si="8"/>
        <v>2</v>
      </c>
      <c r="X16" s="17">
        <f t="shared" si="8"/>
        <v>4</v>
      </c>
      <c r="Y16" s="17">
        <f t="shared" si="8"/>
        <v>8</v>
      </c>
      <c r="Z16" s="17">
        <f t="shared" si="8"/>
        <v>10</v>
      </c>
      <c r="AA16" s="17">
        <f t="shared" si="8"/>
        <v>4</v>
      </c>
      <c r="AB16" s="17">
        <f t="shared" si="8"/>
        <v>19</v>
      </c>
      <c r="AC16" s="17">
        <f t="shared" si="8"/>
        <v>312</v>
      </c>
      <c r="AD16" s="17">
        <f t="shared" si="8"/>
        <v>0</v>
      </c>
      <c r="AE16" s="31">
        <f t="shared" si="8"/>
        <v>222</v>
      </c>
      <c r="AF16" s="31">
        <f t="shared" si="8"/>
        <v>534</v>
      </c>
    </row>
    <row r="17" spans="2:32" ht="23.1" customHeight="1" x14ac:dyDescent="0.25">
      <c r="B17" s="45" t="s">
        <v>44</v>
      </c>
      <c r="C17" s="50">
        <v>16</v>
      </c>
      <c r="D17" s="50">
        <v>10</v>
      </c>
      <c r="E17" s="50">
        <v>3</v>
      </c>
      <c r="F17" s="50">
        <v>12</v>
      </c>
      <c r="G17" s="50">
        <v>0</v>
      </c>
      <c r="H17" s="50">
        <v>0</v>
      </c>
      <c r="I17" s="50">
        <v>2</v>
      </c>
      <c r="J17" s="50">
        <v>0</v>
      </c>
      <c r="K17" s="50">
        <v>1</v>
      </c>
      <c r="L17" s="50">
        <v>3</v>
      </c>
      <c r="M17" s="50">
        <v>205</v>
      </c>
      <c r="N17" s="50">
        <v>0</v>
      </c>
      <c r="O17" s="15">
        <f t="shared" si="0"/>
        <v>47</v>
      </c>
      <c r="P17" s="15">
        <f t="shared" si="1"/>
        <v>252</v>
      </c>
      <c r="R17" s="1" t="s">
        <v>13</v>
      </c>
      <c r="S17" s="17">
        <f t="shared" ref="S17:AF17" si="9">SUM(C38:C41)</f>
        <v>100</v>
      </c>
      <c r="T17" s="17">
        <f t="shared" si="9"/>
        <v>42</v>
      </c>
      <c r="U17" s="17">
        <f t="shared" si="9"/>
        <v>20</v>
      </c>
      <c r="V17" s="17">
        <f t="shared" si="9"/>
        <v>19</v>
      </c>
      <c r="W17" s="17">
        <f t="shared" si="9"/>
        <v>1</v>
      </c>
      <c r="X17" s="17">
        <f t="shared" si="9"/>
        <v>0</v>
      </c>
      <c r="Y17" s="17">
        <f t="shared" si="9"/>
        <v>9</v>
      </c>
      <c r="Z17" s="17">
        <f t="shared" si="9"/>
        <v>8</v>
      </c>
      <c r="AA17" s="17">
        <f t="shared" si="9"/>
        <v>7</v>
      </c>
      <c r="AB17" s="17">
        <f t="shared" si="9"/>
        <v>22</v>
      </c>
      <c r="AC17" s="17">
        <f t="shared" si="9"/>
        <v>289</v>
      </c>
      <c r="AD17" s="17">
        <f t="shared" si="9"/>
        <v>0</v>
      </c>
      <c r="AE17" s="31">
        <f t="shared" si="9"/>
        <v>228</v>
      </c>
      <c r="AF17" s="31">
        <f t="shared" si="9"/>
        <v>517</v>
      </c>
    </row>
    <row r="18" spans="2:32" ht="23.1" customHeight="1" x14ac:dyDescent="0.25">
      <c r="B18" s="45" t="s">
        <v>45</v>
      </c>
      <c r="C18" s="50">
        <v>19</v>
      </c>
      <c r="D18" s="50">
        <v>10</v>
      </c>
      <c r="E18" s="50">
        <v>3</v>
      </c>
      <c r="F18" s="50">
        <v>21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200</v>
      </c>
      <c r="N18" s="50">
        <v>0</v>
      </c>
      <c r="O18" s="15">
        <f t="shared" si="0"/>
        <v>54</v>
      </c>
      <c r="P18" s="15">
        <f t="shared" si="1"/>
        <v>254</v>
      </c>
      <c r="R18" s="1" t="s">
        <v>14</v>
      </c>
      <c r="S18" s="17">
        <f t="shared" ref="S18:AF18" si="10">SUM(C42:C45)</f>
        <v>115</v>
      </c>
      <c r="T18" s="17">
        <f t="shared" si="10"/>
        <v>38</v>
      </c>
      <c r="U18" s="17">
        <f t="shared" si="10"/>
        <v>19</v>
      </c>
      <c r="V18" s="17">
        <f t="shared" si="10"/>
        <v>31</v>
      </c>
      <c r="W18" s="17">
        <f t="shared" si="10"/>
        <v>0</v>
      </c>
      <c r="X18" s="17">
        <f t="shared" si="10"/>
        <v>0</v>
      </c>
      <c r="Y18" s="17">
        <f t="shared" si="10"/>
        <v>11</v>
      </c>
      <c r="Z18" s="17">
        <f t="shared" si="10"/>
        <v>10</v>
      </c>
      <c r="AA18" s="17">
        <f t="shared" si="10"/>
        <v>9</v>
      </c>
      <c r="AB18" s="17">
        <f t="shared" si="10"/>
        <v>10</v>
      </c>
      <c r="AC18" s="17">
        <f t="shared" si="10"/>
        <v>343</v>
      </c>
      <c r="AD18" s="17">
        <f t="shared" si="10"/>
        <v>0</v>
      </c>
      <c r="AE18" s="31">
        <f t="shared" si="10"/>
        <v>243</v>
      </c>
      <c r="AF18" s="31">
        <f t="shared" si="10"/>
        <v>586</v>
      </c>
    </row>
    <row r="19" spans="2:32" ht="23.1" customHeight="1" x14ac:dyDescent="0.25">
      <c r="B19" s="45" t="s">
        <v>46</v>
      </c>
      <c r="C19" s="50">
        <v>2</v>
      </c>
      <c r="D19" s="50">
        <v>9</v>
      </c>
      <c r="E19" s="50">
        <v>8</v>
      </c>
      <c r="F19" s="50">
        <v>20</v>
      </c>
      <c r="G19" s="50">
        <v>0</v>
      </c>
      <c r="H19" s="50">
        <v>0</v>
      </c>
      <c r="I19" s="50">
        <v>2</v>
      </c>
      <c r="J19" s="50">
        <v>2</v>
      </c>
      <c r="K19" s="50">
        <v>1</v>
      </c>
      <c r="L19" s="50">
        <v>1</v>
      </c>
      <c r="M19" s="50">
        <v>170</v>
      </c>
      <c r="N19" s="50">
        <v>0</v>
      </c>
      <c r="O19" s="15">
        <f t="shared" si="0"/>
        <v>45</v>
      </c>
      <c r="P19" s="15">
        <f t="shared" si="1"/>
        <v>215</v>
      </c>
      <c r="R19" s="1" t="s">
        <v>15</v>
      </c>
      <c r="S19" s="17">
        <f t="shared" ref="S19:AF19" si="11">SUM(C46:C49)</f>
        <v>112</v>
      </c>
      <c r="T19" s="17">
        <f t="shared" si="11"/>
        <v>67</v>
      </c>
      <c r="U19" s="17">
        <f t="shared" si="11"/>
        <v>20</v>
      </c>
      <c r="V19" s="17">
        <f t="shared" si="11"/>
        <v>35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4</v>
      </c>
      <c r="AA19" s="17">
        <f t="shared" si="11"/>
        <v>4</v>
      </c>
      <c r="AB19" s="17">
        <f t="shared" si="11"/>
        <v>8</v>
      </c>
      <c r="AC19" s="17">
        <f t="shared" si="11"/>
        <v>400</v>
      </c>
      <c r="AD19" s="17">
        <f t="shared" si="11"/>
        <v>0</v>
      </c>
      <c r="AE19" s="31">
        <f t="shared" si="11"/>
        <v>256</v>
      </c>
      <c r="AF19" s="31">
        <f t="shared" si="11"/>
        <v>656</v>
      </c>
    </row>
    <row r="20" spans="2:32" ht="23.1" customHeight="1" x14ac:dyDescent="0.25">
      <c r="B20" s="45" t="s">
        <v>47</v>
      </c>
      <c r="C20" s="50">
        <v>18</v>
      </c>
      <c r="D20" s="50">
        <v>11</v>
      </c>
      <c r="E20" s="50">
        <v>0</v>
      </c>
      <c r="F20" s="50">
        <v>17</v>
      </c>
      <c r="G20" s="50">
        <v>0</v>
      </c>
      <c r="H20" s="50">
        <v>0</v>
      </c>
      <c r="I20" s="50">
        <v>1</v>
      </c>
      <c r="J20" s="50">
        <v>4</v>
      </c>
      <c r="K20" s="50">
        <v>1</v>
      </c>
      <c r="L20" s="50">
        <v>2</v>
      </c>
      <c r="M20" s="50">
        <v>185</v>
      </c>
      <c r="N20" s="50">
        <v>0</v>
      </c>
      <c r="O20" s="15">
        <f t="shared" si="0"/>
        <v>54</v>
      </c>
      <c r="P20" s="15">
        <f t="shared" si="1"/>
        <v>239</v>
      </c>
      <c r="R20" s="1" t="s">
        <v>16</v>
      </c>
      <c r="S20" s="17">
        <f t="shared" ref="S20:AF20" si="12">SUM(C50:C53)</f>
        <v>129</v>
      </c>
      <c r="T20" s="17">
        <f t="shared" si="12"/>
        <v>42</v>
      </c>
      <c r="U20" s="17">
        <f t="shared" si="12"/>
        <v>19</v>
      </c>
      <c r="V20" s="17">
        <f t="shared" si="12"/>
        <v>50</v>
      </c>
      <c r="W20" s="17">
        <f t="shared" si="12"/>
        <v>0</v>
      </c>
      <c r="X20" s="17">
        <f t="shared" si="12"/>
        <v>0</v>
      </c>
      <c r="Y20" s="17">
        <f t="shared" si="12"/>
        <v>11</v>
      </c>
      <c r="Z20" s="17">
        <f t="shared" si="12"/>
        <v>13</v>
      </c>
      <c r="AA20" s="17">
        <f t="shared" si="12"/>
        <v>3</v>
      </c>
      <c r="AB20" s="17">
        <f t="shared" si="12"/>
        <v>17</v>
      </c>
      <c r="AC20" s="17">
        <f t="shared" si="12"/>
        <v>348</v>
      </c>
      <c r="AD20" s="17">
        <f t="shared" si="12"/>
        <v>0</v>
      </c>
      <c r="AE20" s="31">
        <f t="shared" si="12"/>
        <v>284</v>
      </c>
      <c r="AF20" s="31">
        <f t="shared" si="12"/>
        <v>632</v>
      </c>
    </row>
    <row r="21" spans="2:32" ht="23.1" customHeight="1" x14ac:dyDescent="0.25">
      <c r="B21" s="45" t="s">
        <v>48</v>
      </c>
      <c r="C21" s="50">
        <v>14</v>
      </c>
      <c r="D21" s="50">
        <v>11</v>
      </c>
      <c r="E21" s="50">
        <v>8</v>
      </c>
      <c r="F21" s="50">
        <v>20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120</v>
      </c>
      <c r="N21" s="50">
        <v>0</v>
      </c>
      <c r="O21" s="15">
        <f t="shared" si="0"/>
        <v>53</v>
      </c>
      <c r="P21" s="15">
        <f t="shared" si="1"/>
        <v>173</v>
      </c>
      <c r="R21" s="36" t="s">
        <v>20</v>
      </c>
      <c r="S21" s="34">
        <f t="shared" ref="S21:AF21" si="13">SUM(C54:C57)</f>
        <v>108</v>
      </c>
      <c r="T21" s="17">
        <f t="shared" si="13"/>
        <v>46</v>
      </c>
      <c r="U21" s="17">
        <f t="shared" si="13"/>
        <v>15</v>
      </c>
      <c r="V21" s="17">
        <f t="shared" si="13"/>
        <v>34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9</v>
      </c>
      <c r="AA21" s="17">
        <f t="shared" si="13"/>
        <v>0</v>
      </c>
      <c r="AB21" s="17">
        <f t="shared" si="13"/>
        <v>5</v>
      </c>
      <c r="AC21" s="17">
        <f t="shared" si="13"/>
        <v>341</v>
      </c>
      <c r="AD21" s="17">
        <f t="shared" si="13"/>
        <v>0</v>
      </c>
      <c r="AE21" s="31">
        <f t="shared" si="13"/>
        <v>222</v>
      </c>
      <c r="AF21" s="31">
        <f t="shared" si="13"/>
        <v>563</v>
      </c>
    </row>
    <row r="22" spans="2:32" ht="23.1" customHeight="1" x14ac:dyDescent="0.25">
      <c r="B22" s="45" t="s">
        <v>49</v>
      </c>
      <c r="C22" s="50">
        <v>21</v>
      </c>
      <c r="D22" s="50">
        <v>6</v>
      </c>
      <c r="E22" s="50">
        <v>4</v>
      </c>
      <c r="F22" s="50">
        <v>10</v>
      </c>
      <c r="G22" s="50">
        <v>0</v>
      </c>
      <c r="H22" s="50">
        <v>0</v>
      </c>
      <c r="I22" s="50">
        <v>6</v>
      </c>
      <c r="J22" s="50">
        <v>5</v>
      </c>
      <c r="K22" s="50">
        <v>1</v>
      </c>
      <c r="L22" s="50">
        <v>3</v>
      </c>
      <c r="M22" s="50">
        <v>130</v>
      </c>
      <c r="N22" s="50">
        <v>0</v>
      </c>
      <c r="O22" s="15">
        <f t="shared" si="0"/>
        <v>56</v>
      </c>
      <c r="P22" s="15">
        <f t="shared" si="1"/>
        <v>186</v>
      </c>
      <c r="R22" s="36" t="s">
        <v>146</v>
      </c>
      <c r="S22" s="34">
        <f>SUM(C58:C61)</f>
        <v>120</v>
      </c>
      <c r="T22" s="34">
        <f t="shared" ref="T22:AF22" si="14">SUM(D58:D61)</f>
        <v>111</v>
      </c>
      <c r="U22" s="34">
        <f t="shared" si="14"/>
        <v>16</v>
      </c>
      <c r="V22" s="34">
        <f t="shared" si="14"/>
        <v>64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1</v>
      </c>
      <c r="AB22" s="34">
        <f t="shared" si="14"/>
        <v>1</v>
      </c>
      <c r="AC22" s="34">
        <f t="shared" si="14"/>
        <v>370</v>
      </c>
      <c r="AD22" s="34">
        <f t="shared" si="14"/>
        <v>0</v>
      </c>
      <c r="AE22" s="31">
        <f t="shared" si="14"/>
        <v>314</v>
      </c>
      <c r="AF22" s="31">
        <f t="shared" si="14"/>
        <v>684</v>
      </c>
    </row>
    <row r="23" spans="2:32" ht="23.1" customHeight="1" x14ac:dyDescent="0.25">
      <c r="B23" s="45" t="s">
        <v>50</v>
      </c>
      <c r="C23" s="50">
        <v>22</v>
      </c>
      <c r="D23" s="50">
        <v>8</v>
      </c>
      <c r="E23" s="50">
        <v>7</v>
      </c>
      <c r="F23" s="50">
        <v>15</v>
      </c>
      <c r="G23" s="50">
        <v>0</v>
      </c>
      <c r="H23" s="50">
        <v>0</v>
      </c>
      <c r="I23" s="50">
        <v>6</v>
      </c>
      <c r="J23" s="50">
        <v>1</v>
      </c>
      <c r="K23" s="50">
        <v>0</v>
      </c>
      <c r="L23" s="50">
        <v>1</v>
      </c>
      <c r="M23" s="50">
        <v>105</v>
      </c>
      <c r="N23" s="50">
        <v>0</v>
      </c>
      <c r="O23" s="15">
        <f t="shared" si="0"/>
        <v>60</v>
      </c>
      <c r="P23" s="15">
        <f t="shared" si="1"/>
        <v>165</v>
      </c>
      <c r="R23" s="36" t="s">
        <v>147</v>
      </c>
      <c r="S23" s="34">
        <f>SUM(C62:C65)</f>
        <v>136</v>
      </c>
      <c r="T23" s="34">
        <f t="shared" ref="T23:AF23" si="15">SUM(D62:D65)</f>
        <v>88</v>
      </c>
      <c r="U23" s="34">
        <f t="shared" si="15"/>
        <v>13</v>
      </c>
      <c r="V23" s="34">
        <f t="shared" si="15"/>
        <v>44</v>
      </c>
      <c r="W23" s="34">
        <f t="shared" si="15"/>
        <v>0</v>
      </c>
      <c r="X23" s="34">
        <f t="shared" si="15"/>
        <v>0</v>
      </c>
      <c r="Y23" s="34">
        <f t="shared" si="15"/>
        <v>4</v>
      </c>
      <c r="Z23" s="34">
        <f t="shared" si="15"/>
        <v>5</v>
      </c>
      <c r="AA23" s="34">
        <f t="shared" si="15"/>
        <v>1</v>
      </c>
      <c r="AB23" s="34">
        <f t="shared" si="15"/>
        <v>3</v>
      </c>
      <c r="AC23" s="34">
        <f t="shared" si="15"/>
        <v>330</v>
      </c>
      <c r="AD23" s="34">
        <f t="shared" si="15"/>
        <v>0</v>
      </c>
      <c r="AE23" s="31">
        <f t="shared" si="15"/>
        <v>294</v>
      </c>
      <c r="AF23" s="31">
        <f t="shared" si="15"/>
        <v>624</v>
      </c>
    </row>
    <row r="24" spans="2:32" ht="23.1" customHeight="1" x14ac:dyDescent="0.25">
      <c r="B24" s="45" t="s">
        <v>51</v>
      </c>
      <c r="C24" s="50">
        <v>22</v>
      </c>
      <c r="D24" s="50">
        <v>16</v>
      </c>
      <c r="E24" s="50">
        <v>3</v>
      </c>
      <c r="F24" s="50">
        <v>15</v>
      </c>
      <c r="G24" s="50">
        <v>0</v>
      </c>
      <c r="H24" s="50">
        <v>0</v>
      </c>
      <c r="I24" s="50">
        <v>3</v>
      </c>
      <c r="J24" s="50">
        <v>2</v>
      </c>
      <c r="K24" s="50">
        <v>2</v>
      </c>
      <c r="L24" s="50">
        <v>3</v>
      </c>
      <c r="M24" s="50">
        <v>185</v>
      </c>
      <c r="N24" s="50">
        <v>0</v>
      </c>
      <c r="O24" s="15">
        <f t="shared" si="0"/>
        <v>66</v>
      </c>
      <c r="P24" s="15">
        <f t="shared" si="1"/>
        <v>251</v>
      </c>
      <c r="R24" s="36" t="s">
        <v>148</v>
      </c>
      <c r="S24" s="34">
        <f>SUM(C66:C69)</f>
        <v>139</v>
      </c>
      <c r="T24" s="34">
        <f t="shared" ref="T24:AF24" si="16">SUM(D66:D69)</f>
        <v>154</v>
      </c>
      <c r="U24" s="34">
        <f t="shared" si="16"/>
        <v>13</v>
      </c>
      <c r="V24" s="34">
        <f t="shared" si="16"/>
        <v>45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5</v>
      </c>
      <c r="AA24" s="34">
        <f t="shared" si="16"/>
        <v>2</v>
      </c>
      <c r="AB24" s="34">
        <f t="shared" si="16"/>
        <v>0</v>
      </c>
      <c r="AC24" s="34">
        <f t="shared" si="16"/>
        <v>305</v>
      </c>
      <c r="AD24" s="34">
        <f t="shared" si="16"/>
        <v>0</v>
      </c>
      <c r="AE24" s="31">
        <f t="shared" si="16"/>
        <v>365</v>
      </c>
      <c r="AF24" s="31">
        <f t="shared" si="16"/>
        <v>670</v>
      </c>
    </row>
    <row r="25" spans="2:32" ht="23.1" customHeight="1" x14ac:dyDescent="0.25">
      <c r="B25" s="45" t="s">
        <v>52</v>
      </c>
      <c r="C25" s="50">
        <v>15</v>
      </c>
      <c r="D25" s="50">
        <v>5</v>
      </c>
      <c r="E25" s="50">
        <v>5</v>
      </c>
      <c r="F25" s="50">
        <v>6</v>
      </c>
      <c r="G25" s="50">
        <v>0</v>
      </c>
      <c r="H25" s="50">
        <v>0</v>
      </c>
      <c r="I25" s="50">
        <v>3</v>
      </c>
      <c r="J25" s="50">
        <v>1</v>
      </c>
      <c r="K25" s="50">
        <v>1</v>
      </c>
      <c r="L25" s="50">
        <v>2</v>
      </c>
      <c r="M25" s="50">
        <v>170</v>
      </c>
      <c r="N25" s="50">
        <v>0</v>
      </c>
      <c r="O25" s="15">
        <f t="shared" si="0"/>
        <v>38</v>
      </c>
      <c r="P25" s="15">
        <f t="shared" si="1"/>
        <v>208</v>
      </c>
      <c r="R25" s="36" t="s">
        <v>149</v>
      </c>
      <c r="S25" s="34">
        <f>SUM(C70:C73)</f>
        <v>148</v>
      </c>
      <c r="T25" s="34">
        <f t="shared" ref="T25:AF25" si="17">SUM(D70:D73)</f>
        <v>147</v>
      </c>
      <c r="U25" s="34">
        <f t="shared" si="17"/>
        <v>13</v>
      </c>
      <c r="V25" s="34">
        <f t="shared" si="17"/>
        <v>33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0</v>
      </c>
      <c r="AA25" s="34">
        <f t="shared" si="17"/>
        <v>1</v>
      </c>
      <c r="AB25" s="34">
        <f t="shared" si="17"/>
        <v>2</v>
      </c>
      <c r="AC25" s="34">
        <f t="shared" si="17"/>
        <v>212</v>
      </c>
      <c r="AD25" s="34">
        <f t="shared" si="17"/>
        <v>0</v>
      </c>
      <c r="AE25" s="31">
        <f t="shared" si="17"/>
        <v>347</v>
      </c>
      <c r="AF25" s="31">
        <f t="shared" si="17"/>
        <v>559</v>
      </c>
    </row>
    <row r="26" spans="2:32" ht="23.1" customHeight="1" x14ac:dyDescent="0.25">
      <c r="B26" s="45" t="s">
        <v>53</v>
      </c>
      <c r="C26" s="50">
        <v>23</v>
      </c>
      <c r="D26" s="50">
        <v>16</v>
      </c>
      <c r="E26" s="50">
        <v>5</v>
      </c>
      <c r="F26" s="50">
        <v>9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5</v>
      </c>
      <c r="M26" s="50">
        <v>110</v>
      </c>
      <c r="N26" s="50">
        <v>0</v>
      </c>
      <c r="O26" s="15">
        <f t="shared" si="0"/>
        <v>61</v>
      </c>
      <c r="P26" s="15">
        <f t="shared" si="1"/>
        <v>171</v>
      </c>
      <c r="R26" s="36" t="s">
        <v>150</v>
      </c>
      <c r="S26" s="34">
        <f>SUM(C74:C77)</f>
        <v>108</v>
      </c>
      <c r="T26" s="34">
        <f t="shared" ref="T26:AF26" si="18">SUM(D74:D77)</f>
        <v>111</v>
      </c>
      <c r="U26" s="34">
        <f t="shared" si="18"/>
        <v>16</v>
      </c>
      <c r="V26" s="34">
        <f t="shared" si="18"/>
        <v>16</v>
      </c>
      <c r="W26" s="34">
        <f t="shared" si="18"/>
        <v>0</v>
      </c>
      <c r="X26" s="34">
        <f t="shared" si="18"/>
        <v>1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1</v>
      </c>
      <c r="AC26" s="34">
        <f t="shared" si="18"/>
        <v>152</v>
      </c>
      <c r="AD26" s="34">
        <f t="shared" si="18"/>
        <v>0</v>
      </c>
      <c r="AE26" s="31">
        <f t="shared" si="18"/>
        <v>254</v>
      </c>
      <c r="AF26" s="31">
        <f t="shared" si="18"/>
        <v>406</v>
      </c>
    </row>
    <row r="27" spans="2:32" ht="23.1" customHeight="1" x14ac:dyDescent="0.25">
      <c r="B27" s="45" t="s">
        <v>54</v>
      </c>
      <c r="C27" s="50">
        <v>14</v>
      </c>
      <c r="D27" s="50">
        <v>9</v>
      </c>
      <c r="E27" s="50">
        <v>6</v>
      </c>
      <c r="F27" s="50">
        <v>4</v>
      </c>
      <c r="G27" s="50">
        <v>0</v>
      </c>
      <c r="H27" s="50">
        <v>0</v>
      </c>
      <c r="I27" s="50">
        <v>5</v>
      </c>
      <c r="J27" s="50">
        <v>2</v>
      </c>
      <c r="K27" s="50">
        <v>1</v>
      </c>
      <c r="L27" s="50">
        <v>4</v>
      </c>
      <c r="M27" s="50">
        <v>90</v>
      </c>
      <c r="N27" s="50">
        <v>0</v>
      </c>
      <c r="O27" s="15">
        <f t="shared" si="0"/>
        <v>45</v>
      </c>
      <c r="P27" s="15">
        <f t="shared" si="1"/>
        <v>135</v>
      </c>
      <c r="R27" s="36" t="s">
        <v>151</v>
      </c>
      <c r="S27" s="34">
        <f>SUM(C78:C81)</f>
        <v>54</v>
      </c>
      <c r="T27" s="34">
        <f t="shared" ref="T27:AF27" si="19">SUM(D78:D81)</f>
        <v>74</v>
      </c>
      <c r="U27" s="34">
        <f t="shared" si="19"/>
        <v>2</v>
      </c>
      <c r="V27" s="34">
        <f t="shared" si="19"/>
        <v>5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1</v>
      </c>
      <c r="AA27" s="34">
        <f t="shared" si="19"/>
        <v>1</v>
      </c>
      <c r="AB27" s="34">
        <f t="shared" si="19"/>
        <v>1</v>
      </c>
      <c r="AC27" s="34">
        <f t="shared" si="19"/>
        <v>122</v>
      </c>
      <c r="AD27" s="34">
        <f t="shared" si="19"/>
        <v>0</v>
      </c>
      <c r="AE27" s="31">
        <f t="shared" si="19"/>
        <v>142</v>
      </c>
      <c r="AF27" s="31">
        <f t="shared" si="19"/>
        <v>264</v>
      </c>
    </row>
    <row r="28" spans="2:32" ht="23.1" customHeight="1" x14ac:dyDescent="0.25">
      <c r="B28" s="45" t="s">
        <v>55</v>
      </c>
      <c r="C28" s="50">
        <v>11</v>
      </c>
      <c r="D28" s="50">
        <v>8</v>
      </c>
      <c r="E28" s="50">
        <v>1</v>
      </c>
      <c r="F28" s="50">
        <v>8</v>
      </c>
      <c r="G28" s="50">
        <v>0</v>
      </c>
      <c r="H28" s="50">
        <v>0</v>
      </c>
      <c r="I28" s="50">
        <v>2</v>
      </c>
      <c r="J28" s="50">
        <v>2</v>
      </c>
      <c r="K28" s="50">
        <v>2</v>
      </c>
      <c r="L28" s="50">
        <v>3</v>
      </c>
      <c r="M28" s="50">
        <v>90</v>
      </c>
      <c r="N28" s="50">
        <v>0</v>
      </c>
      <c r="O28" s="15">
        <f t="shared" si="0"/>
        <v>37</v>
      </c>
      <c r="P28" s="15">
        <f t="shared" si="1"/>
        <v>127</v>
      </c>
      <c r="R28" s="36" t="s">
        <v>152</v>
      </c>
      <c r="S28" s="34">
        <f>SUM(C82:C85)</f>
        <v>28</v>
      </c>
      <c r="T28" s="34">
        <f t="shared" ref="T28:AF28" si="20">SUM(D82:D85)</f>
        <v>26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1</v>
      </c>
      <c r="AA28" s="34">
        <f t="shared" si="20"/>
        <v>3</v>
      </c>
      <c r="AB28" s="34">
        <f t="shared" si="20"/>
        <v>1</v>
      </c>
      <c r="AC28" s="34">
        <f t="shared" si="20"/>
        <v>57</v>
      </c>
      <c r="AD28" s="34">
        <f t="shared" si="20"/>
        <v>0</v>
      </c>
      <c r="AE28" s="31">
        <f t="shared" si="20"/>
        <v>62</v>
      </c>
      <c r="AF28" s="31">
        <f t="shared" si="20"/>
        <v>119</v>
      </c>
    </row>
    <row r="29" spans="2:32" ht="23.1" customHeight="1" x14ac:dyDescent="0.25">
      <c r="B29" s="45" t="s">
        <v>56</v>
      </c>
      <c r="C29" s="50">
        <v>19</v>
      </c>
      <c r="D29" s="50">
        <v>12</v>
      </c>
      <c r="E29" s="50">
        <v>5</v>
      </c>
      <c r="F29" s="50">
        <v>7</v>
      </c>
      <c r="G29" s="50">
        <v>0</v>
      </c>
      <c r="H29" s="50">
        <v>0</v>
      </c>
      <c r="I29" s="50">
        <v>3</v>
      </c>
      <c r="J29" s="50">
        <v>2</v>
      </c>
      <c r="K29" s="50">
        <v>1</v>
      </c>
      <c r="L29" s="50">
        <v>3</v>
      </c>
      <c r="M29" s="50">
        <v>80</v>
      </c>
      <c r="N29" s="50">
        <v>0</v>
      </c>
      <c r="O29" s="15">
        <f t="shared" si="0"/>
        <v>52</v>
      </c>
      <c r="P29" s="15">
        <f t="shared" si="1"/>
        <v>132</v>
      </c>
      <c r="R29" s="36" t="s">
        <v>153</v>
      </c>
      <c r="S29" s="34">
        <f>SUM(C86:C89)</f>
        <v>27</v>
      </c>
      <c r="T29" s="34">
        <f t="shared" ref="T29:AF29" si="21">SUM(D86:D89)</f>
        <v>15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0</v>
      </c>
      <c r="AA29" s="34">
        <f t="shared" si="21"/>
        <v>1</v>
      </c>
      <c r="AB29" s="34">
        <f t="shared" si="21"/>
        <v>1</v>
      </c>
      <c r="AC29" s="34">
        <f t="shared" si="21"/>
        <v>58</v>
      </c>
      <c r="AD29" s="34">
        <f t="shared" si="21"/>
        <v>0</v>
      </c>
      <c r="AE29" s="31">
        <f t="shared" si="21"/>
        <v>46</v>
      </c>
      <c r="AF29" s="31">
        <f t="shared" si="21"/>
        <v>104</v>
      </c>
    </row>
    <row r="30" spans="2:32" ht="23.1" customHeight="1" x14ac:dyDescent="0.25">
      <c r="B30" s="45" t="s">
        <v>57</v>
      </c>
      <c r="C30" s="50">
        <v>11</v>
      </c>
      <c r="D30" s="50">
        <v>7</v>
      </c>
      <c r="E30" s="50">
        <v>4</v>
      </c>
      <c r="F30" s="50">
        <v>13</v>
      </c>
      <c r="G30" s="50">
        <v>1</v>
      </c>
      <c r="H30" s="50">
        <v>0</v>
      </c>
      <c r="I30" s="50">
        <v>2</v>
      </c>
      <c r="J30" s="50">
        <v>0</v>
      </c>
      <c r="K30" s="50">
        <v>1</v>
      </c>
      <c r="L30" s="50">
        <v>2</v>
      </c>
      <c r="M30" s="50">
        <v>100</v>
      </c>
      <c r="N30" s="50">
        <v>0</v>
      </c>
      <c r="O30" s="15">
        <f t="shared" si="0"/>
        <v>41</v>
      </c>
      <c r="P30" s="15">
        <f t="shared" si="1"/>
        <v>141</v>
      </c>
      <c r="R30" s="36" t="s">
        <v>154</v>
      </c>
      <c r="S30" s="34">
        <f>SUM(C90:C93)</f>
        <v>33</v>
      </c>
      <c r="T30" s="34">
        <f t="shared" ref="T30:AF30" si="22">SUM(D90:D93)</f>
        <v>30</v>
      </c>
      <c r="U30" s="34">
        <f t="shared" si="22"/>
        <v>4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1</v>
      </c>
      <c r="AA30" s="34">
        <f t="shared" si="22"/>
        <v>2</v>
      </c>
      <c r="AB30" s="34">
        <f t="shared" si="22"/>
        <v>1</v>
      </c>
      <c r="AC30" s="34">
        <f t="shared" si="22"/>
        <v>31</v>
      </c>
      <c r="AD30" s="34">
        <f t="shared" si="22"/>
        <v>0</v>
      </c>
      <c r="AE30" s="31">
        <f t="shared" si="22"/>
        <v>73</v>
      </c>
      <c r="AF30" s="31">
        <f t="shared" si="22"/>
        <v>104</v>
      </c>
    </row>
    <row r="31" spans="2:32" ht="23.1" customHeight="1" x14ac:dyDescent="0.25">
      <c r="B31" s="46" t="s">
        <v>58</v>
      </c>
      <c r="C31" s="50">
        <v>37</v>
      </c>
      <c r="D31" s="50">
        <v>7</v>
      </c>
      <c r="E31" s="50">
        <v>13</v>
      </c>
      <c r="F31" s="50">
        <v>5</v>
      </c>
      <c r="G31" s="50">
        <v>0</v>
      </c>
      <c r="H31" s="50">
        <v>0</v>
      </c>
      <c r="I31" s="50">
        <v>2</v>
      </c>
      <c r="J31" s="50">
        <v>0</v>
      </c>
      <c r="K31" s="50">
        <v>1</v>
      </c>
      <c r="L31" s="50">
        <v>2</v>
      </c>
      <c r="M31" s="50">
        <v>61</v>
      </c>
      <c r="N31" s="50">
        <v>0</v>
      </c>
      <c r="O31" s="15">
        <f t="shared" si="0"/>
        <v>67</v>
      </c>
      <c r="P31" s="15">
        <f t="shared" si="1"/>
        <v>128</v>
      </c>
      <c r="R31" s="36" t="s">
        <v>155</v>
      </c>
      <c r="S31" s="34">
        <f>SUM(C94:C97)</f>
        <v>13</v>
      </c>
      <c r="T31" s="34">
        <f t="shared" ref="T31:AF31" si="23">SUM(D94:D97)</f>
        <v>22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1</v>
      </c>
      <c r="AB31" s="34">
        <f t="shared" si="23"/>
        <v>0</v>
      </c>
      <c r="AC31" s="34">
        <f t="shared" si="23"/>
        <v>33</v>
      </c>
      <c r="AD31" s="34">
        <f t="shared" si="23"/>
        <v>0</v>
      </c>
      <c r="AE31" s="31">
        <f t="shared" si="23"/>
        <v>36</v>
      </c>
      <c r="AF31" s="31">
        <f t="shared" si="23"/>
        <v>69</v>
      </c>
    </row>
    <row r="32" spans="2:32" ht="23.1" customHeight="1" x14ac:dyDescent="0.25">
      <c r="B32" s="46" t="s">
        <v>59</v>
      </c>
      <c r="C32" s="50">
        <v>19</v>
      </c>
      <c r="D32" s="50">
        <v>9</v>
      </c>
      <c r="E32" s="50">
        <v>3</v>
      </c>
      <c r="F32" s="50">
        <v>15</v>
      </c>
      <c r="G32" s="50">
        <v>0</v>
      </c>
      <c r="H32" s="50">
        <v>0</v>
      </c>
      <c r="I32" s="50">
        <v>3</v>
      </c>
      <c r="J32" s="50">
        <v>1</v>
      </c>
      <c r="K32" s="50">
        <v>2</v>
      </c>
      <c r="L32" s="50">
        <v>5</v>
      </c>
      <c r="M32" s="50">
        <v>95</v>
      </c>
      <c r="N32" s="50">
        <v>0</v>
      </c>
      <c r="O32" s="15">
        <f t="shared" si="0"/>
        <v>57</v>
      </c>
      <c r="P32" s="15">
        <f t="shared" si="1"/>
        <v>152</v>
      </c>
      <c r="R32" s="33" t="s">
        <v>156</v>
      </c>
      <c r="S32" s="34">
        <f>SUM(C98:C101)</f>
        <v>16</v>
      </c>
      <c r="T32" s="34">
        <f t="shared" ref="T32:AF32" si="24">SUM(D98:D101)</f>
        <v>9</v>
      </c>
      <c r="U32" s="34">
        <f t="shared" si="24"/>
        <v>4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55</v>
      </c>
      <c r="AD32" s="34">
        <f t="shared" si="24"/>
        <v>0</v>
      </c>
      <c r="AE32" s="31">
        <f t="shared" si="24"/>
        <v>35</v>
      </c>
      <c r="AF32" s="31">
        <f t="shared" si="24"/>
        <v>90</v>
      </c>
    </row>
    <row r="33" spans="2:32" ht="23.1" customHeight="1" x14ac:dyDescent="0.25">
      <c r="B33" s="45" t="s">
        <v>60</v>
      </c>
      <c r="C33" s="50">
        <v>31</v>
      </c>
      <c r="D33" s="50">
        <v>13</v>
      </c>
      <c r="E33" s="50">
        <v>4</v>
      </c>
      <c r="F33" s="50">
        <v>8</v>
      </c>
      <c r="G33" s="50">
        <v>0</v>
      </c>
      <c r="H33" s="50">
        <v>0</v>
      </c>
      <c r="I33" s="50">
        <v>6</v>
      </c>
      <c r="J33" s="50">
        <v>3</v>
      </c>
      <c r="K33" s="50">
        <v>1</v>
      </c>
      <c r="L33" s="50">
        <v>3</v>
      </c>
      <c r="M33" s="50">
        <v>80</v>
      </c>
      <c r="N33" s="50">
        <v>0</v>
      </c>
      <c r="O33" s="15">
        <f t="shared" si="0"/>
        <v>69</v>
      </c>
      <c r="P33" s="15">
        <f t="shared" si="1"/>
        <v>149</v>
      </c>
      <c r="R33" s="33" t="s">
        <v>157</v>
      </c>
      <c r="S33" s="34">
        <f>SUM(C102:C105)</f>
        <v>28</v>
      </c>
      <c r="T33" s="34">
        <f t="shared" ref="T33:AF33" si="25">SUM(D102:D105)</f>
        <v>8</v>
      </c>
      <c r="U33" s="34">
        <f t="shared" si="25"/>
        <v>5</v>
      </c>
      <c r="V33" s="34">
        <f t="shared" si="25"/>
        <v>18</v>
      </c>
      <c r="W33" s="34">
        <f t="shared" si="25"/>
        <v>7</v>
      </c>
      <c r="X33" s="34">
        <f t="shared" si="25"/>
        <v>0</v>
      </c>
      <c r="Y33" s="34">
        <f t="shared" si="25"/>
        <v>0</v>
      </c>
      <c r="Z33" s="34">
        <f t="shared" si="25"/>
        <v>2</v>
      </c>
      <c r="AA33" s="34">
        <f t="shared" si="25"/>
        <v>7</v>
      </c>
      <c r="AB33" s="34">
        <f t="shared" si="25"/>
        <v>0</v>
      </c>
      <c r="AC33" s="34">
        <f t="shared" si="25"/>
        <v>84</v>
      </c>
      <c r="AD33" s="34">
        <f t="shared" si="25"/>
        <v>0</v>
      </c>
      <c r="AE33" s="31">
        <f t="shared" si="25"/>
        <v>75</v>
      </c>
      <c r="AF33" s="31">
        <f t="shared" si="25"/>
        <v>159</v>
      </c>
    </row>
    <row r="34" spans="2:32" ht="23.1" customHeight="1" x14ac:dyDescent="0.25">
      <c r="B34" s="46" t="s">
        <v>61</v>
      </c>
      <c r="C34" s="50">
        <v>25</v>
      </c>
      <c r="D34" s="50">
        <v>16</v>
      </c>
      <c r="E34" s="50">
        <v>2</v>
      </c>
      <c r="F34" s="50">
        <v>2</v>
      </c>
      <c r="G34" s="50">
        <v>0</v>
      </c>
      <c r="H34" s="50">
        <v>3</v>
      </c>
      <c r="I34" s="50">
        <v>2</v>
      </c>
      <c r="J34" s="50">
        <v>2</v>
      </c>
      <c r="K34" s="50">
        <v>2</v>
      </c>
      <c r="L34" s="50">
        <v>5</v>
      </c>
      <c r="M34" s="50">
        <v>115</v>
      </c>
      <c r="N34" s="50">
        <v>0</v>
      </c>
      <c r="O34" s="15">
        <f t="shared" si="0"/>
        <v>59</v>
      </c>
      <c r="P34" s="15">
        <f t="shared" si="1"/>
        <v>174</v>
      </c>
      <c r="R34" s="38" t="s">
        <v>90</v>
      </c>
      <c r="S34" s="39">
        <f t="shared" ref="S34:AF34" si="26">MAX(S10:S12)</f>
        <v>128</v>
      </c>
      <c r="T34" s="39">
        <f t="shared" si="26"/>
        <v>77</v>
      </c>
      <c r="U34" s="39">
        <f t="shared" si="26"/>
        <v>61</v>
      </c>
      <c r="V34" s="39">
        <f t="shared" si="26"/>
        <v>165</v>
      </c>
      <c r="W34" s="39">
        <f t="shared" si="26"/>
        <v>2</v>
      </c>
      <c r="X34" s="39">
        <f t="shared" si="26"/>
        <v>0</v>
      </c>
      <c r="Y34" s="39">
        <f t="shared" si="26"/>
        <v>12</v>
      </c>
      <c r="Z34" s="39">
        <f t="shared" si="26"/>
        <v>6</v>
      </c>
      <c r="AA34" s="39">
        <f t="shared" si="26"/>
        <v>5</v>
      </c>
      <c r="AB34" s="39">
        <f t="shared" si="26"/>
        <v>13</v>
      </c>
      <c r="AC34" s="39">
        <f t="shared" si="26"/>
        <v>740</v>
      </c>
      <c r="AD34" s="39">
        <f t="shared" si="26"/>
        <v>0</v>
      </c>
      <c r="AE34" s="40">
        <f t="shared" si="26"/>
        <v>463</v>
      </c>
      <c r="AF34" s="40">
        <f t="shared" si="26"/>
        <v>1203</v>
      </c>
    </row>
    <row r="35" spans="2:32" ht="23.1" customHeight="1" x14ac:dyDescent="0.25">
      <c r="B35" s="46" t="s">
        <v>62</v>
      </c>
      <c r="C35" s="50">
        <v>25</v>
      </c>
      <c r="D35" s="50">
        <v>15</v>
      </c>
      <c r="E35" s="50">
        <v>4</v>
      </c>
      <c r="F35" s="50">
        <v>11</v>
      </c>
      <c r="G35" s="50">
        <v>1</v>
      </c>
      <c r="H35" s="50">
        <v>0</v>
      </c>
      <c r="I35" s="50">
        <v>2</v>
      </c>
      <c r="J35" s="50">
        <v>2</v>
      </c>
      <c r="K35" s="50">
        <v>1</v>
      </c>
      <c r="L35" s="50">
        <v>7</v>
      </c>
      <c r="M35" s="50">
        <v>77</v>
      </c>
      <c r="N35" s="50">
        <v>0</v>
      </c>
      <c r="O35" s="15">
        <f t="shared" si="0"/>
        <v>68</v>
      </c>
      <c r="P35" s="15">
        <f t="shared" si="1"/>
        <v>145</v>
      </c>
      <c r="R35" s="38" t="s">
        <v>91</v>
      </c>
      <c r="S35" s="39">
        <f t="shared" ref="S35:AF35" si="27">MAX(S13:S18)</f>
        <v>115</v>
      </c>
      <c r="T35" s="39">
        <f t="shared" si="27"/>
        <v>50</v>
      </c>
      <c r="U35" s="39">
        <f t="shared" si="27"/>
        <v>24</v>
      </c>
      <c r="V35" s="39">
        <f t="shared" si="27"/>
        <v>46</v>
      </c>
      <c r="W35" s="39">
        <f t="shared" si="27"/>
        <v>2</v>
      </c>
      <c r="X35" s="39">
        <f t="shared" si="27"/>
        <v>4</v>
      </c>
      <c r="Y35" s="39">
        <f t="shared" si="27"/>
        <v>18</v>
      </c>
      <c r="Z35" s="39">
        <f t="shared" si="27"/>
        <v>10</v>
      </c>
      <c r="AA35" s="39">
        <f t="shared" si="27"/>
        <v>9</v>
      </c>
      <c r="AB35" s="39">
        <f t="shared" si="27"/>
        <v>22</v>
      </c>
      <c r="AC35" s="39">
        <f t="shared" si="27"/>
        <v>590</v>
      </c>
      <c r="AD35" s="39">
        <f t="shared" si="27"/>
        <v>0</v>
      </c>
      <c r="AE35" s="40">
        <f t="shared" si="27"/>
        <v>243</v>
      </c>
      <c r="AF35" s="40">
        <f t="shared" si="27"/>
        <v>810</v>
      </c>
    </row>
    <row r="36" spans="2:32" ht="23.1" customHeight="1" x14ac:dyDescent="0.25">
      <c r="B36" s="46" t="s">
        <v>63</v>
      </c>
      <c r="C36" s="50">
        <v>15</v>
      </c>
      <c r="D36" s="50">
        <v>8</v>
      </c>
      <c r="E36" s="50">
        <v>5</v>
      </c>
      <c r="F36" s="50">
        <v>3</v>
      </c>
      <c r="G36" s="50">
        <v>1</v>
      </c>
      <c r="H36" s="50">
        <v>0</v>
      </c>
      <c r="I36" s="50">
        <v>1</v>
      </c>
      <c r="J36" s="50">
        <v>3</v>
      </c>
      <c r="K36" s="50">
        <v>1</v>
      </c>
      <c r="L36" s="50">
        <v>3</v>
      </c>
      <c r="M36" s="50">
        <v>65</v>
      </c>
      <c r="N36" s="50">
        <v>0</v>
      </c>
      <c r="O36" s="15">
        <f t="shared" si="0"/>
        <v>40</v>
      </c>
      <c r="P36" s="15">
        <f t="shared" si="1"/>
        <v>105</v>
      </c>
      <c r="R36" s="38" t="s">
        <v>92</v>
      </c>
      <c r="S36" s="39">
        <f t="shared" ref="S36:AF36" si="28">MAX(S19:S21)</f>
        <v>129</v>
      </c>
      <c r="T36" s="39">
        <f t="shared" si="28"/>
        <v>67</v>
      </c>
      <c r="U36" s="39">
        <f t="shared" si="28"/>
        <v>20</v>
      </c>
      <c r="V36" s="39">
        <f t="shared" si="28"/>
        <v>50</v>
      </c>
      <c r="W36" s="39">
        <f t="shared" si="28"/>
        <v>0</v>
      </c>
      <c r="X36" s="39">
        <f t="shared" si="28"/>
        <v>0</v>
      </c>
      <c r="Y36" s="39">
        <f t="shared" si="28"/>
        <v>11</v>
      </c>
      <c r="Z36" s="39">
        <f t="shared" si="28"/>
        <v>13</v>
      </c>
      <c r="AA36" s="39">
        <f t="shared" si="28"/>
        <v>4</v>
      </c>
      <c r="AB36" s="39">
        <f t="shared" si="28"/>
        <v>17</v>
      </c>
      <c r="AC36" s="39">
        <f t="shared" si="28"/>
        <v>400</v>
      </c>
      <c r="AD36" s="39">
        <f t="shared" si="28"/>
        <v>0</v>
      </c>
      <c r="AE36" s="40">
        <f t="shared" si="28"/>
        <v>284</v>
      </c>
      <c r="AF36" s="40">
        <f t="shared" si="28"/>
        <v>656</v>
      </c>
    </row>
    <row r="37" spans="2:32" ht="23.1" customHeight="1" x14ac:dyDescent="0.25">
      <c r="B37" s="45" t="s">
        <v>64</v>
      </c>
      <c r="C37" s="50">
        <v>26</v>
      </c>
      <c r="D37" s="50">
        <v>11</v>
      </c>
      <c r="E37" s="50">
        <v>3</v>
      </c>
      <c r="F37" s="50">
        <v>4</v>
      </c>
      <c r="G37" s="50">
        <v>0</v>
      </c>
      <c r="H37" s="50">
        <v>1</v>
      </c>
      <c r="I37" s="50">
        <v>3</v>
      </c>
      <c r="J37" s="50">
        <v>3</v>
      </c>
      <c r="K37" s="50">
        <v>0</v>
      </c>
      <c r="L37" s="50">
        <v>4</v>
      </c>
      <c r="M37" s="50">
        <v>55</v>
      </c>
      <c r="N37" s="50">
        <v>0</v>
      </c>
      <c r="O37" s="15">
        <f t="shared" si="0"/>
        <v>55</v>
      </c>
      <c r="P37" s="15">
        <f t="shared" si="1"/>
        <v>110</v>
      </c>
      <c r="R37" s="37" t="s">
        <v>85</v>
      </c>
      <c r="S37" s="35">
        <f t="shared" ref="S37:AF37" si="29">SUM(S10:S12)</f>
        <v>240</v>
      </c>
      <c r="T37" s="16">
        <f t="shared" si="29"/>
        <v>153</v>
      </c>
      <c r="U37" s="16">
        <f t="shared" si="29"/>
        <v>100</v>
      </c>
      <c r="V37" s="16">
        <f t="shared" si="29"/>
        <v>296</v>
      </c>
      <c r="W37" s="16">
        <f t="shared" si="29"/>
        <v>2</v>
      </c>
      <c r="X37" s="16">
        <f t="shared" si="29"/>
        <v>0</v>
      </c>
      <c r="Y37" s="16">
        <f t="shared" si="29"/>
        <v>24</v>
      </c>
      <c r="Z37" s="16">
        <f t="shared" si="29"/>
        <v>11</v>
      </c>
      <c r="AA37" s="16">
        <f t="shared" si="29"/>
        <v>9</v>
      </c>
      <c r="AB37" s="16">
        <f t="shared" si="29"/>
        <v>28</v>
      </c>
      <c r="AC37" s="16">
        <f t="shared" si="29"/>
        <v>2150</v>
      </c>
      <c r="AD37" s="16">
        <f t="shared" si="29"/>
        <v>0</v>
      </c>
      <c r="AE37" s="32">
        <f t="shared" si="29"/>
        <v>863</v>
      </c>
      <c r="AF37" s="32">
        <f t="shared" si="29"/>
        <v>3013</v>
      </c>
    </row>
    <row r="38" spans="2:32" ht="23.1" customHeight="1" x14ac:dyDescent="0.25">
      <c r="B38" s="46" t="s">
        <v>65</v>
      </c>
      <c r="C38" s="50">
        <v>24</v>
      </c>
      <c r="D38" s="50">
        <v>14</v>
      </c>
      <c r="E38" s="50">
        <v>6</v>
      </c>
      <c r="F38" s="50">
        <v>5</v>
      </c>
      <c r="G38" s="50">
        <v>0</v>
      </c>
      <c r="H38" s="50">
        <v>0</v>
      </c>
      <c r="I38" s="50">
        <v>2</v>
      </c>
      <c r="J38" s="50">
        <v>2</v>
      </c>
      <c r="K38" s="50">
        <v>3</v>
      </c>
      <c r="L38" s="50">
        <v>3</v>
      </c>
      <c r="M38" s="50">
        <v>75</v>
      </c>
      <c r="N38" s="50">
        <v>0</v>
      </c>
      <c r="O38" s="15">
        <f t="shared" si="0"/>
        <v>59</v>
      </c>
      <c r="P38" s="15">
        <f t="shared" si="1"/>
        <v>134</v>
      </c>
      <c r="R38" s="28" t="s">
        <v>86</v>
      </c>
      <c r="S38" s="16">
        <f t="shared" ref="S38:AF38" si="30">SUM(S13:S18)</f>
        <v>551</v>
      </c>
      <c r="T38" s="16">
        <f t="shared" si="30"/>
        <v>246</v>
      </c>
      <c r="U38" s="16">
        <f t="shared" si="30"/>
        <v>113</v>
      </c>
      <c r="V38" s="16">
        <f t="shared" si="30"/>
        <v>185</v>
      </c>
      <c r="W38" s="16">
        <f t="shared" si="30"/>
        <v>4</v>
      </c>
      <c r="X38" s="16">
        <f t="shared" si="30"/>
        <v>4</v>
      </c>
      <c r="Y38" s="16">
        <f t="shared" si="30"/>
        <v>70</v>
      </c>
      <c r="Z38" s="16">
        <f t="shared" si="30"/>
        <v>49</v>
      </c>
      <c r="AA38" s="16">
        <f t="shared" si="30"/>
        <v>33</v>
      </c>
      <c r="AB38" s="16">
        <f t="shared" si="30"/>
        <v>87</v>
      </c>
      <c r="AC38" s="16">
        <f t="shared" si="30"/>
        <v>2240</v>
      </c>
      <c r="AD38" s="16">
        <f t="shared" si="30"/>
        <v>0</v>
      </c>
      <c r="AE38" s="32">
        <f t="shared" si="30"/>
        <v>1342</v>
      </c>
      <c r="AF38" s="32">
        <f t="shared" si="30"/>
        <v>3582</v>
      </c>
    </row>
    <row r="39" spans="2:32" ht="23.1" customHeight="1" x14ac:dyDescent="0.25">
      <c r="B39" s="46" t="s">
        <v>66</v>
      </c>
      <c r="C39" s="50">
        <v>24</v>
      </c>
      <c r="D39" s="50">
        <v>6</v>
      </c>
      <c r="E39" s="50">
        <v>5</v>
      </c>
      <c r="F39" s="50">
        <v>3</v>
      </c>
      <c r="G39" s="50">
        <v>1</v>
      </c>
      <c r="H39" s="50">
        <v>0</v>
      </c>
      <c r="I39" s="50">
        <v>1</v>
      </c>
      <c r="J39" s="50">
        <v>3</v>
      </c>
      <c r="K39" s="50">
        <v>2</v>
      </c>
      <c r="L39" s="50">
        <v>10</v>
      </c>
      <c r="M39" s="50">
        <v>70</v>
      </c>
      <c r="N39" s="50">
        <v>0</v>
      </c>
      <c r="O39" s="15">
        <f t="shared" si="0"/>
        <v>55</v>
      </c>
      <c r="P39" s="15">
        <f t="shared" si="1"/>
        <v>125</v>
      </c>
      <c r="R39" s="29" t="s">
        <v>87</v>
      </c>
      <c r="S39" s="16">
        <f t="shared" ref="S39:AF39" si="31">SUM(S19:S21)</f>
        <v>349</v>
      </c>
      <c r="T39" s="16">
        <f t="shared" si="31"/>
        <v>155</v>
      </c>
      <c r="U39" s="16">
        <f t="shared" si="31"/>
        <v>54</v>
      </c>
      <c r="V39" s="16">
        <f t="shared" si="31"/>
        <v>119</v>
      </c>
      <c r="W39" s="16">
        <f t="shared" si="31"/>
        <v>0</v>
      </c>
      <c r="X39" s="16">
        <f t="shared" si="31"/>
        <v>0</v>
      </c>
      <c r="Y39" s="16">
        <f t="shared" si="31"/>
        <v>22</v>
      </c>
      <c r="Z39" s="16">
        <f t="shared" si="31"/>
        <v>26</v>
      </c>
      <c r="AA39" s="16">
        <f t="shared" si="31"/>
        <v>7</v>
      </c>
      <c r="AB39" s="16">
        <f t="shared" si="31"/>
        <v>30</v>
      </c>
      <c r="AC39" s="16">
        <f t="shared" si="31"/>
        <v>1089</v>
      </c>
      <c r="AD39" s="16">
        <f t="shared" si="31"/>
        <v>0</v>
      </c>
      <c r="AE39" s="32">
        <f t="shared" si="31"/>
        <v>762</v>
      </c>
      <c r="AF39" s="32">
        <f t="shared" si="31"/>
        <v>1851</v>
      </c>
    </row>
    <row r="40" spans="2:32" ht="23.1" customHeight="1" x14ac:dyDescent="0.25">
      <c r="B40" s="46" t="s">
        <v>67</v>
      </c>
      <c r="C40" s="50">
        <v>16</v>
      </c>
      <c r="D40" s="50">
        <v>3</v>
      </c>
      <c r="E40" s="50">
        <v>1</v>
      </c>
      <c r="F40" s="50">
        <v>7</v>
      </c>
      <c r="G40" s="50">
        <v>0</v>
      </c>
      <c r="H40" s="50">
        <v>0</v>
      </c>
      <c r="I40" s="50">
        <v>4</v>
      </c>
      <c r="J40" s="50">
        <v>3</v>
      </c>
      <c r="K40" s="50">
        <v>0</v>
      </c>
      <c r="L40" s="50">
        <v>0</v>
      </c>
      <c r="M40" s="50">
        <v>60</v>
      </c>
      <c r="N40" s="50">
        <v>0</v>
      </c>
      <c r="O40" s="15">
        <f t="shared" si="0"/>
        <v>34</v>
      </c>
      <c r="P40" s="15">
        <f t="shared" si="1"/>
        <v>94</v>
      </c>
      <c r="R40" s="5" t="s">
        <v>17</v>
      </c>
      <c r="S40" s="16">
        <f t="shared" ref="S40:AF40" si="32">SUM(S10:S21)</f>
        <v>1140</v>
      </c>
      <c r="T40" s="16">
        <f t="shared" si="32"/>
        <v>554</v>
      </c>
      <c r="U40" s="16">
        <f t="shared" si="32"/>
        <v>267</v>
      </c>
      <c r="V40" s="16">
        <f t="shared" si="32"/>
        <v>600</v>
      </c>
      <c r="W40" s="16">
        <f t="shared" si="32"/>
        <v>6</v>
      </c>
      <c r="X40" s="16">
        <f t="shared" si="32"/>
        <v>4</v>
      </c>
      <c r="Y40" s="16">
        <f t="shared" si="32"/>
        <v>116</v>
      </c>
      <c r="Z40" s="16">
        <f t="shared" si="32"/>
        <v>86</v>
      </c>
      <c r="AA40" s="16">
        <f t="shared" si="32"/>
        <v>49</v>
      </c>
      <c r="AB40" s="16">
        <f t="shared" si="32"/>
        <v>145</v>
      </c>
      <c r="AC40" s="16">
        <f t="shared" si="32"/>
        <v>5479</v>
      </c>
      <c r="AD40" s="16">
        <f t="shared" si="32"/>
        <v>0</v>
      </c>
      <c r="AE40" s="32">
        <f t="shared" si="32"/>
        <v>2967</v>
      </c>
      <c r="AF40" s="32">
        <f t="shared" si="32"/>
        <v>8446</v>
      </c>
    </row>
    <row r="41" spans="2:32" ht="23.1" customHeight="1" x14ac:dyDescent="0.25">
      <c r="B41" s="45" t="s">
        <v>68</v>
      </c>
      <c r="C41" s="50">
        <v>36</v>
      </c>
      <c r="D41" s="50">
        <v>19</v>
      </c>
      <c r="E41" s="50">
        <v>8</v>
      </c>
      <c r="F41" s="50">
        <v>4</v>
      </c>
      <c r="G41" s="50">
        <v>0</v>
      </c>
      <c r="H41" s="50">
        <v>0</v>
      </c>
      <c r="I41" s="50">
        <v>2</v>
      </c>
      <c r="J41" s="50">
        <v>0</v>
      </c>
      <c r="K41" s="50">
        <v>2</v>
      </c>
      <c r="L41" s="50">
        <v>9</v>
      </c>
      <c r="M41" s="50">
        <v>84</v>
      </c>
      <c r="N41" s="50">
        <v>0</v>
      </c>
      <c r="O41" s="15">
        <f t="shared" si="0"/>
        <v>80</v>
      </c>
      <c r="P41" s="15">
        <f t="shared" si="1"/>
        <v>164</v>
      </c>
      <c r="R41" s="5" t="s">
        <v>159</v>
      </c>
      <c r="S41" s="16">
        <f>SUM(S10:S33)</f>
        <v>1990</v>
      </c>
      <c r="T41" s="16">
        <f t="shared" ref="T41:AF41" si="33">SUM(T10:T33)</f>
        <v>1349</v>
      </c>
      <c r="U41" s="16">
        <f t="shared" si="33"/>
        <v>354</v>
      </c>
      <c r="V41" s="16">
        <f t="shared" si="33"/>
        <v>828</v>
      </c>
      <c r="W41" s="16">
        <f t="shared" si="33"/>
        <v>13</v>
      </c>
      <c r="X41" s="16">
        <f t="shared" si="33"/>
        <v>5</v>
      </c>
      <c r="Y41" s="16">
        <f t="shared" si="33"/>
        <v>143</v>
      </c>
      <c r="Z41" s="16">
        <f t="shared" si="33"/>
        <v>103</v>
      </c>
      <c r="AA41" s="16">
        <f t="shared" si="33"/>
        <v>69</v>
      </c>
      <c r="AB41" s="16">
        <f t="shared" si="33"/>
        <v>156</v>
      </c>
      <c r="AC41" s="16">
        <f t="shared" si="33"/>
        <v>7288</v>
      </c>
      <c r="AD41" s="16">
        <f t="shared" si="33"/>
        <v>0</v>
      </c>
      <c r="AE41" s="32">
        <f t="shared" si="33"/>
        <v>5010</v>
      </c>
      <c r="AF41" s="32">
        <f t="shared" si="33"/>
        <v>12298</v>
      </c>
    </row>
    <row r="42" spans="2:32" ht="23.1" customHeight="1" x14ac:dyDescent="0.25">
      <c r="B42" s="46" t="s">
        <v>69</v>
      </c>
      <c r="C42" s="50">
        <v>20</v>
      </c>
      <c r="D42" s="50">
        <v>10</v>
      </c>
      <c r="E42" s="50">
        <v>6</v>
      </c>
      <c r="F42" s="50">
        <v>8</v>
      </c>
      <c r="G42" s="50">
        <v>0</v>
      </c>
      <c r="H42" s="50">
        <v>0</v>
      </c>
      <c r="I42" s="50">
        <v>3</v>
      </c>
      <c r="J42" s="50">
        <v>2</v>
      </c>
      <c r="K42" s="50">
        <v>4</v>
      </c>
      <c r="L42" s="50">
        <v>2</v>
      </c>
      <c r="M42" s="50">
        <v>60</v>
      </c>
      <c r="N42" s="50">
        <v>0</v>
      </c>
      <c r="O42" s="15">
        <f t="shared" si="0"/>
        <v>55</v>
      </c>
      <c r="P42" s="15">
        <f t="shared" si="1"/>
        <v>115</v>
      </c>
      <c r="R42" s="5" t="s">
        <v>160</v>
      </c>
      <c r="S42" s="48">
        <f>S41/S40</f>
        <v>1.7456140350877194</v>
      </c>
      <c r="T42" s="48">
        <f t="shared" ref="T42:AF42" si="34">T41/T40</f>
        <v>2.4350180505415162</v>
      </c>
      <c r="U42" s="48">
        <f t="shared" si="34"/>
        <v>1.3258426966292134</v>
      </c>
      <c r="V42" s="48">
        <f t="shared" si="34"/>
        <v>1.38</v>
      </c>
      <c r="W42" s="48">
        <f t="shared" si="34"/>
        <v>2.1666666666666665</v>
      </c>
      <c r="X42" s="48">
        <f t="shared" si="34"/>
        <v>1.25</v>
      </c>
      <c r="Y42" s="48">
        <f t="shared" si="34"/>
        <v>1.2327586206896552</v>
      </c>
      <c r="Z42" s="48">
        <f t="shared" si="34"/>
        <v>1.1976744186046511</v>
      </c>
      <c r="AA42" s="48">
        <f t="shared" si="34"/>
        <v>1.4081632653061225</v>
      </c>
      <c r="AB42" s="48">
        <f t="shared" si="34"/>
        <v>1.0758620689655172</v>
      </c>
      <c r="AC42" s="48">
        <f t="shared" si="34"/>
        <v>1.3301697390034677</v>
      </c>
      <c r="AD42" s="48" t="e">
        <f t="shared" si="34"/>
        <v>#DIV/0!</v>
      </c>
      <c r="AE42" s="48">
        <f t="shared" si="34"/>
        <v>1.6885743174924166</v>
      </c>
      <c r="AF42" s="48">
        <f t="shared" si="34"/>
        <v>1.4560738811271607</v>
      </c>
    </row>
    <row r="43" spans="2:32" ht="23.1" customHeight="1" x14ac:dyDescent="0.25">
      <c r="B43" s="45" t="s">
        <v>70</v>
      </c>
      <c r="C43" s="50">
        <v>25</v>
      </c>
      <c r="D43" s="50">
        <v>11</v>
      </c>
      <c r="E43" s="50">
        <v>5</v>
      </c>
      <c r="F43" s="50">
        <v>12</v>
      </c>
      <c r="G43" s="50">
        <v>0</v>
      </c>
      <c r="H43" s="50">
        <v>0</v>
      </c>
      <c r="I43" s="50">
        <v>4</v>
      </c>
      <c r="J43" s="50">
        <v>3</v>
      </c>
      <c r="K43" s="50">
        <v>2</v>
      </c>
      <c r="L43" s="50">
        <v>2</v>
      </c>
      <c r="M43" s="50">
        <v>100</v>
      </c>
      <c r="N43" s="50">
        <v>0</v>
      </c>
      <c r="O43" s="15">
        <f t="shared" si="0"/>
        <v>64</v>
      </c>
      <c r="P43" s="15">
        <f t="shared" si="1"/>
        <v>164</v>
      </c>
    </row>
    <row r="44" spans="2:32" ht="23.1" customHeight="1" x14ac:dyDescent="0.25">
      <c r="B44" s="47" t="s">
        <v>71</v>
      </c>
      <c r="C44" s="50">
        <v>35</v>
      </c>
      <c r="D44" s="50">
        <v>8</v>
      </c>
      <c r="E44" s="50">
        <v>4</v>
      </c>
      <c r="F44" s="50">
        <v>7</v>
      </c>
      <c r="G44" s="50">
        <v>0</v>
      </c>
      <c r="H44" s="50">
        <v>0</v>
      </c>
      <c r="I44" s="50">
        <v>3</v>
      </c>
      <c r="J44" s="50">
        <v>4</v>
      </c>
      <c r="K44" s="50">
        <v>1</v>
      </c>
      <c r="L44" s="50">
        <v>3</v>
      </c>
      <c r="M44" s="50">
        <v>90</v>
      </c>
      <c r="N44" s="50">
        <v>0</v>
      </c>
      <c r="O44" s="15">
        <f t="shared" si="0"/>
        <v>65</v>
      </c>
      <c r="P44" s="15">
        <f t="shared" si="1"/>
        <v>155</v>
      </c>
    </row>
    <row r="45" spans="2:32" ht="23.1" customHeight="1" x14ac:dyDescent="0.25">
      <c r="B45" s="45" t="s">
        <v>72</v>
      </c>
      <c r="C45" s="50">
        <v>35</v>
      </c>
      <c r="D45" s="50">
        <v>9</v>
      </c>
      <c r="E45" s="50">
        <v>4</v>
      </c>
      <c r="F45" s="50">
        <v>4</v>
      </c>
      <c r="G45" s="50">
        <v>0</v>
      </c>
      <c r="H45" s="50">
        <v>0</v>
      </c>
      <c r="I45" s="50">
        <v>1</v>
      </c>
      <c r="J45" s="50">
        <v>1</v>
      </c>
      <c r="K45" s="50">
        <v>2</v>
      </c>
      <c r="L45" s="50">
        <v>3</v>
      </c>
      <c r="M45" s="50">
        <v>93</v>
      </c>
      <c r="N45" s="50">
        <v>0</v>
      </c>
      <c r="O45" s="15">
        <f t="shared" si="0"/>
        <v>59</v>
      </c>
      <c r="P45" s="15">
        <f t="shared" si="1"/>
        <v>152</v>
      </c>
    </row>
    <row r="46" spans="2:32" ht="23.1" customHeight="1" x14ac:dyDescent="0.25">
      <c r="B46" s="46" t="s">
        <v>73</v>
      </c>
      <c r="C46" s="50">
        <v>22</v>
      </c>
      <c r="D46" s="50">
        <v>13</v>
      </c>
      <c r="E46" s="50">
        <v>4</v>
      </c>
      <c r="F46" s="50">
        <v>12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1</v>
      </c>
      <c r="M46" s="50">
        <v>105</v>
      </c>
      <c r="N46" s="50">
        <v>0</v>
      </c>
      <c r="O46" s="15">
        <f t="shared" si="0"/>
        <v>54</v>
      </c>
      <c r="P46" s="15">
        <f t="shared" si="1"/>
        <v>159</v>
      </c>
      <c r="R46" s="8"/>
      <c r="T46"/>
    </row>
    <row r="47" spans="2:32" ht="23.1" customHeight="1" x14ac:dyDescent="0.25">
      <c r="B47" s="46" t="s">
        <v>74</v>
      </c>
      <c r="C47" s="50">
        <v>32</v>
      </c>
      <c r="D47" s="50">
        <v>23</v>
      </c>
      <c r="E47" s="50">
        <v>9</v>
      </c>
      <c r="F47" s="50">
        <v>12</v>
      </c>
      <c r="G47" s="50">
        <v>0</v>
      </c>
      <c r="H47" s="50">
        <v>0</v>
      </c>
      <c r="I47" s="50">
        <v>3</v>
      </c>
      <c r="J47" s="50">
        <v>2</v>
      </c>
      <c r="K47" s="50">
        <v>1</v>
      </c>
      <c r="L47" s="50">
        <v>2</v>
      </c>
      <c r="M47" s="50">
        <v>85</v>
      </c>
      <c r="N47" s="50">
        <v>0</v>
      </c>
      <c r="O47" s="15">
        <f t="shared" si="0"/>
        <v>84</v>
      </c>
      <c r="P47" s="15">
        <f t="shared" si="1"/>
        <v>169</v>
      </c>
      <c r="R47" s="8"/>
      <c r="T47"/>
    </row>
    <row r="48" spans="2:32" ht="23.1" customHeight="1" x14ac:dyDescent="0.25">
      <c r="B48" s="46" t="s">
        <v>75</v>
      </c>
      <c r="C48" s="50">
        <v>28</v>
      </c>
      <c r="D48" s="50">
        <v>17</v>
      </c>
      <c r="E48" s="50">
        <v>4</v>
      </c>
      <c r="F48" s="50">
        <v>8</v>
      </c>
      <c r="G48" s="50">
        <v>0</v>
      </c>
      <c r="H48" s="50">
        <v>0</v>
      </c>
      <c r="I48" s="50">
        <v>0</v>
      </c>
      <c r="J48" s="50">
        <v>0</v>
      </c>
      <c r="K48" s="50">
        <v>2</v>
      </c>
      <c r="L48" s="50">
        <v>2</v>
      </c>
      <c r="M48" s="50">
        <v>110</v>
      </c>
      <c r="N48" s="50">
        <v>0</v>
      </c>
      <c r="O48" s="15">
        <f t="shared" si="0"/>
        <v>61</v>
      </c>
      <c r="P48" s="15">
        <f t="shared" si="1"/>
        <v>171</v>
      </c>
      <c r="R48" s="8"/>
      <c r="T48"/>
    </row>
    <row r="49" spans="2:20" ht="23.1" customHeight="1" x14ac:dyDescent="0.25">
      <c r="B49" s="45" t="s">
        <v>76</v>
      </c>
      <c r="C49" s="50">
        <v>30</v>
      </c>
      <c r="D49" s="50">
        <v>14</v>
      </c>
      <c r="E49" s="50">
        <v>3</v>
      </c>
      <c r="F49" s="50">
        <v>3</v>
      </c>
      <c r="G49" s="50">
        <v>0</v>
      </c>
      <c r="H49" s="50">
        <v>0</v>
      </c>
      <c r="I49" s="50">
        <v>2</v>
      </c>
      <c r="J49" s="50">
        <v>1</v>
      </c>
      <c r="K49" s="50">
        <v>1</v>
      </c>
      <c r="L49" s="50">
        <v>3</v>
      </c>
      <c r="M49" s="50">
        <v>100</v>
      </c>
      <c r="N49" s="50">
        <v>0</v>
      </c>
      <c r="O49" s="15">
        <f t="shared" si="0"/>
        <v>57</v>
      </c>
      <c r="P49" s="15">
        <f t="shared" si="1"/>
        <v>157</v>
      </c>
      <c r="R49" s="8"/>
      <c r="T49"/>
    </row>
    <row r="50" spans="2:20" ht="23.1" customHeight="1" x14ac:dyDescent="0.25">
      <c r="B50" s="46" t="s">
        <v>77</v>
      </c>
      <c r="C50" s="50">
        <v>26</v>
      </c>
      <c r="D50" s="50">
        <v>14</v>
      </c>
      <c r="E50" s="50">
        <v>8</v>
      </c>
      <c r="F50" s="50">
        <v>12</v>
      </c>
      <c r="G50" s="50">
        <v>0</v>
      </c>
      <c r="H50" s="50">
        <v>0</v>
      </c>
      <c r="I50" s="50">
        <v>2</v>
      </c>
      <c r="J50" s="50">
        <v>4</v>
      </c>
      <c r="K50" s="50">
        <v>0</v>
      </c>
      <c r="L50" s="50">
        <v>6</v>
      </c>
      <c r="M50" s="50">
        <v>100</v>
      </c>
      <c r="N50" s="50">
        <v>0</v>
      </c>
      <c r="O50" s="15">
        <f t="shared" si="0"/>
        <v>72</v>
      </c>
      <c r="P50" s="15">
        <f t="shared" si="1"/>
        <v>172</v>
      </c>
      <c r="R50" s="8"/>
      <c r="T50"/>
    </row>
    <row r="51" spans="2:20" ht="23.1" customHeight="1" x14ac:dyDescent="0.25">
      <c r="B51" s="46" t="s">
        <v>78</v>
      </c>
      <c r="C51" s="50">
        <v>30</v>
      </c>
      <c r="D51" s="50">
        <v>9</v>
      </c>
      <c r="E51" s="50">
        <v>5</v>
      </c>
      <c r="F51" s="50">
        <v>12</v>
      </c>
      <c r="G51" s="50">
        <v>0</v>
      </c>
      <c r="H51" s="50">
        <v>0</v>
      </c>
      <c r="I51" s="50">
        <v>1</v>
      </c>
      <c r="J51" s="50">
        <v>3</v>
      </c>
      <c r="K51" s="50">
        <v>1</v>
      </c>
      <c r="L51" s="50">
        <v>3</v>
      </c>
      <c r="M51" s="50">
        <v>80</v>
      </c>
      <c r="N51" s="50">
        <v>0</v>
      </c>
      <c r="O51" s="15">
        <f t="shared" si="0"/>
        <v>64</v>
      </c>
      <c r="P51" s="15">
        <f t="shared" si="1"/>
        <v>144</v>
      </c>
      <c r="R51" s="8"/>
      <c r="T51"/>
    </row>
    <row r="52" spans="2:20" ht="23.1" customHeight="1" x14ac:dyDescent="0.25">
      <c r="B52" s="46" t="s">
        <v>79</v>
      </c>
      <c r="C52" s="50">
        <v>40</v>
      </c>
      <c r="D52" s="50">
        <v>8</v>
      </c>
      <c r="E52" s="50">
        <v>3</v>
      </c>
      <c r="F52" s="50">
        <v>18</v>
      </c>
      <c r="G52" s="50">
        <v>0</v>
      </c>
      <c r="H52" s="50">
        <v>0</v>
      </c>
      <c r="I52" s="50">
        <v>3</v>
      </c>
      <c r="J52" s="50">
        <v>1</v>
      </c>
      <c r="K52" s="50">
        <v>1</v>
      </c>
      <c r="L52" s="50">
        <v>5</v>
      </c>
      <c r="M52" s="50">
        <v>75</v>
      </c>
      <c r="N52" s="50">
        <v>0</v>
      </c>
      <c r="O52" s="15">
        <f t="shared" si="0"/>
        <v>79</v>
      </c>
      <c r="P52" s="15">
        <f t="shared" si="1"/>
        <v>154</v>
      </c>
      <c r="R52" s="8"/>
      <c r="T52"/>
    </row>
    <row r="53" spans="2:20" ht="23.1" customHeight="1" x14ac:dyDescent="0.25">
      <c r="B53" s="45" t="s">
        <v>80</v>
      </c>
      <c r="C53" s="50">
        <v>33</v>
      </c>
      <c r="D53" s="50">
        <v>11</v>
      </c>
      <c r="E53" s="50">
        <v>3</v>
      </c>
      <c r="F53" s="50">
        <v>8</v>
      </c>
      <c r="G53" s="50">
        <v>0</v>
      </c>
      <c r="H53" s="50">
        <v>0</v>
      </c>
      <c r="I53" s="50">
        <v>5</v>
      </c>
      <c r="J53" s="50">
        <v>5</v>
      </c>
      <c r="K53" s="50">
        <v>1</v>
      </c>
      <c r="L53" s="50">
        <v>3</v>
      </c>
      <c r="M53" s="50">
        <v>93</v>
      </c>
      <c r="N53" s="50">
        <v>0</v>
      </c>
      <c r="O53" s="15">
        <f t="shared" si="0"/>
        <v>69</v>
      </c>
      <c r="P53" s="15">
        <f t="shared" si="1"/>
        <v>162</v>
      </c>
      <c r="R53" s="8"/>
      <c r="T53"/>
    </row>
    <row r="54" spans="2:20" ht="23.1" customHeight="1" x14ac:dyDescent="0.25">
      <c r="B54" s="45" t="s">
        <v>81</v>
      </c>
      <c r="C54" s="50">
        <v>26</v>
      </c>
      <c r="D54" s="50">
        <v>6</v>
      </c>
      <c r="E54" s="50">
        <v>3</v>
      </c>
      <c r="F54" s="50">
        <v>11</v>
      </c>
      <c r="G54" s="50">
        <v>0</v>
      </c>
      <c r="H54" s="50">
        <v>0</v>
      </c>
      <c r="I54" s="50">
        <v>1</v>
      </c>
      <c r="J54" s="50">
        <v>3</v>
      </c>
      <c r="K54" s="50">
        <v>0</v>
      </c>
      <c r="L54" s="50">
        <v>1</v>
      </c>
      <c r="M54" s="50">
        <v>65</v>
      </c>
      <c r="N54" s="50">
        <v>0</v>
      </c>
      <c r="O54" s="15">
        <f t="shared" si="0"/>
        <v>51</v>
      </c>
      <c r="P54" s="15">
        <f t="shared" si="1"/>
        <v>116</v>
      </c>
      <c r="R54" s="8"/>
      <c r="T54"/>
    </row>
    <row r="55" spans="2:20" ht="23.1" customHeight="1" x14ac:dyDescent="0.25">
      <c r="B55" s="45" t="s">
        <v>82</v>
      </c>
      <c r="C55" s="50">
        <v>25</v>
      </c>
      <c r="D55" s="50">
        <v>15</v>
      </c>
      <c r="E55" s="50">
        <v>3</v>
      </c>
      <c r="F55" s="50">
        <v>7</v>
      </c>
      <c r="G55" s="50">
        <v>0</v>
      </c>
      <c r="H55" s="50">
        <v>0</v>
      </c>
      <c r="I55" s="50">
        <v>2</v>
      </c>
      <c r="J55" s="50">
        <v>2</v>
      </c>
      <c r="K55" s="50">
        <v>0</v>
      </c>
      <c r="L55" s="50">
        <v>1</v>
      </c>
      <c r="M55" s="50">
        <v>101</v>
      </c>
      <c r="N55" s="50">
        <v>0</v>
      </c>
      <c r="O55" s="15">
        <f t="shared" si="0"/>
        <v>55</v>
      </c>
      <c r="P55" s="15">
        <f t="shared" si="1"/>
        <v>156</v>
      </c>
      <c r="R55" s="8"/>
      <c r="T55"/>
    </row>
    <row r="56" spans="2:20" ht="23.1" customHeight="1" x14ac:dyDescent="0.25">
      <c r="B56" s="45" t="s">
        <v>83</v>
      </c>
      <c r="C56" s="50">
        <v>28</v>
      </c>
      <c r="D56" s="50">
        <v>18</v>
      </c>
      <c r="E56" s="50">
        <v>6</v>
      </c>
      <c r="F56" s="50">
        <v>6</v>
      </c>
      <c r="G56" s="50">
        <v>0</v>
      </c>
      <c r="H56" s="50">
        <v>0</v>
      </c>
      <c r="I56" s="50">
        <v>2</v>
      </c>
      <c r="J56" s="50">
        <v>2</v>
      </c>
      <c r="K56" s="50">
        <v>0</v>
      </c>
      <c r="L56" s="50">
        <v>0</v>
      </c>
      <c r="M56" s="50">
        <v>85</v>
      </c>
      <c r="N56" s="50">
        <v>0</v>
      </c>
      <c r="O56" s="15">
        <f t="shared" si="0"/>
        <v>62</v>
      </c>
      <c r="P56" s="15">
        <f t="shared" si="1"/>
        <v>147</v>
      </c>
      <c r="R56" s="8"/>
      <c r="T56"/>
    </row>
    <row r="57" spans="2:20" ht="23.1" customHeight="1" x14ac:dyDescent="0.25">
      <c r="B57" s="45" t="s">
        <v>84</v>
      </c>
      <c r="C57" s="50">
        <v>29</v>
      </c>
      <c r="D57" s="50">
        <v>7</v>
      </c>
      <c r="E57" s="50">
        <v>3</v>
      </c>
      <c r="F57" s="50">
        <v>10</v>
      </c>
      <c r="G57" s="50">
        <v>0</v>
      </c>
      <c r="H57" s="50">
        <v>0</v>
      </c>
      <c r="I57" s="50">
        <v>0</v>
      </c>
      <c r="J57" s="50">
        <v>2</v>
      </c>
      <c r="K57" s="50">
        <v>0</v>
      </c>
      <c r="L57" s="50">
        <v>3</v>
      </c>
      <c r="M57" s="50">
        <v>90</v>
      </c>
      <c r="N57" s="50">
        <v>0</v>
      </c>
      <c r="O57" s="15">
        <f t="shared" si="0"/>
        <v>54</v>
      </c>
      <c r="P57" s="15">
        <f t="shared" si="1"/>
        <v>144</v>
      </c>
      <c r="R57" s="8"/>
      <c r="T57"/>
    </row>
    <row r="58" spans="2:20" ht="23.1" customHeight="1" x14ac:dyDescent="0.25">
      <c r="B58" s="45" t="s">
        <v>99</v>
      </c>
      <c r="C58" s="50">
        <v>28</v>
      </c>
      <c r="D58" s="50">
        <v>26</v>
      </c>
      <c r="E58" s="50">
        <v>6</v>
      </c>
      <c r="F58" s="50">
        <v>20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1</v>
      </c>
      <c r="M58" s="50">
        <v>35</v>
      </c>
      <c r="N58" s="50">
        <v>0</v>
      </c>
      <c r="O58" s="15">
        <f t="shared" si="0"/>
        <v>81</v>
      </c>
      <c r="P58" s="15">
        <f t="shared" si="1"/>
        <v>116</v>
      </c>
      <c r="R58" s="8"/>
      <c r="T58"/>
    </row>
    <row r="59" spans="2:20" ht="23.1" customHeight="1" x14ac:dyDescent="0.25">
      <c r="B59" s="45" t="s">
        <v>100</v>
      </c>
      <c r="C59" s="50">
        <v>25</v>
      </c>
      <c r="D59" s="50">
        <v>27</v>
      </c>
      <c r="E59" s="50">
        <v>3</v>
      </c>
      <c r="F59" s="50">
        <v>19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95</v>
      </c>
      <c r="N59" s="50">
        <v>0</v>
      </c>
      <c r="O59" s="15">
        <f t="shared" si="0"/>
        <v>74</v>
      </c>
      <c r="P59" s="15">
        <f t="shared" si="1"/>
        <v>169</v>
      </c>
      <c r="R59" s="8"/>
      <c r="T59"/>
    </row>
    <row r="60" spans="2:20" ht="23.1" customHeight="1" x14ac:dyDescent="0.25">
      <c r="B60" s="45" t="s">
        <v>101</v>
      </c>
      <c r="C60" s="50">
        <v>37</v>
      </c>
      <c r="D60" s="50">
        <v>28</v>
      </c>
      <c r="E60" s="50">
        <v>3</v>
      </c>
      <c r="F60" s="50">
        <v>13</v>
      </c>
      <c r="G60" s="50">
        <v>0</v>
      </c>
      <c r="H60" s="50">
        <v>0</v>
      </c>
      <c r="I60" s="50">
        <v>1</v>
      </c>
      <c r="J60" s="50">
        <v>0</v>
      </c>
      <c r="K60" s="50">
        <v>1</v>
      </c>
      <c r="L60" s="50">
        <v>0</v>
      </c>
      <c r="M60" s="50">
        <v>115</v>
      </c>
      <c r="N60" s="50">
        <v>0</v>
      </c>
      <c r="O60" s="15">
        <f t="shared" si="0"/>
        <v>83</v>
      </c>
      <c r="P60" s="15">
        <f t="shared" si="1"/>
        <v>198</v>
      </c>
      <c r="R60" s="8"/>
      <c r="T60"/>
    </row>
    <row r="61" spans="2:20" ht="23.1" customHeight="1" x14ac:dyDescent="0.25">
      <c r="B61" s="45" t="s">
        <v>102</v>
      </c>
      <c r="C61" s="50">
        <v>30</v>
      </c>
      <c r="D61" s="50">
        <v>30</v>
      </c>
      <c r="E61" s="50">
        <v>4</v>
      </c>
      <c r="F61" s="50">
        <v>12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125</v>
      </c>
      <c r="N61" s="50">
        <v>0</v>
      </c>
      <c r="O61" s="15">
        <f t="shared" si="0"/>
        <v>76</v>
      </c>
      <c r="P61" s="15">
        <f t="shared" si="1"/>
        <v>201</v>
      </c>
      <c r="R61" s="8"/>
      <c r="T61"/>
    </row>
    <row r="62" spans="2:20" ht="23.1" customHeight="1" x14ac:dyDescent="0.25">
      <c r="B62" s="45" t="s">
        <v>107</v>
      </c>
      <c r="C62" s="50">
        <v>34</v>
      </c>
      <c r="D62" s="50">
        <v>21</v>
      </c>
      <c r="E62" s="50">
        <v>3</v>
      </c>
      <c r="F62" s="50">
        <v>12</v>
      </c>
      <c r="G62" s="50">
        <v>0</v>
      </c>
      <c r="H62" s="50">
        <v>0</v>
      </c>
      <c r="I62" s="50">
        <v>1</v>
      </c>
      <c r="J62" s="50">
        <v>1</v>
      </c>
      <c r="K62" s="50">
        <v>0</v>
      </c>
      <c r="L62" s="50">
        <v>0</v>
      </c>
      <c r="M62" s="50">
        <v>98</v>
      </c>
      <c r="N62" s="50">
        <v>0</v>
      </c>
      <c r="O62" s="15">
        <f t="shared" si="0"/>
        <v>72</v>
      </c>
      <c r="P62" s="15">
        <f t="shared" si="1"/>
        <v>170</v>
      </c>
      <c r="R62" s="8"/>
      <c r="T62"/>
    </row>
    <row r="63" spans="2:20" ht="23.1" customHeight="1" x14ac:dyDescent="0.25">
      <c r="B63" s="45" t="s">
        <v>108</v>
      </c>
      <c r="C63" s="50">
        <v>37</v>
      </c>
      <c r="D63" s="50">
        <v>21</v>
      </c>
      <c r="E63" s="50">
        <v>4</v>
      </c>
      <c r="F63" s="50">
        <v>10</v>
      </c>
      <c r="G63" s="50">
        <v>0</v>
      </c>
      <c r="H63" s="50">
        <v>0</v>
      </c>
      <c r="I63" s="50">
        <v>2</v>
      </c>
      <c r="J63" s="50">
        <v>2</v>
      </c>
      <c r="K63" s="50">
        <v>0</v>
      </c>
      <c r="L63" s="50">
        <v>1</v>
      </c>
      <c r="M63" s="50">
        <v>58</v>
      </c>
      <c r="N63" s="50">
        <v>0</v>
      </c>
      <c r="O63" s="15">
        <f t="shared" si="0"/>
        <v>77</v>
      </c>
      <c r="P63" s="15">
        <f t="shared" si="1"/>
        <v>135</v>
      </c>
      <c r="R63" s="8"/>
      <c r="T63"/>
    </row>
    <row r="64" spans="2:20" ht="23.1" customHeight="1" x14ac:dyDescent="0.25">
      <c r="B64" s="45" t="s">
        <v>109</v>
      </c>
      <c r="C64" s="50">
        <v>32</v>
      </c>
      <c r="D64" s="50">
        <v>26</v>
      </c>
      <c r="E64" s="50">
        <v>3</v>
      </c>
      <c r="F64" s="50">
        <v>10</v>
      </c>
      <c r="G64" s="50">
        <v>0</v>
      </c>
      <c r="H64" s="50">
        <v>0</v>
      </c>
      <c r="I64" s="50">
        <v>0</v>
      </c>
      <c r="J64" s="50">
        <v>1</v>
      </c>
      <c r="K64" s="50">
        <v>1</v>
      </c>
      <c r="L64" s="50">
        <v>2</v>
      </c>
      <c r="M64" s="50">
        <v>86</v>
      </c>
      <c r="N64" s="50">
        <v>0</v>
      </c>
      <c r="O64" s="15">
        <f t="shared" si="0"/>
        <v>75</v>
      </c>
      <c r="P64" s="15">
        <f t="shared" si="1"/>
        <v>161</v>
      </c>
      <c r="R64" s="8"/>
      <c r="T64"/>
    </row>
    <row r="65" spans="2:20" ht="23.1" customHeight="1" x14ac:dyDescent="0.25">
      <c r="B65" s="45" t="s">
        <v>158</v>
      </c>
      <c r="C65" s="50">
        <v>33</v>
      </c>
      <c r="D65" s="50">
        <v>20</v>
      </c>
      <c r="E65" s="50">
        <v>3</v>
      </c>
      <c r="F65" s="50">
        <v>12</v>
      </c>
      <c r="G65" s="50">
        <v>0</v>
      </c>
      <c r="H65" s="50">
        <v>0</v>
      </c>
      <c r="I65" s="50">
        <v>1</v>
      </c>
      <c r="J65" s="50">
        <v>1</v>
      </c>
      <c r="K65" s="50">
        <v>0</v>
      </c>
      <c r="L65" s="50">
        <v>0</v>
      </c>
      <c r="M65" s="50">
        <v>88</v>
      </c>
      <c r="N65" s="50">
        <v>0</v>
      </c>
      <c r="O65" s="15">
        <f t="shared" si="0"/>
        <v>70</v>
      </c>
      <c r="P65" s="15">
        <f t="shared" si="1"/>
        <v>158</v>
      </c>
      <c r="R65" s="8"/>
      <c r="T65"/>
    </row>
    <row r="66" spans="2:20" ht="23.1" customHeight="1" x14ac:dyDescent="0.25">
      <c r="B66" s="45" t="s">
        <v>103</v>
      </c>
      <c r="C66" s="50">
        <v>38</v>
      </c>
      <c r="D66" s="50">
        <v>37</v>
      </c>
      <c r="E66" s="50">
        <v>3</v>
      </c>
      <c r="F66" s="50">
        <v>10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74</v>
      </c>
      <c r="N66" s="50">
        <v>0</v>
      </c>
      <c r="O66" s="15">
        <f t="shared" si="0"/>
        <v>88</v>
      </c>
      <c r="P66" s="15">
        <f t="shared" si="1"/>
        <v>162</v>
      </c>
      <c r="R66" s="8"/>
      <c r="T66"/>
    </row>
    <row r="67" spans="2:20" ht="23.1" customHeight="1" x14ac:dyDescent="0.25">
      <c r="B67" s="45" t="s">
        <v>104</v>
      </c>
      <c r="C67" s="50">
        <v>38</v>
      </c>
      <c r="D67" s="50">
        <v>37</v>
      </c>
      <c r="E67" s="50">
        <v>2</v>
      </c>
      <c r="F67" s="50">
        <v>13</v>
      </c>
      <c r="G67" s="50">
        <v>0</v>
      </c>
      <c r="H67" s="50">
        <v>0</v>
      </c>
      <c r="I67" s="50">
        <v>3</v>
      </c>
      <c r="J67" s="50">
        <v>2</v>
      </c>
      <c r="K67" s="50">
        <v>0</v>
      </c>
      <c r="L67" s="50">
        <v>0</v>
      </c>
      <c r="M67" s="50">
        <v>83</v>
      </c>
      <c r="N67" s="50">
        <v>0</v>
      </c>
      <c r="O67" s="15">
        <f t="shared" si="0"/>
        <v>95</v>
      </c>
      <c r="P67" s="15">
        <f t="shared" si="1"/>
        <v>178</v>
      </c>
      <c r="R67" s="8"/>
      <c r="T67"/>
    </row>
    <row r="68" spans="2:20" ht="23.1" customHeight="1" x14ac:dyDescent="0.25">
      <c r="B68" s="45" t="s">
        <v>105</v>
      </c>
      <c r="C68" s="50">
        <v>33</v>
      </c>
      <c r="D68" s="50">
        <v>38</v>
      </c>
      <c r="E68" s="50">
        <v>3</v>
      </c>
      <c r="F68" s="50">
        <v>12</v>
      </c>
      <c r="G68" s="50">
        <v>0</v>
      </c>
      <c r="H68" s="50">
        <v>0</v>
      </c>
      <c r="I68" s="50">
        <v>1</v>
      </c>
      <c r="J68" s="50">
        <v>2</v>
      </c>
      <c r="K68" s="50">
        <v>1</v>
      </c>
      <c r="L68" s="50">
        <v>0</v>
      </c>
      <c r="M68" s="50">
        <v>82</v>
      </c>
      <c r="N68" s="50">
        <v>0</v>
      </c>
      <c r="O68" s="15">
        <f t="shared" si="0"/>
        <v>90</v>
      </c>
      <c r="P68" s="15">
        <f t="shared" si="1"/>
        <v>172</v>
      </c>
      <c r="R68" s="8"/>
      <c r="T68"/>
    </row>
    <row r="69" spans="2:20" ht="23.1" customHeight="1" x14ac:dyDescent="0.25">
      <c r="B69" s="45" t="s">
        <v>106</v>
      </c>
      <c r="C69" s="50">
        <v>30</v>
      </c>
      <c r="D69" s="50">
        <v>42</v>
      </c>
      <c r="E69" s="50">
        <v>5</v>
      </c>
      <c r="F69" s="50">
        <v>10</v>
      </c>
      <c r="G69" s="50">
        <v>0</v>
      </c>
      <c r="H69" s="50">
        <v>0</v>
      </c>
      <c r="I69" s="50">
        <v>3</v>
      </c>
      <c r="J69" s="50">
        <v>1</v>
      </c>
      <c r="K69" s="50">
        <v>1</v>
      </c>
      <c r="L69" s="50">
        <v>0</v>
      </c>
      <c r="M69" s="50">
        <v>66</v>
      </c>
      <c r="N69" s="50">
        <v>0</v>
      </c>
      <c r="O69" s="15">
        <f t="shared" si="0"/>
        <v>92</v>
      </c>
      <c r="P69" s="15">
        <f t="shared" si="1"/>
        <v>158</v>
      </c>
      <c r="R69" s="8"/>
      <c r="T69"/>
    </row>
    <row r="70" spans="2:20" ht="23.1" customHeight="1" x14ac:dyDescent="0.25">
      <c r="B70" s="45" t="s">
        <v>110</v>
      </c>
      <c r="C70" s="50">
        <v>41</v>
      </c>
      <c r="D70" s="50">
        <v>37</v>
      </c>
      <c r="E70" s="50">
        <v>6</v>
      </c>
      <c r="F70" s="50">
        <v>9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57</v>
      </c>
      <c r="N70" s="50">
        <v>0</v>
      </c>
      <c r="O70" s="15">
        <f t="shared" si="0"/>
        <v>94</v>
      </c>
      <c r="P70" s="15">
        <f t="shared" si="1"/>
        <v>151</v>
      </c>
      <c r="R70" s="8"/>
      <c r="T70"/>
    </row>
    <row r="71" spans="2:20" ht="23.1" customHeight="1" x14ac:dyDescent="0.25">
      <c r="B71" s="45" t="s">
        <v>111</v>
      </c>
      <c r="C71" s="50">
        <v>45</v>
      </c>
      <c r="D71" s="50">
        <v>40</v>
      </c>
      <c r="E71" s="50">
        <v>3</v>
      </c>
      <c r="F71" s="50">
        <v>10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57</v>
      </c>
      <c r="N71" s="50">
        <v>0</v>
      </c>
      <c r="O71" s="15">
        <f t="shared" si="0"/>
        <v>99</v>
      </c>
      <c r="P71" s="15">
        <f t="shared" si="1"/>
        <v>156</v>
      </c>
      <c r="R71" s="8"/>
      <c r="T71"/>
    </row>
    <row r="72" spans="2:20" ht="23.1" customHeight="1" x14ac:dyDescent="0.25">
      <c r="B72" s="45" t="s">
        <v>112</v>
      </c>
      <c r="C72" s="50">
        <v>32</v>
      </c>
      <c r="D72" s="50">
        <v>31</v>
      </c>
      <c r="E72" s="50">
        <v>3</v>
      </c>
      <c r="F72" s="50">
        <v>10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2</v>
      </c>
      <c r="M72" s="50">
        <v>49</v>
      </c>
      <c r="N72" s="50">
        <v>0</v>
      </c>
      <c r="O72" s="15">
        <f t="shared" si="0"/>
        <v>79</v>
      </c>
      <c r="P72" s="15">
        <f t="shared" si="1"/>
        <v>128</v>
      </c>
      <c r="R72" s="8"/>
      <c r="T72"/>
    </row>
    <row r="73" spans="2:20" ht="23.1" customHeight="1" x14ac:dyDescent="0.25">
      <c r="B73" s="45" t="s">
        <v>113</v>
      </c>
      <c r="C73" s="50">
        <v>30</v>
      </c>
      <c r="D73" s="50">
        <v>39</v>
      </c>
      <c r="E73" s="50">
        <v>1</v>
      </c>
      <c r="F73" s="50">
        <v>4</v>
      </c>
      <c r="G73" s="50">
        <v>0</v>
      </c>
      <c r="H73" s="50">
        <v>0</v>
      </c>
      <c r="I73" s="50">
        <v>0</v>
      </c>
      <c r="J73" s="50">
        <v>0</v>
      </c>
      <c r="K73" s="50">
        <v>1</v>
      </c>
      <c r="L73" s="50">
        <v>0</v>
      </c>
      <c r="M73" s="50">
        <v>49</v>
      </c>
      <c r="N73" s="50">
        <v>0</v>
      </c>
      <c r="O73" s="15">
        <f t="shared" si="0"/>
        <v>75</v>
      </c>
      <c r="P73" s="15">
        <f t="shared" si="1"/>
        <v>124</v>
      </c>
      <c r="R73" s="8"/>
      <c r="T73"/>
    </row>
    <row r="74" spans="2:20" ht="23.1" customHeight="1" x14ac:dyDescent="0.25">
      <c r="B74" s="45" t="s">
        <v>114</v>
      </c>
      <c r="C74" s="50">
        <v>25</v>
      </c>
      <c r="D74" s="50">
        <v>21</v>
      </c>
      <c r="E74" s="50">
        <v>5</v>
      </c>
      <c r="F74" s="50">
        <v>3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41</v>
      </c>
      <c r="N74" s="50">
        <v>0</v>
      </c>
      <c r="O74" s="15">
        <f t="shared" ref="O74:O105" si="35">SUM(C74:L74,N74)</f>
        <v>54</v>
      </c>
      <c r="P74" s="15">
        <f t="shared" ref="P74:P105" si="36">SUM(C74:N74)</f>
        <v>95</v>
      </c>
      <c r="R74" s="8"/>
      <c r="T74"/>
    </row>
    <row r="75" spans="2:20" ht="23.1" customHeight="1" x14ac:dyDescent="0.25">
      <c r="B75" s="45" t="s">
        <v>115</v>
      </c>
      <c r="C75" s="50">
        <v>33</v>
      </c>
      <c r="D75" s="50">
        <v>33</v>
      </c>
      <c r="E75" s="50">
        <v>3</v>
      </c>
      <c r="F75" s="50">
        <v>5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1</v>
      </c>
      <c r="M75" s="50">
        <v>40</v>
      </c>
      <c r="N75" s="50">
        <v>0</v>
      </c>
      <c r="O75" s="15">
        <f t="shared" si="35"/>
        <v>75</v>
      </c>
      <c r="P75" s="15">
        <f t="shared" si="36"/>
        <v>115</v>
      </c>
      <c r="R75" s="8"/>
      <c r="T75"/>
    </row>
    <row r="76" spans="2:20" ht="23.1" customHeight="1" x14ac:dyDescent="0.25">
      <c r="B76" s="45" t="s">
        <v>116</v>
      </c>
      <c r="C76" s="50">
        <v>24</v>
      </c>
      <c r="D76" s="50">
        <v>28</v>
      </c>
      <c r="E76" s="50">
        <v>4</v>
      </c>
      <c r="F76" s="50">
        <v>4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42</v>
      </c>
      <c r="N76" s="50">
        <v>0</v>
      </c>
      <c r="O76" s="15">
        <f t="shared" si="35"/>
        <v>60</v>
      </c>
      <c r="P76" s="15">
        <f t="shared" si="36"/>
        <v>102</v>
      </c>
      <c r="R76" s="8"/>
      <c r="T76"/>
    </row>
    <row r="77" spans="2:20" ht="23.1" customHeight="1" x14ac:dyDescent="0.25">
      <c r="B77" s="45" t="s">
        <v>117</v>
      </c>
      <c r="C77" s="50">
        <v>26</v>
      </c>
      <c r="D77" s="50">
        <v>29</v>
      </c>
      <c r="E77" s="50">
        <v>4</v>
      </c>
      <c r="F77" s="50">
        <v>4</v>
      </c>
      <c r="G77" s="50">
        <v>0</v>
      </c>
      <c r="H77" s="50">
        <v>1</v>
      </c>
      <c r="I77" s="50">
        <v>1</v>
      </c>
      <c r="J77" s="50">
        <v>0</v>
      </c>
      <c r="K77" s="50">
        <v>0</v>
      </c>
      <c r="L77" s="50">
        <v>0</v>
      </c>
      <c r="M77" s="50">
        <v>29</v>
      </c>
      <c r="N77" s="50">
        <v>0</v>
      </c>
      <c r="O77" s="15">
        <f t="shared" si="35"/>
        <v>65</v>
      </c>
      <c r="P77" s="15">
        <f t="shared" si="36"/>
        <v>94</v>
      </c>
      <c r="R77" s="8"/>
      <c r="T77"/>
    </row>
    <row r="78" spans="2:20" ht="23.1" customHeight="1" x14ac:dyDescent="0.25">
      <c r="B78" s="46" t="s">
        <v>118</v>
      </c>
      <c r="C78" s="50">
        <v>18</v>
      </c>
      <c r="D78" s="50">
        <v>23</v>
      </c>
      <c r="E78" s="50">
        <v>1</v>
      </c>
      <c r="F78" s="50">
        <v>3</v>
      </c>
      <c r="G78" s="50">
        <v>0</v>
      </c>
      <c r="H78" s="50">
        <v>0</v>
      </c>
      <c r="I78" s="50">
        <v>2</v>
      </c>
      <c r="J78" s="50">
        <v>1</v>
      </c>
      <c r="K78" s="50">
        <v>0</v>
      </c>
      <c r="L78" s="50">
        <v>1</v>
      </c>
      <c r="M78" s="50">
        <v>25</v>
      </c>
      <c r="N78" s="50">
        <v>0</v>
      </c>
      <c r="O78" s="15">
        <f t="shared" si="35"/>
        <v>49</v>
      </c>
      <c r="P78" s="15">
        <f t="shared" si="36"/>
        <v>74</v>
      </c>
      <c r="R78" s="8"/>
      <c r="T78"/>
    </row>
    <row r="79" spans="2:20" ht="23.1" customHeight="1" x14ac:dyDescent="0.25">
      <c r="B79" s="45" t="s">
        <v>119</v>
      </c>
      <c r="C79" s="50">
        <v>18</v>
      </c>
      <c r="D79" s="50">
        <v>21</v>
      </c>
      <c r="E79" s="50">
        <v>1</v>
      </c>
      <c r="F79" s="50">
        <v>2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36</v>
      </c>
      <c r="N79" s="50">
        <v>0</v>
      </c>
      <c r="O79" s="15">
        <f t="shared" si="35"/>
        <v>42</v>
      </c>
      <c r="P79" s="15">
        <f t="shared" si="36"/>
        <v>78</v>
      </c>
      <c r="R79" s="8"/>
      <c r="T79"/>
    </row>
    <row r="80" spans="2:20" ht="23.1" customHeight="1" x14ac:dyDescent="0.25">
      <c r="B80" s="47" t="s">
        <v>120</v>
      </c>
      <c r="C80" s="50">
        <v>7</v>
      </c>
      <c r="D80" s="50">
        <v>10</v>
      </c>
      <c r="E80" s="50">
        <v>0</v>
      </c>
      <c r="F80" s="50">
        <v>0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0</v>
      </c>
      <c r="M80" s="50">
        <v>36</v>
      </c>
      <c r="N80" s="50">
        <v>0</v>
      </c>
      <c r="O80" s="15">
        <f t="shared" si="35"/>
        <v>19</v>
      </c>
      <c r="P80" s="15">
        <f t="shared" si="36"/>
        <v>55</v>
      </c>
      <c r="R80" s="8"/>
      <c r="T80"/>
    </row>
    <row r="81" spans="2:20" ht="23.1" customHeight="1" x14ac:dyDescent="0.25">
      <c r="B81" s="45" t="s">
        <v>121</v>
      </c>
      <c r="C81" s="50">
        <v>11</v>
      </c>
      <c r="D81" s="50">
        <v>20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1</v>
      </c>
      <c r="L81" s="50">
        <v>0</v>
      </c>
      <c r="M81" s="50">
        <v>25</v>
      </c>
      <c r="N81" s="50">
        <v>0</v>
      </c>
      <c r="O81" s="15">
        <f t="shared" si="35"/>
        <v>32</v>
      </c>
      <c r="P81" s="15">
        <f t="shared" si="36"/>
        <v>57</v>
      </c>
      <c r="R81" s="8"/>
      <c r="T81"/>
    </row>
    <row r="82" spans="2:20" ht="23.1" customHeight="1" x14ac:dyDescent="0.25">
      <c r="B82" s="46" t="s">
        <v>122</v>
      </c>
      <c r="C82" s="50">
        <v>7</v>
      </c>
      <c r="D82" s="50">
        <v>7</v>
      </c>
      <c r="E82" s="50">
        <v>1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18</v>
      </c>
      <c r="N82" s="50">
        <v>0</v>
      </c>
      <c r="O82" s="15">
        <f t="shared" si="35"/>
        <v>16</v>
      </c>
      <c r="P82" s="15">
        <f t="shared" si="36"/>
        <v>34</v>
      </c>
      <c r="R82" s="8"/>
      <c r="T82"/>
    </row>
    <row r="83" spans="2:20" ht="23.1" customHeight="1" x14ac:dyDescent="0.25">
      <c r="B83" s="45" t="s">
        <v>123</v>
      </c>
      <c r="C83" s="50">
        <v>12</v>
      </c>
      <c r="D83" s="50">
        <v>9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1</v>
      </c>
      <c r="K83" s="50">
        <v>1</v>
      </c>
      <c r="L83" s="50">
        <v>1</v>
      </c>
      <c r="M83" s="50">
        <v>18</v>
      </c>
      <c r="N83" s="50">
        <v>0</v>
      </c>
      <c r="O83" s="15">
        <f t="shared" si="35"/>
        <v>24</v>
      </c>
      <c r="P83" s="15">
        <f t="shared" si="36"/>
        <v>42</v>
      </c>
      <c r="R83" s="8"/>
      <c r="T83"/>
    </row>
    <row r="84" spans="2:20" ht="23.1" customHeight="1" x14ac:dyDescent="0.25">
      <c r="B84" s="47" t="s">
        <v>124</v>
      </c>
      <c r="C84" s="50">
        <v>7</v>
      </c>
      <c r="D84" s="50">
        <v>7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12</v>
      </c>
      <c r="N84" s="50">
        <v>0</v>
      </c>
      <c r="O84" s="15">
        <f t="shared" si="35"/>
        <v>15</v>
      </c>
      <c r="P84" s="15">
        <f t="shared" si="36"/>
        <v>27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3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2</v>
      </c>
      <c r="L85" s="50">
        <v>0</v>
      </c>
      <c r="M85" s="50">
        <v>9</v>
      </c>
      <c r="N85" s="50">
        <v>0</v>
      </c>
      <c r="O85" s="15">
        <f t="shared" si="35"/>
        <v>7</v>
      </c>
      <c r="P85" s="15">
        <f t="shared" si="36"/>
        <v>16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3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18</v>
      </c>
      <c r="N86" s="50">
        <v>0</v>
      </c>
      <c r="O86" s="15">
        <f t="shared" si="35"/>
        <v>9</v>
      </c>
      <c r="P86" s="15">
        <f t="shared" si="36"/>
        <v>27</v>
      </c>
      <c r="R86" s="8"/>
      <c r="T86"/>
    </row>
    <row r="87" spans="2:20" ht="23.1" customHeight="1" x14ac:dyDescent="0.25">
      <c r="B87" s="45" t="s">
        <v>127</v>
      </c>
      <c r="C87" s="50">
        <v>8</v>
      </c>
      <c r="D87" s="50">
        <v>5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1</v>
      </c>
      <c r="L87" s="50">
        <v>1</v>
      </c>
      <c r="M87" s="50">
        <v>15</v>
      </c>
      <c r="N87" s="50">
        <v>0</v>
      </c>
      <c r="O87" s="15">
        <f t="shared" si="35"/>
        <v>15</v>
      </c>
      <c r="P87" s="15">
        <f t="shared" si="36"/>
        <v>30</v>
      </c>
      <c r="R87" s="8"/>
      <c r="T87"/>
    </row>
    <row r="88" spans="2:20" ht="23.1" customHeight="1" x14ac:dyDescent="0.25">
      <c r="B88" s="47" t="s">
        <v>128</v>
      </c>
      <c r="C88" s="50">
        <v>12</v>
      </c>
      <c r="D88" s="50">
        <v>4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16</v>
      </c>
      <c r="N88" s="50">
        <v>0</v>
      </c>
      <c r="O88" s="15">
        <f t="shared" si="35"/>
        <v>16</v>
      </c>
      <c r="P88" s="15">
        <f t="shared" si="36"/>
        <v>32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3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9</v>
      </c>
      <c r="N89" s="50">
        <v>0</v>
      </c>
      <c r="O89" s="15">
        <f t="shared" si="35"/>
        <v>6</v>
      </c>
      <c r="P89" s="15">
        <f t="shared" si="36"/>
        <v>15</v>
      </c>
      <c r="R89" s="8"/>
      <c r="T89"/>
    </row>
    <row r="90" spans="2:20" ht="23.1" customHeight="1" x14ac:dyDescent="0.25">
      <c r="B90" s="46" t="s">
        <v>130</v>
      </c>
      <c r="C90" s="50">
        <v>9</v>
      </c>
      <c r="D90" s="50">
        <v>5</v>
      </c>
      <c r="E90" s="50">
        <v>2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2</v>
      </c>
      <c r="L90" s="50">
        <v>0</v>
      </c>
      <c r="M90" s="50">
        <v>6</v>
      </c>
      <c r="N90" s="50">
        <v>0</v>
      </c>
      <c r="O90" s="15">
        <f t="shared" si="35"/>
        <v>19</v>
      </c>
      <c r="P90" s="15">
        <f t="shared" si="36"/>
        <v>25</v>
      </c>
      <c r="R90" s="8"/>
      <c r="T90"/>
    </row>
    <row r="91" spans="2:20" ht="23.1" customHeight="1" x14ac:dyDescent="0.25">
      <c r="B91" s="45" t="s">
        <v>131</v>
      </c>
      <c r="C91" s="50">
        <v>10</v>
      </c>
      <c r="D91" s="50">
        <v>5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1</v>
      </c>
      <c r="M91" s="50">
        <v>5</v>
      </c>
      <c r="N91" s="50">
        <v>0</v>
      </c>
      <c r="O91" s="15">
        <f t="shared" si="35"/>
        <v>16</v>
      </c>
      <c r="P91" s="15">
        <f t="shared" si="36"/>
        <v>21</v>
      </c>
      <c r="R91" s="8"/>
      <c r="T91"/>
    </row>
    <row r="92" spans="2:20" ht="23.1" customHeight="1" x14ac:dyDescent="0.25">
      <c r="B92" s="47" t="s">
        <v>132</v>
      </c>
      <c r="C92" s="50">
        <v>7</v>
      </c>
      <c r="D92" s="50">
        <v>14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9</v>
      </c>
      <c r="N92" s="50">
        <v>0</v>
      </c>
      <c r="O92" s="15">
        <f t="shared" si="35"/>
        <v>23</v>
      </c>
      <c r="P92" s="15">
        <f t="shared" si="36"/>
        <v>32</v>
      </c>
      <c r="R92" s="8"/>
      <c r="T92"/>
    </row>
    <row r="93" spans="2:20" ht="23.1" customHeight="1" x14ac:dyDescent="0.25">
      <c r="B93" s="45" t="s">
        <v>133</v>
      </c>
      <c r="C93" s="50">
        <v>7</v>
      </c>
      <c r="D93" s="50">
        <v>6</v>
      </c>
      <c r="E93" s="50">
        <v>1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11</v>
      </c>
      <c r="N93" s="50">
        <v>0</v>
      </c>
      <c r="O93" s="15">
        <f t="shared" si="35"/>
        <v>15</v>
      </c>
      <c r="P93" s="15">
        <f t="shared" si="36"/>
        <v>26</v>
      </c>
      <c r="R93" s="8"/>
      <c r="T93"/>
    </row>
    <row r="94" spans="2:20" ht="23.1" customHeight="1" x14ac:dyDescent="0.25">
      <c r="B94" s="46" t="s">
        <v>134</v>
      </c>
      <c r="C94" s="50">
        <v>5</v>
      </c>
      <c r="D94" s="50">
        <v>15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1</v>
      </c>
      <c r="L94" s="50">
        <v>0</v>
      </c>
      <c r="M94" s="50">
        <v>8</v>
      </c>
      <c r="N94" s="50">
        <v>0</v>
      </c>
      <c r="O94" s="15">
        <f t="shared" si="35"/>
        <v>21</v>
      </c>
      <c r="P94" s="15">
        <f t="shared" si="36"/>
        <v>29</v>
      </c>
      <c r="R94" s="8"/>
      <c r="T94"/>
    </row>
    <row r="95" spans="2:20" ht="23.1" customHeight="1" x14ac:dyDescent="0.25">
      <c r="B95" s="45" t="s">
        <v>135</v>
      </c>
      <c r="C95" s="50">
        <v>3</v>
      </c>
      <c r="D95" s="50">
        <v>3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4</v>
      </c>
      <c r="N95" s="50">
        <v>0</v>
      </c>
      <c r="O95" s="15">
        <f t="shared" si="35"/>
        <v>6</v>
      </c>
      <c r="P95" s="15">
        <f t="shared" si="36"/>
        <v>10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2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7</v>
      </c>
      <c r="N96" s="50">
        <v>0</v>
      </c>
      <c r="O96" s="15">
        <f t="shared" si="35"/>
        <v>2</v>
      </c>
      <c r="P96" s="15">
        <f t="shared" si="36"/>
        <v>9</v>
      </c>
      <c r="R96" s="8"/>
      <c r="T96"/>
    </row>
    <row r="97" spans="2:20" ht="23.1" customHeight="1" x14ac:dyDescent="0.25">
      <c r="B97" s="45" t="s">
        <v>137</v>
      </c>
      <c r="C97" s="50">
        <v>5</v>
      </c>
      <c r="D97" s="50">
        <v>2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14</v>
      </c>
      <c r="N97" s="50">
        <v>0</v>
      </c>
      <c r="O97" s="15">
        <f t="shared" si="35"/>
        <v>7</v>
      </c>
      <c r="P97" s="15">
        <f t="shared" si="36"/>
        <v>21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1</v>
      </c>
      <c r="E98" s="50">
        <v>1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11</v>
      </c>
      <c r="N98" s="50">
        <v>0</v>
      </c>
      <c r="O98" s="15">
        <f t="shared" si="35"/>
        <v>4</v>
      </c>
      <c r="P98" s="15">
        <f t="shared" si="36"/>
        <v>15</v>
      </c>
      <c r="R98" s="8"/>
      <c r="T98"/>
    </row>
    <row r="99" spans="2:20" ht="23.1" customHeight="1" x14ac:dyDescent="0.25">
      <c r="B99" s="45" t="s">
        <v>139</v>
      </c>
      <c r="C99" s="50">
        <v>6</v>
      </c>
      <c r="D99" s="50">
        <v>4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13</v>
      </c>
      <c r="N99" s="50">
        <v>0</v>
      </c>
      <c r="O99" s="15">
        <f t="shared" si="35"/>
        <v>11</v>
      </c>
      <c r="P99" s="15">
        <f t="shared" si="36"/>
        <v>24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1</v>
      </c>
      <c r="E100" s="50">
        <v>1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17</v>
      </c>
      <c r="N100" s="50">
        <v>0</v>
      </c>
      <c r="O100" s="15">
        <f t="shared" si="35"/>
        <v>4</v>
      </c>
      <c r="P100" s="15">
        <f t="shared" si="36"/>
        <v>21</v>
      </c>
      <c r="R100" s="8"/>
      <c r="T100"/>
    </row>
    <row r="101" spans="2:20" ht="23.1" customHeight="1" x14ac:dyDescent="0.25">
      <c r="B101" s="45" t="s">
        <v>141</v>
      </c>
      <c r="C101" s="50">
        <v>7</v>
      </c>
      <c r="D101" s="50">
        <v>3</v>
      </c>
      <c r="E101" s="50">
        <v>2</v>
      </c>
      <c r="F101" s="50">
        <v>2</v>
      </c>
      <c r="G101" s="50">
        <v>0</v>
      </c>
      <c r="H101" s="50">
        <v>0</v>
      </c>
      <c r="I101" s="50">
        <v>1</v>
      </c>
      <c r="J101" s="50">
        <v>1</v>
      </c>
      <c r="K101" s="50">
        <v>0</v>
      </c>
      <c r="L101" s="50">
        <v>0</v>
      </c>
      <c r="M101" s="50">
        <v>14</v>
      </c>
      <c r="N101" s="50">
        <v>0</v>
      </c>
      <c r="O101" s="15">
        <f t="shared" si="35"/>
        <v>16</v>
      </c>
      <c r="P101" s="15">
        <f t="shared" si="36"/>
        <v>30</v>
      </c>
      <c r="R101" s="8"/>
      <c r="T101"/>
    </row>
    <row r="102" spans="2:20" ht="23.1" customHeight="1" x14ac:dyDescent="0.25">
      <c r="B102" s="46" t="s">
        <v>142</v>
      </c>
      <c r="C102" s="50">
        <v>10</v>
      </c>
      <c r="D102" s="50">
        <v>1</v>
      </c>
      <c r="E102" s="50">
        <v>0</v>
      </c>
      <c r="F102" s="50">
        <v>3</v>
      </c>
      <c r="G102" s="50">
        <v>2</v>
      </c>
      <c r="H102" s="50">
        <v>0</v>
      </c>
      <c r="I102" s="50">
        <v>0</v>
      </c>
      <c r="J102" s="50">
        <v>1</v>
      </c>
      <c r="K102" s="50">
        <v>2</v>
      </c>
      <c r="L102" s="50">
        <v>0</v>
      </c>
      <c r="M102" s="50">
        <v>16</v>
      </c>
      <c r="N102" s="50">
        <v>0</v>
      </c>
      <c r="O102" s="15">
        <f t="shared" si="35"/>
        <v>19</v>
      </c>
      <c r="P102" s="15">
        <f t="shared" si="36"/>
        <v>35</v>
      </c>
      <c r="R102" s="8"/>
      <c r="T102"/>
    </row>
    <row r="103" spans="2:20" ht="23.1" customHeight="1" x14ac:dyDescent="0.25">
      <c r="B103" s="45" t="s">
        <v>143</v>
      </c>
      <c r="C103" s="50">
        <v>5</v>
      </c>
      <c r="D103" s="50">
        <v>1</v>
      </c>
      <c r="E103" s="50">
        <v>2</v>
      </c>
      <c r="F103" s="50">
        <v>4</v>
      </c>
      <c r="G103" s="50">
        <v>5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16</v>
      </c>
      <c r="N103" s="50">
        <v>0</v>
      </c>
      <c r="O103" s="15">
        <f t="shared" si="35"/>
        <v>17</v>
      </c>
      <c r="P103" s="15">
        <f t="shared" si="36"/>
        <v>33</v>
      </c>
      <c r="R103" s="8"/>
      <c r="T103"/>
    </row>
    <row r="104" spans="2:20" ht="23.1" customHeight="1" x14ac:dyDescent="0.25">
      <c r="B104" s="47" t="s">
        <v>144</v>
      </c>
      <c r="C104" s="50">
        <v>7</v>
      </c>
      <c r="D104" s="50">
        <v>3</v>
      </c>
      <c r="E104" s="50">
        <v>1</v>
      </c>
      <c r="F104" s="50">
        <v>3</v>
      </c>
      <c r="G104" s="50">
        <v>0</v>
      </c>
      <c r="H104" s="50">
        <v>0</v>
      </c>
      <c r="I104" s="50">
        <v>0</v>
      </c>
      <c r="J104" s="50">
        <v>0</v>
      </c>
      <c r="K104" s="50">
        <v>1</v>
      </c>
      <c r="L104" s="50">
        <v>0</v>
      </c>
      <c r="M104" s="50">
        <v>24</v>
      </c>
      <c r="N104" s="50">
        <v>0</v>
      </c>
      <c r="O104" s="15">
        <f t="shared" si="35"/>
        <v>15</v>
      </c>
      <c r="P104" s="15">
        <f t="shared" si="36"/>
        <v>39</v>
      </c>
      <c r="R104" s="8"/>
      <c r="T104"/>
    </row>
    <row r="105" spans="2:20" ht="23.1" customHeight="1" x14ac:dyDescent="0.25">
      <c r="B105" s="45" t="s">
        <v>145</v>
      </c>
      <c r="C105" s="50">
        <v>6</v>
      </c>
      <c r="D105" s="50">
        <v>3</v>
      </c>
      <c r="E105" s="50">
        <v>2</v>
      </c>
      <c r="F105" s="50">
        <v>8</v>
      </c>
      <c r="G105" s="50">
        <v>0</v>
      </c>
      <c r="H105" s="50">
        <v>0</v>
      </c>
      <c r="I105" s="50">
        <v>0</v>
      </c>
      <c r="J105" s="50">
        <v>1</v>
      </c>
      <c r="K105" s="50">
        <v>4</v>
      </c>
      <c r="L105" s="50">
        <v>0</v>
      </c>
      <c r="M105" s="50">
        <v>28</v>
      </c>
      <c r="N105" s="50">
        <v>0</v>
      </c>
      <c r="O105" s="15">
        <f t="shared" si="35"/>
        <v>24</v>
      </c>
      <c r="P105" s="15">
        <f t="shared" si="36"/>
        <v>52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1990</v>
      </c>
      <c r="D106" s="16">
        <f t="shared" ref="D106:P106" si="37">SUM(D10:D105)</f>
        <v>1349</v>
      </c>
      <c r="E106" s="16">
        <f t="shared" si="37"/>
        <v>354</v>
      </c>
      <c r="F106" s="16">
        <f t="shared" si="37"/>
        <v>828</v>
      </c>
      <c r="G106" s="16">
        <f t="shared" si="37"/>
        <v>13</v>
      </c>
      <c r="H106" s="16">
        <f t="shared" si="37"/>
        <v>5</v>
      </c>
      <c r="I106" s="16">
        <f t="shared" si="37"/>
        <v>143</v>
      </c>
      <c r="J106" s="16">
        <f t="shared" si="37"/>
        <v>103</v>
      </c>
      <c r="K106" s="16">
        <f t="shared" si="37"/>
        <v>69</v>
      </c>
      <c r="L106" s="16">
        <f t="shared" si="37"/>
        <v>156</v>
      </c>
      <c r="M106" s="16">
        <f t="shared" si="37"/>
        <v>7288</v>
      </c>
      <c r="N106" s="16">
        <f t="shared" si="37"/>
        <v>0</v>
      </c>
      <c r="O106" s="16">
        <f t="shared" si="37"/>
        <v>5010</v>
      </c>
      <c r="P106" s="16">
        <f t="shared" si="37"/>
        <v>12298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0.16181492925678972</v>
      </c>
      <c r="D107" s="43">
        <f t="shared" si="38"/>
        <v>0.1096926329484469</v>
      </c>
      <c r="E107" s="43">
        <f t="shared" si="38"/>
        <v>2.878516832005204E-2</v>
      </c>
      <c r="F107" s="43">
        <f t="shared" si="38"/>
        <v>6.7328020816392914E-2</v>
      </c>
      <c r="G107" s="43">
        <f t="shared" si="38"/>
        <v>1.0570824524312897E-3</v>
      </c>
      <c r="H107" s="43">
        <f t="shared" si="38"/>
        <v>4.0657017401203447E-4</v>
      </c>
      <c r="I107" s="43">
        <f t="shared" si="38"/>
        <v>1.1627906976744186E-2</v>
      </c>
      <c r="J107" s="43">
        <f t="shared" si="38"/>
        <v>8.375345584647911E-3</v>
      </c>
      <c r="K107" s="43">
        <f t="shared" si="38"/>
        <v>5.6106684013660759E-3</v>
      </c>
      <c r="L107" s="43">
        <f t="shared" si="38"/>
        <v>1.2684989429175475E-2</v>
      </c>
      <c r="M107" s="43">
        <f t="shared" si="38"/>
        <v>0.59261668563994141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0.39720558882235529</v>
      </c>
      <c r="D108" s="44">
        <f t="shared" ref="D108:N108" si="39">D106/$O$106</f>
        <v>0.26926147704590819</v>
      </c>
      <c r="E108" s="44">
        <f t="shared" si="39"/>
        <v>7.0658682634730532E-2</v>
      </c>
      <c r="F108" s="44">
        <f t="shared" si="39"/>
        <v>0.16526946107784432</v>
      </c>
      <c r="G108" s="44">
        <f t="shared" si="39"/>
        <v>2.594810379241517E-3</v>
      </c>
      <c r="H108" s="44">
        <f t="shared" si="39"/>
        <v>9.9800399201596798E-4</v>
      </c>
      <c r="I108" s="44">
        <f t="shared" si="39"/>
        <v>2.8542914171656688E-2</v>
      </c>
      <c r="J108" s="44">
        <f t="shared" si="39"/>
        <v>2.0558882235528941E-2</v>
      </c>
      <c r="K108" s="44">
        <f t="shared" si="39"/>
        <v>1.3772455089820359E-2</v>
      </c>
      <c r="L108" s="44">
        <f t="shared" si="39"/>
        <v>3.1137724550898204E-2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NTINDA-SPEAR MOTORS'!C3:G3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187</v>
      </c>
      <c r="E5" s="3"/>
      <c r="F5" s="41" t="s">
        <v>1</v>
      </c>
      <c r="G5" s="61" t="str">
        <f>'03.08 SPEARMOTORS-NTINDA-24h'!G5:H5</f>
        <v>NAGURU BARRACKS</v>
      </c>
      <c r="H5" s="62"/>
      <c r="I5" s="14"/>
      <c r="J5" s="2" t="s">
        <v>5</v>
      </c>
      <c r="K5" s="61" t="s">
        <v>186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'29.07 NTINDA-SPEAR MOTORS'!D6:E6</f>
        <v>NTINDA</v>
      </c>
      <c r="E6" s="62"/>
      <c r="F6" s="2" t="s">
        <v>2</v>
      </c>
      <c r="G6" s="61" t="str">
        <f>'29.07 NTINDA-SPEAR MOTORS'!G6:H6</f>
        <v>SPEAR MOTORS</v>
      </c>
      <c r="H6" s="62"/>
      <c r="J6" s="2" t="s">
        <v>21</v>
      </c>
      <c r="K6" s="61" t="str">
        <f>'03.08 SPEARMOTORS-NTINDA-24h'!K6:L6</f>
        <v>NUSULAH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8</v>
      </c>
      <c r="E10" s="50">
        <v>1</v>
      </c>
      <c r="F10" s="50">
        <v>5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15</v>
      </c>
      <c r="N10" s="50">
        <v>0</v>
      </c>
      <c r="O10" s="15">
        <f t="shared" ref="O10:O57" si="0">SUM(C10:L10,N10)</f>
        <v>25</v>
      </c>
      <c r="P10" s="15">
        <f t="shared" ref="P10:P57" si="1">SUM(C10:N10)</f>
        <v>40</v>
      </c>
      <c r="R10" s="1" t="s">
        <v>6</v>
      </c>
      <c r="S10" s="17">
        <f t="shared" ref="S10:AF10" si="2">SUM(C10:C13)</f>
        <v>43</v>
      </c>
      <c r="T10" s="17">
        <f t="shared" si="2"/>
        <v>26</v>
      </c>
      <c r="U10" s="17">
        <f t="shared" si="2"/>
        <v>12</v>
      </c>
      <c r="V10" s="17">
        <f t="shared" si="2"/>
        <v>25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3</v>
      </c>
      <c r="AA10" s="17">
        <f t="shared" si="2"/>
        <v>0</v>
      </c>
      <c r="AB10" s="17">
        <f t="shared" si="2"/>
        <v>2</v>
      </c>
      <c r="AC10" s="17">
        <f t="shared" si="2"/>
        <v>120</v>
      </c>
      <c r="AD10" s="17">
        <f t="shared" si="2"/>
        <v>0</v>
      </c>
      <c r="AE10" s="31">
        <f t="shared" si="2"/>
        <v>113</v>
      </c>
      <c r="AF10" s="31">
        <f t="shared" si="2"/>
        <v>233</v>
      </c>
    </row>
    <row r="11" spans="2:32" s="6" customFormat="1" ht="23.1" customHeight="1" x14ac:dyDescent="0.25">
      <c r="B11" s="23" t="s">
        <v>38</v>
      </c>
      <c r="C11" s="50">
        <v>5</v>
      </c>
      <c r="D11" s="50">
        <v>8</v>
      </c>
      <c r="E11" s="50">
        <v>3</v>
      </c>
      <c r="F11" s="50">
        <v>6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35</v>
      </c>
      <c r="N11" s="50">
        <v>0</v>
      </c>
      <c r="O11" s="15">
        <f t="shared" si="0"/>
        <v>23</v>
      </c>
      <c r="P11" s="15">
        <f t="shared" si="1"/>
        <v>58</v>
      </c>
      <c r="R11" s="1" t="s">
        <v>7</v>
      </c>
      <c r="S11" s="17">
        <f t="shared" ref="S11:AF11" si="3">SUM(C14:C17)</f>
        <v>59</v>
      </c>
      <c r="T11" s="17">
        <f t="shared" si="3"/>
        <v>31</v>
      </c>
      <c r="U11" s="17">
        <f t="shared" si="3"/>
        <v>18</v>
      </c>
      <c r="V11" s="17">
        <f t="shared" si="3"/>
        <v>28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3</v>
      </c>
      <c r="AA11" s="17">
        <f t="shared" si="3"/>
        <v>0</v>
      </c>
      <c r="AB11" s="17">
        <f t="shared" si="3"/>
        <v>2</v>
      </c>
      <c r="AC11" s="17">
        <f t="shared" si="3"/>
        <v>209</v>
      </c>
      <c r="AD11" s="17">
        <f t="shared" si="3"/>
        <v>0</v>
      </c>
      <c r="AE11" s="31">
        <f t="shared" si="3"/>
        <v>146</v>
      </c>
      <c r="AF11" s="31">
        <f t="shared" si="3"/>
        <v>355</v>
      </c>
    </row>
    <row r="12" spans="2:32" ht="23.1" customHeight="1" x14ac:dyDescent="0.25">
      <c r="B12" s="23" t="s">
        <v>39</v>
      </c>
      <c r="C12" s="50">
        <v>10</v>
      </c>
      <c r="D12" s="50">
        <v>4</v>
      </c>
      <c r="E12" s="50">
        <v>2</v>
      </c>
      <c r="F12" s="50">
        <v>7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32</v>
      </c>
      <c r="N12" s="50">
        <v>0</v>
      </c>
      <c r="O12" s="15">
        <f t="shared" si="0"/>
        <v>25</v>
      </c>
      <c r="P12" s="15">
        <f t="shared" si="1"/>
        <v>57</v>
      </c>
      <c r="R12" s="1" t="s">
        <v>8</v>
      </c>
      <c r="S12" s="17">
        <f t="shared" ref="S12:AF12" si="4">SUM(C18:C21)</f>
        <v>66</v>
      </c>
      <c r="T12" s="17">
        <f t="shared" si="4"/>
        <v>40</v>
      </c>
      <c r="U12" s="17">
        <f t="shared" si="4"/>
        <v>10</v>
      </c>
      <c r="V12" s="17">
        <f t="shared" si="4"/>
        <v>30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4</v>
      </c>
      <c r="AA12" s="17">
        <f t="shared" si="4"/>
        <v>1</v>
      </c>
      <c r="AB12" s="17">
        <f t="shared" si="4"/>
        <v>1</v>
      </c>
      <c r="AC12" s="17">
        <f t="shared" si="4"/>
        <v>239</v>
      </c>
      <c r="AD12" s="17">
        <f t="shared" si="4"/>
        <v>0</v>
      </c>
      <c r="AE12" s="31">
        <f t="shared" si="4"/>
        <v>156</v>
      </c>
      <c r="AF12" s="31">
        <f t="shared" si="4"/>
        <v>395</v>
      </c>
    </row>
    <row r="13" spans="2:32" ht="23.1" customHeight="1" x14ac:dyDescent="0.25">
      <c r="B13" s="23" t="s">
        <v>40</v>
      </c>
      <c r="C13" s="50">
        <v>18</v>
      </c>
      <c r="D13" s="50">
        <v>6</v>
      </c>
      <c r="E13" s="50">
        <v>6</v>
      </c>
      <c r="F13" s="50">
        <v>7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1</v>
      </c>
      <c r="M13" s="50">
        <v>38</v>
      </c>
      <c r="N13" s="50">
        <v>0</v>
      </c>
      <c r="O13" s="15">
        <f t="shared" si="0"/>
        <v>40</v>
      </c>
      <c r="P13" s="15">
        <f t="shared" si="1"/>
        <v>78</v>
      </c>
      <c r="R13" s="1" t="s">
        <v>9</v>
      </c>
      <c r="S13" s="17">
        <f t="shared" ref="S13:AF13" si="5">SUM(C22:C25)</f>
        <v>92</v>
      </c>
      <c r="T13" s="17">
        <f t="shared" si="5"/>
        <v>45</v>
      </c>
      <c r="U13" s="17">
        <f t="shared" si="5"/>
        <v>13</v>
      </c>
      <c r="V13" s="17">
        <f t="shared" si="5"/>
        <v>27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3</v>
      </c>
      <c r="AA13" s="17">
        <f t="shared" si="5"/>
        <v>1</v>
      </c>
      <c r="AB13" s="17">
        <f t="shared" si="5"/>
        <v>3</v>
      </c>
      <c r="AC13" s="17">
        <f t="shared" si="5"/>
        <v>251</v>
      </c>
      <c r="AD13" s="17">
        <f t="shared" si="5"/>
        <v>0</v>
      </c>
      <c r="AE13" s="31">
        <f t="shared" si="5"/>
        <v>184</v>
      </c>
      <c r="AF13" s="31">
        <f t="shared" si="5"/>
        <v>435</v>
      </c>
    </row>
    <row r="14" spans="2:32" ht="23.1" customHeight="1" x14ac:dyDescent="0.25">
      <c r="B14" s="23" t="s">
        <v>41</v>
      </c>
      <c r="C14" s="50">
        <v>14</v>
      </c>
      <c r="D14" s="50">
        <v>7</v>
      </c>
      <c r="E14" s="50">
        <v>4</v>
      </c>
      <c r="F14" s="50">
        <v>7</v>
      </c>
      <c r="G14" s="50">
        <v>0</v>
      </c>
      <c r="H14" s="50">
        <v>0</v>
      </c>
      <c r="I14" s="50">
        <v>2</v>
      </c>
      <c r="J14" s="50">
        <v>1</v>
      </c>
      <c r="K14" s="50">
        <v>0</v>
      </c>
      <c r="L14" s="50">
        <v>1</v>
      </c>
      <c r="M14" s="50">
        <v>43</v>
      </c>
      <c r="N14" s="50">
        <v>0</v>
      </c>
      <c r="O14" s="15">
        <f t="shared" si="0"/>
        <v>36</v>
      </c>
      <c r="P14" s="15">
        <f t="shared" si="1"/>
        <v>79</v>
      </c>
      <c r="R14" s="1" t="s">
        <v>10</v>
      </c>
      <c r="S14" s="17">
        <f t="shared" ref="S14:AF14" si="6">SUM(C26:C29)</f>
        <v>85</v>
      </c>
      <c r="T14" s="17">
        <f t="shared" si="6"/>
        <v>80</v>
      </c>
      <c r="U14" s="17">
        <f t="shared" si="6"/>
        <v>13</v>
      </c>
      <c r="V14" s="17">
        <f t="shared" si="6"/>
        <v>40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1</v>
      </c>
      <c r="AA14" s="17">
        <f t="shared" si="6"/>
        <v>4</v>
      </c>
      <c r="AB14" s="17">
        <f t="shared" si="6"/>
        <v>0</v>
      </c>
      <c r="AC14" s="17">
        <f t="shared" si="6"/>
        <v>264</v>
      </c>
      <c r="AD14" s="17">
        <f t="shared" si="6"/>
        <v>0</v>
      </c>
      <c r="AE14" s="31">
        <f t="shared" si="6"/>
        <v>227</v>
      </c>
      <c r="AF14" s="31">
        <f t="shared" si="6"/>
        <v>491</v>
      </c>
    </row>
    <row r="15" spans="2:32" ht="23.1" customHeight="1" x14ac:dyDescent="0.25">
      <c r="B15" s="23" t="s">
        <v>42</v>
      </c>
      <c r="C15" s="50">
        <v>11</v>
      </c>
      <c r="D15" s="50">
        <v>4</v>
      </c>
      <c r="E15" s="50">
        <v>4</v>
      </c>
      <c r="F15" s="50">
        <v>9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45</v>
      </c>
      <c r="N15" s="50">
        <v>0</v>
      </c>
      <c r="O15" s="15">
        <f t="shared" si="0"/>
        <v>29</v>
      </c>
      <c r="P15" s="15">
        <f t="shared" si="1"/>
        <v>74</v>
      </c>
      <c r="R15" s="1" t="s">
        <v>11</v>
      </c>
      <c r="S15" s="17">
        <f t="shared" ref="S15:AF15" si="7">SUM(C30:C33)</f>
        <v>72</v>
      </c>
      <c r="T15" s="17">
        <f t="shared" si="7"/>
        <v>43</v>
      </c>
      <c r="U15" s="17">
        <f t="shared" si="7"/>
        <v>21</v>
      </c>
      <c r="V15" s="17">
        <f t="shared" si="7"/>
        <v>23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1</v>
      </c>
      <c r="AA15" s="17">
        <f t="shared" si="7"/>
        <v>0</v>
      </c>
      <c r="AB15" s="17">
        <f t="shared" si="7"/>
        <v>3</v>
      </c>
      <c r="AC15" s="17">
        <f t="shared" si="7"/>
        <v>194</v>
      </c>
      <c r="AD15" s="17">
        <f t="shared" si="7"/>
        <v>0</v>
      </c>
      <c r="AE15" s="31">
        <f t="shared" si="7"/>
        <v>167</v>
      </c>
      <c r="AF15" s="31">
        <f t="shared" si="7"/>
        <v>361</v>
      </c>
    </row>
    <row r="16" spans="2:32" ht="23.1" customHeight="1" x14ac:dyDescent="0.25">
      <c r="B16" s="23" t="s">
        <v>43</v>
      </c>
      <c r="C16" s="50">
        <v>16</v>
      </c>
      <c r="D16" s="50">
        <v>11</v>
      </c>
      <c r="E16" s="50">
        <v>8</v>
      </c>
      <c r="F16" s="50">
        <v>6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1</v>
      </c>
      <c r="M16" s="50">
        <v>66</v>
      </c>
      <c r="N16" s="50">
        <v>0</v>
      </c>
      <c r="O16" s="15">
        <f t="shared" si="0"/>
        <v>45</v>
      </c>
      <c r="P16" s="15">
        <f t="shared" si="1"/>
        <v>111</v>
      </c>
      <c r="R16" s="1" t="s">
        <v>12</v>
      </c>
      <c r="S16" s="17">
        <f t="shared" ref="S16:AF16" si="8">SUM(C34:C37)</f>
        <v>109</v>
      </c>
      <c r="T16" s="17">
        <f t="shared" si="8"/>
        <v>55</v>
      </c>
      <c r="U16" s="17">
        <f t="shared" si="8"/>
        <v>15</v>
      </c>
      <c r="V16" s="17">
        <f t="shared" si="8"/>
        <v>24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1</v>
      </c>
      <c r="AA16" s="17">
        <f t="shared" si="8"/>
        <v>1</v>
      </c>
      <c r="AB16" s="17">
        <f t="shared" si="8"/>
        <v>3</v>
      </c>
      <c r="AC16" s="17">
        <f t="shared" si="8"/>
        <v>146</v>
      </c>
      <c r="AD16" s="17">
        <f t="shared" si="8"/>
        <v>0</v>
      </c>
      <c r="AE16" s="31">
        <f t="shared" si="8"/>
        <v>211</v>
      </c>
      <c r="AF16" s="31">
        <f t="shared" si="8"/>
        <v>357</v>
      </c>
    </row>
    <row r="17" spans="2:32" ht="23.1" customHeight="1" x14ac:dyDescent="0.25">
      <c r="B17" s="23" t="s">
        <v>44</v>
      </c>
      <c r="C17" s="50">
        <v>18</v>
      </c>
      <c r="D17" s="50">
        <v>9</v>
      </c>
      <c r="E17" s="50">
        <v>2</v>
      </c>
      <c r="F17" s="50">
        <v>6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55</v>
      </c>
      <c r="N17" s="50">
        <v>0</v>
      </c>
      <c r="O17" s="15">
        <f t="shared" si="0"/>
        <v>36</v>
      </c>
      <c r="P17" s="15">
        <f t="shared" si="1"/>
        <v>91</v>
      </c>
      <c r="R17" s="1" t="s">
        <v>13</v>
      </c>
      <c r="S17" s="17">
        <f t="shared" ref="S17:AF17" si="9">SUM(C38:C41)</f>
        <v>108</v>
      </c>
      <c r="T17" s="17">
        <f t="shared" si="9"/>
        <v>63</v>
      </c>
      <c r="U17" s="17">
        <f t="shared" si="9"/>
        <v>17</v>
      </c>
      <c r="V17" s="17">
        <f t="shared" si="9"/>
        <v>22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2</v>
      </c>
      <c r="AA17" s="17">
        <f t="shared" si="9"/>
        <v>3</v>
      </c>
      <c r="AB17" s="17">
        <f t="shared" si="9"/>
        <v>2</v>
      </c>
      <c r="AC17" s="17">
        <f t="shared" si="9"/>
        <v>297</v>
      </c>
      <c r="AD17" s="17">
        <f t="shared" si="9"/>
        <v>0</v>
      </c>
      <c r="AE17" s="31">
        <f t="shared" si="9"/>
        <v>219</v>
      </c>
      <c r="AF17" s="31">
        <f t="shared" si="9"/>
        <v>516</v>
      </c>
    </row>
    <row r="18" spans="2:32" ht="23.1" customHeight="1" x14ac:dyDescent="0.25">
      <c r="B18" s="23" t="s">
        <v>45</v>
      </c>
      <c r="C18" s="50">
        <v>15</v>
      </c>
      <c r="D18" s="50">
        <v>6</v>
      </c>
      <c r="E18" s="50">
        <v>3</v>
      </c>
      <c r="F18" s="50">
        <v>7</v>
      </c>
      <c r="G18" s="50">
        <v>0</v>
      </c>
      <c r="H18" s="50">
        <v>0</v>
      </c>
      <c r="I18" s="50">
        <v>0</v>
      </c>
      <c r="J18" s="50">
        <v>3</v>
      </c>
      <c r="K18" s="50">
        <v>0</v>
      </c>
      <c r="L18" s="50">
        <v>0</v>
      </c>
      <c r="M18" s="50">
        <v>58</v>
      </c>
      <c r="N18" s="50">
        <v>0</v>
      </c>
      <c r="O18" s="15">
        <f t="shared" si="0"/>
        <v>34</v>
      </c>
      <c r="P18" s="15">
        <f t="shared" si="1"/>
        <v>92</v>
      </c>
      <c r="R18" s="1" t="s">
        <v>14</v>
      </c>
      <c r="S18" s="17">
        <f t="shared" ref="S18:AF18" si="10">SUM(C42:C45)</f>
        <v>105</v>
      </c>
      <c r="T18" s="17">
        <f t="shared" si="10"/>
        <v>72</v>
      </c>
      <c r="U18" s="17">
        <f t="shared" si="10"/>
        <v>20</v>
      </c>
      <c r="V18" s="17">
        <f t="shared" si="10"/>
        <v>19</v>
      </c>
      <c r="W18" s="17">
        <f t="shared" si="10"/>
        <v>1</v>
      </c>
      <c r="X18" s="17">
        <f t="shared" si="10"/>
        <v>0</v>
      </c>
      <c r="Y18" s="17">
        <f t="shared" si="10"/>
        <v>3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234</v>
      </c>
      <c r="AD18" s="17">
        <f t="shared" si="10"/>
        <v>0</v>
      </c>
      <c r="AE18" s="31">
        <f t="shared" si="10"/>
        <v>225</v>
      </c>
      <c r="AF18" s="31">
        <f t="shared" si="10"/>
        <v>459</v>
      </c>
    </row>
    <row r="19" spans="2:32" ht="23.1" customHeight="1" x14ac:dyDescent="0.25">
      <c r="B19" s="23" t="s">
        <v>46</v>
      </c>
      <c r="C19" s="50">
        <v>19</v>
      </c>
      <c r="D19" s="50">
        <v>12</v>
      </c>
      <c r="E19" s="50">
        <v>1</v>
      </c>
      <c r="F19" s="50">
        <v>6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1</v>
      </c>
      <c r="M19" s="50">
        <v>61</v>
      </c>
      <c r="N19" s="50">
        <v>0</v>
      </c>
      <c r="O19" s="15">
        <f t="shared" si="0"/>
        <v>40</v>
      </c>
      <c r="P19" s="15">
        <f t="shared" si="1"/>
        <v>101</v>
      </c>
      <c r="R19" s="1" t="s">
        <v>15</v>
      </c>
      <c r="S19" s="17">
        <f t="shared" ref="S19:AF19" si="11">SUM(C46:C49)</f>
        <v>111</v>
      </c>
      <c r="T19" s="17">
        <f t="shared" si="11"/>
        <v>74</v>
      </c>
      <c r="U19" s="17">
        <f t="shared" si="11"/>
        <v>17</v>
      </c>
      <c r="V19" s="17">
        <f t="shared" si="11"/>
        <v>28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1</v>
      </c>
      <c r="AB19" s="17">
        <f t="shared" si="11"/>
        <v>2</v>
      </c>
      <c r="AC19" s="17">
        <f t="shared" si="11"/>
        <v>248</v>
      </c>
      <c r="AD19" s="17">
        <f t="shared" si="11"/>
        <v>0</v>
      </c>
      <c r="AE19" s="31">
        <f t="shared" si="11"/>
        <v>236</v>
      </c>
      <c r="AF19" s="31">
        <f t="shared" si="11"/>
        <v>484</v>
      </c>
    </row>
    <row r="20" spans="2:32" ht="23.1" customHeight="1" x14ac:dyDescent="0.25">
      <c r="B20" s="23" t="s">
        <v>47</v>
      </c>
      <c r="C20" s="50">
        <v>15</v>
      </c>
      <c r="D20" s="50">
        <v>8</v>
      </c>
      <c r="E20" s="50">
        <v>4</v>
      </c>
      <c r="F20" s="50">
        <v>7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70</v>
      </c>
      <c r="N20" s="50">
        <v>0</v>
      </c>
      <c r="O20" s="15">
        <f t="shared" si="0"/>
        <v>34</v>
      </c>
      <c r="P20" s="15">
        <f t="shared" si="1"/>
        <v>104</v>
      </c>
      <c r="R20" s="1" t="s">
        <v>16</v>
      </c>
      <c r="S20" s="17">
        <f t="shared" ref="S20:AF20" si="12">SUM(C50:C53)</f>
        <v>97</v>
      </c>
      <c r="T20" s="17">
        <f t="shared" si="12"/>
        <v>69</v>
      </c>
      <c r="U20" s="17">
        <f t="shared" si="12"/>
        <v>16</v>
      </c>
      <c r="V20" s="17">
        <f t="shared" si="12"/>
        <v>19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259</v>
      </c>
      <c r="AD20" s="17">
        <f t="shared" si="12"/>
        <v>0</v>
      </c>
      <c r="AE20" s="31">
        <f t="shared" si="12"/>
        <v>204</v>
      </c>
      <c r="AF20" s="31">
        <f t="shared" si="12"/>
        <v>463</v>
      </c>
    </row>
    <row r="21" spans="2:32" ht="23.1" customHeight="1" x14ac:dyDescent="0.25">
      <c r="B21" s="23" t="s">
        <v>48</v>
      </c>
      <c r="C21" s="50">
        <v>17</v>
      </c>
      <c r="D21" s="50">
        <v>14</v>
      </c>
      <c r="E21" s="50">
        <v>2</v>
      </c>
      <c r="F21" s="50">
        <v>10</v>
      </c>
      <c r="G21" s="50">
        <v>1</v>
      </c>
      <c r="H21" s="50">
        <v>0</v>
      </c>
      <c r="I21" s="50">
        <v>3</v>
      </c>
      <c r="J21" s="50">
        <v>0</v>
      </c>
      <c r="K21" s="50">
        <v>1</v>
      </c>
      <c r="L21" s="50">
        <v>0</v>
      </c>
      <c r="M21" s="50">
        <v>50</v>
      </c>
      <c r="N21" s="50">
        <v>0</v>
      </c>
      <c r="O21" s="15">
        <f t="shared" si="0"/>
        <v>48</v>
      </c>
      <c r="P21" s="15">
        <f t="shared" si="1"/>
        <v>98</v>
      </c>
      <c r="R21" s="36" t="s">
        <v>20</v>
      </c>
      <c r="S21" s="34">
        <f t="shared" ref="S21:AF21" si="13">SUM(C54:C57)</f>
        <v>111</v>
      </c>
      <c r="T21" s="17">
        <f t="shared" si="13"/>
        <v>63</v>
      </c>
      <c r="U21" s="17">
        <f t="shared" si="13"/>
        <v>14</v>
      </c>
      <c r="V21" s="17">
        <f t="shared" si="13"/>
        <v>30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295</v>
      </c>
      <c r="AD21" s="17">
        <f t="shared" si="13"/>
        <v>0</v>
      </c>
      <c r="AE21" s="31">
        <f t="shared" si="13"/>
        <v>223</v>
      </c>
      <c r="AF21" s="31">
        <f t="shared" si="13"/>
        <v>518</v>
      </c>
    </row>
    <row r="22" spans="2:32" ht="23.1" customHeight="1" x14ac:dyDescent="0.25">
      <c r="B22" s="23" t="s">
        <v>49</v>
      </c>
      <c r="C22" s="50">
        <v>12</v>
      </c>
      <c r="D22" s="50">
        <v>17</v>
      </c>
      <c r="E22" s="50">
        <v>1</v>
      </c>
      <c r="F22" s="50">
        <v>8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65</v>
      </c>
      <c r="N22" s="50">
        <v>0</v>
      </c>
      <c r="O22" s="15">
        <f t="shared" si="0"/>
        <v>39</v>
      </c>
      <c r="P22" s="15">
        <f t="shared" si="1"/>
        <v>104</v>
      </c>
      <c r="R22" s="38" t="s">
        <v>90</v>
      </c>
      <c r="S22" s="39">
        <f>MAX(S10:S12)</f>
        <v>66</v>
      </c>
      <c r="T22" s="39">
        <f t="shared" ref="T22:AF22" si="14">MAX(T10:T12)</f>
        <v>40</v>
      </c>
      <c r="U22" s="39">
        <f t="shared" si="14"/>
        <v>18</v>
      </c>
      <c r="V22" s="39">
        <f t="shared" si="14"/>
        <v>30</v>
      </c>
      <c r="W22" s="39">
        <f t="shared" si="14"/>
        <v>1</v>
      </c>
      <c r="X22" s="39">
        <f t="shared" si="14"/>
        <v>0</v>
      </c>
      <c r="Y22" s="39">
        <f t="shared" si="14"/>
        <v>5</v>
      </c>
      <c r="Z22" s="39">
        <f t="shared" si="14"/>
        <v>4</v>
      </c>
      <c r="AA22" s="39">
        <f t="shared" si="14"/>
        <v>1</v>
      </c>
      <c r="AB22" s="39">
        <f t="shared" si="14"/>
        <v>2</v>
      </c>
      <c r="AC22" s="39">
        <f t="shared" si="14"/>
        <v>239</v>
      </c>
      <c r="AD22" s="39">
        <f t="shared" si="14"/>
        <v>0</v>
      </c>
      <c r="AE22" s="40">
        <f t="shared" si="14"/>
        <v>156</v>
      </c>
      <c r="AF22" s="40">
        <f t="shared" si="14"/>
        <v>395</v>
      </c>
    </row>
    <row r="23" spans="2:32" ht="23.1" customHeight="1" x14ac:dyDescent="0.25">
      <c r="B23" s="23" t="s">
        <v>50</v>
      </c>
      <c r="C23" s="50">
        <v>24</v>
      </c>
      <c r="D23" s="50">
        <v>7</v>
      </c>
      <c r="E23" s="50">
        <v>4</v>
      </c>
      <c r="F23" s="50">
        <v>8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2</v>
      </c>
      <c r="M23" s="50">
        <v>50</v>
      </c>
      <c r="N23" s="50">
        <v>0</v>
      </c>
      <c r="O23" s="15">
        <f t="shared" si="0"/>
        <v>45</v>
      </c>
      <c r="P23" s="15">
        <f t="shared" si="1"/>
        <v>95</v>
      </c>
      <c r="R23" s="38" t="s">
        <v>91</v>
      </c>
      <c r="S23" s="39">
        <f>MAX(S13:S18)</f>
        <v>109</v>
      </c>
      <c r="T23" s="39">
        <f t="shared" ref="T23:AF23" si="15">MAX(T13:T18)</f>
        <v>80</v>
      </c>
      <c r="U23" s="39">
        <f t="shared" si="15"/>
        <v>21</v>
      </c>
      <c r="V23" s="39">
        <f t="shared" si="15"/>
        <v>40</v>
      </c>
      <c r="W23" s="39">
        <f t="shared" si="15"/>
        <v>1</v>
      </c>
      <c r="X23" s="39">
        <f t="shared" si="15"/>
        <v>0</v>
      </c>
      <c r="Y23" s="39">
        <f t="shared" si="15"/>
        <v>4</v>
      </c>
      <c r="Z23" s="39">
        <f t="shared" si="15"/>
        <v>5</v>
      </c>
      <c r="AA23" s="39">
        <f t="shared" si="15"/>
        <v>4</v>
      </c>
      <c r="AB23" s="39">
        <f t="shared" si="15"/>
        <v>3</v>
      </c>
      <c r="AC23" s="39">
        <f t="shared" si="15"/>
        <v>297</v>
      </c>
      <c r="AD23" s="39">
        <f t="shared" si="15"/>
        <v>0</v>
      </c>
      <c r="AE23" s="40">
        <f t="shared" si="15"/>
        <v>227</v>
      </c>
      <c r="AF23" s="40">
        <f t="shared" si="15"/>
        <v>516</v>
      </c>
    </row>
    <row r="24" spans="2:32" ht="23.1" customHeight="1" x14ac:dyDescent="0.25">
      <c r="B24" s="23" t="s">
        <v>51</v>
      </c>
      <c r="C24" s="50">
        <v>26</v>
      </c>
      <c r="D24" s="50">
        <v>7</v>
      </c>
      <c r="E24" s="50">
        <v>3</v>
      </c>
      <c r="F24" s="50">
        <v>4</v>
      </c>
      <c r="G24" s="50">
        <v>0</v>
      </c>
      <c r="H24" s="50">
        <v>0</v>
      </c>
      <c r="I24" s="50">
        <v>0</v>
      </c>
      <c r="J24" s="50">
        <v>1</v>
      </c>
      <c r="K24" s="50">
        <v>1</v>
      </c>
      <c r="L24" s="50">
        <v>1</v>
      </c>
      <c r="M24" s="50">
        <v>73</v>
      </c>
      <c r="N24" s="50">
        <v>0</v>
      </c>
      <c r="O24" s="15">
        <f t="shared" si="0"/>
        <v>43</v>
      </c>
      <c r="P24" s="15">
        <f t="shared" si="1"/>
        <v>116</v>
      </c>
      <c r="R24" s="38" t="s">
        <v>92</v>
      </c>
      <c r="S24" s="39">
        <f>MAX(S19:S21)</f>
        <v>111</v>
      </c>
      <c r="T24" s="39">
        <f t="shared" ref="T24:AF24" si="16">MAX(T19:T21)</f>
        <v>74</v>
      </c>
      <c r="U24" s="39">
        <f t="shared" si="16"/>
        <v>17</v>
      </c>
      <c r="V24" s="39">
        <f t="shared" si="16"/>
        <v>30</v>
      </c>
      <c r="W24" s="39">
        <f t="shared" si="16"/>
        <v>0</v>
      </c>
      <c r="X24" s="39">
        <f t="shared" si="16"/>
        <v>0</v>
      </c>
      <c r="Y24" s="39">
        <f t="shared" si="16"/>
        <v>4</v>
      </c>
      <c r="Z24" s="39">
        <f t="shared" si="16"/>
        <v>2</v>
      </c>
      <c r="AA24" s="39">
        <f t="shared" si="16"/>
        <v>1</v>
      </c>
      <c r="AB24" s="39">
        <f t="shared" si="16"/>
        <v>2</v>
      </c>
      <c r="AC24" s="39">
        <f t="shared" si="16"/>
        <v>295</v>
      </c>
      <c r="AD24" s="39">
        <f t="shared" si="16"/>
        <v>0</v>
      </c>
      <c r="AE24" s="40">
        <f t="shared" si="16"/>
        <v>236</v>
      </c>
      <c r="AF24" s="40">
        <f t="shared" si="16"/>
        <v>518</v>
      </c>
    </row>
    <row r="25" spans="2:32" ht="23.1" customHeight="1" x14ac:dyDescent="0.25">
      <c r="B25" s="23" t="s">
        <v>52</v>
      </c>
      <c r="C25" s="50">
        <v>30</v>
      </c>
      <c r="D25" s="50">
        <v>14</v>
      </c>
      <c r="E25" s="50">
        <v>5</v>
      </c>
      <c r="F25" s="50">
        <v>7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63</v>
      </c>
      <c r="N25" s="50">
        <v>0</v>
      </c>
      <c r="O25" s="15">
        <f t="shared" si="0"/>
        <v>57</v>
      </c>
      <c r="P25" s="15">
        <f t="shared" si="1"/>
        <v>120</v>
      </c>
      <c r="R25" s="37" t="s">
        <v>85</v>
      </c>
      <c r="S25" s="35">
        <f t="shared" ref="S25:AF25" si="17">SUM(S10:S12)</f>
        <v>168</v>
      </c>
      <c r="T25" s="16">
        <f t="shared" si="17"/>
        <v>97</v>
      </c>
      <c r="U25" s="16">
        <f t="shared" si="17"/>
        <v>40</v>
      </c>
      <c r="V25" s="16">
        <f t="shared" si="17"/>
        <v>83</v>
      </c>
      <c r="W25" s="16">
        <f t="shared" si="17"/>
        <v>1</v>
      </c>
      <c r="X25" s="16">
        <f t="shared" si="17"/>
        <v>0</v>
      </c>
      <c r="Y25" s="16">
        <f t="shared" si="17"/>
        <v>10</v>
      </c>
      <c r="Z25" s="16">
        <f t="shared" si="17"/>
        <v>10</v>
      </c>
      <c r="AA25" s="16">
        <f t="shared" si="17"/>
        <v>1</v>
      </c>
      <c r="AB25" s="16">
        <f t="shared" si="17"/>
        <v>5</v>
      </c>
      <c r="AC25" s="16">
        <f t="shared" si="17"/>
        <v>568</v>
      </c>
      <c r="AD25" s="16">
        <f t="shared" si="17"/>
        <v>0</v>
      </c>
      <c r="AE25" s="32">
        <f t="shared" si="17"/>
        <v>415</v>
      </c>
      <c r="AF25" s="32">
        <f t="shared" si="17"/>
        <v>983</v>
      </c>
    </row>
    <row r="26" spans="2:32" ht="23.1" customHeight="1" x14ac:dyDescent="0.25">
      <c r="B26" s="23" t="s">
        <v>53</v>
      </c>
      <c r="C26" s="50">
        <v>21</v>
      </c>
      <c r="D26" s="50">
        <v>20</v>
      </c>
      <c r="E26" s="50">
        <v>3</v>
      </c>
      <c r="F26" s="50">
        <v>14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105</v>
      </c>
      <c r="N26" s="50">
        <v>0</v>
      </c>
      <c r="O26" s="15">
        <f t="shared" si="0"/>
        <v>61</v>
      </c>
      <c r="P26" s="15">
        <f t="shared" si="1"/>
        <v>166</v>
      </c>
      <c r="R26" s="28" t="s">
        <v>86</v>
      </c>
      <c r="S26" s="16">
        <f t="shared" ref="S26:AF26" si="18">SUM(S13:S18)</f>
        <v>571</v>
      </c>
      <c r="T26" s="16">
        <f t="shared" si="18"/>
        <v>358</v>
      </c>
      <c r="U26" s="16">
        <f t="shared" si="18"/>
        <v>99</v>
      </c>
      <c r="V26" s="16">
        <f t="shared" si="18"/>
        <v>155</v>
      </c>
      <c r="W26" s="16">
        <f t="shared" si="18"/>
        <v>1</v>
      </c>
      <c r="X26" s="16">
        <f t="shared" si="18"/>
        <v>0</v>
      </c>
      <c r="Y26" s="16">
        <f t="shared" si="18"/>
        <v>16</v>
      </c>
      <c r="Z26" s="16">
        <f t="shared" si="18"/>
        <v>13</v>
      </c>
      <c r="AA26" s="16">
        <f t="shared" si="18"/>
        <v>9</v>
      </c>
      <c r="AB26" s="16">
        <f t="shared" si="18"/>
        <v>11</v>
      </c>
      <c r="AC26" s="16">
        <f t="shared" si="18"/>
        <v>1386</v>
      </c>
      <c r="AD26" s="16">
        <f t="shared" si="18"/>
        <v>0</v>
      </c>
      <c r="AE26" s="32">
        <f t="shared" si="18"/>
        <v>1233</v>
      </c>
      <c r="AF26" s="32">
        <f t="shared" si="18"/>
        <v>2619</v>
      </c>
    </row>
    <row r="27" spans="2:32" ht="23.1" customHeight="1" x14ac:dyDescent="0.25">
      <c r="B27" s="23" t="s">
        <v>54</v>
      </c>
      <c r="C27" s="50">
        <v>22</v>
      </c>
      <c r="D27" s="50">
        <v>29</v>
      </c>
      <c r="E27" s="50">
        <v>5</v>
      </c>
      <c r="F27" s="50">
        <v>13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55</v>
      </c>
      <c r="N27" s="50">
        <v>0</v>
      </c>
      <c r="O27" s="15">
        <f t="shared" si="0"/>
        <v>69</v>
      </c>
      <c r="P27" s="15">
        <f t="shared" si="1"/>
        <v>124</v>
      </c>
      <c r="R27" s="29" t="s">
        <v>87</v>
      </c>
      <c r="S27" s="16">
        <f t="shared" ref="S27:AF27" si="19">SUM(S19:S21)</f>
        <v>319</v>
      </c>
      <c r="T27" s="16">
        <f t="shared" si="19"/>
        <v>206</v>
      </c>
      <c r="U27" s="16">
        <f t="shared" si="19"/>
        <v>47</v>
      </c>
      <c r="V27" s="16">
        <f t="shared" si="19"/>
        <v>77</v>
      </c>
      <c r="W27" s="16">
        <f t="shared" si="19"/>
        <v>0</v>
      </c>
      <c r="X27" s="16">
        <f t="shared" si="19"/>
        <v>0</v>
      </c>
      <c r="Y27" s="16">
        <f t="shared" si="19"/>
        <v>8</v>
      </c>
      <c r="Z27" s="16">
        <f t="shared" si="19"/>
        <v>2</v>
      </c>
      <c r="AA27" s="16">
        <f t="shared" si="19"/>
        <v>1</v>
      </c>
      <c r="AB27" s="16">
        <f t="shared" si="19"/>
        <v>3</v>
      </c>
      <c r="AC27" s="16">
        <f t="shared" si="19"/>
        <v>802</v>
      </c>
      <c r="AD27" s="16">
        <f t="shared" si="19"/>
        <v>0</v>
      </c>
      <c r="AE27" s="32">
        <f t="shared" si="19"/>
        <v>663</v>
      </c>
      <c r="AF27" s="32">
        <f t="shared" si="19"/>
        <v>1465</v>
      </c>
    </row>
    <row r="28" spans="2:32" ht="23.1" customHeight="1" x14ac:dyDescent="0.25">
      <c r="B28" s="23" t="s">
        <v>55</v>
      </c>
      <c r="C28" s="50">
        <v>10</v>
      </c>
      <c r="D28" s="50">
        <v>12</v>
      </c>
      <c r="E28" s="50">
        <v>3</v>
      </c>
      <c r="F28" s="50">
        <v>7</v>
      </c>
      <c r="G28" s="50">
        <v>0</v>
      </c>
      <c r="H28" s="50">
        <v>0</v>
      </c>
      <c r="I28" s="50">
        <v>2</v>
      </c>
      <c r="J28" s="50">
        <v>0</v>
      </c>
      <c r="K28" s="50">
        <v>2</v>
      </c>
      <c r="L28" s="50">
        <v>0</v>
      </c>
      <c r="M28" s="50">
        <v>55</v>
      </c>
      <c r="N28" s="50">
        <v>0</v>
      </c>
      <c r="O28" s="15">
        <f t="shared" si="0"/>
        <v>36</v>
      </c>
      <c r="P28" s="15">
        <f t="shared" si="1"/>
        <v>91</v>
      </c>
      <c r="R28" s="5" t="s">
        <v>17</v>
      </c>
      <c r="S28" s="16">
        <f t="shared" ref="S28:AF28" si="20">SUM(S10:S21)</f>
        <v>1058</v>
      </c>
      <c r="T28" s="16">
        <f t="shared" si="20"/>
        <v>661</v>
      </c>
      <c r="U28" s="16">
        <f t="shared" si="20"/>
        <v>186</v>
      </c>
      <c r="V28" s="16">
        <f t="shared" si="20"/>
        <v>315</v>
      </c>
      <c r="W28" s="16">
        <f t="shared" si="20"/>
        <v>2</v>
      </c>
      <c r="X28" s="16">
        <f t="shared" si="20"/>
        <v>0</v>
      </c>
      <c r="Y28" s="16">
        <f t="shared" si="20"/>
        <v>34</v>
      </c>
      <c r="Z28" s="16">
        <f t="shared" si="20"/>
        <v>25</v>
      </c>
      <c r="AA28" s="16">
        <f t="shared" si="20"/>
        <v>11</v>
      </c>
      <c r="AB28" s="16">
        <f t="shared" si="20"/>
        <v>19</v>
      </c>
      <c r="AC28" s="16">
        <f t="shared" si="20"/>
        <v>2756</v>
      </c>
      <c r="AD28" s="16">
        <f t="shared" si="20"/>
        <v>0</v>
      </c>
      <c r="AE28" s="32">
        <f t="shared" si="20"/>
        <v>2311</v>
      </c>
      <c r="AF28" s="32">
        <f t="shared" si="20"/>
        <v>5067</v>
      </c>
    </row>
    <row r="29" spans="2:32" ht="23.1" customHeight="1" x14ac:dyDescent="0.25">
      <c r="B29" s="23" t="s">
        <v>56</v>
      </c>
      <c r="C29" s="50">
        <v>32</v>
      </c>
      <c r="D29" s="50">
        <v>19</v>
      </c>
      <c r="E29" s="50">
        <v>2</v>
      </c>
      <c r="F29" s="50">
        <v>6</v>
      </c>
      <c r="G29" s="50">
        <v>0</v>
      </c>
      <c r="H29" s="50">
        <v>0</v>
      </c>
      <c r="I29" s="50">
        <v>0</v>
      </c>
      <c r="J29" s="50">
        <v>0</v>
      </c>
      <c r="K29" s="50">
        <v>2</v>
      </c>
      <c r="L29" s="50">
        <v>0</v>
      </c>
      <c r="M29" s="50">
        <v>49</v>
      </c>
      <c r="N29" s="50">
        <v>0</v>
      </c>
      <c r="O29" s="15">
        <f t="shared" si="0"/>
        <v>61</v>
      </c>
      <c r="P29" s="15">
        <f t="shared" si="1"/>
        <v>110</v>
      </c>
      <c r="R29"/>
      <c r="S29" s="20"/>
      <c r="T29" s="19"/>
    </row>
    <row r="30" spans="2:32" ht="23.1" customHeight="1" x14ac:dyDescent="0.25">
      <c r="B30" s="23" t="s">
        <v>57</v>
      </c>
      <c r="C30" s="50">
        <v>14</v>
      </c>
      <c r="D30" s="50">
        <v>12</v>
      </c>
      <c r="E30" s="50">
        <v>1</v>
      </c>
      <c r="F30" s="50">
        <v>5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52</v>
      </c>
      <c r="N30" s="50">
        <v>0</v>
      </c>
      <c r="O30" s="15">
        <f t="shared" si="0"/>
        <v>33</v>
      </c>
      <c r="P30" s="15">
        <f t="shared" si="1"/>
        <v>85</v>
      </c>
    </row>
    <row r="31" spans="2:32" ht="23.1" customHeight="1" x14ac:dyDescent="0.25">
      <c r="B31" s="24" t="s">
        <v>58</v>
      </c>
      <c r="C31" s="50">
        <v>14</v>
      </c>
      <c r="D31" s="50">
        <v>15</v>
      </c>
      <c r="E31" s="50">
        <v>6</v>
      </c>
      <c r="F31" s="50">
        <v>7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2</v>
      </c>
      <c r="M31" s="50">
        <v>40</v>
      </c>
      <c r="N31" s="50">
        <v>0</v>
      </c>
      <c r="O31" s="15">
        <f t="shared" si="0"/>
        <v>45</v>
      </c>
      <c r="P31" s="15">
        <f t="shared" si="1"/>
        <v>85</v>
      </c>
    </row>
    <row r="32" spans="2:32" ht="23.1" customHeight="1" x14ac:dyDescent="0.25">
      <c r="B32" s="24" t="s">
        <v>59</v>
      </c>
      <c r="C32" s="50">
        <v>15</v>
      </c>
      <c r="D32" s="50">
        <v>7</v>
      </c>
      <c r="E32" s="50">
        <v>6</v>
      </c>
      <c r="F32" s="50">
        <v>4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1</v>
      </c>
      <c r="M32" s="50">
        <v>47</v>
      </c>
      <c r="N32" s="50">
        <v>0</v>
      </c>
      <c r="O32" s="15">
        <f t="shared" si="0"/>
        <v>35</v>
      </c>
      <c r="P32" s="15">
        <f t="shared" si="1"/>
        <v>82</v>
      </c>
    </row>
    <row r="33" spans="2:20" ht="23.1" customHeight="1" x14ac:dyDescent="0.25">
      <c r="B33" s="23" t="s">
        <v>60</v>
      </c>
      <c r="C33" s="50">
        <v>29</v>
      </c>
      <c r="D33" s="50">
        <v>9</v>
      </c>
      <c r="E33" s="50">
        <v>8</v>
      </c>
      <c r="F33" s="50">
        <v>7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55</v>
      </c>
      <c r="N33" s="50">
        <v>0</v>
      </c>
      <c r="O33" s="15">
        <f t="shared" si="0"/>
        <v>54</v>
      </c>
      <c r="P33" s="15">
        <f t="shared" si="1"/>
        <v>109</v>
      </c>
    </row>
    <row r="34" spans="2:20" ht="23.1" customHeight="1" x14ac:dyDescent="0.25">
      <c r="B34" s="24" t="s">
        <v>61</v>
      </c>
      <c r="C34" s="50">
        <v>27</v>
      </c>
      <c r="D34" s="50">
        <v>19</v>
      </c>
      <c r="E34" s="50">
        <v>5</v>
      </c>
      <c r="F34" s="50">
        <v>8</v>
      </c>
      <c r="G34" s="50">
        <v>0</v>
      </c>
      <c r="H34" s="50">
        <v>0</v>
      </c>
      <c r="I34" s="50">
        <v>1</v>
      </c>
      <c r="J34" s="50">
        <v>0</v>
      </c>
      <c r="K34" s="50">
        <v>1</v>
      </c>
      <c r="L34" s="50">
        <v>0</v>
      </c>
      <c r="M34" s="50">
        <v>45</v>
      </c>
      <c r="N34" s="50">
        <v>0</v>
      </c>
      <c r="O34" s="15">
        <f t="shared" si="0"/>
        <v>61</v>
      </c>
      <c r="P34" s="15">
        <f t="shared" si="1"/>
        <v>106</v>
      </c>
    </row>
    <row r="35" spans="2:20" ht="23.1" customHeight="1" x14ac:dyDescent="0.25">
      <c r="B35" s="24" t="s">
        <v>62</v>
      </c>
      <c r="C35" s="50">
        <v>17</v>
      </c>
      <c r="D35" s="50">
        <v>9</v>
      </c>
      <c r="E35" s="50">
        <v>4</v>
      </c>
      <c r="F35" s="50">
        <v>5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39</v>
      </c>
      <c r="N35" s="50">
        <v>0</v>
      </c>
      <c r="O35" s="15">
        <f t="shared" si="0"/>
        <v>36</v>
      </c>
      <c r="P35" s="15">
        <f t="shared" si="1"/>
        <v>75</v>
      </c>
    </row>
    <row r="36" spans="2:20" ht="23.1" customHeight="1" x14ac:dyDescent="0.25">
      <c r="B36" s="24" t="s">
        <v>63</v>
      </c>
      <c r="C36" s="50">
        <v>27</v>
      </c>
      <c r="D36" s="50">
        <v>10</v>
      </c>
      <c r="E36" s="50">
        <v>1</v>
      </c>
      <c r="F36" s="50">
        <v>5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2</v>
      </c>
      <c r="M36" s="50">
        <v>40</v>
      </c>
      <c r="N36" s="50">
        <v>0</v>
      </c>
      <c r="O36" s="15">
        <f t="shared" si="0"/>
        <v>45</v>
      </c>
      <c r="P36" s="15">
        <f t="shared" si="1"/>
        <v>85</v>
      </c>
    </row>
    <row r="37" spans="2:20" ht="23.1" customHeight="1" x14ac:dyDescent="0.25">
      <c r="B37" s="23" t="s">
        <v>64</v>
      </c>
      <c r="C37" s="50">
        <v>38</v>
      </c>
      <c r="D37" s="50">
        <v>17</v>
      </c>
      <c r="E37" s="50">
        <v>5</v>
      </c>
      <c r="F37" s="50">
        <v>6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1</v>
      </c>
      <c r="M37" s="50">
        <v>22</v>
      </c>
      <c r="N37" s="50">
        <v>0</v>
      </c>
      <c r="O37" s="15">
        <f t="shared" si="0"/>
        <v>69</v>
      </c>
      <c r="P37" s="15">
        <f t="shared" si="1"/>
        <v>91</v>
      </c>
    </row>
    <row r="38" spans="2:20" ht="23.1" customHeight="1" x14ac:dyDescent="0.25">
      <c r="B38" s="24" t="s">
        <v>65</v>
      </c>
      <c r="C38" s="50">
        <v>28</v>
      </c>
      <c r="D38" s="50">
        <v>17</v>
      </c>
      <c r="E38" s="50">
        <v>5</v>
      </c>
      <c r="F38" s="50">
        <v>7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62</v>
      </c>
      <c r="N38" s="50">
        <v>0</v>
      </c>
      <c r="O38" s="15">
        <f t="shared" si="0"/>
        <v>59</v>
      </c>
      <c r="P38" s="15">
        <f t="shared" si="1"/>
        <v>121</v>
      </c>
    </row>
    <row r="39" spans="2:20" ht="23.1" customHeight="1" x14ac:dyDescent="0.25">
      <c r="B39" s="24" t="s">
        <v>66</v>
      </c>
      <c r="C39" s="50">
        <v>28</v>
      </c>
      <c r="D39" s="50">
        <v>13</v>
      </c>
      <c r="E39" s="50">
        <v>6</v>
      </c>
      <c r="F39" s="50">
        <v>6</v>
      </c>
      <c r="G39" s="50">
        <v>0</v>
      </c>
      <c r="H39" s="50">
        <v>0</v>
      </c>
      <c r="I39" s="50">
        <v>1</v>
      </c>
      <c r="J39" s="50">
        <v>2</v>
      </c>
      <c r="K39" s="50">
        <v>1</v>
      </c>
      <c r="L39" s="50">
        <v>0</v>
      </c>
      <c r="M39" s="50">
        <v>79</v>
      </c>
      <c r="N39" s="50">
        <v>0</v>
      </c>
      <c r="O39" s="15">
        <f t="shared" si="0"/>
        <v>57</v>
      </c>
      <c r="P39" s="15">
        <f t="shared" si="1"/>
        <v>136</v>
      </c>
    </row>
    <row r="40" spans="2:20" ht="23.1" customHeight="1" x14ac:dyDescent="0.25">
      <c r="B40" s="24" t="s">
        <v>67</v>
      </c>
      <c r="C40" s="50">
        <v>27</v>
      </c>
      <c r="D40" s="50">
        <v>14</v>
      </c>
      <c r="E40" s="50">
        <v>3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2</v>
      </c>
      <c r="M40" s="50">
        <v>76</v>
      </c>
      <c r="N40" s="50">
        <v>0</v>
      </c>
      <c r="O40" s="15">
        <f t="shared" si="0"/>
        <v>48</v>
      </c>
      <c r="P40" s="15">
        <f t="shared" si="1"/>
        <v>124</v>
      </c>
    </row>
    <row r="41" spans="2:20" ht="23.1" customHeight="1" x14ac:dyDescent="0.25">
      <c r="B41" s="23" t="s">
        <v>68</v>
      </c>
      <c r="C41" s="50">
        <v>25</v>
      </c>
      <c r="D41" s="50">
        <v>19</v>
      </c>
      <c r="E41" s="50">
        <v>3</v>
      </c>
      <c r="F41" s="50">
        <v>7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80</v>
      </c>
      <c r="N41" s="50">
        <v>0</v>
      </c>
      <c r="O41" s="15">
        <f t="shared" si="0"/>
        <v>55</v>
      </c>
      <c r="P41" s="15">
        <f t="shared" si="1"/>
        <v>135</v>
      </c>
    </row>
    <row r="42" spans="2:20" ht="23.1" customHeight="1" x14ac:dyDescent="0.25">
      <c r="B42" s="24" t="s">
        <v>69</v>
      </c>
      <c r="C42" s="50">
        <v>27</v>
      </c>
      <c r="D42" s="50">
        <v>13</v>
      </c>
      <c r="E42" s="50">
        <v>5</v>
      </c>
      <c r="F42" s="50">
        <v>4</v>
      </c>
      <c r="G42" s="50">
        <v>0</v>
      </c>
      <c r="H42" s="50">
        <v>0</v>
      </c>
      <c r="I42" s="50">
        <v>1</v>
      </c>
      <c r="J42" s="50">
        <v>3</v>
      </c>
      <c r="K42" s="50">
        <v>0</v>
      </c>
      <c r="L42" s="50">
        <v>0</v>
      </c>
      <c r="M42" s="50">
        <v>49</v>
      </c>
      <c r="N42" s="50">
        <v>0</v>
      </c>
      <c r="O42" s="15">
        <f t="shared" si="0"/>
        <v>53</v>
      </c>
      <c r="P42" s="15">
        <f t="shared" si="1"/>
        <v>102</v>
      </c>
    </row>
    <row r="43" spans="2:20" ht="23.1" customHeight="1" x14ac:dyDescent="0.25">
      <c r="B43" s="23" t="s">
        <v>70</v>
      </c>
      <c r="C43" s="50">
        <v>25</v>
      </c>
      <c r="D43" s="50">
        <v>23</v>
      </c>
      <c r="E43" s="50">
        <v>6</v>
      </c>
      <c r="F43" s="50">
        <v>9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63</v>
      </c>
      <c r="N43" s="50">
        <v>0</v>
      </c>
      <c r="O43" s="15">
        <f t="shared" si="0"/>
        <v>65</v>
      </c>
      <c r="P43" s="15">
        <f t="shared" si="1"/>
        <v>128</v>
      </c>
    </row>
    <row r="44" spans="2:20" ht="23.1" customHeight="1" x14ac:dyDescent="0.25">
      <c r="B44" s="25" t="s">
        <v>71</v>
      </c>
      <c r="C44" s="50">
        <v>28</v>
      </c>
      <c r="D44" s="50">
        <v>12</v>
      </c>
      <c r="E44" s="50">
        <v>6</v>
      </c>
      <c r="F44" s="50">
        <v>1</v>
      </c>
      <c r="G44" s="50">
        <v>1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60</v>
      </c>
      <c r="N44" s="50">
        <v>0</v>
      </c>
      <c r="O44" s="15">
        <f t="shared" si="0"/>
        <v>49</v>
      </c>
      <c r="P44" s="15">
        <f t="shared" si="1"/>
        <v>109</v>
      </c>
    </row>
    <row r="45" spans="2:20" ht="23.1" customHeight="1" x14ac:dyDescent="0.25">
      <c r="B45" s="23" t="s">
        <v>72</v>
      </c>
      <c r="C45" s="50">
        <v>25</v>
      </c>
      <c r="D45" s="50">
        <v>24</v>
      </c>
      <c r="E45" s="50">
        <v>3</v>
      </c>
      <c r="F45" s="50">
        <v>5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62</v>
      </c>
      <c r="N45" s="50">
        <v>0</v>
      </c>
      <c r="O45" s="15">
        <f t="shared" si="0"/>
        <v>58</v>
      </c>
      <c r="P45" s="15">
        <f t="shared" si="1"/>
        <v>120</v>
      </c>
    </row>
    <row r="46" spans="2:20" ht="23.1" customHeight="1" x14ac:dyDescent="0.25">
      <c r="B46" s="24" t="s">
        <v>73</v>
      </c>
      <c r="C46" s="50">
        <v>33</v>
      </c>
      <c r="D46" s="50">
        <v>20</v>
      </c>
      <c r="E46" s="50">
        <v>8</v>
      </c>
      <c r="F46" s="50">
        <v>10</v>
      </c>
      <c r="G46" s="50">
        <v>0</v>
      </c>
      <c r="H46" s="50">
        <v>0</v>
      </c>
      <c r="I46" s="50">
        <v>1</v>
      </c>
      <c r="J46" s="50">
        <v>1</v>
      </c>
      <c r="K46" s="50">
        <v>1</v>
      </c>
      <c r="L46" s="50">
        <v>0</v>
      </c>
      <c r="M46" s="50">
        <v>60</v>
      </c>
      <c r="N46" s="50">
        <v>0</v>
      </c>
      <c r="O46" s="15">
        <f t="shared" si="0"/>
        <v>74</v>
      </c>
      <c r="P46" s="15">
        <f t="shared" si="1"/>
        <v>134</v>
      </c>
      <c r="R46" s="8"/>
      <c r="T46"/>
    </row>
    <row r="47" spans="2:20" ht="23.1" customHeight="1" x14ac:dyDescent="0.25">
      <c r="B47" s="24" t="s">
        <v>74</v>
      </c>
      <c r="C47" s="50">
        <v>28</v>
      </c>
      <c r="D47" s="50">
        <v>13</v>
      </c>
      <c r="E47" s="50">
        <v>1</v>
      </c>
      <c r="F47" s="50">
        <v>4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57</v>
      </c>
      <c r="N47" s="50">
        <v>0</v>
      </c>
      <c r="O47" s="15">
        <f t="shared" si="0"/>
        <v>46</v>
      </c>
      <c r="P47" s="15">
        <f t="shared" si="1"/>
        <v>103</v>
      </c>
      <c r="R47" s="8"/>
      <c r="T47"/>
    </row>
    <row r="48" spans="2:20" ht="23.1" customHeight="1" x14ac:dyDescent="0.25">
      <c r="B48" s="24" t="s">
        <v>75</v>
      </c>
      <c r="C48" s="50">
        <v>25</v>
      </c>
      <c r="D48" s="50">
        <v>20</v>
      </c>
      <c r="E48" s="50">
        <v>3</v>
      </c>
      <c r="F48" s="50">
        <v>7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76</v>
      </c>
      <c r="N48" s="50">
        <v>0</v>
      </c>
      <c r="O48" s="15">
        <f t="shared" si="0"/>
        <v>56</v>
      </c>
      <c r="P48" s="15">
        <f t="shared" si="1"/>
        <v>132</v>
      </c>
      <c r="R48" s="8"/>
      <c r="T48"/>
    </row>
    <row r="49" spans="2:20" ht="23.1" customHeight="1" x14ac:dyDescent="0.25">
      <c r="B49" s="23" t="s">
        <v>76</v>
      </c>
      <c r="C49" s="50">
        <v>25</v>
      </c>
      <c r="D49" s="50">
        <v>21</v>
      </c>
      <c r="E49" s="50">
        <v>5</v>
      </c>
      <c r="F49" s="50">
        <v>7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2</v>
      </c>
      <c r="M49" s="50">
        <v>55</v>
      </c>
      <c r="N49" s="50">
        <v>0</v>
      </c>
      <c r="O49" s="15">
        <f t="shared" si="0"/>
        <v>60</v>
      </c>
      <c r="P49" s="15">
        <f t="shared" si="1"/>
        <v>115</v>
      </c>
      <c r="R49" s="8"/>
      <c r="T49"/>
    </row>
    <row r="50" spans="2:20" ht="23.1" customHeight="1" x14ac:dyDescent="0.25">
      <c r="B50" s="24" t="s">
        <v>77</v>
      </c>
      <c r="C50" s="50">
        <v>27</v>
      </c>
      <c r="D50" s="50">
        <v>16</v>
      </c>
      <c r="E50" s="50">
        <v>5</v>
      </c>
      <c r="F50" s="50">
        <v>7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77</v>
      </c>
      <c r="N50" s="50">
        <v>0</v>
      </c>
      <c r="O50" s="15">
        <f t="shared" si="0"/>
        <v>57</v>
      </c>
      <c r="P50" s="15">
        <f t="shared" si="1"/>
        <v>134</v>
      </c>
      <c r="R50" s="8"/>
      <c r="T50"/>
    </row>
    <row r="51" spans="2:20" ht="23.1" customHeight="1" x14ac:dyDescent="0.25">
      <c r="B51" s="24" t="s">
        <v>78</v>
      </c>
      <c r="C51" s="50">
        <v>23</v>
      </c>
      <c r="D51" s="50">
        <v>18</v>
      </c>
      <c r="E51" s="50">
        <v>4</v>
      </c>
      <c r="F51" s="50">
        <v>3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35</v>
      </c>
      <c r="N51" s="50">
        <v>0</v>
      </c>
      <c r="O51" s="15">
        <f t="shared" si="0"/>
        <v>48</v>
      </c>
      <c r="P51" s="15">
        <f t="shared" si="1"/>
        <v>83</v>
      </c>
      <c r="R51" s="8"/>
      <c r="T51"/>
    </row>
    <row r="52" spans="2:20" ht="23.1" customHeight="1" x14ac:dyDescent="0.25">
      <c r="B52" s="24" t="s">
        <v>79</v>
      </c>
      <c r="C52" s="50">
        <v>26</v>
      </c>
      <c r="D52" s="50">
        <v>18</v>
      </c>
      <c r="E52" s="50">
        <v>5</v>
      </c>
      <c r="F52" s="50">
        <v>4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83</v>
      </c>
      <c r="N52" s="50">
        <v>0</v>
      </c>
      <c r="O52" s="15">
        <f t="shared" si="0"/>
        <v>54</v>
      </c>
      <c r="P52" s="15">
        <f t="shared" si="1"/>
        <v>137</v>
      </c>
      <c r="R52" s="8"/>
      <c r="T52"/>
    </row>
    <row r="53" spans="2:20" ht="23.1" customHeight="1" x14ac:dyDescent="0.25">
      <c r="B53" s="23" t="s">
        <v>80</v>
      </c>
      <c r="C53" s="50">
        <v>21</v>
      </c>
      <c r="D53" s="50">
        <v>17</v>
      </c>
      <c r="E53" s="50">
        <v>2</v>
      </c>
      <c r="F53" s="50">
        <v>5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64</v>
      </c>
      <c r="N53" s="50">
        <v>0</v>
      </c>
      <c r="O53" s="15">
        <f t="shared" si="0"/>
        <v>45</v>
      </c>
      <c r="P53" s="15">
        <f t="shared" si="1"/>
        <v>109</v>
      </c>
      <c r="R53" s="8"/>
      <c r="T53"/>
    </row>
    <row r="54" spans="2:20" ht="23.1" customHeight="1" x14ac:dyDescent="0.25">
      <c r="B54" s="23" t="s">
        <v>81</v>
      </c>
      <c r="C54" s="50">
        <v>26</v>
      </c>
      <c r="D54" s="50">
        <v>16</v>
      </c>
      <c r="E54" s="50">
        <v>1</v>
      </c>
      <c r="F54" s="50">
        <v>6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80</v>
      </c>
      <c r="N54" s="50">
        <v>0</v>
      </c>
      <c r="O54" s="15">
        <f t="shared" si="0"/>
        <v>49</v>
      </c>
      <c r="P54" s="15">
        <f t="shared" si="1"/>
        <v>129</v>
      </c>
      <c r="R54" s="8"/>
      <c r="T54"/>
    </row>
    <row r="55" spans="2:20" ht="23.1" customHeight="1" x14ac:dyDescent="0.25">
      <c r="B55" s="23" t="s">
        <v>82</v>
      </c>
      <c r="C55" s="50">
        <v>27</v>
      </c>
      <c r="D55" s="50">
        <v>14</v>
      </c>
      <c r="E55" s="50">
        <v>3</v>
      </c>
      <c r="F55" s="50">
        <v>6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76</v>
      </c>
      <c r="N55" s="50">
        <v>0</v>
      </c>
      <c r="O55" s="15">
        <f t="shared" si="0"/>
        <v>51</v>
      </c>
      <c r="P55" s="15">
        <f t="shared" si="1"/>
        <v>127</v>
      </c>
      <c r="R55" s="8"/>
      <c r="T55"/>
    </row>
    <row r="56" spans="2:20" ht="23.1" customHeight="1" x14ac:dyDescent="0.25">
      <c r="B56" s="23" t="s">
        <v>83</v>
      </c>
      <c r="C56" s="50">
        <v>23</v>
      </c>
      <c r="D56" s="50">
        <v>16</v>
      </c>
      <c r="E56" s="50">
        <v>7</v>
      </c>
      <c r="F56" s="50">
        <v>7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1</v>
      </c>
      <c r="M56" s="50">
        <v>72</v>
      </c>
      <c r="N56" s="50">
        <v>0</v>
      </c>
      <c r="O56" s="15">
        <f t="shared" si="0"/>
        <v>55</v>
      </c>
      <c r="P56" s="15">
        <f t="shared" si="1"/>
        <v>127</v>
      </c>
      <c r="R56" s="8"/>
      <c r="T56"/>
    </row>
    <row r="57" spans="2:20" ht="23.1" customHeight="1" x14ac:dyDescent="0.25">
      <c r="B57" s="23" t="s">
        <v>84</v>
      </c>
      <c r="C57" s="50">
        <v>35</v>
      </c>
      <c r="D57" s="50">
        <v>17</v>
      </c>
      <c r="E57" s="50">
        <v>3</v>
      </c>
      <c r="F57" s="50">
        <v>11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67</v>
      </c>
      <c r="N57" s="50">
        <v>0</v>
      </c>
      <c r="O57" s="15">
        <f t="shared" si="0"/>
        <v>68</v>
      </c>
      <c r="P57" s="15">
        <f t="shared" si="1"/>
        <v>135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1058</v>
      </c>
      <c r="D58" s="16">
        <f t="shared" si="21"/>
        <v>661</v>
      </c>
      <c r="E58" s="16">
        <f t="shared" si="21"/>
        <v>186</v>
      </c>
      <c r="F58" s="16">
        <f t="shared" si="21"/>
        <v>315</v>
      </c>
      <c r="G58" s="16">
        <f t="shared" si="21"/>
        <v>2</v>
      </c>
      <c r="H58" s="16">
        <f t="shared" si="21"/>
        <v>0</v>
      </c>
      <c r="I58" s="16">
        <f t="shared" si="21"/>
        <v>34</v>
      </c>
      <c r="J58" s="16">
        <f t="shared" si="21"/>
        <v>25</v>
      </c>
      <c r="K58" s="16">
        <f t="shared" si="21"/>
        <v>11</v>
      </c>
      <c r="L58" s="16">
        <f t="shared" si="21"/>
        <v>19</v>
      </c>
      <c r="M58" s="16">
        <f t="shared" si="21"/>
        <v>2756</v>
      </c>
      <c r="N58" s="16">
        <f t="shared" si="21"/>
        <v>0</v>
      </c>
      <c r="O58" s="16">
        <f t="shared" si="21"/>
        <v>2311</v>
      </c>
      <c r="P58" s="16">
        <f t="shared" si="21"/>
        <v>5067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0.20880205249654629</v>
      </c>
      <c r="D59" s="43">
        <f t="shared" si="22"/>
        <v>0.13045194395105586</v>
      </c>
      <c r="E59" s="43">
        <f t="shared" si="22"/>
        <v>3.6708111308466546E-2</v>
      </c>
      <c r="F59" s="43">
        <f t="shared" si="22"/>
        <v>6.216696269982238E-2</v>
      </c>
      <c r="G59" s="43">
        <f t="shared" si="22"/>
        <v>3.9471087428458656E-4</v>
      </c>
      <c r="H59" s="43">
        <f t="shared" si="22"/>
        <v>0</v>
      </c>
      <c r="I59" s="43">
        <f t="shared" si="22"/>
        <v>6.7100848628379711E-3</v>
      </c>
      <c r="J59" s="43">
        <f t="shared" si="22"/>
        <v>4.9338859285573316E-3</v>
      </c>
      <c r="K59" s="43">
        <f t="shared" si="22"/>
        <v>2.170909808565226E-3</v>
      </c>
      <c r="L59" s="43">
        <f t="shared" si="22"/>
        <v>3.749753305703572E-3</v>
      </c>
      <c r="M59" s="43">
        <f t="shared" si="22"/>
        <v>0.54391158476416024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0.45781047165729122</v>
      </c>
      <c r="D60" s="44">
        <f t="shared" ref="D60:N60" si="23">D58/$O$58</f>
        <v>0.28602336650800519</v>
      </c>
      <c r="E60" s="44">
        <f t="shared" si="23"/>
        <v>8.0484638684552148E-2</v>
      </c>
      <c r="F60" s="44">
        <f t="shared" si="23"/>
        <v>0.13630463003028992</v>
      </c>
      <c r="G60" s="44">
        <f t="shared" si="23"/>
        <v>8.6542622241453913E-4</v>
      </c>
      <c r="H60" s="44">
        <f t="shared" si="23"/>
        <v>0</v>
      </c>
      <c r="I60" s="44">
        <f t="shared" si="23"/>
        <v>1.4712245781047165E-2</v>
      </c>
      <c r="J60" s="44">
        <f t="shared" si="23"/>
        <v>1.0817827780181739E-2</v>
      </c>
      <c r="K60" s="44">
        <f t="shared" si="23"/>
        <v>4.7598442232799658E-3</v>
      </c>
      <c r="L60" s="44">
        <f t="shared" si="23"/>
        <v>8.2215491129381223E-3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3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'29.07 SPEARMOTORS-NTINDA'!C3:G3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NTINDA-SPEARMOTORS'!D5</f>
        <v>04.08.19</v>
      </c>
      <c r="E5" s="3"/>
      <c r="F5" s="41" t="s">
        <v>1</v>
      </c>
      <c r="G5" s="61" t="str">
        <f>'04.08 NTINDA-SPEARMOTORS'!G5:H5</f>
        <v>NAGURU BARRACKS</v>
      </c>
      <c r="H5" s="62"/>
      <c r="I5" s="14"/>
      <c r="J5" s="2" t="s">
        <v>5</v>
      </c>
      <c r="K5" s="61" t="s">
        <v>188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'29.07 SPEARMOTORS-NTINDA'!D6:E6</f>
        <v>SPEAR MOTORS</v>
      </c>
      <c r="E6" s="62"/>
      <c r="F6" s="2" t="s">
        <v>2</v>
      </c>
      <c r="G6" s="61" t="str">
        <f>'29.07 SPEARMOTORS-NTINDA'!G6:H6</f>
        <v>NTINDA</v>
      </c>
      <c r="H6" s="62"/>
      <c r="J6" s="2" t="s">
        <v>21</v>
      </c>
      <c r="K6" s="61" t="str">
        <f>'04.08 NTINDA-SPEARMOTORS'!K6:L6</f>
        <v>NUSULAH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2</v>
      </c>
      <c r="E10" s="50">
        <v>1</v>
      </c>
      <c r="F10" s="50">
        <v>8</v>
      </c>
      <c r="G10" s="50">
        <v>0</v>
      </c>
      <c r="H10" s="50">
        <v>0</v>
      </c>
      <c r="I10" s="50">
        <v>2</v>
      </c>
      <c r="J10" s="50">
        <v>2</v>
      </c>
      <c r="K10" s="50">
        <v>3</v>
      </c>
      <c r="L10" s="50">
        <v>4</v>
      </c>
      <c r="M10" s="50">
        <v>40</v>
      </c>
      <c r="N10" s="50">
        <v>0</v>
      </c>
      <c r="O10" s="15">
        <f t="shared" ref="O10:O57" si="0">SUM(C10:L10,N10)</f>
        <v>24</v>
      </c>
      <c r="P10" s="15">
        <f t="shared" ref="P10:P57" si="1">SUM(C10:N10)</f>
        <v>64</v>
      </c>
      <c r="R10" s="1" t="s">
        <v>6</v>
      </c>
      <c r="S10" s="17">
        <f t="shared" ref="S10:AF10" si="2">SUM(C10:C13)</f>
        <v>17</v>
      </c>
      <c r="T10" s="17">
        <f t="shared" si="2"/>
        <v>12</v>
      </c>
      <c r="U10" s="17">
        <f t="shared" si="2"/>
        <v>10</v>
      </c>
      <c r="V10" s="17">
        <f t="shared" si="2"/>
        <v>34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3</v>
      </c>
      <c r="AA10" s="17">
        <f t="shared" si="2"/>
        <v>4</v>
      </c>
      <c r="AB10" s="17">
        <f t="shared" si="2"/>
        <v>10</v>
      </c>
      <c r="AC10" s="17">
        <f t="shared" si="2"/>
        <v>176</v>
      </c>
      <c r="AD10" s="17">
        <f t="shared" si="2"/>
        <v>1</v>
      </c>
      <c r="AE10" s="31">
        <f t="shared" si="2"/>
        <v>96</v>
      </c>
      <c r="AF10" s="31">
        <f t="shared" si="2"/>
        <v>272</v>
      </c>
    </row>
    <row r="11" spans="2:32" s="6" customFormat="1" ht="23.1" customHeight="1" x14ac:dyDescent="0.25">
      <c r="B11" s="23" t="s">
        <v>38</v>
      </c>
      <c r="C11" s="50">
        <v>2</v>
      </c>
      <c r="D11" s="50">
        <v>4</v>
      </c>
      <c r="E11" s="50">
        <v>2</v>
      </c>
      <c r="F11" s="50">
        <v>7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2</v>
      </c>
      <c r="M11" s="50">
        <v>50</v>
      </c>
      <c r="N11" s="50">
        <v>0</v>
      </c>
      <c r="O11" s="15">
        <f t="shared" si="0"/>
        <v>18</v>
      </c>
      <c r="P11" s="15">
        <f t="shared" si="1"/>
        <v>68</v>
      </c>
      <c r="R11" s="1" t="s">
        <v>7</v>
      </c>
      <c r="S11" s="17">
        <f t="shared" ref="S11:AF11" si="3">SUM(C14:C17)</f>
        <v>55</v>
      </c>
      <c r="T11" s="17">
        <f t="shared" si="3"/>
        <v>24</v>
      </c>
      <c r="U11" s="17">
        <f t="shared" si="3"/>
        <v>16</v>
      </c>
      <c r="V11" s="17">
        <f t="shared" si="3"/>
        <v>56</v>
      </c>
      <c r="W11" s="17">
        <f t="shared" si="3"/>
        <v>1</v>
      </c>
      <c r="X11" s="17">
        <f t="shared" si="3"/>
        <v>0</v>
      </c>
      <c r="Y11" s="17">
        <f t="shared" si="3"/>
        <v>4</v>
      </c>
      <c r="Z11" s="17">
        <f t="shared" si="3"/>
        <v>6</v>
      </c>
      <c r="AA11" s="17">
        <f t="shared" si="3"/>
        <v>4</v>
      </c>
      <c r="AB11" s="17">
        <f t="shared" si="3"/>
        <v>4</v>
      </c>
      <c r="AC11" s="17">
        <f t="shared" si="3"/>
        <v>218</v>
      </c>
      <c r="AD11" s="17">
        <f t="shared" si="3"/>
        <v>0</v>
      </c>
      <c r="AE11" s="31">
        <f t="shared" si="3"/>
        <v>170</v>
      </c>
      <c r="AF11" s="31">
        <f t="shared" si="3"/>
        <v>388</v>
      </c>
    </row>
    <row r="12" spans="2:32" ht="23.1" customHeight="1" x14ac:dyDescent="0.25">
      <c r="B12" s="23" t="s">
        <v>39</v>
      </c>
      <c r="C12" s="50">
        <v>3</v>
      </c>
      <c r="D12" s="50">
        <v>3</v>
      </c>
      <c r="E12" s="50">
        <v>1</v>
      </c>
      <c r="F12" s="50">
        <v>9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2</v>
      </c>
      <c r="M12" s="50">
        <v>36</v>
      </c>
      <c r="N12" s="50">
        <v>1</v>
      </c>
      <c r="O12" s="15">
        <f t="shared" si="0"/>
        <v>20</v>
      </c>
      <c r="P12" s="15">
        <f t="shared" si="1"/>
        <v>56</v>
      </c>
      <c r="R12" s="1" t="s">
        <v>8</v>
      </c>
      <c r="S12" s="17">
        <f t="shared" ref="S12:AF12" si="4">SUM(C18:C21)</f>
        <v>58</v>
      </c>
      <c r="T12" s="17">
        <f t="shared" si="4"/>
        <v>29</v>
      </c>
      <c r="U12" s="17">
        <f t="shared" si="4"/>
        <v>7</v>
      </c>
      <c r="V12" s="17">
        <f t="shared" si="4"/>
        <v>48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3</v>
      </c>
      <c r="AA12" s="17">
        <f t="shared" si="4"/>
        <v>1</v>
      </c>
      <c r="AB12" s="17">
        <f t="shared" si="4"/>
        <v>4</v>
      </c>
      <c r="AC12" s="17">
        <f t="shared" si="4"/>
        <v>232</v>
      </c>
      <c r="AD12" s="17">
        <f t="shared" si="4"/>
        <v>0</v>
      </c>
      <c r="AE12" s="31">
        <f t="shared" si="4"/>
        <v>151</v>
      </c>
      <c r="AF12" s="31">
        <f t="shared" si="4"/>
        <v>383</v>
      </c>
    </row>
    <row r="13" spans="2:32" ht="23.1" customHeight="1" x14ac:dyDescent="0.25">
      <c r="B13" s="23" t="s">
        <v>40</v>
      </c>
      <c r="C13" s="50">
        <v>10</v>
      </c>
      <c r="D13" s="50">
        <v>3</v>
      </c>
      <c r="E13" s="50">
        <v>6</v>
      </c>
      <c r="F13" s="50">
        <v>10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2</v>
      </c>
      <c r="M13" s="50">
        <v>50</v>
      </c>
      <c r="N13" s="50">
        <v>0</v>
      </c>
      <c r="O13" s="15">
        <f t="shared" si="0"/>
        <v>34</v>
      </c>
      <c r="P13" s="15">
        <f t="shared" si="1"/>
        <v>84</v>
      </c>
      <c r="R13" s="1" t="s">
        <v>9</v>
      </c>
      <c r="S13" s="17">
        <f t="shared" ref="S13:AF13" si="5">SUM(C22:C25)</f>
        <v>50</v>
      </c>
      <c r="T13" s="17">
        <f t="shared" si="5"/>
        <v>33</v>
      </c>
      <c r="U13" s="17">
        <f t="shared" si="5"/>
        <v>10</v>
      </c>
      <c r="V13" s="17">
        <f t="shared" si="5"/>
        <v>36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4</v>
      </c>
      <c r="AA13" s="17">
        <f t="shared" si="5"/>
        <v>0</v>
      </c>
      <c r="AB13" s="17">
        <f t="shared" si="5"/>
        <v>3</v>
      </c>
      <c r="AC13" s="17">
        <f t="shared" si="5"/>
        <v>319</v>
      </c>
      <c r="AD13" s="17">
        <f t="shared" si="5"/>
        <v>0</v>
      </c>
      <c r="AE13" s="31">
        <f t="shared" si="5"/>
        <v>141</v>
      </c>
      <c r="AF13" s="31">
        <f t="shared" si="5"/>
        <v>460</v>
      </c>
    </row>
    <row r="14" spans="2:32" ht="23.1" customHeight="1" x14ac:dyDescent="0.25">
      <c r="B14" s="23" t="s">
        <v>41</v>
      </c>
      <c r="C14" s="50">
        <v>7</v>
      </c>
      <c r="D14" s="50">
        <v>7</v>
      </c>
      <c r="E14" s="50">
        <v>4</v>
      </c>
      <c r="F14" s="50">
        <v>12</v>
      </c>
      <c r="G14" s="50">
        <v>0</v>
      </c>
      <c r="H14" s="50">
        <v>0</v>
      </c>
      <c r="I14" s="50">
        <v>2</v>
      </c>
      <c r="J14" s="50">
        <v>2</v>
      </c>
      <c r="K14" s="50">
        <v>1</v>
      </c>
      <c r="L14" s="50">
        <v>1</v>
      </c>
      <c r="M14" s="50">
        <v>55</v>
      </c>
      <c r="N14" s="50">
        <v>0</v>
      </c>
      <c r="O14" s="15">
        <f t="shared" si="0"/>
        <v>36</v>
      </c>
      <c r="P14" s="15">
        <f t="shared" si="1"/>
        <v>91</v>
      </c>
      <c r="R14" s="1" t="s">
        <v>10</v>
      </c>
      <c r="S14" s="17">
        <f t="shared" ref="S14:AF14" si="6">SUM(C26:C29)</f>
        <v>92</v>
      </c>
      <c r="T14" s="17">
        <f t="shared" si="6"/>
        <v>55</v>
      </c>
      <c r="U14" s="17">
        <f t="shared" si="6"/>
        <v>17</v>
      </c>
      <c r="V14" s="17">
        <f t="shared" si="6"/>
        <v>48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5</v>
      </c>
      <c r="AC14" s="17">
        <f t="shared" si="6"/>
        <v>195</v>
      </c>
      <c r="AD14" s="17">
        <f t="shared" si="6"/>
        <v>0</v>
      </c>
      <c r="AE14" s="31">
        <f t="shared" si="6"/>
        <v>220</v>
      </c>
      <c r="AF14" s="31">
        <f t="shared" si="6"/>
        <v>415</v>
      </c>
    </row>
    <row r="15" spans="2:32" ht="23.1" customHeight="1" x14ac:dyDescent="0.25">
      <c r="B15" s="23" t="s">
        <v>42</v>
      </c>
      <c r="C15" s="50">
        <v>8</v>
      </c>
      <c r="D15" s="50">
        <v>3</v>
      </c>
      <c r="E15" s="50">
        <v>2</v>
      </c>
      <c r="F15" s="50">
        <v>8</v>
      </c>
      <c r="G15" s="50">
        <v>0</v>
      </c>
      <c r="H15" s="50">
        <v>0</v>
      </c>
      <c r="I15" s="50">
        <v>2</v>
      </c>
      <c r="J15" s="50">
        <v>0</v>
      </c>
      <c r="K15" s="50">
        <v>1</v>
      </c>
      <c r="L15" s="50">
        <v>1</v>
      </c>
      <c r="M15" s="50">
        <v>65</v>
      </c>
      <c r="N15" s="50">
        <v>0</v>
      </c>
      <c r="O15" s="15">
        <f t="shared" si="0"/>
        <v>25</v>
      </c>
      <c r="P15" s="15">
        <f t="shared" si="1"/>
        <v>90</v>
      </c>
      <c r="R15" s="1" t="s">
        <v>11</v>
      </c>
      <c r="S15" s="17">
        <f t="shared" ref="S15:AF15" si="7">SUM(C30:C33)</f>
        <v>97</v>
      </c>
      <c r="T15" s="17">
        <f t="shared" si="7"/>
        <v>50</v>
      </c>
      <c r="U15" s="17">
        <f t="shared" si="7"/>
        <v>31</v>
      </c>
      <c r="V15" s="17">
        <f t="shared" si="7"/>
        <v>27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4</v>
      </c>
      <c r="AA15" s="17">
        <f t="shared" si="7"/>
        <v>0</v>
      </c>
      <c r="AB15" s="17">
        <f t="shared" si="7"/>
        <v>5</v>
      </c>
      <c r="AC15" s="17">
        <f t="shared" si="7"/>
        <v>141</v>
      </c>
      <c r="AD15" s="17">
        <f t="shared" si="7"/>
        <v>0</v>
      </c>
      <c r="AE15" s="31">
        <f t="shared" si="7"/>
        <v>218</v>
      </c>
      <c r="AF15" s="31">
        <f t="shared" si="7"/>
        <v>359</v>
      </c>
    </row>
    <row r="16" spans="2:32" ht="23.1" customHeight="1" x14ac:dyDescent="0.25">
      <c r="B16" s="23" t="s">
        <v>43</v>
      </c>
      <c r="C16" s="50">
        <v>17</v>
      </c>
      <c r="D16" s="50">
        <v>6</v>
      </c>
      <c r="E16" s="50">
        <v>5</v>
      </c>
      <c r="F16" s="50">
        <v>19</v>
      </c>
      <c r="G16" s="50">
        <v>1</v>
      </c>
      <c r="H16" s="50">
        <v>0</v>
      </c>
      <c r="I16" s="50">
        <v>0</v>
      </c>
      <c r="J16" s="50">
        <v>2</v>
      </c>
      <c r="K16" s="50">
        <v>1</v>
      </c>
      <c r="L16" s="50">
        <v>2</v>
      </c>
      <c r="M16" s="50">
        <v>42</v>
      </c>
      <c r="N16" s="50">
        <v>0</v>
      </c>
      <c r="O16" s="15">
        <f t="shared" si="0"/>
        <v>53</v>
      </c>
      <c r="P16" s="15">
        <f t="shared" si="1"/>
        <v>95</v>
      </c>
      <c r="R16" s="1" t="s">
        <v>12</v>
      </c>
      <c r="S16" s="17">
        <f t="shared" ref="S16:AF16" si="8">SUM(C34:C37)</f>
        <v>124</v>
      </c>
      <c r="T16" s="17">
        <f t="shared" si="8"/>
        <v>66</v>
      </c>
      <c r="U16" s="17">
        <f t="shared" si="8"/>
        <v>20</v>
      </c>
      <c r="V16" s="17">
        <f t="shared" si="8"/>
        <v>44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0</v>
      </c>
      <c r="AB16" s="17">
        <f t="shared" si="8"/>
        <v>2</v>
      </c>
      <c r="AC16" s="17">
        <f t="shared" si="8"/>
        <v>165</v>
      </c>
      <c r="AD16" s="17">
        <f t="shared" si="8"/>
        <v>0</v>
      </c>
      <c r="AE16" s="31">
        <f t="shared" si="8"/>
        <v>257</v>
      </c>
      <c r="AF16" s="31">
        <f t="shared" si="8"/>
        <v>422</v>
      </c>
    </row>
    <row r="17" spans="2:32" ht="23.1" customHeight="1" x14ac:dyDescent="0.25">
      <c r="B17" s="23" t="s">
        <v>44</v>
      </c>
      <c r="C17" s="50">
        <v>23</v>
      </c>
      <c r="D17" s="50">
        <v>8</v>
      </c>
      <c r="E17" s="50">
        <v>5</v>
      </c>
      <c r="F17" s="50">
        <v>17</v>
      </c>
      <c r="G17" s="50">
        <v>0</v>
      </c>
      <c r="H17" s="50">
        <v>0</v>
      </c>
      <c r="I17" s="50">
        <v>0</v>
      </c>
      <c r="J17" s="50">
        <v>2</v>
      </c>
      <c r="K17" s="50">
        <v>1</v>
      </c>
      <c r="L17" s="50">
        <v>0</v>
      </c>
      <c r="M17" s="50">
        <v>56</v>
      </c>
      <c r="N17" s="50">
        <v>0</v>
      </c>
      <c r="O17" s="15">
        <f t="shared" si="0"/>
        <v>56</v>
      </c>
      <c r="P17" s="15">
        <f t="shared" si="1"/>
        <v>112</v>
      </c>
      <c r="R17" s="1" t="s">
        <v>13</v>
      </c>
      <c r="S17" s="17">
        <f t="shared" ref="S17:AF17" si="9">SUM(C38:C41)</f>
        <v>128</v>
      </c>
      <c r="T17" s="17">
        <f t="shared" si="9"/>
        <v>67</v>
      </c>
      <c r="U17" s="17">
        <f t="shared" si="9"/>
        <v>20</v>
      </c>
      <c r="V17" s="17">
        <f t="shared" si="9"/>
        <v>46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2</v>
      </c>
      <c r="AA17" s="17">
        <f t="shared" si="9"/>
        <v>1</v>
      </c>
      <c r="AB17" s="17">
        <f t="shared" si="9"/>
        <v>4</v>
      </c>
      <c r="AC17" s="17">
        <f t="shared" si="9"/>
        <v>176</v>
      </c>
      <c r="AD17" s="17">
        <f t="shared" si="9"/>
        <v>0</v>
      </c>
      <c r="AE17" s="31">
        <f t="shared" si="9"/>
        <v>268</v>
      </c>
      <c r="AF17" s="31">
        <f t="shared" si="9"/>
        <v>444</v>
      </c>
    </row>
    <row r="18" spans="2:32" ht="23.1" customHeight="1" x14ac:dyDescent="0.25">
      <c r="B18" s="23" t="s">
        <v>45</v>
      </c>
      <c r="C18" s="50">
        <v>12</v>
      </c>
      <c r="D18" s="50">
        <v>3</v>
      </c>
      <c r="E18" s="50">
        <v>0</v>
      </c>
      <c r="F18" s="50">
        <v>5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3</v>
      </c>
      <c r="M18" s="50">
        <v>52</v>
      </c>
      <c r="N18" s="50">
        <v>0</v>
      </c>
      <c r="O18" s="15">
        <f t="shared" si="0"/>
        <v>24</v>
      </c>
      <c r="P18" s="15">
        <f t="shared" si="1"/>
        <v>76</v>
      </c>
      <c r="R18" s="1" t="s">
        <v>14</v>
      </c>
      <c r="S18" s="17">
        <f t="shared" ref="S18:AF18" si="10">SUM(C42:C45)</f>
        <v>95</v>
      </c>
      <c r="T18" s="17">
        <f t="shared" si="10"/>
        <v>76</v>
      </c>
      <c r="U18" s="17">
        <f t="shared" si="10"/>
        <v>18</v>
      </c>
      <c r="V18" s="17">
        <f t="shared" si="10"/>
        <v>23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4</v>
      </c>
      <c r="AA18" s="17">
        <f t="shared" si="10"/>
        <v>1</v>
      </c>
      <c r="AB18" s="17">
        <f t="shared" si="10"/>
        <v>4</v>
      </c>
      <c r="AC18" s="17">
        <f t="shared" si="10"/>
        <v>233</v>
      </c>
      <c r="AD18" s="17">
        <f t="shared" si="10"/>
        <v>0</v>
      </c>
      <c r="AE18" s="31">
        <f t="shared" si="10"/>
        <v>223</v>
      </c>
      <c r="AF18" s="31">
        <f t="shared" si="10"/>
        <v>456</v>
      </c>
    </row>
    <row r="19" spans="2:32" ht="23.1" customHeight="1" x14ac:dyDescent="0.25">
      <c r="B19" s="23" t="s">
        <v>46</v>
      </c>
      <c r="C19" s="50">
        <v>14</v>
      </c>
      <c r="D19" s="50">
        <v>3</v>
      </c>
      <c r="E19" s="50">
        <v>0</v>
      </c>
      <c r="F19" s="50">
        <v>15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45</v>
      </c>
      <c r="N19" s="50">
        <v>0</v>
      </c>
      <c r="O19" s="15">
        <f t="shared" si="0"/>
        <v>33</v>
      </c>
      <c r="P19" s="15">
        <f t="shared" si="1"/>
        <v>78</v>
      </c>
      <c r="R19" s="1" t="s">
        <v>15</v>
      </c>
      <c r="S19" s="17">
        <f t="shared" ref="S19:AF19" si="11">SUM(C46:C49)</f>
        <v>129</v>
      </c>
      <c r="T19" s="17">
        <f t="shared" si="11"/>
        <v>82</v>
      </c>
      <c r="U19" s="17">
        <f t="shared" si="11"/>
        <v>24</v>
      </c>
      <c r="V19" s="17">
        <f t="shared" si="11"/>
        <v>36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1</v>
      </c>
      <c r="AB19" s="17">
        <f t="shared" si="11"/>
        <v>3</v>
      </c>
      <c r="AC19" s="17">
        <f t="shared" si="11"/>
        <v>234</v>
      </c>
      <c r="AD19" s="17">
        <f t="shared" si="11"/>
        <v>0</v>
      </c>
      <c r="AE19" s="31">
        <f t="shared" si="11"/>
        <v>278</v>
      </c>
      <c r="AF19" s="31">
        <f t="shared" si="11"/>
        <v>512</v>
      </c>
    </row>
    <row r="20" spans="2:32" ht="23.1" customHeight="1" x14ac:dyDescent="0.25">
      <c r="B20" s="23" t="s">
        <v>47</v>
      </c>
      <c r="C20" s="50">
        <v>12</v>
      </c>
      <c r="D20" s="50">
        <v>10</v>
      </c>
      <c r="E20" s="50">
        <v>2</v>
      </c>
      <c r="F20" s="50">
        <v>12</v>
      </c>
      <c r="G20" s="50">
        <v>0</v>
      </c>
      <c r="H20" s="50">
        <v>0</v>
      </c>
      <c r="I20" s="50">
        <v>1</v>
      </c>
      <c r="J20" s="50">
        <v>2</v>
      </c>
      <c r="K20" s="50">
        <v>1</v>
      </c>
      <c r="L20" s="50">
        <v>0</v>
      </c>
      <c r="M20" s="50">
        <v>90</v>
      </c>
      <c r="N20" s="50">
        <v>0</v>
      </c>
      <c r="O20" s="15">
        <f t="shared" si="0"/>
        <v>40</v>
      </c>
      <c r="P20" s="15">
        <f t="shared" si="1"/>
        <v>130</v>
      </c>
      <c r="R20" s="1" t="s">
        <v>16</v>
      </c>
      <c r="S20" s="17">
        <f t="shared" ref="S20:AF20" si="12">SUM(C50:C53)</f>
        <v>119</v>
      </c>
      <c r="T20" s="17">
        <f t="shared" si="12"/>
        <v>64</v>
      </c>
      <c r="U20" s="17">
        <f t="shared" si="12"/>
        <v>19</v>
      </c>
      <c r="V20" s="17">
        <f t="shared" si="12"/>
        <v>39</v>
      </c>
      <c r="W20" s="17">
        <f t="shared" si="12"/>
        <v>1</v>
      </c>
      <c r="X20" s="17">
        <f t="shared" si="12"/>
        <v>0</v>
      </c>
      <c r="Y20" s="17">
        <f t="shared" si="12"/>
        <v>3</v>
      </c>
      <c r="Z20" s="17">
        <f t="shared" si="12"/>
        <v>2</v>
      </c>
      <c r="AA20" s="17">
        <f t="shared" si="12"/>
        <v>0</v>
      </c>
      <c r="AB20" s="17">
        <f t="shared" si="12"/>
        <v>2</v>
      </c>
      <c r="AC20" s="17">
        <f t="shared" si="12"/>
        <v>330</v>
      </c>
      <c r="AD20" s="17">
        <f t="shared" si="12"/>
        <v>0</v>
      </c>
      <c r="AE20" s="31">
        <f t="shared" si="12"/>
        <v>249</v>
      </c>
      <c r="AF20" s="31">
        <f t="shared" si="12"/>
        <v>579</v>
      </c>
    </row>
    <row r="21" spans="2:32" ht="23.1" customHeight="1" x14ac:dyDescent="0.25">
      <c r="B21" s="23" t="s">
        <v>48</v>
      </c>
      <c r="C21" s="50">
        <v>20</v>
      </c>
      <c r="D21" s="50">
        <v>13</v>
      </c>
      <c r="E21" s="50">
        <v>5</v>
      </c>
      <c r="F21" s="50">
        <v>16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45</v>
      </c>
      <c r="N21" s="50">
        <v>0</v>
      </c>
      <c r="O21" s="15">
        <f t="shared" si="0"/>
        <v>54</v>
      </c>
      <c r="P21" s="15">
        <f t="shared" si="1"/>
        <v>99</v>
      </c>
      <c r="R21" s="36" t="s">
        <v>20</v>
      </c>
      <c r="S21" s="34">
        <f t="shared" ref="S21:AF21" si="13">SUM(C54:C57)</f>
        <v>125</v>
      </c>
      <c r="T21" s="17">
        <f t="shared" si="13"/>
        <v>90</v>
      </c>
      <c r="U21" s="17">
        <f t="shared" si="13"/>
        <v>20</v>
      </c>
      <c r="V21" s="17">
        <f t="shared" si="13"/>
        <v>39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2</v>
      </c>
      <c r="AA21" s="17">
        <f t="shared" si="13"/>
        <v>0</v>
      </c>
      <c r="AB21" s="17">
        <f t="shared" si="13"/>
        <v>3</v>
      </c>
      <c r="AC21" s="17">
        <f t="shared" si="13"/>
        <v>322</v>
      </c>
      <c r="AD21" s="17">
        <f t="shared" si="13"/>
        <v>0</v>
      </c>
      <c r="AE21" s="31">
        <f t="shared" si="13"/>
        <v>282</v>
      </c>
      <c r="AF21" s="31">
        <f t="shared" si="13"/>
        <v>604</v>
      </c>
    </row>
    <row r="22" spans="2:32" ht="23.1" customHeight="1" x14ac:dyDescent="0.25">
      <c r="B22" s="23" t="s">
        <v>49</v>
      </c>
      <c r="C22" s="50">
        <v>11</v>
      </c>
      <c r="D22" s="50">
        <v>16</v>
      </c>
      <c r="E22" s="50">
        <v>5</v>
      </c>
      <c r="F22" s="50">
        <v>10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1</v>
      </c>
      <c r="M22" s="50">
        <v>103</v>
      </c>
      <c r="N22" s="50">
        <v>0</v>
      </c>
      <c r="O22" s="15">
        <f t="shared" si="0"/>
        <v>46</v>
      </c>
      <c r="P22" s="15">
        <f t="shared" si="1"/>
        <v>149</v>
      </c>
      <c r="R22" s="38" t="s">
        <v>90</v>
      </c>
      <c r="S22" s="39">
        <f>MAX(S10:S12)</f>
        <v>58</v>
      </c>
      <c r="T22" s="39">
        <f t="shared" ref="T22:AF22" si="14">MAX(T10:T12)</f>
        <v>29</v>
      </c>
      <c r="U22" s="39">
        <f t="shared" si="14"/>
        <v>16</v>
      </c>
      <c r="V22" s="39">
        <f t="shared" si="14"/>
        <v>56</v>
      </c>
      <c r="W22" s="39">
        <f t="shared" si="14"/>
        <v>1</v>
      </c>
      <c r="X22" s="39">
        <f t="shared" si="14"/>
        <v>0</v>
      </c>
      <c r="Y22" s="39">
        <f t="shared" si="14"/>
        <v>5</v>
      </c>
      <c r="Z22" s="39">
        <f t="shared" si="14"/>
        <v>6</v>
      </c>
      <c r="AA22" s="39">
        <f t="shared" si="14"/>
        <v>4</v>
      </c>
      <c r="AB22" s="39">
        <f t="shared" si="14"/>
        <v>10</v>
      </c>
      <c r="AC22" s="39">
        <f t="shared" si="14"/>
        <v>232</v>
      </c>
      <c r="AD22" s="39">
        <f t="shared" si="14"/>
        <v>1</v>
      </c>
      <c r="AE22" s="40">
        <f t="shared" si="14"/>
        <v>170</v>
      </c>
      <c r="AF22" s="40">
        <f t="shared" si="14"/>
        <v>388</v>
      </c>
    </row>
    <row r="23" spans="2:32" ht="23.1" customHeight="1" x14ac:dyDescent="0.25">
      <c r="B23" s="23" t="s">
        <v>50</v>
      </c>
      <c r="C23" s="50">
        <v>9</v>
      </c>
      <c r="D23" s="50">
        <v>6</v>
      </c>
      <c r="E23" s="50">
        <v>1</v>
      </c>
      <c r="F23" s="50">
        <v>8</v>
      </c>
      <c r="G23" s="50">
        <v>0</v>
      </c>
      <c r="H23" s="50">
        <v>0</v>
      </c>
      <c r="I23" s="50">
        <v>2</v>
      </c>
      <c r="J23" s="50">
        <v>2</v>
      </c>
      <c r="K23" s="50">
        <v>0</v>
      </c>
      <c r="L23" s="50">
        <v>1</v>
      </c>
      <c r="M23" s="50">
        <v>71</v>
      </c>
      <c r="N23" s="50">
        <v>0</v>
      </c>
      <c r="O23" s="15">
        <f t="shared" si="0"/>
        <v>29</v>
      </c>
      <c r="P23" s="15">
        <f t="shared" si="1"/>
        <v>100</v>
      </c>
      <c r="R23" s="38" t="s">
        <v>91</v>
      </c>
      <c r="S23" s="39">
        <f>MAX(S13:S18)</f>
        <v>128</v>
      </c>
      <c r="T23" s="39">
        <f t="shared" ref="T23:AF23" si="15">MAX(T13:T18)</f>
        <v>76</v>
      </c>
      <c r="U23" s="39">
        <f t="shared" si="15"/>
        <v>31</v>
      </c>
      <c r="V23" s="39">
        <f t="shared" si="15"/>
        <v>48</v>
      </c>
      <c r="W23" s="39">
        <f t="shared" si="15"/>
        <v>0</v>
      </c>
      <c r="X23" s="39">
        <f t="shared" si="15"/>
        <v>0</v>
      </c>
      <c r="Y23" s="39">
        <f t="shared" si="15"/>
        <v>5</v>
      </c>
      <c r="Z23" s="39">
        <f t="shared" si="15"/>
        <v>4</v>
      </c>
      <c r="AA23" s="39">
        <f t="shared" si="15"/>
        <v>1</v>
      </c>
      <c r="AB23" s="39">
        <f t="shared" si="15"/>
        <v>5</v>
      </c>
      <c r="AC23" s="39">
        <f t="shared" si="15"/>
        <v>319</v>
      </c>
      <c r="AD23" s="39">
        <f t="shared" si="15"/>
        <v>0</v>
      </c>
      <c r="AE23" s="40">
        <f t="shared" si="15"/>
        <v>268</v>
      </c>
      <c r="AF23" s="40">
        <f t="shared" si="15"/>
        <v>460</v>
      </c>
    </row>
    <row r="24" spans="2:32" ht="23.1" customHeight="1" x14ac:dyDescent="0.25">
      <c r="B24" s="23" t="s">
        <v>51</v>
      </c>
      <c r="C24" s="50">
        <v>13</v>
      </c>
      <c r="D24" s="50">
        <v>4</v>
      </c>
      <c r="E24" s="50">
        <v>0</v>
      </c>
      <c r="F24" s="50">
        <v>10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68</v>
      </c>
      <c r="N24" s="50">
        <v>0</v>
      </c>
      <c r="O24" s="15">
        <f t="shared" si="0"/>
        <v>29</v>
      </c>
      <c r="P24" s="15">
        <f t="shared" si="1"/>
        <v>97</v>
      </c>
      <c r="R24" s="38" t="s">
        <v>92</v>
      </c>
      <c r="S24" s="39">
        <f>MAX(S19:S21)</f>
        <v>129</v>
      </c>
      <c r="T24" s="39">
        <f t="shared" ref="T24:AF24" si="16">MAX(T19:T21)</f>
        <v>90</v>
      </c>
      <c r="U24" s="39">
        <f t="shared" si="16"/>
        <v>24</v>
      </c>
      <c r="V24" s="39">
        <f t="shared" si="16"/>
        <v>39</v>
      </c>
      <c r="W24" s="39">
        <f t="shared" si="16"/>
        <v>1</v>
      </c>
      <c r="X24" s="39">
        <f t="shared" si="16"/>
        <v>0</v>
      </c>
      <c r="Y24" s="39">
        <f t="shared" si="16"/>
        <v>3</v>
      </c>
      <c r="Z24" s="39">
        <f t="shared" si="16"/>
        <v>2</v>
      </c>
      <c r="AA24" s="39">
        <f t="shared" si="16"/>
        <v>1</v>
      </c>
      <c r="AB24" s="39">
        <f t="shared" si="16"/>
        <v>3</v>
      </c>
      <c r="AC24" s="39">
        <f t="shared" si="16"/>
        <v>330</v>
      </c>
      <c r="AD24" s="39">
        <f t="shared" si="16"/>
        <v>0</v>
      </c>
      <c r="AE24" s="40">
        <f t="shared" si="16"/>
        <v>282</v>
      </c>
      <c r="AF24" s="40">
        <f t="shared" si="16"/>
        <v>604</v>
      </c>
    </row>
    <row r="25" spans="2:32" ht="23.1" customHeight="1" x14ac:dyDescent="0.25">
      <c r="B25" s="23" t="s">
        <v>52</v>
      </c>
      <c r="C25" s="50">
        <v>17</v>
      </c>
      <c r="D25" s="50">
        <v>7</v>
      </c>
      <c r="E25" s="50">
        <v>4</v>
      </c>
      <c r="F25" s="50">
        <v>8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77</v>
      </c>
      <c r="N25" s="50">
        <v>0</v>
      </c>
      <c r="O25" s="15">
        <f t="shared" si="0"/>
        <v>37</v>
      </c>
      <c r="P25" s="15">
        <f t="shared" si="1"/>
        <v>114</v>
      </c>
      <c r="R25" s="37" t="s">
        <v>85</v>
      </c>
      <c r="S25" s="35">
        <f t="shared" ref="S25:AF25" si="17">SUM(S10:S12)</f>
        <v>130</v>
      </c>
      <c r="T25" s="16">
        <f t="shared" si="17"/>
        <v>65</v>
      </c>
      <c r="U25" s="16">
        <f t="shared" si="17"/>
        <v>33</v>
      </c>
      <c r="V25" s="16">
        <f t="shared" si="17"/>
        <v>138</v>
      </c>
      <c r="W25" s="16">
        <f t="shared" si="17"/>
        <v>1</v>
      </c>
      <c r="X25" s="16">
        <f t="shared" si="17"/>
        <v>0</v>
      </c>
      <c r="Y25" s="16">
        <f t="shared" si="17"/>
        <v>10</v>
      </c>
      <c r="Z25" s="16">
        <f t="shared" si="17"/>
        <v>12</v>
      </c>
      <c r="AA25" s="16">
        <f t="shared" si="17"/>
        <v>9</v>
      </c>
      <c r="AB25" s="16">
        <f t="shared" si="17"/>
        <v>18</v>
      </c>
      <c r="AC25" s="16">
        <f t="shared" si="17"/>
        <v>626</v>
      </c>
      <c r="AD25" s="16">
        <f t="shared" si="17"/>
        <v>1</v>
      </c>
      <c r="AE25" s="32">
        <f t="shared" si="17"/>
        <v>417</v>
      </c>
      <c r="AF25" s="32">
        <f t="shared" si="17"/>
        <v>1043</v>
      </c>
    </row>
    <row r="26" spans="2:32" ht="23.1" customHeight="1" x14ac:dyDescent="0.25">
      <c r="B26" s="23" t="s">
        <v>53</v>
      </c>
      <c r="C26" s="50">
        <v>22</v>
      </c>
      <c r="D26" s="50">
        <v>12</v>
      </c>
      <c r="E26" s="50">
        <v>3</v>
      </c>
      <c r="F26" s="50">
        <v>13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50</v>
      </c>
      <c r="N26" s="50">
        <v>0</v>
      </c>
      <c r="O26" s="15">
        <f t="shared" si="0"/>
        <v>51</v>
      </c>
      <c r="P26" s="15">
        <f t="shared" si="1"/>
        <v>101</v>
      </c>
      <c r="R26" s="28" t="s">
        <v>86</v>
      </c>
      <c r="S26" s="16">
        <f t="shared" ref="S26:AF26" si="18">SUM(S13:S18)</f>
        <v>586</v>
      </c>
      <c r="T26" s="16">
        <f t="shared" si="18"/>
        <v>347</v>
      </c>
      <c r="U26" s="16">
        <f t="shared" si="18"/>
        <v>116</v>
      </c>
      <c r="V26" s="16">
        <f t="shared" si="18"/>
        <v>224</v>
      </c>
      <c r="W26" s="16">
        <f t="shared" si="18"/>
        <v>0</v>
      </c>
      <c r="X26" s="16">
        <f t="shared" si="18"/>
        <v>0</v>
      </c>
      <c r="Y26" s="16">
        <f t="shared" si="18"/>
        <v>14</v>
      </c>
      <c r="Z26" s="16">
        <f t="shared" si="18"/>
        <v>15</v>
      </c>
      <c r="AA26" s="16">
        <f t="shared" si="18"/>
        <v>2</v>
      </c>
      <c r="AB26" s="16">
        <f t="shared" si="18"/>
        <v>23</v>
      </c>
      <c r="AC26" s="16">
        <f t="shared" si="18"/>
        <v>1229</v>
      </c>
      <c r="AD26" s="16">
        <f t="shared" si="18"/>
        <v>0</v>
      </c>
      <c r="AE26" s="32">
        <f t="shared" si="18"/>
        <v>1327</v>
      </c>
      <c r="AF26" s="32">
        <f t="shared" si="18"/>
        <v>2556</v>
      </c>
    </row>
    <row r="27" spans="2:32" ht="23.1" customHeight="1" x14ac:dyDescent="0.25">
      <c r="B27" s="23" t="s">
        <v>54</v>
      </c>
      <c r="C27" s="50">
        <v>24</v>
      </c>
      <c r="D27" s="50">
        <v>16</v>
      </c>
      <c r="E27" s="50">
        <v>5</v>
      </c>
      <c r="F27" s="50">
        <v>11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1</v>
      </c>
      <c r="M27" s="50">
        <v>70</v>
      </c>
      <c r="N27" s="50">
        <v>0</v>
      </c>
      <c r="O27" s="15">
        <f t="shared" si="0"/>
        <v>58</v>
      </c>
      <c r="P27" s="15">
        <f t="shared" si="1"/>
        <v>128</v>
      </c>
      <c r="R27" s="29" t="s">
        <v>87</v>
      </c>
      <c r="S27" s="16">
        <f t="shared" ref="S27:AF27" si="19">SUM(S19:S21)</f>
        <v>373</v>
      </c>
      <c r="T27" s="16">
        <f t="shared" si="19"/>
        <v>236</v>
      </c>
      <c r="U27" s="16">
        <f t="shared" si="19"/>
        <v>63</v>
      </c>
      <c r="V27" s="16">
        <f t="shared" si="19"/>
        <v>114</v>
      </c>
      <c r="W27" s="16">
        <f t="shared" si="19"/>
        <v>1</v>
      </c>
      <c r="X27" s="16">
        <f t="shared" si="19"/>
        <v>0</v>
      </c>
      <c r="Y27" s="16">
        <f t="shared" si="19"/>
        <v>7</v>
      </c>
      <c r="Z27" s="16">
        <f t="shared" si="19"/>
        <v>6</v>
      </c>
      <c r="AA27" s="16">
        <f t="shared" si="19"/>
        <v>1</v>
      </c>
      <c r="AB27" s="16">
        <f t="shared" si="19"/>
        <v>8</v>
      </c>
      <c r="AC27" s="16">
        <f t="shared" si="19"/>
        <v>886</v>
      </c>
      <c r="AD27" s="16">
        <f t="shared" si="19"/>
        <v>0</v>
      </c>
      <c r="AE27" s="32">
        <f t="shared" si="19"/>
        <v>809</v>
      </c>
      <c r="AF27" s="32">
        <f t="shared" si="19"/>
        <v>1695</v>
      </c>
    </row>
    <row r="28" spans="2:32" ht="23.1" customHeight="1" x14ac:dyDescent="0.25">
      <c r="B28" s="23" t="s">
        <v>55</v>
      </c>
      <c r="C28" s="50">
        <v>30</v>
      </c>
      <c r="D28" s="50">
        <v>19</v>
      </c>
      <c r="E28" s="50">
        <v>8</v>
      </c>
      <c r="F28" s="50">
        <v>16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2</v>
      </c>
      <c r="M28" s="50">
        <v>30</v>
      </c>
      <c r="N28" s="50">
        <v>0</v>
      </c>
      <c r="O28" s="15">
        <f t="shared" si="0"/>
        <v>75</v>
      </c>
      <c r="P28" s="15">
        <f t="shared" si="1"/>
        <v>105</v>
      </c>
      <c r="R28" s="5" t="s">
        <v>17</v>
      </c>
      <c r="S28" s="16">
        <f t="shared" ref="S28:AF28" si="20">SUM(S10:S21)</f>
        <v>1089</v>
      </c>
      <c r="T28" s="16">
        <f t="shared" si="20"/>
        <v>648</v>
      </c>
      <c r="U28" s="16">
        <f t="shared" si="20"/>
        <v>212</v>
      </c>
      <c r="V28" s="16">
        <f t="shared" si="20"/>
        <v>476</v>
      </c>
      <c r="W28" s="16">
        <f t="shared" si="20"/>
        <v>2</v>
      </c>
      <c r="X28" s="16">
        <f t="shared" si="20"/>
        <v>0</v>
      </c>
      <c r="Y28" s="16">
        <f t="shared" si="20"/>
        <v>31</v>
      </c>
      <c r="Z28" s="16">
        <f t="shared" si="20"/>
        <v>33</v>
      </c>
      <c r="AA28" s="16">
        <f t="shared" si="20"/>
        <v>12</v>
      </c>
      <c r="AB28" s="16">
        <f t="shared" si="20"/>
        <v>49</v>
      </c>
      <c r="AC28" s="16">
        <f t="shared" si="20"/>
        <v>2741</v>
      </c>
      <c r="AD28" s="16">
        <f t="shared" si="20"/>
        <v>1</v>
      </c>
      <c r="AE28" s="32">
        <f t="shared" si="20"/>
        <v>2553</v>
      </c>
      <c r="AF28" s="32">
        <f t="shared" si="20"/>
        <v>5294</v>
      </c>
    </row>
    <row r="29" spans="2:32" ht="23.1" customHeight="1" x14ac:dyDescent="0.25">
      <c r="B29" s="23" t="s">
        <v>56</v>
      </c>
      <c r="C29" s="50">
        <v>16</v>
      </c>
      <c r="D29" s="50">
        <v>8</v>
      </c>
      <c r="E29" s="50">
        <v>1</v>
      </c>
      <c r="F29" s="50">
        <v>8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1</v>
      </c>
      <c r="M29" s="50">
        <v>45</v>
      </c>
      <c r="N29" s="50">
        <v>0</v>
      </c>
      <c r="O29" s="15">
        <f t="shared" si="0"/>
        <v>36</v>
      </c>
      <c r="P29" s="15">
        <f t="shared" si="1"/>
        <v>81</v>
      </c>
      <c r="R29"/>
      <c r="S29" s="20"/>
      <c r="T29" s="19"/>
    </row>
    <row r="30" spans="2:32" ht="23.1" customHeight="1" x14ac:dyDescent="0.25">
      <c r="B30" s="23" t="s">
        <v>57</v>
      </c>
      <c r="C30" s="50">
        <v>17</v>
      </c>
      <c r="D30" s="50">
        <v>15</v>
      </c>
      <c r="E30" s="50">
        <v>7</v>
      </c>
      <c r="F30" s="50">
        <v>10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0</v>
      </c>
      <c r="M30" s="50">
        <v>30</v>
      </c>
      <c r="N30" s="50">
        <v>0</v>
      </c>
      <c r="O30" s="15">
        <f t="shared" si="0"/>
        <v>52</v>
      </c>
      <c r="P30" s="15">
        <f t="shared" si="1"/>
        <v>82</v>
      </c>
    </row>
    <row r="31" spans="2:32" ht="23.1" customHeight="1" x14ac:dyDescent="0.25">
      <c r="B31" s="24" t="s">
        <v>58</v>
      </c>
      <c r="C31" s="50">
        <v>25</v>
      </c>
      <c r="D31" s="50">
        <v>9</v>
      </c>
      <c r="E31" s="50">
        <v>13</v>
      </c>
      <c r="F31" s="50">
        <v>5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40</v>
      </c>
      <c r="N31" s="50">
        <v>0</v>
      </c>
      <c r="O31" s="15">
        <f t="shared" si="0"/>
        <v>53</v>
      </c>
      <c r="P31" s="15">
        <f t="shared" si="1"/>
        <v>93</v>
      </c>
    </row>
    <row r="32" spans="2:32" ht="23.1" customHeight="1" x14ac:dyDescent="0.25">
      <c r="B32" s="24" t="s">
        <v>59</v>
      </c>
      <c r="C32" s="50">
        <v>25</v>
      </c>
      <c r="D32" s="50">
        <v>15</v>
      </c>
      <c r="E32" s="50">
        <v>6</v>
      </c>
      <c r="F32" s="50">
        <v>7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1</v>
      </c>
      <c r="M32" s="50">
        <v>31</v>
      </c>
      <c r="N32" s="50">
        <v>0</v>
      </c>
      <c r="O32" s="15">
        <f t="shared" si="0"/>
        <v>55</v>
      </c>
      <c r="P32" s="15">
        <f t="shared" si="1"/>
        <v>86</v>
      </c>
    </row>
    <row r="33" spans="2:20" ht="23.1" customHeight="1" x14ac:dyDescent="0.25">
      <c r="B33" s="23" t="s">
        <v>60</v>
      </c>
      <c r="C33" s="50">
        <v>30</v>
      </c>
      <c r="D33" s="50">
        <v>11</v>
      </c>
      <c r="E33" s="50">
        <v>5</v>
      </c>
      <c r="F33" s="50">
        <v>5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4</v>
      </c>
      <c r="M33" s="50">
        <v>40</v>
      </c>
      <c r="N33" s="50">
        <v>0</v>
      </c>
      <c r="O33" s="15">
        <f t="shared" si="0"/>
        <v>58</v>
      </c>
      <c r="P33" s="15">
        <f t="shared" si="1"/>
        <v>98</v>
      </c>
    </row>
    <row r="34" spans="2:20" ht="23.1" customHeight="1" x14ac:dyDescent="0.25">
      <c r="B34" s="24" t="s">
        <v>61</v>
      </c>
      <c r="C34" s="50">
        <v>39</v>
      </c>
      <c r="D34" s="50">
        <v>17</v>
      </c>
      <c r="E34" s="50">
        <v>7</v>
      </c>
      <c r="F34" s="50">
        <v>13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37</v>
      </c>
      <c r="N34" s="50">
        <v>0</v>
      </c>
      <c r="O34" s="15">
        <f t="shared" si="0"/>
        <v>77</v>
      </c>
      <c r="P34" s="15">
        <f t="shared" si="1"/>
        <v>114</v>
      </c>
    </row>
    <row r="35" spans="2:20" ht="23.1" customHeight="1" x14ac:dyDescent="0.25">
      <c r="B35" s="24" t="s">
        <v>62</v>
      </c>
      <c r="C35" s="50">
        <v>28</v>
      </c>
      <c r="D35" s="50">
        <v>19</v>
      </c>
      <c r="E35" s="50">
        <v>3</v>
      </c>
      <c r="F35" s="50">
        <v>10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30</v>
      </c>
      <c r="N35" s="50">
        <v>0</v>
      </c>
      <c r="O35" s="15">
        <f t="shared" si="0"/>
        <v>61</v>
      </c>
      <c r="P35" s="15">
        <f t="shared" si="1"/>
        <v>91</v>
      </c>
    </row>
    <row r="36" spans="2:20" ht="23.1" customHeight="1" x14ac:dyDescent="0.25">
      <c r="B36" s="24" t="s">
        <v>63</v>
      </c>
      <c r="C36" s="50">
        <v>26</v>
      </c>
      <c r="D36" s="50">
        <v>15</v>
      </c>
      <c r="E36" s="50">
        <v>3</v>
      </c>
      <c r="F36" s="50">
        <v>8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38</v>
      </c>
      <c r="N36" s="50">
        <v>0</v>
      </c>
      <c r="O36" s="15">
        <f t="shared" si="0"/>
        <v>52</v>
      </c>
      <c r="P36" s="15">
        <f t="shared" si="1"/>
        <v>90</v>
      </c>
    </row>
    <row r="37" spans="2:20" ht="23.1" customHeight="1" x14ac:dyDescent="0.25">
      <c r="B37" s="23" t="s">
        <v>64</v>
      </c>
      <c r="C37" s="50">
        <v>31</v>
      </c>
      <c r="D37" s="50">
        <v>15</v>
      </c>
      <c r="E37" s="50">
        <v>7</v>
      </c>
      <c r="F37" s="50">
        <v>13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60</v>
      </c>
      <c r="N37" s="50">
        <v>0</v>
      </c>
      <c r="O37" s="15">
        <f t="shared" si="0"/>
        <v>67</v>
      </c>
      <c r="P37" s="15">
        <f t="shared" si="1"/>
        <v>127</v>
      </c>
    </row>
    <row r="38" spans="2:20" ht="23.1" customHeight="1" x14ac:dyDescent="0.25">
      <c r="B38" s="24" t="s">
        <v>65</v>
      </c>
      <c r="C38" s="50">
        <v>32</v>
      </c>
      <c r="D38" s="50">
        <v>16</v>
      </c>
      <c r="E38" s="50">
        <v>8</v>
      </c>
      <c r="F38" s="50">
        <v>13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46</v>
      </c>
      <c r="N38" s="50">
        <v>0</v>
      </c>
      <c r="O38" s="15">
        <f t="shared" si="0"/>
        <v>70</v>
      </c>
      <c r="P38" s="15">
        <f t="shared" si="1"/>
        <v>116</v>
      </c>
    </row>
    <row r="39" spans="2:20" ht="23.1" customHeight="1" x14ac:dyDescent="0.25">
      <c r="B39" s="24" t="s">
        <v>66</v>
      </c>
      <c r="C39" s="50">
        <v>30</v>
      </c>
      <c r="D39" s="50">
        <v>17</v>
      </c>
      <c r="E39" s="50">
        <v>5</v>
      </c>
      <c r="F39" s="50">
        <v>10</v>
      </c>
      <c r="G39" s="50">
        <v>0</v>
      </c>
      <c r="H39" s="50">
        <v>0</v>
      </c>
      <c r="I39" s="50">
        <v>0</v>
      </c>
      <c r="J39" s="50">
        <v>1</v>
      </c>
      <c r="K39" s="50">
        <v>1</v>
      </c>
      <c r="L39" s="50">
        <v>2</v>
      </c>
      <c r="M39" s="50">
        <v>30</v>
      </c>
      <c r="N39" s="50">
        <v>0</v>
      </c>
      <c r="O39" s="15">
        <f t="shared" si="0"/>
        <v>66</v>
      </c>
      <c r="P39" s="15">
        <f t="shared" si="1"/>
        <v>96</v>
      </c>
    </row>
    <row r="40" spans="2:20" ht="23.1" customHeight="1" x14ac:dyDescent="0.25">
      <c r="B40" s="24" t="s">
        <v>67</v>
      </c>
      <c r="C40" s="50">
        <v>34</v>
      </c>
      <c r="D40" s="50">
        <v>9</v>
      </c>
      <c r="E40" s="50">
        <v>5</v>
      </c>
      <c r="F40" s="50">
        <v>14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40</v>
      </c>
      <c r="N40" s="50">
        <v>0</v>
      </c>
      <c r="O40" s="15">
        <f t="shared" si="0"/>
        <v>63</v>
      </c>
      <c r="P40" s="15">
        <f t="shared" si="1"/>
        <v>103</v>
      </c>
    </row>
    <row r="41" spans="2:20" ht="23.1" customHeight="1" x14ac:dyDescent="0.25">
      <c r="B41" s="23" t="s">
        <v>68</v>
      </c>
      <c r="C41" s="50">
        <v>32</v>
      </c>
      <c r="D41" s="50">
        <v>25</v>
      </c>
      <c r="E41" s="50">
        <v>2</v>
      </c>
      <c r="F41" s="50">
        <v>9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60</v>
      </c>
      <c r="N41" s="50">
        <v>0</v>
      </c>
      <c r="O41" s="15">
        <f t="shared" si="0"/>
        <v>69</v>
      </c>
      <c r="P41" s="15">
        <f t="shared" si="1"/>
        <v>129</v>
      </c>
    </row>
    <row r="42" spans="2:20" ht="23.1" customHeight="1" x14ac:dyDescent="0.25">
      <c r="B42" s="24" t="s">
        <v>69</v>
      </c>
      <c r="C42" s="50">
        <v>16</v>
      </c>
      <c r="D42" s="50">
        <v>20</v>
      </c>
      <c r="E42" s="50">
        <v>2</v>
      </c>
      <c r="F42" s="50">
        <v>2</v>
      </c>
      <c r="G42" s="50">
        <v>0</v>
      </c>
      <c r="H42" s="50">
        <v>0</v>
      </c>
      <c r="I42" s="50">
        <v>0</v>
      </c>
      <c r="J42" s="50">
        <v>0</v>
      </c>
      <c r="K42" s="50">
        <v>1</v>
      </c>
      <c r="L42" s="50">
        <v>0</v>
      </c>
      <c r="M42" s="50">
        <v>50</v>
      </c>
      <c r="N42" s="50">
        <v>0</v>
      </c>
      <c r="O42" s="15">
        <f t="shared" si="0"/>
        <v>41</v>
      </c>
      <c r="P42" s="15">
        <f t="shared" si="1"/>
        <v>91</v>
      </c>
    </row>
    <row r="43" spans="2:20" ht="23.1" customHeight="1" x14ac:dyDescent="0.25">
      <c r="B43" s="23" t="s">
        <v>70</v>
      </c>
      <c r="C43" s="50">
        <v>31</v>
      </c>
      <c r="D43" s="50">
        <v>15</v>
      </c>
      <c r="E43" s="50">
        <v>3</v>
      </c>
      <c r="F43" s="50">
        <v>8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53</v>
      </c>
      <c r="N43" s="50">
        <v>0</v>
      </c>
      <c r="O43" s="15">
        <f t="shared" si="0"/>
        <v>59</v>
      </c>
      <c r="P43" s="15">
        <f t="shared" si="1"/>
        <v>112</v>
      </c>
    </row>
    <row r="44" spans="2:20" ht="23.1" customHeight="1" x14ac:dyDescent="0.25">
      <c r="B44" s="25" t="s">
        <v>71</v>
      </c>
      <c r="C44" s="50">
        <v>23</v>
      </c>
      <c r="D44" s="50">
        <v>26</v>
      </c>
      <c r="E44" s="50">
        <v>3</v>
      </c>
      <c r="F44" s="50">
        <v>6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3</v>
      </c>
      <c r="M44" s="50">
        <v>60</v>
      </c>
      <c r="N44" s="50">
        <v>0</v>
      </c>
      <c r="O44" s="15">
        <f t="shared" si="0"/>
        <v>62</v>
      </c>
      <c r="P44" s="15">
        <f t="shared" si="1"/>
        <v>122</v>
      </c>
    </row>
    <row r="45" spans="2:20" ht="23.1" customHeight="1" x14ac:dyDescent="0.25">
      <c r="B45" s="23" t="s">
        <v>72</v>
      </c>
      <c r="C45" s="50">
        <v>25</v>
      </c>
      <c r="D45" s="50">
        <v>15</v>
      </c>
      <c r="E45" s="50">
        <v>10</v>
      </c>
      <c r="F45" s="50">
        <v>7</v>
      </c>
      <c r="G45" s="50">
        <v>0</v>
      </c>
      <c r="H45" s="50">
        <v>0</v>
      </c>
      <c r="I45" s="50">
        <v>1</v>
      </c>
      <c r="J45" s="50">
        <v>2</v>
      </c>
      <c r="K45" s="50">
        <v>0</v>
      </c>
      <c r="L45" s="50">
        <v>1</v>
      </c>
      <c r="M45" s="50">
        <v>70</v>
      </c>
      <c r="N45" s="50">
        <v>0</v>
      </c>
      <c r="O45" s="15">
        <f t="shared" si="0"/>
        <v>61</v>
      </c>
      <c r="P45" s="15">
        <f t="shared" si="1"/>
        <v>131</v>
      </c>
    </row>
    <row r="46" spans="2:20" ht="23.1" customHeight="1" x14ac:dyDescent="0.25">
      <c r="B46" s="24" t="s">
        <v>73</v>
      </c>
      <c r="C46" s="50">
        <v>26</v>
      </c>
      <c r="D46" s="50">
        <v>18</v>
      </c>
      <c r="E46" s="50">
        <v>6</v>
      </c>
      <c r="F46" s="50">
        <v>9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70</v>
      </c>
      <c r="N46" s="50">
        <v>0</v>
      </c>
      <c r="O46" s="15">
        <f t="shared" si="0"/>
        <v>59</v>
      </c>
      <c r="P46" s="15">
        <f t="shared" si="1"/>
        <v>129</v>
      </c>
      <c r="R46" s="8"/>
      <c r="T46"/>
    </row>
    <row r="47" spans="2:20" ht="23.1" customHeight="1" x14ac:dyDescent="0.25">
      <c r="B47" s="24" t="s">
        <v>74</v>
      </c>
      <c r="C47" s="50">
        <v>31</v>
      </c>
      <c r="D47" s="50">
        <v>14</v>
      </c>
      <c r="E47" s="50">
        <v>7</v>
      </c>
      <c r="F47" s="50">
        <v>8</v>
      </c>
      <c r="G47" s="50">
        <v>0</v>
      </c>
      <c r="H47" s="50">
        <v>0</v>
      </c>
      <c r="I47" s="50">
        <v>1</v>
      </c>
      <c r="J47" s="50">
        <v>0</v>
      </c>
      <c r="K47" s="50">
        <v>1</v>
      </c>
      <c r="L47" s="50">
        <v>0</v>
      </c>
      <c r="M47" s="50">
        <v>54</v>
      </c>
      <c r="N47" s="50">
        <v>0</v>
      </c>
      <c r="O47" s="15">
        <f t="shared" si="0"/>
        <v>62</v>
      </c>
      <c r="P47" s="15">
        <f t="shared" si="1"/>
        <v>116</v>
      </c>
      <c r="R47" s="8"/>
      <c r="T47"/>
    </row>
    <row r="48" spans="2:20" ht="23.1" customHeight="1" x14ac:dyDescent="0.25">
      <c r="B48" s="24" t="s">
        <v>75</v>
      </c>
      <c r="C48" s="50">
        <v>40</v>
      </c>
      <c r="D48" s="50">
        <v>25</v>
      </c>
      <c r="E48" s="50">
        <v>7</v>
      </c>
      <c r="F48" s="50">
        <v>8</v>
      </c>
      <c r="G48" s="50">
        <v>0</v>
      </c>
      <c r="H48" s="50">
        <v>0</v>
      </c>
      <c r="I48" s="50">
        <v>0</v>
      </c>
      <c r="J48" s="50">
        <v>2</v>
      </c>
      <c r="K48" s="50">
        <v>0</v>
      </c>
      <c r="L48" s="50">
        <v>1</v>
      </c>
      <c r="M48" s="50">
        <v>60</v>
      </c>
      <c r="N48" s="50">
        <v>0</v>
      </c>
      <c r="O48" s="15">
        <f t="shared" si="0"/>
        <v>83</v>
      </c>
      <c r="P48" s="15">
        <f t="shared" si="1"/>
        <v>143</v>
      </c>
      <c r="R48" s="8"/>
      <c r="T48"/>
    </row>
    <row r="49" spans="2:20" ht="23.1" customHeight="1" x14ac:dyDescent="0.25">
      <c r="B49" s="23" t="s">
        <v>76</v>
      </c>
      <c r="C49" s="50">
        <v>32</v>
      </c>
      <c r="D49" s="50">
        <v>25</v>
      </c>
      <c r="E49" s="50">
        <v>4</v>
      </c>
      <c r="F49" s="50">
        <v>11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2</v>
      </c>
      <c r="M49" s="50">
        <v>50</v>
      </c>
      <c r="N49" s="50">
        <v>0</v>
      </c>
      <c r="O49" s="15">
        <f t="shared" si="0"/>
        <v>74</v>
      </c>
      <c r="P49" s="15">
        <f t="shared" si="1"/>
        <v>124</v>
      </c>
      <c r="R49" s="8"/>
      <c r="T49"/>
    </row>
    <row r="50" spans="2:20" ht="23.1" customHeight="1" x14ac:dyDescent="0.25">
      <c r="B50" s="24" t="s">
        <v>77</v>
      </c>
      <c r="C50" s="50">
        <v>34</v>
      </c>
      <c r="D50" s="50">
        <v>28</v>
      </c>
      <c r="E50" s="50">
        <v>9</v>
      </c>
      <c r="F50" s="50">
        <v>14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80</v>
      </c>
      <c r="N50" s="50">
        <v>0</v>
      </c>
      <c r="O50" s="15">
        <f t="shared" si="0"/>
        <v>86</v>
      </c>
      <c r="P50" s="15">
        <f t="shared" si="1"/>
        <v>166</v>
      </c>
      <c r="R50" s="8"/>
      <c r="T50"/>
    </row>
    <row r="51" spans="2:20" ht="23.1" customHeight="1" x14ac:dyDescent="0.25">
      <c r="B51" s="24" t="s">
        <v>78</v>
      </c>
      <c r="C51" s="50">
        <v>36</v>
      </c>
      <c r="D51" s="50">
        <v>12</v>
      </c>
      <c r="E51" s="50">
        <v>6</v>
      </c>
      <c r="F51" s="50">
        <v>11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1</v>
      </c>
      <c r="M51" s="50">
        <v>100</v>
      </c>
      <c r="N51" s="50">
        <v>0</v>
      </c>
      <c r="O51" s="15">
        <f t="shared" si="0"/>
        <v>66</v>
      </c>
      <c r="P51" s="15">
        <f t="shared" si="1"/>
        <v>166</v>
      </c>
      <c r="R51" s="8"/>
      <c r="T51"/>
    </row>
    <row r="52" spans="2:20" ht="23.1" customHeight="1" x14ac:dyDescent="0.25">
      <c r="B52" s="24" t="s">
        <v>79</v>
      </c>
      <c r="C52" s="50">
        <v>24</v>
      </c>
      <c r="D52" s="50">
        <v>14</v>
      </c>
      <c r="E52" s="50">
        <v>3</v>
      </c>
      <c r="F52" s="50">
        <v>6</v>
      </c>
      <c r="G52" s="50">
        <v>1</v>
      </c>
      <c r="H52" s="50">
        <v>0</v>
      </c>
      <c r="I52" s="50">
        <v>3</v>
      </c>
      <c r="J52" s="50">
        <v>1</v>
      </c>
      <c r="K52" s="50">
        <v>0</v>
      </c>
      <c r="L52" s="50">
        <v>0</v>
      </c>
      <c r="M52" s="50">
        <v>95</v>
      </c>
      <c r="N52" s="50">
        <v>0</v>
      </c>
      <c r="O52" s="15">
        <f t="shared" si="0"/>
        <v>52</v>
      </c>
      <c r="P52" s="15">
        <f t="shared" si="1"/>
        <v>147</v>
      </c>
      <c r="R52" s="8"/>
      <c r="T52"/>
    </row>
    <row r="53" spans="2:20" ht="23.1" customHeight="1" x14ac:dyDescent="0.25">
      <c r="B53" s="23" t="s">
        <v>80</v>
      </c>
      <c r="C53" s="50">
        <v>25</v>
      </c>
      <c r="D53" s="50">
        <v>10</v>
      </c>
      <c r="E53" s="50">
        <v>1</v>
      </c>
      <c r="F53" s="50">
        <v>8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55</v>
      </c>
      <c r="N53" s="50">
        <v>0</v>
      </c>
      <c r="O53" s="15">
        <f t="shared" si="0"/>
        <v>45</v>
      </c>
      <c r="P53" s="15">
        <f t="shared" si="1"/>
        <v>100</v>
      </c>
      <c r="R53" s="8"/>
      <c r="T53"/>
    </row>
    <row r="54" spans="2:20" ht="23.1" customHeight="1" x14ac:dyDescent="0.25">
      <c r="B54" s="23" t="s">
        <v>81</v>
      </c>
      <c r="C54" s="50">
        <v>45</v>
      </c>
      <c r="D54" s="50">
        <v>23</v>
      </c>
      <c r="E54" s="50">
        <v>5</v>
      </c>
      <c r="F54" s="50">
        <v>9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1</v>
      </c>
      <c r="M54" s="50">
        <v>95</v>
      </c>
      <c r="N54" s="50">
        <v>0</v>
      </c>
      <c r="O54" s="15">
        <f t="shared" si="0"/>
        <v>85</v>
      </c>
      <c r="P54" s="15">
        <f t="shared" si="1"/>
        <v>180</v>
      </c>
      <c r="R54" s="8"/>
      <c r="T54"/>
    </row>
    <row r="55" spans="2:20" ht="23.1" customHeight="1" x14ac:dyDescent="0.25">
      <c r="B55" s="23" t="s">
        <v>82</v>
      </c>
      <c r="C55" s="50">
        <v>22</v>
      </c>
      <c r="D55" s="50">
        <v>27</v>
      </c>
      <c r="E55" s="50">
        <v>7</v>
      </c>
      <c r="F55" s="50">
        <v>10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2</v>
      </c>
      <c r="M55" s="50">
        <v>97</v>
      </c>
      <c r="N55" s="50">
        <v>0</v>
      </c>
      <c r="O55" s="15">
        <f t="shared" si="0"/>
        <v>70</v>
      </c>
      <c r="P55" s="15">
        <f t="shared" si="1"/>
        <v>167</v>
      </c>
      <c r="R55" s="8"/>
      <c r="T55"/>
    </row>
    <row r="56" spans="2:20" ht="23.1" customHeight="1" x14ac:dyDescent="0.25">
      <c r="B56" s="23" t="s">
        <v>83</v>
      </c>
      <c r="C56" s="50">
        <v>40</v>
      </c>
      <c r="D56" s="50">
        <v>20</v>
      </c>
      <c r="E56" s="50">
        <v>3</v>
      </c>
      <c r="F56" s="50">
        <v>10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60</v>
      </c>
      <c r="N56" s="50">
        <v>0</v>
      </c>
      <c r="O56" s="15">
        <f t="shared" si="0"/>
        <v>74</v>
      </c>
      <c r="P56" s="15">
        <f t="shared" si="1"/>
        <v>134</v>
      </c>
      <c r="R56" s="8"/>
      <c r="T56"/>
    </row>
    <row r="57" spans="2:20" ht="23.1" customHeight="1" x14ac:dyDescent="0.25">
      <c r="B57" s="23" t="s">
        <v>84</v>
      </c>
      <c r="C57" s="50">
        <v>18</v>
      </c>
      <c r="D57" s="50">
        <v>20</v>
      </c>
      <c r="E57" s="50">
        <v>5</v>
      </c>
      <c r="F57" s="50">
        <v>10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70</v>
      </c>
      <c r="N57" s="50">
        <v>0</v>
      </c>
      <c r="O57" s="15">
        <f t="shared" si="0"/>
        <v>53</v>
      </c>
      <c r="P57" s="15">
        <f t="shared" si="1"/>
        <v>123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1089</v>
      </c>
      <c r="D58" s="16">
        <f t="shared" si="21"/>
        <v>648</v>
      </c>
      <c r="E58" s="16">
        <f t="shared" si="21"/>
        <v>212</v>
      </c>
      <c r="F58" s="16">
        <f t="shared" si="21"/>
        <v>476</v>
      </c>
      <c r="G58" s="16">
        <f t="shared" si="21"/>
        <v>2</v>
      </c>
      <c r="H58" s="16">
        <f t="shared" si="21"/>
        <v>0</v>
      </c>
      <c r="I58" s="16">
        <f t="shared" si="21"/>
        <v>31</v>
      </c>
      <c r="J58" s="16">
        <f t="shared" si="21"/>
        <v>33</v>
      </c>
      <c r="K58" s="16">
        <f t="shared" si="21"/>
        <v>12</v>
      </c>
      <c r="L58" s="16">
        <f t="shared" si="21"/>
        <v>49</v>
      </c>
      <c r="M58" s="16">
        <f t="shared" si="21"/>
        <v>2741</v>
      </c>
      <c r="N58" s="16">
        <f t="shared" si="21"/>
        <v>1</v>
      </c>
      <c r="O58" s="16">
        <f t="shared" si="21"/>
        <v>2553</v>
      </c>
      <c r="P58" s="16">
        <f t="shared" si="21"/>
        <v>5294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0.20570457121269362</v>
      </c>
      <c r="D59" s="43">
        <f t="shared" si="22"/>
        <v>0.12240272006044579</v>
      </c>
      <c r="E59" s="43">
        <f t="shared" si="22"/>
        <v>4.0045334340763128E-2</v>
      </c>
      <c r="F59" s="43">
        <f t="shared" si="22"/>
        <v>8.9913109180204009E-2</v>
      </c>
      <c r="G59" s="43">
        <f t="shared" si="22"/>
        <v>3.7778617302606723E-4</v>
      </c>
      <c r="H59" s="43">
        <f t="shared" si="22"/>
        <v>0</v>
      </c>
      <c r="I59" s="43">
        <f t="shared" si="22"/>
        <v>5.8556856819040421E-3</v>
      </c>
      <c r="J59" s="43">
        <f t="shared" si="22"/>
        <v>6.2334718549301093E-3</v>
      </c>
      <c r="K59" s="43">
        <f t="shared" si="22"/>
        <v>2.2667170381564035E-3</v>
      </c>
      <c r="L59" s="43">
        <f t="shared" si="22"/>
        <v>9.2557612391386476E-3</v>
      </c>
      <c r="M59" s="43">
        <f t="shared" si="22"/>
        <v>0.5177559501322252</v>
      </c>
      <c r="N59" s="43">
        <f t="shared" si="22"/>
        <v>1.8889308651303362E-4</v>
      </c>
      <c r="R59" s="8"/>
      <c r="T59"/>
    </row>
    <row r="60" spans="2:20" ht="23.1" customHeight="1" x14ac:dyDescent="0.25">
      <c r="B60" s="42" t="s">
        <v>94</v>
      </c>
      <c r="C60" s="44">
        <f>C58/$O$58</f>
        <v>0.42655699177438305</v>
      </c>
      <c r="D60" s="44">
        <f t="shared" ref="D60:N60" si="23">D58/$O$58</f>
        <v>0.25381903642773207</v>
      </c>
      <c r="E60" s="44">
        <f t="shared" si="23"/>
        <v>8.3039561300430872E-2</v>
      </c>
      <c r="F60" s="44">
        <f t="shared" si="23"/>
        <v>0.18644731688209948</v>
      </c>
      <c r="G60" s="44">
        <f t="shared" si="23"/>
        <v>7.833920877399138E-4</v>
      </c>
      <c r="H60" s="44">
        <f t="shared" si="23"/>
        <v>0</v>
      </c>
      <c r="I60" s="44">
        <f t="shared" si="23"/>
        <v>1.2142577359968664E-2</v>
      </c>
      <c r="J60" s="44">
        <f t="shared" si="23"/>
        <v>1.2925969447708578E-2</v>
      </c>
      <c r="K60" s="44">
        <f t="shared" si="23"/>
        <v>4.7003525264394828E-3</v>
      </c>
      <c r="L60" s="44">
        <f t="shared" si="23"/>
        <v>1.9193106149627888E-2</v>
      </c>
      <c r="M60" s="44"/>
      <c r="N60" s="44">
        <f t="shared" si="23"/>
        <v>3.916960438699569E-4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I49" zoomScale="60" workbookViewId="0">
      <selection activeCell="AB110" sqref="AB1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'04.08 SPEARMOTORS-NTINDA'!C3:G3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'04.08 NTINDA-SPEARMOTORS'!G5:H5</f>
        <v>NAGURU BARRACKS</v>
      </c>
      <c r="H5" s="62"/>
      <c r="I5" s="14"/>
      <c r="J5" s="2" t="s">
        <v>5</v>
      </c>
      <c r="K5" s="61" t="str">
        <f>'04.08 NTINDA-SPEARMOTORS'!K5:L5</f>
        <v>KIVUMBI GEORGE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'04.08 NTINDA-SPEARMOTORS'!D6:E6</f>
        <v>NTINDA</v>
      </c>
      <c r="E6" s="62"/>
      <c r="F6" s="2" t="s">
        <v>2</v>
      </c>
      <c r="G6" s="61" t="str">
        <f>'04.08 NTINDA-SPEARMOTORS'!G6:H6</f>
        <v>SPEAR MOTORS</v>
      </c>
      <c r="H6" s="62"/>
      <c r="J6" s="2" t="s">
        <v>21</v>
      </c>
      <c r="K6" s="61" t="str">
        <f>'04.08 NTINDA-SPEARMOTORS'!K6:L6</f>
        <v>NUSULAH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NTINDA-SPEAR MOTORS'!C10,'30.07 NTINDA-SPEARMOTORS'!C10,'31.07 SPEAR MOTORS-NTINDA'!C10,'02.08 SPEARMOTORS-NTINDA'!C10,'01.08 NTINDA-SPEARMOTORS-24h'!C10,'03.08 NTINDA-SPEARMOTORS-24h'!C10,'04.08 NTINDA-SPEARMOTORS'!C10)</f>
        <v>21.428571428571427</v>
      </c>
      <c r="D10" s="49">
        <f>AVERAGE('29.07 NTINDA-SPEAR MOTORS'!D10,'30.07 NTINDA-SPEARMOTORS'!D10,'31.07 SPEAR MOTORS-NTINDA'!D10,'02.08 SPEARMOTORS-NTINDA'!D10,'01.08 NTINDA-SPEARMOTORS-24h'!D10,'03.08 NTINDA-SPEARMOTORS-24h'!D10,'04.08 NTINDA-SPEARMOTORS'!D10)</f>
        <v>12.285714285714286</v>
      </c>
      <c r="E10" s="49">
        <f>AVERAGE('29.07 NTINDA-SPEAR MOTORS'!E10,'30.07 NTINDA-SPEARMOTORS'!E10,'31.07 SPEAR MOTORS-NTINDA'!E10,'02.08 SPEARMOTORS-NTINDA'!E10,'01.08 NTINDA-SPEARMOTORS-24h'!E10,'03.08 NTINDA-SPEARMOTORS-24h'!E10,'04.08 NTINDA-SPEARMOTORS'!E10)</f>
        <v>9.4285714285714288</v>
      </c>
      <c r="F10" s="49">
        <f>AVERAGE('29.07 NTINDA-SPEAR MOTORS'!F10,'30.07 NTINDA-SPEARMOTORS'!F10,'31.07 SPEAR MOTORS-NTINDA'!F10,'02.08 SPEARMOTORS-NTINDA'!F10,'01.08 NTINDA-SPEARMOTORS-24h'!F10,'03.08 NTINDA-SPEARMOTORS-24h'!F10,'04.08 NTINDA-SPEARMOTORS'!F10)</f>
        <v>22.857142857142858</v>
      </c>
      <c r="G10" s="49">
        <f>AVERAGE('29.07 NTINDA-SPEAR MOTORS'!G10,'30.07 NTINDA-SPEARMOTORS'!G10,'31.07 SPEAR MOTORS-NTINDA'!G10,'02.08 SPEARMOTORS-NTINDA'!G10,'01.08 NTINDA-SPEARMOTORS-24h'!G10,'03.08 NTINDA-SPEARMOTORS-24h'!G10,'04.08 NTINDA-SPEARMOTORS'!G10)</f>
        <v>0.5714285714285714</v>
      </c>
      <c r="H10" s="49">
        <f>AVERAGE('29.07 NTINDA-SPEAR MOTORS'!H10,'30.07 NTINDA-SPEARMOTORS'!H10,'31.07 SPEAR MOTORS-NTINDA'!H10,'02.08 SPEARMOTORS-NTINDA'!H10,'01.08 NTINDA-SPEARMOTORS-24h'!H10,'03.08 NTINDA-SPEARMOTORS-24h'!H10,'04.08 NTINDA-SPEARMOTORS'!H10)</f>
        <v>0</v>
      </c>
      <c r="I10" s="49">
        <f>AVERAGE('29.07 NTINDA-SPEAR MOTORS'!I10,'30.07 NTINDA-SPEARMOTORS'!I10,'31.07 SPEAR MOTORS-NTINDA'!I10,'02.08 SPEARMOTORS-NTINDA'!I10,'01.08 NTINDA-SPEARMOTORS-24h'!I10,'03.08 NTINDA-SPEARMOTORS-24h'!I10,'04.08 NTINDA-SPEARMOTORS'!I10)</f>
        <v>4.7142857142857144</v>
      </c>
      <c r="J10" s="49">
        <f>AVERAGE('29.07 NTINDA-SPEAR MOTORS'!J10,'30.07 NTINDA-SPEARMOTORS'!J10,'31.07 SPEAR MOTORS-NTINDA'!J10,'02.08 SPEARMOTORS-NTINDA'!J10,'01.08 NTINDA-SPEARMOTORS-24h'!J10,'03.08 NTINDA-SPEARMOTORS-24h'!J10,'04.08 NTINDA-SPEARMOTORS'!J10)</f>
        <v>2.2857142857142856</v>
      </c>
      <c r="K10" s="49">
        <f>AVERAGE('29.07 NTINDA-SPEAR MOTORS'!K10,'30.07 NTINDA-SPEARMOTORS'!K10,'31.07 SPEAR MOTORS-NTINDA'!K10,'02.08 SPEARMOTORS-NTINDA'!K10,'01.08 NTINDA-SPEARMOTORS-24h'!K10,'03.08 NTINDA-SPEARMOTORS-24h'!K10,'04.08 NTINDA-SPEARMOTORS'!K10)</f>
        <v>2.7142857142857144</v>
      </c>
      <c r="L10" s="49">
        <f>AVERAGE('29.07 NTINDA-SPEAR MOTORS'!L10,'30.07 NTINDA-SPEARMOTORS'!L10,'31.07 SPEAR MOTORS-NTINDA'!L10,'02.08 SPEARMOTORS-NTINDA'!L10,'01.08 NTINDA-SPEARMOTORS-24h'!L10,'03.08 NTINDA-SPEARMOTORS-24h'!L10,'04.08 NTINDA-SPEARMOTORS'!L10)</f>
        <v>4.5714285714285712</v>
      </c>
      <c r="M10" s="49">
        <f>AVERAGE('29.07 NTINDA-SPEAR MOTORS'!M10,'30.07 NTINDA-SPEARMOTORS'!M10,'31.07 SPEAR MOTORS-NTINDA'!M10,'02.08 SPEARMOTORS-NTINDA'!M10,'01.08 NTINDA-SPEARMOTORS-24h'!M10,'03.08 NTINDA-SPEARMOTORS-24h'!M10,'04.08 NTINDA-SPEARMOTORS'!M10)</f>
        <v>127.57142857142857</v>
      </c>
      <c r="N10" s="49">
        <f>AVERAGE('29.07 NTINDA-SPEAR MOTORS'!N10,'30.07 NTINDA-SPEARMOTORS'!N10,'31.07 SPEAR MOTORS-NTINDA'!N10,'02.08 SPEARMOTORS-NTINDA'!N10,'01.08 NTINDA-SPEARMOTORS-24h'!N10,'03.08 NTINDA-SPEARMOTORS-24h'!N10,'04.08 NTINDA-SPEARMOTORS'!N10)</f>
        <v>0</v>
      </c>
      <c r="O10" s="15">
        <f t="shared" ref="O10:O73" si="0">SUM(C10:L10,N10)</f>
        <v>80.857142857142847</v>
      </c>
      <c r="P10" s="15">
        <f t="shared" ref="P10:P73" si="1">SUM(C10:N10)</f>
        <v>208.42857142857142</v>
      </c>
      <c r="R10" s="1" t="s">
        <v>6</v>
      </c>
      <c r="S10" s="17">
        <f t="shared" ref="S10:AF10" si="2">SUM(C10:C13)</f>
        <v>78.142857142857139</v>
      </c>
      <c r="T10" s="17">
        <f t="shared" si="2"/>
        <v>43.428571428571431</v>
      </c>
      <c r="U10" s="17">
        <f t="shared" si="2"/>
        <v>23</v>
      </c>
      <c r="V10" s="17">
        <f t="shared" si="2"/>
        <v>53.428571428571431</v>
      </c>
      <c r="W10" s="17">
        <f t="shared" si="2"/>
        <v>1.5714285714285714</v>
      </c>
      <c r="X10" s="17">
        <f t="shared" si="2"/>
        <v>0</v>
      </c>
      <c r="Y10" s="17">
        <f t="shared" si="2"/>
        <v>9.7142857142857135</v>
      </c>
      <c r="Z10" s="17">
        <f t="shared" si="2"/>
        <v>7.2857142857142856</v>
      </c>
      <c r="AA10" s="17">
        <f t="shared" si="2"/>
        <v>5.7142857142857144</v>
      </c>
      <c r="AB10" s="17">
        <f t="shared" si="2"/>
        <v>9</v>
      </c>
      <c r="AC10" s="17">
        <f t="shared" si="2"/>
        <v>475.57142857142856</v>
      </c>
      <c r="AD10" s="17">
        <f t="shared" si="2"/>
        <v>0</v>
      </c>
      <c r="AE10" s="31">
        <f t="shared" si="2"/>
        <v>231.28571428571428</v>
      </c>
      <c r="AF10" s="31">
        <f t="shared" si="2"/>
        <v>706.85714285714289</v>
      </c>
    </row>
    <row r="11" spans="2:32" s="6" customFormat="1" ht="23.1" customHeight="1" x14ac:dyDescent="0.25">
      <c r="B11" s="23" t="s">
        <v>38</v>
      </c>
      <c r="C11" s="49">
        <f>AVERAGE('29.07 NTINDA-SPEAR MOTORS'!C11,'30.07 NTINDA-SPEARMOTORS'!C11,'31.07 SPEAR MOTORS-NTINDA'!C11,'02.08 SPEARMOTORS-NTINDA'!C11,'01.08 NTINDA-SPEARMOTORS-24h'!C11,'03.08 NTINDA-SPEARMOTORS-24h'!C11,'04.08 NTINDA-SPEARMOTORS'!C11)</f>
        <v>19.571428571428573</v>
      </c>
      <c r="D11" s="49">
        <f>AVERAGE('29.07 NTINDA-SPEAR MOTORS'!D11,'30.07 NTINDA-SPEARMOTORS'!D11,'31.07 SPEAR MOTORS-NTINDA'!D11,'02.08 SPEARMOTORS-NTINDA'!D11,'01.08 NTINDA-SPEARMOTORS-24h'!D11,'03.08 NTINDA-SPEARMOTORS-24h'!D11,'04.08 NTINDA-SPEARMOTORS'!D11)</f>
        <v>11.428571428571429</v>
      </c>
      <c r="E11" s="49">
        <f>AVERAGE('29.07 NTINDA-SPEAR MOTORS'!E11,'30.07 NTINDA-SPEARMOTORS'!E11,'31.07 SPEAR MOTORS-NTINDA'!E11,'02.08 SPEARMOTORS-NTINDA'!E11,'01.08 NTINDA-SPEARMOTORS-24h'!E11,'03.08 NTINDA-SPEARMOTORS-24h'!E11,'04.08 NTINDA-SPEARMOTORS'!E11)</f>
        <v>3.4285714285714284</v>
      </c>
      <c r="F11" s="49">
        <f>AVERAGE('29.07 NTINDA-SPEAR MOTORS'!F11,'30.07 NTINDA-SPEARMOTORS'!F11,'31.07 SPEAR MOTORS-NTINDA'!F11,'02.08 SPEARMOTORS-NTINDA'!F11,'01.08 NTINDA-SPEARMOTORS-24h'!F11,'03.08 NTINDA-SPEARMOTORS-24h'!F11,'04.08 NTINDA-SPEARMOTORS'!F11)</f>
        <v>11.571428571428571</v>
      </c>
      <c r="G11" s="49">
        <f>AVERAGE('29.07 NTINDA-SPEAR MOTORS'!G11,'30.07 NTINDA-SPEARMOTORS'!G11,'31.07 SPEAR MOTORS-NTINDA'!G11,'02.08 SPEARMOTORS-NTINDA'!G11,'01.08 NTINDA-SPEARMOTORS-24h'!G11,'03.08 NTINDA-SPEARMOTORS-24h'!G11,'04.08 NTINDA-SPEARMOTORS'!G11)</f>
        <v>0.2857142857142857</v>
      </c>
      <c r="H11" s="49">
        <f>AVERAGE('29.07 NTINDA-SPEAR MOTORS'!H11,'30.07 NTINDA-SPEARMOTORS'!H11,'31.07 SPEAR MOTORS-NTINDA'!H11,'02.08 SPEARMOTORS-NTINDA'!H11,'01.08 NTINDA-SPEARMOTORS-24h'!H11,'03.08 NTINDA-SPEARMOTORS-24h'!H11,'04.08 NTINDA-SPEARMOTORS'!H11)</f>
        <v>0</v>
      </c>
      <c r="I11" s="49">
        <f>AVERAGE('29.07 NTINDA-SPEAR MOTORS'!I11,'30.07 NTINDA-SPEARMOTORS'!I11,'31.07 SPEAR MOTORS-NTINDA'!I11,'02.08 SPEARMOTORS-NTINDA'!I11,'01.08 NTINDA-SPEARMOTORS-24h'!I11,'03.08 NTINDA-SPEARMOTORS-24h'!I11,'04.08 NTINDA-SPEARMOTORS'!I11)</f>
        <v>2</v>
      </c>
      <c r="J11" s="49">
        <f>AVERAGE('29.07 NTINDA-SPEAR MOTORS'!J11,'30.07 NTINDA-SPEARMOTORS'!J11,'31.07 SPEAR MOTORS-NTINDA'!J11,'02.08 SPEARMOTORS-NTINDA'!J11,'01.08 NTINDA-SPEARMOTORS-24h'!J11,'03.08 NTINDA-SPEARMOTORS-24h'!J11,'04.08 NTINDA-SPEARMOTORS'!J11)</f>
        <v>1.2857142857142858</v>
      </c>
      <c r="K11" s="49">
        <f>AVERAGE('29.07 NTINDA-SPEAR MOTORS'!K11,'30.07 NTINDA-SPEARMOTORS'!K11,'31.07 SPEAR MOTORS-NTINDA'!K11,'02.08 SPEARMOTORS-NTINDA'!K11,'01.08 NTINDA-SPEARMOTORS-24h'!K11,'03.08 NTINDA-SPEARMOTORS-24h'!K11,'04.08 NTINDA-SPEARMOTORS'!K11)</f>
        <v>2</v>
      </c>
      <c r="L11" s="49">
        <f>AVERAGE('29.07 NTINDA-SPEAR MOTORS'!L11,'30.07 NTINDA-SPEARMOTORS'!L11,'31.07 SPEAR MOTORS-NTINDA'!L11,'02.08 SPEARMOTORS-NTINDA'!L11,'01.08 NTINDA-SPEARMOTORS-24h'!L11,'03.08 NTINDA-SPEARMOTORS-24h'!L11,'04.08 NTINDA-SPEARMOTORS'!L11)</f>
        <v>0.8571428571428571</v>
      </c>
      <c r="M11" s="49">
        <f>AVERAGE('29.07 NTINDA-SPEAR MOTORS'!M11,'30.07 NTINDA-SPEARMOTORS'!M11,'31.07 SPEAR MOTORS-NTINDA'!M11,'02.08 SPEARMOTORS-NTINDA'!M11,'01.08 NTINDA-SPEARMOTORS-24h'!M11,'03.08 NTINDA-SPEARMOTORS-24h'!M11,'04.08 NTINDA-SPEARMOTORS'!M11)</f>
        <v>109</v>
      </c>
      <c r="N11" s="49">
        <f>AVERAGE('29.07 NTINDA-SPEAR MOTORS'!N11,'30.07 NTINDA-SPEARMOTORS'!N11,'31.07 SPEAR MOTORS-NTINDA'!N11,'02.08 SPEARMOTORS-NTINDA'!N11,'01.08 NTINDA-SPEARMOTORS-24h'!N11,'03.08 NTINDA-SPEARMOTORS-24h'!N11,'04.08 NTINDA-SPEARMOTORS'!N11)</f>
        <v>0</v>
      </c>
      <c r="O11" s="15">
        <f t="shared" si="0"/>
        <v>52.428571428571423</v>
      </c>
      <c r="P11" s="15">
        <f t="shared" si="1"/>
        <v>161.42857142857142</v>
      </c>
      <c r="R11" s="1" t="s">
        <v>7</v>
      </c>
      <c r="S11" s="17">
        <f t="shared" ref="S11:AF11" si="3">SUM(C14:C17)</f>
        <v>68.571428571428569</v>
      </c>
      <c r="T11" s="17">
        <f t="shared" si="3"/>
        <v>33.142857142857139</v>
      </c>
      <c r="U11" s="17">
        <f t="shared" si="3"/>
        <v>15.285714285714285</v>
      </c>
      <c r="V11" s="17">
        <f t="shared" si="3"/>
        <v>22.142857142857142</v>
      </c>
      <c r="W11" s="17">
        <f t="shared" si="3"/>
        <v>0.2857142857142857</v>
      </c>
      <c r="X11" s="17">
        <f t="shared" si="3"/>
        <v>0</v>
      </c>
      <c r="Y11" s="17">
        <f t="shared" si="3"/>
        <v>7.8571428571428577</v>
      </c>
      <c r="Z11" s="17">
        <f t="shared" si="3"/>
        <v>6.7142857142857135</v>
      </c>
      <c r="AA11" s="17">
        <f t="shared" si="3"/>
        <v>3.5714285714285712</v>
      </c>
      <c r="AB11" s="17">
        <f t="shared" si="3"/>
        <v>8.8571428571428577</v>
      </c>
      <c r="AC11" s="17">
        <f t="shared" si="3"/>
        <v>551.14285714285711</v>
      </c>
      <c r="AD11" s="17">
        <f t="shared" si="3"/>
        <v>0.2857142857142857</v>
      </c>
      <c r="AE11" s="31">
        <f t="shared" si="3"/>
        <v>166.71428571428572</v>
      </c>
      <c r="AF11" s="31">
        <f t="shared" si="3"/>
        <v>717.85714285714289</v>
      </c>
    </row>
    <row r="12" spans="2:32" ht="23.1" customHeight="1" x14ac:dyDescent="0.25">
      <c r="B12" s="23" t="s">
        <v>39</v>
      </c>
      <c r="C12" s="49">
        <f>AVERAGE('29.07 NTINDA-SPEAR MOTORS'!C12,'30.07 NTINDA-SPEARMOTORS'!C12,'31.07 SPEAR MOTORS-NTINDA'!C12,'02.08 SPEARMOTORS-NTINDA'!C12,'01.08 NTINDA-SPEARMOTORS-24h'!C12,'03.08 NTINDA-SPEARMOTORS-24h'!C12,'04.08 NTINDA-SPEARMOTORS'!C12)</f>
        <v>17.285714285714285</v>
      </c>
      <c r="D12" s="49">
        <f>AVERAGE('29.07 NTINDA-SPEAR MOTORS'!D12,'30.07 NTINDA-SPEARMOTORS'!D12,'31.07 SPEAR MOTORS-NTINDA'!D12,'02.08 SPEARMOTORS-NTINDA'!D12,'01.08 NTINDA-SPEARMOTORS-24h'!D12,'03.08 NTINDA-SPEARMOTORS-24h'!D12,'04.08 NTINDA-SPEARMOTORS'!D12)</f>
        <v>9.1428571428571423</v>
      </c>
      <c r="E12" s="49">
        <f>AVERAGE('29.07 NTINDA-SPEAR MOTORS'!E12,'30.07 NTINDA-SPEARMOTORS'!E12,'31.07 SPEAR MOTORS-NTINDA'!E12,'02.08 SPEARMOTORS-NTINDA'!E12,'01.08 NTINDA-SPEARMOTORS-24h'!E12,'03.08 NTINDA-SPEARMOTORS-24h'!E12,'04.08 NTINDA-SPEARMOTORS'!E12)</f>
        <v>5</v>
      </c>
      <c r="F12" s="49">
        <f>AVERAGE('29.07 NTINDA-SPEAR MOTORS'!F12,'30.07 NTINDA-SPEARMOTORS'!F12,'31.07 SPEAR MOTORS-NTINDA'!F12,'02.08 SPEARMOTORS-NTINDA'!F12,'01.08 NTINDA-SPEARMOTORS-24h'!F12,'03.08 NTINDA-SPEARMOTORS-24h'!F12,'04.08 NTINDA-SPEARMOTORS'!F12)</f>
        <v>8.5714285714285712</v>
      </c>
      <c r="G12" s="49">
        <f>AVERAGE('29.07 NTINDA-SPEAR MOTORS'!G12,'30.07 NTINDA-SPEARMOTORS'!G12,'31.07 SPEAR MOTORS-NTINDA'!G12,'02.08 SPEARMOTORS-NTINDA'!G12,'01.08 NTINDA-SPEARMOTORS-24h'!G12,'03.08 NTINDA-SPEARMOTORS-24h'!G12,'04.08 NTINDA-SPEARMOTORS'!G12)</f>
        <v>0</v>
      </c>
      <c r="H12" s="49">
        <f>AVERAGE('29.07 NTINDA-SPEAR MOTORS'!H12,'30.07 NTINDA-SPEARMOTORS'!H12,'31.07 SPEAR MOTORS-NTINDA'!H12,'02.08 SPEARMOTORS-NTINDA'!H12,'01.08 NTINDA-SPEARMOTORS-24h'!H12,'03.08 NTINDA-SPEARMOTORS-24h'!H12,'04.08 NTINDA-SPEARMOTORS'!H12)</f>
        <v>0</v>
      </c>
      <c r="I12" s="49">
        <f>AVERAGE('29.07 NTINDA-SPEAR MOTORS'!I12,'30.07 NTINDA-SPEARMOTORS'!I12,'31.07 SPEAR MOTORS-NTINDA'!I12,'02.08 SPEARMOTORS-NTINDA'!I12,'01.08 NTINDA-SPEARMOTORS-24h'!I12,'03.08 NTINDA-SPEARMOTORS-24h'!I12,'04.08 NTINDA-SPEARMOTORS'!I12)</f>
        <v>1.4285714285714286</v>
      </c>
      <c r="J12" s="49">
        <f>AVERAGE('29.07 NTINDA-SPEAR MOTORS'!J12,'30.07 NTINDA-SPEARMOTORS'!J12,'31.07 SPEAR MOTORS-NTINDA'!J12,'02.08 SPEARMOTORS-NTINDA'!J12,'01.08 NTINDA-SPEARMOTORS-24h'!J12,'03.08 NTINDA-SPEARMOTORS-24h'!J12,'04.08 NTINDA-SPEARMOTORS'!J12)</f>
        <v>1</v>
      </c>
      <c r="K12" s="49">
        <f>AVERAGE('29.07 NTINDA-SPEAR MOTORS'!K12,'30.07 NTINDA-SPEARMOTORS'!K12,'31.07 SPEAR MOTORS-NTINDA'!K12,'02.08 SPEARMOTORS-NTINDA'!K12,'01.08 NTINDA-SPEARMOTORS-24h'!K12,'03.08 NTINDA-SPEARMOTORS-24h'!K12,'04.08 NTINDA-SPEARMOTORS'!K12)</f>
        <v>0.2857142857142857</v>
      </c>
      <c r="L12" s="49">
        <f>AVERAGE('29.07 NTINDA-SPEAR MOTORS'!L12,'30.07 NTINDA-SPEARMOTORS'!L12,'31.07 SPEAR MOTORS-NTINDA'!L12,'02.08 SPEARMOTORS-NTINDA'!L12,'01.08 NTINDA-SPEARMOTORS-24h'!L12,'03.08 NTINDA-SPEARMOTORS-24h'!L12,'04.08 NTINDA-SPEARMOTORS'!L12)</f>
        <v>1.2857142857142858</v>
      </c>
      <c r="M12" s="49">
        <f>AVERAGE('29.07 NTINDA-SPEAR MOTORS'!M12,'30.07 NTINDA-SPEARMOTORS'!M12,'31.07 SPEAR MOTORS-NTINDA'!M12,'02.08 SPEARMOTORS-NTINDA'!M12,'01.08 NTINDA-SPEARMOTORS-24h'!M12,'03.08 NTINDA-SPEARMOTORS-24h'!M12,'04.08 NTINDA-SPEARMOTORS'!M12)</f>
        <v>108</v>
      </c>
      <c r="N12" s="49">
        <f>AVERAGE('29.07 NTINDA-SPEAR MOTORS'!N12,'30.07 NTINDA-SPEARMOTORS'!N12,'31.07 SPEAR MOTORS-NTINDA'!N12,'02.08 SPEARMOTORS-NTINDA'!N12,'01.08 NTINDA-SPEARMOTORS-24h'!N12,'03.08 NTINDA-SPEARMOTORS-24h'!N12,'04.08 NTINDA-SPEARMOTORS'!N12)</f>
        <v>0</v>
      </c>
      <c r="O12" s="15">
        <f t="shared" si="0"/>
        <v>44</v>
      </c>
      <c r="P12" s="15">
        <f t="shared" si="1"/>
        <v>152</v>
      </c>
      <c r="R12" s="1" t="s">
        <v>8</v>
      </c>
      <c r="S12" s="17">
        <f t="shared" ref="S12:AF12" si="4">SUM(C18:C21)</f>
        <v>68.142857142857139</v>
      </c>
      <c r="T12" s="17">
        <f t="shared" si="4"/>
        <v>38.142857142857146</v>
      </c>
      <c r="U12" s="17">
        <f t="shared" si="4"/>
        <v>16.285714285714285</v>
      </c>
      <c r="V12" s="17">
        <f t="shared" si="4"/>
        <v>31.428571428571427</v>
      </c>
      <c r="W12" s="17">
        <f t="shared" si="4"/>
        <v>0.71428571428571419</v>
      </c>
      <c r="X12" s="17">
        <f t="shared" si="4"/>
        <v>0.2857142857142857</v>
      </c>
      <c r="Y12" s="17">
        <f t="shared" si="4"/>
        <v>10.428571428571429</v>
      </c>
      <c r="Z12" s="17">
        <f t="shared" si="4"/>
        <v>5.7142857142857144</v>
      </c>
      <c r="AA12" s="17">
        <f t="shared" si="4"/>
        <v>3.5714285714285712</v>
      </c>
      <c r="AB12" s="17">
        <f t="shared" si="4"/>
        <v>11.285714285714286</v>
      </c>
      <c r="AC12" s="17">
        <f t="shared" si="4"/>
        <v>506.42857142857144</v>
      </c>
      <c r="AD12" s="17">
        <f t="shared" si="4"/>
        <v>0</v>
      </c>
      <c r="AE12" s="31">
        <f t="shared" si="4"/>
        <v>186</v>
      </c>
      <c r="AF12" s="31">
        <f t="shared" si="4"/>
        <v>692.42857142857133</v>
      </c>
    </row>
    <row r="13" spans="2:32" ht="23.1" customHeight="1" x14ac:dyDescent="0.25">
      <c r="B13" s="23" t="s">
        <v>40</v>
      </c>
      <c r="C13" s="49">
        <f>AVERAGE('29.07 NTINDA-SPEAR MOTORS'!C13,'30.07 NTINDA-SPEARMOTORS'!C13,'31.07 SPEAR MOTORS-NTINDA'!C13,'02.08 SPEARMOTORS-NTINDA'!C13,'01.08 NTINDA-SPEARMOTORS-24h'!C13,'03.08 NTINDA-SPEARMOTORS-24h'!C13,'04.08 NTINDA-SPEARMOTORS'!C13)</f>
        <v>19.857142857142858</v>
      </c>
      <c r="D13" s="49">
        <f>AVERAGE('29.07 NTINDA-SPEAR MOTORS'!D13,'30.07 NTINDA-SPEARMOTORS'!D13,'31.07 SPEAR MOTORS-NTINDA'!D13,'02.08 SPEARMOTORS-NTINDA'!D13,'01.08 NTINDA-SPEARMOTORS-24h'!D13,'03.08 NTINDA-SPEARMOTORS-24h'!D13,'04.08 NTINDA-SPEARMOTORS'!D13)</f>
        <v>10.571428571428571</v>
      </c>
      <c r="E13" s="49">
        <f>AVERAGE('29.07 NTINDA-SPEAR MOTORS'!E13,'30.07 NTINDA-SPEARMOTORS'!E13,'31.07 SPEAR MOTORS-NTINDA'!E13,'02.08 SPEARMOTORS-NTINDA'!E13,'01.08 NTINDA-SPEARMOTORS-24h'!E13,'03.08 NTINDA-SPEARMOTORS-24h'!E13,'04.08 NTINDA-SPEARMOTORS'!E13)</f>
        <v>5.1428571428571432</v>
      </c>
      <c r="F13" s="49">
        <f>AVERAGE('29.07 NTINDA-SPEAR MOTORS'!F13,'30.07 NTINDA-SPEARMOTORS'!F13,'31.07 SPEAR MOTORS-NTINDA'!F13,'02.08 SPEARMOTORS-NTINDA'!F13,'01.08 NTINDA-SPEARMOTORS-24h'!F13,'03.08 NTINDA-SPEARMOTORS-24h'!F13,'04.08 NTINDA-SPEARMOTORS'!F13)</f>
        <v>10.428571428571429</v>
      </c>
      <c r="G13" s="49">
        <f>AVERAGE('29.07 NTINDA-SPEAR MOTORS'!G13,'30.07 NTINDA-SPEARMOTORS'!G13,'31.07 SPEAR MOTORS-NTINDA'!G13,'02.08 SPEARMOTORS-NTINDA'!G13,'01.08 NTINDA-SPEARMOTORS-24h'!G13,'03.08 NTINDA-SPEARMOTORS-24h'!G13,'04.08 NTINDA-SPEARMOTORS'!G13)</f>
        <v>0.7142857142857143</v>
      </c>
      <c r="H13" s="49">
        <f>AVERAGE('29.07 NTINDA-SPEAR MOTORS'!H13,'30.07 NTINDA-SPEARMOTORS'!H13,'31.07 SPEAR MOTORS-NTINDA'!H13,'02.08 SPEARMOTORS-NTINDA'!H13,'01.08 NTINDA-SPEARMOTORS-24h'!H13,'03.08 NTINDA-SPEARMOTORS-24h'!H13,'04.08 NTINDA-SPEARMOTORS'!H13)</f>
        <v>0</v>
      </c>
      <c r="I13" s="49">
        <f>AVERAGE('29.07 NTINDA-SPEAR MOTORS'!I13,'30.07 NTINDA-SPEARMOTORS'!I13,'31.07 SPEAR MOTORS-NTINDA'!I13,'02.08 SPEARMOTORS-NTINDA'!I13,'01.08 NTINDA-SPEARMOTORS-24h'!I13,'03.08 NTINDA-SPEARMOTORS-24h'!I13,'04.08 NTINDA-SPEARMOTORS'!I13)</f>
        <v>1.5714285714285714</v>
      </c>
      <c r="J13" s="49">
        <f>AVERAGE('29.07 NTINDA-SPEAR MOTORS'!J13,'30.07 NTINDA-SPEARMOTORS'!J13,'31.07 SPEAR MOTORS-NTINDA'!J13,'02.08 SPEARMOTORS-NTINDA'!J13,'01.08 NTINDA-SPEARMOTORS-24h'!J13,'03.08 NTINDA-SPEARMOTORS-24h'!J13,'04.08 NTINDA-SPEARMOTORS'!J13)</f>
        <v>2.7142857142857144</v>
      </c>
      <c r="K13" s="49">
        <f>AVERAGE('29.07 NTINDA-SPEAR MOTORS'!K13,'30.07 NTINDA-SPEARMOTORS'!K13,'31.07 SPEAR MOTORS-NTINDA'!K13,'02.08 SPEARMOTORS-NTINDA'!K13,'01.08 NTINDA-SPEARMOTORS-24h'!K13,'03.08 NTINDA-SPEARMOTORS-24h'!K13,'04.08 NTINDA-SPEARMOTORS'!K13)</f>
        <v>0.7142857142857143</v>
      </c>
      <c r="L13" s="49">
        <f>AVERAGE('29.07 NTINDA-SPEAR MOTORS'!L13,'30.07 NTINDA-SPEARMOTORS'!L13,'31.07 SPEAR MOTORS-NTINDA'!L13,'02.08 SPEARMOTORS-NTINDA'!L13,'01.08 NTINDA-SPEARMOTORS-24h'!L13,'03.08 NTINDA-SPEARMOTORS-24h'!L13,'04.08 NTINDA-SPEARMOTORS'!L13)</f>
        <v>2.2857142857142856</v>
      </c>
      <c r="M13" s="49">
        <f>AVERAGE('29.07 NTINDA-SPEAR MOTORS'!M13,'30.07 NTINDA-SPEARMOTORS'!M13,'31.07 SPEAR MOTORS-NTINDA'!M13,'02.08 SPEARMOTORS-NTINDA'!M13,'01.08 NTINDA-SPEARMOTORS-24h'!M13,'03.08 NTINDA-SPEARMOTORS-24h'!M13,'04.08 NTINDA-SPEARMOTORS'!M13)</f>
        <v>131</v>
      </c>
      <c r="N13" s="49">
        <f>AVERAGE('29.07 NTINDA-SPEAR MOTORS'!N13,'30.07 NTINDA-SPEARMOTORS'!N13,'31.07 SPEAR MOTORS-NTINDA'!N13,'02.08 SPEARMOTORS-NTINDA'!N13,'01.08 NTINDA-SPEARMOTORS-24h'!N13,'03.08 NTINDA-SPEARMOTORS-24h'!N13,'04.08 NTINDA-SPEARMOTORS'!N13)</f>
        <v>0</v>
      </c>
      <c r="O13" s="15">
        <f t="shared" si="0"/>
        <v>54.000000000000007</v>
      </c>
      <c r="P13" s="15">
        <f t="shared" si="1"/>
        <v>185</v>
      </c>
      <c r="R13" s="1" t="s">
        <v>9</v>
      </c>
      <c r="S13" s="17">
        <f t="shared" ref="S13:AF13" si="5">SUM(C22:C25)</f>
        <v>68.285714285714292</v>
      </c>
      <c r="T13" s="17">
        <f t="shared" si="5"/>
        <v>45.142857142857146</v>
      </c>
      <c r="U13" s="17">
        <f t="shared" si="5"/>
        <v>16.857142857142858</v>
      </c>
      <c r="V13" s="17">
        <f t="shared" si="5"/>
        <v>23.714285714285715</v>
      </c>
      <c r="W13" s="17">
        <f t="shared" si="5"/>
        <v>0.14285714285714285</v>
      </c>
      <c r="X13" s="17">
        <f t="shared" si="5"/>
        <v>0.14285714285714285</v>
      </c>
      <c r="Y13" s="17">
        <f t="shared" si="5"/>
        <v>8.2857142857142865</v>
      </c>
      <c r="Z13" s="17">
        <f t="shared" si="5"/>
        <v>7.7142857142857144</v>
      </c>
      <c r="AA13" s="17">
        <f t="shared" si="5"/>
        <v>3.5714285714285712</v>
      </c>
      <c r="AB13" s="17">
        <f t="shared" si="5"/>
        <v>13.999999999999998</v>
      </c>
      <c r="AC13" s="17">
        <f t="shared" si="5"/>
        <v>446.85714285714289</v>
      </c>
      <c r="AD13" s="17">
        <f t="shared" si="5"/>
        <v>0</v>
      </c>
      <c r="AE13" s="31">
        <f t="shared" si="5"/>
        <v>187.85714285714286</v>
      </c>
      <c r="AF13" s="31">
        <f t="shared" si="5"/>
        <v>634.71428571428578</v>
      </c>
    </row>
    <row r="14" spans="2:32" ht="23.1" customHeight="1" x14ac:dyDescent="0.25">
      <c r="B14" s="23" t="s">
        <v>41</v>
      </c>
      <c r="C14" s="49">
        <f>AVERAGE('29.07 NTINDA-SPEAR MOTORS'!C14,'30.07 NTINDA-SPEARMOTORS'!C14,'31.07 SPEAR MOTORS-NTINDA'!C14,'02.08 SPEARMOTORS-NTINDA'!C14,'01.08 NTINDA-SPEARMOTORS-24h'!C14,'03.08 NTINDA-SPEARMOTORS-24h'!C14,'04.08 NTINDA-SPEARMOTORS'!C14)</f>
        <v>17.428571428571427</v>
      </c>
      <c r="D14" s="49">
        <f>AVERAGE('29.07 NTINDA-SPEAR MOTORS'!D14,'30.07 NTINDA-SPEARMOTORS'!D14,'31.07 SPEAR MOTORS-NTINDA'!D14,'02.08 SPEARMOTORS-NTINDA'!D14,'01.08 NTINDA-SPEARMOTORS-24h'!D14,'03.08 NTINDA-SPEARMOTORS-24h'!D14,'04.08 NTINDA-SPEARMOTORS'!D14)</f>
        <v>7.2857142857142856</v>
      </c>
      <c r="E14" s="49">
        <f>AVERAGE('29.07 NTINDA-SPEAR MOTORS'!E14,'30.07 NTINDA-SPEARMOTORS'!E14,'31.07 SPEAR MOTORS-NTINDA'!E14,'02.08 SPEARMOTORS-NTINDA'!E14,'01.08 NTINDA-SPEARMOTORS-24h'!E14,'03.08 NTINDA-SPEARMOTORS-24h'!E14,'04.08 NTINDA-SPEARMOTORS'!E14)</f>
        <v>4.4285714285714288</v>
      </c>
      <c r="F14" s="49">
        <f>AVERAGE('29.07 NTINDA-SPEAR MOTORS'!F14,'30.07 NTINDA-SPEARMOTORS'!F14,'31.07 SPEAR MOTORS-NTINDA'!F14,'02.08 SPEARMOTORS-NTINDA'!F14,'01.08 NTINDA-SPEARMOTORS-24h'!F14,'03.08 NTINDA-SPEARMOTORS-24h'!F14,'04.08 NTINDA-SPEARMOTORS'!F14)</f>
        <v>5.5714285714285712</v>
      </c>
      <c r="G14" s="49">
        <f>AVERAGE('29.07 NTINDA-SPEAR MOTORS'!G14,'30.07 NTINDA-SPEARMOTORS'!G14,'31.07 SPEAR MOTORS-NTINDA'!G14,'02.08 SPEARMOTORS-NTINDA'!G14,'01.08 NTINDA-SPEARMOTORS-24h'!G14,'03.08 NTINDA-SPEARMOTORS-24h'!G14,'04.08 NTINDA-SPEARMOTORS'!G14)</f>
        <v>0.14285714285714285</v>
      </c>
      <c r="H14" s="49">
        <f>AVERAGE('29.07 NTINDA-SPEAR MOTORS'!H14,'30.07 NTINDA-SPEARMOTORS'!H14,'31.07 SPEAR MOTORS-NTINDA'!H14,'02.08 SPEARMOTORS-NTINDA'!H14,'01.08 NTINDA-SPEARMOTORS-24h'!H14,'03.08 NTINDA-SPEARMOTORS-24h'!H14,'04.08 NTINDA-SPEARMOTORS'!H14)</f>
        <v>0</v>
      </c>
      <c r="I14" s="49">
        <f>AVERAGE('29.07 NTINDA-SPEAR MOTORS'!I14,'30.07 NTINDA-SPEARMOTORS'!I14,'31.07 SPEAR MOTORS-NTINDA'!I14,'02.08 SPEARMOTORS-NTINDA'!I14,'01.08 NTINDA-SPEARMOTORS-24h'!I14,'03.08 NTINDA-SPEARMOTORS-24h'!I14,'04.08 NTINDA-SPEARMOTORS'!I14)</f>
        <v>3.1428571428571428</v>
      </c>
      <c r="J14" s="49">
        <f>AVERAGE('29.07 NTINDA-SPEAR MOTORS'!J14,'30.07 NTINDA-SPEARMOTORS'!J14,'31.07 SPEAR MOTORS-NTINDA'!J14,'02.08 SPEARMOTORS-NTINDA'!J14,'01.08 NTINDA-SPEARMOTORS-24h'!J14,'03.08 NTINDA-SPEARMOTORS-24h'!J14,'04.08 NTINDA-SPEARMOTORS'!J14)</f>
        <v>1.2857142857142858</v>
      </c>
      <c r="K14" s="49">
        <f>AVERAGE('29.07 NTINDA-SPEAR MOTORS'!K14,'30.07 NTINDA-SPEARMOTORS'!K14,'31.07 SPEAR MOTORS-NTINDA'!K14,'02.08 SPEARMOTORS-NTINDA'!K14,'01.08 NTINDA-SPEARMOTORS-24h'!K14,'03.08 NTINDA-SPEARMOTORS-24h'!K14,'04.08 NTINDA-SPEARMOTORS'!K14)</f>
        <v>1.1428571428571428</v>
      </c>
      <c r="L14" s="49">
        <f>AVERAGE('29.07 NTINDA-SPEAR MOTORS'!L14,'30.07 NTINDA-SPEARMOTORS'!L14,'31.07 SPEAR MOTORS-NTINDA'!L14,'02.08 SPEARMOTORS-NTINDA'!L14,'01.08 NTINDA-SPEARMOTORS-24h'!L14,'03.08 NTINDA-SPEARMOTORS-24h'!L14,'04.08 NTINDA-SPEARMOTORS'!L14)</f>
        <v>2.7142857142857144</v>
      </c>
      <c r="M14" s="49">
        <f>AVERAGE('29.07 NTINDA-SPEAR MOTORS'!M14,'30.07 NTINDA-SPEARMOTORS'!M14,'31.07 SPEAR MOTORS-NTINDA'!M14,'02.08 SPEARMOTORS-NTINDA'!M14,'01.08 NTINDA-SPEARMOTORS-24h'!M14,'03.08 NTINDA-SPEARMOTORS-24h'!M14,'04.08 NTINDA-SPEARMOTORS'!M14)</f>
        <v>151</v>
      </c>
      <c r="N14" s="49">
        <f>AVERAGE('29.07 NTINDA-SPEAR MOTORS'!N14,'30.07 NTINDA-SPEARMOTORS'!N14,'31.07 SPEAR MOTORS-NTINDA'!N14,'02.08 SPEARMOTORS-NTINDA'!N14,'01.08 NTINDA-SPEARMOTORS-24h'!N14,'03.08 NTINDA-SPEARMOTORS-24h'!N14,'04.08 NTINDA-SPEARMOTORS'!N14)</f>
        <v>0</v>
      </c>
      <c r="O14" s="15">
        <f t="shared" si="0"/>
        <v>43.142857142857146</v>
      </c>
      <c r="P14" s="15">
        <f t="shared" si="1"/>
        <v>194.14285714285714</v>
      </c>
      <c r="R14" s="1" t="s">
        <v>10</v>
      </c>
      <c r="S14" s="17">
        <f t="shared" ref="S14:AF14" si="6">SUM(C26:C29)</f>
        <v>76.714285714285708</v>
      </c>
      <c r="T14" s="17">
        <f t="shared" si="6"/>
        <v>45.285714285714278</v>
      </c>
      <c r="U14" s="17">
        <f t="shared" si="6"/>
        <v>17.428571428571431</v>
      </c>
      <c r="V14" s="17">
        <f t="shared" si="6"/>
        <v>29.285714285714285</v>
      </c>
      <c r="W14" s="17">
        <f t="shared" si="6"/>
        <v>0.5714285714285714</v>
      </c>
      <c r="X14" s="17">
        <f t="shared" si="6"/>
        <v>0.2857142857142857</v>
      </c>
      <c r="Y14" s="17">
        <f t="shared" si="6"/>
        <v>8.1428571428571423</v>
      </c>
      <c r="Z14" s="17">
        <f t="shared" si="6"/>
        <v>7.7142857142857153</v>
      </c>
      <c r="AA14" s="17">
        <f t="shared" si="6"/>
        <v>4.1428571428571423</v>
      </c>
      <c r="AB14" s="17">
        <f t="shared" si="6"/>
        <v>18.142857142857142</v>
      </c>
      <c r="AC14" s="17">
        <f t="shared" si="6"/>
        <v>401.42857142857139</v>
      </c>
      <c r="AD14" s="17">
        <f t="shared" si="6"/>
        <v>0</v>
      </c>
      <c r="AE14" s="31">
        <f t="shared" si="6"/>
        <v>207.71428571428572</v>
      </c>
      <c r="AF14" s="31">
        <f t="shared" si="6"/>
        <v>609.14285714285711</v>
      </c>
    </row>
    <row r="15" spans="2:32" ht="23.1" customHeight="1" x14ac:dyDescent="0.25">
      <c r="B15" s="23" t="s">
        <v>42</v>
      </c>
      <c r="C15" s="49">
        <f>AVERAGE('29.07 NTINDA-SPEAR MOTORS'!C15,'30.07 NTINDA-SPEARMOTORS'!C15,'31.07 SPEAR MOTORS-NTINDA'!C15,'02.08 SPEARMOTORS-NTINDA'!C15,'01.08 NTINDA-SPEARMOTORS-24h'!C15,'03.08 NTINDA-SPEARMOTORS-24h'!C15,'04.08 NTINDA-SPEARMOTORS'!C15)</f>
        <v>17.428571428571427</v>
      </c>
      <c r="D15" s="49">
        <f>AVERAGE('29.07 NTINDA-SPEAR MOTORS'!D15,'30.07 NTINDA-SPEARMOTORS'!D15,'31.07 SPEAR MOTORS-NTINDA'!D15,'02.08 SPEARMOTORS-NTINDA'!D15,'01.08 NTINDA-SPEARMOTORS-24h'!D15,'03.08 NTINDA-SPEARMOTORS-24h'!D15,'04.08 NTINDA-SPEARMOTORS'!D15)</f>
        <v>7.5714285714285712</v>
      </c>
      <c r="E15" s="49">
        <f>AVERAGE('29.07 NTINDA-SPEAR MOTORS'!E15,'30.07 NTINDA-SPEARMOTORS'!E15,'31.07 SPEAR MOTORS-NTINDA'!E15,'02.08 SPEARMOTORS-NTINDA'!E15,'01.08 NTINDA-SPEARMOTORS-24h'!E15,'03.08 NTINDA-SPEARMOTORS-24h'!E15,'04.08 NTINDA-SPEARMOTORS'!E15)</f>
        <v>3.2857142857142856</v>
      </c>
      <c r="F15" s="49">
        <f>AVERAGE('29.07 NTINDA-SPEAR MOTORS'!F15,'30.07 NTINDA-SPEARMOTORS'!F15,'31.07 SPEAR MOTORS-NTINDA'!F15,'02.08 SPEARMOTORS-NTINDA'!F15,'01.08 NTINDA-SPEARMOTORS-24h'!F15,'03.08 NTINDA-SPEARMOTORS-24h'!F15,'04.08 NTINDA-SPEARMOTORS'!F15)</f>
        <v>6</v>
      </c>
      <c r="G15" s="49">
        <f>AVERAGE('29.07 NTINDA-SPEAR MOTORS'!G15,'30.07 NTINDA-SPEARMOTORS'!G15,'31.07 SPEAR MOTORS-NTINDA'!G15,'02.08 SPEARMOTORS-NTINDA'!G15,'01.08 NTINDA-SPEARMOTORS-24h'!G15,'03.08 NTINDA-SPEARMOTORS-24h'!G15,'04.08 NTINDA-SPEARMOTORS'!G15)</f>
        <v>0</v>
      </c>
      <c r="H15" s="49">
        <f>AVERAGE('29.07 NTINDA-SPEAR MOTORS'!H15,'30.07 NTINDA-SPEARMOTORS'!H15,'31.07 SPEAR MOTORS-NTINDA'!H15,'02.08 SPEARMOTORS-NTINDA'!H15,'01.08 NTINDA-SPEARMOTORS-24h'!H15,'03.08 NTINDA-SPEARMOTORS-24h'!H15,'04.08 NTINDA-SPEARMOTORS'!H15)</f>
        <v>0</v>
      </c>
      <c r="I15" s="49">
        <f>AVERAGE('29.07 NTINDA-SPEAR MOTORS'!I15,'30.07 NTINDA-SPEARMOTORS'!I15,'31.07 SPEAR MOTORS-NTINDA'!I15,'02.08 SPEARMOTORS-NTINDA'!I15,'01.08 NTINDA-SPEARMOTORS-24h'!I15,'03.08 NTINDA-SPEARMOTORS-24h'!I15,'04.08 NTINDA-SPEARMOTORS'!I15)</f>
        <v>1.1428571428571428</v>
      </c>
      <c r="J15" s="49">
        <f>AVERAGE('29.07 NTINDA-SPEAR MOTORS'!J15,'30.07 NTINDA-SPEARMOTORS'!J15,'31.07 SPEAR MOTORS-NTINDA'!J15,'02.08 SPEARMOTORS-NTINDA'!J15,'01.08 NTINDA-SPEARMOTORS-24h'!J15,'03.08 NTINDA-SPEARMOTORS-24h'!J15,'04.08 NTINDA-SPEARMOTORS'!J15)</f>
        <v>3</v>
      </c>
      <c r="K15" s="49">
        <f>AVERAGE('29.07 NTINDA-SPEAR MOTORS'!K15,'30.07 NTINDA-SPEARMOTORS'!K15,'31.07 SPEAR MOTORS-NTINDA'!K15,'02.08 SPEARMOTORS-NTINDA'!K15,'01.08 NTINDA-SPEARMOTORS-24h'!K15,'03.08 NTINDA-SPEARMOTORS-24h'!K15,'04.08 NTINDA-SPEARMOTORS'!K15)</f>
        <v>1.1428571428571428</v>
      </c>
      <c r="L15" s="49">
        <f>AVERAGE('29.07 NTINDA-SPEAR MOTORS'!L15,'30.07 NTINDA-SPEARMOTORS'!L15,'31.07 SPEAR MOTORS-NTINDA'!L15,'02.08 SPEARMOTORS-NTINDA'!L15,'01.08 NTINDA-SPEARMOTORS-24h'!L15,'03.08 NTINDA-SPEARMOTORS-24h'!L15,'04.08 NTINDA-SPEARMOTORS'!L15)</f>
        <v>1.2857142857142858</v>
      </c>
      <c r="M15" s="49">
        <f>AVERAGE('29.07 NTINDA-SPEAR MOTORS'!M15,'30.07 NTINDA-SPEARMOTORS'!M15,'31.07 SPEAR MOTORS-NTINDA'!M15,'02.08 SPEARMOTORS-NTINDA'!M15,'01.08 NTINDA-SPEARMOTORS-24h'!M15,'03.08 NTINDA-SPEARMOTORS-24h'!M15,'04.08 NTINDA-SPEARMOTORS'!M15)</f>
        <v>119.71428571428571</v>
      </c>
      <c r="N15" s="49">
        <f>AVERAGE('29.07 NTINDA-SPEAR MOTORS'!N15,'30.07 NTINDA-SPEARMOTORS'!N15,'31.07 SPEAR MOTORS-NTINDA'!N15,'02.08 SPEARMOTORS-NTINDA'!N15,'01.08 NTINDA-SPEARMOTORS-24h'!N15,'03.08 NTINDA-SPEARMOTORS-24h'!N15,'04.08 NTINDA-SPEARMOTORS'!N15)</f>
        <v>0.2857142857142857</v>
      </c>
      <c r="O15" s="15">
        <f t="shared" si="0"/>
        <v>41.142857142857146</v>
      </c>
      <c r="P15" s="15">
        <f t="shared" si="1"/>
        <v>160.85714285714283</v>
      </c>
      <c r="R15" s="1" t="s">
        <v>11</v>
      </c>
      <c r="S15" s="17">
        <f t="shared" ref="S15:AF15" si="7">SUM(C30:C33)</f>
        <v>69.428571428571431</v>
      </c>
      <c r="T15" s="17">
        <f t="shared" si="7"/>
        <v>37.857142857142861</v>
      </c>
      <c r="U15" s="17">
        <f t="shared" si="7"/>
        <v>15.857142857142858</v>
      </c>
      <c r="V15" s="17">
        <f t="shared" si="7"/>
        <v>22.428571428571431</v>
      </c>
      <c r="W15" s="17">
        <f t="shared" si="7"/>
        <v>0.14285714285714285</v>
      </c>
      <c r="X15" s="17">
        <f t="shared" si="7"/>
        <v>0.2857142857142857</v>
      </c>
      <c r="Y15" s="17">
        <f t="shared" si="7"/>
        <v>7</v>
      </c>
      <c r="Z15" s="17">
        <f t="shared" si="7"/>
        <v>6.4285714285714279</v>
      </c>
      <c r="AA15" s="17">
        <f t="shared" si="7"/>
        <v>3.8571428571428572</v>
      </c>
      <c r="AB15" s="17">
        <f t="shared" si="7"/>
        <v>21.428571428571427</v>
      </c>
      <c r="AC15" s="17">
        <f t="shared" si="7"/>
        <v>382.85714285714289</v>
      </c>
      <c r="AD15" s="17">
        <f t="shared" si="7"/>
        <v>0.14285714285714285</v>
      </c>
      <c r="AE15" s="31">
        <f t="shared" si="7"/>
        <v>184.85714285714286</v>
      </c>
      <c r="AF15" s="31">
        <f t="shared" si="7"/>
        <v>567.71428571428567</v>
      </c>
    </row>
    <row r="16" spans="2:32" ht="23.1" customHeight="1" x14ac:dyDescent="0.25">
      <c r="B16" s="23" t="s">
        <v>43</v>
      </c>
      <c r="C16" s="49">
        <f>AVERAGE('29.07 NTINDA-SPEAR MOTORS'!C16,'30.07 NTINDA-SPEARMOTORS'!C16,'31.07 SPEAR MOTORS-NTINDA'!C16,'02.08 SPEARMOTORS-NTINDA'!C16,'01.08 NTINDA-SPEARMOTORS-24h'!C16,'03.08 NTINDA-SPEARMOTORS-24h'!C16,'04.08 NTINDA-SPEARMOTORS'!C16)</f>
        <v>15</v>
      </c>
      <c r="D16" s="49">
        <f>AVERAGE('29.07 NTINDA-SPEAR MOTORS'!D16,'30.07 NTINDA-SPEARMOTORS'!D16,'31.07 SPEAR MOTORS-NTINDA'!D16,'02.08 SPEARMOTORS-NTINDA'!D16,'01.08 NTINDA-SPEARMOTORS-24h'!D16,'03.08 NTINDA-SPEARMOTORS-24h'!D16,'04.08 NTINDA-SPEARMOTORS'!D16)</f>
        <v>8.7142857142857135</v>
      </c>
      <c r="E16" s="49">
        <f>AVERAGE('29.07 NTINDA-SPEAR MOTORS'!E16,'30.07 NTINDA-SPEARMOTORS'!E16,'31.07 SPEAR MOTORS-NTINDA'!E16,'02.08 SPEARMOTORS-NTINDA'!E16,'01.08 NTINDA-SPEARMOTORS-24h'!E16,'03.08 NTINDA-SPEARMOTORS-24h'!E16,'04.08 NTINDA-SPEARMOTORS'!E16)</f>
        <v>3.8571428571428572</v>
      </c>
      <c r="F16" s="49">
        <f>AVERAGE('29.07 NTINDA-SPEAR MOTORS'!F16,'30.07 NTINDA-SPEARMOTORS'!F16,'31.07 SPEAR MOTORS-NTINDA'!F16,'02.08 SPEARMOTORS-NTINDA'!F16,'01.08 NTINDA-SPEARMOTORS-24h'!F16,'03.08 NTINDA-SPEARMOTORS-24h'!F16,'04.08 NTINDA-SPEARMOTORS'!F16)</f>
        <v>4.5714285714285712</v>
      </c>
      <c r="G16" s="49">
        <f>AVERAGE('29.07 NTINDA-SPEAR MOTORS'!G16,'30.07 NTINDA-SPEARMOTORS'!G16,'31.07 SPEAR MOTORS-NTINDA'!G16,'02.08 SPEARMOTORS-NTINDA'!G16,'01.08 NTINDA-SPEARMOTORS-24h'!G16,'03.08 NTINDA-SPEARMOTORS-24h'!G16,'04.08 NTINDA-SPEARMOTORS'!G16)</f>
        <v>0</v>
      </c>
      <c r="H16" s="49">
        <f>AVERAGE('29.07 NTINDA-SPEAR MOTORS'!H16,'30.07 NTINDA-SPEARMOTORS'!H16,'31.07 SPEAR MOTORS-NTINDA'!H16,'02.08 SPEARMOTORS-NTINDA'!H16,'01.08 NTINDA-SPEARMOTORS-24h'!H16,'03.08 NTINDA-SPEARMOTORS-24h'!H16,'04.08 NTINDA-SPEARMOTORS'!H16)</f>
        <v>0</v>
      </c>
      <c r="I16" s="49">
        <f>AVERAGE('29.07 NTINDA-SPEAR MOTORS'!I16,'30.07 NTINDA-SPEARMOTORS'!I16,'31.07 SPEAR MOTORS-NTINDA'!I16,'02.08 SPEARMOTORS-NTINDA'!I16,'01.08 NTINDA-SPEARMOTORS-24h'!I16,'03.08 NTINDA-SPEARMOTORS-24h'!I16,'04.08 NTINDA-SPEARMOTORS'!I16)</f>
        <v>1.4285714285714286</v>
      </c>
      <c r="J16" s="49">
        <f>AVERAGE('29.07 NTINDA-SPEAR MOTORS'!J16,'30.07 NTINDA-SPEARMOTORS'!J16,'31.07 SPEAR MOTORS-NTINDA'!J16,'02.08 SPEARMOTORS-NTINDA'!J16,'01.08 NTINDA-SPEARMOTORS-24h'!J16,'03.08 NTINDA-SPEARMOTORS-24h'!J16,'04.08 NTINDA-SPEARMOTORS'!J16)</f>
        <v>1.5714285714285714</v>
      </c>
      <c r="K16" s="49">
        <f>AVERAGE('29.07 NTINDA-SPEAR MOTORS'!K16,'30.07 NTINDA-SPEARMOTORS'!K16,'31.07 SPEAR MOTORS-NTINDA'!K16,'02.08 SPEARMOTORS-NTINDA'!K16,'01.08 NTINDA-SPEARMOTORS-24h'!K16,'03.08 NTINDA-SPEARMOTORS-24h'!K16,'04.08 NTINDA-SPEARMOTORS'!K16)</f>
        <v>0.2857142857142857</v>
      </c>
      <c r="L16" s="49">
        <f>AVERAGE('29.07 NTINDA-SPEAR MOTORS'!L16,'30.07 NTINDA-SPEARMOTORS'!L16,'31.07 SPEAR MOTORS-NTINDA'!L16,'02.08 SPEARMOTORS-NTINDA'!L16,'01.08 NTINDA-SPEARMOTORS-24h'!L16,'03.08 NTINDA-SPEARMOTORS-24h'!L16,'04.08 NTINDA-SPEARMOTORS'!L16)</f>
        <v>2.1428571428571428</v>
      </c>
      <c r="M16" s="49">
        <f>AVERAGE('29.07 NTINDA-SPEAR MOTORS'!M16,'30.07 NTINDA-SPEARMOTORS'!M16,'31.07 SPEAR MOTORS-NTINDA'!M16,'02.08 SPEARMOTORS-NTINDA'!M16,'01.08 NTINDA-SPEARMOTORS-24h'!M16,'03.08 NTINDA-SPEARMOTORS-24h'!M16,'04.08 NTINDA-SPEARMOTORS'!M16)</f>
        <v>136.85714285714286</v>
      </c>
      <c r="N16" s="49">
        <f>AVERAGE('29.07 NTINDA-SPEAR MOTORS'!N16,'30.07 NTINDA-SPEARMOTORS'!N16,'31.07 SPEAR MOTORS-NTINDA'!N16,'02.08 SPEARMOTORS-NTINDA'!N16,'01.08 NTINDA-SPEARMOTORS-24h'!N16,'03.08 NTINDA-SPEARMOTORS-24h'!N16,'04.08 NTINDA-SPEARMOTORS'!N16)</f>
        <v>0</v>
      </c>
      <c r="O16" s="15">
        <f t="shared" si="0"/>
        <v>37.571428571428577</v>
      </c>
      <c r="P16" s="15">
        <f t="shared" si="1"/>
        <v>174.42857142857144</v>
      </c>
      <c r="R16" s="1" t="s">
        <v>12</v>
      </c>
      <c r="S16" s="17">
        <f t="shared" ref="S16:AF16" si="8">SUM(C34:C37)</f>
        <v>80.285714285714292</v>
      </c>
      <c r="T16" s="17">
        <f t="shared" si="8"/>
        <v>38.714285714285715</v>
      </c>
      <c r="U16" s="17">
        <f t="shared" si="8"/>
        <v>13</v>
      </c>
      <c r="V16" s="17">
        <f t="shared" si="8"/>
        <v>20.714285714285715</v>
      </c>
      <c r="W16" s="17">
        <f t="shared" si="8"/>
        <v>0.42857142857142855</v>
      </c>
      <c r="X16" s="17">
        <f t="shared" si="8"/>
        <v>0.14285714285714285</v>
      </c>
      <c r="Y16" s="17">
        <f t="shared" si="8"/>
        <v>9.2857142857142865</v>
      </c>
      <c r="Z16" s="17">
        <f t="shared" si="8"/>
        <v>7.2857142857142865</v>
      </c>
      <c r="AA16" s="17">
        <f t="shared" si="8"/>
        <v>4.8571428571428577</v>
      </c>
      <c r="AB16" s="17">
        <f t="shared" si="8"/>
        <v>19</v>
      </c>
      <c r="AC16" s="17">
        <f t="shared" si="8"/>
        <v>399.14285714285717</v>
      </c>
      <c r="AD16" s="17">
        <f t="shared" si="8"/>
        <v>0.2857142857142857</v>
      </c>
      <c r="AE16" s="31">
        <f t="shared" si="8"/>
        <v>194</v>
      </c>
      <c r="AF16" s="31">
        <f t="shared" si="8"/>
        <v>593.14285714285722</v>
      </c>
    </row>
    <row r="17" spans="2:32" ht="23.1" customHeight="1" x14ac:dyDescent="0.25">
      <c r="B17" s="23" t="s">
        <v>44</v>
      </c>
      <c r="C17" s="49">
        <f>AVERAGE('29.07 NTINDA-SPEAR MOTORS'!C17,'30.07 NTINDA-SPEARMOTORS'!C17,'31.07 SPEAR MOTORS-NTINDA'!C17,'02.08 SPEARMOTORS-NTINDA'!C17,'01.08 NTINDA-SPEARMOTORS-24h'!C17,'03.08 NTINDA-SPEARMOTORS-24h'!C17,'04.08 NTINDA-SPEARMOTORS'!C17)</f>
        <v>18.714285714285715</v>
      </c>
      <c r="D17" s="49">
        <f>AVERAGE('29.07 NTINDA-SPEAR MOTORS'!D17,'30.07 NTINDA-SPEARMOTORS'!D17,'31.07 SPEAR MOTORS-NTINDA'!D17,'02.08 SPEARMOTORS-NTINDA'!D17,'01.08 NTINDA-SPEARMOTORS-24h'!D17,'03.08 NTINDA-SPEARMOTORS-24h'!D17,'04.08 NTINDA-SPEARMOTORS'!D17)</f>
        <v>9.5714285714285712</v>
      </c>
      <c r="E17" s="49">
        <f>AVERAGE('29.07 NTINDA-SPEAR MOTORS'!E17,'30.07 NTINDA-SPEARMOTORS'!E17,'31.07 SPEAR MOTORS-NTINDA'!E17,'02.08 SPEARMOTORS-NTINDA'!E17,'01.08 NTINDA-SPEARMOTORS-24h'!E17,'03.08 NTINDA-SPEARMOTORS-24h'!E17,'04.08 NTINDA-SPEARMOTORS'!E17)</f>
        <v>3.7142857142857144</v>
      </c>
      <c r="F17" s="49">
        <f>AVERAGE('29.07 NTINDA-SPEAR MOTORS'!F17,'30.07 NTINDA-SPEARMOTORS'!F17,'31.07 SPEAR MOTORS-NTINDA'!F17,'02.08 SPEARMOTORS-NTINDA'!F17,'01.08 NTINDA-SPEARMOTORS-24h'!F17,'03.08 NTINDA-SPEARMOTORS-24h'!F17,'04.08 NTINDA-SPEARMOTORS'!F17)</f>
        <v>6</v>
      </c>
      <c r="G17" s="49">
        <f>AVERAGE('29.07 NTINDA-SPEAR MOTORS'!G17,'30.07 NTINDA-SPEARMOTORS'!G17,'31.07 SPEAR MOTORS-NTINDA'!G17,'02.08 SPEARMOTORS-NTINDA'!G17,'01.08 NTINDA-SPEARMOTORS-24h'!G17,'03.08 NTINDA-SPEARMOTORS-24h'!G17,'04.08 NTINDA-SPEARMOTORS'!G17)</f>
        <v>0.14285714285714285</v>
      </c>
      <c r="H17" s="49">
        <f>AVERAGE('29.07 NTINDA-SPEAR MOTORS'!H17,'30.07 NTINDA-SPEARMOTORS'!H17,'31.07 SPEAR MOTORS-NTINDA'!H17,'02.08 SPEARMOTORS-NTINDA'!H17,'01.08 NTINDA-SPEARMOTORS-24h'!H17,'03.08 NTINDA-SPEARMOTORS-24h'!H17,'04.08 NTINDA-SPEARMOTORS'!H17)</f>
        <v>0</v>
      </c>
      <c r="I17" s="49">
        <f>AVERAGE('29.07 NTINDA-SPEAR MOTORS'!I17,'30.07 NTINDA-SPEARMOTORS'!I17,'31.07 SPEAR MOTORS-NTINDA'!I17,'02.08 SPEARMOTORS-NTINDA'!I17,'01.08 NTINDA-SPEARMOTORS-24h'!I17,'03.08 NTINDA-SPEARMOTORS-24h'!I17,'04.08 NTINDA-SPEARMOTORS'!I17)</f>
        <v>2.1428571428571428</v>
      </c>
      <c r="J17" s="49">
        <f>AVERAGE('29.07 NTINDA-SPEAR MOTORS'!J17,'30.07 NTINDA-SPEARMOTORS'!J17,'31.07 SPEAR MOTORS-NTINDA'!J17,'02.08 SPEARMOTORS-NTINDA'!J17,'01.08 NTINDA-SPEARMOTORS-24h'!J17,'03.08 NTINDA-SPEARMOTORS-24h'!J17,'04.08 NTINDA-SPEARMOTORS'!J17)</f>
        <v>0.8571428571428571</v>
      </c>
      <c r="K17" s="49">
        <f>AVERAGE('29.07 NTINDA-SPEAR MOTORS'!K17,'30.07 NTINDA-SPEARMOTORS'!K17,'31.07 SPEAR MOTORS-NTINDA'!K17,'02.08 SPEARMOTORS-NTINDA'!K17,'01.08 NTINDA-SPEARMOTORS-24h'!K17,'03.08 NTINDA-SPEARMOTORS-24h'!K17,'04.08 NTINDA-SPEARMOTORS'!K17)</f>
        <v>1</v>
      </c>
      <c r="L17" s="49">
        <f>AVERAGE('29.07 NTINDA-SPEAR MOTORS'!L17,'30.07 NTINDA-SPEARMOTORS'!L17,'31.07 SPEAR MOTORS-NTINDA'!L17,'02.08 SPEARMOTORS-NTINDA'!L17,'01.08 NTINDA-SPEARMOTORS-24h'!L17,'03.08 NTINDA-SPEARMOTORS-24h'!L17,'04.08 NTINDA-SPEARMOTORS'!L17)</f>
        <v>2.7142857142857144</v>
      </c>
      <c r="M17" s="49">
        <f>AVERAGE('29.07 NTINDA-SPEAR MOTORS'!M17,'30.07 NTINDA-SPEARMOTORS'!M17,'31.07 SPEAR MOTORS-NTINDA'!M17,'02.08 SPEARMOTORS-NTINDA'!M17,'01.08 NTINDA-SPEARMOTORS-24h'!M17,'03.08 NTINDA-SPEARMOTORS-24h'!M17,'04.08 NTINDA-SPEARMOTORS'!M17)</f>
        <v>143.57142857142858</v>
      </c>
      <c r="N17" s="49">
        <f>AVERAGE('29.07 NTINDA-SPEAR MOTORS'!N17,'30.07 NTINDA-SPEARMOTORS'!N17,'31.07 SPEAR MOTORS-NTINDA'!N17,'02.08 SPEARMOTORS-NTINDA'!N17,'01.08 NTINDA-SPEARMOTORS-24h'!N17,'03.08 NTINDA-SPEARMOTORS-24h'!N17,'04.08 NTINDA-SPEARMOTORS'!N17)</f>
        <v>0</v>
      </c>
      <c r="O17" s="15">
        <f t="shared" si="0"/>
        <v>44.857142857142861</v>
      </c>
      <c r="P17" s="15">
        <f t="shared" si="1"/>
        <v>188.42857142857144</v>
      </c>
      <c r="R17" s="1" t="s">
        <v>13</v>
      </c>
      <c r="S17" s="17">
        <f t="shared" ref="S17:AF17" si="9">SUM(C38:C41)</f>
        <v>71.285714285714278</v>
      </c>
      <c r="T17" s="17">
        <f t="shared" si="9"/>
        <v>43.714285714285715</v>
      </c>
      <c r="U17" s="17">
        <f t="shared" si="9"/>
        <v>16.714285714285712</v>
      </c>
      <c r="V17" s="17">
        <f t="shared" si="9"/>
        <v>21.714285714285715</v>
      </c>
      <c r="W17" s="17">
        <f t="shared" si="9"/>
        <v>0</v>
      </c>
      <c r="X17" s="17">
        <f t="shared" si="9"/>
        <v>0.2857142857142857</v>
      </c>
      <c r="Y17" s="17">
        <f t="shared" si="9"/>
        <v>9.7142857142857135</v>
      </c>
      <c r="Z17" s="17">
        <f t="shared" si="9"/>
        <v>5.5714285714285712</v>
      </c>
      <c r="AA17" s="17">
        <f t="shared" si="9"/>
        <v>5.2857142857142856</v>
      </c>
      <c r="AB17" s="17">
        <f t="shared" si="9"/>
        <v>14.428571428571427</v>
      </c>
      <c r="AC17" s="17">
        <f t="shared" si="9"/>
        <v>421.71428571428572</v>
      </c>
      <c r="AD17" s="17">
        <f t="shared" si="9"/>
        <v>0</v>
      </c>
      <c r="AE17" s="31">
        <f t="shared" si="9"/>
        <v>188.71428571428572</v>
      </c>
      <c r="AF17" s="31">
        <f t="shared" si="9"/>
        <v>610.42857142857144</v>
      </c>
    </row>
    <row r="18" spans="2:32" ht="23.1" customHeight="1" x14ac:dyDescent="0.25">
      <c r="B18" s="23" t="s">
        <v>45</v>
      </c>
      <c r="C18" s="49">
        <f>AVERAGE('29.07 NTINDA-SPEAR MOTORS'!C18,'30.07 NTINDA-SPEARMOTORS'!C18,'31.07 SPEAR MOTORS-NTINDA'!C18,'02.08 SPEARMOTORS-NTINDA'!C18,'01.08 NTINDA-SPEARMOTORS-24h'!C18,'03.08 NTINDA-SPEARMOTORS-24h'!C18,'04.08 NTINDA-SPEARMOTORS'!C18)</f>
        <v>18.285714285714285</v>
      </c>
      <c r="D18" s="49">
        <f>AVERAGE('29.07 NTINDA-SPEAR MOTORS'!D18,'30.07 NTINDA-SPEARMOTORS'!D18,'31.07 SPEAR MOTORS-NTINDA'!D18,'02.08 SPEARMOTORS-NTINDA'!D18,'01.08 NTINDA-SPEARMOTORS-24h'!D18,'03.08 NTINDA-SPEARMOTORS-24h'!D18,'04.08 NTINDA-SPEARMOTORS'!D18)</f>
        <v>9.2857142857142865</v>
      </c>
      <c r="E18" s="49">
        <f>AVERAGE('29.07 NTINDA-SPEAR MOTORS'!E18,'30.07 NTINDA-SPEARMOTORS'!E18,'31.07 SPEAR MOTORS-NTINDA'!E18,'02.08 SPEARMOTORS-NTINDA'!E18,'01.08 NTINDA-SPEARMOTORS-24h'!E18,'03.08 NTINDA-SPEARMOTORS-24h'!E18,'04.08 NTINDA-SPEARMOTORS'!E18)</f>
        <v>4</v>
      </c>
      <c r="F18" s="49">
        <f>AVERAGE('29.07 NTINDA-SPEAR MOTORS'!F18,'30.07 NTINDA-SPEARMOTORS'!F18,'31.07 SPEAR MOTORS-NTINDA'!F18,'02.08 SPEARMOTORS-NTINDA'!F18,'01.08 NTINDA-SPEARMOTORS-24h'!F18,'03.08 NTINDA-SPEARMOTORS-24h'!F18,'04.08 NTINDA-SPEARMOTORS'!F18)</f>
        <v>7</v>
      </c>
      <c r="G18" s="49">
        <f>AVERAGE('29.07 NTINDA-SPEAR MOTORS'!G18,'30.07 NTINDA-SPEARMOTORS'!G18,'31.07 SPEAR MOTORS-NTINDA'!G18,'02.08 SPEARMOTORS-NTINDA'!G18,'01.08 NTINDA-SPEARMOTORS-24h'!G18,'03.08 NTINDA-SPEARMOTORS-24h'!G18,'04.08 NTINDA-SPEARMOTORS'!G18)</f>
        <v>0.42857142857142855</v>
      </c>
      <c r="H18" s="49">
        <f>AVERAGE('29.07 NTINDA-SPEAR MOTORS'!H18,'30.07 NTINDA-SPEARMOTORS'!H18,'31.07 SPEAR MOTORS-NTINDA'!H18,'02.08 SPEARMOTORS-NTINDA'!H18,'01.08 NTINDA-SPEARMOTORS-24h'!H18,'03.08 NTINDA-SPEARMOTORS-24h'!H18,'04.08 NTINDA-SPEARMOTORS'!H18)</f>
        <v>0.14285714285714285</v>
      </c>
      <c r="I18" s="49">
        <f>AVERAGE('29.07 NTINDA-SPEAR MOTORS'!I18,'30.07 NTINDA-SPEARMOTORS'!I18,'31.07 SPEAR MOTORS-NTINDA'!I18,'02.08 SPEARMOTORS-NTINDA'!I18,'01.08 NTINDA-SPEARMOTORS-24h'!I18,'03.08 NTINDA-SPEARMOTORS-24h'!I18,'04.08 NTINDA-SPEARMOTORS'!I18)</f>
        <v>1.2857142857142858</v>
      </c>
      <c r="J18" s="49">
        <f>AVERAGE('29.07 NTINDA-SPEAR MOTORS'!J18,'30.07 NTINDA-SPEARMOTORS'!J18,'31.07 SPEAR MOTORS-NTINDA'!J18,'02.08 SPEARMOTORS-NTINDA'!J18,'01.08 NTINDA-SPEARMOTORS-24h'!J18,'03.08 NTINDA-SPEARMOTORS-24h'!J18,'04.08 NTINDA-SPEARMOTORS'!J18)</f>
        <v>1.8571428571428572</v>
      </c>
      <c r="K18" s="49">
        <f>AVERAGE('29.07 NTINDA-SPEAR MOTORS'!K18,'30.07 NTINDA-SPEARMOTORS'!K18,'31.07 SPEAR MOTORS-NTINDA'!K18,'02.08 SPEARMOTORS-NTINDA'!K18,'01.08 NTINDA-SPEARMOTORS-24h'!K18,'03.08 NTINDA-SPEARMOTORS-24h'!K18,'04.08 NTINDA-SPEARMOTORS'!K18)</f>
        <v>1.1428571428571428</v>
      </c>
      <c r="L18" s="49">
        <f>AVERAGE('29.07 NTINDA-SPEAR MOTORS'!L18,'30.07 NTINDA-SPEARMOTORS'!L18,'31.07 SPEAR MOTORS-NTINDA'!L18,'02.08 SPEARMOTORS-NTINDA'!L18,'01.08 NTINDA-SPEARMOTORS-24h'!L18,'03.08 NTINDA-SPEARMOTORS-24h'!L18,'04.08 NTINDA-SPEARMOTORS'!L18)</f>
        <v>2</v>
      </c>
      <c r="M18" s="49">
        <f>AVERAGE('29.07 NTINDA-SPEAR MOTORS'!M18,'30.07 NTINDA-SPEARMOTORS'!M18,'31.07 SPEAR MOTORS-NTINDA'!M18,'02.08 SPEARMOTORS-NTINDA'!M18,'01.08 NTINDA-SPEARMOTORS-24h'!M18,'03.08 NTINDA-SPEARMOTORS-24h'!M18,'04.08 NTINDA-SPEARMOTORS'!M18)</f>
        <v>129.14285714285714</v>
      </c>
      <c r="N18" s="49">
        <f>AVERAGE('29.07 NTINDA-SPEAR MOTORS'!N18,'30.07 NTINDA-SPEARMOTORS'!N18,'31.07 SPEAR MOTORS-NTINDA'!N18,'02.08 SPEARMOTORS-NTINDA'!N18,'01.08 NTINDA-SPEARMOTORS-24h'!N18,'03.08 NTINDA-SPEARMOTORS-24h'!N18,'04.08 NTINDA-SPEARMOTORS'!N18)</f>
        <v>0</v>
      </c>
      <c r="O18" s="15">
        <f t="shared" si="0"/>
        <v>45.428571428571431</v>
      </c>
      <c r="P18" s="15">
        <f t="shared" si="1"/>
        <v>174.57142857142856</v>
      </c>
      <c r="R18" s="1" t="s">
        <v>14</v>
      </c>
      <c r="S18" s="17">
        <f t="shared" ref="S18:AF18" si="10">SUM(C42:C45)</f>
        <v>78.714285714285708</v>
      </c>
      <c r="T18" s="17">
        <f t="shared" si="10"/>
        <v>42.714285714285715</v>
      </c>
      <c r="U18" s="17">
        <f t="shared" si="10"/>
        <v>17.142857142857142</v>
      </c>
      <c r="V18" s="17">
        <f t="shared" si="10"/>
        <v>24.857142857142858</v>
      </c>
      <c r="W18" s="17">
        <f t="shared" si="10"/>
        <v>0.5714285714285714</v>
      </c>
      <c r="X18" s="17">
        <f t="shared" si="10"/>
        <v>0</v>
      </c>
      <c r="Y18" s="17">
        <f t="shared" si="10"/>
        <v>8</v>
      </c>
      <c r="Z18" s="17">
        <f t="shared" si="10"/>
        <v>7.2857142857142856</v>
      </c>
      <c r="AA18" s="17">
        <f t="shared" si="10"/>
        <v>4.7142857142857144</v>
      </c>
      <c r="AB18" s="17">
        <f t="shared" si="10"/>
        <v>18.285714285714288</v>
      </c>
      <c r="AC18" s="17">
        <f t="shared" si="10"/>
        <v>438.28571428571428</v>
      </c>
      <c r="AD18" s="17">
        <f t="shared" si="10"/>
        <v>0.14285714285714285</v>
      </c>
      <c r="AE18" s="31">
        <f t="shared" si="10"/>
        <v>202.42857142857142</v>
      </c>
      <c r="AF18" s="31">
        <f t="shared" si="10"/>
        <v>640.71428571428578</v>
      </c>
    </row>
    <row r="19" spans="2:32" ht="23.1" customHeight="1" x14ac:dyDescent="0.25">
      <c r="B19" s="23" t="s">
        <v>46</v>
      </c>
      <c r="C19" s="49">
        <f>AVERAGE('29.07 NTINDA-SPEAR MOTORS'!C19,'30.07 NTINDA-SPEARMOTORS'!C19,'31.07 SPEAR MOTORS-NTINDA'!C19,'02.08 SPEARMOTORS-NTINDA'!C19,'01.08 NTINDA-SPEARMOTORS-24h'!C19,'03.08 NTINDA-SPEARMOTORS-24h'!C19,'04.08 NTINDA-SPEARMOTORS'!C19)</f>
        <v>18.857142857142858</v>
      </c>
      <c r="D19" s="49">
        <f>AVERAGE('29.07 NTINDA-SPEAR MOTORS'!D19,'30.07 NTINDA-SPEARMOTORS'!D19,'31.07 SPEAR MOTORS-NTINDA'!D19,'02.08 SPEARMOTORS-NTINDA'!D19,'01.08 NTINDA-SPEARMOTORS-24h'!D19,'03.08 NTINDA-SPEARMOTORS-24h'!D19,'04.08 NTINDA-SPEARMOTORS'!D19)</f>
        <v>8.2857142857142865</v>
      </c>
      <c r="E19" s="49">
        <f>AVERAGE('29.07 NTINDA-SPEAR MOTORS'!E19,'30.07 NTINDA-SPEARMOTORS'!E19,'31.07 SPEAR MOTORS-NTINDA'!E19,'02.08 SPEARMOTORS-NTINDA'!E19,'01.08 NTINDA-SPEARMOTORS-24h'!E19,'03.08 NTINDA-SPEARMOTORS-24h'!E19,'04.08 NTINDA-SPEARMOTORS'!E19)</f>
        <v>3.2857142857142856</v>
      </c>
      <c r="F19" s="49">
        <f>AVERAGE('29.07 NTINDA-SPEAR MOTORS'!F19,'30.07 NTINDA-SPEARMOTORS'!F19,'31.07 SPEAR MOTORS-NTINDA'!F19,'02.08 SPEARMOTORS-NTINDA'!F19,'01.08 NTINDA-SPEARMOTORS-24h'!F19,'03.08 NTINDA-SPEARMOTORS-24h'!F19,'04.08 NTINDA-SPEARMOTORS'!F19)</f>
        <v>8.5714285714285712</v>
      </c>
      <c r="G19" s="49">
        <f>AVERAGE('29.07 NTINDA-SPEAR MOTORS'!G19,'30.07 NTINDA-SPEARMOTORS'!G19,'31.07 SPEAR MOTORS-NTINDA'!G19,'02.08 SPEARMOTORS-NTINDA'!G19,'01.08 NTINDA-SPEARMOTORS-24h'!G19,'03.08 NTINDA-SPEARMOTORS-24h'!G19,'04.08 NTINDA-SPEARMOTORS'!G19)</f>
        <v>0</v>
      </c>
      <c r="H19" s="49">
        <f>AVERAGE('29.07 NTINDA-SPEAR MOTORS'!H19,'30.07 NTINDA-SPEARMOTORS'!H19,'31.07 SPEAR MOTORS-NTINDA'!H19,'02.08 SPEARMOTORS-NTINDA'!H19,'01.08 NTINDA-SPEARMOTORS-24h'!H19,'03.08 NTINDA-SPEARMOTORS-24h'!H19,'04.08 NTINDA-SPEARMOTORS'!H19)</f>
        <v>0</v>
      </c>
      <c r="I19" s="49">
        <f>AVERAGE('29.07 NTINDA-SPEAR MOTORS'!I19,'30.07 NTINDA-SPEARMOTORS'!I19,'31.07 SPEAR MOTORS-NTINDA'!I19,'02.08 SPEARMOTORS-NTINDA'!I19,'01.08 NTINDA-SPEARMOTORS-24h'!I19,'03.08 NTINDA-SPEARMOTORS-24h'!I19,'04.08 NTINDA-SPEARMOTORS'!I19)</f>
        <v>3.5714285714285716</v>
      </c>
      <c r="J19" s="49">
        <f>AVERAGE('29.07 NTINDA-SPEAR MOTORS'!J19,'30.07 NTINDA-SPEARMOTORS'!J19,'31.07 SPEAR MOTORS-NTINDA'!J19,'02.08 SPEARMOTORS-NTINDA'!J19,'01.08 NTINDA-SPEARMOTORS-24h'!J19,'03.08 NTINDA-SPEARMOTORS-24h'!J19,'04.08 NTINDA-SPEARMOTORS'!J19)</f>
        <v>1.5714285714285714</v>
      </c>
      <c r="K19" s="49">
        <f>AVERAGE('29.07 NTINDA-SPEAR MOTORS'!K19,'30.07 NTINDA-SPEARMOTORS'!K19,'31.07 SPEAR MOTORS-NTINDA'!K19,'02.08 SPEARMOTORS-NTINDA'!K19,'01.08 NTINDA-SPEARMOTORS-24h'!K19,'03.08 NTINDA-SPEARMOTORS-24h'!K19,'04.08 NTINDA-SPEARMOTORS'!K19)</f>
        <v>0.5714285714285714</v>
      </c>
      <c r="L19" s="49">
        <f>AVERAGE('29.07 NTINDA-SPEAR MOTORS'!L19,'30.07 NTINDA-SPEARMOTORS'!L19,'31.07 SPEAR MOTORS-NTINDA'!L19,'02.08 SPEARMOTORS-NTINDA'!L19,'01.08 NTINDA-SPEARMOTORS-24h'!L19,'03.08 NTINDA-SPEARMOTORS-24h'!L19,'04.08 NTINDA-SPEARMOTORS'!L19)</f>
        <v>2.8571428571428572</v>
      </c>
      <c r="M19" s="49">
        <f>AVERAGE('29.07 NTINDA-SPEAR MOTORS'!M19,'30.07 NTINDA-SPEARMOTORS'!M19,'31.07 SPEAR MOTORS-NTINDA'!M19,'02.08 SPEARMOTORS-NTINDA'!M19,'01.08 NTINDA-SPEARMOTORS-24h'!M19,'03.08 NTINDA-SPEARMOTORS-24h'!M19,'04.08 NTINDA-SPEARMOTORS'!M19)</f>
        <v>129.28571428571428</v>
      </c>
      <c r="N19" s="49">
        <f>AVERAGE('29.07 NTINDA-SPEAR MOTORS'!N19,'30.07 NTINDA-SPEARMOTORS'!N19,'31.07 SPEAR MOTORS-NTINDA'!N19,'02.08 SPEARMOTORS-NTINDA'!N19,'01.08 NTINDA-SPEARMOTORS-24h'!N19,'03.08 NTINDA-SPEARMOTORS-24h'!N19,'04.08 NTINDA-SPEARMOTORS'!N19)</f>
        <v>0</v>
      </c>
      <c r="O19" s="15">
        <f t="shared" si="0"/>
        <v>47.571428571428562</v>
      </c>
      <c r="P19" s="15">
        <f t="shared" si="1"/>
        <v>176.85714285714283</v>
      </c>
      <c r="R19" s="1" t="s">
        <v>15</v>
      </c>
      <c r="S19" s="17">
        <f t="shared" ref="S19:AF19" si="11">SUM(C46:C49)</f>
        <v>98</v>
      </c>
      <c r="T19" s="17">
        <f t="shared" si="11"/>
        <v>61.571428571428577</v>
      </c>
      <c r="U19" s="17">
        <f t="shared" si="11"/>
        <v>20.857142857142858</v>
      </c>
      <c r="V19" s="17">
        <f t="shared" si="11"/>
        <v>26.285714285714285</v>
      </c>
      <c r="W19" s="17">
        <f t="shared" si="11"/>
        <v>0.14285714285714285</v>
      </c>
      <c r="X19" s="17">
        <f t="shared" si="11"/>
        <v>0.42857142857142855</v>
      </c>
      <c r="Y19" s="17">
        <f t="shared" si="11"/>
        <v>8.571428571428573</v>
      </c>
      <c r="Z19" s="17">
        <f t="shared" si="11"/>
        <v>7.1428571428571423</v>
      </c>
      <c r="AA19" s="17">
        <f t="shared" si="11"/>
        <v>3.7142857142857144</v>
      </c>
      <c r="AB19" s="17">
        <f t="shared" si="11"/>
        <v>17.428571428571431</v>
      </c>
      <c r="AC19" s="17">
        <f t="shared" si="11"/>
        <v>467.85714285714283</v>
      </c>
      <c r="AD19" s="17">
        <f t="shared" si="11"/>
        <v>0</v>
      </c>
      <c r="AE19" s="31">
        <f t="shared" si="11"/>
        <v>244.14285714285717</v>
      </c>
      <c r="AF19" s="31">
        <f t="shared" si="11"/>
        <v>712</v>
      </c>
    </row>
    <row r="20" spans="2:32" ht="23.1" customHeight="1" x14ac:dyDescent="0.25">
      <c r="B20" s="23" t="s">
        <v>47</v>
      </c>
      <c r="C20" s="49">
        <f>AVERAGE('29.07 NTINDA-SPEAR MOTORS'!C20,'30.07 NTINDA-SPEARMOTORS'!C20,'31.07 SPEAR MOTORS-NTINDA'!C20,'02.08 SPEARMOTORS-NTINDA'!C20,'01.08 NTINDA-SPEARMOTORS-24h'!C20,'03.08 NTINDA-SPEARMOTORS-24h'!C20,'04.08 NTINDA-SPEARMOTORS'!C20)</f>
        <v>13.142857142857142</v>
      </c>
      <c r="D20" s="49">
        <f>AVERAGE('29.07 NTINDA-SPEAR MOTORS'!D20,'30.07 NTINDA-SPEARMOTORS'!D20,'31.07 SPEAR MOTORS-NTINDA'!D20,'02.08 SPEARMOTORS-NTINDA'!D20,'01.08 NTINDA-SPEARMOTORS-24h'!D20,'03.08 NTINDA-SPEARMOTORS-24h'!D20,'04.08 NTINDA-SPEARMOTORS'!D20)</f>
        <v>9</v>
      </c>
      <c r="E20" s="49">
        <f>AVERAGE('29.07 NTINDA-SPEAR MOTORS'!E20,'30.07 NTINDA-SPEARMOTORS'!E20,'31.07 SPEAR MOTORS-NTINDA'!E20,'02.08 SPEARMOTORS-NTINDA'!E20,'01.08 NTINDA-SPEARMOTORS-24h'!E20,'03.08 NTINDA-SPEARMOTORS-24h'!E20,'04.08 NTINDA-SPEARMOTORS'!E20)</f>
        <v>4</v>
      </c>
      <c r="F20" s="49">
        <f>AVERAGE('29.07 NTINDA-SPEAR MOTORS'!F20,'30.07 NTINDA-SPEARMOTORS'!F20,'31.07 SPEAR MOTORS-NTINDA'!F20,'02.08 SPEARMOTORS-NTINDA'!F20,'01.08 NTINDA-SPEARMOTORS-24h'!F20,'03.08 NTINDA-SPEARMOTORS-24h'!F20,'04.08 NTINDA-SPEARMOTORS'!F20)</f>
        <v>6</v>
      </c>
      <c r="G20" s="49">
        <f>AVERAGE('29.07 NTINDA-SPEAR MOTORS'!G20,'30.07 NTINDA-SPEARMOTORS'!G20,'31.07 SPEAR MOTORS-NTINDA'!G20,'02.08 SPEARMOTORS-NTINDA'!G20,'01.08 NTINDA-SPEARMOTORS-24h'!G20,'03.08 NTINDA-SPEARMOTORS-24h'!G20,'04.08 NTINDA-SPEARMOTORS'!G20)</f>
        <v>0</v>
      </c>
      <c r="H20" s="49">
        <f>AVERAGE('29.07 NTINDA-SPEAR MOTORS'!H20,'30.07 NTINDA-SPEARMOTORS'!H20,'31.07 SPEAR MOTORS-NTINDA'!H20,'02.08 SPEARMOTORS-NTINDA'!H20,'01.08 NTINDA-SPEARMOTORS-24h'!H20,'03.08 NTINDA-SPEARMOTORS-24h'!H20,'04.08 NTINDA-SPEARMOTORS'!H20)</f>
        <v>0.14285714285714285</v>
      </c>
      <c r="I20" s="49">
        <f>AVERAGE('29.07 NTINDA-SPEAR MOTORS'!I20,'30.07 NTINDA-SPEARMOTORS'!I20,'31.07 SPEAR MOTORS-NTINDA'!I20,'02.08 SPEARMOTORS-NTINDA'!I20,'01.08 NTINDA-SPEARMOTORS-24h'!I20,'03.08 NTINDA-SPEARMOTORS-24h'!I20,'04.08 NTINDA-SPEARMOTORS'!I20)</f>
        <v>1.5714285714285714</v>
      </c>
      <c r="J20" s="49">
        <f>AVERAGE('29.07 NTINDA-SPEAR MOTORS'!J20,'30.07 NTINDA-SPEARMOTORS'!J20,'31.07 SPEAR MOTORS-NTINDA'!J20,'02.08 SPEARMOTORS-NTINDA'!J20,'01.08 NTINDA-SPEARMOTORS-24h'!J20,'03.08 NTINDA-SPEARMOTORS-24h'!J20,'04.08 NTINDA-SPEARMOTORS'!J20)</f>
        <v>1</v>
      </c>
      <c r="K20" s="49">
        <f>AVERAGE('29.07 NTINDA-SPEAR MOTORS'!K20,'30.07 NTINDA-SPEARMOTORS'!K20,'31.07 SPEAR MOTORS-NTINDA'!K20,'02.08 SPEARMOTORS-NTINDA'!K20,'01.08 NTINDA-SPEARMOTORS-24h'!K20,'03.08 NTINDA-SPEARMOTORS-24h'!K20,'04.08 NTINDA-SPEARMOTORS'!K20)</f>
        <v>0.42857142857142855</v>
      </c>
      <c r="L20" s="49">
        <f>AVERAGE('29.07 NTINDA-SPEAR MOTORS'!L20,'30.07 NTINDA-SPEARMOTORS'!L20,'31.07 SPEAR MOTORS-NTINDA'!L20,'02.08 SPEARMOTORS-NTINDA'!L20,'01.08 NTINDA-SPEARMOTORS-24h'!L20,'03.08 NTINDA-SPEARMOTORS-24h'!L20,'04.08 NTINDA-SPEARMOTORS'!L20)</f>
        <v>1.8571428571428572</v>
      </c>
      <c r="M20" s="49">
        <f>AVERAGE('29.07 NTINDA-SPEAR MOTORS'!M20,'30.07 NTINDA-SPEARMOTORS'!M20,'31.07 SPEAR MOTORS-NTINDA'!M20,'02.08 SPEARMOTORS-NTINDA'!M20,'01.08 NTINDA-SPEARMOTORS-24h'!M20,'03.08 NTINDA-SPEARMOTORS-24h'!M20,'04.08 NTINDA-SPEARMOTORS'!M20)</f>
        <v>135.71428571428572</v>
      </c>
      <c r="N20" s="49">
        <f>AVERAGE('29.07 NTINDA-SPEAR MOTORS'!N20,'30.07 NTINDA-SPEARMOTORS'!N20,'31.07 SPEAR MOTORS-NTINDA'!N20,'02.08 SPEARMOTORS-NTINDA'!N20,'01.08 NTINDA-SPEARMOTORS-24h'!N20,'03.08 NTINDA-SPEARMOTORS-24h'!N20,'04.08 NTINDA-SPEARMOTORS'!N20)</f>
        <v>0</v>
      </c>
      <c r="O20" s="15">
        <f t="shared" si="0"/>
        <v>37.142857142857139</v>
      </c>
      <c r="P20" s="15">
        <f t="shared" si="1"/>
        <v>172.85714285714286</v>
      </c>
      <c r="R20" s="1" t="s">
        <v>16</v>
      </c>
      <c r="S20" s="17">
        <f t="shared" ref="S20:AF20" si="12">SUM(C50:C53)</f>
        <v>89.571428571428584</v>
      </c>
      <c r="T20" s="17">
        <f t="shared" si="12"/>
        <v>48.142857142857139</v>
      </c>
      <c r="U20" s="17">
        <f t="shared" si="12"/>
        <v>20.714285714285715</v>
      </c>
      <c r="V20" s="17">
        <f t="shared" si="12"/>
        <v>22.428571428571427</v>
      </c>
      <c r="W20" s="17">
        <f t="shared" si="12"/>
        <v>0.2857142857142857</v>
      </c>
      <c r="X20" s="17">
        <f t="shared" si="12"/>
        <v>0.14285714285714285</v>
      </c>
      <c r="Y20" s="17">
        <f t="shared" si="12"/>
        <v>6.8571428571428568</v>
      </c>
      <c r="Z20" s="17">
        <f t="shared" si="12"/>
        <v>4.4285714285714288</v>
      </c>
      <c r="AA20" s="17">
        <f t="shared" si="12"/>
        <v>2.5714285714285712</v>
      </c>
      <c r="AB20" s="17">
        <f t="shared" si="12"/>
        <v>13</v>
      </c>
      <c r="AC20" s="17">
        <f t="shared" si="12"/>
        <v>510.57142857142856</v>
      </c>
      <c r="AD20" s="17">
        <f t="shared" si="12"/>
        <v>0</v>
      </c>
      <c r="AE20" s="31">
        <f t="shared" si="12"/>
        <v>208.14285714285717</v>
      </c>
      <c r="AF20" s="31">
        <f t="shared" si="12"/>
        <v>718.71428571428578</v>
      </c>
    </row>
    <row r="21" spans="2:32" ht="23.1" customHeight="1" x14ac:dyDescent="0.25">
      <c r="B21" s="23" t="s">
        <v>48</v>
      </c>
      <c r="C21" s="49">
        <f>AVERAGE('29.07 NTINDA-SPEAR MOTORS'!C21,'30.07 NTINDA-SPEARMOTORS'!C21,'31.07 SPEAR MOTORS-NTINDA'!C21,'02.08 SPEARMOTORS-NTINDA'!C21,'01.08 NTINDA-SPEARMOTORS-24h'!C21,'03.08 NTINDA-SPEARMOTORS-24h'!C21,'04.08 NTINDA-SPEARMOTORS'!C21)</f>
        <v>17.857142857142858</v>
      </c>
      <c r="D21" s="49">
        <f>AVERAGE('29.07 NTINDA-SPEAR MOTORS'!D21,'30.07 NTINDA-SPEARMOTORS'!D21,'31.07 SPEAR MOTORS-NTINDA'!D21,'02.08 SPEARMOTORS-NTINDA'!D21,'01.08 NTINDA-SPEARMOTORS-24h'!D21,'03.08 NTINDA-SPEARMOTORS-24h'!D21,'04.08 NTINDA-SPEARMOTORS'!D21)</f>
        <v>11.571428571428571</v>
      </c>
      <c r="E21" s="49">
        <f>AVERAGE('29.07 NTINDA-SPEAR MOTORS'!E21,'30.07 NTINDA-SPEARMOTORS'!E21,'31.07 SPEAR MOTORS-NTINDA'!E21,'02.08 SPEARMOTORS-NTINDA'!E21,'01.08 NTINDA-SPEARMOTORS-24h'!E21,'03.08 NTINDA-SPEARMOTORS-24h'!E21,'04.08 NTINDA-SPEARMOTORS'!E21)</f>
        <v>5</v>
      </c>
      <c r="F21" s="49">
        <f>AVERAGE('29.07 NTINDA-SPEAR MOTORS'!F21,'30.07 NTINDA-SPEARMOTORS'!F21,'31.07 SPEAR MOTORS-NTINDA'!F21,'02.08 SPEARMOTORS-NTINDA'!F21,'01.08 NTINDA-SPEARMOTORS-24h'!F21,'03.08 NTINDA-SPEARMOTORS-24h'!F21,'04.08 NTINDA-SPEARMOTORS'!F21)</f>
        <v>9.8571428571428577</v>
      </c>
      <c r="G21" s="49">
        <f>AVERAGE('29.07 NTINDA-SPEAR MOTORS'!G21,'30.07 NTINDA-SPEARMOTORS'!G21,'31.07 SPEAR MOTORS-NTINDA'!G21,'02.08 SPEARMOTORS-NTINDA'!G21,'01.08 NTINDA-SPEARMOTORS-24h'!G21,'03.08 NTINDA-SPEARMOTORS-24h'!G21,'04.08 NTINDA-SPEARMOTORS'!G21)</f>
        <v>0.2857142857142857</v>
      </c>
      <c r="H21" s="49">
        <f>AVERAGE('29.07 NTINDA-SPEAR MOTORS'!H21,'30.07 NTINDA-SPEARMOTORS'!H21,'31.07 SPEAR MOTORS-NTINDA'!H21,'02.08 SPEARMOTORS-NTINDA'!H21,'01.08 NTINDA-SPEARMOTORS-24h'!H21,'03.08 NTINDA-SPEARMOTORS-24h'!H21,'04.08 NTINDA-SPEARMOTORS'!H21)</f>
        <v>0</v>
      </c>
      <c r="I21" s="49">
        <f>AVERAGE('29.07 NTINDA-SPEAR MOTORS'!I21,'30.07 NTINDA-SPEARMOTORS'!I21,'31.07 SPEAR MOTORS-NTINDA'!I21,'02.08 SPEARMOTORS-NTINDA'!I21,'01.08 NTINDA-SPEARMOTORS-24h'!I21,'03.08 NTINDA-SPEARMOTORS-24h'!I21,'04.08 NTINDA-SPEARMOTORS'!I21)</f>
        <v>4</v>
      </c>
      <c r="J21" s="49">
        <f>AVERAGE('29.07 NTINDA-SPEAR MOTORS'!J21,'30.07 NTINDA-SPEARMOTORS'!J21,'31.07 SPEAR MOTORS-NTINDA'!J21,'02.08 SPEARMOTORS-NTINDA'!J21,'01.08 NTINDA-SPEARMOTORS-24h'!J21,'03.08 NTINDA-SPEARMOTORS-24h'!J21,'04.08 NTINDA-SPEARMOTORS'!J21)</f>
        <v>1.2857142857142858</v>
      </c>
      <c r="K21" s="49">
        <f>AVERAGE('29.07 NTINDA-SPEAR MOTORS'!K21,'30.07 NTINDA-SPEARMOTORS'!K21,'31.07 SPEAR MOTORS-NTINDA'!K21,'02.08 SPEARMOTORS-NTINDA'!K21,'01.08 NTINDA-SPEARMOTORS-24h'!K21,'03.08 NTINDA-SPEARMOTORS-24h'!K21,'04.08 NTINDA-SPEARMOTORS'!K21)</f>
        <v>1.4285714285714286</v>
      </c>
      <c r="L21" s="49">
        <f>AVERAGE('29.07 NTINDA-SPEAR MOTORS'!L21,'30.07 NTINDA-SPEARMOTORS'!L21,'31.07 SPEAR MOTORS-NTINDA'!L21,'02.08 SPEARMOTORS-NTINDA'!L21,'01.08 NTINDA-SPEARMOTORS-24h'!L21,'03.08 NTINDA-SPEARMOTORS-24h'!L21,'04.08 NTINDA-SPEARMOTORS'!L21)</f>
        <v>4.5714285714285712</v>
      </c>
      <c r="M21" s="49">
        <f>AVERAGE('29.07 NTINDA-SPEAR MOTORS'!M21,'30.07 NTINDA-SPEARMOTORS'!M21,'31.07 SPEAR MOTORS-NTINDA'!M21,'02.08 SPEARMOTORS-NTINDA'!M21,'01.08 NTINDA-SPEARMOTORS-24h'!M21,'03.08 NTINDA-SPEARMOTORS-24h'!M21,'04.08 NTINDA-SPEARMOTORS'!M21)</f>
        <v>112.28571428571429</v>
      </c>
      <c r="N21" s="49">
        <f>AVERAGE('29.07 NTINDA-SPEAR MOTORS'!N21,'30.07 NTINDA-SPEARMOTORS'!N21,'31.07 SPEAR MOTORS-NTINDA'!N21,'02.08 SPEARMOTORS-NTINDA'!N21,'01.08 NTINDA-SPEARMOTORS-24h'!N21,'03.08 NTINDA-SPEARMOTORS-24h'!N21,'04.08 NTINDA-SPEARMOTORS'!N21)</f>
        <v>0</v>
      </c>
      <c r="O21" s="15">
        <f t="shared" si="0"/>
        <v>55.857142857142861</v>
      </c>
      <c r="P21" s="15">
        <f t="shared" si="1"/>
        <v>168.14285714285717</v>
      </c>
      <c r="R21" s="36" t="s">
        <v>20</v>
      </c>
      <c r="S21" s="34">
        <f t="shared" ref="S21:AF21" si="13">SUM(C54:C57)</f>
        <v>77.428571428571416</v>
      </c>
      <c r="T21" s="17">
        <f t="shared" si="13"/>
        <v>39.714285714285715</v>
      </c>
      <c r="U21" s="17">
        <f t="shared" si="13"/>
        <v>14</v>
      </c>
      <c r="V21" s="17">
        <f t="shared" si="13"/>
        <v>21.428571428571431</v>
      </c>
      <c r="W21" s="17">
        <f t="shared" si="13"/>
        <v>0.42857142857142855</v>
      </c>
      <c r="X21" s="17">
        <f t="shared" si="13"/>
        <v>0.14285714285714285</v>
      </c>
      <c r="Y21" s="17">
        <f t="shared" si="13"/>
        <v>6.1428571428571432</v>
      </c>
      <c r="Z21" s="17">
        <f t="shared" si="13"/>
        <v>2.4285714285714288</v>
      </c>
      <c r="AA21" s="17">
        <f t="shared" si="13"/>
        <v>2.2857142857142856</v>
      </c>
      <c r="AB21" s="17">
        <f t="shared" si="13"/>
        <v>7.7142857142857153</v>
      </c>
      <c r="AC21" s="17">
        <f t="shared" si="13"/>
        <v>534.57142857142867</v>
      </c>
      <c r="AD21" s="17">
        <f t="shared" si="13"/>
        <v>0</v>
      </c>
      <c r="AE21" s="31">
        <f t="shared" si="13"/>
        <v>171.71428571428572</v>
      </c>
      <c r="AF21" s="31">
        <f t="shared" si="13"/>
        <v>706.28571428571422</v>
      </c>
    </row>
    <row r="22" spans="2:32" ht="23.1" customHeight="1" x14ac:dyDescent="0.25">
      <c r="B22" s="23" t="s">
        <v>49</v>
      </c>
      <c r="C22" s="49">
        <f>AVERAGE('29.07 NTINDA-SPEAR MOTORS'!C22,'30.07 NTINDA-SPEARMOTORS'!C22,'31.07 SPEAR MOTORS-NTINDA'!C22,'02.08 SPEARMOTORS-NTINDA'!C22,'01.08 NTINDA-SPEARMOTORS-24h'!C22,'03.08 NTINDA-SPEARMOTORS-24h'!C22,'04.08 NTINDA-SPEARMOTORS'!C22)</f>
        <v>15.285714285714286</v>
      </c>
      <c r="D22" s="49">
        <f>AVERAGE('29.07 NTINDA-SPEAR MOTORS'!D22,'30.07 NTINDA-SPEARMOTORS'!D22,'31.07 SPEAR MOTORS-NTINDA'!D22,'02.08 SPEARMOTORS-NTINDA'!D22,'01.08 NTINDA-SPEARMOTORS-24h'!D22,'03.08 NTINDA-SPEARMOTORS-24h'!D22,'04.08 NTINDA-SPEARMOTORS'!D22)</f>
        <v>15.857142857142858</v>
      </c>
      <c r="E22" s="49">
        <f>AVERAGE('29.07 NTINDA-SPEAR MOTORS'!E22,'30.07 NTINDA-SPEARMOTORS'!E22,'31.07 SPEAR MOTORS-NTINDA'!E22,'02.08 SPEARMOTORS-NTINDA'!E22,'01.08 NTINDA-SPEARMOTORS-24h'!E22,'03.08 NTINDA-SPEARMOTORS-24h'!E22,'04.08 NTINDA-SPEARMOTORS'!E22)</f>
        <v>4.7142857142857144</v>
      </c>
      <c r="F22" s="49">
        <f>AVERAGE('29.07 NTINDA-SPEAR MOTORS'!F22,'30.07 NTINDA-SPEARMOTORS'!F22,'31.07 SPEAR MOTORS-NTINDA'!F22,'02.08 SPEARMOTORS-NTINDA'!F22,'01.08 NTINDA-SPEARMOTORS-24h'!F22,'03.08 NTINDA-SPEARMOTORS-24h'!F22,'04.08 NTINDA-SPEARMOTORS'!F22)</f>
        <v>6.4285714285714288</v>
      </c>
      <c r="G22" s="49">
        <f>AVERAGE('29.07 NTINDA-SPEAR MOTORS'!G22,'30.07 NTINDA-SPEARMOTORS'!G22,'31.07 SPEAR MOTORS-NTINDA'!G22,'02.08 SPEARMOTORS-NTINDA'!G22,'01.08 NTINDA-SPEARMOTORS-24h'!G22,'03.08 NTINDA-SPEARMOTORS-24h'!G22,'04.08 NTINDA-SPEARMOTORS'!G22)</f>
        <v>0</v>
      </c>
      <c r="H22" s="49">
        <f>AVERAGE('29.07 NTINDA-SPEAR MOTORS'!H22,'30.07 NTINDA-SPEARMOTORS'!H22,'31.07 SPEAR MOTORS-NTINDA'!H22,'02.08 SPEARMOTORS-NTINDA'!H22,'01.08 NTINDA-SPEARMOTORS-24h'!H22,'03.08 NTINDA-SPEARMOTORS-24h'!H22,'04.08 NTINDA-SPEARMOTORS'!H22)</f>
        <v>0</v>
      </c>
      <c r="I22" s="49">
        <f>AVERAGE('29.07 NTINDA-SPEAR MOTORS'!I22,'30.07 NTINDA-SPEARMOTORS'!I22,'31.07 SPEAR MOTORS-NTINDA'!I22,'02.08 SPEARMOTORS-NTINDA'!I22,'01.08 NTINDA-SPEARMOTORS-24h'!I22,'03.08 NTINDA-SPEARMOTORS-24h'!I22,'04.08 NTINDA-SPEARMOTORS'!I22)</f>
        <v>2.8571428571428572</v>
      </c>
      <c r="J22" s="49">
        <f>AVERAGE('29.07 NTINDA-SPEAR MOTORS'!J22,'30.07 NTINDA-SPEARMOTORS'!J22,'31.07 SPEAR MOTORS-NTINDA'!J22,'02.08 SPEARMOTORS-NTINDA'!J22,'01.08 NTINDA-SPEARMOTORS-24h'!J22,'03.08 NTINDA-SPEARMOTORS-24h'!J22,'04.08 NTINDA-SPEARMOTORS'!J22)</f>
        <v>1.5714285714285714</v>
      </c>
      <c r="K22" s="49">
        <f>AVERAGE('29.07 NTINDA-SPEAR MOTORS'!K22,'30.07 NTINDA-SPEARMOTORS'!K22,'31.07 SPEAR MOTORS-NTINDA'!K22,'02.08 SPEARMOTORS-NTINDA'!K22,'01.08 NTINDA-SPEARMOTORS-24h'!K22,'03.08 NTINDA-SPEARMOTORS-24h'!K22,'04.08 NTINDA-SPEARMOTORS'!K22)</f>
        <v>0.8571428571428571</v>
      </c>
      <c r="L22" s="49">
        <f>AVERAGE('29.07 NTINDA-SPEAR MOTORS'!L22,'30.07 NTINDA-SPEARMOTORS'!L22,'31.07 SPEAR MOTORS-NTINDA'!L22,'02.08 SPEARMOTORS-NTINDA'!L22,'01.08 NTINDA-SPEARMOTORS-24h'!L22,'03.08 NTINDA-SPEARMOTORS-24h'!L22,'04.08 NTINDA-SPEARMOTORS'!L22)</f>
        <v>3.1428571428571428</v>
      </c>
      <c r="M22" s="49">
        <f>AVERAGE('29.07 NTINDA-SPEAR MOTORS'!M22,'30.07 NTINDA-SPEARMOTORS'!M22,'31.07 SPEAR MOTORS-NTINDA'!M22,'02.08 SPEARMOTORS-NTINDA'!M22,'01.08 NTINDA-SPEARMOTORS-24h'!M22,'03.08 NTINDA-SPEARMOTORS-24h'!M22,'04.08 NTINDA-SPEARMOTORS'!M22)</f>
        <v>112.28571428571429</v>
      </c>
      <c r="N22" s="49">
        <f>AVERAGE('29.07 NTINDA-SPEAR MOTORS'!N22,'30.07 NTINDA-SPEARMOTORS'!N22,'31.07 SPEAR MOTORS-NTINDA'!N22,'02.08 SPEARMOTORS-NTINDA'!N22,'01.08 NTINDA-SPEARMOTORS-24h'!N22,'03.08 NTINDA-SPEARMOTORS-24h'!N22,'04.08 NTINDA-SPEARMOTORS'!N22)</f>
        <v>0</v>
      </c>
      <c r="O22" s="15">
        <f t="shared" si="0"/>
        <v>50.714285714285715</v>
      </c>
      <c r="P22" s="15">
        <f t="shared" si="1"/>
        <v>163</v>
      </c>
      <c r="R22" s="1" t="s">
        <v>146</v>
      </c>
      <c r="S22" s="34">
        <f>SUM(C58:C61)</f>
        <v>62</v>
      </c>
      <c r="T22" s="34">
        <f t="shared" ref="T22:AF22" si="14">SUM(D58:D61)</f>
        <v>37</v>
      </c>
      <c r="U22" s="34">
        <f t="shared" si="14"/>
        <v>17.5</v>
      </c>
      <c r="V22" s="34">
        <f t="shared" si="14"/>
        <v>31</v>
      </c>
      <c r="W22" s="34">
        <f t="shared" si="14"/>
        <v>0</v>
      </c>
      <c r="X22" s="34">
        <f t="shared" si="14"/>
        <v>0</v>
      </c>
      <c r="Y22" s="34">
        <f t="shared" si="14"/>
        <v>1.5</v>
      </c>
      <c r="Z22" s="34">
        <f t="shared" si="14"/>
        <v>3.5</v>
      </c>
      <c r="AA22" s="34">
        <f t="shared" si="14"/>
        <v>0.5</v>
      </c>
      <c r="AB22" s="34">
        <f t="shared" si="14"/>
        <v>4</v>
      </c>
      <c r="AC22" s="34">
        <f t="shared" si="14"/>
        <v>451</v>
      </c>
      <c r="AD22" s="34">
        <f t="shared" si="14"/>
        <v>0</v>
      </c>
      <c r="AE22" s="31">
        <f t="shared" si="14"/>
        <v>157</v>
      </c>
      <c r="AF22" s="31">
        <f t="shared" si="14"/>
        <v>608</v>
      </c>
    </row>
    <row r="23" spans="2:32" ht="23.1" customHeight="1" x14ac:dyDescent="0.25">
      <c r="B23" s="23" t="s">
        <v>50</v>
      </c>
      <c r="C23" s="49">
        <f>AVERAGE('29.07 NTINDA-SPEAR MOTORS'!C23,'30.07 NTINDA-SPEARMOTORS'!C23,'31.07 SPEAR MOTORS-NTINDA'!C23,'02.08 SPEARMOTORS-NTINDA'!C23,'01.08 NTINDA-SPEARMOTORS-24h'!C23,'03.08 NTINDA-SPEARMOTORS-24h'!C23,'04.08 NTINDA-SPEARMOTORS'!C23)</f>
        <v>18.428571428571427</v>
      </c>
      <c r="D23" s="49">
        <f>AVERAGE('29.07 NTINDA-SPEAR MOTORS'!D23,'30.07 NTINDA-SPEARMOTORS'!D23,'31.07 SPEAR MOTORS-NTINDA'!D23,'02.08 SPEARMOTORS-NTINDA'!D23,'01.08 NTINDA-SPEARMOTORS-24h'!D23,'03.08 NTINDA-SPEARMOTORS-24h'!D23,'04.08 NTINDA-SPEARMOTORS'!D23)</f>
        <v>9.4285714285714288</v>
      </c>
      <c r="E23" s="49">
        <f>AVERAGE('29.07 NTINDA-SPEAR MOTORS'!E23,'30.07 NTINDA-SPEARMOTORS'!E23,'31.07 SPEAR MOTORS-NTINDA'!E23,'02.08 SPEARMOTORS-NTINDA'!E23,'01.08 NTINDA-SPEARMOTORS-24h'!E23,'03.08 NTINDA-SPEARMOTORS-24h'!E23,'04.08 NTINDA-SPEARMOTORS'!E23)</f>
        <v>3.5714285714285716</v>
      </c>
      <c r="F23" s="49">
        <f>AVERAGE('29.07 NTINDA-SPEAR MOTORS'!F23,'30.07 NTINDA-SPEARMOTORS'!F23,'31.07 SPEAR MOTORS-NTINDA'!F23,'02.08 SPEARMOTORS-NTINDA'!F23,'01.08 NTINDA-SPEARMOTORS-24h'!F23,'03.08 NTINDA-SPEARMOTORS-24h'!F23,'04.08 NTINDA-SPEARMOTORS'!F23)</f>
        <v>6.1428571428571432</v>
      </c>
      <c r="G23" s="49">
        <f>AVERAGE('29.07 NTINDA-SPEAR MOTORS'!G23,'30.07 NTINDA-SPEARMOTORS'!G23,'31.07 SPEAR MOTORS-NTINDA'!G23,'02.08 SPEARMOTORS-NTINDA'!G23,'01.08 NTINDA-SPEARMOTORS-24h'!G23,'03.08 NTINDA-SPEARMOTORS-24h'!G23,'04.08 NTINDA-SPEARMOTORS'!G23)</f>
        <v>0.14285714285714285</v>
      </c>
      <c r="H23" s="49">
        <f>AVERAGE('29.07 NTINDA-SPEAR MOTORS'!H23,'30.07 NTINDA-SPEARMOTORS'!H23,'31.07 SPEAR MOTORS-NTINDA'!H23,'02.08 SPEARMOTORS-NTINDA'!H23,'01.08 NTINDA-SPEARMOTORS-24h'!H23,'03.08 NTINDA-SPEARMOTORS-24h'!H23,'04.08 NTINDA-SPEARMOTORS'!H23)</f>
        <v>0</v>
      </c>
      <c r="I23" s="49">
        <f>AVERAGE('29.07 NTINDA-SPEAR MOTORS'!I23,'30.07 NTINDA-SPEARMOTORS'!I23,'31.07 SPEAR MOTORS-NTINDA'!I23,'02.08 SPEARMOTORS-NTINDA'!I23,'01.08 NTINDA-SPEARMOTORS-24h'!I23,'03.08 NTINDA-SPEARMOTORS-24h'!I23,'04.08 NTINDA-SPEARMOTORS'!I23)</f>
        <v>2</v>
      </c>
      <c r="J23" s="49">
        <f>AVERAGE('29.07 NTINDA-SPEAR MOTORS'!J23,'30.07 NTINDA-SPEARMOTORS'!J23,'31.07 SPEAR MOTORS-NTINDA'!J23,'02.08 SPEARMOTORS-NTINDA'!J23,'01.08 NTINDA-SPEARMOTORS-24h'!J23,'03.08 NTINDA-SPEARMOTORS-24h'!J23,'04.08 NTINDA-SPEARMOTORS'!J23)</f>
        <v>1.8571428571428572</v>
      </c>
      <c r="K23" s="49">
        <f>AVERAGE('29.07 NTINDA-SPEAR MOTORS'!K23,'30.07 NTINDA-SPEARMOTORS'!K23,'31.07 SPEAR MOTORS-NTINDA'!K23,'02.08 SPEARMOTORS-NTINDA'!K23,'01.08 NTINDA-SPEARMOTORS-24h'!K23,'03.08 NTINDA-SPEARMOTORS-24h'!K23,'04.08 NTINDA-SPEARMOTORS'!K23)</f>
        <v>0.8571428571428571</v>
      </c>
      <c r="L23" s="49">
        <f>AVERAGE('29.07 NTINDA-SPEAR MOTORS'!L23,'30.07 NTINDA-SPEARMOTORS'!L23,'31.07 SPEAR MOTORS-NTINDA'!L23,'02.08 SPEARMOTORS-NTINDA'!L23,'01.08 NTINDA-SPEARMOTORS-24h'!L23,'03.08 NTINDA-SPEARMOTORS-24h'!L23,'04.08 NTINDA-SPEARMOTORS'!L23)</f>
        <v>4</v>
      </c>
      <c r="M23" s="49">
        <f>AVERAGE('29.07 NTINDA-SPEAR MOTORS'!M23,'30.07 NTINDA-SPEARMOTORS'!M23,'31.07 SPEAR MOTORS-NTINDA'!M23,'02.08 SPEARMOTORS-NTINDA'!M23,'01.08 NTINDA-SPEARMOTORS-24h'!M23,'03.08 NTINDA-SPEARMOTORS-24h'!M23,'04.08 NTINDA-SPEARMOTORS'!M23)</f>
        <v>104.28571428571429</v>
      </c>
      <c r="N23" s="49">
        <f>AVERAGE('29.07 NTINDA-SPEAR MOTORS'!N23,'30.07 NTINDA-SPEARMOTORS'!N23,'31.07 SPEAR MOTORS-NTINDA'!N23,'02.08 SPEARMOTORS-NTINDA'!N23,'01.08 NTINDA-SPEARMOTORS-24h'!N23,'03.08 NTINDA-SPEARMOTORS-24h'!N23,'04.08 NTINDA-SPEARMOTORS'!N23)</f>
        <v>0</v>
      </c>
      <c r="O23" s="15">
        <f t="shared" si="0"/>
        <v>46.428571428571423</v>
      </c>
      <c r="P23" s="15">
        <f t="shared" si="1"/>
        <v>150.71428571428572</v>
      </c>
      <c r="R23" s="1" t="s">
        <v>147</v>
      </c>
      <c r="S23" s="34">
        <f>SUM(C62:C65)</f>
        <v>69.5</v>
      </c>
      <c r="T23" s="34">
        <f t="shared" ref="T23:AF23" si="15">SUM(D62:D65)</f>
        <v>42.5</v>
      </c>
      <c r="U23" s="34">
        <f t="shared" si="15"/>
        <v>11.5</v>
      </c>
      <c r="V23" s="34">
        <f t="shared" si="15"/>
        <v>46</v>
      </c>
      <c r="W23" s="34">
        <f t="shared" si="15"/>
        <v>0</v>
      </c>
      <c r="X23" s="34">
        <f t="shared" si="15"/>
        <v>0</v>
      </c>
      <c r="Y23" s="34">
        <f t="shared" si="15"/>
        <v>4.5</v>
      </c>
      <c r="Z23" s="34">
        <f t="shared" si="15"/>
        <v>1</v>
      </c>
      <c r="AA23" s="34">
        <f t="shared" si="15"/>
        <v>1.5</v>
      </c>
      <c r="AB23" s="34">
        <f t="shared" si="15"/>
        <v>1</v>
      </c>
      <c r="AC23" s="34">
        <f t="shared" si="15"/>
        <v>394</v>
      </c>
      <c r="AD23" s="34">
        <f t="shared" si="15"/>
        <v>0</v>
      </c>
      <c r="AE23" s="31">
        <f t="shared" si="15"/>
        <v>177.5</v>
      </c>
      <c r="AF23" s="31">
        <f t="shared" si="15"/>
        <v>571.5</v>
      </c>
    </row>
    <row r="24" spans="2:32" ht="23.1" customHeight="1" x14ac:dyDescent="0.25">
      <c r="B24" s="23" t="s">
        <v>51</v>
      </c>
      <c r="C24" s="49">
        <f>AVERAGE('29.07 NTINDA-SPEAR MOTORS'!C24,'30.07 NTINDA-SPEARMOTORS'!C24,'31.07 SPEAR MOTORS-NTINDA'!C24,'02.08 SPEARMOTORS-NTINDA'!C24,'01.08 NTINDA-SPEARMOTORS-24h'!C24,'03.08 NTINDA-SPEARMOTORS-24h'!C24,'04.08 NTINDA-SPEARMOTORS'!C24)</f>
        <v>18.714285714285715</v>
      </c>
      <c r="D24" s="49">
        <f>AVERAGE('29.07 NTINDA-SPEAR MOTORS'!D24,'30.07 NTINDA-SPEARMOTORS'!D24,'31.07 SPEAR MOTORS-NTINDA'!D24,'02.08 SPEARMOTORS-NTINDA'!D24,'01.08 NTINDA-SPEARMOTORS-24h'!D24,'03.08 NTINDA-SPEARMOTORS-24h'!D24,'04.08 NTINDA-SPEARMOTORS'!D24)</f>
        <v>9.4285714285714288</v>
      </c>
      <c r="E24" s="49">
        <f>AVERAGE('29.07 NTINDA-SPEAR MOTORS'!E24,'30.07 NTINDA-SPEARMOTORS'!E24,'31.07 SPEAR MOTORS-NTINDA'!E24,'02.08 SPEARMOTORS-NTINDA'!E24,'01.08 NTINDA-SPEARMOTORS-24h'!E24,'03.08 NTINDA-SPEARMOTORS-24h'!E24,'04.08 NTINDA-SPEARMOTORS'!E24)</f>
        <v>4.4285714285714288</v>
      </c>
      <c r="F24" s="49">
        <f>AVERAGE('29.07 NTINDA-SPEAR MOTORS'!F24,'30.07 NTINDA-SPEARMOTORS'!F24,'31.07 SPEAR MOTORS-NTINDA'!F24,'02.08 SPEARMOTORS-NTINDA'!F24,'01.08 NTINDA-SPEARMOTORS-24h'!F24,'03.08 NTINDA-SPEARMOTORS-24h'!F24,'04.08 NTINDA-SPEARMOTORS'!F24)</f>
        <v>5.5714285714285712</v>
      </c>
      <c r="G24" s="49">
        <f>AVERAGE('29.07 NTINDA-SPEAR MOTORS'!G24,'30.07 NTINDA-SPEARMOTORS'!G24,'31.07 SPEAR MOTORS-NTINDA'!G24,'02.08 SPEARMOTORS-NTINDA'!G24,'01.08 NTINDA-SPEARMOTORS-24h'!G24,'03.08 NTINDA-SPEARMOTORS-24h'!G24,'04.08 NTINDA-SPEARMOTORS'!G24)</f>
        <v>0</v>
      </c>
      <c r="H24" s="49">
        <f>AVERAGE('29.07 NTINDA-SPEAR MOTORS'!H24,'30.07 NTINDA-SPEARMOTORS'!H24,'31.07 SPEAR MOTORS-NTINDA'!H24,'02.08 SPEARMOTORS-NTINDA'!H24,'01.08 NTINDA-SPEARMOTORS-24h'!H24,'03.08 NTINDA-SPEARMOTORS-24h'!H24,'04.08 NTINDA-SPEARMOTORS'!H24)</f>
        <v>0</v>
      </c>
      <c r="I24" s="49">
        <f>AVERAGE('29.07 NTINDA-SPEAR MOTORS'!I24,'30.07 NTINDA-SPEARMOTORS'!I24,'31.07 SPEAR MOTORS-NTINDA'!I24,'02.08 SPEARMOTORS-NTINDA'!I24,'01.08 NTINDA-SPEARMOTORS-24h'!I24,'03.08 NTINDA-SPEARMOTORS-24h'!I24,'04.08 NTINDA-SPEARMOTORS'!I24)</f>
        <v>2.1428571428571428</v>
      </c>
      <c r="J24" s="49">
        <f>AVERAGE('29.07 NTINDA-SPEAR MOTORS'!J24,'30.07 NTINDA-SPEARMOTORS'!J24,'31.07 SPEAR MOTORS-NTINDA'!J24,'02.08 SPEARMOTORS-NTINDA'!J24,'01.08 NTINDA-SPEARMOTORS-24h'!J24,'03.08 NTINDA-SPEARMOTORS-24h'!J24,'04.08 NTINDA-SPEARMOTORS'!J24)</f>
        <v>1.5714285714285714</v>
      </c>
      <c r="K24" s="49">
        <f>AVERAGE('29.07 NTINDA-SPEAR MOTORS'!K24,'30.07 NTINDA-SPEARMOTORS'!K24,'31.07 SPEAR MOTORS-NTINDA'!K24,'02.08 SPEARMOTORS-NTINDA'!K24,'01.08 NTINDA-SPEARMOTORS-24h'!K24,'03.08 NTINDA-SPEARMOTORS-24h'!K24,'04.08 NTINDA-SPEARMOTORS'!K24)</f>
        <v>0.8571428571428571</v>
      </c>
      <c r="L24" s="49">
        <f>AVERAGE('29.07 NTINDA-SPEAR MOTORS'!L24,'30.07 NTINDA-SPEARMOTORS'!L24,'31.07 SPEAR MOTORS-NTINDA'!L24,'02.08 SPEARMOTORS-NTINDA'!L24,'01.08 NTINDA-SPEARMOTORS-24h'!L24,'03.08 NTINDA-SPEARMOTORS-24h'!L24,'04.08 NTINDA-SPEARMOTORS'!L24)</f>
        <v>4.2857142857142856</v>
      </c>
      <c r="M24" s="49">
        <f>AVERAGE('29.07 NTINDA-SPEAR MOTORS'!M24,'30.07 NTINDA-SPEARMOTORS'!M24,'31.07 SPEAR MOTORS-NTINDA'!M24,'02.08 SPEARMOTORS-NTINDA'!M24,'01.08 NTINDA-SPEARMOTORS-24h'!M24,'03.08 NTINDA-SPEARMOTORS-24h'!M24,'04.08 NTINDA-SPEARMOTORS'!M24)</f>
        <v>122.28571428571429</v>
      </c>
      <c r="N24" s="49">
        <f>AVERAGE('29.07 NTINDA-SPEAR MOTORS'!N24,'30.07 NTINDA-SPEARMOTORS'!N24,'31.07 SPEAR MOTORS-NTINDA'!N24,'02.08 SPEARMOTORS-NTINDA'!N24,'01.08 NTINDA-SPEARMOTORS-24h'!N24,'03.08 NTINDA-SPEARMOTORS-24h'!N24,'04.08 NTINDA-SPEARMOTORS'!N24)</f>
        <v>0</v>
      </c>
      <c r="O24" s="15">
        <f t="shared" si="0"/>
        <v>47</v>
      </c>
      <c r="P24" s="15">
        <f t="shared" si="1"/>
        <v>169.28571428571428</v>
      </c>
      <c r="R24" s="1" t="s">
        <v>148</v>
      </c>
      <c r="S24" s="34">
        <f>SUM(C66:C69)</f>
        <v>78</v>
      </c>
      <c r="T24" s="34">
        <f t="shared" ref="T24:AF24" si="16">SUM(D66:D69)</f>
        <v>46</v>
      </c>
      <c r="U24" s="34">
        <f t="shared" si="16"/>
        <v>14</v>
      </c>
      <c r="V24" s="34">
        <f t="shared" si="16"/>
        <v>32.5</v>
      </c>
      <c r="W24" s="34">
        <f t="shared" si="16"/>
        <v>0</v>
      </c>
      <c r="X24" s="34">
        <f t="shared" si="16"/>
        <v>0</v>
      </c>
      <c r="Y24" s="34">
        <f t="shared" si="16"/>
        <v>3</v>
      </c>
      <c r="Z24" s="34">
        <f t="shared" si="16"/>
        <v>1.5</v>
      </c>
      <c r="AA24" s="34">
        <f t="shared" si="16"/>
        <v>0</v>
      </c>
      <c r="AB24" s="34">
        <f t="shared" si="16"/>
        <v>1.5</v>
      </c>
      <c r="AC24" s="34">
        <f t="shared" si="16"/>
        <v>340.5</v>
      </c>
      <c r="AD24" s="34">
        <f t="shared" si="16"/>
        <v>0</v>
      </c>
      <c r="AE24" s="31">
        <f t="shared" si="16"/>
        <v>176.5</v>
      </c>
      <c r="AF24" s="31">
        <f t="shared" si="16"/>
        <v>517</v>
      </c>
    </row>
    <row r="25" spans="2:32" ht="23.1" customHeight="1" x14ac:dyDescent="0.25">
      <c r="B25" s="23" t="s">
        <v>52</v>
      </c>
      <c r="C25" s="49">
        <f>AVERAGE('29.07 NTINDA-SPEAR MOTORS'!C25,'30.07 NTINDA-SPEARMOTORS'!C25,'31.07 SPEAR MOTORS-NTINDA'!C25,'02.08 SPEARMOTORS-NTINDA'!C25,'01.08 NTINDA-SPEARMOTORS-24h'!C25,'03.08 NTINDA-SPEARMOTORS-24h'!C25,'04.08 NTINDA-SPEARMOTORS'!C25)</f>
        <v>15.857142857142858</v>
      </c>
      <c r="D25" s="49">
        <f>AVERAGE('29.07 NTINDA-SPEAR MOTORS'!D25,'30.07 NTINDA-SPEARMOTORS'!D25,'31.07 SPEAR MOTORS-NTINDA'!D25,'02.08 SPEARMOTORS-NTINDA'!D25,'01.08 NTINDA-SPEARMOTORS-24h'!D25,'03.08 NTINDA-SPEARMOTORS-24h'!D25,'04.08 NTINDA-SPEARMOTORS'!D25)</f>
        <v>10.428571428571429</v>
      </c>
      <c r="E25" s="49">
        <f>AVERAGE('29.07 NTINDA-SPEAR MOTORS'!E25,'30.07 NTINDA-SPEARMOTORS'!E25,'31.07 SPEAR MOTORS-NTINDA'!E25,'02.08 SPEARMOTORS-NTINDA'!E25,'01.08 NTINDA-SPEARMOTORS-24h'!E25,'03.08 NTINDA-SPEARMOTORS-24h'!E25,'04.08 NTINDA-SPEARMOTORS'!E25)</f>
        <v>4.1428571428571432</v>
      </c>
      <c r="F25" s="49">
        <f>AVERAGE('29.07 NTINDA-SPEAR MOTORS'!F25,'30.07 NTINDA-SPEARMOTORS'!F25,'31.07 SPEAR MOTORS-NTINDA'!F25,'02.08 SPEARMOTORS-NTINDA'!F25,'01.08 NTINDA-SPEARMOTORS-24h'!F25,'03.08 NTINDA-SPEARMOTORS-24h'!F25,'04.08 NTINDA-SPEARMOTORS'!F25)</f>
        <v>5.5714285714285712</v>
      </c>
      <c r="G25" s="49">
        <f>AVERAGE('29.07 NTINDA-SPEAR MOTORS'!G25,'30.07 NTINDA-SPEARMOTORS'!G25,'31.07 SPEAR MOTORS-NTINDA'!G25,'02.08 SPEARMOTORS-NTINDA'!G25,'01.08 NTINDA-SPEARMOTORS-24h'!G25,'03.08 NTINDA-SPEARMOTORS-24h'!G25,'04.08 NTINDA-SPEARMOTORS'!G25)</f>
        <v>0</v>
      </c>
      <c r="H25" s="49">
        <f>AVERAGE('29.07 NTINDA-SPEAR MOTORS'!H25,'30.07 NTINDA-SPEARMOTORS'!H25,'31.07 SPEAR MOTORS-NTINDA'!H25,'02.08 SPEARMOTORS-NTINDA'!H25,'01.08 NTINDA-SPEARMOTORS-24h'!H25,'03.08 NTINDA-SPEARMOTORS-24h'!H25,'04.08 NTINDA-SPEARMOTORS'!H25)</f>
        <v>0.14285714285714285</v>
      </c>
      <c r="I25" s="49">
        <f>AVERAGE('29.07 NTINDA-SPEAR MOTORS'!I25,'30.07 NTINDA-SPEARMOTORS'!I25,'31.07 SPEAR MOTORS-NTINDA'!I25,'02.08 SPEARMOTORS-NTINDA'!I25,'01.08 NTINDA-SPEARMOTORS-24h'!I25,'03.08 NTINDA-SPEARMOTORS-24h'!I25,'04.08 NTINDA-SPEARMOTORS'!I25)</f>
        <v>1.2857142857142858</v>
      </c>
      <c r="J25" s="49">
        <f>AVERAGE('29.07 NTINDA-SPEAR MOTORS'!J25,'30.07 NTINDA-SPEARMOTORS'!J25,'31.07 SPEAR MOTORS-NTINDA'!J25,'02.08 SPEARMOTORS-NTINDA'!J25,'01.08 NTINDA-SPEARMOTORS-24h'!J25,'03.08 NTINDA-SPEARMOTORS-24h'!J25,'04.08 NTINDA-SPEARMOTORS'!J25)</f>
        <v>2.7142857142857144</v>
      </c>
      <c r="K25" s="49">
        <f>AVERAGE('29.07 NTINDA-SPEAR MOTORS'!K25,'30.07 NTINDA-SPEARMOTORS'!K25,'31.07 SPEAR MOTORS-NTINDA'!K25,'02.08 SPEARMOTORS-NTINDA'!K25,'01.08 NTINDA-SPEARMOTORS-24h'!K25,'03.08 NTINDA-SPEARMOTORS-24h'!K25,'04.08 NTINDA-SPEARMOTORS'!K25)</f>
        <v>1</v>
      </c>
      <c r="L25" s="49">
        <f>AVERAGE('29.07 NTINDA-SPEAR MOTORS'!L25,'30.07 NTINDA-SPEARMOTORS'!L25,'31.07 SPEAR MOTORS-NTINDA'!L25,'02.08 SPEARMOTORS-NTINDA'!L25,'01.08 NTINDA-SPEARMOTORS-24h'!L25,'03.08 NTINDA-SPEARMOTORS-24h'!L25,'04.08 NTINDA-SPEARMOTORS'!L25)</f>
        <v>2.5714285714285716</v>
      </c>
      <c r="M25" s="49">
        <f>AVERAGE('29.07 NTINDA-SPEAR MOTORS'!M25,'30.07 NTINDA-SPEARMOTORS'!M25,'31.07 SPEAR MOTORS-NTINDA'!M25,'02.08 SPEARMOTORS-NTINDA'!M25,'01.08 NTINDA-SPEARMOTORS-24h'!M25,'03.08 NTINDA-SPEARMOTORS-24h'!M25,'04.08 NTINDA-SPEARMOTORS'!M25)</f>
        <v>108</v>
      </c>
      <c r="N25" s="49">
        <f>AVERAGE('29.07 NTINDA-SPEAR MOTORS'!N25,'30.07 NTINDA-SPEARMOTORS'!N25,'31.07 SPEAR MOTORS-NTINDA'!N25,'02.08 SPEARMOTORS-NTINDA'!N25,'01.08 NTINDA-SPEARMOTORS-24h'!N25,'03.08 NTINDA-SPEARMOTORS-24h'!N25,'04.08 NTINDA-SPEARMOTORS'!N25)</f>
        <v>0</v>
      </c>
      <c r="O25" s="15">
        <f t="shared" si="0"/>
        <v>43.714285714285715</v>
      </c>
      <c r="P25" s="15">
        <f t="shared" si="1"/>
        <v>151.71428571428572</v>
      </c>
      <c r="R25" s="1" t="s">
        <v>149</v>
      </c>
      <c r="S25" s="34">
        <f>SUM(C70:C73)</f>
        <v>77.5</v>
      </c>
      <c r="T25" s="34">
        <f t="shared" ref="T25:AF25" si="17">SUM(D70:D73)</f>
        <v>46</v>
      </c>
      <c r="U25" s="34">
        <f t="shared" si="17"/>
        <v>10.5</v>
      </c>
      <c r="V25" s="34">
        <f t="shared" si="17"/>
        <v>20</v>
      </c>
      <c r="W25" s="34">
        <f t="shared" si="17"/>
        <v>0</v>
      </c>
      <c r="X25" s="34">
        <f t="shared" si="17"/>
        <v>0.5</v>
      </c>
      <c r="Y25" s="34">
        <f t="shared" si="17"/>
        <v>1.5</v>
      </c>
      <c r="Z25" s="34">
        <f t="shared" si="17"/>
        <v>1</v>
      </c>
      <c r="AA25" s="34">
        <f t="shared" si="17"/>
        <v>1</v>
      </c>
      <c r="AB25" s="34">
        <f t="shared" si="17"/>
        <v>1</v>
      </c>
      <c r="AC25" s="34">
        <f t="shared" si="17"/>
        <v>302.5</v>
      </c>
      <c r="AD25" s="34">
        <f t="shared" si="17"/>
        <v>0</v>
      </c>
      <c r="AE25" s="31">
        <f t="shared" si="17"/>
        <v>159</v>
      </c>
      <c r="AF25" s="31">
        <f t="shared" si="17"/>
        <v>461.5</v>
      </c>
    </row>
    <row r="26" spans="2:32" ht="23.1" customHeight="1" x14ac:dyDescent="0.25">
      <c r="B26" s="23" t="s">
        <v>53</v>
      </c>
      <c r="C26" s="49">
        <f>AVERAGE('29.07 NTINDA-SPEAR MOTORS'!C26,'30.07 NTINDA-SPEARMOTORS'!C26,'31.07 SPEAR MOTORS-NTINDA'!C26,'02.08 SPEARMOTORS-NTINDA'!C26,'01.08 NTINDA-SPEARMOTORS-24h'!C26,'03.08 NTINDA-SPEARMOTORS-24h'!C26,'04.08 NTINDA-SPEARMOTORS'!C26)</f>
        <v>18.142857142857142</v>
      </c>
      <c r="D26" s="49">
        <f>AVERAGE('29.07 NTINDA-SPEAR MOTORS'!D26,'30.07 NTINDA-SPEARMOTORS'!D26,'31.07 SPEAR MOTORS-NTINDA'!D26,'02.08 SPEARMOTORS-NTINDA'!D26,'01.08 NTINDA-SPEARMOTORS-24h'!D26,'03.08 NTINDA-SPEARMOTORS-24h'!D26,'04.08 NTINDA-SPEARMOTORS'!D26)</f>
        <v>11.142857142857142</v>
      </c>
      <c r="E26" s="49">
        <f>AVERAGE('29.07 NTINDA-SPEAR MOTORS'!E26,'30.07 NTINDA-SPEARMOTORS'!E26,'31.07 SPEAR MOTORS-NTINDA'!E26,'02.08 SPEARMOTORS-NTINDA'!E26,'01.08 NTINDA-SPEARMOTORS-24h'!E26,'03.08 NTINDA-SPEARMOTORS-24h'!E26,'04.08 NTINDA-SPEARMOTORS'!E26)</f>
        <v>4.7142857142857144</v>
      </c>
      <c r="F26" s="49">
        <f>AVERAGE('29.07 NTINDA-SPEAR MOTORS'!F26,'30.07 NTINDA-SPEARMOTORS'!F26,'31.07 SPEAR MOTORS-NTINDA'!F26,'02.08 SPEARMOTORS-NTINDA'!F26,'01.08 NTINDA-SPEARMOTORS-24h'!F26,'03.08 NTINDA-SPEARMOTORS-24h'!F26,'04.08 NTINDA-SPEARMOTORS'!F26)</f>
        <v>6.2857142857142856</v>
      </c>
      <c r="G26" s="49">
        <f>AVERAGE('29.07 NTINDA-SPEAR MOTORS'!G26,'30.07 NTINDA-SPEARMOTORS'!G26,'31.07 SPEAR MOTORS-NTINDA'!G26,'02.08 SPEARMOTORS-NTINDA'!G26,'01.08 NTINDA-SPEARMOTORS-24h'!G26,'03.08 NTINDA-SPEARMOTORS-24h'!G26,'04.08 NTINDA-SPEARMOTORS'!G26)</f>
        <v>0.2857142857142857</v>
      </c>
      <c r="H26" s="49">
        <f>AVERAGE('29.07 NTINDA-SPEAR MOTORS'!H26,'30.07 NTINDA-SPEARMOTORS'!H26,'31.07 SPEAR MOTORS-NTINDA'!H26,'02.08 SPEARMOTORS-NTINDA'!H26,'01.08 NTINDA-SPEARMOTORS-24h'!H26,'03.08 NTINDA-SPEARMOTORS-24h'!H26,'04.08 NTINDA-SPEARMOTORS'!H26)</f>
        <v>0.14285714285714285</v>
      </c>
      <c r="I26" s="49">
        <f>AVERAGE('29.07 NTINDA-SPEAR MOTORS'!I26,'30.07 NTINDA-SPEARMOTORS'!I26,'31.07 SPEAR MOTORS-NTINDA'!I26,'02.08 SPEARMOTORS-NTINDA'!I26,'01.08 NTINDA-SPEARMOTORS-24h'!I26,'03.08 NTINDA-SPEARMOTORS-24h'!I26,'04.08 NTINDA-SPEARMOTORS'!I26)</f>
        <v>2.8571428571428572</v>
      </c>
      <c r="J26" s="49">
        <f>AVERAGE('29.07 NTINDA-SPEAR MOTORS'!J26,'30.07 NTINDA-SPEARMOTORS'!J26,'31.07 SPEAR MOTORS-NTINDA'!J26,'02.08 SPEARMOTORS-NTINDA'!J26,'01.08 NTINDA-SPEARMOTORS-24h'!J26,'03.08 NTINDA-SPEARMOTORS-24h'!J26,'04.08 NTINDA-SPEARMOTORS'!J26)</f>
        <v>1.8571428571428572</v>
      </c>
      <c r="K26" s="49">
        <f>AVERAGE('29.07 NTINDA-SPEAR MOTORS'!K26,'30.07 NTINDA-SPEARMOTORS'!K26,'31.07 SPEAR MOTORS-NTINDA'!K26,'02.08 SPEARMOTORS-NTINDA'!K26,'01.08 NTINDA-SPEARMOTORS-24h'!K26,'03.08 NTINDA-SPEARMOTORS-24h'!K26,'04.08 NTINDA-SPEARMOTORS'!K26)</f>
        <v>1.1428571428571428</v>
      </c>
      <c r="L26" s="49">
        <f>AVERAGE('29.07 NTINDA-SPEAR MOTORS'!L26,'30.07 NTINDA-SPEARMOTORS'!L26,'31.07 SPEAR MOTORS-NTINDA'!L26,'02.08 SPEARMOTORS-NTINDA'!L26,'01.08 NTINDA-SPEARMOTORS-24h'!L26,'03.08 NTINDA-SPEARMOTORS-24h'!L26,'04.08 NTINDA-SPEARMOTORS'!L26)</f>
        <v>4.1428571428571432</v>
      </c>
      <c r="M26" s="49">
        <f>AVERAGE('29.07 NTINDA-SPEAR MOTORS'!M26,'30.07 NTINDA-SPEARMOTORS'!M26,'31.07 SPEAR MOTORS-NTINDA'!M26,'02.08 SPEARMOTORS-NTINDA'!M26,'01.08 NTINDA-SPEARMOTORS-24h'!M26,'03.08 NTINDA-SPEARMOTORS-24h'!M26,'04.08 NTINDA-SPEARMOTORS'!M26)</f>
        <v>109.57142857142857</v>
      </c>
      <c r="N26" s="49">
        <f>AVERAGE('29.07 NTINDA-SPEAR MOTORS'!N26,'30.07 NTINDA-SPEARMOTORS'!N26,'31.07 SPEAR MOTORS-NTINDA'!N26,'02.08 SPEARMOTORS-NTINDA'!N26,'01.08 NTINDA-SPEARMOTORS-24h'!N26,'03.08 NTINDA-SPEARMOTORS-24h'!N26,'04.08 NTINDA-SPEARMOTORS'!N26)</f>
        <v>0</v>
      </c>
      <c r="O26" s="15">
        <f t="shared" si="0"/>
        <v>50.714285714285715</v>
      </c>
      <c r="P26" s="15">
        <f t="shared" si="1"/>
        <v>160.28571428571428</v>
      </c>
      <c r="R26" s="1" t="s">
        <v>150</v>
      </c>
      <c r="S26" s="34">
        <f>SUM(C74:C77)</f>
        <v>66</v>
      </c>
      <c r="T26" s="34">
        <f t="shared" ref="T26:AF26" si="18">SUM(D74:D77)</f>
        <v>39</v>
      </c>
      <c r="U26" s="34">
        <f t="shared" si="18"/>
        <v>10.5</v>
      </c>
      <c r="V26" s="34">
        <f t="shared" si="18"/>
        <v>6.5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0.5</v>
      </c>
      <c r="AA26" s="34">
        <f t="shared" si="18"/>
        <v>0</v>
      </c>
      <c r="AB26" s="34">
        <f t="shared" si="18"/>
        <v>0.5</v>
      </c>
      <c r="AC26" s="34">
        <f t="shared" si="18"/>
        <v>193.5</v>
      </c>
      <c r="AD26" s="34">
        <f t="shared" si="18"/>
        <v>0</v>
      </c>
      <c r="AE26" s="31">
        <f t="shared" si="18"/>
        <v>126</v>
      </c>
      <c r="AF26" s="31">
        <f t="shared" si="18"/>
        <v>319.5</v>
      </c>
    </row>
    <row r="27" spans="2:32" ht="23.1" customHeight="1" x14ac:dyDescent="0.25">
      <c r="B27" s="23" t="s">
        <v>54</v>
      </c>
      <c r="C27" s="49">
        <f>AVERAGE('29.07 NTINDA-SPEAR MOTORS'!C27,'30.07 NTINDA-SPEARMOTORS'!C27,'31.07 SPEAR MOTORS-NTINDA'!C27,'02.08 SPEARMOTORS-NTINDA'!C27,'01.08 NTINDA-SPEARMOTORS-24h'!C27,'03.08 NTINDA-SPEARMOTORS-24h'!C27,'04.08 NTINDA-SPEARMOTORS'!C27)</f>
        <v>20.857142857142858</v>
      </c>
      <c r="D27" s="49">
        <f>AVERAGE('29.07 NTINDA-SPEAR MOTORS'!D27,'30.07 NTINDA-SPEARMOTORS'!D27,'31.07 SPEAR MOTORS-NTINDA'!D27,'02.08 SPEARMOTORS-NTINDA'!D27,'01.08 NTINDA-SPEARMOTORS-24h'!D27,'03.08 NTINDA-SPEARMOTORS-24h'!D27,'04.08 NTINDA-SPEARMOTORS'!D27)</f>
        <v>14.714285714285714</v>
      </c>
      <c r="E27" s="49">
        <f>AVERAGE('29.07 NTINDA-SPEAR MOTORS'!E27,'30.07 NTINDA-SPEARMOTORS'!E27,'31.07 SPEAR MOTORS-NTINDA'!E27,'02.08 SPEARMOTORS-NTINDA'!E27,'01.08 NTINDA-SPEARMOTORS-24h'!E27,'03.08 NTINDA-SPEARMOTORS-24h'!E27,'04.08 NTINDA-SPEARMOTORS'!E27)</f>
        <v>5</v>
      </c>
      <c r="F27" s="49">
        <f>AVERAGE('29.07 NTINDA-SPEAR MOTORS'!F27,'30.07 NTINDA-SPEARMOTORS'!F27,'31.07 SPEAR MOTORS-NTINDA'!F27,'02.08 SPEARMOTORS-NTINDA'!F27,'01.08 NTINDA-SPEARMOTORS-24h'!F27,'03.08 NTINDA-SPEARMOTORS-24h'!F27,'04.08 NTINDA-SPEARMOTORS'!F27)</f>
        <v>9.8571428571428577</v>
      </c>
      <c r="G27" s="49">
        <f>AVERAGE('29.07 NTINDA-SPEAR MOTORS'!G27,'30.07 NTINDA-SPEARMOTORS'!G27,'31.07 SPEAR MOTORS-NTINDA'!G27,'02.08 SPEARMOTORS-NTINDA'!G27,'01.08 NTINDA-SPEARMOTORS-24h'!G27,'03.08 NTINDA-SPEARMOTORS-24h'!G27,'04.08 NTINDA-SPEARMOTORS'!G27)</f>
        <v>0.2857142857142857</v>
      </c>
      <c r="H27" s="49">
        <f>AVERAGE('29.07 NTINDA-SPEAR MOTORS'!H27,'30.07 NTINDA-SPEARMOTORS'!H27,'31.07 SPEAR MOTORS-NTINDA'!H27,'02.08 SPEARMOTORS-NTINDA'!H27,'01.08 NTINDA-SPEARMOTORS-24h'!H27,'03.08 NTINDA-SPEARMOTORS-24h'!H27,'04.08 NTINDA-SPEARMOTORS'!H27)</f>
        <v>0</v>
      </c>
      <c r="I27" s="49">
        <f>AVERAGE('29.07 NTINDA-SPEAR MOTORS'!I27,'30.07 NTINDA-SPEARMOTORS'!I27,'31.07 SPEAR MOTORS-NTINDA'!I27,'02.08 SPEARMOTORS-NTINDA'!I27,'01.08 NTINDA-SPEARMOTORS-24h'!I27,'03.08 NTINDA-SPEARMOTORS-24h'!I27,'04.08 NTINDA-SPEARMOTORS'!I27)</f>
        <v>2.1428571428571428</v>
      </c>
      <c r="J27" s="49">
        <f>AVERAGE('29.07 NTINDA-SPEAR MOTORS'!J27,'30.07 NTINDA-SPEARMOTORS'!J27,'31.07 SPEAR MOTORS-NTINDA'!J27,'02.08 SPEARMOTORS-NTINDA'!J27,'01.08 NTINDA-SPEARMOTORS-24h'!J27,'03.08 NTINDA-SPEARMOTORS-24h'!J27,'04.08 NTINDA-SPEARMOTORS'!J27)</f>
        <v>2.5714285714285716</v>
      </c>
      <c r="K27" s="49">
        <f>AVERAGE('29.07 NTINDA-SPEAR MOTORS'!K27,'30.07 NTINDA-SPEARMOTORS'!K27,'31.07 SPEAR MOTORS-NTINDA'!K27,'02.08 SPEARMOTORS-NTINDA'!K27,'01.08 NTINDA-SPEARMOTORS-24h'!K27,'03.08 NTINDA-SPEARMOTORS-24h'!K27,'04.08 NTINDA-SPEARMOTORS'!K27)</f>
        <v>1</v>
      </c>
      <c r="L27" s="49">
        <f>AVERAGE('29.07 NTINDA-SPEAR MOTORS'!L27,'30.07 NTINDA-SPEARMOTORS'!L27,'31.07 SPEAR MOTORS-NTINDA'!L27,'02.08 SPEARMOTORS-NTINDA'!L27,'01.08 NTINDA-SPEARMOTORS-24h'!L27,'03.08 NTINDA-SPEARMOTORS-24h'!L27,'04.08 NTINDA-SPEARMOTORS'!L27)</f>
        <v>5.4285714285714288</v>
      </c>
      <c r="M27" s="49">
        <f>AVERAGE('29.07 NTINDA-SPEAR MOTORS'!M27,'30.07 NTINDA-SPEARMOTORS'!M27,'31.07 SPEAR MOTORS-NTINDA'!M27,'02.08 SPEARMOTORS-NTINDA'!M27,'01.08 NTINDA-SPEARMOTORS-24h'!M27,'03.08 NTINDA-SPEARMOTORS-24h'!M27,'04.08 NTINDA-SPEARMOTORS'!M27)</f>
        <v>88.714285714285708</v>
      </c>
      <c r="N27" s="49">
        <f>AVERAGE('29.07 NTINDA-SPEAR MOTORS'!N27,'30.07 NTINDA-SPEARMOTORS'!N27,'31.07 SPEAR MOTORS-NTINDA'!N27,'02.08 SPEARMOTORS-NTINDA'!N27,'01.08 NTINDA-SPEARMOTORS-24h'!N27,'03.08 NTINDA-SPEARMOTORS-24h'!N27,'04.08 NTINDA-SPEARMOTORS'!N27)</f>
        <v>0</v>
      </c>
      <c r="O27" s="15">
        <f t="shared" si="0"/>
        <v>61.857142857142861</v>
      </c>
      <c r="P27" s="15">
        <f t="shared" si="1"/>
        <v>150.57142857142856</v>
      </c>
      <c r="R27" s="1" t="s">
        <v>151</v>
      </c>
      <c r="S27" s="34">
        <f>SUM(C78:C81)</f>
        <v>38.5</v>
      </c>
      <c r="T27" s="34">
        <f t="shared" ref="T27:AF27" si="19">SUM(D78:D81)</f>
        <v>24</v>
      </c>
      <c r="U27" s="34">
        <f t="shared" si="19"/>
        <v>6.5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0.5</v>
      </c>
      <c r="AA27" s="34">
        <f t="shared" si="19"/>
        <v>0.5</v>
      </c>
      <c r="AB27" s="34">
        <f t="shared" si="19"/>
        <v>1</v>
      </c>
      <c r="AC27" s="34">
        <f t="shared" si="19"/>
        <v>155.5</v>
      </c>
      <c r="AD27" s="34">
        <f t="shared" si="19"/>
        <v>0</v>
      </c>
      <c r="AE27" s="31">
        <f t="shared" si="19"/>
        <v>75</v>
      </c>
      <c r="AF27" s="31">
        <f t="shared" si="19"/>
        <v>230.5</v>
      </c>
    </row>
    <row r="28" spans="2:32" ht="23.1" customHeight="1" x14ac:dyDescent="0.25">
      <c r="B28" s="23" t="s">
        <v>55</v>
      </c>
      <c r="C28" s="49">
        <f>AVERAGE('29.07 NTINDA-SPEAR MOTORS'!C28,'30.07 NTINDA-SPEARMOTORS'!C28,'31.07 SPEAR MOTORS-NTINDA'!C28,'02.08 SPEARMOTORS-NTINDA'!C28,'01.08 NTINDA-SPEARMOTORS-24h'!C28,'03.08 NTINDA-SPEARMOTORS-24h'!C28,'04.08 NTINDA-SPEARMOTORS'!C28)</f>
        <v>21.142857142857142</v>
      </c>
      <c r="D28" s="49">
        <f>AVERAGE('29.07 NTINDA-SPEAR MOTORS'!D28,'30.07 NTINDA-SPEARMOTORS'!D28,'31.07 SPEAR MOTORS-NTINDA'!D28,'02.08 SPEARMOTORS-NTINDA'!D28,'01.08 NTINDA-SPEARMOTORS-24h'!D28,'03.08 NTINDA-SPEARMOTORS-24h'!D28,'04.08 NTINDA-SPEARMOTORS'!D28)</f>
        <v>10.285714285714286</v>
      </c>
      <c r="E28" s="49">
        <f>AVERAGE('29.07 NTINDA-SPEAR MOTORS'!E28,'30.07 NTINDA-SPEARMOTORS'!E28,'31.07 SPEAR MOTORS-NTINDA'!E28,'02.08 SPEARMOTORS-NTINDA'!E28,'01.08 NTINDA-SPEARMOTORS-24h'!E28,'03.08 NTINDA-SPEARMOTORS-24h'!E28,'04.08 NTINDA-SPEARMOTORS'!E28)</f>
        <v>3.8571428571428572</v>
      </c>
      <c r="F28" s="49">
        <f>AVERAGE('29.07 NTINDA-SPEAR MOTORS'!F28,'30.07 NTINDA-SPEARMOTORS'!F28,'31.07 SPEAR MOTORS-NTINDA'!F28,'02.08 SPEARMOTORS-NTINDA'!F28,'01.08 NTINDA-SPEARMOTORS-24h'!F28,'03.08 NTINDA-SPEARMOTORS-24h'!F28,'04.08 NTINDA-SPEARMOTORS'!F28)</f>
        <v>7.1428571428571432</v>
      </c>
      <c r="G28" s="49">
        <f>AVERAGE('29.07 NTINDA-SPEAR MOTORS'!G28,'30.07 NTINDA-SPEARMOTORS'!G28,'31.07 SPEAR MOTORS-NTINDA'!G28,'02.08 SPEARMOTORS-NTINDA'!G28,'01.08 NTINDA-SPEARMOTORS-24h'!G28,'03.08 NTINDA-SPEARMOTORS-24h'!G28,'04.08 NTINDA-SPEARMOTORS'!G28)</f>
        <v>0</v>
      </c>
      <c r="H28" s="49">
        <f>AVERAGE('29.07 NTINDA-SPEAR MOTORS'!H28,'30.07 NTINDA-SPEARMOTORS'!H28,'31.07 SPEAR MOTORS-NTINDA'!H28,'02.08 SPEARMOTORS-NTINDA'!H28,'01.08 NTINDA-SPEARMOTORS-24h'!H28,'03.08 NTINDA-SPEARMOTORS-24h'!H28,'04.08 NTINDA-SPEARMOTORS'!H28)</f>
        <v>0</v>
      </c>
      <c r="I28" s="49">
        <f>AVERAGE('29.07 NTINDA-SPEAR MOTORS'!I28,'30.07 NTINDA-SPEARMOTORS'!I28,'31.07 SPEAR MOTORS-NTINDA'!I28,'02.08 SPEARMOTORS-NTINDA'!I28,'01.08 NTINDA-SPEARMOTORS-24h'!I28,'03.08 NTINDA-SPEARMOTORS-24h'!I28,'04.08 NTINDA-SPEARMOTORS'!I28)</f>
        <v>1</v>
      </c>
      <c r="J28" s="49">
        <f>AVERAGE('29.07 NTINDA-SPEAR MOTORS'!J28,'30.07 NTINDA-SPEARMOTORS'!J28,'31.07 SPEAR MOTORS-NTINDA'!J28,'02.08 SPEARMOTORS-NTINDA'!J28,'01.08 NTINDA-SPEARMOTORS-24h'!J28,'03.08 NTINDA-SPEARMOTORS-24h'!J28,'04.08 NTINDA-SPEARMOTORS'!J28)</f>
        <v>1.8571428571428572</v>
      </c>
      <c r="K28" s="49">
        <f>AVERAGE('29.07 NTINDA-SPEAR MOTORS'!K28,'30.07 NTINDA-SPEARMOTORS'!K28,'31.07 SPEAR MOTORS-NTINDA'!K28,'02.08 SPEARMOTORS-NTINDA'!K28,'01.08 NTINDA-SPEARMOTORS-24h'!K28,'03.08 NTINDA-SPEARMOTORS-24h'!K28,'04.08 NTINDA-SPEARMOTORS'!K28)</f>
        <v>0.8571428571428571</v>
      </c>
      <c r="L28" s="49">
        <f>AVERAGE('29.07 NTINDA-SPEAR MOTORS'!L28,'30.07 NTINDA-SPEARMOTORS'!L28,'31.07 SPEAR MOTORS-NTINDA'!L28,'02.08 SPEARMOTORS-NTINDA'!L28,'01.08 NTINDA-SPEARMOTORS-24h'!L28,'03.08 NTINDA-SPEARMOTORS-24h'!L28,'04.08 NTINDA-SPEARMOTORS'!L28)</f>
        <v>5.1428571428571432</v>
      </c>
      <c r="M28" s="49">
        <f>AVERAGE('29.07 NTINDA-SPEAR MOTORS'!M28,'30.07 NTINDA-SPEARMOTORS'!M28,'31.07 SPEAR MOTORS-NTINDA'!M28,'02.08 SPEARMOTORS-NTINDA'!M28,'01.08 NTINDA-SPEARMOTORS-24h'!M28,'03.08 NTINDA-SPEARMOTORS-24h'!M28,'04.08 NTINDA-SPEARMOTORS'!M28)</f>
        <v>95.571428571428569</v>
      </c>
      <c r="N28" s="49">
        <f>AVERAGE('29.07 NTINDA-SPEAR MOTORS'!N28,'30.07 NTINDA-SPEARMOTORS'!N28,'31.07 SPEAR MOTORS-NTINDA'!N28,'02.08 SPEARMOTORS-NTINDA'!N28,'01.08 NTINDA-SPEARMOTORS-24h'!N28,'03.08 NTINDA-SPEARMOTORS-24h'!N28,'04.08 NTINDA-SPEARMOTORS'!N28)</f>
        <v>0</v>
      </c>
      <c r="O28" s="15">
        <f t="shared" si="0"/>
        <v>51.285714285714285</v>
      </c>
      <c r="P28" s="15">
        <f t="shared" si="1"/>
        <v>146.85714285714286</v>
      </c>
      <c r="R28" s="1" t="s">
        <v>152</v>
      </c>
      <c r="S28" s="34">
        <f>SUM(C82:C85)</f>
        <v>32.5</v>
      </c>
      <c r="T28" s="34">
        <f t="shared" ref="T28:AF28" si="20">SUM(D82:D85)</f>
        <v>13.5</v>
      </c>
      <c r="U28" s="34">
        <f t="shared" si="20"/>
        <v>3</v>
      </c>
      <c r="V28" s="34">
        <f t="shared" si="20"/>
        <v>1.5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1.5</v>
      </c>
      <c r="AA28" s="34">
        <f t="shared" si="20"/>
        <v>0.5</v>
      </c>
      <c r="AB28" s="34">
        <f t="shared" si="20"/>
        <v>2.5</v>
      </c>
      <c r="AC28" s="34">
        <f t="shared" si="20"/>
        <v>50.5</v>
      </c>
      <c r="AD28" s="34">
        <f t="shared" si="20"/>
        <v>0</v>
      </c>
      <c r="AE28" s="31">
        <f t="shared" si="20"/>
        <v>58</v>
      </c>
      <c r="AF28" s="31">
        <f t="shared" si="20"/>
        <v>108.5</v>
      </c>
    </row>
    <row r="29" spans="2:32" ht="23.1" customHeight="1" x14ac:dyDescent="0.25">
      <c r="B29" s="23" t="s">
        <v>56</v>
      </c>
      <c r="C29" s="49">
        <f>AVERAGE('29.07 NTINDA-SPEAR MOTORS'!C29,'30.07 NTINDA-SPEARMOTORS'!C29,'31.07 SPEAR MOTORS-NTINDA'!C29,'02.08 SPEARMOTORS-NTINDA'!C29,'01.08 NTINDA-SPEARMOTORS-24h'!C29,'03.08 NTINDA-SPEARMOTORS-24h'!C29,'04.08 NTINDA-SPEARMOTORS'!C29)</f>
        <v>16.571428571428573</v>
      </c>
      <c r="D29" s="49">
        <f>AVERAGE('29.07 NTINDA-SPEAR MOTORS'!D29,'30.07 NTINDA-SPEARMOTORS'!D29,'31.07 SPEAR MOTORS-NTINDA'!D29,'02.08 SPEARMOTORS-NTINDA'!D29,'01.08 NTINDA-SPEARMOTORS-24h'!D29,'03.08 NTINDA-SPEARMOTORS-24h'!D29,'04.08 NTINDA-SPEARMOTORS'!D29)</f>
        <v>9.1428571428571423</v>
      </c>
      <c r="E29" s="49">
        <f>AVERAGE('29.07 NTINDA-SPEAR MOTORS'!E29,'30.07 NTINDA-SPEARMOTORS'!E29,'31.07 SPEAR MOTORS-NTINDA'!E29,'02.08 SPEARMOTORS-NTINDA'!E29,'01.08 NTINDA-SPEARMOTORS-24h'!E29,'03.08 NTINDA-SPEARMOTORS-24h'!E29,'04.08 NTINDA-SPEARMOTORS'!E29)</f>
        <v>3.8571428571428572</v>
      </c>
      <c r="F29" s="49">
        <f>AVERAGE('29.07 NTINDA-SPEAR MOTORS'!F29,'30.07 NTINDA-SPEARMOTORS'!F29,'31.07 SPEAR MOTORS-NTINDA'!F29,'02.08 SPEARMOTORS-NTINDA'!F29,'01.08 NTINDA-SPEARMOTORS-24h'!F29,'03.08 NTINDA-SPEARMOTORS-24h'!F29,'04.08 NTINDA-SPEARMOTORS'!F29)</f>
        <v>6</v>
      </c>
      <c r="G29" s="49">
        <f>AVERAGE('29.07 NTINDA-SPEAR MOTORS'!G29,'30.07 NTINDA-SPEARMOTORS'!G29,'31.07 SPEAR MOTORS-NTINDA'!G29,'02.08 SPEARMOTORS-NTINDA'!G29,'01.08 NTINDA-SPEARMOTORS-24h'!G29,'03.08 NTINDA-SPEARMOTORS-24h'!G29,'04.08 NTINDA-SPEARMOTORS'!G29)</f>
        <v>0</v>
      </c>
      <c r="H29" s="49">
        <f>AVERAGE('29.07 NTINDA-SPEAR MOTORS'!H29,'30.07 NTINDA-SPEARMOTORS'!H29,'31.07 SPEAR MOTORS-NTINDA'!H29,'02.08 SPEARMOTORS-NTINDA'!H29,'01.08 NTINDA-SPEARMOTORS-24h'!H29,'03.08 NTINDA-SPEARMOTORS-24h'!H29,'04.08 NTINDA-SPEARMOTORS'!H29)</f>
        <v>0.14285714285714285</v>
      </c>
      <c r="I29" s="49">
        <f>AVERAGE('29.07 NTINDA-SPEAR MOTORS'!I29,'30.07 NTINDA-SPEARMOTORS'!I29,'31.07 SPEAR MOTORS-NTINDA'!I29,'02.08 SPEARMOTORS-NTINDA'!I29,'01.08 NTINDA-SPEARMOTORS-24h'!I29,'03.08 NTINDA-SPEARMOTORS-24h'!I29,'04.08 NTINDA-SPEARMOTORS'!I29)</f>
        <v>2.1428571428571428</v>
      </c>
      <c r="J29" s="49">
        <f>AVERAGE('29.07 NTINDA-SPEAR MOTORS'!J29,'30.07 NTINDA-SPEARMOTORS'!J29,'31.07 SPEAR MOTORS-NTINDA'!J29,'02.08 SPEARMOTORS-NTINDA'!J29,'01.08 NTINDA-SPEARMOTORS-24h'!J29,'03.08 NTINDA-SPEARMOTORS-24h'!J29,'04.08 NTINDA-SPEARMOTORS'!J29)</f>
        <v>1.4285714285714286</v>
      </c>
      <c r="K29" s="49">
        <f>AVERAGE('29.07 NTINDA-SPEAR MOTORS'!K29,'30.07 NTINDA-SPEARMOTORS'!K29,'31.07 SPEAR MOTORS-NTINDA'!K29,'02.08 SPEARMOTORS-NTINDA'!K29,'01.08 NTINDA-SPEARMOTORS-24h'!K29,'03.08 NTINDA-SPEARMOTORS-24h'!K29,'04.08 NTINDA-SPEARMOTORS'!K29)</f>
        <v>1.1428571428571428</v>
      </c>
      <c r="L29" s="49">
        <f>AVERAGE('29.07 NTINDA-SPEAR MOTORS'!L29,'30.07 NTINDA-SPEARMOTORS'!L29,'31.07 SPEAR MOTORS-NTINDA'!L29,'02.08 SPEARMOTORS-NTINDA'!L29,'01.08 NTINDA-SPEARMOTORS-24h'!L29,'03.08 NTINDA-SPEARMOTORS-24h'!L29,'04.08 NTINDA-SPEARMOTORS'!L29)</f>
        <v>3.4285714285714284</v>
      </c>
      <c r="M29" s="49">
        <f>AVERAGE('29.07 NTINDA-SPEAR MOTORS'!M29,'30.07 NTINDA-SPEARMOTORS'!M29,'31.07 SPEAR MOTORS-NTINDA'!M29,'02.08 SPEARMOTORS-NTINDA'!M29,'01.08 NTINDA-SPEARMOTORS-24h'!M29,'03.08 NTINDA-SPEARMOTORS-24h'!M29,'04.08 NTINDA-SPEARMOTORS'!M29)</f>
        <v>107.57142857142857</v>
      </c>
      <c r="N29" s="49">
        <f>AVERAGE('29.07 NTINDA-SPEAR MOTORS'!N29,'30.07 NTINDA-SPEARMOTORS'!N29,'31.07 SPEAR MOTORS-NTINDA'!N29,'02.08 SPEARMOTORS-NTINDA'!N29,'01.08 NTINDA-SPEARMOTORS-24h'!N29,'03.08 NTINDA-SPEARMOTORS-24h'!N29,'04.08 NTINDA-SPEARMOTORS'!N29)</f>
        <v>0</v>
      </c>
      <c r="O29" s="15">
        <f t="shared" si="0"/>
        <v>43.857142857142868</v>
      </c>
      <c r="P29" s="15">
        <f t="shared" si="1"/>
        <v>151.42857142857144</v>
      </c>
      <c r="R29" s="1" t="s">
        <v>153</v>
      </c>
      <c r="S29" s="34">
        <f>SUM(C86:C89)</f>
        <v>18.5</v>
      </c>
      <c r="T29" s="34">
        <f t="shared" ref="T29:AF29" si="21">SUM(D86:D89)</f>
        <v>7.5</v>
      </c>
      <c r="U29" s="34">
        <f t="shared" si="21"/>
        <v>2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1.5</v>
      </c>
      <c r="AA29" s="34">
        <f t="shared" si="21"/>
        <v>0</v>
      </c>
      <c r="AB29" s="34">
        <f t="shared" si="21"/>
        <v>3</v>
      </c>
      <c r="AC29" s="34">
        <f t="shared" si="21"/>
        <v>48.5</v>
      </c>
      <c r="AD29" s="34">
        <f t="shared" si="21"/>
        <v>0</v>
      </c>
      <c r="AE29" s="31">
        <f t="shared" si="21"/>
        <v>34.5</v>
      </c>
      <c r="AF29" s="31">
        <f t="shared" si="21"/>
        <v>83</v>
      </c>
    </row>
    <row r="30" spans="2:32" ht="23.1" customHeight="1" x14ac:dyDescent="0.25">
      <c r="B30" s="23" t="s">
        <v>57</v>
      </c>
      <c r="C30" s="49">
        <f>AVERAGE('29.07 NTINDA-SPEAR MOTORS'!C30,'30.07 NTINDA-SPEARMOTORS'!C30,'31.07 SPEAR MOTORS-NTINDA'!C30,'02.08 SPEARMOTORS-NTINDA'!C30,'01.08 NTINDA-SPEARMOTORS-24h'!C30,'03.08 NTINDA-SPEARMOTORS-24h'!C30,'04.08 NTINDA-SPEARMOTORS'!C30)</f>
        <v>17.571428571428573</v>
      </c>
      <c r="D30" s="49">
        <f>AVERAGE('29.07 NTINDA-SPEAR MOTORS'!D30,'30.07 NTINDA-SPEARMOTORS'!D30,'31.07 SPEAR MOTORS-NTINDA'!D30,'02.08 SPEARMOTORS-NTINDA'!D30,'01.08 NTINDA-SPEARMOTORS-24h'!D30,'03.08 NTINDA-SPEARMOTORS-24h'!D30,'04.08 NTINDA-SPEARMOTORS'!D30)</f>
        <v>8.7142857142857135</v>
      </c>
      <c r="E30" s="49">
        <f>AVERAGE('29.07 NTINDA-SPEAR MOTORS'!E30,'30.07 NTINDA-SPEARMOTORS'!E30,'31.07 SPEAR MOTORS-NTINDA'!E30,'02.08 SPEARMOTORS-NTINDA'!E30,'01.08 NTINDA-SPEARMOTORS-24h'!E30,'03.08 NTINDA-SPEARMOTORS-24h'!E30,'04.08 NTINDA-SPEARMOTORS'!E30)</f>
        <v>2.8571428571428572</v>
      </c>
      <c r="F30" s="49">
        <f>AVERAGE('29.07 NTINDA-SPEAR MOTORS'!F30,'30.07 NTINDA-SPEARMOTORS'!F30,'31.07 SPEAR MOTORS-NTINDA'!F30,'02.08 SPEARMOTORS-NTINDA'!F30,'01.08 NTINDA-SPEARMOTORS-24h'!F30,'03.08 NTINDA-SPEARMOTORS-24h'!F30,'04.08 NTINDA-SPEARMOTORS'!F30)</f>
        <v>6.2857142857142856</v>
      </c>
      <c r="G30" s="49">
        <f>AVERAGE('29.07 NTINDA-SPEAR MOTORS'!G30,'30.07 NTINDA-SPEARMOTORS'!G30,'31.07 SPEAR MOTORS-NTINDA'!G30,'02.08 SPEARMOTORS-NTINDA'!G30,'01.08 NTINDA-SPEARMOTORS-24h'!G30,'03.08 NTINDA-SPEARMOTORS-24h'!G30,'04.08 NTINDA-SPEARMOTORS'!G30)</f>
        <v>0</v>
      </c>
      <c r="H30" s="49">
        <f>AVERAGE('29.07 NTINDA-SPEAR MOTORS'!H30,'30.07 NTINDA-SPEARMOTORS'!H30,'31.07 SPEAR MOTORS-NTINDA'!H30,'02.08 SPEARMOTORS-NTINDA'!H30,'01.08 NTINDA-SPEARMOTORS-24h'!H30,'03.08 NTINDA-SPEARMOTORS-24h'!H30,'04.08 NTINDA-SPEARMOTORS'!H30)</f>
        <v>0</v>
      </c>
      <c r="I30" s="49">
        <f>AVERAGE('29.07 NTINDA-SPEAR MOTORS'!I30,'30.07 NTINDA-SPEARMOTORS'!I30,'31.07 SPEAR MOTORS-NTINDA'!I30,'02.08 SPEARMOTORS-NTINDA'!I30,'01.08 NTINDA-SPEARMOTORS-24h'!I30,'03.08 NTINDA-SPEARMOTORS-24h'!I30,'04.08 NTINDA-SPEARMOTORS'!I30)</f>
        <v>1.7142857142857142</v>
      </c>
      <c r="J30" s="49">
        <f>AVERAGE('29.07 NTINDA-SPEAR MOTORS'!J30,'30.07 NTINDA-SPEARMOTORS'!J30,'31.07 SPEAR MOTORS-NTINDA'!J30,'02.08 SPEARMOTORS-NTINDA'!J30,'01.08 NTINDA-SPEARMOTORS-24h'!J30,'03.08 NTINDA-SPEARMOTORS-24h'!J30,'04.08 NTINDA-SPEARMOTORS'!J30)</f>
        <v>1.7142857142857142</v>
      </c>
      <c r="K30" s="49">
        <f>AVERAGE('29.07 NTINDA-SPEAR MOTORS'!K30,'30.07 NTINDA-SPEARMOTORS'!K30,'31.07 SPEAR MOTORS-NTINDA'!K30,'02.08 SPEARMOTORS-NTINDA'!K30,'01.08 NTINDA-SPEARMOTORS-24h'!K30,'03.08 NTINDA-SPEARMOTORS-24h'!K30,'04.08 NTINDA-SPEARMOTORS'!K30)</f>
        <v>1.4285714285714286</v>
      </c>
      <c r="L30" s="49">
        <f>AVERAGE('29.07 NTINDA-SPEAR MOTORS'!L30,'30.07 NTINDA-SPEARMOTORS'!L30,'31.07 SPEAR MOTORS-NTINDA'!L30,'02.08 SPEARMOTORS-NTINDA'!L30,'01.08 NTINDA-SPEARMOTORS-24h'!L30,'03.08 NTINDA-SPEARMOTORS-24h'!L30,'04.08 NTINDA-SPEARMOTORS'!L30)</f>
        <v>6.5714285714285712</v>
      </c>
      <c r="M30" s="49">
        <f>AVERAGE('29.07 NTINDA-SPEAR MOTORS'!M30,'30.07 NTINDA-SPEARMOTORS'!M30,'31.07 SPEAR MOTORS-NTINDA'!M30,'02.08 SPEARMOTORS-NTINDA'!M30,'01.08 NTINDA-SPEARMOTORS-24h'!M30,'03.08 NTINDA-SPEARMOTORS-24h'!M30,'04.08 NTINDA-SPEARMOTORS'!M30)</f>
        <v>96.428571428571431</v>
      </c>
      <c r="N30" s="49">
        <f>AVERAGE('29.07 NTINDA-SPEAR MOTORS'!N30,'30.07 NTINDA-SPEARMOTORS'!N30,'31.07 SPEAR MOTORS-NTINDA'!N30,'02.08 SPEARMOTORS-NTINDA'!N30,'01.08 NTINDA-SPEARMOTORS-24h'!N30,'03.08 NTINDA-SPEARMOTORS-24h'!N30,'04.08 NTINDA-SPEARMOTORS'!N30)</f>
        <v>0</v>
      </c>
      <c r="O30" s="15">
        <f t="shared" si="0"/>
        <v>46.857142857142861</v>
      </c>
      <c r="P30" s="15">
        <f t="shared" si="1"/>
        <v>143.28571428571428</v>
      </c>
      <c r="R30" s="1" t="s">
        <v>154</v>
      </c>
      <c r="S30" s="34">
        <f>SUM(C90:C93)</f>
        <v>11</v>
      </c>
      <c r="T30" s="34">
        <f t="shared" ref="T30:AF30" si="22">SUM(D90:D93)</f>
        <v>7</v>
      </c>
      <c r="U30" s="34">
        <f t="shared" si="22"/>
        <v>1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2.5</v>
      </c>
      <c r="AA30" s="34">
        <f t="shared" si="22"/>
        <v>1.5</v>
      </c>
      <c r="AB30" s="34">
        <f t="shared" si="22"/>
        <v>5</v>
      </c>
      <c r="AC30" s="34">
        <f t="shared" si="22"/>
        <v>32.5</v>
      </c>
      <c r="AD30" s="34">
        <f t="shared" si="22"/>
        <v>0</v>
      </c>
      <c r="AE30" s="31">
        <f t="shared" si="22"/>
        <v>32</v>
      </c>
      <c r="AF30" s="31">
        <f t="shared" si="22"/>
        <v>64.5</v>
      </c>
    </row>
    <row r="31" spans="2:32" ht="23.1" customHeight="1" x14ac:dyDescent="0.25">
      <c r="B31" s="24" t="s">
        <v>58</v>
      </c>
      <c r="C31" s="49">
        <f>AVERAGE('29.07 NTINDA-SPEAR MOTORS'!C31,'30.07 NTINDA-SPEARMOTORS'!C31,'31.07 SPEAR MOTORS-NTINDA'!C31,'02.08 SPEARMOTORS-NTINDA'!C31,'01.08 NTINDA-SPEARMOTORS-24h'!C31,'03.08 NTINDA-SPEARMOTORS-24h'!C31,'04.08 NTINDA-SPEARMOTORS'!C31)</f>
        <v>16.428571428571427</v>
      </c>
      <c r="D31" s="49">
        <f>AVERAGE('29.07 NTINDA-SPEAR MOTORS'!D31,'30.07 NTINDA-SPEARMOTORS'!D31,'31.07 SPEAR MOTORS-NTINDA'!D31,'02.08 SPEARMOTORS-NTINDA'!D31,'01.08 NTINDA-SPEARMOTORS-24h'!D31,'03.08 NTINDA-SPEARMOTORS-24h'!D31,'04.08 NTINDA-SPEARMOTORS'!D31)</f>
        <v>8.7142857142857135</v>
      </c>
      <c r="E31" s="49">
        <f>AVERAGE('29.07 NTINDA-SPEAR MOTORS'!E31,'30.07 NTINDA-SPEARMOTORS'!E31,'31.07 SPEAR MOTORS-NTINDA'!E31,'02.08 SPEARMOTORS-NTINDA'!E31,'01.08 NTINDA-SPEARMOTORS-24h'!E31,'03.08 NTINDA-SPEARMOTORS-24h'!E31,'04.08 NTINDA-SPEARMOTORS'!E31)</f>
        <v>3.7142857142857144</v>
      </c>
      <c r="F31" s="49">
        <f>AVERAGE('29.07 NTINDA-SPEAR MOTORS'!F31,'30.07 NTINDA-SPEARMOTORS'!F31,'31.07 SPEAR MOTORS-NTINDA'!F31,'02.08 SPEARMOTORS-NTINDA'!F31,'01.08 NTINDA-SPEARMOTORS-24h'!F31,'03.08 NTINDA-SPEARMOTORS-24h'!F31,'04.08 NTINDA-SPEARMOTORS'!F31)</f>
        <v>6.5714285714285712</v>
      </c>
      <c r="G31" s="49">
        <f>AVERAGE('29.07 NTINDA-SPEAR MOTORS'!G31,'30.07 NTINDA-SPEARMOTORS'!G31,'31.07 SPEAR MOTORS-NTINDA'!G31,'02.08 SPEARMOTORS-NTINDA'!G31,'01.08 NTINDA-SPEARMOTORS-24h'!G31,'03.08 NTINDA-SPEARMOTORS-24h'!G31,'04.08 NTINDA-SPEARMOTORS'!G31)</f>
        <v>0.14285714285714285</v>
      </c>
      <c r="H31" s="49">
        <f>AVERAGE('29.07 NTINDA-SPEAR MOTORS'!H31,'30.07 NTINDA-SPEARMOTORS'!H31,'31.07 SPEAR MOTORS-NTINDA'!H31,'02.08 SPEARMOTORS-NTINDA'!H31,'01.08 NTINDA-SPEARMOTORS-24h'!H31,'03.08 NTINDA-SPEARMOTORS-24h'!H31,'04.08 NTINDA-SPEARMOTORS'!H31)</f>
        <v>0</v>
      </c>
      <c r="I31" s="49">
        <f>AVERAGE('29.07 NTINDA-SPEAR MOTORS'!I31,'30.07 NTINDA-SPEARMOTORS'!I31,'31.07 SPEAR MOTORS-NTINDA'!I31,'02.08 SPEARMOTORS-NTINDA'!I31,'01.08 NTINDA-SPEARMOTORS-24h'!I31,'03.08 NTINDA-SPEARMOTORS-24h'!I31,'04.08 NTINDA-SPEARMOTORS'!I31)</f>
        <v>1.8571428571428572</v>
      </c>
      <c r="J31" s="49">
        <f>AVERAGE('29.07 NTINDA-SPEAR MOTORS'!J31,'30.07 NTINDA-SPEARMOTORS'!J31,'31.07 SPEAR MOTORS-NTINDA'!J31,'02.08 SPEARMOTORS-NTINDA'!J31,'01.08 NTINDA-SPEARMOTORS-24h'!J31,'03.08 NTINDA-SPEARMOTORS-24h'!J31,'04.08 NTINDA-SPEARMOTORS'!J31)</f>
        <v>1.4285714285714286</v>
      </c>
      <c r="K31" s="49">
        <f>AVERAGE('29.07 NTINDA-SPEAR MOTORS'!K31,'30.07 NTINDA-SPEARMOTORS'!K31,'31.07 SPEAR MOTORS-NTINDA'!K31,'02.08 SPEARMOTORS-NTINDA'!K31,'01.08 NTINDA-SPEARMOTORS-24h'!K31,'03.08 NTINDA-SPEARMOTORS-24h'!K31,'04.08 NTINDA-SPEARMOTORS'!K31)</f>
        <v>0.8571428571428571</v>
      </c>
      <c r="L31" s="49">
        <f>AVERAGE('29.07 NTINDA-SPEAR MOTORS'!L31,'30.07 NTINDA-SPEARMOTORS'!L31,'31.07 SPEAR MOTORS-NTINDA'!L31,'02.08 SPEARMOTORS-NTINDA'!L31,'01.08 NTINDA-SPEARMOTORS-24h'!L31,'03.08 NTINDA-SPEARMOTORS-24h'!L31,'04.08 NTINDA-SPEARMOTORS'!L31)</f>
        <v>3.2857142857142856</v>
      </c>
      <c r="M31" s="49">
        <f>AVERAGE('29.07 NTINDA-SPEAR MOTORS'!M31,'30.07 NTINDA-SPEARMOTORS'!M31,'31.07 SPEAR MOTORS-NTINDA'!M31,'02.08 SPEARMOTORS-NTINDA'!M31,'01.08 NTINDA-SPEARMOTORS-24h'!M31,'03.08 NTINDA-SPEARMOTORS-24h'!M31,'04.08 NTINDA-SPEARMOTORS'!M31)</f>
        <v>88.714285714285708</v>
      </c>
      <c r="N31" s="49">
        <f>AVERAGE('29.07 NTINDA-SPEAR MOTORS'!N31,'30.07 NTINDA-SPEARMOTORS'!N31,'31.07 SPEAR MOTORS-NTINDA'!N31,'02.08 SPEARMOTORS-NTINDA'!N31,'01.08 NTINDA-SPEARMOTORS-24h'!N31,'03.08 NTINDA-SPEARMOTORS-24h'!N31,'04.08 NTINDA-SPEARMOTORS'!N31)</f>
        <v>0</v>
      </c>
      <c r="O31" s="15">
        <f t="shared" si="0"/>
        <v>42.999999999999993</v>
      </c>
      <c r="P31" s="15">
        <f t="shared" si="1"/>
        <v>131.71428571428569</v>
      </c>
      <c r="R31" s="1" t="s">
        <v>155</v>
      </c>
      <c r="S31" s="34">
        <f>SUM(C94:C97)</f>
        <v>11.5</v>
      </c>
      <c r="T31" s="34">
        <f t="shared" ref="T31:AF31" si="23">SUM(D94:D97)</f>
        <v>4.5</v>
      </c>
      <c r="U31" s="34">
        <f t="shared" si="23"/>
        <v>0.5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4</v>
      </c>
      <c r="Z31" s="34">
        <f t="shared" si="23"/>
        <v>2</v>
      </c>
      <c r="AA31" s="34">
        <f t="shared" si="23"/>
        <v>1</v>
      </c>
      <c r="AB31" s="34">
        <f t="shared" si="23"/>
        <v>3.5</v>
      </c>
      <c r="AC31" s="34">
        <f t="shared" si="23"/>
        <v>33.5</v>
      </c>
      <c r="AD31" s="34">
        <f t="shared" si="23"/>
        <v>0</v>
      </c>
      <c r="AE31" s="31">
        <f t="shared" si="23"/>
        <v>29</v>
      </c>
      <c r="AF31" s="31">
        <f t="shared" si="23"/>
        <v>62.5</v>
      </c>
    </row>
    <row r="32" spans="2:32" ht="23.1" customHeight="1" x14ac:dyDescent="0.25">
      <c r="B32" s="24" t="s">
        <v>59</v>
      </c>
      <c r="C32" s="49">
        <f>AVERAGE('29.07 NTINDA-SPEAR MOTORS'!C32,'30.07 NTINDA-SPEARMOTORS'!C32,'31.07 SPEAR MOTORS-NTINDA'!C32,'02.08 SPEARMOTORS-NTINDA'!C32,'01.08 NTINDA-SPEARMOTORS-24h'!C32,'03.08 NTINDA-SPEARMOTORS-24h'!C32,'04.08 NTINDA-SPEARMOTORS'!C32)</f>
        <v>18</v>
      </c>
      <c r="D32" s="49">
        <f>AVERAGE('29.07 NTINDA-SPEAR MOTORS'!D32,'30.07 NTINDA-SPEARMOTORS'!D32,'31.07 SPEAR MOTORS-NTINDA'!D32,'02.08 SPEARMOTORS-NTINDA'!D32,'01.08 NTINDA-SPEARMOTORS-24h'!D32,'03.08 NTINDA-SPEARMOTORS-24h'!D32,'04.08 NTINDA-SPEARMOTORS'!D32)</f>
        <v>9.2857142857142865</v>
      </c>
      <c r="E32" s="49">
        <f>AVERAGE('29.07 NTINDA-SPEAR MOTORS'!E32,'30.07 NTINDA-SPEARMOTORS'!E32,'31.07 SPEAR MOTORS-NTINDA'!E32,'02.08 SPEARMOTORS-NTINDA'!E32,'01.08 NTINDA-SPEARMOTORS-24h'!E32,'03.08 NTINDA-SPEARMOTORS-24h'!E32,'04.08 NTINDA-SPEARMOTORS'!E32)</f>
        <v>4.5714285714285712</v>
      </c>
      <c r="F32" s="49">
        <f>AVERAGE('29.07 NTINDA-SPEAR MOTORS'!F32,'30.07 NTINDA-SPEARMOTORS'!F32,'31.07 SPEAR MOTORS-NTINDA'!F32,'02.08 SPEARMOTORS-NTINDA'!F32,'01.08 NTINDA-SPEARMOTORS-24h'!F32,'03.08 NTINDA-SPEARMOTORS-24h'!F32,'04.08 NTINDA-SPEARMOTORS'!F32)</f>
        <v>4.1428571428571432</v>
      </c>
      <c r="G32" s="49">
        <f>AVERAGE('29.07 NTINDA-SPEAR MOTORS'!G32,'30.07 NTINDA-SPEARMOTORS'!G32,'31.07 SPEAR MOTORS-NTINDA'!G32,'02.08 SPEARMOTORS-NTINDA'!G32,'01.08 NTINDA-SPEARMOTORS-24h'!G32,'03.08 NTINDA-SPEARMOTORS-24h'!G32,'04.08 NTINDA-SPEARMOTORS'!G32)</f>
        <v>0</v>
      </c>
      <c r="H32" s="49">
        <f>AVERAGE('29.07 NTINDA-SPEAR MOTORS'!H32,'30.07 NTINDA-SPEARMOTORS'!H32,'31.07 SPEAR MOTORS-NTINDA'!H32,'02.08 SPEARMOTORS-NTINDA'!H32,'01.08 NTINDA-SPEARMOTORS-24h'!H32,'03.08 NTINDA-SPEARMOTORS-24h'!H32,'04.08 NTINDA-SPEARMOTORS'!H32)</f>
        <v>0.2857142857142857</v>
      </c>
      <c r="I32" s="49">
        <f>AVERAGE('29.07 NTINDA-SPEAR MOTORS'!I32,'30.07 NTINDA-SPEARMOTORS'!I32,'31.07 SPEAR MOTORS-NTINDA'!I32,'02.08 SPEARMOTORS-NTINDA'!I32,'01.08 NTINDA-SPEARMOTORS-24h'!I32,'03.08 NTINDA-SPEARMOTORS-24h'!I32,'04.08 NTINDA-SPEARMOTORS'!I32)</f>
        <v>1.5714285714285714</v>
      </c>
      <c r="J32" s="49">
        <f>AVERAGE('29.07 NTINDA-SPEAR MOTORS'!J32,'30.07 NTINDA-SPEARMOTORS'!J32,'31.07 SPEAR MOTORS-NTINDA'!J32,'02.08 SPEARMOTORS-NTINDA'!J32,'01.08 NTINDA-SPEARMOTORS-24h'!J32,'03.08 NTINDA-SPEARMOTORS-24h'!J32,'04.08 NTINDA-SPEARMOTORS'!J32)</f>
        <v>2</v>
      </c>
      <c r="K32" s="49">
        <f>AVERAGE('29.07 NTINDA-SPEAR MOTORS'!K32,'30.07 NTINDA-SPEARMOTORS'!K32,'31.07 SPEAR MOTORS-NTINDA'!K32,'02.08 SPEARMOTORS-NTINDA'!K32,'01.08 NTINDA-SPEARMOTORS-24h'!K32,'03.08 NTINDA-SPEARMOTORS-24h'!K32,'04.08 NTINDA-SPEARMOTORS'!K32)</f>
        <v>0.8571428571428571</v>
      </c>
      <c r="L32" s="49">
        <f>AVERAGE('29.07 NTINDA-SPEAR MOTORS'!L32,'30.07 NTINDA-SPEARMOTORS'!L32,'31.07 SPEAR MOTORS-NTINDA'!L32,'02.08 SPEARMOTORS-NTINDA'!L32,'01.08 NTINDA-SPEARMOTORS-24h'!L32,'03.08 NTINDA-SPEARMOTORS-24h'!L32,'04.08 NTINDA-SPEARMOTORS'!L32)</f>
        <v>4.2857142857142856</v>
      </c>
      <c r="M32" s="49">
        <f>AVERAGE('29.07 NTINDA-SPEAR MOTORS'!M32,'30.07 NTINDA-SPEARMOTORS'!M32,'31.07 SPEAR MOTORS-NTINDA'!M32,'02.08 SPEARMOTORS-NTINDA'!M32,'01.08 NTINDA-SPEARMOTORS-24h'!M32,'03.08 NTINDA-SPEARMOTORS-24h'!M32,'04.08 NTINDA-SPEARMOTORS'!M32)</f>
        <v>97.571428571428569</v>
      </c>
      <c r="N32" s="49">
        <f>AVERAGE('29.07 NTINDA-SPEAR MOTORS'!N32,'30.07 NTINDA-SPEARMOTORS'!N32,'31.07 SPEAR MOTORS-NTINDA'!N32,'02.08 SPEARMOTORS-NTINDA'!N32,'01.08 NTINDA-SPEARMOTORS-24h'!N32,'03.08 NTINDA-SPEARMOTORS-24h'!N32,'04.08 NTINDA-SPEARMOTORS'!N32)</f>
        <v>0</v>
      </c>
      <c r="O32" s="15">
        <f t="shared" si="0"/>
        <v>44.999999999999993</v>
      </c>
      <c r="P32" s="15">
        <f t="shared" si="1"/>
        <v>142.57142857142856</v>
      </c>
      <c r="R32" s="1" t="s">
        <v>156</v>
      </c>
      <c r="S32" s="34">
        <f>SUM(C98:C101)</f>
        <v>21</v>
      </c>
      <c r="T32" s="34">
        <f t="shared" ref="T32:AF32" si="24">SUM(D98:D101)</f>
        <v>11</v>
      </c>
      <c r="U32" s="34">
        <f t="shared" si="24"/>
        <v>5</v>
      </c>
      <c r="V32" s="34">
        <f t="shared" si="24"/>
        <v>13.5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0</v>
      </c>
      <c r="AB32" s="34">
        <f t="shared" si="24"/>
        <v>4.5</v>
      </c>
      <c r="AC32" s="34">
        <f t="shared" si="24"/>
        <v>116</v>
      </c>
      <c r="AD32" s="34">
        <f t="shared" si="24"/>
        <v>0</v>
      </c>
      <c r="AE32" s="31">
        <f t="shared" si="24"/>
        <v>57</v>
      </c>
      <c r="AF32" s="31">
        <f t="shared" si="24"/>
        <v>173</v>
      </c>
    </row>
    <row r="33" spans="2:32" ht="23.1" customHeight="1" x14ac:dyDescent="0.25">
      <c r="B33" s="23" t="s">
        <v>60</v>
      </c>
      <c r="C33" s="49">
        <f>AVERAGE('29.07 NTINDA-SPEAR MOTORS'!C33,'30.07 NTINDA-SPEARMOTORS'!C33,'31.07 SPEAR MOTORS-NTINDA'!C33,'02.08 SPEARMOTORS-NTINDA'!C33,'01.08 NTINDA-SPEARMOTORS-24h'!C33,'03.08 NTINDA-SPEARMOTORS-24h'!C33,'04.08 NTINDA-SPEARMOTORS'!C33)</f>
        <v>17.428571428571427</v>
      </c>
      <c r="D33" s="49">
        <f>AVERAGE('29.07 NTINDA-SPEAR MOTORS'!D33,'30.07 NTINDA-SPEARMOTORS'!D33,'31.07 SPEAR MOTORS-NTINDA'!D33,'02.08 SPEARMOTORS-NTINDA'!D33,'01.08 NTINDA-SPEARMOTORS-24h'!D33,'03.08 NTINDA-SPEARMOTORS-24h'!D33,'04.08 NTINDA-SPEARMOTORS'!D33)</f>
        <v>11.142857142857142</v>
      </c>
      <c r="E33" s="49">
        <f>AVERAGE('29.07 NTINDA-SPEAR MOTORS'!E33,'30.07 NTINDA-SPEARMOTORS'!E33,'31.07 SPEAR MOTORS-NTINDA'!E33,'02.08 SPEARMOTORS-NTINDA'!E33,'01.08 NTINDA-SPEARMOTORS-24h'!E33,'03.08 NTINDA-SPEARMOTORS-24h'!E33,'04.08 NTINDA-SPEARMOTORS'!E33)</f>
        <v>4.7142857142857144</v>
      </c>
      <c r="F33" s="49">
        <f>AVERAGE('29.07 NTINDA-SPEAR MOTORS'!F33,'30.07 NTINDA-SPEARMOTORS'!F33,'31.07 SPEAR MOTORS-NTINDA'!F33,'02.08 SPEARMOTORS-NTINDA'!F33,'01.08 NTINDA-SPEARMOTORS-24h'!F33,'03.08 NTINDA-SPEARMOTORS-24h'!F33,'04.08 NTINDA-SPEARMOTORS'!F33)</f>
        <v>5.4285714285714288</v>
      </c>
      <c r="G33" s="49">
        <f>AVERAGE('29.07 NTINDA-SPEAR MOTORS'!G33,'30.07 NTINDA-SPEARMOTORS'!G33,'31.07 SPEAR MOTORS-NTINDA'!G33,'02.08 SPEARMOTORS-NTINDA'!G33,'01.08 NTINDA-SPEARMOTORS-24h'!G33,'03.08 NTINDA-SPEARMOTORS-24h'!G33,'04.08 NTINDA-SPEARMOTORS'!G33)</f>
        <v>0</v>
      </c>
      <c r="H33" s="49">
        <f>AVERAGE('29.07 NTINDA-SPEAR MOTORS'!H33,'30.07 NTINDA-SPEARMOTORS'!H33,'31.07 SPEAR MOTORS-NTINDA'!H33,'02.08 SPEARMOTORS-NTINDA'!H33,'01.08 NTINDA-SPEARMOTORS-24h'!H33,'03.08 NTINDA-SPEARMOTORS-24h'!H33,'04.08 NTINDA-SPEARMOTORS'!H33)</f>
        <v>0</v>
      </c>
      <c r="I33" s="49">
        <f>AVERAGE('29.07 NTINDA-SPEAR MOTORS'!I33,'30.07 NTINDA-SPEARMOTORS'!I33,'31.07 SPEAR MOTORS-NTINDA'!I33,'02.08 SPEARMOTORS-NTINDA'!I33,'01.08 NTINDA-SPEARMOTORS-24h'!I33,'03.08 NTINDA-SPEARMOTORS-24h'!I33,'04.08 NTINDA-SPEARMOTORS'!I33)</f>
        <v>1.8571428571428572</v>
      </c>
      <c r="J33" s="49">
        <f>AVERAGE('29.07 NTINDA-SPEAR MOTORS'!J33,'30.07 NTINDA-SPEARMOTORS'!J33,'31.07 SPEAR MOTORS-NTINDA'!J33,'02.08 SPEARMOTORS-NTINDA'!J33,'01.08 NTINDA-SPEARMOTORS-24h'!J33,'03.08 NTINDA-SPEARMOTORS-24h'!J33,'04.08 NTINDA-SPEARMOTORS'!J33)</f>
        <v>1.2857142857142858</v>
      </c>
      <c r="K33" s="49">
        <f>AVERAGE('29.07 NTINDA-SPEAR MOTORS'!K33,'30.07 NTINDA-SPEARMOTORS'!K33,'31.07 SPEAR MOTORS-NTINDA'!K33,'02.08 SPEARMOTORS-NTINDA'!K33,'01.08 NTINDA-SPEARMOTORS-24h'!K33,'03.08 NTINDA-SPEARMOTORS-24h'!K33,'04.08 NTINDA-SPEARMOTORS'!K33)</f>
        <v>0.7142857142857143</v>
      </c>
      <c r="L33" s="49">
        <f>AVERAGE('29.07 NTINDA-SPEAR MOTORS'!L33,'30.07 NTINDA-SPEARMOTORS'!L33,'31.07 SPEAR MOTORS-NTINDA'!L33,'02.08 SPEARMOTORS-NTINDA'!L33,'01.08 NTINDA-SPEARMOTORS-24h'!L33,'03.08 NTINDA-SPEARMOTORS-24h'!L33,'04.08 NTINDA-SPEARMOTORS'!L33)</f>
        <v>7.2857142857142856</v>
      </c>
      <c r="M33" s="49">
        <f>AVERAGE('29.07 NTINDA-SPEAR MOTORS'!M33,'30.07 NTINDA-SPEARMOTORS'!M33,'31.07 SPEAR MOTORS-NTINDA'!M33,'02.08 SPEARMOTORS-NTINDA'!M33,'01.08 NTINDA-SPEARMOTORS-24h'!M33,'03.08 NTINDA-SPEARMOTORS-24h'!M33,'04.08 NTINDA-SPEARMOTORS'!M33)</f>
        <v>100.14285714285714</v>
      </c>
      <c r="N33" s="49">
        <f>AVERAGE('29.07 NTINDA-SPEAR MOTORS'!N33,'30.07 NTINDA-SPEARMOTORS'!N33,'31.07 SPEAR MOTORS-NTINDA'!N33,'02.08 SPEARMOTORS-NTINDA'!N33,'01.08 NTINDA-SPEARMOTORS-24h'!N33,'03.08 NTINDA-SPEARMOTORS-24h'!N33,'04.08 NTINDA-SPEARMOTORS'!N33)</f>
        <v>0.14285714285714285</v>
      </c>
      <c r="O33" s="15">
        <f t="shared" si="0"/>
        <v>50</v>
      </c>
      <c r="P33" s="15">
        <f t="shared" si="1"/>
        <v>150.14285714285714</v>
      </c>
      <c r="R33" s="1" t="s">
        <v>157</v>
      </c>
      <c r="S33" s="34">
        <f>SUM(C102:C105)</f>
        <v>62</v>
      </c>
      <c r="T33" s="34">
        <f t="shared" ref="T33:AF33" si="25">SUM(D102:D105)</f>
        <v>49</v>
      </c>
      <c r="U33" s="34">
        <f t="shared" si="25"/>
        <v>11.5</v>
      </c>
      <c r="V33" s="34">
        <f t="shared" si="25"/>
        <v>20</v>
      </c>
      <c r="W33" s="34">
        <f t="shared" si="25"/>
        <v>0.5</v>
      </c>
      <c r="X33" s="34">
        <f t="shared" si="25"/>
        <v>0</v>
      </c>
      <c r="Y33" s="34">
        <f t="shared" si="25"/>
        <v>5</v>
      </c>
      <c r="Z33" s="34">
        <f t="shared" si="25"/>
        <v>4.5</v>
      </c>
      <c r="AA33" s="34">
        <f t="shared" si="25"/>
        <v>0.5</v>
      </c>
      <c r="AB33" s="34">
        <f t="shared" si="25"/>
        <v>0.5</v>
      </c>
      <c r="AC33" s="34">
        <f t="shared" si="25"/>
        <v>229.5</v>
      </c>
      <c r="AD33" s="34">
        <f t="shared" si="25"/>
        <v>0</v>
      </c>
      <c r="AE33" s="31">
        <f t="shared" si="25"/>
        <v>153.5</v>
      </c>
      <c r="AF33" s="31">
        <f t="shared" si="25"/>
        <v>383</v>
      </c>
    </row>
    <row r="34" spans="2:32" ht="23.1" customHeight="1" x14ac:dyDescent="0.25">
      <c r="B34" s="24" t="s">
        <v>61</v>
      </c>
      <c r="C34" s="49">
        <f>AVERAGE('29.07 NTINDA-SPEAR MOTORS'!C34,'30.07 NTINDA-SPEARMOTORS'!C34,'31.07 SPEAR MOTORS-NTINDA'!C34,'02.08 SPEARMOTORS-NTINDA'!C34,'01.08 NTINDA-SPEARMOTORS-24h'!C34,'03.08 NTINDA-SPEARMOTORS-24h'!C34,'04.08 NTINDA-SPEARMOTORS'!C34)</f>
        <v>22.857142857142858</v>
      </c>
      <c r="D34" s="49">
        <f>AVERAGE('29.07 NTINDA-SPEAR MOTORS'!D34,'30.07 NTINDA-SPEARMOTORS'!D34,'31.07 SPEAR MOTORS-NTINDA'!D34,'02.08 SPEARMOTORS-NTINDA'!D34,'01.08 NTINDA-SPEARMOTORS-24h'!D34,'03.08 NTINDA-SPEARMOTORS-24h'!D34,'04.08 NTINDA-SPEARMOTORS'!D34)</f>
        <v>10.571428571428571</v>
      </c>
      <c r="E34" s="49">
        <f>AVERAGE('29.07 NTINDA-SPEAR MOTORS'!E34,'30.07 NTINDA-SPEARMOTORS'!E34,'31.07 SPEAR MOTORS-NTINDA'!E34,'02.08 SPEARMOTORS-NTINDA'!E34,'01.08 NTINDA-SPEARMOTORS-24h'!E34,'03.08 NTINDA-SPEARMOTORS-24h'!E34,'04.08 NTINDA-SPEARMOTORS'!E34)</f>
        <v>4.7142857142857144</v>
      </c>
      <c r="F34" s="49">
        <f>AVERAGE('29.07 NTINDA-SPEAR MOTORS'!F34,'30.07 NTINDA-SPEARMOTORS'!F34,'31.07 SPEAR MOTORS-NTINDA'!F34,'02.08 SPEARMOTORS-NTINDA'!F34,'01.08 NTINDA-SPEARMOTORS-24h'!F34,'03.08 NTINDA-SPEARMOTORS-24h'!F34,'04.08 NTINDA-SPEARMOTORS'!F34)</f>
        <v>5.4285714285714288</v>
      </c>
      <c r="G34" s="49">
        <f>AVERAGE('29.07 NTINDA-SPEAR MOTORS'!G34,'30.07 NTINDA-SPEARMOTORS'!G34,'31.07 SPEAR MOTORS-NTINDA'!G34,'02.08 SPEARMOTORS-NTINDA'!G34,'01.08 NTINDA-SPEARMOTORS-24h'!G34,'03.08 NTINDA-SPEARMOTORS-24h'!G34,'04.08 NTINDA-SPEARMOTORS'!G34)</f>
        <v>0</v>
      </c>
      <c r="H34" s="49">
        <f>AVERAGE('29.07 NTINDA-SPEAR MOTORS'!H34,'30.07 NTINDA-SPEARMOTORS'!H34,'31.07 SPEAR MOTORS-NTINDA'!H34,'02.08 SPEARMOTORS-NTINDA'!H34,'01.08 NTINDA-SPEARMOTORS-24h'!H34,'03.08 NTINDA-SPEARMOTORS-24h'!H34,'04.08 NTINDA-SPEARMOTORS'!H34)</f>
        <v>0</v>
      </c>
      <c r="I34" s="49">
        <f>AVERAGE('29.07 NTINDA-SPEAR MOTORS'!I34,'30.07 NTINDA-SPEARMOTORS'!I34,'31.07 SPEAR MOTORS-NTINDA'!I34,'02.08 SPEARMOTORS-NTINDA'!I34,'01.08 NTINDA-SPEARMOTORS-24h'!I34,'03.08 NTINDA-SPEARMOTORS-24h'!I34,'04.08 NTINDA-SPEARMOTORS'!I34)</f>
        <v>2.7142857142857144</v>
      </c>
      <c r="J34" s="49">
        <f>AVERAGE('29.07 NTINDA-SPEAR MOTORS'!J34,'30.07 NTINDA-SPEARMOTORS'!J34,'31.07 SPEAR MOTORS-NTINDA'!J34,'02.08 SPEARMOTORS-NTINDA'!J34,'01.08 NTINDA-SPEARMOTORS-24h'!J34,'03.08 NTINDA-SPEARMOTORS-24h'!J34,'04.08 NTINDA-SPEARMOTORS'!J34)</f>
        <v>1.8571428571428572</v>
      </c>
      <c r="K34" s="49">
        <f>AVERAGE('29.07 NTINDA-SPEAR MOTORS'!K34,'30.07 NTINDA-SPEARMOTORS'!K34,'31.07 SPEAR MOTORS-NTINDA'!K34,'02.08 SPEARMOTORS-NTINDA'!K34,'01.08 NTINDA-SPEARMOTORS-24h'!K34,'03.08 NTINDA-SPEARMOTORS-24h'!K34,'04.08 NTINDA-SPEARMOTORS'!K34)</f>
        <v>1.5714285714285714</v>
      </c>
      <c r="L34" s="49">
        <f>AVERAGE('29.07 NTINDA-SPEAR MOTORS'!L34,'30.07 NTINDA-SPEARMOTORS'!L34,'31.07 SPEAR MOTORS-NTINDA'!L34,'02.08 SPEARMOTORS-NTINDA'!L34,'01.08 NTINDA-SPEARMOTORS-24h'!L34,'03.08 NTINDA-SPEARMOTORS-24h'!L34,'04.08 NTINDA-SPEARMOTORS'!L34)</f>
        <v>6.8571428571428568</v>
      </c>
      <c r="M34" s="49">
        <f>AVERAGE('29.07 NTINDA-SPEAR MOTORS'!M34,'30.07 NTINDA-SPEARMOTORS'!M34,'31.07 SPEAR MOTORS-NTINDA'!M34,'02.08 SPEARMOTORS-NTINDA'!M34,'01.08 NTINDA-SPEARMOTORS-24h'!M34,'03.08 NTINDA-SPEARMOTORS-24h'!M34,'04.08 NTINDA-SPEARMOTORS'!M34)</f>
        <v>111.85714285714286</v>
      </c>
      <c r="N34" s="49">
        <f>AVERAGE('29.07 NTINDA-SPEAR MOTORS'!N34,'30.07 NTINDA-SPEARMOTORS'!N34,'31.07 SPEAR MOTORS-NTINDA'!N34,'02.08 SPEARMOTORS-NTINDA'!N34,'01.08 NTINDA-SPEARMOTORS-24h'!N34,'03.08 NTINDA-SPEARMOTORS-24h'!N34,'04.08 NTINDA-SPEARMOTORS'!N34)</f>
        <v>0</v>
      </c>
      <c r="O34" s="15">
        <f t="shared" si="0"/>
        <v>56.571428571428569</v>
      </c>
      <c r="P34" s="15">
        <f t="shared" si="1"/>
        <v>168.42857142857144</v>
      </c>
      <c r="R34" s="38" t="s">
        <v>90</v>
      </c>
      <c r="S34" s="39">
        <f t="shared" ref="S34:AF34" si="26">MAX(S10:S12)</f>
        <v>78.142857142857139</v>
      </c>
      <c r="T34" s="39">
        <f t="shared" si="26"/>
        <v>43.428571428571431</v>
      </c>
      <c r="U34" s="39">
        <f t="shared" si="26"/>
        <v>23</v>
      </c>
      <c r="V34" s="39">
        <f t="shared" si="26"/>
        <v>53.428571428571431</v>
      </c>
      <c r="W34" s="39">
        <f t="shared" si="26"/>
        <v>1.5714285714285714</v>
      </c>
      <c r="X34" s="39">
        <f t="shared" si="26"/>
        <v>0.2857142857142857</v>
      </c>
      <c r="Y34" s="39">
        <f t="shared" si="26"/>
        <v>10.428571428571429</v>
      </c>
      <c r="Z34" s="39">
        <f t="shared" si="26"/>
        <v>7.2857142857142856</v>
      </c>
      <c r="AA34" s="39">
        <f t="shared" si="26"/>
        <v>5.7142857142857144</v>
      </c>
      <c r="AB34" s="39">
        <f t="shared" si="26"/>
        <v>11.285714285714286</v>
      </c>
      <c r="AC34" s="39">
        <f t="shared" si="26"/>
        <v>551.14285714285711</v>
      </c>
      <c r="AD34" s="39">
        <f t="shared" si="26"/>
        <v>0.2857142857142857</v>
      </c>
      <c r="AE34" s="40">
        <f t="shared" si="26"/>
        <v>231.28571428571428</v>
      </c>
      <c r="AF34" s="40">
        <f t="shared" si="26"/>
        <v>717.85714285714289</v>
      </c>
    </row>
    <row r="35" spans="2:32" ht="23.1" customHeight="1" x14ac:dyDescent="0.25">
      <c r="B35" s="24" t="s">
        <v>62</v>
      </c>
      <c r="C35" s="49">
        <f>AVERAGE('29.07 NTINDA-SPEAR MOTORS'!C35,'30.07 NTINDA-SPEARMOTORS'!C35,'31.07 SPEAR MOTORS-NTINDA'!C35,'02.08 SPEARMOTORS-NTINDA'!C35,'01.08 NTINDA-SPEARMOTORS-24h'!C35,'03.08 NTINDA-SPEARMOTORS-24h'!C35,'04.08 NTINDA-SPEARMOTORS'!C35)</f>
        <v>13.571428571428571</v>
      </c>
      <c r="D35" s="49">
        <f>AVERAGE('29.07 NTINDA-SPEAR MOTORS'!D35,'30.07 NTINDA-SPEARMOTORS'!D35,'31.07 SPEAR MOTORS-NTINDA'!D35,'02.08 SPEARMOTORS-NTINDA'!D35,'01.08 NTINDA-SPEARMOTORS-24h'!D35,'03.08 NTINDA-SPEARMOTORS-24h'!D35,'04.08 NTINDA-SPEARMOTORS'!D35)</f>
        <v>8.5714285714285712</v>
      </c>
      <c r="E35" s="49">
        <f>AVERAGE('29.07 NTINDA-SPEAR MOTORS'!E35,'30.07 NTINDA-SPEARMOTORS'!E35,'31.07 SPEAR MOTORS-NTINDA'!E35,'02.08 SPEARMOTORS-NTINDA'!E35,'01.08 NTINDA-SPEARMOTORS-24h'!E35,'03.08 NTINDA-SPEARMOTORS-24h'!E35,'04.08 NTINDA-SPEARMOTORS'!E35)</f>
        <v>2</v>
      </c>
      <c r="F35" s="49">
        <f>AVERAGE('29.07 NTINDA-SPEAR MOTORS'!F35,'30.07 NTINDA-SPEARMOTORS'!F35,'31.07 SPEAR MOTORS-NTINDA'!F35,'02.08 SPEARMOTORS-NTINDA'!F35,'01.08 NTINDA-SPEARMOTORS-24h'!F35,'03.08 NTINDA-SPEARMOTORS-24h'!F35,'04.08 NTINDA-SPEARMOTORS'!F35)</f>
        <v>4.5714285714285712</v>
      </c>
      <c r="G35" s="49">
        <f>AVERAGE('29.07 NTINDA-SPEAR MOTORS'!G35,'30.07 NTINDA-SPEARMOTORS'!G35,'31.07 SPEAR MOTORS-NTINDA'!G35,'02.08 SPEARMOTORS-NTINDA'!G35,'01.08 NTINDA-SPEARMOTORS-24h'!G35,'03.08 NTINDA-SPEARMOTORS-24h'!G35,'04.08 NTINDA-SPEARMOTORS'!G35)</f>
        <v>0</v>
      </c>
      <c r="H35" s="49">
        <f>AVERAGE('29.07 NTINDA-SPEAR MOTORS'!H35,'30.07 NTINDA-SPEARMOTORS'!H35,'31.07 SPEAR MOTORS-NTINDA'!H35,'02.08 SPEARMOTORS-NTINDA'!H35,'01.08 NTINDA-SPEARMOTORS-24h'!H35,'03.08 NTINDA-SPEARMOTORS-24h'!H35,'04.08 NTINDA-SPEARMOTORS'!H35)</f>
        <v>0</v>
      </c>
      <c r="I35" s="49">
        <f>AVERAGE('29.07 NTINDA-SPEAR MOTORS'!I35,'30.07 NTINDA-SPEARMOTORS'!I35,'31.07 SPEAR MOTORS-NTINDA'!I35,'02.08 SPEARMOTORS-NTINDA'!I35,'01.08 NTINDA-SPEARMOTORS-24h'!I35,'03.08 NTINDA-SPEARMOTORS-24h'!I35,'04.08 NTINDA-SPEARMOTORS'!I35)</f>
        <v>2.5714285714285716</v>
      </c>
      <c r="J35" s="49">
        <f>AVERAGE('29.07 NTINDA-SPEAR MOTORS'!J35,'30.07 NTINDA-SPEARMOTORS'!J35,'31.07 SPEAR MOTORS-NTINDA'!J35,'02.08 SPEARMOTORS-NTINDA'!J35,'01.08 NTINDA-SPEARMOTORS-24h'!J35,'03.08 NTINDA-SPEARMOTORS-24h'!J35,'04.08 NTINDA-SPEARMOTORS'!J35)</f>
        <v>2.1428571428571428</v>
      </c>
      <c r="K35" s="49">
        <f>AVERAGE('29.07 NTINDA-SPEAR MOTORS'!K35,'30.07 NTINDA-SPEARMOTORS'!K35,'31.07 SPEAR MOTORS-NTINDA'!K35,'02.08 SPEARMOTORS-NTINDA'!K35,'01.08 NTINDA-SPEARMOTORS-24h'!K35,'03.08 NTINDA-SPEARMOTORS-24h'!K35,'04.08 NTINDA-SPEARMOTORS'!K35)</f>
        <v>1.2857142857142858</v>
      </c>
      <c r="L35" s="49">
        <f>AVERAGE('29.07 NTINDA-SPEAR MOTORS'!L35,'30.07 NTINDA-SPEARMOTORS'!L35,'31.07 SPEAR MOTORS-NTINDA'!L35,'02.08 SPEARMOTORS-NTINDA'!L35,'01.08 NTINDA-SPEARMOTORS-24h'!L35,'03.08 NTINDA-SPEARMOTORS-24h'!L35,'04.08 NTINDA-SPEARMOTORS'!L35)</f>
        <v>4.4285714285714288</v>
      </c>
      <c r="M35" s="49">
        <f>AVERAGE('29.07 NTINDA-SPEAR MOTORS'!M35,'30.07 NTINDA-SPEARMOTORS'!M35,'31.07 SPEAR MOTORS-NTINDA'!M35,'02.08 SPEARMOTORS-NTINDA'!M35,'01.08 NTINDA-SPEARMOTORS-24h'!M35,'03.08 NTINDA-SPEARMOTORS-24h'!M35,'04.08 NTINDA-SPEARMOTORS'!M35)</f>
        <v>98.571428571428569</v>
      </c>
      <c r="N35" s="49">
        <f>AVERAGE('29.07 NTINDA-SPEAR MOTORS'!N35,'30.07 NTINDA-SPEARMOTORS'!N35,'31.07 SPEAR MOTORS-NTINDA'!N35,'02.08 SPEARMOTORS-NTINDA'!N35,'01.08 NTINDA-SPEARMOTORS-24h'!N35,'03.08 NTINDA-SPEARMOTORS-24h'!N35,'04.08 NTINDA-SPEARMOTORS'!N35)</f>
        <v>0</v>
      </c>
      <c r="O35" s="15">
        <f t="shared" si="0"/>
        <v>39.142857142857146</v>
      </c>
      <c r="P35" s="15">
        <f t="shared" si="1"/>
        <v>137.71428571428572</v>
      </c>
      <c r="R35" s="38" t="s">
        <v>91</v>
      </c>
      <c r="S35" s="39">
        <f t="shared" ref="S35:AF35" si="27">MAX(S13:S18)</f>
        <v>80.285714285714292</v>
      </c>
      <c r="T35" s="39">
        <f t="shared" si="27"/>
        <v>45.285714285714278</v>
      </c>
      <c r="U35" s="39">
        <f t="shared" si="27"/>
        <v>17.428571428571431</v>
      </c>
      <c r="V35" s="39">
        <f t="shared" si="27"/>
        <v>29.285714285714285</v>
      </c>
      <c r="W35" s="39">
        <f t="shared" si="27"/>
        <v>0.5714285714285714</v>
      </c>
      <c r="X35" s="39">
        <f t="shared" si="27"/>
        <v>0.2857142857142857</v>
      </c>
      <c r="Y35" s="39">
        <f t="shared" si="27"/>
        <v>9.7142857142857135</v>
      </c>
      <c r="Z35" s="39">
        <f t="shared" si="27"/>
        <v>7.7142857142857153</v>
      </c>
      <c r="AA35" s="39">
        <f t="shared" si="27"/>
        <v>5.2857142857142856</v>
      </c>
      <c r="AB35" s="39">
        <f t="shared" si="27"/>
        <v>21.428571428571427</v>
      </c>
      <c r="AC35" s="39">
        <f t="shared" si="27"/>
        <v>446.85714285714289</v>
      </c>
      <c r="AD35" s="39">
        <f t="shared" si="27"/>
        <v>0.2857142857142857</v>
      </c>
      <c r="AE35" s="40">
        <f t="shared" si="27"/>
        <v>207.71428571428572</v>
      </c>
      <c r="AF35" s="40">
        <f t="shared" si="27"/>
        <v>640.71428571428578</v>
      </c>
    </row>
    <row r="36" spans="2:32" ht="23.1" customHeight="1" x14ac:dyDescent="0.25">
      <c r="B36" s="24" t="s">
        <v>63</v>
      </c>
      <c r="C36" s="49">
        <f>AVERAGE('29.07 NTINDA-SPEAR MOTORS'!C36,'30.07 NTINDA-SPEARMOTORS'!C36,'31.07 SPEAR MOTORS-NTINDA'!C36,'02.08 SPEARMOTORS-NTINDA'!C36,'01.08 NTINDA-SPEARMOTORS-24h'!C36,'03.08 NTINDA-SPEARMOTORS-24h'!C36,'04.08 NTINDA-SPEARMOTORS'!C36)</f>
        <v>22</v>
      </c>
      <c r="D36" s="49">
        <f>AVERAGE('29.07 NTINDA-SPEAR MOTORS'!D36,'30.07 NTINDA-SPEARMOTORS'!D36,'31.07 SPEAR MOTORS-NTINDA'!D36,'02.08 SPEARMOTORS-NTINDA'!D36,'01.08 NTINDA-SPEARMOTORS-24h'!D36,'03.08 NTINDA-SPEARMOTORS-24h'!D36,'04.08 NTINDA-SPEARMOTORS'!D36)</f>
        <v>8.8571428571428577</v>
      </c>
      <c r="E36" s="49">
        <f>AVERAGE('29.07 NTINDA-SPEAR MOTORS'!E36,'30.07 NTINDA-SPEARMOTORS'!E36,'31.07 SPEAR MOTORS-NTINDA'!E36,'02.08 SPEARMOTORS-NTINDA'!E36,'01.08 NTINDA-SPEARMOTORS-24h'!E36,'03.08 NTINDA-SPEARMOTORS-24h'!E36,'04.08 NTINDA-SPEARMOTORS'!E36)</f>
        <v>3.5714285714285716</v>
      </c>
      <c r="F36" s="49">
        <f>AVERAGE('29.07 NTINDA-SPEAR MOTORS'!F36,'30.07 NTINDA-SPEARMOTORS'!F36,'31.07 SPEAR MOTORS-NTINDA'!F36,'02.08 SPEARMOTORS-NTINDA'!F36,'01.08 NTINDA-SPEARMOTORS-24h'!F36,'03.08 NTINDA-SPEARMOTORS-24h'!F36,'04.08 NTINDA-SPEARMOTORS'!F36)</f>
        <v>5.1428571428571432</v>
      </c>
      <c r="G36" s="49">
        <f>AVERAGE('29.07 NTINDA-SPEAR MOTORS'!G36,'30.07 NTINDA-SPEARMOTORS'!G36,'31.07 SPEAR MOTORS-NTINDA'!G36,'02.08 SPEARMOTORS-NTINDA'!G36,'01.08 NTINDA-SPEARMOTORS-24h'!G36,'03.08 NTINDA-SPEARMOTORS-24h'!G36,'04.08 NTINDA-SPEARMOTORS'!G36)</f>
        <v>0.14285714285714285</v>
      </c>
      <c r="H36" s="49">
        <f>AVERAGE('29.07 NTINDA-SPEAR MOTORS'!H36,'30.07 NTINDA-SPEARMOTORS'!H36,'31.07 SPEAR MOTORS-NTINDA'!H36,'02.08 SPEARMOTORS-NTINDA'!H36,'01.08 NTINDA-SPEARMOTORS-24h'!H36,'03.08 NTINDA-SPEARMOTORS-24h'!H36,'04.08 NTINDA-SPEARMOTORS'!H36)</f>
        <v>0</v>
      </c>
      <c r="I36" s="49">
        <f>AVERAGE('29.07 NTINDA-SPEAR MOTORS'!I36,'30.07 NTINDA-SPEARMOTORS'!I36,'31.07 SPEAR MOTORS-NTINDA'!I36,'02.08 SPEARMOTORS-NTINDA'!I36,'01.08 NTINDA-SPEARMOTORS-24h'!I36,'03.08 NTINDA-SPEARMOTORS-24h'!I36,'04.08 NTINDA-SPEARMOTORS'!I36)</f>
        <v>1.2857142857142858</v>
      </c>
      <c r="J36" s="49">
        <f>AVERAGE('29.07 NTINDA-SPEAR MOTORS'!J36,'30.07 NTINDA-SPEARMOTORS'!J36,'31.07 SPEAR MOTORS-NTINDA'!J36,'02.08 SPEARMOTORS-NTINDA'!J36,'01.08 NTINDA-SPEARMOTORS-24h'!J36,'03.08 NTINDA-SPEARMOTORS-24h'!J36,'04.08 NTINDA-SPEARMOTORS'!J36)</f>
        <v>1.8571428571428572</v>
      </c>
      <c r="K36" s="49">
        <f>AVERAGE('29.07 NTINDA-SPEAR MOTORS'!K36,'30.07 NTINDA-SPEARMOTORS'!K36,'31.07 SPEAR MOTORS-NTINDA'!K36,'02.08 SPEARMOTORS-NTINDA'!K36,'01.08 NTINDA-SPEARMOTORS-24h'!K36,'03.08 NTINDA-SPEARMOTORS-24h'!K36,'04.08 NTINDA-SPEARMOTORS'!K36)</f>
        <v>1</v>
      </c>
      <c r="L36" s="49">
        <f>AVERAGE('29.07 NTINDA-SPEAR MOTORS'!L36,'30.07 NTINDA-SPEARMOTORS'!L36,'31.07 SPEAR MOTORS-NTINDA'!L36,'02.08 SPEARMOTORS-NTINDA'!L36,'01.08 NTINDA-SPEARMOTORS-24h'!L36,'03.08 NTINDA-SPEARMOTORS-24h'!L36,'04.08 NTINDA-SPEARMOTORS'!L36)</f>
        <v>4.1428571428571432</v>
      </c>
      <c r="M36" s="49">
        <f>AVERAGE('29.07 NTINDA-SPEAR MOTORS'!M36,'30.07 NTINDA-SPEARMOTORS'!M36,'31.07 SPEAR MOTORS-NTINDA'!M36,'02.08 SPEARMOTORS-NTINDA'!M36,'01.08 NTINDA-SPEARMOTORS-24h'!M36,'03.08 NTINDA-SPEARMOTORS-24h'!M36,'04.08 NTINDA-SPEARMOTORS'!M36)</f>
        <v>101.28571428571429</v>
      </c>
      <c r="N36" s="49">
        <f>AVERAGE('29.07 NTINDA-SPEAR MOTORS'!N36,'30.07 NTINDA-SPEARMOTORS'!N36,'31.07 SPEAR MOTORS-NTINDA'!N36,'02.08 SPEARMOTORS-NTINDA'!N36,'01.08 NTINDA-SPEARMOTORS-24h'!N36,'03.08 NTINDA-SPEARMOTORS-24h'!N36,'04.08 NTINDA-SPEARMOTORS'!N36)</f>
        <v>0.2857142857142857</v>
      </c>
      <c r="O36" s="15">
        <f t="shared" si="0"/>
        <v>48.285714285714292</v>
      </c>
      <c r="P36" s="15">
        <f t="shared" si="1"/>
        <v>149.57142857142858</v>
      </c>
      <c r="R36" s="38" t="s">
        <v>92</v>
      </c>
      <c r="S36" s="39">
        <f t="shared" ref="S36:AF36" si="28">MAX(S19:S21)</f>
        <v>98</v>
      </c>
      <c r="T36" s="39">
        <f t="shared" si="28"/>
        <v>61.571428571428577</v>
      </c>
      <c r="U36" s="39">
        <f t="shared" si="28"/>
        <v>20.857142857142858</v>
      </c>
      <c r="V36" s="39">
        <f t="shared" si="28"/>
        <v>26.285714285714285</v>
      </c>
      <c r="W36" s="39">
        <f t="shared" si="28"/>
        <v>0.42857142857142855</v>
      </c>
      <c r="X36" s="39">
        <f t="shared" si="28"/>
        <v>0.42857142857142855</v>
      </c>
      <c r="Y36" s="39">
        <f t="shared" si="28"/>
        <v>8.571428571428573</v>
      </c>
      <c r="Z36" s="39">
        <f t="shared" si="28"/>
        <v>7.1428571428571423</v>
      </c>
      <c r="AA36" s="39">
        <f t="shared" si="28"/>
        <v>3.7142857142857144</v>
      </c>
      <c r="AB36" s="39">
        <f t="shared" si="28"/>
        <v>17.428571428571431</v>
      </c>
      <c r="AC36" s="39">
        <f t="shared" si="28"/>
        <v>534.57142857142867</v>
      </c>
      <c r="AD36" s="39">
        <f t="shared" si="28"/>
        <v>0</v>
      </c>
      <c r="AE36" s="40">
        <f t="shared" si="28"/>
        <v>244.14285714285717</v>
      </c>
      <c r="AF36" s="40">
        <f t="shared" si="28"/>
        <v>718.71428571428578</v>
      </c>
    </row>
    <row r="37" spans="2:32" ht="23.1" customHeight="1" x14ac:dyDescent="0.25">
      <c r="B37" s="23" t="s">
        <v>64</v>
      </c>
      <c r="C37" s="49">
        <f>AVERAGE('29.07 NTINDA-SPEAR MOTORS'!C37,'30.07 NTINDA-SPEARMOTORS'!C37,'31.07 SPEAR MOTORS-NTINDA'!C37,'02.08 SPEARMOTORS-NTINDA'!C37,'01.08 NTINDA-SPEARMOTORS-24h'!C37,'03.08 NTINDA-SPEARMOTORS-24h'!C37,'04.08 NTINDA-SPEARMOTORS'!C37)</f>
        <v>21.857142857142858</v>
      </c>
      <c r="D37" s="49">
        <f>AVERAGE('29.07 NTINDA-SPEAR MOTORS'!D37,'30.07 NTINDA-SPEARMOTORS'!D37,'31.07 SPEAR MOTORS-NTINDA'!D37,'02.08 SPEARMOTORS-NTINDA'!D37,'01.08 NTINDA-SPEARMOTORS-24h'!D37,'03.08 NTINDA-SPEARMOTORS-24h'!D37,'04.08 NTINDA-SPEARMOTORS'!D37)</f>
        <v>10.714285714285714</v>
      </c>
      <c r="E37" s="49">
        <f>AVERAGE('29.07 NTINDA-SPEAR MOTORS'!E37,'30.07 NTINDA-SPEARMOTORS'!E37,'31.07 SPEAR MOTORS-NTINDA'!E37,'02.08 SPEARMOTORS-NTINDA'!E37,'01.08 NTINDA-SPEARMOTORS-24h'!E37,'03.08 NTINDA-SPEARMOTORS-24h'!E37,'04.08 NTINDA-SPEARMOTORS'!E37)</f>
        <v>2.7142857142857144</v>
      </c>
      <c r="F37" s="49">
        <f>AVERAGE('29.07 NTINDA-SPEAR MOTORS'!F37,'30.07 NTINDA-SPEARMOTORS'!F37,'31.07 SPEAR MOTORS-NTINDA'!F37,'02.08 SPEARMOTORS-NTINDA'!F37,'01.08 NTINDA-SPEARMOTORS-24h'!F37,'03.08 NTINDA-SPEARMOTORS-24h'!F37,'04.08 NTINDA-SPEARMOTORS'!F37)</f>
        <v>5.5714285714285712</v>
      </c>
      <c r="G37" s="49">
        <f>AVERAGE('29.07 NTINDA-SPEAR MOTORS'!G37,'30.07 NTINDA-SPEARMOTORS'!G37,'31.07 SPEAR MOTORS-NTINDA'!G37,'02.08 SPEARMOTORS-NTINDA'!G37,'01.08 NTINDA-SPEARMOTORS-24h'!G37,'03.08 NTINDA-SPEARMOTORS-24h'!G37,'04.08 NTINDA-SPEARMOTORS'!G37)</f>
        <v>0.2857142857142857</v>
      </c>
      <c r="H37" s="49">
        <f>AVERAGE('29.07 NTINDA-SPEAR MOTORS'!H37,'30.07 NTINDA-SPEARMOTORS'!H37,'31.07 SPEAR MOTORS-NTINDA'!H37,'02.08 SPEARMOTORS-NTINDA'!H37,'01.08 NTINDA-SPEARMOTORS-24h'!H37,'03.08 NTINDA-SPEARMOTORS-24h'!H37,'04.08 NTINDA-SPEARMOTORS'!H37)</f>
        <v>0.14285714285714285</v>
      </c>
      <c r="I37" s="49">
        <f>AVERAGE('29.07 NTINDA-SPEAR MOTORS'!I37,'30.07 NTINDA-SPEARMOTORS'!I37,'31.07 SPEAR MOTORS-NTINDA'!I37,'02.08 SPEARMOTORS-NTINDA'!I37,'01.08 NTINDA-SPEARMOTORS-24h'!I37,'03.08 NTINDA-SPEARMOTORS-24h'!I37,'04.08 NTINDA-SPEARMOTORS'!I37)</f>
        <v>2.7142857142857144</v>
      </c>
      <c r="J37" s="49">
        <f>AVERAGE('29.07 NTINDA-SPEAR MOTORS'!J37,'30.07 NTINDA-SPEARMOTORS'!J37,'31.07 SPEAR MOTORS-NTINDA'!J37,'02.08 SPEARMOTORS-NTINDA'!J37,'01.08 NTINDA-SPEARMOTORS-24h'!J37,'03.08 NTINDA-SPEARMOTORS-24h'!J37,'04.08 NTINDA-SPEARMOTORS'!J37)</f>
        <v>1.4285714285714286</v>
      </c>
      <c r="K37" s="49">
        <f>AVERAGE('29.07 NTINDA-SPEAR MOTORS'!K37,'30.07 NTINDA-SPEARMOTORS'!K37,'31.07 SPEAR MOTORS-NTINDA'!K37,'02.08 SPEARMOTORS-NTINDA'!K37,'01.08 NTINDA-SPEARMOTORS-24h'!K37,'03.08 NTINDA-SPEARMOTORS-24h'!K37,'04.08 NTINDA-SPEARMOTORS'!K37)</f>
        <v>1</v>
      </c>
      <c r="L37" s="49">
        <f>AVERAGE('29.07 NTINDA-SPEAR MOTORS'!L37,'30.07 NTINDA-SPEARMOTORS'!L37,'31.07 SPEAR MOTORS-NTINDA'!L37,'02.08 SPEARMOTORS-NTINDA'!L37,'01.08 NTINDA-SPEARMOTORS-24h'!L37,'03.08 NTINDA-SPEARMOTORS-24h'!L37,'04.08 NTINDA-SPEARMOTORS'!L37)</f>
        <v>3.5714285714285716</v>
      </c>
      <c r="M37" s="49">
        <f>AVERAGE('29.07 NTINDA-SPEAR MOTORS'!M37,'30.07 NTINDA-SPEARMOTORS'!M37,'31.07 SPEAR MOTORS-NTINDA'!M37,'02.08 SPEARMOTORS-NTINDA'!M37,'01.08 NTINDA-SPEARMOTORS-24h'!M37,'03.08 NTINDA-SPEARMOTORS-24h'!M37,'04.08 NTINDA-SPEARMOTORS'!M37)</f>
        <v>87.428571428571431</v>
      </c>
      <c r="N37" s="49">
        <f>AVERAGE('29.07 NTINDA-SPEAR MOTORS'!N37,'30.07 NTINDA-SPEARMOTORS'!N37,'31.07 SPEAR MOTORS-NTINDA'!N37,'02.08 SPEARMOTORS-NTINDA'!N37,'01.08 NTINDA-SPEARMOTORS-24h'!N37,'03.08 NTINDA-SPEARMOTORS-24h'!N37,'04.08 NTINDA-SPEARMOTORS'!N37)</f>
        <v>0</v>
      </c>
      <c r="O37" s="15">
        <f t="shared" si="0"/>
        <v>50</v>
      </c>
      <c r="P37" s="15">
        <f t="shared" si="1"/>
        <v>137.42857142857144</v>
      </c>
      <c r="R37" s="37" t="s">
        <v>85</v>
      </c>
      <c r="S37" s="35">
        <f t="shared" ref="S37:AF37" si="29">SUM(S10:S12)</f>
        <v>214.85714285714286</v>
      </c>
      <c r="T37" s="16">
        <f t="shared" si="29"/>
        <v>114.71428571428572</v>
      </c>
      <c r="U37" s="16">
        <f t="shared" si="29"/>
        <v>54.571428571428569</v>
      </c>
      <c r="V37" s="16">
        <f t="shared" si="29"/>
        <v>107</v>
      </c>
      <c r="W37" s="16">
        <f t="shared" si="29"/>
        <v>2.5714285714285712</v>
      </c>
      <c r="X37" s="16">
        <f t="shared" si="29"/>
        <v>0.2857142857142857</v>
      </c>
      <c r="Y37" s="16">
        <f t="shared" si="29"/>
        <v>28</v>
      </c>
      <c r="Z37" s="16">
        <f t="shared" si="29"/>
        <v>19.714285714285715</v>
      </c>
      <c r="AA37" s="16">
        <f t="shared" si="29"/>
        <v>12.857142857142856</v>
      </c>
      <c r="AB37" s="16">
        <f t="shared" si="29"/>
        <v>29.142857142857146</v>
      </c>
      <c r="AC37" s="16">
        <f t="shared" si="29"/>
        <v>1533.1428571428573</v>
      </c>
      <c r="AD37" s="16">
        <f t="shared" si="29"/>
        <v>0.2857142857142857</v>
      </c>
      <c r="AE37" s="32">
        <f t="shared" si="29"/>
        <v>584</v>
      </c>
      <c r="AF37" s="32">
        <f t="shared" si="29"/>
        <v>2117.1428571428569</v>
      </c>
    </row>
    <row r="38" spans="2:32" ht="23.1" customHeight="1" x14ac:dyDescent="0.25">
      <c r="B38" s="24" t="s">
        <v>65</v>
      </c>
      <c r="C38" s="49">
        <f>AVERAGE('29.07 NTINDA-SPEAR MOTORS'!C38,'30.07 NTINDA-SPEARMOTORS'!C38,'31.07 SPEAR MOTORS-NTINDA'!C38,'02.08 SPEARMOTORS-NTINDA'!C38,'01.08 NTINDA-SPEARMOTORS-24h'!C38,'03.08 NTINDA-SPEARMOTORS-24h'!C38,'04.08 NTINDA-SPEARMOTORS'!C38)</f>
        <v>18.142857142857142</v>
      </c>
      <c r="D38" s="49">
        <f>AVERAGE('29.07 NTINDA-SPEAR MOTORS'!D38,'30.07 NTINDA-SPEARMOTORS'!D38,'31.07 SPEAR MOTORS-NTINDA'!D38,'02.08 SPEARMOTORS-NTINDA'!D38,'01.08 NTINDA-SPEARMOTORS-24h'!D38,'03.08 NTINDA-SPEARMOTORS-24h'!D38,'04.08 NTINDA-SPEARMOTORS'!D38)</f>
        <v>10.285714285714286</v>
      </c>
      <c r="E38" s="49">
        <f>AVERAGE('29.07 NTINDA-SPEAR MOTORS'!E38,'30.07 NTINDA-SPEARMOTORS'!E38,'31.07 SPEAR MOTORS-NTINDA'!E38,'02.08 SPEARMOTORS-NTINDA'!E38,'01.08 NTINDA-SPEARMOTORS-24h'!E38,'03.08 NTINDA-SPEARMOTORS-24h'!E38,'04.08 NTINDA-SPEARMOTORS'!E38)</f>
        <v>4</v>
      </c>
      <c r="F38" s="49">
        <f>AVERAGE('29.07 NTINDA-SPEAR MOTORS'!F38,'30.07 NTINDA-SPEARMOTORS'!F38,'31.07 SPEAR MOTORS-NTINDA'!F38,'02.08 SPEARMOTORS-NTINDA'!F38,'01.08 NTINDA-SPEARMOTORS-24h'!F38,'03.08 NTINDA-SPEARMOTORS-24h'!F38,'04.08 NTINDA-SPEARMOTORS'!F38)</f>
        <v>6.7142857142857144</v>
      </c>
      <c r="G38" s="49">
        <f>AVERAGE('29.07 NTINDA-SPEAR MOTORS'!G38,'30.07 NTINDA-SPEARMOTORS'!G38,'31.07 SPEAR MOTORS-NTINDA'!G38,'02.08 SPEARMOTORS-NTINDA'!G38,'01.08 NTINDA-SPEARMOTORS-24h'!G38,'03.08 NTINDA-SPEARMOTORS-24h'!G38,'04.08 NTINDA-SPEARMOTORS'!G38)</f>
        <v>0</v>
      </c>
      <c r="H38" s="49">
        <f>AVERAGE('29.07 NTINDA-SPEAR MOTORS'!H38,'30.07 NTINDA-SPEARMOTORS'!H38,'31.07 SPEAR MOTORS-NTINDA'!H38,'02.08 SPEARMOTORS-NTINDA'!H38,'01.08 NTINDA-SPEARMOTORS-24h'!H38,'03.08 NTINDA-SPEARMOTORS-24h'!H38,'04.08 NTINDA-SPEARMOTORS'!H38)</f>
        <v>0.14285714285714285</v>
      </c>
      <c r="I38" s="49">
        <f>AVERAGE('29.07 NTINDA-SPEAR MOTORS'!I38,'30.07 NTINDA-SPEARMOTORS'!I38,'31.07 SPEAR MOTORS-NTINDA'!I38,'02.08 SPEARMOTORS-NTINDA'!I38,'01.08 NTINDA-SPEARMOTORS-24h'!I38,'03.08 NTINDA-SPEARMOTORS-24h'!I38,'04.08 NTINDA-SPEARMOTORS'!I38)</f>
        <v>3.2857142857142856</v>
      </c>
      <c r="J38" s="49">
        <f>AVERAGE('29.07 NTINDA-SPEAR MOTORS'!J38,'30.07 NTINDA-SPEARMOTORS'!J38,'31.07 SPEAR MOTORS-NTINDA'!J38,'02.08 SPEARMOTORS-NTINDA'!J38,'01.08 NTINDA-SPEARMOTORS-24h'!J38,'03.08 NTINDA-SPEARMOTORS-24h'!J38,'04.08 NTINDA-SPEARMOTORS'!J38)</f>
        <v>1.2857142857142858</v>
      </c>
      <c r="K38" s="49">
        <f>AVERAGE('29.07 NTINDA-SPEAR MOTORS'!K38,'30.07 NTINDA-SPEARMOTORS'!K38,'31.07 SPEAR MOTORS-NTINDA'!K38,'02.08 SPEARMOTORS-NTINDA'!K38,'01.08 NTINDA-SPEARMOTORS-24h'!K38,'03.08 NTINDA-SPEARMOTORS-24h'!K38,'04.08 NTINDA-SPEARMOTORS'!K38)</f>
        <v>1.4285714285714286</v>
      </c>
      <c r="L38" s="49">
        <f>AVERAGE('29.07 NTINDA-SPEAR MOTORS'!L38,'30.07 NTINDA-SPEARMOTORS'!L38,'31.07 SPEAR MOTORS-NTINDA'!L38,'02.08 SPEARMOTORS-NTINDA'!L38,'01.08 NTINDA-SPEARMOTORS-24h'!L38,'03.08 NTINDA-SPEARMOTORS-24h'!L38,'04.08 NTINDA-SPEARMOTORS'!L38)</f>
        <v>3.1428571428571428</v>
      </c>
      <c r="M38" s="49">
        <f>AVERAGE('29.07 NTINDA-SPEAR MOTORS'!M38,'30.07 NTINDA-SPEARMOTORS'!M38,'31.07 SPEAR MOTORS-NTINDA'!M38,'02.08 SPEARMOTORS-NTINDA'!M38,'01.08 NTINDA-SPEARMOTORS-24h'!M38,'03.08 NTINDA-SPEARMOTORS-24h'!M38,'04.08 NTINDA-SPEARMOTORS'!M38)</f>
        <v>94.285714285714292</v>
      </c>
      <c r="N38" s="49">
        <f>AVERAGE('29.07 NTINDA-SPEAR MOTORS'!N38,'30.07 NTINDA-SPEARMOTORS'!N38,'31.07 SPEAR MOTORS-NTINDA'!N38,'02.08 SPEARMOTORS-NTINDA'!N38,'01.08 NTINDA-SPEARMOTORS-24h'!N38,'03.08 NTINDA-SPEARMOTORS-24h'!N38,'04.08 NTINDA-SPEARMOTORS'!N38)</f>
        <v>0</v>
      </c>
      <c r="O38" s="15">
        <f t="shared" si="0"/>
        <v>48.428571428571438</v>
      </c>
      <c r="P38" s="15">
        <f t="shared" si="1"/>
        <v>142.71428571428572</v>
      </c>
      <c r="R38" s="28" t="s">
        <v>86</v>
      </c>
      <c r="S38" s="16">
        <f t="shared" ref="S38:AF38" si="30">SUM(S13:S18)</f>
        <v>444.71428571428572</v>
      </c>
      <c r="T38" s="16">
        <f t="shared" si="30"/>
        <v>253.42857142857144</v>
      </c>
      <c r="U38" s="16">
        <f t="shared" si="30"/>
        <v>97</v>
      </c>
      <c r="V38" s="16">
        <f t="shared" si="30"/>
        <v>142.71428571428572</v>
      </c>
      <c r="W38" s="16">
        <f t="shared" si="30"/>
        <v>1.857142857142857</v>
      </c>
      <c r="X38" s="16">
        <f t="shared" si="30"/>
        <v>1.1428571428571428</v>
      </c>
      <c r="Y38" s="16">
        <f t="shared" si="30"/>
        <v>50.428571428571431</v>
      </c>
      <c r="Z38" s="16">
        <f t="shared" si="30"/>
        <v>42</v>
      </c>
      <c r="AA38" s="16">
        <f t="shared" si="30"/>
        <v>26.428571428571431</v>
      </c>
      <c r="AB38" s="16">
        <f t="shared" si="30"/>
        <v>105.28571428571429</v>
      </c>
      <c r="AC38" s="16">
        <f t="shared" si="30"/>
        <v>2490.2857142857142</v>
      </c>
      <c r="AD38" s="16">
        <f t="shared" si="30"/>
        <v>0.5714285714285714</v>
      </c>
      <c r="AE38" s="32">
        <f t="shared" si="30"/>
        <v>1165.5714285714284</v>
      </c>
      <c r="AF38" s="32">
        <f t="shared" si="30"/>
        <v>3655.8571428571431</v>
      </c>
    </row>
    <row r="39" spans="2:32" ht="23.1" customHeight="1" x14ac:dyDescent="0.25">
      <c r="B39" s="24" t="s">
        <v>66</v>
      </c>
      <c r="C39" s="49">
        <f>AVERAGE('29.07 NTINDA-SPEAR MOTORS'!C39,'30.07 NTINDA-SPEARMOTORS'!C39,'31.07 SPEAR MOTORS-NTINDA'!C39,'02.08 SPEARMOTORS-NTINDA'!C39,'01.08 NTINDA-SPEARMOTORS-24h'!C39,'03.08 NTINDA-SPEARMOTORS-24h'!C39,'04.08 NTINDA-SPEARMOTORS'!C39)</f>
        <v>17.571428571428573</v>
      </c>
      <c r="D39" s="49">
        <f>AVERAGE('29.07 NTINDA-SPEAR MOTORS'!D39,'30.07 NTINDA-SPEARMOTORS'!D39,'31.07 SPEAR MOTORS-NTINDA'!D39,'02.08 SPEARMOTORS-NTINDA'!D39,'01.08 NTINDA-SPEARMOTORS-24h'!D39,'03.08 NTINDA-SPEARMOTORS-24h'!D39,'04.08 NTINDA-SPEARMOTORS'!D39)</f>
        <v>10.142857142857142</v>
      </c>
      <c r="E39" s="49">
        <f>AVERAGE('29.07 NTINDA-SPEAR MOTORS'!E39,'30.07 NTINDA-SPEARMOTORS'!E39,'31.07 SPEAR MOTORS-NTINDA'!E39,'02.08 SPEARMOTORS-NTINDA'!E39,'01.08 NTINDA-SPEARMOTORS-24h'!E39,'03.08 NTINDA-SPEARMOTORS-24h'!E39,'04.08 NTINDA-SPEARMOTORS'!E39)</f>
        <v>4.1428571428571432</v>
      </c>
      <c r="F39" s="49">
        <f>AVERAGE('29.07 NTINDA-SPEAR MOTORS'!F39,'30.07 NTINDA-SPEARMOTORS'!F39,'31.07 SPEAR MOTORS-NTINDA'!F39,'02.08 SPEARMOTORS-NTINDA'!F39,'01.08 NTINDA-SPEARMOTORS-24h'!F39,'03.08 NTINDA-SPEARMOTORS-24h'!F39,'04.08 NTINDA-SPEARMOTORS'!F39)</f>
        <v>4.7142857142857144</v>
      </c>
      <c r="G39" s="49">
        <f>AVERAGE('29.07 NTINDA-SPEAR MOTORS'!G39,'30.07 NTINDA-SPEARMOTORS'!G39,'31.07 SPEAR MOTORS-NTINDA'!G39,'02.08 SPEARMOTORS-NTINDA'!G39,'01.08 NTINDA-SPEARMOTORS-24h'!G39,'03.08 NTINDA-SPEARMOTORS-24h'!G39,'04.08 NTINDA-SPEARMOTORS'!G39)</f>
        <v>0</v>
      </c>
      <c r="H39" s="49">
        <f>AVERAGE('29.07 NTINDA-SPEAR MOTORS'!H39,'30.07 NTINDA-SPEARMOTORS'!H39,'31.07 SPEAR MOTORS-NTINDA'!H39,'02.08 SPEARMOTORS-NTINDA'!H39,'01.08 NTINDA-SPEARMOTORS-24h'!H39,'03.08 NTINDA-SPEARMOTORS-24h'!H39,'04.08 NTINDA-SPEARMOTORS'!H39)</f>
        <v>0</v>
      </c>
      <c r="I39" s="49">
        <f>AVERAGE('29.07 NTINDA-SPEAR MOTORS'!I39,'30.07 NTINDA-SPEARMOTORS'!I39,'31.07 SPEAR MOTORS-NTINDA'!I39,'02.08 SPEARMOTORS-NTINDA'!I39,'01.08 NTINDA-SPEARMOTORS-24h'!I39,'03.08 NTINDA-SPEARMOTORS-24h'!I39,'04.08 NTINDA-SPEARMOTORS'!I39)</f>
        <v>2.5714285714285716</v>
      </c>
      <c r="J39" s="49">
        <f>AVERAGE('29.07 NTINDA-SPEAR MOTORS'!J39,'30.07 NTINDA-SPEARMOTORS'!J39,'31.07 SPEAR MOTORS-NTINDA'!J39,'02.08 SPEARMOTORS-NTINDA'!J39,'01.08 NTINDA-SPEARMOTORS-24h'!J39,'03.08 NTINDA-SPEARMOTORS-24h'!J39,'04.08 NTINDA-SPEARMOTORS'!J39)</f>
        <v>2</v>
      </c>
      <c r="K39" s="49">
        <f>AVERAGE('29.07 NTINDA-SPEAR MOTORS'!K39,'30.07 NTINDA-SPEARMOTORS'!K39,'31.07 SPEAR MOTORS-NTINDA'!K39,'02.08 SPEARMOTORS-NTINDA'!K39,'01.08 NTINDA-SPEARMOTORS-24h'!K39,'03.08 NTINDA-SPEARMOTORS-24h'!K39,'04.08 NTINDA-SPEARMOTORS'!K39)</f>
        <v>1</v>
      </c>
      <c r="L39" s="49">
        <f>AVERAGE('29.07 NTINDA-SPEAR MOTORS'!L39,'30.07 NTINDA-SPEARMOTORS'!L39,'31.07 SPEAR MOTORS-NTINDA'!L39,'02.08 SPEARMOTORS-NTINDA'!L39,'01.08 NTINDA-SPEARMOTORS-24h'!L39,'03.08 NTINDA-SPEARMOTORS-24h'!L39,'04.08 NTINDA-SPEARMOTORS'!L39)</f>
        <v>3.1428571428571428</v>
      </c>
      <c r="M39" s="49">
        <f>AVERAGE('29.07 NTINDA-SPEAR MOTORS'!M39,'30.07 NTINDA-SPEARMOTORS'!M39,'31.07 SPEAR MOTORS-NTINDA'!M39,'02.08 SPEARMOTORS-NTINDA'!M39,'01.08 NTINDA-SPEARMOTORS-24h'!M39,'03.08 NTINDA-SPEARMOTORS-24h'!M39,'04.08 NTINDA-SPEARMOTORS'!M39)</f>
        <v>103.42857142857143</v>
      </c>
      <c r="N39" s="49">
        <f>AVERAGE('29.07 NTINDA-SPEAR MOTORS'!N39,'30.07 NTINDA-SPEARMOTORS'!N39,'31.07 SPEAR MOTORS-NTINDA'!N39,'02.08 SPEARMOTORS-NTINDA'!N39,'01.08 NTINDA-SPEARMOTORS-24h'!N39,'03.08 NTINDA-SPEARMOTORS-24h'!N39,'04.08 NTINDA-SPEARMOTORS'!N39)</f>
        <v>0</v>
      </c>
      <c r="O39" s="15">
        <f t="shared" si="0"/>
        <v>45.285714285714285</v>
      </c>
      <c r="P39" s="15">
        <f t="shared" si="1"/>
        <v>148.71428571428572</v>
      </c>
      <c r="R39" s="29" t="s">
        <v>87</v>
      </c>
      <c r="S39" s="16">
        <f t="shared" ref="S39:AF39" si="31">SUM(S19:S21)</f>
        <v>265</v>
      </c>
      <c r="T39" s="16">
        <f t="shared" si="31"/>
        <v>149.42857142857144</v>
      </c>
      <c r="U39" s="16">
        <f t="shared" si="31"/>
        <v>55.571428571428569</v>
      </c>
      <c r="V39" s="16">
        <f t="shared" si="31"/>
        <v>70.142857142857139</v>
      </c>
      <c r="W39" s="16">
        <f t="shared" si="31"/>
        <v>0.8571428571428571</v>
      </c>
      <c r="X39" s="16">
        <f t="shared" si="31"/>
        <v>0.71428571428571419</v>
      </c>
      <c r="Y39" s="16">
        <f t="shared" si="31"/>
        <v>21.571428571428573</v>
      </c>
      <c r="Z39" s="16">
        <f t="shared" si="31"/>
        <v>14</v>
      </c>
      <c r="AA39" s="16">
        <f t="shared" si="31"/>
        <v>8.5714285714285712</v>
      </c>
      <c r="AB39" s="16">
        <f t="shared" si="31"/>
        <v>38.142857142857146</v>
      </c>
      <c r="AC39" s="16">
        <f t="shared" si="31"/>
        <v>1513</v>
      </c>
      <c r="AD39" s="16">
        <f t="shared" si="31"/>
        <v>0</v>
      </c>
      <c r="AE39" s="32">
        <f t="shared" si="31"/>
        <v>624</v>
      </c>
      <c r="AF39" s="32">
        <f t="shared" si="31"/>
        <v>2137</v>
      </c>
    </row>
    <row r="40" spans="2:32" ht="23.1" customHeight="1" x14ac:dyDescent="0.25">
      <c r="B40" s="24" t="s">
        <v>67</v>
      </c>
      <c r="C40" s="49">
        <f>AVERAGE('29.07 NTINDA-SPEAR MOTORS'!C40,'30.07 NTINDA-SPEARMOTORS'!C40,'31.07 SPEAR MOTORS-NTINDA'!C40,'02.08 SPEARMOTORS-NTINDA'!C40,'01.08 NTINDA-SPEARMOTORS-24h'!C40,'03.08 NTINDA-SPEARMOTORS-24h'!C40,'04.08 NTINDA-SPEARMOTORS'!C40)</f>
        <v>15.571428571428571</v>
      </c>
      <c r="D40" s="49">
        <f>AVERAGE('29.07 NTINDA-SPEAR MOTORS'!D40,'30.07 NTINDA-SPEARMOTORS'!D40,'31.07 SPEAR MOTORS-NTINDA'!D40,'02.08 SPEARMOTORS-NTINDA'!D40,'01.08 NTINDA-SPEARMOTORS-24h'!D40,'03.08 NTINDA-SPEARMOTORS-24h'!D40,'04.08 NTINDA-SPEARMOTORS'!D40)</f>
        <v>11</v>
      </c>
      <c r="E40" s="49">
        <f>AVERAGE('29.07 NTINDA-SPEAR MOTORS'!E40,'30.07 NTINDA-SPEARMOTORS'!E40,'31.07 SPEAR MOTORS-NTINDA'!E40,'02.08 SPEARMOTORS-NTINDA'!E40,'01.08 NTINDA-SPEARMOTORS-24h'!E40,'03.08 NTINDA-SPEARMOTORS-24h'!E40,'04.08 NTINDA-SPEARMOTORS'!E40)</f>
        <v>4.2857142857142856</v>
      </c>
      <c r="F40" s="49">
        <f>AVERAGE('29.07 NTINDA-SPEAR MOTORS'!F40,'30.07 NTINDA-SPEARMOTORS'!F40,'31.07 SPEAR MOTORS-NTINDA'!F40,'02.08 SPEARMOTORS-NTINDA'!F40,'01.08 NTINDA-SPEARMOTORS-24h'!F40,'03.08 NTINDA-SPEARMOTORS-24h'!F40,'04.08 NTINDA-SPEARMOTORS'!F40)</f>
        <v>4.5714285714285712</v>
      </c>
      <c r="G40" s="49">
        <f>AVERAGE('29.07 NTINDA-SPEAR MOTORS'!G40,'30.07 NTINDA-SPEARMOTORS'!G40,'31.07 SPEAR MOTORS-NTINDA'!G40,'02.08 SPEARMOTORS-NTINDA'!G40,'01.08 NTINDA-SPEARMOTORS-24h'!G40,'03.08 NTINDA-SPEARMOTORS-24h'!G40,'04.08 NTINDA-SPEARMOTORS'!G40)</f>
        <v>0</v>
      </c>
      <c r="H40" s="49">
        <f>AVERAGE('29.07 NTINDA-SPEAR MOTORS'!H40,'30.07 NTINDA-SPEARMOTORS'!H40,'31.07 SPEAR MOTORS-NTINDA'!H40,'02.08 SPEARMOTORS-NTINDA'!H40,'01.08 NTINDA-SPEARMOTORS-24h'!H40,'03.08 NTINDA-SPEARMOTORS-24h'!H40,'04.08 NTINDA-SPEARMOTORS'!H40)</f>
        <v>0</v>
      </c>
      <c r="I40" s="49">
        <f>AVERAGE('29.07 NTINDA-SPEAR MOTORS'!I40,'30.07 NTINDA-SPEARMOTORS'!I40,'31.07 SPEAR MOTORS-NTINDA'!I40,'02.08 SPEARMOTORS-NTINDA'!I40,'01.08 NTINDA-SPEARMOTORS-24h'!I40,'03.08 NTINDA-SPEARMOTORS-24h'!I40,'04.08 NTINDA-SPEARMOTORS'!I40)</f>
        <v>2.2857142857142856</v>
      </c>
      <c r="J40" s="49">
        <f>AVERAGE('29.07 NTINDA-SPEAR MOTORS'!J40,'30.07 NTINDA-SPEARMOTORS'!J40,'31.07 SPEAR MOTORS-NTINDA'!J40,'02.08 SPEARMOTORS-NTINDA'!J40,'01.08 NTINDA-SPEARMOTORS-24h'!J40,'03.08 NTINDA-SPEARMOTORS-24h'!J40,'04.08 NTINDA-SPEARMOTORS'!J40)</f>
        <v>1</v>
      </c>
      <c r="K40" s="49">
        <f>AVERAGE('29.07 NTINDA-SPEAR MOTORS'!K40,'30.07 NTINDA-SPEARMOTORS'!K40,'31.07 SPEAR MOTORS-NTINDA'!K40,'02.08 SPEARMOTORS-NTINDA'!K40,'01.08 NTINDA-SPEARMOTORS-24h'!K40,'03.08 NTINDA-SPEARMOTORS-24h'!K40,'04.08 NTINDA-SPEARMOTORS'!K40)</f>
        <v>1.2857142857142858</v>
      </c>
      <c r="L40" s="49">
        <f>AVERAGE('29.07 NTINDA-SPEAR MOTORS'!L40,'30.07 NTINDA-SPEARMOTORS'!L40,'31.07 SPEAR MOTORS-NTINDA'!L40,'02.08 SPEARMOTORS-NTINDA'!L40,'01.08 NTINDA-SPEARMOTORS-24h'!L40,'03.08 NTINDA-SPEARMOTORS-24h'!L40,'04.08 NTINDA-SPEARMOTORS'!L40)</f>
        <v>3.2857142857142856</v>
      </c>
      <c r="M40" s="49">
        <f>AVERAGE('29.07 NTINDA-SPEAR MOTORS'!M40,'30.07 NTINDA-SPEARMOTORS'!M40,'31.07 SPEAR MOTORS-NTINDA'!M40,'02.08 SPEARMOTORS-NTINDA'!M40,'01.08 NTINDA-SPEARMOTORS-24h'!M40,'03.08 NTINDA-SPEARMOTORS-24h'!M40,'04.08 NTINDA-SPEARMOTORS'!M40)</f>
        <v>112</v>
      </c>
      <c r="N40" s="49">
        <f>AVERAGE('29.07 NTINDA-SPEAR MOTORS'!N40,'30.07 NTINDA-SPEARMOTORS'!N40,'31.07 SPEAR MOTORS-NTINDA'!N40,'02.08 SPEARMOTORS-NTINDA'!N40,'01.08 NTINDA-SPEARMOTORS-24h'!N40,'03.08 NTINDA-SPEARMOTORS-24h'!N40,'04.08 NTINDA-SPEARMOTORS'!N40)</f>
        <v>0</v>
      </c>
      <c r="O40" s="15">
        <f t="shared" si="0"/>
        <v>43.285714285714278</v>
      </c>
      <c r="P40" s="15">
        <f t="shared" si="1"/>
        <v>155.28571428571428</v>
      </c>
      <c r="R40" s="5" t="s">
        <v>17</v>
      </c>
      <c r="S40" s="16">
        <f t="shared" ref="S40:AF40" si="32">SUM(S10:S21)</f>
        <v>924.57142857142856</v>
      </c>
      <c r="T40" s="16">
        <f t="shared" si="32"/>
        <v>517.57142857142856</v>
      </c>
      <c r="U40" s="16">
        <f t="shared" si="32"/>
        <v>207.14285714285717</v>
      </c>
      <c r="V40" s="16">
        <f t="shared" si="32"/>
        <v>319.85714285714295</v>
      </c>
      <c r="W40" s="16">
        <f t="shared" si="32"/>
        <v>5.2857142857142856</v>
      </c>
      <c r="X40" s="16">
        <f t="shared" si="32"/>
        <v>2.1428571428571428</v>
      </c>
      <c r="Y40" s="16">
        <f t="shared" si="32"/>
        <v>100</v>
      </c>
      <c r="Z40" s="16">
        <f t="shared" si="32"/>
        <v>75.714285714285722</v>
      </c>
      <c r="AA40" s="16">
        <f t="shared" si="32"/>
        <v>47.857142857142854</v>
      </c>
      <c r="AB40" s="16">
        <f t="shared" si="32"/>
        <v>172.57142857142861</v>
      </c>
      <c r="AC40" s="16">
        <f t="shared" si="32"/>
        <v>5536.4285714285716</v>
      </c>
      <c r="AD40" s="16">
        <f t="shared" si="32"/>
        <v>0.85714285714285698</v>
      </c>
      <c r="AE40" s="32">
        <f t="shared" si="32"/>
        <v>2373.5714285714289</v>
      </c>
      <c r="AF40" s="32">
        <f t="shared" si="32"/>
        <v>7910</v>
      </c>
    </row>
    <row r="41" spans="2:32" ht="23.1" customHeight="1" x14ac:dyDescent="0.25">
      <c r="B41" s="23" t="s">
        <v>68</v>
      </c>
      <c r="C41" s="49">
        <f>AVERAGE('29.07 NTINDA-SPEAR MOTORS'!C41,'30.07 NTINDA-SPEARMOTORS'!C41,'31.07 SPEAR MOTORS-NTINDA'!C41,'02.08 SPEARMOTORS-NTINDA'!C41,'01.08 NTINDA-SPEARMOTORS-24h'!C41,'03.08 NTINDA-SPEARMOTORS-24h'!C41,'04.08 NTINDA-SPEARMOTORS'!C41)</f>
        <v>20</v>
      </c>
      <c r="D41" s="49">
        <f>AVERAGE('29.07 NTINDA-SPEAR MOTORS'!D41,'30.07 NTINDA-SPEARMOTORS'!D41,'31.07 SPEAR MOTORS-NTINDA'!D41,'02.08 SPEARMOTORS-NTINDA'!D41,'01.08 NTINDA-SPEARMOTORS-24h'!D41,'03.08 NTINDA-SPEARMOTORS-24h'!D41,'04.08 NTINDA-SPEARMOTORS'!D41)</f>
        <v>12.285714285714286</v>
      </c>
      <c r="E41" s="49">
        <f>AVERAGE('29.07 NTINDA-SPEAR MOTORS'!E41,'30.07 NTINDA-SPEARMOTORS'!E41,'31.07 SPEAR MOTORS-NTINDA'!E41,'02.08 SPEARMOTORS-NTINDA'!E41,'01.08 NTINDA-SPEARMOTORS-24h'!E41,'03.08 NTINDA-SPEARMOTORS-24h'!E41,'04.08 NTINDA-SPEARMOTORS'!E41)</f>
        <v>4.2857142857142856</v>
      </c>
      <c r="F41" s="49">
        <f>AVERAGE('29.07 NTINDA-SPEAR MOTORS'!F41,'30.07 NTINDA-SPEARMOTORS'!F41,'31.07 SPEAR MOTORS-NTINDA'!F41,'02.08 SPEARMOTORS-NTINDA'!F41,'01.08 NTINDA-SPEARMOTORS-24h'!F41,'03.08 NTINDA-SPEARMOTORS-24h'!F41,'04.08 NTINDA-SPEARMOTORS'!F41)</f>
        <v>5.7142857142857144</v>
      </c>
      <c r="G41" s="49">
        <f>AVERAGE('29.07 NTINDA-SPEAR MOTORS'!G41,'30.07 NTINDA-SPEARMOTORS'!G41,'31.07 SPEAR MOTORS-NTINDA'!G41,'02.08 SPEARMOTORS-NTINDA'!G41,'01.08 NTINDA-SPEARMOTORS-24h'!G41,'03.08 NTINDA-SPEARMOTORS-24h'!G41,'04.08 NTINDA-SPEARMOTORS'!G41)</f>
        <v>0</v>
      </c>
      <c r="H41" s="49">
        <f>AVERAGE('29.07 NTINDA-SPEAR MOTORS'!H41,'30.07 NTINDA-SPEARMOTORS'!H41,'31.07 SPEAR MOTORS-NTINDA'!H41,'02.08 SPEARMOTORS-NTINDA'!H41,'01.08 NTINDA-SPEARMOTORS-24h'!H41,'03.08 NTINDA-SPEARMOTORS-24h'!H41,'04.08 NTINDA-SPEARMOTORS'!H41)</f>
        <v>0.14285714285714285</v>
      </c>
      <c r="I41" s="49">
        <f>AVERAGE('29.07 NTINDA-SPEAR MOTORS'!I41,'30.07 NTINDA-SPEARMOTORS'!I41,'31.07 SPEAR MOTORS-NTINDA'!I41,'02.08 SPEARMOTORS-NTINDA'!I41,'01.08 NTINDA-SPEARMOTORS-24h'!I41,'03.08 NTINDA-SPEARMOTORS-24h'!I41,'04.08 NTINDA-SPEARMOTORS'!I41)</f>
        <v>1.5714285714285714</v>
      </c>
      <c r="J41" s="49">
        <f>AVERAGE('29.07 NTINDA-SPEAR MOTORS'!J41,'30.07 NTINDA-SPEARMOTORS'!J41,'31.07 SPEAR MOTORS-NTINDA'!J41,'02.08 SPEARMOTORS-NTINDA'!J41,'01.08 NTINDA-SPEARMOTORS-24h'!J41,'03.08 NTINDA-SPEARMOTORS-24h'!J41,'04.08 NTINDA-SPEARMOTORS'!J41)</f>
        <v>1.2857142857142858</v>
      </c>
      <c r="K41" s="49">
        <f>AVERAGE('29.07 NTINDA-SPEAR MOTORS'!K41,'30.07 NTINDA-SPEARMOTORS'!K41,'31.07 SPEAR MOTORS-NTINDA'!K41,'02.08 SPEARMOTORS-NTINDA'!K41,'01.08 NTINDA-SPEARMOTORS-24h'!K41,'03.08 NTINDA-SPEARMOTORS-24h'!K41,'04.08 NTINDA-SPEARMOTORS'!K41)</f>
        <v>1.5714285714285714</v>
      </c>
      <c r="L41" s="49">
        <f>AVERAGE('29.07 NTINDA-SPEAR MOTORS'!L41,'30.07 NTINDA-SPEARMOTORS'!L41,'31.07 SPEAR MOTORS-NTINDA'!L41,'02.08 SPEARMOTORS-NTINDA'!L41,'01.08 NTINDA-SPEARMOTORS-24h'!L41,'03.08 NTINDA-SPEARMOTORS-24h'!L41,'04.08 NTINDA-SPEARMOTORS'!L41)</f>
        <v>4.8571428571428568</v>
      </c>
      <c r="M41" s="49">
        <f>AVERAGE('29.07 NTINDA-SPEAR MOTORS'!M41,'30.07 NTINDA-SPEARMOTORS'!M41,'31.07 SPEAR MOTORS-NTINDA'!M41,'02.08 SPEARMOTORS-NTINDA'!M41,'01.08 NTINDA-SPEARMOTORS-24h'!M41,'03.08 NTINDA-SPEARMOTORS-24h'!M41,'04.08 NTINDA-SPEARMOTORS'!M41)</f>
        <v>112</v>
      </c>
      <c r="N41" s="49">
        <f>AVERAGE('29.07 NTINDA-SPEAR MOTORS'!N41,'30.07 NTINDA-SPEARMOTORS'!N41,'31.07 SPEAR MOTORS-NTINDA'!N41,'02.08 SPEARMOTORS-NTINDA'!N41,'01.08 NTINDA-SPEARMOTORS-24h'!N41,'03.08 NTINDA-SPEARMOTORS-24h'!N41,'04.08 NTINDA-SPEARMOTORS'!N41)</f>
        <v>0</v>
      </c>
      <c r="O41" s="15">
        <f t="shared" si="0"/>
        <v>51.714285714285708</v>
      </c>
      <c r="P41" s="15">
        <f t="shared" si="1"/>
        <v>163.71428571428572</v>
      </c>
    </row>
    <row r="42" spans="2:32" ht="23.1" customHeight="1" x14ac:dyDescent="0.25">
      <c r="B42" s="24" t="s">
        <v>69</v>
      </c>
      <c r="C42" s="49">
        <f>AVERAGE('29.07 NTINDA-SPEAR MOTORS'!C42,'30.07 NTINDA-SPEARMOTORS'!C42,'31.07 SPEAR MOTORS-NTINDA'!C42,'02.08 SPEARMOTORS-NTINDA'!C42,'01.08 NTINDA-SPEARMOTORS-24h'!C42,'03.08 NTINDA-SPEARMOTORS-24h'!C42,'04.08 NTINDA-SPEARMOTORS'!C42)</f>
        <v>21.857142857142858</v>
      </c>
      <c r="D42" s="49">
        <f>AVERAGE('29.07 NTINDA-SPEAR MOTORS'!D42,'30.07 NTINDA-SPEARMOTORS'!D42,'31.07 SPEAR MOTORS-NTINDA'!D42,'02.08 SPEARMOTORS-NTINDA'!D42,'01.08 NTINDA-SPEARMOTORS-24h'!D42,'03.08 NTINDA-SPEARMOTORS-24h'!D42,'04.08 NTINDA-SPEARMOTORS'!D42)</f>
        <v>10.428571428571429</v>
      </c>
      <c r="E42" s="49">
        <f>AVERAGE('29.07 NTINDA-SPEAR MOTORS'!E42,'30.07 NTINDA-SPEARMOTORS'!E42,'31.07 SPEAR MOTORS-NTINDA'!E42,'02.08 SPEARMOTORS-NTINDA'!E42,'01.08 NTINDA-SPEARMOTORS-24h'!E42,'03.08 NTINDA-SPEARMOTORS-24h'!E42,'04.08 NTINDA-SPEARMOTORS'!E42)</f>
        <v>5.1428571428571432</v>
      </c>
      <c r="F42" s="49">
        <f>AVERAGE('29.07 NTINDA-SPEAR MOTORS'!F42,'30.07 NTINDA-SPEARMOTORS'!F42,'31.07 SPEAR MOTORS-NTINDA'!F42,'02.08 SPEARMOTORS-NTINDA'!F42,'01.08 NTINDA-SPEARMOTORS-24h'!F42,'03.08 NTINDA-SPEARMOTORS-24h'!F42,'04.08 NTINDA-SPEARMOTORS'!F42)</f>
        <v>7</v>
      </c>
      <c r="G42" s="49">
        <f>AVERAGE('29.07 NTINDA-SPEAR MOTORS'!G42,'30.07 NTINDA-SPEARMOTORS'!G42,'31.07 SPEAR MOTORS-NTINDA'!G42,'02.08 SPEARMOTORS-NTINDA'!G42,'01.08 NTINDA-SPEARMOTORS-24h'!G42,'03.08 NTINDA-SPEARMOTORS-24h'!G42,'04.08 NTINDA-SPEARMOTORS'!G42)</f>
        <v>0</v>
      </c>
      <c r="H42" s="49">
        <f>AVERAGE('29.07 NTINDA-SPEAR MOTORS'!H42,'30.07 NTINDA-SPEARMOTORS'!H42,'31.07 SPEAR MOTORS-NTINDA'!H42,'02.08 SPEARMOTORS-NTINDA'!H42,'01.08 NTINDA-SPEARMOTORS-24h'!H42,'03.08 NTINDA-SPEARMOTORS-24h'!H42,'04.08 NTINDA-SPEARMOTORS'!H42)</f>
        <v>0</v>
      </c>
      <c r="I42" s="49">
        <f>AVERAGE('29.07 NTINDA-SPEAR MOTORS'!I42,'30.07 NTINDA-SPEARMOTORS'!I42,'31.07 SPEAR MOTORS-NTINDA'!I42,'02.08 SPEARMOTORS-NTINDA'!I42,'01.08 NTINDA-SPEARMOTORS-24h'!I42,'03.08 NTINDA-SPEARMOTORS-24h'!I42,'04.08 NTINDA-SPEARMOTORS'!I42)</f>
        <v>1.5714285714285714</v>
      </c>
      <c r="J42" s="49">
        <f>AVERAGE('29.07 NTINDA-SPEAR MOTORS'!J42,'30.07 NTINDA-SPEARMOTORS'!J42,'31.07 SPEAR MOTORS-NTINDA'!J42,'02.08 SPEARMOTORS-NTINDA'!J42,'01.08 NTINDA-SPEARMOTORS-24h'!J42,'03.08 NTINDA-SPEARMOTORS-24h'!J42,'04.08 NTINDA-SPEARMOTORS'!J42)</f>
        <v>2.4285714285714284</v>
      </c>
      <c r="K42" s="49">
        <f>AVERAGE('29.07 NTINDA-SPEAR MOTORS'!K42,'30.07 NTINDA-SPEARMOTORS'!K42,'31.07 SPEAR MOTORS-NTINDA'!K42,'02.08 SPEARMOTORS-NTINDA'!K42,'01.08 NTINDA-SPEARMOTORS-24h'!K42,'03.08 NTINDA-SPEARMOTORS-24h'!K42,'04.08 NTINDA-SPEARMOTORS'!K42)</f>
        <v>1.1428571428571428</v>
      </c>
      <c r="L42" s="49">
        <f>AVERAGE('29.07 NTINDA-SPEAR MOTORS'!L42,'30.07 NTINDA-SPEARMOTORS'!L42,'31.07 SPEAR MOTORS-NTINDA'!L42,'02.08 SPEARMOTORS-NTINDA'!L42,'01.08 NTINDA-SPEARMOTORS-24h'!L42,'03.08 NTINDA-SPEARMOTORS-24h'!L42,'04.08 NTINDA-SPEARMOTORS'!L42)</f>
        <v>4.1428571428571432</v>
      </c>
      <c r="M42" s="49">
        <f>AVERAGE('29.07 NTINDA-SPEAR MOTORS'!M42,'30.07 NTINDA-SPEARMOTORS'!M42,'31.07 SPEAR MOTORS-NTINDA'!M42,'02.08 SPEARMOTORS-NTINDA'!M42,'01.08 NTINDA-SPEARMOTORS-24h'!M42,'03.08 NTINDA-SPEARMOTORS-24h'!M42,'04.08 NTINDA-SPEARMOTORS'!M42)</f>
        <v>126.42857142857143</v>
      </c>
      <c r="N42" s="49">
        <f>AVERAGE('29.07 NTINDA-SPEAR MOTORS'!N42,'30.07 NTINDA-SPEARMOTORS'!N42,'31.07 SPEAR MOTORS-NTINDA'!N42,'02.08 SPEARMOTORS-NTINDA'!N42,'01.08 NTINDA-SPEARMOTORS-24h'!N42,'03.08 NTINDA-SPEARMOTORS-24h'!N42,'04.08 NTINDA-SPEARMOTORS'!N42)</f>
        <v>0.14285714285714285</v>
      </c>
      <c r="O42" s="15">
        <f t="shared" si="0"/>
        <v>53.857142857142868</v>
      </c>
      <c r="P42" s="15">
        <f t="shared" si="1"/>
        <v>180.28571428571431</v>
      </c>
    </row>
    <row r="43" spans="2:32" ht="23.1" customHeight="1" x14ac:dyDescent="0.25">
      <c r="B43" s="23" t="s">
        <v>70</v>
      </c>
      <c r="C43" s="49">
        <f>AVERAGE('29.07 NTINDA-SPEAR MOTORS'!C43,'30.07 NTINDA-SPEARMOTORS'!C43,'31.07 SPEAR MOTORS-NTINDA'!C43,'02.08 SPEARMOTORS-NTINDA'!C43,'01.08 NTINDA-SPEARMOTORS-24h'!C43,'03.08 NTINDA-SPEARMOTORS-24h'!C43,'04.08 NTINDA-SPEARMOTORS'!C43)</f>
        <v>15.285714285714286</v>
      </c>
      <c r="D43" s="49">
        <f>AVERAGE('29.07 NTINDA-SPEAR MOTORS'!D43,'30.07 NTINDA-SPEARMOTORS'!D43,'31.07 SPEAR MOTORS-NTINDA'!D43,'02.08 SPEARMOTORS-NTINDA'!D43,'01.08 NTINDA-SPEARMOTORS-24h'!D43,'03.08 NTINDA-SPEARMOTORS-24h'!D43,'04.08 NTINDA-SPEARMOTORS'!D43)</f>
        <v>8.5714285714285712</v>
      </c>
      <c r="E43" s="49">
        <f>AVERAGE('29.07 NTINDA-SPEAR MOTORS'!E43,'30.07 NTINDA-SPEARMOTORS'!E43,'31.07 SPEAR MOTORS-NTINDA'!E43,'02.08 SPEARMOTORS-NTINDA'!E43,'01.08 NTINDA-SPEARMOTORS-24h'!E43,'03.08 NTINDA-SPEARMOTORS-24h'!E43,'04.08 NTINDA-SPEARMOTORS'!E43)</f>
        <v>3</v>
      </c>
      <c r="F43" s="49">
        <f>AVERAGE('29.07 NTINDA-SPEAR MOTORS'!F43,'30.07 NTINDA-SPEARMOTORS'!F43,'31.07 SPEAR MOTORS-NTINDA'!F43,'02.08 SPEARMOTORS-NTINDA'!F43,'01.08 NTINDA-SPEARMOTORS-24h'!F43,'03.08 NTINDA-SPEARMOTORS-24h'!F43,'04.08 NTINDA-SPEARMOTORS'!F43)</f>
        <v>6.4285714285714288</v>
      </c>
      <c r="G43" s="49">
        <f>AVERAGE('29.07 NTINDA-SPEAR MOTORS'!G43,'30.07 NTINDA-SPEARMOTORS'!G43,'31.07 SPEAR MOTORS-NTINDA'!G43,'02.08 SPEARMOTORS-NTINDA'!G43,'01.08 NTINDA-SPEARMOTORS-24h'!G43,'03.08 NTINDA-SPEARMOTORS-24h'!G43,'04.08 NTINDA-SPEARMOTORS'!G43)</f>
        <v>0.2857142857142857</v>
      </c>
      <c r="H43" s="49">
        <f>AVERAGE('29.07 NTINDA-SPEAR MOTORS'!H43,'30.07 NTINDA-SPEARMOTORS'!H43,'31.07 SPEAR MOTORS-NTINDA'!H43,'02.08 SPEARMOTORS-NTINDA'!H43,'01.08 NTINDA-SPEARMOTORS-24h'!H43,'03.08 NTINDA-SPEARMOTORS-24h'!H43,'04.08 NTINDA-SPEARMOTORS'!H43)</f>
        <v>0</v>
      </c>
      <c r="I43" s="49">
        <f>AVERAGE('29.07 NTINDA-SPEAR MOTORS'!I43,'30.07 NTINDA-SPEARMOTORS'!I43,'31.07 SPEAR MOTORS-NTINDA'!I43,'02.08 SPEARMOTORS-NTINDA'!I43,'01.08 NTINDA-SPEARMOTORS-24h'!I43,'03.08 NTINDA-SPEARMOTORS-24h'!I43,'04.08 NTINDA-SPEARMOTORS'!I43)</f>
        <v>1.8571428571428572</v>
      </c>
      <c r="J43" s="49">
        <f>AVERAGE('29.07 NTINDA-SPEAR MOTORS'!J43,'30.07 NTINDA-SPEARMOTORS'!J43,'31.07 SPEAR MOTORS-NTINDA'!J43,'02.08 SPEARMOTORS-NTINDA'!J43,'01.08 NTINDA-SPEARMOTORS-24h'!J43,'03.08 NTINDA-SPEARMOTORS-24h'!J43,'04.08 NTINDA-SPEARMOTORS'!J43)</f>
        <v>0.7142857142857143</v>
      </c>
      <c r="K43" s="49">
        <f>AVERAGE('29.07 NTINDA-SPEAR MOTORS'!K43,'30.07 NTINDA-SPEARMOTORS'!K43,'31.07 SPEAR MOTORS-NTINDA'!K43,'02.08 SPEARMOTORS-NTINDA'!K43,'01.08 NTINDA-SPEARMOTORS-24h'!K43,'03.08 NTINDA-SPEARMOTORS-24h'!K43,'04.08 NTINDA-SPEARMOTORS'!K43)</f>
        <v>0.8571428571428571</v>
      </c>
      <c r="L43" s="49">
        <f>AVERAGE('29.07 NTINDA-SPEAR MOTORS'!L43,'30.07 NTINDA-SPEARMOTORS'!L43,'31.07 SPEAR MOTORS-NTINDA'!L43,'02.08 SPEARMOTORS-NTINDA'!L43,'01.08 NTINDA-SPEARMOTORS-24h'!L43,'03.08 NTINDA-SPEARMOTORS-24h'!L43,'04.08 NTINDA-SPEARMOTORS'!L43)</f>
        <v>2.5714285714285716</v>
      </c>
      <c r="M43" s="49">
        <f>AVERAGE('29.07 NTINDA-SPEAR MOTORS'!M43,'30.07 NTINDA-SPEARMOTORS'!M43,'31.07 SPEAR MOTORS-NTINDA'!M43,'02.08 SPEARMOTORS-NTINDA'!M43,'01.08 NTINDA-SPEARMOTORS-24h'!M43,'03.08 NTINDA-SPEARMOTORS-24h'!M43,'04.08 NTINDA-SPEARMOTORS'!M43)</f>
        <v>107.28571428571429</v>
      </c>
      <c r="N43" s="49">
        <f>AVERAGE('29.07 NTINDA-SPEAR MOTORS'!N43,'30.07 NTINDA-SPEARMOTORS'!N43,'31.07 SPEAR MOTORS-NTINDA'!N43,'02.08 SPEARMOTORS-NTINDA'!N43,'01.08 NTINDA-SPEARMOTORS-24h'!N43,'03.08 NTINDA-SPEARMOTORS-24h'!N43,'04.08 NTINDA-SPEARMOTORS'!N43)</f>
        <v>0</v>
      </c>
      <c r="O43" s="15">
        <f t="shared" si="0"/>
        <v>39.571428571428562</v>
      </c>
      <c r="P43" s="15">
        <f t="shared" si="1"/>
        <v>146.85714285714286</v>
      </c>
    </row>
    <row r="44" spans="2:32" ht="23.1" customHeight="1" x14ac:dyDescent="0.25">
      <c r="B44" s="25" t="s">
        <v>71</v>
      </c>
      <c r="C44" s="49">
        <f>AVERAGE('29.07 NTINDA-SPEAR MOTORS'!C44,'30.07 NTINDA-SPEARMOTORS'!C44,'31.07 SPEAR MOTORS-NTINDA'!C44,'02.08 SPEARMOTORS-NTINDA'!C44,'01.08 NTINDA-SPEARMOTORS-24h'!C44,'03.08 NTINDA-SPEARMOTORS-24h'!C44,'04.08 NTINDA-SPEARMOTORS'!C44)</f>
        <v>19.428571428571427</v>
      </c>
      <c r="D44" s="49">
        <f>AVERAGE('29.07 NTINDA-SPEAR MOTORS'!D44,'30.07 NTINDA-SPEARMOTORS'!D44,'31.07 SPEAR MOTORS-NTINDA'!D44,'02.08 SPEARMOTORS-NTINDA'!D44,'01.08 NTINDA-SPEARMOTORS-24h'!D44,'03.08 NTINDA-SPEARMOTORS-24h'!D44,'04.08 NTINDA-SPEARMOTORS'!D44)</f>
        <v>11.142857142857142</v>
      </c>
      <c r="E44" s="49">
        <f>AVERAGE('29.07 NTINDA-SPEAR MOTORS'!E44,'30.07 NTINDA-SPEARMOTORS'!E44,'31.07 SPEAR MOTORS-NTINDA'!E44,'02.08 SPEARMOTORS-NTINDA'!E44,'01.08 NTINDA-SPEARMOTORS-24h'!E44,'03.08 NTINDA-SPEARMOTORS-24h'!E44,'04.08 NTINDA-SPEARMOTORS'!E44)</f>
        <v>4.5714285714285712</v>
      </c>
      <c r="F44" s="49">
        <f>AVERAGE('29.07 NTINDA-SPEAR MOTORS'!F44,'30.07 NTINDA-SPEARMOTORS'!F44,'31.07 SPEAR MOTORS-NTINDA'!F44,'02.08 SPEARMOTORS-NTINDA'!F44,'01.08 NTINDA-SPEARMOTORS-24h'!F44,'03.08 NTINDA-SPEARMOTORS-24h'!F44,'04.08 NTINDA-SPEARMOTORS'!F44)</f>
        <v>5.7142857142857144</v>
      </c>
      <c r="G44" s="49">
        <f>AVERAGE('29.07 NTINDA-SPEAR MOTORS'!G44,'30.07 NTINDA-SPEARMOTORS'!G44,'31.07 SPEAR MOTORS-NTINDA'!G44,'02.08 SPEARMOTORS-NTINDA'!G44,'01.08 NTINDA-SPEARMOTORS-24h'!G44,'03.08 NTINDA-SPEARMOTORS-24h'!G44,'04.08 NTINDA-SPEARMOTORS'!G44)</f>
        <v>0.2857142857142857</v>
      </c>
      <c r="H44" s="49">
        <f>AVERAGE('29.07 NTINDA-SPEAR MOTORS'!H44,'30.07 NTINDA-SPEARMOTORS'!H44,'31.07 SPEAR MOTORS-NTINDA'!H44,'02.08 SPEARMOTORS-NTINDA'!H44,'01.08 NTINDA-SPEARMOTORS-24h'!H44,'03.08 NTINDA-SPEARMOTORS-24h'!H44,'04.08 NTINDA-SPEARMOTORS'!H44)</f>
        <v>0</v>
      </c>
      <c r="I44" s="49">
        <f>AVERAGE('29.07 NTINDA-SPEAR MOTORS'!I44,'30.07 NTINDA-SPEARMOTORS'!I44,'31.07 SPEAR MOTORS-NTINDA'!I44,'02.08 SPEARMOTORS-NTINDA'!I44,'01.08 NTINDA-SPEARMOTORS-24h'!I44,'03.08 NTINDA-SPEARMOTORS-24h'!I44,'04.08 NTINDA-SPEARMOTORS'!I44)</f>
        <v>2.1428571428571428</v>
      </c>
      <c r="J44" s="49">
        <f>AVERAGE('29.07 NTINDA-SPEAR MOTORS'!J44,'30.07 NTINDA-SPEARMOTORS'!J44,'31.07 SPEAR MOTORS-NTINDA'!J44,'02.08 SPEARMOTORS-NTINDA'!J44,'01.08 NTINDA-SPEARMOTORS-24h'!J44,'03.08 NTINDA-SPEARMOTORS-24h'!J44,'04.08 NTINDA-SPEARMOTORS'!J44)</f>
        <v>2.1428571428571428</v>
      </c>
      <c r="K44" s="49">
        <f>AVERAGE('29.07 NTINDA-SPEAR MOTORS'!K44,'30.07 NTINDA-SPEARMOTORS'!K44,'31.07 SPEAR MOTORS-NTINDA'!K44,'02.08 SPEARMOTORS-NTINDA'!K44,'01.08 NTINDA-SPEARMOTORS-24h'!K44,'03.08 NTINDA-SPEARMOTORS-24h'!K44,'04.08 NTINDA-SPEARMOTORS'!K44)</f>
        <v>1.7142857142857142</v>
      </c>
      <c r="L44" s="49">
        <f>AVERAGE('29.07 NTINDA-SPEAR MOTORS'!L44,'30.07 NTINDA-SPEARMOTORS'!L44,'31.07 SPEAR MOTORS-NTINDA'!L44,'02.08 SPEARMOTORS-NTINDA'!L44,'01.08 NTINDA-SPEARMOTORS-24h'!L44,'03.08 NTINDA-SPEARMOTORS-24h'!L44,'04.08 NTINDA-SPEARMOTORS'!L44)</f>
        <v>5.7142857142857144</v>
      </c>
      <c r="M44" s="49">
        <f>AVERAGE('29.07 NTINDA-SPEAR MOTORS'!M44,'30.07 NTINDA-SPEARMOTORS'!M44,'31.07 SPEAR MOTORS-NTINDA'!M44,'02.08 SPEARMOTORS-NTINDA'!M44,'01.08 NTINDA-SPEARMOTORS-24h'!M44,'03.08 NTINDA-SPEARMOTORS-24h'!M44,'04.08 NTINDA-SPEARMOTORS'!M44)</f>
        <v>96.857142857142861</v>
      </c>
      <c r="N44" s="49">
        <f>AVERAGE('29.07 NTINDA-SPEAR MOTORS'!N44,'30.07 NTINDA-SPEARMOTORS'!N44,'31.07 SPEAR MOTORS-NTINDA'!N44,'02.08 SPEARMOTORS-NTINDA'!N44,'01.08 NTINDA-SPEARMOTORS-24h'!N44,'03.08 NTINDA-SPEARMOTORS-24h'!N44,'04.08 NTINDA-SPEARMOTORS'!N44)</f>
        <v>0</v>
      </c>
      <c r="O44" s="15">
        <f t="shared" si="0"/>
        <v>52.857142857142861</v>
      </c>
      <c r="P44" s="15">
        <f t="shared" si="1"/>
        <v>149.71428571428572</v>
      </c>
    </row>
    <row r="45" spans="2:32" ht="23.1" customHeight="1" x14ac:dyDescent="0.25">
      <c r="B45" s="23" t="s">
        <v>72</v>
      </c>
      <c r="C45" s="49">
        <f>AVERAGE('29.07 NTINDA-SPEAR MOTORS'!C45,'30.07 NTINDA-SPEARMOTORS'!C45,'31.07 SPEAR MOTORS-NTINDA'!C45,'02.08 SPEARMOTORS-NTINDA'!C45,'01.08 NTINDA-SPEARMOTORS-24h'!C45,'03.08 NTINDA-SPEARMOTORS-24h'!C45,'04.08 NTINDA-SPEARMOTORS'!C45)</f>
        <v>22.142857142857142</v>
      </c>
      <c r="D45" s="49">
        <f>AVERAGE('29.07 NTINDA-SPEAR MOTORS'!D45,'30.07 NTINDA-SPEARMOTORS'!D45,'31.07 SPEAR MOTORS-NTINDA'!D45,'02.08 SPEARMOTORS-NTINDA'!D45,'01.08 NTINDA-SPEARMOTORS-24h'!D45,'03.08 NTINDA-SPEARMOTORS-24h'!D45,'04.08 NTINDA-SPEARMOTORS'!D45)</f>
        <v>12.571428571428571</v>
      </c>
      <c r="E45" s="49">
        <f>AVERAGE('29.07 NTINDA-SPEAR MOTORS'!E45,'30.07 NTINDA-SPEARMOTORS'!E45,'31.07 SPEAR MOTORS-NTINDA'!E45,'02.08 SPEARMOTORS-NTINDA'!E45,'01.08 NTINDA-SPEARMOTORS-24h'!E45,'03.08 NTINDA-SPEARMOTORS-24h'!E45,'04.08 NTINDA-SPEARMOTORS'!E45)</f>
        <v>4.4285714285714288</v>
      </c>
      <c r="F45" s="49">
        <f>AVERAGE('29.07 NTINDA-SPEAR MOTORS'!F45,'30.07 NTINDA-SPEARMOTORS'!F45,'31.07 SPEAR MOTORS-NTINDA'!F45,'02.08 SPEARMOTORS-NTINDA'!F45,'01.08 NTINDA-SPEARMOTORS-24h'!F45,'03.08 NTINDA-SPEARMOTORS-24h'!F45,'04.08 NTINDA-SPEARMOTORS'!F45)</f>
        <v>5.7142857142857144</v>
      </c>
      <c r="G45" s="49">
        <f>AVERAGE('29.07 NTINDA-SPEAR MOTORS'!G45,'30.07 NTINDA-SPEARMOTORS'!G45,'31.07 SPEAR MOTORS-NTINDA'!G45,'02.08 SPEARMOTORS-NTINDA'!G45,'01.08 NTINDA-SPEARMOTORS-24h'!G45,'03.08 NTINDA-SPEARMOTORS-24h'!G45,'04.08 NTINDA-SPEARMOTORS'!G45)</f>
        <v>0</v>
      </c>
      <c r="H45" s="49">
        <f>AVERAGE('29.07 NTINDA-SPEAR MOTORS'!H45,'30.07 NTINDA-SPEARMOTORS'!H45,'31.07 SPEAR MOTORS-NTINDA'!H45,'02.08 SPEARMOTORS-NTINDA'!H45,'01.08 NTINDA-SPEARMOTORS-24h'!H45,'03.08 NTINDA-SPEARMOTORS-24h'!H45,'04.08 NTINDA-SPEARMOTORS'!H45)</f>
        <v>0</v>
      </c>
      <c r="I45" s="49">
        <f>AVERAGE('29.07 NTINDA-SPEAR MOTORS'!I45,'30.07 NTINDA-SPEARMOTORS'!I45,'31.07 SPEAR MOTORS-NTINDA'!I45,'02.08 SPEARMOTORS-NTINDA'!I45,'01.08 NTINDA-SPEARMOTORS-24h'!I45,'03.08 NTINDA-SPEARMOTORS-24h'!I45,'04.08 NTINDA-SPEARMOTORS'!I45)</f>
        <v>2.4285714285714284</v>
      </c>
      <c r="J45" s="49">
        <f>AVERAGE('29.07 NTINDA-SPEAR MOTORS'!J45,'30.07 NTINDA-SPEARMOTORS'!J45,'31.07 SPEAR MOTORS-NTINDA'!J45,'02.08 SPEARMOTORS-NTINDA'!J45,'01.08 NTINDA-SPEARMOTORS-24h'!J45,'03.08 NTINDA-SPEARMOTORS-24h'!J45,'04.08 NTINDA-SPEARMOTORS'!J45)</f>
        <v>2</v>
      </c>
      <c r="K45" s="49">
        <f>AVERAGE('29.07 NTINDA-SPEAR MOTORS'!K45,'30.07 NTINDA-SPEARMOTORS'!K45,'31.07 SPEAR MOTORS-NTINDA'!K45,'02.08 SPEARMOTORS-NTINDA'!K45,'01.08 NTINDA-SPEARMOTORS-24h'!K45,'03.08 NTINDA-SPEARMOTORS-24h'!K45,'04.08 NTINDA-SPEARMOTORS'!K45)</f>
        <v>1</v>
      </c>
      <c r="L45" s="49">
        <f>AVERAGE('29.07 NTINDA-SPEAR MOTORS'!L45,'30.07 NTINDA-SPEARMOTORS'!L45,'31.07 SPEAR MOTORS-NTINDA'!L45,'02.08 SPEARMOTORS-NTINDA'!L45,'01.08 NTINDA-SPEARMOTORS-24h'!L45,'03.08 NTINDA-SPEARMOTORS-24h'!L45,'04.08 NTINDA-SPEARMOTORS'!L45)</f>
        <v>5.8571428571428568</v>
      </c>
      <c r="M45" s="49">
        <f>AVERAGE('29.07 NTINDA-SPEAR MOTORS'!M45,'30.07 NTINDA-SPEARMOTORS'!M45,'31.07 SPEAR MOTORS-NTINDA'!M45,'02.08 SPEARMOTORS-NTINDA'!M45,'01.08 NTINDA-SPEARMOTORS-24h'!M45,'03.08 NTINDA-SPEARMOTORS-24h'!M45,'04.08 NTINDA-SPEARMOTORS'!M45)</f>
        <v>107.71428571428571</v>
      </c>
      <c r="N45" s="49">
        <f>AVERAGE('29.07 NTINDA-SPEAR MOTORS'!N45,'30.07 NTINDA-SPEARMOTORS'!N45,'31.07 SPEAR MOTORS-NTINDA'!N45,'02.08 SPEARMOTORS-NTINDA'!N45,'01.08 NTINDA-SPEARMOTORS-24h'!N45,'03.08 NTINDA-SPEARMOTORS-24h'!N45,'04.08 NTINDA-SPEARMOTORS'!N45)</f>
        <v>0</v>
      </c>
      <c r="O45" s="15">
        <f t="shared" si="0"/>
        <v>56.142857142857146</v>
      </c>
      <c r="P45" s="15">
        <f t="shared" si="1"/>
        <v>163.85714285714286</v>
      </c>
    </row>
    <row r="46" spans="2:32" ht="23.1" customHeight="1" x14ac:dyDescent="0.25">
      <c r="B46" s="24" t="s">
        <v>73</v>
      </c>
      <c r="C46" s="49">
        <f>AVERAGE('29.07 NTINDA-SPEAR MOTORS'!C46,'30.07 NTINDA-SPEARMOTORS'!C46,'31.07 SPEAR MOTORS-NTINDA'!C46,'02.08 SPEARMOTORS-NTINDA'!C46,'01.08 NTINDA-SPEARMOTORS-24h'!C46,'03.08 NTINDA-SPEARMOTORS-24h'!C46,'04.08 NTINDA-SPEARMOTORS'!C46)</f>
        <v>23.857142857142858</v>
      </c>
      <c r="D46" s="49">
        <f>AVERAGE('29.07 NTINDA-SPEAR MOTORS'!D46,'30.07 NTINDA-SPEARMOTORS'!D46,'31.07 SPEAR MOTORS-NTINDA'!D46,'02.08 SPEARMOTORS-NTINDA'!D46,'01.08 NTINDA-SPEARMOTORS-24h'!D46,'03.08 NTINDA-SPEARMOTORS-24h'!D46,'04.08 NTINDA-SPEARMOTORS'!D46)</f>
        <v>14.428571428571429</v>
      </c>
      <c r="E46" s="49">
        <f>AVERAGE('29.07 NTINDA-SPEAR MOTORS'!E46,'30.07 NTINDA-SPEARMOTORS'!E46,'31.07 SPEAR MOTORS-NTINDA'!E46,'02.08 SPEARMOTORS-NTINDA'!E46,'01.08 NTINDA-SPEARMOTORS-24h'!E46,'03.08 NTINDA-SPEARMOTORS-24h'!E46,'04.08 NTINDA-SPEARMOTORS'!E46)</f>
        <v>7.8571428571428568</v>
      </c>
      <c r="F46" s="49">
        <f>AVERAGE('29.07 NTINDA-SPEAR MOTORS'!F46,'30.07 NTINDA-SPEARMOTORS'!F46,'31.07 SPEAR MOTORS-NTINDA'!F46,'02.08 SPEARMOTORS-NTINDA'!F46,'01.08 NTINDA-SPEARMOTORS-24h'!F46,'03.08 NTINDA-SPEARMOTORS-24h'!F46,'04.08 NTINDA-SPEARMOTORS'!F46)</f>
        <v>6.7142857142857144</v>
      </c>
      <c r="G46" s="49">
        <f>AVERAGE('29.07 NTINDA-SPEAR MOTORS'!G46,'30.07 NTINDA-SPEARMOTORS'!G46,'31.07 SPEAR MOTORS-NTINDA'!G46,'02.08 SPEARMOTORS-NTINDA'!G46,'01.08 NTINDA-SPEARMOTORS-24h'!G46,'03.08 NTINDA-SPEARMOTORS-24h'!G46,'04.08 NTINDA-SPEARMOTORS'!G46)</f>
        <v>0</v>
      </c>
      <c r="H46" s="49">
        <f>AVERAGE('29.07 NTINDA-SPEAR MOTORS'!H46,'30.07 NTINDA-SPEARMOTORS'!H46,'31.07 SPEAR MOTORS-NTINDA'!H46,'02.08 SPEARMOTORS-NTINDA'!H46,'01.08 NTINDA-SPEARMOTORS-24h'!H46,'03.08 NTINDA-SPEARMOTORS-24h'!H46,'04.08 NTINDA-SPEARMOTORS'!H46)</f>
        <v>0.14285714285714285</v>
      </c>
      <c r="I46" s="49">
        <f>AVERAGE('29.07 NTINDA-SPEAR MOTORS'!I46,'30.07 NTINDA-SPEARMOTORS'!I46,'31.07 SPEAR MOTORS-NTINDA'!I46,'02.08 SPEARMOTORS-NTINDA'!I46,'01.08 NTINDA-SPEARMOTORS-24h'!I46,'03.08 NTINDA-SPEARMOTORS-24h'!I46,'04.08 NTINDA-SPEARMOTORS'!I46)</f>
        <v>1.8571428571428572</v>
      </c>
      <c r="J46" s="49">
        <f>AVERAGE('29.07 NTINDA-SPEAR MOTORS'!J46,'30.07 NTINDA-SPEARMOTORS'!J46,'31.07 SPEAR MOTORS-NTINDA'!J46,'02.08 SPEARMOTORS-NTINDA'!J46,'01.08 NTINDA-SPEARMOTORS-24h'!J46,'03.08 NTINDA-SPEARMOTORS-24h'!J46,'04.08 NTINDA-SPEARMOTORS'!J46)</f>
        <v>1.8571428571428572</v>
      </c>
      <c r="K46" s="49">
        <f>AVERAGE('29.07 NTINDA-SPEAR MOTORS'!K46,'30.07 NTINDA-SPEARMOTORS'!K46,'31.07 SPEAR MOTORS-NTINDA'!K46,'02.08 SPEARMOTORS-NTINDA'!K46,'01.08 NTINDA-SPEARMOTORS-24h'!K46,'03.08 NTINDA-SPEARMOTORS-24h'!K46,'04.08 NTINDA-SPEARMOTORS'!K46)</f>
        <v>0.7142857142857143</v>
      </c>
      <c r="L46" s="49">
        <f>AVERAGE('29.07 NTINDA-SPEAR MOTORS'!L46,'30.07 NTINDA-SPEARMOTORS'!L46,'31.07 SPEAR MOTORS-NTINDA'!L46,'02.08 SPEARMOTORS-NTINDA'!L46,'01.08 NTINDA-SPEARMOTORS-24h'!L46,'03.08 NTINDA-SPEARMOTORS-24h'!L46,'04.08 NTINDA-SPEARMOTORS'!L46)</f>
        <v>3.5714285714285716</v>
      </c>
      <c r="M46" s="49">
        <f>AVERAGE('29.07 NTINDA-SPEAR MOTORS'!M46,'30.07 NTINDA-SPEARMOTORS'!M46,'31.07 SPEAR MOTORS-NTINDA'!M46,'02.08 SPEARMOTORS-NTINDA'!M46,'01.08 NTINDA-SPEARMOTORS-24h'!M46,'03.08 NTINDA-SPEARMOTORS-24h'!M46,'04.08 NTINDA-SPEARMOTORS'!M46)</f>
        <v>115.28571428571429</v>
      </c>
      <c r="N46" s="49">
        <f>AVERAGE('29.07 NTINDA-SPEAR MOTORS'!N46,'30.07 NTINDA-SPEARMOTORS'!N46,'31.07 SPEAR MOTORS-NTINDA'!N46,'02.08 SPEARMOTORS-NTINDA'!N46,'01.08 NTINDA-SPEARMOTORS-24h'!N46,'03.08 NTINDA-SPEARMOTORS-24h'!N46,'04.08 NTINDA-SPEARMOTORS'!N46)</f>
        <v>0</v>
      </c>
      <c r="O46" s="15">
        <f t="shared" si="0"/>
        <v>60.999999999999993</v>
      </c>
      <c r="P46" s="15">
        <f t="shared" si="1"/>
        <v>176.28571428571428</v>
      </c>
    </row>
    <row r="47" spans="2:32" ht="23.1" customHeight="1" x14ac:dyDescent="0.25">
      <c r="B47" s="24" t="s">
        <v>74</v>
      </c>
      <c r="C47" s="49">
        <f>AVERAGE('29.07 NTINDA-SPEAR MOTORS'!C47,'30.07 NTINDA-SPEARMOTORS'!C47,'31.07 SPEAR MOTORS-NTINDA'!C47,'02.08 SPEARMOTORS-NTINDA'!C47,'01.08 NTINDA-SPEARMOTORS-24h'!C47,'03.08 NTINDA-SPEARMOTORS-24h'!C47,'04.08 NTINDA-SPEARMOTORS'!C47)</f>
        <v>26.857142857142858</v>
      </c>
      <c r="D47" s="49">
        <f>AVERAGE('29.07 NTINDA-SPEAR MOTORS'!D47,'30.07 NTINDA-SPEARMOTORS'!D47,'31.07 SPEAR MOTORS-NTINDA'!D47,'02.08 SPEARMOTORS-NTINDA'!D47,'01.08 NTINDA-SPEARMOTORS-24h'!D47,'03.08 NTINDA-SPEARMOTORS-24h'!D47,'04.08 NTINDA-SPEARMOTORS'!D47)</f>
        <v>13.285714285714286</v>
      </c>
      <c r="E47" s="49">
        <f>AVERAGE('29.07 NTINDA-SPEAR MOTORS'!E47,'30.07 NTINDA-SPEARMOTORS'!E47,'31.07 SPEAR MOTORS-NTINDA'!E47,'02.08 SPEARMOTORS-NTINDA'!E47,'01.08 NTINDA-SPEARMOTORS-24h'!E47,'03.08 NTINDA-SPEARMOTORS-24h'!E47,'04.08 NTINDA-SPEARMOTORS'!E47)</f>
        <v>4.7142857142857144</v>
      </c>
      <c r="F47" s="49">
        <f>AVERAGE('29.07 NTINDA-SPEAR MOTORS'!F47,'30.07 NTINDA-SPEARMOTORS'!F47,'31.07 SPEAR MOTORS-NTINDA'!F47,'02.08 SPEARMOTORS-NTINDA'!F47,'01.08 NTINDA-SPEARMOTORS-24h'!F47,'03.08 NTINDA-SPEARMOTORS-24h'!F47,'04.08 NTINDA-SPEARMOTORS'!F47)</f>
        <v>5.4285714285714288</v>
      </c>
      <c r="G47" s="49">
        <f>AVERAGE('29.07 NTINDA-SPEAR MOTORS'!G47,'30.07 NTINDA-SPEARMOTORS'!G47,'31.07 SPEAR MOTORS-NTINDA'!G47,'02.08 SPEARMOTORS-NTINDA'!G47,'01.08 NTINDA-SPEARMOTORS-24h'!G47,'03.08 NTINDA-SPEARMOTORS-24h'!G47,'04.08 NTINDA-SPEARMOTORS'!G47)</f>
        <v>0.14285714285714285</v>
      </c>
      <c r="H47" s="49">
        <f>AVERAGE('29.07 NTINDA-SPEAR MOTORS'!H47,'30.07 NTINDA-SPEARMOTORS'!H47,'31.07 SPEAR MOTORS-NTINDA'!H47,'02.08 SPEARMOTORS-NTINDA'!H47,'01.08 NTINDA-SPEARMOTORS-24h'!H47,'03.08 NTINDA-SPEARMOTORS-24h'!H47,'04.08 NTINDA-SPEARMOTORS'!H47)</f>
        <v>0.2857142857142857</v>
      </c>
      <c r="I47" s="49">
        <f>AVERAGE('29.07 NTINDA-SPEAR MOTORS'!I47,'30.07 NTINDA-SPEARMOTORS'!I47,'31.07 SPEAR MOTORS-NTINDA'!I47,'02.08 SPEARMOTORS-NTINDA'!I47,'01.08 NTINDA-SPEARMOTORS-24h'!I47,'03.08 NTINDA-SPEARMOTORS-24h'!I47,'04.08 NTINDA-SPEARMOTORS'!I47)</f>
        <v>3</v>
      </c>
      <c r="J47" s="49">
        <f>AVERAGE('29.07 NTINDA-SPEAR MOTORS'!J47,'30.07 NTINDA-SPEARMOTORS'!J47,'31.07 SPEAR MOTORS-NTINDA'!J47,'02.08 SPEARMOTORS-NTINDA'!J47,'01.08 NTINDA-SPEARMOTORS-24h'!J47,'03.08 NTINDA-SPEARMOTORS-24h'!J47,'04.08 NTINDA-SPEARMOTORS'!J47)</f>
        <v>2.2857142857142856</v>
      </c>
      <c r="K47" s="49">
        <f>AVERAGE('29.07 NTINDA-SPEAR MOTORS'!K47,'30.07 NTINDA-SPEARMOTORS'!K47,'31.07 SPEAR MOTORS-NTINDA'!K47,'02.08 SPEARMOTORS-NTINDA'!K47,'01.08 NTINDA-SPEARMOTORS-24h'!K47,'03.08 NTINDA-SPEARMOTORS-24h'!K47,'04.08 NTINDA-SPEARMOTORS'!K47)</f>
        <v>1</v>
      </c>
      <c r="L47" s="49">
        <f>AVERAGE('29.07 NTINDA-SPEAR MOTORS'!L47,'30.07 NTINDA-SPEARMOTORS'!L47,'31.07 SPEAR MOTORS-NTINDA'!L47,'02.08 SPEARMOTORS-NTINDA'!L47,'01.08 NTINDA-SPEARMOTORS-24h'!L47,'03.08 NTINDA-SPEARMOTORS-24h'!L47,'04.08 NTINDA-SPEARMOTORS'!L47)</f>
        <v>5.7142857142857144</v>
      </c>
      <c r="M47" s="49">
        <f>AVERAGE('29.07 NTINDA-SPEAR MOTORS'!M47,'30.07 NTINDA-SPEARMOTORS'!M47,'31.07 SPEAR MOTORS-NTINDA'!M47,'02.08 SPEARMOTORS-NTINDA'!M47,'01.08 NTINDA-SPEARMOTORS-24h'!M47,'03.08 NTINDA-SPEARMOTORS-24h'!M47,'04.08 NTINDA-SPEARMOTORS'!M47)</f>
        <v>117.71428571428571</v>
      </c>
      <c r="N47" s="49">
        <f>AVERAGE('29.07 NTINDA-SPEAR MOTORS'!N47,'30.07 NTINDA-SPEARMOTORS'!N47,'31.07 SPEAR MOTORS-NTINDA'!N47,'02.08 SPEARMOTORS-NTINDA'!N47,'01.08 NTINDA-SPEARMOTORS-24h'!N47,'03.08 NTINDA-SPEARMOTORS-24h'!N47,'04.08 NTINDA-SPEARMOTORS'!N47)</f>
        <v>0</v>
      </c>
      <c r="O47" s="15">
        <f t="shared" si="0"/>
        <v>62.714285714285722</v>
      </c>
      <c r="P47" s="15">
        <f t="shared" si="1"/>
        <v>180.42857142857144</v>
      </c>
    </row>
    <row r="48" spans="2:32" ht="23.1" customHeight="1" x14ac:dyDescent="0.25">
      <c r="B48" s="24" t="s">
        <v>75</v>
      </c>
      <c r="C48" s="49">
        <f>AVERAGE('29.07 NTINDA-SPEAR MOTORS'!C48,'30.07 NTINDA-SPEARMOTORS'!C48,'31.07 SPEAR MOTORS-NTINDA'!C48,'02.08 SPEARMOTORS-NTINDA'!C48,'01.08 NTINDA-SPEARMOTORS-24h'!C48,'03.08 NTINDA-SPEARMOTORS-24h'!C48,'04.08 NTINDA-SPEARMOTORS'!C48)</f>
        <v>21.714285714285715</v>
      </c>
      <c r="D48" s="49">
        <f>AVERAGE('29.07 NTINDA-SPEAR MOTORS'!D48,'30.07 NTINDA-SPEARMOTORS'!D48,'31.07 SPEAR MOTORS-NTINDA'!D48,'02.08 SPEARMOTORS-NTINDA'!D48,'01.08 NTINDA-SPEARMOTORS-24h'!D48,'03.08 NTINDA-SPEARMOTORS-24h'!D48,'04.08 NTINDA-SPEARMOTORS'!D48)</f>
        <v>14.142857142857142</v>
      </c>
      <c r="E48" s="49">
        <f>AVERAGE('29.07 NTINDA-SPEAR MOTORS'!E48,'30.07 NTINDA-SPEARMOTORS'!E48,'31.07 SPEAR MOTORS-NTINDA'!E48,'02.08 SPEARMOTORS-NTINDA'!E48,'01.08 NTINDA-SPEARMOTORS-24h'!E48,'03.08 NTINDA-SPEARMOTORS-24h'!E48,'04.08 NTINDA-SPEARMOTORS'!E48)</f>
        <v>2.4285714285714284</v>
      </c>
      <c r="F48" s="49">
        <f>AVERAGE('29.07 NTINDA-SPEAR MOTORS'!F48,'30.07 NTINDA-SPEARMOTORS'!F48,'31.07 SPEAR MOTORS-NTINDA'!F48,'02.08 SPEARMOTORS-NTINDA'!F48,'01.08 NTINDA-SPEARMOTORS-24h'!F48,'03.08 NTINDA-SPEARMOTORS-24h'!F48,'04.08 NTINDA-SPEARMOTORS'!F48)</f>
        <v>7.8571428571428568</v>
      </c>
      <c r="G48" s="49">
        <f>AVERAGE('29.07 NTINDA-SPEAR MOTORS'!G48,'30.07 NTINDA-SPEARMOTORS'!G48,'31.07 SPEAR MOTORS-NTINDA'!G48,'02.08 SPEARMOTORS-NTINDA'!G48,'01.08 NTINDA-SPEARMOTORS-24h'!G48,'03.08 NTINDA-SPEARMOTORS-24h'!G48,'04.08 NTINDA-SPEARMOTORS'!G48)</f>
        <v>0</v>
      </c>
      <c r="H48" s="49">
        <f>AVERAGE('29.07 NTINDA-SPEAR MOTORS'!H48,'30.07 NTINDA-SPEARMOTORS'!H48,'31.07 SPEAR MOTORS-NTINDA'!H48,'02.08 SPEARMOTORS-NTINDA'!H48,'01.08 NTINDA-SPEARMOTORS-24h'!H48,'03.08 NTINDA-SPEARMOTORS-24h'!H48,'04.08 NTINDA-SPEARMOTORS'!H48)</f>
        <v>0</v>
      </c>
      <c r="I48" s="49">
        <f>AVERAGE('29.07 NTINDA-SPEAR MOTORS'!I48,'30.07 NTINDA-SPEARMOTORS'!I48,'31.07 SPEAR MOTORS-NTINDA'!I48,'02.08 SPEARMOTORS-NTINDA'!I48,'01.08 NTINDA-SPEARMOTORS-24h'!I48,'03.08 NTINDA-SPEARMOTORS-24h'!I48,'04.08 NTINDA-SPEARMOTORS'!I48)</f>
        <v>1.8571428571428572</v>
      </c>
      <c r="J48" s="49">
        <f>AVERAGE('29.07 NTINDA-SPEAR MOTORS'!J48,'30.07 NTINDA-SPEARMOTORS'!J48,'31.07 SPEAR MOTORS-NTINDA'!J48,'02.08 SPEARMOTORS-NTINDA'!J48,'01.08 NTINDA-SPEARMOTORS-24h'!J48,'03.08 NTINDA-SPEARMOTORS-24h'!J48,'04.08 NTINDA-SPEARMOTORS'!J48)</f>
        <v>1.8571428571428572</v>
      </c>
      <c r="K48" s="49">
        <f>AVERAGE('29.07 NTINDA-SPEAR MOTORS'!K48,'30.07 NTINDA-SPEARMOTORS'!K48,'31.07 SPEAR MOTORS-NTINDA'!K48,'02.08 SPEARMOTORS-NTINDA'!K48,'01.08 NTINDA-SPEARMOTORS-24h'!K48,'03.08 NTINDA-SPEARMOTORS-24h'!K48,'04.08 NTINDA-SPEARMOTORS'!K48)</f>
        <v>1</v>
      </c>
      <c r="L48" s="49">
        <f>AVERAGE('29.07 NTINDA-SPEAR MOTORS'!L48,'30.07 NTINDA-SPEARMOTORS'!L48,'31.07 SPEAR MOTORS-NTINDA'!L48,'02.08 SPEARMOTORS-NTINDA'!L48,'01.08 NTINDA-SPEARMOTORS-24h'!L48,'03.08 NTINDA-SPEARMOTORS-24h'!L48,'04.08 NTINDA-SPEARMOTORS'!L48)</f>
        <v>3.1428571428571428</v>
      </c>
      <c r="M48" s="49">
        <f>AVERAGE('29.07 NTINDA-SPEAR MOTORS'!M48,'30.07 NTINDA-SPEARMOTORS'!M48,'31.07 SPEAR MOTORS-NTINDA'!M48,'02.08 SPEARMOTORS-NTINDA'!M48,'01.08 NTINDA-SPEARMOTORS-24h'!M48,'03.08 NTINDA-SPEARMOTORS-24h'!M48,'04.08 NTINDA-SPEARMOTORS'!M48)</f>
        <v>122.28571428571429</v>
      </c>
      <c r="N48" s="49">
        <f>AVERAGE('29.07 NTINDA-SPEAR MOTORS'!N48,'30.07 NTINDA-SPEARMOTORS'!N48,'31.07 SPEAR MOTORS-NTINDA'!N48,'02.08 SPEARMOTORS-NTINDA'!N48,'01.08 NTINDA-SPEARMOTORS-24h'!N48,'03.08 NTINDA-SPEARMOTORS-24h'!N48,'04.08 NTINDA-SPEARMOTORS'!N48)</f>
        <v>0</v>
      </c>
      <c r="O48" s="15">
        <f t="shared" si="0"/>
        <v>54</v>
      </c>
      <c r="P48" s="15">
        <f t="shared" si="1"/>
        <v>176.28571428571428</v>
      </c>
    </row>
    <row r="49" spans="2:20" ht="23.1" customHeight="1" x14ac:dyDescent="0.25">
      <c r="B49" s="23" t="s">
        <v>76</v>
      </c>
      <c r="C49" s="49">
        <f>AVERAGE('29.07 NTINDA-SPEAR MOTORS'!C49,'30.07 NTINDA-SPEARMOTORS'!C49,'31.07 SPEAR MOTORS-NTINDA'!C49,'02.08 SPEARMOTORS-NTINDA'!C49,'01.08 NTINDA-SPEARMOTORS-24h'!C49,'03.08 NTINDA-SPEARMOTORS-24h'!C49,'04.08 NTINDA-SPEARMOTORS'!C49)</f>
        <v>25.571428571428573</v>
      </c>
      <c r="D49" s="49">
        <f>AVERAGE('29.07 NTINDA-SPEAR MOTORS'!D49,'30.07 NTINDA-SPEARMOTORS'!D49,'31.07 SPEAR MOTORS-NTINDA'!D49,'02.08 SPEARMOTORS-NTINDA'!D49,'01.08 NTINDA-SPEARMOTORS-24h'!D49,'03.08 NTINDA-SPEARMOTORS-24h'!D49,'04.08 NTINDA-SPEARMOTORS'!D49)</f>
        <v>19.714285714285715</v>
      </c>
      <c r="E49" s="49">
        <f>AVERAGE('29.07 NTINDA-SPEAR MOTORS'!E49,'30.07 NTINDA-SPEARMOTORS'!E49,'31.07 SPEAR MOTORS-NTINDA'!E49,'02.08 SPEARMOTORS-NTINDA'!E49,'01.08 NTINDA-SPEARMOTORS-24h'!E49,'03.08 NTINDA-SPEARMOTORS-24h'!E49,'04.08 NTINDA-SPEARMOTORS'!E49)</f>
        <v>5.8571428571428568</v>
      </c>
      <c r="F49" s="49">
        <f>AVERAGE('29.07 NTINDA-SPEAR MOTORS'!F49,'30.07 NTINDA-SPEARMOTORS'!F49,'31.07 SPEAR MOTORS-NTINDA'!F49,'02.08 SPEARMOTORS-NTINDA'!F49,'01.08 NTINDA-SPEARMOTORS-24h'!F49,'03.08 NTINDA-SPEARMOTORS-24h'!F49,'04.08 NTINDA-SPEARMOTORS'!F49)</f>
        <v>6.2857142857142856</v>
      </c>
      <c r="G49" s="49">
        <f>AVERAGE('29.07 NTINDA-SPEAR MOTORS'!G49,'30.07 NTINDA-SPEARMOTORS'!G49,'31.07 SPEAR MOTORS-NTINDA'!G49,'02.08 SPEARMOTORS-NTINDA'!G49,'01.08 NTINDA-SPEARMOTORS-24h'!G49,'03.08 NTINDA-SPEARMOTORS-24h'!G49,'04.08 NTINDA-SPEARMOTORS'!G49)</f>
        <v>0</v>
      </c>
      <c r="H49" s="49">
        <f>AVERAGE('29.07 NTINDA-SPEAR MOTORS'!H49,'30.07 NTINDA-SPEARMOTORS'!H49,'31.07 SPEAR MOTORS-NTINDA'!H49,'02.08 SPEARMOTORS-NTINDA'!H49,'01.08 NTINDA-SPEARMOTORS-24h'!H49,'03.08 NTINDA-SPEARMOTORS-24h'!H49,'04.08 NTINDA-SPEARMOTORS'!H49)</f>
        <v>0</v>
      </c>
      <c r="I49" s="49">
        <f>AVERAGE('29.07 NTINDA-SPEAR MOTORS'!I49,'30.07 NTINDA-SPEARMOTORS'!I49,'31.07 SPEAR MOTORS-NTINDA'!I49,'02.08 SPEARMOTORS-NTINDA'!I49,'01.08 NTINDA-SPEARMOTORS-24h'!I49,'03.08 NTINDA-SPEARMOTORS-24h'!I49,'04.08 NTINDA-SPEARMOTORS'!I49)</f>
        <v>1.8571428571428572</v>
      </c>
      <c r="J49" s="49">
        <f>AVERAGE('29.07 NTINDA-SPEAR MOTORS'!J49,'30.07 NTINDA-SPEARMOTORS'!J49,'31.07 SPEAR MOTORS-NTINDA'!J49,'02.08 SPEARMOTORS-NTINDA'!J49,'01.08 NTINDA-SPEARMOTORS-24h'!J49,'03.08 NTINDA-SPEARMOTORS-24h'!J49,'04.08 NTINDA-SPEARMOTORS'!J49)</f>
        <v>1.1428571428571428</v>
      </c>
      <c r="K49" s="49">
        <f>AVERAGE('29.07 NTINDA-SPEAR MOTORS'!K49,'30.07 NTINDA-SPEARMOTORS'!K49,'31.07 SPEAR MOTORS-NTINDA'!K49,'02.08 SPEARMOTORS-NTINDA'!K49,'01.08 NTINDA-SPEARMOTORS-24h'!K49,'03.08 NTINDA-SPEARMOTORS-24h'!K49,'04.08 NTINDA-SPEARMOTORS'!K49)</f>
        <v>1</v>
      </c>
      <c r="L49" s="49">
        <f>AVERAGE('29.07 NTINDA-SPEAR MOTORS'!L49,'30.07 NTINDA-SPEARMOTORS'!L49,'31.07 SPEAR MOTORS-NTINDA'!L49,'02.08 SPEARMOTORS-NTINDA'!L49,'01.08 NTINDA-SPEARMOTORS-24h'!L49,'03.08 NTINDA-SPEARMOTORS-24h'!L49,'04.08 NTINDA-SPEARMOTORS'!L49)</f>
        <v>5</v>
      </c>
      <c r="M49" s="49">
        <f>AVERAGE('29.07 NTINDA-SPEAR MOTORS'!M49,'30.07 NTINDA-SPEARMOTORS'!M49,'31.07 SPEAR MOTORS-NTINDA'!M49,'02.08 SPEARMOTORS-NTINDA'!M49,'01.08 NTINDA-SPEARMOTORS-24h'!M49,'03.08 NTINDA-SPEARMOTORS-24h'!M49,'04.08 NTINDA-SPEARMOTORS'!M49)</f>
        <v>112.57142857142857</v>
      </c>
      <c r="N49" s="49">
        <f>AVERAGE('29.07 NTINDA-SPEAR MOTORS'!N49,'30.07 NTINDA-SPEARMOTORS'!N49,'31.07 SPEAR MOTORS-NTINDA'!N49,'02.08 SPEARMOTORS-NTINDA'!N49,'01.08 NTINDA-SPEARMOTORS-24h'!N49,'03.08 NTINDA-SPEARMOTORS-24h'!N49,'04.08 NTINDA-SPEARMOTORS'!N49)</f>
        <v>0</v>
      </c>
      <c r="O49" s="15">
        <f t="shared" si="0"/>
        <v>66.428571428571431</v>
      </c>
      <c r="P49" s="15">
        <f t="shared" si="1"/>
        <v>179</v>
      </c>
    </row>
    <row r="50" spans="2:20" ht="23.1" customHeight="1" x14ac:dyDescent="0.25">
      <c r="B50" s="24" t="s">
        <v>77</v>
      </c>
      <c r="C50" s="49">
        <f>AVERAGE('29.07 NTINDA-SPEAR MOTORS'!C50,'30.07 NTINDA-SPEARMOTORS'!C50,'31.07 SPEAR MOTORS-NTINDA'!C50,'02.08 SPEARMOTORS-NTINDA'!C50,'01.08 NTINDA-SPEARMOTORS-24h'!C50,'03.08 NTINDA-SPEARMOTORS-24h'!C50,'04.08 NTINDA-SPEARMOTORS'!C50)</f>
        <v>21.857142857142858</v>
      </c>
      <c r="D50" s="49">
        <f>AVERAGE('29.07 NTINDA-SPEAR MOTORS'!D50,'30.07 NTINDA-SPEARMOTORS'!D50,'31.07 SPEAR MOTORS-NTINDA'!D50,'02.08 SPEARMOTORS-NTINDA'!D50,'01.08 NTINDA-SPEARMOTORS-24h'!D50,'03.08 NTINDA-SPEARMOTORS-24h'!D50,'04.08 NTINDA-SPEARMOTORS'!D50)</f>
        <v>11</v>
      </c>
      <c r="E50" s="49">
        <f>AVERAGE('29.07 NTINDA-SPEAR MOTORS'!E50,'30.07 NTINDA-SPEARMOTORS'!E50,'31.07 SPEAR MOTORS-NTINDA'!E50,'02.08 SPEARMOTORS-NTINDA'!E50,'01.08 NTINDA-SPEARMOTORS-24h'!E50,'03.08 NTINDA-SPEARMOTORS-24h'!E50,'04.08 NTINDA-SPEARMOTORS'!E50)</f>
        <v>6.1428571428571432</v>
      </c>
      <c r="F50" s="49">
        <f>AVERAGE('29.07 NTINDA-SPEAR MOTORS'!F50,'30.07 NTINDA-SPEARMOTORS'!F50,'31.07 SPEAR MOTORS-NTINDA'!F50,'02.08 SPEARMOTORS-NTINDA'!F50,'01.08 NTINDA-SPEARMOTORS-24h'!F50,'03.08 NTINDA-SPEARMOTORS-24h'!F50,'04.08 NTINDA-SPEARMOTORS'!F50)</f>
        <v>8.5714285714285712</v>
      </c>
      <c r="G50" s="49">
        <f>AVERAGE('29.07 NTINDA-SPEAR MOTORS'!G50,'30.07 NTINDA-SPEARMOTORS'!G50,'31.07 SPEAR MOTORS-NTINDA'!G50,'02.08 SPEARMOTORS-NTINDA'!G50,'01.08 NTINDA-SPEARMOTORS-24h'!G50,'03.08 NTINDA-SPEARMOTORS-24h'!G50,'04.08 NTINDA-SPEARMOTORS'!G50)</f>
        <v>0.14285714285714285</v>
      </c>
      <c r="H50" s="49">
        <f>AVERAGE('29.07 NTINDA-SPEAR MOTORS'!H50,'30.07 NTINDA-SPEARMOTORS'!H50,'31.07 SPEAR MOTORS-NTINDA'!H50,'02.08 SPEARMOTORS-NTINDA'!H50,'01.08 NTINDA-SPEARMOTORS-24h'!H50,'03.08 NTINDA-SPEARMOTORS-24h'!H50,'04.08 NTINDA-SPEARMOTORS'!H50)</f>
        <v>0</v>
      </c>
      <c r="I50" s="49">
        <f>AVERAGE('29.07 NTINDA-SPEAR MOTORS'!I50,'30.07 NTINDA-SPEARMOTORS'!I50,'31.07 SPEAR MOTORS-NTINDA'!I50,'02.08 SPEARMOTORS-NTINDA'!I50,'01.08 NTINDA-SPEARMOTORS-24h'!I50,'03.08 NTINDA-SPEARMOTORS-24h'!I50,'04.08 NTINDA-SPEARMOTORS'!I50)</f>
        <v>1.8571428571428572</v>
      </c>
      <c r="J50" s="49">
        <f>AVERAGE('29.07 NTINDA-SPEAR MOTORS'!J50,'30.07 NTINDA-SPEARMOTORS'!J50,'31.07 SPEAR MOTORS-NTINDA'!J50,'02.08 SPEARMOTORS-NTINDA'!J50,'01.08 NTINDA-SPEARMOTORS-24h'!J50,'03.08 NTINDA-SPEARMOTORS-24h'!J50,'04.08 NTINDA-SPEARMOTORS'!J50)</f>
        <v>0.8571428571428571</v>
      </c>
      <c r="K50" s="49">
        <f>AVERAGE('29.07 NTINDA-SPEAR MOTORS'!K50,'30.07 NTINDA-SPEARMOTORS'!K50,'31.07 SPEAR MOTORS-NTINDA'!K50,'02.08 SPEARMOTORS-NTINDA'!K50,'01.08 NTINDA-SPEARMOTORS-24h'!K50,'03.08 NTINDA-SPEARMOTORS-24h'!K50,'04.08 NTINDA-SPEARMOTORS'!K50)</f>
        <v>0.5714285714285714</v>
      </c>
      <c r="L50" s="49">
        <f>AVERAGE('29.07 NTINDA-SPEAR MOTORS'!L50,'30.07 NTINDA-SPEARMOTORS'!L50,'31.07 SPEAR MOTORS-NTINDA'!L50,'02.08 SPEARMOTORS-NTINDA'!L50,'01.08 NTINDA-SPEARMOTORS-24h'!L50,'03.08 NTINDA-SPEARMOTORS-24h'!L50,'04.08 NTINDA-SPEARMOTORS'!L50)</f>
        <v>2.8571428571428572</v>
      </c>
      <c r="M50" s="49">
        <f>AVERAGE('29.07 NTINDA-SPEAR MOTORS'!M50,'30.07 NTINDA-SPEARMOTORS'!M50,'31.07 SPEAR MOTORS-NTINDA'!M50,'02.08 SPEARMOTORS-NTINDA'!M50,'01.08 NTINDA-SPEARMOTORS-24h'!M50,'03.08 NTINDA-SPEARMOTORS-24h'!M50,'04.08 NTINDA-SPEARMOTORS'!M50)</f>
        <v>139.42857142857142</v>
      </c>
      <c r="N50" s="49">
        <f>AVERAGE('29.07 NTINDA-SPEAR MOTORS'!N50,'30.07 NTINDA-SPEARMOTORS'!N50,'31.07 SPEAR MOTORS-NTINDA'!N50,'02.08 SPEARMOTORS-NTINDA'!N50,'01.08 NTINDA-SPEARMOTORS-24h'!N50,'03.08 NTINDA-SPEARMOTORS-24h'!N50,'04.08 NTINDA-SPEARMOTORS'!N50)</f>
        <v>0</v>
      </c>
      <c r="O50" s="15">
        <f t="shared" si="0"/>
        <v>53.857142857142854</v>
      </c>
      <c r="P50" s="15">
        <f t="shared" si="1"/>
        <v>193.28571428571428</v>
      </c>
      <c r="R50" s="8"/>
      <c r="T50"/>
    </row>
    <row r="51" spans="2:20" ht="23.1" customHeight="1" x14ac:dyDescent="0.25">
      <c r="B51" s="24" t="s">
        <v>78</v>
      </c>
      <c r="C51" s="49">
        <f>AVERAGE('29.07 NTINDA-SPEAR MOTORS'!C51,'30.07 NTINDA-SPEARMOTORS'!C51,'31.07 SPEAR MOTORS-NTINDA'!C51,'02.08 SPEARMOTORS-NTINDA'!C51,'01.08 NTINDA-SPEARMOTORS-24h'!C51,'03.08 NTINDA-SPEARMOTORS-24h'!C51,'04.08 NTINDA-SPEARMOTORS'!C51)</f>
        <v>19.142857142857142</v>
      </c>
      <c r="D51" s="49">
        <f>AVERAGE('29.07 NTINDA-SPEAR MOTORS'!D51,'30.07 NTINDA-SPEARMOTORS'!D51,'31.07 SPEAR MOTORS-NTINDA'!D51,'02.08 SPEARMOTORS-NTINDA'!D51,'01.08 NTINDA-SPEARMOTORS-24h'!D51,'03.08 NTINDA-SPEARMOTORS-24h'!D51,'04.08 NTINDA-SPEARMOTORS'!D51)</f>
        <v>11</v>
      </c>
      <c r="E51" s="49">
        <f>AVERAGE('29.07 NTINDA-SPEAR MOTORS'!E51,'30.07 NTINDA-SPEARMOTORS'!E51,'31.07 SPEAR MOTORS-NTINDA'!E51,'02.08 SPEARMOTORS-NTINDA'!E51,'01.08 NTINDA-SPEARMOTORS-24h'!E51,'03.08 NTINDA-SPEARMOTORS-24h'!E51,'04.08 NTINDA-SPEARMOTORS'!E51)</f>
        <v>4.4285714285714288</v>
      </c>
      <c r="F51" s="49">
        <f>AVERAGE('29.07 NTINDA-SPEAR MOTORS'!F51,'30.07 NTINDA-SPEARMOTORS'!F51,'31.07 SPEAR MOTORS-NTINDA'!F51,'02.08 SPEARMOTORS-NTINDA'!F51,'01.08 NTINDA-SPEARMOTORS-24h'!F51,'03.08 NTINDA-SPEARMOTORS-24h'!F51,'04.08 NTINDA-SPEARMOTORS'!F51)</f>
        <v>4.4285714285714288</v>
      </c>
      <c r="G51" s="49">
        <f>AVERAGE('29.07 NTINDA-SPEAR MOTORS'!G51,'30.07 NTINDA-SPEARMOTORS'!G51,'31.07 SPEAR MOTORS-NTINDA'!G51,'02.08 SPEARMOTORS-NTINDA'!G51,'01.08 NTINDA-SPEARMOTORS-24h'!G51,'03.08 NTINDA-SPEARMOTORS-24h'!G51,'04.08 NTINDA-SPEARMOTORS'!G51)</f>
        <v>0</v>
      </c>
      <c r="H51" s="49">
        <f>AVERAGE('29.07 NTINDA-SPEAR MOTORS'!H51,'30.07 NTINDA-SPEARMOTORS'!H51,'31.07 SPEAR MOTORS-NTINDA'!H51,'02.08 SPEARMOTORS-NTINDA'!H51,'01.08 NTINDA-SPEARMOTORS-24h'!H51,'03.08 NTINDA-SPEARMOTORS-24h'!H51,'04.08 NTINDA-SPEARMOTORS'!H51)</f>
        <v>0</v>
      </c>
      <c r="I51" s="49">
        <f>AVERAGE('29.07 NTINDA-SPEAR MOTORS'!I51,'30.07 NTINDA-SPEARMOTORS'!I51,'31.07 SPEAR MOTORS-NTINDA'!I51,'02.08 SPEARMOTORS-NTINDA'!I51,'01.08 NTINDA-SPEARMOTORS-24h'!I51,'03.08 NTINDA-SPEARMOTORS-24h'!I51,'04.08 NTINDA-SPEARMOTORS'!I51)</f>
        <v>1.1428571428571428</v>
      </c>
      <c r="J51" s="49">
        <f>AVERAGE('29.07 NTINDA-SPEAR MOTORS'!J51,'30.07 NTINDA-SPEARMOTORS'!J51,'31.07 SPEAR MOTORS-NTINDA'!J51,'02.08 SPEARMOTORS-NTINDA'!J51,'01.08 NTINDA-SPEARMOTORS-24h'!J51,'03.08 NTINDA-SPEARMOTORS-24h'!J51,'04.08 NTINDA-SPEARMOTORS'!J51)</f>
        <v>1</v>
      </c>
      <c r="K51" s="49">
        <f>AVERAGE('29.07 NTINDA-SPEAR MOTORS'!K51,'30.07 NTINDA-SPEARMOTORS'!K51,'31.07 SPEAR MOTORS-NTINDA'!K51,'02.08 SPEARMOTORS-NTINDA'!K51,'01.08 NTINDA-SPEARMOTORS-24h'!K51,'03.08 NTINDA-SPEARMOTORS-24h'!K51,'04.08 NTINDA-SPEARMOTORS'!K51)</f>
        <v>0.14285714285714285</v>
      </c>
      <c r="L51" s="49">
        <f>AVERAGE('29.07 NTINDA-SPEAR MOTORS'!L51,'30.07 NTINDA-SPEARMOTORS'!L51,'31.07 SPEAR MOTORS-NTINDA'!L51,'02.08 SPEARMOTORS-NTINDA'!L51,'01.08 NTINDA-SPEARMOTORS-24h'!L51,'03.08 NTINDA-SPEARMOTORS-24h'!L51,'04.08 NTINDA-SPEARMOTORS'!L51)</f>
        <v>1.7142857142857142</v>
      </c>
      <c r="M51" s="49">
        <f>AVERAGE('29.07 NTINDA-SPEAR MOTORS'!M51,'30.07 NTINDA-SPEARMOTORS'!M51,'31.07 SPEAR MOTORS-NTINDA'!M51,'02.08 SPEARMOTORS-NTINDA'!M51,'01.08 NTINDA-SPEARMOTORS-24h'!M51,'03.08 NTINDA-SPEARMOTORS-24h'!M51,'04.08 NTINDA-SPEARMOTORS'!M51)</f>
        <v>127.42857142857143</v>
      </c>
      <c r="N51" s="49">
        <f>AVERAGE('29.07 NTINDA-SPEAR MOTORS'!N51,'30.07 NTINDA-SPEARMOTORS'!N51,'31.07 SPEAR MOTORS-NTINDA'!N51,'02.08 SPEARMOTORS-NTINDA'!N51,'01.08 NTINDA-SPEARMOTORS-24h'!N51,'03.08 NTINDA-SPEARMOTORS-24h'!N51,'04.08 NTINDA-SPEARMOTORS'!N51)</f>
        <v>0</v>
      </c>
      <c r="O51" s="15">
        <f t="shared" si="0"/>
        <v>43.000000000000007</v>
      </c>
      <c r="P51" s="15">
        <f t="shared" si="1"/>
        <v>170.42857142857144</v>
      </c>
      <c r="R51" s="8"/>
      <c r="T51"/>
    </row>
    <row r="52" spans="2:20" ht="23.1" customHeight="1" x14ac:dyDescent="0.25">
      <c r="B52" s="24" t="s">
        <v>79</v>
      </c>
      <c r="C52" s="49">
        <f>AVERAGE('29.07 NTINDA-SPEAR MOTORS'!C52,'30.07 NTINDA-SPEARMOTORS'!C52,'31.07 SPEAR MOTORS-NTINDA'!C52,'02.08 SPEARMOTORS-NTINDA'!C52,'01.08 NTINDA-SPEARMOTORS-24h'!C52,'03.08 NTINDA-SPEARMOTORS-24h'!C52,'04.08 NTINDA-SPEARMOTORS'!C52)</f>
        <v>21.857142857142858</v>
      </c>
      <c r="D52" s="49">
        <f>AVERAGE('29.07 NTINDA-SPEAR MOTORS'!D52,'30.07 NTINDA-SPEARMOTORS'!D52,'31.07 SPEAR MOTORS-NTINDA'!D52,'02.08 SPEARMOTORS-NTINDA'!D52,'01.08 NTINDA-SPEARMOTORS-24h'!D52,'03.08 NTINDA-SPEARMOTORS-24h'!D52,'04.08 NTINDA-SPEARMOTORS'!D52)</f>
        <v>13.285714285714286</v>
      </c>
      <c r="E52" s="49">
        <f>AVERAGE('29.07 NTINDA-SPEAR MOTORS'!E52,'30.07 NTINDA-SPEARMOTORS'!E52,'31.07 SPEAR MOTORS-NTINDA'!E52,'02.08 SPEARMOTORS-NTINDA'!E52,'01.08 NTINDA-SPEARMOTORS-24h'!E52,'03.08 NTINDA-SPEARMOTORS-24h'!E52,'04.08 NTINDA-SPEARMOTORS'!E52)</f>
        <v>4.4285714285714288</v>
      </c>
      <c r="F52" s="49">
        <f>AVERAGE('29.07 NTINDA-SPEAR MOTORS'!F52,'30.07 NTINDA-SPEARMOTORS'!F52,'31.07 SPEAR MOTORS-NTINDA'!F52,'02.08 SPEARMOTORS-NTINDA'!F52,'01.08 NTINDA-SPEARMOTORS-24h'!F52,'03.08 NTINDA-SPEARMOTORS-24h'!F52,'04.08 NTINDA-SPEARMOTORS'!F52)</f>
        <v>3.4285714285714284</v>
      </c>
      <c r="G52" s="49">
        <f>AVERAGE('29.07 NTINDA-SPEAR MOTORS'!G52,'30.07 NTINDA-SPEARMOTORS'!G52,'31.07 SPEAR MOTORS-NTINDA'!G52,'02.08 SPEARMOTORS-NTINDA'!G52,'01.08 NTINDA-SPEARMOTORS-24h'!G52,'03.08 NTINDA-SPEARMOTORS-24h'!G52,'04.08 NTINDA-SPEARMOTORS'!G52)</f>
        <v>0</v>
      </c>
      <c r="H52" s="49">
        <f>AVERAGE('29.07 NTINDA-SPEAR MOTORS'!H52,'30.07 NTINDA-SPEARMOTORS'!H52,'31.07 SPEAR MOTORS-NTINDA'!H52,'02.08 SPEARMOTORS-NTINDA'!H52,'01.08 NTINDA-SPEARMOTORS-24h'!H52,'03.08 NTINDA-SPEARMOTORS-24h'!H52,'04.08 NTINDA-SPEARMOTORS'!H52)</f>
        <v>0.14285714285714285</v>
      </c>
      <c r="I52" s="49">
        <f>AVERAGE('29.07 NTINDA-SPEAR MOTORS'!I52,'30.07 NTINDA-SPEARMOTORS'!I52,'31.07 SPEAR MOTORS-NTINDA'!I52,'02.08 SPEARMOTORS-NTINDA'!I52,'01.08 NTINDA-SPEARMOTORS-24h'!I52,'03.08 NTINDA-SPEARMOTORS-24h'!I52,'04.08 NTINDA-SPEARMOTORS'!I52)</f>
        <v>2.5714285714285716</v>
      </c>
      <c r="J52" s="49">
        <f>AVERAGE('29.07 NTINDA-SPEAR MOTORS'!J52,'30.07 NTINDA-SPEARMOTORS'!J52,'31.07 SPEAR MOTORS-NTINDA'!J52,'02.08 SPEARMOTORS-NTINDA'!J52,'01.08 NTINDA-SPEARMOTORS-24h'!J52,'03.08 NTINDA-SPEARMOTORS-24h'!J52,'04.08 NTINDA-SPEARMOTORS'!J52)</f>
        <v>1.8571428571428572</v>
      </c>
      <c r="K52" s="49">
        <f>AVERAGE('29.07 NTINDA-SPEAR MOTORS'!K52,'30.07 NTINDA-SPEARMOTORS'!K52,'31.07 SPEAR MOTORS-NTINDA'!K52,'02.08 SPEARMOTORS-NTINDA'!K52,'01.08 NTINDA-SPEARMOTORS-24h'!K52,'03.08 NTINDA-SPEARMOTORS-24h'!K52,'04.08 NTINDA-SPEARMOTORS'!K52)</f>
        <v>1.4285714285714286</v>
      </c>
      <c r="L52" s="49">
        <f>AVERAGE('29.07 NTINDA-SPEAR MOTORS'!L52,'30.07 NTINDA-SPEARMOTORS'!L52,'31.07 SPEAR MOTORS-NTINDA'!L52,'02.08 SPEARMOTORS-NTINDA'!L52,'01.08 NTINDA-SPEARMOTORS-24h'!L52,'03.08 NTINDA-SPEARMOTORS-24h'!L52,'04.08 NTINDA-SPEARMOTORS'!L52)</f>
        <v>6.4285714285714288</v>
      </c>
      <c r="M52" s="49">
        <f>AVERAGE('29.07 NTINDA-SPEAR MOTORS'!M52,'30.07 NTINDA-SPEARMOTORS'!M52,'31.07 SPEAR MOTORS-NTINDA'!M52,'02.08 SPEARMOTORS-NTINDA'!M52,'01.08 NTINDA-SPEARMOTORS-24h'!M52,'03.08 NTINDA-SPEARMOTORS-24h'!M52,'04.08 NTINDA-SPEARMOTORS'!M52)</f>
        <v>118.71428571428571</v>
      </c>
      <c r="N52" s="49">
        <f>AVERAGE('29.07 NTINDA-SPEAR MOTORS'!N52,'30.07 NTINDA-SPEARMOTORS'!N52,'31.07 SPEAR MOTORS-NTINDA'!N52,'02.08 SPEARMOTORS-NTINDA'!N52,'01.08 NTINDA-SPEARMOTORS-24h'!N52,'03.08 NTINDA-SPEARMOTORS-24h'!N52,'04.08 NTINDA-SPEARMOTORS'!N52)</f>
        <v>0</v>
      </c>
      <c r="O52" s="15">
        <f t="shared" si="0"/>
        <v>55.428571428571438</v>
      </c>
      <c r="P52" s="15">
        <f t="shared" si="1"/>
        <v>174.14285714285714</v>
      </c>
      <c r="R52" s="8"/>
      <c r="T52"/>
    </row>
    <row r="53" spans="2:20" ht="23.1" customHeight="1" x14ac:dyDescent="0.25">
      <c r="B53" s="23" t="s">
        <v>80</v>
      </c>
      <c r="C53" s="49">
        <f>AVERAGE('29.07 NTINDA-SPEAR MOTORS'!C53,'30.07 NTINDA-SPEARMOTORS'!C53,'31.07 SPEAR MOTORS-NTINDA'!C53,'02.08 SPEARMOTORS-NTINDA'!C53,'01.08 NTINDA-SPEARMOTORS-24h'!C53,'03.08 NTINDA-SPEARMOTORS-24h'!C53,'04.08 NTINDA-SPEARMOTORS'!C53)</f>
        <v>26.714285714285715</v>
      </c>
      <c r="D53" s="49">
        <f>AVERAGE('29.07 NTINDA-SPEAR MOTORS'!D53,'30.07 NTINDA-SPEARMOTORS'!D53,'31.07 SPEAR MOTORS-NTINDA'!D53,'02.08 SPEARMOTORS-NTINDA'!D53,'01.08 NTINDA-SPEARMOTORS-24h'!D53,'03.08 NTINDA-SPEARMOTORS-24h'!D53,'04.08 NTINDA-SPEARMOTORS'!D53)</f>
        <v>12.857142857142858</v>
      </c>
      <c r="E53" s="49">
        <f>AVERAGE('29.07 NTINDA-SPEAR MOTORS'!E53,'30.07 NTINDA-SPEARMOTORS'!E53,'31.07 SPEAR MOTORS-NTINDA'!E53,'02.08 SPEARMOTORS-NTINDA'!E53,'01.08 NTINDA-SPEARMOTORS-24h'!E53,'03.08 NTINDA-SPEARMOTORS-24h'!E53,'04.08 NTINDA-SPEARMOTORS'!E53)</f>
        <v>5.7142857142857144</v>
      </c>
      <c r="F53" s="49">
        <f>AVERAGE('29.07 NTINDA-SPEAR MOTORS'!F53,'30.07 NTINDA-SPEARMOTORS'!F53,'31.07 SPEAR MOTORS-NTINDA'!F53,'02.08 SPEARMOTORS-NTINDA'!F53,'01.08 NTINDA-SPEARMOTORS-24h'!F53,'03.08 NTINDA-SPEARMOTORS-24h'!F53,'04.08 NTINDA-SPEARMOTORS'!F53)</f>
        <v>6</v>
      </c>
      <c r="G53" s="49">
        <f>AVERAGE('29.07 NTINDA-SPEAR MOTORS'!G53,'30.07 NTINDA-SPEARMOTORS'!G53,'31.07 SPEAR MOTORS-NTINDA'!G53,'02.08 SPEARMOTORS-NTINDA'!G53,'01.08 NTINDA-SPEARMOTORS-24h'!G53,'03.08 NTINDA-SPEARMOTORS-24h'!G53,'04.08 NTINDA-SPEARMOTORS'!G53)</f>
        <v>0.14285714285714285</v>
      </c>
      <c r="H53" s="49">
        <f>AVERAGE('29.07 NTINDA-SPEAR MOTORS'!H53,'30.07 NTINDA-SPEARMOTORS'!H53,'31.07 SPEAR MOTORS-NTINDA'!H53,'02.08 SPEARMOTORS-NTINDA'!H53,'01.08 NTINDA-SPEARMOTORS-24h'!H53,'03.08 NTINDA-SPEARMOTORS-24h'!H53,'04.08 NTINDA-SPEARMOTORS'!H53)</f>
        <v>0</v>
      </c>
      <c r="I53" s="49">
        <f>AVERAGE('29.07 NTINDA-SPEAR MOTORS'!I53,'30.07 NTINDA-SPEARMOTORS'!I53,'31.07 SPEAR MOTORS-NTINDA'!I53,'02.08 SPEARMOTORS-NTINDA'!I53,'01.08 NTINDA-SPEARMOTORS-24h'!I53,'03.08 NTINDA-SPEARMOTORS-24h'!I53,'04.08 NTINDA-SPEARMOTORS'!I53)</f>
        <v>1.2857142857142858</v>
      </c>
      <c r="J53" s="49">
        <f>AVERAGE('29.07 NTINDA-SPEAR MOTORS'!J53,'30.07 NTINDA-SPEARMOTORS'!J53,'31.07 SPEAR MOTORS-NTINDA'!J53,'02.08 SPEARMOTORS-NTINDA'!J53,'01.08 NTINDA-SPEARMOTORS-24h'!J53,'03.08 NTINDA-SPEARMOTORS-24h'!J53,'04.08 NTINDA-SPEARMOTORS'!J53)</f>
        <v>0.7142857142857143</v>
      </c>
      <c r="K53" s="49">
        <f>AVERAGE('29.07 NTINDA-SPEAR MOTORS'!K53,'30.07 NTINDA-SPEARMOTORS'!K53,'31.07 SPEAR MOTORS-NTINDA'!K53,'02.08 SPEARMOTORS-NTINDA'!K53,'01.08 NTINDA-SPEARMOTORS-24h'!K53,'03.08 NTINDA-SPEARMOTORS-24h'!K53,'04.08 NTINDA-SPEARMOTORS'!K53)</f>
        <v>0.42857142857142855</v>
      </c>
      <c r="L53" s="49">
        <f>AVERAGE('29.07 NTINDA-SPEAR MOTORS'!L53,'30.07 NTINDA-SPEARMOTORS'!L53,'31.07 SPEAR MOTORS-NTINDA'!L53,'02.08 SPEARMOTORS-NTINDA'!L53,'01.08 NTINDA-SPEARMOTORS-24h'!L53,'03.08 NTINDA-SPEARMOTORS-24h'!L53,'04.08 NTINDA-SPEARMOTORS'!L53)</f>
        <v>2</v>
      </c>
      <c r="M53" s="49">
        <f>AVERAGE('29.07 NTINDA-SPEAR MOTORS'!M53,'30.07 NTINDA-SPEARMOTORS'!M53,'31.07 SPEAR MOTORS-NTINDA'!M53,'02.08 SPEARMOTORS-NTINDA'!M53,'01.08 NTINDA-SPEARMOTORS-24h'!M53,'03.08 NTINDA-SPEARMOTORS-24h'!M53,'04.08 NTINDA-SPEARMOTORS'!M53)</f>
        <v>125</v>
      </c>
      <c r="N53" s="49">
        <f>AVERAGE('29.07 NTINDA-SPEAR MOTORS'!N53,'30.07 NTINDA-SPEARMOTORS'!N53,'31.07 SPEAR MOTORS-NTINDA'!N53,'02.08 SPEARMOTORS-NTINDA'!N53,'01.08 NTINDA-SPEARMOTORS-24h'!N53,'03.08 NTINDA-SPEARMOTORS-24h'!N53,'04.08 NTINDA-SPEARMOTORS'!N53)</f>
        <v>0</v>
      </c>
      <c r="O53" s="15">
        <f t="shared" si="0"/>
        <v>55.857142857142861</v>
      </c>
      <c r="P53" s="15">
        <f t="shared" si="1"/>
        <v>180.85714285714286</v>
      </c>
      <c r="R53" s="8"/>
      <c r="T53"/>
    </row>
    <row r="54" spans="2:20" ht="23.1" customHeight="1" x14ac:dyDescent="0.25">
      <c r="B54" s="23" t="s">
        <v>81</v>
      </c>
      <c r="C54" s="49">
        <f>AVERAGE('29.07 NTINDA-SPEAR MOTORS'!C54,'30.07 NTINDA-SPEARMOTORS'!C54,'31.07 SPEAR MOTORS-NTINDA'!C54,'02.08 SPEARMOTORS-NTINDA'!C54,'01.08 NTINDA-SPEARMOTORS-24h'!C54,'03.08 NTINDA-SPEARMOTORS-24h'!C54,'04.08 NTINDA-SPEARMOTORS'!C54)</f>
        <v>20.285714285714285</v>
      </c>
      <c r="D54" s="49">
        <f>AVERAGE('29.07 NTINDA-SPEAR MOTORS'!D54,'30.07 NTINDA-SPEARMOTORS'!D54,'31.07 SPEAR MOTORS-NTINDA'!D54,'02.08 SPEARMOTORS-NTINDA'!D54,'01.08 NTINDA-SPEARMOTORS-24h'!D54,'03.08 NTINDA-SPEARMOTORS-24h'!D54,'04.08 NTINDA-SPEARMOTORS'!D54)</f>
        <v>9</v>
      </c>
      <c r="E54" s="49">
        <f>AVERAGE('29.07 NTINDA-SPEAR MOTORS'!E54,'30.07 NTINDA-SPEARMOTORS'!E54,'31.07 SPEAR MOTORS-NTINDA'!E54,'02.08 SPEARMOTORS-NTINDA'!E54,'01.08 NTINDA-SPEARMOTORS-24h'!E54,'03.08 NTINDA-SPEARMOTORS-24h'!E54,'04.08 NTINDA-SPEARMOTORS'!E54)</f>
        <v>2.2857142857142856</v>
      </c>
      <c r="F54" s="49">
        <f>AVERAGE('29.07 NTINDA-SPEAR MOTORS'!F54,'30.07 NTINDA-SPEARMOTORS'!F54,'31.07 SPEAR MOTORS-NTINDA'!F54,'02.08 SPEARMOTORS-NTINDA'!F54,'01.08 NTINDA-SPEARMOTORS-24h'!F54,'03.08 NTINDA-SPEARMOTORS-24h'!F54,'04.08 NTINDA-SPEARMOTORS'!F54)</f>
        <v>5</v>
      </c>
      <c r="G54" s="49">
        <f>AVERAGE('29.07 NTINDA-SPEAR MOTORS'!G54,'30.07 NTINDA-SPEARMOTORS'!G54,'31.07 SPEAR MOTORS-NTINDA'!G54,'02.08 SPEARMOTORS-NTINDA'!G54,'01.08 NTINDA-SPEARMOTORS-24h'!G54,'03.08 NTINDA-SPEARMOTORS-24h'!G54,'04.08 NTINDA-SPEARMOTORS'!G54)</f>
        <v>0.14285714285714285</v>
      </c>
      <c r="H54" s="49">
        <f>AVERAGE('29.07 NTINDA-SPEAR MOTORS'!H54,'30.07 NTINDA-SPEARMOTORS'!H54,'31.07 SPEAR MOTORS-NTINDA'!H54,'02.08 SPEARMOTORS-NTINDA'!H54,'01.08 NTINDA-SPEARMOTORS-24h'!H54,'03.08 NTINDA-SPEARMOTORS-24h'!H54,'04.08 NTINDA-SPEARMOTORS'!H54)</f>
        <v>0</v>
      </c>
      <c r="I54" s="49">
        <f>AVERAGE('29.07 NTINDA-SPEAR MOTORS'!I54,'30.07 NTINDA-SPEARMOTORS'!I54,'31.07 SPEAR MOTORS-NTINDA'!I54,'02.08 SPEARMOTORS-NTINDA'!I54,'01.08 NTINDA-SPEARMOTORS-24h'!I54,'03.08 NTINDA-SPEARMOTORS-24h'!I54,'04.08 NTINDA-SPEARMOTORS'!I54)</f>
        <v>2.5714285714285716</v>
      </c>
      <c r="J54" s="49">
        <f>AVERAGE('29.07 NTINDA-SPEAR MOTORS'!J54,'30.07 NTINDA-SPEARMOTORS'!J54,'31.07 SPEAR MOTORS-NTINDA'!J54,'02.08 SPEARMOTORS-NTINDA'!J54,'01.08 NTINDA-SPEARMOTORS-24h'!J54,'03.08 NTINDA-SPEARMOTORS-24h'!J54,'04.08 NTINDA-SPEARMOTORS'!J54)</f>
        <v>0.7142857142857143</v>
      </c>
      <c r="K54" s="49">
        <f>AVERAGE('29.07 NTINDA-SPEAR MOTORS'!K54,'30.07 NTINDA-SPEARMOTORS'!K54,'31.07 SPEAR MOTORS-NTINDA'!K54,'02.08 SPEARMOTORS-NTINDA'!K54,'01.08 NTINDA-SPEARMOTORS-24h'!K54,'03.08 NTINDA-SPEARMOTORS-24h'!K54,'04.08 NTINDA-SPEARMOTORS'!K54)</f>
        <v>0.7142857142857143</v>
      </c>
      <c r="L54" s="49">
        <f>AVERAGE('29.07 NTINDA-SPEAR MOTORS'!L54,'30.07 NTINDA-SPEARMOTORS'!L54,'31.07 SPEAR MOTORS-NTINDA'!L54,'02.08 SPEARMOTORS-NTINDA'!L54,'01.08 NTINDA-SPEARMOTORS-24h'!L54,'03.08 NTINDA-SPEARMOTORS-24h'!L54,'04.08 NTINDA-SPEARMOTORS'!L54)</f>
        <v>2.5714285714285716</v>
      </c>
      <c r="M54" s="49">
        <f>AVERAGE('29.07 NTINDA-SPEAR MOTORS'!M54,'30.07 NTINDA-SPEARMOTORS'!M54,'31.07 SPEAR MOTORS-NTINDA'!M54,'02.08 SPEARMOTORS-NTINDA'!M54,'01.08 NTINDA-SPEARMOTORS-24h'!M54,'03.08 NTINDA-SPEARMOTORS-24h'!M54,'04.08 NTINDA-SPEARMOTORS'!M54)</f>
        <v>131.14285714285714</v>
      </c>
      <c r="N54" s="49">
        <f>AVERAGE('29.07 NTINDA-SPEAR MOTORS'!N54,'30.07 NTINDA-SPEARMOTORS'!N54,'31.07 SPEAR MOTORS-NTINDA'!N54,'02.08 SPEARMOTORS-NTINDA'!N54,'01.08 NTINDA-SPEARMOTORS-24h'!N54,'03.08 NTINDA-SPEARMOTORS-24h'!N54,'04.08 NTINDA-SPEARMOTORS'!N54)</f>
        <v>0</v>
      </c>
      <c r="O54" s="15">
        <f t="shared" si="0"/>
        <v>43.285714285714285</v>
      </c>
      <c r="P54" s="15">
        <f t="shared" si="1"/>
        <v>174.42857142857142</v>
      </c>
      <c r="R54" s="8"/>
      <c r="T54"/>
    </row>
    <row r="55" spans="2:20" ht="23.1" customHeight="1" x14ac:dyDescent="0.25">
      <c r="B55" s="23" t="s">
        <v>82</v>
      </c>
      <c r="C55" s="49">
        <f>AVERAGE('29.07 NTINDA-SPEAR MOTORS'!C55,'30.07 NTINDA-SPEARMOTORS'!C55,'31.07 SPEAR MOTORS-NTINDA'!C55,'02.08 SPEARMOTORS-NTINDA'!C55,'01.08 NTINDA-SPEARMOTORS-24h'!C55,'03.08 NTINDA-SPEARMOTORS-24h'!C55,'04.08 NTINDA-SPEARMOTORS'!C55)</f>
        <v>22.285714285714285</v>
      </c>
      <c r="D55" s="49">
        <f>AVERAGE('29.07 NTINDA-SPEAR MOTORS'!D55,'30.07 NTINDA-SPEARMOTORS'!D55,'31.07 SPEAR MOTORS-NTINDA'!D55,'02.08 SPEARMOTORS-NTINDA'!D55,'01.08 NTINDA-SPEARMOTORS-24h'!D55,'03.08 NTINDA-SPEARMOTORS-24h'!D55,'04.08 NTINDA-SPEARMOTORS'!D55)</f>
        <v>12.857142857142858</v>
      </c>
      <c r="E55" s="49">
        <f>AVERAGE('29.07 NTINDA-SPEAR MOTORS'!E55,'30.07 NTINDA-SPEARMOTORS'!E55,'31.07 SPEAR MOTORS-NTINDA'!E55,'02.08 SPEARMOTORS-NTINDA'!E55,'01.08 NTINDA-SPEARMOTORS-24h'!E55,'03.08 NTINDA-SPEARMOTORS-24h'!E55,'04.08 NTINDA-SPEARMOTORS'!E55)</f>
        <v>2</v>
      </c>
      <c r="F55" s="49">
        <f>AVERAGE('29.07 NTINDA-SPEAR MOTORS'!F55,'30.07 NTINDA-SPEARMOTORS'!F55,'31.07 SPEAR MOTORS-NTINDA'!F55,'02.08 SPEARMOTORS-NTINDA'!F55,'01.08 NTINDA-SPEARMOTORS-24h'!F55,'03.08 NTINDA-SPEARMOTORS-24h'!F55,'04.08 NTINDA-SPEARMOTORS'!F55)</f>
        <v>6</v>
      </c>
      <c r="G55" s="49">
        <f>AVERAGE('29.07 NTINDA-SPEAR MOTORS'!G55,'30.07 NTINDA-SPEARMOTORS'!G55,'31.07 SPEAR MOTORS-NTINDA'!G55,'02.08 SPEARMOTORS-NTINDA'!G55,'01.08 NTINDA-SPEARMOTORS-24h'!G55,'03.08 NTINDA-SPEARMOTORS-24h'!G55,'04.08 NTINDA-SPEARMOTORS'!G55)</f>
        <v>0</v>
      </c>
      <c r="H55" s="49">
        <f>AVERAGE('29.07 NTINDA-SPEAR MOTORS'!H55,'30.07 NTINDA-SPEARMOTORS'!H55,'31.07 SPEAR MOTORS-NTINDA'!H55,'02.08 SPEARMOTORS-NTINDA'!H55,'01.08 NTINDA-SPEARMOTORS-24h'!H55,'03.08 NTINDA-SPEARMOTORS-24h'!H55,'04.08 NTINDA-SPEARMOTORS'!H55)</f>
        <v>0</v>
      </c>
      <c r="I55" s="49">
        <f>AVERAGE('29.07 NTINDA-SPEAR MOTORS'!I55,'30.07 NTINDA-SPEARMOTORS'!I55,'31.07 SPEAR MOTORS-NTINDA'!I55,'02.08 SPEARMOTORS-NTINDA'!I55,'01.08 NTINDA-SPEARMOTORS-24h'!I55,'03.08 NTINDA-SPEARMOTORS-24h'!I55,'04.08 NTINDA-SPEARMOTORS'!I55)</f>
        <v>0.8571428571428571</v>
      </c>
      <c r="J55" s="49">
        <f>AVERAGE('29.07 NTINDA-SPEAR MOTORS'!J55,'30.07 NTINDA-SPEARMOTORS'!J55,'31.07 SPEAR MOTORS-NTINDA'!J55,'02.08 SPEARMOTORS-NTINDA'!J55,'01.08 NTINDA-SPEARMOTORS-24h'!J55,'03.08 NTINDA-SPEARMOTORS-24h'!J55,'04.08 NTINDA-SPEARMOTORS'!J55)</f>
        <v>0.2857142857142857</v>
      </c>
      <c r="K55" s="49">
        <f>AVERAGE('29.07 NTINDA-SPEAR MOTORS'!K55,'30.07 NTINDA-SPEARMOTORS'!K55,'31.07 SPEAR MOTORS-NTINDA'!K55,'02.08 SPEARMOTORS-NTINDA'!K55,'01.08 NTINDA-SPEARMOTORS-24h'!K55,'03.08 NTINDA-SPEARMOTORS-24h'!K55,'04.08 NTINDA-SPEARMOTORS'!K55)</f>
        <v>0.42857142857142855</v>
      </c>
      <c r="L55" s="49">
        <f>AVERAGE('29.07 NTINDA-SPEAR MOTORS'!L55,'30.07 NTINDA-SPEARMOTORS'!L55,'31.07 SPEAR MOTORS-NTINDA'!L55,'02.08 SPEARMOTORS-NTINDA'!L55,'01.08 NTINDA-SPEARMOTORS-24h'!L55,'03.08 NTINDA-SPEARMOTORS-24h'!L55,'04.08 NTINDA-SPEARMOTORS'!L55)</f>
        <v>1.8571428571428572</v>
      </c>
      <c r="M55" s="49">
        <f>AVERAGE('29.07 NTINDA-SPEAR MOTORS'!M55,'30.07 NTINDA-SPEARMOTORS'!M55,'31.07 SPEAR MOTORS-NTINDA'!M55,'02.08 SPEARMOTORS-NTINDA'!M55,'01.08 NTINDA-SPEARMOTORS-24h'!M55,'03.08 NTINDA-SPEARMOTORS-24h'!M55,'04.08 NTINDA-SPEARMOTORS'!M55)</f>
        <v>136.28571428571428</v>
      </c>
      <c r="N55" s="49">
        <f>AVERAGE('29.07 NTINDA-SPEAR MOTORS'!N55,'30.07 NTINDA-SPEARMOTORS'!N55,'31.07 SPEAR MOTORS-NTINDA'!N55,'02.08 SPEARMOTORS-NTINDA'!N55,'01.08 NTINDA-SPEARMOTORS-24h'!N55,'03.08 NTINDA-SPEARMOTORS-24h'!N55,'04.08 NTINDA-SPEARMOTORS'!N55)</f>
        <v>0</v>
      </c>
      <c r="O55" s="15">
        <f t="shared" si="0"/>
        <v>46.571428571428562</v>
      </c>
      <c r="P55" s="15">
        <f t="shared" si="1"/>
        <v>182.85714285714283</v>
      </c>
      <c r="R55" s="8"/>
      <c r="T55"/>
    </row>
    <row r="56" spans="2:20" ht="23.1" customHeight="1" x14ac:dyDescent="0.25">
      <c r="B56" s="23" t="s">
        <v>83</v>
      </c>
      <c r="C56" s="49">
        <f>AVERAGE('29.07 NTINDA-SPEAR MOTORS'!C56,'30.07 NTINDA-SPEARMOTORS'!C56,'31.07 SPEAR MOTORS-NTINDA'!C56,'02.08 SPEARMOTORS-NTINDA'!C56,'01.08 NTINDA-SPEARMOTORS-24h'!C56,'03.08 NTINDA-SPEARMOTORS-24h'!C56,'04.08 NTINDA-SPEARMOTORS'!C56)</f>
        <v>16.571428571428573</v>
      </c>
      <c r="D56" s="49">
        <f>AVERAGE('29.07 NTINDA-SPEAR MOTORS'!D56,'30.07 NTINDA-SPEARMOTORS'!D56,'31.07 SPEAR MOTORS-NTINDA'!D56,'02.08 SPEARMOTORS-NTINDA'!D56,'01.08 NTINDA-SPEARMOTORS-24h'!D56,'03.08 NTINDA-SPEARMOTORS-24h'!D56,'04.08 NTINDA-SPEARMOTORS'!D56)</f>
        <v>9.2857142857142865</v>
      </c>
      <c r="E56" s="49">
        <f>AVERAGE('29.07 NTINDA-SPEAR MOTORS'!E56,'30.07 NTINDA-SPEARMOTORS'!E56,'31.07 SPEAR MOTORS-NTINDA'!E56,'02.08 SPEARMOTORS-NTINDA'!E56,'01.08 NTINDA-SPEARMOTORS-24h'!E56,'03.08 NTINDA-SPEARMOTORS-24h'!E56,'04.08 NTINDA-SPEARMOTORS'!E56)</f>
        <v>4.8571428571428568</v>
      </c>
      <c r="F56" s="49">
        <f>AVERAGE('29.07 NTINDA-SPEAR MOTORS'!F56,'30.07 NTINDA-SPEARMOTORS'!F56,'31.07 SPEAR MOTORS-NTINDA'!F56,'02.08 SPEARMOTORS-NTINDA'!F56,'01.08 NTINDA-SPEARMOTORS-24h'!F56,'03.08 NTINDA-SPEARMOTORS-24h'!F56,'04.08 NTINDA-SPEARMOTORS'!F56)</f>
        <v>4.8571428571428568</v>
      </c>
      <c r="G56" s="49">
        <f>AVERAGE('29.07 NTINDA-SPEAR MOTORS'!G56,'30.07 NTINDA-SPEARMOTORS'!G56,'31.07 SPEAR MOTORS-NTINDA'!G56,'02.08 SPEARMOTORS-NTINDA'!G56,'01.08 NTINDA-SPEARMOTORS-24h'!G56,'03.08 NTINDA-SPEARMOTORS-24h'!G56,'04.08 NTINDA-SPEARMOTORS'!G56)</f>
        <v>0.2857142857142857</v>
      </c>
      <c r="H56" s="49">
        <f>AVERAGE('29.07 NTINDA-SPEAR MOTORS'!H56,'30.07 NTINDA-SPEARMOTORS'!H56,'31.07 SPEAR MOTORS-NTINDA'!H56,'02.08 SPEARMOTORS-NTINDA'!H56,'01.08 NTINDA-SPEARMOTORS-24h'!H56,'03.08 NTINDA-SPEARMOTORS-24h'!H56,'04.08 NTINDA-SPEARMOTORS'!H56)</f>
        <v>0</v>
      </c>
      <c r="I56" s="49">
        <f>AVERAGE('29.07 NTINDA-SPEAR MOTORS'!I56,'30.07 NTINDA-SPEARMOTORS'!I56,'31.07 SPEAR MOTORS-NTINDA'!I56,'02.08 SPEARMOTORS-NTINDA'!I56,'01.08 NTINDA-SPEARMOTORS-24h'!I56,'03.08 NTINDA-SPEARMOTORS-24h'!I56,'04.08 NTINDA-SPEARMOTORS'!I56)</f>
        <v>1.4285714285714286</v>
      </c>
      <c r="J56" s="49">
        <f>AVERAGE('29.07 NTINDA-SPEAR MOTORS'!J56,'30.07 NTINDA-SPEARMOTORS'!J56,'31.07 SPEAR MOTORS-NTINDA'!J56,'02.08 SPEARMOTORS-NTINDA'!J56,'01.08 NTINDA-SPEARMOTORS-24h'!J56,'03.08 NTINDA-SPEARMOTORS-24h'!J56,'04.08 NTINDA-SPEARMOTORS'!J56)</f>
        <v>0.7142857142857143</v>
      </c>
      <c r="K56" s="49">
        <f>AVERAGE('29.07 NTINDA-SPEAR MOTORS'!K56,'30.07 NTINDA-SPEARMOTORS'!K56,'31.07 SPEAR MOTORS-NTINDA'!K56,'02.08 SPEARMOTORS-NTINDA'!K56,'01.08 NTINDA-SPEARMOTORS-24h'!K56,'03.08 NTINDA-SPEARMOTORS-24h'!K56,'04.08 NTINDA-SPEARMOTORS'!K56)</f>
        <v>0.5714285714285714</v>
      </c>
      <c r="L56" s="49">
        <f>AVERAGE('29.07 NTINDA-SPEAR MOTORS'!L56,'30.07 NTINDA-SPEARMOTORS'!L56,'31.07 SPEAR MOTORS-NTINDA'!L56,'02.08 SPEARMOTORS-NTINDA'!L56,'01.08 NTINDA-SPEARMOTORS-24h'!L56,'03.08 NTINDA-SPEARMOTORS-24h'!L56,'04.08 NTINDA-SPEARMOTORS'!L56)</f>
        <v>1.8571428571428572</v>
      </c>
      <c r="M56" s="49">
        <f>AVERAGE('29.07 NTINDA-SPEAR MOTORS'!M56,'30.07 NTINDA-SPEARMOTORS'!M56,'31.07 SPEAR MOTORS-NTINDA'!M56,'02.08 SPEARMOTORS-NTINDA'!M56,'01.08 NTINDA-SPEARMOTORS-24h'!M56,'03.08 NTINDA-SPEARMOTORS-24h'!M56,'04.08 NTINDA-SPEARMOTORS'!M56)</f>
        <v>135.42857142857142</v>
      </c>
      <c r="N56" s="49">
        <f>AVERAGE('29.07 NTINDA-SPEAR MOTORS'!N56,'30.07 NTINDA-SPEARMOTORS'!N56,'31.07 SPEAR MOTORS-NTINDA'!N56,'02.08 SPEARMOTORS-NTINDA'!N56,'01.08 NTINDA-SPEARMOTORS-24h'!N56,'03.08 NTINDA-SPEARMOTORS-24h'!N56,'04.08 NTINDA-SPEARMOTORS'!N56)</f>
        <v>0</v>
      </c>
      <c r="O56" s="15">
        <f t="shared" si="0"/>
        <v>40.428571428571431</v>
      </c>
      <c r="P56" s="15">
        <f t="shared" si="1"/>
        <v>175.85714285714283</v>
      </c>
      <c r="R56" s="8"/>
      <c r="T56"/>
    </row>
    <row r="57" spans="2:20" ht="23.1" customHeight="1" x14ac:dyDescent="0.25">
      <c r="B57" s="23" t="s">
        <v>84</v>
      </c>
      <c r="C57" s="49">
        <f>AVERAGE('29.07 NTINDA-SPEAR MOTORS'!C57,'30.07 NTINDA-SPEARMOTORS'!C57,'31.07 SPEAR MOTORS-NTINDA'!C57,'02.08 SPEARMOTORS-NTINDA'!C57,'01.08 NTINDA-SPEARMOTORS-24h'!C57,'03.08 NTINDA-SPEARMOTORS-24h'!C57,'04.08 NTINDA-SPEARMOTORS'!C57)</f>
        <v>18.285714285714285</v>
      </c>
      <c r="D57" s="49">
        <f>AVERAGE('29.07 NTINDA-SPEAR MOTORS'!D57,'30.07 NTINDA-SPEARMOTORS'!D57,'31.07 SPEAR MOTORS-NTINDA'!D57,'02.08 SPEARMOTORS-NTINDA'!D57,'01.08 NTINDA-SPEARMOTORS-24h'!D57,'03.08 NTINDA-SPEARMOTORS-24h'!D57,'04.08 NTINDA-SPEARMOTORS'!D57)</f>
        <v>8.5714285714285712</v>
      </c>
      <c r="E57" s="49">
        <f>AVERAGE('29.07 NTINDA-SPEAR MOTORS'!E57,'30.07 NTINDA-SPEARMOTORS'!E57,'31.07 SPEAR MOTORS-NTINDA'!E57,'02.08 SPEARMOTORS-NTINDA'!E57,'01.08 NTINDA-SPEARMOTORS-24h'!E57,'03.08 NTINDA-SPEARMOTORS-24h'!E57,'04.08 NTINDA-SPEARMOTORS'!E57)</f>
        <v>4.8571428571428568</v>
      </c>
      <c r="F57" s="49">
        <f>AVERAGE('29.07 NTINDA-SPEAR MOTORS'!F57,'30.07 NTINDA-SPEARMOTORS'!F57,'31.07 SPEAR MOTORS-NTINDA'!F57,'02.08 SPEARMOTORS-NTINDA'!F57,'01.08 NTINDA-SPEARMOTORS-24h'!F57,'03.08 NTINDA-SPEARMOTORS-24h'!F57,'04.08 NTINDA-SPEARMOTORS'!F57)</f>
        <v>5.5714285714285712</v>
      </c>
      <c r="G57" s="49">
        <f>AVERAGE('29.07 NTINDA-SPEAR MOTORS'!G57,'30.07 NTINDA-SPEARMOTORS'!G57,'31.07 SPEAR MOTORS-NTINDA'!G57,'02.08 SPEARMOTORS-NTINDA'!G57,'01.08 NTINDA-SPEARMOTORS-24h'!G57,'03.08 NTINDA-SPEARMOTORS-24h'!G57,'04.08 NTINDA-SPEARMOTORS'!G57)</f>
        <v>0</v>
      </c>
      <c r="H57" s="49">
        <f>AVERAGE('29.07 NTINDA-SPEAR MOTORS'!H57,'30.07 NTINDA-SPEARMOTORS'!H57,'31.07 SPEAR MOTORS-NTINDA'!H57,'02.08 SPEARMOTORS-NTINDA'!H57,'01.08 NTINDA-SPEARMOTORS-24h'!H57,'03.08 NTINDA-SPEARMOTORS-24h'!H57,'04.08 NTINDA-SPEARMOTORS'!H57)</f>
        <v>0.14285714285714285</v>
      </c>
      <c r="I57" s="49">
        <f>AVERAGE('29.07 NTINDA-SPEAR MOTORS'!I57,'30.07 NTINDA-SPEARMOTORS'!I57,'31.07 SPEAR MOTORS-NTINDA'!I57,'02.08 SPEARMOTORS-NTINDA'!I57,'01.08 NTINDA-SPEARMOTORS-24h'!I57,'03.08 NTINDA-SPEARMOTORS-24h'!I57,'04.08 NTINDA-SPEARMOTORS'!I57)</f>
        <v>1.2857142857142858</v>
      </c>
      <c r="J57" s="49">
        <f>AVERAGE('29.07 NTINDA-SPEAR MOTORS'!J57,'30.07 NTINDA-SPEARMOTORS'!J57,'31.07 SPEAR MOTORS-NTINDA'!J57,'02.08 SPEARMOTORS-NTINDA'!J57,'01.08 NTINDA-SPEARMOTORS-24h'!J57,'03.08 NTINDA-SPEARMOTORS-24h'!J57,'04.08 NTINDA-SPEARMOTORS'!J57)</f>
        <v>0.7142857142857143</v>
      </c>
      <c r="K57" s="49">
        <f>AVERAGE('29.07 NTINDA-SPEAR MOTORS'!K57,'30.07 NTINDA-SPEARMOTORS'!K57,'31.07 SPEAR MOTORS-NTINDA'!K57,'02.08 SPEARMOTORS-NTINDA'!K57,'01.08 NTINDA-SPEARMOTORS-24h'!K57,'03.08 NTINDA-SPEARMOTORS-24h'!K57,'04.08 NTINDA-SPEARMOTORS'!K57)</f>
        <v>0.5714285714285714</v>
      </c>
      <c r="L57" s="49">
        <f>AVERAGE('29.07 NTINDA-SPEAR MOTORS'!L57,'30.07 NTINDA-SPEARMOTORS'!L57,'31.07 SPEAR MOTORS-NTINDA'!L57,'02.08 SPEARMOTORS-NTINDA'!L57,'01.08 NTINDA-SPEARMOTORS-24h'!L57,'03.08 NTINDA-SPEARMOTORS-24h'!L57,'04.08 NTINDA-SPEARMOTORS'!L57)</f>
        <v>1.4285714285714286</v>
      </c>
      <c r="M57" s="49">
        <f>AVERAGE('29.07 NTINDA-SPEAR MOTORS'!M57,'30.07 NTINDA-SPEARMOTORS'!M57,'31.07 SPEAR MOTORS-NTINDA'!M57,'02.08 SPEARMOTORS-NTINDA'!M57,'01.08 NTINDA-SPEARMOTORS-24h'!M57,'03.08 NTINDA-SPEARMOTORS-24h'!M57,'04.08 NTINDA-SPEARMOTORS'!M57)</f>
        <v>131.71428571428572</v>
      </c>
      <c r="N57" s="49">
        <f>AVERAGE('29.07 NTINDA-SPEAR MOTORS'!N57,'30.07 NTINDA-SPEARMOTORS'!N57,'31.07 SPEAR MOTORS-NTINDA'!N57,'02.08 SPEARMOTORS-NTINDA'!N57,'01.08 NTINDA-SPEARMOTORS-24h'!N57,'03.08 NTINDA-SPEARMOTORS-24h'!N57,'04.08 NTINDA-SPEARMOTORS'!N57)</f>
        <v>0</v>
      </c>
      <c r="O57" s="15">
        <f t="shared" si="0"/>
        <v>41.428571428571431</v>
      </c>
      <c r="P57" s="15">
        <f t="shared" si="1"/>
        <v>173.14285714285717</v>
      </c>
      <c r="R57" s="8"/>
      <c r="T57"/>
    </row>
    <row r="58" spans="2:20" ht="23.1" customHeight="1" x14ac:dyDescent="0.25">
      <c r="B58" s="23" t="s">
        <v>99</v>
      </c>
      <c r="C58" s="49">
        <f>AVERAGE('01.08 NTINDA-SPEARMOTORS-24h'!C58,'03.08 NTINDA-SPEARMOTORS-24h'!C58)</f>
        <v>13</v>
      </c>
      <c r="D58" s="49">
        <f>AVERAGE('01.08 NTINDA-SPEARMOTORS-24h'!D58,'03.08 NTINDA-SPEARMOTORS-24h'!D58)</f>
        <v>8.5</v>
      </c>
      <c r="E58" s="49">
        <f>AVERAGE('01.08 NTINDA-SPEARMOTORS-24h'!E58,'03.08 NTINDA-SPEARMOTORS-24h'!E58)</f>
        <v>5.5</v>
      </c>
      <c r="F58" s="49">
        <f>AVERAGE('01.08 NTINDA-SPEARMOTORS-24h'!F58,'03.08 NTINDA-SPEARMOTORS-24h'!F58)</f>
        <v>3.5</v>
      </c>
      <c r="G58" s="49">
        <f>AVERAGE('01.08 NTINDA-SPEARMOTORS-24h'!G58,'03.08 NTINDA-SPEARMOTORS-24h'!G58)</f>
        <v>0</v>
      </c>
      <c r="H58" s="49">
        <f>AVERAGE('01.08 NTINDA-SPEARMOTORS-24h'!H58,'03.08 NTINDA-SPEARMOTORS-24h'!H58)</f>
        <v>0</v>
      </c>
      <c r="I58" s="49">
        <f>AVERAGE('01.08 NTINDA-SPEARMOTORS-24h'!I58,'03.08 NTINDA-SPEARMOTORS-24h'!I58)</f>
        <v>0</v>
      </c>
      <c r="J58" s="49">
        <f>AVERAGE('01.08 NTINDA-SPEARMOTORS-24h'!J58,'03.08 NTINDA-SPEARMOTORS-24h'!J58)</f>
        <v>0.5</v>
      </c>
      <c r="K58" s="49">
        <f>AVERAGE('01.08 NTINDA-SPEARMOTORS-24h'!K58,'03.08 NTINDA-SPEARMOTORS-24h'!K58)</f>
        <v>0</v>
      </c>
      <c r="L58" s="49">
        <f>AVERAGE('01.08 NTINDA-SPEARMOTORS-24h'!L58,'03.08 NTINDA-SPEARMOTORS-24h'!L58)</f>
        <v>0</v>
      </c>
      <c r="M58" s="49">
        <f>AVERAGE('01.08 NTINDA-SPEARMOTORS-24h'!M58,'03.08 NTINDA-SPEARMOTORS-24h'!M58)</f>
        <v>121.5</v>
      </c>
      <c r="N58" s="49">
        <f>AVERAGE('01.08 NTINDA-SPEARMOTORS-24h'!N58,'03.08 NTINDA-SPEARMOTORS-24h'!N58)</f>
        <v>0</v>
      </c>
      <c r="O58" s="15">
        <f t="shared" si="0"/>
        <v>31</v>
      </c>
      <c r="P58" s="15">
        <f t="shared" si="1"/>
        <v>152.5</v>
      </c>
      <c r="R58" s="8"/>
      <c r="T58"/>
    </row>
    <row r="59" spans="2:20" ht="23.1" customHeight="1" x14ac:dyDescent="0.25">
      <c r="B59" s="23" t="s">
        <v>100</v>
      </c>
      <c r="C59" s="49">
        <f>AVERAGE('01.08 NTINDA-SPEARMOTORS-24h'!C59,'03.08 NTINDA-SPEARMOTORS-24h'!C59)</f>
        <v>16</v>
      </c>
      <c r="D59" s="49">
        <f>AVERAGE('01.08 NTINDA-SPEARMOTORS-24h'!D59,'03.08 NTINDA-SPEARMOTORS-24h'!D59)</f>
        <v>11.5</v>
      </c>
      <c r="E59" s="49">
        <f>AVERAGE('01.08 NTINDA-SPEARMOTORS-24h'!E59,'03.08 NTINDA-SPEARMOTORS-24h'!E59)</f>
        <v>2.5</v>
      </c>
      <c r="F59" s="49">
        <f>AVERAGE('01.08 NTINDA-SPEARMOTORS-24h'!F59,'03.08 NTINDA-SPEARMOTORS-24h'!F59)</f>
        <v>7.5</v>
      </c>
      <c r="G59" s="49">
        <f>AVERAGE('01.08 NTINDA-SPEARMOTORS-24h'!G59,'03.08 NTINDA-SPEARMOTORS-24h'!G59)</f>
        <v>0</v>
      </c>
      <c r="H59" s="49">
        <f>AVERAGE('01.08 NTINDA-SPEARMOTORS-24h'!H59,'03.08 NTINDA-SPEARMOTORS-24h'!H59)</f>
        <v>0</v>
      </c>
      <c r="I59" s="49">
        <f>AVERAGE('01.08 NTINDA-SPEARMOTORS-24h'!I59,'03.08 NTINDA-SPEARMOTORS-24h'!I59)</f>
        <v>0</v>
      </c>
      <c r="J59" s="49">
        <f>AVERAGE('01.08 NTINDA-SPEARMOTORS-24h'!J59,'03.08 NTINDA-SPEARMOTORS-24h'!J59)</f>
        <v>0.5</v>
      </c>
      <c r="K59" s="49">
        <f>AVERAGE('01.08 NTINDA-SPEARMOTORS-24h'!K59,'03.08 NTINDA-SPEARMOTORS-24h'!K59)</f>
        <v>0</v>
      </c>
      <c r="L59" s="49">
        <f>AVERAGE('01.08 NTINDA-SPEARMOTORS-24h'!L59,'03.08 NTINDA-SPEARMOTORS-24h'!L59)</f>
        <v>1</v>
      </c>
      <c r="M59" s="49">
        <f>AVERAGE('01.08 NTINDA-SPEARMOTORS-24h'!M59,'03.08 NTINDA-SPEARMOTORS-24h'!M59)</f>
        <v>97.5</v>
      </c>
      <c r="N59" s="49">
        <f>AVERAGE('01.08 NTINDA-SPEARMOTORS-24h'!N59,'03.08 NTINDA-SPEARMOTORS-24h'!N59)</f>
        <v>0</v>
      </c>
      <c r="O59" s="15">
        <f t="shared" si="0"/>
        <v>39</v>
      </c>
      <c r="P59" s="15">
        <f t="shared" si="1"/>
        <v>136.5</v>
      </c>
      <c r="R59" s="8"/>
      <c r="T59"/>
    </row>
    <row r="60" spans="2:20" ht="23.1" customHeight="1" x14ac:dyDescent="0.25">
      <c r="B60" s="23" t="s">
        <v>101</v>
      </c>
      <c r="C60" s="49">
        <f>AVERAGE('01.08 NTINDA-SPEARMOTORS-24h'!C60,'03.08 NTINDA-SPEARMOTORS-24h'!C60)</f>
        <v>18.5</v>
      </c>
      <c r="D60" s="49">
        <f>AVERAGE('01.08 NTINDA-SPEARMOTORS-24h'!D60,'03.08 NTINDA-SPEARMOTORS-24h'!D60)</f>
        <v>8.5</v>
      </c>
      <c r="E60" s="49">
        <f>AVERAGE('01.08 NTINDA-SPEARMOTORS-24h'!E60,'03.08 NTINDA-SPEARMOTORS-24h'!E60)</f>
        <v>4.5</v>
      </c>
      <c r="F60" s="49">
        <f>AVERAGE('01.08 NTINDA-SPEARMOTORS-24h'!F60,'03.08 NTINDA-SPEARMOTORS-24h'!F60)</f>
        <v>13</v>
      </c>
      <c r="G60" s="49">
        <f>AVERAGE('01.08 NTINDA-SPEARMOTORS-24h'!G60,'03.08 NTINDA-SPEARMOTORS-24h'!G60)</f>
        <v>0</v>
      </c>
      <c r="H60" s="49">
        <f>AVERAGE('01.08 NTINDA-SPEARMOTORS-24h'!H60,'03.08 NTINDA-SPEARMOTORS-24h'!H60)</f>
        <v>0</v>
      </c>
      <c r="I60" s="49">
        <f>AVERAGE('01.08 NTINDA-SPEARMOTORS-24h'!I60,'03.08 NTINDA-SPEARMOTORS-24h'!I60)</f>
        <v>0.5</v>
      </c>
      <c r="J60" s="49">
        <f>AVERAGE('01.08 NTINDA-SPEARMOTORS-24h'!J60,'03.08 NTINDA-SPEARMOTORS-24h'!J60)</f>
        <v>1.5</v>
      </c>
      <c r="K60" s="49">
        <f>AVERAGE('01.08 NTINDA-SPEARMOTORS-24h'!K60,'03.08 NTINDA-SPEARMOTORS-24h'!K60)</f>
        <v>0.5</v>
      </c>
      <c r="L60" s="49">
        <f>AVERAGE('01.08 NTINDA-SPEARMOTORS-24h'!L60,'03.08 NTINDA-SPEARMOTORS-24h'!L60)</f>
        <v>0.5</v>
      </c>
      <c r="M60" s="49">
        <f>AVERAGE('01.08 NTINDA-SPEARMOTORS-24h'!M60,'03.08 NTINDA-SPEARMOTORS-24h'!M60)</f>
        <v>104</v>
      </c>
      <c r="N60" s="49">
        <f>AVERAGE('01.08 NTINDA-SPEARMOTORS-24h'!N60,'03.08 NTINDA-SPEARMOTORS-24h'!N60)</f>
        <v>0</v>
      </c>
      <c r="O60" s="15">
        <f t="shared" si="0"/>
        <v>47.5</v>
      </c>
      <c r="P60" s="15">
        <f t="shared" si="1"/>
        <v>151.5</v>
      </c>
      <c r="R60" s="8"/>
      <c r="T60"/>
    </row>
    <row r="61" spans="2:20" ht="23.1" customHeight="1" x14ac:dyDescent="0.25">
      <c r="B61" s="23" t="s">
        <v>102</v>
      </c>
      <c r="C61" s="49">
        <f>AVERAGE('01.08 NTINDA-SPEARMOTORS-24h'!C61,'03.08 NTINDA-SPEARMOTORS-24h'!C61)</f>
        <v>14.5</v>
      </c>
      <c r="D61" s="49">
        <f>AVERAGE('01.08 NTINDA-SPEARMOTORS-24h'!D61,'03.08 NTINDA-SPEARMOTORS-24h'!D61)</f>
        <v>8.5</v>
      </c>
      <c r="E61" s="49">
        <f>AVERAGE('01.08 NTINDA-SPEARMOTORS-24h'!E61,'03.08 NTINDA-SPEARMOTORS-24h'!E61)</f>
        <v>5</v>
      </c>
      <c r="F61" s="49">
        <f>AVERAGE('01.08 NTINDA-SPEARMOTORS-24h'!F61,'03.08 NTINDA-SPEARMOTORS-24h'!F61)</f>
        <v>7</v>
      </c>
      <c r="G61" s="49">
        <f>AVERAGE('01.08 NTINDA-SPEARMOTORS-24h'!G61,'03.08 NTINDA-SPEARMOTORS-24h'!G61)</f>
        <v>0</v>
      </c>
      <c r="H61" s="49">
        <f>AVERAGE('01.08 NTINDA-SPEARMOTORS-24h'!H61,'03.08 NTINDA-SPEARMOTORS-24h'!H61)</f>
        <v>0</v>
      </c>
      <c r="I61" s="49">
        <f>AVERAGE('01.08 NTINDA-SPEARMOTORS-24h'!I61,'03.08 NTINDA-SPEARMOTORS-24h'!I61)</f>
        <v>1</v>
      </c>
      <c r="J61" s="49">
        <f>AVERAGE('01.08 NTINDA-SPEARMOTORS-24h'!J61,'03.08 NTINDA-SPEARMOTORS-24h'!J61)</f>
        <v>1</v>
      </c>
      <c r="K61" s="49">
        <f>AVERAGE('01.08 NTINDA-SPEARMOTORS-24h'!K61,'03.08 NTINDA-SPEARMOTORS-24h'!K61)</f>
        <v>0</v>
      </c>
      <c r="L61" s="49">
        <f>AVERAGE('01.08 NTINDA-SPEARMOTORS-24h'!L61,'03.08 NTINDA-SPEARMOTORS-24h'!L61)</f>
        <v>2.5</v>
      </c>
      <c r="M61" s="49">
        <f>AVERAGE('01.08 NTINDA-SPEARMOTORS-24h'!M61,'03.08 NTINDA-SPEARMOTORS-24h'!M61)</f>
        <v>128</v>
      </c>
      <c r="N61" s="49">
        <f>AVERAGE('01.08 NTINDA-SPEARMOTORS-24h'!N61,'03.08 NTINDA-SPEARMOTORS-24h'!N61)</f>
        <v>0</v>
      </c>
      <c r="O61" s="15">
        <f t="shared" si="0"/>
        <v>39.5</v>
      </c>
      <c r="P61" s="15">
        <f t="shared" si="1"/>
        <v>167.5</v>
      </c>
      <c r="R61" s="8"/>
      <c r="T61"/>
    </row>
    <row r="62" spans="2:20" ht="23.1" customHeight="1" x14ac:dyDescent="0.25">
      <c r="B62" s="23" t="s">
        <v>107</v>
      </c>
      <c r="C62" s="49">
        <f>AVERAGE('01.08 NTINDA-SPEARMOTORS-24h'!C62,'03.08 NTINDA-SPEARMOTORS-24h'!C62)</f>
        <v>21.5</v>
      </c>
      <c r="D62" s="49">
        <f>AVERAGE('01.08 NTINDA-SPEARMOTORS-24h'!D62,'03.08 NTINDA-SPEARMOTORS-24h'!D62)</f>
        <v>12.5</v>
      </c>
      <c r="E62" s="49">
        <f>AVERAGE('01.08 NTINDA-SPEARMOTORS-24h'!E62,'03.08 NTINDA-SPEARMOTORS-24h'!E62)</f>
        <v>6</v>
      </c>
      <c r="F62" s="49">
        <f>AVERAGE('01.08 NTINDA-SPEARMOTORS-24h'!F62,'03.08 NTINDA-SPEARMOTORS-24h'!F62)</f>
        <v>14</v>
      </c>
      <c r="G62" s="49">
        <f>AVERAGE('01.08 NTINDA-SPEARMOTORS-24h'!G62,'03.08 NTINDA-SPEARMOTORS-24h'!G62)</f>
        <v>0</v>
      </c>
      <c r="H62" s="49">
        <f>AVERAGE('01.08 NTINDA-SPEARMOTORS-24h'!H62,'03.08 NTINDA-SPEARMOTORS-24h'!H62)</f>
        <v>0</v>
      </c>
      <c r="I62" s="49">
        <f>AVERAGE('01.08 NTINDA-SPEARMOTORS-24h'!I62,'03.08 NTINDA-SPEARMOTORS-24h'!I62)</f>
        <v>0.5</v>
      </c>
      <c r="J62" s="49">
        <f>AVERAGE('01.08 NTINDA-SPEARMOTORS-24h'!J62,'03.08 NTINDA-SPEARMOTORS-24h'!J62)</f>
        <v>0</v>
      </c>
      <c r="K62" s="49">
        <f>AVERAGE('01.08 NTINDA-SPEARMOTORS-24h'!K62,'03.08 NTINDA-SPEARMOTORS-24h'!K62)</f>
        <v>1</v>
      </c>
      <c r="L62" s="49">
        <f>AVERAGE('01.08 NTINDA-SPEARMOTORS-24h'!L62,'03.08 NTINDA-SPEARMOTORS-24h'!L62)</f>
        <v>0.5</v>
      </c>
      <c r="M62" s="49">
        <f>AVERAGE('01.08 NTINDA-SPEARMOTORS-24h'!M62,'03.08 NTINDA-SPEARMOTORS-24h'!M62)</f>
        <v>96.5</v>
      </c>
      <c r="N62" s="49">
        <f>AVERAGE('01.08 NTINDA-SPEARMOTORS-24h'!N62,'03.08 NTINDA-SPEARMOTORS-24h'!N62)</f>
        <v>0</v>
      </c>
      <c r="O62" s="15">
        <f t="shared" si="0"/>
        <v>56</v>
      </c>
      <c r="P62" s="15">
        <f t="shared" si="1"/>
        <v>152.5</v>
      </c>
      <c r="R62" s="8"/>
      <c r="T62"/>
    </row>
    <row r="63" spans="2:20" ht="23.1" customHeight="1" x14ac:dyDescent="0.25">
      <c r="B63" s="23" t="s">
        <v>108</v>
      </c>
      <c r="C63" s="49">
        <f>AVERAGE('01.08 NTINDA-SPEARMOTORS-24h'!C63,'03.08 NTINDA-SPEARMOTORS-24h'!C63)</f>
        <v>15.5</v>
      </c>
      <c r="D63" s="49">
        <f>AVERAGE('01.08 NTINDA-SPEARMOTORS-24h'!D63,'03.08 NTINDA-SPEARMOTORS-24h'!D63)</f>
        <v>11</v>
      </c>
      <c r="E63" s="49">
        <f>AVERAGE('01.08 NTINDA-SPEARMOTORS-24h'!E63,'03.08 NTINDA-SPEARMOTORS-24h'!E63)</f>
        <v>2</v>
      </c>
      <c r="F63" s="49">
        <f>AVERAGE('01.08 NTINDA-SPEARMOTORS-24h'!F63,'03.08 NTINDA-SPEARMOTORS-24h'!F63)</f>
        <v>13.5</v>
      </c>
      <c r="G63" s="49">
        <f>AVERAGE('01.08 NTINDA-SPEARMOTORS-24h'!G63,'03.08 NTINDA-SPEARMOTORS-24h'!G63)</f>
        <v>0</v>
      </c>
      <c r="H63" s="49">
        <f>AVERAGE('01.08 NTINDA-SPEARMOTORS-24h'!H63,'03.08 NTINDA-SPEARMOTORS-24h'!H63)</f>
        <v>0</v>
      </c>
      <c r="I63" s="49">
        <f>AVERAGE('01.08 NTINDA-SPEARMOTORS-24h'!I63,'03.08 NTINDA-SPEARMOTORS-24h'!I63)</f>
        <v>2</v>
      </c>
      <c r="J63" s="49">
        <f>AVERAGE('01.08 NTINDA-SPEARMOTORS-24h'!J63,'03.08 NTINDA-SPEARMOTORS-24h'!J63)</f>
        <v>0</v>
      </c>
      <c r="K63" s="49">
        <f>AVERAGE('01.08 NTINDA-SPEARMOTORS-24h'!K63,'03.08 NTINDA-SPEARMOTORS-24h'!K63)</f>
        <v>0</v>
      </c>
      <c r="L63" s="49">
        <f>AVERAGE('01.08 NTINDA-SPEARMOTORS-24h'!L63,'03.08 NTINDA-SPEARMOTORS-24h'!L63)</f>
        <v>0.5</v>
      </c>
      <c r="M63" s="49">
        <f>AVERAGE('01.08 NTINDA-SPEARMOTORS-24h'!M63,'03.08 NTINDA-SPEARMOTORS-24h'!M63)</f>
        <v>109.5</v>
      </c>
      <c r="N63" s="49">
        <f>AVERAGE('01.08 NTINDA-SPEARMOTORS-24h'!N63,'03.08 NTINDA-SPEARMOTORS-24h'!N63)</f>
        <v>0</v>
      </c>
      <c r="O63" s="15">
        <f t="shared" si="0"/>
        <v>44.5</v>
      </c>
      <c r="P63" s="15">
        <f t="shared" si="1"/>
        <v>154</v>
      </c>
      <c r="R63" s="8"/>
      <c r="T63"/>
    </row>
    <row r="64" spans="2:20" ht="23.1" customHeight="1" x14ac:dyDescent="0.25">
      <c r="B64" s="23" t="s">
        <v>109</v>
      </c>
      <c r="C64" s="49">
        <f>AVERAGE('01.08 NTINDA-SPEARMOTORS-24h'!C64,'03.08 NTINDA-SPEARMOTORS-24h'!C64)</f>
        <v>16</v>
      </c>
      <c r="D64" s="49">
        <f>AVERAGE('01.08 NTINDA-SPEARMOTORS-24h'!D64,'03.08 NTINDA-SPEARMOTORS-24h'!D64)</f>
        <v>7</v>
      </c>
      <c r="E64" s="49">
        <f>AVERAGE('01.08 NTINDA-SPEARMOTORS-24h'!E64,'03.08 NTINDA-SPEARMOTORS-24h'!E64)</f>
        <v>0.5</v>
      </c>
      <c r="F64" s="49">
        <f>AVERAGE('01.08 NTINDA-SPEARMOTORS-24h'!F64,'03.08 NTINDA-SPEARMOTORS-24h'!F64)</f>
        <v>8</v>
      </c>
      <c r="G64" s="49">
        <f>AVERAGE('01.08 NTINDA-SPEARMOTORS-24h'!G64,'03.08 NTINDA-SPEARMOTORS-24h'!G64)</f>
        <v>0</v>
      </c>
      <c r="H64" s="49">
        <f>AVERAGE('01.08 NTINDA-SPEARMOTORS-24h'!H64,'03.08 NTINDA-SPEARMOTORS-24h'!H64)</f>
        <v>0</v>
      </c>
      <c r="I64" s="49">
        <f>AVERAGE('01.08 NTINDA-SPEARMOTORS-24h'!I64,'03.08 NTINDA-SPEARMOTORS-24h'!I64)</f>
        <v>1</v>
      </c>
      <c r="J64" s="49">
        <f>AVERAGE('01.08 NTINDA-SPEARMOTORS-24h'!J64,'03.08 NTINDA-SPEARMOTORS-24h'!J64)</f>
        <v>0.5</v>
      </c>
      <c r="K64" s="49">
        <f>AVERAGE('01.08 NTINDA-SPEARMOTORS-24h'!K64,'03.08 NTINDA-SPEARMOTORS-24h'!K64)</f>
        <v>0</v>
      </c>
      <c r="L64" s="49">
        <f>AVERAGE('01.08 NTINDA-SPEARMOTORS-24h'!L64,'03.08 NTINDA-SPEARMOTORS-24h'!L64)</f>
        <v>0</v>
      </c>
      <c r="M64" s="49">
        <f>AVERAGE('01.08 NTINDA-SPEARMOTORS-24h'!M64,'03.08 NTINDA-SPEARMOTORS-24h'!M64)</f>
        <v>106</v>
      </c>
      <c r="N64" s="49">
        <f>AVERAGE('01.08 NTINDA-SPEARMOTORS-24h'!N64,'03.08 NTINDA-SPEARMOTORS-24h'!N64)</f>
        <v>0</v>
      </c>
      <c r="O64" s="15">
        <f t="shared" si="0"/>
        <v>33</v>
      </c>
      <c r="P64" s="15">
        <f t="shared" si="1"/>
        <v>139</v>
      </c>
      <c r="R64" s="8"/>
      <c r="T64"/>
    </row>
    <row r="65" spans="2:20" ht="23.1" customHeight="1" x14ac:dyDescent="0.25">
      <c r="B65" s="23" t="s">
        <v>158</v>
      </c>
      <c r="C65" s="49">
        <f>AVERAGE('01.08 NTINDA-SPEARMOTORS-24h'!C65,'03.08 NTINDA-SPEARMOTORS-24h'!C65)</f>
        <v>16.5</v>
      </c>
      <c r="D65" s="49">
        <f>AVERAGE('01.08 NTINDA-SPEARMOTORS-24h'!D65,'03.08 NTINDA-SPEARMOTORS-24h'!D65)</f>
        <v>12</v>
      </c>
      <c r="E65" s="49">
        <f>AVERAGE('01.08 NTINDA-SPEARMOTORS-24h'!E65,'03.08 NTINDA-SPEARMOTORS-24h'!E65)</f>
        <v>3</v>
      </c>
      <c r="F65" s="49">
        <f>AVERAGE('01.08 NTINDA-SPEARMOTORS-24h'!F65,'03.08 NTINDA-SPEARMOTORS-24h'!F65)</f>
        <v>10.5</v>
      </c>
      <c r="G65" s="49">
        <f>AVERAGE('01.08 NTINDA-SPEARMOTORS-24h'!G65,'03.08 NTINDA-SPEARMOTORS-24h'!G65)</f>
        <v>0</v>
      </c>
      <c r="H65" s="49">
        <f>AVERAGE('01.08 NTINDA-SPEARMOTORS-24h'!H65,'03.08 NTINDA-SPEARMOTORS-24h'!H65)</f>
        <v>0</v>
      </c>
      <c r="I65" s="49">
        <f>AVERAGE('01.08 NTINDA-SPEARMOTORS-24h'!I65,'03.08 NTINDA-SPEARMOTORS-24h'!I65)</f>
        <v>1</v>
      </c>
      <c r="J65" s="49">
        <f>AVERAGE('01.08 NTINDA-SPEARMOTORS-24h'!J65,'03.08 NTINDA-SPEARMOTORS-24h'!J65)</f>
        <v>0.5</v>
      </c>
      <c r="K65" s="49">
        <f>AVERAGE('01.08 NTINDA-SPEARMOTORS-24h'!K65,'03.08 NTINDA-SPEARMOTORS-24h'!K65)</f>
        <v>0.5</v>
      </c>
      <c r="L65" s="49">
        <f>AVERAGE('01.08 NTINDA-SPEARMOTORS-24h'!L65,'03.08 NTINDA-SPEARMOTORS-24h'!L65)</f>
        <v>0</v>
      </c>
      <c r="M65" s="49">
        <f>AVERAGE('01.08 NTINDA-SPEARMOTORS-24h'!M65,'03.08 NTINDA-SPEARMOTORS-24h'!M65)</f>
        <v>82</v>
      </c>
      <c r="N65" s="49">
        <f>AVERAGE('01.08 NTINDA-SPEARMOTORS-24h'!N65,'03.08 NTINDA-SPEARMOTORS-24h'!N65)</f>
        <v>0</v>
      </c>
      <c r="O65" s="15">
        <f t="shared" si="0"/>
        <v>44</v>
      </c>
      <c r="P65" s="15">
        <f t="shared" si="1"/>
        <v>126</v>
      </c>
      <c r="R65" s="8"/>
      <c r="T65"/>
    </row>
    <row r="66" spans="2:20" ht="23.1" customHeight="1" x14ac:dyDescent="0.25">
      <c r="B66" s="23" t="s">
        <v>103</v>
      </c>
      <c r="C66" s="49">
        <f>AVERAGE('01.08 NTINDA-SPEARMOTORS-24h'!C66,'03.08 NTINDA-SPEARMOTORS-24h'!C66)</f>
        <v>22</v>
      </c>
      <c r="D66" s="49">
        <f>AVERAGE('01.08 NTINDA-SPEARMOTORS-24h'!D66,'03.08 NTINDA-SPEARMOTORS-24h'!D66)</f>
        <v>10</v>
      </c>
      <c r="E66" s="49">
        <f>AVERAGE('01.08 NTINDA-SPEARMOTORS-24h'!E66,'03.08 NTINDA-SPEARMOTORS-24h'!E66)</f>
        <v>6</v>
      </c>
      <c r="F66" s="49">
        <f>AVERAGE('01.08 NTINDA-SPEARMOTORS-24h'!F66,'03.08 NTINDA-SPEARMOTORS-24h'!F66)</f>
        <v>12</v>
      </c>
      <c r="G66" s="49">
        <f>AVERAGE('01.08 NTINDA-SPEARMOTORS-24h'!G66,'03.08 NTINDA-SPEARMOTORS-24h'!G66)</f>
        <v>0</v>
      </c>
      <c r="H66" s="49">
        <f>AVERAGE('01.08 NTINDA-SPEARMOTORS-24h'!H66,'03.08 NTINDA-SPEARMOTORS-24h'!H66)</f>
        <v>0</v>
      </c>
      <c r="I66" s="49">
        <f>AVERAGE('01.08 NTINDA-SPEARMOTORS-24h'!I66,'03.08 NTINDA-SPEARMOTORS-24h'!I66)</f>
        <v>1</v>
      </c>
      <c r="J66" s="49">
        <f>AVERAGE('01.08 NTINDA-SPEARMOTORS-24h'!J66,'03.08 NTINDA-SPEARMOTORS-24h'!J66)</f>
        <v>1</v>
      </c>
      <c r="K66" s="49">
        <f>AVERAGE('01.08 NTINDA-SPEARMOTORS-24h'!K66,'03.08 NTINDA-SPEARMOTORS-24h'!K66)</f>
        <v>0</v>
      </c>
      <c r="L66" s="49">
        <f>AVERAGE('01.08 NTINDA-SPEARMOTORS-24h'!L66,'03.08 NTINDA-SPEARMOTORS-24h'!L66)</f>
        <v>0.5</v>
      </c>
      <c r="M66" s="49">
        <f>AVERAGE('01.08 NTINDA-SPEARMOTORS-24h'!M66,'03.08 NTINDA-SPEARMOTORS-24h'!M66)</f>
        <v>88</v>
      </c>
      <c r="N66" s="49">
        <f>AVERAGE('01.08 NTINDA-SPEARMOTORS-24h'!N66,'03.08 NTINDA-SPEARMOTORS-24h'!N66)</f>
        <v>0</v>
      </c>
      <c r="O66" s="15">
        <f t="shared" si="0"/>
        <v>52.5</v>
      </c>
      <c r="P66" s="15">
        <f t="shared" si="1"/>
        <v>140.5</v>
      </c>
      <c r="R66" s="8"/>
      <c r="T66"/>
    </row>
    <row r="67" spans="2:20" ht="23.1" customHeight="1" x14ac:dyDescent="0.25">
      <c r="B67" s="23" t="s">
        <v>104</v>
      </c>
      <c r="C67" s="49">
        <f>AVERAGE('01.08 NTINDA-SPEARMOTORS-24h'!C67,'03.08 NTINDA-SPEARMOTORS-24h'!C67)</f>
        <v>10</v>
      </c>
      <c r="D67" s="49">
        <f>AVERAGE('01.08 NTINDA-SPEARMOTORS-24h'!D67,'03.08 NTINDA-SPEARMOTORS-24h'!D67)</f>
        <v>12.5</v>
      </c>
      <c r="E67" s="49">
        <f>AVERAGE('01.08 NTINDA-SPEARMOTORS-24h'!E67,'03.08 NTINDA-SPEARMOTORS-24h'!E67)</f>
        <v>3</v>
      </c>
      <c r="F67" s="49">
        <f>AVERAGE('01.08 NTINDA-SPEARMOTORS-24h'!F67,'03.08 NTINDA-SPEARMOTORS-24h'!F67)</f>
        <v>6.5</v>
      </c>
      <c r="G67" s="49">
        <f>AVERAGE('01.08 NTINDA-SPEARMOTORS-24h'!G67,'03.08 NTINDA-SPEARMOTORS-24h'!G67)</f>
        <v>0</v>
      </c>
      <c r="H67" s="49">
        <f>AVERAGE('01.08 NTINDA-SPEARMOTORS-24h'!H67,'03.08 NTINDA-SPEARMOTORS-24h'!H67)</f>
        <v>0</v>
      </c>
      <c r="I67" s="49">
        <f>AVERAGE('01.08 NTINDA-SPEARMOTORS-24h'!I67,'03.08 NTINDA-SPEARMOTORS-24h'!I67)</f>
        <v>0.5</v>
      </c>
      <c r="J67" s="49">
        <f>AVERAGE('01.08 NTINDA-SPEARMOTORS-24h'!J67,'03.08 NTINDA-SPEARMOTORS-24h'!J67)</f>
        <v>0.5</v>
      </c>
      <c r="K67" s="49">
        <f>AVERAGE('01.08 NTINDA-SPEARMOTORS-24h'!K67,'03.08 NTINDA-SPEARMOTORS-24h'!K67)</f>
        <v>0</v>
      </c>
      <c r="L67" s="49">
        <f>AVERAGE('01.08 NTINDA-SPEARMOTORS-24h'!L67,'03.08 NTINDA-SPEARMOTORS-24h'!L67)</f>
        <v>0</v>
      </c>
      <c r="M67" s="49">
        <f>AVERAGE('01.08 NTINDA-SPEARMOTORS-24h'!M67,'03.08 NTINDA-SPEARMOTORS-24h'!M67)</f>
        <v>79</v>
      </c>
      <c r="N67" s="49">
        <f>AVERAGE('01.08 NTINDA-SPEARMOTORS-24h'!N67,'03.08 NTINDA-SPEARMOTORS-24h'!N67)</f>
        <v>0</v>
      </c>
      <c r="O67" s="15">
        <f t="shared" si="0"/>
        <v>33</v>
      </c>
      <c r="P67" s="15">
        <f t="shared" si="1"/>
        <v>112</v>
      </c>
      <c r="R67" s="8"/>
      <c r="T67"/>
    </row>
    <row r="68" spans="2:20" ht="23.1" customHeight="1" x14ac:dyDescent="0.25">
      <c r="B68" s="23" t="s">
        <v>105</v>
      </c>
      <c r="C68" s="49">
        <f>AVERAGE('01.08 NTINDA-SPEARMOTORS-24h'!C68,'03.08 NTINDA-SPEARMOTORS-24h'!C68)</f>
        <v>25</v>
      </c>
      <c r="D68" s="49">
        <f>AVERAGE('01.08 NTINDA-SPEARMOTORS-24h'!D68,'03.08 NTINDA-SPEARMOTORS-24h'!D68)</f>
        <v>9.5</v>
      </c>
      <c r="E68" s="49">
        <f>AVERAGE('01.08 NTINDA-SPEARMOTORS-24h'!E68,'03.08 NTINDA-SPEARMOTORS-24h'!E68)</f>
        <v>3.5</v>
      </c>
      <c r="F68" s="49">
        <f>AVERAGE('01.08 NTINDA-SPEARMOTORS-24h'!F68,'03.08 NTINDA-SPEARMOTORS-24h'!F68)</f>
        <v>6.5</v>
      </c>
      <c r="G68" s="49">
        <f>AVERAGE('01.08 NTINDA-SPEARMOTORS-24h'!G68,'03.08 NTINDA-SPEARMOTORS-24h'!G68)</f>
        <v>0</v>
      </c>
      <c r="H68" s="49">
        <f>AVERAGE('01.08 NTINDA-SPEARMOTORS-24h'!H68,'03.08 NTINDA-SPEARMOTORS-24h'!H68)</f>
        <v>0</v>
      </c>
      <c r="I68" s="49">
        <f>AVERAGE('01.08 NTINDA-SPEARMOTORS-24h'!I68,'03.08 NTINDA-SPEARMOTORS-24h'!I68)</f>
        <v>1</v>
      </c>
      <c r="J68" s="49">
        <f>AVERAGE('01.08 NTINDA-SPEARMOTORS-24h'!J68,'03.08 NTINDA-SPEARMOTORS-24h'!J68)</f>
        <v>0</v>
      </c>
      <c r="K68" s="49">
        <f>AVERAGE('01.08 NTINDA-SPEARMOTORS-24h'!K68,'03.08 NTINDA-SPEARMOTORS-24h'!K68)</f>
        <v>0</v>
      </c>
      <c r="L68" s="49">
        <f>AVERAGE('01.08 NTINDA-SPEARMOTORS-24h'!L68,'03.08 NTINDA-SPEARMOTORS-24h'!L68)</f>
        <v>0</v>
      </c>
      <c r="M68" s="49">
        <f>AVERAGE('01.08 NTINDA-SPEARMOTORS-24h'!M68,'03.08 NTINDA-SPEARMOTORS-24h'!M68)</f>
        <v>87.5</v>
      </c>
      <c r="N68" s="49">
        <f>AVERAGE('01.08 NTINDA-SPEARMOTORS-24h'!N68,'03.08 NTINDA-SPEARMOTORS-24h'!N68)</f>
        <v>0</v>
      </c>
      <c r="O68" s="15">
        <f t="shared" si="0"/>
        <v>45.5</v>
      </c>
      <c r="P68" s="15">
        <f t="shared" si="1"/>
        <v>133</v>
      </c>
      <c r="R68" s="8"/>
      <c r="T68"/>
    </row>
    <row r="69" spans="2:20" ht="23.1" customHeight="1" x14ac:dyDescent="0.25">
      <c r="B69" s="23" t="s">
        <v>106</v>
      </c>
      <c r="C69" s="49">
        <f>AVERAGE('01.08 NTINDA-SPEARMOTORS-24h'!C69,'03.08 NTINDA-SPEARMOTORS-24h'!C69)</f>
        <v>21</v>
      </c>
      <c r="D69" s="49">
        <f>AVERAGE('01.08 NTINDA-SPEARMOTORS-24h'!D69,'03.08 NTINDA-SPEARMOTORS-24h'!D69)</f>
        <v>14</v>
      </c>
      <c r="E69" s="49">
        <f>AVERAGE('01.08 NTINDA-SPEARMOTORS-24h'!E69,'03.08 NTINDA-SPEARMOTORS-24h'!E69)</f>
        <v>1.5</v>
      </c>
      <c r="F69" s="49">
        <f>AVERAGE('01.08 NTINDA-SPEARMOTORS-24h'!F69,'03.08 NTINDA-SPEARMOTORS-24h'!F69)</f>
        <v>7.5</v>
      </c>
      <c r="G69" s="49">
        <f>AVERAGE('01.08 NTINDA-SPEARMOTORS-24h'!G69,'03.08 NTINDA-SPEARMOTORS-24h'!G69)</f>
        <v>0</v>
      </c>
      <c r="H69" s="49">
        <f>AVERAGE('01.08 NTINDA-SPEARMOTORS-24h'!H69,'03.08 NTINDA-SPEARMOTORS-24h'!H69)</f>
        <v>0</v>
      </c>
      <c r="I69" s="49">
        <f>AVERAGE('01.08 NTINDA-SPEARMOTORS-24h'!I69,'03.08 NTINDA-SPEARMOTORS-24h'!I69)</f>
        <v>0.5</v>
      </c>
      <c r="J69" s="49">
        <f>AVERAGE('01.08 NTINDA-SPEARMOTORS-24h'!J69,'03.08 NTINDA-SPEARMOTORS-24h'!J69)</f>
        <v>0</v>
      </c>
      <c r="K69" s="49">
        <f>AVERAGE('01.08 NTINDA-SPEARMOTORS-24h'!K69,'03.08 NTINDA-SPEARMOTORS-24h'!K69)</f>
        <v>0</v>
      </c>
      <c r="L69" s="49">
        <f>AVERAGE('01.08 NTINDA-SPEARMOTORS-24h'!L69,'03.08 NTINDA-SPEARMOTORS-24h'!L69)</f>
        <v>1</v>
      </c>
      <c r="M69" s="49">
        <f>AVERAGE('01.08 NTINDA-SPEARMOTORS-24h'!M69,'03.08 NTINDA-SPEARMOTORS-24h'!M69)</f>
        <v>86</v>
      </c>
      <c r="N69" s="49">
        <f>AVERAGE('01.08 NTINDA-SPEARMOTORS-24h'!N69,'03.08 NTINDA-SPEARMOTORS-24h'!N69)</f>
        <v>0</v>
      </c>
      <c r="O69" s="15">
        <f t="shared" si="0"/>
        <v>45.5</v>
      </c>
      <c r="P69" s="15">
        <f t="shared" si="1"/>
        <v>131.5</v>
      </c>
      <c r="R69" s="8"/>
      <c r="T69"/>
    </row>
    <row r="70" spans="2:20" ht="23.1" customHeight="1" x14ac:dyDescent="0.25">
      <c r="B70" s="23" t="s">
        <v>110</v>
      </c>
      <c r="C70" s="49">
        <f>AVERAGE('01.08 NTINDA-SPEARMOTORS-24h'!C70,'03.08 NTINDA-SPEARMOTORS-24h'!C70)</f>
        <v>19</v>
      </c>
      <c r="D70" s="49">
        <f>AVERAGE('01.08 NTINDA-SPEARMOTORS-24h'!D70,'03.08 NTINDA-SPEARMOTORS-24h'!D70)</f>
        <v>10.5</v>
      </c>
      <c r="E70" s="49">
        <f>AVERAGE('01.08 NTINDA-SPEARMOTORS-24h'!E70,'03.08 NTINDA-SPEARMOTORS-24h'!E70)</f>
        <v>2.5</v>
      </c>
      <c r="F70" s="49">
        <f>AVERAGE('01.08 NTINDA-SPEARMOTORS-24h'!F70,'03.08 NTINDA-SPEARMOTORS-24h'!F70)</f>
        <v>6</v>
      </c>
      <c r="G70" s="49">
        <f>AVERAGE('01.08 NTINDA-SPEARMOTORS-24h'!G70,'03.08 NTINDA-SPEARMOTORS-24h'!G70)</f>
        <v>0</v>
      </c>
      <c r="H70" s="49">
        <f>AVERAGE('01.08 NTINDA-SPEARMOTORS-24h'!H70,'03.08 NTINDA-SPEARMOTORS-24h'!H70)</f>
        <v>0.5</v>
      </c>
      <c r="I70" s="49">
        <f>AVERAGE('01.08 NTINDA-SPEARMOTORS-24h'!I70,'03.08 NTINDA-SPEARMOTORS-24h'!I70)</f>
        <v>0.5</v>
      </c>
      <c r="J70" s="49">
        <f>AVERAGE('01.08 NTINDA-SPEARMOTORS-24h'!J70,'03.08 NTINDA-SPEARMOTORS-24h'!J70)</f>
        <v>0.5</v>
      </c>
      <c r="K70" s="49">
        <f>AVERAGE('01.08 NTINDA-SPEARMOTORS-24h'!K70,'03.08 NTINDA-SPEARMOTORS-24h'!K70)</f>
        <v>0</v>
      </c>
      <c r="L70" s="49">
        <f>AVERAGE('01.08 NTINDA-SPEARMOTORS-24h'!L70,'03.08 NTINDA-SPEARMOTORS-24h'!L70)</f>
        <v>0.5</v>
      </c>
      <c r="M70" s="49">
        <f>AVERAGE('01.08 NTINDA-SPEARMOTORS-24h'!M70,'03.08 NTINDA-SPEARMOTORS-24h'!M70)</f>
        <v>85</v>
      </c>
      <c r="N70" s="49">
        <f>AVERAGE('01.08 NTINDA-SPEARMOTORS-24h'!N70,'03.08 NTINDA-SPEARMOTORS-24h'!N70)</f>
        <v>0</v>
      </c>
      <c r="O70" s="15">
        <f t="shared" si="0"/>
        <v>40</v>
      </c>
      <c r="P70" s="15">
        <f t="shared" si="1"/>
        <v>125</v>
      </c>
      <c r="R70" s="8"/>
      <c r="T70"/>
    </row>
    <row r="71" spans="2:20" ht="23.1" customHeight="1" x14ac:dyDescent="0.25">
      <c r="B71" s="23" t="s">
        <v>111</v>
      </c>
      <c r="C71" s="49">
        <f>AVERAGE('01.08 NTINDA-SPEARMOTORS-24h'!C71,'03.08 NTINDA-SPEARMOTORS-24h'!C71)</f>
        <v>22.5</v>
      </c>
      <c r="D71" s="49">
        <f>AVERAGE('01.08 NTINDA-SPEARMOTORS-24h'!D71,'03.08 NTINDA-SPEARMOTORS-24h'!D71)</f>
        <v>7.5</v>
      </c>
      <c r="E71" s="49">
        <f>AVERAGE('01.08 NTINDA-SPEARMOTORS-24h'!E71,'03.08 NTINDA-SPEARMOTORS-24h'!E71)</f>
        <v>3.5</v>
      </c>
      <c r="F71" s="49">
        <f>AVERAGE('01.08 NTINDA-SPEARMOTORS-24h'!F71,'03.08 NTINDA-SPEARMOTORS-24h'!F71)</f>
        <v>4.5</v>
      </c>
      <c r="G71" s="49">
        <f>AVERAGE('01.08 NTINDA-SPEARMOTORS-24h'!G71,'03.08 NTINDA-SPEARMOTORS-24h'!G71)</f>
        <v>0</v>
      </c>
      <c r="H71" s="49">
        <f>AVERAGE('01.08 NTINDA-SPEARMOTORS-24h'!H71,'03.08 NTINDA-SPEARMOTORS-24h'!H71)</f>
        <v>0</v>
      </c>
      <c r="I71" s="49">
        <f>AVERAGE('01.08 NTINDA-SPEARMOTORS-24h'!I71,'03.08 NTINDA-SPEARMOTORS-24h'!I71)</f>
        <v>0.5</v>
      </c>
      <c r="J71" s="49">
        <f>AVERAGE('01.08 NTINDA-SPEARMOTORS-24h'!J71,'03.08 NTINDA-SPEARMOTORS-24h'!J71)</f>
        <v>0.5</v>
      </c>
      <c r="K71" s="49">
        <f>AVERAGE('01.08 NTINDA-SPEARMOTORS-24h'!K71,'03.08 NTINDA-SPEARMOTORS-24h'!K71)</f>
        <v>0.5</v>
      </c>
      <c r="L71" s="49">
        <f>AVERAGE('01.08 NTINDA-SPEARMOTORS-24h'!L71,'03.08 NTINDA-SPEARMOTORS-24h'!L71)</f>
        <v>0</v>
      </c>
      <c r="M71" s="49">
        <f>AVERAGE('01.08 NTINDA-SPEARMOTORS-24h'!M71,'03.08 NTINDA-SPEARMOTORS-24h'!M71)</f>
        <v>62.5</v>
      </c>
      <c r="N71" s="49">
        <f>AVERAGE('01.08 NTINDA-SPEARMOTORS-24h'!N71,'03.08 NTINDA-SPEARMOTORS-24h'!N71)</f>
        <v>0</v>
      </c>
      <c r="O71" s="15">
        <f t="shared" si="0"/>
        <v>39.5</v>
      </c>
      <c r="P71" s="15">
        <f t="shared" si="1"/>
        <v>102</v>
      </c>
      <c r="R71" s="8"/>
      <c r="T71"/>
    </row>
    <row r="72" spans="2:20" ht="23.1" customHeight="1" x14ac:dyDescent="0.25">
      <c r="B72" s="23" t="s">
        <v>112</v>
      </c>
      <c r="C72" s="49">
        <f>AVERAGE('01.08 NTINDA-SPEARMOTORS-24h'!C72,'03.08 NTINDA-SPEARMOTORS-24h'!C72)</f>
        <v>21</v>
      </c>
      <c r="D72" s="49">
        <f>AVERAGE('01.08 NTINDA-SPEARMOTORS-24h'!D72,'03.08 NTINDA-SPEARMOTORS-24h'!D72)</f>
        <v>15</v>
      </c>
      <c r="E72" s="49">
        <f>AVERAGE('01.08 NTINDA-SPEARMOTORS-24h'!E72,'03.08 NTINDA-SPEARMOTORS-24h'!E72)</f>
        <v>3.5</v>
      </c>
      <c r="F72" s="49">
        <f>AVERAGE('01.08 NTINDA-SPEARMOTORS-24h'!F72,'03.08 NTINDA-SPEARMOTORS-24h'!F72)</f>
        <v>5.5</v>
      </c>
      <c r="G72" s="49">
        <f>AVERAGE('01.08 NTINDA-SPEARMOTORS-24h'!G72,'03.08 NTINDA-SPEARMOTORS-24h'!G72)</f>
        <v>0</v>
      </c>
      <c r="H72" s="49">
        <f>AVERAGE('01.08 NTINDA-SPEARMOTORS-24h'!H72,'03.08 NTINDA-SPEARMOTORS-24h'!H72)</f>
        <v>0</v>
      </c>
      <c r="I72" s="49">
        <f>AVERAGE('01.08 NTINDA-SPEARMOTORS-24h'!I72,'03.08 NTINDA-SPEARMOTORS-24h'!I72)</f>
        <v>0.5</v>
      </c>
      <c r="J72" s="49">
        <f>AVERAGE('01.08 NTINDA-SPEARMOTORS-24h'!J72,'03.08 NTINDA-SPEARMOTORS-24h'!J72)</f>
        <v>0</v>
      </c>
      <c r="K72" s="49">
        <f>AVERAGE('01.08 NTINDA-SPEARMOTORS-24h'!K72,'03.08 NTINDA-SPEARMOTORS-24h'!K72)</f>
        <v>0</v>
      </c>
      <c r="L72" s="49">
        <f>AVERAGE('01.08 NTINDA-SPEARMOTORS-24h'!L72,'03.08 NTINDA-SPEARMOTORS-24h'!L72)</f>
        <v>0.5</v>
      </c>
      <c r="M72" s="49">
        <f>AVERAGE('01.08 NTINDA-SPEARMOTORS-24h'!M72,'03.08 NTINDA-SPEARMOTORS-24h'!M72)</f>
        <v>91</v>
      </c>
      <c r="N72" s="49">
        <f>AVERAGE('01.08 NTINDA-SPEARMOTORS-24h'!N72,'03.08 NTINDA-SPEARMOTORS-24h'!N72)</f>
        <v>0</v>
      </c>
      <c r="O72" s="15">
        <f t="shared" si="0"/>
        <v>46</v>
      </c>
      <c r="P72" s="15">
        <f t="shared" si="1"/>
        <v>137</v>
      </c>
      <c r="R72" s="8"/>
      <c r="T72"/>
    </row>
    <row r="73" spans="2:20" ht="23.1" customHeight="1" x14ac:dyDescent="0.25">
      <c r="B73" s="23" t="s">
        <v>113</v>
      </c>
      <c r="C73" s="49">
        <f>AVERAGE('01.08 NTINDA-SPEARMOTORS-24h'!C73,'03.08 NTINDA-SPEARMOTORS-24h'!C73)</f>
        <v>15</v>
      </c>
      <c r="D73" s="49">
        <f>AVERAGE('01.08 NTINDA-SPEARMOTORS-24h'!D73,'03.08 NTINDA-SPEARMOTORS-24h'!D73)</f>
        <v>13</v>
      </c>
      <c r="E73" s="49">
        <f>AVERAGE('01.08 NTINDA-SPEARMOTORS-24h'!E73,'03.08 NTINDA-SPEARMOTORS-24h'!E73)</f>
        <v>1</v>
      </c>
      <c r="F73" s="49">
        <f>AVERAGE('01.08 NTINDA-SPEARMOTORS-24h'!F73,'03.08 NTINDA-SPEARMOTORS-24h'!F73)</f>
        <v>4</v>
      </c>
      <c r="G73" s="49">
        <f>AVERAGE('01.08 NTINDA-SPEARMOTORS-24h'!G73,'03.08 NTINDA-SPEARMOTORS-24h'!G73)</f>
        <v>0</v>
      </c>
      <c r="H73" s="49">
        <f>AVERAGE('01.08 NTINDA-SPEARMOTORS-24h'!H73,'03.08 NTINDA-SPEARMOTORS-24h'!H73)</f>
        <v>0</v>
      </c>
      <c r="I73" s="49">
        <f>AVERAGE('01.08 NTINDA-SPEARMOTORS-24h'!I73,'03.08 NTINDA-SPEARMOTORS-24h'!I73)</f>
        <v>0</v>
      </c>
      <c r="J73" s="49">
        <f>AVERAGE('01.08 NTINDA-SPEARMOTORS-24h'!J73,'03.08 NTINDA-SPEARMOTORS-24h'!J73)</f>
        <v>0</v>
      </c>
      <c r="K73" s="49">
        <f>AVERAGE('01.08 NTINDA-SPEARMOTORS-24h'!K73,'03.08 NTINDA-SPEARMOTORS-24h'!K73)</f>
        <v>0.5</v>
      </c>
      <c r="L73" s="49">
        <f>AVERAGE('01.08 NTINDA-SPEARMOTORS-24h'!L73,'03.08 NTINDA-SPEARMOTORS-24h'!L73)</f>
        <v>0</v>
      </c>
      <c r="M73" s="49">
        <f>AVERAGE('01.08 NTINDA-SPEARMOTORS-24h'!M73,'03.08 NTINDA-SPEARMOTORS-24h'!M73)</f>
        <v>64</v>
      </c>
      <c r="N73" s="49">
        <f>AVERAGE('01.08 NTINDA-SPEARMOTORS-24h'!N73,'03.08 NTINDA-SPEARMOTORS-24h'!N73)</f>
        <v>0</v>
      </c>
      <c r="O73" s="15">
        <f t="shared" si="0"/>
        <v>33.5</v>
      </c>
      <c r="P73" s="15">
        <f t="shared" si="1"/>
        <v>97.5</v>
      </c>
      <c r="R73" s="8"/>
      <c r="T73"/>
    </row>
    <row r="74" spans="2:20" ht="23.1" customHeight="1" x14ac:dyDescent="0.25">
      <c r="B74" s="23" t="s">
        <v>114</v>
      </c>
      <c r="C74" s="49">
        <f>AVERAGE('01.08 NTINDA-SPEARMOTORS-24h'!C74,'03.08 NTINDA-SPEARMOTORS-24h'!C74)</f>
        <v>19</v>
      </c>
      <c r="D74" s="49">
        <f>AVERAGE('01.08 NTINDA-SPEARMOTORS-24h'!D74,'03.08 NTINDA-SPEARMOTORS-24h'!D74)</f>
        <v>11.5</v>
      </c>
      <c r="E74" s="49">
        <f>AVERAGE('01.08 NTINDA-SPEARMOTORS-24h'!E74,'03.08 NTINDA-SPEARMOTORS-24h'!E74)</f>
        <v>2.5</v>
      </c>
      <c r="F74" s="49">
        <f>AVERAGE('01.08 NTINDA-SPEARMOTORS-24h'!F74,'03.08 NTINDA-SPEARMOTORS-24h'!F74)</f>
        <v>2.5</v>
      </c>
      <c r="G74" s="49">
        <f>AVERAGE('01.08 NTINDA-SPEARMOTORS-24h'!G74,'03.08 NTINDA-SPEARMOTORS-24h'!G74)</f>
        <v>0</v>
      </c>
      <c r="H74" s="49">
        <f>AVERAGE('01.08 NTINDA-SPEARMOTORS-24h'!H74,'03.08 NTINDA-SPEARMOTORS-24h'!H74)</f>
        <v>0</v>
      </c>
      <c r="I74" s="49">
        <f>AVERAGE('01.08 NTINDA-SPEARMOTORS-24h'!I74,'03.08 NTINDA-SPEARMOTORS-24h'!I74)</f>
        <v>0</v>
      </c>
      <c r="J74" s="49">
        <f>AVERAGE('01.08 NTINDA-SPEARMOTORS-24h'!J74,'03.08 NTINDA-SPEARMOTORS-24h'!J74)</f>
        <v>0.5</v>
      </c>
      <c r="K74" s="49">
        <f>AVERAGE('01.08 NTINDA-SPEARMOTORS-24h'!K74,'03.08 NTINDA-SPEARMOTORS-24h'!K74)</f>
        <v>0</v>
      </c>
      <c r="L74" s="49">
        <f>AVERAGE('01.08 NTINDA-SPEARMOTORS-24h'!L74,'03.08 NTINDA-SPEARMOTORS-24h'!L74)</f>
        <v>0.5</v>
      </c>
      <c r="M74" s="49">
        <f>AVERAGE('01.08 NTINDA-SPEARMOTORS-24h'!M74,'03.08 NTINDA-SPEARMOTORS-24h'!M74)</f>
        <v>45.5</v>
      </c>
      <c r="N74" s="49">
        <f>AVERAGE('01.08 NTINDA-SPEARMOTORS-24h'!N74,'03.08 NTINDA-SPEARMOTORS-24h'!N74)</f>
        <v>0</v>
      </c>
      <c r="O74" s="15">
        <f t="shared" ref="O74:O105" si="33">SUM(C74:L74,N74)</f>
        <v>36.5</v>
      </c>
      <c r="P74" s="15">
        <f t="shared" ref="P74:P105" si="34">SUM(C74:N74)</f>
        <v>82</v>
      </c>
      <c r="R74" s="8"/>
      <c r="T74"/>
    </row>
    <row r="75" spans="2:20" ht="23.1" customHeight="1" x14ac:dyDescent="0.25">
      <c r="B75" s="23" t="s">
        <v>115</v>
      </c>
      <c r="C75" s="49">
        <f>AVERAGE('01.08 NTINDA-SPEARMOTORS-24h'!C75,'03.08 NTINDA-SPEARMOTORS-24h'!C75)</f>
        <v>15.5</v>
      </c>
      <c r="D75" s="49">
        <f>AVERAGE('01.08 NTINDA-SPEARMOTORS-24h'!D75,'03.08 NTINDA-SPEARMOTORS-24h'!D75)</f>
        <v>10</v>
      </c>
      <c r="E75" s="49">
        <f>AVERAGE('01.08 NTINDA-SPEARMOTORS-24h'!E75,'03.08 NTINDA-SPEARMOTORS-24h'!E75)</f>
        <v>4.5</v>
      </c>
      <c r="F75" s="49">
        <f>AVERAGE('01.08 NTINDA-SPEARMOTORS-24h'!F75,'03.08 NTINDA-SPEARMOTORS-24h'!F75)</f>
        <v>1</v>
      </c>
      <c r="G75" s="49">
        <f>AVERAGE('01.08 NTINDA-SPEARMOTORS-24h'!G75,'03.08 NTINDA-SPEARMOTORS-24h'!G75)</f>
        <v>0</v>
      </c>
      <c r="H75" s="49">
        <f>AVERAGE('01.08 NTINDA-SPEARMOTORS-24h'!H75,'03.08 NTINDA-SPEARMOTORS-24h'!H75)</f>
        <v>0</v>
      </c>
      <c r="I75" s="49">
        <f>AVERAGE('01.08 NTINDA-SPEARMOTORS-24h'!I75,'03.08 NTINDA-SPEARMOTORS-24h'!I75)</f>
        <v>0</v>
      </c>
      <c r="J75" s="49">
        <f>AVERAGE('01.08 NTINDA-SPEARMOTORS-24h'!J75,'03.08 NTINDA-SPEARMOTORS-24h'!J75)</f>
        <v>0</v>
      </c>
      <c r="K75" s="49">
        <f>AVERAGE('01.08 NTINDA-SPEARMOTORS-24h'!K75,'03.08 NTINDA-SPEARMOTORS-24h'!K75)</f>
        <v>0</v>
      </c>
      <c r="L75" s="49">
        <f>AVERAGE('01.08 NTINDA-SPEARMOTORS-24h'!L75,'03.08 NTINDA-SPEARMOTORS-24h'!L75)</f>
        <v>0</v>
      </c>
      <c r="M75" s="49">
        <f>AVERAGE('01.08 NTINDA-SPEARMOTORS-24h'!M75,'03.08 NTINDA-SPEARMOTORS-24h'!M75)</f>
        <v>47.5</v>
      </c>
      <c r="N75" s="49">
        <f>AVERAGE('01.08 NTINDA-SPEARMOTORS-24h'!N75,'03.08 NTINDA-SPEARMOTORS-24h'!N75)</f>
        <v>0</v>
      </c>
      <c r="O75" s="15">
        <f t="shared" si="33"/>
        <v>31</v>
      </c>
      <c r="P75" s="15">
        <f t="shared" si="34"/>
        <v>78.5</v>
      </c>
      <c r="R75" s="8"/>
      <c r="T75"/>
    </row>
    <row r="76" spans="2:20" ht="23.1" customHeight="1" x14ac:dyDescent="0.25">
      <c r="B76" s="23" t="s">
        <v>116</v>
      </c>
      <c r="C76" s="49">
        <f>AVERAGE('01.08 NTINDA-SPEARMOTORS-24h'!C76,'03.08 NTINDA-SPEARMOTORS-24h'!C76)</f>
        <v>17</v>
      </c>
      <c r="D76" s="49">
        <f>AVERAGE('01.08 NTINDA-SPEARMOTORS-24h'!D76,'03.08 NTINDA-SPEARMOTORS-24h'!D76)</f>
        <v>9</v>
      </c>
      <c r="E76" s="49">
        <f>AVERAGE('01.08 NTINDA-SPEARMOTORS-24h'!E76,'03.08 NTINDA-SPEARMOTORS-24h'!E76)</f>
        <v>2</v>
      </c>
      <c r="F76" s="49">
        <f>AVERAGE('01.08 NTINDA-SPEARMOTORS-24h'!F76,'03.08 NTINDA-SPEARMOTORS-24h'!F76)</f>
        <v>2</v>
      </c>
      <c r="G76" s="49">
        <f>AVERAGE('01.08 NTINDA-SPEARMOTORS-24h'!G76,'03.08 NTINDA-SPEARMOTORS-24h'!G76)</f>
        <v>0</v>
      </c>
      <c r="H76" s="49">
        <f>AVERAGE('01.08 NTINDA-SPEARMOTORS-24h'!H76,'03.08 NTINDA-SPEARMOTORS-24h'!H76)</f>
        <v>0</v>
      </c>
      <c r="I76" s="49">
        <f>AVERAGE('01.08 NTINDA-SPEARMOTORS-24h'!I76,'03.08 NTINDA-SPEARMOTORS-24h'!I76)</f>
        <v>1.5</v>
      </c>
      <c r="J76" s="49">
        <f>AVERAGE('01.08 NTINDA-SPEARMOTORS-24h'!J76,'03.08 NTINDA-SPEARMOTORS-24h'!J76)</f>
        <v>0</v>
      </c>
      <c r="K76" s="49">
        <f>AVERAGE('01.08 NTINDA-SPEARMOTORS-24h'!K76,'03.08 NTINDA-SPEARMOTORS-24h'!K76)</f>
        <v>0</v>
      </c>
      <c r="L76" s="49">
        <f>AVERAGE('01.08 NTINDA-SPEARMOTORS-24h'!L76,'03.08 NTINDA-SPEARMOTORS-24h'!L76)</f>
        <v>0</v>
      </c>
      <c r="M76" s="49">
        <f>AVERAGE('01.08 NTINDA-SPEARMOTORS-24h'!M76,'03.08 NTINDA-SPEARMOTORS-24h'!M76)</f>
        <v>46.5</v>
      </c>
      <c r="N76" s="49">
        <f>AVERAGE('01.08 NTINDA-SPEARMOTORS-24h'!N76,'03.08 NTINDA-SPEARMOTORS-24h'!N76)</f>
        <v>0</v>
      </c>
      <c r="O76" s="15">
        <f t="shared" si="33"/>
        <v>31.5</v>
      </c>
      <c r="P76" s="15">
        <f t="shared" si="34"/>
        <v>78</v>
      </c>
      <c r="R76" s="8"/>
      <c r="T76"/>
    </row>
    <row r="77" spans="2:20" ht="23.1" customHeight="1" x14ac:dyDescent="0.25">
      <c r="B77" s="23" t="s">
        <v>117</v>
      </c>
      <c r="C77" s="49">
        <f>AVERAGE('01.08 NTINDA-SPEARMOTORS-24h'!C77,'03.08 NTINDA-SPEARMOTORS-24h'!C77)</f>
        <v>14.5</v>
      </c>
      <c r="D77" s="49">
        <f>AVERAGE('01.08 NTINDA-SPEARMOTORS-24h'!D77,'03.08 NTINDA-SPEARMOTORS-24h'!D77)</f>
        <v>8.5</v>
      </c>
      <c r="E77" s="49">
        <f>AVERAGE('01.08 NTINDA-SPEARMOTORS-24h'!E77,'03.08 NTINDA-SPEARMOTORS-24h'!E77)</f>
        <v>1.5</v>
      </c>
      <c r="F77" s="49">
        <f>AVERAGE('01.08 NTINDA-SPEARMOTORS-24h'!F77,'03.08 NTINDA-SPEARMOTORS-24h'!F77)</f>
        <v>1</v>
      </c>
      <c r="G77" s="49">
        <f>AVERAGE('01.08 NTINDA-SPEARMOTORS-24h'!G77,'03.08 NTINDA-SPEARMOTORS-24h'!G77)</f>
        <v>0</v>
      </c>
      <c r="H77" s="49">
        <f>AVERAGE('01.08 NTINDA-SPEARMOTORS-24h'!H77,'03.08 NTINDA-SPEARMOTORS-24h'!H77)</f>
        <v>0</v>
      </c>
      <c r="I77" s="49">
        <f>AVERAGE('01.08 NTINDA-SPEARMOTORS-24h'!I77,'03.08 NTINDA-SPEARMOTORS-24h'!I77)</f>
        <v>1.5</v>
      </c>
      <c r="J77" s="49">
        <f>AVERAGE('01.08 NTINDA-SPEARMOTORS-24h'!J77,'03.08 NTINDA-SPEARMOTORS-24h'!J77)</f>
        <v>0</v>
      </c>
      <c r="K77" s="49">
        <f>AVERAGE('01.08 NTINDA-SPEARMOTORS-24h'!K77,'03.08 NTINDA-SPEARMOTORS-24h'!K77)</f>
        <v>0</v>
      </c>
      <c r="L77" s="49">
        <f>AVERAGE('01.08 NTINDA-SPEARMOTORS-24h'!L77,'03.08 NTINDA-SPEARMOTORS-24h'!L77)</f>
        <v>0</v>
      </c>
      <c r="M77" s="49">
        <f>AVERAGE('01.08 NTINDA-SPEARMOTORS-24h'!M77,'03.08 NTINDA-SPEARMOTORS-24h'!M77)</f>
        <v>54</v>
      </c>
      <c r="N77" s="49">
        <f>AVERAGE('01.08 NTINDA-SPEARMOTORS-24h'!N77,'03.08 NTINDA-SPEARMOTORS-24h'!N77)</f>
        <v>0</v>
      </c>
      <c r="O77" s="15">
        <f t="shared" si="33"/>
        <v>27</v>
      </c>
      <c r="P77" s="15">
        <f t="shared" si="34"/>
        <v>81</v>
      </c>
      <c r="R77" s="8"/>
      <c r="T77"/>
    </row>
    <row r="78" spans="2:20" ht="23.1" customHeight="1" x14ac:dyDescent="0.25">
      <c r="B78" s="24" t="s">
        <v>118</v>
      </c>
      <c r="C78" s="49">
        <f>AVERAGE('01.08 NTINDA-SPEARMOTORS-24h'!C78,'03.08 NTINDA-SPEARMOTORS-24h'!C78)</f>
        <v>11</v>
      </c>
      <c r="D78" s="49">
        <f>AVERAGE('01.08 NTINDA-SPEARMOTORS-24h'!D78,'03.08 NTINDA-SPEARMOTORS-24h'!D78)</f>
        <v>8.5</v>
      </c>
      <c r="E78" s="49">
        <f>AVERAGE('01.08 NTINDA-SPEARMOTORS-24h'!E78,'03.08 NTINDA-SPEARMOTORS-24h'!E78)</f>
        <v>1.5</v>
      </c>
      <c r="F78" s="49">
        <f>AVERAGE('01.08 NTINDA-SPEARMOTORS-24h'!F78,'03.08 NTINDA-SPEARMOTORS-24h'!F78)</f>
        <v>1.5</v>
      </c>
      <c r="G78" s="49">
        <f>AVERAGE('01.08 NTINDA-SPEARMOTORS-24h'!G78,'03.08 NTINDA-SPEARMOTORS-24h'!G78)</f>
        <v>0</v>
      </c>
      <c r="H78" s="49">
        <f>AVERAGE('01.08 NTINDA-SPEARMOTORS-24h'!H78,'03.08 NTINDA-SPEARMOTORS-24h'!H78)</f>
        <v>0</v>
      </c>
      <c r="I78" s="49">
        <f>AVERAGE('01.08 NTINDA-SPEARMOTORS-24h'!I78,'03.08 NTINDA-SPEARMOTORS-24h'!I78)</f>
        <v>0.5</v>
      </c>
      <c r="J78" s="49">
        <f>AVERAGE('01.08 NTINDA-SPEARMOTORS-24h'!J78,'03.08 NTINDA-SPEARMOTORS-24h'!J78)</f>
        <v>0</v>
      </c>
      <c r="K78" s="49">
        <f>AVERAGE('01.08 NTINDA-SPEARMOTORS-24h'!K78,'03.08 NTINDA-SPEARMOTORS-24h'!K78)</f>
        <v>0</v>
      </c>
      <c r="L78" s="49">
        <f>AVERAGE('01.08 NTINDA-SPEARMOTORS-24h'!L78,'03.08 NTINDA-SPEARMOTORS-24h'!L78)</f>
        <v>0</v>
      </c>
      <c r="M78" s="49">
        <f>AVERAGE('01.08 NTINDA-SPEARMOTORS-24h'!M78,'03.08 NTINDA-SPEARMOTORS-24h'!M78)</f>
        <v>41.5</v>
      </c>
      <c r="N78" s="49">
        <f>AVERAGE('01.08 NTINDA-SPEARMOTORS-24h'!N78,'03.08 NTINDA-SPEARMOTORS-24h'!N78)</f>
        <v>0</v>
      </c>
      <c r="O78" s="15">
        <f t="shared" si="33"/>
        <v>23</v>
      </c>
      <c r="P78" s="15">
        <f t="shared" si="34"/>
        <v>64.5</v>
      </c>
      <c r="R78" s="8"/>
      <c r="T78"/>
    </row>
    <row r="79" spans="2:20" ht="23.1" customHeight="1" x14ac:dyDescent="0.25">
      <c r="B79" s="23" t="s">
        <v>119</v>
      </c>
      <c r="C79" s="49">
        <f>AVERAGE('01.08 NTINDA-SPEARMOTORS-24h'!C79,'03.08 NTINDA-SPEARMOTORS-24h'!C79)</f>
        <v>15</v>
      </c>
      <c r="D79" s="49">
        <f>AVERAGE('01.08 NTINDA-SPEARMOTORS-24h'!D79,'03.08 NTINDA-SPEARMOTORS-24h'!D79)</f>
        <v>7</v>
      </c>
      <c r="E79" s="49">
        <f>AVERAGE('01.08 NTINDA-SPEARMOTORS-24h'!E79,'03.08 NTINDA-SPEARMOTORS-24h'!E79)</f>
        <v>2</v>
      </c>
      <c r="F79" s="49">
        <f>AVERAGE('01.08 NTINDA-SPEARMOTORS-24h'!F79,'03.08 NTINDA-SPEARMOTORS-24h'!F79)</f>
        <v>0</v>
      </c>
      <c r="G79" s="49">
        <f>AVERAGE('01.08 NTINDA-SPEARMOTORS-24h'!G79,'03.08 NTINDA-SPEARMOTORS-24h'!G79)</f>
        <v>0</v>
      </c>
      <c r="H79" s="49">
        <f>AVERAGE('01.08 NTINDA-SPEARMOTORS-24h'!H79,'03.08 NTINDA-SPEARMOTORS-24h'!H79)</f>
        <v>0</v>
      </c>
      <c r="I79" s="49">
        <f>AVERAGE('01.08 NTINDA-SPEARMOTORS-24h'!I79,'03.08 NTINDA-SPEARMOTORS-24h'!I79)</f>
        <v>1.5</v>
      </c>
      <c r="J79" s="49">
        <f>AVERAGE('01.08 NTINDA-SPEARMOTORS-24h'!J79,'03.08 NTINDA-SPEARMOTORS-24h'!J79)</f>
        <v>0</v>
      </c>
      <c r="K79" s="49">
        <f>AVERAGE('01.08 NTINDA-SPEARMOTORS-24h'!K79,'03.08 NTINDA-SPEARMOTORS-24h'!K79)</f>
        <v>0</v>
      </c>
      <c r="L79" s="49">
        <f>AVERAGE('01.08 NTINDA-SPEARMOTORS-24h'!L79,'03.08 NTINDA-SPEARMOTORS-24h'!L79)</f>
        <v>0</v>
      </c>
      <c r="M79" s="49">
        <f>AVERAGE('01.08 NTINDA-SPEARMOTORS-24h'!M79,'03.08 NTINDA-SPEARMOTORS-24h'!M79)</f>
        <v>44</v>
      </c>
      <c r="N79" s="49">
        <f>AVERAGE('01.08 NTINDA-SPEARMOTORS-24h'!N79,'03.08 NTINDA-SPEARMOTORS-24h'!N79)</f>
        <v>0</v>
      </c>
      <c r="O79" s="15">
        <f t="shared" si="33"/>
        <v>25.5</v>
      </c>
      <c r="P79" s="15">
        <f t="shared" si="34"/>
        <v>69.5</v>
      </c>
      <c r="R79" s="8"/>
      <c r="T79"/>
    </row>
    <row r="80" spans="2:20" ht="23.1" customHeight="1" x14ac:dyDescent="0.25">
      <c r="B80" s="25" t="s">
        <v>120</v>
      </c>
      <c r="C80" s="49">
        <f>AVERAGE('01.08 NTINDA-SPEARMOTORS-24h'!C80,'03.08 NTINDA-SPEARMOTORS-24h'!C80)</f>
        <v>5.5</v>
      </c>
      <c r="D80" s="49">
        <f>AVERAGE('01.08 NTINDA-SPEARMOTORS-24h'!D80,'03.08 NTINDA-SPEARMOTORS-24h'!D80)</f>
        <v>4</v>
      </c>
      <c r="E80" s="49">
        <f>AVERAGE('01.08 NTINDA-SPEARMOTORS-24h'!E80,'03.08 NTINDA-SPEARMOTORS-24h'!E80)</f>
        <v>2</v>
      </c>
      <c r="F80" s="49">
        <f>AVERAGE('01.08 NTINDA-SPEARMOTORS-24h'!F80,'03.08 NTINDA-SPEARMOTORS-24h'!F80)</f>
        <v>0</v>
      </c>
      <c r="G80" s="49">
        <f>AVERAGE('01.08 NTINDA-SPEARMOTORS-24h'!G80,'03.08 NTINDA-SPEARMOTORS-24h'!G80)</f>
        <v>0</v>
      </c>
      <c r="H80" s="49">
        <f>AVERAGE('01.08 NTINDA-SPEARMOTORS-24h'!H80,'03.08 NTINDA-SPEARMOTORS-24h'!H80)</f>
        <v>0</v>
      </c>
      <c r="I80" s="49">
        <f>AVERAGE('01.08 NTINDA-SPEARMOTORS-24h'!I80,'03.08 NTINDA-SPEARMOTORS-24h'!I80)</f>
        <v>0</v>
      </c>
      <c r="J80" s="49">
        <f>AVERAGE('01.08 NTINDA-SPEARMOTORS-24h'!J80,'03.08 NTINDA-SPEARMOTORS-24h'!J80)</f>
        <v>0</v>
      </c>
      <c r="K80" s="49">
        <f>AVERAGE('01.08 NTINDA-SPEARMOTORS-24h'!K80,'03.08 NTINDA-SPEARMOTORS-24h'!K80)</f>
        <v>0</v>
      </c>
      <c r="L80" s="49">
        <f>AVERAGE('01.08 NTINDA-SPEARMOTORS-24h'!L80,'03.08 NTINDA-SPEARMOTORS-24h'!L80)</f>
        <v>1</v>
      </c>
      <c r="M80" s="49">
        <f>AVERAGE('01.08 NTINDA-SPEARMOTORS-24h'!M80,'03.08 NTINDA-SPEARMOTORS-24h'!M80)</f>
        <v>36.5</v>
      </c>
      <c r="N80" s="49">
        <f>AVERAGE('01.08 NTINDA-SPEARMOTORS-24h'!N80,'03.08 NTINDA-SPEARMOTORS-24h'!N80)</f>
        <v>0</v>
      </c>
      <c r="O80" s="15">
        <f t="shared" si="33"/>
        <v>12.5</v>
      </c>
      <c r="P80" s="15">
        <f t="shared" si="34"/>
        <v>49</v>
      </c>
      <c r="R80" s="8"/>
      <c r="T80"/>
    </row>
    <row r="81" spans="2:20" ht="23.1" customHeight="1" x14ac:dyDescent="0.25">
      <c r="B81" s="23" t="s">
        <v>121</v>
      </c>
      <c r="C81" s="49">
        <f>AVERAGE('01.08 NTINDA-SPEARMOTORS-24h'!C81,'03.08 NTINDA-SPEARMOTORS-24h'!C81)</f>
        <v>7</v>
      </c>
      <c r="D81" s="49">
        <f>AVERAGE('01.08 NTINDA-SPEARMOTORS-24h'!D81,'03.08 NTINDA-SPEARMOTORS-24h'!D81)</f>
        <v>4.5</v>
      </c>
      <c r="E81" s="49">
        <f>AVERAGE('01.08 NTINDA-SPEARMOTORS-24h'!E81,'03.08 NTINDA-SPEARMOTORS-24h'!E81)</f>
        <v>1</v>
      </c>
      <c r="F81" s="49">
        <f>AVERAGE('01.08 NTINDA-SPEARMOTORS-24h'!F81,'03.08 NTINDA-SPEARMOTORS-24h'!F81)</f>
        <v>0.5</v>
      </c>
      <c r="G81" s="49">
        <f>AVERAGE('01.08 NTINDA-SPEARMOTORS-24h'!G81,'03.08 NTINDA-SPEARMOTORS-24h'!G81)</f>
        <v>0</v>
      </c>
      <c r="H81" s="49">
        <f>AVERAGE('01.08 NTINDA-SPEARMOTORS-24h'!H81,'03.08 NTINDA-SPEARMOTORS-24h'!H81)</f>
        <v>0</v>
      </c>
      <c r="I81" s="49">
        <f>AVERAGE('01.08 NTINDA-SPEARMOTORS-24h'!I81,'03.08 NTINDA-SPEARMOTORS-24h'!I81)</f>
        <v>0</v>
      </c>
      <c r="J81" s="49">
        <f>AVERAGE('01.08 NTINDA-SPEARMOTORS-24h'!J81,'03.08 NTINDA-SPEARMOTORS-24h'!J81)</f>
        <v>0.5</v>
      </c>
      <c r="K81" s="49">
        <f>AVERAGE('01.08 NTINDA-SPEARMOTORS-24h'!K81,'03.08 NTINDA-SPEARMOTORS-24h'!K81)</f>
        <v>0.5</v>
      </c>
      <c r="L81" s="49">
        <f>AVERAGE('01.08 NTINDA-SPEARMOTORS-24h'!L81,'03.08 NTINDA-SPEARMOTORS-24h'!L81)</f>
        <v>0</v>
      </c>
      <c r="M81" s="49">
        <f>AVERAGE('01.08 NTINDA-SPEARMOTORS-24h'!M81,'03.08 NTINDA-SPEARMOTORS-24h'!M81)</f>
        <v>33.5</v>
      </c>
      <c r="N81" s="49">
        <f>AVERAGE('01.08 NTINDA-SPEARMOTORS-24h'!N81,'03.08 NTINDA-SPEARMOTORS-24h'!N81)</f>
        <v>0</v>
      </c>
      <c r="O81" s="15">
        <f t="shared" si="33"/>
        <v>14</v>
      </c>
      <c r="P81" s="15">
        <f t="shared" si="34"/>
        <v>47.5</v>
      </c>
      <c r="R81" s="8"/>
      <c r="T81"/>
    </row>
    <row r="82" spans="2:20" ht="23.1" customHeight="1" x14ac:dyDescent="0.25">
      <c r="B82" s="24" t="s">
        <v>122</v>
      </c>
      <c r="C82" s="49">
        <f>AVERAGE('01.08 NTINDA-SPEARMOTORS-24h'!C82,'03.08 NTINDA-SPEARMOTORS-24h'!C82)</f>
        <v>5.5</v>
      </c>
      <c r="D82" s="49">
        <f>AVERAGE('01.08 NTINDA-SPEARMOTORS-24h'!D82,'03.08 NTINDA-SPEARMOTORS-24h'!D82)</f>
        <v>3</v>
      </c>
      <c r="E82" s="49">
        <f>AVERAGE('01.08 NTINDA-SPEARMOTORS-24h'!E82,'03.08 NTINDA-SPEARMOTORS-24h'!E82)</f>
        <v>0.5</v>
      </c>
      <c r="F82" s="49">
        <f>AVERAGE('01.08 NTINDA-SPEARMOTORS-24h'!F82,'03.08 NTINDA-SPEARMOTORS-24h'!F82)</f>
        <v>0.5</v>
      </c>
      <c r="G82" s="49">
        <f>AVERAGE('01.08 NTINDA-SPEARMOTORS-24h'!G82,'03.08 NTINDA-SPEARMOTORS-24h'!G82)</f>
        <v>0</v>
      </c>
      <c r="H82" s="49">
        <f>AVERAGE('01.08 NTINDA-SPEARMOTORS-24h'!H82,'03.08 NTINDA-SPEARMOTORS-24h'!H82)</f>
        <v>0</v>
      </c>
      <c r="I82" s="49">
        <f>AVERAGE('01.08 NTINDA-SPEARMOTORS-24h'!I82,'03.08 NTINDA-SPEARMOTORS-24h'!I82)</f>
        <v>0</v>
      </c>
      <c r="J82" s="49">
        <f>AVERAGE('01.08 NTINDA-SPEARMOTORS-24h'!J82,'03.08 NTINDA-SPEARMOTORS-24h'!J82)</f>
        <v>0</v>
      </c>
      <c r="K82" s="49">
        <f>AVERAGE('01.08 NTINDA-SPEARMOTORS-24h'!K82,'03.08 NTINDA-SPEARMOTORS-24h'!K82)</f>
        <v>0</v>
      </c>
      <c r="L82" s="49">
        <f>AVERAGE('01.08 NTINDA-SPEARMOTORS-24h'!L82,'03.08 NTINDA-SPEARMOTORS-24h'!L82)</f>
        <v>0</v>
      </c>
      <c r="M82" s="49">
        <f>AVERAGE('01.08 NTINDA-SPEARMOTORS-24h'!M82,'03.08 NTINDA-SPEARMOTORS-24h'!M82)</f>
        <v>11.5</v>
      </c>
      <c r="N82" s="49">
        <f>AVERAGE('01.08 NTINDA-SPEARMOTORS-24h'!N82,'03.08 NTINDA-SPEARMOTORS-24h'!N82)</f>
        <v>0</v>
      </c>
      <c r="O82" s="15">
        <f t="shared" si="33"/>
        <v>9.5</v>
      </c>
      <c r="P82" s="15">
        <f t="shared" si="34"/>
        <v>21</v>
      </c>
      <c r="R82" s="8"/>
      <c r="T82"/>
    </row>
    <row r="83" spans="2:20" ht="23.1" customHeight="1" x14ac:dyDescent="0.25">
      <c r="B83" s="23" t="s">
        <v>123</v>
      </c>
      <c r="C83" s="49">
        <f>AVERAGE('01.08 NTINDA-SPEARMOTORS-24h'!C83,'03.08 NTINDA-SPEARMOTORS-24h'!C83)</f>
        <v>12.5</v>
      </c>
      <c r="D83" s="49">
        <f>AVERAGE('01.08 NTINDA-SPEARMOTORS-24h'!D83,'03.08 NTINDA-SPEARMOTORS-24h'!D83)</f>
        <v>7</v>
      </c>
      <c r="E83" s="49">
        <f>AVERAGE('01.08 NTINDA-SPEARMOTORS-24h'!E83,'03.08 NTINDA-SPEARMOTORS-24h'!E83)</f>
        <v>1.5</v>
      </c>
      <c r="F83" s="49">
        <f>AVERAGE('01.08 NTINDA-SPEARMOTORS-24h'!F83,'03.08 NTINDA-SPEARMOTORS-24h'!F83)</f>
        <v>0.5</v>
      </c>
      <c r="G83" s="49">
        <f>AVERAGE('01.08 NTINDA-SPEARMOTORS-24h'!G83,'03.08 NTINDA-SPEARMOTORS-24h'!G83)</f>
        <v>0</v>
      </c>
      <c r="H83" s="49">
        <f>AVERAGE('01.08 NTINDA-SPEARMOTORS-24h'!H83,'03.08 NTINDA-SPEARMOTORS-24h'!H83)</f>
        <v>0</v>
      </c>
      <c r="I83" s="49">
        <f>AVERAGE('01.08 NTINDA-SPEARMOTORS-24h'!I83,'03.08 NTINDA-SPEARMOTORS-24h'!I83)</f>
        <v>1.5</v>
      </c>
      <c r="J83" s="49">
        <f>AVERAGE('01.08 NTINDA-SPEARMOTORS-24h'!J83,'03.08 NTINDA-SPEARMOTORS-24h'!J83)</f>
        <v>0</v>
      </c>
      <c r="K83" s="49">
        <f>AVERAGE('01.08 NTINDA-SPEARMOTORS-24h'!K83,'03.08 NTINDA-SPEARMOTORS-24h'!K83)</f>
        <v>0</v>
      </c>
      <c r="L83" s="49">
        <f>AVERAGE('01.08 NTINDA-SPEARMOTORS-24h'!L83,'03.08 NTINDA-SPEARMOTORS-24h'!L83)</f>
        <v>0.5</v>
      </c>
      <c r="M83" s="49">
        <f>AVERAGE('01.08 NTINDA-SPEARMOTORS-24h'!M83,'03.08 NTINDA-SPEARMOTORS-24h'!M83)</f>
        <v>22</v>
      </c>
      <c r="N83" s="49">
        <f>AVERAGE('01.08 NTINDA-SPEARMOTORS-24h'!N83,'03.08 NTINDA-SPEARMOTORS-24h'!N83)</f>
        <v>0</v>
      </c>
      <c r="O83" s="15">
        <f t="shared" si="33"/>
        <v>23.5</v>
      </c>
      <c r="P83" s="15">
        <f t="shared" si="34"/>
        <v>45.5</v>
      </c>
      <c r="R83" s="8"/>
      <c r="T83"/>
    </row>
    <row r="84" spans="2:20" ht="23.1" customHeight="1" x14ac:dyDescent="0.25">
      <c r="B84" s="25" t="s">
        <v>124</v>
      </c>
      <c r="C84" s="49">
        <f>AVERAGE('01.08 NTINDA-SPEARMOTORS-24h'!C84,'03.08 NTINDA-SPEARMOTORS-24h'!C84)</f>
        <v>7.5</v>
      </c>
      <c r="D84" s="49">
        <f>AVERAGE('01.08 NTINDA-SPEARMOTORS-24h'!D84,'03.08 NTINDA-SPEARMOTORS-24h'!D84)</f>
        <v>2</v>
      </c>
      <c r="E84" s="49">
        <f>AVERAGE('01.08 NTINDA-SPEARMOTORS-24h'!E84,'03.08 NTINDA-SPEARMOTORS-24h'!E84)</f>
        <v>0</v>
      </c>
      <c r="F84" s="49">
        <f>AVERAGE('01.08 NTINDA-SPEARMOTORS-24h'!F84,'03.08 NTINDA-SPEARMOTORS-24h'!F84)</f>
        <v>0</v>
      </c>
      <c r="G84" s="49">
        <f>AVERAGE('01.08 NTINDA-SPEARMOTORS-24h'!G84,'03.08 NTINDA-SPEARMOTORS-24h'!G84)</f>
        <v>0</v>
      </c>
      <c r="H84" s="49">
        <f>AVERAGE('01.08 NTINDA-SPEARMOTORS-24h'!H84,'03.08 NTINDA-SPEARMOTORS-24h'!H84)</f>
        <v>0</v>
      </c>
      <c r="I84" s="49">
        <f>AVERAGE('01.08 NTINDA-SPEARMOTORS-24h'!I84,'03.08 NTINDA-SPEARMOTORS-24h'!I84)</f>
        <v>1.5</v>
      </c>
      <c r="J84" s="49">
        <f>AVERAGE('01.08 NTINDA-SPEARMOTORS-24h'!J84,'03.08 NTINDA-SPEARMOTORS-24h'!J84)</f>
        <v>0.5</v>
      </c>
      <c r="K84" s="49">
        <f>AVERAGE('01.08 NTINDA-SPEARMOTORS-24h'!K84,'03.08 NTINDA-SPEARMOTORS-24h'!K84)</f>
        <v>0.5</v>
      </c>
      <c r="L84" s="49">
        <f>AVERAGE('01.08 NTINDA-SPEARMOTORS-24h'!L84,'03.08 NTINDA-SPEARMOTORS-24h'!L84)</f>
        <v>2</v>
      </c>
      <c r="M84" s="49">
        <f>AVERAGE('01.08 NTINDA-SPEARMOTORS-24h'!M84,'03.08 NTINDA-SPEARMOTORS-24h'!M84)</f>
        <v>10</v>
      </c>
      <c r="N84" s="49">
        <f>AVERAGE('01.08 NTINDA-SPEARMOTORS-24h'!N84,'03.08 NTINDA-SPEARMOTORS-24h'!N84)</f>
        <v>0</v>
      </c>
      <c r="O84" s="15">
        <f t="shared" si="33"/>
        <v>14</v>
      </c>
      <c r="P84" s="15">
        <f t="shared" si="34"/>
        <v>24</v>
      </c>
      <c r="R84" s="8"/>
      <c r="T84"/>
    </row>
    <row r="85" spans="2:20" ht="23.1" customHeight="1" x14ac:dyDescent="0.25">
      <c r="B85" s="23" t="s">
        <v>125</v>
      </c>
      <c r="C85" s="49">
        <f>AVERAGE('01.08 NTINDA-SPEARMOTORS-24h'!C85,'03.08 NTINDA-SPEARMOTORS-24h'!C85)</f>
        <v>7</v>
      </c>
      <c r="D85" s="49">
        <f>AVERAGE('01.08 NTINDA-SPEARMOTORS-24h'!D85,'03.08 NTINDA-SPEARMOTORS-24h'!D85)</f>
        <v>1.5</v>
      </c>
      <c r="E85" s="49">
        <f>AVERAGE('01.08 NTINDA-SPEARMOTORS-24h'!E85,'03.08 NTINDA-SPEARMOTORS-24h'!E85)</f>
        <v>1</v>
      </c>
      <c r="F85" s="49">
        <f>AVERAGE('01.08 NTINDA-SPEARMOTORS-24h'!F85,'03.08 NTINDA-SPEARMOTORS-24h'!F85)</f>
        <v>0.5</v>
      </c>
      <c r="G85" s="49">
        <f>AVERAGE('01.08 NTINDA-SPEARMOTORS-24h'!G85,'03.08 NTINDA-SPEARMOTORS-24h'!G85)</f>
        <v>0</v>
      </c>
      <c r="H85" s="49">
        <f>AVERAGE('01.08 NTINDA-SPEARMOTORS-24h'!H85,'03.08 NTINDA-SPEARMOTORS-24h'!H85)</f>
        <v>0</v>
      </c>
      <c r="I85" s="49">
        <f>AVERAGE('01.08 NTINDA-SPEARMOTORS-24h'!I85,'03.08 NTINDA-SPEARMOTORS-24h'!I85)</f>
        <v>0</v>
      </c>
      <c r="J85" s="49">
        <f>AVERAGE('01.08 NTINDA-SPEARMOTORS-24h'!J85,'03.08 NTINDA-SPEARMOTORS-24h'!J85)</f>
        <v>1</v>
      </c>
      <c r="K85" s="49">
        <f>AVERAGE('01.08 NTINDA-SPEARMOTORS-24h'!K85,'03.08 NTINDA-SPEARMOTORS-24h'!K85)</f>
        <v>0</v>
      </c>
      <c r="L85" s="49">
        <f>AVERAGE('01.08 NTINDA-SPEARMOTORS-24h'!L85,'03.08 NTINDA-SPEARMOTORS-24h'!L85)</f>
        <v>0</v>
      </c>
      <c r="M85" s="49">
        <f>AVERAGE('01.08 NTINDA-SPEARMOTORS-24h'!M85,'03.08 NTINDA-SPEARMOTORS-24h'!M85)</f>
        <v>7</v>
      </c>
      <c r="N85" s="49">
        <f>AVERAGE('01.08 NTINDA-SPEARMOTORS-24h'!N85,'03.08 NTINDA-SPEARMOTORS-24h'!N85)</f>
        <v>0</v>
      </c>
      <c r="O85" s="15">
        <f t="shared" si="33"/>
        <v>11</v>
      </c>
      <c r="P85" s="15">
        <f t="shared" si="34"/>
        <v>18</v>
      </c>
      <c r="R85" s="8"/>
      <c r="T85"/>
    </row>
    <row r="86" spans="2:20" ht="23.1" customHeight="1" x14ac:dyDescent="0.25">
      <c r="B86" s="24" t="s">
        <v>126</v>
      </c>
      <c r="C86" s="49">
        <f>AVERAGE('01.08 NTINDA-SPEARMOTORS-24h'!C86,'03.08 NTINDA-SPEARMOTORS-24h'!C86)</f>
        <v>6.5</v>
      </c>
      <c r="D86" s="49">
        <f>AVERAGE('01.08 NTINDA-SPEARMOTORS-24h'!D86,'03.08 NTINDA-SPEARMOTORS-24h'!D86)</f>
        <v>2</v>
      </c>
      <c r="E86" s="49">
        <f>AVERAGE('01.08 NTINDA-SPEARMOTORS-24h'!E86,'03.08 NTINDA-SPEARMOTORS-24h'!E86)</f>
        <v>0.5</v>
      </c>
      <c r="F86" s="49">
        <f>AVERAGE('01.08 NTINDA-SPEARMOTORS-24h'!F86,'03.08 NTINDA-SPEARMOTORS-24h'!F86)</f>
        <v>0.5</v>
      </c>
      <c r="G86" s="49">
        <f>AVERAGE('01.08 NTINDA-SPEARMOTORS-24h'!G86,'03.08 NTINDA-SPEARMOTORS-24h'!G86)</f>
        <v>0</v>
      </c>
      <c r="H86" s="49">
        <f>AVERAGE('01.08 NTINDA-SPEARMOTORS-24h'!H86,'03.08 NTINDA-SPEARMOTORS-24h'!H86)</f>
        <v>0</v>
      </c>
      <c r="I86" s="49">
        <f>AVERAGE('01.08 NTINDA-SPEARMOTORS-24h'!I86,'03.08 NTINDA-SPEARMOTORS-24h'!I86)</f>
        <v>0</v>
      </c>
      <c r="J86" s="49">
        <f>AVERAGE('01.08 NTINDA-SPEARMOTORS-24h'!J86,'03.08 NTINDA-SPEARMOTORS-24h'!J86)</f>
        <v>0</v>
      </c>
      <c r="K86" s="49">
        <f>AVERAGE('01.08 NTINDA-SPEARMOTORS-24h'!K86,'03.08 NTINDA-SPEARMOTORS-24h'!K86)</f>
        <v>0</v>
      </c>
      <c r="L86" s="49">
        <f>AVERAGE('01.08 NTINDA-SPEARMOTORS-24h'!L86,'03.08 NTINDA-SPEARMOTORS-24h'!L86)</f>
        <v>0</v>
      </c>
      <c r="M86" s="49">
        <f>AVERAGE('01.08 NTINDA-SPEARMOTORS-24h'!M86,'03.08 NTINDA-SPEARMOTORS-24h'!M86)</f>
        <v>7</v>
      </c>
      <c r="N86" s="49">
        <f>AVERAGE('01.08 NTINDA-SPEARMOTORS-24h'!N86,'03.08 NTINDA-SPEARMOTORS-24h'!N86)</f>
        <v>0</v>
      </c>
      <c r="O86" s="15">
        <f t="shared" si="33"/>
        <v>9.5</v>
      </c>
      <c r="P86" s="15">
        <f t="shared" si="34"/>
        <v>16.5</v>
      </c>
      <c r="R86" s="8"/>
      <c r="T86"/>
    </row>
    <row r="87" spans="2:20" ht="23.1" customHeight="1" x14ac:dyDescent="0.25">
      <c r="B87" s="23" t="s">
        <v>127</v>
      </c>
      <c r="C87" s="49">
        <f>AVERAGE('01.08 NTINDA-SPEARMOTORS-24h'!C87,'03.08 NTINDA-SPEARMOTORS-24h'!C87)</f>
        <v>3</v>
      </c>
      <c r="D87" s="49">
        <f>AVERAGE('01.08 NTINDA-SPEARMOTORS-24h'!D87,'03.08 NTINDA-SPEARMOTORS-24h'!D87)</f>
        <v>1</v>
      </c>
      <c r="E87" s="49">
        <f>AVERAGE('01.08 NTINDA-SPEARMOTORS-24h'!E87,'03.08 NTINDA-SPEARMOTORS-24h'!E87)</f>
        <v>0</v>
      </c>
      <c r="F87" s="49">
        <f>AVERAGE('01.08 NTINDA-SPEARMOTORS-24h'!F87,'03.08 NTINDA-SPEARMOTORS-24h'!F87)</f>
        <v>0</v>
      </c>
      <c r="G87" s="49">
        <f>AVERAGE('01.08 NTINDA-SPEARMOTORS-24h'!G87,'03.08 NTINDA-SPEARMOTORS-24h'!G87)</f>
        <v>0</v>
      </c>
      <c r="H87" s="49">
        <f>AVERAGE('01.08 NTINDA-SPEARMOTORS-24h'!H87,'03.08 NTINDA-SPEARMOTORS-24h'!H87)</f>
        <v>0</v>
      </c>
      <c r="I87" s="49">
        <f>AVERAGE('01.08 NTINDA-SPEARMOTORS-24h'!I87,'03.08 NTINDA-SPEARMOTORS-24h'!I87)</f>
        <v>0.5</v>
      </c>
      <c r="J87" s="49">
        <f>AVERAGE('01.08 NTINDA-SPEARMOTORS-24h'!J87,'03.08 NTINDA-SPEARMOTORS-24h'!J87)</f>
        <v>1.5</v>
      </c>
      <c r="K87" s="49">
        <f>AVERAGE('01.08 NTINDA-SPEARMOTORS-24h'!K87,'03.08 NTINDA-SPEARMOTORS-24h'!K87)</f>
        <v>0</v>
      </c>
      <c r="L87" s="49">
        <f>AVERAGE('01.08 NTINDA-SPEARMOTORS-24h'!L87,'03.08 NTINDA-SPEARMOTORS-24h'!L87)</f>
        <v>1.5</v>
      </c>
      <c r="M87" s="49">
        <f>AVERAGE('01.08 NTINDA-SPEARMOTORS-24h'!M87,'03.08 NTINDA-SPEARMOTORS-24h'!M87)</f>
        <v>11</v>
      </c>
      <c r="N87" s="49">
        <f>AVERAGE('01.08 NTINDA-SPEARMOTORS-24h'!N87,'03.08 NTINDA-SPEARMOTORS-24h'!N87)</f>
        <v>0</v>
      </c>
      <c r="O87" s="15">
        <f t="shared" si="33"/>
        <v>7.5</v>
      </c>
      <c r="P87" s="15">
        <f t="shared" si="34"/>
        <v>18.5</v>
      </c>
      <c r="R87" s="8"/>
      <c r="T87"/>
    </row>
    <row r="88" spans="2:20" ht="23.1" customHeight="1" x14ac:dyDescent="0.25">
      <c r="B88" s="25" t="s">
        <v>128</v>
      </c>
      <c r="C88" s="49">
        <f>AVERAGE('01.08 NTINDA-SPEARMOTORS-24h'!C88,'03.08 NTINDA-SPEARMOTORS-24h'!C88)</f>
        <v>5</v>
      </c>
      <c r="D88" s="49">
        <f>AVERAGE('01.08 NTINDA-SPEARMOTORS-24h'!D88,'03.08 NTINDA-SPEARMOTORS-24h'!D88)</f>
        <v>2.5</v>
      </c>
      <c r="E88" s="49">
        <f>AVERAGE('01.08 NTINDA-SPEARMOTORS-24h'!E88,'03.08 NTINDA-SPEARMOTORS-24h'!E88)</f>
        <v>1</v>
      </c>
      <c r="F88" s="49">
        <f>AVERAGE('01.08 NTINDA-SPEARMOTORS-24h'!F88,'03.08 NTINDA-SPEARMOTORS-24h'!F88)</f>
        <v>0.5</v>
      </c>
      <c r="G88" s="49">
        <f>AVERAGE('01.08 NTINDA-SPEARMOTORS-24h'!G88,'03.08 NTINDA-SPEARMOTORS-24h'!G88)</f>
        <v>0</v>
      </c>
      <c r="H88" s="49">
        <f>AVERAGE('01.08 NTINDA-SPEARMOTORS-24h'!H88,'03.08 NTINDA-SPEARMOTORS-24h'!H88)</f>
        <v>0</v>
      </c>
      <c r="I88" s="49">
        <f>AVERAGE('01.08 NTINDA-SPEARMOTORS-24h'!I88,'03.08 NTINDA-SPEARMOTORS-24h'!I88)</f>
        <v>0</v>
      </c>
      <c r="J88" s="49">
        <f>AVERAGE('01.08 NTINDA-SPEARMOTORS-24h'!J88,'03.08 NTINDA-SPEARMOTORS-24h'!J88)</f>
        <v>0</v>
      </c>
      <c r="K88" s="49">
        <f>AVERAGE('01.08 NTINDA-SPEARMOTORS-24h'!K88,'03.08 NTINDA-SPEARMOTORS-24h'!K88)</f>
        <v>0</v>
      </c>
      <c r="L88" s="49">
        <f>AVERAGE('01.08 NTINDA-SPEARMOTORS-24h'!L88,'03.08 NTINDA-SPEARMOTORS-24h'!L88)</f>
        <v>0.5</v>
      </c>
      <c r="M88" s="49">
        <f>AVERAGE('01.08 NTINDA-SPEARMOTORS-24h'!M88,'03.08 NTINDA-SPEARMOTORS-24h'!M88)</f>
        <v>9</v>
      </c>
      <c r="N88" s="49">
        <f>AVERAGE('01.08 NTINDA-SPEARMOTORS-24h'!N88,'03.08 NTINDA-SPEARMOTORS-24h'!N88)</f>
        <v>0</v>
      </c>
      <c r="O88" s="15">
        <f t="shared" si="33"/>
        <v>9.5</v>
      </c>
      <c r="P88" s="15">
        <f t="shared" si="34"/>
        <v>18.5</v>
      </c>
      <c r="R88" s="8"/>
      <c r="T88"/>
    </row>
    <row r="89" spans="2:20" ht="23.1" customHeight="1" x14ac:dyDescent="0.25">
      <c r="B89" s="23" t="s">
        <v>129</v>
      </c>
      <c r="C89" s="49">
        <f>AVERAGE('01.08 NTINDA-SPEARMOTORS-24h'!C89,'03.08 NTINDA-SPEARMOTORS-24h'!C89)</f>
        <v>4</v>
      </c>
      <c r="D89" s="49">
        <f>AVERAGE('01.08 NTINDA-SPEARMOTORS-24h'!D89,'03.08 NTINDA-SPEARMOTORS-24h'!D89)</f>
        <v>2</v>
      </c>
      <c r="E89" s="49">
        <f>AVERAGE('01.08 NTINDA-SPEARMOTORS-24h'!E89,'03.08 NTINDA-SPEARMOTORS-24h'!E89)</f>
        <v>0.5</v>
      </c>
      <c r="F89" s="49">
        <f>AVERAGE('01.08 NTINDA-SPEARMOTORS-24h'!F89,'03.08 NTINDA-SPEARMOTORS-24h'!F89)</f>
        <v>0</v>
      </c>
      <c r="G89" s="49">
        <f>AVERAGE('01.08 NTINDA-SPEARMOTORS-24h'!G89,'03.08 NTINDA-SPEARMOTORS-24h'!G89)</f>
        <v>0</v>
      </c>
      <c r="H89" s="49">
        <f>AVERAGE('01.08 NTINDA-SPEARMOTORS-24h'!H89,'03.08 NTINDA-SPEARMOTORS-24h'!H89)</f>
        <v>0</v>
      </c>
      <c r="I89" s="49">
        <f>AVERAGE('01.08 NTINDA-SPEARMOTORS-24h'!I89,'03.08 NTINDA-SPEARMOTORS-24h'!I89)</f>
        <v>0.5</v>
      </c>
      <c r="J89" s="49">
        <f>AVERAGE('01.08 NTINDA-SPEARMOTORS-24h'!J89,'03.08 NTINDA-SPEARMOTORS-24h'!J89)</f>
        <v>0</v>
      </c>
      <c r="K89" s="49">
        <f>AVERAGE('01.08 NTINDA-SPEARMOTORS-24h'!K89,'03.08 NTINDA-SPEARMOTORS-24h'!K89)</f>
        <v>0</v>
      </c>
      <c r="L89" s="49">
        <f>AVERAGE('01.08 NTINDA-SPEARMOTORS-24h'!L89,'03.08 NTINDA-SPEARMOTORS-24h'!L89)</f>
        <v>1</v>
      </c>
      <c r="M89" s="49">
        <f>AVERAGE('01.08 NTINDA-SPEARMOTORS-24h'!M89,'03.08 NTINDA-SPEARMOTORS-24h'!M89)</f>
        <v>21.5</v>
      </c>
      <c r="N89" s="49">
        <f>AVERAGE('01.08 NTINDA-SPEARMOTORS-24h'!N89,'03.08 NTINDA-SPEARMOTORS-24h'!N89)</f>
        <v>0</v>
      </c>
      <c r="O89" s="15">
        <f t="shared" si="33"/>
        <v>8</v>
      </c>
      <c r="P89" s="15">
        <f t="shared" si="34"/>
        <v>29.5</v>
      </c>
      <c r="R89" s="8"/>
      <c r="T89"/>
    </row>
    <row r="90" spans="2:20" ht="23.1" customHeight="1" x14ac:dyDescent="0.25">
      <c r="B90" s="24" t="s">
        <v>130</v>
      </c>
      <c r="C90" s="49">
        <f>AVERAGE('01.08 NTINDA-SPEARMOTORS-24h'!C90,'03.08 NTINDA-SPEARMOTORS-24h'!C90)</f>
        <v>2</v>
      </c>
      <c r="D90" s="49">
        <f>AVERAGE('01.08 NTINDA-SPEARMOTORS-24h'!D90,'03.08 NTINDA-SPEARMOTORS-24h'!D90)</f>
        <v>2.5</v>
      </c>
      <c r="E90" s="49">
        <f>AVERAGE('01.08 NTINDA-SPEARMOTORS-24h'!E90,'03.08 NTINDA-SPEARMOTORS-24h'!E90)</f>
        <v>0</v>
      </c>
      <c r="F90" s="49">
        <f>AVERAGE('01.08 NTINDA-SPEARMOTORS-24h'!F90,'03.08 NTINDA-SPEARMOTORS-24h'!F90)</f>
        <v>0</v>
      </c>
      <c r="G90" s="49">
        <f>AVERAGE('01.08 NTINDA-SPEARMOTORS-24h'!G90,'03.08 NTINDA-SPEARMOTORS-24h'!G90)</f>
        <v>0</v>
      </c>
      <c r="H90" s="49">
        <f>AVERAGE('01.08 NTINDA-SPEARMOTORS-24h'!H90,'03.08 NTINDA-SPEARMOTORS-24h'!H90)</f>
        <v>0</v>
      </c>
      <c r="I90" s="49">
        <f>AVERAGE('01.08 NTINDA-SPEARMOTORS-24h'!I90,'03.08 NTINDA-SPEARMOTORS-24h'!I90)</f>
        <v>0</v>
      </c>
      <c r="J90" s="49">
        <f>AVERAGE('01.08 NTINDA-SPEARMOTORS-24h'!J90,'03.08 NTINDA-SPEARMOTORS-24h'!J90)</f>
        <v>0</v>
      </c>
      <c r="K90" s="49">
        <f>AVERAGE('01.08 NTINDA-SPEARMOTORS-24h'!K90,'03.08 NTINDA-SPEARMOTORS-24h'!K90)</f>
        <v>0</v>
      </c>
      <c r="L90" s="49">
        <f>AVERAGE('01.08 NTINDA-SPEARMOTORS-24h'!L90,'03.08 NTINDA-SPEARMOTORS-24h'!L90)</f>
        <v>0</v>
      </c>
      <c r="M90" s="49">
        <f>AVERAGE('01.08 NTINDA-SPEARMOTORS-24h'!M90,'03.08 NTINDA-SPEARMOTORS-24h'!M90)</f>
        <v>9.5</v>
      </c>
      <c r="N90" s="49">
        <f>AVERAGE('01.08 NTINDA-SPEARMOTORS-24h'!N90,'03.08 NTINDA-SPEARMOTORS-24h'!N90)</f>
        <v>0</v>
      </c>
      <c r="O90" s="15">
        <f t="shared" si="33"/>
        <v>4.5</v>
      </c>
      <c r="P90" s="15">
        <f t="shared" si="34"/>
        <v>14</v>
      </c>
      <c r="R90" s="8"/>
      <c r="T90"/>
    </row>
    <row r="91" spans="2:20" ht="23.1" customHeight="1" x14ac:dyDescent="0.25">
      <c r="B91" s="23" t="s">
        <v>131</v>
      </c>
      <c r="C91" s="49">
        <f>AVERAGE('01.08 NTINDA-SPEARMOTORS-24h'!C91,'03.08 NTINDA-SPEARMOTORS-24h'!C91)</f>
        <v>3.5</v>
      </c>
      <c r="D91" s="49">
        <f>AVERAGE('01.08 NTINDA-SPEARMOTORS-24h'!D91,'03.08 NTINDA-SPEARMOTORS-24h'!D91)</f>
        <v>0.5</v>
      </c>
      <c r="E91" s="49">
        <f>AVERAGE('01.08 NTINDA-SPEARMOTORS-24h'!E91,'03.08 NTINDA-SPEARMOTORS-24h'!E91)</f>
        <v>0.5</v>
      </c>
      <c r="F91" s="49">
        <f>AVERAGE('01.08 NTINDA-SPEARMOTORS-24h'!F91,'03.08 NTINDA-SPEARMOTORS-24h'!F91)</f>
        <v>0.5</v>
      </c>
      <c r="G91" s="49">
        <f>AVERAGE('01.08 NTINDA-SPEARMOTORS-24h'!G91,'03.08 NTINDA-SPEARMOTORS-24h'!G91)</f>
        <v>0</v>
      </c>
      <c r="H91" s="49">
        <f>AVERAGE('01.08 NTINDA-SPEARMOTORS-24h'!H91,'03.08 NTINDA-SPEARMOTORS-24h'!H91)</f>
        <v>0</v>
      </c>
      <c r="I91" s="49">
        <f>AVERAGE('01.08 NTINDA-SPEARMOTORS-24h'!I91,'03.08 NTINDA-SPEARMOTORS-24h'!I91)</f>
        <v>3</v>
      </c>
      <c r="J91" s="49">
        <f>AVERAGE('01.08 NTINDA-SPEARMOTORS-24h'!J91,'03.08 NTINDA-SPEARMOTORS-24h'!J91)</f>
        <v>0</v>
      </c>
      <c r="K91" s="49">
        <f>AVERAGE('01.08 NTINDA-SPEARMOTORS-24h'!K91,'03.08 NTINDA-SPEARMOTORS-24h'!K91)</f>
        <v>0.5</v>
      </c>
      <c r="L91" s="49">
        <f>AVERAGE('01.08 NTINDA-SPEARMOTORS-24h'!L91,'03.08 NTINDA-SPEARMOTORS-24h'!L91)</f>
        <v>2.5</v>
      </c>
      <c r="M91" s="49">
        <f>AVERAGE('01.08 NTINDA-SPEARMOTORS-24h'!M91,'03.08 NTINDA-SPEARMOTORS-24h'!M91)</f>
        <v>4</v>
      </c>
      <c r="N91" s="49">
        <f>AVERAGE('01.08 NTINDA-SPEARMOTORS-24h'!N91,'03.08 NTINDA-SPEARMOTORS-24h'!N91)</f>
        <v>0</v>
      </c>
      <c r="O91" s="15">
        <f t="shared" si="33"/>
        <v>11</v>
      </c>
      <c r="P91" s="15">
        <f t="shared" si="34"/>
        <v>15</v>
      </c>
      <c r="R91" s="8"/>
      <c r="T91"/>
    </row>
    <row r="92" spans="2:20" ht="23.1" customHeight="1" x14ac:dyDescent="0.25">
      <c r="B92" s="25" t="s">
        <v>132</v>
      </c>
      <c r="C92" s="49">
        <f>AVERAGE('01.08 NTINDA-SPEARMOTORS-24h'!C92,'03.08 NTINDA-SPEARMOTORS-24h'!C92)</f>
        <v>2</v>
      </c>
      <c r="D92" s="49">
        <f>AVERAGE('01.08 NTINDA-SPEARMOTORS-24h'!D92,'03.08 NTINDA-SPEARMOTORS-24h'!D92)</f>
        <v>2.5</v>
      </c>
      <c r="E92" s="49">
        <f>AVERAGE('01.08 NTINDA-SPEARMOTORS-24h'!E92,'03.08 NTINDA-SPEARMOTORS-24h'!E92)</f>
        <v>0.5</v>
      </c>
      <c r="F92" s="49">
        <f>AVERAGE('01.08 NTINDA-SPEARMOTORS-24h'!F92,'03.08 NTINDA-SPEARMOTORS-24h'!F92)</f>
        <v>0.5</v>
      </c>
      <c r="G92" s="49">
        <f>AVERAGE('01.08 NTINDA-SPEARMOTORS-24h'!G92,'03.08 NTINDA-SPEARMOTORS-24h'!G92)</f>
        <v>0</v>
      </c>
      <c r="H92" s="49">
        <f>AVERAGE('01.08 NTINDA-SPEARMOTORS-24h'!H92,'03.08 NTINDA-SPEARMOTORS-24h'!H92)</f>
        <v>0</v>
      </c>
      <c r="I92" s="49">
        <f>AVERAGE('01.08 NTINDA-SPEARMOTORS-24h'!I92,'03.08 NTINDA-SPEARMOTORS-24h'!I92)</f>
        <v>0</v>
      </c>
      <c r="J92" s="49">
        <f>AVERAGE('01.08 NTINDA-SPEARMOTORS-24h'!J92,'03.08 NTINDA-SPEARMOTORS-24h'!J92)</f>
        <v>2</v>
      </c>
      <c r="K92" s="49">
        <f>AVERAGE('01.08 NTINDA-SPEARMOTORS-24h'!K92,'03.08 NTINDA-SPEARMOTORS-24h'!K92)</f>
        <v>1</v>
      </c>
      <c r="L92" s="49">
        <f>AVERAGE('01.08 NTINDA-SPEARMOTORS-24h'!L92,'03.08 NTINDA-SPEARMOTORS-24h'!L92)</f>
        <v>0.5</v>
      </c>
      <c r="M92" s="49">
        <f>AVERAGE('01.08 NTINDA-SPEARMOTORS-24h'!M92,'03.08 NTINDA-SPEARMOTORS-24h'!M92)</f>
        <v>9</v>
      </c>
      <c r="N92" s="49">
        <f>AVERAGE('01.08 NTINDA-SPEARMOTORS-24h'!N92,'03.08 NTINDA-SPEARMOTORS-24h'!N92)</f>
        <v>0</v>
      </c>
      <c r="O92" s="15">
        <f t="shared" si="33"/>
        <v>9</v>
      </c>
      <c r="P92" s="15">
        <f t="shared" si="34"/>
        <v>18</v>
      </c>
      <c r="R92" s="8"/>
      <c r="T92"/>
    </row>
    <row r="93" spans="2:20" ht="23.1" customHeight="1" x14ac:dyDescent="0.25">
      <c r="B93" s="23" t="s">
        <v>133</v>
      </c>
      <c r="C93" s="49">
        <f>AVERAGE('01.08 NTINDA-SPEARMOTORS-24h'!C93,'03.08 NTINDA-SPEARMOTORS-24h'!C93)</f>
        <v>3.5</v>
      </c>
      <c r="D93" s="49">
        <f>AVERAGE('01.08 NTINDA-SPEARMOTORS-24h'!D93,'03.08 NTINDA-SPEARMOTORS-24h'!D93)</f>
        <v>1.5</v>
      </c>
      <c r="E93" s="49">
        <f>AVERAGE('01.08 NTINDA-SPEARMOTORS-24h'!E93,'03.08 NTINDA-SPEARMOTORS-24h'!E93)</f>
        <v>0</v>
      </c>
      <c r="F93" s="49">
        <f>AVERAGE('01.08 NTINDA-SPEARMOTORS-24h'!F93,'03.08 NTINDA-SPEARMOTORS-24h'!F93)</f>
        <v>0</v>
      </c>
      <c r="G93" s="49">
        <f>AVERAGE('01.08 NTINDA-SPEARMOTORS-24h'!G93,'03.08 NTINDA-SPEARMOTORS-24h'!G93)</f>
        <v>0</v>
      </c>
      <c r="H93" s="49">
        <f>AVERAGE('01.08 NTINDA-SPEARMOTORS-24h'!H93,'03.08 NTINDA-SPEARMOTORS-24h'!H93)</f>
        <v>0</v>
      </c>
      <c r="I93" s="49">
        <f>AVERAGE('01.08 NTINDA-SPEARMOTORS-24h'!I93,'03.08 NTINDA-SPEARMOTORS-24h'!I93)</f>
        <v>0</v>
      </c>
      <c r="J93" s="49">
        <f>AVERAGE('01.08 NTINDA-SPEARMOTORS-24h'!J93,'03.08 NTINDA-SPEARMOTORS-24h'!J93)</f>
        <v>0.5</v>
      </c>
      <c r="K93" s="49">
        <f>AVERAGE('01.08 NTINDA-SPEARMOTORS-24h'!K93,'03.08 NTINDA-SPEARMOTORS-24h'!K93)</f>
        <v>0</v>
      </c>
      <c r="L93" s="49">
        <f>AVERAGE('01.08 NTINDA-SPEARMOTORS-24h'!L93,'03.08 NTINDA-SPEARMOTORS-24h'!L93)</f>
        <v>2</v>
      </c>
      <c r="M93" s="49">
        <f>AVERAGE('01.08 NTINDA-SPEARMOTORS-24h'!M93,'03.08 NTINDA-SPEARMOTORS-24h'!M93)</f>
        <v>10</v>
      </c>
      <c r="N93" s="49">
        <f>AVERAGE('01.08 NTINDA-SPEARMOTORS-24h'!N93,'03.08 NTINDA-SPEARMOTORS-24h'!N93)</f>
        <v>0</v>
      </c>
      <c r="O93" s="15">
        <f t="shared" si="33"/>
        <v>7.5</v>
      </c>
      <c r="P93" s="15">
        <f t="shared" si="34"/>
        <v>17.5</v>
      </c>
      <c r="R93" s="8"/>
      <c r="T93"/>
    </row>
    <row r="94" spans="2:20" ht="23.1" customHeight="1" x14ac:dyDescent="0.25">
      <c r="B94" s="24" t="s">
        <v>134</v>
      </c>
      <c r="C94" s="49">
        <f>AVERAGE('01.08 NTINDA-SPEARMOTORS-24h'!C94,'03.08 NTINDA-SPEARMOTORS-24h'!C94)</f>
        <v>3</v>
      </c>
      <c r="D94" s="49">
        <f>AVERAGE('01.08 NTINDA-SPEARMOTORS-24h'!D94,'03.08 NTINDA-SPEARMOTORS-24h'!D94)</f>
        <v>0.5</v>
      </c>
      <c r="E94" s="49">
        <f>AVERAGE('01.08 NTINDA-SPEARMOTORS-24h'!E94,'03.08 NTINDA-SPEARMOTORS-24h'!E94)</f>
        <v>0</v>
      </c>
      <c r="F94" s="49">
        <f>AVERAGE('01.08 NTINDA-SPEARMOTORS-24h'!F94,'03.08 NTINDA-SPEARMOTORS-24h'!F94)</f>
        <v>1</v>
      </c>
      <c r="G94" s="49">
        <f>AVERAGE('01.08 NTINDA-SPEARMOTORS-24h'!G94,'03.08 NTINDA-SPEARMOTORS-24h'!G94)</f>
        <v>0</v>
      </c>
      <c r="H94" s="49">
        <f>AVERAGE('01.08 NTINDA-SPEARMOTORS-24h'!H94,'03.08 NTINDA-SPEARMOTORS-24h'!H94)</f>
        <v>0</v>
      </c>
      <c r="I94" s="49">
        <f>AVERAGE('01.08 NTINDA-SPEARMOTORS-24h'!I94,'03.08 NTINDA-SPEARMOTORS-24h'!I94)</f>
        <v>0.5</v>
      </c>
      <c r="J94" s="49">
        <f>AVERAGE('01.08 NTINDA-SPEARMOTORS-24h'!J94,'03.08 NTINDA-SPEARMOTORS-24h'!J94)</f>
        <v>0.5</v>
      </c>
      <c r="K94" s="49">
        <f>AVERAGE('01.08 NTINDA-SPEARMOTORS-24h'!K94,'03.08 NTINDA-SPEARMOTORS-24h'!K94)</f>
        <v>0</v>
      </c>
      <c r="L94" s="49">
        <f>AVERAGE('01.08 NTINDA-SPEARMOTORS-24h'!L94,'03.08 NTINDA-SPEARMOTORS-24h'!L94)</f>
        <v>0</v>
      </c>
      <c r="M94" s="49">
        <f>AVERAGE('01.08 NTINDA-SPEARMOTORS-24h'!M94,'03.08 NTINDA-SPEARMOTORS-24h'!M94)</f>
        <v>6</v>
      </c>
      <c r="N94" s="49">
        <f>AVERAGE('01.08 NTINDA-SPEARMOTORS-24h'!N94,'03.08 NTINDA-SPEARMOTORS-24h'!N94)</f>
        <v>0</v>
      </c>
      <c r="O94" s="15">
        <f t="shared" si="33"/>
        <v>5.5</v>
      </c>
      <c r="P94" s="15">
        <f t="shared" si="34"/>
        <v>11.5</v>
      </c>
      <c r="R94" s="8"/>
      <c r="T94"/>
    </row>
    <row r="95" spans="2:20" ht="23.1" customHeight="1" x14ac:dyDescent="0.25">
      <c r="B95" s="23" t="s">
        <v>135</v>
      </c>
      <c r="C95" s="49">
        <f>AVERAGE('01.08 NTINDA-SPEARMOTORS-24h'!C95,'03.08 NTINDA-SPEARMOTORS-24h'!C95)</f>
        <v>1</v>
      </c>
      <c r="D95" s="49">
        <f>AVERAGE('01.08 NTINDA-SPEARMOTORS-24h'!D95,'03.08 NTINDA-SPEARMOTORS-24h'!D95)</f>
        <v>1</v>
      </c>
      <c r="E95" s="49">
        <f>AVERAGE('01.08 NTINDA-SPEARMOTORS-24h'!E95,'03.08 NTINDA-SPEARMOTORS-24h'!E95)</f>
        <v>0</v>
      </c>
      <c r="F95" s="49">
        <f>AVERAGE('01.08 NTINDA-SPEARMOTORS-24h'!F95,'03.08 NTINDA-SPEARMOTORS-24h'!F95)</f>
        <v>0</v>
      </c>
      <c r="G95" s="49">
        <f>AVERAGE('01.08 NTINDA-SPEARMOTORS-24h'!G95,'03.08 NTINDA-SPEARMOTORS-24h'!G95)</f>
        <v>0</v>
      </c>
      <c r="H95" s="49">
        <f>AVERAGE('01.08 NTINDA-SPEARMOTORS-24h'!H95,'03.08 NTINDA-SPEARMOTORS-24h'!H95)</f>
        <v>0</v>
      </c>
      <c r="I95" s="49">
        <f>AVERAGE('01.08 NTINDA-SPEARMOTORS-24h'!I95,'03.08 NTINDA-SPEARMOTORS-24h'!I95)</f>
        <v>0.5</v>
      </c>
      <c r="J95" s="49">
        <f>AVERAGE('01.08 NTINDA-SPEARMOTORS-24h'!J95,'03.08 NTINDA-SPEARMOTORS-24h'!J95)</f>
        <v>0.5</v>
      </c>
      <c r="K95" s="49">
        <f>AVERAGE('01.08 NTINDA-SPEARMOTORS-24h'!K95,'03.08 NTINDA-SPEARMOTORS-24h'!K95)</f>
        <v>0.5</v>
      </c>
      <c r="L95" s="49">
        <f>AVERAGE('01.08 NTINDA-SPEARMOTORS-24h'!L95,'03.08 NTINDA-SPEARMOTORS-24h'!L95)</f>
        <v>0.5</v>
      </c>
      <c r="M95" s="49">
        <f>AVERAGE('01.08 NTINDA-SPEARMOTORS-24h'!M95,'03.08 NTINDA-SPEARMOTORS-24h'!M95)</f>
        <v>8.5</v>
      </c>
      <c r="N95" s="49">
        <f>AVERAGE('01.08 NTINDA-SPEARMOTORS-24h'!N95,'03.08 NTINDA-SPEARMOTORS-24h'!N95)</f>
        <v>0</v>
      </c>
      <c r="O95" s="15">
        <f t="shared" si="33"/>
        <v>4</v>
      </c>
      <c r="P95" s="15">
        <f t="shared" si="34"/>
        <v>12.5</v>
      </c>
      <c r="R95" s="8"/>
      <c r="T95"/>
    </row>
    <row r="96" spans="2:20" ht="23.1" customHeight="1" x14ac:dyDescent="0.25">
      <c r="B96" s="25" t="s">
        <v>136</v>
      </c>
      <c r="C96" s="49">
        <f>AVERAGE('01.08 NTINDA-SPEARMOTORS-24h'!C96,'03.08 NTINDA-SPEARMOTORS-24h'!C96)</f>
        <v>3</v>
      </c>
      <c r="D96" s="49">
        <f>AVERAGE('01.08 NTINDA-SPEARMOTORS-24h'!D96,'03.08 NTINDA-SPEARMOTORS-24h'!D96)</f>
        <v>3</v>
      </c>
      <c r="E96" s="49">
        <f>AVERAGE('01.08 NTINDA-SPEARMOTORS-24h'!E96,'03.08 NTINDA-SPEARMOTORS-24h'!E96)</f>
        <v>0</v>
      </c>
      <c r="F96" s="49">
        <f>AVERAGE('01.08 NTINDA-SPEARMOTORS-24h'!F96,'03.08 NTINDA-SPEARMOTORS-24h'!F96)</f>
        <v>0</v>
      </c>
      <c r="G96" s="49">
        <f>AVERAGE('01.08 NTINDA-SPEARMOTORS-24h'!G96,'03.08 NTINDA-SPEARMOTORS-24h'!G96)</f>
        <v>0</v>
      </c>
      <c r="H96" s="49">
        <f>AVERAGE('01.08 NTINDA-SPEARMOTORS-24h'!H96,'03.08 NTINDA-SPEARMOTORS-24h'!H96)</f>
        <v>0</v>
      </c>
      <c r="I96" s="49">
        <f>AVERAGE('01.08 NTINDA-SPEARMOTORS-24h'!I96,'03.08 NTINDA-SPEARMOTORS-24h'!I96)</f>
        <v>1.5</v>
      </c>
      <c r="J96" s="49">
        <f>AVERAGE('01.08 NTINDA-SPEARMOTORS-24h'!J96,'03.08 NTINDA-SPEARMOTORS-24h'!J96)</f>
        <v>1</v>
      </c>
      <c r="K96" s="49">
        <f>AVERAGE('01.08 NTINDA-SPEARMOTORS-24h'!K96,'03.08 NTINDA-SPEARMOTORS-24h'!K96)</f>
        <v>0.5</v>
      </c>
      <c r="L96" s="49">
        <f>AVERAGE('01.08 NTINDA-SPEARMOTORS-24h'!L96,'03.08 NTINDA-SPEARMOTORS-24h'!L96)</f>
        <v>1</v>
      </c>
      <c r="M96" s="49">
        <f>AVERAGE('01.08 NTINDA-SPEARMOTORS-24h'!M96,'03.08 NTINDA-SPEARMOTORS-24h'!M96)</f>
        <v>9</v>
      </c>
      <c r="N96" s="49">
        <f>AVERAGE('01.08 NTINDA-SPEARMOTORS-24h'!N96,'03.08 NTINDA-SPEARMOTORS-24h'!N96)</f>
        <v>0</v>
      </c>
      <c r="O96" s="15">
        <f t="shared" si="33"/>
        <v>10</v>
      </c>
      <c r="P96" s="15">
        <f t="shared" si="34"/>
        <v>19</v>
      </c>
      <c r="R96" s="8"/>
      <c r="T96"/>
    </row>
    <row r="97" spans="2:20" ht="23.1" customHeight="1" x14ac:dyDescent="0.25">
      <c r="B97" s="23" t="s">
        <v>137</v>
      </c>
      <c r="C97" s="49">
        <f>AVERAGE('01.08 NTINDA-SPEARMOTORS-24h'!C97,'03.08 NTINDA-SPEARMOTORS-24h'!C97)</f>
        <v>4.5</v>
      </c>
      <c r="D97" s="49">
        <f>AVERAGE('01.08 NTINDA-SPEARMOTORS-24h'!D97,'03.08 NTINDA-SPEARMOTORS-24h'!D97)</f>
        <v>0</v>
      </c>
      <c r="E97" s="49">
        <f>AVERAGE('01.08 NTINDA-SPEARMOTORS-24h'!E97,'03.08 NTINDA-SPEARMOTORS-24h'!E97)</f>
        <v>0.5</v>
      </c>
      <c r="F97" s="49">
        <f>AVERAGE('01.08 NTINDA-SPEARMOTORS-24h'!F97,'03.08 NTINDA-SPEARMOTORS-24h'!F97)</f>
        <v>1</v>
      </c>
      <c r="G97" s="49">
        <f>AVERAGE('01.08 NTINDA-SPEARMOTORS-24h'!G97,'03.08 NTINDA-SPEARMOTORS-24h'!G97)</f>
        <v>0</v>
      </c>
      <c r="H97" s="49">
        <f>AVERAGE('01.08 NTINDA-SPEARMOTORS-24h'!H97,'03.08 NTINDA-SPEARMOTORS-24h'!H97)</f>
        <v>0</v>
      </c>
      <c r="I97" s="49">
        <f>AVERAGE('01.08 NTINDA-SPEARMOTORS-24h'!I97,'03.08 NTINDA-SPEARMOTORS-24h'!I97)</f>
        <v>1.5</v>
      </c>
      <c r="J97" s="49">
        <f>AVERAGE('01.08 NTINDA-SPEARMOTORS-24h'!J97,'03.08 NTINDA-SPEARMOTORS-24h'!J97)</f>
        <v>0</v>
      </c>
      <c r="K97" s="49">
        <f>AVERAGE('01.08 NTINDA-SPEARMOTORS-24h'!K97,'03.08 NTINDA-SPEARMOTORS-24h'!K97)</f>
        <v>0</v>
      </c>
      <c r="L97" s="49">
        <f>AVERAGE('01.08 NTINDA-SPEARMOTORS-24h'!L97,'03.08 NTINDA-SPEARMOTORS-24h'!L97)</f>
        <v>2</v>
      </c>
      <c r="M97" s="49">
        <f>AVERAGE('01.08 NTINDA-SPEARMOTORS-24h'!M97,'03.08 NTINDA-SPEARMOTORS-24h'!M97)</f>
        <v>10</v>
      </c>
      <c r="N97" s="49">
        <f>AVERAGE('01.08 NTINDA-SPEARMOTORS-24h'!N97,'03.08 NTINDA-SPEARMOTORS-24h'!N97)</f>
        <v>0</v>
      </c>
      <c r="O97" s="15">
        <f t="shared" si="33"/>
        <v>9.5</v>
      </c>
      <c r="P97" s="15">
        <f t="shared" si="34"/>
        <v>19.5</v>
      </c>
      <c r="R97" s="8"/>
      <c r="T97"/>
    </row>
    <row r="98" spans="2:20" ht="23.1" customHeight="1" x14ac:dyDescent="0.25">
      <c r="B98" s="24" t="s">
        <v>138</v>
      </c>
      <c r="C98" s="49">
        <f>AVERAGE('01.08 NTINDA-SPEARMOTORS-24h'!C98,'03.08 NTINDA-SPEARMOTORS-24h'!C98)</f>
        <v>4.5</v>
      </c>
      <c r="D98" s="49">
        <f>AVERAGE('01.08 NTINDA-SPEARMOTORS-24h'!D98,'03.08 NTINDA-SPEARMOTORS-24h'!D98)</f>
        <v>1</v>
      </c>
      <c r="E98" s="49">
        <f>AVERAGE('01.08 NTINDA-SPEARMOTORS-24h'!E98,'03.08 NTINDA-SPEARMOTORS-24h'!E98)</f>
        <v>1</v>
      </c>
      <c r="F98" s="49">
        <f>AVERAGE('01.08 NTINDA-SPEARMOTORS-24h'!F98,'03.08 NTINDA-SPEARMOTORS-24h'!F98)</f>
        <v>1</v>
      </c>
      <c r="G98" s="49">
        <f>AVERAGE('01.08 NTINDA-SPEARMOTORS-24h'!G98,'03.08 NTINDA-SPEARMOTORS-24h'!G98)</f>
        <v>0</v>
      </c>
      <c r="H98" s="49">
        <f>AVERAGE('01.08 NTINDA-SPEARMOTORS-24h'!H98,'03.08 NTINDA-SPEARMOTORS-24h'!H98)</f>
        <v>0</v>
      </c>
      <c r="I98" s="49">
        <f>AVERAGE('01.08 NTINDA-SPEARMOTORS-24h'!I98,'03.08 NTINDA-SPEARMOTORS-24h'!I98)</f>
        <v>0</v>
      </c>
      <c r="J98" s="49">
        <f>AVERAGE('01.08 NTINDA-SPEARMOTORS-24h'!J98,'03.08 NTINDA-SPEARMOTORS-24h'!J98)</f>
        <v>0</v>
      </c>
      <c r="K98" s="49">
        <f>AVERAGE('01.08 NTINDA-SPEARMOTORS-24h'!K98,'03.08 NTINDA-SPEARMOTORS-24h'!K98)</f>
        <v>0</v>
      </c>
      <c r="L98" s="49">
        <f>AVERAGE('01.08 NTINDA-SPEARMOTORS-24h'!L98,'03.08 NTINDA-SPEARMOTORS-24h'!L98)</f>
        <v>0</v>
      </c>
      <c r="M98" s="49">
        <f>AVERAGE('01.08 NTINDA-SPEARMOTORS-24h'!M98,'03.08 NTINDA-SPEARMOTORS-24h'!M98)</f>
        <v>17</v>
      </c>
      <c r="N98" s="49">
        <f>AVERAGE('01.08 NTINDA-SPEARMOTORS-24h'!N98,'03.08 NTINDA-SPEARMOTORS-24h'!N98)</f>
        <v>0</v>
      </c>
      <c r="O98" s="15">
        <f t="shared" si="33"/>
        <v>7.5</v>
      </c>
      <c r="P98" s="15">
        <f t="shared" si="34"/>
        <v>24.5</v>
      </c>
      <c r="R98" s="8"/>
      <c r="T98"/>
    </row>
    <row r="99" spans="2:20" ht="23.1" customHeight="1" x14ac:dyDescent="0.25">
      <c r="B99" s="23" t="s">
        <v>139</v>
      </c>
      <c r="C99" s="49">
        <f>AVERAGE('01.08 NTINDA-SPEARMOTORS-24h'!C99,'03.08 NTINDA-SPEARMOTORS-24h'!C99)</f>
        <v>4.5</v>
      </c>
      <c r="D99" s="49">
        <f>AVERAGE('01.08 NTINDA-SPEARMOTORS-24h'!D99,'03.08 NTINDA-SPEARMOTORS-24h'!D99)</f>
        <v>2.5</v>
      </c>
      <c r="E99" s="49">
        <f>AVERAGE('01.08 NTINDA-SPEARMOTORS-24h'!E99,'03.08 NTINDA-SPEARMOTORS-24h'!E99)</f>
        <v>1</v>
      </c>
      <c r="F99" s="49">
        <f>AVERAGE('01.08 NTINDA-SPEARMOTORS-24h'!F99,'03.08 NTINDA-SPEARMOTORS-24h'!F99)</f>
        <v>3.5</v>
      </c>
      <c r="G99" s="49">
        <f>AVERAGE('01.08 NTINDA-SPEARMOTORS-24h'!G99,'03.08 NTINDA-SPEARMOTORS-24h'!G99)</f>
        <v>0</v>
      </c>
      <c r="H99" s="49">
        <f>AVERAGE('01.08 NTINDA-SPEARMOTORS-24h'!H99,'03.08 NTINDA-SPEARMOTORS-24h'!H99)</f>
        <v>0</v>
      </c>
      <c r="I99" s="49">
        <f>AVERAGE('01.08 NTINDA-SPEARMOTORS-24h'!I99,'03.08 NTINDA-SPEARMOTORS-24h'!I99)</f>
        <v>0.5</v>
      </c>
      <c r="J99" s="49">
        <f>AVERAGE('01.08 NTINDA-SPEARMOTORS-24h'!J99,'03.08 NTINDA-SPEARMOTORS-24h'!J99)</f>
        <v>0.5</v>
      </c>
      <c r="K99" s="49">
        <f>AVERAGE('01.08 NTINDA-SPEARMOTORS-24h'!K99,'03.08 NTINDA-SPEARMOTORS-24h'!K99)</f>
        <v>0</v>
      </c>
      <c r="L99" s="49">
        <f>AVERAGE('01.08 NTINDA-SPEARMOTORS-24h'!L99,'03.08 NTINDA-SPEARMOTORS-24h'!L99)</f>
        <v>1</v>
      </c>
      <c r="M99" s="49">
        <f>AVERAGE('01.08 NTINDA-SPEARMOTORS-24h'!M99,'03.08 NTINDA-SPEARMOTORS-24h'!M99)</f>
        <v>31</v>
      </c>
      <c r="N99" s="49">
        <f>AVERAGE('01.08 NTINDA-SPEARMOTORS-24h'!N99,'03.08 NTINDA-SPEARMOTORS-24h'!N99)</f>
        <v>0</v>
      </c>
      <c r="O99" s="15">
        <f t="shared" si="33"/>
        <v>13.5</v>
      </c>
      <c r="P99" s="15">
        <f t="shared" si="34"/>
        <v>44.5</v>
      </c>
      <c r="R99" s="8"/>
      <c r="T99"/>
    </row>
    <row r="100" spans="2:20" ht="23.1" customHeight="1" x14ac:dyDescent="0.25">
      <c r="B100" s="25" t="s">
        <v>140</v>
      </c>
      <c r="C100" s="49">
        <f>AVERAGE('01.08 NTINDA-SPEARMOTORS-24h'!C100,'03.08 NTINDA-SPEARMOTORS-24h'!C100)</f>
        <v>3.5</v>
      </c>
      <c r="D100" s="49">
        <f>AVERAGE('01.08 NTINDA-SPEARMOTORS-24h'!D100,'03.08 NTINDA-SPEARMOTORS-24h'!D100)</f>
        <v>1.5</v>
      </c>
      <c r="E100" s="49">
        <f>AVERAGE('01.08 NTINDA-SPEARMOTORS-24h'!E100,'03.08 NTINDA-SPEARMOTORS-24h'!E100)</f>
        <v>2</v>
      </c>
      <c r="F100" s="49">
        <f>AVERAGE('01.08 NTINDA-SPEARMOTORS-24h'!F100,'03.08 NTINDA-SPEARMOTORS-24h'!F100)</f>
        <v>3.5</v>
      </c>
      <c r="G100" s="49">
        <f>AVERAGE('01.08 NTINDA-SPEARMOTORS-24h'!G100,'03.08 NTINDA-SPEARMOTORS-24h'!G100)</f>
        <v>0</v>
      </c>
      <c r="H100" s="49">
        <f>AVERAGE('01.08 NTINDA-SPEARMOTORS-24h'!H100,'03.08 NTINDA-SPEARMOTORS-24h'!H100)</f>
        <v>0</v>
      </c>
      <c r="I100" s="49">
        <f>AVERAGE('01.08 NTINDA-SPEARMOTORS-24h'!I100,'03.08 NTINDA-SPEARMOTORS-24h'!I100)</f>
        <v>0.5</v>
      </c>
      <c r="J100" s="49">
        <f>AVERAGE('01.08 NTINDA-SPEARMOTORS-24h'!J100,'03.08 NTINDA-SPEARMOTORS-24h'!J100)</f>
        <v>0</v>
      </c>
      <c r="K100" s="49">
        <f>AVERAGE('01.08 NTINDA-SPEARMOTORS-24h'!K100,'03.08 NTINDA-SPEARMOTORS-24h'!K100)</f>
        <v>0</v>
      </c>
      <c r="L100" s="49">
        <f>AVERAGE('01.08 NTINDA-SPEARMOTORS-24h'!L100,'03.08 NTINDA-SPEARMOTORS-24h'!L100)</f>
        <v>1.5</v>
      </c>
      <c r="M100" s="49">
        <f>AVERAGE('01.08 NTINDA-SPEARMOTORS-24h'!M100,'03.08 NTINDA-SPEARMOTORS-24h'!M100)</f>
        <v>35.5</v>
      </c>
      <c r="N100" s="49">
        <f>AVERAGE('01.08 NTINDA-SPEARMOTORS-24h'!N100,'03.08 NTINDA-SPEARMOTORS-24h'!N100)</f>
        <v>0</v>
      </c>
      <c r="O100" s="15">
        <f t="shared" si="33"/>
        <v>12.5</v>
      </c>
      <c r="P100" s="15">
        <f t="shared" si="34"/>
        <v>48</v>
      </c>
      <c r="R100" s="8"/>
      <c r="T100"/>
    </row>
    <row r="101" spans="2:20" ht="23.1" customHeight="1" x14ac:dyDescent="0.25">
      <c r="B101" s="23" t="s">
        <v>141</v>
      </c>
      <c r="C101" s="49">
        <f>AVERAGE('01.08 NTINDA-SPEARMOTORS-24h'!C101,'03.08 NTINDA-SPEARMOTORS-24h'!C101)</f>
        <v>8.5</v>
      </c>
      <c r="D101" s="49">
        <f>AVERAGE('01.08 NTINDA-SPEARMOTORS-24h'!D101,'03.08 NTINDA-SPEARMOTORS-24h'!D101)</f>
        <v>6</v>
      </c>
      <c r="E101" s="49">
        <f>AVERAGE('01.08 NTINDA-SPEARMOTORS-24h'!E101,'03.08 NTINDA-SPEARMOTORS-24h'!E101)</f>
        <v>1</v>
      </c>
      <c r="F101" s="49">
        <f>AVERAGE('01.08 NTINDA-SPEARMOTORS-24h'!F101,'03.08 NTINDA-SPEARMOTORS-24h'!F101)</f>
        <v>5.5</v>
      </c>
      <c r="G101" s="49">
        <f>AVERAGE('01.08 NTINDA-SPEARMOTORS-24h'!G101,'03.08 NTINDA-SPEARMOTORS-24h'!G101)</f>
        <v>0</v>
      </c>
      <c r="H101" s="49">
        <f>AVERAGE('01.08 NTINDA-SPEARMOTORS-24h'!H101,'03.08 NTINDA-SPEARMOTORS-24h'!H101)</f>
        <v>0</v>
      </c>
      <c r="I101" s="49">
        <f>AVERAGE('01.08 NTINDA-SPEARMOTORS-24h'!I101,'03.08 NTINDA-SPEARMOTORS-24h'!I101)</f>
        <v>0</v>
      </c>
      <c r="J101" s="49">
        <f>AVERAGE('01.08 NTINDA-SPEARMOTORS-24h'!J101,'03.08 NTINDA-SPEARMOTORS-24h'!J101)</f>
        <v>0.5</v>
      </c>
      <c r="K101" s="49">
        <f>AVERAGE('01.08 NTINDA-SPEARMOTORS-24h'!K101,'03.08 NTINDA-SPEARMOTORS-24h'!K101)</f>
        <v>0</v>
      </c>
      <c r="L101" s="49">
        <f>AVERAGE('01.08 NTINDA-SPEARMOTORS-24h'!L101,'03.08 NTINDA-SPEARMOTORS-24h'!L101)</f>
        <v>2</v>
      </c>
      <c r="M101" s="49">
        <f>AVERAGE('01.08 NTINDA-SPEARMOTORS-24h'!M101,'03.08 NTINDA-SPEARMOTORS-24h'!M101)</f>
        <v>32.5</v>
      </c>
      <c r="N101" s="49">
        <f>AVERAGE('01.08 NTINDA-SPEARMOTORS-24h'!N101,'03.08 NTINDA-SPEARMOTORS-24h'!N101)</f>
        <v>0</v>
      </c>
      <c r="O101" s="15">
        <f t="shared" si="33"/>
        <v>23.5</v>
      </c>
      <c r="P101" s="15">
        <f t="shared" si="34"/>
        <v>56</v>
      </c>
      <c r="R101" s="8"/>
      <c r="T101"/>
    </row>
    <row r="102" spans="2:20" ht="23.1" customHeight="1" x14ac:dyDescent="0.25">
      <c r="B102" s="24" t="s">
        <v>142</v>
      </c>
      <c r="C102" s="49">
        <f>AVERAGE('01.08 NTINDA-SPEARMOTORS-24h'!C102,'03.08 NTINDA-SPEARMOTORS-24h'!C102)</f>
        <v>9.5</v>
      </c>
      <c r="D102" s="49">
        <f>AVERAGE('01.08 NTINDA-SPEARMOTORS-24h'!D102,'03.08 NTINDA-SPEARMOTORS-24h'!D102)</f>
        <v>11</v>
      </c>
      <c r="E102" s="49">
        <f>AVERAGE('01.08 NTINDA-SPEARMOTORS-24h'!E102,'03.08 NTINDA-SPEARMOTORS-24h'!E102)</f>
        <v>4</v>
      </c>
      <c r="F102" s="49">
        <f>AVERAGE('01.08 NTINDA-SPEARMOTORS-24h'!F102,'03.08 NTINDA-SPEARMOTORS-24h'!F102)</f>
        <v>4.5</v>
      </c>
      <c r="G102" s="49">
        <f>AVERAGE('01.08 NTINDA-SPEARMOTORS-24h'!G102,'03.08 NTINDA-SPEARMOTORS-24h'!G102)</f>
        <v>0</v>
      </c>
      <c r="H102" s="49">
        <f>AVERAGE('01.08 NTINDA-SPEARMOTORS-24h'!H102,'03.08 NTINDA-SPEARMOTORS-24h'!H102)</f>
        <v>0</v>
      </c>
      <c r="I102" s="49">
        <f>AVERAGE('01.08 NTINDA-SPEARMOTORS-24h'!I102,'03.08 NTINDA-SPEARMOTORS-24h'!I102)</f>
        <v>1.5</v>
      </c>
      <c r="J102" s="49">
        <f>AVERAGE('01.08 NTINDA-SPEARMOTORS-24h'!J102,'03.08 NTINDA-SPEARMOTORS-24h'!J102)</f>
        <v>1</v>
      </c>
      <c r="K102" s="49">
        <f>AVERAGE('01.08 NTINDA-SPEARMOTORS-24h'!K102,'03.08 NTINDA-SPEARMOTORS-24h'!K102)</f>
        <v>0</v>
      </c>
      <c r="L102" s="49">
        <f>AVERAGE('01.08 NTINDA-SPEARMOTORS-24h'!L102,'03.08 NTINDA-SPEARMOTORS-24h'!L102)</f>
        <v>0</v>
      </c>
      <c r="M102" s="49">
        <f>AVERAGE('01.08 NTINDA-SPEARMOTORS-24h'!M102,'03.08 NTINDA-SPEARMOTORS-24h'!M102)</f>
        <v>41</v>
      </c>
      <c r="N102" s="49">
        <f>AVERAGE('01.08 NTINDA-SPEARMOTORS-24h'!N102,'03.08 NTINDA-SPEARMOTORS-24h'!N102)</f>
        <v>0</v>
      </c>
      <c r="O102" s="15">
        <f t="shared" si="33"/>
        <v>31.5</v>
      </c>
      <c r="P102" s="15">
        <f t="shared" si="34"/>
        <v>72.5</v>
      </c>
      <c r="R102" s="8"/>
      <c r="T102"/>
    </row>
    <row r="103" spans="2:20" ht="23.1" customHeight="1" x14ac:dyDescent="0.25">
      <c r="B103" s="23" t="s">
        <v>143</v>
      </c>
      <c r="C103" s="49">
        <f>AVERAGE('01.08 NTINDA-SPEARMOTORS-24h'!C103,'03.08 NTINDA-SPEARMOTORS-24h'!C103)</f>
        <v>10</v>
      </c>
      <c r="D103" s="49">
        <f>AVERAGE('01.08 NTINDA-SPEARMOTORS-24h'!D103,'03.08 NTINDA-SPEARMOTORS-24h'!D103)</f>
        <v>13</v>
      </c>
      <c r="E103" s="49">
        <f>AVERAGE('01.08 NTINDA-SPEARMOTORS-24h'!E103,'03.08 NTINDA-SPEARMOTORS-24h'!E103)</f>
        <v>2</v>
      </c>
      <c r="F103" s="49">
        <f>AVERAGE('01.08 NTINDA-SPEARMOTORS-24h'!F103,'03.08 NTINDA-SPEARMOTORS-24h'!F103)</f>
        <v>6.5</v>
      </c>
      <c r="G103" s="49">
        <f>AVERAGE('01.08 NTINDA-SPEARMOTORS-24h'!G103,'03.08 NTINDA-SPEARMOTORS-24h'!G103)</f>
        <v>0.5</v>
      </c>
      <c r="H103" s="49">
        <f>AVERAGE('01.08 NTINDA-SPEARMOTORS-24h'!H103,'03.08 NTINDA-SPEARMOTORS-24h'!H103)</f>
        <v>0</v>
      </c>
      <c r="I103" s="49">
        <f>AVERAGE('01.08 NTINDA-SPEARMOTORS-24h'!I103,'03.08 NTINDA-SPEARMOTORS-24h'!I103)</f>
        <v>0.5</v>
      </c>
      <c r="J103" s="49">
        <f>AVERAGE('01.08 NTINDA-SPEARMOTORS-24h'!J103,'03.08 NTINDA-SPEARMOTORS-24h'!J103)</f>
        <v>1.5</v>
      </c>
      <c r="K103" s="49">
        <f>AVERAGE('01.08 NTINDA-SPEARMOTORS-24h'!K103,'03.08 NTINDA-SPEARMOTORS-24h'!K103)</f>
        <v>0</v>
      </c>
      <c r="L103" s="49">
        <f>AVERAGE('01.08 NTINDA-SPEARMOTORS-24h'!L103,'03.08 NTINDA-SPEARMOTORS-24h'!L103)</f>
        <v>0</v>
      </c>
      <c r="M103" s="49">
        <f>AVERAGE('01.08 NTINDA-SPEARMOTORS-24h'!M103,'03.08 NTINDA-SPEARMOTORS-24h'!M103)</f>
        <v>51</v>
      </c>
      <c r="N103" s="49">
        <f>AVERAGE('01.08 NTINDA-SPEARMOTORS-24h'!N103,'03.08 NTINDA-SPEARMOTORS-24h'!N103)</f>
        <v>0</v>
      </c>
      <c r="O103" s="15">
        <f t="shared" si="33"/>
        <v>34</v>
      </c>
      <c r="P103" s="15">
        <f t="shared" si="34"/>
        <v>85</v>
      </c>
      <c r="R103" s="8"/>
      <c r="T103"/>
    </row>
    <row r="104" spans="2:20" ht="23.1" customHeight="1" x14ac:dyDescent="0.25">
      <c r="B104" s="25" t="s">
        <v>144</v>
      </c>
      <c r="C104" s="49">
        <f>AVERAGE('01.08 NTINDA-SPEARMOTORS-24h'!C104,'03.08 NTINDA-SPEARMOTORS-24h'!C104)</f>
        <v>20</v>
      </c>
      <c r="D104" s="49">
        <f>AVERAGE('01.08 NTINDA-SPEARMOTORS-24h'!D104,'03.08 NTINDA-SPEARMOTORS-24h'!D104)</f>
        <v>14.5</v>
      </c>
      <c r="E104" s="49">
        <f>AVERAGE('01.08 NTINDA-SPEARMOTORS-24h'!E104,'03.08 NTINDA-SPEARMOTORS-24h'!E104)</f>
        <v>1.5</v>
      </c>
      <c r="F104" s="49">
        <f>AVERAGE('01.08 NTINDA-SPEARMOTORS-24h'!F104,'03.08 NTINDA-SPEARMOTORS-24h'!F104)</f>
        <v>3.5</v>
      </c>
      <c r="G104" s="49">
        <f>AVERAGE('01.08 NTINDA-SPEARMOTORS-24h'!G104,'03.08 NTINDA-SPEARMOTORS-24h'!G104)</f>
        <v>0</v>
      </c>
      <c r="H104" s="49">
        <f>AVERAGE('01.08 NTINDA-SPEARMOTORS-24h'!H104,'03.08 NTINDA-SPEARMOTORS-24h'!H104)</f>
        <v>0</v>
      </c>
      <c r="I104" s="49">
        <f>AVERAGE('01.08 NTINDA-SPEARMOTORS-24h'!I104,'03.08 NTINDA-SPEARMOTORS-24h'!I104)</f>
        <v>2</v>
      </c>
      <c r="J104" s="49">
        <f>AVERAGE('01.08 NTINDA-SPEARMOTORS-24h'!J104,'03.08 NTINDA-SPEARMOTORS-24h'!J104)</f>
        <v>0.5</v>
      </c>
      <c r="K104" s="49">
        <f>AVERAGE('01.08 NTINDA-SPEARMOTORS-24h'!K104,'03.08 NTINDA-SPEARMOTORS-24h'!K104)</f>
        <v>0</v>
      </c>
      <c r="L104" s="49">
        <f>AVERAGE('01.08 NTINDA-SPEARMOTORS-24h'!L104,'03.08 NTINDA-SPEARMOTORS-24h'!L104)</f>
        <v>0.5</v>
      </c>
      <c r="M104" s="49">
        <f>AVERAGE('01.08 NTINDA-SPEARMOTORS-24h'!M104,'03.08 NTINDA-SPEARMOTORS-24h'!M104)</f>
        <v>60</v>
      </c>
      <c r="N104" s="49">
        <f>AVERAGE('01.08 NTINDA-SPEARMOTORS-24h'!N104,'03.08 NTINDA-SPEARMOTORS-24h'!N104)</f>
        <v>0</v>
      </c>
      <c r="O104" s="15">
        <f t="shared" si="33"/>
        <v>42.5</v>
      </c>
      <c r="P104" s="15">
        <f t="shared" si="34"/>
        <v>102.5</v>
      </c>
      <c r="R104" s="8"/>
      <c r="T104"/>
    </row>
    <row r="105" spans="2:20" ht="23.1" customHeight="1" x14ac:dyDescent="0.25">
      <c r="B105" s="23" t="s">
        <v>145</v>
      </c>
      <c r="C105" s="49">
        <f>AVERAGE('01.08 NTINDA-SPEARMOTORS-24h'!C105,'03.08 NTINDA-SPEARMOTORS-24h'!C105)</f>
        <v>22.5</v>
      </c>
      <c r="D105" s="49">
        <f>AVERAGE('01.08 NTINDA-SPEARMOTORS-24h'!D105,'03.08 NTINDA-SPEARMOTORS-24h'!D105)</f>
        <v>10.5</v>
      </c>
      <c r="E105" s="49">
        <f>AVERAGE('01.08 NTINDA-SPEARMOTORS-24h'!E105,'03.08 NTINDA-SPEARMOTORS-24h'!E105)</f>
        <v>4</v>
      </c>
      <c r="F105" s="49">
        <f>AVERAGE('01.08 NTINDA-SPEARMOTORS-24h'!F105,'03.08 NTINDA-SPEARMOTORS-24h'!F105)</f>
        <v>5.5</v>
      </c>
      <c r="G105" s="49">
        <f>AVERAGE('01.08 NTINDA-SPEARMOTORS-24h'!G105,'03.08 NTINDA-SPEARMOTORS-24h'!G105)</f>
        <v>0</v>
      </c>
      <c r="H105" s="49">
        <f>AVERAGE('01.08 NTINDA-SPEARMOTORS-24h'!H105,'03.08 NTINDA-SPEARMOTORS-24h'!H105)</f>
        <v>0</v>
      </c>
      <c r="I105" s="49">
        <f>AVERAGE('01.08 NTINDA-SPEARMOTORS-24h'!I105,'03.08 NTINDA-SPEARMOTORS-24h'!I105)</f>
        <v>1</v>
      </c>
      <c r="J105" s="49">
        <f>AVERAGE('01.08 NTINDA-SPEARMOTORS-24h'!J105,'03.08 NTINDA-SPEARMOTORS-24h'!J105)</f>
        <v>1.5</v>
      </c>
      <c r="K105" s="49">
        <f>AVERAGE('01.08 NTINDA-SPEARMOTORS-24h'!K105,'03.08 NTINDA-SPEARMOTORS-24h'!K105)</f>
        <v>0.5</v>
      </c>
      <c r="L105" s="49">
        <f>AVERAGE('01.08 NTINDA-SPEARMOTORS-24h'!L105,'03.08 NTINDA-SPEARMOTORS-24h'!L105)</f>
        <v>0</v>
      </c>
      <c r="M105" s="49">
        <f>AVERAGE('01.08 NTINDA-SPEARMOTORS-24h'!M105,'03.08 NTINDA-SPEARMOTORS-24h'!M105)</f>
        <v>77.5</v>
      </c>
      <c r="N105" s="49">
        <f>AVERAGE('01.08 NTINDA-SPEARMOTORS-24h'!N105,'03.08 NTINDA-SPEARMOTORS-24h'!N105)</f>
        <v>0</v>
      </c>
      <c r="O105" s="15">
        <f t="shared" si="33"/>
        <v>45.5</v>
      </c>
      <c r="P105" s="15">
        <f t="shared" si="34"/>
        <v>123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1472.5714285714287</v>
      </c>
      <c r="D106" s="16">
        <f t="shared" ref="D106:P106" si="35">SUM(D10:D105)</f>
        <v>844.57142857142856</v>
      </c>
      <c r="E106" s="16">
        <f t="shared" si="35"/>
        <v>300.64285714285711</v>
      </c>
      <c r="F106" s="16">
        <f t="shared" si="35"/>
        <v>496.85714285714283</v>
      </c>
      <c r="G106" s="16">
        <f t="shared" si="35"/>
        <v>5.7857142857142865</v>
      </c>
      <c r="H106" s="16">
        <f t="shared" si="35"/>
        <v>2.6428571428571423</v>
      </c>
      <c r="I106" s="16">
        <f t="shared" si="35"/>
        <v>132.50000000000003</v>
      </c>
      <c r="J106" s="16">
        <f t="shared" si="35"/>
        <v>96.714285714285722</v>
      </c>
      <c r="K106" s="16">
        <f t="shared" si="35"/>
        <v>54.857142857142861</v>
      </c>
      <c r="L106" s="16">
        <f t="shared" si="35"/>
        <v>200.57142857142864</v>
      </c>
      <c r="M106" s="16">
        <f t="shared" si="35"/>
        <v>7883.9285714285706</v>
      </c>
      <c r="N106" s="16">
        <f t="shared" si="35"/>
        <v>0.85714285714285698</v>
      </c>
      <c r="O106" s="16">
        <f t="shared" si="35"/>
        <v>3608.5714285714284</v>
      </c>
      <c r="P106" s="16">
        <f t="shared" si="35"/>
        <v>11492.5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6">C106/$P$106</f>
        <v>0.12813325460704186</v>
      </c>
      <c r="D107" s="43">
        <f t="shared" si="36"/>
        <v>7.348892134621958E-2</v>
      </c>
      <c r="E107" s="43">
        <f t="shared" si="36"/>
        <v>2.6159917958917304E-2</v>
      </c>
      <c r="F107" s="43">
        <f t="shared" si="36"/>
        <v>4.3233164486155565E-2</v>
      </c>
      <c r="G107" s="43">
        <f t="shared" si="36"/>
        <v>5.0343391652941363E-4</v>
      </c>
      <c r="H107" s="43">
        <f t="shared" si="36"/>
        <v>2.2996364088380617E-4</v>
      </c>
      <c r="I107" s="43">
        <f t="shared" si="36"/>
        <v>1.1529258211877313E-2</v>
      </c>
      <c r="J107" s="43">
        <f t="shared" si="36"/>
        <v>8.4154262096398282E-3</v>
      </c>
      <c r="K107" s="43">
        <f t="shared" si="36"/>
        <v>4.7732993567233296E-3</v>
      </c>
      <c r="L107" s="43">
        <f t="shared" si="36"/>
        <v>1.7452375773019679E-2</v>
      </c>
      <c r="M107" s="43">
        <f t="shared" si="36"/>
        <v>0.6860064016905435</v>
      </c>
      <c r="N107" s="43">
        <f t="shared" si="36"/>
        <v>7.4582802448801999E-5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0.40807600950118766</v>
      </c>
      <c r="D108" s="44">
        <f t="shared" ref="D108:N108" si="37">D106/$O$106</f>
        <v>0.23404592240696753</v>
      </c>
      <c r="E108" s="44">
        <f t="shared" si="37"/>
        <v>8.3313539192399047E-2</v>
      </c>
      <c r="F108" s="44">
        <f t="shared" si="37"/>
        <v>0.13768804433887569</v>
      </c>
      <c r="G108" s="44">
        <f t="shared" si="37"/>
        <v>1.6033254156769599E-3</v>
      </c>
      <c r="H108" s="44">
        <f t="shared" si="37"/>
        <v>7.3238321456848762E-4</v>
      </c>
      <c r="I108" s="44">
        <f t="shared" si="37"/>
        <v>3.671813143309581E-2</v>
      </c>
      <c r="J108" s="44">
        <f t="shared" si="37"/>
        <v>2.6801266825019796E-2</v>
      </c>
      <c r="K108" s="44">
        <f t="shared" si="37"/>
        <v>1.5201900237529693E-2</v>
      </c>
      <c r="L108" s="44">
        <f t="shared" si="37"/>
        <v>5.5581947743467953E-2</v>
      </c>
      <c r="M108" s="44"/>
      <c r="N108" s="44">
        <f t="shared" si="37"/>
        <v>2.375296912114014E-4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H43" zoomScale="60" workbookViewId="0">
      <selection activeCell="AA78" sqref="AA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'04.08 SPEARMOTORS-NTINDA'!C3:G3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'04.08 SPEARMOTORS-NTINDA'!G5:H5</f>
        <v>NAGURU BARRACKS</v>
      </c>
      <c r="H5" s="62"/>
      <c r="I5" s="14"/>
      <c r="J5" s="2" t="s">
        <v>5</v>
      </c>
      <c r="K5" s="61" t="str">
        <f>'04.08 SPEARMOTORS-NTINDA'!K5:L5</f>
        <v>TUUYA EMILY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'04.08 SPEARMOTORS-NTINDA'!D6:E6</f>
        <v>SPEAR MOTORS</v>
      </c>
      <c r="E6" s="62"/>
      <c r="F6" s="2" t="s">
        <v>2</v>
      </c>
      <c r="G6" s="61" t="str">
        <f>'04.08 SPEARMOTORS-NTINDA'!G6:H6</f>
        <v>NTINDA</v>
      </c>
      <c r="H6" s="62"/>
      <c r="J6" s="2" t="s">
        <v>21</v>
      </c>
      <c r="K6" s="61" t="str">
        <f>'04.08 SPEARMOTORS-NTINDA'!K6:L6</f>
        <v>NUSULAH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SPEARMOTORS-NTINDA'!C10,'30.07 SPEARMOTORS-NTINDA'!C10,'31.07 NTINDA-SPEAR MOTORS'!C10,'02.08 NTINDA-SPEARMOTORS'!C10,'01.07 SPEARMOTORS-NTINDA-24h'!C10,'03.08 SPEARMOTORS-NTINDA-24h'!C10,'04.08 SPEARMOTORS-NTINDA'!C10)</f>
        <v>24.142857142857142</v>
      </c>
      <c r="D10" s="49">
        <f>AVERAGE('29.07 SPEARMOTORS-NTINDA'!D10,'30.07 SPEARMOTORS-NTINDA'!D10,'31.07 NTINDA-SPEAR MOTORS'!D10,'02.08 NTINDA-SPEARMOTORS'!D10,'01.07 SPEARMOTORS-NTINDA-24h'!D10,'03.08 SPEARMOTORS-NTINDA-24h'!D10,'04.08 SPEARMOTORS-NTINDA'!D10)</f>
        <v>15.714285714285714</v>
      </c>
      <c r="E10" s="49">
        <f>AVERAGE('29.07 SPEARMOTORS-NTINDA'!E10,'30.07 SPEARMOTORS-NTINDA'!E10,'31.07 NTINDA-SPEAR MOTORS'!E10,'02.08 NTINDA-SPEARMOTORS'!E10,'01.07 SPEARMOTORS-NTINDA-24h'!E10,'03.08 SPEARMOTORS-NTINDA-24h'!E10,'04.08 SPEARMOTORS-NTINDA'!E10)</f>
        <v>8.8571428571428577</v>
      </c>
      <c r="F10" s="49">
        <f>AVERAGE('29.07 SPEARMOTORS-NTINDA'!F10,'30.07 SPEARMOTORS-NTINDA'!F10,'31.07 NTINDA-SPEAR MOTORS'!F10,'02.08 NTINDA-SPEARMOTORS'!F10,'01.07 SPEARMOTORS-NTINDA-24h'!F10,'03.08 SPEARMOTORS-NTINDA-24h'!F10,'04.08 SPEARMOTORS-NTINDA'!F10)</f>
        <v>18.285714285714285</v>
      </c>
      <c r="G10" s="49">
        <f>AVERAGE('29.07 SPEARMOTORS-NTINDA'!G10,'30.07 SPEARMOTORS-NTINDA'!G10,'31.07 NTINDA-SPEAR MOTORS'!G10,'02.08 NTINDA-SPEARMOTORS'!G10,'01.07 SPEARMOTORS-NTINDA-24h'!G10,'03.08 SPEARMOTORS-NTINDA-24h'!G10,'04.08 SPEARMOTORS-NTINDA'!G10)</f>
        <v>0.2857142857142857</v>
      </c>
      <c r="H10" s="49">
        <f>AVERAGE('29.07 SPEARMOTORS-NTINDA'!H10,'30.07 SPEARMOTORS-NTINDA'!H10,'31.07 NTINDA-SPEAR MOTORS'!H10,'02.08 NTINDA-SPEARMOTORS'!H10,'01.07 SPEARMOTORS-NTINDA-24h'!H10,'03.08 SPEARMOTORS-NTINDA-24h'!H10,'04.08 SPEARMOTORS-NTINDA'!H10)</f>
        <v>0</v>
      </c>
      <c r="I10" s="49">
        <f>AVERAGE('29.07 SPEARMOTORS-NTINDA'!I10,'30.07 SPEARMOTORS-NTINDA'!I10,'31.07 NTINDA-SPEAR MOTORS'!I10,'02.08 NTINDA-SPEARMOTORS'!I10,'01.07 SPEARMOTORS-NTINDA-24h'!I10,'03.08 SPEARMOTORS-NTINDA-24h'!I10,'04.08 SPEARMOTORS-NTINDA'!I10)</f>
        <v>3.4285714285714284</v>
      </c>
      <c r="J10" s="49">
        <f>AVERAGE('29.07 SPEARMOTORS-NTINDA'!J10,'30.07 SPEARMOTORS-NTINDA'!J10,'31.07 NTINDA-SPEAR MOTORS'!J10,'02.08 NTINDA-SPEARMOTORS'!J10,'01.07 SPEARMOTORS-NTINDA-24h'!J10,'03.08 SPEARMOTORS-NTINDA-24h'!J10,'04.08 SPEARMOTORS-NTINDA'!J10)</f>
        <v>2.4285714285714284</v>
      </c>
      <c r="K10" s="49">
        <f>AVERAGE('29.07 SPEARMOTORS-NTINDA'!K10,'30.07 SPEARMOTORS-NTINDA'!K10,'31.07 NTINDA-SPEAR MOTORS'!K10,'02.08 NTINDA-SPEARMOTORS'!K10,'01.07 SPEARMOTORS-NTINDA-24h'!K10,'03.08 SPEARMOTORS-NTINDA-24h'!K10,'04.08 SPEARMOTORS-NTINDA'!K10)</f>
        <v>1.8571428571428572</v>
      </c>
      <c r="L10" s="49">
        <f>AVERAGE('29.07 SPEARMOTORS-NTINDA'!L10,'30.07 SPEARMOTORS-NTINDA'!L10,'31.07 NTINDA-SPEAR MOTORS'!L10,'02.08 NTINDA-SPEARMOTORS'!L10,'01.07 SPEARMOTORS-NTINDA-24h'!L10,'03.08 SPEARMOTORS-NTINDA-24h'!L10,'04.08 SPEARMOTORS-NTINDA'!L10)</f>
        <v>9.8571428571428577</v>
      </c>
      <c r="M10" s="49">
        <f>AVERAGE('29.07 SPEARMOTORS-NTINDA'!M10,'30.07 SPEARMOTORS-NTINDA'!M10,'31.07 NTINDA-SPEAR MOTORS'!M10,'02.08 NTINDA-SPEARMOTORS'!M10,'01.07 SPEARMOTORS-NTINDA-24h'!M10,'03.08 SPEARMOTORS-NTINDA-24h'!M10,'04.08 SPEARMOTORS-NTINDA'!M10)</f>
        <v>123.42857142857143</v>
      </c>
      <c r="N10" s="49">
        <f>AVERAGE('29.07 SPEARMOTORS-NTINDA'!N10,'30.07 SPEARMOTORS-NTINDA'!N10,'31.07 NTINDA-SPEAR MOTORS'!N10,'02.08 NTINDA-SPEARMOTORS'!N10,'01.07 SPEARMOTORS-NTINDA-24h'!N10,'03.08 SPEARMOTORS-NTINDA-24h'!N10,'04.08 SPEARMOTORS-NTINDA'!N10)</f>
        <v>0</v>
      </c>
      <c r="O10" s="15">
        <f t="shared" ref="O10:O57" si="0">SUM(C10:L10,N10)</f>
        <v>84.857142857142875</v>
      </c>
      <c r="P10" s="15">
        <f t="shared" ref="P10:P57" si="1">SUM(C10:N10)</f>
        <v>208.28571428571431</v>
      </c>
      <c r="R10" s="1" t="s">
        <v>6</v>
      </c>
      <c r="S10" s="17">
        <f t="shared" ref="S10:AF10" si="2">SUM(C10:C13)</f>
        <v>88.428571428571431</v>
      </c>
      <c r="T10" s="17">
        <f t="shared" si="2"/>
        <v>44.857142857142854</v>
      </c>
      <c r="U10" s="17">
        <f t="shared" si="2"/>
        <v>25.714285714285715</v>
      </c>
      <c r="V10" s="17">
        <f t="shared" si="2"/>
        <v>59.571428571428569</v>
      </c>
      <c r="W10" s="17">
        <f t="shared" si="2"/>
        <v>1.4285714285714284</v>
      </c>
      <c r="X10" s="17">
        <f t="shared" si="2"/>
        <v>0</v>
      </c>
      <c r="Y10" s="17">
        <f t="shared" si="2"/>
        <v>13</v>
      </c>
      <c r="Z10" s="17">
        <f t="shared" si="2"/>
        <v>6.2857142857142856</v>
      </c>
      <c r="AA10" s="17">
        <f t="shared" si="2"/>
        <v>10.857142857142858</v>
      </c>
      <c r="AB10" s="17">
        <f t="shared" si="2"/>
        <v>31.285714285714285</v>
      </c>
      <c r="AC10" s="17">
        <f t="shared" si="2"/>
        <v>533.28571428571433</v>
      </c>
      <c r="AD10" s="17">
        <f t="shared" si="2"/>
        <v>0.14285714285714285</v>
      </c>
      <c r="AE10" s="31">
        <f t="shared" si="2"/>
        <v>281.57142857142867</v>
      </c>
      <c r="AF10" s="31">
        <f t="shared" si="2"/>
        <v>814.85714285714289</v>
      </c>
    </row>
    <row r="11" spans="2:32" s="6" customFormat="1" ht="23.1" customHeight="1" x14ac:dyDescent="0.25">
      <c r="B11" s="23" t="s">
        <v>38</v>
      </c>
      <c r="C11" s="49">
        <f>AVERAGE('29.07 SPEARMOTORS-NTINDA'!C11,'30.07 SPEARMOTORS-NTINDA'!C11,'31.07 NTINDA-SPEAR MOTORS'!C11,'02.08 NTINDA-SPEARMOTORS'!C11,'01.07 SPEARMOTORS-NTINDA-24h'!C11,'03.08 SPEARMOTORS-NTINDA-24h'!C11,'04.08 SPEARMOTORS-NTINDA'!C11)</f>
        <v>24</v>
      </c>
      <c r="D11" s="49">
        <f>AVERAGE('29.07 SPEARMOTORS-NTINDA'!D11,'30.07 SPEARMOTORS-NTINDA'!D11,'31.07 NTINDA-SPEAR MOTORS'!D11,'02.08 NTINDA-SPEARMOTORS'!D11,'01.07 SPEARMOTORS-NTINDA-24h'!D11,'03.08 SPEARMOTORS-NTINDA-24h'!D11,'04.08 SPEARMOTORS-NTINDA'!D11)</f>
        <v>13.428571428571429</v>
      </c>
      <c r="E11" s="49">
        <f>AVERAGE('29.07 SPEARMOTORS-NTINDA'!E11,'30.07 SPEARMOTORS-NTINDA'!E11,'31.07 NTINDA-SPEAR MOTORS'!E11,'02.08 NTINDA-SPEARMOTORS'!E11,'01.07 SPEARMOTORS-NTINDA-24h'!E11,'03.08 SPEARMOTORS-NTINDA-24h'!E11,'04.08 SPEARMOTORS-NTINDA'!E11)</f>
        <v>4.7142857142857144</v>
      </c>
      <c r="F11" s="49">
        <f>AVERAGE('29.07 SPEARMOTORS-NTINDA'!F11,'30.07 SPEARMOTORS-NTINDA'!F11,'31.07 NTINDA-SPEAR MOTORS'!F11,'02.08 NTINDA-SPEARMOTORS'!F11,'01.07 SPEARMOTORS-NTINDA-24h'!F11,'03.08 SPEARMOTORS-NTINDA-24h'!F11,'04.08 SPEARMOTORS-NTINDA'!F11)</f>
        <v>15.142857142857142</v>
      </c>
      <c r="G11" s="49">
        <f>AVERAGE('29.07 SPEARMOTORS-NTINDA'!G11,'30.07 SPEARMOTORS-NTINDA'!G11,'31.07 NTINDA-SPEAR MOTORS'!G11,'02.08 NTINDA-SPEARMOTORS'!G11,'01.07 SPEARMOTORS-NTINDA-24h'!G11,'03.08 SPEARMOTORS-NTINDA-24h'!G11,'04.08 SPEARMOTORS-NTINDA'!G11)</f>
        <v>0.2857142857142857</v>
      </c>
      <c r="H11" s="49">
        <f>AVERAGE('29.07 SPEARMOTORS-NTINDA'!H11,'30.07 SPEARMOTORS-NTINDA'!H11,'31.07 NTINDA-SPEAR MOTORS'!H11,'02.08 NTINDA-SPEARMOTORS'!H11,'01.07 SPEARMOTORS-NTINDA-24h'!H11,'03.08 SPEARMOTORS-NTINDA-24h'!H11,'04.08 SPEARMOTORS-NTINDA'!H11)</f>
        <v>0</v>
      </c>
      <c r="I11" s="49">
        <f>AVERAGE('29.07 SPEARMOTORS-NTINDA'!I11,'30.07 SPEARMOTORS-NTINDA'!I11,'31.07 NTINDA-SPEAR MOTORS'!I11,'02.08 NTINDA-SPEARMOTORS'!I11,'01.07 SPEARMOTORS-NTINDA-24h'!I11,'03.08 SPEARMOTORS-NTINDA-24h'!I11,'04.08 SPEARMOTORS-NTINDA'!I11)</f>
        <v>3.7142857142857144</v>
      </c>
      <c r="J11" s="49">
        <f>AVERAGE('29.07 SPEARMOTORS-NTINDA'!J11,'30.07 SPEARMOTORS-NTINDA'!J11,'31.07 NTINDA-SPEAR MOTORS'!J11,'02.08 NTINDA-SPEARMOTORS'!J11,'01.07 SPEARMOTORS-NTINDA-24h'!J11,'03.08 SPEARMOTORS-NTINDA-24h'!J11,'04.08 SPEARMOTORS-NTINDA'!J11)</f>
        <v>1.5714285714285714</v>
      </c>
      <c r="K11" s="49">
        <f>AVERAGE('29.07 SPEARMOTORS-NTINDA'!K11,'30.07 SPEARMOTORS-NTINDA'!K11,'31.07 NTINDA-SPEAR MOTORS'!K11,'02.08 NTINDA-SPEARMOTORS'!K11,'01.07 SPEARMOTORS-NTINDA-24h'!K11,'03.08 SPEARMOTORS-NTINDA-24h'!K11,'04.08 SPEARMOTORS-NTINDA'!K11)</f>
        <v>1.2857142857142858</v>
      </c>
      <c r="L11" s="49">
        <f>AVERAGE('29.07 SPEARMOTORS-NTINDA'!L11,'30.07 SPEARMOTORS-NTINDA'!L11,'31.07 NTINDA-SPEAR MOTORS'!L11,'02.08 NTINDA-SPEARMOTORS'!L11,'01.07 SPEARMOTORS-NTINDA-24h'!L11,'03.08 SPEARMOTORS-NTINDA-24h'!L11,'04.08 SPEARMOTORS-NTINDA'!L11)</f>
        <v>5.2857142857142856</v>
      </c>
      <c r="M11" s="49">
        <f>AVERAGE('29.07 SPEARMOTORS-NTINDA'!M11,'30.07 SPEARMOTORS-NTINDA'!M11,'31.07 NTINDA-SPEAR MOTORS'!M11,'02.08 NTINDA-SPEARMOTORS'!M11,'01.07 SPEARMOTORS-NTINDA-24h'!M11,'03.08 SPEARMOTORS-NTINDA-24h'!M11,'04.08 SPEARMOTORS-NTINDA'!M11)</f>
        <v>132.28571428571428</v>
      </c>
      <c r="N11" s="49">
        <f>AVERAGE('29.07 SPEARMOTORS-NTINDA'!N11,'30.07 SPEARMOTORS-NTINDA'!N11,'31.07 NTINDA-SPEAR MOTORS'!N11,'02.08 NTINDA-SPEARMOTORS'!N11,'01.07 SPEARMOTORS-NTINDA-24h'!N11,'03.08 SPEARMOTORS-NTINDA-24h'!N11,'04.08 SPEARMOTORS-NTINDA'!N11)</f>
        <v>0</v>
      </c>
      <c r="O11" s="15">
        <f t="shared" si="0"/>
        <v>69.428571428571445</v>
      </c>
      <c r="P11" s="15">
        <f t="shared" si="1"/>
        <v>201.71428571428572</v>
      </c>
      <c r="R11" s="1" t="s">
        <v>7</v>
      </c>
      <c r="S11" s="17">
        <f t="shared" ref="S11:AF11" si="3">SUM(C14:C17)</f>
        <v>78.571428571428584</v>
      </c>
      <c r="T11" s="17">
        <f t="shared" si="3"/>
        <v>34.571428571428577</v>
      </c>
      <c r="U11" s="17">
        <f t="shared" si="3"/>
        <v>16.857142857142858</v>
      </c>
      <c r="V11" s="17">
        <f t="shared" si="3"/>
        <v>53.714285714285708</v>
      </c>
      <c r="W11" s="17">
        <f t="shared" si="3"/>
        <v>1.4285714285714284</v>
      </c>
      <c r="X11" s="17">
        <f t="shared" si="3"/>
        <v>0</v>
      </c>
      <c r="Y11" s="17">
        <f t="shared" si="3"/>
        <v>7.4285714285714288</v>
      </c>
      <c r="Z11" s="17">
        <f t="shared" si="3"/>
        <v>5.2857142857142865</v>
      </c>
      <c r="AA11" s="17">
        <f t="shared" si="3"/>
        <v>6</v>
      </c>
      <c r="AB11" s="17">
        <f t="shared" si="3"/>
        <v>24</v>
      </c>
      <c r="AC11" s="17">
        <f t="shared" si="3"/>
        <v>619.57142857142867</v>
      </c>
      <c r="AD11" s="17">
        <f t="shared" si="3"/>
        <v>0</v>
      </c>
      <c r="AE11" s="31">
        <f t="shared" si="3"/>
        <v>227.85714285714286</v>
      </c>
      <c r="AF11" s="31">
        <f t="shared" si="3"/>
        <v>847.42857142857144</v>
      </c>
    </row>
    <row r="12" spans="2:32" ht="23.1" customHeight="1" x14ac:dyDescent="0.25">
      <c r="B12" s="23" t="s">
        <v>39</v>
      </c>
      <c r="C12" s="49">
        <f>AVERAGE('29.07 SPEARMOTORS-NTINDA'!C12,'30.07 SPEARMOTORS-NTINDA'!C12,'31.07 NTINDA-SPEAR MOTORS'!C12,'02.08 NTINDA-SPEARMOTORS'!C12,'01.07 SPEARMOTORS-NTINDA-24h'!C12,'03.08 SPEARMOTORS-NTINDA-24h'!C12,'04.08 SPEARMOTORS-NTINDA'!C12)</f>
        <v>19.714285714285715</v>
      </c>
      <c r="D12" s="49">
        <f>AVERAGE('29.07 SPEARMOTORS-NTINDA'!D12,'30.07 SPEARMOTORS-NTINDA'!D12,'31.07 NTINDA-SPEAR MOTORS'!D12,'02.08 NTINDA-SPEARMOTORS'!D12,'01.07 SPEARMOTORS-NTINDA-24h'!D12,'03.08 SPEARMOTORS-NTINDA-24h'!D12,'04.08 SPEARMOTORS-NTINDA'!D12)</f>
        <v>8.8571428571428577</v>
      </c>
      <c r="E12" s="49">
        <f>AVERAGE('29.07 SPEARMOTORS-NTINDA'!E12,'30.07 SPEARMOTORS-NTINDA'!E12,'31.07 NTINDA-SPEAR MOTORS'!E12,'02.08 NTINDA-SPEARMOTORS'!E12,'01.07 SPEARMOTORS-NTINDA-24h'!E12,'03.08 SPEARMOTORS-NTINDA-24h'!E12,'04.08 SPEARMOTORS-NTINDA'!E12)</f>
        <v>5.5714285714285712</v>
      </c>
      <c r="F12" s="49">
        <f>AVERAGE('29.07 SPEARMOTORS-NTINDA'!F12,'30.07 SPEARMOTORS-NTINDA'!F12,'31.07 NTINDA-SPEAR MOTORS'!F12,'02.08 NTINDA-SPEARMOTORS'!F12,'01.07 SPEARMOTORS-NTINDA-24h'!F12,'03.08 SPEARMOTORS-NTINDA-24h'!F12,'04.08 SPEARMOTORS-NTINDA'!F12)</f>
        <v>10</v>
      </c>
      <c r="G12" s="49">
        <f>AVERAGE('29.07 SPEARMOTORS-NTINDA'!G12,'30.07 SPEARMOTORS-NTINDA'!G12,'31.07 NTINDA-SPEAR MOTORS'!G12,'02.08 NTINDA-SPEARMOTORS'!G12,'01.07 SPEARMOTORS-NTINDA-24h'!G12,'03.08 SPEARMOTORS-NTINDA-24h'!G12,'04.08 SPEARMOTORS-NTINDA'!G12)</f>
        <v>0.14285714285714285</v>
      </c>
      <c r="H12" s="49">
        <f>AVERAGE('29.07 SPEARMOTORS-NTINDA'!H12,'30.07 SPEARMOTORS-NTINDA'!H12,'31.07 NTINDA-SPEAR MOTORS'!H12,'02.08 NTINDA-SPEARMOTORS'!H12,'01.07 SPEARMOTORS-NTINDA-24h'!H12,'03.08 SPEARMOTORS-NTINDA-24h'!H12,'04.08 SPEARMOTORS-NTINDA'!H12)</f>
        <v>0</v>
      </c>
      <c r="I12" s="49">
        <f>AVERAGE('29.07 SPEARMOTORS-NTINDA'!I12,'30.07 SPEARMOTORS-NTINDA'!I12,'31.07 NTINDA-SPEAR MOTORS'!I12,'02.08 NTINDA-SPEARMOTORS'!I12,'01.07 SPEARMOTORS-NTINDA-24h'!I12,'03.08 SPEARMOTORS-NTINDA-24h'!I12,'04.08 SPEARMOTORS-NTINDA'!I12)</f>
        <v>1.7142857142857142</v>
      </c>
      <c r="J12" s="49">
        <f>AVERAGE('29.07 SPEARMOTORS-NTINDA'!J12,'30.07 SPEARMOTORS-NTINDA'!J12,'31.07 NTINDA-SPEAR MOTORS'!J12,'02.08 NTINDA-SPEARMOTORS'!J12,'01.07 SPEARMOTORS-NTINDA-24h'!J12,'03.08 SPEARMOTORS-NTINDA-24h'!J12,'04.08 SPEARMOTORS-NTINDA'!J12)</f>
        <v>1.7142857142857142</v>
      </c>
      <c r="K12" s="49">
        <f>AVERAGE('29.07 SPEARMOTORS-NTINDA'!K12,'30.07 SPEARMOTORS-NTINDA'!K12,'31.07 NTINDA-SPEAR MOTORS'!K12,'02.08 NTINDA-SPEARMOTORS'!K12,'01.07 SPEARMOTORS-NTINDA-24h'!K12,'03.08 SPEARMOTORS-NTINDA-24h'!K12,'04.08 SPEARMOTORS-NTINDA'!K12)</f>
        <v>0.42857142857142855</v>
      </c>
      <c r="L12" s="49">
        <f>AVERAGE('29.07 SPEARMOTORS-NTINDA'!L12,'30.07 SPEARMOTORS-NTINDA'!L12,'31.07 NTINDA-SPEAR MOTORS'!L12,'02.08 NTINDA-SPEARMOTORS'!L12,'01.07 SPEARMOTORS-NTINDA-24h'!L12,'03.08 SPEARMOTORS-NTINDA-24h'!L12,'04.08 SPEARMOTORS-NTINDA'!L12)</f>
        <v>3.1428571428571428</v>
      </c>
      <c r="M12" s="49">
        <f>AVERAGE('29.07 SPEARMOTORS-NTINDA'!M12,'30.07 SPEARMOTORS-NTINDA'!M12,'31.07 NTINDA-SPEAR MOTORS'!M12,'02.08 NTINDA-SPEARMOTORS'!M12,'01.07 SPEARMOTORS-NTINDA-24h'!M12,'03.08 SPEARMOTORS-NTINDA-24h'!M12,'04.08 SPEARMOTORS-NTINDA'!M12)</f>
        <v>117.71428571428571</v>
      </c>
      <c r="N12" s="49">
        <f>AVERAGE('29.07 SPEARMOTORS-NTINDA'!N12,'30.07 SPEARMOTORS-NTINDA'!N12,'31.07 NTINDA-SPEAR MOTORS'!N12,'02.08 NTINDA-SPEARMOTORS'!N12,'01.07 SPEARMOTORS-NTINDA-24h'!N12,'03.08 SPEARMOTORS-NTINDA-24h'!N12,'04.08 SPEARMOTORS-NTINDA'!N12)</f>
        <v>0.14285714285714285</v>
      </c>
      <c r="O12" s="15">
        <f t="shared" si="0"/>
        <v>51.428571428571445</v>
      </c>
      <c r="P12" s="15">
        <f t="shared" si="1"/>
        <v>169.14285714285714</v>
      </c>
      <c r="R12" s="1" t="s">
        <v>8</v>
      </c>
      <c r="S12" s="17">
        <f t="shared" ref="S12:AF12" si="4">SUM(C18:C21)</f>
        <v>70.142857142857153</v>
      </c>
      <c r="T12" s="17">
        <f t="shared" si="4"/>
        <v>31</v>
      </c>
      <c r="U12" s="17">
        <f t="shared" si="4"/>
        <v>14</v>
      </c>
      <c r="V12" s="17">
        <f t="shared" si="4"/>
        <v>48.142857142857139</v>
      </c>
      <c r="W12" s="17">
        <f t="shared" si="4"/>
        <v>0</v>
      </c>
      <c r="X12" s="17">
        <f t="shared" si="4"/>
        <v>0</v>
      </c>
      <c r="Y12" s="17">
        <f t="shared" si="4"/>
        <v>10.857142857142858</v>
      </c>
      <c r="Z12" s="17">
        <f t="shared" si="4"/>
        <v>6.8571428571428568</v>
      </c>
      <c r="AA12" s="17">
        <f t="shared" si="4"/>
        <v>7.2857142857142856</v>
      </c>
      <c r="AB12" s="17">
        <f t="shared" si="4"/>
        <v>27.142857142857142</v>
      </c>
      <c r="AC12" s="17">
        <f t="shared" si="4"/>
        <v>614.85714285714289</v>
      </c>
      <c r="AD12" s="17">
        <f t="shared" si="4"/>
        <v>0</v>
      </c>
      <c r="AE12" s="31">
        <f t="shared" si="4"/>
        <v>215.42857142857142</v>
      </c>
      <c r="AF12" s="31">
        <f t="shared" si="4"/>
        <v>830.28571428571422</v>
      </c>
    </row>
    <row r="13" spans="2:32" ht="23.1" customHeight="1" x14ac:dyDescent="0.25">
      <c r="B13" s="23" t="s">
        <v>40</v>
      </c>
      <c r="C13" s="49">
        <f>AVERAGE('29.07 SPEARMOTORS-NTINDA'!C13,'30.07 SPEARMOTORS-NTINDA'!C13,'31.07 NTINDA-SPEAR MOTORS'!C13,'02.08 NTINDA-SPEARMOTORS'!C13,'01.07 SPEARMOTORS-NTINDA-24h'!C13,'03.08 SPEARMOTORS-NTINDA-24h'!C13,'04.08 SPEARMOTORS-NTINDA'!C13)</f>
        <v>20.571428571428573</v>
      </c>
      <c r="D13" s="49">
        <f>AVERAGE('29.07 SPEARMOTORS-NTINDA'!D13,'30.07 SPEARMOTORS-NTINDA'!D13,'31.07 NTINDA-SPEAR MOTORS'!D13,'02.08 NTINDA-SPEARMOTORS'!D13,'01.07 SPEARMOTORS-NTINDA-24h'!D13,'03.08 SPEARMOTORS-NTINDA-24h'!D13,'04.08 SPEARMOTORS-NTINDA'!D13)</f>
        <v>6.8571428571428568</v>
      </c>
      <c r="E13" s="49">
        <f>AVERAGE('29.07 SPEARMOTORS-NTINDA'!E13,'30.07 SPEARMOTORS-NTINDA'!E13,'31.07 NTINDA-SPEAR MOTORS'!E13,'02.08 NTINDA-SPEARMOTORS'!E13,'01.07 SPEARMOTORS-NTINDA-24h'!E13,'03.08 SPEARMOTORS-NTINDA-24h'!E13,'04.08 SPEARMOTORS-NTINDA'!E13)</f>
        <v>6.5714285714285712</v>
      </c>
      <c r="F13" s="49">
        <f>AVERAGE('29.07 SPEARMOTORS-NTINDA'!F13,'30.07 SPEARMOTORS-NTINDA'!F13,'31.07 NTINDA-SPEAR MOTORS'!F13,'02.08 NTINDA-SPEARMOTORS'!F13,'01.07 SPEARMOTORS-NTINDA-24h'!F13,'03.08 SPEARMOTORS-NTINDA-24h'!F13,'04.08 SPEARMOTORS-NTINDA'!F13)</f>
        <v>16.142857142857142</v>
      </c>
      <c r="G13" s="49">
        <f>AVERAGE('29.07 SPEARMOTORS-NTINDA'!G13,'30.07 SPEARMOTORS-NTINDA'!G13,'31.07 NTINDA-SPEAR MOTORS'!G13,'02.08 NTINDA-SPEARMOTORS'!G13,'01.07 SPEARMOTORS-NTINDA-24h'!G13,'03.08 SPEARMOTORS-NTINDA-24h'!G13,'04.08 SPEARMOTORS-NTINDA'!G13)</f>
        <v>0.7142857142857143</v>
      </c>
      <c r="H13" s="49">
        <f>AVERAGE('29.07 SPEARMOTORS-NTINDA'!H13,'30.07 SPEARMOTORS-NTINDA'!H13,'31.07 NTINDA-SPEAR MOTORS'!H13,'02.08 NTINDA-SPEARMOTORS'!H13,'01.07 SPEARMOTORS-NTINDA-24h'!H13,'03.08 SPEARMOTORS-NTINDA-24h'!H13,'04.08 SPEARMOTORS-NTINDA'!H13)</f>
        <v>0</v>
      </c>
      <c r="I13" s="49">
        <f>AVERAGE('29.07 SPEARMOTORS-NTINDA'!I13,'30.07 SPEARMOTORS-NTINDA'!I13,'31.07 NTINDA-SPEAR MOTORS'!I13,'02.08 NTINDA-SPEARMOTORS'!I13,'01.07 SPEARMOTORS-NTINDA-24h'!I13,'03.08 SPEARMOTORS-NTINDA-24h'!I13,'04.08 SPEARMOTORS-NTINDA'!I13)</f>
        <v>4.1428571428571432</v>
      </c>
      <c r="J13" s="49">
        <f>AVERAGE('29.07 SPEARMOTORS-NTINDA'!J13,'30.07 SPEARMOTORS-NTINDA'!J13,'31.07 NTINDA-SPEAR MOTORS'!J13,'02.08 NTINDA-SPEARMOTORS'!J13,'01.07 SPEARMOTORS-NTINDA-24h'!J13,'03.08 SPEARMOTORS-NTINDA-24h'!J13,'04.08 SPEARMOTORS-NTINDA'!J13)</f>
        <v>0.5714285714285714</v>
      </c>
      <c r="K13" s="49">
        <f>AVERAGE('29.07 SPEARMOTORS-NTINDA'!K13,'30.07 SPEARMOTORS-NTINDA'!K13,'31.07 NTINDA-SPEAR MOTORS'!K13,'02.08 NTINDA-SPEARMOTORS'!K13,'01.07 SPEARMOTORS-NTINDA-24h'!K13,'03.08 SPEARMOTORS-NTINDA-24h'!K13,'04.08 SPEARMOTORS-NTINDA'!K13)</f>
        <v>7.2857142857142856</v>
      </c>
      <c r="L13" s="49">
        <f>AVERAGE('29.07 SPEARMOTORS-NTINDA'!L13,'30.07 SPEARMOTORS-NTINDA'!L13,'31.07 NTINDA-SPEAR MOTORS'!L13,'02.08 NTINDA-SPEARMOTORS'!L13,'01.07 SPEARMOTORS-NTINDA-24h'!L13,'03.08 SPEARMOTORS-NTINDA-24h'!L13,'04.08 SPEARMOTORS-NTINDA'!L13)</f>
        <v>13</v>
      </c>
      <c r="M13" s="49">
        <f>AVERAGE('29.07 SPEARMOTORS-NTINDA'!M13,'30.07 SPEARMOTORS-NTINDA'!M13,'31.07 NTINDA-SPEAR MOTORS'!M13,'02.08 NTINDA-SPEARMOTORS'!M13,'01.07 SPEARMOTORS-NTINDA-24h'!M13,'03.08 SPEARMOTORS-NTINDA-24h'!M13,'04.08 SPEARMOTORS-NTINDA'!M13)</f>
        <v>159.85714285714286</v>
      </c>
      <c r="N13" s="49">
        <f>AVERAGE('29.07 SPEARMOTORS-NTINDA'!N13,'30.07 SPEARMOTORS-NTINDA'!N13,'31.07 NTINDA-SPEAR MOTORS'!N13,'02.08 NTINDA-SPEARMOTORS'!N13,'01.07 SPEARMOTORS-NTINDA-24h'!N13,'03.08 SPEARMOTORS-NTINDA-24h'!N13,'04.08 SPEARMOTORS-NTINDA'!N13)</f>
        <v>0</v>
      </c>
      <c r="O13" s="15">
        <f t="shared" si="0"/>
        <v>75.857142857142861</v>
      </c>
      <c r="P13" s="15">
        <f t="shared" si="1"/>
        <v>235.71428571428572</v>
      </c>
      <c r="R13" s="1" t="s">
        <v>9</v>
      </c>
      <c r="S13" s="17">
        <f t="shared" ref="S13:AF13" si="5">SUM(C22:C25)</f>
        <v>70</v>
      </c>
      <c r="T13" s="17">
        <f t="shared" si="5"/>
        <v>37.142857142857139</v>
      </c>
      <c r="U13" s="17">
        <f t="shared" si="5"/>
        <v>18.142857142857142</v>
      </c>
      <c r="V13" s="17">
        <f t="shared" si="5"/>
        <v>46.428571428571431</v>
      </c>
      <c r="W13" s="17">
        <f t="shared" si="5"/>
        <v>0.42857142857142855</v>
      </c>
      <c r="X13" s="17">
        <f t="shared" si="5"/>
        <v>0</v>
      </c>
      <c r="Y13" s="17">
        <f t="shared" si="5"/>
        <v>11</v>
      </c>
      <c r="Z13" s="17">
        <f t="shared" si="5"/>
        <v>6.5714285714285712</v>
      </c>
      <c r="AA13" s="17">
        <f t="shared" si="5"/>
        <v>4.7142857142857144</v>
      </c>
      <c r="AB13" s="17">
        <f t="shared" si="5"/>
        <v>14.857142857142858</v>
      </c>
      <c r="AC13" s="17">
        <f t="shared" si="5"/>
        <v>554.14285714285711</v>
      </c>
      <c r="AD13" s="17">
        <f t="shared" si="5"/>
        <v>0.14285714285714285</v>
      </c>
      <c r="AE13" s="31">
        <f t="shared" si="5"/>
        <v>209.42857142857142</v>
      </c>
      <c r="AF13" s="31">
        <f t="shared" si="5"/>
        <v>763.57142857142867</v>
      </c>
    </row>
    <row r="14" spans="2:32" ht="23.1" customHeight="1" x14ac:dyDescent="0.25">
      <c r="B14" s="23" t="s">
        <v>41</v>
      </c>
      <c r="C14" s="49">
        <f>AVERAGE('29.07 SPEARMOTORS-NTINDA'!C14,'30.07 SPEARMOTORS-NTINDA'!C14,'31.07 NTINDA-SPEAR MOTORS'!C14,'02.08 NTINDA-SPEARMOTORS'!C14,'01.07 SPEARMOTORS-NTINDA-24h'!C14,'03.08 SPEARMOTORS-NTINDA-24h'!C14,'04.08 SPEARMOTORS-NTINDA'!C14)</f>
        <v>26.857142857142858</v>
      </c>
      <c r="D14" s="49">
        <f>AVERAGE('29.07 SPEARMOTORS-NTINDA'!D14,'30.07 SPEARMOTORS-NTINDA'!D14,'31.07 NTINDA-SPEAR MOTORS'!D14,'02.08 NTINDA-SPEARMOTORS'!D14,'01.07 SPEARMOTORS-NTINDA-24h'!D14,'03.08 SPEARMOTORS-NTINDA-24h'!D14,'04.08 SPEARMOTORS-NTINDA'!D14)</f>
        <v>9.5714285714285712</v>
      </c>
      <c r="E14" s="49">
        <f>AVERAGE('29.07 SPEARMOTORS-NTINDA'!E14,'30.07 SPEARMOTORS-NTINDA'!E14,'31.07 NTINDA-SPEAR MOTORS'!E14,'02.08 NTINDA-SPEARMOTORS'!E14,'01.07 SPEARMOTORS-NTINDA-24h'!E14,'03.08 SPEARMOTORS-NTINDA-24h'!E14,'04.08 SPEARMOTORS-NTINDA'!E14)</f>
        <v>5.1428571428571432</v>
      </c>
      <c r="F14" s="49">
        <f>AVERAGE('29.07 SPEARMOTORS-NTINDA'!F14,'30.07 SPEARMOTORS-NTINDA'!F14,'31.07 NTINDA-SPEAR MOTORS'!F14,'02.08 NTINDA-SPEARMOTORS'!F14,'01.07 SPEARMOTORS-NTINDA-24h'!F14,'03.08 SPEARMOTORS-NTINDA-24h'!F14,'04.08 SPEARMOTORS-NTINDA'!F14)</f>
        <v>15.857142857142858</v>
      </c>
      <c r="G14" s="49">
        <f>AVERAGE('29.07 SPEARMOTORS-NTINDA'!G14,'30.07 SPEARMOTORS-NTINDA'!G14,'31.07 NTINDA-SPEAR MOTORS'!G14,'02.08 NTINDA-SPEARMOTORS'!G14,'01.07 SPEARMOTORS-NTINDA-24h'!G14,'03.08 SPEARMOTORS-NTINDA-24h'!G14,'04.08 SPEARMOTORS-NTINDA'!G14)</f>
        <v>0.5714285714285714</v>
      </c>
      <c r="H14" s="49">
        <f>AVERAGE('29.07 SPEARMOTORS-NTINDA'!H14,'30.07 SPEARMOTORS-NTINDA'!H14,'31.07 NTINDA-SPEAR MOTORS'!H14,'02.08 NTINDA-SPEARMOTORS'!H14,'01.07 SPEARMOTORS-NTINDA-24h'!H14,'03.08 SPEARMOTORS-NTINDA-24h'!H14,'04.08 SPEARMOTORS-NTINDA'!H14)</f>
        <v>0</v>
      </c>
      <c r="I14" s="49">
        <f>AVERAGE('29.07 SPEARMOTORS-NTINDA'!I14,'30.07 SPEARMOTORS-NTINDA'!I14,'31.07 NTINDA-SPEAR MOTORS'!I14,'02.08 NTINDA-SPEARMOTORS'!I14,'01.07 SPEARMOTORS-NTINDA-24h'!I14,'03.08 SPEARMOTORS-NTINDA-24h'!I14,'04.08 SPEARMOTORS-NTINDA'!I14)</f>
        <v>2</v>
      </c>
      <c r="J14" s="49">
        <f>AVERAGE('29.07 SPEARMOTORS-NTINDA'!J14,'30.07 SPEARMOTORS-NTINDA'!J14,'31.07 NTINDA-SPEAR MOTORS'!J14,'02.08 NTINDA-SPEARMOTORS'!J14,'01.07 SPEARMOTORS-NTINDA-24h'!J14,'03.08 SPEARMOTORS-NTINDA-24h'!J14,'04.08 SPEARMOTORS-NTINDA'!J14)</f>
        <v>1.8571428571428572</v>
      </c>
      <c r="K14" s="49">
        <f>AVERAGE('29.07 SPEARMOTORS-NTINDA'!K14,'30.07 SPEARMOTORS-NTINDA'!K14,'31.07 NTINDA-SPEAR MOTORS'!K14,'02.08 NTINDA-SPEARMOTORS'!K14,'01.07 SPEARMOTORS-NTINDA-24h'!K14,'03.08 SPEARMOTORS-NTINDA-24h'!K14,'04.08 SPEARMOTORS-NTINDA'!K14)</f>
        <v>1.1428571428571428</v>
      </c>
      <c r="L14" s="49">
        <f>AVERAGE('29.07 SPEARMOTORS-NTINDA'!L14,'30.07 SPEARMOTORS-NTINDA'!L14,'31.07 NTINDA-SPEAR MOTORS'!L14,'02.08 NTINDA-SPEARMOTORS'!L14,'01.07 SPEARMOTORS-NTINDA-24h'!L14,'03.08 SPEARMOTORS-NTINDA-24h'!L14,'04.08 SPEARMOTORS-NTINDA'!L14)</f>
        <v>6.7142857142857144</v>
      </c>
      <c r="M14" s="49">
        <f>AVERAGE('29.07 SPEARMOTORS-NTINDA'!M14,'30.07 SPEARMOTORS-NTINDA'!M14,'31.07 NTINDA-SPEAR MOTORS'!M14,'02.08 NTINDA-SPEARMOTORS'!M14,'01.07 SPEARMOTORS-NTINDA-24h'!M14,'03.08 SPEARMOTORS-NTINDA-24h'!M14,'04.08 SPEARMOTORS-NTINDA'!M14)</f>
        <v>146</v>
      </c>
      <c r="N14" s="49">
        <f>AVERAGE('29.07 SPEARMOTORS-NTINDA'!N14,'30.07 SPEARMOTORS-NTINDA'!N14,'31.07 NTINDA-SPEAR MOTORS'!N14,'02.08 NTINDA-SPEARMOTORS'!N14,'01.07 SPEARMOTORS-NTINDA-24h'!N14,'03.08 SPEARMOTORS-NTINDA-24h'!N14,'04.08 SPEARMOTORS-NTINDA'!N14)</f>
        <v>0</v>
      </c>
      <c r="O14" s="15">
        <f t="shared" si="0"/>
        <v>69.714285714285708</v>
      </c>
      <c r="P14" s="15">
        <f t="shared" si="1"/>
        <v>215.71428571428572</v>
      </c>
      <c r="R14" s="1" t="s">
        <v>10</v>
      </c>
      <c r="S14" s="17">
        <f t="shared" ref="S14:AF14" si="6">SUM(C26:C29)</f>
        <v>69.857142857142861</v>
      </c>
      <c r="T14" s="17">
        <f t="shared" si="6"/>
        <v>37.857142857142861</v>
      </c>
      <c r="U14" s="17">
        <f t="shared" si="6"/>
        <v>18.285714285714285</v>
      </c>
      <c r="V14" s="17">
        <f t="shared" si="6"/>
        <v>37.285714285714285</v>
      </c>
      <c r="W14" s="17">
        <f t="shared" si="6"/>
        <v>0.42857142857142855</v>
      </c>
      <c r="X14" s="17">
        <f t="shared" si="6"/>
        <v>0.42857142857142855</v>
      </c>
      <c r="Y14" s="17">
        <f t="shared" si="6"/>
        <v>13.285714285714285</v>
      </c>
      <c r="Z14" s="17">
        <f t="shared" si="6"/>
        <v>7.7142857142857135</v>
      </c>
      <c r="AA14" s="17">
        <f t="shared" si="6"/>
        <v>5.2857142857142856</v>
      </c>
      <c r="AB14" s="17">
        <f t="shared" si="6"/>
        <v>17.714285714285715</v>
      </c>
      <c r="AC14" s="17">
        <f t="shared" si="6"/>
        <v>471.57142857142861</v>
      </c>
      <c r="AD14" s="17">
        <f t="shared" si="6"/>
        <v>0.14285714285714285</v>
      </c>
      <c r="AE14" s="31">
        <f t="shared" si="6"/>
        <v>208.28571428571431</v>
      </c>
      <c r="AF14" s="31">
        <f t="shared" si="6"/>
        <v>679.85714285714289</v>
      </c>
    </row>
    <row r="15" spans="2:32" ht="23.1" customHeight="1" x14ac:dyDescent="0.25">
      <c r="B15" s="23" t="s">
        <v>42</v>
      </c>
      <c r="C15" s="49">
        <f>AVERAGE('29.07 SPEARMOTORS-NTINDA'!C15,'30.07 SPEARMOTORS-NTINDA'!C15,'31.07 NTINDA-SPEAR MOTORS'!C15,'02.08 NTINDA-SPEARMOTORS'!C15,'01.07 SPEARMOTORS-NTINDA-24h'!C15,'03.08 SPEARMOTORS-NTINDA-24h'!C15,'04.08 SPEARMOTORS-NTINDA'!C15)</f>
        <v>23.142857142857142</v>
      </c>
      <c r="D15" s="49">
        <f>AVERAGE('29.07 SPEARMOTORS-NTINDA'!D15,'30.07 SPEARMOTORS-NTINDA'!D15,'31.07 NTINDA-SPEAR MOTORS'!D15,'02.08 NTINDA-SPEARMOTORS'!D15,'01.07 SPEARMOTORS-NTINDA-24h'!D15,'03.08 SPEARMOTORS-NTINDA-24h'!D15,'04.08 SPEARMOTORS-NTINDA'!D15)</f>
        <v>9.4285714285714288</v>
      </c>
      <c r="E15" s="49">
        <f>AVERAGE('29.07 SPEARMOTORS-NTINDA'!E15,'30.07 SPEARMOTORS-NTINDA'!E15,'31.07 NTINDA-SPEAR MOTORS'!E15,'02.08 NTINDA-SPEARMOTORS'!E15,'01.07 SPEARMOTORS-NTINDA-24h'!E15,'03.08 SPEARMOTORS-NTINDA-24h'!E15,'04.08 SPEARMOTORS-NTINDA'!E15)</f>
        <v>4.5714285714285712</v>
      </c>
      <c r="F15" s="49">
        <f>AVERAGE('29.07 SPEARMOTORS-NTINDA'!F15,'30.07 SPEARMOTORS-NTINDA'!F15,'31.07 NTINDA-SPEAR MOTORS'!F15,'02.08 NTINDA-SPEARMOTORS'!F15,'01.07 SPEARMOTORS-NTINDA-24h'!F15,'03.08 SPEARMOTORS-NTINDA-24h'!F15,'04.08 SPEARMOTORS-NTINDA'!F15)</f>
        <v>15.714285714285714</v>
      </c>
      <c r="G15" s="49">
        <f>AVERAGE('29.07 SPEARMOTORS-NTINDA'!G15,'30.07 SPEARMOTORS-NTINDA'!G15,'31.07 NTINDA-SPEAR MOTORS'!G15,'02.08 NTINDA-SPEARMOTORS'!G15,'01.07 SPEARMOTORS-NTINDA-24h'!G15,'03.08 SPEARMOTORS-NTINDA-24h'!G15,'04.08 SPEARMOTORS-NTINDA'!G15)</f>
        <v>0.2857142857142857</v>
      </c>
      <c r="H15" s="49">
        <f>AVERAGE('29.07 SPEARMOTORS-NTINDA'!H15,'30.07 SPEARMOTORS-NTINDA'!H15,'31.07 NTINDA-SPEAR MOTORS'!H15,'02.08 NTINDA-SPEARMOTORS'!H15,'01.07 SPEARMOTORS-NTINDA-24h'!H15,'03.08 SPEARMOTORS-NTINDA-24h'!H15,'04.08 SPEARMOTORS-NTINDA'!H15)</f>
        <v>0</v>
      </c>
      <c r="I15" s="49">
        <f>AVERAGE('29.07 SPEARMOTORS-NTINDA'!I15,'30.07 SPEARMOTORS-NTINDA'!I15,'31.07 NTINDA-SPEAR MOTORS'!I15,'02.08 NTINDA-SPEARMOTORS'!I15,'01.07 SPEARMOTORS-NTINDA-24h'!I15,'03.08 SPEARMOTORS-NTINDA-24h'!I15,'04.08 SPEARMOTORS-NTINDA'!I15)</f>
        <v>2.4285714285714284</v>
      </c>
      <c r="J15" s="49">
        <f>AVERAGE('29.07 SPEARMOTORS-NTINDA'!J15,'30.07 SPEARMOTORS-NTINDA'!J15,'31.07 NTINDA-SPEAR MOTORS'!J15,'02.08 NTINDA-SPEARMOTORS'!J15,'01.07 SPEARMOTORS-NTINDA-24h'!J15,'03.08 SPEARMOTORS-NTINDA-24h'!J15,'04.08 SPEARMOTORS-NTINDA'!J15)</f>
        <v>1</v>
      </c>
      <c r="K15" s="49">
        <f>AVERAGE('29.07 SPEARMOTORS-NTINDA'!K15,'30.07 SPEARMOTORS-NTINDA'!K15,'31.07 NTINDA-SPEAR MOTORS'!K15,'02.08 NTINDA-SPEARMOTORS'!K15,'01.07 SPEARMOTORS-NTINDA-24h'!K15,'03.08 SPEARMOTORS-NTINDA-24h'!K15,'04.08 SPEARMOTORS-NTINDA'!K15)</f>
        <v>1.5714285714285714</v>
      </c>
      <c r="L15" s="49">
        <f>AVERAGE('29.07 SPEARMOTORS-NTINDA'!L15,'30.07 SPEARMOTORS-NTINDA'!L15,'31.07 NTINDA-SPEAR MOTORS'!L15,'02.08 NTINDA-SPEARMOTORS'!L15,'01.07 SPEARMOTORS-NTINDA-24h'!L15,'03.08 SPEARMOTORS-NTINDA-24h'!L15,'04.08 SPEARMOTORS-NTINDA'!L15)</f>
        <v>6.4285714285714288</v>
      </c>
      <c r="M15" s="49">
        <f>AVERAGE('29.07 SPEARMOTORS-NTINDA'!M15,'30.07 SPEARMOTORS-NTINDA'!M15,'31.07 NTINDA-SPEAR MOTORS'!M15,'02.08 NTINDA-SPEARMOTORS'!M15,'01.07 SPEARMOTORS-NTINDA-24h'!M15,'03.08 SPEARMOTORS-NTINDA-24h'!M15,'04.08 SPEARMOTORS-NTINDA'!M15)</f>
        <v>152.71428571428572</v>
      </c>
      <c r="N15" s="49">
        <f>AVERAGE('29.07 SPEARMOTORS-NTINDA'!N15,'30.07 SPEARMOTORS-NTINDA'!N15,'31.07 NTINDA-SPEAR MOTORS'!N15,'02.08 NTINDA-SPEARMOTORS'!N15,'01.07 SPEARMOTORS-NTINDA-24h'!N15,'03.08 SPEARMOTORS-NTINDA-24h'!N15,'04.08 SPEARMOTORS-NTINDA'!N15)</f>
        <v>0</v>
      </c>
      <c r="O15" s="15">
        <f t="shared" si="0"/>
        <v>64.571428571428569</v>
      </c>
      <c r="P15" s="15">
        <f t="shared" si="1"/>
        <v>217.28571428571428</v>
      </c>
      <c r="R15" s="1" t="s">
        <v>11</v>
      </c>
      <c r="S15" s="17">
        <f t="shared" ref="S15:AF15" si="7">SUM(C30:C33)</f>
        <v>78.857142857142861</v>
      </c>
      <c r="T15" s="17">
        <f t="shared" si="7"/>
        <v>38.571428571428569</v>
      </c>
      <c r="U15" s="17">
        <f t="shared" si="7"/>
        <v>19.571428571428569</v>
      </c>
      <c r="V15" s="17">
        <f t="shared" si="7"/>
        <v>36</v>
      </c>
      <c r="W15" s="17">
        <f t="shared" si="7"/>
        <v>0.14285714285714285</v>
      </c>
      <c r="X15" s="17">
        <f t="shared" si="7"/>
        <v>0</v>
      </c>
      <c r="Y15" s="17">
        <f t="shared" si="7"/>
        <v>15</v>
      </c>
      <c r="Z15" s="17">
        <f t="shared" si="7"/>
        <v>9.1428571428571423</v>
      </c>
      <c r="AA15" s="17">
        <f t="shared" si="7"/>
        <v>6.7142857142857153</v>
      </c>
      <c r="AB15" s="17">
        <f t="shared" si="7"/>
        <v>15.571428571428571</v>
      </c>
      <c r="AC15" s="17">
        <f t="shared" si="7"/>
        <v>428</v>
      </c>
      <c r="AD15" s="17">
        <f t="shared" si="7"/>
        <v>0.14285714285714285</v>
      </c>
      <c r="AE15" s="31">
        <f t="shared" si="7"/>
        <v>219.71428571428569</v>
      </c>
      <c r="AF15" s="31">
        <f t="shared" si="7"/>
        <v>647.71428571428567</v>
      </c>
    </row>
    <row r="16" spans="2:32" ht="23.1" customHeight="1" x14ac:dyDescent="0.25">
      <c r="B16" s="23" t="s">
        <v>43</v>
      </c>
      <c r="C16" s="49">
        <f>AVERAGE('29.07 SPEARMOTORS-NTINDA'!C16,'30.07 SPEARMOTORS-NTINDA'!C16,'31.07 NTINDA-SPEAR MOTORS'!C16,'02.08 NTINDA-SPEARMOTORS'!C16,'01.07 SPEARMOTORS-NTINDA-24h'!C16,'03.08 SPEARMOTORS-NTINDA-24h'!C16,'04.08 SPEARMOTORS-NTINDA'!C16)</f>
        <v>10.857142857142858</v>
      </c>
      <c r="D16" s="49">
        <f>AVERAGE('29.07 SPEARMOTORS-NTINDA'!D16,'30.07 SPEARMOTORS-NTINDA'!D16,'31.07 NTINDA-SPEAR MOTORS'!D16,'02.08 NTINDA-SPEARMOTORS'!D16,'01.07 SPEARMOTORS-NTINDA-24h'!D16,'03.08 SPEARMOTORS-NTINDA-24h'!D16,'04.08 SPEARMOTORS-NTINDA'!D16)</f>
        <v>8.4285714285714288</v>
      </c>
      <c r="E16" s="49">
        <f>AVERAGE('29.07 SPEARMOTORS-NTINDA'!E16,'30.07 SPEARMOTORS-NTINDA'!E16,'31.07 NTINDA-SPEAR MOTORS'!E16,'02.08 NTINDA-SPEARMOTORS'!E16,'01.07 SPEARMOTORS-NTINDA-24h'!E16,'03.08 SPEARMOTORS-NTINDA-24h'!E16,'04.08 SPEARMOTORS-NTINDA'!E16)</f>
        <v>4</v>
      </c>
      <c r="F16" s="49">
        <f>AVERAGE('29.07 SPEARMOTORS-NTINDA'!F16,'30.07 SPEARMOTORS-NTINDA'!F16,'31.07 NTINDA-SPEAR MOTORS'!F16,'02.08 NTINDA-SPEARMOTORS'!F16,'01.07 SPEARMOTORS-NTINDA-24h'!F16,'03.08 SPEARMOTORS-NTINDA-24h'!F16,'04.08 SPEARMOTORS-NTINDA'!F16)</f>
        <v>12.285714285714286</v>
      </c>
      <c r="G16" s="49">
        <f>AVERAGE('29.07 SPEARMOTORS-NTINDA'!G16,'30.07 SPEARMOTORS-NTINDA'!G16,'31.07 NTINDA-SPEAR MOTORS'!G16,'02.08 NTINDA-SPEARMOTORS'!G16,'01.07 SPEARMOTORS-NTINDA-24h'!G16,'03.08 SPEARMOTORS-NTINDA-24h'!G16,'04.08 SPEARMOTORS-NTINDA'!G16)</f>
        <v>0.5714285714285714</v>
      </c>
      <c r="H16" s="49">
        <f>AVERAGE('29.07 SPEARMOTORS-NTINDA'!H16,'30.07 SPEARMOTORS-NTINDA'!H16,'31.07 NTINDA-SPEAR MOTORS'!H16,'02.08 NTINDA-SPEARMOTORS'!H16,'01.07 SPEARMOTORS-NTINDA-24h'!H16,'03.08 SPEARMOTORS-NTINDA-24h'!H16,'04.08 SPEARMOTORS-NTINDA'!H16)</f>
        <v>0</v>
      </c>
      <c r="I16" s="49">
        <f>AVERAGE('29.07 SPEARMOTORS-NTINDA'!I16,'30.07 SPEARMOTORS-NTINDA'!I16,'31.07 NTINDA-SPEAR MOTORS'!I16,'02.08 NTINDA-SPEARMOTORS'!I16,'01.07 SPEARMOTORS-NTINDA-24h'!I16,'03.08 SPEARMOTORS-NTINDA-24h'!I16,'04.08 SPEARMOTORS-NTINDA'!I16)</f>
        <v>1.4285714285714286</v>
      </c>
      <c r="J16" s="49">
        <f>AVERAGE('29.07 SPEARMOTORS-NTINDA'!J16,'30.07 SPEARMOTORS-NTINDA'!J16,'31.07 NTINDA-SPEAR MOTORS'!J16,'02.08 NTINDA-SPEARMOTORS'!J16,'01.07 SPEARMOTORS-NTINDA-24h'!J16,'03.08 SPEARMOTORS-NTINDA-24h'!J16,'04.08 SPEARMOTORS-NTINDA'!J16)</f>
        <v>1.2857142857142858</v>
      </c>
      <c r="K16" s="49">
        <f>AVERAGE('29.07 SPEARMOTORS-NTINDA'!K16,'30.07 SPEARMOTORS-NTINDA'!K16,'31.07 NTINDA-SPEAR MOTORS'!K16,'02.08 NTINDA-SPEARMOTORS'!K16,'01.07 SPEARMOTORS-NTINDA-24h'!K16,'03.08 SPEARMOTORS-NTINDA-24h'!K16,'04.08 SPEARMOTORS-NTINDA'!K16)</f>
        <v>2.1428571428571428</v>
      </c>
      <c r="L16" s="49">
        <f>AVERAGE('29.07 SPEARMOTORS-NTINDA'!L16,'30.07 SPEARMOTORS-NTINDA'!L16,'31.07 NTINDA-SPEAR MOTORS'!L16,'02.08 NTINDA-SPEARMOTORS'!L16,'01.07 SPEARMOTORS-NTINDA-24h'!L16,'03.08 SPEARMOTORS-NTINDA-24h'!L16,'04.08 SPEARMOTORS-NTINDA'!L16)</f>
        <v>5.7142857142857144</v>
      </c>
      <c r="M16" s="49">
        <f>AVERAGE('29.07 SPEARMOTORS-NTINDA'!M16,'30.07 SPEARMOTORS-NTINDA'!M16,'31.07 NTINDA-SPEAR MOTORS'!M16,'02.08 NTINDA-SPEARMOTORS'!M16,'01.07 SPEARMOTORS-NTINDA-24h'!M16,'03.08 SPEARMOTORS-NTINDA-24h'!M16,'04.08 SPEARMOTORS-NTINDA'!M16)</f>
        <v>158.14285714285714</v>
      </c>
      <c r="N16" s="49">
        <f>AVERAGE('29.07 SPEARMOTORS-NTINDA'!N16,'30.07 SPEARMOTORS-NTINDA'!N16,'31.07 NTINDA-SPEAR MOTORS'!N16,'02.08 NTINDA-SPEARMOTORS'!N16,'01.07 SPEARMOTORS-NTINDA-24h'!N16,'03.08 SPEARMOTORS-NTINDA-24h'!N16,'04.08 SPEARMOTORS-NTINDA'!N16)</f>
        <v>0</v>
      </c>
      <c r="O16" s="15">
        <f t="shared" si="0"/>
        <v>46.714285714285715</v>
      </c>
      <c r="P16" s="15">
        <f t="shared" si="1"/>
        <v>204.85714285714286</v>
      </c>
      <c r="R16" s="1" t="s">
        <v>12</v>
      </c>
      <c r="S16" s="17">
        <f t="shared" ref="S16:AF16" si="8">SUM(C34:C37)</f>
        <v>81.714285714285722</v>
      </c>
      <c r="T16" s="17">
        <f t="shared" si="8"/>
        <v>49.857142857142854</v>
      </c>
      <c r="U16" s="17">
        <f t="shared" si="8"/>
        <v>16.857142857142858</v>
      </c>
      <c r="V16" s="17">
        <f t="shared" si="8"/>
        <v>36.857142857142861</v>
      </c>
      <c r="W16" s="17">
        <f t="shared" si="8"/>
        <v>0.5714285714285714</v>
      </c>
      <c r="X16" s="17">
        <f t="shared" si="8"/>
        <v>0.5714285714285714</v>
      </c>
      <c r="Y16" s="17">
        <f t="shared" si="8"/>
        <v>10</v>
      </c>
      <c r="Z16" s="17">
        <f t="shared" si="8"/>
        <v>7.8571428571428568</v>
      </c>
      <c r="AA16" s="17">
        <f t="shared" si="8"/>
        <v>5.8571428571428577</v>
      </c>
      <c r="AB16" s="17">
        <f t="shared" si="8"/>
        <v>16.428571428571431</v>
      </c>
      <c r="AC16" s="17">
        <f t="shared" si="8"/>
        <v>381.71428571428578</v>
      </c>
      <c r="AD16" s="17">
        <f t="shared" si="8"/>
        <v>0</v>
      </c>
      <c r="AE16" s="31">
        <f t="shared" si="8"/>
        <v>226.57142857142858</v>
      </c>
      <c r="AF16" s="31">
        <f t="shared" si="8"/>
        <v>608.28571428571433</v>
      </c>
    </row>
    <row r="17" spans="2:32" ht="23.1" customHeight="1" x14ac:dyDescent="0.25">
      <c r="B17" s="23" t="s">
        <v>44</v>
      </c>
      <c r="C17" s="49">
        <f>AVERAGE('29.07 SPEARMOTORS-NTINDA'!C17,'30.07 SPEARMOTORS-NTINDA'!C17,'31.07 NTINDA-SPEAR MOTORS'!C17,'02.08 NTINDA-SPEARMOTORS'!C17,'01.07 SPEARMOTORS-NTINDA-24h'!C17,'03.08 SPEARMOTORS-NTINDA-24h'!C17,'04.08 SPEARMOTORS-NTINDA'!C17)</f>
        <v>17.714285714285715</v>
      </c>
      <c r="D17" s="49">
        <f>AVERAGE('29.07 SPEARMOTORS-NTINDA'!D17,'30.07 SPEARMOTORS-NTINDA'!D17,'31.07 NTINDA-SPEAR MOTORS'!D17,'02.08 NTINDA-SPEARMOTORS'!D17,'01.07 SPEARMOTORS-NTINDA-24h'!D17,'03.08 SPEARMOTORS-NTINDA-24h'!D17,'04.08 SPEARMOTORS-NTINDA'!D17)</f>
        <v>7.1428571428571432</v>
      </c>
      <c r="E17" s="49">
        <f>AVERAGE('29.07 SPEARMOTORS-NTINDA'!E17,'30.07 SPEARMOTORS-NTINDA'!E17,'31.07 NTINDA-SPEAR MOTORS'!E17,'02.08 NTINDA-SPEARMOTORS'!E17,'01.07 SPEARMOTORS-NTINDA-24h'!E17,'03.08 SPEARMOTORS-NTINDA-24h'!E17,'04.08 SPEARMOTORS-NTINDA'!E17)</f>
        <v>3.1428571428571428</v>
      </c>
      <c r="F17" s="49">
        <f>AVERAGE('29.07 SPEARMOTORS-NTINDA'!F17,'30.07 SPEARMOTORS-NTINDA'!F17,'31.07 NTINDA-SPEAR MOTORS'!F17,'02.08 NTINDA-SPEARMOTORS'!F17,'01.07 SPEARMOTORS-NTINDA-24h'!F17,'03.08 SPEARMOTORS-NTINDA-24h'!F17,'04.08 SPEARMOTORS-NTINDA'!F17)</f>
        <v>9.8571428571428577</v>
      </c>
      <c r="G17" s="49">
        <f>AVERAGE('29.07 SPEARMOTORS-NTINDA'!G17,'30.07 SPEARMOTORS-NTINDA'!G17,'31.07 NTINDA-SPEAR MOTORS'!G17,'02.08 NTINDA-SPEARMOTORS'!G17,'01.07 SPEARMOTORS-NTINDA-24h'!G17,'03.08 SPEARMOTORS-NTINDA-24h'!G17,'04.08 SPEARMOTORS-NTINDA'!G17)</f>
        <v>0</v>
      </c>
      <c r="H17" s="49">
        <f>AVERAGE('29.07 SPEARMOTORS-NTINDA'!H17,'30.07 SPEARMOTORS-NTINDA'!H17,'31.07 NTINDA-SPEAR MOTORS'!H17,'02.08 NTINDA-SPEARMOTORS'!H17,'01.07 SPEARMOTORS-NTINDA-24h'!H17,'03.08 SPEARMOTORS-NTINDA-24h'!H17,'04.08 SPEARMOTORS-NTINDA'!H17)</f>
        <v>0</v>
      </c>
      <c r="I17" s="49">
        <f>AVERAGE('29.07 SPEARMOTORS-NTINDA'!I17,'30.07 SPEARMOTORS-NTINDA'!I17,'31.07 NTINDA-SPEAR MOTORS'!I17,'02.08 NTINDA-SPEARMOTORS'!I17,'01.07 SPEARMOTORS-NTINDA-24h'!I17,'03.08 SPEARMOTORS-NTINDA-24h'!I17,'04.08 SPEARMOTORS-NTINDA'!I17)</f>
        <v>1.5714285714285714</v>
      </c>
      <c r="J17" s="49">
        <f>AVERAGE('29.07 SPEARMOTORS-NTINDA'!J17,'30.07 SPEARMOTORS-NTINDA'!J17,'31.07 NTINDA-SPEAR MOTORS'!J17,'02.08 NTINDA-SPEARMOTORS'!J17,'01.07 SPEARMOTORS-NTINDA-24h'!J17,'03.08 SPEARMOTORS-NTINDA-24h'!J17,'04.08 SPEARMOTORS-NTINDA'!J17)</f>
        <v>1.1428571428571428</v>
      </c>
      <c r="K17" s="49">
        <f>AVERAGE('29.07 SPEARMOTORS-NTINDA'!K17,'30.07 SPEARMOTORS-NTINDA'!K17,'31.07 NTINDA-SPEAR MOTORS'!K17,'02.08 NTINDA-SPEARMOTORS'!K17,'01.07 SPEARMOTORS-NTINDA-24h'!K17,'03.08 SPEARMOTORS-NTINDA-24h'!K17,'04.08 SPEARMOTORS-NTINDA'!K17)</f>
        <v>1.1428571428571428</v>
      </c>
      <c r="L17" s="49">
        <f>AVERAGE('29.07 SPEARMOTORS-NTINDA'!L17,'30.07 SPEARMOTORS-NTINDA'!L17,'31.07 NTINDA-SPEAR MOTORS'!L17,'02.08 NTINDA-SPEARMOTORS'!L17,'01.07 SPEARMOTORS-NTINDA-24h'!L17,'03.08 SPEARMOTORS-NTINDA-24h'!L17,'04.08 SPEARMOTORS-NTINDA'!L17)</f>
        <v>5.1428571428571432</v>
      </c>
      <c r="M17" s="49">
        <f>AVERAGE('29.07 SPEARMOTORS-NTINDA'!M17,'30.07 SPEARMOTORS-NTINDA'!M17,'31.07 NTINDA-SPEAR MOTORS'!M17,'02.08 NTINDA-SPEARMOTORS'!M17,'01.07 SPEARMOTORS-NTINDA-24h'!M17,'03.08 SPEARMOTORS-NTINDA-24h'!M17,'04.08 SPEARMOTORS-NTINDA'!M17)</f>
        <v>162.71428571428572</v>
      </c>
      <c r="N17" s="49">
        <f>AVERAGE('29.07 SPEARMOTORS-NTINDA'!N17,'30.07 SPEARMOTORS-NTINDA'!N17,'31.07 NTINDA-SPEAR MOTORS'!N17,'02.08 NTINDA-SPEARMOTORS'!N17,'01.07 SPEARMOTORS-NTINDA-24h'!N17,'03.08 SPEARMOTORS-NTINDA-24h'!N17,'04.08 SPEARMOTORS-NTINDA'!N17)</f>
        <v>0</v>
      </c>
      <c r="O17" s="15">
        <f t="shared" si="0"/>
        <v>46.857142857142868</v>
      </c>
      <c r="P17" s="15">
        <f t="shared" si="1"/>
        <v>209.57142857142858</v>
      </c>
      <c r="R17" s="1" t="s">
        <v>13</v>
      </c>
      <c r="S17" s="17">
        <f t="shared" ref="S17:AF17" si="9">SUM(C38:C41)</f>
        <v>85.428571428571431</v>
      </c>
      <c r="T17" s="17">
        <f t="shared" si="9"/>
        <v>50.857142857142861</v>
      </c>
      <c r="U17" s="17">
        <f t="shared" si="9"/>
        <v>18.428571428571431</v>
      </c>
      <c r="V17" s="17">
        <f t="shared" si="9"/>
        <v>30.285714285714288</v>
      </c>
      <c r="W17" s="17">
        <f t="shared" si="9"/>
        <v>0.14285714285714285</v>
      </c>
      <c r="X17" s="17">
        <f t="shared" si="9"/>
        <v>0.14285714285714285</v>
      </c>
      <c r="Y17" s="17">
        <f t="shared" si="9"/>
        <v>9</v>
      </c>
      <c r="Z17" s="17">
        <f t="shared" si="9"/>
        <v>6.8571428571428577</v>
      </c>
      <c r="AA17" s="17">
        <f t="shared" si="9"/>
        <v>6.1428571428571432</v>
      </c>
      <c r="AB17" s="17">
        <f t="shared" si="9"/>
        <v>17</v>
      </c>
      <c r="AC17" s="17">
        <f t="shared" si="9"/>
        <v>373.28571428571433</v>
      </c>
      <c r="AD17" s="17">
        <f t="shared" si="9"/>
        <v>0</v>
      </c>
      <c r="AE17" s="31">
        <f t="shared" si="9"/>
        <v>224.28571428571431</v>
      </c>
      <c r="AF17" s="31">
        <f t="shared" si="9"/>
        <v>597.57142857142856</v>
      </c>
    </row>
    <row r="18" spans="2:32" ht="23.1" customHeight="1" x14ac:dyDescent="0.25">
      <c r="B18" s="23" t="s">
        <v>45</v>
      </c>
      <c r="C18" s="49">
        <f>AVERAGE('29.07 SPEARMOTORS-NTINDA'!C18,'30.07 SPEARMOTORS-NTINDA'!C18,'31.07 NTINDA-SPEAR MOTORS'!C18,'02.08 NTINDA-SPEARMOTORS'!C18,'01.07 SPEARMOTORS-NTINDA-24h'!C18,'03.08 SPEARMOTORS-NTINDA-24h'!C18,'04.08 SPEARMOTORS-NTINDA'!C18)</f>
        <v>19.714285714285715</v>
      </c>
      <c r="D18" s="49">
        <f>AVERAGE('29.07 SPEARMOTORS-NTINDA'!D18,'30.07 SPEARMOTORS-NTINDA'!D18,'31.07 NTINDA-SPEAR MOTORS'!D18,'02.08 NTINDA-SPEARMOTORS'!D18,'01.07 SPEARMOTORS-NTINDA-24h'!D18,'03.08 SPEARMOTORS-NTINDA-24h'!D18,'04.08 SPEARMOTORS-NTINDA'!D18)</f>
        <v>7.8571428571428568</v>
      </c>
      <c r="E18" s="49">
        <f>AVERAGE('29.07 SPEARMOTORS-NTINDA'!E18,'30.07 SPEARMOTORS-NTINDA'!E18,'31.07 NTINDA-SPEAR MOTORS'!E18,'02.08 NTINDA-SPEARMOTORS'!E18,'01.07 SPEARMOTORS-NTINDA-24h'!E18,'03.08 SPEARMOTORS-NTINDA-24h'!E18,'04.08 SPEARMOTORS-NTINDA'!E18)</f>
        <v>2.4285714285714284</v>
      </c>
      <c r="F18" s="49">
        <f>AVERAGE('29.07 SPEARMOTORS-NTINDA'!F18,'30.07 SPEARMOTORS-NTINDA'!F18,'31.07 NTINDA-SPEAR MOTORS'!F18,'02.08 NTINDA-SPEARMOTORS'!F18,'01.07 SPEARMOTORS-NTINDA-24h'!F18,'03.08 SPEARMOTORS-NTINDA-24h'!F18,'04.08 SPEARMOTORS-NTINDA'!F18)</f>
        <v>10.142857142857142</v>
      </c>
      <c r="G18" s="49">
        <f>AVERAGE('29.07 SPEARMOTORS-NTINDA'!G18,'30.07 SPEARMOTORS-NTINDA'!G18,'31.07 NTINDA-SPEAR MOTORS'!G18,'02.08 NTINDA-SPEARMOTORS'!G18,'01.07 SPEARMOTORS-NTINDA-24h'!G18,'03.08 SPEARMOTORS-NTINDA-24h'!G18,'04.08 SPEARMOTORS-NTINDA'!G18)</f>
        <v>0</v>
      </c>
      <c r="H18" s="49">
        <f>AVERAGE('29.07 SPEARMOTORS-NTINDA'!H18,'30.07 SPEARMOTORS-NTINDA'!H18,'31.07 NTINDA-SPEAR MOTORS'!H18,'02.08 NTINDA-SPEARMOTORS'!H18,'01.07 SPEARMOTORS-NTINDA-24h'!H18,'03.08 SPEARMOTORS-NTINDA-24h'!H18,'04.08 SPEARMOTORS-NTINDA'!H18)</f>
        <v>0</v>
      </c>
      <c r="I18" s="49">
        <f>AVERAGE('29.07 SPEARMOTORS-NTINDA'!I18,'30.07 SPEARMOTORS-NTINDA'!I18,'31.07 NTINDA-SPEAR MOTORS'!I18,'02.08 NTINDA-SPEARMOTORS'!I18,'01.07 SPEARMOTORS-NTINDA-24h'!I18,'03.08 SPEARMOTORS-NTINDA-24h'!I18,'04.08 SPEARMOTORS-NTINDA'!I18)</f>
        <v>2.8571428571428572</v>
      </c>
      <c r="J18" s="49">
        <f>AVERAGE('29.07 SPEARMOTORS-NTINDA'!J18,'30.07 SPEARMOTORS-NTINDA'!J18,'31.07 NTINDA-SPEAR MOTORS'!J18,'02.08 NTINDA-SPEARMOTORS'!J18,'01.07 SPEARMOTORS-NTINDA-24h'!J18,'03.08 SPEARMOTORS-NTINDA-24h'!J18,'04.08 SPEARMOTORS-NTINDA'!J18)</f>
        <v>1.8571428571428572</v>
      </c>
      <c r="K18" s="49">
        <f>AVERAGE('29.07 SPEARMOTORS-NTINDA'!K18,'30.07 SPEARMOTORS-NTINDA'!K18,'31.07 NTINDA-SPEAR MOTORS'!K18,'02.08 NTINDA-SPEARMOTORS'!K18,'01.07 SPEARMOTORS-NTINDA-24h'!K18,'03.08 SPEARMOTORS-NTINDA-24h'!K18,'04.08 SPEARMOTORS-NTINDA'!K18)</f>
        <v>1.5714285714285714</v>
      </c>
      <c r="L18" s="49">
        <f>AVERAGE('29.07 SPEARMOTORS-NTINDA'!L18,'30.07 SPEARMOTORS-NTINDA'!L18,'31.07 NTINDA-SPEAR MOTORS'!L18,'02.08 NTINDA-SPEARMOTORS'!L18,'01.07 SPEARMOTORS-NTINDA-24h'!L18,'03.08 SPEARMOTORS-NTINDA-24h'!L18,'04.08 SPEARMOTORS-NTINDA'!L18)</f>
        <v>7.8571428571428568</v>
      </c>
      <c r="M18" s="49">
        <f>AVERAGE('29.07 SPEARMOTORS-NTINDA'!M18,'30.07 SPEARMOTORS-NTINDA'!M18,'31.07 NTINDA-SPEAR MOTORS'!M18,'02.08 NTINDA-SPEARMOTORS'!M18,'01.07 SPEARMOTORS-NTINDA-24h'!M18,'03.08 SPEARMOTORS-NTINDA-24h'!M18,'04.08 SPEARMOTORS-NTINDA'!M18)</f>
        <v>172.42857142857142</v>
      </c>
      <c r="N18" s="49">
        <f>AVERAGE('29.07 SPEARMOTORS-NTINDA'!N18,'30.07 SPEARMOTORS-NTINDA'!N18,'31.07 NTINDA-SPEAR MOTORS'!N18,'02.08 NTINDA-SPEARMOTORS'!N18,'01.07 SPEARMOTORS-NTINDA-24h'!N18,'03.08 SPEARMOTORS-NTINDA-24h'!N18,'04.08 SPEARMOTORS-NTINDA'!N18)</f>
        <v>0</v>
      </c>
      <c r="O18" s="15">
        <f t="shared" si="0"/>
        <v>54.28571428571427</v>
      </c>
      <c r="P18" s="15">
        <f t="shared" si="1"/>
        <v>226.71428571428569</v>
      </c>
      <c r="R18" s="1" t="s">
        <v>14</v>
      </c>
      <c r="S18" s="17">
        <f t="shared" ref="S18:AF18" si="10">SUM(C42:C45)</f>
        <v>91.857142857142861</v>
      </c>
      <c r="T18" s="17">
        <f t="shared" si="10"/>
        <v>48.857142857142861</v>
      </c>
      <c r="U18" s="17">
        <f t="shared" si="10"/>
        <v>18.428571428571431</v>
      </c>
      <c r="V18" s="17">
        <f t="shared" si="10"/>
        <v>27.857142857142858</v>
      </c>
      <c r="W18" s="17">
        <f t="shared" si="10"/>
        <v>0.42857142857142855</v>
      </c>
      <c r="X18" s="17">
        <f t="shared" si="10"/>
        <v>0.14285714285714285</v>
      </c>
      <c r="Y18" s="17">
        <f t="shared" si="10"/>
        <v>11.714285714285714</v>
      </c>
      <c r="Z18" s="17">
        <f t="shared" si="10"/>
        <v>7.4285714285714288</v>
      </c>
      <c r="AA18" s="17">
        <f t="shared" si="10"/>
        <v>4.9999999999999991</v>
      </c>
      <c r="AB18" s="17">
        <f t="shared" si="10"/>
        <v>17.571428571428573</v>
      </c>
      <c r="AC18" s="17">
        <f t="shared" si="10"/>
        <v>423.85714285714289</v>
      </c>
      <c r="AD18" s="17">
        <f t="shared" si="10"/>
        <v>0</v>
      </c>
      <c r="AE18" s="31">
        <f t="shared" si="10"/>
        <v>229.28571428571428</v>
      </c>
      <c r="AF18" s="31">
        <f t="shared" si="10"/>
        <v>653.14285714285711</v>
      </c>
    </row>
    <row r="19" spans="2:32" ht="23.1" customHeight="1" x14ac:dyDescent="0.25">
      <c r="B19" s="23" t="s">
        <v>46</v>
      </c>
      <c r="C19" s="49">
        <f>AVERAGE('29.07 SPEARMOTORS-NTINDA'!C19,'30.07 SPEARMOTORS-NTINDA'!C19,'31.07 NTINDA-SPEAR MOTORS'!C19,'02.08 NTINDA-SPEARMOTORS'!C19,'01.07 SPEARMOTORS-NTINDA-24h'!C19,'03.08 SPEARMOTORS-NTINDA-24h'!C19,'04.08 SPEARMOTORS-NTINDA'!C19)</f>
        <v>14.142857142857142</v>
      </c>
      <c r="D19" s="49">
        <f>AVERAGE('29.07 SPEARMOTORS-NTINDA'!D19,'30.07 SPEARMOTORS-NTINDA'!D19,'31.07 NTINDA-SPEAR MOTORS'!D19,'02.08 NTINDA-SPEARMOTORS'!D19,'01.07 SPEARMOTORS-NTINDA-24h'!D19,'03.08 SPEARMOTORS-NTINDA-24h'!D19,'04.08 SPEARMOTORS-NTINDA'!D19)</f>
        <v>5.4285714285714288</v>
      </c>
      <c r="E19" s="49">
        <f>AVERAGE('29.07 SPEARMOTORS-NTINDA'!E19,'30.07 SPEARMOTORS-NTINDA'!E19,'31.07 NTINDA-SPEAR MOTORS'!E19,'02.08 NTINDA-SPEARMOTORS'!E19,'01.07 SPEARMOTORS-NTINDA-24h'!E19,'03.08 SPEARMOTORS-NTINDA-24h'!E19,'04.08 SPEARMOTORS-NTINDA'!E19)</f>
        <v>3.1428571428571428</v>
      </c>
      <c r="F19" s="49">
        <f>AVERAGE('29.07 SPEARMOTORS-NTINDA'!F19,'30.07 SPEARMOTORS-NTINDA'!F19,'31.07 NTINDA-SPEAR MOTORS'!F19,'02.08 NTINDA-SPEARMOTORS'!F19,'01.07 SPEARMOTORS-NTINDA-24h'!F19,'03.08 SPEARMOTORS-NTINDA-24h'!F19,'04.08 SPEARMOTORS-NTINDA'!F19)</f>
        <v>14.714285714285714</v>
      </c>
      <c r="G19" s="49">
        <f>AVERAGE('29.07 SPEARMOTORS-NTINDA'!G19,'30.07 SPEARMOTORS-NTINDA'!G19,'31.07 NTINDA-SPEAR MOTORS'!G19,'02.08 NTINDA-SPEARMOTORS'!G19,'01.07 SPEARMOTORS-NTINDA-24h'!G19,'03.08 SPEARMOTORS-NTINDA-24h'!G19,'04.08 SPEARMOTORS-NTINDA'!G19)</f>
        <v>0</v>
      </c>
      <c r="H19" s="49">
        <f>AVERAGE('29.07 SPEARMOTORS-NTINDA'!H19,'30.07 SPEARMOTORS-NTINDA'!H19,'31.07 NTINDA-SPEAR MOTORS'!H19,'02.08 NTINDA-SPEARMOTORS'!H19,'01.07 SPEARMOTORS-NTINDA-24h'!H19,'03.08 SPEARMOTORS-NTINDA-24h'!H19,'04.08 SPEARMOTORS-NTINDA'!H19)</f>
        <v>0</v>
      </c>
      <c r="I19" s="49">
        <f>AVERAGE('29.07 SPEARMOTORS-NTINDA'!I19,'30.07 SPEARMOTORS-NTINDA'!I19,'31.07 NTINDA-SPEAR MOTORS'!I19,'02.08 NTINDA-SPEARMOTORS'!I19,'01.07 SPEARMOTORS-NTINDA-24h'!I19,'03.08 SPEARMOTORS-NTINDA-24h'!I19,'04.08 SPEARMOTORS-NTINDA'!I19)</f>
        <v>2.8571428571428572</v>
      </c>
      <c r="J19" s="49">
        <f>AVERAGE('29.07 SPEARMOTORS-NTINDA'!J19,'30.07 SPEARMOTORS-NTINDA'!J19,'31.07 NTINDA-SPEAR MOTORS'!J19,'02.08 NTINDA-SPEARMOTORS'!J19,'01.07 SPEARMOTORS-NTINDA-24h'!J19,'03.08 SPEARMOTORS-NTINDA-24h'!J19,'04.08 SPEARMOTORS-NTINDA'!J19)</f>
        <v>1.5714285714285714</v>
      </c>
      <c r="K19" s="49">
        <f>AVERAGE('29.07 SPEARMOTORS-NTINDA'!K19,'30.07 SPEARMOTORS-NTINDA'!K19,'31.07 NTINDA-SPEAR MOTORS'!K19,'02.08 NTINDA-SPEARMOTORS'!K19,'01.07 SPEARMOTORS-NTINDA-24h'!K19,'03.08 SPEARMOTORS-NTINDA-24h'!K19,'04.08 SPEARMOTORS-NTINDA'!K19)</f>
        <v>1.5714285714285714</v>
      </c>
      <c r="L19" s="49">
        <f>AVERAGE('29.07 SPEARMOTORS-NTINDA'!L19,'30.07 SPEARMOTORS-NTINDA'!L19,'31.07 NTINDA-SPEAR MOTORS'!L19,'02.08 NTINDA-SPEARMOTORS'!L19,'01.07 SPEARMOTORS-NTINDA-24h'!L19,'03.08 SPEARMOTORS-NTINDA-24h'!L19,'04.08 SPEARMOTORS-NTINDA'!L19)</f>
        <v>8</v>
      </c>
      <c r="M19" s="49">
        <f>AVERAGE('29.07 SPEARMOTORS-NTINDA'!M19,'30.07 SPEARMOTORS-NTINDA'!M19,'31.07 NTINDA-SPEAR MOTORS'!M19,'02.08 NTINDA-SPEARMOTORS'!M19,'01.07 SPEARMOTORS-NTINDA-24h'!M19,'03.08 SPEARMOTORS-NTINDA-24h'!M19,'04.08 SPEARMOTORS-NTINDA'!M19)</f>
        <v>147.57142857142858</v>
      </c>
      <c r="N19" s="49">
        <f>AVERAGE('29.07 SPEARMOTORS-NTINDA'!N19,'30.07 SPEARMOTORS-NTINDA'!N19,'31.07 NTINDA-SPEAR MOTORS'!N19,'02.08 NTINDA-SPEARMOTORS'!N19,'01.07 SPEARMOTORS-NTINDA-24h'!N19,'03.08 SPEARMOTORS-NTINDA-24h'!N19,'04.08 SPEARMOTORS-NTINDA'!N19)</f>
        <v>0</v>
      </c>
      <c r="O19" s="15">
        <f t="shared" si="0"/>
        <v>51.428571428571416</v>
      </c>
      <c r="P19" s="15">
        <f t="shared" si="1"/>
        <v>199</v>
      </c>
      <c r="R19" s="1" t="s">
        <v>15</v>
      </c>
      <c r="S19" s="17">
        <f t="shared" ref="S19:AF19" si="11">SUM(C46:C49)</f>
        <v>90.142857142857153</v>
      </c>
      <c r="T19" s="17">
        <f t="shared" si="11"/>
        <v>54.571428571428569</v>
      </c>
      <c r="U19" s="17">
        <f t="shared" si="11"/>
        <v>21.142857142857142</v>
      </c>
      <c r="V19" s="17">
        <f t="shared" si="11"/>
        <v>27.857142857142858</v>
      </c>
      <c r="W19" s="17">
        <f t="shared" si="11"/>
        <v>0.2857142857142857</v>
      </c>
      <c r="X19" s="17">
        <f t="shared" si="11"/>
        <v>0</v>
      </c>
      <c r="Y19" s="17">
        <f t="shared" si="11"/>
        <v>10.571428571428571</v>
      </c>
      <c r="Z19" s="17">
        <f t="shared" si="11"/>
        <v>6.2857142857142856</v>
      </c>
      <c r="AA19" s="17">
        <f t="shared" si="11"/>
        <v>4.5714285714285712</v>
      </c>
      <c r="AB19" s="17">
        <f t="shared" si="11"/>
        <v>24.571428571428573</v>
      </c>
      <c r="AC19" s="17">
        <f t="shared" si="11"/>
        <v>514.57142857142856</v>
      </c>
      <c r="AD19" s="17">
        <f t="shared" si="11"/>
        <v>0</v>
      </c>
      <c r="AE19" s="31">
        <f t="shared" si="11"/>
        <v>240</v>
      </c>
      <c r="AF19" s="31">
        <f t="shared" si="11"/>
        <v>754.57142857142867</v>
      </c>
    </row>
    <row r="20" spans="2:32" ht="23.1" customHeight="1" x14ac:dyDescent="0.25">
      <c r="B20" s="23" t="s">
        <v>47</v>
      </c>
      <c r="C20" s="49">
        <f>AVERAGE('29.07 SPEARMOTORS-NTINDA'!C20,'30.07 SPEARMOTORS-NTINDA'!C20,'31.07 NTINDA-SPEAR MOTORS'!C20,'02.08 NTINDA-SPEARMOTORS'!C20,'01.07 SPEARMOTORS-NTINDA-24h'!C20,'03.08 SPEARMOTORS-NTINDA-24h'!C20,'04.08 SPEARMOTORS-NTINDA'!C20)</f>
        <v>17.714285714285715</v>
      </c>
      <c r="D20" s="49">
        <f>AVERAGE('29.07 SPEARMOTORS-NTINDA'!D20,'30.07 SPEARMOTORS-NTINDA'!D20,'31.07 NTINDA-SPEAR MOTORS'!D20,'02.08 NTINDA-SPEARMOTORS'!D20,'01.07 SPEARMOTORS-NTINDA-24h'!D20,'03.08 SPEARMOTORS-NTINDA-24h'!D20,'04.08 SPEARMOTORS-NTINDA'!D20)</f>
        <v>7.8571428571428568</v>
      </c>
      <c r="E20" s="49">
        <f>AVERAGE('29.07 SPEARMOTORS-NTINDA'!E20,'30.07 SPEARMOTORS-NTINDA'!E20,'31.07 NTINDA-SPEAR MOTORS'!E20,'02.08 NTINDA-SPEARMOTORS'!E20,'01.07 SPEARMOTORS-NTINDA-24h'!E20,'03.08 SPEARMOTORS-NTINDA-24h'!E20,'04.08 SPEARMOTORS-NTINDA'!E20)</f>
        <v>2.5714285714285716</v>
      </c>
      <c r="F20" s="49">
        <f>AVERAGE('29.07 SPEARMOTORS-NTINDA'!F20,'30.07 SPEARMOTORS-NTINDA'!F20,'31.07 NTINDA-SPEAR MOTORS'!F20,'02.08 NTINDA-SPEARMOTORS'!F20,'01.07 SPEARMOTORS-NTINDA-24h'!F20,'03.08 SPEARMOTORS-NTINDA-24h'!F20,'04.08 SPEARMOTORS-NTINDA'!F20)</f>
        <v>11.857142857142858</v>
      </c>
      <c r="G20" s="49">
        <f>AVERAGE('29.07 SPEARMOTORS-NTINDA'!G20,'30.07 SPEARMOTORS-NTINDA'!G20,'31.07 NTINDA-SPEAR MOTORS'!G20,'02.08 NTINDA-SPEARMOTORS'!G20,'01.07 SPEARMOTORS-NTINDA-24h'!G20,'03.08 SPEARMOTORS-NTINDA-24h'!G20,'04.08 SPEARMOTORS-NTINDA'!G20)</f>
        <v>0</v>
      </c>
      <c r="H20" s="49">
        <f>AVERAGE('29.07 SPEARMOTORS-NTINDA'!H20,'30.07 SPEARMOTORS-NTINDA'!H20,'31.07 NTINDA-SPEAR MOTORS'!H20,'02.08 NTINDA-SPEARMOTORS'!H20,'01.07 SPEARMOTORS-NTINDA-24h'!H20,'03.08 SPEARMOTORS-NTINDA-24h'!H20,'04.08 SPEARMOTORS-NTINDA'!H20)</f>
        <v>0</v>
      </c>
      <c r="I20" s="49">
        <f>AVERAGE('29.07 SPEARMOTORS-NTINDA'!I20,'30.07 SPEARMOTORS-NTINDA'!I20,'31.07 NTINDA-SPEAR MOTORS'!I20,'02.08 NTINDA-SPEARMOTORS'!I20,'01.07 SPEARMOTORS-NTINDA-24h'!I20,'03.08 SPEARMOTORS-NTINDA-24h'!I20,'04.08 SPEARMOTORS-NTINDA'!I20)</f>
        <v>2.4285714285714284</v>
      </c>
      <c r="J20" s="49">
        <f>AVERAGE('29.07 SPEARMOTORS-NTINDA'!J20,'30.07 SPEARMOTORS-NTINDA'!J20,'31.07 NTINDA-SPEAR MOTORS'!J20,'02.08 NTINDA-SPEARMOTORS'!J20,'01.07 SPEARMOTORS-NTINDA-24h'!J20,'03.08 SPEARMOTORS-NTINDA-24h'!J20,'04.08 SPEARMOTORS-NTINDA'!J20)</f>
        <v>2.1428571428571428</v>
      </c>
      <c r="K20" s="49">
        <f>AVERAGE('29.07 SPEARMOTORS-NTINDA'!K20,'30.07 SPEARMOTORS-NTINDA'!K20,'31.07 NTINDA-SPEAR MOTORS'!K20,'02.08 NTINDA-SPEARMOTORS'!K20,'01.07 SPEARMOTORS-NTINDA-24h'!K20,'03.08 SPEARMOTORS-NTINDA-24h'!K20,'04.08 SPEARMOTORS-NTINDA'!K20)</f>
        <v>2.4285714285714284</v>
      </c>
      <c r="L20" s="49">
        <f>AVERAGE('29.07 SPEARMOTORS-NTINDA'!L20,'30.07 SPEARMOTORS-NTINDA'!L20,'31.07 NTINDA-SPEAR MOTORS'!L20,'02.08 NTINDA-SPEARMOTORS'!L20,'01.07 SPEARMOTORS-NTINDA-24h'!L20,'03.08 SPEARMOTORS-NTINDA-24h'!L20,'04.08 SPEARMOTORS-NTINDA'!L20)</f>
        <v>6</v>
      </c>
      <c r="M20" s="49">
        <f>AVERAGE('29.07 SPEARMOTORS-NTINDA'!M20,'30.07 SPEARMOTORS-NTINDA'!M20,'31.07 NTINDA-SPEAR MOTORS'!M20,'02.08 NTINDA-SPEARMOTORS'!M20,'01.07 SPEARMOTORS-NTINDA-24h'!M20,'03.08 SPEARMOTORS-NTINDA-24h'!M20,'04.08 SPEARMOTORS-NTINDA'!M20)</f>
        <v>164.71428571428572</v>
      </c>
      <c r="N20" s="49">
        <f>AVERAGE('29.07 SPEARMOTORS-NTINDA'!N20,'30.07 SPEARMOTORS-NTINDA'!N20,'31.07 NTINDA-SPEAR MOTORS'!N20,'02.08 NTINDA-SPEARMOTORS'!N20,'01.07 SPEARMOTORS-NTINDA-24h'!N20,'03.08 SPEARMOTORS-NTINDA-24h'!N20,'04.08 SPEARMOTORS-NTINDA'!N20)</f>
        <v>0</v>
      </c>
      <c r="O20" s="15">
        <f t="shared" si="0"/>
        <v>53.000000000000007</v>
      </c>
      <c r="P20" s="15">
        <f t="shared" si="1"/>
        <v>217.71428571428572</v>
      </c>
      <c r="R20" s="1" t="s">
        <v>16</v>
      </c>
      <c r="S20" s="17">
        <f t="shared" ref="S20:AF20" si="12">SUM(C50:C53)</f>
        <v>109.85714285714286</v>
      </c>
      <c r="T20" s="17">
        <f t="shared" si="12"/>
        <v>57.857142857142861</v>
      </c>
      <c r="U20" s="17">
        <f t="shared" si="12"/>
        <v>17.714285714285715</v>
      </c>
      <c r="V20" s="17">
        <f t="shared" si="12"/>
        <v>23.285714285714285</v>
      </c>
      <c r="W20" s="17">
        <f t="shared" si="12"/>
        <v>0.42857142857142855</v>
      </c>
      <c r="X20" s="17">
        <f t="shared" si="12"/>
        <v>0</v>
      </c>
      <c r="Y20" s="17">
        <f t="shared" si="12"/>
        <v>8.8571428571428577</v>
      </c>
      <c r="Z20" s="17">
        <f t="shared" si="12"/>
        <v>6</v>
      </c>
      <c r="AA20" s="17">
        <f t="shared" si="12"/>
        <v>4.7142857142857135</v>
      </c>
      <c r="AB20" s="17">
        <f t="shared" si="12"/>
        <v>12.571428571428571</v>
      </c>
      <c r="AC20" s="17">
        <f t="shared" si="12"/>
        <v>536.71428571428567</v>
      </c>
      <c r="AD20" s="17">
        <f t="shared" si="12"/>
        <v>0</v>
      </c>
      <c r="AE20" s="31">
        <f t="shared" si="12"/>
        <v>241.28571428571431</v>
      </c>
      <c r="AF20" s="31">
        <f t="shared" si="12"/>
        <v>778</v>
      </c>
    </row>
    <row r="21" spans="2:32" ht="23.1" customHeight="1" x14ac:dyDescent="0.25">
      <c r="B21" s="23" t="s">
        <v>48</v>
      </c>
      <c r="C21" s="49">
        <f>AVERAGE('29.07 SPEARMOTORS-NTINDA'!C21,'30.07 SPEARMOTORS-NTINDA'!C21,'31.07 NTINDA-SPEAR MOTORS'!C21,'02.08 NTINDA-SPEARMOTORS'!C21,'01.07 SPEARMOTORS-NTINDA-24h'!C21,'03.08 SPEARMOTORS-NTINDA-24h'!C21,'04.08 SPEARMOTORS-NTINDA'!C21)</f>
        <v>18.571428571428573</v>
      </c>
      <c r="D21" s="49">
        <f>AVERAGE('29.07 SPEARMOTORS-NTINDA'!D21,'30.07 SPEARMOTORS-NTINDA'!D21,'31.07 NTINDA-SPEAR MOTORS'!D21,'02.08 NTINDA-SPEARMOTORS'!D21,'01.07 SPEARMOTORS-NTINDA-24h'!D21,'03.08 SPEARMOTORS-NTINDA-24h'!D21,'04.08 SPEARMOTORS-NTINDA'!D21)</f>
        <v>9.8571428571428577</v>
      </c>
      <c r="E21" s="49">
        <f>AVERAGE('29.07 SPEARMOTORS-NTINDA'!E21,'30.07 SPEARMOTORS-NTINDA'!E21,'31.07 NTINDA-SPEAR MOTORS'!E21,'02.08 NTINDA-SPEARMOTORS'!E21,'01.07 SPEARMOTORS-NTINDA-24h'!E21,'03.08 SPEARMOTORS-NTINDA-24h'!E21,'04.08 SPEARMOTORS-NTINDA'!E21)</f>
        <v>5.8571428571428568</v>
      </c>
      <c r="F21" s="49">
        <f>AVERAGE('29.07 SPEARMOTORS-NTINDA'!F21,'30.07 SPEARMOTORS-NTINDA'!F21,'31.07 NTINDA-SPEAR MOTORS'!F21,'02.08 NTINDA-SPEARMOTORS'!F21,'01.07 SPEARMOTORS-NTINDA-24h'!F21,'03.08 SPEARMOTORS-NTINDA-24h'!F21,'04.08 SPEARMOTORS-NTINDA'!F21)</f>
        <v>11.428571428571429</v>
      </c>
      <c r="G21" s="49">
        <f>AVERAGE('29.07 SPEARMOTORS-NTINDA'!G21,'30.07 SPEARMOTORS-NTINDA'!G21,'31.07 NTINDA-SPEAR MOTORS'!G21,'02.08 NTINDA-SPEARMOTORS'!G21,'01.07 SPEARMOTORS-NTINDA-24h'!G21,'03.08 SPEARMOTORS-NTINDA-24h'!G21,'04.08 SPEARMOTORS-NTINDA'!G21)</f>
        <v>0</v>
      </c>
      <c r="H21" s="49">
        <f>AVERAGE('29.07 SPEARMOTORS-NTINDA'!H21,'30.07 SPEARMOTORS-NTINDA'!H21,'31.07 NTINDA-SPEAR MOTORS'!H21,'02.08 NTINDA-SPEARMOTORS'!H21,'01.07 SPEARMOTORS-NTINDA-24h'!H21,'03.08 SPEARMOTORS-NTINDA-24h'!H21,'04.08 SPEARMOTORS-NTINDA'!H21)</f>
        <v>0</v>
      </c>
      <c r="I21" s="49">
        <f>AVERAGE('29.07 SPEARMOTORS-NTINDA'!I21,'30.07 SPEARMOTORS-NTINDA'!I21,'31.07 NTINDA-SPEAR MOTORS'!I21,'02.08 NTINDA-SPEARMOTORS'!I21,'01.07 SPEARMOTORS-NTINDA-24h'!I21,'03.08 SPEARMOTORS-NTINDA-24h'!I21,'04.08 SPEARMOTORS-NTINDA'!I21)</f>
        <v>2.7142857142857144</v>
      </c>
      <c r="J21" s="49">
        <f>AVERAGE('29.07 SPEARMOTORS-NTINDA'!J21,'30.07 SPEARMOTORS-NTINDA'!J21,'31.07 NTINDA-SPEAR MOTORS'!J21,'02.08 NTINDA-SPEARMOTORS'!J21,'01.07 SPEARMOTORS-NTINDA-24h'!J21,'03.08 SPEARMOTORS-NTINDA-24h'!J21,'04.08 SPEARMOTORS-NTINDA'!J21)</f>
        <v>1.2857142857142858</v>
      </c>
      <c r="K21" s="49">
        <f>AVERAGE('29.07 SPEARMOTORS-NTINDA'!K21,'30.07 SPEARMOTORS-NTINDA'!K21,'31.07 NTINDA-SPEAR MOTORS'!K21,'02.08 NTINDA-SPEARMOTORS'!K21,'01.07 SPEARMOTORS-NTINDA-24h'!K21,'03.08 SPEARMOTORS-NTINDA-24h'!K21,'04.08 SPEARMOTORS-NTINDA'!K21)</f>
        <v>1.7142857142857142</v>
      </c>
      <c r="L21" s="49">
        <f>AVERAGE('29.07 SPEARMOTORS-NTINDA'!L21,'30.07 SPEARMOTORS-NTINDA'!L21,'31.07 NTINDA-SPEAR MOTORS'!L21,'02.08 NTINDA-SPEARMOTORS'!L21,'01.07 SPEARMOTORS-NTINDA-24h'!L21,'03.08 SPEARMOTORS-NTINDA-24h'!L21,'04.08 SPEARMOTORS-NTINDA'!L21)</f>
        <v>5.2857142857142856</v>
      </c>
      <c r="M21" s="49">
        <f>AVERAGE('29.07 SPEARMOTORS-NTINDA'!M21,'30.07 SPEARMOTORS-NTINDA'!M21,'31.07 NTINDA-SPEAR MOTORS'!M21,'02.08 NTINDA-SPEARMOTORS'!M21,'01.07 SPEARMOTORS-NTINDA-24h'!M21,'03.08 SPEARMOTORS-NTINDA-24h'!M21,'04.08 SPEARMOTORS-NTINDA'!M21)</f>
        <v>130.14285714285714</v>
      </c>
      <c r="N21" s="49">
        <f>AVERAGE('29.07 SPEARMOTORS-NTINDA'!N21,'30.07 SPEARMOTORS-NTINDA'!N21,'31.07 NTINDA-SPEAR MOTORS'!N21,'02.08 NTINDA-SPEARMOTORS'!N21,'01.07 SPEARMOTORS-NTINDA-24h'!N21,'03.08 SPEARMOTORS-NTINDA-24h'!N21,'04.08 SPEARMOTORS-NTINDA'!N21)</f>
        <v>0</v>
      </c>
      <c r="O21" s="15">
        <f t="shared" si="0"/>
        <v>56.714285714285715</v>
      </c>
      <c r="P21" s="15">
        <f t="shared" si="1"/>
        <v>186.85714285714286</v>
      </c>
      <c r="R21" s="36" t="s">
        <v>20</v>
      </c>
      <c r="S21" s="34">
        <f t="shared" ref="S21:AF21" si="13">SUM(C54:C57)</f>
        <v>116.42857142857143</v>
      </c>
      <c r="T21" s="17">
        <f t="shared" si="13"/>
        <v>75.285714285714278</v>
      </c>
      <c r="U21" s="17">
        <f t="shared" si="13"/>
        <v>18.285714285714285</v>
      </c>
      <c r="V21" s="17">
        <f t="shared" si="13"/>
        <v>27.142857142857142</v>
      </c>
      <c r="W21" s="17">
        <f t="shared" si="13"/>
        <v>0.5714285714285714</v>
      </c>
      <c r="X21" s="17">
        <f t="shared" si="13"/>
        <v>0.2857142857142857</v>
      </c>
      <c r="Y21" s="17">
        <f t="shared" si="13"/>
        <v>6</v>
      </c>
      <c r="Z21" s="17">
        <f t="shared" si="13"/>
        <v>4.7142857142857144</v>
      </c>
      <c r="AA21" s="17">
        <f t="shared" si="13"/>
        <v>1.5714285714285712</v>
      </c>
      <c r="AB21" s="17">
        <f t="shared" si="13"/>
        <v>7.2857142857142847</v>
      </c>
      <c r="AC21" s="17">
        <f t="shared" si="13"/>
        <v>508</v>
      </c>
      <c r="AD21" s="17">
        <f t="shared" si="13"/>
        <v>0.14285714285714285</v>
      </c>
      <c r="AE21" s="31">
        <f t="shared" si="13"/>
        <v>257.71428571428572</v>
      </c>
      <c r="AF21" s="31">
        <f t="shared" si="13"/>
        <v>765.71428571428567</v>
      </c>
    </row>
    <row r="22" spans="2:32" ht="23.1" customHeight="1" x14ac:dyDescent="0.25">
      <c r="B22" s="23" t="s">
        <v>49</v>
      </c>
      <c r="C22" s="49">
        <f>AVERAGE('29.07 SPEARMOTORS-NTINDA'!C22,'30.07 SPEARMOTORS-NTINDA'!C22,'31.07 NTINDA-SPEAR MOTORS'!C22,'02.08 NTINDA-SPEARMOTORS'!C22,'01.07 SPEARMOTORS-NTINDA-24h'!C22,'03.08 SPEARMOTORS-NTINDA-24h'!C22,'04.08 SPEARMOTORS-NTINDA'!C22)</f>
        <v>17.142857142857142</v>
      </c>
      <c r="D22" s="49">
        <f>AVERAGE('29.07 SPEARMOTORS-NTINDA'!D22,'30.07 SPEARMOTORS-NTINDA'!D22,'31.07 NTINDA-SPEAR MOTORS'!D22,'02.08 NTINDA-SPEARMOTORS'!D22,'01.07 SPEARMOTORS-NTINDA-24h'!D22,'03.08 SPEARMOTORS-NTINDA-24h'!D22,'04.08 SPEARMOTORS-NTINDA'!D22)</f>
        <v>10.142857142857142</v>
      </c>
      <c r="E22" s="49">
        <f>AVERAGE('29.07 SPEARMOTORS-NTINDA'!E22,'30.07 SPEARMOTORS-NTINDA'!E22,'31.07 NTINDA-SPEAR MOTORS'!E22,'02.08 NTINDA-SPEARMOTORS'!E22,'01.07 SPEARMOTORS-NTINDA-24h'!E22,'03.08 SPEARMOTORS-NTINDA-24h'!E22,'04.08 SPEARMOTORS-NTINDA'!E22)</f>
        <v>5</v>
      </c>
      <c r="F22" s="49">
        <f>AVERAGE('29.07 SPEARMOTORS-NTINDA'!F22,'30.07 SPEARMOTORS-NTINDA'!F22,'31.07 NTINDA-SPEAR MOTORS'!F22,'02.08 NTINDA-SPEARMOTORS'!F22,'01.07 SPEARMOTORS-NTINDA-24h'!F22,'03.08 SPEARMOTORS-NTINDA-24h'!F22,'04.08 SPEARMOTORS-NTINDA'!F22)</f>
        <v>11.857142857142858</v>
      </c>
      <c r="G22" s="49">
        <f>AVERAGE('29.07 SPEARMOTORS-NTINDA'!G22,'30.07 SPEARMOTORS-NTINDA'!G22,'31.07 NTINDA-SPEAR MOTORS'!G22,'02.08 NTINDA-SPEARMOTORS'!G22,'01.07 SPEARMOTORS-NTINDA-24h'!G22,'03.08 SPEARMOTORS-NTINDA-24h'!G22,'04.08 SPEARMOTORS-NTINDA'!G22)</f>
        <v>0</v>
      </c>
      <c r="H22" s="49">
        <f>AVERAGE('29.07 SPEARMOTORS-NTINDA'!H22,'30.07 SPEARMOTORS-NTINDA'!H22,'31.07 NTINDA-SPEAR MOTORS'!H22,'02.08 NTINDA-SPEARMOTORS'!H22,'01.07 SPEARMOTORS-NTINDA-24h'!H22,'03.08 SPEARMOTORS-NTINDA-24h'!H22,'04.08 SPEARMOTORS-NTINDA'!H22)</f>
        <v>0</v>
      </c>
      <c r="I22" s="49">
        <f>AVERAGE('29.07 SPEARMOTORS-NTINDA'!I22,'30.07 SPEARMOTORS-NTINDA'!I22,'31.07 NTINDA-SPEAR MOTORS'!I22,'02.08 NTINDA-SPEARMOTORS'!I22,'01.07 SPEARMOTORS-NTINDA-24h'!I22,'03.08 SPEARMOTORS-NTINDA-24h'!I22,'04.08 SPEARMOTORS-NTINDA'!I22)</f>
        <v>3.2857142857142856</v>
      </c>
      <c r="J22" s="49">
        <f>AVERAGE('29.07 SPEARMOTORS-NTINDA'!J22,'30.07 SPEARMOTORS-NTINDA'!J22,'31.07 NTINDA-SPEAR MOTORS'!J22,'02.08 NTINDA-SPEARMOTORS'!J22,'01.07 SPEARMOTORS-NTINDA-24h'!J22,'03.08 SPEARMOTORS-NTINDA-24h'!J22,'04.08 SPEARMOTORS-NTINDA'!J22)</f>
        <v>1.8571428571428572</v>
      </c>
      <c r="K22" s="49">
        <f>AVERAGE('29.07 SPEARMOTORS-NTINDA'!K22,'30.07 SPEARMOTORS-NTINDA'!K22,'31.07 NTINDA-SPEAR MOTORS'!K22,'02.08 NTINDA-SPEARMOTORS'!K22,'01.07 SPEARMOTORS-NTINDA-24h'!K22,'03.08 SPEARMOTORS-NTINDA-24h'!K22,'04.08 SPEARMOTORS-NTINDA'!K22)</f>
        <v>1</v>
      </c>
      <c r="L22" s="49">
        <f>AVERAGE('29.07 SPEARMOTORS-NTINDA'!L22,'30.07 SPEARMOTORS-NTINDA'!L22,'31.07 NTINDA-SPEAR MOTORS'!L22,'02.08 NTINDA-SPEARMOTORS'!L22,'01.07 SPEARMOTORS-NTINDA-24h'!L22,'03.08 SPEARMOTORS-NTINDA-24h'!L22,'04.08 SPEARMOTORS-NTINDA'!L22)</f>
        <v>3.1428571428571428</v>
      </c>
      <c r="M22" s="49">
        <f>AVERAGE('29.07 SPEARMOTORS-NTINDA'!M22,'30.07 SPEARMOTORS-NTINDA'!M22,'31.07 NTINDA-SPEAR MOTORS'!M22,'02.08 NTINDA-SPEARMOTORS'!M22,'01.07 SPEARMOTORS-NTINDA-24h'!M22,'03.08 SPEARMOTORS-NTINDA-24h'!M22,'04.08 SPEARMOTORS-NTINDA'!M22)</f>
        <v>146.14285714285714</v>
      </c>
      <c r="N22" s="49">
        <f>AVERAGE('29.07 SPEARMOTORS-NTINDA'!N22,'30.07 SPEARMOTORS-NTINDA'!N22,'31.07 NTINDA-SPEAR MOTORS'!N22,'02.08 NTINDA-SPEARMOTORS'!N22,'01.07 SPEARMOTORS-NTINDA-24h'!N22,'03.08 SPEARMOTORS-NTINDA-24h'!N22,'04.08 SPEARMOTORS-NTINDA'!N22)</f>
        <v>0</v>
      </c>
      <c r="O22" s="15">
        <f t="shared" si="0"/>
        <v>53.428571428571423</v>
      </c>
      <c r="P22" s="15">
        <f t="shared" si="1"/>
        <v>199.57142857142856</v>
      </c>
      <c r="R22" s="1" t="s">
        <v>146</v>
      </c>
      <c r="S22" s="34">
        <f>SUM(C58:C61)</f>
        <v>99</v>
      </c>
      <c r="T22" s="34">
        <f t="shared" ref="T22:AF22" si="14">SUM(D58:D61)</f>
        <v>74</v>
      </c>
      <c r="U22" s="34">
        <f t="shared" si="14"/>
        <v>21</v>
      </c>
      <c r="V22" s="34">
        <f t="shared" si="14"/>
        <v>40</v>
      </c>
      <c r="W22" s="34">
        <f t="shared" si="14"/>
        <v>0</v>
      </c>
      <c r="X22" s="34">
        <f t="shared" si="14"/>
        <v>0</v>
      </c>
      <c r="Y22" s="34">
        <f t="shared" si="14"/>
        <v>1.5</v>
      </c>
      <c r="Z22" s="34">
        <f t="shared" si="14"/>
        <v>1.5</v>
      </c>
      <c r="AA22" s="34">
        <f t="shared" si="14"/>
        <v>1</v>
      </c>
      <c r="AB22" s="34">
        <f t="shared" si="14"/>
        <v>7</v>
      </c>
      <c r="AC22" s="34">
        <f t="shared" si="14"/>
        <v>401</v>
      </c>
      <c r="AD22" s="34">
        <f t="shared" si="14"/>
        <v>0</v>
      </c>
      <c r="AE22" s="31">
        <f t="shared" si="14"/>
        <v>245</v>
      </c>
      <c r="AF22" s="31">
        <f t="shared" si="14"/>
        <v>646</v>
      </c>
    </row>
    <row r="23" spans="2:32" ht="23.1" customHeight="1" x14ac:dyDescent="0.25">
      <c r="B23" s="23" t="s">
        <v>50</v>
      </c>
      <c r="C23" s="49">
        <f>AVERAGE('29.07 SPEARMOTORS-NTINDA'!C23,'30.07 SPEARMOTORS-NTINDA'!C23,'31.07 NTINDA-SPEAR MOTORS'!C23,'02.08 NTINDA-SPEARMOTORS'!C23,'01.07 SPEARMOTORS-NTINDA-24h'!C23,'03.08 SPEARMOTORS-NTINDA-24h'!C23,'04.08 SPEARMOTORS-NTINDA'!C23)</f>
        <v>20.142857142857142</v>
      </c>
      <c r="D23" s="49">
        <f>AVERAGE('29.07 SPEARMOTORS-NTINDA'!D23,'30.07 SPEARMOTORS-NTINDA'!D23,'31.07 NTINDA-SPEAR MOTORS'!D23,'02.08 NTINDA-SPEARMOTORS'!D23,'01.07 SPEARMOTORS-NTINDA-24h'!D23,'03.08 SPEARMOTORS-NTINDA-24h'!D23,'04.08 SPEARMOTORS-NTINDA'!D23)</f>
        <v>8.7142857142857135</v>
      </c>
      <c r="E23" s="49">
        <f>AVERAGE('29.07 SPEARMOTORS-NTINDA'!E23,'30.07 SPEARMOTORS-NTINDA'!E23,'31.07 NTINDA-SPEAR MOTORS'!E23,'02.08 NTINDA-SPEARMOTORS'!E23,'01.07 SPEARMOTORS-NTINDA-24h'!E23,'03.08 SPEARMOTORS-NTINDA-24h'!E23,'04.08 SPEARMOTORS-NTINDA'!E23)</f>
        <v>5.5714285714285712</v>
      </c>
      <c r="F23" s="49">
        <f>AVERAGE('29.07 SPEARMOTORS-NTINDA'!F23,'30.07 SPEARMOTORS-NTINDA'!F23,'31.07 NTINDA-SPEAR MOTORS'!F23,'02.08 NTINDA-SPEARMOTORS'!F23,'01.07 SPEARMOTORS-NTINDA-24h'!F23,'03.08 SPEARMOTORS-NTINDA-24h'!F23,'04.08 SPEARMOTORS-NTINDA'!F23)</f>
        <v>12.857142857142858</v>
      </c>
      <c r="G23" s="49">
        <f>AVERAGE('29.07 SPEARMOTORS-NTINDA'!G23,'30.07 SPEARMOTORS-NTINDA'!G23,'31.07 NTINDA-SPEAR MOTORS'!G23,'02.08 NTINDA-SPEARMOTORS'!G23,'01.07 SPEARMOTORS-NTINDA-24h'!G23,'03.08 SPEARMOTORS-NTINDA-24h'!G23,'04.08 SPEARMOTORS-NTINDA'!G23)</f>
        <v>0.2857142857142857</v>
      </c>
      <c r="H23" s="49">
        <f>AVERAGE('29.07 SPEARMOTORS-NTINDA'!H23,'30.07 SPEARMOTORS-NTINDA'!H23,'31.07 NTINDA-SPEAR MOTORS'!H23,'02.08 NTINDA-SPEARMOTORS'!H23,'01.07 SPEARMOTORS-NTINDA-24h'!H23,'03.08 SPEARMOTORS-NTINDA-24h'!H23,'04.08 SPEARMOTORS-NTINDA'!H23)</f>
        <v>0</v>
      </c>
      <c r="I23" s="49">
        <f>AVERAGE('29.07 SPEARMOTORS-NTINDA'!I23,'30.07 SPEARMOTORS-NTINDA'!I23,'31.07 NTINDA-SPEAR MOTORS'!I23,'02.08 NTINDA-SPEARMOTORS'!I23,'01.07 SPEARMOTORS-NTINDA-24h'!I23,'03.08 SPEARMOTORS-NTINDA-24h'!I23,'04.08 SPEARMOTORS-NTINDA'!I23)</f>
        <v>3</v>
      </c>
      <c r="J23" s="49">
        <f>AVERAGE('29.07 SPEARMOTORS-NTINDA'!J23,'30.07 SPEARMOTORS-NTINDA'!J23,'31.07 NTINDA-SPEAR MOTORS'!J23,'02.08 NTINDA-SPEARMOTORS'!J23,'01.07 SPEARMOTORS-NTINDA-24h'!J23,'03.08 SPEARMOTORS-NTINDA-24h'!J23,'04.08 SPEARMOTORS-NTINDA'!J23)</f>
        <v>1.4285714285714286</v>
      </c>
      <c r="K23" s="49">
        <f>AVERAGE('29.07 SPEARMOTORS-NTINDA'!K23,'30.07 SPEARMOTORS-NTINDA'!K23,'31.07 NTINDA-SPEAR MOTORS'!K23,'02.08 NTINDA-SPEARMOTORS'!K23,'01.07 SPEARMOTORS-NTINDA-24h'!K23,'03.08 SPEARMOTORS-NTINDA-24h'!K23,'04.08 SPEARMOTORS-NTINDA'!K23)</f>
        <v>1.7142857142857142</v>
      </c>
      <c r="L23" s="49">
        <f>AVERAGE('29.07 SPEARMOTORS-NTINDA'!L23,'30.07 SPEARMOTORS-NTINDA'!L23,'31.07 NTINDA-SPEAR MOTORS'!L23,'02.08 NTINDA-SPEARMOTORS'!L23,'01.07 SPEARMOTORS-NTINDA-24h'!L23,'03.08 SPEARMOTORS-NTINDA-24h'!L23,'04.08 SPEARMOTORS-NTINDA'!L23)</f>
        <v>3.7142857142857144</v>
      </c>
      <c r="M23" s="49">
        <f>AVERAGE('29.07 SPEARMOTORS-NTINDA'!M23,'30.07 SPEARMOTORS-NTINDA'!M23,'31.07 NTINDA-SPEAR MOTORS'!M23,'02.08 NTINDA-SPEARMOTORS'!M23,'01.07 SPEARMOTORS-NTINDA-24h'!M23,'03.08 SPEARMOTORS-NTINDA-24h'!M23,'04.08 SPEARMOTORS-NTINDA'!M23)</f>
        <v>127.42857142857143</v>
      </c>
      <c r="N23" s="49">
        <f>AVERAGE('29.07 SPEARMOTORS-NTINDA'!N23,'30.07 SPEARMOTORS-NTINDA'!N23,'31.07 NTINDA-SPEAR MOTORS'!N23,'02.08 NTINDA-SPEARMOTORS'!N23,'01.07 SPEARMOTORS-NTINDA-24h'!N23,'03.08 SPEARMOTORS-NTINDA-24h'!N23,'04.08 SPEARMOTORS-NTINDA'!N23)</f>
        <v>0</v>
      </c>
      <c r="O23" s="15">
        <f t="shared" si="0"/>
        <v>57.428571428571423</v>
      </c>
      <c r="P23" s="15">
        <f t="shared" si="1"/>
        <v>184.85714285714286</v>
      </c>
      <c r="R23" s="1" t="s">
        <v>147</v>
      </c>
      <c r="S23" s="34">
        <f>SUM(C62:C65)</f>
        <v>144.5</v>
      </c>
      <c r="T23" s="34">
        <f t="shared" ref="T23:AF23" si="15">SUM(D62:D65)</f>
        <v>80</v>
      </c>
      <c r="U23" s="34">
        <f t="shared" si="15"/>
        <v>17.5</v>
      </c>
      <c r="V23" s="34">
        <f t="shared" si="15"/>
        <v>49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2.5</v>
      </c>
      <c r="AA23" s="34">
        <f t="shared" si="15"/>
        <v>1</v>
      </c>
      <c r="AB23" s="34">
        <f t="shared" si="15"/>
        <v>4.5</v>
      </c>
      <c r="AC23" s="34">
        <f t="shared" si="15"/>
        <v>334.5</v>
      </c>
      <c r="AD23" s="34">
        <f t="shared" si="15"/>
        <v>0</v>
      </c>
      <c r="AE23" s="31">
        <f t="shared" si="15"/>
        <v>301</v>
      </c>
      <c r="AF23" s="31">
        <f t="shared" si="15"/>
        <v>635.5</v>
      </c>
    </row>
    <row r="24" spans="2:32" ht="23.1" customHeight="1" x14ac:dyDescent="0.25">
      <c r="B24" s="23" t="s">
        <v>51</v>
      </c>
      <c r="C24" s="49">
        <f>AVERAGE('29.07 SPEARMOTORS-NTINDA'!C24,'30.07 SPEARMOTORS-NTINDA'!C24,'31.07 NTINDA-SPEAR MOTORS'!C24,'02.08 NTINDA-SPEARMOTORS'!C24,'01.07 SPEARMOTORS-NTINDA-24h'!C24,'03.08 SPEARMOTORS-NTINDA-24h'!C24,'04.08 SPEARMOTORS-NTINDA'!C24)</f>
        <v>17.428571428571427</v>
      </c>
      <c r="D24" s="49">
        <f>AVERAGE('29.07 SPEARMOTORS-NTINDA'!D24,'30.07 SPEARMOTORS-NTINDA'!D24,'31.07 NTINDA-SPEAR MOTORS'!D24,'02.08 NTINDA-SPEARMOTORS'!D24,'01.07 SPEARMOTORS-NTINDA-24h'!D24,'03.08 SPEARMOTORS-NTINDA-24h'!D24,'04.08 SPEARMOTORS-NTINDA'!D24)</f>
        <v>10</v>
      </c>
      <c r="E24" s="49">
        <f>AVERAGE('29.07 SPEARMOTORS-NTINDA'!E24,'30.07 SPEARMOTORS-NTINDA'!E24,'31.07 NTINDA-SPEAR MOTORS'!E24,'02.08 NTINDA-SPEARMOTORS'!E24,'01.07 SPEARMOTORS-NTINDA-24h'!E24,'03.08 SPEARMOTORS-NTINDA-24h'!E24,'04.08 SPEARMOTORS-NTINDA'!E24)</f>
        <v>3.2857142857142856</v>
      </c>
      <c r="F24" s="49">
        <f>AVERAGE('29.07 SPEARMOTORS-NTINDA'!F24,'30.07 SPEARMOTORS-NTINDA'!F24,'31.07 NTINDA-SPEAR MOTORS'!F24,'02.08 NTINDA-SPEARMOTORS'!F24,'01.07 SPEARMOTORS-NTINDA-24h'!F24,'03.08 SPEARMOTORS-NTINDA-24h'!F24,'04.08 SPEARMOTORS-NTINDA'!F24)</f>
        <v>13.571428571428571</v>
      </c>
      <c r="G24" s="49">
        <f>AVERAGE('29.07 SPEARMOTORS-NTINDA'!G24,'30.07 SPEARMOTORS-NTINDA'!G24,'31.07 NTINDA-SPEAR MOTORS'!G24,'02.08 NTINDA-SPEARMOTORS'!G24,'01.07 SPEARMOTORS-NTINDA-24h'!G24,'03.08 SPEARMOTORS-NTINDA-24h'!G24,'04.08 SPEARMOTORS-NTINDA'!G24)</f>
        <v>0</v>
      </c>
      <c r="H24" s="49">
        <f>AVERAGE('29.07 SPEARMOTORS-NTINDA'!H24,'30.07 SPEARMOTORS-NTINDA'!H24,'31.07 NTINDA-SPEAR MOTORS'!H24,'02.08 NTINDA-SPEARMOTORS'!H24,'01.07 SPEARMOTORS-NTINDA-24h'!H24,'03.08 SPEARMOTORS-NTINDA-24h'!H24,'04.08 SPEARMOTORS-NTINDA'!H24)</f>
        <v>0</v>
      </c>
      <c r="I24" s="49">
        <f>AVERAGE('29.07 SPEARMOTORS-NTINDA'!I24,'30.07 SPEARMOTORS-NTINDA'!I24,'31.07 NTINDA-SPEAR MOTORS'!I24,'02.08 NTINDA-SPEARMOTORS'!I24,'01.07 SPEARMOTORS-NTINDA-24h'!I24,'03.08 SPEARMOTORS-NTINDA-24h'!I24,'04.08 SPEARMOTORS-NTINDA'!I24)</f>
        <v>2.7142857142857144</v>
      </c>
      <c r="J24" s="49">
        <f>AVERAGE('29.07 SPEARMOTORS-NTINDA'!J24,'30.07 SPEARMOTORS-NTINDA'!J24,'31.07 NTINDA-SPEAR MOTORS'!J24,'02.08 NTINDA-SPEARMOTORS'!J24,'01.07 SPEARMOTORS-NTINDA-24h'!J24,'03.08 SPEARMOTORS-NTINDA-24h'!J24,'04.08 SPEARMOTORS-NTINDA'!J24)</f>
        <v>1.8571428571428572</v>
      </c>
      <c r="K24" s="49">
        <f>AVERAGE('29.07 SPEARMOTORS-NTINDA'!K24,'30.07 SPEARMOTORS-NTINDA'!K24,'31.07 NTINDA-SPEAR MOTORS'!K24,'02.08 NTINDA-SPEARMOTORS'!K24,'01.07 SPEARMOTORS-NTINDA-24h'!K24,'03.08 SPEARMOTORS-NTINDA-24h'!K24,'04.08 SPEARMOTORS-NTINDA'!K24)</f>
        <v>1</v>
      </c>
      <c r="L24" s="49">
        <f>AVERAGE('29.07 SPEARMOTORS-NTINDA'!L24,'30.07 SPEARMOTORS-NTINDA'!L24,'31.07 NTINDA-SPEAR MOTORS'!L24,'02.08 NTINDA-SPEARMOTORS'!L24,'01.07 SPEARMOTORS-NTINDA-24h'!L24,'03.08 SPEARMOTORS-NTINDA-24h'!L24,'04.08 SPEARMOTORS-NTINDA'!L24)</f>
        <v>3.5714285714285716</v>
      </c>
      <c r="M24" s="49">
        <f>AVERAGE('29.07 SPEARMOTORS-NTINDA'!M24,'30.07 SPEARMOTORS-NTINDA'!M24,'31.07 NTINDA-SPEAR MOTORS'!M24,'02.08 NTINDA-SPEARMOTORS'!M24,'01.07 SPEARMOTORS-NTINDA-24h'!M24,'03.08 SPEARMOTORS-NTINDA-24h'!M24,'04.08 SPEARMOTORS-NTINDA'!M24)</f>
        <v>148.85714285714286</v>
      </c>
      <c r="N24" s="49">
        <f>AVERAGE('29.07 SPEARMOTORS-NTINDA'!N24,'30.07 SPEARMOTORS-NTINDA'!N24,'31.07 NTINDA-SPEAR MOTORS'!N24,'02.08 NTINDA-SPEARMOTORS'!N24,'01.07 SPEARMOTORS-NTINDA-24h'!N24,'03.08 SPEARMOTORS-NTINDA-24h'!N24,'04.08 SPEARMOTORS-NTINDA'!N24)</f>
        <v>0.14285714285714285</v>
      </c>
      <c r="O24" s="15">
        <f t="shared" si="0"/>
        <v>53.571428571428569</v>
      </c>
      <c r="P24" s="15">
        <f t="shared" si="1"/>
        <v>202.42857142857142</v>
      </c>
      <c r="R24" s="1" t="s">
        <v>148</v>
      </c>
      <c r="S24" s="34">
        <f>SUM(C66:C69)</f>
        <v>147.5</v>
      </c>
      <c r="T24" s="34">
        <f t="shared" ref="T24:AF24" si="16">SUM(D66:D69)</f>
        <v>111</v>
      </c>
      <c r="U24" s="34">
        <f t="shared" si="16"/>
        <v>15.5</v>
      </c>
      <c r="V24" s="34">
        <f t="shared" si="16"/>
        <v>53.5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3</v>
      </c>
      <c r="AA24" s="34">
        <f t="shared" si="16"/>
        <v>2.5</v>
      </c>
      <c r="AB24" s="34">
        <f t="shared" si="16"/>
        <v>1</v>
      </c>
      <c r="AC24" s="34">
        <f t="shared" si="16"/>
        <v>291.5</v>
      </c>
      <c r="AD24" s="34">
        <f t="shared" si="16"/>
        <v>0</v>
      </c>
      <c r="AE24" s="31">
        <f t="shared" si="16"/>
        <v>338</v>
      </c>
      <c r="AF24" s="31">
        <f t="shared" si="16"/>
        <v>629.5</v>
      </c>
    </row>
    <row r="25" spans="2:32" ht="23.1" customHeight="1" x14ac:dyDescent="0.25">
      <c r="B25" s="23" t="s">
        <v>52</v>
      </c>
      <c r="C25" s="49">
        <f>AVERAGE('29.07 SPEARMOTORS-NTINDA'!C25,'30.07 SPEARMOTORS-NTINDA'!C25,'31.07 NTINDA-SPEAR MOTORS'!C25,'02.08 NTINDA-SPEARMOTORS'!C25,'01.07 SPEARMOTORS-NTINDA-24h'!C25,'03.08 SPEARMOTORS-NTINDA-24h'!C25,'04.08 SPEARMOTORS-NTINDA'!C25)</f>
        <v>15.285714285714286</v>
      </c>
      <c r="D25" s="49">
        <f>AVERAGE('29.07 SPEARMOTORS-NTINDA'!D25,'30.07 SPEARMOTORS-NTINDA'!D25,'31.07 NTINDA-SPEAR MOTORS'!D25,'02.08 NTINDA-SPEARMOTORS'!D25,'01.07 SPEARMOTORS-NTINDA-24h'!D25,'03.08 SPEARMOTORS-NTINDA-24h'!D25,'04.08 SPEARMOTORS-NTINDA'!D25)</f>
        <v>8.2857142857142865</v>
      </c>
      <c r="E25" s="49">
        <f>AVERAGE('29.07 SPEARMOTORS-NTINDA'!E25,'30.07 SPEARMOTORS-NTINDA'!E25,'31.07 NTINDA-SPEAR MOTORS'!E25,'02.08 NTINDA-SPEARMOTORS'!E25,'01.07 SPEARMOTORS-NTINDA-24h'!E25,'03.08 SPEARMOTORS-NTINDA-24h'!E25,'04.08 SPEARMOTORS-NTINDA'!E25)</f>
        <v>4.2857142857142856</v>
      </c>
      <c r="F25" s="49">
        <f>AVERAGE('29.07 SPEARMOTORS-NTINDA'!F25,'30.07 SPEARMOTORS-NTINDA'!F25,'31.07 NTINDA-SPEAR MOTORS'!F25,'02.08 NTINDA-SPEARMOTORS'!F25,'01.07 SPEARMOTORS-NTINDA-24h'!F25,'03.08 SPEARMOTORS-NTINDA-24h'!F25,'04.08 SPEARMOTORS-NTINDA'!F25)</f>
        <v>8.1428571428571423</v>
      </c>
      <c r="G25" s="49">
        <f>AVERAGE('29.07 SPEARMOTORS-NTINDA'!G25,'30.07 SPEARMOTORS-NTINDA'!G25,'31.07 NTINDA-SPEAR MOTORS'!G25,'02.08 NTINDA-SPEARMOTORS'!G25,'01.07 SPEARMOTORS-NTINDA-24h'!G25,'03.08 SPEARMOTORS-NTINDA-24h'!G25,'04.08 SPEARMOTORS-NTINDA'!G25)</f>
        <v>0.14285714285714285</v>
      </c>
      <c r="H25" s="49">
        <f>AVERAGE('29.07 SPEARMOTORS-NTINDA'!H25,'30.07 SPEARMOTORS-NTINDA'!H25,'31.07 NTINDA-SPEAR MOTORS'!H25,'02.08 NTINDA-SPEARMOTORS'!H25,'01.07 SPEARMOTORS-NTINDA-24h'!H25,'03.08 SPEARMOTORS-NTINDA-24h'!H25,'04.08 SPEARMOTORS-NTINDA'!H25)</f>
        <v>0</v>
      </c>
      <c r="I25" s="49">
        <f>AVERAGE('29.07 SPEARMOTORS-NTINDA'!I25,'30.07 SPEARMOTORS-NTINDA'!I25,'31.07 NTINDA-SPEAR MOTORS'!I25,'02.08 NTINDA-SPEARMOTORS'!I25,'01.07 SPEARMOTORS-NTINDA-24h'!I25,'03.08 SPEARMOTORS-NTINDA-24h'!I25,'04.08 SPEARMOTORS-NTINDA'!I25)</f>
        <v>2</v>
      </c>
      <c r="J25" s="49">
        <f>AVERAGE('29.07 SPEARMOTORS-NTINDA'!J25,'30.07 SPEARMOTORS-NTINDA'!J25,'31.07 NTINDA-SPEAR MOTORS'!J25,'02.08 NTINDA-SPEARMOTORS'!J25,'01.07 SPEARMOTORS-NTINDA-24h'!J25,'03.08 SPEARMOTORS-NTINDA-24h'!J25,'04.08 SPEARMOTORS-NTINDA'!J25)</f>
        <v>1.4285714285714286</v>
      </c>
      <c r="K25" s="49">
        <f>AVERAGE('29.07 SPEARMOTORS-NTINDA'!K25,'30.07 SPEARMOTORS-NTINDA'!K25,'31.07 NTINDA-SPEAR MOTORS'!K25,'02.08 NTINDA-SPEARMOTORS'!K25,'01.07 SPEARMOTORS-NTINDA-24h'!K25,'03.08 SPEARMOTORS-NTINDA-24h'!K25,'04.08 SPEARMOTORS-NTINDA'!K25)</f>
        <v>1</v>
      </c>
      <c r="L25" s="49">
        <f>AVERAGE('29.07 SPEARMOTORS-NTINDA'!L25,'30.07 SPEARMOTORS-NTINDA'!L25,'31.07 NTINDA-SPEAR MOTORS'!L25,'02.08 NTINDA-SPEARMOTORS'!L25,'01.07 SPEARMOTORS-NTINDA-24h'!L25,'03.08 SPEARMOTORS-NTINDA-24h'!L25,'04.08 SPEARMOTORS-NTINDA'!L25)</f>
        <v>4.4285714285714288</v>
      </c>
      <c r="M25" s="49">
        <f>AVERAGE('29.07 SPEARMOTORS-NTINDA'!M25,'30.07 SPEARMOTORS-NTINDA'!M25,'31.07 NTINDA-SPEAR MOTORS'!M25,'02.08 NTINDA-SPEARMOTORS'!M25,'01.07 SPEARMOTORS-NTINDA-24h'!M25,'03.08 SPEARMOTORS-NTINDA-24h'!M25,'04.08 SPEARMOTORS-NTINDA'!M25)</f>
        <v>131.71428571428572</v>
      </c>
      <c r="N25" s="49">
        <f>AVERAGE('29.07 SPEARMOTORS-NTINDA'!N25,'30.07 SPEARMOTORS-NTINDA'!N25,'31.07 NTINDA-SPEAR MOTORS'!N25,'02.08 NTINDA-SPEARMOTORS'!N25,'01.07 SPEARMOTORS-NTINDA-24h'!N25,'03.08 SPEARMOTORS-NTINDA-24h'!N25,'04.08 SPEARMOTORS-NTINDA'!N25)</f>
        <v>0</v>
      </c>
      <c r="O25" s="15">
        <f t="shared" si="0"/>
        <v>45.000000000000007</v>
      </c>
      <c r="P25" s="15">
        <f t="shared" si="1"/>
        <v>176.71428571428572</v>
      </c>
      <c r="R25" s="1" t="s">
        <v>149</v>
      </c>
      <c r="S25" s="34">
        <f>SUM(C70:C73)</f>
        <v>136</v>
      </c>
      <c r="T25" s="34">
        <f t="shared" ref="T25:AF25" si="17">SUM(D70:D73)</f>
        <v>106.5</v>
      </c>
      <c r="U25" s="34">
        <f t="shared" si="17"/>
        <v>14</v>
      </c>
      <c r="V25" s="34">
        <f t="shared" si="17"/>
        <v>34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0.5</v>
      </c>
      <c r="AA25" s="34">
        <f t="shared" si="17"/>
        <v>0.5</v>
      </c>
      <c r="AB25" s="34">
        <f t="shared" si="17"/>
        <v>2</v>
      </c>
      <c r="AC25" s="34">
        <f t="shared" si="17"/>
        <v>208.5</v>
      </c>
      <c r="AD25" s="34">
        <f t="shared" si="17"/>
        <v>0</v>
      </c>
      <c r="AE25" s="31">
        <f t="shared" si="17"/>
        <v>295.5</v>
      </c>
      <c r="AF25" s="31">
        <f t="shared" si="17"/>
        <v>504</v>
      </c>
    </row>
    <row r="26" spans="2:32" ht="23.1" customHeight="1" x14ac:dyDescent="0.25">
      <c r="B26" s="23" t="s">
        <v>53</v>
      </c>
      <c r="C26" s="49">
        <f>AVERAGE('29.07 SPEARMOTORS-NTINDA'!C26,'30.07 SPEARMOTORS-NTINDA'!C26,'31.07 NTINDA-SPEAR MOTORS'!C26,'02.08 NTINDA-SPEARMOTORS'!C26,'01.07 SPEARMOTORS-NTINDA-24h'!C26,'03.08 SPEARMOTORS-NTINDA-24h'!C26,'04.08 SPEARMOTORS-NTINDA'!C26)</f>
        <v>18.428571428571427</v>
      </c>
      <c r="D26" s="49">
        <f>AVERAGE('29.07 SPEARMOTORS-NTINDA'!D26,'30.07 SPEARMOTORS-NTINDA'!D26,'31.07 NTINDA-SPEAR MOTORS'!D26,'02.08 NTINDA-SPEARMOTORS'!D26,'01.07 SPEARMOTORS-NTINDA-24h'!D26,'03.08 SPEARMOTORS-NTINDA-24h'!D26,'04.08 SPEARMOTORS-NTINDA'!D26)</f>
        <v>10.142857142857142</v>
      </c>
      <c r="E26" s="49">
        <f>AVERAGE('29.07 SPEARMOTORS-NTINDA'!E26,'30.07 SPEARMOTORS-NTINDA'!E26,'31.07 NTINDA-SPEAR MOTORS'!E26,'02.08 NTINDA-SPEARMOTORS'!E26,'01.07 SPEARMOTORS-NTINDA-24h'!E26,'03.08 SPEARMOTORS-NTINDA-24h'!E26,'04.08 SPEARMOTORS-NTINDA'!E26)</f>
        <v>5.2857142857142856</v>
      </c>
      <c r="F26" s="49">
        <f>AVERAGE('29.07 SPEARMOTORS-NTINDA'!F26,'30.07 SPEARMOTORS-NTINDA'!F26,'31.07 NTINDA-SPEAR MOTORS'!F26,'02.08 NTINDA-SPEARMOTORS'!F26,'01.07 SPEARMOTORS-NTINDA-24h'!F26,'03.08 SPEARMOTORS-NTINDA-24h'!F26,'04.08 SPEARMOTORS-NTINDA'!F26)</f>
        <v>12.142857142857142</v>
      </c>
      <c r="G26" s="49">
        <f>AVERAGE('29.07 SPEARMOTORS-NTINDA'!G26,'30.07 SPEARMOTORS-NTINDA'!G26,'31.07 NTINDA-SPEAR MOTORS'!G26,'02.08 NTINDA-SPEARMOTORS'!G26,'01.07 SPEARMOTORS-NTINDA-24h'!G26,'03.08 SPEARMOTORS-NTINDA-24h'!G26,'04.08 SPEARMOTORS-NTINDA'!G26)</f>
        <v>0.2857142857142857</v>
      </c>
      <c r="H26" s="49">
        <f>AVERAGE('29.07 SPEARMOTORS-NTINDA'!H26,'30.07 SPEARMOTORS-NTINDA'!H26,'31.07 NTINDA-SPEAR MOTORS'!H26,'02.08 NTINDA-SPEARMOTORS'!H26,'01.07 SPEARMOTORS-NTINDA-24h'!H26,'03.08 SPEARMOTORS-NTINDA-24h'!H26,'04.08 SPEARMOTORS-NTINDA'!H26)</f>
        <v>0</v>
      </c>
      <c r="I26" s="49">
        <f>AVERAGE('29.07 SPEARMOTORS-NTINDA'!I26,'30.07 SPEARMOTORS-NTINDA'!I26,'31.07 NTINDA-SPEAR MOTORS'!I26,'02.08 NTINDA-SPEARMOTORS'!I26,'01.07 SPEARMOTORS-NTINDA-24h'!I26,'03.08 SPEARMOTORS-NTINDA-24h'!I26,'04.08 SPEARMOTORS-NTINDA'!I26)</f>
        <v>3.4285714285714284</v>
      </c>
      <c r="J26" s="49">
        <f>AVERAGE('29.07 SPEARMOTORS-NTINDA'!J26,'30.07 SPEARMOTORS-NTINDA'!J26,'31.07 NTINDA-SPEAR MOTORS'!J26,'02.08 NTINDA-SPEARMOTORS'!J26,'01.07 SPEARMOTORS-NTINDA-24h'!J26,'03.08 SPEARMOTORS-NTINDA-24h'!J26,'04.08 SPEARMOTORS-NTINDA'!J26)</f>
        <v>1.8571428571428572</v>
      </c>
      <c r="K26" s="49">
        <f>AVERAGE('29.07 SPEARMOTORS-NTINDA'!K26,'30.07 SPEARMOTORS-NTINDA'!K26,'31.07 NTINDA-SPEAR MOTORS'!K26,'02.08 NTINDA-SPEARMOTORS'!K26,'01.07 SPEARMOTORS-NTINDA-24h'!K26,'03.08 SPEARMOTORS-NTINDA-24h'!K26,'04.08 SPEARMOTORS-NTINDA'!K26)</f>
        <v>1</v>
      </c>
      <c r="L26" s="49">
        <f>AVERAGE('29.07 SPEARMOTORS-NTINDA'!L26,'30.07 SPEARMOTORS-NTINDA'!L26,'31.07 NTINDA-SPEAR MOTORS'!L26,'02.08 NTINDA-SPEARMOTORS'!L26,'01.07 SPEARMOTORS-NTINDA-24h'!L26,'03.08 SPEARMOTORS-NTINDA-24h'!L26,'04.08 SPEARMOTORS-NTINDA'!L26)</f>
        <v>3.8571428571428572</v>
      </c>
      <c r="M26" s="49">
        <f>AVERAGE('29.07 SPEARMOTORS-NTINDA'!M26,'30.07 SPEARMOTORS-NTINDA'!M26,'31.07 NTINDA-SPEAR MOTORS'!M26,'02.08 NTINDA-SPEARMOTORS'!M26,'01.07 SPEARMOTORS-NTINDA-24h'!M26,'03.08 SPEARMOTORS-NTINDA-24h'!M26,'04.08 SPEARMOTORS-NTINDA'!M26)</f>
        <v>133.42857142857142</v>
      </c>
      <c r="N26" s="49">
        <f>AVERAGE('29.07 SPEARMOTORS-NTINDA'!N26,'30.07 SPEARMOTORS-NTINDA'!N26,'31.07 NTINDA-SPEAR MOTORS'!N26,'02.08 NTINDA-SPEARMOTORS'!N26,'01.07 SPEARMOTORS-NTINDA-24h'!N26,'03.08 SPEARMOTORS-NTINDA-24h'!N26,'04.08 SPEARMOTORS-NTINDA'!N26)</f>
        <v>0.14285714285714285</v>
      </c>
      <c r="O26" s="15">
        <f t="shared" si="0"/>
        <v>56.571428571428569</v>
      </c>
      <c r="P26" s="15">
        <f t="shared" si="1"/>
        <v>189.99999999999997</v>
      </c>
      <c r="R26" s="1" t="s">
        <v>150</v>
      </c>
      <c r="S26" s="34">
        <f>SUM(C74:C77)</f>
        <v>96</v>
      </c>
      <c r="T26" s="34">
        <f t="shared" ref="T26:AF26" si="18">SUM(D74:D77)</f>
        <v>82</v>
      </c>
      <c r="U26" s="34">
        <f t="shared" si="18"/>
        <v>15.5</v>
      </c>
      <c r="V26" s="34">
        <f t="shared" si="18"/>
        <v>11.5</v>
      </c>
      <c r="W26" s="34">
        <f t="shared" si="18"/>
        <v>0</v>
      </c>
      <c r="X26" s="34">
        <f t="shared" si="18"/>
        <v>0.5</v>
      </c>
      <c r="Y26" s="34">
        <f t="shared" si="18"/>
        <v>1</v>
      </c>
      <c r="Z26" s="34">
        <f t="shared" si="18"/>
        <v>0.5</v>
      </c>
      <c r="AA26" s="34">
        <f t="shared" si="18"/>
        <v>0.5</v>
      </c>
      <c r="AB26" s="34">
        <f t="shared" si="18"/>
        <v>2.5</v>
      </c>
      <c r="AC26" s="34">
        <f t="shared" si="18"/>
        <v>140</v>
      </c>
      <c r="AD26" s="34">
        <f t="shared" si="18"/>
        <v>0</v>
      </c>
      <c r="AE26" s="31">
        <f t="shared" si="18"/>
        <v>210</v>
      </c>
      <c r="AF26" s="31">
        <f t="shared" si="18"/>
        <v>350</v>
      </c>
    </row>
    <row r="27" spans="2:32" ht="23.1" customHeight="1" x14ac:dyDescent="0.25">
      <c r="B27" s="23" t="s">
        <v>54</v>
      </c>
      <c r="C27" s="49">
        <f>AVERAGE('29.07 SPEARMOTORS-NTINDA'!C27,'30.07 SPEARMOTORS-NTINDA'!C27,'31.07 NTINDA-SPEAR MOTORS'!C27,'02.08 NTINDA-SPEARMOTORS'!C27,'01.07 SPEARMOTORS-NTINDA-24h'!C27,'03.08 SPEARMOTORS-NTINDA-24h'!C27,'04.08 SPEARMOTORS-NTINDA'!C27)</f>
        <v>21.142857142857142</v>
      </c>
      <c r="D27" s="49">
        <f>AVERAGE('29.07 SPEARMOTORS-NTINDA'!D27,'30.07 SPEARMOTORS-NTINDA'!D27,'31.07 NTINDA-SPEAR MOTORS'!D27,'02.08 NTINDA-SPEARMOTORS'!D27,'01.07 SPEARMOTORS-NTINDA-24h'!D27,'03.08 SPEARMOTORS-NTINDA-24h'!D27,'04.08 SPEARMOTORS-NTINDA'!D27)</f>
        <v>10.285714285714286</v>
      </c>
      <c r="E27" s="49">
        <f>AVERAGE('29.07 SPEARMOTORS-NTINDA'!E27,'30.07 SPEARMOTORS-NTINDA'!E27,'31.07 NTINDA-SPEAR MOTORS'!E27,'02.08 NTINDA-SPEARMOTORS'!E27,'01.07 SPEARMOTORS-NTINDA-24h'!E27,'03.08 SPEARMOTORS-NTINDA-24h'!E27,'04.08 SPEARMOTORS-NTINDA'!E27)</f>
        <v>4.5714285714285712</v>
      </c>
      <c r="F27" s="49">
        <f>AVERAGE('29.07 SPEARMOTORS-NTINDA'!F27,'30.07 SPEARMOTORS-NTINDA'!F27,'31.07 NTINDA-SPEAR MOTORS'!F27,'02.08 NTINDA-SPEARMOTORS'!F27,'01.07 SPEARMOTORS-NTINDA-24h'!F27,'03.08 SPEARMOTORS-NTINDA-24h'!F27,'04.08 SPEARMOTORS-NTINDA'!F27)</f>
        <v>9</v>
      </c>
      <c r="G27" s="49">
        <f>AVERAGE('29.07 SPEARMOTORS-NTINDA'!G27,'30.07 SPEARMOTORS-NTINDA'!G27,'31.07 NTINDA-SPEAR MOTORS'!G27,'02.08 NTINDA-SPEARMOTORS'!G27,'01.07 SPEARMOTORS-NTINDA-24h'!G27,'03.08 SPEARMOTORS-NTINDA-24h'!G27,'04.08 SPEARMOTORS-NTINDA'!G27)</f>
        <v>0</v>
      </c>
      <c r="H27" s="49">
        <f>AVERAGE('29.07 SPEARMOTORS-NTINDA'!H27,'30.07 SPEARMOTORS-NTINDA'!H27,'31.07 NTINDA-SPEAR MOTORS'!H27,'02.08 NTINDA-SPEARMOTORS'!H27,'01.07 SPEARMOTORS-NTINDA-24h'!H27,'03.08 SPEARMOTORS-NTINDA-24h'!H27,'04.08 SPEARMOTORS-NTINDA'!H27)</f>
        <v>0.42857142857142855</v>
      </c>
      <c r="I27" s="49">
        <f>AVERAGE('29.07 SPEARMOTORS-NTINDA'!I27,'30.07 SPEARMOTORS-NTINDA'!I27,'31.07 NTINDA-SPEAR MOTORS'!I27,'02.08 NTINDA-SPEARMOTORS'!I27,'01.07 SPEARMOTORS-NTINDA-24h'!I27,'03.08 SPEARMOTORS-NTINDA-24h'!I27,'04.08 SPEARMOTORS-NTINDA'!I27)</f>
        <v>4.2857142857142856</v>
      </c>
      <c r="J27" s="49">
        <f>AVERAGE('29.07 SPEARMOTORS-NTINDA'!J27,'30.07 SPEARMOTORS-NTINDA'!J27,'31.07 NTINDA-SPEAR MOTORS'!J27,'02.08 NTINDA-SPEARMOTORS'!J27,'01.07 SPEARMOTORS-NTINDA-24h'!J27,'03.08 SPEARMOTORS-NTINDA-24h'!J27,'04.08 SPEARMOTORS-NTINDA'!J27)</f>
        <v>2</v>
      </c>
      <c r="K27" s="49">
        <f>AVERAGE('29.07 SPEARMOTORS-NTINDA'!K27,'30.07 SPEARMOTORS-NTINDA'!K27,'31.07 NTINDA-SPEAR MOTORS'!K27,'02.08 NTINDA-SPEARMOTORS'!K27,'01.07 SPEARMOTORS-NTINDA-24h'!K27,'03.08 SPEARMOTORS-NTINDA-24h'!K27,'04.08 SPEARMOTORS-NTINDA'!K27)</f>
        <v>1.7142857142857142</v>
      </c>
      <c r="L27" s="49">
        <f>AVERAGE('29.07 SPEARMOTORS-NTINDA'!L27,'30.07 SPEARMOTORS-NTINDA'!L27,'31.07 NTINDA-SPEAR MOTORS'!L27,'02.08 NTINDA-SPEARMOTORS'!L27,'01.07 SPEARMOTORS-NTINDA-24h'!L27,'03.08 SPEARMOTORS-NTINDA-24h'!L27,'04.08 SPEARMOTORS-NTINDA'!L27)</f>
        <v>5.4285714285714288</v>
      </c>
      <c r="M27" s="49">
        <f>AVERAGE('29.07 SPEARMOTORS-NTINDA'!M27,'30.07 SPEARMOTORS-NTINDA'!M27,'31.07 NTINDA-SPEAR MOTORS'!M27,'02.08 NTINDA-SPEARMOTORS'!M27,'01.07 SPEARMOTORS-NTINDA-24h'!M27,'03.08 SPEARMOTORS-NTINDA-24h'!M27,'04.08 SPEARMOTORS-NTINDA'!M27)</f>
        <v>107.28571428571429</v>
      </c>
      <c r="N27" s="49">
        <f>AVERAGE('29.07 SPEARMOTORS-NTINDA'!N27,'30.07 SPEARMOTORS-NTINDA'!N27,'31.07 NTINDA-SPEAR MOTORS'!N27,'02.08 NTINDA-SPEARMOTORS'!N27,'01.07 SPEARMOTORS-NTINDA-24h'!N27,'03.08 SPEARMOTORS-NTINDA-24h'!N27,'04.08 SPEARMOTORS-NTINDA'!N27)</f>
        <v>0</v>
      </c>
      <c r="O27" s="15">
        <f t="shared" si="0"/>
        <v>58.857142857142861</v>
      </c>
      <c r="P27" s="15">
        <f t="shared" si="1"/>
        <v>166.14285714285717</v>
      </c>
      <c r="R27" s="1" t="s">
        <v>151</v>
      </c>
      <c r="S27" s="34">
        <f>SUM(C78:C81)</f>
        <v>50</v>
      </c>
      <c r="T27" s="34">
        <f t="shared" ref="T27:AF27" si="19">SUM(D78:D81)</f>
        <v>44.5</v>
      </c>
      <c r="U27" s="34">
        <f t="shared" si="19"/>
        <v>4</v>
      </c>
      <c r="V27" s="34">
        <f t="shared" si="19"/>
        <v>2.5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1</v>
      </c>
      <c r="AA27" s="34">
        <f t="shared" si="19"/>
        <v>1</v>
      </c>
      <c r="AB27" s="34">
        <f t="shared" si="19"/>
        <v>2.5</v>
      </c>
      <c r="AC27" s="34">
        <f t="shared" si="19"/>
        <v>83</v>
      </c>
      <c r="AD27" s="34">
        <f t="shared" si="19"/>
        <v>0</v>
      </c>
      <c r="AE27" s="31">
        <f t="shared" si="19"/>
        <v>107.5</v>
      </c>
      <c r="AF27" s="31">
        <f t="shared" si="19"/>
        <v>190.5</v>
      </c>
    </row>
    <row r="28" spans="2:32" ht="23.1" customHeight="1" x14ac:dyDescent="0.25">
      <c r="B28" s="23" t="s">
        <v>55</v>
      </c>
      <c r="C28" s="49">
        <f>AVERAGE('29.07 SPEARMOTORS-NTINDA'!C28,'30.07 SPEARMOTORS-NTINDA'!C28,'31.07 NTINDA-SPEAR MOTORS'!C28,'02.08 NTINDA-SPEARMOTORS'!C28,'01.07 SPEARMOTORS-NTINDA-24h'!C28,'03.08 SPEARMOTORS-NTINDA-24h'!C28,'04.08 SPEARMOTORS-NTINDA'!C28)</f>
        <v>13.857142857142858</v>
      </c>
      <c r="D28" s="49">
        <f>AVERAGE('29.07 SPEARMOTORS-NTINDA'!D28,'30.07 SPEARMOTORS-NTINDA'!D28,'31.07 NTINDA-SPEAR MOTORS'!D28,'02.08 NTINDA-SPEARMOTORS'!D28,'01.07 SPEARMOTORS-NTINDA-24h'!D28,'03.08 SPEARMOTORS-NTINDA-24h'!D28,'04.08 SPEARMOTORS-NTINDA'!D28)</f>
        <v>9.1428571428571423</v>
      </c>
      <c r="E28" s="49">
        <f>AVERAGE('29.07 SPEARMOTORS-NTINDA'!E28,'30.07 SPEARMOTORS-NTINDA'!E28,'31.07 NTINDA-SPEAR MOTORS'!E28,'02.08 NTINDA-SPEARMOTORS'!E28,'01.07 SPEARMOTORS-NTINDA-24h'!E28,'03.08 SPEARMOTORS-NTINDA-24h'!E28,'04.08 SPEARMOTORS-NTINDA'!E28)</f>
        <v>4.5714285714285712</v>
      </c>
      <c r="F28" s="49">
        <f>AVERAGE('29.07 SPEARMOTORS-NTINDA'!F28,'30.07 SPEARMOTORS-NTINDA'!F28,'31.07 NTINDA-SPEAR MOTORS'!F28,'02.08 NTINDA-SPEARMOTORS'!F28,'01.07 SPEARMOTORS-NTINDA-24h'!F28,'03.08 SPEARMOTORS-NTINDA-24h'!F28,'04.08 SPEARMOTORS-NTINDA'!F28)</f>
        <v>7.4285714285714288</v>
      </c>
      <c r="G28" s="49">
        <f>AVERAGE('29.07 SPEARMOTORS-NTINDA'!G28,'30.07 SPEARMOTORS-NTINDA'!G28,'31.07 NTINDA-SPEAR MOTORS'!G28,'02.08 NTINDA-SPEARMOTORS'!G28,'01.07 SPEARMOTORS-NTINDA-24h'!G28,'03.08 SPEARMOTORS-NTINDA-24h'!G28,'04.08 SPEARMOTORS-NTINDA'!G28)</f>
        <v>0.14285714285714285</v>
      </c>
      <c r="H28" s="49">
        <f>AVERAGE('29.07 SPEARMOTORS-NTINDA'!H28,'30.07 SPEARMOTORS-NTINDA'!H28,'31.07 NTINDA-SPEAR MOTORS'!H28,'02.08 NTINDA-SPEARMOTORS'!H28,'01.07 SPEARMOTORS-NTINDA-24h'!H28,'03.08 SPEARMOTORS-NTINDA-24h'!H28,'04.08 SPEARMOTORS-NTINDA'!H28)</f>
        <v>0</v>
      </c>
      <c r="I28" s="49">
        <f>AVERAGE('29.07 SPEARMOTORS-NTINDA'!I28,'30.07 SPEARMOTORS-NTINDA'!I28,'31.07 NTINDA-SPEAR MOTORS'!I28,'02.08 NTINDA-SPEARMOTORS'!I28,'01.07 SPEARMOTORS-NTINDA-24h'!I28,'03.08 SPEARMOTORS-NTINDA-24h'!I28,'04.08 SPEARMOTORS-NTINDA'!I28)</f>
        <v>2.1428571428571428</v>
      </c>
      <c r="J28" s="49">
        <f>AVERAGE('29.07 SPEARMOTORS-NTINDA'!J28,'30.07 SPEARMOTORS-NTINDA'!J28,'31.07 NTINDA-SPEAR MOTORS'!J28,'02.08 NTINDA-SPEARMOTORS'!J28,'01.07 SPEARMOTORS-NTINDA-24h'!J28,'03.08 SPEARMOTORS-NTINDA-24h'!J28,'04.08 SPEARMOTORS-NTINDA'!J28)</f>
        <v>1.4285714285714286</v>
      </c>
      <c r="K28" s="49">
        <f>AVERAGE('29.07 SPEARMOTORS-NTINDA'!K28,'30.07 SPEARMOTORS-NTINDA'!K28,'31.07 NTINDA-SPEAR MOTORS'!K28,'02.08 NTINDA-SPEARMOTORS'!K28,'01.07 SPEARMOTORS-NTINDA-24h'!K28,'03.08 SPEARMOTORS-NTINDA-24h'!K28,'04.08 SPEARMOTORS-NTINDA'!K28)</f>
        <v>1.1428571428571428</v>
      </c>
      <c r="L28" s="49">
        <f>AVERAGE('29.07 SPEARMOTORS-NTINDA'!L28,'30.07 SPEARMOTORS-NTINDA'!L28,'31.07 NTINDA-SPEAR MOTORS'!L28,'02.08 NTINDA-SPEARMOTORS'!L28,'01.07 SPEARMOTORS-NTINDA-24h'!L28,'03.08 SPEARMOTORS-NTINDA-24h'!L28,'04.08 SPEARMOTORS-NTINDA'!L28)</f>
        <v>3.8571428571428572</v>
      </c>
      <c r="M28" s="49">
        <f>AVERAGE('29.07 SPEARMOTORS-NTINDA'!M28,'30.07 SPEARMOTORS-NTINDA'!M28,'31.07 NTINDA-SPEAR MOTORS'!M28,'02.08 NTINDA-SPEARMOTORS'!M28,'01.07 SPEARMOTORS-NTINDA-24h'!M28,'03.08 SPEARMOTORS-NTINDA-24h'!M28,'04.08 SPEARMOTORS-NTINDA'!M28)</f>
        <v>108.42857142857143</v>
      </c>
      <c r="N28" s="49">
        <f>AVERAGE('29.07 SPEARMOTORS-NTINDA'!N28,'30.07 SPEARMOTORS-NTINDA'!N28,'31.07 NTINDA-SPEAR MOTORS'!N28,'02.08 NTINDA-SPEARMOTORS'!N28,'01.07 SPEARMOTORS-NTINDA-24h'!N28,'03.08 SPEARMOTORS-NTINDA-24h'!N28,'04.08 SPEARMOTORS-NTINDA'!N28)</f>
        <v>0</v>
      </c>
      <c r="O28" s="15">
        <f t="shared" si="0"/>
        <v>43.714285714285722</v>
      </c>
      <c r="P28" s="15">
        <f t="shared" si="1"/>
        <v>152.14285714285717</v>
      </c>
      <c r="R28" s="1" t="s">
        <v>152</v>
      </c>
      <c r="S28" s="34">
        <f>SUM(C82:C85)</f>
        <v>20.5</v>
      </c>
      <c r="T28" s="34">
        <f t="shared" ref="T28:AF28" si="20">SUM(D82:D85)</f>
        <v>15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0.5</v>
      </c>
      <c r="AA28" s="34">
        <f t="shared" si="20"/>
        <v>1.5</v>
      </c>
      <c r="AB28" s="34">
        <f t="shared" si="20"/>
        <v>1</v>
      </c>
      <c r="AC28" s="34">
        <f t="shared" si="20"/>
        <v>34.5</v>
      </c>
      <c r="AD28" s="34">
        <f t="shared" si="20"/>
        <v>0</v>
      </c>
      <c r="AE28" s="31">
        <f t="shared" si="20"/>
        <v>40.5</v>
      </c>
      <c r="AF28" s="31">
        <f t="shared" si="20"/>
        <v>75</v>
      </c>
    </row>
    <row r="29" spans="2:32" ht="23.1" customHeight="1" x14ac:dyDescent="0.25">
      <c r="B29" s="23" t="s">
        <v>56</v>
      </c>
      <c r="C29" s="49">
        <f>AVERAGE('29.07 SPEARMOTORS-NTINDA'!C29,'30.07 SPEARMOTORS-NTINDA'!C29,'31.07 NTINDA-SPEAR MOTORS'!C29,'02.08 NTINDA-SPEARMOTORS'!C29,'01.07 SPEARMOTORS-NTINDA-24h'!C29,'03.08 SPEARMOTORS-NTINDA-24h'!C29,'04.08 SPEARMOTORS-NTINDA'!C29)</f>
        <v>16.428571428571427</v>
      </c>
      <c r="D29" s="49">
        <f>AVERAGE('29.07 SPEARMOTORS-NTINDA'!D29,'30.07 SPEARMOTORS-NTINDA'!D29,'31.07 NTINDA-SPEAR MOTORS'!D29,'02.08 NTINDA-SPEARMOTORS'!D29,'01.07 SPEARMOTORS-NTINDA-24h'!D29,'03.08 SPEARMOTORS-NTINDA-24h'!D29,'04.08 SPEARMOTORS-NTINDA'!D29)</f>
        <v>8.2857142857142865</v>
      </c>
      <c r="E29" s="49">
        <f>AVERAGE('29.07 SPEARMOTORS-NTINDA'!E29,'30.07 SPEARMOTORS-NTINDA'!E29,'31.07 NTINDA-SPEAR MOTORS'!E29,'02.08 NTINDA-SPEARMOTORS'!E29,'01.07 SPEARMOTORS-NTINDA-24h'!E29,'03.08 SPEARMOTORS-NTINDA-24h'!E29,'04.08 SPEARMOTORS-NTINDA'!E29)</f>
        <v>3.8571428571428572</v>
      </c>
      <c r="F29" s="49">
        <f>AVERAGE('29.07 SPEARMOTORS-NTINDA'!F29,'30.07 SPEARMOTORS-NTINDA'!F29,'31.07 NTINDA-SPEAR MOTORS'!F29,'02.08 NTINDA-SPEARMOTORS'!F29,'01.07 SPEARMOTORS-NTINDA-24h'!F29,'03.08 SPEARMOTORS-NTINDA-24h'!F29,'04.08 SPEARMOTORS-NTINDA'!F29)</f>
        <v>8.7142857142857135</v>
      </c>
      <c r="G29" s="49">
        <f>AVERAGE('29.07 SPEARMOTORS-NTINDA'!G29,'30.07 SPEARMOTORS-NTINDA'!G29,'31.07 NTINDA-SPEAR MOTORS'!G29,'02.08 NTINDA-SPEARMOTORS'!G29,'01.07 SPEARMOTORS-NTINDA-24h'!G29,'03.08 SPEARMOTORS-NTINDA-24h'!G29,'04.08 SPEARMOTORS-NTINDA'!G29)</f>
        <v>0</v>
      </c>
      <c r="H29" s="49">
        <f>AVERAGE('29.07 SPEARMOTORS-NTINDA'!H29,'30.07 SPEARMOTORS-NTINDA'!H29,'31.07 NTINDA-SPEAR MOTORS'!H29,'02.08 NTINDA-SPEARMOTORS'!H29,'01.07 SPEARMOTORS-NTINDA-24h'!H29,'03.08 SPEARMOTORS-NTINDA-24h'!H29,'04.08 SPEARMOTORS-NTINDA'!H29)</f>
        <v>0</v>
      </c>
      <c r="I29" s="49">
        <f>AVERAGE('29.07 SPEARMOTORS-NTINDA'!I29,'30.07 SPEARMOTORS-NTINDA'!I29,'31.07 NTINDA-SPEAR MOTORS'!I29,'02.08 NTINDA-SPEARMOTORS'!I29,'01.07 SPEARMOTORS-NTINDA-24h'!I29,'03.08 SPEARMOTORS-NTINDA-24h'!I29,'04.08 SPEARMOTORS-NTINDA'!I29)</f>
        <v>3.4285714285714284</v>
      </c>
      <c r="J29" s="49">
        <f>AVERAGE('29.07 SPEARMOTORS-NTINDA'!J29,'30.07 SPEARMOTORS-NTINDA'!J29,'31.07 NTINDA-SPEAR MOTORS'!J29,'02.08 NTINDA-SPEARMOTORS'!J29,'01.07 SPEARMOTORS-NTINDA-24h'!J29,'03.08 SPEARMOTORS-NTINDA-24h'!J29,'04.08 SPEARMOTORS-NTINDA'!J29)</f>
        <v>2.4285714285714284</v>
      </c>
      <c r="K29" s="49">
        <f>AVERAGE('29.07 SPEARMOTORS-NTINDA'!K29,'30.07 SPEARMOTORS-NTINDA'!K29,'31.07 NTINDA-SPEAR MOTORS'!K29,'02.08 NTINDA-SPEARMOTORS'!K29,'01.07 SPEARMOTORS-NTINDA-24h'!K29,'03.08 SPEARMOTORS-NTINDA-24h'!K29,'04.08 SPEARMOTORS-NTINDA'!K29)</f>
        <v>1.4285714285714286</v>
      </c>
      <c r="L29" s="49">
        <f>AVERAGE('29.07 SPEARMOTORS-NTINDA'!L29,'30.07 SPEARMOTORS-NTINDA'!L29,'31.07 NTINDA-SPEAR MOTORS'!L29,'02.08 NTINDA-SPEARMOTORS'!L29,'01.07 SPEARMOTORS-NTINDA-24h'!L29,'03.08 SPEARMOTORS-NTINDA-24h'!L29,'04.08 SPEARMOTORS-NTINDA'!L29)</f>
        <v>4.5714285714285712</v>
      </c>
      <c r="M29" s="49">
        <f>AVERAGE('29.07 SPEARMOTORS-NTINDA'!M29,'30.07 SPEARMOTORS-NTINDA'!M29,'31.07 NTINDA-SPEAR MOTORS'!M29,'02.08 NTINDA-SPEARMOTORS'!M29,'01.07 SPEARMOTORS-NTINDA-24h'!M29,'03.08 SPEARMOTORS-NTINDA-24h'!M29,'04.08 SPEARMOTORS-NTINDA'!M29)</f>
        <v>122.42857142857143</v>
      </c>
      <c r="N29" s="49">
        <f>AVERAGE('29.07 SPEARMOTORS-NTINDA'!N29,'30.07 SPEARMOTORS-NTINDA'!N29,'31.07 NTINDA-SPEAR MOTORS'!N29,'02.08 NTINDA-SPEARMOTORS'!N29,'01.07 SPEARMOTORS-NTINDA-24h'!N29,'03.08 SPEARMOTORS-NTINDA-24h'!N29,'04.08 SPEARMOTORS-NTINDA'!N29)</f>
        <v>0</v>
      </c>
      <c r="O29" s="15">
        <f t="shared" si="0"/>
        <v>49.142857142857146</v>
      </c>
      <c r="P29" s="15">
        <f t="shared" si="1"/>
        <v>171.57142857142858</v>
      </c>
      <c r="R29" s="1" t="s">
        <v>153</v>
      </c>
      <c r="S29" s="34">
        <f>SUM(C86:C89)</f>
        <v>15.5</v>
      </c>
      <c r="T29" s="34">
        <f t="shared" ref="T29:AF29" si="21">SUM(D86:D89)</f>
        <v>8.5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0.5</v>
      </c>
      <c r="AB29" s="34">
        <f t="shared" si="21"/>
        <v>1.5</v>
      </c>
      <c r="AC29" s="34">
        <f t="shared" si="21"/>
        <v>37</v>
      </c>
      <c r="AD29" s="34">
        <f t="shared" si="21"/>
        <v>0</v>
      </c>
      <c r="AE29" s="31">
        <f t="shared" si="21"/>
        <v>27.5</v>
      </c>
      <c r="AF29" s="31">
        <f t="shared" si="21"/>
        <v>64.5</v>
      </c>
    </row>
    <row r="30" spans="2:32" ht="23.1" customHeight="1" x14ac:dyDescent="0.25">
      <c r="B30" s="23" t="s">
        <v>57</v>
      </c>
      <c r="C30" s="49">
        <f>AVERAGE('29.07 SPEARMOTORS-NTINDA'!C30,'30.07 SPEARMOTORS-NTINDA'!C30,'31.07 NTINDA-SPEAR MOTORS'!C30,'02.08 NTINDA-SPEARMOTORS'!C30,'01.07 SPEARMOTORS-NTINDA-24h'!C30,'03.08 SPEARMOTORS-NTINDA-24h'!C30,'04.08 SPEARMOTORS-NTINDA'!C30)</f>
        <v>21.142857142857142</v>
      </c>
      <c r="D30" s="49">
        <f>AVERAGE('29.07 SPEARMOTORS-NTINDA'!D30,'30.07 SPEARMOTORS-NTINDA'!D30,'31.07 NTINDA-SPEAR MOTORS'!D30,'02.08 NTINDA-SPEARMOTORS'!D30,'01.07 SPEARMOTORS-NTINDA-24h'!D30,'03.08 SPEARMOTORS-NTINDA-24h'!D30,'04.08 SPEARMOTORS-NTINDA'!D30)</f>
        <v>12.571428571428571</v>
      </c>
      <c r="E30" s="49">
        <f>AVERAGE('29.07 SPEARMOTORS-NTINDA'!E30,'30.07 SPEARMOTORS-NTINDA'!E30,'31.07 NTINDA-SPEAR MOTORS'!E30,'02.08 NTINDA-SPEARMOTORS'!E30,'01.07 SPEARMOTORS-NTINDA-24h'!E30,'03.08 SPEARMOTORS-NTINDA-24h'!E30,'04.08 SPEARMOTORS-NTINDA'!E30)</f>
        <v>6.5714285714285712</v>
      </c>
      <c r="F30" s="49">
        <f>AVERAGE('29.07 SPEARMOTORS-NTINDA'!F30,'30.07 SPEARMOTORS-NTINDA'!F30,'31.07 NTINDA-SPEAR MOTORS'!F30,'02.08 NTINDA-SPEARMOTORS'!F30,'01.07 SPEARMOTORS-NTINDA-24h'!F30,'03.08 SPEARMOTORS-NTINDA-24h'!F30,'04.08 SPEARMOTORS-NTINDA'!F30)</f>
        <v>13.428571428571429</v>
      </c>
      <c r="G30" s="49">
        <f>AVERAGE('29.07 SPEARMOTORS-NTINDA'!G30,'30.07 SPEARMOTORS-NTINDA'!G30,'31.07 NTINDA-SPEAR MOTORS'!G30,'02.08 NTINDA-SPEARMOTORS'!G30,'01.07 SPEARMOTORS-NTINDA-24h'!G30,'03.08 SPEARMOTORS-NTINDA-24h'!G30,'04.08 SPEARMOTORS-NTINDA'!G30)</f>
        <v>0.14285714285714285</v>
      </c>
      <c r="H30" s="49">
        <f>AVERAGE('29.07 SPEARMOTORS-NTINDA'!H30,'30.07 SPEARMOTORS-NTINDA'!H30,'31.07 NTINDA-SPEAR MOTORS'!H30,'02.08 NTINDA-SPEARMOTORS'!H30,'01.07 SPEARMOTORS-NTINDA-24h'!H30,'03.08 SPEARMOTORS-NTINDA-24h'!H30,'04.08 SPEARMOTORS-NTINDA'!H30)</f>
        <v>0</v>
      </c>
      <c r="I30" s="49">
        <f>AVERAGE('29.07 SPEARMOTORS-NTINDA'!I30,'30.07 SPEARMOTORS-NTINDA'!I30,'31.07 NTINDA-SPEAR MOTORS'!I30,'02.08 NTINDA-SPEARMOTORS'!I30,'01.07 SPEARMOTORS-NTINDA-24h'!I30,'03.08 SPEARMOTORS-NTINDA-24h'!I30,'04.08 SPEARMOTORS-NTINDA'!I30)</f>
        <v>3.7142857142857144</v>
      </c>
      <c r="J30" s="49">
        <f>AVERAGE('29.07 SPEARMOTORS-NTINDA'!J30,'30.07 SPEARMOTORS-NTINDA'!J30,'31.07 NTINDA-SPEAR MOTORS'!J30,'02.08 NTINDA-SPEARMOTORS'!J30,'01.07 SPEARMOTORS-NTINDA-24h'!J30,'03.08 SPEARMOTORS-NTINDA-24h'!J30,'04.08 SPEARMOTORS-NTINDA'!J30)</f>
        <v>2.2857142857142856</v>
      </c>
      <c r="K30" s="49">
        <f>AVERAGE('29.07 SPEARMOTORS-NTINDA'!K30,'30.07 SPEARMOTORS-NTINDA'!K30,'31.07 NTINDA-SPEAR MOTORS'!K30,'02.08 NTINDA-SPEARMOTORS'!K30,'01.07 SPEARMOTORS-NTINDA-24h'!K30,'03.08 SPEARMOTORS-NTINDA-24h'!K30,'04.08 SPEARMOTORS-NTINDA'!K30)</f>
        <v>1.7142857142857142</v>
      </c>
      <c r="L30" s="49">
        <f>AVERAGE('29.07 SPEARMOTORS-NTINDA'!L30,'30.07 SPEARMOTORS-NTINDA'!L30,'31.07 NTINDA-SPEAR MOTORS'!L30,'02.08 NTINDA-SPEARMOTORS'!L30,'01.07 SPEARMOTORS-NTINDA-24h'!L30,'03.08 SPEARMOTORS-NTINDA-24h'!L30,'04.08 SPEARMOTORS-NTINDA'!L30)</f>
        <v>2.4285714285714284</v>
      </c>
      <c r="M30" s="49">
        <f>AVERAGE('29.07 SPEARMOTORS-NTINDA'!M30,'30.07 SPEARMOTORS-NTINDA'!M30,'31.07 NTINDA-SPEAR MOTORS'!M30,'02.08 NTINDA-SPEARMOTORS'!M30,'01.07 SPEARMOTORS-NTINDA-24h'!M30,'03.08 SPEARMOTORS-NTINDA-24h'!M30,'04.08 SPEARMOTORS-NTINDA'!M30)</f>
        <v>111.85714285714286</v>
      </c>
      <c r="N30" s="49">
        <f>AVERAGE('29.07 SPEARMOTORS-NTINDA'!N30,'30.07 SPEARMOTORS-NTINDA'!N30,'31.07 NTINDA-SPEAR MOTORS'!N30,'02.08 NTINDA-SPEARMOTORS'!N30,'01.07 SPEARMOTORS-NTINDA-24h'!N30,'03.08 SPEARMOTORS-NTINDA-24h'!N30,'04.08 SPEARMOTORS-NTINDA'!N30)</f>
        <v>0</v>
      </c>
      <c r="O30" s="15">
        <f t="shared" si="0"/>
        <v>64</v>
      </c>
      <c r="P30" s="15">
        <f t="shared" si="1"/>
        <v>175.85714285714286</v>
      </c>
      <c r="R30" s="1" t="s">
        <v>154</v>
      </c>
      <c r="S30" s="34">
        <f>SUM(C90:C93)</f>
        <v>25.5</v>
      </c>
      <c r="T30" s="34">
        <f t="shared" ref="T30:AF30" si="22">SUM(D90:D93)</f>
        <v>15.5</v>
      </c>
      <c r="U30" s="34">
        <f t="shared" si="22"/>
        <v>4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0.5</v>
      </c>
      <c r="AA30" s="34">
        <f t="shared" si="22"/>
        <v>1</v>
      </c>
      <c r="AB30" s="34">
        <f t="shared" si="22"/>
        <v>1.5</v>
      </c>
      <c r="AC30" s="34">
        <f t="shared" si="22"/>
        <v>21.5</v>
      </c>
      <c r="AD30" s="34">
        <f t="shared" si="22"/>
        <v>0</v>
      </c>
      <c r="AE30" s="31">
        <f t="shared" si="22"/>
        <v>49</v>
      </c>
      <c r="AF30" s="31">
        <f t="shared" si="22"/>
        <v>70.5</v>
      </c>
    </row>
    <row r="31" spans="2:32" ht="23.1" customHeight="1" x14ac:dyDescent="0.25">
      <c r="B31" s="24" t="s">
        <v>58</v>
      </c>
      <c r="C31" s="49">
        <f>AVERAGE('29.07 SPEARMOTORS-NTINDA'!C31,'30.07 SPEARMOTORS-NTINDA'!C31,'31.07 NTINDA-SPEAR MOTORS'!C31,'02.08 NTINDA-SPEARMOTORS'!C31,'01.07 SPEARMOTORS-NTINDA-24h'!C31,'03.08 SPEARMOTORS-NTINDA-24h'!C31,'04.08 SPEARMOTORS-NTINDA'!C31)</f>
        <v>18.285714285714285</v>
      </c>
      <c r="D31" s="49">
        <f>AVERAGE('29.07 SPEARMOTORS-NTINDA'!D31,'30.07 SPEARMOTORS-NTINDA'!D31,'31.07 NTINDA-SPEAR MOTORS'!D31,'02.08 NTINDA-SPEARMOTORS'!D31,'01.07 SPEARMOTORS-NTINDA-24h'!D31,'03.08 SPEARMOTORS-NTINDA-24h'!D31,'04.08 SPEARMOTORS-NTINDA'!D31)</f>
        <v>7.4285714285714288</v>
      </c>
      <c r="E31" s="49">
        <f>AVERAGE('29.07 SPEARMOTORS-NTINDA'!E31,'30.07 SPEARMOTORS-NTINDA'!E31,'31.07 NTINDA-SPEAR MOTORS'!E31,'02.08 NTINDA-SPEARMOTORS'!E31,'01.07 SPEARMOTORS-NTINDA-24h'!E31,'03.08 SPEARMOTORS-NTINDA-24h'!E31,'04.08 SPEARMOTORS-NTINDA'!E31)</f>
        <v>5.7142857142857144</v>
      </c>
      <c r="F31" s="49">
        <f>AVERAGE('29.07 SPEARMOTORS-NTINDA'!F31,'30.07 SPEARMOTORS-NTINDA'!F31,'31.07 NTINDA-SPEAR MOTORS'!F31,'02.08 NTINDA-SPEARMOTORS'!F31,'01.07 SPEARMOTORS-NTINDA-24h'!F31,'03.08 SPEARMOTORS-NTINDA-24h'!F31,'04.08 SPEARMOTORS-NTINDA'!F31)</f>
        <v>6.5714285714285712</v>
      </c>
      <c r="G31" s="49">
        <f>AVERAGE('29.07 SPEARMOTORS-NTINDA'!G31,'30.07 SPEARMOTORS-NTINDA'!G31,'31.07 NTINDA-SPEAR MOTORS'!G31,'02.08 NTINDA-SPEARMOTORS'!G31,'01.07 SPEARMOTORS-NTINDA-24h'!G31,'03.08 SPEARMOTORS-NTINDA-24h'!G31,'04.08 SPEARMOTORS-NTINDA'!G31)</f>
        <v>0</v>
      </c>
      <c r="H31" s="49">
        <f>AVERAGE('29.07 SPEARMOTORS-NTINDA'!H31,'30.07 SPEARMOTORS-NTINDA'!H31,'31.07 NTINDA-SPEAR MOTORS'!H31,'02.08 NTINDA-SPEARMOTORS'!H31,'01.07 SPEARMOTORS-NTINDA-24h'!H31,'03.08 SPEARMOTORS-NTINDA-24h'!H31,'04.08 SPEARMOTORS-NTINDA'!H31)</f>
        <v>0</v>
      </c>
      <c r="I31" s="49">
        <f>AVERAGE('29.07 SPEARMOTORS-NTINDA'!I31,'30.07 SPEARMOTORS-NTINDA'!I31,'31.07 NTINDA-SPEAR MOTORS'!I31,'02.08 NTINDA-SPEARMOTORS'!I31,'01.07 SPEARMOTORS-NTINDA-24h'!I31,'03.08 SPEARMOTORS-NTINDA-24h'!I31,'04.08 SPEARMOTORS-NTINDA'!I31)</f>
        <v>3.8571428571428572</v>
      </c>
      <c r="J31" s="49">
        <f>AVERAGE('29.07 SPEARMOTORS-NTINDA'!J31,'30.07 SPEARMOTORS-NTINDA'!J31,'31.07 NTINDA-SPEAR MOTORS'!J31,'02.08 NTINDA-SPEARMOTORS'!J31,'01.07 SPEARMOTORS-NTINDA-24h'!J31,'03.08 SPEARMOTORS-NTINDA-24h'!J31,'04.08 SPEARMOTORS-NTINDA'!J31)</f>
        <v>1.7142857142857142</v>
      </c>
      <c r="K31" s="49">
        <f>AVERAGE('29.07 SPEARMOTORS-NTINDA'!K31,'30.07 SPEARMOTORS-NTINDA'!K31,'31.07 NTINDA-SPEAR MOTORS'!K31,'02.08 NTINDA-SPEARMOTORS'!K31,'01.07 SPEARMOTORS-NTINDA-24h'!K31,'03.08 SPEARMOTORS-NTINDA-24h'!K31,'04.08 SPEARMOTORS-NTINDA'!K31)</f>
        <v>1.2857142857142858</v>
      </c>
      <c r="L31" s="49">
        <f>AVERAGE('29.07 SPEARMOTORS-NTINDA'!L31,'30.07 SPEARMOTORS-NTINDA'!L31,'31.07 NTINDA-SPEAR MOTORS'!L31,'02.08 NTINDA-SPEARMOTORS'!L31,'01.07 SPEARMOTORS-NTINDA-24h'!L31,'03.08 SPEARMOTORS-NTINDA-24h'!L31,'04.08 SPEARMOTORS-NTINDA'!L31)</f>
        <v>4</v>
      </c>
      <c r="M31" s="49">
        <f>AVERAGE('29.07 SPEARMOTORS-NTINDA'!M31,'30.07 SPEARMOTORS-NTINDA'!M31,'31.07 NTINDA-SPEAR MOTORS'!M31,'02.08 NTINDA-SPEARMOTORS'!M31,'01.07 SPEARMOTORS-NTINDA-24h'!M31,'03.08 SPEARMOTORS-NTINDA-24h'!M31,'04.08 SPEARMOTORS-NTINDA'!M31)</f>
        <v>108.57142857142857</v>
      </c>
      <c r="N31" s="49">
        <f>AVERAGE('29.07 SPEARMOTORS-NTINDA'!N31,'30.07 SPEARMOTORS-NTINDA'!N31,'31.07 NTINDA-SPEAR MOTORS'!N31,'02.08 NTINDA-SPEARMOTORS'!N31,'01.07 SPEARMOTORS-NTINDA-24h'!N31,'03.08 SPEARMOTORS-NTINDA-24h'!N31,'04.08 SPEARMOTORS-NTINDA'!N31)</f>
        <v>0</v>
      </c>
      <c r="O31" s="15">
        <f t="shared" si="0"/>
        <v>48.857142857142854</v>
      </c>
      <c r="P31" s="15">
        <f t="shared" si="1"/>
        <v>157.42857142857142</v>
      </c>
      <c r="R31" s="1" t="s">
        <v>155</v>
      </c>
      <c r="S31" s="34">
        <f>SUM(C94:C97)</f>
        <v>11</v>
      </c>
      <c r="T31" s="34">
        <f t="shared" ref="T31:AF31" si="23">SUM(D94:D97)</f>
        <v>11</v>
      </c>
      <c r="U31" s="34">
        <f t="shared" si="23"/>
        <v>0.5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0.5</v>
      </c>
      <c r="AB31" s="34">
        <f t="shared" si="23"/>
        <v>3</v>
      </c>
      <c r="AC31" s="34">
        <f t="shared" si="23"/>
        <v>28</v>
      </c>
      <c r="AD31" s="34">
        <f t="shared" si="23"/>
        <v>0</v>
      </c>
      <c r="AE31" s="31">
        <f t="shared" si="23"/>
        <v>28</v>
      </c>
      <c r="AF31" s="31">
        <f t="shared" si="23"/>
        <v>56</v>
      </c>
    </row>
    <row r="32" spans="2:32" ht="23.1" customHeight="1" x14ac:dyDescent="0.25">
      <c r="B32" s="24" t="s">
        <v>59</v>
      </c>
      <c r="C32" s="49">
        <f>AVERAGE('29.07 SPEARMOTORS-NTINDA'!C32,'30.07 SPEARMOTORS-NTINDA'!C32,'31.07 NTINDA-SPEAR MOTORS'!C32,'02.08 NTINDA-SPEARMOTORS'!C32,'01.07 SPEARMOTORS-NTINDA-24h'!C32,'03.08 SPEARMOTORS-NTINDA-24h'!C32,'04.08 SPEARMOTORS-NTINDA'!C32)</f>
        <v>20.142857142857142</v>
      </c>
      <c r="D32" s="49">
        <f>AVERAGE('29.07 SPEARMOTORS-NTINDA'!D32,'30.07 SPEARMOTORS-NTINDA'!D32,'31.07 NTINDA-SPEAR MOTORS'!D32,'02.08 NTINDA-SPEARMOTORS'!D32,'01.07 SPEARMOTORS-NTINDA-24h'!D32,'03.08 SPEARMOTORS-NTINDA-24h'!D32,'04.08 SPEARMOTORS-NTINDA'!D32)</f>
        <v>10</v>
      </c>
      <c r="E32" s="49">
        <f>AVERAGE('29.07 SPEARMOTORS-NTINDA'!E32,'30.07 SPEARMOTORS-NTINDA'!E32,'31.07 NTINDA-SPEAR MOTORS'!E32,'02.08 NTINDA-SPEARMOTORS'!E32,'01.07 SPEARMOTORS-NTINDA-24h'!E32,'03.08 SPEARMOTORS-NTINDA-24h'!E32,'04.08 SPEARMOTORS-NTINDA'!E32)</f>
        <v>3.8571428571428572</v>
      </c>
      <c r="F32" s="49">
        <f>AVERAGE('29.07 SPEARMOTORS-NTINDA'!F32,'30.07 SPEARMOTORS-NTINDA'!F32,'31.07 NTINDA-SPEAR MOTORS'!F32,'02.08 NTINDA-SPEARMOTORS'!F32,'01.07 SPEARMOTORS-NTINDA-24h'!F32,'03.08 SPEARMOTORS-NTINDA-24h'!F32,'04.08 SPEARMOTORS-NTINDA'!F32)</f>
        <v>10.571428571428571</v>
      </c>
      <c r="G32" s="49">
        <f>AVERAGE('29.07 SPEARMOTORS-NTINDA'!G32,'30.07 SPEARMOTORS-NTINDA'!G32,'31.07 NTINDA-SPEAR MOTORS'!G32,'02.08 NTINDA-SPEARMOTORS'!G32,'01.07 SPEARMOTORS-NTINDA-24h'!G32,'03.08 SPEARMOTORS-NTINDA-24h'!G32,'04.08 SPEARMOTORS-NTINDA'!G32)</f>
        <v>0</v>
      </c>
      <c r="H32" s="49">
        <f>AVERAGE('29.07 SPEARMOTORS-NTINDA'!H32,'30.07 SPEARMOTORS-NTINDA'!H32,'31.07 NTINDA-SPEAR MOTORS'!H32,'02.08 NTINDA-SPEARMOTORS'!H32,'01.07 SPEARMOTORS-NTINDA-24h'!H32,'03.08 SPEARMOTORS-NTINDA-24h'!H32,'04.08 SPEARMOTORS-NTINDA'!H32)</f>
        <v>0</v>
      </c>
      <c r="I32" s="49">
        <f>AVERAGE('29.07 SPEARMOTORS-NTINDA'!I32,'30.07 SPEARMOTORS-NTINDA'!I32,'31.07 NTINDA-SPEAR MOTORS'!I32,'02.08 NTINDA-SPEARMOTORS'!I32,'01.07 SPEARMOTORS-NTINDA-24h'!I32,'03.08 SPEARMOTORS-NTINDA-24h'!I32,'04.08 SPEARMOTORS-NTINDA'!I32)</f>
        <v>3</v>
      </c>
      <c r="J32" s="49">
        <f>AVERAGE('29.07 SPEARMOTORS-NTINDA'!J32,'30.07 SPEARMOTORS-NTINDA'!J32,'31.07 NTINDA-SPEAR MOTORS'!J32,'02.08 NTINDA-SPEARMOTORS'!J32,'01.07 SPEARMOTORS-NTINDA-24h'!J32,'03.08 SPEARMOTORS-NTINDA-24h'!J32,'04.08 SPEARMOTORS-NTINDA'!J32)</f>
        <v>3.2857142857142856</v>
      </c>
      <c r="K32" s="49">
        <f>AVERAGE('29.07 SPEARMOTORS-NTINDA'!K32,'30.07 SPEARMOTORS-NTINDA'!K32,'31.07 NTINDA-SPEAR MOTORS'!K32,'02.08 NTINDA-SPEARMOTORS'!K32,'01.07 SPEARMOTORS-NTINDA-24h'!K32,'03.08 SPEARMOTORS-NTINDA-24h'!K32,'04.08 SPEARMOTORS-NTINDA'!K32)</f>
        <v>1.8571428571428572</v>
      </c>
      <c r="L32" s="49">
        <f>AVERAGE('29.07 SPEARMOTORS-NTINDA'!L32,'30.07 SPEARMOTORS-NTINDA'!L32,'31.07 NTINDA-SPEAR MOTORS'!L32,'02.08 NTINDA-SPEARMOTORS'!L32,'01.07 SPEARMOTORS-NTINDA-24h'!L32,'03.08 SPEARMOTORS-NTINDA-24h'!L32,'04.08 SPEARMOTORS-NTINDA'!L32)</f>
        <v>4.7142857142857144</v>
      </c>
      <c r="M32" s="49">
        <f>AVERAGE('29.07 SPEARMOTORS-NTINDA'!M32,'30.07 SPEARMOTORS-NTINDA'!M32,'31.07 NTINDA-SPEAR MOTORS'!M32,'02.08 NTINDA-SPEARMOTORS'!M32,'01.07 SPEARMOTORS-NTINDA-24h'!M32,'03.08 SPEARMOTORS-NTINDA-24h'!M32,'04.08 SPEARMOTORS-NTINDA'!M32)</f>
        <v>102.57142857142857</v>
      </c>
      <c r="N32" s="49">
        <f>AVERAGE('29.07 SPEARMOTORS-NTINDA'!N32,'30.07 SPEARMOTORS-NTINDA'!N32,'31.07 NTINDA-SPEAR MOTORS'!N32,'02.08 NTINDA-SPEARMOTORS'!N32,'01.07 SPEARMOTORS-NTINDA-24h'!N32,'03.08 SPEARMOTORS-NTINDA-24h'!N32,'04.08 SPEARMOTORS-NTINDA'!N32)</f>
        <v>0</v>
      </c>
      <c r="O32" s="15">
        <f t="shared" si="0"/>
        <v>57.428571428571423</v>
      </c>
      <c r="P32" s="15">
        <f t="shared" si="1"/>
        <v>160</v>
      </c>
      <c r="R32" s="1" t="s">
        <v>156</v>
      </c>
      <c r="S32" s="34">
        <f>SUM(C98:C101)</f>
        <v>15</v>
      </c>
      <c r="T32" s="34">
        <f t="shared" ref="T32:AF32" si="24">SUM(D98:D101)</f>
        <v>10.5</v>
      </c>
      <c r="U32" s="34">
        <f t="shared" si="24"/>
        <v>6.5</v>
      </c>
      <c r="V32" s="34">
        <f t="shared" si="24"/>
        <v>6.5</v>
      </c>
      <c r="W32" s="34">
        <f t="shared" si="24"/>
        <v>2</v>
      </c>
      <c r="X32" s="34">
        <f t="shared" si="24"/>
        <v>1</v>
      </c>
      <c r="Y32" s="34">
        <f t="shared" si="24"/>
        <v>1.5</v>
      </c>
      <c r="Z32" s="34">
        <f t="shared" si="24"/>
        <v>1.5</v>
      </c>
      <c r="AA32" s="34">
        <f t="shared" si="24"/>
        <v>1</v>
      </c>
      <c r="AB32" s="34">
        <f t="shared" si="24"/>
        <v>3</v>
      </c>
      <c r="AC32" s="34">
        <f t="shared" si="24"/>
        <v>48</v>
      </c>
      <c r="AD32" s="34">
        <f t="shared" si="24"/>
        <v>0</v>
      </c>
      <c r="AE32" s="31">
        <f t="shared" si="24"/>
        <v>48.5</v>
      </c>
      <c r="AF32" s="31">
        <f t="shared" si="24"/>
        <v>96.5</v>
      </c>
    </row>
    <row r="33" spans="2:32" ht="23.1" customHeight="1" x14ac:dyDescent="0.25">
      <c r="B33" s="23" t="s">
        <v>60</v>
      </c>
      <c r="C33" s="49">
        <f>AVERAGE('29.07 SPEARMOTORS-NTINDA'!C33,'30.07 SPEARMOTORS-NTINDA'!C33,'31.07 NTINDA-SPEAR MOTORS'!C33,'02.08 NTINDA-SPEARMOTORS'!C33,'01.07 SPEARMOTORS-NTINDA-24h'!C33,'03.08 SPEARMOTORS-NTINDA-24h'!C33,'04.08 SPEARMOTORS-NTINDA'!C33)</f>
        <v>19.285714285714285</v>
      </c>
      <c r="D33" s="49">
        <f>AVERAGE('29.07 SPEARMOTORS-NTINDA'!D33,'30.07 SPEARMOTORS-NTINDA'!D33,'31.07 NTINDA-SPEAR MOTORS'!D33,'02.08 NTINDA-SPEARMOTORS'!D33,'01.07 SPEARMOTORS-NTINDA-24h'!D33,'03.08 SPEARMOTORS-NTINDA-24h'!D33,'04.08 SPEARMOTORS-NTINDA'!D33)</f>
        <v>8.5714285714285712</v>
      </c>
      <c r="E33" s="49">
        <f>AVERAGE('29.07 SPEARMOTORS-NTINDA'!E33,'30.07 SPEARMOTORS-NTINDA'!E33,'31.07 NTINDA-SPEAR MOTORS'!E33,'02.08 NTINDA-SPEARMOTORS'!E33,'01.07 SPEARMOTORS-NTINDA-24h'!E33,'03.08 SPEARMOTORS-NTINDA-24h'!E33,'04.08 SPEARMOTORS-NTINDA'!E33)</f>
        <v>3.4285714285714284</v>
      </c>
      <c r="F33" s="49">
        <f>AVERAGE('29.07 SPEARMOTORS-NTINDA'!F33,'30.07 SPEARMOTORS-NTINDA'!F33,'31.07 NTINDA-SPEAR MOTORS'!F33,'02.08 NTINDA-SPEARMOTORS'!F33,'01.07 SPEARMOTORS-NTINDA-24h'!F33,'03.08 SPEARMOTORS-NTINDA-24h'!F33,'04.08 SPEARMOTORS-NTINDA'!F33)</f>
        <v>5.4285714285714288</v>
      </c>
      <c r="G33" s="49">
        <f>AVERAGE('29.07 SPEARMOTORS-NTINDA'!G33,'30.07 SPEARMOTORS-NTINDA'!G33,'31.07 NTINDA-SPEAR MOTORS'!G33,'02.08 NTINDA-SPEARMOTORS'!G33,'01.07 SPEARMOTORS-NTINDA-24h'!G33,'03.08 SPEARMOTORS-NTINDA-24h'!G33,'04.08 SPEARMOTORS-NTINDA'!G33)</f>
        <v>0</v>
      </c>
      <c r="H33" s="49">
        <f>AVERAGE('29.07 SPEARMOTORS-NTINDA'!H33,'30.07 SPEARMOTORS-NTINDA'!H33,'31.07 NTINDA-SPEAR MOTORS'!H33,'02.08 NTINDA-SPEARMOTORS'!H33,'01.07 SPEARMOTORS-NTINDA-24h'!H33,'03.08 SPEARMOTORS-NTINDA-24h'!H33,'04.08 SPEARMOTORS-NTINDA'!H33)</f>
        <v>0</v>
      </c>
      <c r="I33" s="49">
        <f>AVERAGE('29.07 SPEARMOTORS-NTINDA'!I33,'30.07 SPEARMOTORS-NTINDA'!I33,'31.07 NTINDA-SPEAR MOTORS'!I33,'02.08 NTINDA-SPEARMOTORS'!I33,'01.07 SPEARMOTORS-NTINDA-24h'!I33,'03.08 SPEARMOTORS-NTINDA-24h'!I33,'04.08 SPEARMOTORS-NTINDA'!I33)</f>
        <v>4.4285714285714288</v>
      </c>
      <c r="J33" s="49">
        <f>AVERAGE('29.07 SPEARMOTORS-NTINDA'!J33,'30.07 SPEARMOTORS-NTINDA'!J33,'31.07 NTINDA-SPEAR MOTORS'!J33,'02.08 NTINDA-SPEARMOTORS'!J33,'01.07 SPEARMOTORS-NTINDA-24h'!J33,'03.08 SPEARMOTORS-NTINDA-24h'!J33,'04.08 SPEARMOTORS-NTINDA'!J33)</f>
        <v>1.8571428571428572</v>
      </c>
      <c r="K33" s="49">
        <f>AVERAGE('29.07 SPEARMOTORS-NTINDA'!K33,'30.07 SPEARMOTORS-NTINDA'!K33,'31.07 NTINDA-SPEAR MOTORS'!K33,'02.08 NTINDA-SPEARMOTORS'!K33,'01.07 SPEARMOTORS-NTINDA-24h'!K33,'03.08 SPEARMOTORS-NTINDA-24h'!K33,'04.08 SPEARMOTORS-NTINDA'!K33)</f>
        <v>1.8571428571428572</v>
      </c>
      <c r="L33" s="49">
        <f>AVERAGE('29.07 SPEARMOTORS-NTINDA'!L33,'30.07 SPEARMOTORS-NTINDA'!L33,'31.07 NTINDA-SPEAR MOTORS'!L33,'02.08 NTINDA-SPEARMOTORS'!L33,'01.07 SPEARMOTORS-NTINDA-24h'!L33,'03.08 SPEARMOTORS-NTINDA-24h'!L33,'04.08 SPEARMOTORS-NTINDA'!L33)</f>
        <v>4.4285714285714288</v>
      </c>
      <c r="M33" s="49">
        <f>AVERAGE('29.07 SPEARMOTORS-NTINDA'!M33,'30.07 SPEARMOTORS-NTINDA'!M33,'31.07 NTINDA-SPEAR MOTORS'!M33,'02.08 NTINDA-SPEARMOTORS'!M33,'01.07 SPEARMOTORS-NTINDA-24h'!M33,'03.08 SPEARMOTORS-NTINDA-24h'!M33,'04.08 SPEARMOTORS-NTINDA'!M33)</f>
        <v>105</v>
      </c>
      <c r="N33" s="49">
        <f>AVERAGE('29.07 SPEARMOTORS-NTINDA'!N33,'30.07 SPEARMOTORS-NTINDA'!N33,'31.07 NTINDA-SPEAR MOTORS'!N33,'02.08 NTINDA-SPEARMOTORS'!N33,'01.07 SPEARMOTORS-NTINDA-24h'!N33,'03.08 SPEARMOTORS-NTINDA-24h'!N33,'04.08 SPEARMOTORS-NTINDA'!N33)</f>
        <v>0.14285714285714285</v>
      </c>
      <c r="O33" s="15">
        <f t="shared" si="0"/>
        <v>49.428571428571423</v>
      </c>
      <c r="P33" s="15">
        <f t="shared" si="1"/>
        <v>154.42857142857142</v>
      </c>
      <c r="R33" s="1" t="s">
        <v>157</v>
      </c>
      <c r="S33" s="34">
        <f>SUM(C102:C105)</f>
        <v>32</v>
      </c>
      <c r="T33" s="34">
        <f t="shared" ref="T33:AF33" si="25">SUM(D102:D105)</f>
        <v>13</v>
      </c>
      <c r="U33" s="34">
        <f t="shared" si="25"/>
        <v>14.5</v>
      </c>
      <c r="V33" s="34">
        <f t="shared" si="25"/>
        <v>26.5</v>
      </c>
      <c r="W33" s="34">
        <f t="shared" si="25"/>
        <v>4.5</v>
      </c>
      <c r="X33" s="34">
        <f t="shared" si="25"/>
        <v>0</v>
      </c>
      <c r="Y33" s="34">
        <f t="shared" si="25"/>
        <v>0.5</v>
      </c>
      <c r="Z33" s="34">
        <f t="shared" si="25"/>
        <v>2</v>
      </c>
      <c r="AA33" s="34">
        <f t="shared" si="25"/>
        <v>4.5</v>
      </c>
      <c r="AB33" s="34">
        <f t="shared" si="25"/>
        <v>2</v>
      </c>
      <c r="AC33" s="34">
        <f t="shared" si="25"/>
        <v>143</v>
      </c>
      <c r="AD33" s="34">
        <f t="shared" si="25"/>
        <v>0</v>
      </c>
      <c r="AE33" s="31">
        <f t="shared" si="25"/>
        <v>99.5</v>
      </c>
      <c r="AF33" s="31">
        <f t="shared" si="25"/>
        <v>242.5</v>
      </c>
    </row>
    <row r="34" spans="2:32" ht="23.1" customHeight="1" x14ac:dyDescent="0.25">
      <c r="B34" s="24" t="s">
        <v>61</v>
      </c>
      <c r="C34" s="49">
        <f>AVERAGE('29.07 SPEARMOTORS-NTINDA'!C34,'30.07 SPEARMOTORS-NTINDA'!C34,'31.07 NTINDA-SPEAR MOTORS'!C34,'02.08 NTINDA-SPEARMOTORS'!C34,'01.07 SPEARMOTORS-NTINDA-24h'!C34,'03.08 SPEARMOTORS-NTINDA-24h'!C34,'04.08 SPEARMOTORS-NTINDA'!C34)</f>
        <v>17.714285714285715</v>
      </c>
      <c r="D34" s="49">
        <f>AVERAGE('29.07 SPEARMOTORS-NTINDA'!D34,'30.07 SPEARMOTORS-NTINDA'!D34,'31.07 NTINDA-SPEAR MOTORS'!D34,'02.08 NTINDA-SPEARMOTORS'!D34,'01.07 SPEARMOTORS-NTINDA-24h'!D34,'03.08 SPEARMOTORS-NTINDA-24h'!D34,'04.08 SPEARMOTORS-NTINDA'!D34)</f>
        <v>11.142857142857142</v>
      </c>
      <c r="E34" s="49">
        <f>AVERAGE('29.07 SPEARMOTORS-NTINDA'!E34,'30.07 SPEARMOTORS-NTINDA'!E34,'31.07 NTINDA-SPEAR MOTORS'!E34,'02.08 NTINDA-SPEARMOTORS'!E34,'01.07 SPEARMOTORS-NTINDA-24h'!E34,'03.08 SPEARMOTORS-NTINDA-24h'!E34,'04.08 SPEARMOTORS-NTINDA'!E34)</f>
        <v>4.1428571428571432</v>
      </c>
      <c r="F34" s="49">
        <f>AVERAGE('29.07 SPEARMOTORS-NTINDA'!F34,'30.07 SPEARMOTORS-NTINDA'!F34,'31.07 NTINDA-SPEAR MOTORS'!F34,'02.08 NTINDA-SPEARMOTORS'!F34,'01.07 SPEARMOTORS-NTINDA-24h'!F34,'03.08 SPEARMOTORS-NTINDA-24h'!F34,'04.08 SPEARMOTORS-NTINDA'!F34)</f>
        <v>8.4285714285714288</v>
      </c>
      <c r="G34" s="49">
        <f>AVERAGE('29.07 SPEARMOTORS-NTINDA'!G34,'30.07 SPEARMOTORS-NTINDA'!G34,'31.07 NTINDA-SPEAR MOTORS'!G34,'02.08 NTINDA-SPEARMOTORS'!G34,'01.07 SPEARMOTORS-NTINDA-24h'!G34,'03.08 SPEARMOTORS-NTINDA-24h'!G34,'04.08 SPEARMOTORS-NTINDA'!G34)</f>
        <v>0</v>
      </c>
      <c r="H34" s="49">
        <f>AVERAGE('29.07 SPEARMOTORS-NTINDA'!H34,'30.07 SPEARMOTORS-NTINDA'!H34,'31.07 NTINDA-SPEAR MOTORS'!H34,'02.08 NTINDA-SPEARMOTORS'!H34,'01.07 SPEARMOTORS-NTINDA-24h'!H34,'03.08 SPEARMOTORS-NTINDA-24h'!H34,'04.08 SPEARMOTORS-NTINDA'!H34)</f>
        <v>0.42857142857142855</v>
      </c>
      <c r="I34" s="49">
        <f>AVERAGE('29.07 SPEARMOTORS-NTINDA'!I34,'30.07 SPEARMOTORS-NTINDA'!I34,'31.07 NTINDA-SPEAR MOTORS'!I34,'02.08 NTINDA-SPEARMOTORS'!I34,'01.07 SPEARMOTORS-NTINDA-24h'!I34,'03.08 SPEARMOTORS-NTINDA-24h'!I34,'04.08 SPEARMOTORS-NTINDA'!I34)</f>
        <v>2.1428571428571428</v>
      </c>
      <c r="J34" s="49">
        <f>AVERAGE('29.07 SPEARMOTORS-NTINDA'!J34,'30.07 SPEARMOTORS-NTINDA'!J34,'31.07 NTINDA-SPEAR MOTORS'!J34,'02.08 NTINDA-SPEARMOTORS'!J34,'01.07 SPEARMOTORS-NTINDA-24h'!J34,'03.08 SPEARMOTORS-NTINDA-24h'!J34,'04.08 SPEARMOTORS-NTINDA'!J34)</f>
        <v>1.8571428571428572</v>
      </c>
      <c r="K34" s="49">
        <f>AVERAGE('29.07 SPEARMOTORS-NTINDA'!K34,'30.07 SPEARMOTORS-NTINDA'!K34,'31.07 NTINDA-SPEAR MOTORS'!K34,'02.08 NTINDA-SPEARMOTORS'!K34,'01.07 SPEARMOTORS-NTINDA-24h'!K34,'03.08 SPEARMOTORS-NTINDA-24h'!K34,'04.08 SPEARMOTORS-NTINDA'!K34)</f>
        <v>1.5714285714285714</v>
      </c>
      <c r="L34" s="49">
        <f>AVERAGE('29.07 SPEARMOTORS-NTINDA'!L34,'30.07 SPEARMOTORS-NTINDA'!L34,'31.07 NTINDA-SPEAR MOTORS'!L34,'02.08 NTINDA-SPEARMOTORS'!L34,'01.07 SPEARMOTORS-NTINDA-24h'!L34,'03.08 SPEARMOTORS-NTINDA-24h'!L34,'04.08 SPEARMOTORS-NTINDA'!L34)</f>
        <v>5</v>
      </c>
      <c r="M34" s="49">
        <f>AVERAGE('29.07 SPEARMOTORS-NTINDA'!M34,'30.07 SPEARMOTORS-NTINDA'!M34,'31.07 NTINDA-SPEAR MOTORS'!M34,'02.08 NTINDA-SPEARMOTORS'!M34,'01.07 SPEARMOTORS-NTINDA-24h'!M34,'03.08 SPEARMOTORS-NTINDA-24h'!M34,'04.08 SPEARMOTORS-NTINDA'!M34)</f>
        <v>114</v>
      </c>
      <c r="N34" s="49">
        <f>AVERAGE('29.07 SPEARMOTORS-NTINDA'!N34,'30.07 SPEARMOTORS-NTINDA'!N34,'31.07 NTINDA-SPEAR MOTORS'!N34,'02.08 NTINDA-SPEARMOTORS'!N34,'01.07 SPEARMOTORS-NTINDA-24h'!N34,'03.08 SPEARMOTORS-NTINDA-24h'!N34,'04.08 SPEARMOTORS-NTINDA'!N34)</f>
        <v>0</v>
      </c>
      <c r="O34" s="15">
        <f t="shared" si="0"/>
        <v>52.428571428571431</v>
      </c>
      <c r="P34" s="15">
        <f t="shared" si="1"/>
        <v>166.42857142857144</v>
      </c>
      <c r="R34" s="38" t="s">
        <v>90</v>
      </c>
      <c r="S34" s="39">
        <f t="shared" ref="S34:AF34" si="26">MAX(S10:S12)</f>
        <v>88.428571428571431</v>
      </c>
      <c r="T34" s="39">
        <f t="shared" si="26"/>
        <v>44.857142857142854</v>
      </c>
      <c r="U34" s="39">
        <f t="shared" si="26"/>
        <v>25.714285714285715</v>
      </c>
      <c r="V34" s="39">
        <f t="shared" si="26"/>
        <v>59.571428571428569</v>
      </c>
      <c r="W34" s="39">
        <f t="shared" si="26"/>
        <v>1.4285714285714284</v>
      </c>
      <c r="X34" s="39">
        <f t="shared" si="26"/>
        <v>0</v>
      </c>
      <c r="Y34" s="39">
        <f t="shared" si="26"/>
        <v>13</v>
      </c>
      <c r="Z34" s="39">
        <f t="shared" si="26"/>
        <v>6.8571428571428568</v>
      </c>
      <c r="AA34" s="39">
        <f t="shared" si="26"/>
        <v>10.857142857142858</v>
      </c>
      <c r="AB34" s="39">
        <f t="shared" si="26"/>
        <v>31.285714285714285</v>
      </c>
      <c r="AC34" s="39">
        <f t="shared" si="26"/>
        <v>619.57142857142867</v>
      </c>
      <c r="AD34" s="39">
        <f t="shared" si="26"/>
        <v>0.14285714285714285</v>
      </c>
      <c r="AE34" s="40">
        <f t="shared" si="26"/>
        <v>281.57142857142867</v>
      </c>
      <c r="AF34" s="40">
        <f t="shared" si="26"/>
        <v>847.42857142857144</v>
      </c>
    </row>
    <row r="35" spans="2:32" ht="23.1" customHeight="1" x14ac:dyDescent="0.25">
      <c r="B35" s="24" t="s">
        <v>62</v>
      </c>
      <c r="C35" s="49">
        <f>AVERAGE('29.07 SPEARMOTORS-NTINDA'!C35,'30.07 SPEARMOTORS-NTINDA'!C35,'31.07 NTINDA-SPEAR MOTORS'!C35,'02.08 NTINDA-SPEARMOTORS'!C35,'01.07 SPEARMOTORS-NTINDA-24h'!C35,'03.08 SPEARMOTORS-NTINDA-24h'!C35,'04.08 SPEARMOTORS-NTINDA'!C35)</f>
        <v>22</v>
      </c>
      <c r="D35" s="49">
        <f>AVERAGE('29.07 SPEARMOTORS-NTINDA'!D35,'30.07 SPEARMOTORS-NTINDA'!D35,'31.07 NTINDA-SPEAR MOTORS'!D35,'02.08 NTINDA-SPEARMOTORS'!D35,'01.07 SPEARMOTORS-NTINDA-24h'!D35,'03.08 SPEARMOTORS-NTINDA-24h'!D35,'04.08 SPEARMOTORS-NTINDA'!D35)</f>
        <v>12.857142857142858</v>
      </c>
      <c r="E35" s="49">
        <f>AVERAGE('29.07 SPEARMOTORS-NTINDA'!E35,'30.07 SPEARMOTORS-NTINDA'!E35,'31.07 NTINDA-SPEAR MOTORS'!E35,'02.08 NTINDA-SPEARMOTORS'!E35,'01.07 SPEARMOTORS-NTINDA-24h'!E35,'03.08 SPEARMOTORS-NTINDA-24h'!E35,'04.08 SPEARMOTORS-NTINDA'!E35)</f>
        <v>4.8571428571428568</v>
      </c>
      <c r="F35" s="49">
        <f>AVERAGE('29.07 SPEARMOTORS-NTINDA'!F35,'30.07 SPEARMOTORS-NTINDA'!F35,'31.07 NTINDA-SPEAR MOTORS'!F35,'02.08 NTINDA-SPEARMOTORS'!F35,'01.07 SPEARMOTORS-NTINDA-24h'!F35,'03.08 SPEARMOTORS-NTINDA-24h'!F35,'04.08 SPEARMOTORS-NTINDA'!F35)</f>
        <v>9</v>
      </c>
      <c r="G35" s="49">
        <f>AVERAGE('29.07 SPEARMOTORS-NTINDA'!G35,'30.07 SPEARMOTORS-NTINDA'!G35,'31.07 NTINDA-SPEAR MOTORS'!G35,'02.08 NTINDA-SPEARMOTORS'!G35,'01.07 SPEARMOTORS-NTINDA-24h'!G35,'03.08 SPEARMOTORS-NTINDA-24h'!G35,'04.08 SPEARMOTORS-NTINDA'!G35)</f>
        <v>0.14285714285714285</v>
      </c>
      <c r="H35" s="49">
        <f>AVERAGE('29.07 SPEARMOTORS-NTINDA'!H35,'30.07 SPEARMOTORS-NTINDA'!H35,'31.07 NTINDA-SPEAR MOTORS'!H35,'02.08 NTINDA-SPEARMOTORS'!H35,'01.07 SPEARMOTORS-NTINDA-24h'!H35,'03.08 SPEARMOTORS-NTINDA-24h'!H35,'04.08 SPEARMOTORS-NTINDA'!H35)</f>
        <v>0</v>
      </c>
      <c r="I35" s="49">
        <f>AVERAGE('29.07 SPEARMOTORS-NTINDA'!I35,'30.07 SPEARMOTORS-NTINDA'!I35,'31.07 NTINDA-SPEAR MOTORS'!I35,'02.08 NTINDA-SPEARMOTORS'!I35,'01.07 SPEARMOTORS-NTINDA-24h'!I35,'03.08 SPEARMOTORS-NTINDA-24h'!I35,'04.08 SPEARMOTORS-NTINDA'!I35)</f>
        <v>3.5714285714285716</v>
      </c>
      <c r="J35" s="49">
        <f>AVERAGE('29.07 SPEARMOTORS-NTINDA'!J35,'30.07 SPEARMOTORS-NTINDA'!J35,'31.07 NTINDA-SPEAR MOTORS'!J35,'02.08 NTINDA-SPEARMOTORS'!J35,'01.07 SPEARMOTORS-NTINDA-24h'!J35,'03.08 SPEARMOTORS-NTINDA-24h'!J35,'04.08 SPEARMOTORS-NTINDA'!J35)</f>
        <v>1.8571428571428572</v>
      </c>
      <c r="K35" s="49">
        <f>AVERAGE('29.07 SPEARMOTORS-NTINDA'!K35,'30.07 SPEARMOTORS-NTINDA'!K35,'31.07 NTINDA-SPEAR MOTORS'!K35,'02.08 NTINDA-SPEARMOTORS'!K35,'01.07 SPEARMOTORS-NTINDA-24h'!K35,'03.08 SPEARMOTORS-NTINDA-24h'!K35,'04.08 SPEARMOTORS-NTINDA'!K35)</f>
        <v>1.1428571428571428</v>
      </c>
      <c r="L35" s="49">
        <f>AVERAGE('29.07 SPEARMOTORS-NTINDA'!L35,'30.07 SPEARMOTORS-NTINDA'!L35,'31.07 NTINDA-SPEAR MOTORS'!L35,'02.08 NTINDA-SPEARMOTORS'!L35,'01.07 SPEARMOTORS-NTINDA-24h'!L35,'03.08 SPEARMOTORS-NTINDA-24h'!L35,'04.08 SPEARMOTORS-NTINDA'!L35)</f>
        <v>3.8571428571428572</v>
      </c>
      <c r="M35" s="49">
        <f>AVERAGE('29.07 SPEARMOTORS-NTINDA'!M35,'30.07 SPEARMOTORS-NTINDA'!M35,'31.07 NTINDA-SPEAR MOTORS'!M35,'02.08 NTINDA-SPEARMOTORS'!M35,'01.07 SPEARMOTORS-NTINDA-24h'!M35,'03.08 SPEARMOTORS-NTINDA-24h'!M35,'04.08 SPEARMOTORS-NTINDA'!M35)</f>
        <v>89.428571428571431</v>
      </c>
      <c r="N35" s="49">
        <f>AVERAGE('29.07 SPEARMOTORS-NTINDA'!N35,'30.07 SPEARMOTORS-NTINDA'!N35,'31.07 NTINDA-SPEAR MOTORS'!N35,'02.08 NTINDA-SPEARMOTORS'!N35,'01.07 SPEARMOTORS-NTINDA-24h'!N35,'03.08 SPEARMOTORS-NTINDA-24h'!N35,'04.08 SPEARMOTORS-NTINDA'!N35)</f>
        <v>0</v>
      </c>
      <c r="O35" s="15">
        <f t="shared" si="0"/>
        <v>59.285714285714285</v>
      </c>
      <c r="P35" s="15">
        <f t="shared" si="1"/>
        <v>148.71428571428572</v>
      </c>
      <c r="R35" s="38" t="s">
        <v>91</v>
      </c>
      <c r="S35" s="39">
        <f t="shared" ref="S35:AF35" si="27">MAX(S13:S18)</f>
        <v>91.857142857142861</v>
      </c>
      <c r="T35" s="39">
        <f t="shared" si="27"/>
        <v>50.857142857142861</v>
      </c>
      <c r="U35" s="39">
        <f t="shared" si="27"/>
        <v>19.571428571428569</v>
      </c>
      <c r="V35" s="39">
        <f t="shared" si="27"/>
        <v>46.428571428571431</v>
      </c>
      <c r="W35" s="39">
        <f t="shared" si="27"/>
        <v>0.5714285714285714</v>
      </c>
      <c r="X35" s="39">
        <f t="shared" si="27"/>
        <v>0.5714285714285714</v>
      </c>
      <c r="Y35" s="39">
        <f t="shared" si="27"/>
        <v>15</v>
      </c>
      <c r="Z35" s="39">
        <f t="shared" si="27"/>
        <v>9.1428571428571423</v>
      </c>
      <c r="AA35" s="39">
        <f t="shared" si="27"/>
        <v>6.7142857142857153</v>
      </c>
      <c r="AB35" s="39">
        <f t="shared" si="27"/>
        <v>17.714285714285715</v>
      </c>
      <c r="AC35" s="39">
        <f t="shared" si="27"/>
        <v>554.14285714285711</v>
      </c>
      <c r="AD35" s="39">
        <f t="shared" si="27"/>
        <v>0.14285714285714285</v>
      </c>
      <c r="AE35" s="40">
        <f t="shared" si="27"/>
        <v>229.28571428571428</v>
      </c>
      <c r="AF35" s="40">
        <f t="shared" si="27"/>
        <v>763.57142857142867</v>
      </c>
    </row>
    <row r="36" spans="2:32" ht="23.1" customHeight="1" x14ac:dyDescent="0.25">
      <c r="B36" s="24" t="s">
        <v>63</v>
      </c>
      <c r="C36" s="49">
        <f>AVERAGE('29.07 SPEARMOTORS-NTINDA'!C36,'30.07 SPEARMOTORS-NTINDA'!C36,'31.07 NTINDA-SPEAR MOTORS'!C36,'02.08 NTINDA-SPEARMOTORS'!C36,'01.07 SPEARMOTORS-NTINDA-24h'!C36,'03.08 SPEARMOTORS-NTINDA-24h'!C36,'04.08 SPEARMOTORS-NTINDA'!C36)</f>
        <v>19.142857142857142</v>
      </c>
      <c r="D36" s="49">
        <f>AVERAGE('29.07 SPEARMOTORS-NTINDA'!D36,'30.07 SPEARMOTORS-NTINDA'!D36,'31.07 NTINDA-SPEAR MOTORS'!D36,'02.08 NTINDA-SPEARMOTORS'!D36,'01.07 SPEARMOTORS-NTINDA-24h'!D36,'03.08 SPEARMOTORS-NTINDA-24h'!D36,'04.08 SPEARMOTORS-NTINDA'!D36)</f>
        <v>11.285714285714286</v>
      </c>
      <c r="E36" s="49">
        <f>AVERAGE('29.07 SPEARMOTORS-NTINDA'!E36,'30.07 SPEARMOTORS-NTINDA'!E36,'31.07 NTINDA-SPEAR MOTORS'!E36,'02.08 NTINDA-SPEARMOTORS'!E36,'01.07 SPEARMOTORS-NTINDA-24h'!E36,'03.08 SPEARMOTORS-NTINDA-24h'!E36,'04.08 SPEARMOTORS-NTINDA'!E36)</f>
        <v>3.5714285714285716</v>
      </c>
      <c r="F36" s="49">
        <f>AVERAGE('29.07 SPEARMOTORS-NTINDA'!F36,'30.07 SPEARMOTORS-NTINDA'!F36,'31.07 NTINDA-SPEAR MOTORS'!F36,'02.08 NTINDA-SPEARMOTORS'!F36,'01.07 SPEARMOTORS-NTINDA-24h'!F36,'03.08 SPEARMOTORS-NTINDA-24h'!F36,'04.08 SPEARMOTORS-NTINDA'!F36)</f>
        <v>9.4285714285714288</v>
      </c>
      <c r="G36" s="49">
        <f>AVERAGE('29.07 SPEARMOTORS-NTINDA'!G36,'30.07 SPEARMOTORS-NTINDA'!G36,'31.07 NTINDA-SPEAR MOTORS'!G36,'02.08 NTINDA-SPEARMOTORS'!G36,'01.07 SPEARMOTORS-NTINDA-24h'!G36,'03.08 SPEARMOTORS-NTINDA-24h'!G36,'04.08 SPEARMOTORS-NTINDA'!G36)</f>
        <v>0.14285714285714285</v>
      </c>
      <c r="H36" s="49">
        <f>AVERAGE('29.07 SPEARMOTORS-NTINDA'!H36,'30.07 SPEARMOTORS-NTINDA'!H36,'31.07 NTINDA-SPEAR MOTORS'!H36,'02.08 NTINDA-SPEARMOTORS'!H36,'01.07 SPEARMOTORS-NTINDA-24h'!H36,'03.08 SPEARMOTORS-NTINDA-24h'!H36,'04.08 SPEARMOTORS-NTINDA'!H36)</f>
        <v>0</v>
      </c>
      <c r="I36" s="49">
        <f>AVERAGE('29.07 SPEARMOTORS-NTINDA'!I36,'30.07 SPEARMOTORS-NTINDA'!I36,'31.07 NTINDA-SPEAR MOTORS'!I36,'02.08 NTINDA-SPEARMOTORS'!I36,'01.07 SPEARMOTORS-NTINDA-24h'!I36,'03.08 SPEARMOTORS-NTINDA-24h'!I36,'04.08 SPEARMOTORS-NTINDA'!I36)</f>
        <v>1.7142857142857142</v>
      </c>
      <c r="J36" s="49">
        <f>AVERAGE('29.07 SPEARMOTORS-NTINDA'!J36,'30.07 SPEARMOTORS-NTINDA'!J36,'31.07 NTINDA-SPEAR MOTORS'!J36,'02.08 NTINDA-SPEARMOTORS'!J36,'01.07 SPEARMOTORS-NTINDA-24h'!J36,'03.08 SPEARMOTORS-NTINDA-24h'!J36,'04.08 SPEARMOTORS-NTINDA'!J36)</f>
        <v>1.8571428571428572</v>
      </c>
      <c r="K36" s="49">
        <f>AVERAGE('29.07 SPEARMOTORS-NTINDA'!K36,'30.07 SPEARMOTORS-NTINDA'!K36,'31.07 NTINDA-SPEAR MOTORS'!K36,'02.08 NTINDA-SPEARMOTORS'!K36,'01.07 SPEARMOTORS-NTINDA-24h'!K36,'03.08 SPEARMOTORS-NTINDA-24h'!K36,'04.08 SPEARMOTORS-NTINDA'!K36)</f>
        <v>1.1428571428571428</v>
      </c>
      <c r="L36" s="49">
        <f>AVERAGE('29.07 SPEARMOTORS-NTINDA'!L36,'30.07 SPEARMOTORS-NTINDA'!L36,'31.07 NTINDA-SPEAR MOTORS'!L36,'02.08 NTINDA-SPEARMOTORS'!L36,'01.07 SPEARMOTORS-NTINDA-24h'!L36,'03.08 SPEARMOTORS-NTINDA-24h'!L36,'04.08 SPEARMOTORS-NTINDA'!L36)</f>
        <v>3.4285714285714284</v>
      </c>
      <c r="M36" s="49">
        <f>AVERAGE('29.07 SPEARMOTORS-NTINDA'!M36,'30.07 SPEARMOTORS-NTINDA'!M36,'31.07 NTINDA-SPEAR MOTORS'!M36,'02.08 NTINDA-SPEARMOTORS'!M36,'01.07 SPEARMOTORS-NTINDA-24h'!M36,'03.08 SPEARMOTORS-NTINDA-24h'!M36,'04.08 SPEARMOTORS-NTINDA'!M36)</f>
        <v>84.857142857142861</v>
      </c>
      <c r="N36" s="49">
        <f>AVERAGE('29.07 SPEARMOTORS-NTINDA'!N36,'30.07 SPEARMOTORS-NTINDA'!N36,'31.07 NTINDA-SPEAR MOTORS'!N36,'02.08 NTINDA-SPEARMOTORS'!N36,'01.07 SPEARMOTORS-NTINDA-24h'!N36,'03.08 SPEARMOTORS-NTINDA-24h'!N36,'04.08 SPEARMOTORS-NTINDA'!N36)</f>
        <v>0</v>
      </c>
      <c r="O36" s="15">
        <f t="shared" si="0"/>
        <v>51.714285714285722</v>
      </c>
      <c r="P36" s="15">
        <f t="shared" si="1"/>
        <v>136.57142857142858</v>
      </c>
      <c r="R36" s="38" t="s">
        <v>92</v>
      </c>
      <c r="S36" s="39">
        <f t="shared" ref="S36:AF36" si="28">MAX(S19:S21)</f>
        <v>116.42857142857143</v>
      </c>
      <c r="T36" s="39">
        <f t="shared" si="28"/>
        <v>75.285714285714278</v>
      </c>
      <c r="U36" s="39">
        <f t="shared" si="28"/>
        <v>21.142857142857142</v>
      </c>
      <c r="V36" s="39">
        <f t="shared" si="28"/>
        <v>27.857142857142858</v>
      </c>
      <c r="W36" s="39">
        <f t="shared" si="28"/>
        <v>0.5714285714285714</v>
      </c>
      <c r="X36" s="39">
        <f t="shared" si="28"/>
        <v>0.2857142857142857</v>
      </c>
      <c r="Y36" s="39">
        <f t="shared" si="28"/>
        <v>10.571428571428571</v>
      </c>
      <c r="Z36" s="39">
        <f t="shared" si="28"/>
        <v>6.2857142857142856</v>
      </c>
      <c r="AA36" s="39">
        <f t="shared" si="28"/>
        <v>4.7142857142857135</v>
      </c>
      <c r="AB36" s="39">
        <f t="shared" si="28"/>
        <v>24.571428571428573</v>
      </c>
      <c r="AC36" s="39">
        <f t="shared" si="28"/>
        <v>536.71428571428567</v>
      </c>
      <c r="AD36" s="39">
        <f t="shared" si="28"/>
        <v>0.14285714285714285</v>
      </c>
      <c r="AE36" s="40">
        <f t="shared" si="28"/>
        <v>257.71428571428572</v>
      </c>
      <c r="AF36" s="40">
        <f t="shared" si="28"/>
        <v>778</v>
      </c>
    </row>
    <row r="37" spans="2:32" ht="23.1" customHeight="1" x14ac:dyDescent="0.25">
      <c r="B37" s="23" t="s">
        <v>64</v>
      </c>
      <c r="C37" s="49">
        <f>AVERAGE('29.07 SPEARMOTORS-NTINDA'!C37,'30.07 SPEARMOTORS-NTINDA'!C37,'31.07 NTINDA-SPEAR MOTORS'!C37,'02.08 NTINDA-SPEARMOTORS'!C37,'01.07 SPEARMOTORS-NTINDA-24h'!C37,'03.08 SPEARMOTORS-NTINDA-24h'!C37,'04.08 SPEARMOTORS-NTINDA'!C37)</f>
        <v>22.857142857142858</v>
      </c>
      <c r="D37" s="49">
        <f>AVERAGE('29.07 SPEARMOTORS-NTINDA'!D37,'30.07 SPEARMOTORS-NTINDA'!D37,'31.07 NTINDA-SPEAR MOTORS'!D37,'02.08 NTINDA-SPEARMOTORS'!D37,'01.07 SPEARMOTORS-NTINDA-24h'!D37,'03.08 SPEARMOTORS-NTINDA-24h'!D37,'04.08 SPEARMOTORS-NTINDA'!D37)</f>
        <v>14.571428571428571</v>
      </c>
      <c r="E37" s="49">
        <f>AVERAGE('29.07 SPEARMOTORS-NTINDA'!E37,'30.07 SPEARMOTORS-NTINDA'!E37,'31.07 NTINDA-SPEAR MOTORS'!E37,'02.08 NTINDA-SPEARMOTORS'!E37,'01.07 SPEARMOTORS-NTINDA-24h'!E37,'03.08 SPEARMOTORS-NTINDA-24h'!E37,'04.08 SPEARMOTORS-NTINDA'!E37)</f>
        <v>4.2857142857142856</v>
      </c>
      <c r="F37" s="49">
        <f>AVERAGE('29.07 SPEARMOTORS-NTINDA'!F37,'30.07 SPEARMOTORS-NTINDA'!F37,'31.07 NTINDA-SPEAR MOTORS'!F37,'02.08 NTINDA-SPEARMOTORS'!F37,'01.07 SPEARMOTORS-NTINDA-24h'!F37,'03.08 SPEARMOTORS-NTINDA-24h'!F37,'04.08 SPEARMOTORS-NTINDA'!F37)</f>
        <v>10</v>
      </c>
      <c r="G37" s="49">
        <f>AVERAGE('29.07 SPEARMOTORS-NTINDA'!G37,'30.07 SPEARMOTORS-NTINDA'!G37,'31.07 NTINDA-SPEAR MOTORS'!G37,'02.08 NTINDA-SPEARMOTORS'!G37,'01.07 SPEARMOTORS-NTINDA-24h'!G37,'03.08 SPEARMOTORS-NTINDA-24h'!G37,'04.08 SPEARMOTORS-NTINDA'!G37)</f>
        <v>0.2857142857142857</v>
      </c>
      <c r="H37" s="49">
        <f>AVERAGE('29.07 SPEARMOTORS-NTINDA'!H37,'30.07 SPEARMOTORS-NTINDA'!H37,'31.07 NTINDA-SPEAR MOTORS'!H37,'02.08 NTINDA-SPEARMOTORS'!H37,'01.07 SPEARMOTORS-NTINDA-24h'!H37,'03.08 SPEARMOTORS-NTINDA-24h'!H37,'04.08 SPEARMOTORS-NTINDA'!H37)</f>
        <v>0.14285714285714285</v>
      </c>
      <c r="I37" s="49">
        <f>AVERAGE('29.07 SPEARMOTORS-NTINDA'!I37,'30.07 SPEARMOTORS-NTINDA'!I37,'31.07 NTINDA-SPEAR MOTORS'!I37,'02.08 NTINDA-SPEARMOTORS'!I37,'01.07 SPEARMOTORS-NTINDA-24h'!I37,'03.08 SPEARMOTORS-NTINDA-24h'!I37,'04.08 SPEARMOTORS-NTINDA'!I37)</f>
        <v>2.5714285714285716</v>
      </c>
      <c r="J37" s="49">
        <f>AVERAGE('29.07 SPEARMOTORS-NTINDA'!J37,'30.07 SPEARMOTORS-NTINDA'!J37,'31.07 NTINDA-SPEAR MOTORS'!J37,'02.08 NTINDA-SPEARMOTORS'!J37,'01.07 SPEARMOTORS-NTINDA-24h'!J37,'03.08 SPEARMOTORS-NTINDA-24h'!J37,'04.08 SPEARMOTORS-NTINDA'!J37)</f>
        <v>2.2857142857142856</v>
      </c>
      <c r="K37" s="49">
        <f>AVERAGE('29.07 SPEARMOTORS-NTINDA'!K37,'30.07 SPEARMOTORS-NTINDA'!K37,'31.07 NTINDA-SPEAR MOTORS'!K37,'02.08 NTINDA-SPEARMOTORS'!K37,'01.07 SPEARMOTORS-NTINDA-24h'!K37,'03.08 SPEARMOTORS-NTINDA-24h'!K37,'04.08 SPEARMOTORS-NTINDA'!K37)</f>
        <v>2</v>
      </c>
      <c r="L37" s="49">
        <f>AVERAGE('29.07 SPEARMOTORS-NTINDA'!L37,'30.07 SPEARMOTORS-NTINDA'!L37,'31.07 NTINDA-SPEAR MOTORS'!L37,'02.08 NTINDA-SPEARMOTORS'!L37,'01.07 SPEARMOTORS-NTINDA-24h'!L37,'03.08 SPEARMOTORS-NTINDA-24h'!L37,'04.08 SPEARMOTORS-NTINDA'!L37)</f>
        <v>4.1428571428571432</v>
      </c>
      <c r="M37" s="49">
        <f>AVERAGE('29.07 SPEARMOTORS-NTINDA'!M37,'30.07 SPEARMOTORS-NTINDA'!M37,'31.07 NTINDA-SPEAR MOTORS'!M37,'02.08 NTINDA-SPEARMOTORS'!M37,'01.07 SPEARMOTORS-NTINDA-24h'!M37,'03.08 SPEARMOTORS-NTINDA-24h'!M37,'04.08 SPEARMOTORS-NTINDA'!M37)</f>
        <v>93.428571428571431</v>
      </c>
      <c r="N37" s="49">
        <f>AVERAGE('29.07 SPEARMOTORS-NTINDA'!N37,'30.07 SPEARMOTORS-NTINDA'!N37,'31.07 NTINDA-SPEAR MOTORS'!N37,'02.08 NTINDA-SPEARMOTORS'!N37,'01.07 SPEARMOTORS-NTINDA-24h'!N37,'03.08 SPEARMOTORS-NTINDA-24h'!N37,'04.08 SPEARMOTORS-NTINDA'!N37)</f>
        <v>0</v>
      </c>
      <c r="O37" s="15">
        <f t="shared" si="0"/>
        <v>63.142857142857146</v>
      </c>
      <c r="P37" s="15">
        <f t="shared" si="1"/>
        <v>156.57142857142858</v>
      </c>
      <c r="R37" s="37" t="s">
        <v>85</v>
      </c>
      <c r="S37" s="35">
        <f t="shared" ref="S37:AF37" si="29">SUM(S10:S12)</f>
        <v>237.14285714285717</v>
      </c>
      <c r="T37" s="16">
        <f t="shared" si="29"/>
        <v>110.42857142857143</v>
      </c>
      <c r="U37" s="16">
        <f t="shared" si="29"/>
        <v>56.571428571428569</v>
      </c>
      <c r="V37" s="16">
        <f t="shared" si="29"/>
        <v>161.42857142857142</v>
      </c>
      <c r="W37" s="16">
        <f t="shared" si="29"/>
        <v>2.8571428571428568</v>
      </c>
      <c r="X37" s="16">
        <f t="shared" si="29"/>
        <v>0</v>
      </c>
      <c r="Y37" s="16">
        <f t="shared" si="29"/>
        <v>31.285714285714288</v>
      </c>
      <c r="Z37" s="16">
        <f t="shared" si="29"/>
        <v>18.428571428571431</v>
      </c>
      <c r="AA37" s="16">
        <f t="shared" si="29"/>
        <v>24.142857142857142</v>
      </c>
      <c r="AB37" s="16">
        <f t="shared" si="29"/>
        <v>82.428571428571431</v>
      </c>
      <c r="AC37" s="16">
        <f t="shared" si="29"/>
        <v>1767.714285714286</v>
      </c>
      <c r="AD37" s="16">
        <f t="shared" si="29"/>
        <v>0.14285714285714285</v>
      </c>
      <c r="AE37" s="32">
        <f t="shared" si="29"/>
        <v>724.857142857143</v>
      </c>
      <c r="AF37" s="32">
        <f t="shared" si="29"/>
        <v>2492.5714285714284</v>
      </c>
    </row>
    <row r="38" spans="2:32" ht="23.1" customHeight="1" x14ac:dyDescent="0.25">
      <c r="B38" s="24" t="s">
        <v>65</v>
      </c>
      <c r="C38" s="49">
        <f>AVERAGE('29.07 SPEARMOTORS-NTINDA'!C38,'30.07 SPEARMOTORS-NTINDA'!C38,'31.07 NTINDA-SPEAR MOTORS'!C38,'02.08 NTINDA-SPEARMOTORS'!C38,'01.07 SPEARMOTORS-NTINDA-24h'!C38,'03.08 SPEARMOTORS-NTINDA-24h'!C38,'04.08 SPEARMOTORS-NTINDA'!C38)</f>
        <v>21.285714285714285</v>
      </c>
      <c r="D38" s="49">
        <f>AVERAGE('29.07 SPEARMOTORS-NTINDA'!D38,'30.07 SPEARMOTORS-NTINDA'!D38,'31.07 NTINDA-SPEAR MOTORS'!D38,'02.08 NTINDA-SPEARMOTORS'!D38,'01.07 SPEARMOTORS-NTINDA-24h'!D38,'03.08 SPEARMOTORS-NTINDA-24h'!D38,'04.08 SPEARMOTORS-NTINDA'!D38)</f>
        <v>14</v>
      </c>
      <c r="E38" s="49">
        <f>AVERAGE('29.07 SPEARMOTORS-NTINDA'!E38,'30.07 SPEARMOTORS-NTINDA'!E38,'31.07 NTINDA-SPEAR MOTORS'!E38,'02.08 NTINDA-SPEARMOTORS'!E38,'01.07 SPEARMOTORS-NTINDA-24h'!E38,'03.08 SPEARMOTORS-NTINDA-24h'!E38,'04.08 SPEARMOTORS-NTINDA'!E38)</f>
        <v>4.1428571428571432</v>
      </c>
      <c r="F38" s="49">
        <f>AVERAGE('29.07 SPEARMOTORS-NTINDA'!F38,'30.07 SPEARMOTORS-NTINDA'!F38,'31.07 NTINDA-SPEAR MOTORS'!F38,'02.08 NTINDA-SPEARMOTORS'!F38,'01.07 SPEARMOTORS-NTINDA-24h'!F38,'03.08 SPEARMOTORS-NTINDA-24h'!F38,'04.08 SPEARMOTORS-NTINDA'!F38)</f>
        <v>8.2857142857142865</v>
      </c>
      <c r="G38" s="49">
        <f>AVERAGE('29.07 SPEARMOTORS-NTINDA'!G38,'30.07 SPEARMOTORS-NTINDA'!G38,'31.07 NTINDA-SPEAR MOTORS'!G38,'02.08 NTINDA-SPEARMOTORS'!G38,'01.07 SPEARMOTORS-NTINDA-24h'!G38,'03.08 SPEARMOTORS-NTINDA-24h'!G38,'04.08 SPEARMOTORS-NTINDA'!G38)</f>
        <v>0</v>
      </c>
      <c r="H38" s="49">
        <f>AVERAGE('29.07 SPEARMOTORS-NTINDA'!H38,'30.07 SPEARMOTORS-NTINDA'!H38,'31.07 NTINDA-SPEAR MOTORS'!H38,'02.08 NTINDA-SPEARMOTORS'!H38,'01.07 SPEARMOTORS-NTINDA-24h'!H38,'03.08 SPEARMOTORS-NTINDA-24h'!H38,'04.08 SPEARMOTORS-NTINDA'!H38)</f>
        <v>0.14285714285714285</v>
      </c>
      <c r="I38" s="49">
        <f>AVERAGE('29.07 SPEARMOTORS-NTINDA'!I38,'30.07 SPEARMOTORS-NTINDA'!I38,'31.07 NTINDA-SPEAR MOTORS'!I38,'02.08 NTINDA-SPEARMOTORS'!I38,'01.07 SPEARMOTORS-NTINDA-24h'!I38,'03.08 SPEARMOTORS-NTINDA-24h'!I38,'04.08 SPEARMOTORS-NTINDA'!I38)</f>
        <v>1.7142857142857142</v>
      </c>
      <c r="J38" s="49">
        <f>AVERAGE('29.07 SPEARMOTORS-NTINDA'!J38,'30.07 SPEARMOTORS-NTINDA'!J38,'31.07 NTINDA-SPEAR MOTORS'!J38,'02.08 NTINDA-SPEARMOTORS'!J38,'01.07 SPEARMOTORS-NTINDA-24h'!J38,'03.08 SPEARMOTORS-NTINDA-24h'!J38,'04.08 SPEARMOTORS-NTINDA'!J38)</f>
        <v>1.7142857142857142</v>
      </c>
      <c r="K38" s="49">
        <f>AVERAGE('29.07 SPEARMOTORS-NTINDA'!K38,'30.07 SPEARMOTORS-NTINDA'!K38,'31.07 NTINDA-SPEAR MOTORS'!K38,'02.08 NTINDA-SPEARMOTORS'!K38,'01.07 SPEARMOTORS-NTINDA-24h'!K38,'03.08 SPEARMOTORS-NTINDA-24h'!K38,'04.08 SPEARMOTORS-NTINDA'!K38)</f>
        <v>1.2857142857142858</v>
      </c>
      <c r="L38" s="49">
        <f>AVERAGE('29.07 SPEARMOTORS-NTINDA'!L38,'30.07 SPEARMOTORS-NTINDA'!L38,'31.07 NTINDA-SPEAR MOTORS'!L38,'02.08 NTINDA-SPEARMOTORS'!L38,'01.07 SPEARMOTORS-NTINDA-24h'!L38,'03.08 SPEARMOTORS-NTINDA-24h'!L38,'04.08 SPEARMOTORS-NTINDA'!L38)</f>
        <v>1.7142857142857142</v>
      </c>
      <c r="M38" s="49">
        <f>AVERAGE('29.07 SPEARMOTORS-NTINDA'!M38,'30.07 SPEARMOTORS-NTINDA'!M38,'31.07 NTINDA-SPEAR MOTORS'!M38,'02.08 NTINDA-SPEARMOTORS'!M38,'01.07 SPEARMOTORS-NTINDA-24h'!M38,'03.08 SPEARMOTORS-NTINDA-24h'!M38,'04.08 SPEARMOTORS-NTINDA'!M38)</f>
        <v>100.57142857142857</v>
      </c>
      <c r="N38" s="49">
        <f>AVERAGE('29.07 SPEARMOTORS-NTINDA'!N38,'30.07 SPEARMOTORS-NTINDA'!N38,'31.07 NTINDA-SPEAR MOTORS'!N38,'02.08 NTINDA-SPEARMOTORS'!N38,'01.07 SPEARMOTORS-NTINDA-24h'!N38,'03.08 SPEARMOTORS-NTINDA-24h'!N38,'04.08 SPEARMOTORS-NTINDA'!N38)</f>
        <v>0</v>
      </c>
      <c r="O38" s="15">
        <f t="shared" si="0"/>
        <v>54.285714285714292</v>
      </c>
      <c r="P38" s="15">
        <f t="shared" si="1"/>
        <v>154.85714285714286</v>
      </c>
      <c r="R38" s="28" t="s">
        <v>86</v>
      </c>
      <c r="S38" s="16">
        <f t="shared" ref="S38:AF38" si="30">SUM(S13:S18)</f>
        <v>477.71428571428578</v>
      </c>
      <c r="T38" s="16">
        <f t="shared" si="30"/>
        <v>263.14285714285711</v>
      </c>
      <c r="U38" s="16">
        <f t="shared" si="30"/>
        <v>109.71428571428572</v>
      </c>
      <c r="V38" s="16">
        <f t="shared" si="30"/>
        <v>214.71428571428572</v>
      </c>
      <c r="W38" s="16">
        <f t="shared" si="30"/>
        <v>2.1428571428571428</v>
      </c>
      <c r="X38" s="16">
        <f t="shared" si="30"/>
        <v>1.2857142857142856</v>
      </c>
      <c r="Y38" s="16">
        <f t="shared" si="30"/>
        <v>70</v>
      </c>
      <c r="Z38" s="16">
        <f t="shared" si="30"/>
        <v>45.571428571428569</v>
      </c>
      <c r="AA38" s="16">
        <f t="shared" si="30"/>
        <v>33.714285714285715</v>
      </c>
      <c r="AB38" s="16">
        <f t="shared" si="30"/>
        <v>99.142857142857139</v>
      </c>
      <c r="AC38" s="16">
        <f t="shared" si="30"/>
        <v>2632.5714285714284</v>
      </c>
      <c r="AD38" s="16">
        <f t="shared" si="30"/>
        <v>0.42857142857142855</v>
      </c>
      <c r="AE38" s="32">
        <f t="shared" si="30"/>
        <v>1317.5714285714284</v>
      </c>
      <c r="AF38" s="32">
        <f t="shared" si="30"/>
        <v>3950.1428571428569</v>
      </c>
    </row>
    <row r="39" spans="2:32" ht="23.1" customHeight="1" x14ac:dyDescent="0.25">
      <c r="B39" s="24" t="s">
        <v>66</v>
      </c>
      <c r="C39" s="49">
        <f>AVERAGE('29.07 SPEARMOTORS-NTINDA'!C39,'30.07 SPEARMOTORS-NTINDA'!C39,'31.07 NTINDA-SPEAR MOTORS'!C39,'02.08 NTINDA-SPEARMOTORS'!C39,'01.07 SPEARMOTORS-NTINDA-24h'!C39,'03.08 SPEARMOTORS-NTINDA-24h'!C39,'04.08 SPEARMOTORS-NTINDA'!C39)</f>
        <v>20.428571428571427</v>
      </c>
      <c r="D39" s="49">
        <f>AVERAGE('29.07 SPEARMOTORS-NTINDA'!D39,'30.07 SPEARMOTORS-NTINDA'!D39,'31.07 NTINDA-SPEAR MOTORS'!D39,'02.08 NTINDA-SPEARMOTORS'!D39,'01.07 SPEARMOTORS-NTINDA-24h'!D39,'03.08 SPEARMOTORS-NTINDA-24h'!D39,'04.08 SPEARMOTORS-NTINDA'!D39)</f>
        <v>10.857142857142858</v>
      </c>
      <c r="E39" s="49">
        <f>AVERAGE('29.07 SPEARMOTORS-NTINDA'!E39,'30.07 SPEARMOTORS-NTINDA'!E39,'31.07 NTINDA-SPEAR MOTORS'!E39,'02.08 NTINDA-SPEARMOTORS'!E39,'01.07 SPEARMOTORS-NTINDA-24h'!E39,'03.08 SPEARMOTORS-NTINDA-24h'!E39,'04.08 SPEARMOTORS-NTINDA'!E39)</f>
        <v>4.1428571428571432</v>
      </c>
      <c r="F39" s="49">
        <f>AVERAGE('29.07 SPEARMOTORS-NTINDA'!F39,'30.07 SPEARMOTORS-NTINDA'!F39,'31.07 NTINDA-SPEAR MOTORS'!F39,'02.08 NTINDA-SPEARMOTORS'!F39,'01.07 SPEARMOTORS-NTINDA-24h'!F39,'03.08 SPEARMOTORS-NTINDA-24h'!F39,'04.08 SPEARMOTORS-NTINDA'!F39)</f>
        <v>7.1428571428571432</v>
      </c>
      <c r="G39" s="49">
        <f>AVERAGE('29.07 SPEARMOTORS-NTINDA'!G39,'30.07 SPEARMOTORS-NTINDA'!G39,'31.07 NTINDA-SPEAR MOTORS'!G39,'02.08 NTINDA-SPEARMOTORS'!G39,'01.07 SPEARMOTORS-NTINDA-24h'!G39,'03.08 SPEARMOTORS-NTINDA-24h'!G39,'04.08 SPEARMOTORS-NTINDA'!G39)</f>
        <v>0.14285714285714285</v>
      </c>
      <c r="H39" s="49">
        <f>AVERAGE('29.07 SPEARMOTORS-NTINDA'!H39,'30.07 SPEARMOTORS-NTINDA'!H39,'31.07 NTINDA-SPEAR MOTORS'!H39,'02.08 NTINDA-SPEARMOTORS'!H39,'01.07 SPEARMOTORS-NTINDA-24h'!H39,'03.08 SPEARMOTORS-NTINDA-24h'!H39,'04.08 SPEARMOTORS-NTINDA'!H39)</f>
        <v>0</v>
      </c>
      <c r="I39" s="49">
        <f>AVERAGE('29.07 SPEARMOTORS-NTINDA'!I39,'30.07 SPEARMOTORS-NTINDA'!I39,'31.07 NTINDA-SPEAR MOTORS'!I39,'02.08 NTINDA-SPEARMOTORS'!I39,'01.07 SPEARMOTORS-NTINDA-24h'!I39,'03.08 SPEARMOTORS-NTINDA-24h'!I39,'04.08 SPEARMOTORS-NTINDA'!I39)</f>
        <v>1.7142857142857142</v>
      </c>
      <c r="J39" s="49">
        <f>AVERAGE('29.07 SPEARMOTORS-NTINDA'!J39,'30.07 SPEARMOTORS-NTINDA'!J39,'31.07 NTINDA-SPEAR MOTORS'!J39,'02.08 NTINDA-SPEARMOTORS'!J39,'01.07 SPEARMOTORS-NTINDA-24h'!J39,'03.08 SPEARMOTORS-NTINDA-24h'!J39,'04.08 SPEARMOTORS-NTINDA'!J39)</f>
        <v>1.8571428571428572</v>
      </c>
      <c r="K39" s="49">
        <f>AVERAGE('29.07 SPEARMOTORS-NTINDA'!K39,'30.07 SPEARMOTORS-NTINDA'!K39,'31.07 NTINDA-SPEAR MOTORS'!K39,'02.08 NTINDA-SPEARMOTORS'!K39,'01.07 SPEARMOTORS-NTINDA-24h'!K39,'03.08 SPEARMOTORS-NTINDA-24h'!K39,'04.08 SPEARMOTORS-NTINDA'!K39)</f>
        <v>2.1428571428571428</v>
      </c>
      <c r="L39" s="49">
        <f>AVERAGE('29.07 SPEARMOTORS-NTINDA'!L39,'30.07 SPEARMOTORS-NTINDA'!L39,'31.07 NTINDA-SPEAR MOTORS'!L39,'02.08 NTINDA-SPEARMOTORS'!L39,'01.07 SPEARMOTORS-NTINDA-24h'!L39,'03.08 SPEARMOTORS-NTINDA-24h'!L39,'04.08 SPEARMOTORS-NTINDA'!L39)</f>
        <v>5.4285714285714288</v>
      </c>
      <c r="M39" s="49">
        <f>AVERAGE('29.07 SPEARMOTORS-NTINDA'!M39,'30.07 SPEARMOTORS-NTINDA'!M39,'31.07 NTINDA-SPEAR MOTORS'!M39,'02.08 NTINDA-SPEARMOTORS'!M39,'01.07 SPEARMOTORS-NTINDA-24h'!M39,'03.08 SPEARMOTORS-NTINDA-24h'!M39,'04.08 SPEARMOTORS-NTINDA'!M39)</f>
        <v>84.714285714285708</v>
      </c>
      <c r="N39" s="49">
        <f>AVERAGE('29.07 SPEARMOTORS-NTINDA'!N39,'30.07 SPEARMOTORS-NTINDA'!N39,'31.07 NTINDA-SPEAR MOTORS'!N39,'02.08 NTINDA-SPEARMOTORS'!N39,'01.07 SPEARMOTORS-NTINDA-24h'!N39,'03.08 SPEARMOTORS-NTINDA-24h'!N39,'04.08 SPEARMOTORS-NTINDA'!N39)</f>
        <v>0</v>
      </c>
      <c r="O39" s="15">
        <f t="shared" si="0"/>
        <v>53.857142857142868</v>
      </c>
      <c r="P39" s="15">
        <f t="shared" si="1"/>
        <v>138.57142857142858</v>
      </c>
      <c r="R39" s="29" t="s">
        <v>87</v>
      </c>
      <c r="S39" s="16">
        <f t="shared" ref="S39:AF39" si="31">SUM(S19:S21)</f>
        <v>316.42857142857144</v>
      </c>
      <c r="T39" s="16">
        <f t="shared" si="31"/>
        <v>187.71428571428572</v>
      </c>
      <c r="U39" s="16">
        <f t="shared" si="31"/>
        <v>57.142857142857146</v>
      </c>
      <c r="V39" s="16">
        <f t="shared" si="31"/>
        <v>78.285714285714278</v>
      </c>
      <c r="W39" s="16">
        <f t="shared" si="31"/>
        <v>1.2857142857142856</v>
      </c>
      <c r="X39" s="16">
        <f t="shared" si="31"/>
        <v>0.2857142857142857</v>
      </c>
      <c r="Y39" s="16">
        <f t="shared" si="31"/>
        <v>25.428571428571431</v>
      </c>
      <c r="Z39" s="16">
        <f t="shared" si="31"/>
        <v>17</v>
      </c>
      <c r="AA39" s="16">
        <f t="shared" si="31"/>
        <v>10.857142857142856</v>
      </c>
      <c r="AB39" s="16">
        <f t="shared" si="31"/>
        <v>44.428571428571431</v>
      </c>
      <c r="AC39" s="16">
        <f t="shared" si="31"/>
        <v>1559.2857142857142</v>
      </c>
      <c r="AD39" s="16">
        <f t="shared" si="31"/>
        <v>0.14285714285714285</v>
      </c>
      <c r="AE39" s="32">
        <f t="shared" si="31"/>
        <v>739</v>
      </c>
      <c r="AF39" s="32">
        <f t="shared" si="31"/>
        <v>2298.2857142857142</v>
      </c>
    </row>
    <row r="40" spans="2:32" ht="23.1" customHeight="1" x14ac:dyDescent="0.25">
      <c r="B40" s="24" t="s">
        <v>67</v>
      </c>
      <c r="C40" s="49">
        <f>AVERAGE('29.07 SPEARMOTORS-NTINDA'!C40,'30.07 SPEARMOTORS-NTINDA'!C40,'31.07 NTINDA-SPEAR MOTORS'!C40,'02.08 NTINDA-SPEARMOTORS'!C40,'01.07 SPEARMOTORS-NTINDA-24h'!C40,'03.08 SPEARMOTORS-NTINDA-24h'!C40,'04.08 SPEARMOTORS-NTINDA'!C40)</f>
        <v>21.857142857142858</v>
      </c>
      <c r="D40" s="49">
        <f>AVERAGE('29.07 SPEARMOTORS-NTINDA'!D40,'30.07 SPEARMOTORS-NTINDA'!D40,'31.07 NTINDA-SPEAR MOTORS'!D40,'02.08 NTINDA-SPEARMOTORS'!D40,'01.07 SPEARMOTORS-NTINDA-24h'!D40,'03.08 SPEARMOTORS-NTINDA-24h'!D40,'04.08 SPEARMOTORS-NTINDA'!D40)</f>
        <v>9.8571428571428577</v>
      </c>
      <c r="E40" s="49">
        <f>AVERAGE('29.07 SPEARMOTORS-NTINDA'!E40,'30.07 SPEARMOTORS-NTINDA'!E40,'31.07 NTINDA-SPEAR MOTORS'!E40,'02.08 NTINDA-SPEARMOTORS'!E40,'01.07 SPEARMOTORS-NTINDA-24h'!E40,'03.08 SPEARMOTORS-NTINDA-24h'!E40,'04.08 SPEARMOTORS-NTINDA'!E40)</f>
        <v>5</v>
      </c>
      <c r="F40" s="49">
        <f>AVERAGE('29.07 SPEARMOTORS-NTINDA'!F40,'30.07 SPEARMOTORS-NTINDA'!F40,'31.07 NTINDA-SPEAR MOTORS'!F40,'02.08 NTINDA-SPEARMOTORS'!F40,'01.07 SPEARMOTORS-NTINDA-24h'!F40,'03.08 SPEARMOTORS-NTINDA-24h'!F40,'04.08 SPEARMOTORS-NTINDA'!F40)</f>
        <v>8.7142857142857135</v>
      </c>
      <c r="G40" s="49">
        <f>AVERAGE('29.07 SPEARMOTORS-NTINDA'!G40,'30.07 SPEARMOTORS-NTINDA'!G40,'31.07 NTINDA-SPEAR MOTORS'!G40,'02.08 NTINDA-SPEARMOTORS'!G40,'01.07 SPEARMOTORS-NTINDA-24h'!G40,'03.08 SPEARMOTORS-NTINDA-24h'!G40,'04.08 SPEARMOTORS-NTINDA'!G40)</f>
        <v>0</v>
      </c>
      <c r="H40" s="49">
        <f>AVERAGE('29.07 SPEARMOTORS-NTINDA'!H40,'30.07 SPEARMOTORS-NTINDA'!H40,'31.07 NTINDA-SPEAR MOTORS'!H40,'02.08 NTINDA-SPEARMOTORS'!H40,'01.07 SPEARMOTORS-NTINDA-24h'!H40,'03.08 SPEARMOTORS-NTINDA-24h'!H40,'04.08 SPEARMOTORS-NTINDA'!H40)</f>
        <v>0</v>
      </c>
      <c r="I40" s="49">
        <f>AVERAGE('29.07 SPEARMOTORS-NTINDA'!I40,'30.07 SPEARMOTORS-NTINDA'!I40,'31.07 NTINDA-SPEAR MOTORS'!I40,'02.08 NTINDA-SPEARMOTORS'!I40,'01.07 SPEARMOTORS-NTINDA-24h'!I40,'03.08 SPEARMOTORS-NTINDA-24h'!I40,'04.08 SPEARMOTORS-NTINDA'!I40)</f>
        <v>3.2857142857142856</v>
      </c>
      <c r="J40" s="49">
        <f>AVERAGE('29.07 SPEARMOTORS-NTINDA'!J40,'30.07 SPEARMOTORS-NTINDA'!J40,'31.07 NTINDA-SPEAR MOTORS'!J40,'02.08 NTINDA-SPEARMOTORS'!J40,'01.07 SPEARMOTORS-NTINDA-24h'!J40,'03.08 SPEARMOTORS-NTINDA-24h'!J40,'04.08 SPEARMOTORS-NTINDA'!J40)</f>
        <v>1.8571428571428572</v>
      </c>
      <c r="K40" s="49">
        <f>AVERAGE('29.07 SPEARMOTORS-NTINDA'!K40,'30.07 SPEARMOTORS-NTINDA'!K40,'31.07 NTINDA-SPEAR MOTORS'!K40,'02.08 NTINDA-SPEARMOTORS'!K40,'01.07 SPEARMOTORS-NTINDA-24h'!K40,'03.08 SPEARMOTORS-NTINDA-24h'!K40,'04.08 SPEARMOTORS-NTINDA'!K40)</f>
        <v>1.8571428571428572</v>
      </c>
      <c r="L40" s="49">
        <f>AVERAGE('29.07 SPEARMOTORS-NTINDA'!L40,'30.07 SPEARMOTORS-NTINDA'!L40,'31.07 NTINDA-SPEAR MOTORS'!L40,'02.08 NTINDA-SPEARMOTORS'!L40,'01.07 SPEARMOTORS-NTINDA-24h'!L40,'03.08 SPEARMOTORS-NTINDA-24h'!L40,'04.08 SPEARMOTORS-NTINDA'!L40)</f>
        <v>3.5714285714285716</v>
      </c>
      <c r="M40" s="49">
        <f>AVERAGE('29.07 SPEARMOTORS-NTINDA'!M40,'30.07 SPEARMOTORS-NTINDA'!M40,'31.07 NTINDA-SPEAR MOTORS'!M40,'02.08 NTINDA-SPEARMOTORS'!M40,'01.07 SPEARMOTORS-NTINDA-24h'!M40,'03.08 SPEARMOTORS-NTINDA-24h'!M40,'04.08 SPEARMOTORS-NTINDA'!M40)</f>
        <v>86.142857142857139</v>
      </c>
      <c r="N40" s="49">
        <f>AVERAGE('29.07 SPEARMOTORS-NTINDA'!N40,'30.07 SPEARMOTORS-NTINDA'!N40,'31.07 NTINDA-SPEAR MOTORS'!N40,'02.08 NTINDA-SPEARMOTORS'!N40,'01.07 SPEARMOTORS-NTINDA-24h'!N40,'03.08 SPEARMOTORS-NTINDA-24h'!N40,'04.08 SPEARMOTORS-NTINDA'!N40)</f>
        <v>0</v>
      </c>
      <c r="O40" s="15">
        <f t="shared" si="0"/>
        <v>55.999999999999993</v>
      </c>
      <c r="P40" s="15">
        <f t="shared" si="1"/>
        <v>142.14285714285714</v>
      </c>
      <c r="R40" s="5" t="s">
        <v>17</v>
      </c>
      <c r="S40" s="16">
        <f t="shared" ref="S40:AF40" si="32">SUM(S10:S21)</f>
        <v>1031.2857142857144</v>
      </c>
      <c r="T40" s="16">
        <f t="shared" si="32"/>
        <v>561.28571428571422</v>
      </c>
      <c r="U40" s="16">
        <f t="shared" si="32"/>
        <v>223.42857142857142</v>
      </c>
      <c r="V40" s="16">
        <f t="shared" si="32"/>
        <v>454.42857142857139</v>
      </c>
      <c r="W40" s="16">
        <f t="shared" si="32"/>
        <v>6.2857142857142856</v>
      </c>
      <c r="X40" s="16">
        <f t="shared" si="32"/>
        <v>1.5714285714285712</v>
      </c>
      <c r="Y40" s="16">
        <f t="shared" si="32"/>
        <v>126.71428571428572</v>
      </c>
      <c r="Z40" s="16">
        <f t="shared" si="32"/>
        <v>81</v>
      </c>
      <c r="AA40" s="16">
        <f t="shared" si="32"/>
        <v>68.714285714285722</v>
      </c>
      <c r="AB40" s="16">
        <f t="shared" si="32"/>
        <v>226.00000000000003</v>
      </c>
      <c r="AC40" s="16">
        <f t="shared" si="32"/>
        <v>5959.5714285714284</v>
      </c>
      <c r="AD40" s="16">
        <f t="shared" si="32"/>
        <v>0.71428571428571419</v>
      </c>
      <c r="AE40" s="32">
        <f t="shared" si="32"/>
        <v>2781.4285714285716</v>
      </c>
      <c r="AF40" s="32">
        <f t="shared" si="32"/>
        <v>8741</v>
      </c>
    </row>
    <row r="41" spans="2:32" ht="23.1" customHeight="1" x14ac:dyDescent="0.25">
      <c r="B41" s="23" t="s">
        <v>68</v>
      </c>
      <c r="C41" s="49">
        <f>AVERAGE('29.07 SPEARMOTORS-NTINDA'!C41,'30.07 SPEARMOTORS-NTINDA'!C41,'31.07 NTINDA-SPEAR MOTORS'!C41,'02.08 NTINDA-SPEARMOTORS'!C41,'01.07 SPEARMOTORS-NTINDA-24h'!C41,'03.08 SPEARMOTORS-NTINDA-24h'!C41,'04.08 SPEARMOTORS-NTINDA'!C41)</f>
        <v>21.857142857142858</v>
      </c>
      <c r="D41" s="49">
        <f>AVERAGE('29.07 SPEARMOTORS-NTINDA'!D41,'30.07 SPEARMOTORS-NTINDA'!D41,'31.07 NTINDA-SPEAR MOTORS'!D41,'02.08 NTINDA-SPEARMOTORS'!D41,'01.07 SPEARMOTORS-NTINDA-24h'!D41,'03.08 SPEARMOTORS-NTINDA-24h'!D41,'04.08 SPEARMOTORS-NTINDA'!D41)</f>
        <v>16.142857142857142</v>
      </c>
      <c r="E41" s="49">
        <f>AVERAGE('29.07 SPEARMOTORS-NTINDA'!E41,'30.07 SPEARMOTORS-NTINDA'!E41,'31.07 NTINDA-SPEAR MOTORS'!E41,'02.08 NTINDA-SPEARMOTORS'!E41,'01.07 SPEARMOTORS-NTINDA-24h'!E41,'03.08 SPEARMOTORS-NTINDA-24h'!E41,'04.08 SPEARMOTORS-NTINDA'!E41)</f>
        <v>5.1428571428571432</v>
      </c>
      <c r="F41" s="49">
        <f>AVERAGE('29.07 SPEARMOTORS-NTINDA'!F41,'30.07 SPEARMOTORS-NTINDA'!F41,'31.07 NTINDA-SPEAR MOTORS'!F41,'02.08 NTINDA-SPEARMOTORS'!F41,'01.07 SPEARMOTORS-NTINDA-24h'!F41,'03.08 SPEARMOTORS-NTINDA-24h'!F41,'04.08 SPEARMOTORS-NTINDA'!F41)</f>
        <v>6.1428571428571432</v>
      </c>
      <c r="G41" s="49">
        <f>AVERAGE('29.07 SPEARMOTORS-NTINDA'!G41,'30.07 SPEARMOTORS-NTINDA'!G41,'31.07 NTINDA-SPEAR MOTORS'!G41,'02.08 NTINDA-SPEARMOTORS'!G41,'01.07 SPEARMOTORS-NTINDA-24h'!G41,'03.08 SPEARMOTORS-NTINDA-24h'!G41,'04.08 SPEARMOTORS-NTINDA'!G41)</f>
        <v>0</v>
      </c>
      <c r="H41" s="49">
        <f>AVERAGE('29.07 SPEARMOTORS-NTINDA'!H41,'30.07 SPEARMOTORS-NTINDA'!H41,'31.07 NTINDA-SPEAR MOTORS'!H41,'02.08 NTINDA-SPEARMOTORS'!H41,'01.07 SPEARMOTORS-NTINDA-24h'!H41,'03.08 SPEARMOTORS-NTINDA-24h'!H41,'04.08 SPEARMOTORS-NTINDA'!H41)</f>
        <v>0</v>
      </c>
      <c r="I41" s="49">
        <f>AVERAGE('29.07 SPEARMOTORS-NTINDA'!I41,'30.07 SPEARMOTORS-NTINDA'!I41,'31.07 NTINDA-SPEAR MOTORS'!I41,'02.08 NTINDA-SPEARMOTORS'!I41,'01.07 SPEARMOTORS-NTINDA-24h'!I41,'03.08 SPEARMOTORS-NTINDA-24h'!I41,'04.08 SPEARMOTORS-NTINDA'!I41)</f>
        <v>2.2857142857142856</v>
      </c>
      <c r="J41" s="49">
        <f>AVERAGE('29.07 SPEARMOTORS-NTINDA'!J41,'30.07 SPEARMOTORS-NTINDA'!J41,'31.07 NTINDA-SPEAR MOTORS'!J41,'02.08 NTINDA-SPEARMOTORS'!J41,'01.07 SPEARMOTORS-NTINDA-24h'!J41,'03.08 SPEARMOTORS-NTINDA-24h'!J41,'04.08 SPEARMOTORS-NTINDA'!J41)</f>
        <v>1.4285714285714286</v>
      </c>
      <c r="K41" s="49">
        <f>AVERAGE('29.07 SPEARMOTORS-NTINDA'!K41,'30.07 SPEARMOTORS-NTINDA'!K41,'31.07 NTINDA-SPEAR MOTORS'!K41,'02.08 NTINDA-SPEARMOTORS'!K41,'01.07 SPEARMOTORS-NTINDA-24h'!K41,'03.08 SPEARMOTORS-NTINDA-24h'!K41,'04.08 SPEARMOTORS-NTINDA'!K41)</f>
        <v>0.8571428571428571</v>
      </c>
      <c r="L41" s="49">
        <f>AVERAGE('29.07 SPEARMOTORS-NTINDA'!L41,'30.07 SPEARMOTORS-NTINDA'!L41,'31.07 NTINDA-SPEAR MOTORS'!L41,'02.08 NTINDA-SPEARMOTORS'!L41,'01.07 SPEARMOTORS-NTINDA-24h'!L41,'03.08 SPEARMOTORS-NTINDA-24h'!L41,'04.08 SPEARMOTORS-NTINDA'!L41)</f>
        <v>6.2857142857142856</v>
      </c>
      <c r="M41" s="49">
        <f>AVERAGE('29.07 SPEARMOTORS-NTINDA'!M41,'30.07 SPEARMOTORS-NTINDA'!M41,'31.07 NTINDA-SPEAR MOTORS'!M41,'02.08 NTINDA-SPEARMOTORS'!M41,'01.07 SPEARMOTORS-NTINDA-24h'!M41,'03.08 SPEARMOTORS-NTINDA-24h'!M41,'04.08 SPEARMOTORS-NTINDA'!M41)</f>
        <v>101.85714285714286</v>
      </c>
      <c r="N41" s="49">
        <f>AVERAGE('29.07 SPEARMOTORS-NTINDA'!N41,'30.07 SPEARMOTORS-NTINDA'!N41,'31.07 NTINDA-SPEAR MOTORS'!N41,'02.08 NTINDA-SPEARMOTORS'!N41,'01.07 SPEARMOTORS-NTINDA-24h'!N41,'03.08 SPEARMOTORS-NTINDA-24h'!N41,'04.08 SPEARMOTORS-NTINDA'!N41)</f>
        <v>0</v>
      </c>
      <c r="O41" s="15">
        <f t="shared" si="0"/>
        <v>60.142857142857146</v>
      </c>
      <c r="P41" s="15">
        <f t="shared" si="1"/>
        <v>162</v>
      </c>
    </row>
    <row r="42" spans="2:32" ht="23.1" customHeight="1" x14ac:dyDescent="0.25">
      <c r="B42" s="24" t="s">
        <v>69</v>
      </c>
      <c r="C42" s="49">
        <f>AVERAGE('29.07 SPEARMOTORS-NTINDA'!C42,'30.07 SPEARMOTORS-NTINDA'!C42,'31.07 NTINDA-SPEAR MOTORS'!C42,'02.08 NTINDA-SPEARMOTORS'!C42,'01.07 SPEARMOTORS-NTINDA-24h'!C42,'03.08 SPEARMOTORS-NTINDA-24h'!C42,'04.08 SPEARMOTORS-NTINDA'!C42)</f>
        <v>20.285714285714285</v>
      </c>
      <c r="D42" s="49">
        <f>AVERAGE('29.07 SPEARMOTORS-NTINDA'!D42,'30.07 SPEARMOTORS-NTINDA'!D42,'31.07 NTINDA-SPEAR MOTORS'!D42,'02.08 NTINDA-SPEARMOTORS'!D42,'01.07 SPEARMOTORS-NTINDA-24h'!D42,'03.08 SPEARMOTORS-NTINDA-24h'!D42,'04.08 SPEARMOTORS-NTINDA'!D42)</f>
        <v>11</v>
      </c>
      <c r="E42" s="49">
        <f>AVERAGE('29.07 SPEARMOTORS-NTINDA'!E42,'30.07 SPEARMOTORS-NTINDA'!E42,'31.07 NTINDA-SPEAR MOTORS'!E42,'02.08 NTINDA-SPEARMOTORS'!E42,'01.07 SPEARMOTORS-NTINDA-24h'!E42,'03.08 SPEARMOTORS-NTINDA-24h'!E42,'04.08 SPEARMOTORS-NTINDA'!E42)</f>
        <v>3.8571428571428572</v>
      </c>
      <c r="F42" s="49">
        <f>AVERAGE('29.07 SPEARMOTORS-NTINDA'!F42,'30.07 SPEARMOTORS-NTINDA'!F42,'31.07 NTINDA-SPEAR MOTORS'!F42,'02.08 NTINDA-SPEARMOTORS'!F42,'01.07 SPEARMOTORS-NTINDA-24h'!F42,'03.08 SPEARMOTORS-NTINDA-24h'!F42,'04.08 SPEARMOTORS-NTINDA'!F42)</f>
        <v>5.2857142857142856</v>
      </c>
      <c r="G42" s="49">
        <f>AVERAGE('29.07 SPEARMOTORS-NTINDA'!G42,'30.07 SPEARMOTORS-NTINDA'!G42,'31.07 NTINDA-SPEAR MOTORS'!G42,'02.08 NTINDA-SPEARMOTORS'!G42,'01.07 SPEARMOTORS-NTINDA-24h'!G42,'03.08 SPEARMOTORS-NTINDA-24h'!G42,'04.08 SPEARMOTORS-NTINDA'!G42)</f>
        <v>0.14285714285714285</v>
      </c>
      <c r="H42" s="49">
        <f>AVERAGE('29.07 SPEARMOTORS-NTINDA'!H42,'30.07 SPEARMOTORS-NTINDA'!H42,'31.07 NTINDA-SPEAR MOTORS'!H42,'02.08 NTINDA-SPEARMOTORS'!H42,'01.07 SPEARMOTORS-NTINDA-24h'!H42,'03.08 SPEARMOTORS-NTINDA-24h'!H42,'04.08 SPEARMOTORS-NTINDA'!H42)</f>
        <v>0.14285714285714285</v>
      </c>
      <c r="I42" s="49">
        <f>AVERAGE('29.07 SPEARMOTORS-NTINDA'!I42,'30.07 SPEARMOTORS-NTINDA'!I42,'31.07 NTINDA-SPEAR MOTORS'!I42,'02.08 NTINDA-SPEARMOTORS'!I42,'01.07 SPEARMOTORS-NTINDA-24h'!I42,'03.08 SPEARMOTORS-NTINDA-24h'!I42,'04.08 SPEARMOTORS-NTINDA'!I42)</f>
        <v>3.1428571428571428</v>
      </c>
      <c r="J42" s="49">
        <f>AVERAGE('29.07 SPEARMOTORS-NTINDA'!J42,'30.07 SPEARMOTORS-NTINDA'!J42,'31.07 NTINDA-SPEAR MOTORS'!J42,'02.08 NTINDA-SPEARMOTORS'!J42,'01.07 SPEARMOTORS-NTINDA-24h'!J42,'03.08 SPEARMOTORS-NTINDA-24h'!J42,'04.08 SPEARMOTORS-NTINDA'!J42)</f>
        <v>1.7142857142857142</v>
      </c>
      <c r="K42" s="49">
        <f>AVERAGE('29.07 SPEARMOTORS-NTINDA'!K42,'30.07 SPEARMOTORS-NTINDA'!K42,'31.07 NTINDA-SPEAR MOTORS'!K42,'02.08 NTINDA-SPEARMOTORS'!K42,'01.07 SPEARMOTORS-NTINDA-24h'!K42,'03.08 SPEARMOTORS-NTINDA-24h'!K42,'04.08 SPEARMOTORS-NTINDA'!K42)</f>
        <v>2</v>
      </c>
      <c r="L42" s="49">
        <f>AVERAGE('29.07 SPEARMOTORS-NTINDA'!L42,'30.07 SPEARMOTORS-NTINDA'!L42,'31.07 NTINDA-SPEAR MOTORS'!L42,'02.08 NTINDA-SPEARMOTORS'!L42,'01.07 SPEARMOTORS-NTINDA-24h'!L42,'03.08 SPEARMOTORS-NTINDA-24h'!L42,'04.08 SPEARMOTORS-NTINDA'!L42)</f>
        <v>4</v>
      </c>
      <c r="M42" s="49">
        <f>AVERAGE('29.07 SPEARMOTORS-NTINDA'!M42,'30.07 SPEARMOTORS-NTINDA'!M42,'31.07 NTINDA-SPEAR MOTORS'!M42,'02.08 NTINDA-SPEARMOTORS'!M42,'01.07 SPEARMOTORS-NTINDA-24h'!M42,'03.08 SPEARMOTORS-NTINDA-24h'!M42,'04.08 SPEARMOTORS-NTINDA'!M42)</f>
        <v>92</v>
      </c>
      <c r="N42" s="49">
        <f>AVERAGE('29.07 SPEARMOTORS-NTINDA'!N42,'30.07 SPEARMOTORS-NTINDA'!N42,'31.07 NTINDA-SPEAR MOTORS'!N42,'02.08 NTINDA-SPEARMOTORS'!N42,'01.07 SPEARMOTORS-NTINDA-24h'!N42,'03.08 SPEARMOTORS-NTINDA-24h'!N42,'04.08 SPEARMOTORS-NTINDA'!N42)</f>
        <v>0</v>
      </c>
      <c r="O42" s="15">
        <f t="shared" si="0"/>
        <v>51.571428571428577</v>
      </c>
      <c r="P42" s="15">
        <f t="shared" si="1"/>
        <v>143.57142857142858</v>
      </c>
    </row>
    <row r="43" spans="2:32" ht="23.1" customHeight="1" x14ac:dyDescent="0.25">
      <c r="B43" s="23" t="s">
        <v>70</v>
      </c>
      <c r="C43" s="49">
        <f>AVERAGE('29.07 SPEARMOTORS-NTINDA'!C43,'30.07 SPEARMOTORS-NTINDA'!C43,'31.07 NTINDA-SPEAR MOTORS'!C43,'02.08 NTINDA-SPEARMOTORS'!C43,'01.07 SPEARMOTORS-NTINDA-24h'!C43,'03.08 SPEARMOTORS-NTINDA-24h'!C43,'04.08 SPEARMOTORS-NTINDA'!C43)</f>
        <v>24.142857142857142</v>
      </c>
      <c r="D43" s="49">
        <f>AVERAGE('29.07 SPEARMOTORS-NTINDA'!D43,'30.07 SPEARMOTORS-NTINDA'!D43,'31.07 NTINDA-SPEAR MOTORS'!D43,'02.08 NTINDA-SPEARMOTORS'!D43,'01.07 SPEARMOTORS-NTINDA-24h'!D43,'03.08 SPEARMOTORS-NTINDA-24h'!D43,'04.08 SPEARMOTORS-NTINDA'!D43)</f>
        <v>10.714285714285714</v>
      </c>
      <c r="E43" s="49">
        <f>AVERAGE('29.07 SPEARMOTORS-NTINDA'!E43,'30.07 SPEARMOTORS-NTINDA'!E43,'31.07 NTINDA-SPEAR MOTORS'!E43,'02.08 NTINDA-SPEARMOTORS'!E43,'01.07 SPEARMOTORS-NTINDA-24h'!E43,'03.08 SPEARMOTORS-NTINDA-24h'!E43,'04.08 SPEARMOTORS-NTINDA'!E43)</f>
        <v>5</v>
      </c>
      <c r="F43" s="49">
        <f>AVERAGE('29.07 SPEARMOTORS-NTINDA'!F43,'30.07 SPEARMOTORS-NTINDA'!F43,'31.07 NTINDA-SPEAR MOTORS'!F43,'02.08 NTINDA-SPEARMOTORS'!F43,'01.07 SPEARMOTORS-NTINDA-24h'!F43,'03.08 SPEARMOTORS-NTINDA-24h'!F43,'04.08 SPEARMOTORS-NTINDA'!F43)</f>
        <v>8.2857142857142865</v>
      </c>
      <c r="G43" s="49">
        <f>AVERAGE('29.07 SPEARMOTORS-NTINDA'!G43,'30.07 SPEARMOTORS-NTINDA'!G43,'31.07 NTINDA-SPEAR MOTORS'!G43,'02.08 NTINDA-SPEARMOTORS'!G43,'01.07 SPEARMOTORS-NTINDA-24h'!G43,'03.08 SPEARMOTORS-NTINDA-24h'!G43,'04.08 SPEARMOTORS-NTINDA'!G43)</f>
        <v>0.14285714285714285</v>
      </c>
      <c r="H43" s="49">
        <f>AVERAGE('29.07 SPEARMOTORS-NTINDA'!H43,'30.07 SPEARMOTORS-NTINDA'!H43,'31.07 NTINDA-SPEAR MOTORS'!H43,'02.08 NTINDA-SPEARMOTORS'!H43,'01.07 SPEARMOTORS-NTINDA-24h'!H43,'03.08 SPEARMOTORS-NTINDA-24h'!H43,'04.08 SPEARMOTORS-NTINDA'!H43)</f>
        <v>0</v>
      </c>
      <c r="I43" s="49">
        <f>AVERAGE('29.07 SPEARMOTORS-NTINDA'!I43,'30.07 SPEARMOTORS-NTINDA'!I43,'31.07 NTINDA-SPEAR MOTORS'!I43,'02.08 NTINDA-SPEARMOTORS'!I43,'01.07 SPEARMOTORS-NTINDA-24h'!I43,'03.08 SPEARMOTORS-NTINDA-24h'!I43,'04.08 SPEARMOTORS-NTINDA'!I43)</f>
        <v>2.4285714285714284</v>
      </c>
      <c r="J43" s="49">
        <f>AVERAGE('29.07 SPEARMOTORS-NTINDA'!J43,'30.07 SPEARMOTORS-NTINDA'!J43,'31.07 NTINDA-SPEAR MOTORS'!J43,'02.08 NTINDA-SPEARMOTORS'!J43,'01.07 SPEARMOTORS-NTINDA-24h'!J43,'03.08 SPEARMOTORS-NTINDA-24h'!J43,'04.08 SPEARMOTORS-NTINDA'!J43)</f>
        <v>1.4285714285714286</v>
      </c>
      <c r="K43" s="49">
        <f>AVERAGE('29.07 SPEARMOTORS-NTINDA'!K43,'30.07 SPEARMOTORS-NTINDA'!K43,'31.07 NTINDA-SPEAR MOTORS'!K43,'02.08 NTINDA-SPEARMOTORS'!K43,'01.07 SPEARMOTORS-NTINDA-24h'!K43,'03.08 SPEARMOTORS-NTINDA-24h'!K43,'04.08 SPEARMOTORS-NTINDA'!K43)</f>
        <v>1</v>
      </c>
      <c r="L43" s="49">
        <f>AVERAGE('29.07 SPEARMOTORS-NTINDA'!L43,'30.07 SPEARMOTORS-NTINDA'!L43,'31.07 NTINDA-SPEAR MOTORS'!L43,'02.08 NTINDA-SPEARMOTORS'!L43,'01.07 SPEARMOTORS-NTINDA-24h'!L43,'03.08 SPEARMOTORS-NTINDA-24h'!L43,'04.08 SPEARMOTORS-NTINDA'!L43)</f>
        <v>4.4285714285714288</v>
      </c>
      <c r="M43" s="49">
        <f>AVERAGE('29.07 SPEARMOTORS-NTINDA'!M43,'30.07 SPEARMOTORS-NTINDA'!M43,'31.07 NTINDA-SPEAR MOTORS'!M43,'02.08 NTINDA-SPEARMOTORS'!M43,'01.07 SPEARMOTORS-NTINDA-24h'!M43,'03.08 SPEARMOTORS-NTINDA-24h'!M43,'04.08 SPEARMOTORS-NTINDA'!M43)</f>
        <v>106.85714285714286</v>
      </c>
      <c r="N43" s="49">
        <f>AVERAGE('29.07 SPEARMOTORS-NTINDA'!N43,'30.07 SPEARMOTORS-NTINDA'!N43,'31.07 NTINDA-SPEAR MOTORS'!N43,'02.08 NTINDA-SPEARMOTORS'!N43,'01.07 SPEARMOTORS-NTINDA-24h'!N43,'03.08 SPEARMOTORS-NTINDA-24h'!N43,'04.08 SPEARMOTORS-NTINDA'!N43)</f>
        <v>0</v>
      </c>
      <c r="O43" s="15">
        <f t="shared" si="0"/>
        <v>57.571428571428577</v>
      </c>
      <c r="P43" s="15">
        <f t="shared" si="1"/>
        <v>164.42857142857144</v>
      </c>
    </row>
    <row r="44" spans="2:32" ht="23.1" customHeight="1" x14ac:dyDescent="0.25">
      <c r="B44" s="25" t="s">
        <v>71</v>
      </c>
      <c r="C44" s="49">
        <f>AVERAGE('29.07 SPEARMOTORS-NTINDA'!C44,'30.07 SPEARMOTORS-NTINDA'!C44,'31.07 NTINDA-SPEAR MOTORS'!C44,'02.08 NTINDA-SPEARMOTORS'!C44,'01.07 SPEARMOTORS-NTINDA-24h'!C44,'03.08 SPEARMOTORS-NTINDA-24h'!C44,'04.08 SPEARMOTORS-NTINDA'!C44)</f>
        <v>23.857142857142858</v>
      </c>
      <c r="D44" s="49">
        <f>AVERAGE('29.07 SPEARMOTORS-NTINDA'!D44,'30.07 SPEARMOTORS-NTINDA'!D44,'31.07 NTINDA-SPEAR MOTORS'!D44,'02.08 NTINDA-SPEARMOTORS'!D44,'01.07 SPEARMOTORS-NTINDA-24h'!D44,'03.08 SPEARMOTORS-NTINDA-24h'!D44,'04.08 SPEARMOTORS-NTINDA'!D44)</f>
        <v>15.714285714285714</v>
      </c>
      <c r="E44" s="49">
        <f>AVERAGE('29.07 SPEARMOTORS-NTINDA'!E44,'30.07 SPEARMOTORS-NTINDA'!E44,'31.07 NTINDA-SPEAR MOTORS'!E44,'02.08 NTINDA-SPEARMOTORS'!E44,'01.07 SPEARMOTORS-NTINDA-24h'!E44,'03.08 SPEARMOTORS-NTINDA-24h'!E44,'04.08 SPEARMOTORS-NTINDA'!E44)</f>
        <v>5</v>
      </c>
      <c r="F44" s="49">
        <f>AVERAGE('29.07 SPEARMOTORS-NTINDA'!F44,'30.07 SPEARMOTORS-NTINDA'!F44,'31.07 NTINDA-SPEAR MOTORS'!F44,'02.08 NTINDA-SPEARMOTORS'!F44,'01.07 SPEARMOTORS-NTINDA-24h'!F44,'03.08 SPEARMOTORS-NTINDA-24h'!F44,'04.08 SPEARMOTORS-NTINDA'!F44)</f>
        <v>7</v>
      </c>
      <c r="G44" s="49">
        <f>AVERAGE('29.07 SPEARMOTORS-NTINDA'!G44,'30.07 SPEARMOTORS-NTINDA'!G44,'31.07 NTINDA-SPEAR MOTORS'!G44,'02.08 NTINDA-SPEARMOTORS'!G44,'01.07 SPEARMOTORS-NTINDA-24h'!G44,'03.08 SPEARMOTORS-NTINDA-24h'!G44,'04.08 SPEARMOTORS-NTINDA'!G44)</f>
        <v>0.14285714285714285</v>
      </c>
      <c r="H44" s="49">
        <f>AVERAGE('29.07 SPEARMOTORS-NTINDA'!H44,'30.07 SPEARMOTORS-NTINDA'!H44,'31.07 NTINDA-SPEAR MOTORS'!H44,'02.08 NTINDA-SPEARMOTORS'!H44,'01.07 SPEARMOTORS-NTINDA-24h'!H44,'03.08 SPEARMOTORS-NTINDA-24h'!H44,'04.08 SPEARMOTORS-NTINDA'!H44)</f>
        <v>0</v>
      </c>
      <c r="I44" s="49">
        <f>AVERAGE('29.07 SPEARMOTORS-NTINDA'!I44,'30.07 SPEARMOTORS-NTINDA'!I44,'31.07 NTINDA-SPEAR MOTORS'!I44,'02.08 NTINDA-SPEARMOTORS'!I44,'01.07 SPEARMOTORS-NTINDA-24h'!I44,'03.08 SPEARMOTORS-NTINDA-24h'!I44,'04.08 SPEARMOTORS-NTINDA'!I44)</f>
        <v>2.2857142857142856</v>
      </c>
      <c r="J44" s="49">
        <f>AVERAGE('29.07 SPEARMOTORS-NTINDA'!J44,'30.07 SPEARMOTORS-NTINDA'!J44,'31.07 NTINDA-SPEAR MOTORS'!J44,'02.08 NTINDA-SPEARMOTORS'!J44,'01.07 SPEARMOTORS-NTINDA-24h'!J44,'03.08 SPEARMOTORS-NTINDA-24h'!J44,'04.08 SPEARMOTORS-NTINDA'!J44)</f>
        <v>2.2857142857142856</v>
      </c>
      <c r="K44" s="49">
        <f>AVERAGE('29.07 SPEARMOTORS-NTINDA'!K44,'30.07 SPEARMOTORS-NTINDA'!K44,'31.07 NTINDA-SPEAR MOTORS'!K44,'02.08 NTINDA-SPEARMOTORS'!K44,'01.07 SPEARMOTORS-NTINDA-24h'!K44,'03.08 SPEARMOTORS-NTINDA-24h'!K44,'04.08 SPEARMOTORS-NTINDA'!K44)</f>
        <v>1.1428571428571428</v>
      </c>
      <c r="L44" s="49">
        <f>AVERAGE('29.07 SPEARMOTORS-NTINDA'!L44,'30.07 SPEARMOTORS-NTINDA'!L44,'31.07 NTINDA-SPEAR MOTORS'!L44,'02.08 NTINDA-SPEARMOTORS'!L44,'01.07 SPEARMOTORS-NTINDA-24h'!L44,'03.08 SPEARMOTORS-NTINDA-24h'!L44,'04.08 SPEARMOTORS-NTINDA'!L44)</f>
        <v>4.2857142857142856</v>
      </c>
      <c r="M44" s="49">
        <f>AVERAGE('29.07 SPEARMOTORS-NTINDA'!M44,'30.07 SPEARMOTORS-NTINDA'!M44,'31.07 NTINDA-SPEAR MOTORS'!M44,'02.08 NTINDA-SPEARMOTORS'!M44,'01.07 SPEARMOTORS-NTINDA-24h'!M44,'03.08 SPEARMOTORS-NTINDA-24h'!M44,'04.08 SPEARMOTORS-NTINDA'!M44)</f>
        <v>102</v>
      </c>
      <c r="N44" s="49">
        <f>AVERAGE('29.07 SPEARMOTORS-NTINDA'!N44,'30.07 SPEARMOTORS-NTINDA'!N44,'31.07 NTINDA-SPEAR MOTORS'!N44,'02.08 NTINDA-SPEARMOTORS'!N44,'01.07 SPEARMOTORS-NTINDA-24h'!N44,'03.08 SPEARMOTORS-NTINDA-24h'!N44,'04.08 SPEARMOTORS-NTINDA'!N44)</f>
        <v>0</v>
      </c>
      <c r="O44" s="15">
        <f t="shared" si="0"/>
        <v>61.714285714285715</v>
      </c>
      <c r="P44" s="15">
        <f t="shared" si="1"/>
        <v>163.71428571428572</v>
      </c>
    </row>
    <row r="45" spans="2:32" ht="23.1" customHeight="1" x14ac:dyDescent="0.25">
      <c r="B45" s="23" t="s">
        <v>72</v>
      </c>
      <c r="C45" s="49">
        <f>AVERAGE('29.07 SPEARMOTORS-NTINDA'!C45,'30.07 SPEARMOTORS-NTINDA'!C45,'31.07 NTINDA-SPEAR MOTORS'!C45,'02.08 NTINDA-SPEARMOTORS'!C45,'01.07 SPEARMOTORS-NTINDA-24h'!C45,'03.08 SPEARMOTORS-NTINDA-24h'!C45,'04.08 SPEARMOTORS-NTINDA'!C45)</f>
        <v>23.571428571428573</v>
      </c>
      <c r="D45" s="49">
        <f>AVERAGE('29.07 SPEARMOTORS-NTINDA'!D45,'30.07 SPEARMOTORS-NTINDA'!D45,'31.07 NTINDA-SPEAR MOTORS'!D45,'02.08 NTINDA-SPEARMOTORS'!D45,'01.07 SPEARMOTORS-NTINDA-24h'!D45,'03.08 SPEARMOTORS-NTINDA-24h'!D45,'04.08 SPEARMOTORS-NTINDA'!D45)</f>
        <v>11.428571428571429</v>
      </c>
      <c r="E45" s="49">
        <f>AVERAGE('29.07 SPEARMOTORS-NTINDA'!E45,'30.07 SPEARMOTORS-NTINDA'!E45,'31.07 NTINDA-SPEAR MOTORS'!E45,'02.08 NTINDA-SPEARMOTORS'!E45,'01.07 SPEARMOTORS-NTINDA-24h'!E45,'03.08 SPEARMOTORS-NTINDA-24h'!E45,'04.08 SPEARMOTORS-NTINDA'!E45)</f>
        <v>4.5714285714285712</v>
      </c>
      <c r="F45" s="49">
        <f>AVERAGE('29.07 SPEARMOTORS-NTINDA'!F45,'30.07 SPEARMOTORS-NTINDA'!F45,'31.07 NTINDA-SPEAR MOTORS'!F45,'02.08 NTINDA-SPEARMOTORS'!F45,'01.07 SPEARMOTORS-NTINDA-24h'!F45,'03.08 SPEARMOTORS-NTINDA-24h'!F45,'04.08 SPEARMOTORS-NTINDA'!F45)</f>
        <v>7.2857142857142856</v>
      </c>
      <c r="G45" s="49">
        <f>AVERAGE('29.07 SPEARMOTORS-NTINDA'!G45,'30.07 SPEARMOTORS-NTINDA'!G45,'31.07 NTINDA-SPEAR MOTORS'!G45,'02.08 NTINDA-SPEARMOTORS'!G45,'01.07 SPEARMOTORS-NTINDA-24h'!G45,'03.08 SPEARMOTORS-NTINDA-24h'!G45,'04.08 SPEARMOTORS-NTINDA'!G45)</f>
        <v>0</v>
      </c>
      <c r="H45" s="49">
        <f>AVERAGE('29.07 SPEARMOTORS-NTINDA'!H45,'30.07 SPEARMOTORS-NTINDA'!H45,'31.07 NTINDA-SPEAR MOTORS'!H45,'02.08 NTINDA-SPEARMOTORS'!H45,'01.07 SPEARMOTORS-NTINDA-24h'!H45,'03.08 SPEARMOTORS-NTINDA-24h'!H45,'04.08 SPEARMOTORS-NTINDA'!H45)</f>
        <v>0</v>
      </c>
      <c r="I45" s="49">
        <f>AVERAGE('29.07 SPEARMOTORS-NTINDA'!I45,'30.07 SPEARMOTORS-NTINDA'!I45,'31.07 NTINDA-SPEAR MOTORS'!I45,'02.08 NTINDA-SPEARMOTORS'!I45,'01.07 SPEARMOTORS-NTINDA-24h'!I45,'03.08 SPEARMOTORS-NTINDA-24h'!I45,'04.08 SPEARMOTORS-NTINDA'!I45)</f>
        <v>3.8571428571428572</v>
      </c>
      <c r="J45" s="49">
        <f>AVERAGE('29.07 SPEARMOTORS-NTINDA'!J45,'30.07 SPEARMOTORS-NTINDA'!J45,'31.07 NTINDA-SPEAR MOTORS'!J45,'02.08 NTINDA-SPEARMOTORS'!J45,'01.07 SPEARMOTORS-NTINDA-24h'!J45,'03.08 SPEARMOTORS-NTINDA-24h'!J45,'04.08 SPEARMOTORS-NTINDA'!J45)</f>
        <v>2</v>
      </c>
      <c r="K45" s="49">
        <f>AVERAGE('29.07 SPEARMOTORS-NTINDA'!K45,'30.07 SPEARMOTORS-NTINDA'!K45,'31.07 NTINDA-SPEAR MOTORS'!K45,'02.08 NTINDA-SPEARMOTORS'!K45,'01.07 SPEARMOTORS-NTINDA-24h'!K45,'03.08 SPEARMOTORS-NTINDA-24h'!K45,'04.08 SPEARMOTORS-NTINDA'!K45)</f>
        <v>0.8571428571428571</v>
      </c>
      <c r="L45" s="49">
        <f>AVERAGE('29.07 SPEARMOTORS-NTINDA'!L45,'30.07 SPEARMOTORS-NTINDA'!L45,'31.07 NTINDA-SPEAR MOTORS'!L45,'02.08 NTINDA-SPEARMOTORS'!L45,'01.07 SPEARMOTORS-NTINDA-24h'!L45,'03.08 SPEARMOTORS-NTINDA-24h'!L45,'04.08 SPEARMOTORS-NTINDA'!L45)</f>
        <v>4.8571428571428568</v>
      </c>
      <c r="M45" s="49">
        <f>AVERAGE('29.07 SPEARMOTORS-NTINDA'!M45,'30.07 SPEARMOTORS-NTINDA'!M45,'31.07 NTINDA-SPEAR MOTORS'!M45,'02.08 NTINDA-SPEARMOTORS'!M45,'01.07 SPEARMOTORS-NTINDA-24h'!M45,'03.08 SPEARMOTORS-NTINDA-24h'!M45,'04.08 SPEARMOTORS-NTINDA'!M45)</f>
        <v>123</v>
      </c>
      <c r="N45" s="49">
        <f>AVERAGE('29.07 SPEARMOTORS-NTINDA'!N45,'30.07 SPEARMOTORS-NTINDA'!N45,'31.07 NTINDA-SPEAR MOTORS'!N45,'02.08 NTINDA-SPEARMOTORS'!N45,'01.07 SPEARMOTORS-NTINDA-24h'!N45,'03.08 SPEARMOTORS-NTINDA-24h'!N45,'04.08 SPEARMOTORS-NTINDA'!N45)</f>
        <v>0</v>
      </c>
      <c r="O45" s="15">
        <f t="shared" si="0"/>
        <v>58.428571428571416</v>
      </c>
      <c r="P45" s="15">
        <f t="shared" si="1"/>
        <v>181.42857142857142</v>
      </c>
      <c r="R45" s="20"/>
      <c r="S45" s="19"/>
      <c r="T45"/>
    </row>
    <row r="46" spans="2:32" ht="23.1" customHeight="1" x14ac:dyDescent="0.25">
      <c r="B46" s="24" t="s">
        <v>73</v>
      </c>
      <c r="C46" s="49">
        <f>AVERAGE('29.07 SPEARMOTORS-NTINDA'!C46,'30.07 SPEARMOTORS-NTINDA'!C46,'31.07 NTINDA-SPEAR MOTORS'!C46,'02.08 NTINDA-SPEARMOTORS'!C46,'01.07 SPEARMOTORS-NTINDA-24h'!C46,'03.08 SPEARMOTORS-NTINDA-24h'!C46,'04.08 SPEARMOTORS-NTINDA'!C46)</f>
        <v>20.857142857142858</v>
      </c>
      <c r="D46" s="49">
        <f>AVERAGE('29.07 SPEARMOTORS-NTINDA'!D46,'30.07 SPEARMOTORS-NTINDA'!D46,'31.07 NTINDA-SPEAR MOTORS'!D46,'02.08 NTINDA-SPEARMOTORS'!D46,'01.07 SPEARMOTORS-NTINDA-24h'!D46,'03.08 SPEARMOTORS-NTINDA-24h'!D46,'04.08 SPEARMOTORS-NTINDA'!D46)</f>
        <v>12.428571428571429</v>
      </c>
      <c r="E46" s="49">
        <f>AVERAGE('29.07 SPEARMOTORS-NTINDA'!E46,'30.07 SPEARMOTORS-NTINDA'!E46,'31.07 NTINDA-SPEAR MOTORS'!E46,'02.08 NTINDA-SPEARMOTORS'!E46,'01.07 SPEARMOTORS-NTINDA-24h'!E46,'03.08 SPEARMOTORS-NTINDA-24h'!E46,'04.08 SPEARMOTORS-NTINDA'!E46)</f>
        <v>6.5714285714285712</v>
      </c>
      <c r="F46" s="49">
        <f>AVERAGE('29.07 SPEARMOTORS-NTINDA'!F46,'30.07 SPEARMOTORS-NTINDA'!F46,'31.07 NTINDA-SPEAR MOTORS'!F46,'02.08 NTINDA-SPEARMOTORS'!F46,'01.07 SPEARMOTORS-NTINDA-24h'!F46,'03.08 SPEARMOTORS-NTINDA-24h'!F46,'04.08 SPEARMOTORS-NTINDA'!F46)</f>
        <v>9.2857142857142865</v>
      </c>
      <c r="G46" s="49">
        <f>AVERAGE('29.07 SPEARMOTORS-NTINDA'!G46,'30.07 SPEARMOTORS-NTINDA'!G46,'31.07 NTINDA-SPEAR MOTORS'!G46,'02.08 NTINDA-SPEARMOTORS'!G46,'01.07 SPEARMOTORS-NTINDA-24h'!G46,'03.08 SPEARMOTORS-NTINDA-24h'!G46,'04.08 SPEARMOTORS-NTINDA'!G46)</f>
        <v>0</v>
      </c>
      <c r="H46" s="49">
        <f>AVERAGE('29.07 SPEARMOTORS-NTINDA'!H46,'30.07 SPEARMOTORS-NTINDA'!H46,'31.07 NTINDA-SPEAR MOTORS'!H46,'02.08 NTINDA-SPEARMOTORS'!H46,'01.07 SPEARMOTORS-NTINDA-24h'!H46,'03.08 SPEARMOTORS-NTINDA-24h'!H46,'04.08 SPEARMOTORS-NTINDA'!H46)</f>
        <v>0</v>
      </c>
      <c r="I46" s="49">
        <f>AVERAGE('29.07 SPEARMOTORS-NTINDA'!I46,'30.07 SPEARMOTORS-NTINDA'!I46,'31.07 NTINDA-SPEAR MOTORS'!I46,'02.08 NTINDA-SPEARMOTORS'!I46,'01.07 SPEARMOTORS-NTINDA-24h'!I46,'03.08 SPEARMOTORS-NTINDA-24h'!I46,'04.08 SPEARMOTORS-NTINDA'!I46)</f>
        <v>2.2857142857142856</v>
      </c>
      <c r="J46" s="49">
        <f>AVERAGE('29.07 SPEARMOTORS-NTINDA'!J46,'30.07 SPEARMOTORS-NTINDA'!J46,'31.07 NTINDA-SPEAR MOTORS'!J46,'02.08 NTINDA-SPEARMOTORS'!J46,'01.07 SPEARMOTORS-NTINDA-24h'!J46,'03.08 SPEARMOTORS-NTINDA-24h'!J46,'04.08 SPEARMOTORS-NTINDA'!J46)</f>
        <v>1.4285714285714286</v>
      </c>
      <c r="K46" s="49">
        <f>AVERAGE('29.07 SPEARMOTORS-NTINDA'!K46,'30.07 SPEARMOTORS-NTINDA'!K46,'31.07 NTINDA-SPEAR MOTORS'!K46,'02.08 NTINDA-SPEARMOTORS'!K46,'01.07 SPEARMOTORS-NTINDA-24h'!K46,'03.08 SPEARMOTORS-NTINDA-24h'!K46,'04.08 SPEARMOTORS-NTINDA'!K46)</f>
        <v>0.8571428571428571</v>
      </c>
      <c r="L46" s="49">
        <f>AVERAGE('29.07 SPEARMOTORS-NTINDA'!L46,'30.07 SPEARMOTORS-NTINDA'!L46,'31.07 NTINDA-SPEAR MOTORS'!L46,'02.08 NTINDA-SPEARMOTORS'!L46,'01.07 SPEARMOTORS-NTINDA-24h'!L46,'03.08 SPEARMOTORS-NTINDA-24h'!L46,'04.08 SPEARMOTORS-NTINDA'!L46)</f>
        <v>4.4285714285714288</v>
      </c>
      <c r="M46" s="49">
        <f>AVERAGE('29.07 SPEARMOTORS-NTINDA'!M46,'30.07 SPEARMOTORS-NTINDA'!M46,'31.07 NTINDA-SPEAR MOTORS'!M46,'02.08 NTINDA-SPEARMOTORS'!M46,'01.07 SPEARMOTORS-NTINDA-24h'!M46,'03.08 SPEARMOTORS-NTINDA-24h'!M46,'04.08 SPEARMOTORS-NTINDA'!M46)</f>
        <v>131.71428571428572</v>
      </c>
      <c r="N46" s="49">
        <f>AVERAGE('29.07 SPEARMOTORS-NTINDA'!N46,'30.07 SPEARMOTORS-NTINDA'!N46,'31.07 NTINDA-SPEAR MOTORS'!N46,'02.08 NTINDA-SPEARMOTORS'!N46,'01.07 SPEARMOTORS-NTINDA-24h'!N46,'03.08 SPEARMOTORS-NTINDA-24h'!N46,'04.08 SPEARMOTORS-NTINDA'!N46)</f>
        <v>0</v>
      </c>
      <c r="O46" s="15">
        <f t="shared" si="0"/>
        <v>58.142857142857139</v>
      </c>
      <c r="P46" s="15">
        <f t="shared" si="1"/>
        <v>189.85714285714286</v>
      </c>
      <c r="R46" s="8"/>
      <c r="T46"/>
    </row>
    <row r="47" spans="2:32" ht="23.1" customHeight="1" x14ac:dyDescent="0.25">
      <c r="B47" s="24" t="s">
        <v>74</v>
      </c>
      <c r="C47" s="49">
        <f>AVERAGE('29.07 SPEARMOTORS-NTINDA'!C47,'30.07 SPEARMOTORS-NTINDA'!C47,'31.07 NTINDA-SPEAR MOTORS'!C47,'02.08 NTINDA-SPEARMOTORS'!C47,'01.07 SPEARMOTORS-NTINDA-24h'!C47,'03.08 SPEARMOTORS-NTINDA-24h'!C47,'04.08 SPEARMOTORS-NTINDA'!C47)</f>
        <v>25.142857142857142</v>
      </c>
      <c r="D47" s="49">
        <f>AVERAGE('29.07 SPEARMOTORS-NTINDA'!D47,'30.07 SPEARMOTORS-NTINDA'!D47,'31.07 NTINDA-SPEAR MOTORS'!D47,'02.08 NTINDA-SPEARMOTORS'!D47,'01.07 SPEARMOTORS-NTINDA-24h'!D47,'03.08 SPEARMOTORS-NTINDA-24h'!D47,'04.08 SPEARMOTORS-NTINDA'!D47)</f>
        <v>13.285714285714286</v>
      </c>
      <c r="E47" s="49">
        <f>AVERAGE('29.07 SPEARMOTORS-NTINDA'!E47,'30.07 SPEARMOTORS-NTINDA'!E47,'31.07 NTINDA-SPEAR MOTORS'!E47,'02.08 NTINDA-SPEARMOTORS'!E47,'01.07 SPEARMOTORS-NTINDA-24h'!E47,'03.08 SPEARMOTORS-NTINDA-24h'!E47,'04.08 SPEARMOTORS-NTINDA'!E47)</f>
        <v>5.8571428571428568</v>
      </c>
      <c r="F47" s="49">
        <f>AVERAGE('29.07 SPEARMOTORS-NTINDA'!F47,'30.07 SPEARMOTORS-NTINDA'!F47,'31.07 NTINDA-SPEAR MOTORS'!F47,'02.08 NTINDA-SPEARMOTORS'!F47,'01.07 SPEARMOTORS-NTINDA-24h'!F47,'03.08 SPEARMOTORS-NTINDA-24h'!F47,'04.08 SPEARMOTORS-NTINDA'!F47)</f>
        <v>7.2857142857142856</v>
      </c>
      <c r="G47" s="49">
        <f>AVERAGE('29.07 SPEARMOTORS-NTINDA'!G47,'30.07 SPEARMOTORS-NTINDA'!G47,'31.07 NTINDA-SPEAR MOTORS'!G47,'02.08 NTINDA-SPEARMOTORS'!G47,'01.07 SPEARMOTORS-NTINDA-24h'!G47,'03.08 SPEARMOTORS-NTINDA-24h'!G47,'04.08 SPEARMOTORS-NTINDA'!G47)</f>
        <v>0.14285714285714285</v>
      </c>
      <c r="H47" s="49">
        <f>AVERAGE('29.07 SPEARMOTORS-NTINDA'!H47,'30.07 SPEARMOTORS-NTINDA'!H47,'31.07 NTINDA-SPEAR MOTORS'!H47,'02.08 NTINDA-SPEARMOTORS'!H47,'01.07 SPEARMOTORS-NTINDA-24h'!H47,'03.08 SPEARMOTORS-NTINDA-24h'!H47,'04.08 SPEARMOTORS-NTINDA'!H47)</f>
        <v>0</v>
      </c>
      <c r="I47" s="49">
        <f>AVERAGE('29.07 SPEARMOTORS-NTINDA'!I47,'30.07 SPEARMOTORS-NTINDA'!I47,'31.07 NTINDA-SPEAR MOTORS'!I47,'02.08 NTINDA-SPEARMOTORS'!I47,'01.07 SPEARMOTORS-NTINDA-24h'!I47,'03.08 SPEARMOTORS-NTINDA-24h'!I47,'04.08 SPEARMOTORS-NTINDA'!I47)</f>
        <v>3.4285714285714284</v>
      </c>
      <c r="J47" s="49">
        <f>AVERAGE('29.07 SPEARMOTORS-NTINDA'!J47,'30.07 SPEARMOTORS-NTINDA'!J47,'31.07 NTINDA-SPEAR MOTORS'!J47,'02.08 NTINDA-SPEARMOTORS'!J47,'01.07 SPEARMOTORS-NTINDA-24h'!J47,'03.08 SPEARMOTORS-NTINDA-24h'!J47,'04.08 SPEARMOTORS-NTINDA'!J47)</f>
        <v>1.5714285714285714</v>
      </c>
      <c r="K47" s="49">
        <f>AVERAGE('29.07 SPEARMOTORS-NTINDA'!K47,'30.07 SPEARMOTORS-NTINDA'!K47,'31.07 NTINDA-SPEAR MOTORS'!K47,'02.08 NTINDA-SPEARMOTORS'!K47,'01.07 SPEARMOTORS-NTINDA-24h'!K47,'03.08 SPEARMOTORS-NTINDA-24h'!K47,'04.08 SPEARMOTORS-NTINDA'!K47)</f>
        <v>1.4285714285714286</v>
      </c>
      <c r="L47" s="49">
        <f>AVERAGE('29.07 SPEARMOTORS-NTINDA'!L47,'30.07 SPEARMOTORS-NTINDA'!L47,'31.07 NTINDA-SPEAR MOTORS'!L47,'02.08 NTINDA-SPEARMOTORS'!L47,'01.07 SPEARMOTORS-NTINDA-24h'!L47,'03.08 SPEARMOTORS-NTINDA-24h'!L47,'04.08 SPEARMOTORS-NTINDA'!L47)</f>
        <v>6.5714285714285712</v>
      </c>
      <c r="M47" s="49">
        <f>AVERAGE('29.07 SPEARMOTORS-NTINDA'!M47,'30.07 SPEARMOTORS-NTINDA'!M47,'31.07 NTINDA-SPEAR MOTORS'!M47,'02.08 NTINDA-SPEARMOTORS'!M47,'01.07 SPEARMOTORS-NTINDA-24h'!M47,'03.08 SPEARMOTORS-NTINDA-24h'!M47,'04.08 SPEARMOTORS-NTINDA'!M47)</f>
        <v>120.57142857142857</v>
      </c>
      <c r="N47" s="49">
        <f>AVERAGE('29.07 SPEARMOTORS-NTINDA'!N47,'30.07 SPEARMOTORS-NTINDA'!N47,'31.07 NTINDA-SPEAR MOTORS'!N47,'02.08 NTINDA-SPEARMOTORS'!N47,'01.07 SPEARMOTORS-NTINDA-24h'!N47,'03.08 SPEARMOTORS-NTINDA-24h'!N47,'04.08 SPEARMOTORS-NTINDA'!N47)</f>
        <v>0</v>
      </c>
      <c r="O47" s="15">
        <f t="shared" si="0"/>
        <v>64.714285714285722</v>
      </c>
      <c r="P47" s="15">
        <f t="shared" si="1"/>
        <v>185.28571428571428</v>
      </c>
      <c r="R47" s="8"/>
      <c r="T47"/>
    </row>
    <row r="48" spans="2:32" ht="23.1" customHeight="1" x14ac:dyDescent="0.25">
      <c r="B48" s="24" t="s">
        <v>75</v>
      </c>
      <c r="C48" s="49">
        <f>AVERAGE('29.07 SPEARMOTORS-NTINDA'!C48,'30.07 SPEARMOTORS-NTINDA'!C48,'31.07 NTINDA-SPEAR MOTORS'!C48,'02.08 NTINDA-SPEARMOTORS'!C48,'01.07 SPEARMOTORS-NTINDA-24h'!C48,'03.08 SPEARMOTORS-NTINDA-24h'!C48,'04.08 SPEARMOTORS-NTINDA'!C48)</f>
        <v>20.714285714285715</v>
      </c>
      <c r="D48" s="49">
        <f>AVERAGE('29.07 SPEARMOTORS-NTINDA'!D48,'30.07 SPEARMOTORS-NTINDA'!D48,'31.07 NTINDA-SPEAR MOTORS'!D48,'02.08 NTINDA-SPEARMOTORS'!D48,'01.07 SPEARMOTORS-NTINDA-24h'!D48,'03.08 SPEARMOTORS-NTINDA-24h'!D48,'04.08 SPEARMOTORS-NTINDA'!D48)</f>
        <v>13.714285714285714</v>
      </c>
      <c r="E48" s="49">
        <f>AVERAGE('29.07 SPEARMOTORS-NTINDA'!E48,'30.07 SPEARMOTORS-NTINDA'!E48,'31.07 NTINDA-SPEAR MOTORS'!E48,'02.08 NTINDA-SPEARMOTORS'!E48,'01.07 SPEARMOTORS-NTINDA-24h'!E48,'03.08 SPEARMOTORS-NTINDA-24h'!E48,'04.08 SPEARMOTORS-NTINDA'!E48)</f>
        <v>4</v>
      </c>
      <c r="F48" s="49">
        <f>AVERAGE('29.07 SPEARMOTORS-NTINDA'!F48,'30.07 SPEARMOTORS-NTINDA'!F48,'31.07 NTINDA-SPEAR MOTORS'!F48,'02.08 NTINDA-SPEARMOTORS'!F48,'01.07 SPEARMOTORS-NTINDA-24h'!F48,'03.08 SPEARMOTORS-NTINDA-24h'!F48,'04.08 SPEARMOTORS-NTINDA'!F48)</f>
        <v>5.4285714285714288</v>
      </c>
      <c r="G48" s="49">
        <f>AVERAGE('29.07 SPEARMOTORS-NTINDA'!G48,'30.07 SPEARMOTORS-NTINDA'!G48,'31.07 NTINDA-SPEAR MOTORS'!G48,'02.08 NTINDA-SPEARMOTORS'!G48,'01.07 SPEARMOTORS-NTINDA-24h'!G48,'03.08 SPEARMOTORS-NTINDA-24h'!G48,'04.08 SPEARMOTORS-NTINDA'!G48)</f>
        <v>0.14285714285714285</v>
      </c>
      <c r="H48" s="49">
        <f>AVERAGE('29.07 SPEARMOTORS-NTINDA'!H48,'30.07 SPEARMOTORS-NTINDA'!H48,'31.07 NTINDA-SPEAR MOTORS'!H48,'02.08 NTINDA-SPEARMOTORS'!H48,'01.07 SPEARMOTORS-NTINDA-24h'!H48,'03.08 SPEARMOTORS-NTINDA-24h'!H48,'04.08 SPEARMOTORS-NTINDA'!H48)</f>
        <v>0</v>
      </c>
      <c r="I48" s="49">
        <f>AVERAGE('29.07 SPEARMOTORS-NTINDA'!I48,'30.07 SPEARMOTORS-NTINDA'!I48,'31.07 NTINDA-SPEAR MOTORS'!I48,'02.08 NTINDA-SPEARMOTORS'!I48,'01.07 SPEARMOTORS-NTINDA-24h'!I48,'03.08 SPEARMOTORS-NTINDA-24h'!I48,'04.08 SPEARMOTORS-NTINDA'!I48)</f>
        <v>2.4285714285714284</v>
      </c>
      <c r="J48" s="49">
        <f>AVERAGE('29.07 SPEARMOTORS-NTINDA'!J48,'30.07 SPEARMOTORS-NTINDA'!J48,'31.07 NTINDA-SPEAR MOTORS'!J48,'02.08 NTINDA-SPEARMOTORS'!J48,'01.07 SPEARMOTORS-NTINDA-24h'!J48,'03.08 SPEARMOTORS-NTINDA-24h'!J48,'04.08 SPEARMOTORS-NTINDA'!J48)</f>
        <v>1.7142857142857142</v>
      </c>
      <c r="K48" s="49">
        <f>AVERAGE('29.07 SPEARMOTORS-NTINDA'!K48,'30.07 SPEARMOTORS-NTINDA'!K48,'31.07 NTINDA-SPEAR MOTORS'!K48,'02.08 NTINDA-SPEARMOTORS'!K48,'01.07 SPEARMOTORS-NTINDA-24h'!K48,'03.08 SPEARMOTORS-NTINDA-24h'!K48,'04.08 SPEARMOTORS-NTINDA'!K48)</f>
        <v>1.5714285714285714</v>
      </c>
      <c r="L48" s="49">
        <f>AVERAGE('29.07 SPEARMOTORS-NTINDA'!L48,'30.07 SPEARMOTORS-NTINDA'!L48,'31.07 NTINDA-SPEAR MOTORS'!L48,'02.08 NTINDA-SPEARMOTORS'!L48,'01.07 SPEARMOTORS-NTINDA-24h'!L48,'03.08 SPEARMOTORS-NTINDA-24h'!L48,'04.08 SPEARMOTORS-NTINDA'!L48)</f>
        <v>9.8571428571428577</v>
      </c>
      <c r="M48" s="49">
        <f>AVERAGE('29.07 SPEARMOTORS-NTINDA'!M48,'30.07 SPEARMOTORS-NTINDA'!M48,'31.07 NTINDA-SPEAR MOTORS'!M48,'02.08 NTINDA-SPEARMOTORS'!M48,'01.07 SPEARMOTORS-NTINDA-24h'!M48,'03.08 SPEARMOTORS-NTINDA-24h'!M48,'04.08 SPEARMOTORS-NTINDA'!M48)</f>
        <v>130.14285714285714</v>
      </c>
      <c r="N48" s="49">
        <f>AVERAGE('29.07 SPEARMOTORS-NTINDA'!N48,'30.07 SPEARMOTORS-NTINDA'!N48,'31.07 NTINDA-SPEAR MOTORS'!N48,'02.08 NTINDA-SPEARMOTORS'!N48,'01.07 SPEARMOTORS-NTINDA-24h'!N48,'03.08 SPEARMOTORS-NTINDA-24h'!N48,'04.08 SPEARMOTORS-NTINDA'!N48)</f>
        <v>0</v>
      </c>
      <c r="O48" s="15">
        <f t="shared" si="0"/>
        <v>59.571428571428584</v>
      </c>
      <c r="P48" s="15">
        <f t="shared" si="1"/>
        <v>189.71428571428572</v>
      </c>
      <c r="R48" s="8"/>
      <c r="T48"/>
    </row>
    <row r="49" spans="2:20" ht="23.1" customHeight="1" x14ac:dyDescent="0.25">
      <c r="B49" s="23" t="s">
        <v>76</v>
      </c>
      <c r="C49" s="49">
        <f>AVERAGE('29.07 SPEARMOTORS-NTINDA'!C49,'30.07 SPEARMOTORS-NTINDA'!C49,'31.07 NTINDA-SPEAR MOTORS'!C49,'02.08 NTINDA-SPEARMOTORS'!C49,'01.07 SPEARMOTORS-NTINDA-24h'!C49,'03.08 SPEARMOTORS-NTINDA-24h'!C49,'04.08 SPEARMOTORS-NTINDA'!C49)</f>
        <v>23.428571428571427</v>
      </c>
      <c r="D49" s="49">
        <f>AVERAGE('29.07 SPEARMOTORS-NTINDA'!D49,'30.07 SPEARMOTORS-NTINDA'!D49,'31.07 NTINDA-SPEAR MOTORS'!D49,'02.08 NTINDA-SPEARMOTORS'!D49,'01.07 SPEARMOTORS-NTINDA-24h'!D49,'03.08 SPEARMOTORS-NTINDA-24h'!D49,'04.08 SPEARMOTORS-NTINDA'!D49)</f>
        <v>15.142857142857142</v>
      </c>
      <c r="E49" s="49">
        <f>AVERAGE('29.07 SPEARMOTORS-NTINDA'!E49,'30.07 SPEARMOTORS-NTINDA'!E49,'31.07 NTINDA-SPEAR MOTORS'!E49,'02.08 NTINDA-SPEARMOTORS'!E49,'01.07 SPEARMOTORS-NTINDA-24h'!E49,'03.08 SPEARMOTORS-NTINDA-24h'!E49,'04.08 SPEARMOTORS-NTINDA'!E49)</f>
        <v>4.7142857142857144</v>
      </c>
      <c r="F49" s="49">
        <f>AVERAGE('29.07 SPEARMOTORS-NTINDA'!F49,'30.07 SPEARMOTORS-NTINDA'!F49,'31.07 NTINDA-SPEAR MOTORS'!F49,'02.08 NTINDA-SPEARMOTORS'!F49,'01.07 SPEARMOTORS-NTINDA-24h'!F49,'03.08 SPEARMOTORS-NTINDA-24h'!F49,'04.08 SPEARMOTORS-NTINDA'!F49)</f>
        <v>5.8571428571428568</v>
      </c>
      <c r="G49" s="49">
        <f>AVERAGE('29.07 SPEARMOTORS-NTINDA'!G49,'30.07 SPEARMOTORS-NTINDA'!G49,'31.07 NTINDA-SPEAR MOTORS'!G49,'02.08 NTINDA-SPEARMOTORS'!G49,'01.07 SPEARMOTORS-NTINDA-24h'!G49,'03.08 SPEARMOTORS-NTINDA-24h'!G49,'04.08 SPEARMOTORS-NTINDA'!G49)</f>
        <v>0</v>
      </c>
      <c r="H49" s="49">
        <f>AVERAGE('29.07 SPEARMOTORS-NTINDA'!H49,'30.07 SPEARMOTORS-NTINDA'!H49,'31.07 NTINDA-SPEAR MOTORS'!H49,'02.08 NTINDA-SPEARMOTORS'!H49,'01.07 SPEARMOTORS-NTINDA-24h'!H49,'03.08 SPEARMOTORS-NTINDA-24h'!H49,'04.08 SPEARMOTORS-NTINDA'!H49)</f>
        <v>0</v>
      </c>
      <c r="I49" s="49">
        <f>AVERAGE('29.07 SPEARMOTORS-NTINDA'!I49,'30.07 SPEARMOTORS-NTINDA'!I49,'31.07 NTINDA-SPEAR MOTORS'!I49,'02.08 NTINDA-SPEARMOTORS'!I49,'01.07 SPEARMOTORS-NTINDA-24h'!I49,'03.08 SPEARMOTORS-NTINDA-24h'!I49,'04.08 SPEARMOTORS-NTINDA'!I49)</f>
        <v>2.4285714285714284</v>
      </c>
      <c r="J49" s="49">
        <f>AVERAGE('29.07 SPEARMOTORS-NTINDA'!J49,'30.07 SPEARMOTORS-NTINDA'!J49,'31.07 NTINDA-SPEAR MOTORS'!J49,'02.08 NTINDA-SPEARMOTORS'!J49,'01.07 SPEARMOTORS-NTINDA-24h'!J49,'03.08 SPEARMOTORS-NTINDA-24h'!J49,'04.08 SPEARMOTORS-NTINDA'!J49)</f>
        <v>1.5714285714285714</v>
      </c>
      <c r="K49" s="49">
        <f>AVERAGE('29.07 SPEARMOTORS-NTINDA'!K49,'30.07 SPEARMOTORS-NTINDA'!K49,'31.07 NTINDA-SPEAR MOTORS'!K49,'02.08 NTINDA-SPEARMOTORS'!K49,'01.07 SPEARMOTORS-NTINDA-24h'!K49,'03.08 SPEARMOTORS-NTINDA-24h'!K49,'04.08 SPEARMOTORS-NTINDA'!K49)</f>
        <v>0.7142857142857143</v>
      </c>
      <c r="L49" s="49">
        <f>AVERAGE('29.07 SPEARMOTORS-NTINDA'!L49,'30.07 SPEARMOTORS-NTINDA'!L49,'31.07 NTINDA-SPEAR MOTORS'!L49,'02.08 NTINDA-SPEARMOTORS'!L49,'01.07 SPEARMOTORS-NTINDA-24h'!L49,'03.08 SPEARMOTORS-NTINDA-24h'!L49,'04.08 SPEARMOTORS-NTINDA'!L49)</f>
        <v>3.7142857142857144</v>
      </c>
      <c r="M49" s="49">
        <f>AVERAGE('29.07 SPEARMOTORS-NTINDA'!M49,'30.07 SPEARMOTORS-NTINDA'!M49,'31.07 NTINDA-SPEAR MOTORS'!M49,'02.08 NTINDA-SPEARMOTORS'!M49,'01.07 SPEARMOTORS-NTINDA-24h'!M49,'03.08 SPEARMOTORS-NTINDA-24h'!M49,'04.08 SPEARMOTORS-NTINDA'!M49)</f>
        <v>132.14285714285714</v>
      </c>
      <c r="N49" s="49">
        <f>AVERAGE('29.07 SPEARMOTORS-NTINDA'!N49,'30.07 SPEARMOTORS-NTINDA'!N49,'31.07 NTINDA-SPEAR MOTORS'!N49,'02.08 NTINDA-SPEARMOTORS'!N49,'01.07 SPEARMOTORS-NTINDA-24h'!N49,'03.08 SPEARMOTORS-NTINDA-24h'!N49,'04.08 SPEARMOTORS-NTINDA'!N49)</f>
        <v>0</v>
      </c>
      <c r="O49" s="15">
        <f t="shared" si="0"/>
        <v>57.571428571428569</v>
      </c>
      <c r="P49" s="15">
        <f t="shared" si="1"/>
        <v>189.71428571428572</v>
      </c>
      <c r="R49" s="8"/>
      <c r="T49"/>
    </row>
    <row r="50" spans="2:20" ht="23.1" customHeight="1" x14ac:dyDescent="0.25">
      <c r="B50" s="24" t="s">
        <v>77</v>
      </c>
      <c r="C50" s="49">
        <f>AVERAGE('29.07 SPEARMOTORS-NTINDA'!C50,'30.07 SPEARMOTORS-NTINDA'!C50,'31.07 NTINDA-SPEAR MOTORS'!C50,'02.08 NTINDA-SPEARMOTORS'!C50,'01.07 SPEARMOTORS-NTINDA-24h'!C50,'03.08 SPEARMOTORS-NTINDA-24h'!C50,'04.08 SPEARMOTORS-NTINDA'!C50)</f>
        <v>20.142857142857142</v>
      </c>
      <c r="D50" s="49">
        <f>AVERAGE('29.07 SPEARMOTORS-NTINDA'!D50,'30.07 SPEARMOTORS-NTINDA'!D50,'31.07 NTINDA-SPEAR MOTORS'!D50,'02.08 NTINDA-SPEARMOTORS'!D50,'01.07 SPEARMOTORS-NTINDA-24h'!D50,'03.08 SPEARMOTORS-NTINDA-24h'!D50,'04.08 SPEARMOTORS-NTINDA'!D50)</f>
        <v>11.142857142857142</v>
      </c>
      <c r="E50" s="49">
        <f>AVERAGE('29.07 SPEARMOTORS-NTINDA'!E50,'30.07 SPEARMOTORS-NTINDA'!E50,'31.07 NTINDA-SPEAR MOTORS'!E50,'02.08 NTINDA-SPEARMOTORS'!E50,'01.07 SPEARMOTORS-NTINDA-24h'!E50,'03.08 SPEARMOTORS-NTINDA-24h'!E50,'04.08 SPEARMOTORS-NTINDA'!E50)</f>
        <v>5.1428571428571432</v>
      </c>
      <c r="F50" s="49">
        <f>AVERAGE('29.07 SPEARMOTORS-NTINDA'!F50,'30.07 SPEARMOTORS-NTINDA'!F50,'31.07 NTINDA-SPEAR MOTORS'!F50,'02.08 NTINDA-SPEARMOTORS'!F50,'01.07 SPEARMOTORS-NTINDA-24h'!F50,'03.08 SPEARMOTORS-NTINDA-24h'!F50,'04.08 SPEARMOTORS-NTINDA'!F50)</f>
        <v>5.5714285714285712</v>
      </c>
      <c r="G50" s="49">
        <f>AVERAGE('29.07 SPEARMOTORS-NTINDA'!G50,'30.07 SPEARMOTORS-NTINDA'!G50,'31.07 NTINDA-SPEAR MOTORS'!G50,'02.08 NTINDA-SPEARMOTORS'!G50,'01.07 SPEARMOTORS-NTINDA-24h'!G50,'03.08 SPEARMOTORS-NTINDA-24h'!G50,'04.08 SPEARMOTORS-NTINDA'!G50)</f>
        <v>0</v>
      </c>
      <c r="H50" s="49">
        <f>AVERAGE('29.07 SPEARMOTORS-NTINDA'!H50,'30.07 SPEARMOTORS-NTINDA'!H50,'31.07 NTINDA-SPEAR MOTORS'!H50,'02.08 NTINDA-SPEARMOTORS'!H50,'01.07 SPEARMOTORS-NTINDA-24h'!H50,'03.08 SPEARMOTORS-NTINDA-24h'!H50,'04.08 SPEARMOTORS-NTINDA'!H50)</f>
        <v>0</v>
      </c>
      <c r="I50" s="49">
        <f>AVERAGE('29.07 SPEARMOTORS-NTINDA'!I50,'30.07 SPEARMOTORS-NTINDA'!I50,'31.07 NTINDA-SPEAR MOTORS'!I50,'02.08 NTINDA-SPEARMOTORS'!I50,'01.07 SPEARMOTORS-NTINDA-24h'!I50,'03.08 SPEARMOTORS-NTINDA-24h'!I50,'04.08 SPEARMOTORS-NTINDA'!I50)</f>
        <v>2.1428571428571428</v>
      </c>
      <c r="J50" s="49">
        <f>AVERAGE('29.07 SPEARMOTORS-NTINDA'!J50,'30.07 SPEARMOTORS-NTINDA'!J50,'31.07 NTINDA-SPEAR MOTORS'!J50,'02.08 NTINDA-SPEARMOTORS'!J50,'01.07 SPEARMOTORS-NTINDA-24h'!J50,'03.08 SPEARMOTORS-NTINDA-24h'!J50,'04.08 SPEARMOTORS-NTINDA'!J50)</f>
        <v>1.4285714285714286</v>
      </c>
      <c r="K50" s="49">
        <f>AVERAGE('29.07 SPEARMOTORS-NTINDA'!K50,'30.07 SPEARMOTORS-NTINDA'!K50,'31.07 NTINDA-SPEAR MOTORS'!K50,'02.08 NTINDA-SPEARMOTORS'!K50,'01.07 SPEARMOTORS-NTINDA-24h'!K50,'03.08 SPEARMOTORS-NTINDA-24h'!K50,'04.08 SPEARMOTORS-NTINDA'!K50)</f>
        <v>1.5714285714285714</v>
      </c>
      <c r="L50" s="49">
        <f>AVERAGE('29.07 SPEARMOTORS-NTINDA'!L50,'30.07 SPEARMOTORS-NTINDA'!L50,'31.07 NTINDA-SPEAR MOTORS'!L50,'02.08 NTINDA-SPEARMOTORS'!L50,'01.07 SPEARMOTORS-NTINDA-24h'!L50,'03.08 SPEARMOTORS-NTINDA-24h'!L50,'04.08 SPEARMOTORS-NTINDA'!L50)</f>
        <v>4</v>
      </c>
      <c r="M50" s="49">
        <f>AVERAGE('29.07 SPEARMOTORS-NTINDA'!M50,'30.07 SPEARMOTORS-NTINDA'!M50,'31.07 NTINDA-SPEAR MOTORS'!M50,'02.08 NTINDA-SPEARMOTORS'!M50,'01.07 SPEARMOTORS-NTINDA-24h'!M50,'03.08 SPEARMOTORS-NTINDA-24h'!M50,'04.08 SPEARMOTORS-NTINDA'!M50)</f>
        <v>142.42857142857142</v>
      </c>
      <c r="N50" s="49">
        <f>AVERAGE('29.07 SPEARMOTORS-NTINDA'!N50,'30.07 SPEARMOTORS-NTINDA'!N50,'31.07 NTINDA-SPEAR MOTORS'!N50,'02.08 NTINDA-SPEARMOTORS'!N50,'01.07 SPEARMOTORS-NTINDA-24h'!N50,'03.08 SPEARMOTORS-NTINDA-24h'!N50,'04.08 SPEARMOTORS-NTINDA'!N50)</f>
        <v>0</v>
      </c>
      <c r="O50" s="15">
        <f t="shared" si="0"/>
        <v>51.142857142857146</v>
      </c>
      <c r="P50" s="15">
        <f t="shared" si="1"/>
        <v>193.57142857142856</v>
      </c>
      <c r="R50" s="8"/>
      <c r="T50"/>
    </row>
    <row r="51" spans="2:20" ht="23.1" customHeight="1" x14ac:dyDescent="0.25">
      <c r="B51" s="24" t="s">
        <v>78</v>
      </c>
      <c r="C51" s="49">
        <f>AVERAGE('29.07 SPEARMOTORS-NTINDA'!C51,'30.07 SPEARMOTORS-NTINDA'!C51,'31.07 NTINDA-SPEAR MOTORS'!C51,'02.08 NTINDA-SPEARMOTORS'!C51,'01.07 SPEARMOTORS-NTINDA-24h'!C51,'03.08 SPEARMOTORS-NTINDA-24h'!C51,'04.08 SPEARMOTORS-NTINDA'!C51)</f>
        <v>33.285714285714285</v>
      </c>
      <c r="D51" s="49">
        <f>AVERAGE('29.07 SPEARMOTORS-NTINDA'!D51,'30.07 SPEARMOTORS-NTINDA'!D51,'31.07 NTINDA-SPEAR MOTORS'!D51,'02.08 NTINDA-SPEARMOTORS'!D51,'01.07 SPEARMOTORS-NTINDA-24h'!D51,'03.08 SPEARMOTORS-NTINDA-24h'!D51,'04.08 SPEARMOTORS-NTINDA'!D51)</f>
        <v>16.714285714285715</v>
      </c>
      <c r="E51" s="49">
        <f>AVERAGE('29.07 SPEARMOTORS-NTINDA'!E51,'30.07 SPEARMOTORS-NTINDA'!E51,'31.07 NTINDA-SPEAR MOTORS'!E51,'02.08 NTINDA-SPEARMOTORS'!E51,'01.07 SPEARMOTORS-NTINDA-24h'!E51,'03.08 SPEARMOTORS-NTINDA-24h'!E51,'04.08 SPEARMOTORS-NTINDA'!E51)</f>
        <v>5.1428571428571432</v>
      </c>
      <c r="F51" s="49">
        <f>AVERAGE('29.07 SPEARMOTORS-NTINDA'!F51,'30.07 SPEARMOTORS-NTINDA'!F51,'31.07 NTINDA-SPEAR MOTORS'!F51,'02.08 NTINDA-SPEARMOTORS'!F51,'01.07 SPEARMOTORS-NTINDA-24h'!F51,'03.08 SPEARMOTORS-NTINDA-24h'!F51,'04.08 SPEARMOTORS-NTINDA'!F51)</f>
        <v>4.7142857142857144</v>
      </c>
      <c r="G51" s="49">
        <f>AVERAGE('29.07 SPEARMOTORS-NTINDA'!G51,'30.07 SPEARMOTORS-NTINDA'!G51,'31.07 NTINDA-SPEAR MOTORS'!G51,'02.08 NTINDA-SPEARMOTORS'!G51,'01.07 SPEARMOTORS-NTINDA-24h'!G51,'03.08 SPEARMOTORS-NTINDA-24h'!G51,'04.08 SPEARMOTORS-NTINDA'!G51)</f>
        <v>0.14285714285714285</v>
      </c>
      <c r="H51" s="49">
        <f>AVERAGE('29.07 SPEARMOTORS-NTINDA'!H51,'30.07 SPEARMOTORS-NTINDA'!H51,'31.07 NTINDA-SPEAR MOTORS'!H51,'02.08 NTINDA-SPEARMOTORS'!H51,'01.07 SPEARMOTORS-NTINDA-24h'!H51,'03.08 SPEARMOTORS-NTINDA-24h'!H51,'04.08 SPEARMOTORS-NTINDA'!H51)</f>
        <v>0</v>
      </c>
      <c r="I51" s="49">
        <f>AVERAGE('29.07 SPEARMOTORS-NTINDA'!I51,'30.07 SPEARMOTORS-NTINDA'!I51,'31.07 NTINDA-SPEAR MOTORS'!I51,'02.08 NTINDA-SPEARMOTORS'!I51,'01.07 SPEARMOTORS-NTINDA-24h'!I51,'03.08 SPEARMOTORS-NTINDA-24h'!I51,'04.08 SPEARMOTORS-NTINDA'!I51)</f>
        <v>1.7142857142857142</v>
      </c>
      <c r="J51" s="49">
        <f>AVERAGE('29.07 SPEARMOTORS-NTINDA'!J51,'30.07 SPEARMOTORS-NTINDA'!J51,'31.07 NTINDA-SPEAR MOTORS'!J51,'02.08 NTINDA-SPEARMOTORS'!J51,'01.07 SPEARMOTORS-NTINDA-24h'!J51,'03.08 SPEARMOTORS-NTINDA-24h'!J51,'04.08 SPEARMOTORS-NTINDA'!J51)</f>
        <v>1.5714285714285714</v>
      </c>
      <c r="K51" s="49">
        <f>AVERAGE('29.07 SPEARMOTORS-NTINDA'!K51,'30.07 SPEARMOTORS-NTINDA'!K51,'31.07 NTINDA-SPEAR MOTORS'!K51,'02.08 NTINDA-SPEARMOTORS'!K51,'01.07 SPEARMOTORS-NTINDA-24h'!K51,'03.08 SPEARMOTORS-NTINDA-24h'!K51,'04.08 SPEARMOTORS-NTINDA'!K51)</f>
        <v>1</v>
      </c>
      <c r="L51" s="49">
        <f>AVERAGE('29.07 SPEARMOTORS-NTINDA'!L51,'30.07 SPEARMOTORS-NTINDA'!L51,'31.07 NTINDA-SPEAR MOTORS'!L51,'02.08 NTINDA-SPEARMOTORS'!L51,'01.07 SPEARMOTORS-NTINDA-24h'!L51,'03.08 SPEARMOTORS-NTINDA-24h'!L51,'04.08 SPEARMOTORS-NTINDA'!L51)</f>
        <v>2.5714285714285716</v>
      </c>
      <c r="M51" s="49">
        <f>AVERAGE('29.07 SPEARMOTORS-NTINDA'!M51,'30.07 SPEARMOTORS-NTINDA'!M51,'31.07 NTINDA-SPEAR MOTORS'!M51,'02.08 NTINDA-SPEARMOTORS'!M51,'01.07 SPEARMOTORS-NTINDA-24h'!M51,'03.08 SPEARMOTORS-NTINDA-24h'!M51,'04.08 SPEARMOTORS-NTINDA'!M51)</f>
        <v>130.71428571428572</v>
      </c>
      <c r="N51" s="49">
        <f>AVERAGE('29.07 SPEARMOTORS-NTINDA'!N51,'30.07 SPEARMOTORS-NTINDA'!N51,'31.07 NTINDA-SPEAR MOTORS'!N51,'02.08 NTINDA-SPEARMOTORS'!N51,'01.07 SPEARMOTORS-NTINDA-24h'!N51,'03.08 SPEARMOTORS-NTINDA-24h'!N51,'04.08 SPEARMOTORS-NTINDA'!N51)</f>
        <v>0</v>
      </c>
      <c r="O51" s="15">
        <f t="shared" si="0"/>
        <v>66.857142857142861</v>
      </c>
      <c r="P51" s="15">
        <f t="shared" si="1"/>
        <v>197.57142857142858</v>
      </c>
      <c r="R51" s="8"/>
      <c r="T51"/>
    </row>
    <row r="52" spans="2:20" ht="23.1" customHeight="1" x14ac:dyDescent="0.25">
      <c r="B52" s="24" t="s">
        <v>79</v>
      </c>
      <c r="C52" s="49">
        <f>AVERAGE('29.07 SPEARMOTORS-NTINDA'!C52,'30.07 SPEARMOTORS-NTINDA'!C52,'31.07 NTINDA-SPEAR MOTORS'!C52,'02.08 NTINDA-SPEARMOTORS'!C52,'01.07 SPEARMOTORS-NTINDA-24h'!C52,'03.08 SPEARMOTORS-NTINDA-24h'!C52,'04.08 SPEARMOTORS-NTINDA'!C52)</f>
        <v>21</v>
      </c>
      <c r="D52" s="49">
        <f>AVERAGE('29.07 SPEARMOTORS-NTINDA'!D52,'30.07 SPEARMOTORS-NTINDA'!D52,'31.07 NTINDA-SPEAR MOTORS'!D52,'02.08 NTINDA-SPEARMOTORS'!D52,'01.07 SPEARMOTORS-NTINDA-24h'!D52,'03.08 SPEARMOTORS-NTINDA-24h'!D52,'04.08 SPEARMOTORS-NTINDA'!D52)</f>
        <v>10.428571428571429</v>
      </c>
      <c r="E52" s="49">
        <f>AVERAGE('29.07 SPEARMOTORS-NTINDA'!E52,'30.07 SPEARMOTORS-NTINDA'!E52,'31.07 NTINDA-SPEAR MOTORS'!E52,'02.08 NTINDA-SPEARMOTORS'!E52,'01.07 SPEARMOTORS-NTINDA-24h'!E52,'03.08 SPEARMOTORS-NTINDA-24h'!E52,'04.08 SPEARMOTORS-NTINDA'!E52)</f>
        <v>3.2857142857142856</v>
      </c>
      <c r="F52" s="49">
        <f>AVERAGE('29.07 SPEARMOTORS-NTINDA'!F52,'30.07 SPEARMOTORS-NTINDA'!F52,'31.07 NTINDA-SPEAR MOTORS'!F52,'02.08 NTINDA-SPEARMOTORS'!F52,'01.07 SPEARMOTORS-NTINDA-24h'!F52,'03.08 SPEARMOTORS-NTINDA-24h'!F52,'04.08 SPEARMOTORS-NTINDA'!F52)</f>
        <v>7.2857142857142856</v>
      </c>
      <c r="G52" s="49">
        <f>AVERAGE('29.07 SPEARMOTORS-NTINDA'!G52,'30.07 SPEARMOTORS-NTINDA'!G52,'31.07 NTINDA-SPEAR MOTORS'!G52,'02.08 NTINDA-SPEARMOTORS'!G52,'01.07 SPEARMOTORS-NTINDA-24h'!G52,'03.08 SPEARMOTORS-NTINDA-24h'!G52,'04.08 SPEARMOTORS-NTINDA'!G52)</f>
        <v>0.2857142857142857</v>
      </c>
      <c r="H52" s="49">
        <f>AVERAGE('29.07 SPEARMOTORS-NTINDA'!H52,'30.07 SPEARMOTORS-NTINDA'!H52,'31.07 NTINDA-SPEAR MOTORS'!H52,'02.08 NTINDA-SPEARMOTORS'!H52,'01.07 SPEARMOTORS-NTINDA-24h'!H52,'03.08 SPEARMOTORS-NTINDA-24h'!H52,'04.08 SPEARMOTORS-NTINDA'!H52)</f>
        <v>0</v>
      </c>
      <c r="I52" s="49">
        <f>AVERAGE('29.07 SPEARMOTORS-NTINDA'!I52,'30.07 SPEARMOTORS-NTINDA'!I52,'31.07 NTINDA-SPEAR MOTORS'!I52,'02.08 NTINDA-SPEARMOTORS'!I52,'01.07 SPEARMOTORS-NTINDA-24h'!I52,'03.08 SPEARMOTORS-NTINDA-24h'!I52,'04.08 SPEARMOTORS-NTINDA'!I52)</f>
        <v>2.5714285714285716</v>
      </c>
      <c r="J52" s="49">
        <f>AVERAGE('29.07 SPEARMOTORS-NTINDA'!J52,'30.07 SPEARMOTORS-NTINDA'!J52,'31.07 NTINDA-SPEAR MOTORS'!J52,'02.08 NTINDA-SPEARMOTORS'!J52,'01.07 SPEARMOTORS-NTINDA-24h'!J52,'03.08 SPEARMOTORS-NTINDA-24h'!J52,'04.08 SPEARMOTORS-NTINDA'!J52)</f>
        <v>1.1428571428571428</v>
      </c>
      <c r="K52" s="49">
        <f>AVERAGE('29.07 SPEARMOTORS-NTINDA'!K52,'30.07 SPEARMOTORS-NTINDA'!K52,'31.07 NTINDA-SPEAR MOTORS'!K52,'02.08 NTINDA-SPEARMOTORS'!K52,'01.07 SPEARMOTORS-NTINDA-24h'!K52,'03.08 SPEARMOTORS-NTINDA-24h'!K52,'04.08 SPEARMOTORS-NTINDA'!K52)</f>
        <v>1.1428571428571428</v>
      </c>
      <c r="L52" s="49">
        <f>AVERAGE('29.07 SPEARMOTORS-NTINDA'!L52,'30.07 SPEARMOTORS-NTINDA'!L52,'31.07 NTINDA-SPEAR MOTORS'!L52,'02.08 NTINDA-SPEARMOTORS'!L52,'01.07 SPEARMOTORS-NTINDA-24h'!L52,'03.08 SPEARMOTORS-NTINDA-24h'!L52,'04.08 SPEARMOTORS-NTINDA'!L52)</f>
        <v>2.5714285714285716</v>
      </c>
      <c r="M52" s="49">
        <f>AVERAGE('29.07 SPEARMOTORS-NTINDA'!M52,'30.07 SPEARMOTORS-NTINDA'!M52,'31.07 NTINDA-SPEAR MOTORS'!M52,'02.08 NTINDA-SPEARMOTORS'!M52,'01.07 SPEARMOTORS-NTINDA-24h'!M52,'03.08 SPEARMOTORS-NTINDA-24h'!M52,'04.08 SPEARMOTORS-NTINDA'!M52)</f>
        <v>141.14285714285714</v>
      </c>
      <c r="N52" s="49">
        <f>AVERAGE('29.07 SPEARMOTORS-NTINDA'!N52,'30.07 SPEARMOTORS-NTINDA'!N52,'31.07 NTINDA-SPEAR MOTORS'!N52,'02.08 NTINDA-SPEARMOTORS'!N52,'01.07 SPEARMOTORS-NTINDA-24h'!N52,'03.08 SPEARMOTORS-NTINDA-24h'!N52,'04.08 SPEARMOTORS-NTINDA'!N52)</f>
        <v>0</v>
      </c>
      <c r="O52" s="15">
        <f t="shared" si="0"/>
        <v>49.714285714285715</v>
      </c>
      <c r="P52" s="15">
        <f t="shared" si="1"/>
        <v>190.85714285714286</v>
      </c>
      <c r="R52" s="8"/>
      <c r="T52"/>
    </row>
    <row r="53" spans="2:20" ht="23.1" customHeight="1" x14ac:dyDescent="0.25">
      <c r="B53" s="23" t="s">
        <v>80</v>
      </c>
      <c r="C53" s="49">
        <f>AVERAGE('29.07 SPEARMOTORS-NTINDA'!C53,'30.07 SPEARMOTORS-NTINDA'!C53,'31.07 NTINDA-SPEAR MOTORS'!C53,'02.08 NTINDA-SPEARMOTORS'!C53,'01.07 SPEARMOTORS-NTINDA-24h'!C53,'03.08 SPEARMOTORS-NTINDA-24h'!C53,'04.08 SPEARMOTORS-NTINDA'!C53)</f>
        <v>35.428571428571431</v>
      </c>
      <c r="D53" s="49">
        <f>AVERAGE('29.07 SPEARMOTORS-NTINDA'!D53,'30.07 SPEARMOTORS-NTINDA'!D53,'31.07 NTINDA-SPEAR MOTORS'!D53,'02.08 NTINDA-SPEARMOTORS'!D53,'01.07 SPEARMOTORS-NTINDA-24h'!D53,'03.08 SPEARMOTORS-NTINDA-24h'!D53,'04.08 SPEARMOTORS-NTINDA'!D53)</f>
        <v>19.571428571428573</v>
      </c>
      <c r="E53" s="49">
        <f>AVERAGE('29.07 SPEARMOTORS-NTINDA'!E53,'30.07 SPEARMOTORS-NTINDA'!E53,'31.07 NTINDA-SPEAR MOTORS'!E53,'02.08 NTINDA-SPEARMOTORS'!E53,'01.07 SPEARMOTORS-NTINDA-24h'!E53,'03.08 SPEARMOTORS-NTINDA-24h'!E53,'04.08 SPEARMOTORS-NTINDA'!E53)</f>
        <v>4.1428571428571432</v>
      </c>
      <c r="F53" s="49">
        <f>AVERAGE('29.07 SPEARMOTORS-NTINDA'!F53,'30.07 SPEARMOTORS-NTINDA'!F53,'31.07 NTINDA-SPEAR MOTORS'!F53,'02.08 NTINDA-SPEARMOTORS'!F53,'01.07 SPEARMOTORS-NTINDA-24h'!F53,'03.08 SPEARMOTORS-NTINDA-24h'!F53,'04.08 SPEARMOTORS-NTINDA'!F53)</f>
        <v>5.7142857142857144</v>
      </c>
      <c r="G53" s="49">
        <f>AVERAGE('29.07 SPEARMOTORS-NTINDA'!G53,'30.07 SPEARMOTORS-NTINDA'!G53,'31.07 NTINDA-SPEAR MOTORS'!G53,'02.08 NTINDA-SPEARMOTORS'!G53,'01.07 SPEARMOTORS-NTINDA-24h'!G53,'03.08 SPEARMOTORS-NTINDA-24h'!G53,'04.08 SPEARMOTORS-NTINDA'!G53)</f>
        <v>0</v>
      </c>
      <c r="H53" s="49">
        <f>AVERAGE('29.07 SPEARMOTORS-NTINDA'!H53,'30.07 SPEARMOTORS-NTINDA'!H53,'31.07 NTINDA-SPEAR MOTORS'!H53,'02.08 NTINDA-SPEARMOTORS'!H53,'01.07 SPEARMOTORS-NTINDA-24h'!H53,'03.08 SPEARMOTORS-NTINDA-24h'!H53,'04.08 SPEARMOTORS-NTINDA'!H53)</f>
        <v>0</v>
      </c>
      <c r="I53" s="49">
        <f>AVERAGE('29.07 SPEARMOTORS-NTINDA'!I53,'30.07 SPEARMOTORS-NTINDA'!I53,'31.07 NTINDA-SPEAR MOTORS'!I53,'02.08 NTINDA-SPEARMOTORS'!I53,'01.07 SPEARMOTORS-NTINDA-24h'!I53,'03.08 SPEARMOTORS-NTINDA-24h'!I53,'04.08 SPEARMOTORS-NTINDA'!I53)</f>
        <v>2.4285714285714284</v>
      </c>
      <c r="J53" s="49">
        <f>AVERAGE('29.07 SPEARMOTORS-NTINDA'!J53,'30.07 SPEARMOTORS-NTINDA'!J53,'31.07 NTINDA-SPEAR MOTORS'!J53,'02.08 NTINDA-SPEARMOTORS'!J53,'01.07 SPEARMOTORS-NTINDA-24h'!J53,'03.08 SPEARMOTORS-NTINDA-24h'!J53,'04.08 SPEARMOTORS-NTINDA'!J53)</f>
        <v>1.8571428571428572</v>
      </c>
      <c r="K53" s="49">
        <f>AVERAGE('29.07 SPEARMOTORS-NTINDA'!K53,'30.07 SPEARMOTORS-NTINDA'!K53,'31.07 NTINDA-SPEAR MOTORS'!K53,'02.08 NTINDA-SPEARMOTORS'!K53,'01.07 SPEARMOTORS-NTINDA-24h'!K53,'03.08 SPEARMOTORS-NTINDA-24h'!K53,'04.08 SPEARMOTORS-NTINDA'!K53)</f>
        <v>1</v>
      </c>
      <c r="L53" s="49">
        <f>AVERAGE('29.07 SPEARMOTORS-NTINDA'!L53,'30.07 SPEARMOTORS-NTINDA'!L53,'31.07 NTINDA-SPEAR MOTORS'!L53,'02.08 NTINDA-SPEARMOTORS'!L53,'01.07 SPEARMOTORS-NTINDA-24h'!L53,'03.08 SPEARMOTORS-NTINDA-24h'!L53,'04.08 SPEARMOTORS-NTINDA'!L53)</f>
        <v>3.4285714285714284</v>
      </c>
      <c r="M53" s="49">
        <f>AVERAGE('29.07 SPEARMOTORS-NTINDA'!M53,'30.07 SPEARMOTORS-NTINDA'!M53,'31.07 NTINDA-SPEAR MOTORS'!M53,'02.08 NTINDA-SPEARMOTORS'!M53,'01.07 SPEARMOTORS-NTINDA-24h'!M53,'03.08 SPEARMOTORS-NTINDA-24h'!M53,'04.08 SPEARMOTORS-NTINDA'!M53)</f>
        <v>122.42857142857143</v>
      </c>
      <c r="N53" s="49">
        <f>AVERAGE('29.07 SPEARMOTORS-NTINDA'!N53,'30.07 SPEARMOTORS-NTINDA'!N53,'31.07 NTINDA-SPEAR MOTORS'!N53,'02.08 NTINDA-SPEARMOTORS'!N53,'01.07 SPEARMOTORS-NTINDA-24h'!N53,'03.08 SPEARMOTORS-NTINDA-24h'!N53,'04.08 SPEARMOTORS-NTINDA'!N53)</f>
        <v>0</v>
      </c>
      <c r="O53" s="15">
        <f t="shared" si="0"/>
        <v>73.571428571428584</v>
      </c>
      <c r="P53" s="15">
        <f t="shared" si="1"/>
        <v>196</v>
      </c>
      <c r="R53" s="8"/>
      <c r="T53"/>
    </row>
    <row r="54" spans="2:20" ht="23.1" customHeight="1" x14ac:dyDescent="0.25">
      <c r="B54" s="23" t="s">
        <v>81</v>
      </c>
      <c r="C54" s="49">
        <f>AVERAGE('29.07 SPEARMOTORS-NTINDA'!C54,'30.07 SPEARMOTORS-NTINDA'!C54,'31.07 NTINDA-SPEAR MOTORS'!C54,'02.08 NTINDA-SPEARMOTORS'!C54,'01.07 SPEARMOTORS-NTINDA-24h'!C54,'03.08 SPEARMOTORS-NTINDA-24h'!C54,'04.08 SPEARMOTORS-NTINDA'!C54)</f>
        <v>35.571428571428569</v>
      </c>
      <c r="D54" s="49">
        <f>AVERAGE('29.07 SPEARMOTORS-NTINDA'!D54,'30.07 SPEARMOTORS-NTINDA'!D54,'31.07 NTINDA-SPEAR MOTORS'!D54,'02.08 NTINDA-SPEARMOTORS'!D54,'01.07 SPEARMOTORS-NTINDA-24h'!D54,'03.08 SPEARMOTORS-NTINDA-24h'!D54,'04.08 SPEARMOTORS-NTINDA'!D54)</f>
        <v>21</v>
      </c>
      <c r="E54" s="49">
        <f>AVERAGE('29.07 SPEARMOTORS-NTINDA'!E54,'30.07 SPEARMOTORS-NTINDA'!E54,'31.07 NTINDA-SPEAR MOTORS'!E54,'02.08 NTINDA-SPEARMOTORS'!E54,'01.07 SPEARMOTORS-NTINDA-24h'!E54,'03.08 SPEARMOTORS-NTINDA-24h'!E54,'04.08 SPEARMOTORS-NTINDA'!E54)</f>
        <v>4</v>
      </c>
      <c r="F54" s="49">
        <f>AVERAGE('29.07 SPEARMOTORS-NTINDA'!F54,'30.07 SPEARMOTORS-NTINDA'!F54,'31.07 NTINDA-SPEAR MOTORS'!F54,'02.08 NTINDA-SPEARMOTORS'!F54,'01.07 SPEARMOTORS-NTINDA-24h'!F54,'03.08 SPEARMOTORS-NTINDA-24h'!F54,'04.08 SPEARMOTORS-NTINDA'!F54)</f>
        <v>5.4285714285714288</v>
      </c>
      <c r="G54" s="49">
        <f>AVERAGE('29.07 SPEARMOTORS-NTINDA'!G54,'30.07 SPEARMOTORS-NTINDA'!G54,'31.07 NTINDA-SPEAR MOTORS'!G54,'02.08 NTINDA-SPEARMOTORS'!G54,'01.07 SPEARMOTORS-NTINDA-24h'!G54,'03.08 SPEARMOTORS-NTINDA-24h'!G54,'04.08 SPEARMOTORS-NTINDA'!G54)</f>
        <v>0.14285714285714285</v>
      </c>
      <c r="H54" s="49">
        <f>AVERAGE('29.07 SPEARMOTORS-NTINDA'!H54,'30.07 SPEARMOTORS-NTINDA'!H54,'31.07 NTINDA-SPEAR MOTORS'!H54,'02.08 NTINDA-SPEARMOTORS'!H54,'01.07 SPEARMOTORS-NTINDA-24h'!H54,'03.08 SPEARMOTORS-NTINDA-24h'!H54,'04.08 SPEARMOTORS-NTINDA'!H54)</f>
        <v>0</v>
      </c>
      <c r="I54" s="49">
        <f>AVERAGE('29.07 SPEARMOTORS-NTINDA'!I54,'30.07 SPEARMOTORS-NTINDA'!I54,'31.07 NTINDA-SPEAR MOTORS'!I54,'02.08 NTINDA-SPEARMOTORS'!I54,'01.07 SPEARMOTORS-NTINDA-24h'!I54,'03.08 SPEARMOTORS-NTINDA-24h'!I54,'04.08 SPEARMOTORS-NTINDA'!I54)</f>
        <v>1.5714285714285714</v>
      </c>
      <c r="J54" s="49">
        <f>AVERAGE('29.07 SPEARMOTORS-NTINDA'!J54,'30.07 SPEARMOTORS-NTINDA'!J54,'31.07 NTINDA-SPEAR MOTORS'!J54,'02.08 NTINDA-SPEARMOTORS'!J54,'01.07 SPEARMOTORS-NTINDA-24h'!J54,'03.08 SPEARMOTORS-NTINDA-24h'!J54,'04.08 SPEARMOTORS-NTINDA'!J54)</f>
        <v>1.5714285714285714</v>
      </c>
      <c r="K54" s="49">
        <f>AVERAGE('29.07 SPEARMOTORS-NTINDA'!K54,'30.07 SPEARMOTORS-NTINDA'!K54,'31.07 NTINDA-SPEAR MOTORS'!K54,'02.08 NTINDA-SPEARMOTORS'!K54,'01.07 SPEARMOTORS-NTINDA-24h'!K54,'03.08 SPEARMOTORS-NTINDA-24h'!K54,'04.08 SPEARMOTORS-NTINDA'!K54)</f>
        <v>0.2857142857142857</v>
      </c>
      <c r="L54" s="49">
        <f>AVERAGE('29.07 SPEARMOTORS-NTINDA'!L54,'30.07 SPEARMOTORS-NTINDA'!L54,'31.07 NTINDA-SPEAR MOTORS'!L54,'02.08 NTINDA-SPEARMOTORS'!L54,'01.07 SPEARMOTORS-NTINDA-24h'!L54,'03.08 SPEARMOTORS-NTINDA-24h'!L54,'04.08 SPEARMOTORS-NTINDA'!L54)</f>
        <v>1.8571428571428572</v>
      </c>
      <c r="M54" s="49">
        <f>AVERAGE('29.07 SPEARMOTORS-NTINDA'!M54,'30.07 SPEARMOTORS-NTINDA'!M54,'31.07 NTINDA-SPEAR MOTORS'!M54,'02.08 NTINDA-SPEARMOTORS'!M54,'01.07 SPEARMOTORS-NTINDA-24h'!M54,'03.08 SPEARMOTORS-NTINDA-24h'!M54,'04.08 SPEARMOTORS-NTINDA'!M54)</f>
        <v>125.42857142857143</v>
      </c>
      <c r="N54" s="49">
        <f>AVERAGE('29.07 SPEARMOTORS-NTINDA'!N54,'30.07 SPEARMOTORS-NTINDA'!N54,'31.07 NTINDA-SPEAR MOTORS'!N54,'02.08 NTINDA-SPEARMOTORS'!N54,'01.07 SPEARMOTORS-NTINDA-24h'!N54,'03.08 SPEARMOTORS-NTINDA-24h'!N54,'04.08 SPEARMOTORS-NTINDA'!N54)</f>
        <v>0.14285714285714285</v>
      </c>
      <c r="O54" s="15">
        <f t="shared" si="0"/>
        <v>71.571428571428569</v>
      </c>
      <c r="P54" s="15">
        <f t="shared" si="1"/>
        <v>197</v>
      </c>
      <c r="R54" s="8"/>
      <c r="T54"/>
    </row>
    <row r="55" spans="2:20" ht="23.1" customHeight="1" x14ac:dyDescent="0.25">
      <c r="B55" s="23" t="s">
        <v>82</v>
      </c>
      <c r="C55" s="49">
        <f>AVERAGE('29.07 SPEARMOTORS-NTINDA'!C55,'30.07 SPEARMOTORS-NTINDA'!C55,'31.07 NTINDA-SPEAR MOTORS'!C55,'02.08 NTINDA-SPEARMOTORS'!C55,'01.07 SPEARMOTORS-NTINDA-24h'!C55,'03.08 SPEARMOTORS-NTINDA-24h'!C55,'04.08 SPEARMOTORS-NTINDA'!C55)</f>
        <v>27.428571428571427</v>
      </c>
      <c r="D55" s="49">
        <f>AVERAGE('29.07 SPEARMOTORS-NTINDA'!D55,'30.07 SPEARMOTORS-NTINDA'!D55,'31.07 NTINDA-SPEAR MOTORS'!D55,'02.08 NTINDA-SPEARMOTORS'!D55,'01.07 SPEARMOTORS-NTINDA-24h'!D55,'03.08 SPEARMOTORS-NTINDA-24h'!D55,'04.08 SPEARMOTORS-NTINDA'!D55)</f>
        <v>18</v>
      </c>
      <c r="E55" s="49">
        <f>AVERAGE('29.07 SPEARMOTORS-NTINDA'!E55,'30.07 SPEARMOTORS-NTINDA'!E55,'31.07 NTINDA-SPEAR MOTORS'!E55,'02.08 NTINDA-SPEARMOTORS'!E55,'01.07 SPEARMOTORS-NTINDA-24h'!E55,'03.08 SPEARMOTORS-NTINDA-24h'!E55,'04.08 SPEARMOTORS-NTINDA'!E55)</f>
        <v>5</v>
      </c>
      <c r="F55" s="49">
        <f>AVERAGE('29.07 SPEARMOTORS-NTINDA'!F55,'30.07 SPEARMOTORS-NTINDA'!F55,'31.07 NTINDA-SPEAR MOTORS'!F55,'02.08 NTINDA-SPEARMOTORS'!F55,'01.07 SPEARMOTORS-NTINDA-24h'!F55,'03.08 SPEARMOTORS-NTINDA-24h'!F55,'04.08 SPEARMOTORS-NTINDA'!F55)</f>
        <v>8.2857142857142865</v>
      </c>
      <c r="G55" s="49">
        <f>AVERAGE('29.07 SPEARMOTORS-NTINDA'!G55,'30.07 SPEARMOTORS-NTINDA'!G55,'31.07 NTINDA-SPEAR MOTORS'!G55,'02.08 NTINDA-SPEARMOTORS'!G55,'01.07 SPEARMOTORS-NTINDA-24h'!G55,'03.08 SPEARMOTORS-NTINDA-24h'!G55,'04.08 SPEARMOTORS-NTINDA'!G55)</f>
        <v>0.14285714285714285</v>
      </c>
      <c r="H55" s="49">
        <f>AVERAGE('29.07 SPEARMOTORS-NTINDA'!H55,'30.07 SPEARMOTORS-NTINDA'!H55,'31.07 NTINDA-SPEAR MOTORS'!H55,'02.08 NTINDA-SPEARMOTORS'!H55,'01.07 SPEARMOTORS-NTINDA-24h'!H55,'03.08 SPEARMOTORS-NTINDA-24h'!H55,'04.08 SPEARMOTORS-NTINDA'!H55)</f>
        <v>0</v>
      </c>
      <c r="I55" s="49">
        <f>AVERAGE('29.07 SPEARMOTORS-NTINDA'!I55,'30.07 SPEARMOTORS-NTINDA'!I55,'31.07 NTINDA-SPEAR MOTORS'!I55,'02.08 NTINDA-SPEARMOTORS'!I55,'01.07 SPEARMOTORS-NTINDA-24h'!I55,'03.08 SPEARMOTORS-NTINDA-24h'!I55,'04.08 SPEARMOTORS-NTINDA'!I55)</f>
        <v>2</v>
      </c>
      <c r="J55" s="49">
        <f>AVERAGE('29.07 SPEARMOTORS-NTINDA'!J55,'30.07 SPEARMOTORS-NTINDA'!J55,'31.07 NTINDA-SPEAR MOTORS'!J55,'02.08 NTINDA-SPEARMOTORS'!J55,'01.07 SPEARMOTORS-NTINDA-24h'!J55,'03.08 SPEARMOTORS-NTINDA-24h'!J55,'04.08 SPEARMOTORS-NTINDA'!J55)</f>
        <v>1.2857142857142858</v>
      </c>
      <c r="K55" s="49">
        <f>AVERAGE('29.07 SPEARMOTORS-NTINDA'!K55,'30.07 SPEARMOTORS-NTINDA'!K55,'31.07 NTINDA-SPEAR MOTORS'!K55,'02.08 NTINDA-SPEARMOTORS'!K55,'01.07 SPEARMOTORS-NTINDA-24h'!K55,'03.08 SPEARMOTORS-NTINDA-24h'!K55,'04.08 SPEARMOTORS-NTINDA'!K55)</f>
        <v>0.42857142857142855</v>
      </c>
      <c r="L55" s="49">
        <f>AVERAGE('29.07 SPEARMOTORS-NTINDA'!L55,'30.07 SPEARMOTORS-NTINDA'!L55,'31.07 NTINDA-SPEAR MOTORS'!L55,'02.08 NTINDA-SPEARMOTORS'!L55,'01.07 SPEARMOTORS-NTINDA-24h'!L55,'03.08 SPEARMOTORS-NTINDA-24h'!L55,'04.08 SPEARMOTORS-NTINDA'!L55)</f>
        <v>2.2857142857142856</v>
      </c>
      <c r="M55" s="49">
        <f>AVERAGE('29.07 SPEARMOTORS-NTINDA'!M55,'30.07 SPEARMOTORS-NTINDA'!M55,'31.07 NTINDA-SPEAR MOTORS'!M55,'02.08 NTINDA-SPEARMOTORS'!M55,'01.07 SPEARMOTORS-NTINDA-24h'!M55,'03.08 SPEARMOTORS-NTINDA-24h'!M55,'04.08 SPEARMOTORS-NTINDA'!M55)</f>
        <v>127.57142857142857</v>
      </c>
      <c r="N55" s="49">
        <f>AVERAGE('29.07 SPEARMOTORS-NTINDA'!N55,'30.07 SPEARMOTORS-NTINDA'!N55,'31.07 NTINDA-SPEAR MOTORS'!N55,'02.08 NTINDA-SPEARMOTORS'!N55,'01.07 SPEARMOTORS-NTINDA-24h'!N55,'03.08 SPEARMOTORS-NTINDA-24h'!N55,'04.08 SPEARMOTORS-NTINDA'!N55)</f>
        <v>0</v>
      </c>
      <c r="O55" s="15">
        <f t="shared" si="0"/>
        <v>64.857142857142861</v>
      </c>
      <c r="P55" s="15">
        <f t="shared" si="1"/>
        <v>192.42857142857144</v>
      </c>
      <c r="R55" s="8"/>
      <c r="T55"/>
    </row>
    <row r="56" spans="2:20" ht="23.1" customHeight="1" x14ac:dyDescent="0.25">
      <c r="B56" s="23" t="s">
        <v>83</v>
      </c>
      <c r="C56" s="49">
        <f>AVERAGE('29.07 SPEARMOTORS-NTINDA'!C56,'30.07 SPEARMOTORS-NTINDA'!C56,'31.07 NTINDA-SPEAR MOTORS'!C56,'02.08 NTINDA-SPEARMOTORS'!C56,'01.07 SPEARMOTORS-NTINDA-24h'!C56,'03.08 SPEARMOTORS-NTINDA-24h'!C56,'04.08 SPEARMOTORS-NTINDA'!C56)</f>
        <v>28.428571428571427</v>
      </c>
      <c r="D56" s="49">
        <f>AVERAGE('29.07 SPEARMOTORS-NTINDA'!D56,'30.07 SPEARMOTORS-NTINDA'!D56,'31.07 NTINDA-SPEAR MOTORS'!D56,'02.08 NTINDA-SPEARMOTORS'!D56,'01.07 SPEARMOTORS-NTINDA-24h'!D56,'03.08 SPEARMOTORS-NTINDA-24h'!D56,'04.08 SPEARMOTORS-NTINDA'!D56)</f>
        <v>18.285714285714285</v>
      </c>
      <c r="E56" s="49">
        <f>AVERAGE('29.07 SPEARMOTORS-NTINDA'!E56,'30.07 SPEARMOTORS-NTINDA'!E56,'31.07 NTINDA-SPEAR MOTORS'!E56,'02.08 NTINDA-SPEARMOTORS'!E56,'01.07 SPEARMOTORS-NTINDA-24h'!E56,'03.08 SPEARMOTORS-NTINDA-24h'!E56,'04.08 SPEARMOTORS-NTINDA'!E56)</f>
        <v>5.2857142857142856</v>
      </c>
      <c r="F56" s="49">
        <f>AVERAGE('29.07 SPEARMOTORS-NTINDA'!F56,'30.07 SPEARMOTORS-NTINDA'!F56,'31.07 NTINDA-SPEAR MOTORS'!F56,'02.08 NTINDA-SPEARMOTORS'!F56,'01.07 SPEARMOTORS-NTINDA-24h'!F56,'03.08 SPEARMOTORS-NTINDA-24h'!F56,'04.08 SPEARMOTORS-NTINDA'!F56)</f>
        <v>6.2857142857142856</v>
      </c>
      <c r="G56" s="49">
        <f>AVERAGE('29.07 SPEARMOTORS-NTINDA'!G56,'30.07 SPEARMOTORS-NTINDA'!G56,'31.07 NTINDA-SPEAR MOTORS'!G56,'02.08 NTINDA-SPEARMOTORS'!G56,'01.07 SPEARMOTORS-NTINDA-24h'!G56,'03.08 SPEARMOTORS-NTINDA-24h'!G56,'04.08 SPEARMOTORS-NTINDA'!G56)</f>
        <v>0.2857142857142857</v>
      </c>
      <c r="H56" s="49">
        <f>AVERAGE('29.07 SPEARMOTORS-NTINDA'!H56,'30.07 SPEARMOTORS-NTINDA'!H56,'31.07 NTINDA-SPEAR MOTORS'!H56,'02.08 NTINDA-SPEARMOTORS'!H56,'01.07 SPEARMOTORS-NTINDA-24h'!H56,'03.08 SPEARMOTORS-NTINDA-24h'!H56,'04.08 SPEARMOTORS-NTINDA'!H56)</f>
        <v>0.14285714285714285</v>
      </c>
      <c r="I56" s="49">
        <f>AVERAGE('29.07 SPEARMOTORS-NTINDA'!I56,'30.07 SPEARMOTORS-NTINDA'!I56,'31.07 NTINDA-SPEAR MOTORS'!I56,'02.08 NTINDA-SPEARMOTORS'!I56,'01.07 SPEARMOTORS-NTINDA-24h'!I56,'03.08 SPEARMOTORS-NTINDA-24h'!I56,'04.08 SPEARMOTORS-NTINDA'!I56)</f>
        <v>1.7142857142857142</v>
      </c>
      <c r="J56" s="49">
        <f>AVERAGE('29.07 SPEARMOTORS-NTINDA'!J56,'30.07 SPEARMOTORS-NTINDA'!J56,'31.07 NTINDA-SPEAR MOTORS'!J56,'02.08 NTINDA-SPEARMOTORS'!J56,'01.07 SPEARMOTORS-NTINDA-24h'!J56,'03.08 SPEARMOTORS-NTINDA-24h'!J56,'04.08 SPEARMOTORS-NTINDA'!J56)</f>
        <v>0.8571428571428571</v>
      </c>
      <c r="K56" s="49">
        <f>AVERAGE('29.07 SPEARMOTORS-NTINDA'!K56,'30.07 SPEARMOTORS-NTINDA'!K56,'31.07 NTINDA-SPEAR MOTORS'!K56,'02.08 NTINDA-SPEARMOTORS'!K56,'01.07 SPEARMOTORS-NTINDA-24h'!K56,'03.08 SPEARMOTORS-NTINDA-24h'!K56,'04.08 SPEARMOTORS-NTINDA'!K56)</f>
        <v>0.2857142857142857</v>
      </c>
      <c r="L56" s="49">
        <f>AVERAGE('29.07 SPEARMOTORS-NTINDA'!L56,'30.07 SPEARMOTORS-NTINDA'!L56,'31.07 NTINDA-SPEAR MOTORS'!L56,'02.08 NTINDA-SPEARMOTORS'!L56,'01.07 SPEARMOTORS-NTINDA-24h'!L56,'03.08 SPEARMOTORS-NTINDA-24h'!L56,'04.08 SPEARMOTORS-NTINDA'!L56)</f>
        <v>1.1428571428571428</v>
      </c>
      <c r="M56" s="49">
        <f>AVERAGE('29.07 SPEARMOTORS-NTINDA'!M56,'30.07 SPEARMOTORS-NTINDA'!M56,'31.07 NTINDA-SPEAR MOTORS'!M56,'02.08 NTINDA-SPEARMOTORS'!M56,'01.07 SPEARMOTORS-NTINDA-24h'!M56,'03.08 SPEARMOTORS-NTINDA-24h'!M56,'04.08 SPEARMOTORS-NTINDA'!M56)</f>
        <v>123.14285714285714</v>
      </c>
      <c r="N56" s="49">
        <f>AVERAGE('29.07 SPEARMOTORS-NTINDA'!N56,'30.07 SPEARMOTORS-NTINDA'!N56,'31.07 NTINDA-SPEAR MOTORS'!N56,'02.08 NTINDA-SPEARMOTORS'!N56,'01.07 SPEARMOTORS-NTINDA-24h'!N56,'03.08 SPEARMOTORS-NTINDA-24h'!N56,'04.08 SPEARMOTORS-NTINDA'!N56)</f>
        <v>0</v>
      </c>
      <c r="O56" s="15">
        <f t="shared" si="0"/>
        <v>62.714285714285708</v>
      </c>
      <c r="P56" s="15">
        <f t="shared" si="1"/>
        <v>185.85714285714283</v>
      </c>
      <c r="R56" s="8"/>
      <c r="T56"/>
    </row>
    <row r="57" spans="2:20" ht="23.1" customHeight="1" x14ac:dyDescent="0.25">
      <c r="B57" s="23" t="s">
        <v>84</v>
      </c>
      <c r="C57" s="49">
        <f>AVERAGE('29.07 SPEARMOTORS-NTINDA'!C57,'30.07 SPEARMOTORS-NTINDA'!C57,'31.07 NTINDA-SPEAR MOTORS'!C57,'02.08 NTINDA-SPEARMOTORS'!C57,'01.07 SPEARMOTORS-NTINDA-24h'!C57,'03.08 SPEARMOTORS-NTINDA-24h'!C57,'04.08 SPEARMOTORS-NTINDA'!C57)</f>
        <v>25</v>
      </c>
      <c r="D57" s="49">
        <f>AVERAGE('29.07 SPEARMOTORS-NTINDA'!D57,'30.07 SPEARMOTORS-NTINDA'!D57,'31.07 NTINDA-SPEAR MOTORS'!D57,'02.08 NTINDA-SPEARMOTORS'!D57,'01.07 SPEARMOTORS-NTINDA-24h'!D57,'03.08 SPEARMOTORS-NTINDA-24h'!D57,'04.08 SPEARMOTORS-NTINDA'!D57)</f>
        <v>18</v>
      </c>
      <c r="E57" s="49">
        <f>AVERAGE('29.07 SPEARMOTORS-NTINDA'!E57,'30.07 SPEARMOTORS-NTINDA'!E57,'31.07 NTINDA-SPEAR MOTORS'!E57,'02.08 NTINDA-SPEARMOTORS'!E57,'01.07 SPEARMOTORS-NTINDA-24h'!E57,'03.08 SPEARMOTORS-NTINDA-24h'!E57,'04.08 SPEARMOTORS-NTINDA'!E57)</f>
        <v>4</v>
      </c>
      <c r="F57" s="49">
        <f>AVERAGE('29.07 SPEARMOTORS-NTINDA'!F57,'30.07 SPEARMOTORS-NTINDA'!F57,'31.07 NTINDA-SPEAR MOTORS'!F57,'02.08 NTINDA-SPEARMOTORS'!F57,'01.07 SPEARMOTORS-NTINDA-24h'!F57,'03.08 SPEARMOTORS-NTINDA-24h'!F57,'04.08 SPEARMOTORS-NTINDA'!F57)</f>
        <v>7.1428571428571432</v>
      </c>
      <c r="G57" s="49">
        <f>AVERAGE('29.07 SPEARMOTORS-NTINDA'!G57,'30.07 SPEARMOTORS-NTINDA'!G57,'31.07 NTINDA-SPEAR MOTORS'!G57,'02.08 NTINDA-SPEARMOTORS'!G57,'01.07 SPEARMOTORS-NTINDA-24h'!G57,'03.08 SPEARMOTORS-NTINDA-24h'!G57,'04.08 SPEARMOTORS-NTINDA'!G57)</f>
        <v>0</v>
      </c>
      <c r="H57" s="49">
        <f>AVERAGE('29.07 SPEARMOTORS-NTINDA'!H57,'30.07 SPEARMOTORS-NTINDA'!H57,'31.07 NTINDA-SPEAR MOTORS'!H57,'02.08 NTINDA-SPEARMOTORS'!H57,'01.07 SPEARMOTORS-NTINDA-24h'!H57,'03.08 SPEARMOTORS-NTINDA-24h'!H57,'04.08 SPEARMOTORS-NTINDA'!H57)</f>
        <v>0.14285714285714285</v>
      </c>
      <c r="I57" s="49">
        <f>AVERAGE('29.07 SPEARMOTORS-NTINDA'!I57,'30.07 SPEARMOTORS-NTINDA'!I57,'31.07 NTINDA-SPEAR MOTORS'!I57,'02.08 NTINDA-SPEARMOTORS'!I57,'01.07 SPEARMOTORS-NTINDA-24h'!I57,'03.08 SPEARMOTORS-NTINDA-24h'!I57,'04.08 SPEARMOTORS-NTINDA'!I57)</f>
        <v>0.7142857142857143</v>
      </c>
      <c r="J57" s="49">
        <f>AVERAGE('29.07 SPEARMOTORS-NTINDA'!J57,'30.07 SPEARMOTORS-NTINDA'!J57,'31.07 NTINDA-SPEAR MOTORS'!J57,'02.08 NTINDA-SPEARMOTORS'!J57,'01.07 SPEARMOTORS-NTINDA-24h'!J57,'03.08 SPEARMOTORS-NTINDA-24h'!J57,'04.08 SPEARMOTORS-NTINDA'!J57)</f>
        <v>1</v>
      </c>
      <c r="K57" s="49">
        <f>AVERAGE('29.07 SPEARMOTORS-NTINDA'!K57,'30.07 SPEARMOTORS-NTINDA'!K57,'31.07 NTINDA-SPEAR MOTORS'!K57,'02.08 NTINDA-SPEARMOTORS'!K57,'01.07 SPEARMOTORS-NTINDA-24h'!K57,'03.08 SPEARMOTORS-NTINDA-24h'!K57,'04.08 SPEARMOTORS-NTINDA'!K57)</f>
        <v>0.5714285714285714</v>
      </c>
      <c r="L57" s="49">
        <f>AVERAGE('29.07 SPEARMOTORS-NTINDA'!L57,'30.07 SPEARMOTORS-NTINDA'!L57,'31.07 NTINDA-SPEAR MOTORS'!L57,'02.08 NTINDA-SPEARMOTORS'!L57,'01.07 SPEARMOTORS-NTINDA-24h'!L57,'03.08 SPEARMOTORS-NTINDA-24h'!L57,'04.08 SPEARMOTORS-NTINDA'!L57)</f>
        <v>2</v>
      </c>
      <c r="M57" s="49">
        <f>AVERAGE('29.07 SPEARMOTORS-NTINDA'!M57,'30.07 SPEARMOTORS-NTINDA'!M57,'31.07 NTINDA-SPEAR MOTORS'!M57,'02.08 NTINDA-SPEARMOTORS'!M57,'01.07 SPEARMOTORS-NTINDA-24h'!M57,'03.08 SPEARMOTORS-NTINDA-24h'!M57,'04.08 SPEARMOTORS-NTINDA'!M57)</f>
        <v>131.85714285714286</v>
      </c>
      <c r="N57" s="49">
        <f>AVERAGE('29.07 SPEARMOTORS-NTINDA'!N57,'30.07 SPEARMOTORS-NTINDA'!N57,'31.07 NTINDA-SPEAR MOTORS'!N57,'02.08 NTINDA-SPEARMOTORS'!N57,'01.07 SPEARMOTORS-NTINDA-24h'!N57,'03.08 SPEARMOTORS-NTINDA-24h'!N57,'04.08 SPEARMOTORS-NTINDA'!N57)</f>
        <v>0</v>
      </c>
      <c r="O57" s="15">
        <f t="shared" si="0"/>
        <v>58.571428571428577</v>
      </c>
      <c r="P57" s="15">
        <f t="shared" si="1"/>
        <v>190.42857142857144</v>
      </c>
      <c r="R57" s="8"/>
      <c r="T57"/>
    </row>
    <row r="58" spans="2:20" ht="23.1" customHeight="1" x14ac:dyDescent="0.25">
      <c r="B58" s="23" t="s">
        <v>99</v>
      </c>
      <c r="C58" s="49">
        <f>AVERAGE('01.07 SPEARMOTORS-NTINDA-24h'!C58,'03.08 SPEARMOTORS-NTINDA-24h'!C58)</f>
        <v>15.5</v>
      </c>
      <c r="D58" s="49">
        <f>AVERAGE('01.07 SPEARMOTORS-NTINDA-24h'!D58,'03.08 SPEARMOTORS-NTINDA-24h'!D58)</f>
        <v>14</v>
      </c>
      <c r="E58" s="49">
        <f>AVERAGE('01.07 SPEARMOTORS-NTINDA-24h'!E58,'03.08 SPEARMOTORS-NTINDA-24h'!E58)</f>
        <v>3.5</v>
      </c>
      <c r="F58" s="49">
        <f>AVERAGE('01.07 SPEARMOTORS-NTINDA-24h'!F58,'03.08 SPEARMOTORS-NTINDA-24h'!F58)</f>
        <v>11</v>
      </c>
      <c r="G58" s="49">
        <f>AVERAGE('01.07 SPEARMOTORS-NTINDA-24h'!G58,'03.08 SPEARMOTORS-NTINDA-24h'!G58)</f>
        <v>0</v>
      </c>
      <c r="H58" s="49">
        <f>AVERAGE('01.07 SPEARMOTORS-NTINDA-24h'!H58,'03.08 SPEARMOTORS-NTINDA-24h'!H58)</f>
        <v>0</v>
      </c>
      <c r="I58" s="49">
        <f>AVERAGE('01.07 SPEARMOTORS-NTINDA-24h'!I58,'03.08 SPEARMOTORS-NTINDA-24h'!I58)</f>
        <v>0.5</v>
      </c>
      <c r="J58" s="49">
        <f>AVERAGE('01.07 SPEARMOTORS-NTINDA-24h'!J58,'03.08 SPEARMOTORS-NTINDA-24h'!J58)</f>
        <v>0</v>
      </c>
      <c r="K58" s="49">
        <f>AVERAGE('01.07 SPEARMOTORS-NTINDA-24h'!K58,'03.08 SPEARMOTORS-NTINDA-24h'!K58)</f>
        <v>0</v>
      </c>
      <c r="L58" s="49">
        <f>AVERAGE('01.07 SPEARMOTORS-NTINDA-24h'!L58,'03.08 SPEARMOTORS-NTINDA-24h'!L58)</f>
        <v>6</v>
      </c>
      <c r="M58" s="49">
        <f>AVERAGE('01.07 SPEARMOTORS-NTINDA-24h'!M58,'03.08 SPEARMOTORS-NTINDA-24h'!M58)</f>
        <v>67.5</v>
      </c>
      <c r="N58" s="49">
        <f>AVERAGE('01.07 SPEARMOTORS-NTINDA-24h'!N58,'03.08 SPEARMOTORS-NTINDA-24h'!N58)</f>
        <v>0</v>
      </c>
      <c r="O58" s="49">
        <f>AVERAGE('01.07 SPEARMOTORS-NTINDA-24h'!O58,'03.08 SPEARMOTORS-NTINDA-24h'!O58)</f>
        <v>50.5</v>
      </c>
      <c r="P58" s="49">
        <f>AVERAGE('01.07 SPEARMOTORS-NTINDA-24h'!P58,'03.08 SPEARMOTORS-NTINDA-24h'!P58)</f>
        <v>118</v>
      </c>
      <c r="R58" s="8"/>
      <c r="T58"/>
    </row>
    <row r="59" spans="2:20" ht="23.1" customHeight="1" x14ac:dyDescent="0.25">
      <c r="B59" s="23" t="s">
        <v>100</v>
      </c>
      <c r="C59" s="49">
        <f>AVERAGE('01.07 SPEARMOTORS-NTINDA-24h'!C59,'03.08 SPEARMOTORS-NTINDA-24h'!C59)</f>
        <v>18</v>
      </c>
      <c r="D59" s="49">
        <f>AVERAGE('01.07 SPEARMOTORS-NTINDA-24h'!D59,'03.08 SPEARMOTORS-NTINDA-24h'!D59)</f>
        <v>16.5</v>
      </c>
      <c r="E59" s="49">
        <f>AVERAGE('01.07 SPEARMOTORS-NTINDA-24h'!E59,'03.08 SPEARMOTORS-NTINDA-24h'!E59)</f>
        <v>2.5</v>
      </c>
      <c r="F59" s="49">
        <f>AVERAGE('01.07 SPEARMOTORS-NTINDA-24h'!F59,'03.08 SPEARMOTORS-NTINDA-24h'!F59)</f>
        <v>12</v>
      </c>
      <c r="G59" s="49">
        <f>AVERAGE('01.07 SPEARMOTORS-NTINDA-24h'!G59,'03.08 SPEARMOTORS-NTINDA-24h'!G59)</f>
        <v>0</v>
      </c>
      <c r="H59" s="49">
        <f>AVERAGE('01.07 SPEARMOTORS-NTINDA-24h'!H59,'03.08 SPEARMOTORS-NTINDA-24h'!H59)</f>
        <v>0</v>
      </c>
      <c r="I59" s="49">
        <f>AVERAGE('01.07 SPEARMOTORS-NTINDA-24h'!I59,'03.08 SPEARMOTORS-NTINDA-24h'!I59)</f>
        <v>0</v>
      </c>
      <c r="J59" s="49">
        <f>AVERAGE('01.07 SPEARMOTORS-NTINDA-24h'!J59,'03.08 SPEARMOTORS-NTINDA-24h'!J59)</f>
        <v>0</v>
      </c>
      <c r="K59" s="49">
        <f>AVERAGE('01.07 SPEARMOTORS-NTINDA-24h'!K59,'03.08 SPEARMOTORS-NTINDA-24h'!K59)</f>
        <v>0</v>
      </c>
      <c r="L59" s="49">
        <f>AVERAGE('01.07 SPEARMOTORS-NTINDA-24h'!L59,'03.08 SPEARMOTORS-NTINDA-24h'!L59)</f>
        <v>0</v>
      </c>
      <c r="M59" s="49">
        <f>AVERAGE('01.07 SPEARMOTORS-NTINDA-24h'!M59,'03.08 SPEARMOTORS-NTINDA-24h'!M59)</f>
        <v>95</v>
      </c>
      <c r="N59" s="49">
        <f>AVERAGE('01.07 SPEARMOTORS-NTINDA-24h'!N59,'03.08 SPEARMOTORS-NTINDA-24h'!N59)</f>
        <v>0</v>
      </c>
      <c r="O59" s="49">
        <f>AVERAGE('01.07 SPEARMOTORS-NTINDA-24h'!O59,'03.08 SPEARMOTORS-NTINDA-24h'!O59)</f>
        <v>49</v>
      </c>
      <c r="P59" s="49">
        <f>AVERAGE('01.07 SPEARMOTORS-NTINDA-24h'!P59,'03.08 SPEARMOTORS-NTINDA-24h'!P59)</f>
        <v>144</v>
      </c>
      <c r="R59" s="8"/>
      <c r="T59"/>
    </row>
    <row r="60" spans="2:20" ht="23.1" customHeight="1" x14ac:dyDescent="0.25">
      <c r="B60" s="23" t="s">
        <v>101</v>
      </c>
      <c r="C60" s="49">
        <f>AVERAGE('01.07 SPEARMOTORS-NTINDA-24h'!C60,'03.08 SPEARMOTORS-NTINDA-24h'!C60)</f>
        <v>32</v>
      </c>
      <c r="D60" s="49">
        <f>AVERAGE('01.07 SPEARMOTORS-NTINDA-24h'!D60,'03.08 SPEARMOTORS-NTINDA-24h'!D60)</f>
        <v>19</v>
      </c>
      <c r="E60" s="49">
        <f>AVERAGE('01.07 SPEARMOTORS-NTINDA-24h'!E60,'03.08 SPEARMOTORS-NTINDA-24h'!E60)</f>
        <v>5</v>
      </c>
      <c r="F60" s="49">
        <f>AVERAGE('01.07 SPEARMOTORS-NTINDA-24h'!F60,'03.08 SPEARMOTORS-NTINDA-24h'!F60)</f>
        <v>11</v>
      </c>
      <c r="G60" s="49">
        <f>AVERAGE('01.07 SPEARMOTORS-NTINDA-24h'!G60,'03.08 SPEARMOTORS-NTINDA-24h'!G60)</f>
        <v>0</v>
      </c>
      <c r="H60" s="49">
        <f>AVERAGE('01.07 SPEARMOTORS-NTINDA-24h'!H60,'03.08 SPEARMOTORS-NTINDA-24h'!H60)</f>
        <v>0</v>
      </c>
      <c r="I60" s="49">
        <f>AVERAGE('01.07 SPEARMOTORS-NTINDA-24h'!I60,'03.08 SPEARMOTORS-NTINDA-24h'!I60)</f>
        <v>1</v>
      </c>
      <c r="J60" s="49">
        <f>AVERAGE('01.07 SPEARMOTORS-NTINDA-24h'!J60,'03.08 SPEARMOTORS-NTINDA-24h'!J60)</f>
        <v>1.5</v>
      </c>
      <c r="K60" s="49">
        <f>AVERAGE('01.07 SPEARMOTORS-NTINDA-24h'!K60,'03.08 SPEARMOTORS-NTINDA-24h'!K60)</f>
        <v>1</v>
      </c>
      <c r="L60" s="49">
        <f>AVERAGE('01.07 SPEARMOTORS-NTINDA-24h'!L60,'03.08 SPEARMOTORS-NTINDA-24h'!L60)</f>
        <v>0.5</v>
      </c>
      <c r="M60" s="49">
        <f>AVERAGE('01.07 SPEARMOTORS-NTINDA-24h'!M60,'03.08 SPEARMOTORS-NTINDA-24h'!M60)</f>
        <v>126</v>
      </c>
      <c r="N60" s="49">
        <f>AVERAGE('01.07 SPEARMOTORS-NTINDA-24h'!N60,'03.08 SPEARMOTORS-NTINDA-24h'!N60)</f>
        <v>0</v>
      </c>
      <c r="O60" s="49">
        <f>AVERAGE('01.07 SPEARMOTORS-NTINDA-24h'!O60,'03.08 SPEARMOTORS-NTINDA-24h'!O60)</f>
        <v>71</v>
      </c>
      <c r="P60" s="49">
        <f>AVERAGE('01.07 SPEARMOTORS-NTINDA-24h'!P60,'03.08 SPEARMOTORS-NTINDA-24h'!P60)</f>
        <v>197</v>
      </c>
      <c r="R60" s="8"/>
      <c r="T60"/>
    </row>
    <row r="61" spans="2:20" ht="23.1" customHeight="1" x14ac:dyDescent="0.25">
      <c r="B61" s="23" t="s">
        <v>102</v>
      </c>
      <c r="C61" s="49">
        <f>AVERAGE('01.07 SPEARMOTORS-NTINDA-24h'!C61,'03.08 SPEARMOTORS-NTINDA-24h'!C61)</f>
        <v>33.5</v>
      </c>
      <c r="D61" s="49">
        <f>AVERAGE('01.07 SPEARMOTORS-NTINDA-24h'!D61,'03.08 SPEARMOTORS-NTINDA-24h'!D61)</f>
        <v>24.5</v>
      </c>
      <c r="E61" s="49">
        <f>AVERAGE('01.07 SPEARMOTORS-NTINDA-24h'!E61,'03.08 SPEARMOTORS-NTINDA-24h'!E61)</f>
        <v>10</v>
      </c>
      <c r="F61" s="49">
        <f>AVERAGE('01.07 SPEARMOTORS-NTINDA-24h'!F61,'03.08 SPEARMOTORS-NTINDA-24h'!F61)</f>
        <v>6</v>
      </c>
      <c r="G61" s="49">
        <f>AVERAGE('01.07 SPEARMOTORS-NTINDA-24h'!G61,'03.08 SPEARMOTORS-NTINDA-24h'!G61)</f>
        <v>0</v>
      </c>
      <c r="H61" s="49">
        <f>AVERAGE('01.07 SPEARMOTORS-NTINDA-24h'!H61,'03.08 SPEARMOTORS-NTINDA-24h'!H61)</f>
        <v>0</v>
      </c>
      <c r="I61" s="49">
        <f>AVERAGE('01.07 SPEARMOTORS-NTINDA-24h'!I61,'03.08 SPEARMOTORS-NTINDA-24h'!I61)</f>
        <v>0</v>
      </c>
      <c r="J61" s="49">
        <f>AVERAGE('01.07 SPEARMOTORS-NTINDA-24h'!J61,'03.08 SPEARMOTORS-NTINDA-24h'!J61)</f>
        <v>0</v>
      </c>
      <c r="K61" s="49">
        <f>AVERAGE('01.07 SPEARMOTORS-NTINDA-24h'!K61,'03.08 SPEARMOTORS-NTINDA-24h'!K61)</f>
        <v>0</v>
      </c>
      <c r="L61" s="49">
        <f>AVERAGE('01.07 SPEARMOTORS-NTINDA-24h'!L61,'03.08 SPEARMOTORS-NTINDA-24h'!L61)</f>
        <v>0.5</v>
      </c>
      <c r="M61" s="49">
        <f>AVERAGE('01.07 SPEARMOTORS-NTINDA-24h'!M61,'03.08 SPEARMOTORS-NTINDA-24h'!M61)</f>
        <v>112.5</v>
      </c>
      <c r="N61" s="49">
        <f>AVERAGE('01.07 SPEARMOTORS-NTINDA-24h'!N61,'03.08 SPEARMOTORS-NTINDA-24h'!N61)</f>
        <v>0</v>
      </c>
      <c r="O61" s="49">
        <f>AVERAGE('01.07 SPEARMOTORS-NTINDA-24h'!O61,'03.08 SPEARMOTORS-NTINDA-24h'!O61)</f>
        <v>74.5</v>
      </c>
      <c r="P61" s="49">
        <f>AVERAGE('01.07 SPEARMOTORS-NTINDA-24h'!P61,'03.08 SPEARMOTORS-NTINDA-24h'!P61)</f>
        <v>187</v>
      </c>
      <c r="R61" s="8"/>
      <c r="T61"/>
    </row>
    <row r="62" spans="2:20" ht="23.1" customHeight="1" x14ac:dyDescent="0.25">
      <c r="B62" s="23" t="s">
        <v>107</v>
      </c>
      <c r="C62" s="49">
        <f>AVERAGE('01.07 SPEARMOTORS-NTINDA-24h'!C62,'03.08 SPEARMOTORS-NTINDA-24h'!C62)</f>
        <v>32.5</v>
      </c>
      <c r="D62" s="49">
        <f>AVERAGE('01.07 SPEARMOTORS-NTINDA-24h'!D62,'03.08 SPEARMOTORS-NTINDA-24h'!D62)</f>
        <v>18.5</v>
      </c>
      <c r="E62" s="49">
        <f>AVERAGE('01.07 SPEARMOTORS-NTINDA-24h'!E62,'03.08 SPEARMOTORS-NTINDA-24h'!E62)</f>
        <v>3.5</v>
      </c>
      <c r="F62" s="49">
        <f>AVERAGE('01.07 SPEARMOTORS-NTINDA-24h'!F62,'03.08 SPEARMOTORS-NTINDA-24h'!F62)</f>
        <v>11.5</v>
      </c>
      <c r="G62" s="49">
        <f>AVERAGE('01.07 SPEARMOTORS-NTINDA-24h'!G62,'03.08 SPEARMOTORS-NTINDA-24h'!G62)</f>
        <v>0</v>
      </c>
      <c r="H62" s="49">
        <f>AVERAGE('01.07 SPEARMOTORS-NTINDA-24h'!H62,'03.08 SPEARMOTORS-NTINDA-24h'!H62)</f>
        <v>0</v>
      </c>
      <c r="I62" s="49">
        <f>AVERAGE('01.07 SPEARMOTORS-NTINDA-24h'!I62,'03.08 SPEARMOTORS-NTINDA-24h'!I62)</f>
        <v>0.5</v>
      </c>
      <c r="J62" s="49">
        <f>AVERAGE('01.07 SPEARMOTORS-NTINDA-24h'!J62,'03.08 SPEARMOTORS-NTINDA-24h'!J62)</f>
        <v>0.5</v>
      </c>
      <c r="K62" s="49">
        <f>AVERAGE('01.07 SPEARMOTORS-NTINDA-24h'!K62,'03.08 SPEARMOTORS-NTINDA-24h'!K62)</f>
        <v>0</v>
      </c>
      <c r="L62" s="49">
        <f>AVERAGE('01.07 SPEARMOTORS-NTINDA-24h'!L62,'03.08 SPEARMOTORS-NTINDA-24h'!L62)</f>
        <v>1.5</v>
      </c>
      <c r="M62" s="49">
        <f>AVERAGE('01.07 SPEARMOTORS-NTINDA-24h'!M62,'03.08 SPEARMOTORS-NTINDA-24h'!M62)</f>
        <v>99</v>
      </c>
      <c r="N62" s="49">
        <f>AVERAGE('01.07 SPEARMOTORS-NTINDA-24h'!N62,'03.08 SPEARMOTORS-NTINDA-24h'!N62)</f>
        <v>0</v>
      </c>
      <c r="O62" s="49">
        <f>AVERAGE('01.07 SPEARMOTORS-NTINDA-24h'!O62,'03.08 SPEARMOTORS-NTINDA-24h'!O62)</f>
        <v>68.5</v>
      </c>
      <c r="P62" s="49">
        <f>AVERAGE('01.07 SPEARMOTORS-NTINDA-24h'!P62,'03.08 SPEARMOTORS-NTINDA-24h'!P62)</f>
        <v>167.5</v>
      </c>
      <c r="R62" s="8"/>
      <c r="T62"/>
    </row>
    <row r="63" spans="2:20" ht="23.1" customHeight="1" x14ac:dyDescent="0.25">
      <c r="B63" s="23" t="s">
        <v>108</v>
      </c>
      <c r="C63" s="49">
        <f>AVERAGE('01.07 SPEARMOTORS-NTINDA-24h'!C63,'03.08 SPEARMOTORS-NTINDA-24h'!C63)</f>
        <v>35.5</v>
      </c>
      <c r="D63" s="49">
        <f>AVERAGE('01.07 SPEARMOTORS-NTINDA-24h'!D63,'03.08 SPEARMOTORS-NTINDA-24h'!D63)</f>
        <v>20</v>
      </c>
      <c r="E63" s="49">
        <f>AVERAGE('01.07 SPEARMOTORS-NTINDA-24h'!E63,'03.08 SPEARMOTORS-NTINDA-24h'!E63)</f>
        <v>3.5</v>
      </c>
      <c r="F63" s="49">
        <f>AVERAGE('01.07 SPEARMOTORS-NTINDA-24h'!F63,'03.08 SPEARMOTORS-NTINDA-24h'!F63)</f>
        <v>11</v>
      </c>
      <c r="G63" s="49">
        <f>AVERAGE('01.07 SPEARMOTORS-NTINDA-24h'!G63,'03.08 SPEARMOTORS-NTINDA-24h'!G63)</f>
        <v>0</v>
      </c>
      <c r="H63" s="49">
        <f>AVERAGE('01.07 SPEARMOTORS-NTINDA-24h'!H63,'03.08 SPEARMOTORS-NTINDA-24h'!H63)</f>
        <v>0</v>
      </c>
      <c r="I63" s="49">
        <f>AVERAGE('01.07 SPEARMOTORS-NTINDA-24h'!I63,'03.08 SPEARMOTORS-NTINDA-24h'!I63)</f>
        <v>1</v>
      </c>
      <c r="J63" s="49">
        <f>AVERAGE('01.07 SPEARMOTORS-NTINDA-24h'!J63,'03.08 SPEARMOTORS-NTINDA-24h'!J63)</f>
        <v>1</v>
      </c>
      <c r="K63" s="49">
        <f>AVERAGE('01.07 SPEARMOTORS-NTINDA-24h'!K63,'03.08 SPEARMOTORS-NTINDA-24h'!K63)</f>
        <v>0</v>
      </c>
      <c r="L63" s="49">
        <f>AVERAGE('01.07 SPEARMOTORS-NTINDA-24h'!L63,'03.08 SPEARMOTORS-NTINDA-24h'!L63)</f>
        <v>1</v>
      </c>
      <c r="M63" s="49">
        <f>AVERAGE('01.07 SPEARMOTORS-NTINDA-24h'!M63,'03.08 SPEARMOTORS-NTINDA-24h'!M63)</f>
        <v>77.5</v>
      </c>
      <c r="N63" s="49">
        <f>AVERAGE('01.07 SPEARMOTORS-NTINDA-24h'!N63,'03.08 SPEARMOTORS-NTINDA-24h'!N63)</f>
        <v>0</v>
      </c>
      <c r="O63" s="49">
        <f>AVERAGE('01.07 SPEARMOTORS-NTINDA-24h'!O63,'03.08 SPEARMOTORS-NTINDA-24h'!O63)</f>
        <v>73</v>
      </c>
      <c r="P63" s="49">
        <f>AVERAGE('01.07 SPEARMOTORS-NTINDA-24h'!P63,'03.08 SPEARMOTORS-NTINDA-24h'!P63)</f>
        <v>150.5</v>
      </c>
      <c r="R63" s="8"/>
      <c r="T63"/>
    </row>
    <row r="64" spans="2:20" ht="23.1" customHeight="1" x14ac:dyDescent="0.25">
      <c r="B64" s="23" t="s">
        <v>109</v>
      </c>
      <c r="C64" s="49">
        <f>AVERAGE('01.07 SPEARMOTORS-NTINDA-24h'!C64,'03.08 SPEARMOTORS-NTINDA-24h'!C64)</f>
        <v>40</v>
      </c>
      <c r="D64" s="49">
        <f>AVERAGE('01.07 SPEARMOTORS-NTINDA-24h'!D64,'03.08 SPEARMOTORS-NTINDA-24h'!D64)</f>
        <v>23</v>
      </c>
      <c r="E64" s="49">
        <f>AVERAGE('01.07 SPEARMOTORS-NTINDA-24h'!E64,'03.08 SPEARMOTORS-NTINDA-24h'!E64)</f>
        <v>3.5</v>
      </c>
      <c r="F64" s="49">
        <f>AVERAGE('01.07 SPEARMOTORS-NTINDA-24h'!F64,'03.08 SPEARMOTORS-NTINDA-24h'!F64)</f>
        <v>12.5</v>
      </c>
      <c r="G64" s="49">
        <f>AVERAGE('01.07 SPEARMOTORS-NTINDA-24h'!G64,'03.08 SPEARMOTORS-NTINDA-24h'!G64)</f>
        <v>0</v>
      </c>
      <c r="H64" s="49">
        <f>AVERAGE('01.07 SPEARMOTORS-NTINDA-24h'!H64,'03.08 SPEARMOTORS-NTINDA-24h'!H64)</f>
        <v>0</v>
      </c>
      <c r="I64" s="49">
        <f>AVERAGE('01.07 SPEARMOTORS-NTINDA-24h'!I64,'03.08 SPEARMOTORS-NTINDA-24h'!I64)</f>
        <v>0</v>
      </c>
      <c r="J64" s="49">
        <f>AVERAGE('01.07 SPEARMOTORS-NTINDA-24h'!J64,'03.08 SPEARMOTORS-NTINDA-24h'!J64)</f>
        <v>0.5</v>
      </c>
      <c r="K64" s="49">
        <f>AVERAGE('01.07 SPEARMOTORS-NTINDA-24h'!K64,'03.08 SPEARMOTORS-NTINDA-24h'!K64)</f>
        <v>0.5</v>
      </c>
      <c r="L64" s="49">
        <f>AVERAGE('01.07 SPEARMOTORS-NTINDA-24h'!L64,'03.08 SPEARMOTORS-NTINDA-24h'!L64)</f>
        <v>1.5</v>
      </c>
      <c r="M64" s="49">
        <f>AVERAGE('01.07 SPEARMOTORS-NTINDA-24h'!M64,'03.08 SPEARMOTORS-NTINDA-24h'!M64)</f>
        <v>81.5</v>
      </c>
      <c r="N64" s="49">
        <f>AVERAGE('01.07 SPEARMOTORS-NTINDA-24h'!N64,'03.08 SPEARMOTORS-NTINDA-24h'!N64)</f>
        <v>0</v>
      </c>
      <c r="O64" s="49">
        <f>AVERAGE('01.07 SPEARMOTORS-NTINDA-24h'!O64,'03.08 SPEARMOTORS-NTINDA-24h'!O64)</f>
        <v>81.5</v>
      </c>
      <c r="P64" s="49">
        <f>AVERAGE('01.07 SPEARMOTORS-NTINDA-24h'!P64,'03.08 SPEARMOTORS-NTINDA-24h'!P64)</f>
        <v>163</v>
      </c>
      <c r="R64" s="8"/>
      <c r="T64"/>
    </row>
    <row r="65" spans="2:20" ht="23.1" customHeight="1" x14ac:dyDescent="0.25">
      <c r="B65" s="23" t="s">
        <v>158</v>
      </c>
      <c r="C65" s="49">
        <f>AVERAGE('01.07 SPEARMOTORS-NTINDA-24h'!C65,'03.08 SPEARMOTORS-NTINDA-24h'!C65)</f>
        <v>36.5</v>
      </c>
      <c r="D65" s="49">
        <f>AVERAGE('01.07 SPEARMOTORS-NTINDA-24h'!D65,'03.08 SPEARMOTORS-NTINDA-24h'!D65)</f>
        <v>18.5</v>
      </c>
      <c r="E65" s="49">
        <f>AVERAGE('01.07 SPEARMOTORS-NTINDA-24h'!E65,'03.08 SPEARMOTORS-NTINDA-24h'!E65)</f>
        <v>7</v>
      </c>
      <c r="F65" s="49">
        <f>AVERAGE('01.07 SPEARMOTORS-NTINDA-24h'!F65,'03.08 SPEARMOTORS-NTINDA-24h'!F65)</f>
        <v>14</v>
      </c>
      <c r="G65" s="49">
        <f>AVERAGE('01.07 SPEARMOTORS-NTINDA-24h'!G65,'03.08 SPEARMOTORS-NTINDA-24h'!G65)</f>
        <v>0</v>
      </c>
      <c r="H65" s="49">
        <f>AVERAGE('01.07 SPEARMOTORS-NTINDA-24h'!H65,'03.08 SPEARMOTORS-NTINDA-24h'!H65)</f>
        <v>0</v>
      </c>
      <c r="I65" s="49">
        <f>AVERAGE('01.07 SPEARMOTORS-NTINDA-24h'!I65,'03.08 SPEARMOTORS-NTINDA-24h'!I65)</f>
        <v>0.5</v>
      </c>
      <c r="J65" s="49">
        <f>AVERAGE('01.07 SPEARMOTORS-NTINDA-24h'!J65,'03.08 SPEARMOTORS-NTINDA-24h'!J65)</f>
        <v>0.5</v>
      </c>
      <c r="K65" s="49">
        <f>AVERAGE('01.07 SPEARMOTORS-NTINDA-24h'!K65,'03.08 SPEARMOTORS-NTINDA-24h'!K65)</f>
        <v>0.5</v>
      </c>
      <c r="L65" s="49">
        <f>AVERAGE('01.07 SPEARMOTORS-NTINDA-24h'!L65,'03.08 SPEARMOTORS-NTINDA-24h'!L65)</f>
        <v>0.5</v>
      </c>
      <c r="M65" s="49">
        <f>AVERAGE('01.07 SPEARMOTORS-NTINDA-24h'!M65,'03.08 SPEARMOTORS-NTINDA-24h'!M65)</f>
        <v>76.5</v>
      </c>
      <c r="N65" s="49">
        <f>AVERAGE('01.07 SPEARMOTORS-NTINDA-24h'!N65,'03.08 SPEARMOTORS-NTINDA-24h'!N65)</f>
        <v>0</v>
      </c>
      <c r="O65" s="49">
        <f>AVERAGE('01.07 SPEARMOTORS-NTINDA-24h'!O65,'03.08 SPEARMOTORS-NTINDA-24h'!O65)</f>
        <v>78</v>
      </c>
      <c r="P65" s="49">
        <f>AVERAGE('01.07 SPEARMOTORS-NTINDA-24h'!P65,'03.08 SPEARMOTORS-NTINDA-24h'!P65)</f>
        <v>154.5</v>
      </c>
      <c r="R65" s="8"/>
      <c r="T65"/>
    </row>
    <row r="66" spans="2:20" ht="23.1" customHeight="1" x14ac:dyDescent="0.25">
      <c r="B66" s="23" t="s">
        <v>103</v>
      </c>
      <c r="C66" s="49">
        <f>AVERAGE('01.07 SPEARMOTORS-NTINDA-24h'!C66,'03.08 SPEARMOTORS-NTINDA-24h'!C66)</f>
        <v>40.5</v>
      </c>
      <c r="D66" s="49">
        <f>AVERAGE('01.07 SPEARMOTORS-NTINDA-24h'!D66,'03.08 SPEARMOTORS-NTINDA-24h'!D66)</f>
        <v>24</v>
      </c>
      <c r="E66" s="49">
        <f>AVERAGE('01.07 SPEARMOTORS-NTINDA-24h'!E66,'03.08 SPEARMOTORS-NTINDA-24h'!E66)</f>
        <v>4.5</v>
      </c>
      <c r="F66" s="49">
        <f>AVERAGE('01.07 SPEARMOTORS-NTINDA-24h'!F66,'03.08 SPEARMOTORS-NTINDA-24h'!F66)</f>
        <v>11.5</v>
      </c>
      <c r="G66" s="49">
        <f>AVERAGE('01.07 SPEARMOTORS-NTINDA-24h'!G66,'03.08 SPEARMOTORS-NTINDA-24h'!G66)</f>
        <v>0</v>
      </c>
      <c r="H66" s="49">
        <f>AVERAGE('01.07 SPEARMOTORS-NTINDA-24h'!H66,'03.08 SPEARMOTORS-NTINDA-24h'!H66)</f>
        <v>0</v>
      </c>
      <c r="I66" s="49">
        <f>AVERAGE('01.07 SPEARMOTORS-NTINDA-24h'!I66,'03.08 SPEARMOTORS-NTINDA-24h'!I66)</f>
        <v>0.5</v>
      </c>
      <c r="J66" s="49">
        <f>AVERAGE('01.07 SPEARMOTORS-NTINDA-24h'!J66,'03.08 SPEARMOTORS-NTINDA-24h'!J66)</f>
        <v>0</v>
      </c>
      <c r="K66" s="49">
        <f>AVERAGE('01.07 SPEARMOTORS-NTINDA-24h'!K66,'03.08 SPEARMOTORS-NTINDA-24h'!K66)</f>
        <v>0</v>
      </c>
      <c r="L66" s="49">
        <f>AVERAGE('01.07 SPEARMOTORS-NTINDA-24h'!L66,'03.08 SPEARMOTORS-NTINDA-24h'!L66)</f>
        <v>0.5</v>
      </c>
      <c r="M66" s="49">
        <f>AVERAGE('01.07 SPEARMOTORS-NTINDA-24h'!M66,'03.08 SPEARMOTORS-NTINDA-24h'!M66)</f>
        <v>72</v>
      </c>
      <c r="N66" s="49">
        <f>AVERAGE('01.07 SPEARMOTORS-NTINDA-24h'!N66,'03.08 SPEARMOTORS-NTINDA-24h'!N66)</f>
        <v>0</v>
      </c>
      <c r="O66" s="49">
        <f>AVERAGE('01.07 SPEARMOTORS-NTINDA-24h'!O66,'03.08 SPEARMOTORS-NTINDA-24h'!O66)</f>
        <v>81.5</v>
      </c>
      <c r="P66" s="49">
        <f>AVERAGE('01.07 SPEARMOTORS-NTINDA-24h'!P66,'03.08 SPEARMOTORS-NTINDA-24h'!P66)</f>
        <v>153.5</v>
      </c>
      <c r="R66" s="8"/>
      <c r="T66"/>
    </row>
    <row r="67" spans="2:20" ht="23.1" customHeight="1" x14ac:dyDescent="0.25">
      <c r="B67" s="23" t="s">
        <v>104</v>
      </c>
      <c r="C67" s="49">
        <f>AVERAGE('01.07 SPEARMOTORS-NTINDA-24h'!C67,'03.08 SPEARMOTORS-NTINDA-24h'!C67)</f>
        <v>35.5</v>
      </c>
      <c r="D67" s="49">
        <f>AVERAGE('01.07 SPEARMOTORS-NTINDA-24h'!D67,'03.08 SPEARMOTORS-NTINDA-24h'!D67)</f>
        <v>28.5</v>
      </c>
      <c r="E67" s="49">
        <f>AVERAGE('01.07 SPEARMOTORS-NTINDA-24h'!E67,'03.08 SPEARMOTORS-NTINDA-24h'!E67)</f>
        <v>2</v>
      </c>
      <c r="F67" s="49">
        <f>AVERAGE('01.07 SPEARMOTORS-NTINDA-24h'!F67,'03.08 SPEARMOTORS-NTINDA-24h'!F67)</f>
        <v>11.5</v>
      </c>
      <c r="G67" s="49">
        <f>AVERAGE('01.07 SPEARMOTORS-NTINDA-24h'!G67,'03.08 SPEARMOTORS-NTINDA-24h'!G67)</f>
        <v>0</v>
      </c>
      <c r="H67" s="49">
        <f>AVERAGE('01.07 SPEARMOTORS-NTINDA-24h'!H67,'03.08 SPEARMOTORS-NTINDA-24h'!H67)</f>
        <v>0</v>
      </c>
      <c r="I67" s="49">
        <f>AVERAGE('01.07 SPEARMOTORS-NTINDA-24h'!I67,'03.08 SPEARMOTORS-NTINDA-24h'!I67)</f>
        <v>1.5</v>
      </c>
      <c r="J67" s="49">
        <f>AVERAGE('01.07 SPEARMOTORS-NTINDA-24h'!J67,'03.08 SPEARMOTORS-NTINDA-24h'!J67)</f>
        <v>1.5</v>
      </c>
      <c r="K67" s="49">
        <f>AVERAGE('01.07 SPEARMOTORS-NTINDA-24h'!K67,'03.08 SPEARMOTORS-NTINDA-24h'!K67)</f>
        <v>0.5</v>
      </c>
      <c r="L67" s="49">
        <f>AVERAGE('01.07 SPEARMOTORS-NTINDA-24h'!L67,'03.08 SPEARMOTORS-NTINDA-24h'!L67)</f>
        <v>0</v>
      </c>
      <c r="M67" s="49">
        <f>AVERAGE('01.07 SPEARMOTORS-NTINDA-24h'!M67,'03.08 SPEARMOTORS-NTINDA-24h'!M67)</f>
        <v>76.5</v>
      </c>
      <c r="N67" s="49">
        <f>AVERAGE('01.07 SPEARMOTORS-NTINDA-24h'!N67,'03.08 SPEARMOTORS-NTINDA-24h'!N67)</f>
        <v>0</v>
      </c>
      <c r="O67" s="49">
        <f>AVERAGE('01.07 SPEARMOTORS-NTINDA-24h'!O67,'03.08 SPEARMOTORS-NTINDA-24h'!O67)</f>
        <v>81</v>
      </c>
      <c r="P67" s="49">
        <f>AVERAGE('01.07 SPEARMOTORS-NTINDA-24h'!P67,'03.08 SPEARMOTORS-NTINDA-24h'!P67)</f>
        <v>157.5</v>
      </c>
      <c r="R67" s="8"/>
      <c r="T67"/>
    </row>
    <row r="68" spans="2:20" ht="23.1" customHeight="1" x14ac:dyDescent="0.25">
      <c r="B68" s="23" t="s">
        <v>105</v>
      </c>
      <c r="C68" s="49">
        <f>AVERAGE('01.07 SPEARMOTORS-NTINDA-24h'!C68,'03.08 SPEARMOTORS-NTINDA-24h'!C68)</f>
        <v>31.5</v>
      </c>
      <c r="D68" s="49">
        <f>AVERAGE('01.07 SPEARMOTORS-NTINDA-24h'!D68,'03.08 SPEARMOTORS-NTINDA-24h'!D68)</f>
        <v>28</v>
      </c>
      <c r="E68" s="49">
        <f>AVERAGE('01.07 SPEARMOTORS-NTINDA-24h'!E68,'03.08 SPEARMOTORS-NTINDA-24h'!E68)</f>
        <v>4</v>
      </c>
      <c r="F68" s="49">
        <f>AVERAGE('01.07 SPEARMOTORS-NTINDA-24h'!F68,'03.08 SPEARMOTORS-NTINDA-24h'!F68)</f>
        <v>17.5</v>
      </c>
      <c r="G68" s="49">
        <f>AVERAGE('01.07 SPEARMOTORS-NTINDA-24h'!G68,'03.08 SPEARMOTORS-NTINDA-24h'!G68)</f>
        <v>0</v>
      </c>
      <c r="H68" s="49">
        <f>AVERAGE('01.07 SPEARMOTORS-NTINDA-24h'!H68,'03.08 SPEARMOTORS-NTINDA-24h'!H68)</f>
        <v>0</v>
      </c>
      <c r="I68" s="49">
        <f>AVERAGE('01.07 SPEARMOTORS-NTINDA-24h'!I68,'03.08 SPEARMOTORS-NTINDA-24h'!I68)</f>
        <v>0.5</v>
      </c>
      <c r="J68" s="49">
        <f>AVERAGE('01.07 SPEARMOTORS-NTINDA-24h'!J68,'03.08 SPEARMOTORS-NTINDA-24h'!J68)</f>
        <v>1</v>
      </c>
      <c r="K68" s="49">
        <f>AVERAGE('01.07 SPEARMOTORS-NTINDA-24h'!K68,'03.08 SPEARMOTORS-NTINDA-24h'!K68)</f>
        <v>1</v>
      </c>
      <c r="L68" s="49">
        <f>AVERAGE('01.07 SPEARMOTORS-NTINDA-24h'!L68,'03.08 SPEARMOTORS-NTINDA-24h'!L68)</f>
        <v>0</v>
      </c>
      <c r="M68" s="49">
        <f>AVERAGE('01.07 SPEARMOTORS-NTINDA-24h'!M68,'03.08 SPEARMOTORS-NTINDA-24h'!M68)</f>
        <v>73.5</v>
      </c>
      <c r="N68" s="49">
        <f>AVERAGE('01.07 SPEARMOTORS-NTINDA-24h'!N68,'03.08 SPEARMOTORS-NTINDA-24h'!N68)</f>
        <v>0</v>
      </c>
      <c r="O68" s="49">
        <f>AVERAGE('01.07 SPEARMOTORS-NTINDA-24h'!O68,'03.08 SPEARMOTORS-NTINDA-24h'!O68)</f>
        <v>83.5</v>
      </c>
      <c r="P68" s="49">
        <f>AVERAGE('01.07 SPEARMOTORS-NTINDA-24h'!P68,'03.08 SPEARMOTORS-NTINDA-24h'!P68)</f>
        <v>157</v>
      </c>
      <c r="R68" s="8"/>
      <c r="T68"/>
    </row>
    <row r="69" spans="2:20" ht="23.1" customHeight="1" x14ac:dyDescent="0.25">
      <c r="B69" s="23" t="s">
        <v>106</v>
      </c>
      <c r="C69" s="49">
        <f>AVERAGE('01.07 SPEARMOTORS-NTINDA-24h'!C69,'03.08 SPEARMOTORS-NTINDA-24h'!C69)</f>
        <v>40</v>
      </c>
      <c r="D69" s="49">
        <f>AVERAGE('01.07 SPEARMOTORS-NTINDA-24h'!D69,'03.08 SPEARMOTORS-NTINDA-24h'!D69)</f>
        <v>30.5</v>
      </c>
      <c r="E69" s="49">
        <f>AVERAGE('01.07 SPEARMOTORS-NTINDA-24h'!E69,'03.08 SPEARMOTORS-NTINDA-24h'!E69)</f>
        <v>5</v>
      </c>
      <c r="F69" s="49">
        <f>AVERAGE('01.07 SPEARMOTORS-NTINDA-24h'!F69,'03.08 SPEARMOTORS-NTINDA-24h'!F69)</f>
        <v>13</v>
      </c>
      <c r="G69" s="49">
        <f>AVERAGE('01.07 SPEARMOTORS-NTINDA-24h'!G69,'03.08 SPEARMOTORS-NTINDA-24h'!G69)</f>
        <v>0</v>
      </c>
      <c r="H69" s="49">
        <f>AVERAGE('01.07 SPEARMOTORS-NTINDA-24h'!H69,'03.08 SPEARMOTORS-NTINDA-24h'!H69)</f>
        <v>0</v>
      </c>
      <c r="I69" s="49">
        <f>AVERAGE('01.07 SPEARMOTORS-NTINDA-24h'!I69,'03.08 SPEARMOTORS-NTINDA-24h'!I69)</f>
        <v>1.5</v>
      </c>
      <c r="J69" s="49">
        <f>AVERAGE('01.07 SPEARMOTORS-NTINDA-24h'!J69,'03.08 SPEARMOTORS-NTINDA-24h'!J69)</f>
        <v>0.5</v>
      </c>
      <c r="K69" s="49">
        <f>AVERAGE('01.07 SPEARMOTORS-NTINDA-24h'!K69,'03.08 SPEARMOTORS-NTINDA-24h'!K69)</f>
        <v>1</v>
      </c>
      <c r="L69" s="49">
        <f>AVERAGE('01.07 SPEARMOTORS-NTINDA-24h'!L69,'03.08 SPEARMOTORS-NTINDA-24h'!L69)</f>
        <v>0.5</v>
      </c>
      <c r="M69" s="49">
        <f>AVERAGE('01.07 SPEARMOTORS-NTINDA-24h'!M69,'03.08 SPEARMOTORS-NTINDA-24h'!M69)</f>
        <v>69.5</v>
      </c>
      <c r="N69" s="49">
        <f>AVERAGE('01.07 SPEARMOTORS-NTINDA-24h'!N69,'03.08 SPEARMOTORS-NTINDA-24h'!N69)</f>
        <v>0</v>
      </c>
      <c r="O69" s="49">
        <f>AVERAGE('01.07 SPEARMOTORS-NTINDA-24h'!O69,'03.08 SPEARMOTORS-NTINDA-24h'!O69)</f>
        <v>92</v>
      </c>
      <c r="P69" s="49">
        <f>AVERAGE('01.07 SPEARMOTORS-NTINDA-24h'!P69,'03.08 SPEARMOTORS-NTINDA-24h'!P69)</f>
        <v>161.5</v>
      </c>
      <c r="R69" s="8"/>
      <c r="T69"/>
    </row>
    <row r="70" spans="2:20" ht="23.1" customHeight="1" x14ac:dyDescent="0.25">
      <c r="B70" s="23" t="s">
        <v>110</v>
      </c>
      <c r="C70" s="49">
        <f>AVERAGE('01.07 SPEARMOTORS-NTINDA-24h'!C70,'03.08 SPEARMOTORS-NTINDA-24h'!C70)</f>
        <v>36.5</v>
      </c>
      <c r="D70" s="49">
        <f>AVERAGE('01.07 SPEARMOTORS-NTINDA-24h'!D70,'03.08 SPEARMOTORS-NTINDA-24h'!D70)</f>
        <v>31</v>
      </c>
      <c r="E70" s="49">
        <f>AVERAGE('01.07 SPEARMOTORS-NTINDA-24h'!E70,'03.08 SPEARMOTORS-NTINDA-24h'!E70)</f>
        <v>5.5</v>
      </c>
      <c r="F70" s="49">
        <f>AVERAGE('01.07 SPEARMOTORS-NTINDA-24h'!F70,'03.08 SPEARMOTORS-NTINDA-24h'!F70)</f>
        <v>10</v>
      </c>
      <c r="G70" s="49">
        <f>AVERAGE('01.07 SPEARMOTORS-NTINDA-24h'!G70,'03.08 SPEARMOTORS-NTINDA-24h'!G70)</f>
        <v>0</v>
      </c>
      <c r="H70" s="49">
        <f>AVERAGE('01.07 SPEARMOTORS-NTINDA-24h'!H70,'03.08 SPEARMOTORS-NTINDA-24h'!H70)</f>
        <v>0</v>
      </c>
      <c r="I70" s="49">
        <f>AVERAGE('01.07 SPEARMOTORS-NTINDA-24h'!I70,'03.08 SPEARMOTORS-NTINDA-24h'!I70)</f>
        <v>1</v>
      </c>
      <c r="J70" s="49">
        <f>AVERAGE('01.07 SPEARMOTORS-NTINDA-24h'!J70,'03.08 SPEARMOTORS-NTINDA-24h'!J70)</f>
        <v>0</v>
      </c>
      <c r="K70" s="49">
        <f>AVERAGE('01.07 SPEARMOTORS-NTINDA-24h'!K70,'03.08 SPEARMOTORS-NTINDA-24h'!K70)</f>
        <v>0</v>
      </c>
      <c r="L70" s="49">
        <f>AVERAGE('01.07 SPEARMOTORS-NTINDA-24h'!L70,'03.08 SPEARMOTORS-NTINDA-24h'!L70)</f>
        <v>0</v>
      </c>
      <c r="M70" s="49">
        <f>AVERAGE('01.07 SPEARMOTORS-NTINDA-24h'!M70,'03.08 SPEARMOTORS-NTINDA-24h'!M70)</f>
        <v>56</v>
      </c>
      <c r="N70" s="49">
        <f>AVERAGE('01.07 SPEARMOTORS-NTINDA-24h'!N70,'03.08 SPEARMOTORS-NTINDA-24h'!N70)</f>
        <v>0</v>
      </c>
      <c r="O70" s="49">
        <f>AVERAGE('01.07 SPEARMOTORS-NTINDA-24h'!O70,'03.08 SPEARMOTORS-NTINDA-24h'!O70)</f>
        <v>84</v>
      </c>
      <c r="P70" s="49">
        <f>AVERAGE('01.07 SPEARMOTORS-NTINDA-24h'!P70,'03.08 SPEARMOTORS-NTINDA-24h'!P70)</f>
        <v>140</v>
      </c>
      <c r="R70" s="8"/>
      <c r="T70"/>
    </row>
    <row r="71" spans="2:20" ht="23.1" customHeight="1" x14ac:dyDescent="0.25">
      <c r="B71" s="23" t="s">
        <v>111</v>
      </c>
      <c r="C71" s="49">
        <f>AVERAGE('01.07 SPEARMOTORS-NTINDA-24h'!C71,'03.08 SPEARMOTORS-NTINDA-24h'!C71)</f>
        <v>39.5</v>
      </c>
      <c r="D71" s="49">
        <f>AVERAGE('01.07 SPEARMOTORS-NTINDA-24h'!D71,'03.08 SPEARMOTORS-NTINDA-24h'!D71)</f>
        <v>24.5</v>
      </c>
      <c r="E71" s="49">
        <f>AVERAGE('01.07 SPEARMOTORS-NTINDA-24h'!E71,'03.08 SPEARMOTORS-NTINDA-24h'!E71)</f>
        <v>2</v>
      </c>
      <c r="F71" s="49">
        <f>AVERAGE('01.07 SPEARMOTORS-NTINDA-24h'!F71,'03.08 SPEARMOTORS-NTINDA-24h'!F71)</f>
        <v>9.5</v>
      </c>
      <c r="G71" s="49">
        <f>AVERAGE('01.07 SPEARMOTORS-NTINDA-24h'!G71,'03.08 SPEARMOTORS-NTINDA-24h'!G71)</f>
        <v>0</v>
      </c>
      <c r="H71" s="49">
        <f>AVERAGE('01.07 SPEARMOTORS-NTINDA-24h'!H71,'03.08 SPEARMOTORS-NTINDA-24h'!H71)</f>
        <v>0</v>
      </c>
      <c r="I71" s="49">
        <f>AVERAGE('01.07 SPEARMOTORS-NTINDA-24h'!I71,'03.08 SPEARMOTORS-NTINDA-24h'!I71)</f>
        <v>0.5</v>
      </c>
      <c r="J71" s="49">
        <f>AVERAGE('01.07 SPEARMOTORS-NTINDA-24h'!J71,'03.08 SPEARMOTORS-NTINDA-24h'!J71)</f>
        <v>0</v>
      </c>
      <c r="K71" s="49">
        <f>AVERAGE('01.07 SPEARMOTORS-NTINDA-24h'!K71,'03.08 SPEARMOTORS-NTINDA-24h'!K71)</f>
        <v>0</v>
      </c>
      <c r="L71" s="49">
        <f>AVERAGE('01.07 SPEARMOTORS-NTINDA-24h'!L71,'03.08 SPEARMOTORS-NTINDA-24h'!L71)</f>
        <v>1</v>
      </c>
      <c r="M71" s="49">
        <f>AVERAGE('01.07 SPEARMOTORS-NTINDA-24h'!M71,'03.08 SPEARMOTORS-NTINDA-24h'!M71)</f>
        <v>56</v>
      </c>
      <c r="N71" s="49">
        <f>AVERAGE('01.07 SPEARMOTORS-NTINDA-24h'!N71,'03.08 SPEARMOTORS-NTINDA-24h'!N71)</f>
        <v>0</v>
      </c>
      <c r="O71" s="49">
        <f>AVERAGE('01.07 SPEARMOTORS-NTINDA-24h'!O71,'03.08 SPEARMOTORS-NTINDA-24h'!O71)</f>
        <v>77</v>
      </c>
      <c r="P71" s="49">
        <f>AVERAGE('01.07 SPEARMOTORS-NTINDA-24h'!P71,'03.08 SPEARMOTORS-NTINDA-24h'!P71)</f>
        <v>133</v>
      </c>
      <c r="R71" s="8"/>
      <c r="T71"/>
    </row>
    <row r="72" spans="2:20" ht="23.1" customHeight="1" x14ac:dyDescent="0.25">
      <c r="B72" s="23" t="s">
        <v>112</v>
      </c>
      <c r="C72" s="49">
        <f>AVERAGE('01.07 SPEARMOTORS-NTINDA-24h'!C72,'03.08 SPEARMOTORS-NTINDA-24h'!C72)</f>
        <v>31</v>
      </c>
      <c r="D72" s="49">
        <f>AVERAGE('01.07 SPEARMOTORS-NTINDA-24h'!D72,'03.08 SPEARMOTORS-NTINDA-24h'!D72)</f>
        <v>24.5</v>
      </c>
      <c r="E72" s="49">
        <f>AVERAGE('01.07 SPEARMOTORS-NTINDA-24h'!E72,'03.08 SPEARMOTORS-NTINDA-24h'!E72)</f>
        <v>3</v>
      </c>
      <c r="F72" s="49">
        <f>AVERAGE('01.07 SPEARMOTORS-NTINDA-24h'!F72,'03.08 SPEARMOTORS-NTINDA-24h'!F72)</f>
        <v>9.5</v>
      </c>
      <c r="G72" s="49">
        <f>AVERAGE('01.07 SPEARMOTORS-NTINDA-24h'!G72,'03.08 SPEARMOTORS-NTINDA-24h'!G72)</f>
        <v>0</v>
      </c>
      <c r="H72" s="49">
        <f>AVERAGE('01.07 SPEARMOTORS-NTINDA-24h'!H72,'03.08 SPEARMOTORS-NTINDA-24h'!H72)</f>
        <v>0</v>
      </c>
      <c r="I72" s="49">
        <f>AVERAGE('01.07 SPEARMOTORS-NTINDA-24h'!I72,'03.08 SPEARMOTORS-NTINDA-24h'!I72)</f>
        <v>0.5</v>
      </c>
      <c r="J72" s="49">
        <f>AVERAGE('01.07 SPEARMOTORS-NTINDA-24h'!J72,'03.08 SPEARMOTORS-NTINDA-24h'!J72)</f>
        <v>0</v>
      </c>
      <c r="K72" s="49">
        <f>AVERAGE('01.07 SPEARMOTORS-NTINDA-24h'!K72,'03.08 SPEARMOTORS-NTINDA-24h'!K72)</f>
        <v>0</v>
      </c>
      <c r="L72" s="49">
        <f>AVERAGE('01.07 SPEARMOTORS-NTINDA-24h'!L72,'03.08 SPEARMOTORS-NTINDA-24h'!L72)</f>
        <v>1</v>
      </c>
      <c r="M72" s="49">
        <f>AVERAGE('01.07 SPEARMOTORS-NTINDA-24h'!M72,'03.08 SPEARMOTORS-NTINDA-24h'!M72)</f>
        <v>52</v>
      </c>
      <c r="N72" s="49">
        <f>AVERAGE('01.07 SPEARMOTORS-NTINDA-24h'!N72,'03.08 SPEARMOTORS-NTINDA-24h'!N72)</f>
        <v>0</v>
      </c>
      <c r="O72" s="49">
        <f>AVERAGE('01.07 SPEARMOTORS-NTINDA-24h'!O72,'03.08 SPEARMOTORS-NTINDA-24h'!O72)</f>
        <v>69.5</v>
      </c>
      <c r="P72" s="49">
        <f>AVERAGE('01.07 SPEARMOTORS-NTINDA-24h'!P72,'03.08 SPEARMOTORS-NTINDA-24h'!P72)</f>
        <v>121.5</v>
      </c>
      <c r="R72" s="8"/>
      <c r="T72"/>
    </row>
    <row r="73" spans="2:20" ht="23.1" customHeight="1" x14ac:dyDescent="0.25">
      <c r="B73" s="23" t="s">
        <v>113</v>
      </c>
      <c r="C73" s="49">
        <f>AVERAGE('01.07 SPEARMOTORS-NTINDA-24h'!C73,'03.08 SPEARMOTORS-NTINDA-24h'!C73)</f>
        <v>29</v>
      </c>
      <c r="D73" s="49">
        <f>AVERAGE('01.07 SPEARMOTORS-NTINDA-24h'!D73,'03.08 SPEARMOTORS-NTINDA-24h'!D73)</f>
        <v>26.5</v>
      </c>
      <c r="E73" s="49">
        <f>AVERAGE('01.07 SPEARMOTORS-NTINDA-24h'!E73,'03.08 SPEARMOTORS-NTINDA-24h'!E73)</f>
        <v>3.5</v>
      </c>
      <c r="F73" s="49">
        <f>AVERAGE('01.07 SPEARMOTORS-NTINDA-24h'!F73,'03.08 SPEARMOTORS-NTINDA-24h'!F73)</f>
        <v>5</v>
      </c>
      <c r="G73" s="49">
        <f>AVERAGE('01.07 SPEARMOTORS-NTINDA-24h'!G73,'03.08 SPEARMOTORS-NTINDA-24h'!G73)</f>
        <v>0</v>
      </c>
      <c r="H73" s="49">
        <f>AVERAGE('01.07 SPEARMOTORS-NTINDA-24h'!H73,'03.08 SPEARMOTORS-NTINDA-24h'!H73)</f>
        <v>0</v>
      </c>
      <c r="I73" s="49">
        <f>AVERAGE('01.07 SPEARMOTORS-NTINDA-24h'!I73,'03.08 SPEARMOTORS-NTINDA-24h'!I73)</f>
        <v>0</v>
      </c>
      <c r="J73" s="49">
        <f>AVERAGE('01.07 SPEARMOTORS-NTINDA-24h'!J73,'03.08 SPEARMOTORS-NTINDA-24h'!J73)</f>
        <v>0.5</v>
      </c>
      <c r="K73" s="49">
        <f>AVERAGE('01.07 SPEARMOTORS-NTINDA-24h'!K73,'03.08 SPEARMOTORS-NTINDA-24h'!K73)</f>
        <v>0.5</v>
      </c>
      <c r="L73" s="49">
        <f>AVERAGE('01.07 SPEARMOTORS-NTINDA-24h'!L73,'03.08 SPEARMOTORS-NTINDA-24h'!L73)</f>
        <v>0</v>
      </c>
      <c r="M73" s="49">
        <f>AVERAGE('01.07 SPEARMOTORS-NTINDA-24h'!M73,'03.08 SPEARMOTORS-NTINDA-24h'!M73)</f>
        <v>44.5</v>
      </c>
      <c r="N73" s="49">
        <f>AVERAGE('01.07 SPEARMOTORS-NTINDA-24h'!N73,'03.08 SPEARMOTORS-NTINDA-24h'!N73)</f>
        <v>0</v>
      </c>
      <c r="O73" s="49">
        <f>AVERAGE('01.07 SPEARMOTORS-NTINDA-24h'!O73,'03.08 SPEARMOTORS-NTINDA-24h'!O73)</f>
        <v>65</v>
      </c>
      <c r="P73" s="49">
        <f>AVERAGE('01.07 SPEARMOTORS-NTINDA-24h'!P73,'03.08 SPEARMOTORS-NTINDA-24h'!P73)</f>
        <v>109.5</v>
      </c>
      <c r="R73" s="8"/>
      <c r="T73"/>
    </row>
    <row r="74" spans="2:20" ht="23.1" customHeight="1" x14ac:dyDescent="0.25">
      <c r="B74" s="23" t="s">
        <v>114</v>
      </c>
      <c r="C74" s="49">
        <f>AVERAGE('01.07 SPEARMOTORS-NTINDA-24h'!C74,'03.08 SPEARMOTORS-NTINDA-24h'!C74)</f>
        <v>23</v>
      </c>
      <c r="D74" s="49">
        <f>AVERAGE('01.07 SPEARMOTORS-NTINDA-24h'!D74,'03.08 SPEARMOTORS-NTINDA-24h'!D74)</f>
        <v>19</v>
      </c>
      <c r="E74" s="49">
        <f>AVERAGE('01.07 SPEARMOTORS-NTINDA-24h'!E74,'03.08 SPEARMOTORS-NTINDA-24h'!E74)</f>
        <v>5</v>
      </c>
      <c r="F74" s="49">
        <f>AVERAGE('01.07 SPEARMOTORS-NTINDA-24h'!F74,'03.08 SPEARMOTORS-NTINDA-24h'!F74)</f>
        <v>2</v>
      </c>
      <c r="G74" s="49">
        <f>AVERAGE('01.07 SPEARMOTORS-NTINDA-24h'!G74,'03.08 SPEARMOTORS-NTINDA-24h'!G74)</f>
        <v>0</v>
      </c>
      <c r="H74" s="49">
        <f>AVERAGE('01.07 SPEARMOTORS-NTINDA-24h'!H74,'03.08 SPEARMOTORS-NTINDA-24h'!H74)</f>
        <v>0</v>
      </c>
      <c r="I74" s="49">
        <f>AVERAGE('01.07 SPEARMOTORS-NTINDA-24h'!I74,'03.08 SPEARMOTORS-NTINDA-24h'!I74)</f>
        <v>0</v>
      </c>
      <c r="J74" s="49">
        <f>AVERAGE('01.07 SPEARMOTORS-NTINDA-24h'!J74,'03.08 SPEARMOTORS-NTINDA-24h'!J74)</f>
        <v>0</v>
      </c>
      <c r="K74" s="49">
        <f>AVERAGE('01.07 SPEARMOTORS-NTINDA-24h'!K74,'03.08 SPEARMOTORS-NTINDA-24h'!K74)</f>
        <v>0</v>
      </c>
      <c r="L74" s="49">
        <f>AVERAGE('01.07 SPEARMOTORS-NTINDA-24h'!L74,'03.08 SPEARMOTORS-NTINDA-24h'!L74)</f>
        <v>0.5</v>
      </c>
      <c r="M74" s="49">
        <f>AVERAGE('01.07 SPEARMOTORS-NTINDA-24h'!M74,'03.08 SPEARMOTORS-NTINDA-24h'!M74)</f>
        <v>41.5</v>
      </c>
      <c r="N74" s="49">
        <f>AVERAGE('01.07 SPEARMOTORS-NTINDA-24h'!N74,'03.08 SPEARMOTORS-NTINDA-24h'!N74)</f>
        <v>0</v>
      </c>
      <c r="O74" s="49">
        <f>AVERAGE('01.07 SPEARMOTORS-NTINDA-24h'!O74,'03.08 SPEARMOTORS-NTINDA-24h'!O74)</f>
        <v>49.5</v>
      </c>
      <c r="P74" s="49">
        <f>AVERAGE('01.07 SPEARMOTORS-NTINDA-24h'!P74,'03.08 SPEARMOTORS-NTINDA-24h'!P74)</f>
        <v>91</v>
      </c>
      <c r="R74" s="8"/>
      <c r="T74"/>
    </row>
    <row r="75" spans="2:20" ht="23.1" customHeight="1" x14ac:dyDescent="0.25">
      <c r="B75" s="23" t="s">
        <v>115</v>
      </c>
      <c r="C75" s="49">
        <f>AVERAGE('01.07 SPEARMOTORS-NTINDA-24h'!C75,'03.08 SPEARMOTORS-NTINDA-24h'!C75)</f>
        <v>27.5</v>
      </c>
      <c r="D75" s="49">
        <f>AVERAGE('01.07 SPEARMOTORS-NTINDA-24h'!D75,'03.08 SPEARMOTORS-NTINDA-24h'!D75)</f>
        <v>24</v>
      </c>
      <c r="E75" s="49">
        <f>AVERAGE('01.07 SPEARMOTORS-NTINDA-24h'!E75,'03.08 SPEARMOTORS-NTINDA-24h'!E75)</f>
        <v>3</v>
      </c>
      <c r="F75" s="49">
        <f>AVERAGE('01.07 SPEARMOTORS-NTINDA-24h'!F75,'03.08 SPEARMOTORS-NTINDA-24h'!F75)</f>
        <v>3.5</v>
      </c>
      <c r="G75" s="49">
        <f>AVERAGE('01.07 SPEARMOTORS-NTINDA-24h'!G75,'03.08 SPEARMOTORS-NTINDA-24h'!G75)</f>
        <v>0</v>
      </c>
      <c r="H75" s="49">
        <f>AVERAGE('01.07 SPEARMOTORS-NTINDA-24h'!H75,'03.08 SPEARMOTORS-NTINDA-24h'!H75)</f>
        <v>0</v>
      </c>
      <c r="I75" s="49">
        <f>AVERAGE('01.07 SPEARMOTORS-NTINDA-24h'!I75,'03.08 SPEARMOTORS-NTINDA-24h'!I75)</f>
        <v>0.5</v>
      </c>
      <c r="J75" s="49">
        <f>AVERAGE('01.07 SPEARMOTORS-NTINDA-24h'!J75,'03.08 SPEARMOTORS-NTINDA-24h'!J75)</f>
        <v>0</v>
      </c>
      <c r="K75" s="49">
        <f>AVERAGE('01.07 SPEARMOTORS-NTINDA-24h'!K75,'03.08 SPEARMOTORS-NTINDA-24h'!K75)</f>
        <v>0</v>
      </c>
      <c r="L75" s="49">
        <f>AVERAGE('01.07 SPEARMOTORS-NTINDA-24h'!L75,'03.08 SPEARMOTORS-NTINDA-24h'!L75)</f>
        <v>1</v>
      </c>
      <c r="M75" s="49">
        <f>AVERAGE('01.07 SPEARMOTORS-NTINDA-24h'!M75,'03.08 SPEARMOTORS-NTINDA-24h'!M75)</f>
        <v>33</v>
      </c>
      <c r="N75" s="49">
        <f>AVERAGE('01.07 SPEARMOTORS-NTINDA-24h'!N75,'03.08 SPEARMOTORS-NTINDA-24h'!N75)</f>
        <v>0</v>
      </c>
      <c r="O75" s="49">
        <f>AVERAGE('01.07 SPEARMOTORS-NTINDA-24h'!O75,'03.08 SPEARMOTORS-NTINDA-24h'!O75)</f>
        <v>59.5</v>
      </c>
      <c r="P75" s="49">
        <f>AVERAGE('01.07 SPEARMOTORS-NTINDA-24h'!P75,'03.08 SPEARMOTORS-NTINDA-24h'!P75)</f>
        <v>92.5</v>
      </c>
      <c r="R75" s="8"/>
      <c r="T75"/>
    </row>
    <row r="76" spans="2:20" ht="23.1" customHeight="1" x14ac:dyDescent="0.25">
      <c r="B76" s="23" t="s">
        <v>116</v>
      </c>
      <c r="C76" s="49">
        <f>AVERAGE('01.07 SPEARMOTORS-NTINDA-24h'!C76,'03.08 SPEARMOTORS-NTINDA-24h'!C76)</f>
        <v>22</v>
      </c>
      <c r="D76" s="49">
        <f>AVERAGE('01.07 SPEARMOTORS-NTINDA-24h'!D76,'03.08 SPEARMOTORS-NTINDA-24h'!D76)</f>
        <v>20</v>
      </c>
      <c r="E76" s="49">
        <f>AVERAGE('01.07 SPEARMOTORS-NTINDA-24h'!E76,'03.08 SPEARMOTORS-NTINDA-24h'!E76)</f>
        <v>3.5</v>
      </c>
      <c r="F76" s="49">
        <f>AVERAGE('01.07 SPEARMOTORS-NTINDA-24h'!F76,'03.08 SPEARMOTORS-NTINDA-24h'!F76)</f>
        <v>2.5</v>
      </c>
      <c r="G76" s="49">
        <f>AVERAGE('01.07 SPEARMOTORS-NTINDA-24h'!G76,'03.08 SPEARMOTORS-NTINDA-24h'!G76)</f>
        <v>0</v>
      </c>
      <c r="H76" s="49">
        <f>AVERAGE('01.07 SPEARMOTORS-NTINDA-24h'!H76,'03.08 SPEARMOTORS-NTINDA-24h'!H76)</f>
        <v>0</v>
      </c>
      <c r="I76" s="49">
        <f>AVERAGE('01.07 SPEARMOTORS-NTINDA-24h'!I76,'03.08 SPEARMOTORS-NTINDA-24h'!I76)</f>
        <v>0</v>
      </c>
      <c r="J76" s="49">
        <f>AVERAGE('01.07 SPEARMOTORS-NTINDA-24h'!J76,'03.08 SPEARMOTORS-NTINDA-24h'!J76)</f>
        <v>0.5</v>
      </c>
      <c r="K76" s="49">
        <f>AVERAGE('01.07 SPEARMOTORS-NTINDA-24h'!K76,'03.08 SPEARMOTORS-NTINDA-24h'!K76)</f>
        <v>0.5</v>
      </c>
      <c r="L76" s="49">
        <f>AVERAGE('01.07 SPEARMOTORS-NTINDA-24h'!L76,'03.08 SPEARMOTORS-NTINDA-24h'!L76)</f>
        <v>0.5</v>
      </c>
      <c r="M76" s="49">
        <f>AVERAGE('01.07 SPEARMOTORS-NTINDA-24h'!M76,'03.08 SPEARMOTORS-NTINDA-24h'!M76)</f>
        <v>38.5</v>
      </c>
      <c r="N76" s="49">
        <f>AVERAGE('01.07 SPEARMOTORS-NTINDA-24h'!N76,'03.08 SPEARMOTORS-NTINDA-24h'!N76)</f>
        <v>0</v>
      </c>
      <c r="O76" s="49">
        <f>AVERAGE('01.07 SPEARMOTORS-NTINDA-24h'!O76,'03.08 SPEARMOTORS-NTINDA-24h'!O76)</f>
        <v>49.5</v>
      </c>
      <c r="P76" s="49">
        <f>AVERAGE('01.07 SPEARMOTORS-NTINDA-24h'!P76,'03.08 SPEARMOTORS-NTINDA-24h'!P76)</f>
        <v>88</v>
      </c>
      <c r="R76" s="8"/>
      <c r="T76"/>
    </row>
    <row r="77" spans="2:20" ht="23.1" customHeight="1" x14ac:dyDescent="0.25">
      <c r="B77" s="23" t="s">
        <v>117</v>
      </c>
      <c r="C77" s="49">
        <f>AVERAGE('01.07 SPEARMOTORS-NTINDA-24h'!C77,'03.08 SPEARMOTORS-NTINDA-24h'!C77)</f>
        <v>23.5</v>
      </c>
      <c r="D77" s="49">
        <f>AVERAGE('01.07 SPEARMOTORS-NTINDA-24h'!D77,'03.08 SPEARMOTORS-NTINDA-24h'!D77)</f>
        <v>19</v>
      </c>
      <c r="E77" s="49">
        <f>AVERAGE('01.07 SPEARMOTORS-NTINDA-24h'!E77,'03.08 SPEARMOTORS-NTINDA-24h'!E77)</f>
        <v>4</v>
      </c>
      <c r="F77" s="49">
        <f>AVERAGE('01.07 SPEARMOTORS-NTINDA-24h'!F77,'03.08 SPEARMOTORS-NTINDA-24h'!F77)</f>
        <v>3.5</v>
      </c>
      <c r="G77" s="49">
        <f>AVERAGE('01.07 SPEARMOTORS-NTINDA-24h'!G77,'03.08 SPEARMOTORS-NTINDA-24h'!G77)</f>
        <v>0</v>
      </c>
      <c r="H77" s="49">
        <f>AVERAGE('01.07 SPEARMOTORS-NTINDA-24h'!H77,'03.08 SPEARMOTORS-NTINDA-24h'!H77)</f>
        <v>0.5</v>
      </c>
      <c r="I77" s="49">
        <f>AVERAGE('01.07 SPEARMOTORS-NTINDA-24h'!I77,'03.08 SPEARMOTORS-NTINDA-24h'!I77)</f>
        <v>0.5</v>
      </c>
      <c r="J77" s="49">
        <f>AVERAGE('01.07 SPEARMOTORS-NTINDA-24h'!J77,'03.08 SPEARMOTORS-NTINDA-24h'!J77)</f>
        <v>0</v>
      </c>
      <c r="K77" s="49">
        <f>AVERAGE('01.07 SPEARMOTORS-NTINDA-24h'!K77,'03.08 SPEARMOTORS-NTINDA-24h'!K77)</f>
        <v>0</v>
      </c>
      <c r="L77" s="49">
        <f>AVERAGE('01.07 SPEARMOTORS-NTINDA-24h'!L77,'03.08 SPEARMOTORS-NTINDA-24h'!L77)</f>
        <v>0.5</v>
      </c>
      <c r="M77" s="49">
        <f>AVERAGE('01.07 SPEARMOTORS-NTINDA-24h'!M77,'03.08 SPEARMOTORS-NTINDA-24h'!M77)</f>
        <v>27</v>
      </c>
      <c r="N77" s="49">
        <f>AVERAGE('01.07 SPEARMOTORS-NTINDA-24h'!N77,'03.08 SPEARMOTORS-NTINDA-24h'!N77)</f>
        <v>0</v>
      </c>
      <c r="O77" s="49">
        <f>AVERAGE('01.07 SPEARMOTORS-NTINDA-24h'!O77,'03.08 SPEARMOTORS-NTINDA-24h'!O77)</f>
        <v>51.5</v>
      </c>
      <c r="P77" s="49">
        <f>AVERAGE('01.07 SPEARMOTORS-NTINDA-24h'!P77,'03.08 SPEARMOTORS-NTINDA-24h'!P77)</f>
        <v>78.5</v>
      </c>
      <c r="R77" s="8"/>
      <c r="T77"/>
    </row>
    <row r="78" spans="2:20" ht="23.1" customHeight="1" x14ac:dyDescent="0.25">
      <c r="B78" s="24" t="s">
        <v>118</v>
      </c>
      <c r="C78" s="49">
        <f>AVERAGE('01.07 SPEARMOTORS-NTINDA-24h'!C78,'03.08 SPEARMOTORS-NTINDA-24h'!C78)</f>
        <v>16.5</v>
      </c>
      <c r="D78" s="49">
        <f>AVERAGE('01.07 SPEARMOTORS-NTINDA-24h'!D78,'03.08 SPEARMOTORS-NTINDA-24h'!D78)</f>
        <v>14</v>
      </c>
      <c r="E78" s="49">
        <f>AVERAGE('01.07 SPEARMOTORS-NTINDA-24h'!E78,'03.08 SPEARMOTORS-NTINDA-24h'!E78)</f>
        <v>1.5</v>
      </c>
      <c r="F78" s="49">
        <f>AVERAGE('01.07 SPEARMOTORS-NTINDA-24h'!F78,'03.08 SPEARMOTORS-NTINDA-24h'!F78)</f>
        <v>1.5</v>
      </c>
      <c r="G78" s="49">
        <f>AVERAGE('01.07 SPEARMOTORS-NTINDA-24h'!G78,'03.08 SPEARMOTORS-NTINDA-24h'!G78)</f>
        <v>0</v>
      </c>
      <c r="H78" s="49">
        <f>AVERAGE('01.07 SPEARMOTORS-NTINDA-24h'!H78,'03.08 SPEARMOTORS-NTINDA-24h'!H78)</f>
        <v>0</v>
      </c>
      <c r="I78" s="49">
        <f>AVERAGE('01.07 SPEARMOTORS-NTINDA-24h'!I78,'03.08 SPEARMOTORS-NTINDA-24h'!I78)</f>
        <v>1</v>
      </c>
      <c r="J78" s="49">
        <f>AVERAGE('01.07 SPEARMOTORS-NTINDA-24h'!J78,'03.08 SPEARMOTORS-NTINDA-24h'!J78)</f>
        <v>0.5</v>
      </c>
      <c r="K78" s="49">
        <f>AVERAGE('01.07 SPEARMOTORS-NTINDA-24h'!K78,'03.08 SPEARMOTORS-NTINDA-24h'!K78)</f>
        <v>0</v>
      </c>
      <c r="L78" s="49">
        <f>AVERAGE('01.07 SPEARMOTORS-NTINDA-24h'!L78,'03.08 SPEARMOTORS-NTINDA-24h'!L78)</f>
        <v>1</v>
      </c>
      <c r="M78" s="49">
        <f>AVERAGE('01.07 SPEARMOTORS-NTINDA-24h'!M78,'03.08 SPEARMOTORS-NTINDA-24h'!M78)</f>
        <v>20.5</v>
      </c>
      <c r="N78" s="49">
        <f>AVERAGE('01.07 SPEARMOTORS-NTINDA-24h'!N78,'03.08 SPEARMOTORS-NTINDA-24h'!N78)</f>
        <v>0</v>
      </c>
      <c r="O78" s="49">
        <f>AVERAGE('01.07 SPEARMOTORS-NTINDA-24h'!O78,'03.08 SPEARMOTORS-NTINDA-24h'!O78)</f>
        <v>36</v>
      </c>
      <c r="P78" s="49">
        <f>AVERAGE('01.07 SPEARMOTORS-NTINDA-24h'!P78,'03.08 SPEARMOTORS-NTINDA-24h'!P78)</f>
        <v>56.5</v>
      </c>
      <c r="R78" s="8"/>
      <c r="T78"/>
    </row>
    <row r="79" spans="2:20" ht="23.1" customHeight="1" x14ac:dyDescent="0.25">
      <c r="B79" s="23" t="s">
        <v>119</v>
      </c>
      <c r="C79" s="49">
        <f>AVERAGE('01.07 SPEARMOTORS-NTINDA-24h'!C79,'03.08 SPEARMOTORS-NTINDA-24h'!C79)</f>
        <v>16.5</v>
      </c>
      <c r="D79" s="49">
        <f>AVERAGE('01.07 SPEARMOTORS-NTINDA-24h'!D79,'03.08 SPEARMOTORS-NTINDA-24h'!D79)</f>
        <v>11.5</v>
      </c>
      <c r="E79" s="49">
        <f>AVERAGE('01.07 SPEARMOTORS-NTINDA-24h'!E79,'03.08 SPEARMOTORS-NTINDA-24h'!E79)</f>
        <v>1.5</v>
      </c>
      <c r="F79" s="49">
        <f>AVERAGE('01.07 SPEARMOTORS-NTINDA-24h'!F79,'03.08 SPEARMOTORS-NTINDA-24h'!F79)</f>
        <v>1</v>
      </c>
      <c r="G79" s="49">
        <f>AVERAGE('01.07 SPEARMOTORS-NTINDA-24h'!G79,'03.08 SPEARMOTORS-NTINDA-24h'!G79)</f>
        <v>0</v>
      </c>
      <c r="H79" s="49">
        <f>AVERAGE('01.07 SPEARMOTORS-NTINDA-24h'!H79,'03.08 SPEARMOTORS-NTINDA-24h'!H79)</f>
        <v>0</v>
      </c>
      <c r="I79" s="49">
        <f>AVERAGE('01.07 SPEARMOTORS-NTINDA-24h'!I79,'03.08 SPEARMOTORS-NTINDA-24h'!I79)</f>
        <v>0</v>
      </c>
      <c r="J79" s="49">
        <f>AVERAGE('01.07 SPEARMOTORS-NTINDA-24h'!J79,'03.08 SPEARMOTORS-NTINDA-24h'!J79)</f>
        <v>0</v>
      </c>
      <c r="K79" s="49">
        <f>AVERAGE('01.07 SPEARMOTORS-NTINDA-24h'!K79,'03.08 SPEARMOTORS-NTINDA-24h'!K79)</f>
        <v>0.5</v>
      </c>
      <c r="L79" s="49">
        <f>AVERAGE('01.07 SPEARMOTORS-NTINDA-24h'!L79,'03.08 SPEARMOTORS-NTINDA-24h'!L79)</f>
        <v>1</v>
      </c>
      <c r="M79" s="49">
        <f>AVERAGE('01.07 SPEARMOTORS-NTINDA-24h'!M79,'03.08 SPEARMOTORS-NTINDA-24h'!M79)</f>
        <v>21.5</v>
      </c>
      <c r="N79" s="49">
        <f>AVERAGE('01.07 SPEARMOTORS-NTINDA-24h'!N79,'03.08 SPEARMOTORS-NTINDA-24h'!N79)</f>
        <v>0</v>
      </c>
      <c r="O79" s="49">
        <f>AVERAGE('01.07 SPEARMOTORS-NTINDA-24h'!O79,'03.08 SPEARMOTORS-NTINDA-24h'!O79)</f>
        <v>32</v>
      </c>
      <c r="P79" s="49">
        <f>AVERAGE('01.07 SPEARMOTORS-NTINDA-24h'!P79,'03.08 SPEARMOTORS-NTINDA-24h'!P79)</f>
        <v>53.5</v>
      </c>
      <c r="R79" s="8"/>
      <c r="T79"/>
    </row>
    <row r="80" spans="2:20" ht="23.1" customHeight="1" x14ac:dyDescent="0.25">
      <c r="B80" s="25" t="s">
        <v>120</v>
      </c>
      <c r="C80" s="49">
        <f>AVERAGE('01.07 SPEARMOTORS-NTINDA-24h'!C80,'03.08 SPEARMOTORS-NTINDA-24h'!C80)</f>
        <v>7</v>
      </c>
      <c r="D80" s="49">
        <f>AVERAGE('01.07 SPEARMOTORS-NTINDA-24h'!D80,'03.08 SPEARMOTORS-NTINDA-24h'!D80)</f>
        <v>6.5</v>
      </c>
      <c r="E80" s="49">
        <f>AVERAGE('01.07 SPEARMOTORS-NTINDA-24h'!E80,'03.08 SPEARMOTORS-NTINDA-24h'!E80)</f>
        <v>1</v>
      </c>
      <c r="F80" s="49">
        <f>AVERAGE('01.07 SPEARMOTORS-NTINDA-24h'!F80,'03.08 SPEARMOTORS-NTINDA-24h'!F80)</f>
        <v>0</v>
      </c>
      <c r="G80" s="49">
        <f>AVERAGE('01.07 SPEARMOTORS-NTINDA-24h'!G80,'03.08 SPEARMOTORS-NTINDA-24h'!G80)</f>
        <v>0</v>
      </c>
      <c r="H80" s="49">
        <f>AVERAGE('01.07 SPEARMOTORS-NTINDA-24h'!H80,'03.08 SPEARMOTORS-NTINDA-24h'!H80)</f>
        <v>0</v>
      </c>
      <c r="I80" s="49">
        <f>AVERAGE('01.07 SPEARMOTORS-NTINDA-24h'!I80,'03.08 SPEARMOTORS-NTINDA-24h'!I80)</f>
        <v>1</v>
      </c>
      <c r="J80" s="49">
        <f>AVERAGE('01.07 SPEARMOTORS-NTINDA-24h'!J80,'03.08 SPEARMOTORS-NTINDA-24h'!J80)</f>
        <v>0.5</v>
      </c>
      <c r="K80" s="49">
        <f>AVERAGE('01.07 SPEARMOTORS-NTINDA-24h'!K80,'03.08 SPEARMOTORS-NTINDA-24h'!K80)</f>
        <v>0</v>
      </c>
      <c r="L80" s="49">
        <f>AVERAGE('01.07 SPEARMOTORS-NTINDA-24h'!L80,'03.08 SPEARMOTORS-NTINDA-24h'!L80)</f>
        <v>0.5</v>
      </c>
      <c r="M80" s="49">
        <f>AVERAGE('01.07 SPEARMOTORS-NTINDA-24h'!M80,'03.08 SPEARMOTORS-NTINDA-24h'!M80)</f>
        <v>23.5</v>
      </c>
      <c r="N80" s="49">
        <f>AVERAGE('01.07 SPEARMOTORS-NTINDA-24h'!N80,'03.08 SPEARMOTORS-NTINDA-24h'!N80)</f>
        <v>0</v>
      </c>
      <c r="O80" s="49">
        <f>AVERAGE('01.07 SPEARMOTORS-NTINDA-24h'!O80,'03.08 SPEARMOTORS-NTINDA-24h'!O80)</f>
        <v>16.5</v>
      </c>
      <c r="P80" s="49">
        <f>AVERAGE('01.07 SPEARMOTORS-NTINDA-24h'!P80,'03.08 SPEARMOTORS-NTINDA-24h'!P80)</f>
        <v>40</v>
      </c>
      <c r="R80" s="8"/>
      <c r="T80"/>
    </row>
    <row r="81" spans="2:20" ht="23.1" customHeight="1" x14ac:dyDescent="0.25">
      <c r="B81" s="23" t="s">
        <v>121</v>
      </c>
      <c r="C81" s="49">
        <f>AVERAGE('01.07 SPEARMOTORS-NTINDA-24h'!C81,'03.08 SPEARMOTORS-NTINDA-24h'!C81)</f>
        <v>10</v>
      </c>
      <c r="D81" s="49">
        <f>AVERAGE('01.07 SPEARMOTORS-NTINDA-24h'!D81,'03.08 SPEARMOTORS-NTINDA-24h'!D81)</f>
        <v>12.5</v>
      </c>
      <c r="E81" s="49">
        <f>AVERAGE('01.07 SPEARMOTORS-NTINDA-24h'!E81,'03.08 SPEARMOTORS-NTINDA-24h'!E81)</f>
        <v>0</v>
      </c>
      <c r="F81" s="49">
        <f>AVERAGE('01.07 SPEARMOTORS-NTINDA-24h'!F81,'03.08 SPEARMOTORS-NTINDA-24h'!F81)</f>
        <v>0</v>
      </c>
      <c r="G81" s="49">
        <f>AVERAGE('01.07 SPEARMOTORS-NTINDA-24h'!G81,'03.08 SPEARMOTORS-NTINDA-24h'!G81)</f>
        <v>0</v>
      </c>
      <c r="H81" s="49">
        <f>AVERAGE('01.07 SPEARMOTORS-NTINDA-24h'!H81,'03.08 SPEARMOTORS-NTINDA-24h'!H81)</f>
        <v>0</v>
      </c>
      <c r="I81" s="49">
        <f>AVERAGE('01.07 SPEARMOTORS-NTINDA-24h'!I81,'03.08 SPEARMOTORS-NTINDA-24h'!I81)</f>
        <v>0</v>
      </c>
      <c r="J81" s="49">
        <f>AVERAGE('01.07 SPEARMOTORS-NTINDA-24h'!J81,'03.08 SPEARMOTORS-NTINDA-24h'!J81)</f>
        <v>0</v>
      </c>
      <c r="K81" s="49">
        <f>AVERAGE('01.07 SPEARMOTORS-NTINDA-24h'!K81,'03.08 SPEARMOTORS-NTINDA-24h'!K81)</f>
        <v>0.5</v>
      </c>
      <c r="L81" s="49">
        <f>AVERAGE('01.07 SPEARMOTORS-NTINDA-24h'!L81,'03.08 SPEARMOTORS-NTINDA-24h'!L81)</f>
        <v>0</v>
      </c>
      <c r="M81" s="49">
        <f>AVERAGE('01.07 SPEARMOTORS-NTINDA-24h'!M81,'03.08 SPEARMOTORS-NTINDA-24h'!M81)</f>
        <v>17.5</v>
      </c>
      <c r="N81" s="49">
        <f>AVERAGE('01.07 SPEARMOTORS-NTINDA-24h'!N81,'03.08 SPEARMOTORS-NTINDA-24h'!N81)</f>
        <v>0</v>
      </c>
      <c r="O81" s="49">
        <f>AVERAGE('01.07 SPEARMOTORS-NTINDA-24h'!O81,'03.08 SPEARMOTORS-NTINDA-24h'!O81)</f>
        <v>23</v>
      </c>
      <c r="P81" s="49">
        <f>AVERAGE('01.07 SPEARMOTORS-NTINDA-24h'!P81,'03.08 SPEARMOTORS-NTINDA-24h'!P81)</f>
        <v>40.5</v>
      </c>
      <c r="R81" s="8"/>
      <c r="T81"/>
    </row>
    <row r="82" spans="2:20" ht="23.1" customHeight="1" x14ac:dyDescent="0.25">
      <c r="B82" s="24" t="s">
        <v>122</v>
      </c>
      <c r="C82" s="49">
        <f>AVERAGE('01.07 SPEARMOTORS-NTINDA-24h'!C82,'03.08 SPEARMOTORS-NTINDA-24h'!C82)</f>
        <v>5.5</v>
      </c>
      <c r="D82" s="49">
        <f>AVERAGE('01.07 SPEARMOTORS-NTINDA-24h'!D82,'03.08 SPEARMOTORS-NTINDA-24h'!D82)</f>
        <v>5</v>
      </c>
      <c r="E82" s="49">
        <f>AVERAGE('01.07 SPEARMOTORS-NTINDA-24h'!E82,'03.08 SPEARMOTORS-NTINDA-24h'!E82)</f>
        <v>1</v>
      </c>
      <c r="F82" s="49">
        <f>AVERAGE('01.07 SPEARMOTORS-NTINDA-24h'!F82,'03.08 SPEARMOTORS-NTINDA-24h'!F82)</f>
        <v>0</v>
      </c>
      <c r="G82" s="49">
        <f>AVERAGE('01.07 SPEARMOTORS-NTINDA-24h'!G82,'03.08 SPEARMOTORS-NTINDA-24h'!G82)</f>
        <v>0</v>
      </c>
      <c r="H82" s="49">
        <f>AVERAGE('01.07 SPEARMOTORS-NTINDA-24h'!H82,'03.08 SPEARMOTORS-NTINDA-24h'!H82)</f>
        <v>0</v>
      </c>
      <c r="I82" s="49">
        <f>AVERAGE('01.07 SPEARMOTORS-NTINDA-24h'!I82,'03.08 SPEARMOTORS-NTINDA-24h'!I82)</f>
        <v>0.5</v>
      </c>
      <c r="J82" s="49">
        <f>AVERAGE('01.07 SPEARMOTORS-NTINDA-24h'!J82,'03.08 SPEARMOTORS-NTINDA-24h'!J82)</f>
        <v>0</v>
      </c>
      <c r="K82" s="49">
        <f>AVERAGE('01.07 SPEARMOTORS-NTINDA-24h'!K82,'03.08 SPEARMOTORS-NTINDA-24h'!K82)</f>
        <v>0</v>
      </c>
      <c r="L82" s="49">
        <f>AVERAGE('01.07 SPEARMOTORS-NTINDA-24h'!L82,'03.08 SPEARMOTORS-NTINDA-24h'!L82)</f>
        <v>0.5</v>
      </c>
      <c r="M82" s="49">
        <f>AVERAGE('01.07 SPEARMOTORS-NTINDA-24h'!M82,'03.08 SPEARMOTORS-NTINDA-24h'!M82)</f>
        <v>10</v>
      </c>
      <c r="N82" s="49">
        <f>AVERAGE('01.07 SPEARMOTORS-NTINDA-24h'!N82,'03.08 SPEARMOTORS-NTINDA-24h'!N82)</f>
        <v>0</v>
      </c>
      <c r="O82" s="49">
        <f>AVERAGE('01.07 SPEARMOTORS-NTINDA-24h'!O82,'03.08 SPEARMOTORS-NTINDA-24h'!O82)</f>
        <v>12.5</v>
      </c>
      <c r="P82" s="49">
        <f>AVERAGE('01.07 SPEARMOTORS-NTINDA-24h'!P82,'03.08 SPEARMOTORS-NTINDA-24h'!P82)</f>
        <v>22.5</v>
      </c>
      <c r="R82" s="8"/>
      <c r="T82"/>
    </row>
    <row r="83" spans="2:20" ht="23.1" customHeight="1" x14ac:dyDescent="0.25">
      <c r="B83" s="23" t="s">
        <v>123</v>
      </c>
      <c r="C83" s="49">
        <f>AVERAGE('01.07 SPEARMOTORS-NTINDA-24h'!C83,'03.08 SPEARMOTORS-NTINDA-24h'!C83)</f>
        <v>8.5</v>
      </c>
      <c r="D83" s="49">
        <f>AVERAGE('01.07 SPEARMOTORS-NTINDA-24h'!D83,'03.08 SPEARMOTORS-NTINDA-24h'!D83)</f>
        <v>5</v>
      </c>
      <c r="E83" s="49">
        <f>AVERAGE('01.07 SPEARMOTORS-NTINDA-24h'!E83,'03.08 SPEARMOTORS-NTINDA-24h'!E83)</f>
        <v>0</v>
      </c>
      <c r="F83" s="49">
        <f>AVERAGE('01.07 SPEARMOTORS-NTINDA-24h'!F83,'03.08 SPEARMOTORS-NTINDA-24h'!F83)</f>
        <v>0</v>
      </c>
      <c r="G83" s="49">
        <f>AVERAGE('01.07 SPEARMOTORS-NTINDA-24h'!G83,'03.08 SPEARMOTORS-NTINDA-24h'!G83)</f>
        <v>0</v>
      </c>
      <c r="H83" s="49">
        <f>AVERAGE('01.07 SPEARMOTORS-NTINDA-24h'!H83,'03.08 SPEARMOTORS-NTINDA-24h'!H83)</f>
        <v>0</v>
      </c>
      <c r="I83" s="49">
        <f>AVERAGE('01.07 SPEARMOTORS-NTINDA-24h'!I83,'03.08 SPEARMOTORS-NTINDA-24h'!I83)</f>
        <v>0</v>
      </c>
      <c r="J83" s="49">
        <f>AVERAGE('01.07 SPEARMOTORS-NTINDA-24h'!J83,'03.08 SPEARMOTORS-NTINDA-24h'!J83)</f>
        <v>0.5</v>
      </c>
      <c r="K83" s="49">
        <f>AVERAGE('01.07 SPEARMOTORS-NTINDA-24h'!K83,'03.08 SPEARMOTORS-NTINDA-24h'!K83)</f>
        <v>0.5</v>
      </c>
      <c r="L83" s="49">
        <f>AVERAGE('01.07 SPEARMOTORS-NTINDA-24h'!L83,'03.08 SPEARMOTORS-NTINDA-24h'!L83)</f>
        <v>0.5</v>
      </c>
      <c r="M83" s="49">
        <f>AVERAGE('01.07 SPEARMOTORS-NTINDA-24h'!M83,'03.08 SPEARMOTORS-NTINDA-24h'!M83)</f>
        <v>10.5</v>
      </c>
      <c r="N83" s="49">
        <f>AVERAGE('01.07 SPEARMOTORS-NTINDA-24h'!N83,'03.08 SPEARMOTORS-NTINDA-24h'!N83)</f>
        <v>0</v>
      </c>
      <c r="O83" s="49">
        <f>AVERAGE('01.07 SPEARMOTORS-NTINDA-24h'!O83,'03.08 SPEARMOTORS-NTINDA-24h'!O83)</f>
        <v>15</v>
      </c>
      <c r="P83" s="49">
        <f>AVERAGE('01.07 SPEARMOTORS-NTINDA-24h'!P83,'03.08 SPEARMOTORS-NTINDA-24h'!P83)</f>
        <v>25.5</v>
      </c>
      <c r="R83" s="8"/>
      <c r="T83"/>
    </row>
    <row r="84" spans="2:20" ht="23.1" customHeight="1" x14ac:dyDescent="0.25">
      <c r="B84" s="25" t="s">
        <v>124</v>
      </c>
      <c r="C84" s="49">
        <f>AVERAGE('01.07 SPEARMOTORS-NTINDA-24h'!C84,'03.08 SPEARMOTORS-NTINDA-24h'!C84)</f>
        <v>5</v>
      </c>
      <c r="D84" s="49">
        <f>AVERAGE('01.07 SPEARMOTORS-NTINDA-24h'!D84,'03.08 SPEARMOTORS-NTINDA-24h'!D84)</f>
        <v>3.5</v>
      </c>
      <c r="E84" s="49">
        <f>AVERAGE('01.07 SPEARMOTORS-NTINDA-24h'!E84,'03.08 SPEARMOTORS-NTINDA-24h'!E84)</f>
        <v>0</v>
      </c>
      <c r="F84" s="49">
        <f>AVERAGE('01.07 SPEARMOTORS-NTINDA-24h'!F84,'03.08 SPEARMOTORS-NTINDA-24h'!F84)</f>
        <v>0</v>
      </c>
      <c r="G84" s="49">
        <f>AVERAGE('01.07 SPEARMOTORS-NTINDA-24h'!G84,'03.08 SPEARMOTORS-NTINDA-24h'!G84)</f>
        <v>0</v>
      </c>
      <c r="H84" s="49">
        <f>AVERAGE('01.07 SPEARMOTORS-NTINDA-24h'!H84,'03.08 SPEARMOTORS-NTINDA-24h'!H84)</f>
        <v>0</v>
      </c>
      <c r="I84" s="49">
        <f>AVERAGE('01.07 SPEARMOTORS-NTINDA-24h'!I84,'03.08 SPEARMOTORS-NTINDA-24h'!I84)</f>
        <v>0.5</v>
      </c>
      <c r="J84" s="49">
        <f>AVERAGE('01.07 SPEARMOTORS-NTINDA-24h'!J84,'03.08 SPEARMOTORS-NTINDA-24h'!J84)</f>
        <v>0</v>
      </c>
      <c r="K84" s="49">
        <f>AVERAGE('01.07 SPEARMOTORS-NTINDA-24h'!K84,'03.08 SPEARMOTORS-NTINDA-24h'!K84)</f>
        <v>0</v>
      </c>
      <c r="L84" s="49">
        <f>AVERAGE('01.07 SPEARMOTORS-NTINDA-24h'!L84,'03.08 SPEARMOTORS-NTINDA-24h'!L84)</f>
        <v>0</v>
      </c>
      <c r="M84" s="49">
        <f>AVERAGE('01.07 SPEARMOTORS-NTINDA-24h'!M84,'03.08 SPEARMOTORS-NTINDA-24h'!M84)</f>
        <v>7.5</v>
      </c>
      <c r="N84" s="49">
        <f>AVERAGE('01.07 SPEARMOTORS-NTINDA-24h'!N84,'03.08 SPEARMOTORS-NTINDA-24h'!N84)</f>
        <v>0</v>
      </c>
      <c r="O84" s="49">
        <f>AVERAGE('01.07 SPEARMOTORS-NTINDA-24h'!O84,'03.08 SPEARMOTORS-NTINDA-24h'!O84)</f>
        <v>9</v>
      </c>
      <c r="P84" s="49">
        <f>AVERAGE('01.07 SPEARMOTORS-NTINDA-24h'!P84,'03.08 SPEARMOTORS-NTINDA-24h'!P84)</f>
        <v>16.5</v>
      </c>
      <c r="R84" s="8"/>
      <c r="T84"/>
    </row>
    <row r="85" spans="2:20" ht="23.1" customHeight="1" x14ac:dyDescent="0.25">
      <c r="B85" s="23" t="s">
        <v>125</v>
      </c>
      <c r="C85" s="49">
        <f>AVERAGE('01.07 SPEARMOTORS-NTINDA-24h'!C85,'03.08 SPEARMOTORS-NTINDA-24h'!C85)</f>
        <v>1.5</v>
      </c>
      <c r="D85" s="49">
        <f>AVERAGE('01.07 SPEARMOTORS-NTINDA-24h'!D85,'03.08 SPEARMOTORS-NTINDA-24h'!D85)</f>
        <v>1.5</v>
      </c>
      <c r="E85" s="49">
        <f>AVERAGE('01.07 SPEARMOTORS-NTINDA-24h'!E85,'03.08 SPEARMOTORS-NTINDA-24h'!E85)</f>
        <v>0</v>
      </c>
      <c r="F85" s="49">
        <f>AVERAGE('01.07 SPEARMOTORS-NTINDA-24h'!F85,'03.08 SPEARMOTORS-NTINDA-24h'!F85)</f>
        <v>0</v>
      </c>
      <c r="G85" s="49">
        <f>AVERAGE('01.07 SPEARMOTORS-NTINDA-24h'!G85,'03.08 SPEARMOTORS-NTINDA-24h'!G85)</f>
        <v>0</v>
      </c>
      <c r="H85" s="49">
        <f>AVERAGE('01.07 SPEARMOTORS-NTINDA-24h'!H85,'03.08 SPEARMOTORS-NTINDA-24h'!H85)</f>
        <v>0</v>
      </c>
      <c r="I85" s="49">
        <f>AVERAGE('01.07 SPEARMOTORS-NTINDA-24h'!I85,'03.08 SPEARMOTORS-NTINDA-24h'!I85)</f>
        <v>0</v>
      </c>
      <c r="J85" s="49">
        <f>AVERAGE('01.07 SPEARMOTORS-NTINDA-24h'!J85,'03.08 SPEARMOTORS-NTINDA-24h'!J85)</f>
        <v>0</v>
      </c>
      <c r="K85" s="49">
        <f>AVERAGE('01.07 SPEARMOTORS-NTINDA-24h'!K85,'03.08 SPEARMOTORS-NTINDA-24h'!K85)</f>
        <v>1</v>
      </c>
      <c r="L85" s="49">
        <f>AVERAGE('01.07 SPEARMOTORS-NTINDA-24h'!L85,'03.08 SPEARMOTORS-NTINDA-24h'!L85)</f>
        <v>0</v>
      </c>
      <c r="M85" s="49">
        <f>AVERAGE('01.07 SPEARMOTORS-NTINDA-24h'!M85,'03.08 SPEARMOTORS-NTINDA-24h'!M85)</f>
        <v>6.5</v>
      </c>
      <c r="N85" s="49">
        <f>AVERAGE('01.07 SPEARMOTORS-NTINDA-24h'!N85,'03.08 SPEARMOTORS-NTINDA-24h'!N85)</f>
        <v>0</v>
      </c>
      <c r="O85" s="49">
        <f>AVERAGE('01.07 SPEARMOTORS-NTINDA-24h'!O85,'03.08 SPEARMOTORS-NTINDA-24h'!O85)</f>
        <v>4</v>
      </c>
      <c r="P85" s="49">
        <f>AVERAGE('01.07 SPEARMOTORS-NTINDA-24h'!P85,'03.08 SPEARMOTORS-NTINDA-24h'!P85)</f>
        <v>10.5</v>
      </c>
      <c r="R85" s="8"/>
      <c r="T85"/>
    </row>
    <row r="86" spans="2:20" ht="23.1" customHeight="1" x14ac:dyDescent="0.25">
      <c r="B86" s="24" t="s">
        <v>126</v>
      </c>
      <c r="C86" s="49">
        <f>AVERAGE('01.07 SPEARMOTORS-NTINDA-24h'!C86,'03.08 SPEARMOTORS-NTINDA-24h'!C86)</f>
        <v>3</v>
      </c>
      <c r="D86" s="49">
        <f>AVERAGE('01.07 SPEARMOTORS-NTINDA-24h'!D86,'03.08 SPEARMOTORS-NTINDA-24h'!D86)</f>
        <v>2</v>
      </c>
      <c r="E86" s="49">
        <f>AVERAGE('01.07 SPEARMOTORS-NTINDA-24h'!E86,'03.08 SPEARMOTORS-NTINDA-24h'!E86)</f>
        <v>0</v>
      </c>
      <c r="F86" s="49">
        <f>AVERAGE('01.07 SPEARMOTORS-NTINDA-24h'!F86,'03.08 SPEARMOTORS-NTINDA-24h'!F86)</f>
        <v>0</v>
      </c>
      <c r="G86" s="49">
        <f>AVERAGE('01.07 SPEARMOTORS-NTINDA-24h'!G86,'03.08 SPEARMOTORS-NTINDA-24h'!G86)</f>
        <v>0</v>
      </c>
      <c r="H86" s="49">
        <f>AVERAGE('01.07 SPEARMOTORS-NTINDA-24h'!H86,'03.08 SPEARMOTORS-NTINDA-24h'!H86)</f>
        <v>0</v>
      </c>
      <c r="I86" s="49">
        <f>AVERAGE('01.07 SPEARMOTORS-NTINDA-24h'!I86,'03.08 SPEARMOTORS-NTINDA-24h'!I86)</f>
        <v>0.5</v>
      </c>
      <c r="J86" s="49">
        <f>AVERAGE('01.07 SPEARMOTORS-NTINDA-24h'!J86,'03.08 SPEARMOTORS-NTINDA-24h'!J86)</f>
        <v>0</v>
      </c>
      <c r="K86" s="49">
        <f>AVERAGE('01.07 SPEARMOTORS-NTINDA-24h'!K86,'03.08 SPEARMOTORS-NTINDA-24h'!K86)</f>
        <v>0</v>
      </c>
      <c r="L86" s="49">
        <f>AVERAGE('01.07 SPEARMOTORS-NTINDA-24h'!L86,'03.08 SPEARMOTORS-NTINDA-24h'!L86)</f>
        <v>0</v>
      </c>
      <c r="M86" s="49">
        <f>AVERAGE('01.07 SPEARMOTORS-NTINDA-24h'!M86,'03.08 SPEARMOTORS-NTINDA-24h'!M86)</f>
        <v>10</v>
      </c>
      <c r="N86" s="49">
        <f>AVERAGE('01.07 SPEARMOTORS-NTINDA-24h'!N86,'03.08 SPEARMOTORS-NTINDA-24h'!N86)</f>
        <v>0</v>
      </c>
      <c r="O86" s="49">
        <f>AVERAGE('01.07 SPEARMOTORS-NTINDA-24h'!O86,'03.08 SPEARMOTORS-NTINDA-24h'!O86)</f>
        <v>5.5</v>
      </c>
      <c r="P86" s="49">
        <f>AVERAGE('01.07 SPEARMOTORS-NTINDA-24h'!P86,'03.08 SPEARMOTORS-NTINDA-24h'!P86)</f>
        <v>15.5</v>
      </c>
      <c r="R86" s="8"/>
      <c r="T86"/>
    </row>
    <row r="87" spans="2:20" ht="23.1" customHeight="1" x14ac:dyDescent="0.25">
      <c r="B87" s="23" t="s">
        <v>127</v>
      </c>
      <c r="C87" s="49">
        <f>AVERAGE('01.07 SPEARMOTORS-NTINDA-24h'!C87,'03.08 SPEARMOTORS-NTINDA-24h'!C87)</f>
        <v>4</v>
      </c>
      <c r="D87" s="49">
        <f>AVERAGE('01.07 SPEARMOTORS-NTINDA-24h'!D87,'03.08 SPEARMOTORS-NTINDA-24h'!D87)</f>
        <v>2.5</v>
      </c>
      <c r="E87" s="49">
        <f>AVERAGE('01.07 SPEARMOTORS-NTINDA-24h'!E87,'03.08 SPEARMOTORS-NTINDA-24h'!E87)</f>
        <v>0</v>
      </c>
      <c r="F87" s="49">
        <f>AVERAGE('01.07 SPEARMOTORS-NTINDA-24h'!F87,'03.08 SPEARMOTORS-NTINDA-24h'!F87)</f>
        <v>0</v>
      </c>
      <c r="G87" s="49">
        <f>AVERAGE('01.07 SPEARMOTORS-NTINDA-24h'!G87,'03.08 SPEARMOTORS-NTINDA-24h'!G87)</f>
        <v>0</v>
      </c>
      <c r="H87" s="49">
        <f>AVERAGE('01.07 SPEARMOTORS-NTINDA-24h'!H87,'03.08 SPEARMOTORS-NTINDA-24h'!H87)</f>
        <v>0</v>
      </c>
      <c r="I87" s="49">
        <f>AVERAGE('01.07 SPEARMOTORS-NTINDA-24h'!I87,'03.08 SPEARMOTORS-NTINDA-24h'!I87)</f>
        <v>0</v>
      </c>
      <c r="J87" s="49">
        <f>AVERAGE('01.07 SPEARMOTORS-NTINDA-24h'!J87,'03.08 SPEARMOTORS-NTINDA-24h'!J87)</f>
        <v>0</v>
      </c>
      <c r="K87" s="49">
        <f>AVERAGE('01.07 SPEARMOTORS-NTINDA-24h'!K87,'03.08 SPEARMOTORS-NTINDA-24h'!K87)</f>
        <v>0.5</v>
      </c>
      <c r="L87" s="49">
        <f>AVERAGE('01.07 SPEARMOTORS-NTINDA-24h'!L87,'03.08 SPEARMOTORS-NTINDA-24h'!L87)</f>
        <v>0.5</v>
      </c>
      <c r="M87" s="49">
        <f>AVERAGE('01.07 SPEARMOTORS-NTINDA-24h'!M87,'03.08 SPEARMOTORS-NTINDA-24h'!M87)</f>
        <v>9.5</v>
      </c>
      <c r="N87" s="49">
        <f>AVERAGE('01.07 SPEARMOTORS-NTINDA-24h'!N87,'03.08 SPEARMOTORS-NTINDA-24h'!N87)</f>
        <v>0</v>
      </c>
      <c r="O87" s="49">
        <f>AVERAGE('01.07 SPEARMOTORS-NTINDA-24h'!O87,'03.08 SPEARMOTORS-NTINDA-24h'!O87)</f>
        <v>7.5</v>
      </c>
      <c r="P87" s="49">
        <f>AVERAGE('01.07 SPEARMOTORS-NTINDA-24h'!P87,'03.08 SPEARMOTORS-NTINDA-24h'!P87)</f>
        <v>17</v>
      </c>
      <c r="R87" s="8"/>
      <c r="T87"/>
    </row>
    <row r="88" spans="2:20" ht="23.1" customHeight="1" x14ac:dyDescent="0.25">
      <c r="B88" s="25" t="s">
        <v>128</v>
      </c>
      <c r="C88" s="49">
        <f>AVERAGE('01.07 SPEARMOTORS-NTINDA-24h'!C88,'03.08 SPEARMOTORS-NTINDA-24h'!C88)</f>
        <v>6</v>
      </c>
      <c r="D88" s="49">
        <f>AVERAGE('01.07 SPEARMOTORS-NTINDA-24h'!D88,'03.08 SPEARMOTORS-NTINDA-24h'!D88)</f>
        <v>2.5</v>
      </c>
      <c r="E88" s="49">
        <f>AVERAGE('01.07 SPEARMOTORS-NTINDA-24h'!E88,'03.08 SPEARMOTORS-NTINDA-24h'!E88)</f>
        <v>0</v>
      </c>
      <c r="F88" s="49">
        <f>AVERAGE('01.07 SPEARMOTORS-NTINDA-24h'!F88,'03.08 SPEARMOTORS-NTINDA-24h'!F88)</f>
        <v>0</v>
      </c>
      <c r="G88" s="49">
        <f>AVERAGE('01.07 SPEARMOTORS-NTINDA-24h'!G88,'03.08 SPEARMOTORS-NTINDA-24h'!G88)</f>
        <v>0</v>
      </c>
      <c r="H88" s="49">
        <f>AVERAGE('01.07 SPEARMOTORS-NTINDA-24h'!H88,'03.08 SPEARMOTORS-NTINDA-24h'!H88)</f>
        <v>0</v>
      </c>
      <c r="I88" s="49">
        <f>AVERAGE('01.07 SPEARMOTORS-NTINDA-24h'!I88,'03.08 SPEARMOTORS-NTINDA-24h'!I88)</f>
        <v>0</v>
      </c>
      <c r="J88" s="49">
        <f>AVERAGE('01.07 SPEARMOTORS-NTINDA-24h'!J88,'03.08 SPEARMOTORS-NTINDA-24h'!J88)</f>
        <v>0</v>
      </c>
      <c r="K88" s="49">
        <f>AVERAGE('01.07 SPEARMOTORS-NTINDA-24h'!K88,'03.08 SPEARMOTORS-NTINDA-24h'!K88)</f>
        <v>0</v>
      </c>
      <c r="L88" s="49">
        <f>AVERAGE('01.07 SPEARMOTORS-NTINDA-24h'!L88,'03.08 SPEARMOTORS-NTINDA-24h'!L88)</f>
        <v>0</v>
      </c>
      <c r="M88" s="49">
        <f>AVERAGE('01.07 SPEARMOTORS-NTINDA-24h'!M88,'03.08 SPEARMOTORS-NTINDA-24h'!M88)</f>
        <v>10.5</v>
      </c>
      <c r="N88" s="49">
        <f>AVERAGE('01.07 SPEARMOTORS-NTINDA-24h'!N88,'03.08 SPEARMOTORS-NTINDA-24h'!N88)</f>
        <v>0</v>
      </c>
      <c r="O88" s="49">
        <f>AVERAGE('01.07 SPEARMOTORS-NTINDA-24h'!O88,'03.08 SPEARMOTORS-NTINDA-24h'!O88)</f>
        <v>8.5</v>
      </c>
      <c r="P88" s="49">
        <f>AVERAGE('01.07 SPEARMOTORS-NTINDA-24h'!P88,'03.08 SPEARMOTORS-NTINDA-24h'!P88)</f>
        <v>19</v>
      </c>
      <c r="R88" s="8"/>
      <c r="T88"/>
    </row>
    <row r="89" spans="2:20" ht="23.1" customHeight="1" x14ac:dyDescent="0.25">
      <c r="B89" s="23" t="s">
        <v>129</v>
      </c>
      <c r="C89" s="49">
        <f>AVERAGE('01.07 SPEARMOTORS-NTINDA-24h'!C89,'03.08 SPEARMOTORS-NTINDA-24h'!C89)</f>
        <v>2.5</v>
      </c>
      <c r="D89" s="49">
        <f>AVERAGE('01.07 SPEARMOTORS-NTINDA-24h'!D89,'03.08 SPEARMOTORS-NTINDA-24h'!D89)</f>
        <v>1.5</v>
      </c>
      <c r="E89" s="49">
        <f>AVERAGE('01.07 SPEARMOTORS-NTINDA-24h'!E89,'03.08 SPEARMOTORS-NTINDA-24h'!E89)</f>
        <v>0.5</v>
      </c>
      <c r="F89" s="49">
        <f>AVERAGE('01.07 SPEARMOTORS-NTINDA-24h'!F89,'03.08 SPEARMOTORS-NTINDA-24h'!F89)</f>
        <v>0</v>
      </c>
      <c r="G89" s="49">
        <f>AVERAGE('01.07 SPEARMOTORS-NTINDA-24h'!G89,'03.08 SPEARMOTORS-NTINDA-24h'!G89)</f>
        <v>0</v>
      </c>
      <c r="H89" s="49">
        <f>AVERAGE('01.07 SPEARMOTORS-NTINDA-24h'!H89,'03.08 SPEARMOTORS-NTINDA-24h'!H89)</f>
        <v>0</v>
      </c>
      <c r="I89" s="49">
        <f>AVERAGE('01.07 SPEARMOTORS-NTINDA-24h'!I89,'03.08 SPEARMOTORS-NTINDA-24h'!I89)</f>
        <v>0.5</v>
      </c>
      <c r="J89" s="49">
        <f>AVERAGE('01.07 SPEARMOTORS-NTINDA-24h'!J89,'03.08 SPEARMOTORS-NTINDA-24h'!J89)</f>
        <v>0</v>
      </c>
      <c r="K89" s="49">
        <f>AVERAGE('01.07 SPEARMOTORS-NTINDA-24h'!K89,'03.08 SPEARMOTORS-NTINDA-24h'!K89)</f>
        <v>0</v>
      </c>
      <c r="L89" s="49">
        <f>AVERAGE('01.07 SPEARMOTORS-NTINDA-24h'!L89,'03.08 SPEARMOTORS-NTINDA-24h'!L89)</f>
        <v>1</v>
      </c>
      <c r="M89" s="49">
        <f>AVERAGE('01.07 SPEARMOTORS-NTINDA-24h'!M89,'03.08 SPEARMOTORS-NTINDA-24h'!M89)</f>
        <v>7</v>
      </c>
      <c r="N89" s="49">
        <f>AVERAGE('01.07 SPEARMOTORS-NTINDA-24h'!N89,'03.08 SPEARMOTORS-NTINDA-24h'!N89)</f>
        <v>0</v>
      </c>
      <c r="O89" s="49">
        <f>AVERAGE('01.07 SPEARMOTORS-NTINDA-24h'!O89,'03.08 SPEARMOTORS-NTINDA-24h'!O89)</f>
        <v>6</v>
      </c>
      <c r="P89" s="49">
        <f>AVERAGE('01.07 SPEARMOTORS-NTINDA-24h'!P89,'03.08 SPEARMOTORS-NTINDA-24h'!P89)</f>
        <v>13</v>
      </c>
      <c r="R89" s="8"/>
      <c r="T89"/>
    </row>
    <row r="90" spans="2:20" ht="23.1" customHeight="1" x14ac:dyDescent="0.25">
      <c r="B90" s="24" t="s">
        <v>130</v>
      </c>
      <c r="C90" s="49">
        <f>AVERAGE('01.07 SPEARMOTORS-NTINDA-24h'!C90,'03.08 SPEARMOTORS-NTINDA-24h'!C90)</f>
        <v>6.5</v>
      </c>
      <c r="D90" s="49">
        <f>AVERAGE('01.07 SPEARMOTORS-NTINDA-24h'!D90,'03.08 SPEARMOTORS-NTINDA-24h'!D90)</f>
        <v>2.5</v>
      </c>
      <c r="E90" s="49">
        <f>AVERAGE('01.07 SPEARMOTORS-NTINDA-24h'!E90,'03.08 SPEARMOTORS-NTINDA-24h'!E90)</f>
        <v>1</v>
      </c>
      <c r="F90" s="49">
        <f>AVERAGE('01.07 SPEARMOTORS-NTINDA-24h'!F90,'03.08 SPEARMOTORS-NTINDA-24h'!F90)</f>
        <v>0</v>
      </c>
      <c r="G90" s="49">
        <f>AVERAGE('01.07 SPEARMOTORS-NTINDA-24h'!G90,'03.08 SPEARMOTORS-NTINDA-24h'!G90)</f>
        <v>0</v>
      </c>
      <c r="H90" s="49">
        <f>AVERAGE('01.07 SPEARMOTORS-NTINDA-24h'!H90,'03.08 SPEARMOTORS-NTINDA-24h'!H90)</f>
        <v>0</v>
      </c>
      <c r="I90" s="49">
        <f>AVERAGE('01.07 SPEARMOTORS-NTINDA-24h'!I90,'03.08 SPEARMOTORS-NTINDA-24h'!I90)</f>
        <v>0.5</v>
      </c>
      <c r="J90" s="49">
        <f>AVERAGE('01.07 SPEARMOTORS-NTINDA-24h'!J90,'03.08 SPEARMOTORS-NTINDA-24h'!J90)</f>
        <v>0</v>
      </c>
      <c r="K90" s="49">
        <f>AVERAGE('01.07 SPEARMOTORS-NTINDA-24h'!K90,'03.08 SPEARMOTORS-NTINDA-24h'!K90)</f>
        <v>1</v>
      </c>
      <c r="L90" s="49">
        <f>AVERAGE('01.07 SPEARMOTORS-NTINDA-24h'!L90,'03.08 SPEARMOTORS-NTINDA-24h'!L90)</f>
        <v>0.5</v>
      </c>
      <c r="M90" s="49">
        <f>AVERAGE('01.07 SPEARMOTORS-NTINDA-24h'!M90,'03.08 SPEARMOTORS-NTINDA-24h'!M90)</f>
        <v>4</v>
      </c>
      <c r="N90" s="49">
        <f>AVERAGE('01.07 SPEARMOTORS-NTINDA-24h'!N90,'03.08 SPEARMOTORS-NTINDA-24h'!N90)</f>
        <v>0</v>
      </c>
      <c r="O90" s="49">
        <f>AVERAGE('01.07 SPEARMOTORS-NTINDA-24h'!O90,'03.08 SPEARMOTORS-NTINDA-24h'!O90)</f>
        <v>12</v>
      </c>
      <c r="P90" s="49">
        <f>AVERAGE('01.07 SPEARMOTORS-NTINDA-24h'!P90,'03.08 SPEARMOTORS-NTINDA-24h'!P90)</f>
        <v>16</v>
      </c>
      <c r="R90" s="8"/>
      <c r="T90"/>
    </row>
    <row r="91" spans="2:20" ht="23.1" customHeight="1" x14ac:dyDescent="0.25">
      <c r="B91" s="23" t="s">
        <v>131</v>
      </c>
      <c r="C91" s="49">
        <f>AVERAGE('01.07 SPEARMOTORS-NTINDA-24h'!C91,'03.08 SPEARMOTORS-NTINDA-24h'!C91)</f>
        <v>6.5</v>
      </c>
      <c r="D91" s="49">
        <f>AVERAGE('01.07 SPEARMOTORS-NTINDA-24h'!D91,'03.08 SPEARMOTORS-NTINDA-24h'!D91)</f>
        <v>2.5</v>
      </c>
      <c r="E91" s="49">
        <f>AVERAGE('01.07 SPEARMOTORS-NTINDA-24h'!E91,'03.08 SPEARMOTORS-NTINDA-24h'!E91)</f>
        <v>1</v>
      </c>
      <c r="F91" s="49">
        <f>AVERAGE('01.07 SPEARMOTORS-NTINDA-24h'!F91,'03.08 SPEARMOTORS-NTINDA-24h'!F91)</f>
        <v>0</v>
      </c>
      <c r="G91" s="49">
        <f>AVERAGE('01.07 SPEARMOTORS-NTINDA-24h'!G91,'03.08 SPEARMOTORS-NTINDA-24h'!G91)</f>
        <v>0</v>
      </c>
      <c r="H91" s="49">
        <f>AVERAGE('01.07 SPEARMOTORS-NTINDA-24h'!H91,'03.08 SPEARMOTORS-NTINDA-24h'!H91)</f>
        <v>0</v>
      </c>
      <c r="I91" s="49">
        <f>AVERAGE('01.07 SPEARMOTORS-NTINDA-24h'!I91,'03.08 SPEARMOTORS-NTINDA-24h'!I91)</f>
        <v>0</v>
      </c>
      <c r="J91" s="49">
        <f>AVERAGE('01.07 SPEARMOTORS-NTINDA-24h'!J91,'03.08 SPEARMOTORS-NTINDA-24h'!J91)</f>
        <v>0</v>
      </c>
      <c r="K91" s="49">
        <f>AVERAGE('01.07 SPEARMOTORS-NTINDA-24h'!K91,'03.08 SPEARMOTORS-NTINDA-24h'!K91)</f>
        <v>0</v>
      </c>
      <c r="L91" s="49">
        <f>AVERAGE('01.07 SPEARMOTORS-NTINDA-24h'!L91,'03.08 SPEARMOTORS-NTINDA-24h'!L91)</f>
        <v>0.5</v>
      </c>
      <c r="M91" s="49">
        <f>AVERAGE('01.07 SPEARMOTORS-NTINDA-24h'!M91,'03.08 SPEARMOTORS-NTINDA-24h'!M91)</f>
        <v>4</v>
      </c>
      <c r="N91" s="49">
        <f>AVERAGE('01.07 SPEARMOTORS-NTINDA-24h'!N91,'03.08 SPEARMOTORS-NTINDA-24h'!N91)</f>
        <v>0</v>
      </c>
      <c r="O91" s="49">
        <f>AVERAGE('01.07 SPEARMOTORS-NTINDA-24h'!O91,'03.08 SPEARMOTORS-NTINDA-24h'!O91)</f>
        <v>10.5</v>
      </c>
      <c r="P91" s="49">
        <f>AVERAGE('01.07 SPEARMOTORS-NTINDA-24h'!P91,'03.08 SPEARMOTORS-NTINDA-24h'!P91)</f>
        <v>14.5</v>
      </c>
      <c r="R91" s="8"/>
      <c r="T91"/>
    </row>
    <row r="92" spans="2:20" ht="23.1" customHeight="1" x14ac:dyDescent="0.25">
      <c r="B92" s="25" t="s">
        <v>132</v>
      </c>
      <c r="C92" s="49">
        <f>AVERAGE('01.07 SPEARMOTORS-NTINDA-24h'!C92,'03.08 SPEARMOTORS-NTINDA-24h'!C92)</f>
        <v>5.5</v>
      </c>
      <c r="D92" s="49">
        <f>AVERAGE('01.07 SPEARMOTORS-NTINDA-24h'!D92,'03.08 SPEARMOTORS-NTINDA-24h'!D92)</f>
        <v>7.5</v>
      </c>
      <c r="E92" s="49">
        <f>AVERAGE('01.07 SPEARMOTORS-NTINDA-24h'!E92,'03.08 SPEARMOTORS-NTINDA-24h'!E92)</f>
        <v>0.5</v>
      </c>
      <c r="F92" s="49">
        <f>AVERAGE('01.07 SPEARMOTORS-NTINDA-24h'!F92,'03.08 SPEARMOTORS-NTINDA-24h'!F92)</f>
        <v>0</v>
      </c>
      <c r="G92" s="49">
        <f>AVERAGE('01.07 SPEARMOTORS-NTINDA-24h'!G92,'03.08 SPEARMOTORS-NTINDA-24h'!G92)</f>
        <v>0</v>
      </c>
      <c r="H92" s="49">
        <f>AVERAGE('01.07 SPEARMOTORS-NTINDA-24h'!H92,'03.08 SPEARMOTORS-NTINDA-24h'!H92)</f>
        <v>0</v>
      </c>
      <c r="I92" s="49">
        <f>AVERAGE('01.07 SPEARMOTORS-NTINDA-24h'!I92,'03.08 SPEARMOTORS-NTINDA-24h'!I92)</f>
        <v>0</v>
      </c>
      <c r="J92" s="49">
        <f>AVERAGE('01.07 SPEARMOTORS-NTINDA-24h'!J92,'03.08 SPEARMOTORS-NTINDA-24h'!J92)</f>
        <v>0.5</v>
      </c>
      <c r="K92" s="49">
        <f>AVERAGE('01.07 SPEARMOTORS-NTINDA-24h'!K92,'03.08 SPEARMOTORS-NTINDA-24h'!K92)</f>
        <v>0</v>
      </c>
      <c r="L92" s="49">
        <f>AVERAGE('01.07 SPEARMOTORS-NTINDA-24h'!L92,'03.08 SPEARMOTORS-NTINDA-24h'!L92)</f>
        <v>0.5</v>
      </c>
      <c r="M92" s="49">
        <f>AVERAGE('01.07 SPEARMOTORS-NTINDA-24h'!M92,'03.08 SPEARMOTORS-NTINDA-24h'!M92)</f>
        <v>7</v>
      </c>
      <c r="N92" s="49">
        <f>AVERAGE('01.07 SPEARMOTORS-NTINDA-24h'!N92,'03.08 SPEARMOTORS-NTINDA-24h'!N92)</f>
        <v>0</v>
      </c>
      <c r="O92" s="49">
        <f>AVERAGE('01.07 SPEARMOTORS-NTINDA-24h'!O92,'03.08 SPEARMOTORS-NTINDA-24h'!O92)</f>
        <v>14.5</v>
      </c>
      <c r="P92" s="49">
        <f>AVERAGE('01.07 SPEARMOTORS-NTINDA-24h'!P92,'03.08 SPEARMOTORS-NTINDA-24h'!P92)</f>
        <v>21.5</v>
      </c>
      <c r="R92" s="8"/>
      <c r="T92"/>
    </row>
    <row r="93" spans="2:20" ht="23.1" customHeight="1" x14ac:dyDescent="0.25">
      <c r="B93" s="23" t="s">
        <v>133</v>
      </c>
      <c r="C93" s="49">
        <f>AVERAGE('01.07 SPEARMOTORS-NTINDA-24h'!C93,'03.08 SPEARMOTORS-NTINDA-24h'!C93)</f>
        <v>7</v>
      </c>
      <c r="D93" s="49">
        <f>AVERAGE('01.07 SPEARMOTORS-NTINDA-24h'!D93,'03.08 SPEARMOTORS-NTINDA-24h'!D93)</f>
        <v>3</v>
      </c>
      <c r="E93" s="49">
        <f>AVERAGE('01.07 SPEARMOTORS-NTINDA-24h'!E93,'03.08 SPEARMOTORS-NTINDA-24h'!E93)</f>
        <v>1.5</v>
      </c>
      <c r="F93" s="49">
        <f>AVERAGE('01.07 SPEARMOTORS-NTINDA-24h'!F93,'03.08 SPEARMOTORS-NTINDA-24h'!F93)</f>
        <v>0.5</v>
      </c>
      <c r="G93" s="49">
        <f>AVERAGE('01.07 SPEARMOTORS-NTINDA-24h'!G93,'03.08 SPEARMOTORS-NTINDA-24h'!G93)</f>
        <v>0</v>
      </c>
      <c r="H93" s="49">
        <f>AVERAGE('01.07 SPEARMOTORS-NTINDA-24h'!H93,'03.08 SPEARMOTORS-NTINDA-24h'!H93)</f>
        <v>0</v>
      </c>
      <c r="I93" s="49">
        <f>AVERAGE('01.07 SPEARMOTORS-NTINDA-24h'!I93,'03.08 SPEARMOTORS-NTINDA-24h'!I93)</f>
        <v>0</v>
      </c>
      <c r="J93" s="49">
        <f>AVERAGE('01.07 SPEARMOTORS-NTINDA-24h'!J93,'03.08 SPEARMOTORS-NTINDA-24h'!J93)</f>
        <v>0</v>
      </c>
      <c r="K93" s="49">
        <f>AVERAGE('01.07 SPEARMOTORS-NTINDA-24h'!K93,'03.08 SPEARMOTORS-NTINDA-24h'!K93)</f>
        <v>0</v>
      </c>
      <c r="L93" s="49">
        <f>AVERAGE('01.07 SPEARMOTORS-NTINDA-24h'!L93,'03.08 SPEARMOTORS-NTINDA-24h'!L93)</f>
        <v>0</v>
      </c>
      <c r="M93" s="49">
        <f>AVERAGE('01.07 SPEARMOTORS-NTINDA-24h'!M93,'03.08 SPEARMOTORS-NTINDA-24h'!M93)</f>
        <v>6.5</v>
      </c>
      <c r="N93" s="49">
        <f>AVERAGE('01.07 SPEARMOTORS-NTINDA-24h'!N93,'03.08 SPEARMOTORS-NTINDA-24h'!N93)</f>
        <v>0</v>
      </c>
      <c r="O93" s="49">
        <f>AVERAGE('01.07 SPEARMOTORS-NTINDA-24h'!O93,'03.08 SPEARMOTORS-NTINDA-24h'!O93)</f>
        <v>12</v>
      </c>
      <c r="P93" s="49">
        <f>AVERAGE('01.07 SPEARMOTORS-NTINDA-24h'!P93,'03.08 SPEARMOTORS-NTINDA-24h'!P93)</f>
        <v>18.5</v>
      </c>
      <c r="R93" s="8"/>
      <c r="T93"/>
    </row>
    <row r="94" spans="2:20" ht="23.1" customHeight="1" x14ac:dyDescent="0.25">
      <c r="B94" s="24" t="s">
        <v>134</v>
      </c>
      <c r="C94" s="49">
        <f>AVERAGE('01.07 SPEARMOTORS-NTINDA-24h'!C94,'03.08 SPEARMOTORS-NTINDA-24h'!C94)</f>
        <v>4</v>
      </c>
      <c r="D94" s="49">
        <f>AVERAGE('01.07 SPEARMOTORS-NTINDA-24h'!D94,'03.08 SPEARMOTORS-NTINDA-24h'!D94)</f>
        <v>7.5</v>
      </c>
      <c r="E94" s="49">
        <f>AVERAGE('01.07 SPEARMOTORS-NTINDA-24h'!E94,'03.08 SPEARMOTORS-NTINDA-24h'!E94)</f>
        <v>0</v>
      </c>
      <c r="F94" s="49">
        <f>AVERAGE('01.07 SPEARMOTORS-NTINDA-24h'!F94,'03.08 SPEARMOTORS-NTINDA-24h'!F94)</f>
        <v>0</v>
      </c>
      <c r="G94" s="49">
        <f>AVERAGE('01.07 SPEARMOTORS-NTINDA-24h'!G94,'03.08 SPEARMOTORS-NTINDA-24h'!G94)</f>
        <v>0</v>
      </c>
      <c r="H94" s="49">
        <f>AVERAGE('01.07 SPEARMOTORS-NTINDA-24h'!H94,'03.08 SPEARMOTORS-NTINDA-24h'!H94)</f>
        <v>0</v>
      </c>
      <c r="I94" s="49">
        <f>AVERAGE('01.07 SPEARMOTORS-NTINDA-24h'!I94,'03.08 SPEARMOTORS-NTINDA-24h'!I94)</f>
        <v>0</v>
      </c>
      <c r="J94" s="49">
        <f>AVERAGE('01.07 SPEARMOTORS-NTINDA-24h'!J94,'03.08 SPEARMOTORS-NTINDA-24h'!J94)</f>
        <v>0</v>
      </c>
      <c r="K94" s="49">
        <f>AVERAGE('01.07 SPEARMOTORS-NTINDA-24h'!K94,'03.08 SPEARMOTORS-NTINDA-24h'!K94)</f>
        <v>0.5</v>
      </c>
      <c r="L94" s="49">
        <f>AVERAGE('01.07 SPEARMOTORS-NTINDA-24h'!L94,'03.08 SPEARMOTORS-NTINDA-24h'!L94)</f>
        <v>1</v>
      </c>
      <c r="M94" s="49">
        <f>AVERAGE('01.07 SPEARMOTORS-NTINDA-24h'!M94,'03.08 SPEARMOTORS-NTINDA-24h'!M94)</f>
        <v>5</v>
      </c>
      <c r="N94" s="49">
        <f>AVERAGE('01.07 SPEARMOTORS-NTINDA-24h'!N94,'03.08 SPEARMOTORS-NTINDA-24h'!N94)</f>
        <v>0</v>
      </c>
      <c r="O94" s="49">
        <f>AVERAGE('01.07 SPEARMOTORS-NTINDA-24h'!O94,'03.08 SPEARMOTORS-NTINDA-24h'!O94)</f>
        <v>13</v>
      </c>
      <c r="P94" s="49">
        <f>AVERAGE('01.07 SPEARMOTORS-NTINDA-24h'!P94,'03.08 SPEARMOTORS-NTINDA-24h'!P94)</f>
        <v>18</v>
      </c>
      <c r="R94" s="8"/>
      <c r="T94"/>
    </row>
    <row r="95" spans="2:20" ht="23.1" customHeight="1" x14ac:dyDescent="0.25">
      <c r="B95" s="23" t="s">
        <v>135</v>
      </c>
      <c r="C95" s="49">
        <f>AVERAGE('01.07 SPEARMOTORS-NTINDA-24h'!C95,'03.08 SPEARMOTORS-NTINDA-24h'!C95)</f>
        <v>2</v>
      </c>
      <c r="D95" s="49">
        <f>AVERAGE('01.07 SPEARMOTORS-NTINDA-24h'!D95,'03.08 SPEARMOTORS-NTINDA-24h'!D95)</f>
        <v>1.5</v>
      </c>
      <c r="E95" s="49">
        <f>AVERAGE('01.07 SPEARMOTORS-NTINDA-24h'!E95,'03.08 SPEARMOTORS-NTINDA-24h'!E95)</f>
        <v>0</v>
      </c>
      <c r="F95" s="49">
        <f>AVERAGE('01.07 SPEARMOTORS-NTINDA-24h'!F95,'03.08 SPEARMOTORS-NTINDA-24h'!F95)</f>
        <v>0</v>
      </c>
      <c r="G95" s="49">
        <f>AVERAGE('01.07 SPEARMOTORS-NTINDA-24h'!G95,'03.08 SPEARMOTORS-NTINDA-24h'!G95)</f>
        <v>0</v>
      </c>
      <c r="H95" s="49">
        <f>AVERAGE('01.07 SPEARMOTORS-NTINDA-24h'!H95,'03.08 SPEARMOTORS-NTINDA-24h'!H95)</f>
        <v>0</v>
      </c>
      <c r="I95" s="49">
        <f>AVERAGE('01.07 SPEARMOTORS-NTINDA-24h'!I95,'03.08 SPEARMOTORS-NTINDA-24h'!I95)</f>
        <v>0</v>
      </c>
      <c r="J95" s="49">
        <f>AVERAGE('01.07 SPEARMOTORS-NTINDA-24h'!J95,'03.08 SPEARMOTORS-NTINDA-24h'!J95)</f>
        <v>0</v>
      </c>
      <c r="K95" s="49">
        <f>AVERAGE('01.07 SPEARMOTORS-NTINDA-24h'!K95,'03.08 SPEARMOTORS-NTINDA-24h'!K95)</f>
        <v>0</v>
      </c>
      <c r="L95" s="49">
        <f>AVERAGE('01.07 SPEARMOTORS-NTINDA-24h'!L95,'03.08 SPEARMOTORS-NTINDA-24h'!L95)</f>
        <v>1.5</v>
      </c>
      <c r="M95" s="49">
        <f>AVERAGE('01.07 SPEARMOTORS-NTINDA-24h'!M95,'03.08 SPEARMOTORS-NTINDA-24h'!M95)</f>
        <v>6</v>
      </c>
      <c r="N95" s="49">
        <f>AVERAGE('01.07 SPEARMOTORS-NTINDA-24h'!N95,'03.08 SPEARMOTORS-NTINDA-24h'!N95)</f>
        <v>0</v>
      </c>
      <c r="O95" s="49">
        <f>AVERAGE('01.07 SPEARMOTORS-NTINDA-24h'!O95,'03.08 SPEARMOTORS-NTINDA-24h'!O95)</f>
        <v>5</v>
      </c>
      <c r="P95" s="49">
        <f>AVERAGE('01.07 SPEARMOTORS-NTINDA-24h'!P95,'03.08 SPEARMOTORS-NTINDA-24h'!P95)</f>
        <v>11</v>
      </c>
      <c r="R95" s="8"/>
      <c r="T95"/>
    </row>
    <row r="96" spans="2:20" ht="23.1" customHeight="1" x14ac:dyDescent="0.25">
      <c r="B96" s="25" t="s">
        <v>136</v>
      </c>
      <c r="C96" s="49">
        <f>AVERAGE('01.07 SPEARMOTORS-NTINDA-24h'!C96,'03.08 SPEARMOTORS-NTINDA-24h'!C96)</f>
        <v>0</v>
      </c>
      <c r="D96" s="49">
        <f>AVERAGE('01.07 SPEARMOTORS-NTINDA-24h'!D96,'03.08 SPEARMOTORS-NTINDA-24h'!D96)</f>
        <v>1</v>
      </c>
      <c r="E96" s="49">
        <f>AVERAGE('01.07 SPEARMOTORS-NTINDA-24h'!E96,'03.08 SPEARMOTORS-NTINDA-24h'!E96)</f>
        <v>0</v>
      </c>
      <c r="F96" s="49">
        <f>AVERAGE('01.07 SPEARMOTORS-NTINDA-24h'!F96,'03.08 SPEARMOTORS-NTINDA-24h'!F96)</f>
        <v>0</v>
      </c>
      <c r="G96" s="49">
        <f>AVERAGE('01.07 SPEARMOTORS-NTINDA-24h'!G96,'03.08 SPEARMOTORS-NTINDA-24h'!G96)</f>
        <v>0</v>
      </c>
      <c r="H96" s="49">
        <f>AVERAGE('01.07 SPEARMOTORS-NTINDA-24h'!H96,'03.08 SPEARMOTORS-NTINDA-24h'!H96)</f>
        <v>0</v>
      </c>
      <c r="I96" s="49">
        <f>AVERAGE('01.07 SPEARMOTORS-NTINDA-24h'!I96,'03.08 SPEARMOTORS-NTINDA-24h'!I96)</f>
        <v>0</v>
      </c>
      <c r="J96" s="49">
        <f>AVERAGE('01.07 SPEARMOTORS-NTINDA-24h'!J96,'03.08 SPEARMOTORS-NTINDA-24h'!J96)</f>
        <v>0.5</v>
      </c>
      <c r="K96" s="49">
        <f>AVERAGE('01.07 SPEARMOTORS-NTINDA-24h'!K96,'03.08 SPEARMOTORS-NTINDA-24h'!K96)</f>
        <v>0</v>
      </c>
      <c r="L96" s="49">
        <f>AVERAGE('01.07 SPEARMOTORS-NTINDA-24h'!L96,'03.08 SPEARMOTORS-NTINDA-24h'!L96)</f>
        <v>0</v>
      </c>
      <c r="M96" s="49">
        <f>AVERAGE('01.07 SPEARMOTORS-NTINDA-24h'!M96,'03.08 SPEARMOTORS-NTINDA-24h'!M96)</f>
        <v>7.5</v>
      </c>
      <c r="N96" s="49">
        <f>AVERAGE('01.07 SPEARMOTORS-NTINDA-24h'!N96,'03.08 SPEARMOTORS-NTINDA-24h'!N96)</f>
        <v>0</v>
      </c>
      <c r="O96" s="49">
        <f>AVERAGE('01.07 SPEARMOTORS-NTINDA-24h'!O96,'03.08 SPEARMOTORS-NTINDA-24h'!O96)</f>
        <v>1.5</v>
      </c>
      <c r="P96" s="49">
        <f>AVERAGE('01.07 SPEARMOTORS-NTINDA-24h'!P96,'03.08 SPEARMOTORS-NTINDA-24h'!P96)</f>
        <v>9</v>
      </c>
      <c r="R96" s="8"/>
      <c r="T96"/>
    </row>
    <row r="97" spans="2:20" ht="23.1" customHeight="1" x14ac:dyDescent="0.25">
      <c r="B97" s="23" t="s">
        <v>137</v>
      </c>
      <c r="C97" s="49">
        <f>AVERAGE('01.07 SPEARMOTORS-NTINDA-24h'!C97,'03.08 SPEARMOTORS-NTINDA-24h'!C97)</f>
        <v>5</v>
      </c>
      <c r="D97" s="49">
        <f>AVERAGE('01.07 SPEARMOTORS-NTINDA-24h'!D97,'03.08 SPEARMOTORS-NTINDA-24h'!D97)</f>
        <v>1</v>
      </c>
      <c r="E97" s="49">
        <f>AVERAGE('01.07 SPEARMOTORS-NTINDA-24h'!E97,'03.08 SPEARMOTORS-NTINDA-24h'!E97)</f>
        <v>0.5</v>
      </c>
      <c r="F97" s="49">
        <f>AVERAGE('01.07 SPEARMOTORS-NTINDA-24h'!F97,'03.08 SPEARMOTORS-NTINDA-24h'!F97)</f>
        <v>1</v>
      </c>
      <c r="G97" s="49">
        <f>AVERAGE('01.07 SPEARMOTORS-NTINDA-24h'!G97,'03.08 SPEARMOTORS-NTINDA-24h'!G97)</f>
        <v>0</v>
      </c>
      <c r="H97" s="49">
        <f>AVERAGE('01.07 SPEARMOTORS-NTINDA-24h'!H97,'03.08 SPEARMOTORS-NTINDA-24h'!H97)</f>
        <v>0</v>
      </c>
      <c r="I97" s="49">
        <f>AVERAGE('01.07 SPEARMOTORS-NTINDA-24h'!I97,'03.08 SPEARMOTORS-NTINDA-24h'!I97)</f>
        <v>0</v>
      </c>
      <c r="J97" s="49">
        <f>AVERAGE('01.07 SPEARMOTORS-NTINDA-24h'!J97,'03.08 SPEARMOTORS-NTINDA-24h'!J97)</f>
        <v>0.5</v>
      </c>
      <c r="K97" s="49">
        <f>AVERAGE('01.07 SPEARMOTORS-NTINDA-24h'!K97,'03.08 SPEARMOTORS-NTINDA-24h'!K97)</f>
        <v>0</v>
      </c>
      <c r="L97" s="49">
        <f>AVERAGE('01.07 SPEARMOTORS-NTINDA-24h'!L97,'03.08 SPEARMOTORS-NTINDA-24h'!L97)</f>
        <v>0.5</v>
      </c>
      <c r="M97" s="49">
        <f>AVERAGE('01.07 SPEARMOTORS-NTINDA-24h'!M97,'03.08 SPEARMOTORS-NTINDA-24h'!M97)</f>
        <v>9.5</v>
      </c>
      <c r="N97" s="49">
        <f>AVERAGE('01.07 SPEARMOTORS-NTINDA-24h'!N97,'03.08 SPEARMOTORS-NTINDA-24h'!N97)</f>
        <v>0</v>
      </c>
      <c r="O97" s="49">
        <f>AVERAGE('01.07 SPEARMOTORS-NTINDA-24h'!O97,'03.08 SPEARMOTORS-NTINDA-24h'!O97)</f>
        <v>8.5</v>
      </c>
      <c r="P97" s="49">
        <f>AVERAGE('01.07 SPEARMOTORS-NTINDA-24h'!P97,'03.08 SPEARMOTORS-NTINDA-24h'!P97)</f>
        <v>18</v>
      </c>
      <c r="R97" s="8"/>
      <c r="T97"/>
    </row>
    <row r="98" spans="2:20" ht="23.1" customHeight="1" x14ac:dyDescent="0.25">
      <c r="B98" s="24" t="s">
        <v>138</v>
      </c>
      <c r="C98" s="49">
        <f>AVERAGE('01.07 SPEARMOTORS-NTINDA-24h'!C98,'03.08 SPEARMOTORS-NTINDA-24h'!C98)</f>
        <v>3</v>
      </c>
      <c r="D98" s="49">
        <f>AVERAGE('01.07 SPEARMOTORS-NTINDA-24h'!D98,'03.08 SPEARMOTORS-NTINDA-24h'!D98)</f>
        <v>2.5</v>
      </c>
      <c r="E98" s="49">
        <f>AVERAGE('01.07 SPEARMOTORS-NTINDA-24h'!E98,'03.08 SPEARMOTORS-NTINDA-24h'!E98)</f>
        <v>1</v>
      </c>
      <c r="F98" s="49">
        <f>AVERAGE('01.07 SPEARMOTORS-NTINDA-24h'!F98,'03.08 SPEARMOTORS-NTINDA-24h'!F98)</f>
        <v>0.5</v>
      </c>
      <c r="G98" s="49">
        <f>AVERAGE('01.07 SPEARMOTORS-NTINDA-24h'!G98,'03.08 SPEARMOTORS-NTINDA-24h'!G98)</f>
        <v>0</v>
      </c>
      <c r="H98" s="49">
        <f>AVERAGE('01.07 SPEARMOTORS-NTINDA-24h'!H98,'03.08 SPEARMOTORS-NTINDA-24h'!H98)</f>
        <v>0</v>
      </c>
      <c r="I98" s="49">
        <f>AVERAGE('01.07 SPEARMOTORS-NTINDA-24h'!I98,'03.08 SPEARMOTORS-NTINDA-24h'!I98)</f>
        <v>0.5</v>
      </c>
      <c r="J98" s="49">
        <f>AVERAGE('01.07 SPEARMOTORS-NTINDA-24h'!J98,'03.08 SPEARMOTORS-NTINDA-24h'!J98)</f>
        <v>0.5</v>
      </c>
      <c r="K98" s="49">
        <f>AVERAGE('01.07 SPEARMOTORS-NTINDA-24h'!K98,'03.08 SPEARMOTORS-NTINDA-24h'!K98)</f>
        <v>0.5</v>
      </c>
      <c r="L98" s="49">
        <f>AVERAGE('01.07 SPEARMOTORS-NTINDA-24h'!L98,'03.08 SPEARMOTORS-NTINDA-24h'!L98)</f>
        <v>0</v>
      </c>
      <c r="M98" s="49">
        <f>AVERAGE('01.07 SPEARMOTORS-NTINDA-24h'!M98,'03.08 SPEARMOTORS-NTINDA-24h'!M98)</f>
        <v>8</v>
      </c>
      <c r="N98" s="49">
        <f>AVERAGE('01.07 SPEARMOTORS-NTINDA-24h'!N98,'03.08 SPEARMOTORS-NTINDA-24h'!N98)</f>
        <v>0</v>
      </c>
      <c r="O98" s="49">
        <f>AVERAGE('01.07 SPEARMOTORS-NTINDA-24h'!O98,'03.08 SPEARMOTORS-NTINDA-24h'!O98)</f>
        <v>8.5</v>
      </c>
      <c r="P98" s="49">
        <f>AVERAGE('01.07 SPEARMOTORS-NTINDA-24h'!P98,'03.08 SPEARMOTORS-NTINDA-24h'!P98)</f>
        <v>16.5</v>
      </c>
      <c r="R98" s="8"/>
      <c r="T98"/>
    </row>
    <row r="99" spans="2:20" ht="23.1" customHeight="1" x14ac:dyDescent="0.25">
      <c r="B99" s="23" t="s">
        <v>139</v>
      </c>
      <c r="C99" s="49">
        <f>AVERAGE('01.07 SPEARMOTORS-NTINDA-24h'!C99,'03.08 SPEARMOTORS-NTINDA-24h'!C99)</f>
        <v>4</v>
      </c>
      <c r="D99" s="49">
        <f>AVERAGE('01.07 SPEARMOTORS-NTINDA-24h'!D99,'03.08 SPEARMOTORS-NTINDA-24h'!D99)</f>
        <v>2.5</v>
      </c>
      <c r="E99" s="49">
        <f>AVERAGE('01.07 SPEARMOTORS-NTINDA-24h'!E99,'03.08 SPEARMOTORS-NTINDA-24h'!E99)</f>
        <v>1</v>
      </c>
      <c r="F99" s="49">
        <f>AVERAGE('01.07 SPEARMOTORS-NTINDA-24h'!F99,'03.08 SPEARMOTORS-NTINDA-24h'!F99)</f>
        <v>1</v>
      </c>
      <c r="G99" s="49">
        <f>AVERAGE('01.07 SPEARMOTORS-NTINDA-24h'!G99,'03.08 SPEARMOTORS-NTINDA-24h'!G99)</f>
        <v>0</v>
      </c>
      <c r="H99" s="49">
        <f>AVERAGE('01.07 SPEARMOTORS-NTINDA-24h'!H99,'03.08 SPEARMOTORS-NTINDA-24h'!H99)</f>
        <v>0</v>
      </c>
      <c r="I99" s="49">
        <f>AVERAGE('01.07 SPEARMOTORS-NTINDA-24h'!I99,'03.08 SPEARMOTORS-NTINDA-24h'!I99)</f>
        <v>0</v>
      </c>
      <c r="J99" s="49">
        <f>AVERAGE('01.07 SPEARMOTORS-NTINDA-24h'!J99,'03.08 SPEARMOTORS-NTINDA-24h'!J99)</f>
        <v>0.5</v>
      </c>
      <c r="K99" s="49">
        <f>AVERAGE('01.07 SPEARMOTORS-NTINDA-24h'!K99,'03.08 SPEARMOTORS-NTINDA-24h'!K99)</f>
        <v>0.5</v>
      </c>
      <c r="L99" s="49">
        <f>AVERAGE('01.07 SPEARMOTORS-NTINDA-24h'!L99,'03.08 SPEARMOTORS-NTINDA-24h'!L99)</f>
        <v>0.5</v>
      </c>
      <c r="M99" s="49">
        <f>AVERAGE('01.07 SPEARMOTORS-NTINDA-24h'!M99,'03.08 SPEARMOTORS-NTINDA-24h'!M99)</f>
        <v>14.5</v>
      </c>
      <c r="N99" s="49">
        <f>AVERAGE('01.07 SPEARMOTORS-NTINDA-24h'!N99,'03.08 SPEARMOTORS-NTINDA-24h'!N99)</f>
        <v>0</v>
      </c>
      <c r="O99" s="49">
        <f>AVERAGE('01.07 SPEARMOTORS-NTINDA-24h'!O99,'03.08 SPEARMOTORS-NTINDA-24h'!O99)</f>
        <v>10</v>
      </c>
      <c r="P99" s="49">
        <f>AVERAGE('01.07 SPEARMOTORS-NTINDA-24h'!P99,'03.08 SPEARMOTORS-NTINDA-24h'!P99)</f>
        <v>24.5</v>
      </c>
      <c r="R99" s="8"/>
      <c r="T99"/>
    </row>
    <row r="100" spans="2:20" ht="23.1" customHeight="1" x14ac:dyDescent="0.25">
      <c r="B100" s="25" t="s">
        <v>140</v>
      </c>
      <c r="C100" s="49">
        <f>AVERAGE('01.07 SPEARMOTORS-NTINDA-24h'!C100,'03.08 SPEARMOTORS-NTINDA-24h'!C100)</f>
        <v>3</v>
      </c>
      <c r="D100" s="49">
        <f>AVERAGE('01.07 SPEARMOTORS-NTINDA-24h'!D100,'03.08 SPEARMOTORS-NTINDA-24h'!D100)</f>
        <v>1</v>
      </c>
      <c r="E100" s="49">
        <f>AVERAGE('01.07 SPEARMOTORS-NTINDA-24h'!E100,'03.08 SPEARMOTORS-NTINDA-24h'!E100)</f>
        <v>2</v>
      </c>
      <c r="F100" s="49">
        <f>AVERAGE('01.07 SPEARMOTORS-NTINDA-24h'!F100,'03.08 SPEARMOTORS-NTINDA-24h'!F100)</f>
        <v>2</v>
      </c>
      <c r="G100" s="49">
        <f>AVERAGE('01.07 SPEARMOTORS-NTINDA-24h'!G100,'03.08 SPEARMOTORS-NTINDA-24h'!G100)</f>
        <v>0</v>
      </c>
      <c r="H100" s="49">
        <f>AVERAGE('01.07 SPEARMOTORS-NTINDA-24h'!H100,'03.08 SPEARMOTORS-NTINDA-24h'!H100)</f>
        <v>0</v>
      </c>
      <c r="I100" s="49">
        <f>AVERAGE('01.07 SPEARMOTORS-NTINDA-24h'!I100,'03.08 SPEARMOTORS-NTINDA-24h'!I100)</f>
        <v>0.5</v>
      </c>
      <c r="J100" s="49">
        <f>AVERAGE('01.07 SPEARMOTORS-NTINDA-24h'!J100,'03.08 SPEARMOTORS-NTINDA-24h'!J100)</f>
        <v>0</v>
      </c>
      <c r="K100" s="49">
        <f>AVERAGE('01.07 SPEARMOTORS-NTINDA-24h'!K100,'03.08 SPEARMOTORS-NTINDA-24h'!K100)</f>
        <v>0</v>
      </c>
      <c r="L100" s="49">
        <f>AVERAGE('01.07 SPEARMOTORS-NTINDA-24h'!L100,'03.08 SPEARMOTORS-NTINDA-24h'!L100)</f>
        <v>1.5</v>
      </c>
      <c r="M100" s="49">
        <f>AVERAGE('01.07 SPEARMOTORS-NTINDA-24h'!M100,'03.08 SPEARMOTORS-NTINDA-24h'!M100)</f>
        <v>13</v>
      </c>
      <c r="N100" s="49">
        <f>AVERAGE('01.07 SPEARMOTORS-NTINDA-24h'!N100,'03.08 SPEARMOTORS-NTINDA-24h'!N100)</f>
        <v>0</v>
      </c>
      <c r="O100" s="49">
        <f>AVERAGE('01.07 SPEARMOTORS-NTINDA-24h'!O100,'03.08 SPEARMOTORS-NTINDA-24h'!O100)</f>
        <v>10</v>
      </c>
      <c r="P100" s="49">
        <f>AVERAGE('01.07 SPEARMOTORS-NTINDA-24h'!P100,'03.08 SPEARMOTORS-NTINDA-24h'!P100)</f>
        <v>23</v>
      </c>
      <c r="R100" s="8"/>
      <c r="T100"/>
    </row>
    <row r="101" spans="2:20" ht="23.1" customHeight="1" x14ac:dyDescent="0.25">
      <c r="B101" s="23" t="s">
        <v>141</v>
      </c>
      <c r="C101" s="49">
        <f>AVERAGE('01.07 SPEARMOTORS-NTINDA-24h'!C101,'03.08 SPEARMOTORS-NTINDA-24h'!C101)</f>
        <v>5</v>
      </c>
      <c r="D101" s="49">
        <f>AVERAGE('01.07 SPEARMOTORS-NTINDA-24h'!D101,'03.08 SPEARMOTORS-NTINDA-24h'!D101)</f>
        <v>4.5</v>
      </c>
      <c r="E101" s="49">
        <f>AVERAGE('01.07 SPEARMOTORS-NTINDA-24h'!E101,'03.08 SPEARMOTORS-NTINDA-24h'!E101)</f>
        <v>2.5</v>
      </c>
      <c r="F101" s="49">
        <f>AVERAGE('01.07 SPEARMOTORS-NTINDA-24h'!F101,'03.08 SPEARMOTORS-NTINDA-24h'!F101)</f>
        <v>3</v>
      </c>
      <c r="G101" s="49">
        <f>AVERAGE('01.07 SPEARMOTORS-NTINDA-24h'!G101,'03.08 SPEARMOTORS-NTINDA-24h'!G101)</f>
        <v>2</v>
      </c>
      <c r="H101" s="49">
        <f>AVERAGE('01.07 SPEARMOTORS-NTINDA-24h'!H101,'03.08 SPEARMOTORS-NTINDA-24h'!H101)</f>
        <v>1</v>
      </c>
      <c r="I101" s="49">
        <f>AVERAGE('01.07 SPEARMOTORS-NTINDA-24h'!I101,'03.08 SPEARMOTORS-NTINDA-24h'!I101)</f>
        <v>0.5</v>
      </c>
      <c r="J101" s="49">
        <f>AVERAGE('01.07 SPEARMOTORS-NTINDA-24h'!J101,'03.08 SPEARMOTORS-NTINDA-24h'!J101)</f>
        <v>0.5</v>
      </c>
      <c r="K101" s="49">
        <f>AVERAGE('01.07 SPEARMOTORS-NTINDA-24h'!K101,'03.08 SPEARMOTORS-NTINDA-24h'!K101)</f>
        <v>0</v>
      </c>
      <c r="L101" s="49">
        <f>AVERAGE('01.07 SPEARMOTORS-NTINDA-24h'!L101,'03.08 SPEARMOTORS-NTINDA-24h'!L101)</f>
        <v>1</v>
      </c>
      <c r="M101" s="49">
        <f>AVERAGE('01.07 SPEARMOTORS-NTINDA-24h'!M101,'03.08 SPEARMOTORS-NTINDA-24h'!M101)</f>
        <v>12.5</v>
      </c>
      <c r="N101" s="49">
        <f>AVERAGE('01.07 SPEARMOTORS-NTINDA-24h'!N101,'03.08 SPEARMOTORS-NTINDA-24h'!N101)</f>
        <v>0</v>
      </c>
      <c r="O101" s="49">
        <f>AVERAGE('01.07 SPEARMOTORS-NTINDA-24h'!O101,'03.08 SPEARMOTORS-NTINDA-24h'!O101)</f>
        <v>20</v>
      </c>
      <c r="P101" s="49">
        <f>AVERAGE('01.07 SPEARMOTORS-NTINDA-24h'!P101,'03.08 SPEARMOTORS-NTINDA-24h'!P101)</f>
        <v>32.5</v>
      </c>
      <c r="R101" s="8"/>
      <c r="T101"/>
    </row>
    <row r="102" spans="2:20" ht="23.1" customHeight="1" x14ac:dyDescent="0.25">
      <c r="B102" s="24" t="s">
        <v>142</v>
      </c>
      <c r="C102" s="49">
        <f>AVERAGE('01.07 SPEARMOTORS-NTINDA-24h'!C102,'03.08 SPEARMOTORS-NTINDA-24h'!C102)</f>
        <v>6.5</v>
      </c>
      <c r="D102" s="49">
        <f>AVERAGE('01.07 SPEARMOTORS-NTINDA-24h'!D102,'03.08 SPEARMOTORS-NTINDA-24h'!D102)</f>
        <v>2</v>
      </c>
      <c r="E102" s="49">
        <f>AVERAGE('01.07 SPEARMOTORS-NTINDA-24h'!E102,'03.08 SPEARMOTORS-NTINDA-24h'!E102)</f>
        <v>1</v>
      </c>
      <c r="F102" s="49">
        <f>AVERAGE('01.07 SPEARMOTORS-NTINDA-24h'!F102,'03.08 SPEARMOTORS-NTINDA-24h'!F102)</f>
        <v>4</v>
      </c>
      <c r="G102" s="49">
        <f>AVERAGE('01.07 SPEARMOTORS-NTINDA-24h'!G102,'03.08 SPEARMOTORS-NTINDA-24h'!G102)</f>
        <v>1.5</v>
      </c>
      <c r="H102" s="49">
        <f>AVERAGE('01.07 SPEARMOTORS-NTINDA-24h'!H102,'03.08 SPEARMOTORS-NTINDA-24h'!H102)</f>
        <v>0</v>
      </c>
      <c r="I102" s="49">
        <f>AVERAGE('01.07 SPEARMOTORS-NTINDA-24h'!I102,'03.08 SPEARMOTORS-NTINDA-24h'!I102)</f>
        <v>0</v>
      </c>
      <c r="J102" s="49">
        <f>AVERAGE('01.07 SPEARMOTORS-NTINDA-24h'!J102,'03.08 SPEARMOTORS-NTINDA-24h'!J102)</f>
        <v>0.5</v>
      </c>
      <c r="K102" s="49">
        <f>AVERAGE('01.07 SPEARMOTORS-NTINDA-24h'!K102,'03.08 SPEARMOTORS-NTINDA-24h'!K102)</f>
        <v>1.5</v>
      </c>
      <c r="L102" s="49">
        <f>AVERAGE('01.07 SPEARMOTORS-NTINDA-24h'!L102,'03.08 SPEARMOTORS-NTINDA-24h'!L102)</f>
        <v>0</v>
      </c>
      <c r="M102" s="49">
        <f>AVERAGE('01.07 SPEARMOTORS-NTINDA-24h'!M102,'03.08 SPEARMOTORS-NTINDA-24h'!M102)</f>
        <v>19</v>
      </c>
      <c r="N102" s="49">
        <f>AVERAGE('01.07 SPEARMOTORS-NTINDA-24h'!N102,'03.08 SPEARMOTORS-NTINDA-24h'!N102)</f>
        <v>0</v>
      </c>
      <c r="O102" s="49">
        <f>AVERAGE('01.07 SPEARMOTORS-NTINDA-24h'!O102,'03.08 SPEARMOTORS-NTINDA-24h'!O102)</f>
        <v>17</v>
      </c>
      <c r="P102" s="49">
        <f>AVERAGE('01.07 SPEARMOTORS-NTINDA-24h'!P102,'03.08 SPEARMOTORS-NTINDA-24h'!P102)</f>
        <v>36</v>
      </c>
      <c r="R102" s="8"/>
      <c r="T102"/>
    </row>
    <row r="103" spans="2:20" ht="23.1" customHeight="1" x14ac:dyDescent="0.25">
      <c r="B103" s="23" t="s">
        <v>143</v>
      </c>
      <c r="C103" s="49">
        <f>AVERAGE('01.07 SPEARMOTORS-NTINDA-24h'!C103,'03.08 SPEARMOTORS-NTINDA-24h'!C103)</f>
        <v>4</v>
      </c>
      <c r="D103" s="49">
        <f>AVERAGE('01.07 SPEARMOTORS-NTINDA-24h'!D103,'03.08 SPEARMOTORS-NTINDA-24h'!D103)</f>
        <v>2</v>
      </c>
      <c r="E103" s="49">
        <f>AVERAGE('01.07 SPEARMOTORS-NTINDA-24h'!E103,'03.08 SPEARMOTORS-NTINDA-24h'!E103)</f>
        <v>4.5</v>
      </c>
      <c r="F103" s="49">
        <f>AVERAGE('01.07 SPEARMOTORS-NTINDA-24h'!F103,'03.08 SPEARMOTORS-NTINDA-24h'!F103)</f>
        <v>6</v>
      </c>
      <c r="G103" s="49">
        <f>AVERAGE('01.07 SPEARMOTORS-NTINDA-24h'!G103,'03.08 SPEARMOTORS-NTINDA-24h'!G103)</f>
        <v>2.5</v>
      </c>
      <c r="H103" s="49">
        <f>AVERAGE('01.07 SPEARMOTORS-NTINDA-24h'!H103,'03.08 SPEARMOTORS-NTINDA-24h'!H103)</f>
        <v>0</v>
      </c>
      <c r="I103" s="49">
        <f>AVERAGE('01.07 SPEARMOTORS-NTINDA-24h'!I103,'03.08 SPEARMOTORS-NTINDA-24h'!I103)</f>
        <v>0.5</v>
      </c>
      <c r="J103" s="49">
        <f>AVERAGE('01.07 SPEARMOTORS-NTINDA-24h'!J103,'03.08 SPEARMOTORS-NTINDA-24h'!J103)</f>
        <v>1</v>
      </c>
      <c r="K103" s="49">
        <f>AVERAGE('01.07 SPEARMOTORS-NTINDA-24h'!K103,'03.08 SPEARMOTORS-NTINDA-24h'!K103)</f>
        <v>0.5</v>
      </c>
      <c r="L103" s="49">
        <f>AVERAGE('01.07 SPEARMOTORS-NTINDA-24h'!L103,'03.08 SPEARMOTORS-NTINDA-24h'!L103)</f>
        <v>1</v>
      </c>
      <c r="M103" s="49">
        <f>AVERAGE('01.07 SPEARMOTORS-NTINDA-24h'!M103,'03.08 SPEARMOTORS-NTINDA-24h'!M103)</f>
        <v>28</v>
      </c>
      <c r="N103" s="49">
        <f>AVERAGE('01.07 SPEARMOTORS-NTINDA-24h'!N103,'03.08 SPEARMOTORS-NTINDA-24h'!N103)</f>
        <v>0</v>
      </c>
      <c r="O103" s="49">
        <f>AVERAGE('01.07 SPEARMOTORS-NTINDA-24h'!O103,'03.08 SPEARMOTORS-NTINDA-24h'!O103)</f>
        <v>22</v>
      </c>
      <c r="P103" s="49">
        <f>AVERAGE('01.07 SPEARMOTORS-NTINDA-24h'!P103,'03.08 SPEARMOTORS-NTINDA-24h'!P103)</f>
        <v>50</v>
      </c>
      <c r="R103" s="8"/>
      <c r="T103"/>
    </row>
    <row r="104" spans="2:20" ht="23.1" customHeight="1" x14ac:dyDescent="0.25">
      <c r="B104" s="25" t="s">
        <v>144</v>
      </c>
      <c r="C104" s="49">
        <f>AVERAGE('01.07 SPEARMOTORS-NTINDA-24h'!C104,'03.08 SPEARMOTORS-NTINDA-24h'!C104)</f>
        <v>8</v>
      </c>
      <c r="D104" s="49">
        <f>AVERAGE('01.07 SPEARMOTORS-NTINDA-24h'!D104,'03.08 SPEARMOTORS-NTINDA-24h'!D104)</f>
        <v>4</v>
      </c>
      <c r="E104" s="49">
        <f>AVERAGE('01.07 SPEARMOTORS-NTINDA-24h'!E104,'03.08 SPEARMOTORS-NTINDA-24h'!E104)</f>
        <v>4</v>
      </c>
      <c r="F104" s="49">
        <f>AVERAGE('01.07 SPEARMOTORS-NTINDA-24h'!F104,'03.08 SPEARMOTORS-NTINDA-24h'!F104)</f>
        <v>6.5</v>
      </c>
      <c r="G104" s="49">
        <f>AVERAGE('01.07 SPEARMOTORS-NTINDA-24h'!G104,'03.08 SPEARMOTORS-NTINDA-24h'!G104)</f>
        <v>0.5</v>
      </c>
      <c r="H104" s="49">
        <f>AVERAGE('01.07 SPEARMOTORS-NTINDA-24h'!H104,'03.08 SPEARMOTORS-NTINDA-24h'!H104)</f>
        <v>0</v>
      </c>
      <c r="I104" s="49">
        <f>AVERAGE('01.07 SPEARMOTORS-NTINDA-24h'!I104,'03.08 SPEARMOTORS-NTINDA-24h'!I104)</f>
        <v>0</v>
      </c>
      <c r="J104" s="49">
        <f>AVERAGE('01.07 SPEARMOTORS-NTINDA-24h'!J104,'03.08 SPEARMOTORS-NTINDA-24h'!J104)</f>
        <v>0</v>
      </c>
      <c r="K104" s="49">
        <f>AVERAGE('01.07 SPEARMOTORS-NTINDA-24h'!K104,'03.08 SPEARMOTORS-NTINDA-24h'!K104)</f>
        <v>0.5</v>
      </c>
      <c r="L104" s="49">
        <f>AVERAGE('01.07 SPEARMOTORS-NTINDA-24h'!L104,'03.08 SPEARMOTORS-NTINDA-24h'!L104)</f>
        <v>0.5</v>
      </c>
      <c r="M104" s="49">
        <f>AVERAGE('01.07 SPEARMOTORS-NTINDA-24h'!M104,'03.08 SPEARMOTORS-NTINDA-24h'!M104)</f>
        <v>42</v>
      </c>
      <c r="N104" s="49">
        <f>AVERAGE('01.07 SPEARMOTORS-NTINDA-24h'!N104,'03.08 SPEARMOTORS-NTINDA-24h'!N104)</f>
        <v>0</v>
      </c>
      <c r="O104" s="49">
        <f>AVERAGE('01.07 SPEARMOTORS-NTINDA-24h'!O104,'03.08 SPEARMOTORS-NTINDA-24h'!O104)</f>
        <v>24</v>
      </c>
      <c r="P104" s="49">
        <f>AVERAGE('01.07 SPEARMOTORS-NTINDA-24h'!P104,'03.08 SPEARMOTORS-NTINDA-24h'!P104)</f>
        <v>66</v>
      </c>
      <c r="R104" s="8"/>
      <c r="T104"/>
    </row>
    <row r="105" spans="2:20" ht="23.1" customHeight="1" x14ac:dyDescent="0.25">
      <c r="B105" s="23" t="s">
        <v>145</v>
      </c>
      <c r="C105" s="49">
        <f>AVERAGE('01.07 SPEARMOTORS-NTINDA-24h'!C105,'03.08 SPEARMOTORS-NTINDA-24h'!C105)</f>
        <v>13.5</v>
      </c>
      <c r="D105" s="49">
        <f>AVERAGE('01.07 SPEARMOTORS-NTINDA-24h'!D105,'03.08 SPEARMOTORS-NTINDA-24h'!D105)</f>
        <v>5</v>
      </c>
      <c r="E105" s="49">
        <f>AVERAGE('01.07 SPEARMOTORS-NTINDA-24h'!E105,'03.08 SPEARMOTORS-NTINDA-24h'!E105)</f>
        <v>5</v>
      </c>
      <c r="F105" s="49">
        <f>AVERAGE('01.07 SPEARMOTORS-NTINDA-24h'!F105,'03.08 SPEARMOTORS-NTINDA-24h'!F105)</f>
        <v>10</v>
      </c>
      <c r="G105" s="49">
        <f>AVERAGE('01.07 SPEARMOTORS-NTINDA-24h'!G105,'03.08 SPEARMOTORS-NTINDA-24h'!G105)</f>
        <v>0</v>
      </c>
      <c r="H105" s="49">
        <f>AVERAGE('01.07 SPEARMOTORS-NTINDA-24h'!H105,'03.08 SPEARMOTORS-NTINDA-24h'!H105)</f>
        <v>0</v>
      </c>
      <c r="I105" s="49">
        <f>AVERAGE('01.07 SPEARMOTORS-NTINDA-24h'!I105,'03.08 SPEARMOTORS-NTINDA-24h'!I105)</f>
        <v>0</v>
      </c>
      <c r="J105" s="49">
        <f>AVERAGE('01.07 SPEARMOTORS-NTINDA-24h'!J105,'03.08 SPEARMOTORS-NTINDA-24h'!J105)</f>
        <v>0.5</v>
      </c>
      <c r="K105" s="49">
        <f>AVERAGE('01.07 SPEARMOTORS-NTINDA-24h'!K105,'03.08 SPEARMOTORS-NTINDA-24h'!K105)</f>
        <v>2</v>
      </c>
      <c r="L105" s="49">
        <f>AVERAGE('01.07 SPEARMOTORS-NTINDA-24h'!L105,'03.08 SPEARMOTORS-NTINDA-24h'!L105)</f>
        <v>0.5</v>
      </c>
      <c r="M105" s="49">
        <f>AVERAGE('01.07 SPEARMOTORS-NTINDA-24h'!M105,'03.08 SPEARMOTORS-NTINDA-24h'!M105)</f>
        <v>54</v>
      </c>
      <c r="N105" s="49">
        <f>AVERAGE('01.07 SPEARMOTORS-NTINDA-24h'!N105,'03.08 SPEARMOTORS-NTINDA-24h'!N105)</f>
        <v>0</v>
      </c>
      <c r="O105" s="49">
        <f>AVERAGE('01.07 SPEARMOTORS-NTINDA-24h'!O105,'03.08 SPEARMOTORS-NTINDA-24h'!O105)</f>
        <v>36.5</v>
      </c>
      <c r="P105" s="49">
        <f>AVERAGE('01.07 SPEARMOTORS-NTINDA-24h'!P105,'03.08 SPEARMOTORS-NTINDA-24h'!P105)</f>
        <v>90.5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1823.7857142857147</v>
      </c>
      <c r="D106" s="16">
        <f t="shared" ref="D106:P106" si="33">SUM(D10:D105)</f>
        <v>1132.7857142857142</v>
      </c>
      <c r="E106" s="16">
        <f t="shared" si="33"/>
        <v>337.92857142857144</v>
      </c>
      <c r="F106" s="16">
        <f t="shared" si="33"/>
        <v>679.42857142857144</v>
      </c>
      <c r="G106" s="16">
        <f t="shared" si="33"/>
        <v>12.785714285714288</v>
      </c>
      <c r="H106" s="16">
        <f t="shared" si="33"/>
        <v>3.0714285714285712</v>
      </c>
      <c r="I106" s="16">
        <f t="shared" si="33"/>
        <v>143.71428571428569</v>
      </c>
      <c r="J106" s="16">
        <f t="shared" si="33"/>
        <v>95.499999999999972</v>
      </c>
      <c r="K106" s="16">
        <f t="shared" si="33"/>
        <v>84.214285714285722</v>
      </c>
      <c r="L106" s="16">
        <f t="shared" si="33"/>
        <v>257.5</v>
      </c>
      <c r="M106" s="16">
        <f t="shared" si="33"/>
        <v>7730.0714285714266</v>
      </c>
      <c r="N106" s="16">
        <f t="shared" si="33"/>
        <v>0.71428571428571419</v>
      </c>
      <c r="O106" s="16">
        <f t="shared" si="33"/>
        <v>4571.4285714285706</v>
      </c>
      <c r="P106" s="16">
        <f t="shared" si="33"/>
        <v>12301.499999999998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4">C106/$P$106</f>
        <v>0.14825718117999553</v>
      </c>
      <c r="D107" s="43">
        <f t="shared" si="34"/>
        <v>9.2085169636687753E-2</v>
      </c>
      <c r="E107" s="43">
        <f t="shared" si="34"/>
        <v>2.7470517532705078E-2</v>
      </c>
      <c r="F107" s="43">
        <f t="shared" si="34"/>
        <v>5.5231359706423733E-2</v>
      </c>
      <c r="G107" s="43">
        <f t="shared" si="34"/>
        <v>1.0393622148286217E-3</v>
      </c>
      <c r="H107" s="43">
        <f t="shared" si="34"/>
        <v>2.4967919127168002E-4</v>
      </c>
      <c r="I107" s="43">
        <f t="shared" si="34"/>
        <v>1.1682663554386515E-2</v>
      </c>
      <c r="J107" s="43">
        <f t="shared" si="34"/>
        <v>7.7632809007031648E-3</v>
      </c>
      <c r="K107" s="43">
        <f t="shared" si="34"/>
        <v>6.8458550351002505E-3</v>
      </c>
      <c r="L107" s="43">
        <f t="shared" si="34"/>
        <v>2.0932406617079222E-2</v>
      </c>
      <c r="M107" s="43">
        <f t="shared" si="34"/>
        <v>0.62838445950261579</v>
      </c>
      <c r="N107" s="43">
        <f t="shared" si="34"/>
        <v>5.8064928202716279E-5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0.39895312500000013</v>
      </c>
      <c r="D108" s="44">
        <f t="shared" ref="D108:N108" si="35">D106/$O$106</f>
        <v>0.24779687500000003</v>
      </c>
      <c r="E108" s="44">
        <f t="shared" si="35"/>
        <v>7.3921875000000012E-2</v>
      </c>
      <c r="F108" s="44">
        <f t="shared" si="35"/>
        <v>0.14862500000000003</v>
      </c>
      <c r="G108" s="44">
        <f t="shared" si="35"/>
        <v>2.7968750000000012E-3</v>
      </c>
      <c r="H108" s="44">
        <f t="shared" si="35"/>
        <v>6.7187500000000005E-4</v>
      </c>
      <c r="I108" s="44">
        <f t="shared" si="35"/>
        <v>3.14375E-2</v>
      </c>
      <c r="J108" s="44">
        <f t="shared" si="35"/>
        <v>2.0890624999999996E-2</v>
      </c>
      <c r="K108" s="44">
        <f t="shared" si="35"/>
        <v>1.8421875000000004E-2</v>
      </c>
      <c r="L108" s="44">
        <f t="shared" si="35"/>
        <v>5.6328125000000007E-2</v>
      </c>
      <c r="M108" s="44"/>
      <c r="N108" s="44">
        <f t="shared" si="35"/>
        <v>1.5625E-4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L46" zoomScale="60" workbookViewId="0">
      <selection activeCell="AH66" sqref="AH6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'04.08 SPEARMOTORS-NTINDA'!C3:G3</f>
        <v>MCC - C1 - STN44A- NTINDA 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'Avg Week SpearMotors-Ntinda'!G5:H5</f>
        <v>NAGURU BARRACKS</v>
      </c>
      <c r="H5" s="62"/>
      <c r="I5" s="14"/>
      <c r="J5" s="2" t="s">
        <v>5</v>
      </c>
      <c r="K5" s="61" t="str">
        <f>'Avg Week SpearMotors-Ntinda'!K5:L5</f>
        <v>TUUYA EMILY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5" t="s">
        <v>161</v>
      </c>
      <c r="E6" s="66"/>
      <c r="F6" s="2" t="s">
        <v>2</v>
      </c>
      <c r="G6" s="65" t="s">
        <v>161</v>
      </c>
      <c r="H6" s="66"/>
      <c r="J6" s="2" t="s">
        <v>21</v>
      </c>
      <c r="K6" s="61" t="str">
        <f>'Avg Week SpearMotors-Ntinda'!K6:L6</f>
        <v>NUSULAH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Ntinda-SpearMotors'!C10+'Avg Week SpearMotors-Ntinda'!C10</f>
        <v>45.571428571428569</v>
      </c>
      <c r="D10" s="49">
        <f>'Avg Week Ntinda-SpearMotors'!D10+'Avg Week SpearMotors-Ntinda'!D10</f>
        <v>28</v>
      </c>
      <c r="E10" s="49">
        <f>'Avg Week Ntinda-SpearMotors'!E10+'Avg Week SpearMotors-Ntinda'!E10</f>
        <v>18.285714285714285</v>
      </c>
      <c r="F10" s="49">
        <f>'Avg Week Ntinda-SpearMotors'!F10+'Avg Week SpearMotors-Ntinda'!F10</f>
        <v>41.142857142857139</v>
      </c>
      <c r="G10" s="49">
        <f>'Avg Week Ntinda-SpearMotors'!G10+'Avg Week SpearMotors-Ntinda'!G10</f>
        <v>0.8571428571428571</v>
      </c>
      <c r="H10" s="49">
        <f>'Avg Week Ntinda-SpearMotors'!H10+'Avg Week SpearMotors-Ntinda'!H10</f>
        <v>0</v>
      </c>
      <c r="I10" s="49">
        <f>'Avg Week Ntinda-SpearMotors'!I10+'Avg Week SpearMotors-Ntinda'!I10</f>
        <v>8.1428571428571423</v>
      </c>
      <c r="J10" s="49">
        <f>'Avg Week Ntinda-SpearMotors'!J10+'Avg Week SpearMotors-Ntinda'!J10</f>
        <v>4.7142857142857135</v>
      </c>
      <c r="K10" s="49">
        <f>'Avg Week Ntinda-SpearMotors'!K10+'Avg Week SpearMotors-Ntinda'!K10</f>
        <v>4.5714285714285712</v>
      </c>
      <c r="L10" s="49">
        <f>'Avg Week Ntinda-SpearMotors'!L10+'Avg Week SpearMotors-Ntinda'!L10</f>
        <v>14.428571428571429</v>
      </c>
      <c r="M10" s="49">
        <f>'Avg Week Ntinda-SpearMotors'!M10+'Avg Week SpearMotors-Ntinda'!M10</f>
        <v>251</v>
      </c>
      <c r="N10" s="49">
        <f>'Avg Week Ntinda-SpearMotors'!N10+'Avg Week SpearMotors-Ntinda'!N10</f>
        <v>0</v>
      </c>
      <c r="O10" s="15">
        <f t="shared" ref="O10:O57" si="0">SUM(C10:L10,N10)</f>
        <v>165.71428571428572</v>
      </c>
      <c r="P10" s="15">
        <f t="shared" ref="P10:P57" si="1">SUM(C10:N10)</f>
        <v>416.71428571428572</v>
      </c>
      <c r="R10" s="1" t="s">
        <v>6</v>
      </c>
      <c r="S10" s="17">
        <f t="shared" ref="S10:AF10" si="2">SUM(C10:C13)</f>
        <v>166.57142857142856</v>
      </c>
      <c r="T10" s="17">
        <f t="shared" si="2"/>
        <v>88.285714285714292</v>
      </c>
      <c r="U10" s="17">
        <f t="shared" si="2"/>
        <v>48.714285714285715</v>
      </c>
      <c r="V10" s="17">
        <f t="shared" si="2"/>
        <v>113</v>
      </c>
      <c r="W10" s="17">
        <f t="shared" si="2"/>
        <v>3</v>
      </c>
      <c r="X10" s="17">
        <f t="shared" si="2"/>
        <v>0</v>
      </c>
      <c r="Y10" s="17">
        <f t="shared" si="2"/>
        <v>22.714285714285715</v>
      </c>
      <c r="Z10" s="17">
        <f t="shared" si="2"/>
        <v>13.571428571428569</v>
      </c>
      <c r="AA10" s="17">
        <f t="shared" si="2"/>
        <v>16.571428571428569</v>
      </c>
      <c r="AB10" s="17">
        <f t="shared" si="2"/>
        <v>40.285714285714285</v>
      </c>
      <c r="AC10" s="17">
        <f t="shared" si="2"/>
        <v>1008.8571428571429</v>
      </c>
      <c r="AD10" s="17">
        <f t="shared" si="2"/>
        <v>0.14285714285714285</v>
      </c>
      <c r="AE10" s="31">
        <f t="shared" si="2"/>
        <v>512.85714285714278</v>
      </c>
      <c r="AF10" s="31">
        <f t="shared" si="2"/>
        <v>1521.7142857142858</v>
      </c>
    </row>
    <row r="11" spans="2:32" s="6" customFormat="1" ht="23.1" customHeight="1" x14ac:dyDescent="0.25">
      <c r="B11" s="23" t="s">
        <v>38</v>
      </c>
      <c r="C11" s="49">
        <f>'Avg Week Ntinda-SpearMotors'!C11+'Avg Week SpearMotors-Ntinda'!C11</f>
        <v>43.571428571428569</v>
      </c>
      <c r="D11" s="49">
        <f>'Avg Week Ntinda-SpearMotors'!D11+'Avg Week SpearMotors-Ntinda'!D11</f>
        <v>24.857142857142858</v>
      </c>
      <c r="E11" s="49">
        <f>'Avg Week Ntinda-SpearMotors'!E11+'Avg Week SpearMotors-Ntinda'!E11</f>
        <v>8.1428571428571423</v>
      </c>
      <c r="F11" s="49">
        <f>'Avg Week Ntinda-SpearMotors'!F11+'Avg Week SpearMotors-Ntinda'!F11</f>
        <v>26.714285714285715</v>
      </c>
      <c r="G11" s="49">
        <f>'Avg Week Ntinda-SpearMotors'!G11+'Avg Week SpearMotors-Ntinda'!G11</f>
        <v>0.5714285714285714</v>
      </c>
      <c r="H11" s="49">
        <f>'Avg Week Ntinda-SpearMotors'!H11+'Avg Week SpearMotors-Ntinda'!H11</f>
        <v>0</v>
      </c>
      <c r="I11" s="49">
        <f>'Avg Week Ntinda-SpearMotors'!I11+'Avg Week SpearMotors-Ntinda'!I11</f>
        <v>5.7142857142857144</v>
      </c>
      <c r="J11" s="49">
        <f>'Avg Week Ntinda-SpearMotors'!J11+'Avg Week SpearMotors-Ntinda'!J11</f>
        <v>2.8571428571428572</v>
      </c>
      <c r="K11" s="49">
        <f>'Avg Week Ntinda-SpearMotors'!K11+'Avg Week SpearMotors-Ntinda'!K11</f>
        <v>3.2857142857142856</v>
      </c>
      <c r="L11" s="49">
        <f>'Avg Week Ntinda-SpearMotors'!L11+'Avg Week SpearMotors-Ntinda'!L11</f>
        <v>6.1428571428571423</v>
      </c>
      <c r="M11" s="49">
        <f>'Avg Week Ntinda-SpearMotors'!M11+'Avg Week SpearMotors-Ntinda'!M11</f>
        <v>241.28571428571428</v>
      </c>
      <c r="N11" s="49">
        <f>'Avg Week Ntinda-SpearMotors'!N11+'Avg Week SpearMotors-Ntinda'!N11</f>
        <v>0</v>
      </c>
      <c r="O11" s="15">
        <f t="shared" si="0"/>
        <v>121.85714285714285</v>
      </c>
      <c r="P11" s="15">
        <f t="shared" si="1"/>
        <v>363.14285714285711</v>
      </c>
      <c r="R11" s="1" t="s">
        <v>7</v>
      </c>
      <c r="S11" s="17">
        <f t="shared" ref="S11:AF11" si="3">SUM(C14:C17)</f>
        <v>147.14285714285717</v>
      </c>
      <c r="T11" s="17">
        <f t="shared" si="3"/>
        <v>67.714285714285722</v>
      </c>
      <c r="U11" s="17">
        <f t="shared" si="3"/>
        <v>32.142857142857146</v>
      </c>
      <c r="V11" s="17">
        <f t="shared" si="3"/>
        <v>75.857142857142861</v>
      </c>
      <c r="W11" s="17">
        <f t="shared" si="3"/>
        <v>1.714285714285714</v>
      </c>
      <c r="X11" s="17">
        <f t="shared" si="3"/>
        <v>0</v>
      </c>
      <c r="Y11" s="17">
        <f t="shared" si="3"/>
        <v>15.285714285714285</v>
      </c>
      <c r="Z11" s="17">
        <f t="shared" si="3"/>
        <v>12</v>
      </c>
      <c r="AA11" s="17">
        <f t="shared" si="3"/>
        <v>9.5714285714285712</v>
      </c>
      <c r="AB11" s="17">
        <f t="shared" si="3"/>
        <v>32.857142857142861</v>
      </c>
      <c r="AC11" s="17">
        <f t="shared" si="3"/>
        <v>1170.7142857142858</v>
      </c>
      <c r="AD11" s="17">
        <f t="shared" si="3"/>
        <v>0.2857142857142857</v>
      </c>
      <c r="AE11" s="31">
        <f t="shared" si="3"/>
        <v>394.57142857142861</v>
      </c>
      <c r="AF11" s="31">
        <f t="shared" si="3"/>
        <v>1565.2857142857142</v>
      </c>
    </row>
    <row r="12" spans="2:32" ht="23.1" customHeight="1" x14ac:dyDescent="0.25">
      <c r="B12" s="23" t="s">
        <v>39</v>
      </c>
      <c r="C12" s="49">
        <f>'Avg Week Ntinda-SpearMotors'!C12+'Avg Week SpearMotors-Ntinda'!C12</f>
        <v>37</v>
      </c>
      <c r="D12" s="49">
        <f>'Avg Week Ntinda-SpearMotors'!D12+'Avg Week SpearMotors-Ntinda'!D12</f>
        <v>18</v>
      </c>
      <c r="E12" s="49">
        <f>'Avg Week Ntinda-SpearMotors'!E12+'Avg Week SpearMotors-Ntinda'!E12</f>
        <v>10.571428571428571</v>
      </c>
      <c r="F12" s="49">
        <f>'Avg Week Ntinda-SpearMotors'!F12+'Avg Week SpearMotors-Ntinda'!F12</f>
        <v>18.571428571428569</v>
      </c>
      <c r="G12" s="49">
        <f>'Avg Week Ntinda-SpearMotors'!G12+'Avg Week SpearMotors-Ntinda'!G12</f>
        <v>0.14285714285714285</v>
      </c>
      <c r="H12" s="49">
        <f>'Avg Week Ntinda-SpearMotors'!H12+'Avg Week SpearMotors-Ntinda'!H12</f>
        <v>0</v>
      </c>
      <c r="I12" s="49">
        <f>'Avg Week Ntinda-SpearMotors'!I12+'Avg Week SpearMotors-Ntinda'!I12</f>
        <v>3.1428571428571428</v>
      </c>
      <c r="J12" s="49">
        <f>'Avg Week Ntinda-SpearMotors'!J12+'Avg Week SpearMotors-Ntinda'!J12</f>
        <v>2.7142857142857144</v>
      </c>
      <c r="K12" s="49">
        <f>'Avg Week Ntinda-SpearMotors'!K12+'Avg Week SpearMotors-Ntinda'!K12</f>
        <v>0.71428571428571419</v>
      </c>
      <c r="L12" s="49">
        <f>'Avg Week Ntinda-SpearMotors'!L12+'Avg Week SpearMotors-Ntinda'!L12</f>
        <v>4.4285714285714288</v>
      </c>
      <c r="M12" s="49">
        <f>'Avg Week Ntinda-SpearMotors'!M12+'Avg Week SpearMotors-Ntinda'!M12</f>
        <v>225.71428571428572</v>
      </c>
      <c r="N12" s="49">
        <f>'Avg Week Ntinda-SpearMotors'!N12+'Avg Week SpearMotors-Ntinda'!N12</f>
        <v>0.14285714285714285</v>
      </c>
      <c r="O12" s="15">
        <f t="shared" si="0"/>
        <v>95.428571428571402</v>
      </c>
      <c r="P12" s="15">
        <f t="shared" si="1"/>
        <v>321.14285714285717</v>
      </c>
      <c r="R12" s="1" t="s">
        <v>8</v>
      </c>
      <c r="S12" s="17">
        <f t="shared" ref="S12:AF12" si="4">SUM(C18:C21)</f>
        <v>138.28571428571428</v>
      </c>
      <c r="T12" s="17">
        <f t="shared" si="4"/>
        <v>69.142857142857139</v>
      </c>
      <c r="U12" s="17">
        <f t="shared" si="4"/>
        <v>30.285714285714288</v>
      </c>
      <c r="V12" s="17">
        <f t="shared" si="4"/>
        <v>79.571428571428584</v>
      </c>
      <c r="W12" s="17">
        <f t="shared" si="4"/>
        <v>0.71428571428571419</v>
      </c>
      <c r="X12" s="17">
        <f t="shared" si="4"/>
        <v>0.2857142857142857</v>
      </c>
      <c r="Y12" s="17">
        <f t="shared" si="4"/>
        <v>21.285714285714288</v>
      </c>
      <c r="Z12" s="17">
        <f t="shared" si="4"/>
        <v>12.571428571428571</v>
      </c>
      <c r="AA12" s="17">
        <f t="shared" si="4"/>
        <v>10.857142857142858</v>
      </c>
      <c r="AB12" s="17">
        <f t="shared" si="4"/>
        <v>38.428571428571431</v>
      </c>
      <c r="AC12" s="17">
        <f t="shared" si="4"/>
        <v>1121.2857142857142</v>
      </c>
      <c r="AD12" s="17">
        <f t="shared" si="4"/>
        <v>0</v>
      </c>
      <c r="AE12" s="31">
        <f t="shared" si="4"/>
        <v>401.42857142857139</v>
      </c>
      <c r="AF12" s="31">
        <f t="shared" si="4"/>
        <v>1522.7142857142858</v>
      </c>
    </row>
    <row r="13" spans="2:32" ht="23.1" customHeight="1" x14ac:dyDescent="0.25">
      <c r="B13" s="23" t="s">
        <v>40</v>
      </c>
      <c r="C13" s="49">
        <f>'Avg Week Ntinda-SpearMotors'!C13+'Avg Week SpearMotors-Ntinda'!C13</f>
        <v>40.428571428571431</v>
      </c>
      <c r="D13" s="49">
        <f>'Avg Week Ntinda-SpearMotors'!D13+'Avg Week SpearMotors-Ntinda'!D13</f>
        <v>17.428571428571427</v>
      </c>
      <c r="E13" s="49">
        <f>'Avg Week Ntinda-SpearMotors'!E13+'Avg Week SpearMotors-Ntinda'!E13</f>
        <v>11.714285714285715</v>
      </c>
      <c r="F13" s="49">
        <f>'Avg Week Ntinda-SpearMotors'!F13+'Avg Week SpearMotors-Ntinda'!F13</f>
        <v>26.571428571428569</v>
      </c>
      <c r="G13" s="49">
        <f>'Avg Week Ntinda-SpearMotors'!G13+'Avg Week SpearMotors-Ntinda'!G13</f>
        <v>1.4285714285714286</v>
      </c>
      <c r="H13" s="49">
        <f>'Avg Week Ntinda-SpearMotors'!H13+'Avg Week SpearMotors-Ntinda'!H13</f>
        <v>0</v>
      </c>
      <c r="I13" s="49">
        <f>'Avg Week Ntinda-SpearMotors'!I13+'Avg Week SpearMotors-Ntinda'!I13</f>
        <v>5.7142857142857144</v>
      </c>
      <c r="J13" s="49">
        <f>'Avg Week Ntinda-SpearMotors'!J13+'Avg Week SpearMotors-Ntinda'!J13</f>
        <v>3.2857142857142856</v>
      </c>
      <c r="K13" s="49">
        <f>'Avg Week Ntinda-SpearMotors'!K13+'Avg Week SpearMotors-Ntinda'!K13</f>
        <v>8</v>
      </c>
      <c r="L13" s="49">
        <f>'Avg Week Ntinda-SpearMotors'!L13+'Avg Week SpearMotors-Ntinda'!L13</f>
        <v>15.285714285714285</v>
      </c>
      <c r="M13" s="49">
        <f>'Avg Week Ntinda-SpearMotors'!M13+'Avg Week SpearMotors-Ntinda'!M13</f>
        <v>290.85714285714289</v>
      </c>
      <c r="N13" s="49">
        <f>'Avg Week Ntinda-SpearMotors'!N13+'Avg Week SpearMotors-Ntinda'!N13</f>
        <v>0</v>
      </c>
      <c r="O13" s="15">
        <f t="shared" si="0"/>
        <v>129.85714285714286</v>
      </c>
      <c r="P13" s="15">
        <f t="shared" si="1"/>
        <v>420.71428571428578</v>
      </c>
      <c r="R13" s="1" t="s">
        <v>9</v>
      </c>
      <c r="S13" s="17">
        <f t="shared" ref="S13:AF13" si="5">SUM(C22:C25)</f>
        <v>138.28571428571428</v>
      </c>
      <c r="T13" s="17">
        <f t="shared" si="5"/>
        <v>82.285714285714278</v>
      </c>
      <c r="U13" s="17">
        <f t="shared" si="5"/>
        <v>35</v>
      </c>
      <c r="V13" s="17">
        <f t="shared" si="5"/>
        <v>70.142857142857139</v>
      </c>
      <c r="W13" s="17">
        <f t="shared" si="5"/>
        <v>0.5714285714285714</v>
      </c>
      <c r="X13" s="17">
        <f t="shared" si="5"/>
        <v>0.14285714285714285</v>
      </c>
      <c r="Y13" s="17">
        <f t="shared" si="5"/>
        <v>19.285714285714285</v>
      </c>
      <c r="Z13" s="17">
        <f t="shared" si="5"/>
        <v>14.285714285714285</v>
      </c>
      <c r="AA13" s="17">
        <f t="shared" si="5"/>
        <v>8.2857142857142865</v>
      </c>
      <c r="AB13" s="17">
        <f t="shared" si="5"/>
        <v>28.857142857142858</v>
      </c>
      <c r="AC13" s="17">
        <f t="shared" si="5"/>
        <v>1001</v>
      </c>
      <c r="AD13" s="17">
        <f t="shared" si="5"/>
        <v>0.14285714285714285</v>
      </c>
      <c r="AE13" s="31">
        <f t="shared" si="5"/>
        <v>397.28571428571428</v>
      </c>
      <c r="AF13" s="31">
        <f t="shared" si="5"/>
        <v>1398.2857142857142</v>
      </c>
    </row>
    <row r="14" spans="2:32" ht="23.1" customHeight="1" x14ac:dyDescent="0.25">
      <c r="B14" s="23" t="s">
        <v>41</v>
      </c>
      <c r="C14" s="49">
        <f>'Avg Week Ntinda-SpearMotors'!C14+'Avg Week SpearMotors-Ntinda'!C14</f>
        <v>44.285714285714285</v>
      </c>
      <c r="D14" s="49">
        <f>'Avg Week Ntinda-SpearMotors'!D14+'Avg Week SpearMotors-Ntinda'!D14</f>
        <v>16.857142857142858</v>
      </c>
      <c r="E14" s="49">
        <f>'Avg Week Ntinda-SpearMotors'!E14+'Avg Week SpearMotors-Ntinda'!E14</f>
        <v>9.571428571428573</v>
      </c>
      <c r="F14" s="49">
        <f>'Avg Week Ntinda-SpearMotors'!F14+'Avg Week SpearMotors-Ntinda'!F14</f>
        <v>21.428571428571431</v>
      </c>
      <c r="G14" s="49">
        <f>'Avg Week Ntinda-SpearMotors'!G14+'Avg Week SpearMotors-Ntinda'!G14</f>
        <v>0.71428571428571419</v>
      </c>
      <c r="H14" s="49">
        <f>'Avg Week Ntinda-SpearMotors'!H14+'Avg Week SpearMotors-Ntinda'!H14</f>
        <v>0</v>
      </c>
      <c r="I14" s="49">
        <f>'Avg Week Ntinda-SpearMotors'!I14+'Avg Week SpearMotors-Ntinda'!I14</f>
        <v>5.1428571428571423</v>
      </c>
      <c r="J14" s="49">
        <f>'Avg Week Ntinda-SpearMotors'!J14+'Avg Week SpearMotors-Ntinda'!J14</f>
        <v>3.1428571428571432</v>
      </c>
      <c r="K14" s="49">
        <f>'Avg Week Ntinda-SpearMotors'!K14+'Avg Week SpearMotors-Ntinda'!K14</f>
        <v>2.2857142857142856</v>
      </c>
      <c r="L14" s="49">
        <f>'Avg Week Ntinda-SpearMotors'!L14+'Avg Week SpearMotors-Ntinda'!L14</f>
        <v>9.4285714285714288</v>
      </c>
      <c r="M14" s="49">
        <f>'Avg Week Ntinda-SpearMotors'!M14+'Avg Week SpearMotors-Ntinda'!M14</f>
        <v>297</v>
      </c>
      <c r="N14" s="49">
        <f>'Avg Week Ntinda-SpearMotors'!N14+'Avg Week SpearMotors-Ntinda'!N14</f>
        <v>0</v>
      </c>
      <c r="O14" s="15">
        <f t="shared" si="0"/>
        <v>112.85714285714285</v>
      </c>
      <c r="P14" s="15">
        <f t="shared" si="1"/>
        <v>409.85714285714283</v>
      </c>
      <c r="R14" s="1" t="s">
        <v>10</v>
      </c>
      <c r="S14" s="17">
        <f t="shared" ref="S14:AF14" si="6">SUM(C26:C29)</f>
        <v>146.57142857142856</v>
      </c>
      <c r="T14" s="17">
        <f t="shared" si="6"/>
        <v>83.142857142857153</v>
      </c>
      <c r="U14" s="17">
        <f t="shared" si="6"/>
        <v>35.714285714285715</v>
      </c>
      <c r="V14" s="17">
        <f t="shared" si="6"/>
        <v>66.571428571428569</v>
      </c>
      <c r="W14" s="17">
        <f t="shared" si="6"/>
        <v>1</v>
      </c>
      <c r="X14" s="17">
        <f t="shared" si="6"/>
        <v>0.71428571428571419</v>
      </c>
      <c r="Y14" s="17">
        <f t="shared" si="6"/>
        <v>21.428571428571431</v>
      </c>
      <c r="Z14" s="17">
        <f t="shared" si="6"/>
        <v>15.428571428571427</v>
      </c>
      <c r="AA14" s="17">
        <f t="shared" si="6"/>
        <v>9.4285714285714288</v>
      </c>
      <c r="AB14" s="17">
        <f t="shared" si="6"/>
        <v>35.857142857142861</v>
      </c>
      <c r="AC14" s="17">
        <f t="shared" si="6"/>
        <v>873</v>
      </c>
      <c r="AD14" s="17">
        <f t="shared" si="6"/>
        <v>0.14285714285714285</v>
      </c>
      <c r="AE14" s="31">
        <f t="shared" si="6"/>
        <v>416</v>
      </c>
      <c r="AF14" s="31">
        <f t="shared" si="6"/>
        <v>1289</v>
      </c>
    </row>
    <row r="15" spans="2:32" ht="23.1" customHeight="1" x14ac:dyDescent="0.25">
      <c r="B15" s="23" t="s">
        <v>42</v>
      </c>
      <c r="C15" s="49">
        <f>'Avg Week Ntinda-SpearMotors'!C15+'Avg Week SpearMotors-Ntinda'!C15</f>
        <v>40.571428571428569</v>
      </c>
      <c r="D15" s="49">
        <f>'Avg Week Ntinda-SpearMotors'!D15+'Avg Week SpearMotors-Ntinda'!D15</f>
        <v>17</v>
      </c>
      <c r="E15" s="49">
        <f>'Avg Week Ntinda-SpearMotors'!E15+'Avg Week SpearMotors-Ntinda'!E15</f>
        <v>7.8571428571428568</v>
      </c>
      <c r="F15" s="49">
        <f>'Avg Week Ntinda-SpearMotors'!F15+'Avg Week SpearMotors-Ntinda'!F15</f>
        <v>21.714285714285715</v>
      </c>
      <c r="G15" s="49">
        <f>'Avg Week Ntinda-SpearMotors'!G15+'Avg Week SpearMotors-Ntinda'!G15</f>
        <v>0.2857142857142857</v>
      </c>
      <c r="H15" s="49">
        <f>'Avg Week Ntinda-SpearMotors'!H15+'Avg Week SpearMotors-Ntinda'!H15</f>
        <v>0</v>
      </c>
      <c r="I15" s="49">
        <f>'Avg Week Ntinda-SpearMotors'!I15+'Avg Week SpearMotors-Ntinda'!I15</f>
        <v>3.5714285714285712</v>
      </c>
      <c r="J15" s="49">
        <f>'Avg Week Ntinda-SpearMotors'!J15+'Avg Week SpearMotors-Ntinda'!J15</f>
        <v>4</v>
      </c>
      <c r="K15" s="49">
        <f>'Avg Week Ntinda-SpearMotors'!K15+'Avg Week SpearMotors-Ntinda'!K15</f>
        <v>2.7142857142857144</v>
      </c>
      <c r="L15" s="49">
        <f>'Avg Week Ntinda-SpearMotors'!L15+'Avg Week SpearMotors-Ntinda'!L15</f>
        <v>7.7142857142857144</v>
      </c>
      <c r="M15" s="49">
        <f>'Avg Week Ntinda-SpearMotors'!M15+'Avg Week SpearMotors-Ntinda'!M15</f>
        <v>272.42857142857144</v>
      </c>
      <c r="N15" s="49">
        <f>'Avg Week Ntinda-SpearMotors'!N15+'Avg Week SpearMotors-Ntinda'!N15</f>
        <v>0.2857142857142857</v>
      </c>
      <c r="O15" s="15">
        <f t="shared" si="0"/>
        <v>105.71428571428571</v>
      </c>
      <c r="P15" s="15">
        <f t="shared" si="1"/>
        <v>378.14285714285717</v>
      </c>
      <c r="R15" s="1" t="s">
        <v>11</v>
      </c>
      <c r="S15" s="17">
        <f t="shared" ref="S15:AF15" si="7">SUM(C30:C33)</f>
        <v>148.28571428571428</v>
      </c>
      <c r="T15" s="17">
        <f t="shared" si="7"/>
        <v>76.428571428571431</v>
      </c>
      <c r="U15" s="17">
        <f t="shared" si="7"/>
        <v>35.428571428571431</v>
      </c>
      <c r="V15" s="17">
        <f t="shared" si="7"/>
        <v>58.428571428571431</v>
      </c>
      <c r="W15" s="17">
        <f t="shared" si="7"/>
        <v>0.2857142857142857</v>
      </c>
      <c r="X15" s="17">
        <f t="shared" si="7"/>
        <v>0.2857142857142857</v>
      </c>
      <c r="Y15" s="17">
        <f t="shared" si="7"/>
        <v>22</v>
      </c>
      <c r="Z15" s="17">
        <f t="shared" si="7"/>
        <v>15.571428571428569</v>
      </c>
      <c r="AA15" s="17">
        <f t="shared" si="7"/>
        <v>10.571428571428571</v>
      </c>
      <c r="AB15" s="17">
        <f t="shared" si="7"/>
        <v>37</v>
      </c>
      <c r="AC15" s="17">
        <f t="shared" si="7"/>
        <v>810.85714285714278</v>
      </c>
      <c r="AD15" s="17">
        <f t="shared" si="7"/>
        <v>0.2857142857142857</v>
      </c>
      <c r="AE15" s="31">
        <f t="shared" si="7"/>
        <v>404.57142857142856</v>
      </c>
      <c r="AF15" s="31">
        <f t="shared" si="7"/>
        <v>1215.4285714285713</v>
      </c>
    </row>
    <row r="16" spans="2:32" ht="23.1" customHeight="1" x14ac:dyDescent="0.25">
      <c r="B16" s="23" t="s">
        <v>43</v>
      </c>
      <c r="C16" s="49">
        <f>'Avg Week Ntinda-SpearMotors'!C16+'Avg Week SpearMotors-Ntinda'!C16</f>
        <v>25.857142857142858</v>
      </c>
      <c r="D16" s="49">
        <f>'Avg Week Ntinda-SpearMotors'!D16+'Avg Week SpearMotors-Ntinda'!D16</f>
        <v>17.142857142857142</v>
      </c>
      <c r="E16" s="49">
        <f>'Avg Week Ntinda-SpearMotors'!E16+'Avg Week SpearMotors-Ntinda'!E16</f>
        <v>7.8571428571428577</v>
      </c>
      <c r="F16" s="49">
        <f>'Avg Week Ntinda-SpearMotors'!F16+'Avg Week SpearMotors-Ntinda'!F16</f>
        <v>16.857142857142858</v>
      </c>
      <c r="G16" s="49">
        <f>'Avg Week Ntinda-SpearMotors'!G16+'Avg Week SpearMotors-Ntinda'!G16</f>
        <v>0.5714285714285714</v>
      </c>
      <c r="H16" s="49">
        <f>'Avg Week Ntinda-SpearMotors'!H16+'Avg Week SpearMotors-Ntinda'!H16</f>
        <v>0</v>
      </c>
      <c r="I16" s="49">
        <f>'Avg Week Ntinda-SpearMotors'!I16+'Avg Week SpearMotors-Ntinda'!I16</f>
        <v>2.8571428571428572</v>
      </c>
      <c r="J16" s="49">
        <f>'Avg Week Ntinda-SpearMotors'!J16+'Avg Week SpearMotors-Ntinda'!J16</f>
        <v>2.8571428571428572</v>
      </c>
      <c r="K16" s="49">
        <f>'Avg Week Ntinda-SpearMotors'!K16+'Avg Week SpearMotors-Ntinda'!K16</f>
        <v>2.4285714285714284</v>
      </c>
      <c r="L16" s="49">
        <f>'Avg Week Ntinda-SpearMotors'!L16+'Avg Week SpearMotors-Ntinda'!L16</f>
        <v>7.8571428571428577</v>
      </c>
      <c r="M16" s="49">
        <f>'Avg Week Ntinda-SpearMotors'!M16+'Avg Week SpearMotors-Ntinda'!M16</f>
        <v>295</v>
      </c>
      <c r="N16" s="49">
        <f>'Avg Week Ntinda-SpearMotors'!N16+'Avg Week SpearMotors-Ntinda'!N16</f>
        <v>0</v>
      </c>
      <c r="O16" s="15">
        <f t="shared" si="0"/>
        <v>84.285714285714306</v>
      </c>
      <c r="P16" s="15">
        <f t="shared" si="1"/>
        <v>379.28571428571433</v>
      </c>
      <c r="R16" s="1" t="s">
        <v>12</v>
      </c>
      <c r="S16" s="17">
        <f t="shared" ref="S16:AF16" si="8">SUM(C34:C37)</f>
        <v>162</v>
      </c>
      <c r="T16" s="17">
        <f t="shared" si="8"/>
        <v>88.571428571428584</v>
      </c>
      <c r="U16" s="17">
        <f t="shared" si="8"/>
        <v>29.857142857142858</v>
      </c>
      <c r="V16" s="17">
        <f t="shared" si="8"/>
        <v>57.571428571428569</v>
      </c>
      <c r="W16" s="17">
        <f t="shared" si="8"/>
        <v>1</v>
      </c>
      <c r="X16" s="17">
        <f t="shared" si="8"/>
        <v>0.71428571428571419</v>
      </c>
      <c r="Y16" s="17">
        <f t="shared" si="8"/>
        <v>19.285714285714285</v>
      </c>
      <c r="Z16" s="17">
        <f t="shared" si="8"/>
        <v>15.142857142857142</v>
      </c>
      <c r="AA16" s="17">
        <f t="shared" si="8"/>
        <v>10.714285714285714</v>
      </c>
      <c r="AB16" s="17">
        <f t="shared" si="8"/>
        <v>35.428571428571431</v>
      </c>
      <c r="AC16" s="17">
        <f t="shared" si="8"/>
        <v>780.85714285714289</v>
      </c>
      <c r="AD16" s="17">
        <f t="shared" si="8"/>
        <v>0.2857142857142857</v>
      </c>
      <c r="AE16" s="31">
        <f t="shared" si="8"/>
        <v>420.57142857142856</v>
      </c>
      <c r="AF16" s="31">
        <f t="shared" si="8"/>
        <v>1201.4285714285716</v>
      </c>
    </row>
    <row r="17" spans="2:32" ht="23.1" customHeight="1" x14ac:dyDescent="0.25">
      <c r="B17" s="23" t="s">
        <v>44</v>
      </c>
      <c r="C17" s="49">
        <f>'Avg Week Ntinda-SpearMotors'!C17+'Avg Week SpearMotors-Ntinda'!C17</f>
        <v>36.428571428571431</v>
      </c>
      <c r="D17" s="49">
        <f>'Avg Week Ntinda-SpearMotors'!D17+'Avg Week SpearMotors-Ntinda'!D17</f>
        <v>16.714285714285715</v>
      </c>
      <c r="E17" s="49">
        <f>'Avg Week Ntinda-SpearMotors'!E17+'Avg Week SpearMotors-Ntinda'!E17</f>
        <v>6.8571428571428577</v>
      </c>
      <c r="F17" s="49">
        <f>'Avg Week Ntinda-SpearMotors'!F17+'Avg Week SpearMotors-Ntinda'!F17</f>
        <v>15.857142857142858</v>
      </c>
      <c r="G17" s="49">
        <f>'Avg Week Ntinda-SpearMotors'!G17+'Avg Week SpearMotors-Ntinda'!G17</f>
        <v>0.14285714285714285</v>
      </c>
      <c r="H17" s="49">
        <f>'Avg Week Ntinda-SpearMotors'!H17+'Avg Week SpearMotors-Ntinda'!H17</f>
        <v>0</v>
      </c>
      <c r="I17" s="49">
        <f>'Avg Week Ntinda-SpearMotors'!I17+'Avg Week SpearMotors-Ntinda'!I17</f>
        <v>3.7142857142857144</v>
      </c>
      <c r="J17" s="49">
        <f>'Avg Week Ntinda-SpearMotors'!J17+'Avg Week SpearMotors-Ntinda'!J17</f>
        <v>2</v>
      </c>
      <c r="K17" s="49">
        <f>'Avg Week Ntinda-SpearMotors'!K17+'Avg Week SpearMotors-Ntinda'!K17</f>
        <v>2.1428571428571428</v>
      </c>
      <c r="L17" s="49">
        <f>'Avg Week Ntinda-SpearMotors'!L17+'Avg Week SpearMotors-Ntinda'!L17</f>
        <v>7.8571428571428577</v>
      </c>
      <c r="M17" s="49">
        <f>'Avg Week Ntinda-SpearMotors'!M17+'Avg Week SpearMotors-Ntinda'!M17</f>
        <v>306.28571428571433</v>
      </c>
      <c r="N17" s="49">
        <f>'Avg Week Ntinda-SpearMotors'!N17+'Avg Week SpearMotors-Ntinda'!N17</f>
        <v>0</v>
      </c>
      <c r="O17" s="15">
        <f t="shared" si="0"/>
        <v>91.714285714285708</v>
      </c>
      <c r="P17" s="15">
        <f t="shared" si="1"/>
        <v>398.00000000000006</v>
      </c>
      <c r="R17" s="1" t="s">
        <v>13</v>
      </c>
      <c r="S17" s="17">
        <f t="shared" ref="S17:AF17" si="9">SUM(C38:C41)</f>
        <v>156.71428571428572</v>
      </c>
      <c r="T17" s="17">
        <f t="shared" si="9"/>
        <v>94.571428571428569</v>
      </c>
      <c r="U17" s="17">
        <f t="shared" si="9"/>
        <v>35.142857142857146</v>
      </c>
      <c r="V17" s="17">
        <f t="shared" si="9"/>
        <v>52</v>
      </c>
      <c r="W17" s="17">
        <f t="shared" si="9"/>
        <v>0.14285714285714285</v>
      </c>
      <c r="X17" s="17">
        <f t="shared" si="9"/>
        <v>0.42857142857142855</v>
      </c>
      <c r="Y17" s="17">
        <f t="shared" si="9"/>
        <v>18.714285714285712</v>
      </c>
      <c r="Z17" s="17">
        <f t="shared" si="9"/>
        <v>12.428571428571431</v>
      </c>
      <c r="AA17" s="17">
        <f t="shared" si="9"/>
        <v>11.428571428571429</v>
      </c>
      <c r="AB17" s="17">
        <f t="shared" si="9"/>
        <v>31.428571428571427</v>
      </c>
      <c r="AC17" s="17">
        <f t="shared" si="9"/>
        <v>795</v>
      </c>
      <c r="AD17" s="17">
        <f t="shared" si="9"/>
        <v>0</v>
      </c>
      <c r="AE17" s="31">
        <f t="shared" si="9"/>
        <v>413</v>
      </c>
      <c r="AF17" s="31">
        <f t="shared" si="9"/>
        <v>1208</v>
      </c>
    </row>
    <row r="18" spans="2:32" ht="23.1" customHeight="1" x14ac:dyDescent="0.25">
      <c r="B18" s="23" t="s">
        <v>45</v>
      </c>
      <c r="C18" s="49">
        <f>'Avg Week Ntinda-SpearMotors'!C18+'Avg Week SpearMotors-Ntinda'!C18</f>
        <v>38</v>
      </c>
      <c r="D18" s="49">
        <f>'Avg Week Ntinda-SpearMotors'!D18+'Avg Week SpearMotors-Ntinda'!D18</f>
        <v>17.142857142857142</v>
      </c>
      <c r="E18" s="49">
        <f>'Avg Week Ntinda-SpearMotors'!E18+'Avg Week SpearMotors-Ntinda'!E18</f>
        <v>6.4285714285714288</v>
      </c>
      <c r="F18" s="49">
        <f>'Avg Week Ntinda-SpearMotors'!F18+'Avg Week SpearMotors-Ntinda'!F18</f>
        <v>17.142857142857142</v>
      </c>
      <c r="G18" s="49">
        <f>'Avg Week Ntinda-SpearMotors'!G18+'Avg Week SpearMotors-Ntinda'!G18</f>
        <v>0.42857142857142855</v>
      </c>
      <c r="H18" s="49">
        <f>'Avg Week Ntinda-SpearMotors'!H18+'Avg Week SpearMotors-Ntinda'!H18</f>
        <v>0.14285714285714285</v>
      </c>
      <c r="I18" s="49">
        <f>'Avg Week Ntinda-SpearMotors'!I18+'Avg Week SpearMotors-Ntinda'!I18</f>
        <v>4.1428571428571432</v>
      </c>
      <c r="J18" s="49">
        <f>'Avg Week Ntinda-SpearMotors'!J18+'Avg Week SpearMotors-Ntinda'!J18</f>
        <v>3.7142857142857144</v>
      </c>
      <c r="K18" s="49">
        <f>'Avg Week Ntinda-SpearMotors'!K18+'Avg Week SpearMotors-Ntinda'!K18</f>
        <v>2.7142857142857144</v>
      </c>
      <c r="L18" s="49">
        <f>'Avg Week Ntinda-SpearMotors'!L18+'Avg Week SpearMotors-Ntinda'!L18</f>
        <v>9.8571428571428577</v>
      </c>
      <c r="M18" s="49">
        <f>'Avg Week Ntinda-SpearMotors'!M18+'Avg Week SpearMotors-Ntinda'!M18</f>
        <v>301.57142857142856</v>
      </c>
      <c r="N18" s="49">
        <f>'Avg Week Ntinda-SpearMotors'!N18+'Avg Week SpearMotors-Ntinda'!N18</f>
        <v>0</v>
      </c>
      <c r="O18" s="15">
        <f t="shared" si="0"/>
        <v>99.714285714285694</v>
      </c>
      <c r="P18" s="15">
        <f t="shared" si="1"/>
        <v>401.28571428571422</v>
      </c>
      <c r="R18" s="1" t="s">
        <v>14</v>
      </c>
      <c r="S18" s="17">
        <f t="shared" ref="S18:AF18" si="10">SUM(C42:C45)</f>
        <v>170.57142857142858</v>
      </c>
      <c r="T18" s="17">
        <f t="shared" si="10"/>
        <v>91.571428571428569</v>
      </c>
      <c r="U18" s="17">
        <f t="shared" si="10"/>
        <v>35.571428571428569</v>
      </c>
      <c r="V18" s="17">
        <f t="shared" si="10"/>
        <v>52.714285714285715</v>
      </c>
      <c r="W18" s="17">
        <f t="shared" si="10"/>
        <v>1</v>
      </c>
      <c r="X18" s="17">
        <f t="shared" si="10"/>
        <v>0.14285714285714285</v>
      </c>
      <c r="Y18" s="17">
        <f t="shared" si="10"/>
        <v>19.714285714285715</v>
      </c>
      <c r="Z18" s="17">
        <f t="shared" si="10"/>
        <v>14.714285714285714</v>
      </c>
      <c r="AA18" s="17">
        <f t="shared" si="10"/>
        <v>9.7142857142857135</v>
      </c>
      <c r="AB18" s="17">
        <f t="shared" si="10"/>
        <v>35.857142857142854</v>
      </c>
      <c r="AC18" s="17">
        <f t="shared" si="10"/>
        <v>862.14285714285711</v>
      </c>
      <c r="AD18" s="17">
        <f t="shared" si="10"/>
        <v>0.14285714285714285</v>
      </c>
      <c r="AE18" s="31">
        <f t="shared" si="10"/>
        <v>431.71428571428567</v>
      </c>
      <c r="AF18" s="31">
        <f t="shared" si="10"/>
        <v>1293.8571428571431</v>
      </c>
    </row>
    <row r="19" spans="2:32" ht="23.1" customHeight="1" x14ac:dyDescent="0.25">
      <c r="B19" s="23" t="s">
        <v>46</v>
      </c>
      <c r="C19" s="49">
        <f>'Avg Week Ntinda-SpearMotors'!C19+'Avg Week SpearMotors-Ntinda'!C19</f>
        <v>33</v>
      </c>
      <c r="D19" s="49">
        <f>'Avg Week Ntinda-SpearMotors'!D19+'Avg Week SpearMotors-Ntinda'!D19</f>
        <v>13.714285714285715</v>
      </c>
      <c r="E19" s="49">
        <f>'Avg Week Ntinda-SpearMotors'!E19+'Avg Week SpearMotors-Ntinda'!E19</f>
        <v>6.4285714285714288</v>
      </c>
      <c r="F19" s="49">
        <f>'Avg Week Ntinda-SpearMotors'!F19+'Avg Week SpearMotors-Ntinda'!F19</f>
        <v>23.285714285714285</v>
      </c>
      <c r="G19" s="49">
        <f>'Avg Week Ntinda-SpearMotors'!G19+'Avg Week SpearMotors-Ntinda'!G19</f>
        <v>0</v>
      </c>
      <c r="H19" s="49">
        <f>'Avg Week Ntinda-SpearMotors'!H19+'Avg Week SpearMotors-Ntinda'!H19</f>
        <v>0</v>
      </c>
      <c r="I19" s="49">
        <f>'Avg Week Ntinda-SpearMotors'!I19+'Avg Week SpearMotors-Ntinda'!I19</f>
        <v>6.4285714285714288</v>
      </c>
      <c r="J19" s="49">
        <f>'Avg Week Ntinda-SpearMotors'!J19+'Avg Week SpearMotors-Ntinda'!J19</f>
        <v>3.1428571428571428</v>
      </c>
      <c r="K19" s="49">
        <f>'Avg Week Ntinda-SpearMotors'!K19+'Avg Week SpearMotors-Ntinda'!K19</f>
        <v>2.1428571428571428</v>
      </c>
      <c r="L19" s="49">
        <f>'Avg Week Ntinda-SpearMotors'!L19+'Avg Week SpearMotors-Ntinda'!L19</f>
        <v>10.857142857142858</v>
      </c>
      <c r="M19" s="49">
        <f>'Avg Week Ntinda-SpearMotors'!M19+'Avg Week SpearMotors-Ntinda'!M19</f>
        <v>276.85714285714289</v>
      </c>
      <c r="N19" s="49">
        <f>'Avg Week Ntinda-SpearMotors'!N19+'Avg Week SpearMotors-Ntinda'!N19</f>
        <v>0</v>
      </c>
      <c r="O19" s="15">
        <f t="shared" si="0"/>
        <v>99</v>
      </c>
      <c r="P19" s="15">
        <f t="shared" si="1"/>
        <v>375.85714285714289</v>
      </c>
      <c r="R19" s="1" t="s">
        <v>15</v>
      </c>
      <c r="S19" s="17">
        <f t="shared" ref="S19:AF19" si="11">SUM(C46:C49)</f>
        <v>188.14285714285717</v>
      </c>
      <c r="T19" s="17">
        <f t="shared" si="11"/>
        <v>116.14285714285714</v>
      </c>
      <c r="U19" s="17">
        <f t="shared" si="11"/>
        <v>42</v>
      </c>
      <c r="V19" s="17">
        <f t="shared" si="11"/>
        <v>54.142857142857139</v>
      </c>
      <c r="W19" s="17">
        <f t="shared" si="11"/>
        <v>0.42857142857142855</v>
      </c>
      <c r="X19" s="17">
        <f t="shared" si="11"/>
        <v>0.42857142857142855</v>
      </c>
      <c r="Y19" s="17">
        <f t="shared" si="11"/>
        <v>19.142857142857142</v>
      </c>
      <c r="Z19" s="17">
        <f t="shared" si="11"/>
        <v>13.428571428571427</v>
      </c>
      <c r="AA19" s="17">
        <f t="shared" si="11"/>
        <v>8.2857142857142847</v>
      </c>
      <c r="AB19" s="17">
        <f t="shared" si="11"/>
        <v>42</v>
      </c>
      <c r="AC19" s="17">
        <f t="shared" si="11"/>
        <v>982.42857142857156</v>
      </c>
      <c r="AD19" s="17">
        <f t="shared" si="11"/>
        <v>0</v>
      </c>
      <c r="AE19" s="31">
        <f t="shared" si="11"/>
        <v>484.14285714285717</v>
      </c>
      <c r="AF19" s="31">
        <f t="shared" si="11"/>
        <v>1466.5714285714287</v>
      </c>
    </row>
    <row r="20" spans="2:32" ht="23.1" customHeight="1" x14ac:dyDescent="0.25">
      <c r="B20" s="23" t="s">
        <v>47</v>
      </c>
      <c r="C20" s="49">
        <f>'Avg Week Ntinda-SpearMotors'!C20+'Avg Week SpearMotors-Ntinda'!C20</f>
        <v>30.857142857142858</v>
      </c>
      <c r="D20" s="49">
        <f>'Avg Week Ntinda-SpearMotors'!D20+'Avg Week SpearMotors-Ntinda'!D20</f>
        <v>16.857142857142858</v>
      </c>
      <c r="E20" s="49">
        <f>'Avg Week Ntinda-SpearMotors'!E20+'Avg Week SpearMotors-Ntinda'!E20</f>
        <v>6.5714285714285712</v>
      </c>
      <c r="F20" s="49">
        <f>'Avg Week Ntinda-SpearMotors'!F20+'Avg Week SpearMotors-Ntinda'!F20</f>
        <v>17.857142857142858</v>
      </c>
      <c r="G20" s="49">
        <f>'Avg Week Ntinda-SpearMotors'!G20+'Avg Week SpearMotors-Ntinda'!G20</f>
        <v>0</v>
      </c>
      <c r="H20" s="49">
        <f>'Avg Week Ntinda-SpearMotors'!H20+'Avg Week SpearMotors-Ntinda'!H20</f>
        <v>0.14285714285714285</v>
      </c>
      <c r="I20" s="49">
        <f>'Avg Week Ntinda-SpearMotors'!I20+'Avg Week SpearMotors-Ntinda'!I20</f>
        <v>4</v>
      </c>
      <c r="J20" s="49">
        <f>'Avg Week Ntinda-SpearMotors'!J20+'Avg Week SpearMotors-Ntinda'!J20</f>
        <v>3.1428571428571428</v>
      </c>
      <c r="K20" s="49">
        <f>'Avg Week Ntinda-SpearMotors'!K20+'Avg Week SpearMotors-Ntinda'!K20</f>
        <v>2.8571428571428568</v>
      </c>
      <c r="L20" s="49">
        <f>'Avg Week Ntinda-SpearMotors'!L20+'Avg Week SpearMotors-Ntinda'!L20</f>
        <v>7.8571428571428577</v>
      </c>
      <c r="M20" s="49">
        <f>'Avg Week Ntinda-SpearMotors'!M20+'Avg Week SpearMotors-Ntinda'!M20</f>
        <v>300.42857142857144</v>
      </c>
      <c r="N20" s="49">
        <f>'Avg Week Ntinda-SpearMotors'!N20+'Avg Week SpearMotors-Ntinda'!N20</f>
        <v>0</v>
      </c>
      <c r="O20" s="15">
        <f t="shared" si="0"/>
        <v>90.142857142857139</v>
      </c>
      <c r="P20" s="15">
        <f t="shared" si="1"/>
        <v>390.57142857142856</v>
      </c>
      <c r="R20" s="1" t="s">
        <v>16</v>
      </c>
      <c r="S20" s="17">
        <f t="shared" ref="S20:AF20" si="12">SUM(C50:C53)</f>
        <v>199.42857142857142</v>
      </c>
      <c r="T20" s="17">
        <f t="shared" si="12"/>
        <v>106.00000000000001</v>
      </c>
      <c r="U20" s="17">
        <f t="shared" si="12"/>
        <v>38.428571428571431</v>
      </c>
      <c r="V20" s="17">
        <f t="shared" si="12"/>
        <v>45.714285714285715</v>
      </c>
      <c r="W20" s="17">
        <f t="shared" si="12"/>
        <v>0.71428571428571419</v>
      </c>
      <c r="X20" s="17">
        <f t="shared" si="12"/>
        <v>0.14285714285714285</v>
      </c>
      <c r="Y20" s="17">
        <f t="shared" si="12"/>
        <v>15.714285714285715</v>
      </c>
      <c r="Z20" s="17">
        <f t="shared" si="12"/>
        <v>10.428571428571429</v>
      </c>
      <c r="AA20" s="17">
        <f t="shared" si="12"/>
        <v>7.2857142857142856</v>
      </c>
      <c r="AB20" s="17">
        <f t="shared" si="12"/>
        <v>25.571428571428569</v>
      </c>
      <c r="AC20" s="17">
        <f t="shared" si="12"/>
        <v>1047.2857142857142</v>
      </c>
      <c r="AD20" s="17">
        <f t="shared" si="12"/>
        <v>0</v>
      </c>
      <c r="AE20" s="31">
        <f t="shared" si="12"/>
        <v>449.42857142857144</v>
      </c>
      <c r="AF20" s="31">
        <f t="shared" si="12"/>
        <v>1496.7142857142858</v>
      </c>
    </row>
    <row r="21" spans="2:32" ht="23.1" customHeight="1" x14ac:dyDescent="0.25">
      <c r="B21" s="23" t="s">
        <v>48</v>
      </c>
      <c r="C21" s="49">
        <f>'Avg Week Ntinda-SpearMotors'!C21+'Avg Week SpearMotors-Ntinda'!C21</f>
        <v>36.428571428571431</v>
      </c>
      <c r="D21" s="49">
        <f>'Avg Week Ntinda-SpearMotors'!D21+'Avg Week SpearMotors-Ntinda'!D21</f>
        <v>21.428571428571431</v>
      </c>
      <c r="E21" s="49">
        <f>'Avg Week Ntinda-SpearMotors'!E21+'Avg Week SpearMotors-Ntinda'!E21</f>
        <v>10.857142857142858</v>
      </c>
      <c r="F21" s="49">
        <f>'Avg Week Ntinda-SpearMotors'!F21+'Avg Week SpearMotors-Ntinda'!F21</f>
        <v>21.285714285714285</v>
      </c>
      <c r="G21" s="49">
        <f>'Avg Week Ntinda-SpearMotors'!G21+'Avg Week SpearMotors-Ntinda'!G21</f>
        <v>0.2857142857142857</v>
      </c>
      <c r="H21" s="49">
        <f>'Avg Week Ntinda-SpearMotors'!H21+'Avg Week SpearMotors-Ntinda'!H21</f>
        <v>0</v>
      </c>
      <c r="I21" s="49">
        <f>'Avg Week Ntinda-SpearMotors'!I21+'Avg Week SpearMotors-Ntinda'!I21</f>
        <v>6.7142857142857144</v>
      </c>
      <c r="J21" s="49">
        <f>'Avg Week Ntinda-SpearMotors'!J21+'Avg Week SpearMotors-Ntinda'!J21</f>
        <v>2.5714285714285716</v>
      </c>
      <c r="K21" s="49">
        <f>'Avg Week Ntinda-SpearMotors'!K21+'Avg Week SpearMotors-Ntinda'!K21</f>
        <v>3.1428571428571428</v>
      </c>
      <c r="L21" s="49">
        <f>'Avg Week Ntinda-SpearMotors'!L21+'Avg Week SpearMotors-Ntinda'!L21</f>
        <v>9.8571428571428577</v>
      </c>
      <c r="M21" s="49">
        <f>'Avg Week Ntinda-SpearMotors'!M21+'Avg Week SpearMotors-Ntinda'!M21</f>
        <v>242.42857142857144</v>
      </c>
      <c r="N21" s="49">
        <f>'Avg Week Ntinda-SpearMotors'!N21+'Avg Week SpearMotors-Ntinda'!N21</f>
        <v>0</v>
      </c>
      <c r="O21" s="15">
        <f t="shared" si="0"/>
        <v>112.57142857142857</v>
      </c>
      <c r="P21" s="15">
        <f t="shared" si="1"/>
        <v>355</v>
      </c>
      <c r="R21" s="36" t="s">
        <v>20</v>
      </c>
      <c r="S21" s="34">
        <f t="shared" ref="S21:AF21" si="13">SUM(C54:C57)</f>
        <v>193.85714285714283</v>
      </c>
      <c r="T21" s="17">
        <f t="shared" si="13"/>
        <v>115</v>
      </c>
      <c r="U21" s="17">
        <f t="shared" si="13"/>
        <v>32.285714285714285</v>
      </c>
      <c r="V21" s="17">
        <f t="shared" si="13"/>
        <v>48.571428571428577</v>
      </c>
      <c r="W21" s="17">
        <f t="shared" si="13"/>
        <v>1</v>
      </c>
      <c r="X21" s="17">
        <f t="shared" si="13"/>
        <v>0.42857142857142855</v>
      </c>
      <c r="Y21" s="17">
        <f t="shared" si="13"/>
        <v>12.142857142857142</v>
      </c>
      <c r="Z21" s="17">
        <f t="shared" si="13"/>
        <v>7.1428571428571432</v>
      </c>
      <c r="AA21" s="17">
        <f t="shared" si="13"/>
        <v>3.8571428571428572</v>
      </c>
      <c r="AB21" s="17">
        <f t="shared" si="13"/>
        <v>15</v>
      </c>
      <c r="AC21" s="17">
        <f t="shared" si="13"/>
        <v>1042.5714285714284</v>
      </c>
      <c r="AD21" s="17">
        <f t="shared" si="13"/>
        <v>0.14285714285714285</v>
      </c>
      <c r="AE21" s="31">
        <f t="shared" si="13"/>
        <v>429.42857142857144</v>
      </c>
      <c r="AF21" s="31">
        <f t="shared" si="13"/>
        <v>1472</v>
      </c>
    </row>
    <row r="22" spans="2:32" ht="23.1" customHeight="1" x14ac:dyDescent="0.25">
      <c r="B22" s="23" t="s">
        <v>49</v>
      </c>
      <c r="C22" s="49">
        <f>'Avg Week Ntinda-SpearMotors'!C22+'Avg Week SpearMotors-Ntinda'!C22</f>
        <v>32.428571428571431</v>
      </c>
      <c r="D22" s="49">
        <f>'Avg Week Ntinda-SpearMotors'!D22+'Avg Week SpearMotors-Ntinda'!D22</f>
        <v>26</v>
      </c>
      <c r="E22" s="49">
        <f>'Avg Week Ntinda-SpearMotors'!E22+'Avg Week SpearMotors-Ntinda'!E22</f>
        <v>9.7142857142857153</v>
      </c>
      <c r="F22" s="49">
        <f>'Avg Week Ntinda-SpearMotors'!F22+'Avg Week SpearMotors-Ntinda'!F22</f>
        <v>18.285714285714285</v>
      </c>
      <c r="G22" s="49">
        <f>'Avg Week Ntinda-SpearMotors'!G22+'Avg Week SpearMotors-Ntinda'!G22</f>
        <v>0</v>
      </c>
      <c r="H22" s="49">
        <f>'Avg Week Ntinda-SpearMotors'!H22+'Avg Week SpearMotors-Ntinda'!H22</f>
        <v>0</v>
      </c>
      <c r="I22" s="49">
        <f>'Avg Week Ntinda-SpearMotors'!I22+'Avg Week SpearMotors-Ntinda'!I22</f>
        <v>6.1428571428571423</v>
      </c>
      <c r="J22" s="49">
        <f>'Avg Week Ntinda-SpearMotors'!J22+'Avg Week SpearMotors-Ntinda'!J22</f>
        <v>3.4285714285714288</v>
      </c>
      <c r="K22" s="49">
        <f>'Avg Week Ntinda-SpearMotors'!K22+'Avg Week SpearMotors-Ntinda'!K22</f>
        <v>1.8571428571428572</v>
      </c>
      <c r="L22" s="49">
        <f>'Avg Week Ntinda-SpearMotors'!L22+'Avg Week SpearMotors-Ntinda'!L22</f>
        <v>6.2857142857142856</v>
      </c>
      <c r="M22" s="49">
        <f>'Avg Week Ntinda-SpearMotors'!M22+'Avg Week SpearMotors-Ntinda'!M22</f>
        <v>258.42857142857144</v>
      </c>
      <c r="N22" s="49">
        <f>'Avg Week Ntinda-SpearMotors'!N22+'Avg Week SpearMotors-Ntinda'!N22</f>
        <v>0</v>
      </c>
      <c r="O22" s="15">
        <f t="shared" si="0"/>
        <v>104.14285714285714</v>
      </c>
      <c r="P22" s="15">
        <f t="shared" si="1"/>
        <v>362.57142857142856</v>
      </c>
      <c r="R22" s="1" t="s">
        <v>146</v>
      </c>
      <c r="S22" s="34">
        <f>SUM(C58:C61)</f>
        <v>161</v>
      </c>
      <c r="T22" s="34">
        <f t="shared" ref="T22:AF22" si="14">SUM(D58:D61)</f>
        <v>111</v>
      </c>
      <c r="U22" s="34">
        <f t="shared" si="14"/>
        <v>38.5</v>
      </c>
      <c r="V22" s="34">
        <f t="shared" si="14"/>
        <v>71</v>
      </c>
      <c r="W22" s="34">
        <f t="shared" si="14"/>
        <v>0</v>
      </c>
      <c r="X22" s="34">
        <f t="shared" si="14"/>
        <v>0</v>
      </c>
      <c r="Y22" s="34">
        <f t="shared" si="14"/>
        <v>3</v>
      </c>
      <c r="Z22" s="34">
        <f t="shared" si="14"/>
        <v>5</v>
      </c>
      <c r="AA22" s="34">
        <f t="shared" si="14"/>
        <v>1.5</v>
      </c>
      <c r="AB22" s="34">
        <f t="shared" si="14"/>
        <v>11</v>
      </c>
      <c r="AC22" s="34">
        <f t="shared" si="14"/>
        <v>852</v>
      </c>
      <c r="AD22" s="34">
        <f t="shared" si="14"/>
        <v>0</v>
      </c>
      <c r="AE22" s="31">
        <f t="shared" si="14"/>
        <v>402</v>
      </c>
      <c r="AF22" s="31">
        <f t="shared" si="14"/>
        <v>1254</v>
      </c>
    </row>
    <row r="23" spans="2:32" ht="23.1" customHeight="1" x14ac:dyDescent="0.25">
      <c r="B23" s="23" t="s">
        <v>50</v>
      </c>
      <c r="C23" s="49">
        <f>'Avg Week Ntinda-SpearMotors'!C23+'Avg Week SpearMotors-Ntinda'!C23</f>
        <v>38.571428571428569</v>
      </c>
      <c r="D23" s="49">
        <f>'Avg Week Ntinda-SpearMotors'!D23+'Avg Week SpearMotors-Ntinda'!D23</f>
        <v>18.142857142857142</v>
      </c>
      <c r="E23" s="49">
        <f>'Avg Week Ntinda-SpearMotors'!E23+'Avg Week SpearMotors-Ntinda'!E23</f>
        <v>9.1428571428571423</v>
      </c>
      <c r="F23" s="49">
        <f>'Avg Week Ntinda-SpearMotors'!F23+'Avg Week SpearMotors-Ntinda'!F23</f>
        <v>19</v>
      </c>
      <c r="G23" s="49">
        <f>'Avg Week Ntinda-SpearMotors'!G23+'Avg Week SpearMotors-Ntinda'!G23</f>
        <v>0.42857142857142855</v>
      </c>
      <c r="H23" s="49">
        <f>'Avg Week Ntinda-SpearMotors'!H23+'Avg Week SpearMotors-Ntinda'!H23</f>
        <v>0</v>
      </c>
      <c r="I23" s="49">
        <f>'Avg Week Ntinda-SpearMotors'!I23+'Avg Week SpearMotors-Ntinda'!I23</f>
        <v>5</v>
      </c>
      <c r="J23" s="49">
        <f>'Avg Week Ntinda-SpearMotors'!J23+'Avg Week SpearMotors-Ntinda'!J23</f>
        <v>3.2857142857142856</v>
      </c>
      <c r="K23" s="49">
        <f>'Avg Week Ntinda-SpearMotors'!K23+'Avg Week SpearMotors-Ntinda'!K23</f>
        <v>2.5714285714285712</v>
      </c>
      <c r="L23" s="49">
        <f>'Avg Week Ntinda-SpearMotors'!L23+'Avg Week SpearMotors-Ntinda'!L23</f>
        <v>7.7142857142857144</v>
      </c>
      <c r="M23" s="49">
        <f>'Avg Week Ntinda-SpearMotors'!M23+'Avg Week SpearMotors-Ntinda'!M23</f>
        <v>231.71428571428572</v>
      </c>
      <c r="N23" s="49">
        <f>'Avg Week Ntinda-SpearMotors'!N23+'Avg Week SpearMotors-Ntinda'!N23</f>
        <v>0</v>
      </c>
      <c r="O23" s="15">
        <f t="shared" si="0"/>
        <v>103.85714285714285</v>
      </c>
      <c r="P23" s="15">
        <f t="shared" si="1"/>
        <v>335.57142857142856</v>
      </c>
      <c r="R23" s="1" t="s">
        <v>147</v>
      </c>
      <c r="S23" s="34">
        <f>SUM(C62:C65)</f>
        <v>214</v>
      </c>
      <c r="T23" s="34">
        <f t="shared" ref="T23:AF23" si="15">SUM(D62:D65)</f>
        <v>122.5</v>
      </c>
      <c r="U23" s="34">
        <f t="shared" si="15"/>
        <v>29</v>
      </c>
      <c r="V23" s="34">
        <f t="shared" si="15"/>
        <v>95</v>
      </c>
      <c r="W23" s="34">
        <f t="shared" si="15"/>
        <v>0</v>
      </c>
      <c r="X23" s="34">
        <f t="shared" si="15"/>
        <v>0</v>
      </c>
      <c r="Y23" s="34">
        <f t="shared" si="15"/>
        <v>6.5</v>
      </c>
      <c r="Z23" s="34">
        <f t="shared" si="15"/>
        <v>3.5</v>
      </c>
      <c r="AA23" s="34">
        <f t="shared" si="15"/>
        <v>2.5</v>
      </c>
      <c r="AB23" s="34">
        <f t="shared" si="15"/>
        <v>5.5</v>
      </c>
      <c r="AC23" s="34">
        <f t="shared" si="15"/>
        <v>728.5</v>
      </c>
      <c r="AD23" s="34">
        <f t="shared" si="15"/>
        <v>0</v>
      </c>
      <c r="AE23" s="31">
        <f t="shared" si="15"/>
        <v>478.5</v>
      </c>
      <c r="AF23" s="31">
        <f t="shared" si="15"/>
        <v>1207</v>
      </c>
    </row>
    <row r="24" spans="2:32" ht="23.1" customHeight="1" x14ac:dyDescent="0.25">
      <c r="B24" s="23" t="s">
        <v>51</v>
      </c>
      <c r="C24" s="49">
        <f>'Avg Week Ntinda-SpearMotors'!C24+'Avg Week SpearMotors-Ntinda'!C24</f>
        <v>36.142857142857139</v>
      </c>
      <c r="D24" s="49">
        <f>'Avg Week Ntinda-SpearMotors'!D24+'Avg Week SpearMotors-Ntinda'!D24</f>
        <v>19.428571428571431</v>
      </c>
      <c r="E24" s="49">
        <f>'Avg Week Ntinda-SpearMotors'!E24+'Avg Week SpearMotors-Ntinda'!E24</f>
        <v>7.7142857142857144</v>
      </c>
      <c r="F24" s="49">
        <f>'Avg Week Ntinda-SpearMotors'!F24+'Avg Week SpearMotors-Ntinda'!F24</f>
        <v>19.142857142857142</v>
      </c>
      <c r="G24" s="49">
        <f>'Avg Week Ntinda-SpearMotors'!G24+'Avg Week SpearMotors-Ntinda'!G24</f>
        <v>0</v>
      </c>
      <c r="H24" s="49">
        <f>'Avg Week Ntinda-SpearMotors'!H24+'Avg Week SpearMotors-Ntinda'!H24</f>
        <v>0</v>
      </c>
      <c r="I24" s="49">
        <f>'Avg Week Ntinda-SpearMotors'!I24+'Avg Week SpearMotors-Ntinda'!I24</f>
        <v>4.8571428571428577</v>
      </c>
      <c r="J24" s="49">
        <f>'Avg Week Ntinda-SpearMotors'!J24+'Avg Week SpearMotors-Ntinda'!J24</f>
        <v>3.4285714285714288</v>
      </c>
      <c r="K24" s="49">
        <f>'Avg Week Ntinda-SpearMotors'!K24+'Avg Week SpearMotors-Ntinda'!K24</f>
        <v>1.8571428571428572</v>
      </c>
      <c r="L24" s="49">
        <f>'Avg Week Ntinda-SpearMotors'!L24+'Avg Week SpearMotors-Ntinda'!L24</f>
        <v>7.8571428571428577</v>
      </c>
      <c r="M24" s="49">
        <f>'Avg Week Ntinda-SpearMotors'!M24+'Avg Week SpearMotors-Ntinda'!M24</f>
        <v>271.14285714285717</v>
      </c>
      <c r="N24" s="49">
        <f>'Avg Week Ntinda-SpearMotors'!N24+'Avg Week SpearMotors-Ntinda'!N24</f>
        <v>0.14285714285714285</v>
      </c>
      <c r="O24" s="15">
        <f t="shared" si="0"/>
        <v>100.57142857142858</v>
      </c>
      <c r="P24" s="15">
        <f t="shared" si="1"/>
        <v>371.71428571428578</v>
      </c>
      <c r="R24" s="1" t="s">
        <v>148</v>
      </c>
      <c r="S24" s="34">
        <f>SUM(C66:C69)</f>
        <v>225.5</v>
      </c>
      <c r="T24" s="34">
        <f t="shared" ref="T24:AF24" si="16">SUM(D66:D69)</f>
        <v>157</v>
      </c>
      <c r="U24" s="34">
        <f t="shared" si="16"/>
        <v>29.5</v>
      </c>
      <c r="V24" s="34">
        <f t="shared" si="16"/>
        <v>86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4.5</v>
      </c>
      <c r="AA24" s="34">
        <f t="shared" si="16"/>
        <v>2.5</v>
      </c>
      <c r="AB24" s="34">
        <f t="shared" si="16"/>
        <v>2.5</v>
      </c>
      <c r="AC24" s="34">
        <f t="shared" si="16"/>
        <v>632</v>
      </c>
      <c r="AD24" s="34">
        <f t="shared" si="16"/>
        <v>0</v>
      </c>
      <c r="AE24" s="31">
        <f t="shared" si="16"/>
        <v>514.5</v>
      </c>
      <c r="AF24" s="31">
        <f t="shared" si="16"/>
        <v>1146.5</v>
      </c>
    </row>
    <row r="25" spans="2:32" ht="23.1" customHeight="1" x14ac:dyDescent="0.25">
      <c r="B25" s="23" t="s">
        <v>52</v>
      </c>
      <c r="C25" s="49">
        <f>'Avg Week Ntinda-SpearMotors'!C25+'Avg Week SpearMotors-Ntinda'!C25</f>
        <v>31.142857142857146</v>
      </c>
      <c r="D25" s="49">
        <f>'Avg Week Ntinda-SpearMotors'!D25+'Avg Week SpearMotors-Ntinda'!D25</f>
        <v>18.714285714285715</v>
      </c>
      <c r="E25" s="49">
        <f>'Avg Week Ntinda-SpearMotors'!E25+'Avg Week SpearMotors-Ntinda'!E25</f>
        <v>8.4285714285714288</v>
      </c>
      <c r="F25" s="49">
        <f>'Avg Week Ntinda-SpearMotors'!F25+'Avg Week SpearMotors-Ntinda'!F25</f>
        <v>13.714285714285714</v>
      </c>
      <c r="G25" s="49">
        <f>'Avg Week Ntinda-SpearMotors'!G25+'Avg Week SpearMotors-Ntinda'!G25</f>
        <v>0.14285714285714285</v>
      </c>
      <c r="H25" s="49">
        <f>'Avg Week Ntinda-SpearMotors'!H25+'Avg Week SpearMotors-Ntinda'!H25</f>
        <v>0.14285714285714285</v>
      </c>
      <c r="I25" s="49">
        <f>'Avg Week Ntinda-SpearMotors'!I25+'Avg Week SpearMotors-Ntinda'!I25</f>
        <v>3.2857142857142856</v>
      </c>
      <c r="J25" s="49">
        <f>'Avg Week Ntinda-SpearMotors'!J25+'Avg Week SpearMotors-Ntinda'!J25</f>
        <v>4.1428571428571432</v>
      </c>
      <c r="K25" s="49">
        <f>'Avg Week Ntinda-SpearMotors'!K25+'Avg Week SpearMotors-Ntinda'!K25</f>
        <v>2</v>
      </c>
      <c r="L25" s="49">
        <f>'Avg Week Ntinda-SpearMotors'!L25+'Avg Week SpearMotors-Ntinda'!L25</f>
        <v>7</v>
      </c>
      <c r="M25" s="49">
        <f>'Avg Week Ntinda-SpearMotors'!M25+'Avg Week SpearMotors-Ntinda'!M25</f>
        <v>239.71428571428572</v>
      </c>
      <c r="N25" s="49">
        <f>'Avg Week Ntinda-SpearMotors'!N25+'Avg Week SpearMotors-Ntinda'!N25</f>
        <v>0</v>
      </c>
      <c r="O25" s="15">
        <f t="shared" si="0"/>
        <v>88.714285714285708</v>
      </c>
      <c r="P25" s="15">
        <f t="shared" si="1"/>
        <v>328.42857142857144</v>
      </c>
      <c r="R25" s="1" t="s">
        <v>149</v>
      </c>
      <c r="S25" s="34">
        <f>SUM(C70:C73)</f>
        <v>213.5</v>
      </c>
      <c r="T25" s="34">
        <f t="shared" ref="T25:AF25" si="17">SUM(D70:D73)</f>
        <v>152.5</v>
      </c>
      <c r="U25" s="34">
        <f t="shared" si="17"/>
        <v>24.5</v>
      </c>
      <c r="V25" s="34">
        <f t="shared" si="17"/>
        <v>54</v>
      </c>
      <c r="W25" s="34">
        <f t="shared" si="17"/>
        <v>0</v>
      </c>
      <c r="X25" s="34">
        <f t="shared" si="17"/>
        <v>0.5</v>
      </c>
      <c r="Y25" s="34">
        <f t="shared" si="17"/>
        <v>3.5</v>
      </c>
      <c r="Z25" s="34">
        <f t="shared" si="17"/>
        <v>1.5</v>
      </c>
      <c r="AA25" s="34">
        <f t="shared" si="17"/>
        <v>1.5</v>
      </c>
      <c r="AB25" s="34">
        <f t="shared" si="17"/>
        <v>3</v>
      </c>
      <c r="AC25" s="34">
        <f t="shared" si="17"/>
        <v>511</v>
      </c>
      <c r="AD25" s="34">
        <f t="shared" si="17"/>
        <v>0</v>
      </c>
      <c r="AE25" s="31">
        <f t="shared" si="17"/>
        <v>454.5</v>
      </c>
      <c r="AF25" s="31">
        <f t="shared" si="17"/>
        <v>965.5</v>
      </c>
    </row>
    <row r="26" spans="2:32" ht="23.1" customHeight="1" x14ac:dyDescent="0.25">
      <c r="B26" s="23" t="s">
        <v>53</v>
      </c>
      <c r="C26" s="49">
        <f>'Avg Week Ntinda-SpearMotors'!C26+'Avg Week SpearMotors-Ntinda'!C26</f>
        <v>36.571428571428569</v>
      </c>
      <c r="D26" s="49">
        <f>'Avg Week Ntinda-SpearMotors'!D26+'Avg Week SpearMotors-Ntinda'!D26</f>
        <v>21.285714285714285</v>
      </c>
      <c r="E26" s="49">
        <f>'Avg Week Ntinda-SpearMotors'!E26+'Avg Week SpearMotors-Ntinda'!E26</f>
        <v>10</v>
      </c>
      <c r="F26" s="49">
        <f>'Avg Week Ntinda-SpearMotors'!F26+'Avg Week SpearMotors-Ntinda'!F26</f>
        <v>18.428571428571427</v>
      </c>
      <c r="G26" s="49">
        <f>'Avg Week Ntinda-SpearMotors'!G26+'Avg Week SpearMotors-Ntinda'!G26</f>
        <v>0.5714285714285714</v>
      </c>
      <c r="H26" s="49">
        <f>'Avg Week Ntinda-SpearMotors'!H26+'Avg Week SpearMotors-Ntinda'!H26</f>
        <v>0.14285714285714285</v>
      </c>
      <c r="I26" s="49">
        <f>'Avg Week Ntinda-SpearMotors'!I26+'Avg Week SpearMotors-Ntinda'!I26</f>
        <v>6.2857142857142856</v>
      </c>
      <c r="J26" s="49">
        <f>'Avg Week Ntinda-SpearMotors'!J26+'Avg Week SpearMotors-Ntinda'!J26</f>
        <v>3.7142857142857144</v>
      </c>
      <c r="K26" s="49">
        <f>'Avg Week Ntinda-SpearMotors'!K26+'Avg Week SpearMotors-Ntinda'!K26</f>
        <v>2.1428571428571428</v>
      </c>
      <c r="L26" s="49">
        <f>'Avg Week Ntinda-SpearMotors'!L26+'Avg Week SpearMotors-Ntinda'!L26</f>
        <v>8</v>
      </c>
      <c r="M26" s="49">
        <f>'Avg Week Ntinda-SpearMotors'!M26+'Avg Week SpearMotors-Ntinda'!M26</f>
        <v>243</v>
      </c>
      <c r="N26" s="49">
        <f>'Avg Week Ntinda-SpearMotors'!N26+'Avg Week SpearMotors-Ntinda'!N26</f>
        <v>0.14285714285714285</v>
      </c>
      <c r="O26" s="15">
        <f t="shared" si="0"/>
        <v>107.28571428571428</v>
      </c>
      <c r="P26" s="15">
        <f t="shared" si="1"/>
        <v>350.28571428571428</v>
      </c>
      <c r="R26" s="1" t="s">
        <v>150</v>
      </c>
      <c r="S26" s="34">
        <f>SUM(C74:C77)</f>
        <v>162</v>
      </c>
      <c r="T26" s="34">
        <f t="shared" ref="T26:AF26" si="18">SUM(D74:D77)</f>
        <v>121</v>
      </c>
      <c r="U26" s="34">
        <f t="shared" si="18"/>
        <v>26</v>
      </c>
      <c r="V26" s="34">
        <f t="shared" si="18"/>
        <v>18</v>
      </c>
      <c r="W26" s="34">
        <f t="shared" si="18"/>
        <v>0</v>
      </c>
      <c r="X26" s="34">
        <f t="shared" si="18"/>
        <v>0.5</v>
      </c>
      <c r="Y26" s="34">
        <f t="shared" si="18"/>
        <v>4</v>
      </c>
      <c r="Z26" s="34">
        <f t="shared" si="18"/>
        <v>1</v>
      </c>
      <c r="AA26" s="34">
        <f t="shared" si="18"/>
        <v>0.5</v>
      </c>
      <c r="AB26" s="34">
        <f t="shared" si="18"/>
        <v>3</v>
      </c>
      <c r="AC26" s="34">
        <f t="shared" si="18"/>
        <v>333.5</v>
      </c>
      <c r="AD26" s="34">
        <f t="shared" si="18"/>
        <v>0</v>
      </c>
      <c r="AE26" s="31">
        <f t="shared" si="18"/>
        <v>336</v>
      </c>
      <c r="AF26" s="31">
        <f t="shared" si="18"/>
        <v>669.5</v>
      </c>
    </row>
    <row r="27" spans="2:32" ht="23.1" customHeight="1" x14ac:dyDescent="0.25">
      <c r="B27" s="23" t="s">
        <v>54</v>
      </c>
      <c r="C27" s="49">
        <f>'Avg Week Ntinda-SpearMotors'!C27+'Avg Week SpearMotors-Ntinda'!C27</f>
        <v>42</v>
      </c>
      <c r="D27" s="49">
        <f>'Avg Week Ntinda-SpearMotors'!D27+'Avg Week SpearMotors-Ntinda'!D27</f>
        <v>25</v>
      </c>
      <c r="E27" s="49">
        <f>'Avg Week Ntinda-SpearMotors'!E27+'Avg Week SpearMotors-Ntinda'!E27</f>
        <v>9.5714285714285712</v>
      </c>
      <c r="F27" s="49">
        <f>'Avg Week Ntinda-SpearMotors'!F27+'Avg Week SpearMotors-Ntinda'!F27</f>
        <v>18.857142857142858</v>
      </c>
      <c r="G27" s="49">
        <f>'Avg Week Ntinda-SpearMotors'!G27+'Avg Week SpearMotors-Ntinda'!G27</f>
        <v>0.2857142857142857</v>
      </c>
      <c r="H27" s="49">
        <f>'Avg Week Ntinda-SpearMotors'!H27+'Avg Week SpearMotors-Ntinda'!H27</f>
        <v>0.42857142857142855</v>
      </c>
      <c r="I27" s="49">
        <f>'Avg Week Ntinda-SpearMotors'!I27+'Avg Week SpearMotors-Ntinda'!I27</f>
        <v>6.4285714285714288</v>
      </c>
      <c r="J27" s="49">
        <f>'Avg Week Ntinda-SpearMotors'!J27+'Avg Week SpearMotors-Ntinda'!J27</f>
        <v>4.5714285714285712</v>
      </c>
      <c r="K27" s="49">
        <f>'Avg Week Ntinda-SpearMotors'!K27+'Avg Week SpearMotors-Ntinda'!K27</f>
        <v>2.7142857142857144</v>
      </c>
      <c r="L27" s="49">
        <f>'Avg Week Ntinda-SpearMotors'!L27+'Avg Week SpearMotors-Ntinda'!L27</f>
        <v>10.857142857142858</v>
      </c>
      <c r="M27" s="49">
        <f>'Avg Week Ntinda-SpearMotors'!M27+'Avg Week SpearMotors-Ntinda'!M27</f>
        <v>196</v>
      </c>
      <c r="N27" s="49">
        <f>'Avg Week Ntinda-SpearMotors'!N27+'Avg Week SpearMotors-Ntinda'!N27</f>
        <v>0</v>
      </c>
      <c r="O27" s="15">
        <f t="shared" si="0"/>
        <v>120.71428571428572</v>
      </c>
      <c r="P27" s="15">
        <f t="shared" si="1"/>
        <v>316.71428571428572</v>
      </c>
      <c r="R27" s="1" t="s">
        <v>151</v>
      </c>
      <c r="S27" s="34">
        <f>SUM(C78:C81)</f>
        <v>88.5</v>
      </c>
      <c r="T27" s="34">
        <f t="shared" ref="T27:AF27" si="19">SUM(D78:D81)</f>
        <v>68.5</v>
      </c>
      <c r="U27" s="34">
        <f t="shared" si="19"/>
        <v>10.5</v>
      </c>
      <c r="V27" s="34">
        <f t="shared" si="19"/>
        <v>4.5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1.5</v>
      </c>
      <c r="AA27" s="34">
        <f t="shared" si="19"/>
        <v>1.5</v>
      </c>
      <c r="AB27" s="34">
        <f t="shared" si="19"/>
        <v>3.5</v>
      </c>
      <c r="AC27" s="34">
        <f t="shared" si="19"/>
        <v>238.5</v>
      </c>
      <c r="AD27" s="34">
        <f t="shared" si="19"/>
        <v>0</v>
      </c>
      <c r="AE27" s="31">
        <f t="shared" si="19"/>
        <v>182.5</v>
      </c>
      <c r="AF27" s="31">
        <f t="shared" si="19"/>
        <v>421</v>
      </c>
    </row>
    <row r="28" spans="2:32" ht="23.1" customHeight="1" x14ac:dyDescent="0.25">
      <c r="B28" s="23" t="s">
        <v>55</v>
      </c>
      <c r="C28" s="49">
        <f>'Avg Week Ntinda-SpearMotors'!C28+'Avg Week SpearMotors-Ntinda'!C28</f>
        <v>35</v>
      </c>
      <c r="D28" s="49">
        <f>'Avg Week Ntinda-SpearMotors'!D28+'Avg Week SpearMotors-Ntinda'!D28</f>
        <v>19.428571428571431</v>
      </c>
      <c r="E28" s="49">
        <f>'Avg Week Ntinda-SpearMotors'!E28+'Avg Week SpearMotors-Ntinda'!E28</f>
        <v>8.4285714285714288</v>
      </c>
      <c r="F28" s="49">
        <f>'Avg Week Ntinda-SpearMotors'!F28+'Avg Week SpearMotors-Ntinda'!F28</f>
        <v>14.571428571428573</v>
      </c>
      <c r="G28" s="49">
        <f>'Avg Week Ntinda-SpearMotors'!G28+'Avg Week SpearMotors-Ntinda'!G28</f>
        <v>0.14285714285714285</v>
      </c>
      <c r="H28" s="49">
        <f>'Avg Week Ntinda-SpearMotors'!H28+'Avg Week SpearMotors-Ntinda'!H28</f>
        <v>0</v>
      </c>
      <c r="I28" s="49">
        <f>'Avg Week Ntinda-SpearMotors'!I28+'Avg Week SpearMotors-Ntinda'!I28</f>
        <v>3.1428571428571428</v>
      </c>
      <c r="J28" s="49">
        <f>'Avg Week Ntinda-SpearMotors'!J28+'Avg Week SpearMotors-Ntinda'!J28</f>
        <v>3.2857142857142856</v>
      </c>
      <c r="K28" s="49">
        <f>'Avg Week Ntinda-SpearMotors'!K28+'Avg Week SpearMotors-Ntinda'!K28</f>
        <v>2</v>
      </c>
      <c r="L28" s="49">
        <f>'Avg Week Ntinda-SpearMotors'!L28+'Avg Week SpearMotors-Ntinda'!L28</f>
        <v>9</v>
      </c>
      <c r="M28" s="49">
        <f>'Avg Week Ntinda-SpearMotors'!M28+'Avg Week SpearMotors-Ntinda'!M28</f>
        <v>204</v>
      </c>
      <c r="N28" s="49">
        <f>'Avg Week Ntinda-SpearMotors'!N28+'Avg Week SpearMotors-Ntinda'!N28</f>
        <v>0</v>
      </c>
      <c r="O28" s="15">
        <f t="shared" si="0"/>
        <v>95</v>
      </c>
      <c r="P28" s="15">
        <f t="shared" si="1"/>
        <v>299</v>
      </c>
      <c r="R28" s="1" t="s">
        <v>152</v>
      </c>
      <c r="S28" s="34">
        <f>SUM(C82:C85)</f>
        <v>53</v>
      </c>
      <c r="T28" s="34">
        <f t="shared" ref="T28:AF28" si="20">SUM(D82:D85)</f>
        <v>28.5</v>
      </c>
      <c r="U28" s="34">
        <f t="shared" si="20"/>
        <v>4</v>
      </c>
      <c r="V28" s="34">
        <f t="shared" si="20"/>
        <v>1.5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2</v>
      </c>
      <c r="AA28" s="34">
        <f t="shared" si="20"/>
        <v>2</v>
      </c>
      <c r="AB28" s="34">
        <f t="shared" si="20"/>
        <v>3.5</v>
      </c>
      <c r="AC28" s="34">
        <f t="shared" si="20"/>
        <v>85</v>
      </c>
      <c r="AD28" s="34">
        <f t="shared" si="20"/>
        <v>0</v>
      </c>
      <c r="AE28" s="31">
        <f t="shared" si="20"/>
        <v>98.5</v>
      </c>
      <c r="AF28" s="31">
        <f t="shared" si="20"/>
        <v>183.5</v>
      </c>
    </row>
    <row r="29" spans="2:32" ht="23.1" customHeight="1" x14ac:dyDescent="0.25">
      <c r="B29" s="23" t="s">
        <v>56</v>
      </c>
      <c r="C29" s="49">
        <f>'Avg Week Ntinda-SpearMotors'!C29+'Avg Week SpearMotors-Ntinda'!C29</f>
        <v>33</v>
      </c>
      <c r="D29" s="49">
        <f>'Avg Week Ntinda-SpearMotors'!D29+'Avg Week SpearMotors-Ntinda'!D29</f>
        <v>17.428571428571431</v>
      </c>
      <c r="E29" s="49">
        <f>'Avg Week Ntinda-SpearMotors'!E29+'Avg Week SpearMotors-Ntinda'!E29</f>
        <v>7.7142857142857144</v>
      </c>
      <c r="F29" s="49">
        <f>'Avg Week Ntinda-SpearMotors'!F29+'Avg Week SpearMotors-Ntinda'!F29</f>
        <v>14.714285714285714</v>
      </c>
      <c r="G29" s="49">
        <f>'Avg Week Ntinda-SpearMotors'!G29+'Avg Week SpearMotors-Ntinda'!G29</f>
        <v>0</v>
      </c>
      <c r="H29" s="49">
        <f>'Avg Week Ntinda-SpearMotors'!H29+'Avg Week SpearMotors-Ntinda'!H29</f>
        <v>0.14285714285714285</v>
      </c>
      <c r="I29" s="49">
        <f>'Avg Week Ntinda-SpearMotors'!I29+'Avg Week SpearMotors-Ntinda'!I29</f>
        <v>5.5714285714285712</v>
      </c>
      <c r="J29" s="49">
        <f>'Avg Week Ntinda-SpearMotors'!J29+'Avg Week SpearMotors-Ntinda'!J29</f>
        <v>3.8571428571428568</v>
      </c>
      <c r="K29" s="49">
        <f>'Avg Week Ntinda-SpearMotors'!K29+'Avg Week SpearMotors-Ntinda'!K29</f>
        <v>2.5714285714285712</v>
      </c>
      <c r="L29" s="49">
        <f>'Avg Week Ntinda-SpearMotors'!L29+'Avg Week SpearMotors-Ntinda'!L29</f>
        <v>8</v>
      </c>
      <c r="M29" s="49">
        <f>'Avg Week Ntinda-SpearMotors'!M29+'Avg Week SpearMotors-Ntinda'!M29</f>
        <v>230</v>
      </c>
      <c r="N29" s="49">
        <f>'Avg Week Ntinda-SpearMotors'!N29+'Avg Week SpearMotors-Ntinda'!N29</f>
        <v>0</v>
      </c>
      <c r="O29" s="15">
        <f t="shared" si="0"/>
        <v>93</v>
      </c>
      <c r="P29" s="15">
        <f t="shared" si="1"/>
        <v>323</v>
      </c>
      <c r="R29" s="1" t="s">
        <v>153</v>
      </c>
      <c r="S29" s="34">
        <f>SUM(C86:C89)</f>
        <v>34</v>
      </c>
      <c r="T29" s="34">
        <f t="shared" ref="T29:AF29" si="21">SUM(D86:D89)</f>
        <v>16</v>
      </c>
      <c r="U29" s="34">
        <f t="shared" si="21"/>
        <v>2.5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1.5</v>
      </c>
      <c r="AA29" s="34">
        <f t="shared" si="21"/>
        <v>0.5</v>
      </c>
      <c r="AB29" s="34">
        <f t="shared" si="21"/>
        <v>4.5</v>
      </c>
      <c r="AC29" s="34">
        <f t="shared" si="21"/>
        <v>85.5</v>
      </c>
      <c r="AD29" s="34">
        <f t="shared" si="21"/>
        <v>0</v>
      </c>
      <c r="AE29" s="31">
        <f t="shared" si="21"/>
        <v>62</v>
      </c>
      <c r="AF29" s="31">
        <f t="shared" si="21"/>
        <v>147.5</v>
      </c>
    </row>
    <row r="30" spans="2:32" ht="23.1" customHeight="1" x14ac:dyDescent="0.25">
      <c r="B30" s="23" t="s">
        <v>57</v>
      </c>
      <c r="C30" s="49">
        <f>'Avg Week Ntinda-SpearMotors'!C30+'Avg Week SpearMotors-Ntinda'!C30</f>
        <v>38.714285714285715</v>
      </c>
      <c r="D30" s="49">
        <f>'Avg Week Ntinda-SpearMotors'!D30+'Avg Week SpearMotors-Ntinda'!D30</f>
        <v>21.285714285714285</v>
      </c>
      <c r="E30" s="49">
        <f>'Avg Week Ntinda-SpearMotors'!E30+'Avg Week SpearMotors-Ntinda'!E30</f>
        <v>9.4285714285714288</v>
      </c>
      <c r="F30" s="49">
        <f>'Avg Week Ntinda-SpearMotors'!F30+'Avg Week SpearMotors-Ntinda'!F30</f>
        <v>19.714285714285715</v>
      </c>
      <c r="G30" s="49">
        <f>'Avg Week Ntinda-SpearMotors'!G30+'Avg Week SpearMotors-Ntinda'!G30</f>
        <v>0.14285714285714285</v>
      </c>
      <c r="H30" s="49">
        <f>'Avg Week Ntinda-SpearMotors'!H30+'Avg Week SpearMotors-Ntinda'!H30</f>
        <v>0</v>
      </c>
      <c r="I30" s="49">
        <f>'Avg Week Ntinda-SpearMotors'!I30+'Avg Week SpearMotors-Ntinda'!I30</f>
        <v>5.4285714285714288</v>
      </c>
      <c r="J30" s="49">
        <f>'Avg Week Ntinda-SpearMotors'!J30+'Avg Week SpearMotors-Ntinda'!J30</f>
        <v>4</v>
      </c>
      <c r="K30" s="49">
        <f>'Avg Week Ntinda-SpearMotors'!K30+'Avg Week SpearMotors-Ntinda'!K30</f>
        <v>3.1428571428571428</v>
      </c>
      <c r="L30" s="49">
        <f>'Avg Week Ntinda-SpearMotors'!L30+'Avg Week SpearMotors-Ntinda'!L30</f>
        <v>9</v>
      </c>
      <c r="M30" s="49">
        <f>'Avg Week Ntinda-SpearMotors'!M30+'Avg Week SpearMotors-Ntinda'!M30</f>
        <v>208.28571428571428</v>
      </c>
      <c r="N30" s="49">
        <f>'Avg Week Ntinda-SpearMotors'!N30+'Avg Week SpearMotors-Ntinda'!N30</f>
        <v>0</v>
      </c>
      <c r="O30" s="15">
        <f t="shared" si="0"/>
        <v>110.85714285714285</v>
      </c>
      <c r="P30" s="15">
        <f t="shared" si="1"/>
        <v>319.14285714285711</v>
      </c>
      <c r="R30" s="1" t="s">
        <v>154</v>
      </c>
      <c r="S30" s="34">
        <f>SUM(C90:C93)</f>
        <v>36.5</v>
      </c>
      <c r="T30" s="34">
        <f t="shared" ref="T30:AF30" si="22">SUM(D90:D93)</f>
        <v>22.5</v>
      </c>
      <c r="U30" s="34">
        <f t="shared" si="22"/>
        <v>5</v>
      </c>
      <c r="V30" s="34">
        <f t="shared" si="22"/>
        <v>1.5</v>
      </c>
      <c r="W30" s="34">
        <f t="shared" si="22"/>
        <v>0</v>
      </c>
      <c r="X30" s="34">
        <f t="shared" si="22"/>
        <v>0</v>
      </c>
      <c r="Y30" s="34">
        <f t="shared" si="22"/>
        <v>3.5</v>
      </c>
      <c r="Z30" s="34">
        <f t="shared" si="22"/>
        <v>3</v>
      </c>
      <c r="AA30" s="34">
        <f t="shared" si="22"/>
        <v>2.5</v>
      </c>
      <c r="AB30" s="34">
        <f t="shared" si="22"/>
        <v>6.5</v>
      </c>
      <c r="AC30" s="34">
        <f t="shared" si="22"/>
        <v>54</v>
      </c>
      <c r="AD30" s="34">
        <f t="shared" si="22"/>
        <v>0</v>
      </c>
      <c r="AE30" s="31">
        <f t="shared" si="22"/>
        <v>81</v>
      </c>
      <c r="AF30" s="31">
        <f t="shared" si="22"/>
        <v>135</v>
      </c>
    </row>
    <row r="31" spans="2:32" ht="23.1" customHeight="1" x14ac:dyDescent="0.25">
      <c r="B31" s="24" t="s">
        <v>58</v>
      </c>
      <c r="C31" s="49">
        <f>'Avg Week Ntinda-SpearMotors'!C31+'Avg Week SpearMotors-Ntinda'!C31</f>
        <v>34.714285714285708</v>
      </c>
      <c r="D31" s="49">
        <f>'Avg Week Ntinda-SpearMotors'!D31+'Avg Week SpearMotors-Ntinda'!D31</f>
        <v>16.142857142857142</v>
      </c>
      <c r="E31" s="49">
        <f>'Avg Week Ntinda-SpearMotors'!E31+'Avg Week SpearMotors-Ntinda'!E31</f>
        <v>9.4285714285714288</v>
      </c>
      <c r="F31" s="49">
        <f>'Avg Week Ntinda-SpearMotors'!F31+'Avg Week SpearMotors-Ntinda'!F31</f>
        <v>13.142857142857142</v>
      </c>
      <c r="G31" s="49">
        <f>'Avg Week Ntinda-SpearMotors'!G31+'Avg Week SpearMotors-Ntinda'!G31</f>
        <v>0.14285714285714285</v>
      </c>
      <c r="H31" s="49">
        <f>'Avg Week Ntinda-SpearMotors'!H31+'Avg Week SpearMotors-Ntinda'!H31</f>
        <v>0</v>
      </c>
      <c r="I31" s="49">
        <f>'Avg Week Ntinda-SpearMotors'!I31+'Avg Week SpearMotors-Ntinda'!I31</f>
        <v>5.7142857142857144</v>
      </c>
      <c r="J31" s="49">
        <f>'Avg Week Ntinda-SpearMotors'!J31+'Avg Week SpearMotors-Ntinda'!J31</f>
        <v>3.1428571428571428</v>
      </c>
      <c r="K31" s="49">
        <f>'Avg Week Ntinda-SpearMotors'!K31+'Avg Week SpearMotors-Ntinda'!K31</f>
        <v>2.1428571428571428</v>
      </c>
      <c r="L31" s="49">
        <f>'Avg Week Ntinda-SpearMotors'!L31+'Avg Week SpearMotors-Ntinda'!L31</f>
        <v>7.2857142857142856</v>
      </c>
      <c r="M31" s="49">
        <f>'Avg Week Ntinda-SpearMotors'!M31+'Avg Week SpearMotors-Ntinda'!M31</f>
        <v>197.28571428571428</v>
      </c>
      <c r="N31" s="49">
        <f>'Avg Week Ntinda-SpearMotors'!N31+'Avg Week SpearMotors-Ntinda'!N31</f>
        <v>0</v>
      </c>
      <c r="O31" s="15">
        <f t="shared" si="0"/>
        <v>91.857142857142833</v>
      </c>
      <c r="P31" s="15">
        <f t="shared" si="1"/>
        <v>289.14285714285711</v>
      </c>
      <c r="R31" s="1" t="s">
        <v>155</v>
      </c>
      <c r="S31" s="34">
        <f>SUM(C94:C97)</f>
        <v>22.5</v>
      </c>
      <c r="T31" s="34">
        <f t="shared" ref="T31:AF31" si="23">SUM(D94:D97)</f>
        <v>15.5</v>
      </c>
      <c r="U31" s="34">
        <f t="shared" si="23"/>
        <v>1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4</v>
      </c>
      <c r="Z31" s="34">
        <f t="shared" si="23"/>
        <v>3</v>
      </c>
      <c r="AA31" s="34">
        <f t="shared" si="23"/>
        <v>1.5</v>
      </c>
      <c r="AB31" s="34">
        <f t="shared" si="23"/>
        <v>6.5</v>
      </c>
      <c r="AC31" s="34">
        <f t="shared" si="23"/>
        <v>61.5</v>
      </c>
      <c r="AD31" s="34">
        <f t="shared" si="23"/>
        <v>0</v>
      </c>
      <c r="AE31" s="31">
        <f t="shared" si="23"/>
        <v>57</v>
      </c>
      <c r="AF31" s="31">
        <f t="shared" si="23"/>
        <v>118.5</v>
      </c>
    </row>
    <row r="32" spans="2:32" ht="23.1" customHeight="1" x14ac:dyDescent="0.25">
      <c r="B32" s="24" t="s">
        <v>59</v>
      </c>
      <c r="C32" s="49">
        <f>'Avg Week Ntinda-SpearMotors'!C32+'Avg Week SpearMotors-Ntinda'!C32</f>
        <v>38.142857142857139</v>
      </c>
      <c r="D32" s="49">
        <f>'Avg Week Ntinda-SpearMotors'!D32+'Avg Week SpearMotors-Ntinda'!D32</f>
        <v>19.285714285714285</v>
      </c>
      <c r="E32" s="49">
        <f>'Avg Week Ntinda-SpearMotors'!E32+'Avg Week SpearMotors-Ntinda'!E32</f>
        <v>8.4285714285714288</v>
      </c>
      <c r="F32" s="49">
        <f>'Avg Week Ntinda-SpearMotors'!F32+'Avg Week SpearMotors-Ntinda'!F32</f>
        <v>14.714285714285715</v>
      </c>
      <c r="G32" s="49">
        <f>'Avg Week Ntinda-SpearMotors'!G32+'Avg Week SpearMotors-Ntinda'!G32</f>
        <v>0</v>
      </c>
      <c r="H32" s="49">
        <f>'Avg Week Ntinda-SpearMotors'!H32+'Avg Week SpearMotors-Ntinda'!H32</f>
        <v>0.2857142857142857</v>
      </c>
      <c r="I32" s="49">
        <f>'Avg Week Ntinda-SpearMotors'!I32+'Avg Week SpearMotors-Ntinda'!I32</f>
        <v>4.5714285714285712</v>
      </c>
      <c r="J32" s="49">
        <f>'Avg Week Ntinda-SpearMotors'!J32+'Avg Week SpearMotors-Ntinda'!J32</f>
        <v>5.2857142857142856</v>
      </c>
      <c r="K32" s="49">
        <f>'Avg Week Ntinda-SpearMotors'!K32+'Avg Week SpearMotors-Ntinda'!K32</f>
        <v>2.7142857142857144</v>
      </c>
      <c r="L32" s="49">
        <f>'Avg Week Ntinda-SpearMotors'!L32+'Avg Week SpearMotors-Ntinda'!L32</f>
        <v>9</v>
      </c>
      <c r="M32" s="49">
        <f>'Avg Week Ntinda-SpearMotors'!M32+'Avg Week SpearMotors-Ntinda'!M32</f>
        <v>200.14285714285714</v>
      </c>
      <c r="N32" s="49">
        <f>'Avg Week Ntinda-SpearMotors'!N32+'Avg Week SpearMotors-Ntinda'!N32</f>
        <v>0</v>
      </c>
      <c r="O32" s="15">
        <f t="shared" si="0"/>
        <v>102.42857142857142</v>
      </c>
      <c r="P32" s="15">
        <f t="shared" si="1"/>
        <v>302.57142857142856</v>
      </c>
      <c r="R32" s="1" t="s">
        <v>156</v>
      </c>
      <c r="S32" s="34">
        <f>SUM(C98:C101)</f>
        <v>36</v>
      </c>
      <c r="T32" s="34">
        <f t="shared" ref="T32:AF32" si="24">SUM(D98:D101)</f>
        <v>21.5</v>
      </c>
      <c r="U32" s="34">
        <f t="shared" si="24"/>
        <v>11.5</v>
      </c>
      <c r="V32" s="34">
        <f t="shared" si="24"/>
        <v>20</v>
      </c>
      <c r="W32" s="34">
        <f t="shared" si="24"/>
        <v>2</v>
      </c>
      <c r="X32" s="34">
        <f t="shared" si="24"/>
        <v>1</v>
      </c>
      <c r="Y32" s="34">
        <f t="shared" si="24"/>
        <v>2.5</v>
      </c>
      <c r="Z32" s="34">
        <f t="shared" si="24"/>
        <v>2.5</v>
      </c>
      <c r="AA32" s="34">
        <f t="shared" si="24"/>
        <v>1</v>
      </c>
      <c r="AB32" s="34">
        <f t="shared" si="24"/>
        <v>7.5</v>
      </c>
      <c r="AC32" s="34">
        <f t="shared" si="24"/>
        <v>164</v>
      </c>
      <c r="AD32" s="34">
        <f t="shared" si="24"/>
        <v>0</v>
      </c>
      <c r="AE32" s="31">
        <f t="shared" si="24"/>
        <v>105.5</v>
      </c>
      <c r="AF32" s="31">
        <f t="shared" si="24"/>
        <v>269.5</v>
      </c>
    </row>
    <row r="33" spans="2:32" ht="23.1" customHeight="1" x14ac:dyDescent="0.25">
      <c r="B33" s="23" t="s">
        <v>60</v>
      </c>
      <c r="C33" s="49">
        <f>'Avg Week Ntinda-SpearMotors'!C33+'Avg Week SpearMotors-Ntinda'!C33</f>
        <v>36.714285714285708</v>
      </c>
      <c r="D33" s="49">
        <f>'Avg Week Ntinda-SpearMotors'!D33+'Avg Week SpearMotors-Ntinda'!D33</f>
        <v>19.714285714285715</v>
      </c>
      <c r="E33" s="49">
        <f>'Avg Week Ntinda-SpearMotors'!E33+'Avg Week SpearMotors-Ntinda'!E33</f>
        <v>8.1428571428571423</v>
      </c>
      <c r="F33" s="49">
        <f>'Avg Week Ntinda-SpearMotors'!F33+'Avg Week SpearMotors-Ntinda'!F33</f>
        <v>10.857142857142858</v>
      </c>
      <c r="G33" s="49">
        <f>'Avg Week Ntinda-SpearMotors'!G33+'Avg Week SpearMotors-Ntinda'!G33</f>
        <v>0</v>
      </c>
      <c r="H33" s="49">
        <f>'Avg Week Ntinda-SpearMotors'!H33+'Avg Week SpearMotors-Ntinda'!H33</f>
        <v>0</v>
      </c>
      <c r="I33" s="49">
        <f>'Avg Week Ntinda-SpearMotors'!I33+'Avg Week SpearMotors-Ntinda'!I33</f>
        <v>6.2857142857142865</v>
      </c>
      <c r="J33" s="49">
        <f>'Avg Week Ntinda-SpearMotors'!J33+'Avg Week SpearMotors-Ntinda'!J33</f>
        <v>3.1428571428571432</v>
      </c>
      <c r="K33" s="49">
        <f>'Avg Week Ntinda-SpearMotors'!K33+'Avg Week SpearMotors-Ntinda'!K33</f>
        <v>2.5714285714285716</v>
      </c>
      <c r="L33" s="49">
        <f>'Avg Week Ntinda-SpearMotors'!L33+'Avg Week SpearMotors-Ntinda'!L33</f>
        <v>11.714285714285715</v>
      </c>
      <c r="M33" s="49">
        <f>'Avg Week Ntinda-SpearMotors'!M33+'Avg Week SpearMotors-Ntinda'!M33</f>
        <v>205.14285714285714</v>
      </c>
      <c r="N33" s="49">
        <f>'Avg Week Ntinda-SpearMotors'!N33+'Avg Week SpearMotors-Ntinda'!N33</f>
        <v>0.2857142857142857</v>
      </c>
      <c r="O33" s="15">
        <f t="shared" si="0"/>
        <v>99.428571428571431</v>
      </c>
      <c r="P33" s="15">
        <f t="shared" si="1"/>
        <v>304.57142857142856</v>
      </c>
      <c r="R33" s="1" t="s">
        <v>157</v>
      </c>
      <c r="S33" s="34">
        <f>SUM(C102:C105)</f>
        <v>94</v>
      </c>
      <c r="T33" s="34">
        <f t="shared" ref="T33:AF33" si="25">SUM(D102:D105)</f>
        <v>62</v>
      </c>
      <c r="U33" s="34">
        <f t="shared" si="25"/>
        <v>26</v>
      </c>
      <c r="V33" s="34">
        <f t="shared" si="25"/>
        <v>46.5</v>
      </c>
      <c r="W33" s="34">
        <f t="shared" si="25"/>
        <v>5</v>
      </c>
      <c r="X33" s="34">
        <f t="shared" si="25"/>
        <v>0</v>
      </c>
      <c r="Y33" s="34">
        <f t="shared" si="25"/>
        <v>5.5</v>
      </c>
      <c r="Z33" s="34">
        <f t="shared" si="25"/>
        <v>6.5</v>
      </c>
      <c r="AA33" s="34">
        <f t="shared" si="25"/>
        <v>5</v>
      </c>
      <c r="AB33" s="34">
        <f t="shared" si="25"/>
        <v>2.5</v>
      </c>
      <c r="AC33" s="34">
        <f t="shared" si="25"/>
        <v>372.5</v>
      </c>
      <c r="AD33" s="34">
        <f t="shared" si="25"/>
        <v>0</v>
      </c>
      <c r="AE33" s="31">
        <f t="shared" si="25"/>
        <v>253</v>
      </c>
      <c r="AF33" s="31">
        <f t="shared" si="25"/>
        <v>625.5</v>
      </c>
    </row>
    <row r="34" spans="2:32" ht="23.1" customHeight="1" x14ac:dyDescent="0.25">
      <c r="B34" s="24" t="s">
        <v>61</v>
      </c>
      <c r="C34" s="49">
        <f>'Avg Week Ntinda-SpearMotors'!C34+'Avg Week SpearMotors-Ntinda'!C34</f>
        <v>40.571428571428569</v>
      </c>
      <c r="D34" s="49">
        <f>'Avg Week Ntinda-SpearMotors'!D34+'Avg Week SpearMotors-Ntinda'!D34</f>
        <v>21.714285714285715</v>
      </c>
      <c r="E34" s="49">
        <f>'Avg Week Ntinda-SpearMotors'!E34+'Avg Week SpearMotors-Ntinda'!E34</f>
        <v>8.8571428571428577</v>
      </c>
      <c r="F34" s="49">
        <f>'Avg Week Ntinda-SpearMotors'!F34+'Avg Week SpearMotors-Ntinda'!F34</f>
        <v>13.857142857142858</v>
      </c>
      <c r="G34" s="49">
        <f>'Avg Week Ntinda-SpearMotors'!G34+'Avg Week SpearMotors-Ntinda'!G34</f>
        <v>0</v>
      </c>
      <c r="H34" s="49">
        <f>'Avg Week Ntinda-SpearMotors'!H34+'Avg Week SpearMotors-Ntinda'!H34</f>
        <v>0.42857142857142855</v>
      </c>
      <c r="I34" s="49">
        <f>'Avg Week Ntinda-SpearMotors'!I34+'Avg Week SpearMotors-Ntinda'!I34</f>
        <v>4.8571428571428577</v>
      </c>
      <c r="J34" s="49">
        <f>'Avg Week Ntinda-SpearMotors'!J34+'Avg Week SpearMotors-Ntinda'!J34</f>
        <v>3.7142857142857144</v>
      </c>
      <c r="K34" s="49">
        <f>'Avg Week Ntinda-SpearMotors'!K34+'Avg Week SpearMotors-Ntinda'!K34</f>
        <v>3.1428571428571428</v>
      </c>
      <c r="L34" s="49">
        <f>'Avg Week Ntinda-SpearMotors'!L34+'Avg Week SpearMotors-Ntinda'!L34</f>
        <v>11.857142857142858</v>
      </c>
      <c r="M34" s="49">
        <f>'Avg Week Ntinda-SpearMotors'!M34+'Avg Week SpearMotors-Ntinda'!M34</f>
        <v>225.85714285714286</v>
      </c>
      <c r="N34" s="49">
        <f>'Avg Week Ntinda-SpearMotors'!N34+'Avg Week SpearMotors-Ntinda'!N34</f>
        <v>0</v>
      </c>
      <c r="O34" s="15">
        <f t="shared" si="0"/>
        <v>109</v>
      </c>
      <c r="P34" s="15">
        <f t="shared" si="1"/>
        <v>334.85714285714289</v>
      </c>
      <c r="R34" s="38" t="s">
        <v>90</v>
      </c>
      <c r="S34" s="39">
        <f t="shared" ref="S34:AF34" si="26">MAX(S10:S12)</f>
        <v>166.57142857142856</v>
      </c>
      <c r="T34" s="39">
        <f t="shared" si="26"/>
        <v>88.285714285714292</v>
      </c>
      <c r="U34" s="39">
        <f t="shared" si="26"/>
        <v>48.714285714285715</v>
      </c>
      <c r="V34" s="39">
        <f t="shared" si="26"/>
        <v>113</v>
      </c>
      <c r="W34" s="39">
        <f t="shared" si="26"/>
        <v>3</v>
      </c>
      <c r="X34" s="39">
        <f t="shared" si="26"/>
        <v>0.2857142857142857</v>
      </c>
      <c r="Y34" s="39">
        <f t="shared" si="26"/>
        <v>22.714285714285715</v>
      </c>
      <c r="Z34" s="39">
        <f t="shared" si="26"/>
        <v>13.571428571428569</v>
      </c>
      <c r="AA34" s="39">
        <f t="shared" si="26"/>
        <v>16.571428571428569</v>
      </c>
      <c r="AB34" s="39">
        <f t="shared" si="26"/>
        <v>40.285714285714285</v>
      </c>
      <c r="AC34" s="39">
        <f t="shared" si="26"/>
        <v>1170.7142857142858</v>
      </c>
      <c r="AD34" s="39">
        <f t="shared" si="26"/>
        <v>0.2857142857142857</v>
      </c>
      <c r="AE34" s="40">
        <f t="shared" si="26"/>
        <v>512.85714285714278</v>
      </c>
      <c r="AF34" s="40">
        <f t="shared" si="26"/>
        <v>1565.2857142857142</v>
      </c>
    </row>
    <row r="35" spans="2:32" ht="23.1" customHeight="1" x14ac:dyDescent="0.25">
      <c r="B35" s="24" t="s">
        <v>62</v>
      </c>
      <c r="C35" s="49">
        <f>'Avg Week Ntinda-SpearMotors'!C35+'Avg Week SpearMotors-Ntinda'!C35</f>
        <v>35.571428571428569</v>
      </c>
      <c r="D35" s="49">
        <f>'Avg Week Ntinda-SpearMotors'!D35+'Avg Week SpearMotors-Ntinda'!D35</f>
        <v>21.428571428571431</v>
      </c>
      <c r="E35" s="49">
        <f>'Avg Week Ntinda-SpearMotors'!E35+'Avg Week SpearMotors-Ntinda'!E35</f>
        <v>6.8571428571428568</v>
      </c>
      <c r="F35" s="49">
        <f>'Avg Week Ntinda-SpearMotors'!F35+'Avg Week SpearMotors-Ntinda'!F35</f>
        <v>13.571428571428571</v>
      </c>
      <c r="G35" s="49">
        <f>'Avg Week Ntinda-SpearMotors'!G35+'Avg Week SpearMotors-Ntinda'!G35</f>
        <v>0.14285714285714285</v>
      </c>
      <c r="H35" s="49">
        <f>'Avg Week Ntinda-SpearMotors'!H35+'Avg Week SpearMotors-Ntinda'!H35</f>
        <v>0</v>
      </c>
      <c r="I35" s="49">
        <f>'Avg Week Ntinda-SpearMotors'!I35+'Avg Week SpearMotors-Ntinda'!I35</f>
        <v>6.1428571428571432</v>
      </c>
      <c r="J35" s="49">
        <f>'Avg Week Ntinda-SpearMotors'!J35+'Avg Week SpearMotors-Ntinda'!J35</f>
        <v>4</v>
      </c>
      <c r="K35" s="49">
        <f>'Avg Week Ntinda-SpearMotors'!K35+'Avg Week SpearMotors-Ntinda'!K35</f>
        <v>2.4285714285714288</v>
      </c>
      <c r="L35" s="49">
        <f>'Avg Week Ntinda-SpearMotors'!L35+'Avg Week SpearMotors-Ntinda'!L35</f>
        <v>8.2857142857142865</v>
      </c>
      <c r="M35" s="49">
        <f>'Avg Week Ntinda-SpearMotors'!M35+'Avg Week SpearMotors-Ntinda'!M35</f>
        <v>188</v>
      </c>
      <c r="N35" s="49">
        <f>'Avg Week Ntinda-SpearMotors'!N35+'Avg Week SpearMotors-Ntinda'!N35</f>
        <v>0</v>
      </c>
      <c r="O35" s="15">
        <f t="shared" si="0"/>
        <v>98.428571428571431</v>
      </c>
      <c r="P35" s="15">
        <f t="shared" si="1"/>
        <v>286.42857142857144</v>
      </c>
      <c r="R35" s="38" t="s">
        <v>91</v>
      </c>
      <c r="S35" s="39">
        <f t="shared" ref="S35:AF35" si="27">MAX(S13:S18)</f>
        <v>170.57142857142858</v>
      </c>
      <c r="T35" s="39">
        <f t="shared" si="27"/>
        <v>94.571428571428569</v>
      </c>
      <c r="U35" s="39">
        <f t="shared" si="27"/>
        <v>35.714285714285715</v>
      </c>
      <c r="V35" s="39">
        <f t="shared" si="27"/>
        <v>70.142857142857139</v>
      </c>
      <c r="W35" s="39">
        <f t="shared" si="27"/>
        <v>1</v>
      </c>
      <c r="X35" s="39">
        <f t="shared" si="27"/>
        <v>0.71428571428571419</v>
      </c>
      <c r="Y35" s="39">
        <f t="shared" si="27"/>
        <v>22</v>
      </c>
      <c r="Z35" s="39">
        <f t="shared" si="27"/>
        <v>15.571428571428569</v>
      </c>
      <c r="AA35" s="39">
        <f t="shared" si="27"/>
        <v>11.428571428571429</v>
      </c>
      <c r="AB35" s="39">
        <f t="shared" si="27"/>
        <v>37</v>
      </c>
      <c r="AC35" s="39">
        <f t="shared" si="27"/>
        <v>1001</v>
      </c>
      <c r="AD35" s="39">
        <f t="shared" si="27"/>
        <v>0.2857142857142857</v>
      </c>
      <c r="AE35" s="40">
        <f t="shared" si="27"/>
        <v>431.71428571428567</v>
      </c>
      <c r="AF35" s="40">
        <f t="shared" si="27"/>
        <v>1398.2857142857142</v>
      </c>
    </row>
    <row r="36" spans="2:32" ht="23.1" customHeight="1" x14ac:dyDescent="0.25">
      <c r="B36" s="24" t="s">
        <v>63</v>
      </c>
      <c r="C36" s="49">
        <f>'Avg Week Ntinda-SpearMotors'!C36+'Avg Week SpearMotors-Ntinda'!C36</f>
        <v>41.142857142857139</v>
      </c>
      <c r="D36" s="49">
        <f>'Avg Week Ntinda-SpearMotors'!D36+'Avg Week SpearMotors-Ntinda'!D36</f>
        <v>20.142857142857146</v>
      </c>
      <c r="E36" s="49">
        <f>'Avg Week Ntinda-SpearMotors'!E36+'Avg Week SpearMotors-Ntinda'!E36</f>
        <v>7.1428571428571432</v>
      </c>
      <c r="F36" s="49">
        <f>'Avg Week Ntinda-SpearMotors'!F36+'Avg Week SpearMotors-Ntinda'!F36</f>
        <v>14.571428571428573</v>
      </c>
      <c r="G36" s="49">
        <f>'Avg Week Ntinda-SpearMotors'!G36+'Avg Week SpearMotors-Ntinda'!G36</f>
        <v>0.2857142857142857</v>
      </c>
      <c r="H36" s="49">
        <f>'Avg Week Ntinda-SpearMotors'!H36+'Avg Week SpearMotors-Ntinda'!H36</f>
        <v>0</v>
      </c>
      <c r="I36" s="49">
        <f>'Avg Week Ntinda-SpearMotors'!I36+'Avg Week SpearMotors-Ntinda'!I36</f>
        <v>3</v>
      </c>
      <c r="J36" s="49">
        <f>'Avg Week Ntinda-SpearMotors'!J36+'Avg Week SpearMotors-Ntinda'!J36</f>
        <v>3.7142857142857144</v>
      </c>
      <c r="K36" s="49">
        <f>'Avg Week Ntinda-SpearMotors'!K36+'Avg Week SpearMotors-Ntinda'!K36</f>
        <v>2.1428571428571428</v>
      </c>
      <c r="L36" s="49">
        <f>'Avg Week Ntinda-SpearMotors'!L36+'Avg Week SpearMotors-Ntinda'!L36</f>
        <v>7.5714285714285712</v>
      </c>
      <c r="M36" s="49">
        <f>'Avg Week Ntinda-SpearMotors'!M36+'Avg Week SpearMotors-Ntinda'!M36</f>
        <v>186.14285714285717</v>
      </c>
      <c r="N36" s="49">
        <f>'Avg Week Ntinda-SpearMotors'!N36+'Avg Week SpearMotors-Ntinda'!N36</f>
        <v>0.2857142857142857</v>
      </c>
      <c r="O36" s="15">
        <f t="shared" si="0"/>
        <v>100</v>
      </c>
      <c r="P36" s="15">
        <f t="shared" si="1"/>
        <v>286.14285714285717</v>
      </c>
      <c r="R36" s="38" t="s">
        <v>92</v>
      </c>
      <c r="S36" s="39">
        <f t="shared" ref="S36:AF36" si="28">MAX(S19:S21)</f>
        <v>199.42857142857142</v>
      </c>
      <c r="T36" s="39">
        <f t="shared" si="28"/>
        <v>116.14285714285714</v>
      </c>
      <c r="U36" s="39">
        <f t="shared" si="28"/>
        <v>42</v>
      </c>
      <c r="V36" s="39">
        <f t="shared" si="28"/>
        <v>54.142857142857139</v>
      </c>
      <c r="W36" s="39">
        <f t="shared" si="28"/>
        <v>1</v>
      </c>
      <c r="X36" s="39">
        <f t="shared" si="28"/>
        <v>0.42857142857142855</v>
      </c>
      <c r="Y36" s="39">
        <f t="shared" si="28"/>
        <v>19.142857142857142</v>
      </c>
      <c r="Z36" s="39">
        <f t="shared" si="28"/>
        <v>13.428571428571427</v>
      </c>
      <c r="AA36" s="39">
        <f t="shared" si="28"/>
        <v>8.2857142857142847</v>
      </c>
      <c r="AB36" s="39">
        <f t="shared" si="28"/>
        <v>42</v>
      </c>
      <c r="AC36" s="39">
        <f t="shared" si="28"/>
        <v>1047.2857142857142</v>
      </c>
      <c r="AD36" s="39">
        <f t="shared" si="28"/>
        <v>0.14285714285714285</v>
      </c>
      <c r="AE36" s="40">
        <f t="shared" si="28"/>
        <v>484.14285714285717</v>
      </c>
      <c r="AF36" s="40">
        <f t="shared" si="28"/>
        <v>1496.7142857142858</v>
      </c>
    </row>
    <row r="37" spans="2:32" ht="23.1" customHeight="1" x14ac:dyDescent="0.25">
      <c r="B37" s="23" t="s">
        <v>64</v>
      </c>
      <c r="C37" s="49">
        <f>'Avg Week Ntinda-SpearMotors'!C37+'Avg Week SpearMotors-Ntinda'!C37</f>
        <v>44.714285714285715</v>
      </c>
      <c r="D37" s="49">
        <f>'Avg Week Ntinda-SpearMotors'!D37+'Avg Week SpearMotors-Ntinda'!D37</f>
        <v>25.285714285714285</v>
      </c>
      <c r="E37" s="49">
        <f>'Avg Week Ntinda-SpearMotors'!E37+'Avg Week SpearMotors-Ntinda'!E37</f>
        <v>7</v>
      </c>
      <c r="F37" s="49">
        <f>'Avg Week Ntinda-SpearMotors'!F37+'Avg Week SpearMotors-Ntinda'!F37</f>
        <v>15.571428571428571</v>
      </c>
      <c r="G37" s="49">
        <f>'Avg Week Ntinda-SpearMotors'!G37+'Avg Week SpearMotors-Ntinda'!G37</f>
        <v>0.5714285714285714</v>
      </c>
      <c r="H37" s="49">
        <f>'Avg Week Ntinda-SpearMotors'!H37+'Avg Week SpearMotors-Ntinda'!H37</f>
        <v>0.2857142857142857</v>
      </c>
      <c r="I37" s="49">
        <f>'Avg Week Ntinda-SpearMotors'!I37+'Avg Week SpearMotors-Ntinda'!I37</f>
        <v>5.2857142857142865</v>
      </c>
      <c r="J37" s="49">
        <f>'Avg Week Ntinda-SpearMotors'!J37+'Avg Week SpearMotors-Ntinda'!J37</f>
        <v>3.7142857142857144</v>
      </c>
      <c r="K37" s="49">
        <f>'Avg Week Ntinda-SpearMotors'!K37+'Avg Week SpearMotors-Ntinda'!K37</f>
        <v>3</v>
      </c>
      <c r="L37" s="49">
        <f>'Avg Week Ntinda-SpearMotors'!L37+'Avg Week SpearMotors-Ntinda'!L37</f>
        <v>7.7142857142857153</v>
      </c>
      <c r="M37" s="49">
        <f>'Avg Week Ntinda-SpearMotors'!M37+'Avg Week SpearMotors-Ntinda'!M37</f>
        <v>180.85714285714286</v>
      </c>
      <c r="N37" s="49">
        <f>'Avg Week Ntinda-SpearMotors'!N37+'Avg Week SpearMotors-Ntinda'!N37</f>
        <v>0</v>
      </c>
      <c r="O37" s="15">
        <f t="shared" si="0"/>
        <v>113.14285714285714</v>
      </c>
      <c r="P37" s="15">
        <f t="shared" si="1"/>
        <v>294</v>
      </c>
      <c r="R37" s="37" t="s">
        <v>85</v>
      </c>
      <c r="S37" s="35">
        <f t="shared" ref="S37:AF37" si="29">SUM(S10:S12)</f>
        <v>452</v>
      </c>
      <c r="T37" s="16">
        <f t="shared" si="29"/>
        <v>225.14285714285714</v>
      </c>
      <c r="U37" s="16">
        <f t="shared" si="29"/>
        <v>111.14285714285715</v>
      </c>
      <c r="V37" s="16">
        <f t="shared" si="29"/>
        <v>268.42857142857144</v>
      </c>
      <c r="W37" s="16">
        <f t="shared" si="29"/>
        <v>5.4285714285714279</v>
      </c>
      <c r="X37" s="16">
        <f t="shared" si="29"/>
        <v>0.2857142857142857</v>
      </c>
      <c r="Y37" s="16">
        <f t="shared" si="29"/>
        <v>59.285714285714292</v>
      </c>
      <c r="Z37" s="16">
        <f t="shared" si="29"/>
        <v>38.142857142857139</v>
      </c>
      <c r="AA37" s="16">
        <f t="shared" si="29"/>
        <v>37</v>
      </c>
      <c r="AB37" s="16">
        <f t="shared" si="29"/>
        <v>111.57142857142857</v>
      </c>
      <c r="AC37" s="16">
        <f t="shared" si="29"/>
        <v>3300.8571428571427</v>
      </c>
      <c r="AD37" s="16">
        <f t="shared" si="29"/>
        <v>0.42857142857142855</v>
      </c>
      <c r="AE37" s="32">
        <f t="shared" si="29"/>
        <v>1308.8571428571427</v>
      </c>
      <c r="AF37" s="32">
        <f t="shared" si="29"/>
        <v>4609.7142857142862</v>
      </c>
    </row>
    <row r="38" spans="2:32" ht="23.1" customHeight="1" x14ac:dyDescent="0.25">
      <c r="B38" s="24" t="s">
        <v>65</v>
      </c>
      <c r="C38" s="49">
        <f>'Avg Week Ntinda-SpearMotors'!C38+'Avg Week SpearMotors-Ntinda'!C38</f>
        <v>39.428571428571431</v>
      </c>
      <c r="D38" s="49">
        <f>'Avg Week Ntinda-SpearMotors'!D38+'Avg Week SpearMotors-Ntinda'!D38</f>
        <v>24.285714285714285</v>
      </c>
      <c r="E38" s="49">
        <f>'Avg Week Ntinda-SpearMotors'!E38+'Avg Week SpearMotors-Ntinda'!E38</f>
        <v>8.1428571428571423</v>
      </c>
      <c r="F38" s="49">
        <f>'Avg Week Ntinda-SpearMotors'!F38+'Avg Week SpearMotors-Ntinda'!F38</f>
        <v>15</v>
      </c>
      <c r="G38" s="49">
        <f>'Avg Week Ntinda-SpearMotors'!G38+'Avg Week SpearMotors-Ntinda'!G38</f>
        <v>0</v>
      </c>
      <c r="H38" s="49">
        <f>'Avg Week Ntinda-SpearMotors'!H38+'Avg Week SpearMotors-Ntinda'!H38</f>
        <v>0.2857142857142857</v>
      </c>
      <c r="I38" s="49">
        <f>'Avg Week Ntinda-SpearMotors'!I38+'Avg Week SpearMotors-Ntinda'!I38</f>
        <v>5</v>
      </c>
      <c r="J38" s="49">
        <f>'Avg Week Ntinda-SpearMotors'!J38+'Avg Week SpearMotors-Ntinda'!J38</f>
        <v>3</v>
      </c>
      <c r="K38" s="49">
        <f>'Avg Week Ntinda-SpearMotors'!K38+'Avg Week SpearMotors-Ntinda'!K38</f>
        <v>2.7142857142857144</v>
      </c>
      <c r="L38" s="49">
        <f>'Avg Week Ntinda-SpearMotors'!L38+'Avg Week SpearMotors-Ntinda'!L38</f>
        <v>4.8571428571428568</v>
      </c>
      <c r="M38" s="49">
        <f>'Avg Week Ntinda-SpearMotors'!M38+'Avg Week SpearMotors-Ntinda'!M38</f>
        <v>194.85714285714286</v>
      </c>
      <c r="N38" s="49">
        <f>'Avg Week Ntinda-SpearMotors'!N38+'Avg Week SpearMotors-Ntinda'!N38</f>
        <v>0</v>
      </c>
      <c r="O38" s="15">
        <f t="shared" si="0"/>
        <v>102.71428571428572</v>
      </c>
      <c r="P38" s="15">
        <f t="shared" si="1"/>
        <v>297.57142857142856</v>
      </c>
      <c r="R38" s="28" t="s">
        <v>86</v>
      </c>
      <c r="S38" s="16">
        <f t="shared" ref="S38:AF38" si="30">SUM(S13:S18)</f>
        <v>922.42857142857144</v>
      </c>
      <c r="T38" s="16">
        <f t="shared" si="30"/>
        <v>516.57142857142856</v>
      </c>
      <c r="U38" s="16">
        <f t="shared" si="30"/>
        <v>206.71428571428572</v>
      </c>
      <c r="V38" s="16">
        <f t="shared" si="30"/>
        <v>357.42857142857144</v>
      </c>
      <c r="W38" s="16">
        <f t="shared" si="30"/>
        <v>4</v>
      </c>
      <c r="X38" s="16">
        <f t="shared" si="30"/>
        <v>2.4285714285714284</v>
      </c>
      <c r="Y38" s="16">
        <f t="shared" si="30"/>
        <v>120.42857142857142</v>
      </c>
      <c r="Z38" s="16">
        <f t="shared" si="30"/>
        <v>87.571428571428555</v>
      </c>
      <c r="AA38" s="16">
        <f t="shared" si="30"/>
        <v>60.142857142857146</v>
      </c>
      <c r="AB38" s="16">
        <f t="shared" si="30"/>
        <v>204.42857142857144</v>
      </c>
      <c r="AC38" s="16">
        <f t="shared" si="30"/>
        <v>5122.8571428571422</v>
      </c>
      <c r="AD38" s="16">
        <f t="shared" si="30"/>
        <v>1</v>
      </c>
      <c r="AE38" s="32">
        <f t="shared" si="30"/>
        <v>2483.1428571428569</v>
      </c>
      <c r="AF38" s="32">
        <f t="shared" si="30"/>
        <v>7606</v>
      </c>
    </row>
    <row r="39" spans="2:32" ht="23.1" customHeight="1" x14ac:dyDescent="0.25">
      <c r="B39" s="24" t="s">
        <v>66</v>
      </c>
      <c r="C39" s="49">
        <f>'Avg Week Ntinda-SpearMotors'!C39+'Avg Week SpearMotors-Ntinda'!C39</f>
        <v>38</v>
      </c>
      <c r="D39" s="49">
        <f>'Avg Week Ntinda-SpearMotors'!D39+'Avg Week SpearMotors-Ntinda'!D39</f>
        <v>21</v>
      </c>
      <c r="E39" s="49">
        <f>'Avg Week Ntinda-SpearMotors'!E39+'Avg Week SpearMotors-Ntinda'!E39</f>
        <v>8.2857142857142865</v>
      </c>
      <c r="F39" s="49">
        <f>'Avg Week Ntinda-SpearMotors'!F39+'Avg Week SpearMotors-Ntinda'!F39</f>
        <v>11.857142857142858</v>
      </c>
      <c r="G39" s="49">
        <f>'Avg Week Ntinda-SpearMotors'!G39+'Avg Week SpearMotors-Ntinda'!G39</f>
        <v>0.14285714285714285</v>
      </c>
      <c r="H39" s="49">
        <f>'Avg Week Ntinda-SpearMotors'!H39+'Avg Week SpearMotors-Ntinda'!H39</f>
        <v>0</v>
      </c>
      <c r="I39" s="49">
        <f>'Avg Week Ntinda-SpearMotors'!I39+'Avg Week SpearMotors-Ntinda'!I39</f>
        <v>4.2857142857142856</v>
      </c>
      <c r="J39" s="49">
        <f>'Avg Week Ntinda-SpearMotors'!J39+'Avg Week SpearMotors-Ntinda'!J39</f>
        <v>3.8571428571428572</v>
      </c>
      <c r="K39" s="49">
        <f>'Avg Week Ntinda-SpearMotors'!K39+'Avg Week SpearMotors-Ntinda'!K39</f>
        <v>3.1428571428571428</v>
      </c>
      <c r="L39" s="49">
        <f>'Avg Week Ntinda-SpearMotors'!L39+'Avg Week SpearMotors-Ntinda'!L39</f>
        <v>8.5714285714285712</v>
      </c>
      <c r="M39" s="49">
        <f>'Avg Week Ntinda-SpearMotors'!M39+'Avg Week SpearMotors-Ntinda'!M39</f>
        <v>188.14285714285714</v>
      </c>
      <c r="N39" s="49">
        <f>'Avg Week Ntinda-SpearMotors'!N39+'Avg Week SpearMotors-Ntinda'!N39</f>
        <v>0</v>
      </c>
      <c r="O39" s="15">
        <f t="shared" si="0"/>
        <v>99.142857142857153</v>
      </c>
      <c r="P39" s="15">
        <f t="shared" si="1"/>
        <v>287.28571428571428</v>
      </c>
      <c r="R39" s="29" t="s">
        <v>87</v>
      </c>
      <c r="S39" s="16">
        <f t="shared" ref="S39:AF39" si="31">SUM(S19:S21)</f>
        <v>581.42857142857133</v>
      </c>
      <c r="T39" s="16">
        <f t="shared" si="31"/>
        <v>337.14285714285717</v>
      </c>
      <c r="U39" s="16">
        <f t="shared" si="31"/>
        <v>112.71428571428572</v>
      </c>
      <c r="V39" s="16">
        <f t="shared" si="31"/>
        <v>148.42857142857144</v>
      </c>
      <c r="W39" s="16">
        <f t="shared" si="31"/>
        <v>2.1428571428571428</v>
      </c>
      <c r="X39" s="16">
        <f t="shared" si="31"/>
        <v>1</v>
      </c>
      <c r="Y39" s="16">
        <f t="shared" si="31"/>
        <v>47</v>
      </c>
      <c r="Z39" s="16">
        <f t="shared" si="31"/>
        <v>30.999999999999996</v>
      </c>
      <c r="AA39" s="16">
        <f t="shared" si="31"/>
        <v>19.428571428571427</v>
      </c>
      <c r="AB39" s="16">
        <f t="shared" si="31"/>
        <v>82.571428571428569</v>
      </c>
      <c r="AC39" s="16">
        <f t="shared" si="31"/>
        <v>3072.2857142857142</v>
      </c>
      <c r="AD39" s="16">
        <f t="shared" si="31"/>
        <v>0.14285714285714285</v>
      </c>
      <c r="AE39" s="32">
        <f t="shared" si="31"/>
        <v>1363</v>
      </c>
      <c r="AF39" s="32">
        <f t="shared" si="31"/>
        <v>4435.2857142857147</v>
      </c>
    </row>
    <row r="40" spans="2:32" ht="23.1" customHeight="1" x14ac:dyDescent="0.25">
      <c r="B40" s="24" t="s">
        <v>67</v>
      </c>
      <c r="C40" s="49">
        <f>'Avg Week Ntinda-SpearMotors'!C40+'Avg Week SpearMotors-Ntinda'!C40</f>
        <v>37.428571428571431</v>
      </c>
      <c r="D40" s="49">
        <f>'Avg Week Ntinda-SpearMotors'!D40+'Avg Week SpearMotors-Ntinda'!D40</f>
        <v>20.857142857142858</v>
      </c>
      <c r="E40" s="49">
        <f>'Avg Week Ntinda-SpearMotors'!E40+'Avg Week SpearMotors-Ntinda'!E40</f>
        <v>9.2857142857142847</v>
      </c>
      <c r="F40" s="49">
        <f>'Avg Week Ntinda-SpearMotors'!F40+'Avg Week SpearMotors-Ntinda'!F40</f>
        <v>13.285714285714285</v>
      </c>
      <c r="G40" s="49">
        <f>'Avg Week Ntinda-SpearMotors'!G40+'Avg Week SpearMotors-Ntinda'!G40</f>
        <v>0</v>
      </c>
      <c r="H40" s="49">
        <f>'Avg Week Ntinda-SpearMotors'!H40+'Avg Week SpearMotors-Ntinda'!H40</f>
        <v>0</v>
      </c>
      <c r="I40" s="49">
        <f>'Avg Week Ntinda-SpearMotors'!I40+'Avg Week SpearMotors-Ntinda'!I40</f>
        <v>5.5714285714285712</v>
      </c>
      <c r="J40" s="49">
        <f>'Avg Week Ntinda-SpearMotors'!J40+'Avg Week SpearMotors-Ntinda'!J40</f>
        <v>2.8571428571428572</v>
      </c>
      <c r="K40" s="49">
        <f>'Avg Week Ntinda-SpearMotors'!K40+'Avg Week SpearMotors-Ntinda'!K40</f>
        <v>3.1428571428571432</v>
      </c>
      <c r="L40" s="49">
        <f>'Avg Week Ntinda-SpearMotors'!L40+'Avg Week SpearMotors-Ntinda'!L40</f>
        <v>6.8571428571428577</v>
      </c>
      <c r="M40" s="49">
        <f>'Avg Week Ntinda-SpearMotors'!M40+'Avg Week SpearMotors-Ntinda'!M40</f>
        <v>198.14285714285714</v>
      </c>
      <c r="N40" s="49">
        <f>'Avg Week Ntinda-SpearMotors'!N40+'Avg Week SpearMotors-Ntinda'!N40</f>
        <v>0</v>
      </c>
      <c r="O40" s="15">
        <f t="shared" si="0"/>
        <v>99.285714285714292</v>
      </c>
      <c r="P40" s="15">
        <f t="shared" si="1"/>
        <v>297.42857142857144</v>
      </c>
      <c r="R40" s="5" t="s">
        <v>17</v>
      </c>
      <c r="S40" s="16">
        <f t="shared" ref="S40:AF40" si="32">SUM(S10:S21)</f>
        <v>1955.8571428571429</v>
      </c>
      <c r="T40" s="16">
        <f t="shared" si="32"/>
        <v>1078.8571428571429</v>
      </c>
      <c r="U40" s="16">
        <f t="shared" si="32"/>
        <v>430.57142857142861</v>
      </c>
      <c r="V40" s="16">
        <f t="shared" si="32"/>
        <v>774.28571428571411</v>
      </c>
      <c r="W40" s="16">
        <f t="shared" si="32"/>
        <v>11.571428571428569</v>
      </c>
      <c r="X40" s="16">
        <f t="shared" si="32"/>
        <v>3.7142857142857131</v>
      </c>
      <c r="Y40" s="16">
        <f t="shared" si="32"/>
        <v>226.71428571428575</v>
      </c>
      <c r="Z40" s="16">
        <f t="shared" si="32"/>
        <v>156.71428571428567</v>
      </c>
      <c r="AA40" s="16">
        <f t="shared" si="32"/>
        <v>116.57142857142857</v>
      </c>
      <c r="AB40" s="16">
        <f t="shared" si="32"/>
        <v>398.57142857142856</v>
      </c>
      <c r="AC40" s="16">
        <f t="shared" si="32"/>
        <v>11496</v>
      </c>
      <c r="AD40" s="16">
        <f t="shared" si="32"/>
        <v>1.5714285714285712</v>
      </c>
      <c r="AE40" s="32">
        <f t="shared" si="32"/>
        <v>5155</v>
      </c>
      <c r="AF40" s="32">
        <f t="shared" si="32"/>
        <v>16651</v>
      </c>
    </row>
    <row r="41" spans="2:32" ht="23.1" customHeight="1" x14ac:dyDescent="0.25">
      <c r="B41" s="23" t="s">
        <v>68</v>
      </c>
      <c r="C41" s="49">
        <f>'Avg Week Ntinda-SpearMotors'!C41+'Avg Week SpearMotors-Ntinda'!C41</f>
        <v>41.857142857142861</v>
      </c>
      <c r="D41" s="49">
        <f>'Avg Week Ntinda-SpearMotors'!D41+'Avg Week SpearMotors-Ntinda'!D41</f>
        <v>28.428571428571431</v>
      </c>
      <c r="E41" s="49">
        <f>'Avg Week Ntinda-SpearMotors'!E41+'Avg Week SpearMotors-Ntinda'!E41</f>
        <v>9.4285714285714288</v>
      </c>
      <c r="F41" s="49">
        <f>'Avg Week Ntinda-SpearMotors'!F41+'Avg Week SpearMotors-Ntinda'!F41</f>
        <v>11.857142857142858</v>
      </c>
      <c r="G41" s="49">
        <f>'Avg Week Ntinda-SpearMotors'!G41+'Avg Week SpearMotors-Ntinda'!G41</f>
        <v>0</v>
      </c>
      <c r="H41" s="49">
        <f>'Avg Week Ntinda-SpearMotors'!H41+'Avg Week SpearMotors-Ntinda'!H41</f>
        <v>0.14285714285714285</v>
      </c>
      <c r="I41" s="49">
        <f>'Avg Week Ntinda-SpearMotors'!I41+'Avg Week SpearMotors-Ntinda'!I41</f>
        <v>3.8571428571428568</v>
      </c>
      <c r="J41" s="49">
        <f>'Avg Week Ntinda-SpearMotors'!J41+'Avg Week SpearMotors-Ntinda'!J41</f>
        <v>2.7142857142857144</v>
      </c>
      <c r="K41" s="49">
        <f>'Avg Week Ntinda-SpearMotors'!K41+'Avg Week SpearMotors-Ntinda'!K41</f>
        <v>2.4285714285714284</v>
      </c>
      <c r="L41" s="49">
        <f>'Avg Week Ntinda-SpearMotors'!L41+'Avg Week SpearMotors-Ntinda'!L41</f>
        <v>11.142857142857142</v>
      </c>
      <c r="M41" s="49">
        <f>'Avg Week Ntinda-SpearMotors'!M41+'Avg Week SpearMotors-Ntinda'!M41</f>
        <v>213.85714285714286</v>
      </c>
      <c r="N41" s="49">
        <f>'Avg Week Ntinda-SpearMotors'!N41+'Avg Week SpearMotors-Ntinda'!N41</f>
        <v>0</v>
      </c>
      <c r="O41" s="15">
        <f t="shared" si="0"/>
        <v>111.85714285714286</v>
      </c>
      <c r="P41" s="15">
        <f t="shared" si="1"/>
        <v>325.71428571428572</v>
      </c>
      <c r="R41" s="5" t="s">
        <v>189</v>
      </c>
      <c r="S41" s="16">
        <f>SUM(S10:S33)</f>
        <v>3296.3571428571431</v>
      </c>
      <c r="T41" s="16">
        <f t="shared" ref="T41:AD41" si="33">SUM(T10:T33)</f>
        <v>1977.3571428571429</v>
      </c>
      <c r="U41" s="16">
        <f t="shared" si="33"/>
        <v>638.57142857142867</v>
      </c>
      <c r="V41" s="16">
        <f t="shared" si="33"/>
        <v>1176.2857142857142</v>
      </c>
      <c r="W41" s="16">
        <f t="shared" si="33"/>
        <v>18.571428571428569</v>
      </c>
      <c r="X41" s="16">
        <f t="shared" si="33"/>
        <v>5.7142857142857135</v>
      </c>
      <c r="Y41" s="16">
        <f t="shared" si="33"/>
        <v>276.21428571428578</v>
      </c>
      <c r="Z41" s="16">
        <f t="shared" si="33"/>
        <v>192.21428571428567</v>
      </c>
      <c r="AA41" s="16">
        <f t="shared" si="33"/>
        <v>139.07142857142856</v>
      </c>
      <c r="AB41" s="16">
        <f t="shared" si="33"/>
        <v>458.07142857142856</v>
      </c>
      <c r="AC41" s="16">
        <f t="shared" si="33"/>
        <v>15614</v>
      </c>
      <c r="AD41" s="16">
        <f t="shared" si="33"/>
        <v>1.5714285714285712</v>
      </c>
      <c r="AE41" s="32">
        <f>SUM(AE10:AE33)</f>
        <v>8180</v>
      </c>
      <c r="AF41" s="32">
        <f>SUM(AF10:AF33)</f>
        <v>23794</v>
      </c>
    </row>
    <row r="42" spans="2:32" ht="23.1" customHeight="1" x14ac:dyDescent="0.25">
      <c r="B42" s="24" t="s">
        <v>69</v>
      </c>
      <c r="C42" s="49">
        <f>'Avg Week Ntinda-SpearMotors'!C42+'Avg Week SpearMotors-Ntinda'!C42</f>
        <v>42.142857142857139</v>
      </c>
      <c r="D42" s="49">
        <f>'Avg Week Ntinda-SpearMotors'!D42+'Avg Week SpearMotors-Ntinda'!D42</f>
        <v>21.428571428571431</v>
      </c>
      <c r="E42" s="49">
        <f>'Avg Week Ntinda-SpearMotors'!E42+'Avg Week SpearMotors-Ntinda'!E42</f>
        <v>9</v>
      </c>
      <c r="F42" s="49">
        <f>'Avg Week Ntinda-SpearMotors'!F42+'Avg Week SpearMotors-Ntinda'!F42</f>
        <v>12.285714285714285</v>
      </c>
      <c r="G42" s="49">
        <f>'Avg Week Ntinda-SpearMotors'!G42+'Avg Week SpearMotors-Ntinda'!G42</f>
        <v>0.14285714285714285</v>
      </c>
      <c r="H42" s="49">
        <f>'Avg Week Ntinda-SpearMotors'!H42+'Avg Week SpearMotors-Ntinda'!H42</f>
        <v>0.14285714285714285</v>
      </c>
      <c r="I42" s="49">
        <f>'Avg Week Ntinda-SpearMotors'!I42+'Avg Week SpearMotors-Ntinda'!I42</f>
        <v>4.7142857142857144</v>
      </c>
      <c r="J42" s="49">
        <f>'Avg Week Ntinda-SpearMotors'!J42+'Avg Week SpearMotors-Ntinda'!J42</f>
        <v>4.1428571428571423</v>
      </c>
      <c r="K42" s="49">
        <f>'Avg Week Ntinda-SpearMotors'!K42+'Avg Week SpearMotors-Ntinda'!K42</f>
        <v>3.1428571428571428</v>
      </c>
      <c r="L42" s="49">
        <f>'Avg Week Ntinda-SpearMotors'!L42+'Avg Week SpearMotors-Ntinda'!L42</f>
        <v>8.1428571428571423</v>
      </c>
      <c r="M42" s="49">
        <f>'Avg Week Ntinda-SpearMotors'!M42+'Avg Week SpearMotors-Ntinda'!M42</f>
        <v>218.42857142857144</v>
      </c>
      <c r="N42" s="49">
        <f>'Avg Week Ntinda-SpearMotors'!N42+'Avg Week SpearMotors-Ntinda'!N42</f>
        <v>0.14285714285714285</v>
      </c>
      <c r="O42" s="15">
        <f t="shared" si="0"/>
        <v>105.4285714285714</v>
      </c>
      <c r="P42" s="15">
        <f t="shared" si="1"/>
        <v>323.85714285714289</v>
      </c>
      <c r="R42" s="5" t="s">
        <v>160</v>
      </c>
      <c r="S42" s="48">
        <f>S41/S40</f>
        <v>1.6853772551311081</v>
      </c>
      <c r="T42" s="48">
        <f t="shared" ref="T42:AF42" si="34">T41/T40</f>
        <v>1.8328257415254237</v>
      </c>
      <c r="U42" s="48">
        <f t="shared" si="34"/>
        <v>1.4830789648307898</v>
      </c>
      <c r="V42" s="48">
        <f t="shared" si="34"/>
        <v>1.519188191881919</v>
      </c>
      <c r="W42" s="48">
        <f t="shared" si="34"/>
        <v>1.6049382716049383</v>
      </c>
      <c r="X42" s="48">
        <f t="shared" si="34"/>
        <v>1.5384615384615388</v>
      </c>
      <c r="Y42" s="48">
        <f t="shared" si="34"/>
        <v>1.2183364839319473</v>
      </c>
      <c r="Z42" s="48">
        <f t="shared" si="34"/>
        <v>1.2265268915223337</v>
      </c>
      <c r="AA42" s="48">
        <f t="shared" si="34"/>
        <v>1.1930147058823528</v>
      </c>
      <c r="AB42" s="48">
        <f t="shared" si="34"/>
        <v>1.1492831541218638</v>
      </c>
      <c r="AC42" s="48">
        <f t="shared" si="34"/>
        <v>1.3582115518441198</v>
      </c>
      <c r="AD42" s="48">
        <f t="shared" si="34"/>
        <v>1</v>
      </c>
      <c r="AE42" s="51">
        <f t="shared" si="34"/>
        <v>1.5868089233753637</v>
      </c>
      <c r="AF42" s="51">
        <f t="shared" si="34"/>
        <v>1.4289832442495947</v>
      </c>
    </row>
    <row r="43" spans="2:32" ht="23.1" customHeight="1" x14ac:dyDescent="0.25">
      <c r="B43" s="23" t="s">
        <v>70</v>
      </c>
      <c r="C43" s="49">
        <f>'Avg Week Ntinda-SpearMotors'!C43+'Avg Week SpearMotors-Ntinda'!C43</f>
        <v>39.428571428571431</v>
      </c>
      <c r="D43" s="49">
        <f>'Avg Week Ntinda-SpearMotors'!D43+'Avg Week SpearMotors-Ntinda'!D43</f>
        <v>19.285714285714285</v>
      </c>
      <c r="E43" s="49">
        <f>'Avg Week Ntinda-SpearMotors'!E43+'Avg Week SpearMotors-Ntinda'!E43</f>
        <v>8</v>
      </c>
      <c r="F43" s="49">
        <f>'Avg Week Ntinda-SpearMotors'!F43+'Avg Week SpearMotors-Ntinda'!F43</f>
        <v>14.714285714285715</v>
      </c>
      <c r="G43" s="49">
        <f>'Avg Week Ntinda-SpearMotors'!G43+'Avg Week SpearMotors-Ntinda'!G43</f>
        <v>0.42857142857142855</v>
      </c>
      <c r="H43" s="49">
        <f>'Avg Week Ntinda-SpearMotors'!H43+'Avg Week SpearMotors-Ntinda'!H43</f>
        <v>0</v>
      </c>
      <c r="I43" s="49">
        <f>'Avg Week Ntinda-SpearMotors'!I43+'Avg Week SpearMotors-Ntinda'!I43</f>
        <v>4.2857142857142856</v>
      </c>
      <c r="J43" s="49">
        <f>'Avg Week Ntinda-SpearMotors'!J43+'Avg Week SpearMotors-Ntinda'!J43</f>
        <v>2.1428571428571428</v>
      </c>
      <c r="K43" s="49">
        <f>'Avg Week Ntinda-SpearMotors'!K43+'Avg Week SpearMotors-Ntinda'!K43</f>
        <v>1.8571428571428572</v>
      </c>
      <c r="L43" s="49">
        <f>'Avg Week Ntinda-SpearMotors'!L43+'Avg Week SpearMotors-Ntinda'!L43</f>
        <v>7</v>
      </c>
      <c r="M43" s="49">
        <f>'Avg Week Ntinda-SpearMotors'!M43+'Avg Week SpearMotors-Ntinda'!M43</f>
        <v>214.14285714285717</v>
      </c>
      <c r="N43" s="49">
        <f>'Avg Week Ntinda-SpearMotors'!N43+'Avg Week SpearMotors-Ntinda'!N43</f>
        <v>0</v>
      </c>
      <c r="O43" s="15">
        <f t="shared" si="0"/>
        <v>97.142857142857167</v>
      </c>
      <c r="P43" s="15">
        <f t="shared" si="1"/>
        <v>311.28571428571433</v>
      </c>
    </row>
    <row r="44" spans="2:32" ht="23.1" customHeight="1" x14ac:dyDescent="0.25">
      <c r="B44" s="25" t="s">
        <v>71</v>
      </c>
      <c r="C44" s="49">
        <f>'Avg Week Ntinda-SpearMotors'!C44+'Avg Week SpearMotors-Ntinda'!C44</f>
        <v>43.285714285714285</v>
      </c>
      <c r="D44" s="49">
        <f>'Avg Week Ntinda-SpearMotors'!D44+'Avg Week SpearMotors-Ntinda'!D44</f>
        <v>26.857142857142854</v>
      </c>
      <c r="E44" s="49">
        <f>'Avg Week Ntinda-SpearMotors'!E44+'Avg Week SpearMotors-Ntinda'!E44</f>
        <v>9.5714285714285712</v>
      </c>
      <c r="F44" s="49">
        <f>'Avg Week Ntinda-SpearMotors'!F44+'Avg Week SpearMotors-Ntinda'!F44</f>
        <v>12.714285714285715</v>
      </c>
      <c r="G44" s="49">
        <f>'Avg Week Ntinda-SpearMotors'!G44+'Avg Week SpearMotors-Ntinda'!G44</f>
        <v>0.42857142857142855</v>
      </c>
      <c r="H44" s="49">
        <f>'Avg Week Ntinda-SpearMotors'!H44+'Avg Week SpearMotors-Ntinda'!H44</f>
        <v>0</v>
      </c>
      <c r="I44" s="49">
        <f>'Avg Week Ntinda-SpearMotors'!I44+'Avg Week SpearMotors-Ntinda'!I44</f>
        <v>4.4285714285714288</v>
      </c>
      <c r="J44" s="49">
        <f>'Avg Week Ntinda-SpearMotors'!J44+'Avg Week SpearMotors-Ntinda'!J44</f>
        <v>4.4285714285714288</v>
      </c>
      <c r="K44" s="49">
        <f>'Avg Week Ntinda-SpearMotors'!K44+'Avg Week SpearMotors-Ntinda'!K44</f>
        <v>2.8571428571428568</v>
      </c>
      <c r="L44" s="49">
        <f>'Avg Week Ntinda-SpearMotors'!L44+'Avg Week SpearMotors-Ntinda'!L44</f>
        <v>10</v>
      </c>
      <c r="M44" s="49">
        <f>'Avg Week Ntinda-SpearMotors'!M44+'Avg Week SpearMotors-Ntinda'!M44</f>
        <v>198.85714285714286</v>
      </c>
      <c r="N44" s="49">
        <f>'Avg Week Ntinda-SpearMotors'!N44+'Avg Week SpearMotors-Ntinda'!N44</f>
        <v>0</v>
      </c>
      <c r="O44" s="15">
        <f t="shared" si="0"/>
        <v>114.57142857142857</v>
      </c>
      <c r="P44" s="15">
        <f t="shared" si="1"/>
        <v>313.42857142857144</v>
      </c>
    </row>
    <row r="45" spans="2:32" ht="23.1" customHeight="1" x14ac:dyDescent="0.25">
      <c r="B45" s="23" t="s">
        <v>72</v>
      </c>
      <c r="C45" s="49">
        <f>'Avg Week Ntinda-SpearMotors'!C45+'Avg Week SpearMotors-Ntinda'!C45</f>
        <v>45.714285714285715</v>
      </c>
      <c r="D45" s="49">
        <f>'Avg Week Ntinda-SpearMotors'!D45+'Avg Week SpearMotors-Ntinda'!D45</f>
        <v>24</v>
      </c>
      <c r="E45" s="49">
        <f>'Avg Week Ntinda-SpearMotors'!E45+'Avg Week SpearMotors-Ntinda'!E45</f>
        <v>9</v>
      </c>
      <c r="F45" s="49">
        <f>'Avg Week Ntinda-SpearMotors'!F45+'Avg Week SpearMotors-Ntinda'!F45</f>
        <v>13</v>
      </c>
      <c r="G45" s="49">
        <f>'Avg Week Ntinda-SpearMotors'!G45+'Avg Week SpearMotors-Ntinda'!G45</f>
        <v>0</v>
      </c>
      <c r="H45" s="49">
        <f>'Avg Week Ntinda-SpearMotors'!H45+'Avg Week SpearMotors-Ntinda'!H45</f>
        <v>0</v>
      </c>
      <c r="I45" s="49">
        <f>'Avg Week Ntinda-SpearMotors'!I45+'Avg Week SpearMotors-Ntinda'!I45</f>
        <v>6.2857142857142856</v>
      </c>
      <c r="J45" s="49">
        <f>'Avg Week Ntinda-SpearMotors'!J45+'Avg Week SpearMotors-Ntinda'!J45</f>
        <v>4</v>
      </c>
      <c r="K45" s="49">
        <f>'Avg Week Ntinda-SpearMotors'!K45+'Avg Week SpearMotors-Ntinda'!K45</f>
        <v>1.8571428571428572</v>
      </c>
      <c r="L45" s="49">
        <f>'Avg Week Ntinda-SpearMotors'!L45+'Avg Week SpearMotors-Ntinda'!L45</f>
        <v>10.714285714285714</v>
      </c>
      <c r="M45" s="49">
        <f>'Avg Week Ntinda-SpearMotors'!M45+'Avg Week SpearMotors-Ntinda'!M45</f>
        <v>230.71428571428572</v>
      </c>
      <c r="N45" s="49">
        <f>'Avg Week Ntinda-SpearMotors'!N45+'Avg Week SpearMotors-Ntinda'!N45</f>
        <v>0</v>
      </c>
      <c r="O45" s="15">
        <f t="shared" si="0"/>
        <v>114.57142857142858</v>
      </c>
      <c r="P45" s="15">
        <f t="shared" si="1"/>
        <v>345.28571428571433</v>
      </c>
    </row>
    <row r="46" spans="2:32" ht="23.1" customHeight="1" x14ac:dyDescent="0.25">
      <c r="B46" s="24" t="s">
        <v>73</v>
      </c>
      <c r="C46" s="49">
        <f>'Avg Week Ntinda-SpearMotors'!C46+'Avg Week SpearMotors-Ntinda'!C46</f>
        <v>44.714285714285715</v>
      </c>
      <c r="D46" s="49">
        <f>'Avg Week Ntinda-SpearMotors'!D46+'Avg Week SpearMotors-Ntinda'!D46</f>
        <v>26.857142857142858</v>
      </c>
      <c r="E46" s="49">
        <f>'Avg Week Ntinda-SpearMotors'!E46+'Avg Week SpearMotors-Ntinda'!E46</f>
        <v>14.428571428571427</v>
      </c>
      <c r="F46" s="49">
        <f>'Avg Week Ntinda-SpearMotors'!F46+'Avg Week SpearMotors-Ntinda'!F46</f>
        <v>16</v>
      </c>
      <c r="G46" s="49">
        <f>'Avg Week Ntinda-SpearMotors'!G46+'Avg Week SpearMotors-Ntinda'!G46</f>
        <v>0</v>
      </c>
      <c r="H46" s="49">
        <f>'Avg Week Ntinda-SpearMotors'!H46+'Avg Week SpearMotors-Ntinda'!H46</f>
        <v>0.14285714285714285</v>
      </c>
      <c r="I46" s="49">
        <f>'Avg Week Ntinda-SpearMotors'!I46+'Avg Week SpearMotors-Ntinda'!I46</f>
        <v>4.1428571428571423</v>
      </c>
      <c r="J46" s="49">
        <f>'Avg Week Ntinda-SpearMotors'!J46+'Avg Week SpearMotors-Ntinda'!J46</f>
        <v>3.2857142857142856</v>
      </c>
      <c r="K46" s="49">
        <f>'Avg Week Ntinda-SpearMotors'!K46+'Avg Week SpearMotors-Ntinda'!K46</f>
        <v>1.5714285714285714</v>
      </c>
      <c r="L46" s="49">
        <f>'Avg Week Ntinda-SpearMotors'!L46+'Avg Week SpearMotors-Ntinda'!L46</f>
        <v>8</v>
      </c>
      <c r="M46" s="49">
        <f>'Avg Week Ntinda-SpearMotors'!M46+'Avg Week SpearMotors-Ntinda'!M46</f>
        <v>247</v>
      </c>
      <c r="N46" s="49">
        <f>'Avg Week Ntinda-SpearMotors'!N46+'Avg Week SpearMotors-Ntinda'!N46</f>
        <v>0</v>
      </c>
      <c r="O46" s="15">
        <f t="shared" si="0"/>
        <v>119.14285714285714</v>
      </c>
      <c r="P46" s="15">
        <f t="shared" si="1"/>
        <v>366.14285714285711</v>
      </c>
    </row>
    <row r="47" spans="2:32" ht="23.1" customHeight="1" x14ac:dyDescent="0.25">
      <c r="B47" s="24" t="s">
        <v>74</v>
      </c>
      <c r="C47" s="49">
        <f>'Avg Week Ntinda-SpearMotors'!C47+'Avg Week SpearMotors-Ntinda'!C47</f>
        <v>52</v>
      </c>
      <c r="D47" s="49">
        <f>'Avg Week Ntinda-SpearMotors'!D47+'Avg Week SpearMotors-Ntinda'!D47</f>
        <v>26.571428571428573</v>
      </c>
      <c r="E47" s="49">
        <f>'Avg Week Ntinda-SpearMotors'!E47+'Avg Week SpearMotors-Ntinda'!E47</f>
        <v>10.571428571428571</v>
      </c>
      <c r="F47" s="49">
        <f>'Avg Week Ntinda-SpearMotors'!F47+'Avg Week SpearMotors-Ntinda'!F47</f>
        <v>12.714285714285715</v>
      </c>
      <c r="G47" s="49">
        <f>'Avg Week Ntinda-SpearMotors'!G47+'Avg Week SpearMotors-Ntinda'!G47</f>
        <v>0.2857142857142857</v>
      </c>
      <c r="H47" s="49">
        <f>'Avg Week Ntinda-SpearMotors'!H47+'Avg Week SpearMotors-Ntinda'!H47</f>
        <v>0.2857142857142857</v>
      </c>
      <c r="I47" s="49">
        <f>'Avg Week Ntinda-SpearMotors'!I47+'Avg Week SpearMotors-Ntinda'!I47</f>
        <v>6.4285714285714288</v>
      </c>
      <c r="J47" s="49">
        <f>'Avg Week Ntinda-SpearMotors'!J47+'Avg Week SpearMotors-Ntinda'!J47</f>
        <v>3.8571428571428568</v>
      </c>
      <c r="K47" s="49">
        <f>'Avg Week Ntinda-SpearMotors'!K47+'Avg Week SpearMotors-Ntinda'!K47</f>
        <v>2.4285714285714288</v>
      </c>
      <c r="L47" s="49">
        <f>'Avg Week Ntinda-SpearMotors'!L47+'Avg Week SpearMotors-Ntinda'!L47</f>
        <v>12.285714285714285</v>
      </c>
      <c r="M47" s="49">
        <f>'Avg Week Ntinda-SpearMotors'!M47+'Avg Week SpearMotors-Ntinda'!M47</f>
        <v>238.28571428571428</v>
      </c>
      <c r="N47" s="49">
        <f>'Avg Week Ntinda-SpearMotors'!N47+'Avg Week SpearMotors-Ntinda'!N47</f>
        <v>0</v>
      </c>
      <c r="O47" s="15">
        <f t="shared" si="0"/>
        <v>127.42857142857144</v>
      </c>
      <c r="P47" s="15">
        <f t="shared" si="1"/>
        <v>365.71428571428572</v>
      </c>
    </row>
    <row r="48" spans="2:32" ht="23.1" customHeight="1" x14ac:dyDescent="0.25">
      <c r="B48" s="24" t="s">
        <v>75</v>
      </c>
      <c r="C48" s="49">
        <f>'Avg Week Ntinda-SpearMotors'!C48+'Avg Week SpearMotors-Ntinda'!C48</f>
        <v>42.428571428571431</v>
      </c>
      <c r="D48" s="49">
        <f>'Avg Week Ntinda-SpearMotors'!D48+'Avg Week SpearMotors-Ntinda'!D48</f>
        <v>27.857142857142854</v>
      </c>
      <c r="E48" s="49">
        <f>'Avg Week Ntinda-SpearMotors'!E48+'Avg Week SpearMotors-Ntinda'!E48</f>
        <v>6.4285714285714288</v>
      </c>
      <c r="F48" s="49">
        <f>'Avg Week Ntinda-SpearMotors'!F48+'Avg Week SpearMotors-Ntinda'!F48</f>
        <v>13.285714285714285</v>
      </c>
      <c r="G48" s="49">
        <f>'Avg Week Ntinda-SpearMotors'!G48+'Avg Week SpearMotors-Ntinda'!G48</f>
        <v>0.14285714285714285</v>
      </c>
      <c r="H48" s="49">
        <f>'Avg Week Ntinda-SpearMotors'!H48+'Avg Week SpearMotors-Ntinda'!H48</f>
        <v>0</v>
      </c>
      <c r="I48" s="49">
        <f>'Avg Week Ntinda-SpearMotors'!I48+'Avg Week SpearMotors-Ntinda'!I48</f>
        <v>4.2857142857142856</v>
      </c>
      <c r="J48" s="49">
        <f>'Avg Week Ntinda-SpearMotors'!J48+'Avg Week SpearMotors-Ntinda'!J48</f>
        <v>3.5714285714285712</v>
      </c>
      <c r="K48" s="49">
        <f>'Avg Week Ntinda-SpearMotors'!K48+'Avg Week SpearMotors-Ntinda'!K48</f>
        <v>2.5714285714285712</v>
      </c>
      <c r="L48" s="49">
        <f>'Avg Week Ntinda-SpearMotors'!L48+'Avg Week SpearMotors-Ntinda'!L48</f>
        <v>13</v>
      </c>
      <c r="M48" s="49">
        <f>'Avg Week Ntinda-SpearMotors'!M48+'Avg Week SpearMotors-Ntinda'!M48</f>
        <v>252.42857142857144</v>
      </c>
      <c r="N48" s="49">
        <f>'Avg Week Ntinda-SpearMotors'!N48+'Avg Week SpearMotors-Ntinda'!N48</f>
        <v>0</v>
      </c>
      <c r="O48" s="15">
        <f t="shared" si="0"/>
        <v>113.57142857142857</v>
      </c>
      <c r="P48" s="15">
        <f t="shared" si="1"/>
        <v>366</v>
      </c>
    </row>
    <row r="49" spans="2:20" ht="23.1" customHeight="1" x14ac:dyDescent="0.25">
      <c r="B49" s="23" t="s">
        <v>76</v>
      </c>
      <c r="C49" s="49">
        <f>'Avg Week Ntinda-SpearMotors'!C49+'Avg Week SpearMotors-Ntinda'!C49</f>
        <v>49</v>
      </c>
      <c r="D49" s="49">
        <f>'Avg Week Ntinda-SpearMotors'!D49+'Avg Week SpearMotors-Ntinda'!D49</f>
        <v>34.857142857142861</v>
      </c>
      <c r="E49" s="49">
        <f>'Avg Week Ntinda-SpearMotors'!E49+'Avg Week SpearMotors-Ntinda'!E49</f>
        <v>10.571428571428571</v>
      </c>
      <c r="F49" s="49">
        <f>'Avg Week Ntinda-SpearMotors'!F49+'Avg Week SpearMotors-Ntinda'!F49</f>
        <v>12.142857142857142</v>
      </c>
      <c r="G49" s="49">
        <f>'Avg Week Ntinda-SpearMotors'!G49+'Avg Week SpearMotors-Ntinda'!G49</f>
        <v>0</v>
      </c>
      <c r="H49" s="49">
        <f>'Avg Week Ntinda-SpearMotors'!H49+'Avg Week SpearMotors-Ntinda'!H49</f>
        <v>0</v>
      </c>
      <c r="I49" s="49">
        <f>'Avg Week Ntinda-SpearMotors'!I49+'Avg Week SpearMotors-Ntinda'!I49</f>
        <v>4.2857142857142856</v>
      </c>
      <c r="J49" s="49">
        <f>'Avg Week Ntinda-SpearMotors'!J49+'Avg Week SpearMotors-Ntinda'!J49</f>
        <v>2.7142857142857144</v>
      </c>
      <c r="K49" s="49">
        <f>'Avg Week Ntinda-SpearMotors'!K49+'Avg Week SpearMotors-Ntinda'!K49</f>
        <v>1.7142857142857144</v>
      </c>
      <c r="L49" s="49">
        <f>'Avg Week Ntinda-SpearMotors'!L49+'Avg Week SpearMotors-Ntinda'!L49</f>
        <v>8.7142857142857153</v>
      </c>
      <c r="M49" s="49">
        <f>'Avg Week Ntinda-SpearMotors'!M49+'Avg Week SpearMotors-Ntinda'!M49</f>
        <v>244.71428571428572</v>
      </c>
      <c r="N49" s="49">
        <f>'Avg Week Ntinda-SpearMotors'!N49+'Avg Week SpearMotors-Ntinda'!N49</f>
        <v>0</v>
      </c>
      <c r="O49" s="15">
        <f t="shared" si="0"/>
        <v>124</v>
      </c>
      <c r="P49" s="15">
        <f t="shared" si="1"/>
        <v>368.71428571428572</v>
      </c>
    </row>
    <row r="50" spans="2:20" ht="23.1" customHeight="1" x14ac:dyDescent="0.25">
      <c r="B50" s="24" t="s">
        <v>77</v>
      </c>
      <c r="C50" s="49">
        <f>'Avg Week Ntinda-SpearMotors'!C50+'Avg Week SpearMotors-Ntinda'!C50</f>
        <v>42</v>
      </c>
      <c r="D50" s="49">
        <f>'Avg Week Ntinda-SpearMotors'!D50+'Avg Week SpearMotors-Ntinda'!D50</f>
        <v>22.142857142857142</v>
      </c>
      <c r="E50" s="49">
        <f>'Avg Week Ntinda-SpearMotors'!E50+'Avg Week SpearMotors-Ntinda'!E50</f>
        <v>11.285714285714286</v>
      </c>
      <c r="F50" s="49">
        <f>'Avg Week Ntinda-SpearMotors'!F50+'Avg Week SpearMotors-Ntinda'!F50</f>
        <v>14.142857142857142</v>
      </c>
      <c r="G50" s="49">
        <f>'Avg Week Ntinda-SpearMotors'!G50+'Avg Week SpearMotors-Ntinda'!G50</f>
        <v>0.14285714285714285</v>
      </c>
      <c r="H50" s="49">
        <f>'Avg Week Ntinda-SpearMotors'!H50+'Avg Week SpearMotors-Ntinda'!H50</f>
        <v>0</v>
      </c>
      <c r="I50" s="49">
        <f>'Avg Week Ntinda-SpearMotors'!I50+'Avg Week SpearMotors-Ntinda'!I50</f>
        <v>4</v>
      </c>
      <c r="J50" s="49">
        <f>'Avg Week Ntinda-SpearMotors'!J50+'Avg Week SpearMotors-Ntinda'!J50</f>
        <v>2.2857142857142856</v>
      </c>
      <c r="K50" s="49">
        <f>'Avg Week Ntinda-SpearMotors'!K50+'Avg Week SpearMotors-Ntinda'!K50</f>
        <v>2.1428571428571428</v>
      </c>
      <c r="L50" s="49">
        <f>'Avg Week Ntinda-SpearMotors'!L50+'Avg Week SpearMotors-Ntinda'!L50</f>
        <v>6.8571428571428577</v>
      </c>
      <c r="M50" s="49">
        <f>'Avg Week Ntinda-SpearMotors'!M50+'Avg Week SpearMotors-Ntinda'!M50</f>
        <v>281.85714285714283</v>
      </c>
      <c r="N50" s="49">
        <f>'Avg Week Ntinda-SpearMotors'!N50+'Avg Week SpearMotors-Ntinda'!N50</f>
        <v>0</v>
      </c>
      <c r="O50" s="15">
        <f t="shared" si="0"/>
        <v>105</v>
      </c>
      <c r="P50" s="15">
        <f t="shared" si="1"/>
        <v>386.85714285714283</v>
      </c>
    </row>
    <row r="51" spans="2:20" ht="23.1" customHeight="1" x14ac:dyDescent="0.25">
      <c r="B51" s="24" t="s">
        <v>78</v>
      </c>
      <c r="C51" s="49">
        <f>'Avg Week Ntinda-SpearMotors'!C51+'Avg Week SpearMotors-Ntinda'!C51</f>
        <v>52.428571428571431</v>
      </c>
      <c r="D51" s="49">
        <f>'Avg Week Ntinda-SpearMotors'!D51+'Avg Week SpearMotors-Ntinda'!D51</f>
        <v>27.714285714285715</v>
      </c>
      <c r="E51" s="49">
        <f>'Avg Week Ntinda-SpearMotors'!E51+'Avg Week SpearMotors-Ntinda'!E51</f>
        <v>9.571428571428573</v>
      </c>
      <c r="F51" s="49">
        <f>'Avg Week Ntinda-SpearMotors'!F51+'Avg Week SpearMotors-Ntinda'!F51</f>
        <v>9.1428571428571423</v>
      </c>
      <c r="G51" s="49">
        <f>'Avg Week Ntinda-SpearMotors'!G51+'Avg Week SpearMotors-Ntinda'!G51</f>
        <v>0.14285714285714285</v>
      </c>
      <c r="H51" s="49">
        <f>'Avg Week Ntinda-SpearMotors'!H51+'Avg Week SpearMotors-Ntinda'!H51</f>
        <v>0</v>
      </c>
      <c r="I51" s="49">
        <f>'Avg Week Ntinda-SpearMotors'!I51+'Avg Week SpearMotors-Ntinda'!I51</f>
        <v>2.8571428571428568</v>
      </c>
      <c r="J51" s="49">
        <f>'Avg Week Ntinda-SpearMotors'!J51+'Avg Week SpearMotors-Ntinda'!J51</f>
        <v>2.5714285714285712</v>
      </c>
      <c r="K51" s="49">
        <f>'Avg Week Ntinda-SpearMotors'!K51+'Avg Week SpearMotors-Ntinda'!K51</f>
        <v>1.1428571428571428</v>
      </c>
      <c r="L51" s="49">
        <f>'Avg Week Ntinda-SpearMotors'!L51+'Avg Week SpearMotors-Ntinda'!L51</f>
        <v>4.2857142857142856</v>
      </c>
      <c r="M51" s="49">
        <f>'Avg Week Ntinda-SpearMotors'!M51+'Avg Week SpearMotors-Ntinda'!M51</f>
        <v>258.14285714285717</v>
      </c>
      <c r="N51" s="49">
        <f>'Avg Week Ntinda-SpearMotors'!N51+'Avg Week SpearMotors-Ntinda'!N51</f>
        <v>0</v>
      </c>
      <c r="O51" s="15">
        <f t="shared" si="0"/>
        <v>109.85714285714285</v>
      </c>
      <c r="P51" s="15">
        <f t="shared" si="1"/>
        <v>368</v>
      </c>
    </row>
    <row r="52" spans="2:20" ht="23.1" customHeight="1" x14ac:dyDescent="0.25">
      <c r="B52" s="24" t="s">
        <v>79</v>
      </c>
      <c r="C52" s="49">
        <f>'Avg Week Ntinda-SpearMotors'!C52+'Avg Week SpearMotors-Ntinda'!C52</f>
        <v>42.857142857142861</v>
      </c>
      <c r="D52" s="49">
        <f>'Avg Week Ntinda-SpearMotors'!D52+'Avg Week SpearMotors-Ntinda'!D52</f>
        <v>23.714285714285715</v>
      </c>
      <c r="E52" s="49">
        <f>'Avg Week Ntinda-SpearMotors'!E52+'Avg Week SpearMotors-Ntinda'!E52</f>
        <v>7.7142857142857144</v>
      </c>
      <c r="F52" s="49">
        <f>'Avg Week Ntinda-SpearMotors'!F52+'Avg Week SpearMotors-Ntinda'!F52</f>
        <v>10.714285714285714</v>
      </c>
      <c r="G52" s="49">
        <f>'Avg Week Ntinda-SpearMotors'!G52+'Avg Week SpearMotors-Ntinda'!G52</f>
        <v>0.2857142857142857</v>
      </c>
      <c r="H52" s="49">
        <f>'Avg Week Ntinda-SpearMotors'!H52+'Avg Week SpearMotors-Ntinda'!H52</f>
        <v>0.14285714285714285</v>
      </c>
      <c r="I52" s="49">
        <f>'Avg Week Ntinda-SpearMotors'!I52+'Avg Week SpearMotors-Ntinda'!I52</f>
        <v>5.1428571428571432</v>
      </c>
      <c r="J52" s="49">
        <f>'Avg Week Ntinda-SpearMotors'!J52+'Avg Week SpearMotors-Ntinda'!J52</f>
        <v>3</v>
      </c>
      <c r="K52" s="49">
        <f>'Avg Week Ntinda-SpearMotors'!K52+'Avg Week SpearMotors-Ntinda'!K52</f>
        <v>2.5714285714285712</v>
      </c>
      <c r="L52" s="49">
        <f>'Avg Week Ntinda-SpearMotors'!L52+'Avg Week SpearMotors-Ntinda'!L52</f>
        <v>9</v>
      </c>
      <c r="M52" s="49">
        <f>'Avg Week Ntinda-SpearMotors'!M52+'Avg Week SpearMotors-Ntinda'!M52</f>
        <v>259.85714285714283</v>
      </c>
      <c r="N52" s="49">
        <f>'Avg Week Ntinda-SpearMotors'!N52+'Avg Week SpearMotors-Ntinda'!N52</f>
        <v>0</v>
      </c>
      <c r="O52" s="15">
        <f t="shared" si="0"/>
        <v>105.14285714285714</v>
      </c>
      <c r="P52" s="15">
        <f t="shared" si="1"/>
        <v>365</v>
      </c>
    </row>
    <row r="53" spans="2:20" ht="23.1" customHeight="1" x14ac:dyDescent="0.25">
      <c r="B53" s="23" t="s">
        <v>80</v>
      </c>
      <c r="C53" s="49">
        <f>'Avg Week Ntinda-SpearMotors'!C53+'Avg Week SpearMotors-Ntinda'!C53</f>
        <v>62.142857142857146</v>
      </c>
      <c r="D53" s="49">
        <f>'Avg Week Ntinda-SpearMotors'!D53+'Avg Week SpearMotors-Ntinda'!D53</f>
        <v>32.428571428571431</v>
      </c>
      <c r="E53" s="49">
        <f>'Avg Week Ntinda-SpearMotors'!E53+'Avg Week SpearMotors-Ntinda'!E53</f>
        <v>9.8571428571428577</v>
      </c>
      <c r="F53" s="49">
        <f>'Avg Week Ntinda-SpearMotors'!F53+'Avg Week SpearMotors-Ntinda'!F53</f>
        <v>11.714285714285715</v>
      </c>
      <c r="G53" s="49">
        <f>'Avg Week Ntinda-SpearMotors'!G53+'Avg Week SpearMotors-Ntinda'!G53</f>
        <v>0.14285714285714285</v>
      </c>
      <c r="H53" s="49">
        <f>'Avg Week Ntinda-SpearMotors'!H53+'Avg Week SpearMotors-Ntinda'!H53</f>
        <v>0</v>
      </c>
      <c r="I53" s="49">
        <f>'Avg Week Ntinda-SpearMotors'!I53+'Avg Week SpearMotors-Ntinda'!I53</f>
        <v>3.7142857142857144</v>
      </c>
      <c r="J53" s="49">
        <f>'Avg Week Ntinda-SpearMotors'!J53+'Avg Week SpearMotors-Ntinda'!J53</f>
        <v>2.5714285714285716</v>
      </c>
      <c r="K53" s="49">
        <f>'Avg Week Ntinda-SpearMotors'!K53+'Avg Week SpearMotors-Ntinda'!K53</f>
        <v>1.4285714285714286</v>
      </c>
      <c r="L53" s="49">
        <f>'Avg Week Ntinda-SpearMotors'!L53+'Avg Week SpearMotors-Ntinda'!L53</f>
        <v>5.4285714285714288</v>
      </c>
      <c r="M53" s="49">
        <f>'Avg Week Ntinda-SpearMotors'!M53+'Avg Week SpearMotors-Ntinda'!M53</f>
        <v>247.42857142857144</v>
      </c>
      <c r="N53" s="49">
        <f>'Avg Week Ntinda-SpearMotors'!N53+'Avg Week SpearMotors-Ntinda'!N53</f>
        <v>0</v>
      </c>
      <c r="O53" s="15">
        <f t="shared" si="0"/>
        <v>129.42857142857144</v>
      </c>
      <c r="P53" s="15">
        <f t="shared" si="1"/>
        <v>376.85714285714289</v>
      </c>
      <c r="R53" s="8"/>
      <c r="T53"/>
    </row>
    <row r="54" spans="2:20" ht="23.1" customHeight="1" x14ac:dyDescent="0.25">
      <c r="B54" s="23" t="s">
        <v>81</v>
      </c>
      <c r="C54" s="49">
        <f>'Avg Week Ntinda-SpearMotors'!C54+'Avg Week SpearMotors-Ntinda'!C54</f>
        <v>55.857142857142854</v>
      </c>
      <c r="D54" s="49">
        <f>'Avg Week Ntinda-SpearMotors'!D54+'Avg Week SpearMotors-Ntinda'!D54</f>
        <v>30</v>
      </c>
      <c r="E54" s="49">
        <f>'Avg Week Ntinda-SpearMotors'!E54+'Avg Week SpearMotors-Ntinda'!E54</f>
        <v>6.2857142857142856</v>
      </c>
      <c r="F54" s="49">
        <f>'Avg Week Ntinda-SpearMotors'!F54+'Avg Week SpearMotors-Ntinda'!F54</f>
        <v>10.428571428571429</v>
      </c>
      <c r="G54" s="49">
        <f>'Avg Week Ntinda-SpearMotors'!G54+'Avg Week SpearMotors-Ntinda'!G54</f>
        <v>0.2857142857142857</v>
      </c>
      <c r="H54" s="49">
        <f>'Avg Week Ntinda-SpearMotors'!H54+'Avg Week SpearMotors-Ntinda'!H54</f>
        <v>0</v>
      </c>
      <c r="I54" s="49">
        <f>'Avg Week Ntinda-SpearMotors'!I54+'Avg Week SpearMotors-Ntinda'!I54</f>
        <v>4.1428571428571432</v>
      </c>
      <c r="J54" s="49">
        <f>'Avg Week Ntinda-SpearMotors'!J54+'Avg Week SpearMotors-Ntinda'!J54</f>
        <v>2.2857142857142856</v>
      </c>
      <c r="K54" s="49">
        <f>'Avg Week Ntinda-SpearMotors'!K54+'Avg Week SpearMotors-Ntinda'!K54</f>
        <v>1</v>
      </c>
      <c r="L54" s="49">
        <f>'Avg Week Ntinda-SpearMotors'!L54+'Avg Week SpearMotors-Ntinda'!L54</f>
        <v>4.4285714285714288</v>
      </c>
      <c r="M54" s="49">
        <f>'Avg Week Ntinda-SpearMotors'!M54+'Avg Week SpearMotors-Ntinda'!M54</f>
        <v>256.57142857142856</v>
      </c>
      <c r="N54" s="49">
        <f>'Avg Week Ntinda-SpearMotors'!N54+'Avg Week SpearMotors-Ntinda'!N54</f>
        <v>0.14285714285714285</v>
      </c>
      <c r="O54" s="15">
        <f t="shared" si="0"/>
        <v>114.85714285714288</v>
      </c>
      <c r="P54" s="15">
        <f t="shared" si="1"/>
        <v>371.42857142857144</v>
      </c>
      <c r="R54" s="8"/>
      <c r="T54"/>
    </row>
    <row r="55" spans="2:20" ht="23.1" customHeight="1" x14ac:dyDescent="0.25">
      <c r="B55" s="23" t="s">
        <v>82</v>
      </c>
      <c r="C55" s="49">
        <f>'Avg Week Ntinda-SpearMotors'!C55+'Avg Week SpearMotors-Ntinda'!C55</f>
        <v>49.714285714285708</v>
      </c>
      <c r="D55" s="49">
        <f>'Avg Week Ntinda-SpearMotors'!D55+'Avg Week SpearMotors-Ntinda'!D55</f>
        <v>30.857142857142858</v>
      </c>
      <c r="E55" s="49">
        <f>'Avg Week Ntinda-SpearMotors'!E55+'Avg Week SpearMotors-Ntinda'!E55</f>
        <v>7</v>
      </c>
      <c r="F55" s="49">
        <f>'Avg Week Ntinda-SpearMotors'!F55+'Avg Week SpearMotors-Ntinda'!F55</f>
        <v>14.285714285714286</v>
      </c>
      <c r="G55" s="49">
        <f>'Avg Week Ntinda-SpearMotors'!G55+'Avg Week SpearMotors-Ntinda'!G55</f>
        <v>0.14285714285714285</v>
      </c>
      <c r="H55" s="49">
        <f>'Avg Week Ntinda-SpearMotors'!H55+'Avg Week SpearMotors-Ntinda'!H55</f>
        <v>0</v>
      </c>
      <c r="I55" s="49">
        <f>'Avg Week Ntinda-SpearMotors'!I55+'Avg Week SpearMotors-Ntinda'!I55</f>
        <v>2.8571428571428572</v>
      </c>
      <c r="J55" s="49">
        <f>'Avg Week Ntinda-SpearMotors'!J55+'Avg Week SpearMotors-Ntinda'!J55</f>
        <v>1.5714285714285716</v>
      </c>
      <c r="K55" s="49">
        <f>'Avg Week Ntinda-SpearMotors'!K55+'Avg Week SpearMotors-Ntinda'!K55</f>
        <v>0.8571428571428571</v>
      </c>
      <c r="L55" s="49">
        <f>'Avg Week Ntinda-SpearMotors'!L55+'Avg Week SpearMotors-Ntinda'!L55</f>
        <v>4.1428571428571423</v>
      </c>
      <c r="M55" s="49">
        <f>'Avg Week Ntinda-SpearMotors'!M55+'Avg Week SpearMotors-Ntinda'!M55</f>
        <v>263.85714285714283</v>
      </c>
      <c r="N55" s="49">
        <f>'Avg Week Ntinda-SpearMotors'!N55+'Avg Week SpearMotors-Ntinda'!N55</f>
        <v>0</v>
      </c>
      <c r="O55" s="15">
        <f t="shared" si="0"/>
        <v>111.42857142857143</v>
      </c>
      <c r="P55" s="15">
        <f t="shared" si="1"/>
        <v>375.28571428571428</v>
      </c>
      <c r="R55" s="8"/>
      <c r="T55"/>
    </row>
    <row r="56" spans="2:20" ht="23.1" customHeight="1" x14ac:dyDescent="0.25">
      <c r="B56" s="23" t="s">
        <v>83</v>
      </c>
      <c r="C56" s="49">
        <f>'Avg Week Ntinda-SpearMotors'!C56+'Avg Week SpearMotors-Ntinda'!C56</f>
        <v>45</v>
      </c>
      <c r="D56" s="49">
        <f>'Avg Week Ntinda-SpearMotors'!D56+'Avg Week SpearMotors-Ntinda'!D56</f>
        <v>27.571428571428569</v>
      </c>
      <c r="E56" s="49">
        <f>'Avg Week Ntinda-SpearMotors'!E56+'Avg Week SpearMotors-Ntinda'!E56</f>
        <v>10.142857142857142</v>
      </c>
      <c r="F56" s="49">
        <f>'Avg Week Ntinda-SpearMotors'!F56+'Avg Week SpearMotors-Ntinda'!F56</f>
        <v>11.142857142857142</v>
      </c>
      <c r="G56" s="49">
        <f>'Avg Week Ntinda-SpearMotors'!G56+'Avg Week SpearMotors-Ntinda'!G56</f>
        <v>0.5714285714285714</v>
      </c>
      <c r="H56" s="49">
        <f>'Avg Week Ntinda-SpearMotors'!H56+'Avg Week SpearMotors-Ntinda'!H56</f>
        <v>0.14285714285714285</v>
      </c>
      <c r="I56" s="49">
        <f>'Avg Week Ntinda-SpearMotors'!I56+'Avg Week SpearMotors-Ntinda'!I56</f>
        <v>3.1428571428571428</v>
      </c>
      <c r="J56" s="49">
        <f>'Avg Week Ntinda-SpearMotors'!J56+'Avg Week SpearMotors-Ntinda'!J56</f>
        <v>1.5714285714285714</v>
      </c>
      <c r="K56" s="49">
        <f>'Avg Week Ntinda-SpearMotors'!K56+'Avg Week SpearMotors-Ntinda'!K56</f>
        <v>0.8571428571428571</v>
      </c>
      <c r="L56" s="49">
        <f>'Avg Week Ntinda-SpearMotors'!L56+'Avg Week SpearMotors-Ntinda'!L56</f>
        <v>3</v>
      </c>
      <c r="M56" s="49">
        <f>'Avg Week Ntinda-SpearMotors'!M56+'Avg Week SpearMotors-Ntinda'!M56</f>
        <v>258.57142857142856</v>
      </c>
      <c r="N56" s="49">
        <f>'Avg Week Ntinda-SpearMotors'!N56+'Avg Week SpearMotors-Ntinda'!N56</f>
        <v>0</v>
      </c>
      <c r="O56" s="15">
        <f t="shared" si="0"/>
        <v>103.14285714285712</v>
      </c>
      <c r="P56" s="15">
        <f t="shared" si="1"/>
        <v>361.71428571428567</v>
      </c>
      <c r="R56" s="8"/>
      <c r="T56"/>
    </row>
    <row r="57" spans="2:20" ht="23.1" customHeight="1" x14ac:dyDescent="0.25">
      <c r="B57" s="23" t="s">
        <v>84</v>
      </c>
      <c r="C57" s="49">
        <f>'Avg Week Ntinda-SpearMotors'!C57+'Avg Week SpearMotors-Ntinda'!C57</f>
        <v>43.285714285714285</v>
      </c>
      <c r="D57" s="49">
        <f>'Avg Week Ntinda-SpearMotors'!D57+'Avg Week SpearMotors-Ntinda'!D57</f>
        <v>26.571428571428569</v>
      </c>
      <c r="E57" s="49">
        <f>'Avg Week Ntinda-SpearMotors'!E57+'Avg Week SpearMotors-Ntinda'!E57</f>
        <v>8.8571428571428577</v>
      </c>
      <c r="F57" s="49">
        <f>'Avg Week Ntinda-SpearMotors'!F57+'Avg Week SpearMotors-Ntinda'!F57</f>
        <v>12.714285714285715</v>
      </c>
      <c r="G57" s="49">
        <f>'Avg Week Ntinda-SpearMotors'!G57+'Avg Week SpearMotors-Ntinda'!G57</f>
        <v>0</v>
      </c>
      <c r="H57" s="49">
        <f>'Avg Week Ntinda-SpearMotors'!H57+'Avg Week SpearMotors-Ntinda'!H57</f>
        <v>0.2857142857142857</v>
      </c>
      <c r="I57" s="49">
        <f>'Avg Week Ntinda-SpearMotors'!I57+'Avg Week SpearMotors-Ntinda'!I57</f>
        <v>2</v>
      </c>
      <c r="J57" s="49">
        <f>'Avg Week Ntinda-SpearMotors'!J57+'Avg Week SpearMotors-Ntinda'!J57</f>
        <v>1.7142857142857144</v>
      </c>
      <c r="K57" s="49">
        <f>'Avg Week Ntinda-SpearMotors'!K57+'Avg Week SpearMotors-Ntinda'!K57</f>
        <v>1.1428571428571428</v>
      </c>
      <c r="L57" s="49">
        <f>'Avg Week Ntinda-SpearMotors'!L57+'Avg Week SpearMotors-Ntinda'!L57</f>
        <v>3.4285714285714288</v>
      </c>
      <c r="M57" s="49">
        <f>'Avg Week Ntinda-SpearMotors'!M57+'Avg Week SpearMotors-Ntinda'!M57</f>
        <v>263.57142857142856</v>
      </c>
      <c r="N57" s="49">
        <f>'Avg Week Ntinda-SpearMotors'!N57+'Avg Week SpearMotors-Ntinda'!N57</f>
        <v>0</v>
      </c>
      <c r="O57" s="15">
        <f t="shared" si="0"/>
        <v>100.00000000000001</v>
      </c>
      <c r="P57" s="15">
        <f t="shared" si="1"/>
        <v>363.57142857142856</v>
      </c>
      <c r="R57" s="8"/>
      <c r="T57"/>
    </row>
    <row r="58" spans="2:20" ht="23.1" customHeight="1" x14ac:dyDescent="0.25">
      <c r="B58" s="23" t="s">
        <v>99</v>
      </c>
      <c r="C58" s="49">
        <f>'Avg Week Ntinda-SpearMotors'!C58+'Avg Week SpearMotors-Ntinda'!C58</f>
        <v>28.5</v>
      </c>
      <c r="D58" s="49">
        <f>'Avg Week Ntinda-SpearMotors'!D58+'Avg Week SpearMotors-Ntinda'!D58</f>
        <v>22.5</v>
      </c>
      <c r="E58" s="49">
        <f>'Avg Week Ntinda-SpearMotors'!E58+'Avg Week SpearMotors-Ntinda'!E58</f>
        <v>9</v>
      </c>
      <c r="F58" s="49">
        <f>'Avg Week Ntinda-SpearMotors'!F58+'Avg Week SpearMotors-Ntinda'!F58</f>
        <v>14.5</v>
      </c>
      <c r="G58" s="49">
        <f>'Avg Week Ntinda-SpearMotors'!G58+'Avg Week SpearMotors-Ntinda'!G58</f>
        <v>0</v>
      </c>
      <c r="H58" s="49">
        <f>'Avg Week Ntinda-SpearMotors'!H58+'Avg Week SpearMotors-Ntinda'!H58</f>
        <v>0</v>
      </c>
      <c r="I58" s="49">
        <f>'Avg Week Ntinda-SpearMotors'!I58+'Avg Week SpearMotors-Ntinda'!I58</f>
        <v>0.5</v>
      </c>
      <c r="J58" s="49">
        <f>'Avg Week Ntinda-SpearMotors'!J58+'Avg Week SpearMotors-Ntinda'!J58</f>
        <v>0.5</v>
      </c>
      <c r="K58" s="49">
        <f>'Avg Week Ntinda-SpearMotors'!K58+'Avg Week SpearMotors-Ntinda'!K58</f>
        <v>0</v>
      </c>
      <c r="L58" s="49">
        <f>'Avg Week Ntinda-SpearMotors'!L58+'Avg Week SpearMotors-Ntinda'!L58</f>
        <v>6</v>
      </c>
      <c r="M58" s="49">
        <f>'Avg Week Ntinda-SpearMotors'!M58+'Avg Week SpearMotors-Ntinda'!M58</f>
        <v>189</v>
      </c>
      <c r="N58" s="49">
        <f>'Avg Week Ntinda-SpearMotors'!N58+'Avg Week SpearMotors-Ntinda'!N58</f>
        <v>0</v>
      </c>
      <c r="O58" s="49">
        <f>'Avg Week Ntinda-SpearMotors'!O58+'Avg Week SpearMotors-Ntinda'!O58</f>
        <v>81.5</v>
      </c>
      <c r="P58" s="49">
        <f>'Avg Week Ntinda-SpearMotors'!P58+'Avg Week SpearMotors-Ntinda'!P58</f>
        <v>270.5</v>
      </c>
      <c r="R58" s="8"/>
      <c r="T58"/>
    </row>
    <row r="59" spans="2:20" ht="23.1" customHeight="1" x14ac:dyDescent="0.25">
      <c r="B59" s="23" t="s">
        <v>100</v>
      </c>
      <c r="C59" s="49">
        <f>'Avg Week Ntinda-SpearMotors'!C59+'Avg Week SpearMotors-Ntinda'!C59</f>
        <v>34</v>
      </c>
      <c r="D59" s="49">
        <f>'Avg Week Ntinda-SpearMotors'!D59+'Avg Week SpearMotors-Ntinda'!D59</f>
        <v>28</v>
      </c>
      <c r="E59" s="49">
        <f>'Avg Week Ntinda-SpearMotors'!E59+'Avg Week SpearMotors-Ntinda'!E59</f>
        <v>5</v>
      </c>
      <c r="F59" s="49">
        <f>'Avg Week Ntinda-SpearMotors'!F59+'Avg Week SpearMotors-Ntinda'!F59</f>
        <v>19.5</v>
      </c>
      <c r="G59" s="49">
        <f>'Avg Week Ntinda-SpearMotors'!G59+'Avg Week SpearMotors-Ntinda'!G59</f>
        <v>0</v>
      </c>
      <c r="H59" s="49">
        <f>'Avg Week Ntinda-SpearMotors'!H59+'Avg Week SpearMotors-Ntinda'!H59</f>
        <v>0</v>
      </c>
      <c r="I59" s="49">
        <f>'Avg Week Ntinda-SpearMotors'!I59+'Avg Week SpearMotors-Ntinda'!I59</f>
        <v>0</v>
      </c>
      <c r="J59" s="49">
        <f>'Avg Week Ntinda-SpearMotors'!J59+'Avg Week SpearMotors-Ntinda'!J59</f>
        <v>0.5</v>
      </c>
      <c r="K59" s="49">
        <f>'Avg Week Ntinda-SpearMotors'!K59+'Avg Week SpearMotors-Ntinda'!K59</f>
        <v>0</v>
      </c>
      <c r="L59" s="49">
        <f>'Avg Week Ntinda-SpearMotors'!L59+'Avg Week SpearMotors-Ntinda'!L59</f>
        <v>1</v>
      </c>
      <c r="M59" s="49">
        <f>'Avg Week Ntinda-SpearMotors'!M59+'Avg Week SpearMotors-Ntinda'!M59</f>
        <v>192.5</v>
      </c>
      <c r="N59" s="49">
        <f>'Avg Week Ntinda-SpearMotors'!N59+'Avg Week SpearMotors-Ntinda'!N59</f>
        <v>0</v>
      </c>
      <c r="O59" s="49">
        <f>'Avg Week Ntinda-SpearMotors'!O59+'Avg Week SpearMotors-Ntinda'!O59</f>
        <v>88</v>
      </c>
      <c r="P59" s="49">
        <f>'Avg Week Ntinda-SpearMotors'!P59+'Avg Week SpearMotors-Ntinda'!P59</f>
        <v>280.5</v>
      </c>
      <c r="R59" s="8"/>
      <c r="T59"/>
    </row>
    <row r="60" spans="2:20" ht="23.1" customHeight="1" x14ac:dyDescent="0.25">
      <c r="B60" s="23" t="s">
        <v>101</v>
      </c>
      <c r="C60" s="49">
        <f>'Avg Week Ntinda-SpearMotors'!C60+'Avg Week SpearMotors-Ntinda'!C60</f>
        <v>50.5</v>
      </c>
      <c r="D60" s="49">
        <f>'Avg Week Ntinda-SpearMotors'!D60+'Avg Week SpearMotors-Ntinda'!D60</f>
        <v>27.5</v>
      </c>
      <c r="E60" s="49">
        <f>'Avg Week Ntinda-SpearMotors'!E60+'Avg Week SpearMotors-Ntinda'!E60</f>
        <v>9.5</v>
      </c>
      <c r="F60" s="49">
        <f>'Avg Week Ntinda-SpearMotors'!F60+'Avg Week SpearMotors-Ntinda'!F60</f>
        <v>24</v>
      </c>
      <c r="G60" s="49">
        <f>'Avg Week Ntinda-SpearMotors'!G60+'Avg Week SpearMotors-Ntinda'!G60</f>
        <v>0</v>
      </c>
      <c r="H60" s="49">
        <f>'Avg Week Ntinda-SpearMotors'!H60+'Avg Week SpearMotors-Ntinda'!H60</f>
        <v>0</v>
      </c>
      <c r="I60" s="49">
        <f>'Avg Week Ntinda-SpearMotors'!I60+'Avg Week SpearMotors-Ntinda'!I60</f>
        <v>1.5</v>
      </c>
      <c r="J60" s="49">
        <f>'Avg Week Ntinda-SpearMotors'!J60+'Avg Week SpearMotors-Ntinda'!J60</f>
        <v>3</v>
      </c>
      <c r="K60" s="49">
        <f>'Avg Week Ntinda-SpearMotors'!K60+'Avg Week SpearMotors-Ntinda'!K60</f>
        <v>1.5</v>
      </c>
      <c r="L60" s="49">
        <f>'Avg Week Ntinda-SpearMotors'!L60+'Avg Week SpearMotors-Ntinda'!L60</f>
        <v>1</v>
      </c>
      <c r="M60" s="49">
        <f>'Avg Week Ntinda-SpearMotors'!M60+'Avg Week SpearMotors-Ntinda'!M60</f>
        <v>230</v>
      </c>
      <c r="N60" s="49">
        <f>'Avg Week Ntinda-SpearMotors'!N60+'Avg Week SpearMotors-Ntinda'!N60</f>
        <v>0</v>
      </c>
      <c r="O60" s="49">
        <f>'Avg Week Ntinda-SpearMotors'!O60+'Avg Week SpearMotors-Ntinda'!O60</f>
        <v>118.5</v>
      </c>
      <c r="P60" s="49">
        <f>'Avg Week Ntinda-SpearMotors'!P60+'Avg Week SpearMotors-Ntinda'!P60</f>
        <v>348.5</v>
      </c>
      <c r="R60" s="8"/>
      <c r="T60"/>
    </row>
    <row r="61" spans="2:20" ht="23.1" customHeight="1" x14ac:dyDescent="0.25">
      <c r="B61" s="23" t="s">
        <v>102</v>
      </c>
      <c r="C61" s="49">
        <f>'Avg Week Ntinda-SpearMotors'!C61+'Avg Week SpearMotors-Ntinda'!C61</f>
        <v>48</v>
      </c>
      <c r="D61" s="49">
        <f>'Avg Week Ntinda-SpearMotors'!D61+'Avg Week SpearMotors-Ntinda'!D61</f>
        <v>33</v>
      </c>
      <c r="E61" s="49">
        <f>'Avg Week Ntinda-SpearMotors'!E61+'Avg Week SpearMotors-Ntinda'!E61</f>
        <v>15</v>
      </c>
      <c r="F61" s="49">
        <f>'Avg Week Ntinda-SpearMotors'!F61+'Avg Week SpearMotors-Ntinda'!F61</f>
        <v>13</v>
      </c>
      <c r="G61" s="49">
        <f>'Avg Week Ntinda-SpearMotors'!G61+'Avg Week SpearMotors-Ntinda'!G61</f>
        <v>0</v>
      </c>
      <c r="H61" s="49">
        <f>'Avg Week Ntinda-SpearMotors'!H61+'Avg Week SpearMotors-Ntinda'!H61</f>
        <v>0</v>
      </c>
      <c r="I61" s="49">
        <f>'Avg Week Ntinda-SpearMotors'!I61+'Avg Week SpearMotors-Ntinda'!I61</f>
        <v>1</v>
      </c>
      <c r="J61" s="49">
        <f>'Avg Week Ntinda-SpearMotors'!J61+'Avg Week SpearMotors-Ntinda'!J61</f>
        <v>1</v>
      </c>
      <c r="K61" s="49">
        <f>'Avg Week Ntinda-SpearMotors'!K61+'Avg Week SpearMotors-Ntinda'!K61</f>
        <v>0</v>
      </c>
      <c r="L61" s="49">
        <f>'Avg Week Ntinda-SpearMotors'!L61+'Avg Week SpearMotors-Ntinda'!L61</f>
        <v>3</v>
      </c>
      <c r="M61" s="49">
        <f>'Avg Week Ntinda-SpearMotors'!M61+'Avg Week SpearMotors-Ntinda'!M61</f>
        <v>240.5</v>
      </c>
      <c r="N61" s="49">
        <f>'Avg Week Ntinda-SpearMotors'!N61+'Avg Week SpearMotors-Ntinda'!N61</f>
        <v>0</v>
      </c>
      <c r="O61" s="49">
        <f>'Avg Week Ntinda-SpearMotors'!O61+'Avg Week SpearMotors-Ntinda'!O61</f>
        <v>114</v>
      </c>
      <c r="P61" s="49">
        <f>'Avg Week Ntinda-SpearMotors'!P61+'Avg Week SpearMotors-Ntinda'!P61</f>
        <v>354.5</v>
      </c>
      <c r="R61" s="8"/>
      <c r="T61"/>
    </row>
    <row r="62" spans="2:20" ht="23.1" customHeight="1" x14ac:dyDescent="0.25">
      <c r="B62" s="23" t="s">
        <v>107</v>
      </c>
      <c r="C62" s="49">
        <f>'Avg Week Ntinda-SpearMotors'!C62+'Avg Week SpearMotors-Ntinda'!C62</f>
        <v>54</v>
      </c>
      <c r="D62" s="49">
        <f>'Avg Week Ntinda-SpearMotors'!D62+'Avg Week SpearMotors-Ntinda'!D62</f>
        <v>31</v>
      </c>
      <c r="E62" s="49">
        <f>'Avg Week Ntinda-SpearMotors'!E62+'Avg Week SpearMotors-Ntinda'!E62</f>
        <v>9.5</v>
      </c>
      <c r="F62" s="49">
        <f>'Avg Week Ntinda-SpearMotors'!F62+'Avg Week SpearMotors-Ntinda'!F62</f>
        <v>25.5</v>
      </c>
      <c r="G62" s="49">
        <f>'Avg Week Ntinda-SpearMotors'!G62+'Avg Week SpearMotors-Ntinda'!G62</f>
        <v>0</v>
      </c>
      <c r="H62" s="49">
        <f>'Avg Week Ntinda-SpearMotors'!H62+'Avg Week SpearMotors-Ntinda'!H62</f>
        <v>0</v>
      </c>
      <c r="I62" s="49">
        <f>'Avg Week Ntinda-SpearMotors'!I62+'Avg Week SpearMotors-Ntinda'!I62</f>
        <v>1</v>
      </c>
      <c r="J62" s="49">
        <f>'Avg Week Ntinda-SpearMotors'!J62+'Avg Week SpearMotors-Ntinda'!J62</f>
        <v>0.5</v>
      </c>
      <c r="K62" s="49">
        <f>'Avg Week Ntinda-SpearMotors'!K62+'Avg Week SpearMotors-Ntinda'!K62</f>
        <v>1</v>
      </c>
      <c r="L62" s="49">
        <f>'Avg Week Ntinda-SpearMotors'!L62+'Avg Week SpearMotors-Ntinda'!L62</f>
        <v>2</v>
      </c>
      <c r="M62" s="49">
        <f>'Avg Week Ntinda-SpearMotors'!M62+'Avg Week SpearMotors-Ntinda'!M62</f>
        <v>195.5</v>
      </c>
      <c r="N62" s="49">
        <f>'Avg Week Ntinda-SpearMotors'!N62+'Avg Week SpearMotors-Ntinda'!N62</f>
        <v>0</v>
      </c>
      <c r="O62" s="49">
        <f>'Avg Week Ntinda-SpearMotors'!O62+'Avg Week SpearMotors-Ntinda'!O62</f>
        <v>124.5</v>
      </c>
      <c r="P62" s="49">
        <f>'Avg Week Ntinda-SpearMotors'!P62+'Avg Week SpearMotors-Ntinda'!P62</f>
        <v>320</v>
      </c>
      <c r="R62" s="8"/>
      <c r="T62"/>
    </row>
    <row r="63" spans="2:20" ht="23.1" customHeight="1" x14ac:dyDescent="0.25">
      <c r="B63" s="23" t="s">
        <v>108</v>
      </c>
      <c r="C63" s="49">
        <f>'Avg Week Ntinda-SpearMotors'!C63+'Avg Week SpearMotors-Ntinda'!C63</f>
        <v>51</v>
      </c>
      <c r="D63" s="49">
        <f>'Avg Week Ntinda-SpearMotors'!D63+'Avg Week SpearMotors-Ntinda'!D63</f>
        <v>31</v>
      </c>
      <c r="E63" s="49">
        <f>'Avg Week Ntinda-SpearMotors'!E63+'Avg Week SpearMotors-Ntinda'!E63</f>
        <v>5.5</v>
      </c>
      <c r="F63" s="49">
        <f>'Avg Week Ntinda-SpearMotors'!F63+'Avg Week SpearMotors-Ntinda'!F63</f>
        <v>24.5</v>
      </c>
      <c r="G63" s="49">
        <f>'Avg Week Ntinda-SpearMotors'!G63+'Avg Week SpearMotors-Ntinda'!G63</f>
        <v>0</v>
      </c>
      <c r="H63" s="49">
        <f>'Avg Week Ntinda-SpearMotors'!H63+'Avg Week SpearMotors-Ntinda'!H63</f>
        <v>0</v>
      </c>
      <c r="I63" s="49">
        <f>'Avg Week Ntinda-SpearMotors'!I63+'Avg Week SpearMotors-Ntinda'!I63</f>
        <v>3</v>
      </c>
      <c r="J63" s="49">
        <f>'Avg Week Ntinda-SpearMotors'!J63+'Avg Week SpearMotors-Ntinda'!J63</f>
        <v>1</v>
      </c>
      <c r="K63" s="49">
        <f>'Avg Week Ntinda-SpearMotors'!K63+'Avg Week SpearMotors-Ntinda'!K63</f>
        <v>0</v>
      </c>
      <c r="L63" s="49">
        <f>'Avg Week Ntinda-SpearMotors'!L63+'Avg Week SpearMotors-Ntinda'!L63</f>
        <v>1.5</v>
      </c>
      <c r="M63" s="49">
        <f>'Avg Week Ntinda-SpearMotors'!M63+'Avg Week SpearMotors-Ntinda'!M63</f>
        <v>187</v>
      </c>
      <c r="N63" s="49">
        <f>'Avg Week Ntinda-SpearMotors'!N63+'Avg Week SpearMotors-Ntinda'!N63</f>
        <v>0</v>
      </c>
      <c r="O63" s="49">
        <f>'Avg Week Ntinda-SpearMotors'!O63+'Avg Week SpearMotors-Ntinda'!O63</f>
        <v>117.5</v>
      </c>
      <c r="P63" s="49">
        <f>'Avg Week Ntinda-SpearMotors'!P63+'Avg Week SpearMotors-Ntinda'!P63</f>
        <v>304.5</v>
      </c>
      <c r="R63" s="8"/>
      <c r="T63"/>
    </row>
    <row r="64" spans="2:20" ht="23.1" customHeight="1" x14ac:dyDescent="0.25">
      <c r="B64" s="23" t="s">
        <v>109</v>
      </c>
      <c r="C64" s="49">
        <f>'Avg Week Ntinda-SpearMotors'!C64+'Avg Week SpearMotors-Ntinda'!C64</f>
        <v>56</v>
      </c>
      <c r="D64" s="49">
        <f>'Avg Week Ntinda-SpearMotors'!D64+'Avg Week SpearMotors-Ntinda'!D64</f>
        <v>30</v>
      </c>
      <c r="E64" s="49">
        <f>'Avg Week Ntinda-SpearMotors'!E64+'Avg Week SpearMotors-Ntinda'!E64</f>
        <v>4</v>
      </c>
      <c r="F64" s="49">
        <f>'Avg Week Ntinda-SpearMotors'!F64+'Avg Week SpearMotors-Ntinda'!F64</f>
        <v>20.5</v>
      </c>
      <c r="G64" s="49">
        <f>'Avg Week Ntinda-SpearMotors'!G64+'Avg Week SpearMotors-Ntinda'!G64</f>
        <v>0</v>
      </c>
      <c r="H64" s="49">
        <f>'Avg Week Ntinda-SpearMotors'!H64+'Avg Week SpearMotors-Ntinda'!H64</f>
        <v>0</v>
      </c>
      <c r="I64" s="49">
        <f>'Avg Week Ntinda-SpearMotors'!I64+'Avg Week SpearMotors-Ntinda'!I64</f>
        <v>1</v>
      </c>
      <c r="J64" s="49">
        <f>'Avg Week Ntinda-SpearMotors'!J64+'Avg Week SpearMotors-Ntinda'!J64</f>
        <v>1</v>
      </c>
      <c r="K64" s="49">
        <f>'Avg Week Ntinda-SpearMotors'!K64+'Avg Week SpearMotors-Ntinda'!K64</f>
        <v>0.5</v>
      </c>
      <c r="L64" s="49">
        <f>'Avg Week Ntinda-SpearMotors'!L64+'Avg Week SpearMotors-Ntinda'!L64</f>
        <v>1.5</v>
      </c>
      <c r="M64" s="49">
        <f>'Avg Week Ntinda-SpearMotors'!M64+'Avg Week SpearMotors-Ntinda'!M64</f>
        <v>187.5</v>
      </c>
      <c r="N64" s="49">
        <f>'Avg Week Ntinda-SpearMotors'!N64+'Avg Week SpearMotors-Ntinda'!N64</f>
        <v>0</v>
      </c>
      <c r="O64" s="49">
        <f>'Avg Week Ntinda-SpearMotors'!O64+'Avg Week SpearMotors-Ntinda'!O64</f>
        <v>114.5</v>
      </c>
      <c r="P64" s="49">
        <f>'Avg Week Ntinda-SpearMotors'!P64+'Avg Week SpearMotors-Ntinda'!P64</f>
        <v>302</v>
      </c>
      <c r="R64" s="8"/>
      <c r="T64"/>
    </row>
    <row r="65" spans="2:20" ht="23.1" customHeight="1" x14ac:dyDescent="0.25">
      <c r="B65" s="23" t="s">
        <v>158</v>
      </c>
      <c r="C65" s="49">
        <f>'Avg Week Ntinda-SpearMotors'!C65+'Avg Week SpearMotors-Ntinda'!C65</f>
        <v>53</v>
      </c>
      <c r="D65" s="49">
        <f>'Avg Week Ntinda-SpearMotors'!D65+'Avg Week SpearMotors-Ntinda'!D65</f>
        <v>30.5</v>
      </c>
      <c r="E65" s="49">
        <f>'Avg Week Ntinda-SpearMotors'!E65+'Avg Week SpearMotors-Ntinda'!E65</f>
        <v>10</v>
      </c>
      <c r="F65" s="49">
        <f>'Avg Week Ntinda-SpearMotors'!F65+'Avg Week SpearMotors-Ntinda'!F65</f>
        <v>24.5</v>
      </c>
      <c r="G65" s="49">
        <f>'Avg Week Ntinda-SpearMotors'!G65+'Avg Week SpearMotors-Ntinda'!G65</f>
        <v>0</v>
      </c>
      <c r="H65" s="49">
        <f>'Avg Week Ntinda-SpearMotors'!H65+'Avg Week SpearMotors-Ntinda'!H65</f>
        <v>0</v>
      </c>
      <c r="I65" s="49">
        <f>'Avg Week Ntinda-SpearMotors'!I65+'Avg Week SpearMotors-Ntinda'!I65</f>
        <v>1.5</v>
      </c>
      <c r="J65" s="49">
        <f>'Avg Week Ntinda-SpearMotors'!J65+'Avg Week SpearMotors-Ntinda'!J65</f>
        <v>1</v>
      </c>
      <c r="K65" s="49">
        <f>'Avg Week Ntinda-SpearMotors'!K65+'Avg Week SpearMotors-Ntinda'!K65</f>
        <v>1</v>
      </c>
      <c r="L65" s="49">
        <f>'Avg Week Ntinda-SpearMotors'!L65+'Avg Week SpearMotors-Ntinda'!L65</f>
        <v>0.5</v>
      </c>
      <c r="M65" s="49">
        <f>'Avg Week Ntinda-SpearMotors'!M65+'Avg Week SpearMotors-Ntinda'!M65</f>
        <v>158.5</v>
      </c>
      <c r="N65" s="49">
        <f>'Avg Week Ntinda-SpearMotors'!N65+'Avg Week SpearMotors-Ntinda'!N65</f>
        <v>0</v>
      </c>
      <c r="O65" s="49">
        <f>'Avg Week Ntinda-SpearMotors'!O65+'Avg Week SpearMotors-Ntinda'!O65</f>
        <v>122</v>
      </c>
      <c r="P65" s="49">
        <f>'Avg Week Ntinda-SpearMotors'!P65+'Avg Week SpearMotors-Ntinda'!P65</f>
        <v>280.5</v>
      </c>
      <c r="R65" s="8"/>
      <c r="T65"/>
    </row>
    <row r="66" spans="2:20" ht="23.1" customHeight="1" x14ac:dyDescent="0.25">
      <c r="B66" s="23" t="s">
        <v>103</v>
      </c>
      <c r="C66" s="49">
        <f>'Avg Week Ntinda-SpearMotors'!C66+'Avg Week SpearMotors-Ntinda'!C66</f>
        <v>62.5</v>
      </c>
      <c r="D66" s="49">
        <f>'Avg Week Ntinda-SpearMotors'!D66+'Avg Week SpearMotors-Ntinda'!D66</f>
        <v>34</v>
      </c>
      <c r="E66" s="49">
        <f>'Avg Week Ntinda-SpearMotors'!E66+'Avg Week SpearMotors-Ntinda'!E66</f>
        <v>10.5</v>
      </c>
      <c r="F66" s="49">
        <f>'Avg Week Ntinda-SpearMotors'!F66+'Avg Week SpearMotors-Ntinda'!F66</f>
        <v>23.5</v>
      </c>
      <c r="G66" s="49">
        <f>'Avg Week Ntinda-SpearMotors'!G66+'Avg Week SpearMotors-Ntinda'!G66</f>
        <v>0</v>
      </c>
      <c r="H66" s="49">
        <f>'Avg Week Ntinda-SpearMotors'!H66+'Avg Week SpearMotors-Ntinda'!H66</f>
        <v>0</v>
      </c>
      <c r="I66" s="49">
        <f>'Avg Week Ntinda-SpearMotors'!I66+'Avg Week SpearMotors-Ntinda'!I66</f>
        <v>1.5</v>
      </c>
      <c r="J66" s="49">
        <f>'Avg Week Ntinda-SpearMotors'!J66+'Avg Week SpearMotors-Ntinda'!J66</f>
        <v>1</v>
      </c>
      <c r="K66" s="49">
        <f>'Avg Week Ntinda-SpearMotors'!K66+'Avg Week SpearMotors-Ntinda'!K66</f>
        <v>0</v>
      </c>
      <c r="L66" s="49">
        <f>'Avg Week Ntinda-SpearMotors'!L66+'Avg Week SpearMotors-Ntinda'!L66</f>
        <v>1</v>
      </c>
      <c r="M66" s="49">
        <f>'Avg Week Ntinda-SpearMotors'!M66+'Avg Week SpearMotors-Ntinda'!M66</f>
        <v>160</v>
      </c>
      <c r="N66" s="49">
        <f>'Avg Week Ntinda-SpearMotors'!N66+'Avg Week SpearMotors-Ntinda'!N66</f>
        <v>0</v>
      </c>
      <c r="O66" s="49">
        <f>'Avg Week Ntinda-SpearMotors'!O66+'Avg Week SpearMotors-Ntinda'!O66</f>
        <v>134</v>
      </c>
      <c r="P66" s="49">
        <f>'Avg Week Ntinda-SpearMotors'!P66+'Avg Week SpearMotors-Ntinda'!P66</f>
        <v>294</v>
      </c>
      <c r="R66" s="8"/>
      <c r="T66"/>
    </row>
    <row r="67" spans="2:20" ht="23.1" customHeight="1" x14ac:dyDescent="0.25">
      <c r="B67" s="23" t="s">
        <v>104</v>
      </c>
      <c r="C67" s="49">
        <f>'Avg Week Ntinda-SpearMotors'!C67+'Avg Week SpearMotors-Ntinda'!C67</f>
        <v>45.5</v>
      </c>
      <c r="D67" s="49">
        <f>'Avg Week Ntinda-SpearMotors'!D67+'Avg Week SpearMotors-Ntinda'!D67</f>
        <v>41</v>
      </c>
      <c r="E67" s="49">
        <f>'Avg Week Ntinda-SpearMotors'!E67+'Avg Week SpearMotors-Ntinda'!E67</f>
        <v>5</v>
      </c>
      <c r="F67" s="49">
        <f>'Avg Week Ntinda-SpearMotors'!F67+'Avg Week SpearMotors-Ntinda'!F67</f>
        <v>18</v>
      </c>
      <c r="G67" s="49">
        <f>'Avg Week Ntinda-SpearMotors'!G67+'Avg Week SpearMotors-Ntinda'!G67</f>
        <v>0</v>
      </c>
      <c r="H67" s="49">
        <f>'Avg Week Ntinda-SpearMotors'!H67+'Avg Week SpearMotors-Ntinda'!H67</f>
        <v>0</v>
      </c>
      <c r="I67" s="49">
        <f>'Avg Week Ntinda-SpearMotors'!I67+'Avg Week SpearMotors-Ntinda'!I67</f>
        <v>2</v>
      </c>
      <c r="J67" s="49">
        <f>'Avg Week Ntinda-SpearMotors'!J67+'Avg Week SpearMotors-Ntinda'!J67</f>
        <v>2</v>
      </c>
      <c r="K67" s="49">
        <f>'Avg Week Ntinda-SpearMotors'!K67+'Avg Week SpearMotors-Ntinda'!K67</f>
        <v>0.5</v>
      </c>
      <c r="L67" s="49">
        <f>'Avg Week Ntinda-SpearMotors'!L67+'Avg Week SpearMotors-Ntinda'!L67</f>
        <v>0</v>
      </c>
      <c r="M67" s="49">
        <f>'Avg Week Ntinda-SpearMotors'!M67+'Avg Week SpearMotors-Ntinda'!M67</f>
        <v>155.5</v>
      </c>
      <c r="N67" s="49">
        <f>'Avg Week Ntinda-SpearMotors'!N67+'Avg Week SpearMotors-Ntinda'!N67</f>
        <v>0</v>
      </c>
      <c r="O67" s="49">
        <f>'Avg Week Ntinda-SpearMotors'!O67+'Avg Week SpearMotors-Ntinda'!O67</f>
        <v>114</v>
      </c>
      <c r="P67" s="49">
        <f>'Avg Week Ntinda-SpearMotors'!P67+'Avg Week SpearMotors-Ntinda'!P67</f>
        <v>269.5</v>
      </c>
      <c r="R67" s="8"/>
      <c r="T67"/>
    </row>
    <row r="68" spans="2:20" ht="23.1" customHeight="1" x14ac:dyDescent="0.25">
      <c r="B68" s="23" t="s">
        <v>105</v>
      </c>
      <c r="C68" s="49">
        <f>'Avg Week Ntinda-SpearMotors'!C68+'Avg Week SpearMotors-Ntinda'!C68</f>
        <v>56.5</v>
      </c>
      <c r="D68" s="49">
        <f>'Avg Week Ntinda-SpearMotors'!D68+'Avg Week SpearMotors-Ntinda'!D68</f>
        <v>37.5</v>
      </c>
      <c r="E68" s="49">
        <f>'Avg Week Ntinda-SpearMotors'!E68+'Avg Week SpearMotors-Ntinda'!E68</f>
        <v>7.5</v>
      </c>
      <c r="F68" s="49">
        <f>'Avg Week Ntinda-SpearMotors'!F68+'Avg Week SpearMotors-Ntinda'!F68</f>
        <v>24</v>
      </c>
      <c r="G68" s="49">
        <f>'Avg Week Ntinda-SpearMotors'!G68+'Avg Week SpearMotors-Ntinda'!G68</f>
        <v>0</v>
      </c>
      <c r="H68" s="49">
        <f>'Avg Week Ntinda-SpearMotors'!H68+'Avg Week SpearMotors-Ntinda'!H68</f>
        <v>0</v>
      </c>
      <c r="I68" s="49">
        <f>'Avg Week Ntinda-SpearMotors'!I68+'Avg Week SpearMotors-Ntinda'!I68</f>
        <v>1.5</v>
      </c>
      <c r="J68" s="49">
        <f>'Avg Week Ntinda-SpearMotors'!J68+'Avg Week SpearMotors-Ntinda'!J68</f>
        <v>1</v>
      </c>
      <c r="K68" s="49">
        <f>'Avg Week Ntinda-SpearMotors'!K68+'Avg Week SpearMotors-Ntinda'!K68</f>
        <v>1</v>
      </c>
      <c r="L68" s="49">
        <f>'Avg Week Ntinda-SpearMotors'!L68+'Avg Week SpearMotors-Ntinda'!L68</f>
        <v>0</v>
      </c>
      <c r="M68" s="49">
        <f>'Avg Week Ntinda-SpearMotors'!M68+'Avg Week SpearMotors-Ntinda'!M68</f>
        <v>161</v>
      </c>
      <c r="N68" s="49">
        <f>'Avg Week Ntinda-SpearMotors'!N68+'Avg Week SpearMotors-Ntinda'!N68</f>
        <v>0</v>
      </c>
      <c r="O68" s="49">
        <f>'Avg Week Ntinda-SpearMotors'!O68+'Avg Week SpearMotors-Ntinda'!O68</f>
        <v>129</v>
      </c>
      <c r="P68" s="49">
        <f>'Avg Week Ntinda-SpearMotors'!P68+'Avg Week SpearMotors-Ntinda'!P68</f>
        <v>290</v>
      </c>
      <c r="R68" s="8"/>
      <c r="T68"/>
    </row>
    <row r="69" spans="2:20" ht="23.1" customHeight="1" x14ac:dyDescent="0.25">
      <c r="B69" s="23" t="s">
        <v>106</v>
      </c>
      <c r="C69" s="49">
        <f>'Avg Week Ntinda-SpearMotors'!C69+'Avg Week SpearMotors-Ntinda'!C69</f>
        <v>61</v>
      </c>
      <c r="D69" s="49">
        <f>'Avg Week Ntinda-SpearMotors'!D69+'Avg Week SpearMotors-Ntinda'!D69</f>
        <v>44.5</v>
      </c>
      <c r="E69" s="49">
        <f>'Avg Week Ntinda-SpearMotors'!E69+'Avg Week SpearMotors-Ntinda'!E69</f>
        <v>6.5</v>
      </c>
      <c r="F69" s="49">
        <f>'Avg Week Ntinda-SpearMotors'!F69+'Avg Week SpearMotors-Ntinda'!F69</f>
        <v>20.5</v>
      </c>
      <c r="G69" s="49">
        <f>'Avg Week Ntinda-SpearMotors'!G69+'Avg Week SpearMotors-Ntinda'!G69</f>
        <v>0</v>
      </c>
      <c r="H69" s="49">
        <f>'Avg Week Ntinda-SpearMotors'!H69+'Avg Week SpearMotors-Ntinda'!H69</f>
        <v>0</v>
      </c>
      <c r="I69" s="49">
        <f>'Avg Week Ntinda-SpearMotors'!I69+'Avg Week SpearMotors-Ntinda'!I69</f>
        <v>2</v>
      </c>
      <c r="J69" s="49">
        <f>'Avg Week Ntinda-SpearMotors'!J69+'Avg Week SpearMotors-Ntinda'!J69</f>
        <v>0.5</v>
      </c>
      <c r="K69" s="49">
        <f>'Avg Week Ntinda-SpearMotors'!K69+'Avg Week SpearMotors-Ntinda'!K69</f>
        <v>1</v>
      </c>
      <c r="L69" s="49">
        <f>'Avg Week Ntinda-SpearMotors'!L69+'Avg Week SpearMotors-Ntinda'!L69</f>
        <v>1.5</v>
      </c>
      <c r="M69" s="49">
        <f>'Avg Week Ntinda-SpearMotors'!M69+'Avg Week SpearMotors-Ntinda'!M69</f>
        <v>155.5</v>
      </c>
      <c r="N69" s="49">
        <f>'Avg Week Ntinda-SpearMotors'!N69+'Avg Week SpearMotors-Ntinda'!N69</f>
        <v>0</v>
      </c>
      <c r="O69" s="49">
        <f>'Avg Week Ntinda-SpearMotors'!O69+'Avg Week SpearMotors-Ntinda'!O69</f>
        <v>137.5</v>
      </c>
      <c r="P69" s="49">
        <f>'Avg Week Ntinda-SpearMotors'!P69+'Avg Week SpearMotors-Ntinda'!P69</f>
        <v>293</v>
      </c>
      <c r="R69" s="8"/>
      <c r="T69"/>
    </row>
    <row r="70" spans="2:20" ht="23.1" customHeight="1" x14ac:dyDescent="0.25">
      <c r="B70" s="23" t="s">
        <v>110</v>
      </c>
      <c r="C70" s="49">
        <f>'Avg Week Ntinda-SpearMotors'!C70+'Avg Week SpearMotors-Ntinda'!C70</f>
        <v>55.5</v>
      </c>
      <c r="D70" s="49">
        <f>'Avg Week Ntinda-SpearMotors'!D70+'Avg Week SpearMotors-Ntinda'!D70</f>
        <v>41.5</v>
      </c>
      <c r="E70" s="49">
        <f>'Avg Week Ntinda-SpearMotors'!E70+'Avg Week SpearMotors-Ntinda'!E70</f>
        <v>8</v>
      </c>
      <c r="F70" s="49">
        <f>'Avg Week Ntinda-SpearMotors'!F70+'Avg Week SpearMotors-Ntinda'!F70</f>
        <v>16</v>
      </c>
      <c r="G70" s="49">
        <f>'Avg Week Ntinda-SpearMotors'!G70+'Avg Week SpearMotors-Ntinda'!G70</f>
        <v>0</v>
      </c>
      <c r="H70" s="49">
        <f>'Avg Week Ntinda-SpearMotors'!H70+'Avg Week SpearMotors-Ntinda'!H70</f>
        <v>0.5</v>
      </c>
      <c r="I70" s="49">
        <f>'Avg Week Ntinda-SpearMotors'!I70+'Avg Week SpearMotors-Ntinda'!I70</f>
        <v>1.5</v>
      </c>
      <c r="J70" s="49">
        <f>'Avg Week Ntinda-SpearMotors'!J70+'Avg Week SpearMotors-Ntinda'!J70</f>
        <v>0.5</v>
      </c>
      <c r="K70" s="49">
        <f>'Avg Week Ntinda-SpearMotors'!K70+'Avg Week SpearMotors-Ntinda'!K70</f>
        <v>0</v>
      </c>
      <c r="L70" s="49">
        <f>'Avg Week Ntinda-SpearMotors'!L70+'Avg Week SpearMotors-Ntinda'!L70</f>
        <v>0.5</v>
      </c>
      <c r="M70" s="49">
        <f>'Avg Week Ntinda-SpearMotors'!M70+'Avg Week SpearMotors-Ntinda'!M70</f>
        <v>141</v>
      </c>
      <c r="N70" s="49">
        <f>'Avg Week Ntinda-SpearMotors'!N70+'Avg Week SpearMotors-Ntinda'!N70</f>
        <v>0</v>
      </c>
      <c r="O70" s="49">
        <f>'Avg Week Ntinda-SpearMotors'!O70+'Avg Week SpearMotors-Ntinda'!O70</f>
        <v>124</v>
      </c>
      <c r="P70" s="49">
        <f>'Avg Week Ntinda-SpearMotors'!P70+'Avg Week SpearMotors-Ntinda'!P70</f>
        <v>265</v>
      </c>
      <c r="R70" s="8"/>
      <c r="T70"/>
    </row>
    <row r="71" spans="2:20" ht="23.1" customHeight="1" x14ac:dyDescent="0.25">
      <c r="B71" s="23" t="s">
        <v>111</v>
      </c>
      <c r="C71" s="49">
        <f>'Avg Week Ntinda-SpearMotors'!C71+'Avg Week SpearMotors-Ntinda'!C71</f>
        <v>62</v>
      </c>
      <c r="D71" s="49">
        <f>'Avg Week Ntinda-SpearMotors'!D71+'Avg Week SpearMotors-Ntinda'!D71</f>
        <v>32</v>
      </c>
      <c r="E71" s="49">
        <f>'Avg Week Ntinda-SpearMotors'!E71+'Avg Week SpearMotors-Ntinda'!E71</f>
        <v>5.5</v>
      </c>
      <c r="F71" s="49">
        <f>'Avg Week Ntinda-SpearMotors'!F71+'Avg Week SpearMotors-Ntinda'!F71</f>
        <v>14</v>
      </c>
      <c r="G71" s="49">
        <f>'Avg Week Ntinda-SpearMotors'!G71+'Avg Week SpearMotors-Ntinda'!G71</f>
        <v>0</v>
      </c>
      <c r="H71" s="49">
        <f>'Avg Week Ntinda-SpearMotors'!H71+'Avg Week SpearMotors-Ntinda'!H71</f>
        <v>0</v>
      </c>
      <c r="I71" s="49">
        <f>'Avg Week Ntinda-SpearMotors'!I71+'Avg Week SpearMotors-Ntinda'!I71</f>
        <v>1</v>
      </c>
      <c r="J71" s="49">
        <f>'Avg Week Ntinda-SpearMotors'!J71+'Avg Week SpearMotors-Ntinda'!J71</f>
        <v>0.5</v>
      </c>
      <c r="K71" s="49">
        <f>'Avg Week Ntinda-SpearMotors'!K71+'Avg Week SpearMotors-Ntinda'!K71</f>
        <v>0.5</v>
      </c>
      <c r="L71" s="49">
        <f>'Avg Week Ntinda-SpearMotors'!L71+'Avg Week SpearMotors-Ntinda'!L71</f>
        <v>1</v>
      </c>
      <c r="M71" s="49">
        <f>'Avg Week Ntinda-SpearMotors'!M71+'Avg Week SpearMotors-Ntinda'!M71</f>
        <v>118.5</v>
      </c>
      <c r="N71" s="49">
        <f>'Avg Week Ntinda-SpearMotors'!N71+'Avg Week SpearMotors-Ntinda'!N71</f>
        <v>0</v>
      </c>
      <c r="O71" s="49">
        <f>'Avg Week Ntinda-SpearMotors'!O71+'Avg Week SpearMotors-Ntinda'!O71</f>
        <v>116.5</v>
      </c>
      <c r="P71" s="49">
        <f>'Avg Week Ntinda-SpearMotors'!P71+'Avg Week SpearMotors-Ntinda'!P71</f>
        <v>235</v>
      </c>
      <c r="R71" s="8"/>
      <c r="T71"/>
    </row>
    <row r="72" spans="2:20" ht="23.1" customHeight="1" x14ac:dyDescent="0.25">
      <c r="B72" s="23" t="s">
        <v>112</v>
      </c>
      <c r="C72" s="49">
        <f>'Avg Week Ntinda-SpearMotors'!C72+'Avg Week SpearMotors-Ntinda'!C72</f>
        <v>52</v>
      </c>
      <c r="D72" s="49">
        <f>'Avg Week Ntinda-SpearMotors'!D72+'Avg Week SpearMotors-Ntinda'!D72</f>
        <v>39.5</v>
      </c>
      <c r="E72" s="49">
        <f>'Avg Week Ntinda-SpearMotors'!E72+'Avg Week SpearMotors-Ntinda'!E72</f>
        <v>6.5</v>
      </c>
      <c r="F72" s="49">
        <f>'Avg Week Ntinda-SpearMotors'!F72+'Avg Week SpearMotors-Ntinda'!F72</f>
        <v>15</v>
      </c>
      <c r="G72" s="49">
        <f>'Avg Week Ntinda-SpearMotors'!G72+'Avg Week SpearMotors-Ntinda'!G72</f>
        <v>0</v>
      </c>
      <c r="H72" s="49">
        <f>'Avg Week Ntinda-SpearMotors'!H72+'Avg Week SpearMotors-Ntinda'!H72</f>
        <v>0</v>
      </c>
      <c r="I72" s="49">
        <f>'Avg Week Ntinda-SpearMotors'!I72+'Avg Week SpearMotors-Ntinda'!I72</f>
        <v>1</v>
      </c>
      <c r="J72" s="49">
        <f>'Avg Week Ntinda-SpearMotors'!J72+'Avg Week SpearMotors-Ntinda'!J72</f>
        <v>0</v>
      </c>
      <c r="K72" s="49">
        <f>'Avg Week Ntinda-SpearMotors'!K72+'Avg Week SpearMotors-Ntinda'!K72</f>
        <v>0</v>
      </c>
      <c r="L72" s="49">
        <f>'Avg Week Ntinda-SpearMotors'!L72+'Avg Week SpearMotors-Ntinda'!L72</f>
        <v>1.5</v>
      </c>
      <c r="M72" s="49">
        <f>'Avg Week Ntinda-SpearMotors'!M72+'Avg Week SpearMotors-Ntinda'!M72</f>
        <v>143</v>
      </c>
      <c r="N72" s="49">
        <f>'Avg Week Ntinda-SpearMotors'!N72+'Avg Week SpearMotors-Ntinda'!N72</f>
        <v>0</v>
      </c>
      <c r="O72" s="49">
        <f>'Avg Week Ntinda-SpearMotors'!O72+'Avg Week SpearMotors-Ntinda'!O72</f>
        <v>115.5</v>
      </c>
      <c r="P72" s="49">
        <f>'Avg Week Ntinda-SpearMotors'!P72+'Avg Week SpearMotors-Ntinda'!P72</f>
        <v>258.5</v>
      </c>
      <c r="R72" s="8"/>
      <c r="T72"/>
    </row>
    <row r="73" spans="2:20" ht="23.1" customHeight="1" x14ac:dyDescent="0.25">
      <c r="B73" s="23" t="s">
        <v>113</v>
      </c>
      <c r="C73" s="49">
        <f>'Avg Week Ntinda-SpearMotors'!C73+'Avg Week SpearMotors-Ntinda'!C73</f>
        <v>44</v>
      </c>
      <c r="D73" s="49">
        <f>'Avg Week Ntinda-SpearMotors'!D73+'Avg Week SpearMotors-Ntinda'!D73</f>
        <v>39.5</v>
      </c>
      <c r="E73" s="49">
        <f>'Avg Week Ntinda-SpearMotors'!E73+'Avg Week SpearMotors-Ntinda'!E73</f>
        <v>4.5</v>
      </c>
      <c r="F73" s="49">
        <f>'Avg Week Ntinda-SpearMotors'!F73+'Avg Week SpearMotors-Ntinda'!F73</f>
        <v>9</v>
      </c>
      <c r="G73" s="49">
        <f>'Avg Week Ntinda-SpearMotors'!G73+'Avg Week SpearMotors-Ntinda'!G73</f>
        <v>0</v>
      </c>
      <c r="H73" s="49">
        <f>'Avg Week Ntinda-SpearMotors'!H73+'Avg Week SpearMotors-Ntinda'!H73</f>
        <v>0</v>
      </c>
      <c r="I73" s="49">
        <f>'Avg Week Ntinda-SpearMotors'!I73+'Avg Week SpearMotors-Ntinda'!I73</f>
        <v>0</v>
      </c>
      <c r="J73" s="49">
        <f>'Avg Week Ntinda-SpearMotors'!J73+'Avg Week SpearMotors-Ntinda'!J73</f>
        <v>0.5</v>
      </c>
      <c r="K73" s="49">
        <f>'Avg Week Ntinda-SpearMotors'!K73+'Avg Week SpearMotors-Ntinda'!K73</f>
        <v>1</v>
      </c>
      <c r="L73" s="49">
        <f>'Avg Week Ntinda-SpearMotors'!L73+'Avg Week SpearMotors-Ntinda'!L73</f>
        <v>0</v>
      </c>
      <c r="M73" s="49">
        <f>'Avg Week Ntinda-SpearMotors'!M73+'Avg Week SpearMotors-Ntinda'!M73</f>
        <v>108.5</v>
      </c>
      <c r="N73" s="49">
        <f>'Avg Week Ntinda-SpearMotors'!N73+'Avg Week SpearMotors-Ntinda'!N73</f>
        <v>0</v>
      </c>
      <c r="O73" s="49">
        <f>'Avg Week Ntinda-SpearMotors'!O73+'Avg Week SpearMotors-Ntinda'!O73</f>
        <v>98.5</v>
      </c>
      <c r="P73" s="49">
        <f>'Avg Week Ntinda-SpearMotors'!P73+'Avg Week SpearMotors-Ntinda'!P73</f>
        <v>207</v>
      </c>
      <c r="R73" s="8"/>
      <c r="T73"/>
    </row>
    <row r="74" spans="2:20" ht="23.1" customHeight="1" x14ac:dyDescent="0.25">
      <c r="B74" s="23" t="s">
        <v>114</v>
      </c>
      <c r="C74" s="49">
        <f>'Avg Week Ntinda-SpearMotors'!C74+'Avg Week SpearMotors-Ntinda'!C74</f>
        <v>42</v>
      </c>
      <c r="D74" s="49">
        <f>'Avg Week Ntinda-SpearMotors'!D74+'Avg Week SpearMotors-Ntinda'!D74</f>
        <v>30.5</v>
      </c>
      <c r="E74" s="49">
        <f>'Avg Week Ntinda-SpearMotors'!E74+'Avg Week SpearMotors-Ntinda'!E74</f>
        <v>7.5</v>
      </c>
      <c r="F74" s="49">
        <f>'Avg Week Ntinda-SpearMotors'!F74+'Avg Week SpearMotors-Ntinda'!F74</f>
        <v>4.5</v>
      </c>
      <c r="G74" s="49">
        <f>'Avg Week Ntinda-SpearMotors'!G74+'Avg Week SpearMotors-Ntinda'!G74</f>
        <v>0</v>
      </c>
      <c r="H74" s="49">
        <f>'Avg Week Ntinda-SpearMotors'!H74+'Avg Week SpearMotors-Ntinda'!H74</f>
        <v>0</v>
      </c>
      <c r="I74" s="49">
        <f>'Avg Week Ntinda-SpearMotors'!I74+'Avg Week SpearMotors-Ntinda'!I74</f>
        <v>0</v>
      </c>
      <c r="J74" s="49">
        <f>'Avg Week Ntinda-SpearMotors'!J74+'Avg Week SpearMotors-Ntinda'!J74</f>
        <v>0.5</v>
      </c>
      <c r="K74" s="49">
        <f>'Avg Week Ntinda-SpearMotors'!K74+'Avg Week SpearMotors-Ntinda'!K74</f>
        <v>0</v>
      </c>
      <c r="L74" s="49">
        <f>'Avg Week Ntinda-SpearMotors'!L74+'Avg Week SpearMotors-Ntinda'!L74</f>
        <v>1</v>
      </c>
      <c r="M74" s="49">
        <f>'Avg Week Ntinda-SpearMotors'!M74+'Avg Week SpearMotors-Ntinda'!M74</f>
        <v>87</v>
      </c>
      <c r="N74" s="49">
        <f>'Avg Week Ntinda-SpearMotors'!N74+'Avg Week SpearMotors-Ntinda'!N74</f>
        <v>0</v>
      </c>
      <c r="O74" s="49">
        <f>'Avg Week Ntinda-SpearMotors'!O74+'Avg Week SpearMotors-Ntinda'!O74</f>
        <v>86</v>
      </c>
      <c r="P74" s="49">
        <f>'Avg Week Ntinda-SpearMotors'!P74+'Avg Week SpearMotors-Ntinda'!P74</f>
        <v>173</v>
      </c>
      <c r="R74" s="8"/>
      <c r="T74"/>
    </row>
    <row r="75" spans="2:20" ht="23.1" customHeight="1" x14ac:dyDescent="0.25">
      <c r="B75" s="23" t="s">
        <v>115</v>
      </c>
      <c r="C75" s="49">
        <f>'Avg Week Ntinda-SpearMotors'!C75+'Avg Week SpearMotors-Ntinda'!C75</f>
        <v>43</v>
      </c>
      <c r="D75" s="49">
        <f>'Avg Week Ntinda-SpearMotors'!D75+'Avg Week SpearMotors-Ntinda'!D75</f>
        <v>34</v>
      </c>
      <c r="E75" s="49">
        <f>'Avg Week Ntinda-SpearMotors'!E75+'Avg Week SpearMotors-Ntinda'!E75</f>
        <v>7.5</v>
      </c>
      <c r="F75" s="49">
        <f>'Avg Week Ntinda-SpearMotors'!F75+'Avg Week SpearMotors-Ntinda'!F75</f>
        <v>4.5</v>
      </c>
      <c r="G75" s="49">
        <f>'Avg Week Ntinda-SpearMotors'!G75+'Avg Week SpearMotors-Ntinda'!G75</f>
        <v>0</v>
      </c>
      <c r="H75" s="49">
        <f>'Avg Week Ntinda-SpearMotors'!H75+'Avg Week SpearMotors-Ntinda'!H75</f>
        <v>0</v>
      </c>
      <c r="I75" s="49">
        <f>'Avg Week Ntinda-SpearMotors'!I75+'Avg Week SpearMotors-Ntinda'!I75</f>
        <v>0.5</v>
      </c>
      <c r="J75" s="49">
        <f>'Avg Week Ntinda-SpearMotors'!J75+'Avg Week SpearMotors-Ntinda'!J75</f>
        <v>0</v>
      </c>
      <c r="K75" s="49">
        <f>'Avg Week Ntinda-SpearMotors'!K75+'Avg Week SpearMotors-Ntinda'!K75</f>
        <v>0</v>
      </c>
      <c r="L75" s="49">
        <f>'Avg Week Ntinda-SpearMotors'!L75+'Avg Week SpearMotors-Ntinda'!L75</f>
        <v>1</v>
      </c>
      <c r="M75" s="49">
        <f>'Avg Week Ntinda-SpearMotors'!M75+'Avg Week SpearMotors-Ntinda'!M75</f>
        <v>80.5</v>
      </c>
      <c r="N75" s="49">
        <f>'Avg Week Ntinda-SpearMotors'!N75+'Avg Week SpearMotors-Ntinda'!N75</f>
        <v>0</v>
      </c>
      <c r="O75" s="49">
        <f>'Avg Week Ntinda-SpearMotors'!O75+'Avg Week SpearMotors-Ntinda'!O75</f>
        <v>90.5</v>
      </c>
      <c r="P75" s="49">
        <f>'Avg Week Ntinda-SpearMotors'!P75+'Avg Week SpearMotors-Ntinda'!P75</f>
        <v>171</v>
      </c>
      <c r="R75" s="8"/>
      <c r="T75"/>
    </row>
    <row r="76" spans="2:20" ht="23.1" customHeight="1" x14ac:dyDescent="0.25">
      <c r="B76" s="23" t="s">
        <v>116</v>
      </c>
      <c r="C76" s="49">
        <f>'Avg Week Ntinda-SpearMotors'!C76+'Avg Week SpearMotors-Ntinda'!C76</f>
        <v>39</v>
      </c>
      <c r="D76" s="49">
        <f>'Avg Week Ntinda-SpearMotors'!D76+'Avg Week SpearMotors-Ntinda'!D76</f>
        <v>29</v>
      </c>
      <c r="E76" s="49">
        <f>'Avg Week Ntinda-SpearMotors'!E76+'Avg Week SpearMotors-Ntinda'!E76</f>
        <v>5.5</v>
      </c>
      <c r="F76" s="49">
        <f>'Avg Week Ntinda-SpearMotors'!F76+'Avg Week SpearMotors-Ntinda'!F76</f>
        <v>4.5</v>
      </c>
      <c r="G76" s="49">
        <f>'Avg Week Ntinda-SpearMotors'!G76+'Avg Week SpearMotors-Ntinda'!G76</f>
        <v>0</v>
      </c>
      <c r="H76" s="49">
        <f>'Avg Week Ntinda-SpearMotors'!H76+'Avg Week SpearMotors-Ntinda'!H76</f>
        <v>0</v>
      </c>
      <c r="I76" s="49">
        <f>'Avg Week Ntinda-SpearMotors'!I76+'Avg Week SpearMotors-Ntinda'!I76</f>
        <v>1.5</v>
      </c>
      <c r="J76" s="49">
        <f>'Avg Week Ntinda-SpearMotors'!J76+'Avg Week SpearMotors-Ntinda'!J76</f>
        <v>0.5</v>
      </c>
      <c r="K76" s="49">
        <f>'Avg Week Ntinda-SpearMotors'!K76+'Avg Week SpearMotors-Ntinda'!K76</f>
        <v>0.5</v>
      </c>
      <c r="L76" s="49">
        <f>'Avg Week Ntinda-SpearMotors'!L76+'Avg Week SpearMotors-Ntinda'!L76</f>
        <v>0.5</v>
      </c>
      <c r="M76" s="49">
        <f>'Avg Week Ntinda-SpearMotors'!M76+'Avg Week SpearMotors-Ntinda'!M76</f>
        <v>85</v>
      </c>
      <c r="N76" s="49">
        <f>'Avg Week Ntinda-SpearMotors'!N76+'Avg Week SpearMotors-Ntinda'!N76</f>
        <v>0</v>
      </c>
      <c r="O76" s="49">
        <f>'Avg Week Ntinda-SpearMotors'!O76+'Avg Week SpearMotors-Ntinda'!O76</f>
        <v>81</v>
      </c>
      <c r="P76" s="49">
        <f>'Avg Week Ntinda-SpearMotors'!P76+'Avg Week SpearMotors-Ntinda'!P76</f>
        <v>166</v>
      </c>
      <c r="R76" s="8"/>
      <c r="T76"/>
    </row>
    <row r="77" spans="2:20" ht="23.1" customHeight="1" x14ac:dyDescent="0.25">
      <c r="B77" s="23" t="s">
        <v>117</v>
      </c>
      <c r="C77" s="49">
        <f>'Avg Week Ntinda-SpearMotors'!C77+'Avg Week SpearMotors-Ntinda'!C77</f>
        <v>38</v>
      </c>
      <c r="D77" s="49">
        <f>'Avg Week Ntinda-SpearMotors'!D77+'Avg Week SpearMotors-Ntinda'!D77</f>
        <v>27.5</v>
      </c>
      <c r="E77" s="49">
        <f>'Avg Week Ntinda-SpearMotors'!E77+'Avg Week SpearMotors-Ntinda'!E77</f>
        <v>5.5</v>
      </c>
      <c r="F77" s="49">
        <f>'Avg Week Ntinda-SpearMotors'!F77+'Avg Week SpearMotors-Ntinda'!F77</f>
        <v>4.5</v>
      </c>
      <c r="G77" s="49">
        <f>'Avg Week Ntinda-SpearMotors'!G77+'Avg Week SpearMotors-Ntinda'!G77</f>
        <v>0</v>
      </c>
      <c r="H77" s="49">
        <f>'Avg Week Ntinda-SpearMotors'!H77+'Avg Week SpearMotors-Ntinda'!H77</f>
        <v>0.5</v>
      </c>
      <c r="I77" s="49">
        <f>'Avg Week Ntinda-SpearMotors'!I77+'Avg Week SpearMotors-Ntinda'!I77</f>
        <v>2</v>
      </c>
      <c r="J77" s="49">
        <f>'Avg Week Ntinda-SpearMotors'!J77+'Avg Week SpearMotors-Ntinda'!J77</f>
        <v>0</v>
      </c>
      <c r="K77" s="49">
        <f>'Avg Week Ntinda-SpearMotors'!K77+'Avg Week SpearMotors-Ntinda'!K77</f>
        <v>0</v>
      </c>
      <c r="L77" s="49">
        <f>'Avg Week Ntinda-SpearMotors'!L77+'Avg Week SpearMotors-Ntinda'!L77</f>
        <v>0.5</v>
      </c>
      <c r="M77" s="49">
        <f>'Avg Week Ntinda-SpearMotors'!M77+'Avg Week SpearMotors-Ntinda'!M77</f>
        <v>81</v>
      </c>
      <c r="N77" s="49">
        <f>'Avg Week Ntinda-SpearMotors'!N77+'Avg Week SpearMotors-Ntinda'!N77</f>
        <v>0</v>
      </c>
      <c r="O77" s="49">
        <f>'Avg Week Ntinda-SpearMotors'!O77+'Avg Week SpearMotors-Ntinda'!O77</f>
        <v>78.5</v>
      </c>
      <c r="P77" s="49">
        <f>'Avg Week Ntinda-SpearMotors'!P77+'Avg Week SpearMotors-Ntinda'!P77</f>
        <v>159.5</v>
      </c>
      <c r="R77" s="8"/>
      <c r="T77"/>
    </row>
    <row r="78" spans="2:20" ht="23.1" customHeight="1" x14ac:dyDescent="0.25">
      <c r="B78" s="24" t="s">
        <v>118</v>
      </c>
      <c r="C78" s="49">
        <f>'Avg Week Ntinda-SpearMotors'!C78+'Avg Week SpearMotors-Ntinda'!C78</f>
        <v>27.5</v>
      </c>
      <c r="D78" s="49">
        <f>'Avg Week Ntinda-SpearMotors'!D78+'Avg Week SpearMotors-Ntinda'!D78</f>
        <v>22.5</v>
      </c>
      <c r="E78" s="49">
        <f>'Avg Week Ntinda-SpearMotors'!E78+'Avg Week SpearMotors-Ntinda'!E78</f>
        <v>3</v>
      </c>
      <c r="F78" s="49">
        <f>'Avg Week Ntinda-SpearMotors'!F78+'Avg Week SpearMotors-Ntinda'!F78</f>
        <v>3</v>
      </c>
      <c r="G78" s="49">
        <f>'Avg Week Ntinda-SpearMotors'!G78+'Avg Week SpearMotors-Ntinda'!G78</f>
        <v>0</v>
      </c>
      <c r="H78" s="49">
        <f>'Avg Week Ntinda-SpearMotors'!H78+'Avg Week SpearMotors-Ntinda'!H78</f>
        <v>0</v>
      </c>
      <c r="I78" s="49">
        <f>'Avg Week Ntinda-SpearMotors'!I78+'Avg Week SpearMotors-Ntinda'!I78</f>
        <v>1.5</v>
      </c>
      <c r="J78" s="49">
        <f>'Avg Week Ntinda-SpearMotors'!J78+'Avg Week SpearMotors-Ntinda'!J78</f>
        <v>0.5</v>
      </c>
      <c r="K78" s="49">
        <f>'Avg Week Ntinda-SpearMotors'!K78+'Avg Week SpearMotors-Ntinda'!K78</f>
        <v>0</v>
      </c>
      <c r="L78" s="49">
        <f>'Avg Week Ntinda-SpearMotors'!L78+'Avg Week SpearMotors-Ntinda'!L78</f>
        <v>1</v>
      </c>
      <c r="M78" s="49">
        <f>'Avg Week Ntinda-SpearMotors'!M78+'Avg Week SpearMotors-Ntinda'!M78</f>
        <v>62</v>
      </c>
      <c r="N78" s="49">
        <f>'Avg Week Ntinda-SpearMotors'!N78+'Avg Week SpearMotors-Ntinda'!N78</f>
        <v>0</v>
      </c>
      <c r="O78" s="49">
        <f>'Avg Week Ntinda-SpearMotors'!O78+'Avg Week SpearMotors-Ntinda'!O78</f>
        <v>59</v>
      </c>
      <c r="P78" s="49">
        <f>'Avg Week Ntinda-SpearMotors'!P78+'Avg Week SpearMotors-Ntinda'!P78</f>
        <v>121</v>
      </c>
      <c r="R78" s="8"/>
      <c r="T78"/>
    </row>
    <row r="79" spans="2:20" ht="23.1" customHeight="1" x14ac:dyDescent="0.25">
      <c r="B79" s="23" t="s">
        <v>119</v>
      </c>
      <c r="C79" s="49">
        <f>'Avg Week Ntinda-SpearMotors'!C79+'Avg Week SpearMotors-Ntinda'!C79</f>
        <v>31.5</v>
      </c>
      <c r="D79" s="49">
        <f>'Avg Week Ntinda-SpearMotors'!D79+'Avg Week SpearMotors-Ntinda'!D79</f>
        <v>18.5</v>
      </c>
      <c r="E79" s="49">
        <f>'Avg Week Ntinda-SpearMotors'!E79+'Avg Week SpearMotors-Ntinda'!E79</f>
        <v>3.5</v>
      </c>
      <c r="F79" s="49">
        <f>'Avg Week Ntinda-SpearMotors'!F79+'Avg Week SpearMotors-Ntinda'!F79</f>
        <v>1</v>
      </c>
      <c r="G79" s="49">
        <f>'Avg Week Ntinda-SpearMotors'!G79+'Avg Week SpearMotors-Ntinda'!G79</f>
        <v>0</v>
      </c>
      <c r="H79" s="49">
        <f>'Avg Week Ntinda-SpearMotors'!H79+'Avg Week SpearMotors-Ntinda'!H79</f>
        <v>0</v>
      </c>
      <c r="I79" s="49">
        <f>'Avg Week Ntinda-SpearMotors'!I79+'Avg Week SpearMotors-Ntinda'!I79</f>
        <v>1.5</v>
      </c>
      <c r="J79" s="49">
        <f>'Avg Week Ntinda-SpearMotors'!J79+'Avg Week SpearMotors-Ntinda'!J79</f>
        <v>0</v>
      </c>
      <c r="K79" s="49">
        <f>'Avg Week Ntinda-SpearMotors'!K79+'Avg Week SpearMotors-Ntinda'!K79</f>
        <v>0.5</v>
      </c>
      <c r="L79" s="49">
        <f>'Avg Week Ntinda-SpearMotors'!L79+'Avg Week SpearMotors-Ntinda'!L79</f>
        <v>1</v>
      </c>
      <c r="M79" s="49">
        <f>'Avg Week Ntinda-SpearMotors'!M79+'Avg Week SpearMotors-Ntinda'!M79</f>
        <v>65.5</v>
      </c>
      <c r="N79" s="49">
        <f>'Avg Week Ntinda-SpearMotors'!N79+'Avg Week SpearMotors-Ntinda'!N79</f>
        <v>0</v>
      </c>
      <c r="O79" s="49">
        <f>'Avg Week Ntinda-SpearMotors'!O79+'Avg Week SpearMotors-Ntinda'!O79</f>
        <v>57.5</v>
      </c>
      <c r="P79" s="49">
        <f>'Avg Week Ntinda-SpearMotors'!P79+'Avg Week SpearMotors-Ntinda'!P79</f>
        <v>123</v>
      </c>
      <c r="R79" s="8"/>
      <c r="T79"/>
    </row>
    <row r="80" spans="2:20" ht="23.1" customHeight="1" x14ac:dyDescent="0.25">
      <c r="B80" s="25" t="s">
        <v>120</v>
      </c>
      <c r="C80" s="49">
        <f>'Avg Week Ntinda-SpearMotors'!C80+'Avg Week SpearMotors-Ntinda'!C80</f>
        <v>12.5</v>
      </c>
      <c r="D80" s="49">
        <f>'Avg Week Ntinda-SpearMotors'!D80+'Avg Week SpearMotors-Ntinda'!D80</f>
        <v>10.5</v>
      </c>
      <c r="E80" s="49">
        <f>'Avg Week Ntinda-SpearMotors'!E80+'Avg Week SpearMotors-Ntinda'!E80</f>
        <v>3</v>
      </c>
      <c r="F80" s="49">
        <f>'Avg Week Ntinda-SpearMotors'!F80+'Avg Week SpearMotors-Ntinda'!F80</f>
        <v>0</v>
      </c>
      <c r="G80" s="49">
        <f>'Avg Week Ntinda-SpearMotors'!G80+'Avg Week SpearMotors-Ntinda'!G80</f>
        <v>0</v>
      </c>
      <c r="H80" s="49">
        <f>'Avg Week Ntinda-SpearMotors'!H80+'Avg Week SpearMotors-Ntinda'!H80</f>
        <v>0</v>
      </c>
      <c r="I80" s="49">
        <f>'Avg Week Ntinda-SpearMotors'!I80+'Avg Week SpearMotors-Ntinda'!I80</f>
        <v>1</v>
      </c>
      <c r="J80" s="49">
        <f>'Avg Week Ntinda-SpearMotors'!J80+'Avg Week SpearMotors-Ntinda'!J80</f>
        <v>0.5</v>
      </c>
      <c r="K80" s="49">
        <f>'Avg Week Ntinda-SpearMotors'!K80+'Avg Week SpearMotors-Ntinda'!K80</f>
        <v>0</v>
      </c>
      <c r="L80" s="49">
        <f>'Avg Week Ntinda-SpearMotors'!L80+'Avg Week SpearMotors-Ntinda'!L80</f>
        <v>1.5</v>
      </c>
      <c r="M80" s="49">
        <f>'Avg Week Ntinda-SpearMotors'!M80+'Avg Week SpearMotors-Ntinda'!M80</f>
        <v>60</v>
      </c>
      <c r="N80" s="49">
        <f>'Avg Week Ntinda-SpearMotors'!N80+'Avg Week SpearMotors-Ntinda'!N80</f>
        <v>0</v>
      </c>
      <c r="O80" s="49">
        <f>'Avg Week Ntinda-SpearMotors'!O80+'Avg Week SpearMotors-Ntinda'!O80</f>
        <v>29</v>
      </c>
      <c r="P80" s="49">
        <f>'Avg Week Ntinda-SpearMotors'!P80+'Avg Week SpearMotors-Ntinda'!P80</f>
        <v>89</v>
      </c>
      <c r="R80" s="8"/>
      <c r="T80"/>
    </row>
    <row r="81" spans="2:20" ht="23.1" customHeight="1" x14ac:dyDescent="0.25">
      <c r="B81" s="23" t="s">
        <v>121</v>
      </c>
      <c r="C81" s="49">
        <f>'Avg Week Ntinda-SpearMotors'!C81+'Avg Week SpearMotors-Ntinda'!C81</f>
        <v>17</v>
      </c>
      <c r="D81" s="49">
        <f>'Avg Week Ntinda-SpearMotors'!D81+'Avg Week SpearMotors-Ntinda'!D81</f>
        <v>17</v>
      </c>
      <c r="E81" s="49">
        <f>'Avg Week Ntinda-SpearMotors'!E81+'Avg Week SpearMotors-Ntinda'!E81</f>
        <v>1</v>
      </c>
      <c r="F81" s="49">
        <f>'Avg Week Ntinda-SpearMotors'!F81+'Avg Week SpearMotors-Ntinda'!F81</f>
        <v>0.5</v>
      </c>
      <c r="G81" s="49">
        <f>'Avg Week Ntinda-SpearMotors'!G81+'Avg Week SpearMotors-Ntinda'!G81</f>
        <v>0</v>
      </c>
      <c r="H81" s="49">
        <f>'Avg Week Ntinda-SpearMotors'!H81+'Avg Week SpearMotors-Ntinda'!H81</f>
        <v>0</v>
      </c>
      <c r="I81" s="49">
        <f>'Avg Week Ntinda-SpearMotors'!I81+'Avg Week SpearMotors-Ntinda'!I81</f>
        <v>0</v>
      </c>
      <c r="J81" s="49">
        <f>'Avg Week Ntinda-SpearMotors'!J81+'Avg Week SpearMotors-Ntinda'!J81</f>
        <v>0.5</v>
      </c>
      <c r="K81" s="49">
        <f>'Avg Week Ntinda-SpearMotors'!K81+'Avg Week SpearMotors-Ntinda'!K81</f>
        <v>1</v>
      </c>
      <c r="L81" s="49">
        <f>'Avg Week Ntinda-SpearMotors'!L81+'Avg Week SpearMotors-Ntinda'!L81</f>
        <v>0</v>
      </c>
      <c r="M81" s="49">
        <f>'Avg Week Ntinda-SpearMotors'!M81+'Avg Week SpearMotors-Ntinda'!M81</f>
        <v>51</v>
      </c>
      <c r="N81" s="49">
        <f>'Avg Week Ntinda-SpearMotors'!N81+'Avg Week SpearMotors-Ntinda'!N81</f>
        <v>0</v>
      </c>
      <c r="O81" s="49">
        <f>'Avg Week Ntinda-SpearMotors'!O81+'Avg Week SpearMotors-Ntinda'!O81</f>
        <v>37</v>
      </c>
      <c r="P81" s="49">
        <f>'Avg Week Ntinda-SpearMotors'!P81+'Avg Week SpearMotors-Ntinda'!P81</f>
        <v>88</v>
      </c>
      <c r="R81" s="8"/>
      <c r="T81"/>
    </row>
    <row r="82" spans="2:20" ht="23.1" customHeight="1" x14ac:dyDescent="0.25">
      <c r="B82" s="24" t="s">
        <v>122</v>
      </c>
      <c r="C82" s="49">
        <f>'Avg Week Ntinda-SpearMotors'!C82+'Avg Week SpearMotors-Ntinda'!C82</f>
        <v>11</v>
      </c>
      <c r="D82" s="49">
        <f>'Avg Week Ntinda-SpearMotors'!D82+'Avg Week SpearMotors-Ntinda'!D82</f>
        <v>8</v>
      </c>
      <c r="E82" s="49">
        <f>'Avg Week Ntinda-SpearMotors'!E82+'Avg Week SpearMotors-Ntinda'!E82</f>
        <v>1.5</v>
      </c>
      <c r="F82" s="49">
        <f>'Avg Week Ntinda-SpearMotors'!F82+'Avg Week SpearMotors-Ntinda'!F82</f>
        <v>0.5</v>
      </c>
      <c r="G82" s="49">
        <f>'Avg Week Ntinda-SpearMotors'!G82+'Avg Week SpearMotors-Ntinda'!G82</f>
        <v>0</v>
      </c>
      <c r="H82" s="49">
        <f>'Avg Week Ntinda-SpearMotors'!H82+'Avg Week SpearMotors-Ntinda'!H82</f>
        <v>0</v>
      </c>
      <c r="I82" s="49">
        <f>'Avg Week Ntinda-SpearMotors'!I82+'Avg Week SpearMotors-Ntinda'!I82</f>
        <v>0.5</v>
      </c>
      <c r="J82" s="49">
        <f>'Avg Week Ntinda-SpearMotors'!J82+'Avg Week SpearMotors-Ntinda'!J82</f>
        <v>0</v>
      </c>
      <c r="K82" s="49">
        <f>'Avg Week Ntinda-SpearMotors'!K82+'Avg Week SpearMotors-Ntinda'!K82</f>
        <v>0</v>
      </c>
      <c r="L82" s="49">
        <f>'Avg Week Ntinda-SpearMotors'!L82+'Avg Week SpearMotors-Ntinda'!L82</f>
        <v>0.5</v>
      </c>
      <c r="M82" s="49">
        <f>'Avg Week Ntinda-SpearMotors'!M82+'Avg Week SpearMotors-Ntinda'!M82</f>
        <v>21.5</v>
      </c>
      <c r="N82" s="49">
        <f>'Avg Week Ntinda-SpearMotors'!N82+'Avg Week SpearMotors-Ntinda'!N82</f>
        <v>0</v>
      </c>
      <c r="O82" s="49">
        <f>'Avg Week Ntinda-SpearMotors'!O82+'Avg Week SpearMotors-Ntinda'!O82</f>
        <v>22</v>
      </c>
      <c r="P82" s="49">
        <f>'Avg Week Ntinda-SpearMotors'!P82+'Avg Week SpearMotors-Ntinda'!P82</f>
        <v>43.5</v>
      </c>
      <c r="R82" s="8"/>
      <c r="T82"/>
    </row>
    <row r="83" spans="2:20" ht="23.1" customHeight="1" x14ac:dyDescent="0.25">
      <c r="B83" s="23" t="s">
        <v>123</v>
      </c>
      <c r="C83" s="49">
        <f>'Avg Week Ntinda-SpearMotors'!C83+'Avg Week SpearMotors-Ntinda'!C83</f>
        <v>21</v>
      </c>
      <c r="D83" s="49">
        <f>'Avg Week Ntinda-SpearMotors'!D83+'Avg Week SpearMotors-Ntinda'!D83</f>
        <v>12</v>
      </c>
      <c r="E83" s="49">
        <f>'Avg Week Ntinda-SpearMotors'!E83+'Avg Week SpearMotors-Ntinda'!E83</f>
        <v>1.5</v>
      </c>
      <c r="F83" s="49">
        <f>'Avg Week Ntinda-SpearMotors'!F83+'Avg Week SpearMotors-Ntinda'!F83</f>
        <v>0.5</v>
      </c>
      <c r="G83" s="49">
        <f>'Avg Week Ntinda-SpearMotors'!G83+'Avg Week SpearMotors-Ntinda'!G83</f>
        <v>0</v>
      </c>
      <c r="H83" s="49">
        <f>'Avg Week Ntinda-SpearMotors'!H83+'Avg Week SpearMotors-Ntinda'!H83</f>
        <v>0</v>
      </c>
      <c r="I83" s="49">
        <f>'Avg Week Ntinda-SpearMotors'!I83+'Avg Week SpearMotors-Ntinda'!I83</f>
        <v>1.5</v>
      </c>
      <c r="J83" s="49">
        <f>'Avg Week Ntinda-SpearMotors'!J83+'Avg Week SpearMotors-Ntinda'!J83</f>
        <v>0.5</v>
      </c>
      <c r="K83" s="49">
        <f>'Avg Week Ntinda-SpearMotors'!K83+'Avg Week SpearMotors-Ntinda'!K83</f>
        <v>0.5</v>
      </c>
      <c r="L83" s="49">
        <f>'Avg Week Ntinda-SpearMotors'!L83+'Avg Week SpearMotors-Ntinda'!L83</f>
        <v>1</v>
      </c>
      <c r="M83" s="49">
        <f>'Avg Week Ntinda-SpearMotors'!M83+'Avg Week SpearMotors-Ntinda'!M83</f>
        <v>32.5</v>
      </c>
      <c r="N83" s="49">
        <f>'Avg Week Ntinda-SpearMotors'!N83+'Avg Week SpearMotors-Ntinda'!N83</f>
        <v>0</v>
      </c>
      <c r="O83" s="49">
        <f>'Avg Week Ntinda-SpearMotors'!O83+'Avg Week SpearMotors-Ntinda'!O83</f>
        <v>38.5</v>
      </c>
      <c r="P83" s="49">
        <f>'Avg Week Ntinda-SpearMotors'!P83+'Avg Week SpearMotors-Ntinda'!P83</f>
        <v>71</v>
      </c>
      <c r="R83" s="8"/>
      <c r="T83"/>
    </row>
    <row r="84" spans="2:20" ht="23.1" customHeight="1" x14ac:dyDescent="0.25">
      <c r="B84" s="25" t="s">
        <v>124</v>
      </c>
      <c r="C84" s="49">
        <f>'Avg Week Ntinda-SpearMotors'!C84+'Avg Week SpearMotors-Ntinda'!C84</f>
        <v>12.5</v>
      </c>
      <c r="D84" s="49">
        <f>'Avg Week Ntinda-SpearMotors'!D84+'Avg Week SpearMotors-Ntinda'!D84</f>
        <v>5.5</v>
      </c>
      <c r="E84" s="49">
        <f>'Avg Week Ntinda-SpearMotors'!E84+'Avg Week SpearMotors-Ntinda'!E84</f>
        <v>0</v>
      </c>
      <c r="F84" s="49">
        <f>'Avg Week Ntinda-SpearMotors'!F84+'Avg Week SpearMotors-Ntinda'!F84</f>
        <v>0</v>
      </c>
      <c r="G84" s="49">
        <f>'Avg Week Ntinda-SpearMotors'!G84+'Avg Week SpearMotors-Ntinda'!G84</f>
        <v>0</v>
      </c>
      <c r="H84" s="49">
        <f>'Avg Week Ntinda-SpearMotors'!H84+'Avg Week SpearMotors-Ntinda'!H84</f>
        <v>0</v>
      </c>
      <c r="I84" s="49">
        <f>'Avg Week Ntinda-SpearMotors'!I84+'Avg Week SpearMotors-Ntinda'!I84</f>
        <v>2</v>
      </c>
      <c r="J84" s="49">
        <f>'Avg Week Ntinda-SpearMotors'!J84+'Avg Week SpearMotors-Ntinda'!J84</f>
        <v>0.5</v>
      </c>
      <c r="K84" s="49">
        <f>'Avg Week Ntinda-SpearMotors'!K84+'Avg Week SpearMotors-Ntinda'!K84</f>
        <v>0.5</v>
      </c>
      <c r="L84" s="49">
        <f>'Avg Week Ntinda-SpearMotors'!L84+'Avg Week SpearMotors-Ntinda'!L84</f>
        <v>2</v>
      </c>
      <c r="M84" s="49">
        <f>'Avg Week Ntinda-SpearMotors'!M84+'Avg Week SpearMotors-Ntinda'!M84</f>
        <v>17.5</v>
      </c>
      <c r="N84" s="49">
        <f>'Avg Week Ntinda-SpearMotors'!N84+'Avg Week SpearMotors-Ntinda'!N84</f>
        <v>0</v>
      </c>
      <c r="O84" s="49">
        <f>'Avg Week Ntinda-SpearMotors'!O84+'Avg Week SpearMotors-Ntinda'!O84</f>
        <v>23</v>
      </c>
      <c r="P84" s="49">
        <f>'Avg Week Ntinda-SpearMotors'!P84+'Avg Week SpearMotors-Ntinda'!P84</f>
        <v>40.5</v>
      </c>
      <c r="R84" s="8"/>
      <c r="T84"/>
    </row>
    <row r="85" spans="2:20" ht="23.1" customHeight="1" x14ac:dyDescent="0.25">
      <c r="B85" s="23" t="s">
        <v>125</v>
      </c>
      <c r="C85" s="49">
        <f>'Avg Week Ntinda-SpearMotors'!C85+'Avg Week SpearMotors-Ntinda'!C85</f>
        <v>8.5</v>
      </c>
      <c r="D85" s="49">
        <f>'Avg Week Ntinda-SpearMotors'!D85+'Avg Week SpearMotors-Ntinda'!D85</f>
        <v>3</v>
      </c>
      <c r="E85" s="49">
        <f>'Avg Week Ntinda-SpearMotors'!E85+'Avg Week SpearMotors-Ntinda'!E85</f>
        <v>1</v>
      </c>
      <c r="F85" s="49">
        <f>'Avg Week Ntinda-SpearMotors'!F85+'Avg Week SpearMotors-Ntinda'!F85</f>
        <v>0.5</v>
      </c>
      <c r="G85" s="49">
        <f>'Avg Week Ntinda-SpearMotors'!G85+'Avg Week SpearMotors-Ntinda'!G85</f>
        <v>0</v>
      </c>
      <c r="H85" s="49">
        <f>'Avg Week Ntinda-SpearMotors'!H85+'Avg Week SpearMotors-Ntinda'!H85</f>
        <v>0</v>
      </c>
      <c r="I85" s="49">
        <f>'Avg Week Ntinda-SpearMotors'!I85+'Avg Week SpearMotors-Ntinda'!I85</f>
        <v>0</v>
      </c>
      <c r="J85" s="49">
        <f>'Avg Week Ntinda-SpearMotors'!J85+'Avg Week SpearMotors-Ntinda'!J85</f>
        <v>1</v>
      </c>
      <c r="K85" s="49">
        <f>'Avg Week Ntinda-SpearMotors'!K85+'Avg Week SpearMotors-Ntinda'!K85</f>
        <v>1</v>
      </c>
      <c r="L85" s="49">
        <f>'Avg Week Ntinda-SpearMotors'!L85+'Avg Week SpearMotors-Ntinda'!L85</f>
        <v>0</v>
      </c>
      <c r="M85" s="49">
        <f>'Avg Week Ntinda-SpearMotors'!M85+'Avg Week SpearMotors-Ntinda'!M85</f>
        <v>13.5</v>
      </c>
      <c r="N85" s="49">
        <f>'Avg Week Ntinda-SpearMotors'!N85+'Avg Week SpearMotors-Ntinda'!N85</f>
        <v>0</v>
      </c>
      <c r="O85" s="49">
        <f>'Avg Week Ntinda-SpearMotors'!O85+'Avg Week SpearMotors-Ntinda'!O85</f>
        <v>15</v>
      </c>
      <c r="P85" s="49">
        <f>'Avg Week Ntinda-SpearMotors'!P85+'Avg Week SpearMotors-Ntinda'!P85</f>
        <v>28.5</v>
      </c>
      <c r="R85" s="8"/>
      <c r="T85"/>
    </row>
    <row r="86" spans="2:20" ht="23.1" customHeight="1" x14ac:dyDescent="0.25">
      <c r="B86" s="24" t="s">
        <v>126</v>
      </c>
      <c r="C86" s="49">
        <f>'Avg Week Ntinda-SpearMotors'!C86+'Avg Week SpearMotors-Ntinda'!C86</f>
        <v>9.5</v>
      </c>
      <c r="D86" s="49">
        <f>'Avg Week Ntinda-SpearMotors'!D86+'Avg Week SpearMotors-Ntinda'!D86</f>
        <v>4</v>
      </c>
      <c r="E86" s="49">
        <f>'Avg Week Ntinda-SpearMotors'!E86+'Avg Week SpearMotors-Ntinda'!E86</f>
        <v>0.5</v>
      </c>
      <c r="F86" s="49">
        <f>'Avg Week Ntinda-SpearMotors'!F86+'Avg Week SpearMotors-Ntinda'!F86</f>
        <v>0.5</v>
      </c>
      <c r="G86" s="49">
        <f>'Avg Week Ntinda-SpearMotors'!G86+'Avg Week SpearMotors-Ntinda'!G86</f>
        <v>0</v>
      </c>
      <c r="H86" s="49">
        <f>'Avg Week Ntinda-SpearMotors'!H86+'Avg Week SpearMotors-Ntinda'!H86</f>
        <v>0</v>
      </c>
      <c r="I86" s="49">
        <f>'Avg Week Ntinda-SpearMotors'!I86+'Avg Week SpearMotors-Ntinda'!I86</f>
        <v>0.5</v>
      </c>
      <c r="J86" s="49">
        <f>'Avg Week Ntinda-SpearMotors'!J86+'Avg Week SpearMotors-Ntinda'!J86</f>
        <v>0</v>
      </c>
      <c r="K86" s="49">
        <f>'Avg Week Ntinda-SpearMotors'!K86+'Avg Week SpearMotors-Ntinda'!K86</f>
        <v>0</v>
      </c>
      <c r="L86" s="49">
        <f>'Avg Week Ntinda-SpearMotors'!L86+'Avg Week SpearMotors-Ntinda'!L86</f>
        <v>0</v>
      </c>
      <c r="M86" s="49">
        <f>'Avg Week Ntinda-SpearMotors'!M86+'Avg Week SpearMotors-Ntinda'!M86</f>
        <v>17</v>
      </c>
      <c r="N86" s="49">
        <f>'Avg Week Ntinda-SpearMotors'!N86+'Avg Week SpearMotors-Ntinda'!N86</f>
        <v>0</v>
      </c>
      <c r="O86" s="49">
        <f>'Avg Week Ntinda-SpearMotors'!O86+'Avg Week SpearMotors-Ntinda'!O86</f>
        <v>15</v>
      </c>
      <c r="P86" s="49">
        <f>'Avg Week Ntinda-SpearMotors'!P86+'Avg Week SpearMotors-Ntinda'!P86</f>
        <v>32</v>
      </c>
      <c r="R86" s="8"/>
      <c r="T86"/>
    </row>
    <row r="87" spans="2:20" ht="23.1" customHeight="1" x14ac:dyDescent="0.25">
      <c r="B87" s="23" t="s">
        <v>127</v>
      </c>
      <c r="C87" s="49">
        <f>'Avg Week Ntinda-SpearMotors'!C87+'Avg Week SpearMotors-Ntinda'!C87</f>
        <v>7</v>
      </c>
      <c r="D87" s="49">
        <f>'Avg Week Ntinda-SpearMotors'!D87+'Avg Week SpearMotors-Ntinda'!D87</f>
        <v>3.5</v>
      </c>
      <c r="E87" s="49">
        <f>'Avg Week Ntinda-SpearMotors'!E87+'Avg Week SpearMotors-Ntinda'!E87</f>
        <v>0</v>
      </c>
      <c r="F87" s="49">
        <f>'Avg Week Ntinda-SpearMotors'!F87+'Avg Week SpearMotors-Ntinda'!F87</f>
        <v>0</v>
      </c>
      <c r="G87" s="49">
        <f>'Avg Week Ntinda-SpearMotors'!G87+'Avg Week SpearMotors-Ntinda'!G87</f>
        <v>0</v>
      </c>
      <c r="H87" s="49">
        <f>'Avg Week Ntinda-SpearMotors'!H87+'Avg Week SpearMotors-Ntinda'!H87</f>
        <v>0</v>
      </c>
      <c r="I87" s="49">
        <f>'Avg Week Ntinda-SpearMotors'!I87+'Avg Week SpearMotors-Ntinda'!I87</f>
        <v>0.5</v>
      </c>
      <c r="J87" s="49">
        <f>'Avg Week Ntinda-SpearMotors'!J87+'Avg Week SpearMotors-Ntinda'!J87</f>
        <v>1.5</v>
      </c>
      <c r="K87" s="49">
        <f>'Avg Week Ntinda-SpearMotors'!K87+'Avg Week SpearMotors-Ntinda'!K87</f>
        <v>0.5</v>
      </c>
      <c r="L87" s="49">
        <f>'Avg Week Ntinda-SpearMotors'!L87+'Avg Week SpearMotors-Ntinda'!L87</f>
        <v>2</v>
      </c>
      <c r="M87" s="49">
        <f>'Avg Week Ntinda-SpearMotors'!M87+'Avg Week SpearMotors-Ntinda'!M87</f>
        <v>20.5</v>
      </c>
      <c r="N87" s="49">
        <f>'Avg Week Ntinda-SpearMotors'!N87+'Avg Week SpearMotors-Ntinda'!N87</f>
        <v>0</v>
      </c>
      <c r="O87" s="49">
        <f>'Avg Week Ntinda-SpearMotors'!O87+'Avg Week SpearMotors-Ntinda'!O87</f>
        <v>15</v>
      </c>
      <c r="P87" s="49">
        <f>'Avg Week Ntinda-SpearMotors'!P87+'Avg Week SpearMotors-Ntinda'!P87</f>
        <v>35.5</v>
      </c>
      <c r="R87" s="8"/>
      <c r="T87"/>
    </row>
    <row r="88" spans="2:20" ht="23.1" customHeight="1" x14ac:dyDescent="0.25">
      <c r="B88" s="25" t="s">
        <v>128</v>
      </c>
      <c r="C88" s="49">
        <f>'Avg Week Ntinda-SpearMotors'!C88+'Avg Week SpearMotors-Ntinda'!C88</f>
        <v>11</v>
      </c>
      <c r="D88" s="49">
        <f>'Avg Week Ntinda-SpearMotors'!D88+'Avg Week SpearMotors-Ntinda'!D88</f>
        <v>5</v>
      </c>
      <c r="E88" s="49">
        <f>'Avg Week Ntinda-SpearMotors'!E88+'Avg Week SpearMotors-Ntinda'!E88</f>
        <v>1</v>
      </c>
      <c r="F88" s="49">
        <f>'Avg Week Ntinda-SpearMotors'!F88+'Avg Week SpearMotors-Ntinda'!F88</f>
        <v>0.5</v>
      </c>
      <c r="G88" s="49">
        <f>'Avg Week Ntinda-SpearMotors'!G88+'Avg Week SpearMotors-Ntinda'!G88</f>
        <v>0</v>
      </c>
      <c r="H88" s="49">
        <f>'Avg Week Ntinda-SpearMotors'!H88+'Avg Week SpearMotors-Ntinda'!H88</f>
        <v>0</v>
      </c>
      <c r="I88" s="49">
        <f>'Avg Week Ntinda-SpearMotors'!I88+'Avg Week SpearMotors-Ntinda'!I88</f>
        <v>0</v>
      </c>
      <c r="J88" s="49">
        <f>'Avg Week Ntinda-SpearMotors'!J88+'Avg Week SpearMotors-Ntinda'!J88</f>
        <v>0</v>
      </c>
      <c r="K88" s="49">
        <f>'Avg Week Ntinda-SpearMotors'!K88+'Avg Week SpearMotors-Ntinda'!K88</f>
        <v>0</v>
      </c>
      <c r="L88" s="49">
        <f>'Avg Week Ntinda-SpearMotors'!L88+'Avg Week SpearMotors-Ntinda'!L88</f>
        <v>0.5</v>
      </c>
      <c r="M88" s="49">
        <f>'Avg Week Ntinda-SpearMotors'!M88+'Avg Week SpearMotors-Ntinda'!M88</f>
        <v>19.5</v>
      </c>
      <c r="N88" s="49">
        <f>'Avg Week Ntinda-SpearMotors'!N88+'Avg Week SpearMotors-Ntinda'!N88</f>
        <v>0</v>
      </c>
      <c r="O88" s="49">
        <f>'Avg Week Ntinda-SpearMotors'!O88+'Avg Week SpearMotors-Ntinda'!O88</f>
        <v>18</v>
      </c>
      <c r="P88" s="49">
        <f>'Avg Week Ntinda-SpearMotors'!P88+'Avg Week SpearMotors-Ntinda'!P88</f>
        <v>37.5</v>
      </c>
      <c r="R88" s="8"/>
      <c r="T88"/>
    </row>
    <row r="89" spans="2:20" ht="23.1" customHeight="1" x14ac:dyDescent="0.25">
      <c r="B89" s="23" t="s">
        <v>129</v>
      </c>
      <c r="C89" s="49">
        <f>'Avg Week Ntinda-SpearMotors'!C89+'Avg Week SpearMotors-Ntinda'!C89</f>
        <v>6.5</v>
      </c>
      <c r="D89" s="49">
        <f>'Avg Week Ntinda-SpearMotors'!D89+'Avg Week SpearMotors-Ntinda'!D89</f>
        <v>3.5</v>
      </c>
      <c r="E89" s="49">
        <f>'Avg Week Ntinda-SpearMotors'!E89+'Avg Week SpearMotors-Ntinda'!E89</f>
        <v>1</v>
      </c>
      <c r="F89" s="49">
        <f>'Avg Week Ntinda-SpearMotors'!F89+'Avg Week SpearMotors-Ntinda'!F89</f>
        <v>0</v>
      </c>
      <c r="G89" s="49">
        <f>'Avg Week Ntinda-SpearMotors'!G89+'Avg Week SpearMotors-Ntinda'!G89</f>
        <v>0</v>
      </c>
      <c r="H89" s="49">
        <f>'Avg Week Ntinda-SpearMotors'!H89+'Avg Week SpearMotors-Ntinda'!H89</f>
        <v>0</v>
      </c>
      <c r="I89" s="49">
        <f>'Avg Week Ntinda-SpearMotors'!I89+'Avg Week SpearMotors-Ntinda'!I89</f>
        <v>1</v>
      </c>
      <c r="J89" s="49">
        <f>'Avg Week Ntinda-SpearMotors'!J89+'Avg Week SpearMotors-Ntinda'!J89</f>
        <v>0</v>
      </c>
      <c r="K89" s="49">
        <f>'Avg Week Ntinda-SpearMotors'!K89+'Avg Week SpearMotors-Ntinda'!K89</f>
        <v>0</v>
      </c>
      <c r="L89" s="49">
        <f>'Avg Week Ntinda-SpearMotors'!L89+'Avg Week SpearMotors-Ntinda'!L89</f>
        <v>2</v>
      </c>
      <c r="M89" s="49">
        <f>'Avg Week Ntinda-SpearMotors'!M89+'Avg Week SpearMotors-Ntinda'!M89</f>
        <v>28.5</v>
      </c>
      <c r="N89" s="49">
        <f>'Avg Week Ntinda-SpearMotors'!N89+'Avg Week SpearMotors-Ntinda'!N89</f>
        <v>0</v>
      </c>
      <c r="O89" s="49">
        <f>'Avg Week Ntinda-SpearMotors'!O89+'Avg Week SpearMotors-Ntinda'!O89</f>
        <v>14</v>
      </c>
      <c r="P89" s="49">
        <f>'Avg Week Ntinda-SpearMotors'!P89+'Avg Week SpearMotors-Ntinda'!P89</f>
        <v>42.5</v>
      </c>
      <c r="R89" s="8"/>
      <c r="T89"/>
    </row>
    <row r="90" spans="2:20" ht="23.1" customHeight="1" x14ac:dyDescent="0.25">
      <c r="B90" s="24" t="s">
        <v>130</v>
      </c>
      <c r="C90" s="49">
        <f>'Avg Week Ntinda-SpearMotors'!C90+'Avg Week SpearMotors-Ntinda'!C90</f>
        <v>8.5</v>
      </c>
      <c r="D90" s="49">
        <f>'Avg Week Ntinda-SpearMotors'!D90+'Avg Week SpearMotors-Ntinda'!D90</f>
        <v>5</v>
      </c>
      <c r="E90" s="49">
        <f>'Avg Week Ntinda-SpearMotors'!E90+'Avg Week SpearMotors-Ntinda'!E90</f>
        <v>1</v>
      </c>
      <c r="F90" s="49">
        <f>'Avg Week Ntinda-SpearMotors'!F90+'Avg Week SpearMotors-Ntinda'!F90</f>
        <v>0</v>
      </c>
      <c r="G90" s="49">
        <f>'Avg Week Ntinda-SpearMotors'!G90+'Avg Week SpearMotors-Ntinda'!G90</f>
        <v>0</v>
      </c>
      <c r="H90" s="49">
        <f>'Avg Week Ntinda-SpearMotors'!H90+'Avg Week SpearMotors-Ntinda'!H90</f>
        <v>0</v>
      </c>
      <c r="I90" s="49">
        <f>'Avg Week Ntinda-SpearMotors'!I90+'Avg Week SpearMotors-Ntinda'!I90</f>
        <v>0.5</v>
      </c>
      <c r="J90" s="49">
        <f>'Avg Week Ntinda-SpearMotors'!J90+'Avg Week SpearMotors-Ntinda'!J90</f>
        <v>0</v>
      </c>
      <c r="K90" s="49">
        <f>'Avg Week Ntinda-SpearMotors'!K90+'Avg Week SpearMotors-Ntinda'!K90</f>
        <v>1</v>
      </c>
      <c r="L90" s="49">
        <f>'Avg Week Ntinda-SpearMotors'!L90+'Avg Week SpearMotors-Ntinda'!L90</f>
        <v>0.5</v>
      </c>
      <c r="M90" s="49">
        <f>'Avg Week Ntinda-SpearMotors'!M90+'Avg Week SpearMotors-Ntinda'!M90</f>
        <v>13.5</v>
      </c>
      <c r="N90" s="49">
        <f>'Avg Week Ntinda-SpearMotors'!N90+'Avg Week SpearMotors-Ntinda'!N90</f>
        <v>0</v>
      </c>
      <c r="O90" s="49">
        <f>'Avg Week Ntinda-SpearMotors'!O90+'Avg Week SpearMotors-Ntinda'!O90</f>
        <v>16.5</v>
      </c>
      <c r="P90" s="49">
        <f>'Avg Week Ntinda-SpearMotors'!P90+'Avg Week SpearMotors-Ntinda'!P90</f>
        <v>30</v>
      </c>
      <c r="R90" s="8"/>
      <c r="T90"/>
    </row>
    <row r="91" spans="2:20" ht="23.1" customHeight="1" x14ac:dyDescent="0.25">
      <c r="B91" s="23" t="s">
        <v>131</v>
      </c>
      <c r="C91" s="49">
        <f>'Avg Week Ntinda-SpearMotors'!C91+'Avg Week SpearMotors-Ntinda'!C91</f>
        <v>10</v>
      </c>
      <c r="D91" s="49">
        <f>'Avg Week Ntinda-SpearMotors'!D91+'Avg Week SpearMotors-Ntinda'!D91</f>
        <v>3</v>
      </c>
      <c r="E91" s="49">
        <f>'Avg Week Ntinda-SpearMotors'!E91+'Avg Week SpearMotors-Ntinda'!E91</f>
        <v>1.5</v>
      </c>
      <c r="F91" s="49">
        <f>'Avg Week Ntinda-SpearMotors'!F91+'Avg Week SpearMotors-Ntinda'!F91</f>
        <v>0.5</v>
      </c>
      <c r="G91" s="49">
        <f>'Avg Week Ntinda-SpearMotors'!G91+'Avg Week SpearMotors-Ntinda'!G91</f>
        <v>0</v>
      </c>
      <c r="H91" s="49">
        <f>'Avg Week Ntinda-SpearMotors'!H91+'Avg Week SpearMotors-Ntinda'!H91</f>
        <v>0</v>
      </c>
      <c r="I91" s="49">
        <f>'Avg Week Ntinda-SpearMotors'!I91+'Avg Week SpearMotors-Ntinda'!I91</f>
        <v>3</v>
      </c>
      <c r="J91" s="49">
        <f>'Avg Week Ntinda-SpearMotors'!J91+'Avg Week SpearMotors-Ntinda'!J91</f>
        <v>0</v>
      </c>
      <c r="K91" s="49">
        <f>'Avg Week Ntinda-SpearMotors'!K91+'Avg Week SpearMotors-Ntinda'!K91</f>
        <v>0.5</v>
      </c>
      <c r="L91" s="49">
        <f>'Avg Week Ntinda-SpearMotors'!L91+'Avg Week SpearMotors-Ntinda'!L91</f>
        <v>3</v>
      </c>
      <c r="M91" s="49">
        <f>'Avg Week Ntinda-SpearMotors'!M91+'Avg Week SpearMotors-Ntinda'!M91</f>
        <v>8</v>
      </c>
      <c r="N91" s="49">
        <f>'Avg Week Ntinda-SpearMotors'!N91+'Avg Week SpearMotors-Ntinda'!N91</f>
        <v>0</v>
      </c>
      <c r="O91" s="49">
        <f>'Avg Week Ntinda-SpearMotors'!O91+'Avg Week SpearMotors-Ntinda'!O91</f>
        <v>21.5</v>
      </c>
      <c r="P91" s="49">
        <f>'Avg Week Ntinda-SpearMotors'!P91+'Avg Week SpearMotors-Ntinda'!P91</f>
        <v>29.5</v>
      </c>
      <c r="R91" s="8"/>
      <c r="T91"/>
    </row>
    <row r="92" spans="2:20" ht="23.1" customHeight="1" x14ac:dyDescent="0.25">
      <c r="B92" s="25" t="s">
        <v>132</v>
      </c>
      <c r="C92" s="49">
        <f>'Avg Week Ntinda-SpearMotors'!C92+'Avg Week SpearMotors-Ntinda'!C92</f>
        <v>7.5</v>
      </c>
      <c r="D92" s="49">
        <f>'Avg Week Ntinda-SpearMotors'!D92+'Avg Week SpearMotors-Ntinda'!D92</f>
        <v>10</v>
      </c>
      <c r="E92" s="49">
        <f>'Avg Week Ntinda-SpearMotors'!E92+'Avg Week SpearMotors-Ntinda'!E92</f>
        <v>1</v>
      </c>
      <c r="F92" s="49">
        <f>'Avg Week Ntinda-SpearMotors'!F92+'Avg Week SpearMotors-Ntinda'!F92</f>
        <v>0.5</v>
      </c>
      <c r="G92" s="49">
        <f>'Avg Week Ntinda-SpearMotors'!G92+'Avg Week SpearMotors-Ntinda'!G92</f>
        <v>0</v>
      </c>
      <c r="H92" s="49">
        <f>'Avg Week Ntinda-SpearMotors'!H92+'Avg Week SpearMotors-Ntinda'!H92</f>
        <v>0</v>
      </c>
      <c r="I92" s="49">
        <f>'Avg Week Ntinda-SpearMotors'!I92+'Avg Week SpearMotors-Ntinda'!I92</f>
        <v>0</v>
      </c>
      <c r="J92" s="49">
        <f>'Avg Week Ntinda-SpearMotors'!J92+'Avg Week SpearMotors-Ntinda'!J92</f>
        <v>2.5</v>
      </c>
      <c r="K92" s="49">
        <f>'Avg Week Ntinda-SpearMotors'!K92+'Avg Week SpearMotors-Ntinda'!K92</f>
        <v>1</v>
      </c>
      <c r="L92" s="49">
        <f>'Avg Week Ntinda-SpearMotors'!L92+'Avg Week SpearMotors-Ntinda'!L92</f>
        <v>1</v>
      </c>
      <c r="M92" s="49">
        <f>'Avg Week Ntinda-SpearMotors'!M92+'Avg Week SpearMotors-Ntinda'!M92</f>
        <v>16</v>
      </c>
      <c r="N92" s="49">
        <f>'Avg Week Ntinda-SpearMotors'!N92+'Avg Week SpearMotors-Ntinda'!N92</f>
        <v>0</v>
      </c>
      <c r="O92" s="49">
        <f>'Avg Week Ntinda-SpearMotors'!O92+'Avg Week SpearMotors-Ntinda'!O92</f>
        <v>23.5</v>
      </c>
      <c r="P92" s="49">
        <f>'Avg Week Ntinda-SpearMotors'!P92+'Avg Week SpearMotors-Ntinda'!P92</f>
        <v>39.5</v>
      </c>
      <c r="R92" s="8"/>
      <c r="T92"/>
    </row>
    <row r="93" spans="2:20" ht="23.1" customHeight="1" x14ac:dyDescent="0.25">
      <c r="B93" s="23" t="s">
        <v>133</v>
      </c>
      <c r="C93" s="49">
        <f>'Avg Week Ntinda-SpearMotors'!C93+'Avg Week SpearMotors-Ntinda'!C93</f>
        <v>10.5</v>
      </c>
      <c r="D93" s="49">
        <f>'Avg Week Ntinda-SpearMotors'!D93+'Avg Week SpearMotors-Ntinda'!D93</f>
        <v>4.5</v>
      </c>
      <c r="E93" s="49">
        <f>'Avg Week Ntinda-SpearMotors'!E93+'Avg Week SpearMotors-Ntinda'!E93</f>
        <v>1.5</v>
      </c>
      <c r="F93" s="49">
        <f>'Avg Week Ntinda-SpearMotors'!F93+'Avg Week SpearMotors-Ntinda'!F93</f>
        <v>0.5</v>
      </c>
      <c r="G93" s="49">
        <f>'Avg Week Ntinda-SpearMotors'!G93+'Avg Week SpearMotors-Ntinda'!G93</f>
        <v>0</v>
      </c>
      <c r="H93" s="49">
        <f>'Avg Week Ntinda-SpearMotors'!H93+'Avg Week SpearMotors-Ntinda'!H93</f>
        <v>0</v>
      </c>
      <c r="I93" s="49">
        <f>'Avg Week Ntinda-SpearMotors'!I93+'Avg Week SpearMotors-Ntinda'!I93</f>
        <v>0</v>
      </c>
      <c r="J93" s="49">
        <f>'Avg Week Ntinda-SpearMotors'!J93+'Avg Week SpearMotors-Ntinda'!J93</f>
        <v>0.5</v>
      </c>
      <c r="K93" s="49">
        <f>'Avg Week Ntinda-SpearMotors'!K93+'Avg Week SpearMotors-Ntinda'!K93</f>
        <v>0</v>
      </c>
      <c r="L93" s="49">
        <f>'Avg Week Ntinda-SpearMotors'!L93+'Avg Week SpearMotors-Ntinda'!L93</f>
        <v>2</v>
      </c>
      <c r="M93" s="49">
        <f>'Avg Week Ntinda-SpearMotors'!M93+'Avg Week SpearMotors-Ntinda'!M93</f>
        <v>16.5</v>
      </c>
      <c r="N93" s="49">
        <f>'Avg Week Ntinda-SpearMotors'!N93+'Avg Week SpearMotors-Ntinda'!N93</f>
        <v>0</v>
      </c>
      <c r="O93" s="49">
        <f>'Avg Week Ntinda-SpearMotors'!O93+'Avg Week SpearMotors-Ntinda'!O93</f>
        <v>19.5</v>
      </c>
      <c r="P93" s="49">
        <f>'Avg Week Ntinda-SpearMotors'!P93+'Avg Week SpearMotors-Ntinda'!P93</f>
        <v>36</v>
      </c>
      <c r="R93" s="8"/>
      <c r="T93"/>
    </row>
    <row r="94" spans="2:20" ht="23.1" customHeight="1" x14ac:dyDescent="0.25">
      <c r="B94" s="24" t="s">
        <v>134</v>
      </c>
      <c r="C94" s="49">
        <f>'Avg Week Ntinda-SpearMotors'!C94+'Avg Week SpearMotors-Ntinda'!C94</f>
        <v>7</v>
      </c>
      <c r="D94" s="49">
        <f>'Avg Week Ntinda-SpearMotors'!D94+'Avg Week SpearMotors-Ntinda'!D94</f>
        <v>8</v>
      </c>
      <c r="E94" s="49">
        <f>'Avg Week Ntinda-SpearMotors'!E94+'Avg Week SpearMotors-Ntinda'!E94</f>
        <v>0</v>
      </c>
      <c r="F94" s="49">
        <f>'Avg Week Ntinda-SpearMotors'!F94+'Avg Week SpearMotors-Ntinda'!F94</f>
        <v>1</v>
      </c>
      <c r="G94" s="49">
        <f>'Avg Week Ntinda-SpearMotors'!G94+'Avg Week SpearMotors-Ntinda'!G94</f>
        <v>0</v>
      </c>
      <c r="H94" s="49">
        <f>'Avg Week Ntinda-SpearMotors'!H94+'Avg Week SpearMotors-Ntinda'!H94</f>
        <v>0</v>
      </c>
      <c r="I94" s="49">
        <f>'Avg Week Ntinda-SpearMotors'!I94+'Avg Week SpearMotors-Ntinda'!I94</f>
        <v>0.5</v>
      </c>
      <c r="J94" s="49">
        <f>'Avg Week Ntinda-SpearMotors'!J94+'Avg Week SpearMotors-Ntinda'!J94</f>
        <v>0.5</v>
      </c>
      <c r="K94" s="49">
        <f>'Avg Week Ntinda-SpearMotors'!K94+'Avg Week SpearMotors-Ntinda'!K94</f>
        <v>0.5</v>
      </c>
      <c r="L94" s="49">
        <f>'Avg Week Ntinda-SpearMotors'!L94+'Avg Week SpearMotors-Ntinda'!L94</f>
        <v>1</v>
      </c>
      <c r="M94" s="49">
        <f>'Avg Week Ntinda-SpearMotors'!M94+'Avg Week SpearMotors-Ntinda'!M94</f>
        <v>11</v>
      </c>
      <c r="N94" s="49">
        <f>'Avg Week Ntinda-SpearMotors'!N94+'Avg Week SpearMotors-Ntinda'!N94</f>
        <v>0</v>
      </c>
      <c r="O94" s="49">
        <f>'Avg Week Ntinda-SpearMotors'!O94+'Avg Week SpearMotors-Ntinda'!O94</f>
        <v>18.5</v>
      </c>
      <c r="P94" s="49">
        <f>'Avg Week Ntinda-SpearMotors'!P94+'Avg Week SpearMotors-Ntinda'!P94</f>
        <v>29.5</v>
      </c>
      <c r="R94" s="8"/>
      <c r="T94"/>
    </row>
    <row r="95" spans="2:20" ht="23.1" customHeight="1" x14ac:dyDescent="0.25">
      <c r="B95" s="23" t="s">
        <v>135</v>
      </c>
      <c r="C95" s="49">
        <f>'Avg Week Ntinda-SpearMotors'!C95+'Avg Week SpearMotors-Ntinda'!C95</f>
        <v>3</v>
      </c>
      <c r="D95" s="49">
        <f>'Avg Week Ntinda-SpearMotors'!D95+'Avg Week SpearMotors-Ntinda'!D95</f>
        <v>2.5</v>
      </c>
      <c r="E95" s="49">
        <f>'Avg Week Ntinda-SpearMotors'!E95+'Avg Week SpearMotors-Ntinda'!E95</f>
        <v>0</v>
      </c>
      <c r="F95" s="49">
        <f>'Avg Week Ntinda-SpearMotors'!F95+'Avg Week SpearMotors-Ntinda'!F95</f>
        <v>0</v>
      </c>
      <c r="G95" s="49">
        <f>'Avg Week Ntinda-SpearMotors'!G95+'Avg Week SpearMotors-Ntinda'!G95</f>
        <v>0</v>
      </c>
      <c r="H95" s="49">
        <f>'Avg Week Ntinda-SpearMotors'!H95+'Avg Week SpearMotors-Ntinda'!H95</f>
        <v>0</v>
      </c>
      <c r="I95" s="49">
        <f>'Avg Week Ntinda-SpearMotors'!I95+'Avg Week SpearMotors-Ntinda'!I95</f>
        <v>0.5</v>
      </c>
      <c r="J95" s="49">
        <f>'Avg Week Ntinda-SpearMotors'!J95+'Avg Week SpearMotors-Ntinda'!J95</f>
        <v>0.5</v>
      </c>
      <c r="K95" s="49">
        <f>'Avg Week Ntinda-SpearMotors'!K95+'Avg Week SpearMotors-Ntinda'!K95</f>
        <v>0.5</v>
      </c>
      <c r="L95" s="49">
        <f>'Avg Week Ntinda-SpearMotors'!L95+'Avg Week SpearMotors-Ntinda'!L95</f>
        <v>2</v>
      </c>
      <c r="M95" s="49">
        <f>'Avg Week Ntinda-SpearMotors'!M95+'Avg Week SpearMotors-Ntinda'!M95</f>
        <v>14.5</v>
      </c>
      <c r="N95" s="49">
        <f>'Avg Week Ntinda-SpearMotors'!N95+'Avg Week SpearMotors-Ntinda'!N95</f>
        <v>0</v>
      </c>
      <c r="O95" s="49">
        <f>'Avg Week Ntinda-SpearMotors'!O95+'Avg Week SpearMotors-Ntinda'!O95</f>
        <v>9</v>
      </c>
      <c r="P95" s="49">
        <f>'Avg Week Ntinda-SpearMotors'!P95+'Avg Week SpearMotors-Ntinda'!P95</f>
        <v>23.5</v>
      </c>
      <c r="R95" s="8"/>
      <c r="T95"/>
    </row>
    <row r="96" spans="2:20" ht="23.1" customHeight="1" x14ac:dyDescent="0.25">
      <c r="B96" s="25" t="s">
        <v>136</v>
      </c>
      <c r="C96" s="49">
        <f>'Avg Week Ntinda-SpearMotors'!C96+'Avg Week SpearMotors-Ntinda'!C96</f>
        <v>3</v>
      </c>
      <c r="D96" s="49">
        <f>'Avg Week Ntinda-SpearMotors'!D96+'Avg Week SpearMotors-Ntinda'!D96</f>
        <v>4</v>
      </c>
      <c r="E96" s="49">
        <f>'Avg Week Ntinda-SpearMotors'!E96+'Avg Week SpearMotors-Ntinda'!E96</f>
        <v>0</v>
      </c>
      <c r="F96" s="49">
        <f>'Avg Week Ntinda-SpearMotors'!F96+'Avg Week SpearMotors-Ntinda'!F96</f>
        <v>0</v>
      </c>
      <c r="G96" s="49">
        <f>'Avg Week Ntinda-SpearMotors'!G96+'Avg Week SpearMotors-Ntinda'!G96</f>
        <v>0</v>
      </c>
      <c r="H96" s="49">
        <f>'Avg Week Ntinda-SpearMotors'!H96+'Avg Week SpearMotors-Ntinda'!H96</f>
        <v>0</v>
      </c>
      <c r="I96" s="49">
        <f>'Avg Week Ntinda-SpearMotors'!I96+'Avg Week SpearMotors-Ntinda'!I96</f>
        <v>1.5</v>
      </c>
      <c r="J96" s="49">
        <f>'Avg Week Ntinda-SpearMotors'!J96+'Avg Week SpearMotors-Ntinda'!J96</f>
        <v>1.5</v>
      </c>
      <c r="K96" s="49">
        <f>'Avg Week Ntinda-SpearMotors'!K96+'Avg Week SpearMotors-Ntinda'!K96</f>
        <v>0.5</v>
      </c>
      <c r="L96" s="49">
        <f>'Avg Week Ntinda-SpearMotors'!L96+'Avg Week SpearMotors-Ntinda'!L96</f>
        <v>1</v>
      </c>
      <c r="M96" s="49">
        <f>'Avg Week Ntinda-SpearMotors'!M96+'Avg Week SpearMotors-Ntinda'!M96</f>
        <v>16.5</v>
      </c>
      <c r="N96" s="49">
        <f>'Avg Week Ntinda-SpearMotors'!N96+'Avg Week SpearMotors-Ntinda'!N96</f>
        <v>0</v>
      </c>
      <c r="O96" s="49">
        <f>'Avg Week Ntinda-SpearMotors'!O96+'Avg Week SpearMotors-Ntinda'!O96</f>
        <v>11.5</v>
      </c>
      <c r="P96" s="49">
        <f>'Avg Week Ntinda-SpearMotors'!P96+'Avg Week SpearMotors-Ntinda'!P96</f>
        <v>28</v>
      </c>
      <c r="R96" s="8"/>
      <c r="T96"/>
    </row>
    <row r="97" spans="2:20" ht="23.1" customHeight="1" x14ac:dyDescent="0.25">
      <c r="B97" s="23" t="s">
        <v>137</v>
      </c>
      <c r="C97" s="49">
        <f>'Avg Week Ntinda-SpearMotors'!C97+'Avg Week SpearMotors-Ntinda'!C97</f>
        <v>9.5</v>
      </c>
      <c r="D97" s="49">
        <f>'Avg Week Ntinda-SpearMotors'!D97+'Avg Week SpearMotors-Ntinda'!D97</f>
        <v>1</v>
      </c>
      <c r="E97" s="49">
        <f>'Avg Week Ntinda-SpearMotors'!E97+'Avg Week SpearMotors-Ntinda'!E97</f>
        <v>1</v>
      </c>
      <c r="F97" s="49">
        <f>'Avg Week Ntinda-SpearMotors'!F97+'Avg Week SpearMotors-Ntinda'!F97</f>
        <v>2</v>
      </c>
      <c r="G97" s="49">
        <f>'Avg Week Ntinda-SpearMotors'!G97+'Avg Week SpearMotors-Ntinda'!G97</f>
        <v>0</v>
      </c>
      <c r="H97" s="49">
        <f>'Avg Week Ntinda-SpearMotors'!H97+'Avg Week SpearMotors-Ntinda'!H97</f>
        <v>0</v>
      </c>
      <c r="I97" s="49">
        <f>'Avg Week Ntinda-SpearMotors'!I97+'Avg Week SpearMotors-Ntinda'!I97</f>
        <v>1.5</v>
      </c>
      <c r="J97" s="49">
        <f>'Avg Week Ntinda-SpearMotors'!J97+'Avg Week SpearMotors-Ntinda'!J97</f>
        <v>0.5</v>
      </c>
      <c r="K97" s="49">
        <f>'Avg Week Ntinda-SpearMotors'!K97+'Avg Week SpearMotors-Ntinda'!K97</f>
        <v>0</v>
      </c>
      <c r="L97" s="49">
        <f>'Avg Week Ntinda-SpearMotors'!L97+'Avg Week SpearMotors-Ntinda'!L97</f>
        <v>2.5</v>
      </c>
      <c r="M97" s="49">
        <f>'Avg Week Ntinda-SpearMotors'!M97+'Avg Week SpearMotors-Ntinda'!M97</f>
        <v>19.5</v>
      </c>
      <c r="N97" s="49">
        <f>'Avg Week Ntinda-SpearMotors'!N97+'Avg Week SpearMotors-Ntinda'!N97</f>
        <v>0</v>
      </c>
      <c r="O97" s="49">
        <f>'Avg Week Ntinda-SpearMotors'!O97+'Avg Week SpearMotors-Ntinda'!O97</f>
        <v>18</v>
      </c>
      <c r="P97" s="49">
        <f>'Avg Week Ntinda-SpearMotors'!P97+'Avg Week SpearMotors-Ntinda'!P97</f>
        <v>37.5</v>
      </c>
      <c r="R97" s="8"/>
      <c r="T97"/>
    </row>
    <row r="98" spans="2:20" ht="23.1" customHeight="1" x14ac:dyDescent="0.25">
      <c r="B98" s="24" t="s">
        <v>138</v>
      </c>
      <c r="C98" s="49">
        <f>'Avg Week Ntinda-SpearMotors'!C98+'Avg Week SpearMotors-Ntinda'!C98</f>
        <v>7.5</v>
      </c>
      <c r="D98" s="49">
        <f>'Avg Week Ntinda-SpearMotors'!D98+'Avg Week SpearMotors-Ntinda'!D98</f>
        <v>3.5</v>
      </c>
      <c r="E98" s="49">
        <f>'Avg Week Ntinda-SpearMotors'!E98+'Avg Week SpearMotors-Ntinda'!E98</f>
        <v>2</v>
      </c>
      <c r="F98" s="49">
        <f>'Avg Week Ntinda-SpearMotors'!F98+'Avg Week SpearMotors-Ntinda'!F98</f>
        <v>1.5</v>
      </c>
      <c r="G98" s="49">
        <f>'Avg Week Ntinda-SpearMotors'!G98+'Avg Week SpearMotors-Ntinda'!G98</f>
        <v>0</v>
      </c>
      <c r="H98" s="49">
        <f>'Avg Week Ntinda-SpearMotors'!H98+'Avg Week SpearMotors-Ntinda'!H98</f>
        <v>0</v>
      </c>
      <c r="I98" s="49">
        <f>'Avg Week Ntinda-SpearMotors'!I98+'Avg Week SpearMotors-Ntinda'!I98</f>
        <v>0.5</v>
      </c>
      <c r="J98" s="49">
        <f>'Avg Week Ntinda-SpearMotors'!J98+'Avg Week SpearMotors-Ntinda'!J98</f>
        <v>0.5</v>
      </c>
      <c r="K98" s="49">
        <f>'Avg Week Ntinda-SpearMotors'!K98+'Avg Week SpearMotors-Ntinda'!K98</f>
        <v>0.5</v>
      </c>
      <c r="L98" s="49">
        <f>'Avg Week Ntinda-SpearMotors'!L98+'Avg Week SpearMotors-Ntinda'!L98</f>
        <v>0</v>
      </c>
      <c r="M98" s="49">
        <f>'Avg Week Ntinda-SpearMotors'!M98+'Avg Week SpearMotors-Ntinda'!M98</f>
        <v>25</v>
      </c>
      <c r="N98" s="49">
        <f>'Avg Week Ntinda-SpearMotors'!N98+'Avg Week SpearMotors-Ntinda'!N98</f>
        <v>0</v>
      </c>
      <c r="O98" s="49">
        <f>'Avg Week Ntinda-SpearMotors'!O98+'Avg Week SpearMotors-Ntinda'!O98</f>
        <v>16</v>
      </c>
      <c r="P98" s="49">
        <f>'Avg Week Ntinda-SpearMotors'!P98+'Avg Week SpearMotors-Ntinda'!P98</f>
        <v>41</v>
      </c>
      <c r="R98" s="8"/>
      <c r="T98"/>
    </row>
    <row r="99" spans="2:20" ht="23.1" customHeight="1" x14ac:dyDescent="0.25">
      <c r="B99" s="23" t="s">
        <v>139</v>
      </c>
      <c r="C99" s="49">
        <f>'Avg Week Ntinda-SpearMotors'!C99+'Avg Week SpearMotors-Ntinda'!C99</f>
        <v>8.5</v>
      </c>
      <c r="D99" s="49">
        <f>'Avg Week Ntinda-SpearMotors'!D99+'Avg Week SpearMotors-Ntinda'!D99</f>
        <v>5</v>
      </c>
      <c r="E99" s="49">
        <f>'Avg Week Ntinda-SpearMotors'!E99+'Avg Week SpearMotors-Ntinda'!E99</f>
        <v>2</v>
      </c>
      <c r="F99" s="49">
        <f>'Avg Week Ntinda-SpearMotors'!F99+'Avg Week SpearMotors-Ntinda'!F99</f>
        <v>4.5</v>
      </c>
      <c r="G99" s="49">
        <f>'Avg Week Ntinda-SpearMotors'!G99+'Avg Week SpearMotors-Ntinda'!G99</f>
        <v>0</v>
      </c>
      <c r="H99" s="49">
        <f>'Avg Week Ntinda-SpearMotors'!H99+'Avg Week SpearMotors-Ntinda'!H99</f>
        <v>0</v>
      </c>
      <c r="I99" s="49">
        <f>'Avg Week Ntinda-SpearMotors'!I99+'Avg Week SpearMotors-Ntinda'!I99</f>
        <v>0.5</v>
      </c>
      <c r="J99" s="49">
        <f>'Avg Week Ntinda-SpearMotors'!J99+'Avg Week SpearMotors-Ntinda'!J99</f>
        <v>1</v>
      </c>
      <c r="K99" s="49">
        <f>'Avg Week Ntinda-SpearMotors'!K99+'Avg Week SpearMotors-Ntinda'!K99</f>
        <v>0.5</v>
      </c>
      <c r="L99" s="49">
        <f>'Avg Week Ntinda-SpearMotors'!L99+'Avg Week SpearMotors-Ntinda'!L99</f>
        <v>1.5</v>
      </c>
      <c r="M99" s="49">
        <f>'Avg Week Ntinda-SpearMotors'!M99+'Avg Week SpearMotors-Ntinda'!M99</f>
        <v>45.5</v>
      </c>
      <c r="N99" s="49">
        <f>'Avg Week Ntinda-SpearMotors'!N99+'Avg Week SpearMotors-Ntinda'!N99</f>
        <v>0</v>
      </c>
      <c r="O99" s="49">
        <f>'Avg Week Ntinda-SpearMotors'!O99+'Avg Week SpearMotors-Ntinda'!O99</f>
        <v>23.5</v>
      </c>
      <c r="P99" s="49">
        <f>'Avg Week Ntinda-SpearMotors'!P99+'Avg Week SpearMotors-Ntinda'!P99</f>
        <v>69</v>
      </c>
      <c r="R99" s="8"/>
      <c r="T99"/>
    </row>
    <row r="100" spans="2:20" ht="23.1" customHeight="1" x14ac:dyDescent="0.25">
      <c r="B100" s="25" t="s">
        <v>140</v>
      </c>
      <c r="C100" s="49">
        <f>'Avg Week Ntinda-SpearMotors'!C100+'Avg Week SpearMotors-Ntinda'!C100</f>
        <v>6.5</v>
      </c>
      <c r="D100" s="49">
        <f>'Avg Week Ntinda-SpearMotors'!D100+'Avg Week SpearMotors-Ntinda'!D100</f>
        <v>2.5</v>
      </c>
      <c r="E100" s="49">
        <f>'Avg Week Ntinda-SpearMotors'!E100+'Avg Week SpearMotors-Ntinda'!E100</f>
        <v>4</v>
      </c>
      <c r="F100" s="49">
        <f>'Avg Week Ntinda-SpearMotors'!F100+'Avg Week SpearMotors-Ntinda'!F100</f>
        <v>5.5</v>
      </c>
      <c r="G100" s="49">
        <f>'Avg Week Ntinda-SpearMotors'!G100+'Avg Week SpearMotors-Ntinda'!G100</f>
        <v>0</v>
      </c>
      <c r="H100" s="49">
        <f>'Avg Week Ntinda-SpearMotors'!H100+'Avg Week SpearMotors-Ntinda'!H100</f>
        <v>0</v>
      </c>
      <c r="I100" s="49">
        <f>'Avg Week Ntinda-SpearMotors'!I100+'Avg Week SpearMotors-Ntinda'!I100</f>
        <v>1</v>
      </c>
      <c r="J100" s="49">
        <f>'Avg Week Ntinda-SpearMotors'!J100+'Avg Week SpearMotors-Ntinda'!J100</f>
        <v>0</v>
      </c>
      <c r="K100" s="49">
        <f>'Avg Week Ntinda-SpearMotors'!K100+'Avg Week SpearMotors-Ntinda'!K100</f>
        <v>0</v>
      </c>
      <c r="L100" s="49">
        <f>'Avg Week Ntinda-SpearMotors'!L100+'Avg Week SpearMotors-Ntinda'!L100</f>
        <v>3</v>
      </c>
      <c r="M100" s="49">
        <f>'Avg Week Ntinda-SpearMotors'!M100+'Avg Week SpearMotors-Ntinda'!M100</f>
        <v>48.5</v>
      </c>
      <c r="N100" s="49">
        <f>'Avg Week Ntinda-SpearMotors'!N100+'Avg Week SpearMotors-Ntinda'!N100</f>
        <v>0</v>
      </c>
      <c r="O100" s="49">
        <f>'Avg Week Ntinda-SpearMotors'!O100+'Avg Week SpearMotors-Ntinda'!O100</f>
        <v>22.5</v>
      </c>
      <c r="P100" s="49">
        <f>'Avg Week Ntinda-SpearMotors'!P100+'Avg Week SpearMotors-Ntinda'!P100</f>
        <v>71</v>
      </c>
      <c r="R100" s="8"/>
      <c r="T100"/>
    </row>
    <row r="101" spans="2:20" ht="23.1" customHeight="1" x14ac:dyDescent="0.25">
      <c r="B101" s="23" t="s">
        <v>141</v>
      </c>
      <c r="C101" s="49">
        <f>'Avg Week Ntinda-SpearMotors'!C101+'Avg Week SpearMotors-Ntinda'!C101</f>
        <v>13.5</v>
      </c>
      <c r="D101" s="49">
        <f>'Avg Week Ntinda-SpearMotors'!D101+'Avg Week SpearMotors-Ntinda'!D101</f>
        <v>10.5</v>
      </c>
      <c r="E101" s="49">
        <f>'Avg Week Ntinda-SpearMotors'!E101+'Avg Week SpearMotors-Ntinda'!E101</f>
        <v>3.5</v>
      </c>
      <c r="F101" s="49">
        <f>'Avg Week Ntinda-SpearMotors'!F101+'Avg Week SpearMotors-Ntinda'!F101</f>
        <v>8.5</v>
      </c>
      <c r="G101" s="49">
        <f>'Avg Week Ntinda-SpearMotors'!G101+'Avg Week SpearMotors-Ntinda'!G101</f>
        <v>2</v>
      </c>
      <c r="H101" s="49">
        <f>'Avg Week Ntinda-SpearMotors'!H101+'Avg Week SpearMotors-Ntinda'!H101</f>
        <v>1</v>
      </c>
      <c r="I101" s="49">
        <f>'Avg Week Ntinda-SpearMotors'!I101+'Avg Week SpearMotors-Ntinda'!I101</f>
        <v>0.5</v>
      </c>
      <c r="J101" s="49">
        <f>'Avg Week Ntinda-SpearMotors'!J101+'Avg Week SpearMotors-Ntinda'!J101</f>
        <v>1</v>
      </c>
      <c r="K101" s="49">
        <f>'Avg Week Ntinda-SpearMotors'!K101+'Avg Week SpearMotors-Ntinda'!K101</f>
        <v>0</v>
      </c>
      <c r="L101" s="49">
        <f>'Avg Week Ntinda-SpearMotors'!L101+'Avg Week SpearMotors-Ntinda'!L101</f>
        <v>3</v>
      </c>
      <c r="M101" s="49">
        <f>'Avg Week Ntinda-SpearMotors'!M101+'Avg Week SpearMotors-Ntinda'!M101</f>
        <v>45</v>
      </c>
      <c r="N101" s="49">
        <f>'Avg Week Ntinda-SpearMotors'!N101+'Avg Week SpearMotors-Ntinda'!N101</f>
        <v>0</v>
      </c>
      <c r="O101" s="49">
        <f>'Avg Week Ntinda-SpearMotors'!O101+'Avg Week SpearMotors-Ntinda'!O101</f>
        <v>43.5</v>
      </c>
      <c r="P101" s="49">
        <f>'Avg Week Ntinda-SpearMotors'!P101+'Avg Week SpearMotors-Ntinda'!P101</f>
        <v>88.5</v>
      </c>
      <c r="R101" s="8"/>
      <c r="T101"/>
    </row>
    <row r="102" spans="2:20" ht="23.1" customHeight="1" x14ac:dyDescent="0.25">
      <c r="B102" s="24" t="s">
        <v>142</v>
      </c>
      <c r="C102" s="49">
        <f>'Avg Week Ntinda-SpearMotors'!C102+'Avg Week SpearMotors-Ntinda'!C102</f>
        <v>16</v>
      </c>
      <c r="D102" s="49">
        <f>'Avg Week Ntinda-SpearMotors'!D102+'Avg Week SpearMotors-Ntinda'!D102</f>
        <v>13</v>
      </c>
      <c r="E102" s="49">
        <f>'Avg Week Ntinda-SpearMotors'!E102+'Avg Week SpearMotors-Ntinda'!E102</f>
        <v>5</v>
      </c>
      <c r="F102" s="49">
        <f>'Avg Week Ntinda-SpearMotors'!F102+'Avg Week SpearMotors-Ntinda'!F102</f>
        <v>8.5</v>
      </c>
      <c r="G102" s="49">
        <f>'Avg Week Ntinda-SpearMotors'!G102+'Avg Week SpearMotors-Ntinda'!G102</f>
        <v>1.5</v>
      </c>
      <c r="H102" s="49">
        <f>'Avg Week Ntinda-SpearMotors'!H102+'Avg Week SpearMotors-Ntinda'!H102</f>
        <v>0</v>
      </c>
      <c r="I102" s="49">
        <f>'Avg Week Ntinda-SpearMotors'!I102+'Avg Week SpearMotors-Ntinda'!I102</f>
        <v>1.5</v>
      </c>
      <c r="J102" s="49">
        <f>'Avg Week Ntinda-SpearMotors'!J102+'Avg Week SpearMotors-Ntinda'!J102</f>
        <v>1.5</v>
      </c>
      <c r="K102" s="49">
        <f>'Avg Week Ntinda-SpearMotors'!K102+'Avg Week SpearMotors-Ntinda'!K102</f>
        <v>1.5</v>
      </c>
      <c r="L102" s="49">
        <f>'Avg Week Ntinda-SpearMotors'!L102+'Avg Week SpearMotors-Ntinda'!L102</f>
        <v>0</v>
      </c>
      <c r="M102" s="49">
        <f>'Avg Week Ntinda-SpearMotors'!M102+'Avg Week SpearMotors-Ntinda'!M102</f>
        <v>60</v>
      </c>
      <c r="N102" s="49">
        <f>'Avg Week Ntinda-SpearMotors'!N102+'Avg Week SpearMotors-Ntinda'!N102</f>
        <v>0</v>
      </c>
      <c r="O102" s="49">
        <f>'Avg Week Ntinda-SpearMotors'!O102+'Avg Week SpearMotors-Ntinda'!O102</f>
        <v>48.5</v>
      </c>
      <c r="P102" s="49">
        <f>'Avg Week Ntinda-SpearMotors'!P102+'Avg Week SpearMotors-Ntinda'!P102</f>
        <v>108.5</v>
      </c>
      <c r="R102" s="8"/>
      <c r="T102"/>
    </row>
    <row r="103" spans="2:20" ht="23.1" customHeight="1" x14ac:dyDescent="0.25">
      <c r="B103" s="23" t="s">
        <v>143</v>
      </c>
      <c r="C103" s="49">
        <f>'Avg Week Ntinda-SpearMotors'!C103+'Avg Week SpearMotors-Ntinda'!C103</f>
        <v>14</v>
      </c>
      <c r="D103" s="49">
        <f>'Avg Week Ntinda-SpearMotors'!D103+'Avg Week SpearMotors-Ntinda'!D103</f>
        <v>15</v>
      </c>
      <c r="E103" s="49">
        <f>'Avg Week Ntinda-SpearMotors'!E103+'Avg Week SpearMotors-Ntinda'!E103</f>
        <v>6.5</v>
      </c>
      <c r="F103" s="49">
        <f>'Avg Week Ntinda-SpearMotors'!F103+'Avg Week SpearMotors-Ntinda'!F103</f>
        <v>12.5</v>
      </c>
      <c r="G103" s="49">
        <f>'Avg Week Ntinda-SpearMotors'!G103+'Avg Week SpearMotors-Ntinda'!G103</f>
        <v>3</v>
      </c>
      <c r="H103" s="49">
        <f>'Avg Week Ntinda-SpearMotors'!H103+'Avg Week SpearMotors-Ntinda'!H103</f>
        <v>0</v>
      </c>
      <c r="I103" s="49">
        <f>'Avg Week Ntinda-SpearMotors'!I103+'Avg Week SpearMotors-Ntinda'!I103</f>
        <v>1</v>
      </c>
      <c r="J103" s="49">
        <f>'Avg Week Ntinda-SpearMotors'!J103+'Avg Week SpearMotors-Ntinda'!J103</f>
        <v>2.5</v>
      </c>
      <c r="K103" s="49">
        <f>'Avg Week Ntinda-SpearMotors'!K103+'Avg Week SpearMotors-Ntinda'!K103</f>
        <v>0.5</v>
      </c>
      <c r="L103" s="49">
        <f>'Avg Week Ntinda-SpearMotors'!L103+'Avg Week SpearMotors-Ntinda'!L103</f>
        <v>1</v>
      </c>
      <c r="M103" s="49">
        <f>'Avg Week Ntinda-SpearMotors'!M103+'Avg Week SpearMotors-Ntinda'!M103</f>
        <v>79</v>
      </c>
      <c r="N103" s="49">
        <f>'Avg Week Ntinda-SpearMotors'!N103+'Avg Week SpearMotors-Ntinda'!N103</f>
        <v>0</v>
      </c>
      <c r="O103" s="49">
        <f>'Avg Week Ntinda-SpearMotors'!O103+'Avg Week SpearMotors-Ntinda'!O103</f>
        <v>56</v>
      </c>
      <c r="P103" s="49">
        <f>'Avg Week Ntinda-SpearMotors'!P103+'Avg Week SpearMotors-Ntinda'!P103</f>
        <v>135</v>
      </c>
      <c r="R103" s="8"/>
      <c r="T103"/>
    </row>
    <row r="104" spans="2:20" ht="23.1" customHeight="1" x14ac:dyDescent="0.25">
      <c r="B104" s="25" t="s">
        <v>144</v>
      </c>
      <c r="C104" s="49">
        <f>'Avg Week Ntinda-SpearMotors'!C104+'Avg Week SpearMotors-Ntinda'!C104</f>
        <v>28</v>
      </c>
      <c r="D104" s="49">
        <f>'Avg Week Ntinda-SpearMotors'!D104+'Avg Week SpearMotors-Ntinda'!D104</f>
        <v>18.5</v>
      </c>
      <c r="E104" s="49">
        <f>'Avg Week Ntinda-SpearMotors'!E104+'Avg Week SpearMotors-Ntinda'!E104</f>
        <v>5.5</v>
      </c>
      <c r="F104" s="49">
        <f>'Avg Week Ntinda-SpearMotors'!F104+'Avg Week SpearMotors-Ntinda'!F104</f>
        <v>10</v>
      </c>
      <c r="G104" s="49">
        <f>'Avg Week Ntinda-SpearMotors'!G104+'Avg Week SpearMotors-Ntinda'!G104</f>
        <v>0.5</v>
      </c>
      <c r="H104" s="49">
        <f>'Avg Week Ntinda-SpearMotors'!H104+'Avg Week SpearMotors-Ntinda'!H104</f>
        <v>0</v>
      </c>
      <c r="I104" s="49">
        <f>'Avg Week Ntinda-SpearMotors'!I104+'Avg Week SpearMotors-Ntinda'!I104</f>
        <v>2</v>
      </c>
      <c r="J104" s="49">
        <f>'Avg Week Ntinda-SpearMotors'!J104+'Avg Week SpearMotors-Ntinda'!J104</f>
        <v>0.5</v>
      </c>
      <c r="K104" s="49">
        <f>'Avg Week Ntinda-SpearMotors'!K104+'Avg Week SpearMotors-Ntinda'!K104</f>
        <v>0.5</v>
      </c>
      <c r="L104" s="49">
        <f>'Avg Week Ntinda-SpearMotors'!L104+'Avg Week SpearMotors-Ntinda'!L104</f>
        <v>1</v>
      </c>
      <c r="M104" s="49">
        <f>'Avg Week Ntinda-SpearMotors'!M104+'Avg Week SpearMotors-Ntinda'!M104</f>
        <v>102</v>
      </c>
      <c r="N104" s="49">
        <f>'Avg Week Ntinda-SpearMotors'!N104+'Avg Week SpearMotors-Ntinda'!N104</f>
        <v>0</v>
      </c>
      <c r="O104" s="49">
        <f>'Avg Week Ntinda-SpearMotors'!O104+'Avg Week SpearMotors-Ntinda'!O104</f>
        <v>66.5</v>
      </c>
      <c r="P104" s="49">
        <f>'Avg Week Ntinda-SpearMotors'!P104+'Avg Week SpearMotors-Ntinda'!P104</f>
        <v>168.5</v>
      </c>
      <c r="R104" s="8"/>
      <c r="T104"/>
    </row>
    <row r="105" spans="2:20" ht="23.1" customHeight="1" x14ac:dyDescent="0.25">
      <c r="B105" s="23" t="s">
        <v>145</v>
      </c>
      <c r="C105" s="49">
        <f>'Avg Week Ntinda-SpearMotors'!C105+'Avg Week SpearMotors-Ntinda'!C105</f>
        <v>36</v>
      </c>
      <c r="D105" s="49">
        <f>'Avg Week Ntinda-SpearMotors'!D105+'Avg Week SpearMotors-Ntinda'!D105</f>
        <v>15.5</v>
      </c>
      <c r="E105" s="49">
        <f>'Avg Week Ntinda-SpearMotors'!E105+'Avg Week SpearMotors-Ntinda'!E105</f>
        <v>9</v>
      </c>
      <c r="F105" s="49">
        <f>'Avg Week Ntinda-SpearMotors'!F105+'Avg Week SpearMotors-Ntinda'!F105</f>
        <v>15.5</v>
      </c>
      <c r="G105" s="49">
        <f>'Avg Week Ntinda-SpearMotors'!G105+'Avg Week SpearMotors-Ntinda'!G105</f>
        <v>0</v>
      </c>
      <c r="H105" s="49">
        <f>'Avg Week Ntinda-SpearMotors'!H105+'Avg Week SpearMotors-Ntinda'!H105</f>
        <v>0</v>
      </c>
      <c r="I105" s="49">
        <f>'Avg Week Ntinda-SpearMotors'!I105+'Avg Week SpearMotors-Ntinda'!I105</f>
        <v>1</v>
      </c>
      <c r="J105" s="49">
        <f>'Avg Week Ntinda-SpearMotors'!J105+'Avg Week SpearMotors-Ntinda'!J105</f>
        <v>2</v>
      </c>
      <c r="K105" s="49">
        <f>'Avg Week Ntinda-SpearMotors'!K105+'Avg Week SpearMotors-Ntinda'!K105</f>
        <v>2.5</v>
      </c>
      <c r="L105" s="49">
        <f>'Avg Week Ntinda-SpearMotors'!L105+'Avg Week SpearMotors-Ntinda'!L105</f>
        <v>0.5</v>
      </c>
      <c r="M105" s="49">
        <f>'Avg Week Ntinda-SpearMotors'!M105+'Avg Week SpearMotors-Ntinda'!M105</f>
        <v>131.5</v>
      </c>
      <c r="N105" s="49">
        <f>'Avg Week Ntinda-SpearMotors'!N105+'Avg Week SpearMotors-Ntinda'!N105</f>
        <v>0</v>
      </c>
      <c r="O105" s="49">
        <f>'Avg Week Ntinda-SpearMotors'!O105+'Avg Week SpearMotors-Ntinda'!O105</f>
        <v>82</v>
      </c>
      <c r="P105" s="49">
        <f>'Avg Week Ntinda-SpearMotors'!P105+'Avg Week SpearMotors-Ntinda'!P105</f>
        <v>213.5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3296.3571428571422</v>
      </c>
      <c r="D106" s="16">
        <f t="shared" ref="D106:P106" si="35">SUM(D10:D105)</f>
        <v>1977.3571428571433</v>
      </c>
      <c r="E106" s="16">
        <f t="shared" si="35"/>
        <v>638.57142857142844</v>
      </c>
      <c r="F106" s="16">
        <f t="shared" si="35"/>
        <v>1176.2857142857142</v>
      </c>
      <c r="G106" s="16">
        <f t="shared" si="35"/>
        <v>18.571428571428573</v>
      </c>
      <c r="H106" s="16">
        <f t="shared" si="35"/>
        <v>5.7142857142857135</v>
      </c>
      <c r="I106" s="16">
        <f t="shared" si="35"/>
        <v>276.21428571428567</v>
      </c>
      <c r="J106" s="16">
        <f t="shared" si="35"/>
        <v>192.21428571428578</v>
      </c>
      <c r="K106" s="16">
        <f t="shared" si="35"/>
        <v>139.07142857142856</v>
      </c>
      <c r="L106" s="16">
        <f t="shared" si="35"/>
        <v>458.07142857142867</v>
      </c>
      <c r="M106" s="16">
        <f t="shared" si="35"/>
        <v>15614.000000000002</v>
      </c>
      <c r="N106" s="16">
        <f t="shared" si="35"/>
        <v>1.5714285714285712</v>
      </c>
      <c r="O106" s="16">
        <f t="shared" si="35"/>
        <v>8180.0000000000009</v>
      </c>
      <c r="P106" s="16">
        <f t="shared" si="35"/>
        <v>23793.999999999996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6">C106/$P$106</f>
        <v>0.13853732633677157</v>
      </c>
      <c r="D107" s="43">
        <f t="shared" si="36"/>
        <v>8.3103183275495651E-2</v>
      </c>
      <c r="E107" s="43">
        <f t="shared" si="36"/>
        <v>2.683749804872777E-2</v>
      </c>
      <c r="F107" s="43">
        <f t="shared" si="36"/>
        <v>4.9436232423540151E-2</v>
      </c>
      <c r="G107" s="43">
        <f t="shared" si="36"/>
        <v>7.8050889179745214E-4</v>
      </c>
      <c r="H107" s="43">
        <f t="shared" si="36"/>
        <v>2.4015658209152369E-4</v>
      </c>
      <c r="I107" s="43">
        <f t="shared" si="36"/>
        <v>1.1608568786849025E-2</v>
      </c>
      <c r="J107" s="43">
        <f t="shared" si="36"/>
        <v>8.0782670301036315E-3</v>
      </c>
      <c r="K107" s="43">
        <f t="shared" si="36"/>
        <v>5.8448108166524572E-3</v>
      </c>
      <c r="L107" s="43">
        <f t="shared" si="36"/>
        <v>1.9251552011911772E-2</v>
      </c>
      <c r="M107" s="43">
        <f t="shared" si="36"/>
        <v>0.65621585273598404</v>
      </c>
      <c r="N107" s="43">
        <f t="shared" si="36"/>
        <v>6.6043060075169006E-5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0.40297764582605644</v>
      </c>
      <c r="D108" s="44">
        <f t="shared" ref="D108:N108" si="37">D106/$O$106</f>
        <v>0.24173070206077543</v>
      </c>
      <c r="E108" s="44">
        <f t="shared" si="37"/>
        <v>7.8064966818023024E-2</v>
      </c>
      <c r="F108" s="44">
        <f t="shared" si="37"/>
        <v>0.1438002095703807</v>
      </c>
      <c r="G108" s="44">
        <f t="shared" si="37"/>
        <v>2.2703457911281873E-3</v>
      </c>
      <c r="H108" s="44">
        <f t="shared" si="37"/>
        <v>6.9856793573174977E-4</v>
      </c>
      <c r="I108" s="44">
        <f t="shared" si="37"/>
        <v>3.3767027593433453E-2</v>
      </c>
      <c r="J108" s="44">
        <f t="shared" si="37"/>
        <v>2.3498078938176743E-2</v>
      </c>
      <c r="K108" s="44">
        <f t="shared" si="37"/>
        <v>1.7001397135871461E-2</v>
      </c>
      <c r="L108" s="44">
        <f t="shared" si="37"/>
        <v>5.5998952148096408E-2</v>
      </c>
      <c r="M108" s="44"/>
      <c r="N108" s="44">
        <f t="shared" si="37"/>
        <v>1.9210618232623117E-4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NTINDA-SPEAR MOTORS</vt:lpstr>
      <vt:lpstr>29.07 SPEARMOTORS-NTINDA</vt:lpstr>
      <vt:lpstr>30.07 NTINDA-SPEARMOTORS</vt:lpstr>
      <vt:lpstr>30.07 SPEARMOTORS-NTINDA</vt:lpstr>
      <vt:lpstr>31.07 SPEAR MOTORS-NTINDA</vt:lpstr>
      <vt:lpstr>31.07 NTINDA-SPEAR MOTORS</vt:lpstr>
      <vt:lpstr>01.08 NTINDA-SPEARMOTORS-24h</vt:lpstr>
      <vt:lpstr>01.07 SPEARMOTORS-NTINDA-24h</vt:lpstr>
      <vt:lpstr>02.08 SPEARMOTORS-NTINDA</vt:lpstr>
      <vt:lpstr>02.08 NTINDA-SPEARMOTORS</vt:lpstr>
      <vt:lpstr>03.08 NTINDA-SPEARMOTORS-24h</vt:lpstr>
      <vt:lpstr>03.08 SPEARMOTORS-NTINDA-24h</vt:lpstr>
      <vt:lpstr>04.08 NTINDA-SPEARMOTORS</vt:lpstr>
      <vt:lpstr>04.08 SPEARMOTORS-NTINDA</vt:lpstr>
      <vt:lpstr>Avg Week Ntinda-SpearMotors</vt:lpstr>
      <vt:lpstr>Avg Week SpearMotors-Ntinda</vt:lpstr>
      <vt:lpstr>Avg Week Ntinda-SpearMotor-2Dir</vt:lpstr>
      <vt:lpstr>'01.07 SPEARMOTORS-NTINDA-24h'!Print_Area</vt:lpstr>
      <vt:lpstr>'01.08 NTINDA-SPEARMOTORS-24h'!Print_Area</vt:lpstr>
      <vt:lpstr>'02.08 NTINDA-SPEARMOTORS'!Print_Area</vt:lpstr>
      <vt:lpstr>'02.08 SPEARMOTORS-NTINDA'!Print_Area</vt:lpstr>
      <vt:lpstr>'03.08 NTINDA-SPEARMOTORS-24h'!Print_Area</vt:lpstr>
      <vt:lpstr>'03.08 SPEARMOTORS-NTINDA-24h'!Print_Area</vt:lpstr>
      <vt:lpstr>'04.08 NTINDA-SPEARMOTORS'!Print_Area</vt:lpstr>
      <vt:lpstr>'04.08 SPEARMOTORS-NTINDA'!Print_Area</vt:lpstr>
      <vt:lpstr>'29.07 NTINDA-SPEAR MOTORS'!Print_Area</vt:lpstr>
      <vt:lpstr>'29.07 SPEARMOTORS-NTINDA'!Print_Area</vt:lpstr>
      <vt:lpstr>'30.07 NTINDA-SPEARMOTORS'!Print_Area</vt:lpstr>
      <vt:lpstr>'30.07 SPEARMOTORS-NTINDA'!Print_Area</vt:lpstr>
      <vt:lpstr>'31.07 NTINDA-SPEAR MOTORS'!Print_Area</vt:lpstr>
      <vt:lpstr>'31.07 SPEAR MOTORS-NTINDA'!Print_Area</vt:lpstr>
      <vt:lpstr>'Avg Week Ntinda-SpearMotor-2Dir'!Print_Area</vt:lpstr>
      <vt:lpstr>'Avg Week Ntinda-SpearMotors'!Print_Area</vt:lpstr>
      <vt:lpstr>'Avg Week SpearMotors-Ntinda'!Print_Area</vt:lpstr>
      <vt:lpstr>'01.07 SPEARMOTORS-NTINDA-24h'!Print_Titles</vt:lpstr>
      <vt:lpstr>'01.08 NTINDA-SPEARMOTORS-24h'!Print_Titles</vt:lpstr>
      <vt:lpstr>'02.08 NTINDA-SPEARMOTORS'!Print_Titles</vt:lpstr>
      <vt:lpstr>'02.08 SPEARMOTORS-NTINDA'!Print_Titles</vt:lpstr>
      <vt:lpstr>'03.08 NTINDA-SPEARMOTORS-24h'!Print_Titles</vt:lpstr>
      <vt:lpstr>'03.08 SPEARMOTORS-NTINDA-24h'!Print_Titles</vt:lpstr>
      <vt:lpstr>'04.08 NTINDA-SPEARMOTORS'!Print_Titles</vt:lpstr>
      <vt:lpstr>'04.08 SPEARMOTORS-NTINDA'!Print_Titles</vt:lpstr>
      <vt:lpstr>'29.07 NTINDA-SPEAR MOTORS'!Print_Titles</vt:lpstr>
      <vt:lpstr>'29.07 SPEARMOTORS-NTINDA'!Print_Titles</vt:lpstr>
      <vt:lpstr>'30.07 NTINDA-SPEARMOTORS'!Print_Titles</vt:lpstr>
      <vt:lpstr>'30.07 SPEARMOTORS-NTINDA'!Print_Titles</vt:lpstr>
      <vt:lpstr>'31.07 NTINDA-SPEAR MOTORS'!Print_Titles</vt:lpstr>
      <vt:lpstr>'31.07 SPEAR MOTORS-NTINDA'!Print_Titles</vt:lpstr>
      <vt:lpstr>'Avg Week Ntinda-SpearMotor-2Dir'!Print_Titles</vt:lpstr>
      <vt:lpstr>'Avg Week Ntinda-SpearMotors'!Print_Titles</vt:lpstr>
      <vt:lpstr>'Avg Week SpearMotors-Ntinda'!Print_Titles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2019-11-27T19:11:28Z</cp:lastPrinted>
  <dcterms:created xsi:type="dcterms:W3CDTF">2010-07-06T07:39:49Z</dcterms:created>
  <dcterms:modified xsi:type="dcterms:W3CDTF">2020-01-15T18:26:34Z</dcterms:modified>
</cp:coreProperties>
</file>