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9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6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17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28-KISINGIRI RD OVERPASS\MCC DATA\"/>
    </mc:Choice>
  </mc:AlternateContent>
  <bookViews>
    <workbookView xWindow="-120" yWindow="-120" windowWidth="20730" windowHeight="11160" tabRatio="904" firstSheet="12" activeTab="16"/>
  </bookViews>
  <sheets>
    <sheet name="29.07 Kyebando-Mulago" sheetId="95" r:id="rId1"/>
    <sheet name="29.07 Mulago-Kyebando" sheetId="96" r:id="rId2"/>
    <sheet name="30.07 -Kyebando-Mulago" sheetId="97" r:id="rId3"/>
    <sheet name="30.07 Mulago-Kyebando" sheetId="98" r:id="rId4"/>
    <sheet name="31.07 Kyebando-Mulago" sheetId="99" r:id="rId5"/>
    <sheet name="31.07 Mulago-Kyebando" sheetId="100" r:id="rId6"/>
    <sheet name="01.08 Kyebando-Mulago-24h" sheetId="101" r:id="rId7"/>
    <sheet name="01.08 Mulago-Kyebando-24h" sheetId="109" r:id="rId8"/>
    <sheet name="02.08 Kyebando-Mulago" sheetId="93" r:id="rId9"/>
    <sheet name="02.08 Mulago-Kyebando" sheetId="94" r:id="rId10"/>
    <sheet name="03.08 Kyebando-Mulago-24h" sheetId="105" r:id="rId11"/>
    <sheet name="03.08 Mulago-Kyebando-24h" sheetId="110" r:id="rId12"/>
    <sheet name="04.08 Kyebando-Mulago" sheetId="103" r:id="rId13"/>
    <sheet name="04.08 Mulago-Kyebando" sheetId="104" r:id="rId14"/>
    <sheet name="Avg Week Kyebando-Mulago" sheetId="107" r:id="rId15"/>
    <sheet name="Avg Week Mulago-Kyebando" sheetId="108" r:id="rId16"/>
    <sheet name="Avg Week Kyebando-Mulago-2Dir" sheetId="111" r:id="rId17"/>
  </sheets>
  <definedNames>
    <definedName name="_xlnm.Print_Area" localSheetId="6">'01.08 Kyebando-Mulago-24h'!$A$1:$AF$108</definedName>
    <definedName name="_xlnm.Print_Area" localSheetId="7">'01.08 Mulago-Kyebando-24h'!$A$1:$AF$108</definedName>
    <definedName name="_xlnm.Print_Area" localSheetId="8">'02.08 Kyebando-Mulago'!$A$1:$AF$60</definedName>
    <definedName name="_xlnm.Print_Area" localSheetId="9">'02.08 Mulago-Kyebando'!$A$1:$AF$60</definedName>
    <definedName name="_xlnm.Print_Area" localSheetId="10">'03.08 Kyebando-Mulago-24h'!$A$1:$AF$108</definedName>
    <definedName name="_xlnm.Print_Area" localSheetId="11">'03.08 Mulago-Kyebando-24h'!$A$1:$AF$108</definedName>
    <definedName name="_xlnm.Print_Area" localSheetId="12">'04.08 Kyebando-Mulago'!$A$1:$AF$60</definedName>
    <definedName name="_xlnm.Print_Area" localSheetId="13">'04.08 Mulago-Kyebando'!$A$1:$AF$60</definedName>
    <definedName name="_xlnm.Print_Area" localSheetId="0">'29.07 Kyebando-Mulago'!$A$1:$AF$60</definedName>
    <definedName name="_xlnm.Print_Area" localSheetId="1">'29.07 Mulago-Kyebando'!$A$1:$AF$60</definedName>
    <definedName name="_xlnm.Print_Area" localSheetId="2">'30.07 -Kyebando-Mulago'!$A$1:$AF$60</definedName>
    <definedName name="_xlnm.Print_Area" localSheetId="3">'30.07 Mulago-Kyebando'!$A$1:$AF$60</definedName>
    <definedName name="_xlnm.Print_Area" localSheetId="4">'31.07 Kyebando-Mulago'!$A$1:$AF$60</definedName>
    <definedName name="_xlnm.Print_Area" localSheetId="5">'31.07 Mulago-Kyebando'!$A$1:$AF$60</definedName>
    <definedName name="_xlnm.Print_Area" localSheetId="14">'Avg Week Kyebando-Mulago'!$A$1:$AF$109</definedName>
    <definedName name="_xlnm.Print_Area" localSheetId="16">'Avg Week Kyebando-Mulago-2Dir'!$A$1:$AF$109</definedName>
    <definedName name="_xlnm.Print_Area" localSheetId="15">'Avg Week Mulago-Kyebando'!$A$1:$AF$109</definedName>
    <definedName name="_xlnm.Print_Titles" localSheetId="6">'01.08 Kyebando-Mulago-24h'!$1:$8</definedName>
    <definedName name="_xlnm.Print_Titles" localSheetId="7">'01.08 Mulago-Kyebando-24h'!$1:$8</definedName>
    <definedName name="_xlnm.Print_Titles" localSheetId="8">'02.08 Kyebando-Mulago'!$1:$8</definedName>
    <definedName name="_xlnm.Print_Titles" localSheetId="9">'02.08 Mulago-Kyebando'!$1:$8</definedName>
    <definedName name="_xlnm.Print_Titles" localSheetId="10">'03.08 Kyebando-Mulago-24h'!$1:$8</definedName>
    <definedName name="_xlnm.Print_Titles" localSheetId="11">'03.08 Mulago-Kyebando-24h'!$1:$8</definedName>
    <definedName name="_xlnm.Print_Titles" localSheetId="12">'04.08 Kyebando-Mulago'!$1:$8</definedName>
    <definedName name="_xlnm.Print_Titles" localSheetId="13">'04.08 Mulago-Kyebando'!$1:$8</definedName>
    <definedName name="_xlnm.Print_Titles" localSheetId="0">'29.07 Kyebando-Mulago'!$1:$8</definedName>
    <definedName name="_xlnm.Print_Titles" localSheetId="1">'29.07 Mulago-Kyebando'!$1:$8</definedName>
    <definedName name="_xlnm.Print_Titles" localSheetId="2">'30.07 -Kyebando-Mulago'!$1:$8</definedName>
    <definedName name="_xlnm.Print_Titles" localSheetId="3">'30.07 Mulago-Kyebando'!$1:$8</definedName>
    <definedName name="_xlnm.Print_Titles" localSheetId="4">'31.07 Kyebando-Mulago'!$1:$8</definedName>
    <definedName name="_xlnm.Print_Titles" localSheetId="5">'31.07 Mulago-Kyebando'!$1:$8</definedName>
    <definedName name="_xlnm.Print_Titles" localSheetId="14">'Avg Week Kyebando-Mulago'!$1:$8</definedName>
    <definedName name="_xlnm.Print_Titles" localSheetId="16">'Avg Week Kyebando-Mulago-2Dir'!$1:$8</definedName>
    <definedName name="_xlnm.Print_Titles" localSheetId="15">'Avg Week Mulago-Kyebando'!$1:$8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8" i="111" l="1"/>
  <c r="E58" i="111"/>
  <c r="F58" i="111"/>
  <c r="G58" i="111"/>
  <c r="W22" i="111" s="1"/>
  <c r="H58" i="111"/>
  <c r="I58" i="111"/>
  <c r="J58" i="111"/>
  <c r="Z22" i="111" s="1"/>
  <c r="K58" i="111"/>
  <c r="L58" i="111"/>
  <c r="M58" i="111"/>
  <c r="N58" i="111"/>
  <c r="D59" i="111"/>
  <c r="T22" i="111" s="1"/>
  <c r="E59" i="111"/>
  <c r="F59" i="111"/>
  <c r="G59" i="111"/>
  <c r="H59" i="111"/>
  <c r="X22" i="111" s="1"/>
  <c r="I59" i="111"/>
  <c r="J59" i="111"/>
  <c r="K59" i="111"/>
  <c r="L59" i="111"/>
  <c r="AB22" i="111" s="1"/>
  <c r="M59" i="111"/>
  <c r="N59" i="111"/>
  <c r="D60" i="111"/>
  <c r="P60" i="111" s="1"/>
  <c r="E60" i="111"/>
  <c r="U22" i="111" s="1"/>
  <c r="F60" i="111"/>
  <c r="G60" i="111"/>
  <c r="H60" i="111"/>
  <c r="I60" i="111"/>
  <c r="Y22" i="111" s="1"/>
  <c r="J60" i="111"/>
  <c r="K60" i="111"/>
  <c r="L60" i="111"/>
  <c r="M60" i="111"/>
  <c r="AC22" i="111" s="1"/>
  <c r="N60" i="111"/>
  <c r="D61" i="111"/>
  <c r="E61" i="111"/>
  <c r="F61" i="111"/>
  <c r="V22" i="111" s="1"/>
  <c r="G61" i="111"/>
  <c r="H61" i="111"/>
  <c r="I61" i="111"/>
  <c r="J61" i="111"/>
  <c r="K61" i="111"/>
  <c r="L61" i="111"/>
  <c r="M61" i="111"/>
  <c r="N61" i="111"/>
  <c r="AD22" i="111" s="1"/>
  <c r="D62" i="111"/>
  <c r="E62" i="111"/>
  <c r="F62" i="111"/>
  <c r="V23" i="111" s="1"/>
  <c r="G62" i="111"/>
  <c r="W23" i="111" s="1"/>
  <c r="H62" i="111"/>
  <c r="I62" i="111"/>
  <c r="J62" i="111"/>
  <c r="K62" i="111"/>
  <c r="AA23" i="111" s="1"/>
  <c r="L62" i="111"/>
  <c r="M62" i="111"/>
  <c r="N62" i="111"/>
  <c r="AD23" i="111" s="1"/>
  <c r="D63" i="111"/>
  <c r="T23" i="111" s="1"/>
  <c r="E63" i="111"/>
  <c r="F63" i="111"/>
  <c r="G63" i="111"/>
  <c r="H63" i="111"/>
  <c r="X23" i="111" s="1"/>
  <c r="I63" i="111"/>
  <c r="J63" i="111"/>
  <c r="K63" i="111"/>
  <c r="L63" i="111"/>
  <c r="AB23" i="111" s="1"/>
  <c r="M63" i="111"/>
  <c r="N63" i="111"/>
  <c r="D64" i="111"/>
  <c r="P64" i="111" s="1"/>
  <c r="E64" i="111"/>
  <c r="U23" i="111" s="1"/>
  <c r="F64" i="111"/>
  <c r="G64" i="111"/>
  <c r="H64" i="111"/>
  <c r="I64" i="111"/>
  <c r="J64" i="111"/>
  <c r="K64" i="111"/>
  <c r="L64" i="111"/>
  <c r="M64" i="111"/>
  <c r="AC23" i="111" s="1"/>
  <c r="N64" i="111"/>
  <c r="D65" i="111"/>
  <c r="E65" i="111"/>
  <c r="F65" i="111"/>
  <c r="P65" i="111" s="1"/>
  <c r="G65" i="111"/>
  <c r="H65" i="111"/>
  <c r="I65" i="111"/>
  <c r="J65" i="111"/>
  <c r="Z23" i="111" s="1"/>
  <c r="K65" i="111"/>
  <c r="L65" i="111"/>
  <c r="M65" i="111"/>
  <c r="N65" i="111"/>
  <c r="D66" i="111"/>
  <c r="E66" i="111"/>
  <c r="F66" i="111"/>
  <c r="G66" i="111"/>
  <c r="W24" i="111" s="1"/>
  <c r="H66" i="111"/>
  <c r="I66" i="111"/>
  <c r="J66" i="111"/>
  <c r="K66" i="111"/>
  <c r="AA24" i="111" s="1"/>
  <c r="L66" i="111"/>
  <c r="M66" i="111"/>
  <c r="N66" i="111"/>
  <c r="D67" i="111"/>
  <c r="T24" i="111" s="1"/>
  <c r="E67" i="111"/>
  <c r="F67" i="111"/>
  <c r="G67" i="111"/>
  <c r="H67" i="111"/>
  <c r="X24" i="111" s="1"/>
  <c r="I67" i="111"/>
  <c r="J67" i="111"/>
  <c r="K67" i="111"/>
  <c r="L67" i="111"/>
  <c r="AB24" i="111" s="1"/>
  <c r="M67" i="111"/>
  <c r="N67" i="111"/>
  <c r="D68" i="111"/>
  <c r="P68" i="111" s="1"/>
  <c r="E68" i="111"/>
  <c r="U24" i="111" s="1"/>
  <c r="F68" i="111"/>
  <c r="G68" i="111"/>
  <c r="H68" i="111"/>
  <c r="I68" i="111"/>
  <c r="J68" i="111"/>
  <c r="K68" i="111"/>
  <c r="L68" i="111"/>
  <c r="M68" i="111"/>
  <c r="AC24" i="111" s="1"/>
  <c r="N68" i="111"/>
  <c r="D69" i="111"/>
  <c r="E69" i="111"/>
  <c r="F69" i="111"/>
  <c r="V24" i="111" s="1"/>
  <c r="G69" i="111"/>
  <c r="H69" i="111"/>
  <c r="I69" i="111"/>
  <c r="J69" i="111"/>
  <c r="Z24" i="111" s="1"/>
  <c r="K69" i="111"/>
  <c r="L69" i="111"/>
  <c r="M69" i="111"/>
  <c r="N69" i="111"/>
  <c r="AD24" i="111" s="1"/>
  <c r="D70" i="111"/>
  <c r="E70" i="111"/>
  <c r="F70" i="111"/>
  <c r="G70" i="111"/>
  <c r="H70" i="111"/>
  <c r="I70" i="111"/>
  <c r="J70" i="111"/>
  <c r="K70" i="111"/>
  <c r="AA25" i="111" s="1"/>
  <c r="L70" i="111"/>
  <c r="M70" i="111"/>
  <c r="N70" i="111"/>
  <c r="D71" i="111"/>
  <c r="T25" i="111" s="1"/>
  <c r="E71" i="111"/>
  <c r="F71" i="111"/>
  <c r="G71" i="111"/>
  <c r="H71" i="111"/>
  <c r="X25" i="111" s="1"/>
  <c r="I71" i="111"/>
  <c r="J71" i="111"/>
  <c r="K71" i="111"/>
  <c r="L71" i="111"/>
  <c r="AB25" i="111" s="1"/>
  <c r="M71" i="111"/>
  <c r="N71" i="111"/>
  <c r="D72" i="111"/>
  <c r="P72" i="111" s="1"/>
  <c r="E72" i="111"/>
  <c r="U25" i="111" s="1"/>
  <c r="F72" i="111"/>
  <c r="G72" i="111"/>
  <c r="H72" i="111"/>
  <c r="I72" i="111"/>
  <c r="Y25" i="111" s="1"/>
  <c r="J72" i="111"/>
  <c r="K72" i="111"/>
  <c r="L72" i="111"/>
  <c r="M72" i="111"/>
  <c r="AC25" i="111" s="1"/>
  <c r="N72" i="111"/>
  <c r="D73" i="111"/>
  <c r="E73" i="111"/>
  <c r="F73" i="111"/>
  <c r="P73" i="111" s="1"/>
  <c r="G73" i="111"/>
  <c r="H73" i="111"/>
  <c r="I73" i="111"/>
  <c r="J73" i="111"/>
  <c r="K73" i="111"/>
  <c r="L73" i="111"/>
  <c r="M73" i="111"/>
  <c r="N73" i="111"/>
  <c r="D74" i="111"/>
  <c r="E74" i="111"/>
  <c r="F74" i="111"/>
  <c r="G74" i="111"/>
  <c r="H74" i="111"/>
  <c r="I74" i="111"/>
  <c r="J74" i="111"/>
  <c r="K74" i="111"/>
  <c r="AA26" i="111" s="1"/>
  <c r="L74" i="111"/>
  <c r="M74" i="111"/>
  <c r="N74" i="111"/>
  <c r="D75" i="111"/>
  <c r="T26" i="111" s="1"/>
  <c r="E75" i="111"/>
  <c r="F75" i="111"/>
  <c r="G75" i="111"/>
  <c r="H75" i="111"/>
  <c r="X26" i="111" s="1"/>
  <c r="I75" i="111"/>
  <c r="J75" i="111"/>
  <c r="K75" i="111"/>
  <c r="L75" i="111"/>
  <c r="AB26" i="111" s="1"/>
  <c r="M75" i="111"/>
  <c r="N75" i="111"/>
  <c r="D76" i="111"/>
  <c r="P76" i="111" s="1"/>
  <c r="E76" i="111"/>
  <c r="U26" i="111" s="1"/>
  <c r="F76" i="111"/>
  <c r="G76" i="111"/>
  <c r="H76" i="111"/>
  <c r="I76" i="111"/>
  <c r="Y26" i="111" s="1"/>
  <c r="J76" i="111"/>
  <c r="K76" i="111"/>
  <c r="L76" i="111"/>
  <c r="M76" i="111"/>
  <c r="AC26" i="111" s="1"/>
  <c r="N76" i="111"/>
  <c r="D77" i="111"/>
  <c r="E77" i="111"/>
  <c r="F77" i="111"/>
  <c r="V26" i="111" s="1"/>
  <c r="G77" i="111"/>
  <c r="H77" i="111"/>
  <c r="I77" i="111"/>
  <c r="J77" i="111"/>
  <c r="Z26" i="111" s="1"/>
  <c r="K77" i="111"/>
  <c r="L77" i="111"/>
  <c r="M77" i="111"/>
  <c r="N77" i="111"/>
  <c r="AD26" i="111" s="1"/>
  <c r="D78" i="111"/>
  <c r="E78" i="111"/>
  <c r="F78" i="111"/>
  <c r="V27" i="111" s="1"/>
  <c r="G78" i="111"/>
  <c r="W27" i="111" s="1"/>
  <c r="H78" i="111"/>
  <c r="I78" i="111"/>
  <c r="J78" i="111"/>
  <c r="Z27" i="111" s="1"/>
  <c r="K78" i="111"/>
  <c r="AA27" i="111" s="1"/>
  <c r="L78" i="111"/>
  <c r="M78" i="111"/>
  <c r="N78" i="111"/>
  <c r="D79" i="111"/>
  <c r="T27" i="111" s="1"/>
  <c r="E79" i="111"/>
  <c r="F79" i="111"/>
  <c r="G79" i="111"/>
  <c r="H79" i="111"/>
  <c r="X27" i="111" s="1"/>
  <c r="I79" i="111"/>
  <c r="J79" i="111"/>
  <c r="K79" i="111"/>
  <c r="L79" i="111"/>
  <c r="AB27" i="111" s="1"/>
  <c r="M79" i="111"/>
  <c r="N79" i="111"/>
  <c r="D80" i="111"/>
  <c r="P80" i="111" s="1"/>
  <c r="E80" i="111"/>
  <c r="U27" i="111" s="1"/>
  <c r="F80" i="111"/>
  <c r="G80" i="111"/>
  <c r="H80" i="111"/>
  <c r="I80" i="111"/>
  <c r="Y27" i="111" s="1"/>
  <c r="J80" i="111"/>
  <c r="K80" i="111"/>
  <c r="L80" i="111"/>
  <c r="M80" i="111"/>
  <c r="AC27" i="111" s="1"/>
  <c r="N80" i="111"/>
  <c r="D81" i="111"/>
  <c r="E81" i="111"/>
  <c r="F81" i="111"/>
  <c r="P81" i="111" s="1"/>
  <c r="G81" i="111"/>
  <c r="H81" i="111"/>
  <c r="I81" i="111"/>
  <c r="J81" i="111"/>
  <c r="K81" i="111"/>
  <c r="L81" i="111"/>
  <c r="M81" i="111"/>
  <c r="N81" i="111"/>
  <c r="D82" i="111"/>
  <c r="E82" i="111"/>
  <c r="F82" i="111"/>
  <c r="G82" i="111"/>
  <c r="W28" i="111" s="1"/>
  <c r="H82" i="111"/>
  <c r="I82" i="111"/>
  <c r="J82" i="111"/>
  <c r="K82" i="111"/>
  <c r="AA28" i="111" s="1"/>
  <c r="L82" i="111"/>
  <c r="M82" i="111"/>
  <c r="N82" i="111"/>
  <c r="D83" i="111"/>
  <c r="T28" i="111" s="1"/>
  <c r="E83" i="111"/>
  <c r="F83" i="111"/>
  <c r="G83" i="111"/>
  <c r="H83" i="111"/>
  <c r="X28" i="111" s="1"/>
  <c r="I83" i="111"/>
  <c r="J83" i="111"/>
  <c r="K83" i="111"/>
  <c r="L83" i="111"/>
  <c r="AB28" i="111" s="1"/>
  <c r="M83" i="111"/>
  <c r="N83" i="111"/>
  <c r="D84" i="111"/>
  <c r="P84" i="111" s="1"/>
  <c r="E84" i="111"/>
  <c r="U28" i="111" s="1"/>
  <c r="F84" i="111"/>
  <c r="G84" i="111"/>
  <c r="H84" i="111"/>
  <c r="I84" i="111"/>
  <c r="Y28" i="111" s="1"/>
  <c r="J84" i="111"/>
  <c r="K84" i="111"/>
  <c r="L84" i="111"/>
  <c r="M84" i="111"/>
  <c r="AC28" i="111" s="1"/>
  <c r="N84" i="111"/>
  <c r="D85" i="111"/>
  <c r="E85" i="111"/>
  <c r="F85" i="111"/>
  <c r="V28" i="111" s="1"/>
  <c r="G85" i="111"/>
  <c r="H85" i="111"/>
  <c r="I85" i="111"/>
  <c r="J85" i="111"/>
  <c r="Z28" i="111" s="1"/>
  <c r="K85" i="111"/>
  <c r="L85" i="111"/>
  <c r="M85" i="111"/>
  <c r="N85" i="111"/>
  <c r="AD28" i="111" s="1"/>
  <c r="D86" i="111"/>
  <c r="E86" i="111"/>
  <c r="F86" i="111"/>
  <c r="G86" i="111"/>
  <c r="W29" i="111" s="1"/>
  <c r="H86" i="111"/>
  <c r="I86" i="111"/>
  <c r="J86" i="111"/>
  <c r="K86" i="111"/>
  <c r="AA29" i="111" s="1"/>
  <c r="L86" i="111"/>
  <c r="M86" i="111"/>
  <c r="N86" i="111"/>
  <c r="D87" i="111"/>
  <c r="E87" i="111"/>
  <c r="F87" i="111"/>
  <c r="G87" i="111"/>
  <c r="H87" i="111"/>
  <c r="X29" i="111" s="1"/>
  <c r="I87" i="111"/>
  <c r="J87" i="111"/>
  <c r="K87" i="111"/>
  <c r="L87" i="111"/>
  <c r="AB29" i="111" s="1"/>
  <c r="M87" i="111"/>
  <c r="N87" i="111"/>
  <c r="D88" i="111"/>
  <c r="P88" i="111" s="1"/>
  <c r="E88" i="111"/>
  <c r="U29" i="111" s="1"/>
  <c r="F88" i="111"/>
  <c r="G88" i="111"/>
  <c r="H88" i="111"/>
  <c r="I88" i="111"/>
  <c r="Y29" i="111" s="1"/>
  <c r="J88" i="111"/>
  <c r="K88" i="111"/>
  <c r="L88" i="111"/>
  <c r="M88" i="111"/>
  <c r="AC29" i="111" s="1"/>
  <c r="N88" i="111"/>
  <c r="D89" i="111"/>
  <c r="E89" i="111"/>
  <c r="F89" i="111"/>
  <c r="P89" i="111" s="1"/>
  <c r="G89" i="111"/>
  <c r="H89" i="111"/>
  <c r="I89" i="111"/>
  <c r="J89" i="111"/>
  <c r="K89" i="111"/>
  <c r="L89" i="111"/>
  <c r="M89" i="111"/>
  <c r="N89" i="111"/>
  <c r="D90" i="111"/>
  <c r="E90" i="111"/>
  <c r="F90" i="111"/>
  <c r="G90" i="111"/>
  <c r="W30" i="111" s="1"/>
  <c r="H90" i="111"/>
  <c r="I90" i="111"/>
  <c r="J90" i="111"/>
  <c r="K90" i="111"/>
  <c r="AA30" i="111" s="1"/>
  <c r="L90" i="111"/>
  <c r="M90" i="111"/>
  <c r="N90" i="111"/>
  <c r="D91" i="111"/>
  <c r="T30" i="111" s="1"/>
  <c r="E91" i="111"/>
  <c r="F91" i="111"/>
  <c r="G91" i="111"/>
  <c r="H91" i="111"/>
  <c r="X30" i="111" s="1"/>
  <c r="I91" i="111"/>
  <c r="J91" i="111"/>
  <c r="K91" i="111"/>
  <c r="L91" i="111"/>
  <c r="AB30" i="111" s="1"/>
  <c r="M91" i="111"/>
  <c r="N91" i="111"/>
  <c r="D92" i="111"/>
  <c r="P92" i="111" s="1"/>
  <c r="E92" i="111"/>
  <c r="F92" i="111"/>
  <c r="G92" i="111"/>
  <c r="H92" i="111"/>
  <c r="I92" i="111"/>
  <c r="J92" i="111"/>
  <c r="K92" i="111"/>
  <c r="L92" i="111"/>
  <c r="M92" i="111"/>
  <c r="N92" i="111"/>
  <c r="D93" i="111"/>
  <c r="E93" i="111"/>
  <c r="F93" i="111"/>
  <c r="V30" i="111" s="1"/>
  <c r="G93" i="111"/>
  <c r="H93" i="111"/>
  <c r="I93" i="111"/>
  <c r="J93" i="111"/>
  <c r="Z30" i="111" s="1"/>
  <c r="K93" i="111"/>
  <c r="L93" i="111"/>
  <c r="M93" i="111"/>
  <c r="N93" i="111"/>
  <c r="AD30" i="111" s="1"/>
  <c r="D94" i="111"/>
  <c r="E94" i="111"/>
  <c r="F94" i="111"/>
  <c r="G94" i="111"/>
  <c r="W31" i="111" s="1"/>
  <c r="H94" i="111"/>
  <c r="I94" i="111"/>
  <c r="J94" i="111"/>
  <c r="Z31" i="111" s="1"/>
  <c r="K94" i="111"/>
  <c r="AA31" i="111" s="1"/>
  <c r="L94" i="111"/>
  <c r="M94" i="111"/>
  <c r="N94" i="111"/>
  <c r="AD31" i="111" s="1"/>
  <c r="D95" i="111"/>
  <c r="E95" i="111"/>
  <c r="F95" i="111"/>
  <c r="G95" i="111"/>
  <c r="H95" i="111"/>
  <c r="I95" i="111"/>
  <c r="J95" i="111"/>
  <c r="K95" i="111"/>
  <c r="L95" i="111"/>
  <c r="M95" i="111"/>
  <c r="N95" i="111"/>
  <c r="D96" i="111"/>
  <c r="P96" i="111" s="1"/>
  <c r="E96" i="111"/>
  <c r="U31" i="111" s="1"/>
  <c r="F96" i="111"/>
  <c r="G96" i="111"/>
  <c r="H96" i="111"/>
  <c r="I96" i="111"/>
  <c r="Y31" i="111" s="1"/>
  <c r="J96" i="111"/>
  <c r="K96" i="111"/>
  <c r="L96" i="111"/>
  <c r="M96" i="111"/>
  <c r="AC31" i="111" s="1"/>
  <c r="N96" i="111"/>
  <c r="D97" i="111"/>
  <c r="E97" i="111"/>
  <c r="F97" i="111"/>
  <c r="V31" i="111" s="1"/>
  <c r="G97" i="111"/>
  <c r="H97" i="111"/>
  <c r="I97" i="111"/>
  <c r="J97" i="111"/>
  <c r="K97" i="111"/>
  <c r="L97" i="111"/>
  <c r="M97" i="111"/>
  <c r="N97" i="111"/>
  <c r="D98" i="111"/>
  <c r="E98" i="111"/>
  <c r="F98" i="111"/>
  <c r="G98" i="111"/>
  <c r="W32" i="111" s="1"/>
  <c r="H98" i="111"/>
  <c r="I98" i="111"/>
  <c r="J98" i="111"/>
  <c r="K98" i="111"/>
  <c r="AA32" i="111" s="1"/>
  <c r="L98" i="111"/>
  <c r="M98" i="111"/>
  <c r="N98" i="111"/>
  <c r="D99" i="111"/>
  <c r="T32" i="111" s="1"/>
  <c r="E99" i="111"/>
  <c r="F99" i="111"/>
  <c r="G99" i="111"/>
  <c r="H99" i="111"/>
  <c r="X32" i="111" s="1"/>
  <c r="I99" i="111"/>
  <c r="J99" i="111"/>
  <c r="K99" i="111"/>
  <c r="L99" i="111"/>
  <c r="AB32" i="111" s="1"/>
  <c r="M99" i="111"/>
  <c r="N99" i="111"/>
  <c r="D100" i="111"/>
  <c r="P100" i="111" s="1"/>
  <c r="E100" i="111"/>
  <c r="U32" i="111" s="1"/>
  <c r="F100" i="111"/>
  <c r="G100" i="111"/>
  <c r="H100" i="111"/>
  <c r="I100" i="111"/>
  <c r="Y32" i="111" s="1"/>
  <c r="J100" i="111"/>
  <c r="K100" i="111"/>
  <c r="L100" i="111"/>
  <c r="M100" i="111"/>
  <c r="AC32" i="111" s="1"/>
  <c r="N100" i="111"/>
  <c r="D101" i="111"/>
  <c r="E101" i="111"/>
  <c r="F101" i="111"/>
  <c r="V32" i="111" s="1"/>
  <c r="G101" i="111"/>
  <c r="H101" i="111"/>
  <c r="I101" i="111"/>
  <c r="J101" i="111"/>
  <c r="Z32" i="111" s="1"/>
  <c r="K101" i="111"/>
  <c r="L101" i="111"/>
  <c r="M101" i="111"/>
  <c r="N101" i="111"/>
  <c r="AD32" i="111" s="1"/>
  <c r="D102" i="111"/>
  <c r="E102" i="111"/>
  <c r="F102" i="111"/>
  <c r="G102" i="111"/>
  <c r="W33" i="111" s="1"/>
  <c r="H102" i="111"/>
  <c r="I102" i="111"/>
  <c r="J102" i="111"/>
  <c r="K102" i="111"/>
  <c r="AA33" i="111" s="1"/>
  <c r="L102" i="111"/>
  <c r="M102" i="111"/>
  <c r="N102" i="111"/>
  <c r="D103" i="111"/>
  <c r="T33" i="111" s="1"/>
  <c r="E103" i="111"/>
  <c r="F103" i="111"/>
  <c r="G103" i="111"/>
  <c r="H103" i="111"/>
  <c r="X33" i="111" s="1"/>
  <c r="I103" i="111"/>
  <c r="J103" i="111"/>
  <c r="K103" i="111"/>
  <c r="L103" i="111"/>
  <c r="AB33" i="111" s="1"/>
  <c r="M103" i="111"/>
  <c r="N103" i="111"/>
  <c r="D104" i="111"/>
  <c r="P104" i="111" s="1"/>
  <c r="E104" i="111"/>
  <c r="U33" i="111" s="1"/>
  <c r="F104" i="111"/>
  <c r="G104" i="111"/>
  <c r="H104" i="111"/>
  <c r="I104" i="111"/>
  <c r="Y33" i="111" s="1"/>
  <c r="J104" i="111"/>
  <c r="K104" i="111"/>
  <c r="L104" i="111"/>
  <c r="M104" i="111"/>
  <c r="AC33" i="111" s="1"/>
  <c r="N104" i="111"/>
  <c r="D105" i="111"/>
  <c r="E105" i="111"/>
  <c r="F105" i="111"/>
  <c r="P105" i="111" s="1"/>
  <c r="G105" i="111"/>
  <c r="H105" i="111"/>
  <c r="I105" i="111"/>
  <c r="J105" i="111"/>
  <c r="K105" i="111"/>
  <c r="L105" i="111"/>
  <c r="M105" i="111"/>
  <c r="N105" i="111"/>
  <c r="C59" i="111"/>
  <c r="P59" i="111" s="1"/>
  <c r="C60" i="111"/>
  <c r="C61" i="111"/>
  <c r="C62" i="111"/>
  <c r="S23" i="111" s="1"/>
  <c r="C63" i="111"/>
  <c r="P63" i="111" s="1"/>
  <c r="C64" i="111"/>
  <c r="C65" i="111"/>
  <c r="C66" i="111"/>
  <c r="S24" i="111" s="1"/>
  <c r="C67" i="111"/>
  <c r="P67" i="111" s="1"/>
  <c r="C68" i="111"/>
  <c r="C69" i="111"/>
  <c r="C70" i="111"/>
  <c r="S25" i="111" s="1"/>
  <c r="C71" i="111"/>
  <c r="P71" i="111" s="1"/>
  <c r="C72" i="111"/>
  <c r="C73" i="111"/>
  <c r="C74" i="111"/>
  <c r="S26" i="111" s="1"/>
  <c r="C75" i="111"/>
  <c r="P75" i="111" s="1"/>
  <c r="C76" i="111"/>
  <c r="C77" i="111"/>
  <c r="C78" i="111"/>
  <c r="S27" i="111" s="1"/>
  <c r="C79" i="111"/>
  <c r="P79" i="111" s="1"/>
  <c r="C80" i="111"/>
  <c r="C81" i="111"/>
  <c r="C82" i="111"/>
  <c r="S28" i="111" s="1"/>
  <c r="C83" i="111"/>
  <c r="P83" i="111" s="1"/>
  <c r="C84" i="111"/>
  <c r="C85" i="111"/>
  <c r="C86" i="111"/>
  <c r="S29" i="111" s="1"/>
  <c r="C87" i="111"/>
  <c r="P87" i="111" s="1"/>
  <c r="C88" i="111"/>
  <c r="C89" i="111"/>
  <c r="C90" i="111"/>
  <c r="S30" i="111" s="1"/>
  <c r="C91" i="111"/>
  <c r="P91" i="111" s="1"/>
  <c r="C92" i="111"/>
  <c r="C93" i="111"/>
  <c r="C94" i="111"/>
  <c r="S31" i="111" s="1"/>
  <c r="C95" i="111"/>
  <c r="P95" i="111" s="1"/>
  <c r="C96" i="111"/>
  <c r="C97" i="111"/>
  <c r="C98" i="111"/>
  <c r="S32" i="111" s="1"/>
  <c r="C99" i="111"/>
  <c r="P99" i="111" s="1"/>
  <c r="C100" i="111"/>
  <c r="C101" i="111"/>
  <c r="C102" i="111"/>
  <c r="S33" i="111" s="1"/>
  <c r="C103" i="111"/>
  <c r="P103" i="111" s="1"/>
  <c r="C104" i="111"/>
  <c r="C105" i="111"/>
  <c r="C58" i="111"/>
  <c r="P58" i="111" s="1"/>
  <c r="D58" i="108"/>
  <c r="E58" i="108"/>
  <c r="F58" i="108"/>
  <c r="G58" i="108"/>
  <c r="W22" i="108" s="1"/>
  <c r="H58" i="108"/>
  <c r="I58" i="108"/>
  <c r="J58" i="108"/>
  <c r="K58" i="108"/>
  <c r="AA22" i="108" s="1"/>
  <c r="L58" i="108"/>
  <c r="M58" i="108"/>
  <c r="N58" i="108"/>
  <c r="D59" i="108"/>
  <c r="E59" i="108"/>
  <c r="F59" i="108"/>
  <c r="G59" i="108"/>
  <c r="H59" i="108"/>
  <c r="X22" i="108" s="1"/>
  <c r="I59" i="108"/>
  <c r="J59" i="108"/>
  <c r="K59" i="108"/>
  <c r="L59" i="108"/>
  <c r="AB22" i="108" s="1"/>
  <c r="M59" i="108"/>
  <c r="N59" i="108"/>
  <c r="D60" i="108"/>
  <c r="E60" i="108"/>
  <c r="U22" i="108" s="1"/>
  <c r="F60" i="108"/>
  <c r="G60" i="108"/>
  <c r="H60" i="108"/>
  <c r="I60" i="108"/>
  <c r="Y22" i="108" s="1"/>
  <c r="J60" i="108"/>
  <c r="K60" i="108"/>
  <c r="L60" i="108"/>
  <c r="M60" i="108"/>
  <c r="AC22" i="108" s="1"/>
  <c r="N60" i="108"/>
  <c r="D61" i="108"/>
  <c r="E61" i="108"/>
  <c r="F61" i="108"/>
  <c r="P61" i="108" s="1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W23" i="108" s="1"/>
  <c r="H62" i="108"/>
  <c r="I62" i="108"/>
  <c r="J62" i="108"/>
  <c r="K62" i="108"/>
  <c r="AA23" i="108" s="1"/>
  <c r="L62" i="108"/>
  <c r="M62" i="108"/>
  <c r="N62" i="108"/>
  <c r="D63" i="108"/>
  <c r="T23" i="108" s="1"/>
  <c r="E63" i="108"/>
  <c r="F63" i="108"/>
  <c r="G63" i="108"/>
  <c r="H63" i="108"/>
  <c r="X23" i="108" s="1"/>
  <c r="I63" i="108"/>
  <c r="J63" i="108"/>
  <c r="K63" i="108"/>
  <c r="L63" i="108"/>
  <c r="AB23" i="108" s="1"/>
  <c r="M63" i="108"/>
  <c r="N63" i="108"/>
  <c r="D64" i="108"/>
  <c r="E64" i="108"/>
  <c r="U23" i="108" s="1"/>
  <c r="F64" i="108"/>
  <c r="G64" i="108"/>
  <c r="H64" i="108"/>
  <c r="I64" i="108"/>
  <c r="Y23" i="108" s="1"/>
  <c r="J64" i="108"/>
  <c r="K64" i="108"/>
  <c r="L64" i="108"/>
  <c r="M64" i="108"/>
  <c r="AC23" i="108" s="1"/>
  <c r="N64" i="108"/>
  <c r="D65" i="108"/>
  <c r="E65" i="108"/>
  <c r="F65" i="108"/>
  <c r="V23" i="108" s="1"/>
  <c r="G65" i="108"/>
  <c r="H65" i="108"/>
  <c r="I65" i="108"/>
  <c r="J65" i="108"/>
  <c r="Z23" i="108" s="1"/>
  <c r="K65" i="108"/>
  <c r="L65" i="108"/>
  <c r="M65" i="108"/>
  <c r="N65" i="108"/>
  <c r="AD23" i="108" s="1"/>
  <c r="D66" i="108"/>
  <c r="E66" i="108"/>
  <c r="F66" i="108"/>
  <c r="G66" i="108"/>
  <c r="W24" i="108" s="1"/>
  <c r="H66" i="108"/>
  <c r="I66" i="108"/>
  <c r="J66" i="108"/>
  <c r="K66" i="108"/>
  <c r="AA24" i="108" s="1"/>
  <c r="L66" i="108"/>
  <c r="M66" i="108"/>
  <c r="N66" i="108"/>
  <c r="D67" i="108"/>
  <c r="T24" i="108" s="1"/>
  <c r="E67" i="108"/>
  <c r="F67" i="108"/>
  <c r="G67" i="108"/>
  <c r="H67" i="108"/>
  <c r="X24" i="108" s="1"/>
  <c r="I67" i="108"/>
  <c r="J67" i="108"/>
  <c r="K67" i="108"/>
  <c r="L67" i="108"/>
  <c r="AB24" i="108" s="1"/>
  <c r="M67" i="108"/>
  <c r="N67" i="108"/>
  <c r="D68" i="108"/>
  <c r="E68" i="108"/>
  <c r="U24" i="108" s="1"/>
  <c r="F68" i="108"/>
  <c r="G68" i="108"/>
  <c r="H68" i="108"/>
  <c r="I68" i="108"/>
  <c r="J68" i="108"/>
  <c r="K68" i="108"/>
  <c r="L68" i="108"/>
  <c r="M68" i="108"/>
  <c r="AC24" i="108" s="1"/>
  <c r="N68" i="108"/>
  <c r="D69" i="108"/>
  <c r="E69" i="108"/>
  <c r="F69" i="108"/>
  <c r="V24" i="108" s="1"/>
  <c r="G69" i="108"/>
  <c r="H69" i="108"/>
  <c r="I69" i="108"/>
  <c r="J69" i="108"/>
  <c r="Z24" i="108" s="1"/>
  <c r="K69" i="108"/>
  <c r="L69" i="108"/>
  <c r="M69" i="108"/>
  <c r="N69" i="108"/>
  <c r="AD24" i="108" s="1"/>
  <c r="D70" i="108"/>
  <c r="E70" i="108"/>
  <c r="F70" i="108"/>
  <c r="G70" i="108"/>
  <c r="W25" i="108" s="1"/>
  <c r="H70" i="108"/>
  <c r="I70" i="108"/>
  <c r="J70" i="108"/>
  <c r="K70" i="108"/>
  <c r="AA25" i="108" s="1"/>
  <c r="L70" i="108"/>
  <c r="M70" i="108"/>
  <c r="N70" i="108"/>
  <c r="D71" i="108"/>
  <c r="T25" i="108" s="1"/>
  <c r="E71" i="108"/>
  <c r="F71" i="108"/>
  <c r="G71" i="108"/>
  <c r="H71" i="108"/>
  <c r="X25" i="108" s="1"/>
  <c r="I71" i="108"/>
  <c r="J71" i="108"/>
  <c r="K71" i="108"/>
  <c r="L71" i="108"/>
  <c r="AB25" i="108" s="1"/>
  <c r="M71" i="108"/>
  <c r="N71" i="108"/>
  <c r="D72" i="108"/>
  <c r="E72" i="108"/>
  <c r="U25" i="108" s="1"/>
  <c r="F72" i="108"/>
  <c r="G72" i="108"/>
  <c r="H72" i="108"/>
  <c r="I72" i="108"/>
  <c r="Y25" i="108" s="1"/>
  <c r="J72" i="108"/>
  <c r="K72" i="108"/>
  <c r="L72" i="108"/>
  <c r="M72" i="108"/>
  <c r="AC25" i="108" s="1"/>
  <c r="N72" i="108"/>
  <c r="D73" i="108"/>
  <c r="E73" i="108"/>
  <c r="F73" i="108"/>
  <c r="P73" i="108" s="1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W26" i="108" s="1"/>
  <c r="H74" i="108"/>
  <c r="I74" i="108"/>
  <c r="J74" i="108"/>
  <c r="K74" i="108"/>
  <c r="AA26" i="108" s="1"/>
  <c r="L74" i="108"/>
  <c r="M74" i="108"/>
  <c r="N74" i="108"/>
  <c r="D75" i="108"/>
  <c r="T26" i="108" s="1"/>
  <c r="E75" i="108"/>
  <c r="F75" i="108"/>
  <c r="G75" i="108"/>
  <c r="H75" i="108"/>
  <c r="X26" i="108" s="1"/>
  <c r="I75" i="108"/>
  <c r="J75" i="108"/>
  <c r="K75" i="108"/>
  <c r="L75" i="108"/>
  <c r="AB26" i="108" s="1"/>
  <c r="M75" i="108"/>
  <c r="N75" i="108"/>
  <c r="D76" i="108"/>
  <c r="E76" i="108"/>
  <c r="U26" i="108" s="1"/>
  <c r="F76" i="108"/>
  <c r="G76" i="108"/>
  <c r="H76" i="108"/>
  <c r="I76" i="108"/>
  <c r="Y26" i="108" s="1"/>
  <c r="J76" i="108"/>
  <c r="K76" i="108"/>
  <c r="L76" i="108"/>
  <c r="M76" i="108"/>
  <c r="AC26" i="108" s="1"/>
  <c r="N76" i="108"/>
  <c r="D77" i="108"/>
  <c r="E77" i="108"/>
  <c r="F77" i="108"/>
  <c r="P77" i="108" s="1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W27" i="108" s="1"/>
  <c r="H78" i="108"/>
  <c r="I78" i="108"/>
  <c r="J78" i="108"/>
  <c r="K78" i="108"/>
  <c r="AA27" i="108" s="1"/>
  <c r="L78" i="108"/>
  <c r="M78" i="108"/>
  <c r="N78" i="108"/>
  <c r="D79" i="108"/>
  <c r="T27" i="108" s="1"/>
  <c r="E79" i="108"/>
  <c r="F79" i="108"/>
  <c r="G79" i="108"/>
  <c r="H79" i="108"/>
  <c r="X27" i="108" s="1"/>
  <c r="I79" i="108"/>
  <c r="J79" i="108"/>
  <c r="K79" i="108"/>
  <c r="L79" i="108"/>
  <c r="AB27" i="108" s="1"/>
  <c r="M79" i="108"/>
  <c r="N79" i="108"/>
  <c r="D80" i="108"/>
  <c r="E80" i="108"/>
  <c r="U27" i="108" s="1"/>
  <c r="F80" i="108"/>
  <c r="G80" i="108"/>
  <c r="H80" i="108"/>
  <c r="I80" i="108"/>
  <c r="Y27" i="108" s="1"/>
  <c r="J80" i="108"/>
  <c r="K80" i="108"/>
  <c r="L80" i="108"/>
  <c r="M80" i="108"/>
  <c r="AC27" i="108" s="1"/>
  <c r="N80" i="108"/>
  <c r="D81" i="108"/>
  <c r="E81" i="108"/>
  <c r="F81" i="108"/>
  <c r="V27" i="108" s="1"/>
  <c r="G81" i="108"/>
  <c r="H81" i="108"/>
  <c r="I81" i="108"/>
  <c r="J81" i="108"/>
  <c r="Z27" i="108" s="1"/>
  <c r="K81" i="108"/>
  <c r="L81" i="108"/>
  <c r="M81" i="108"/>
  <c r="N81" i="108"/>
  <c r="AD27" i="108" s="1"/>
  <c r="D82" i="108"/>
  <c r="E82" i="108"/>
  <c r="F82" i="108"/>
  <c r="G82" i="108"/>
  <c r="W28" i="108" s="1"/>
  <c r="H82" i="108"/>
  <c r="I82" i="108"/>
  <c r="J82" i="108"/>
  <c r="K82" i="108"/>
  <c r="AA28" i="108" s="1"/>
  <c r="L82" i="108"/>
  <c r="M82" i="108"/>
  <c r="N82" i="108"/>
  <c r="D83" i="108"/>
  <c r="T28" i="108" s="1"/>
  <c r="E83" i="108"/>
  <c r="F83" i="108"/>
  <c r="G83" i="108"/>
  <c r="H83" i="108"/>
  <c r="X28" i="108" s="1"/>
  <c r="I83" i="108"/>
  <c r="J83" i="108"/>
  <c r="K83" i="108"/>
  <c r="L83" i="108"/>
  <c r="AB28" i="108" s="1"/>
  <c r="M83" i="108"/>
  <c r="N83" i="108"/>
  <c r="D84" i="108"/>
  <c r="E84" i="108"/>
  <c r="U28" i="108" s="1"/>
  <c r="F84" i="108"/>
  <c r="G84" i="108"/>
  <c r="H84" i="108"/>
  <c r="I84" i="108"/>
  <c r="J84" i="108"/>
  <c r="K84" i="108"/>
  <c r="L84" i="108"/>
  <c r="M84" i="108"/>
  <c r="AC28" i="108" s="1"/>
  <c r="N84" i="108"/>
  <c r="D85" i="108"/>
  <c r="E85" i="108"/>
  <c r="F85" i="108"/>
  <c r="V28" i="108" s="1"/>
  <c r="G85" i="108"/>
  <c r="H85" i="108"/>
  <c r="I85" i="108"/>
  <c r="J85" i="108"/>
  <c r="Z28" i="108" s="1"/>
  <c r="K85" i="108"/>
  <c r="L85" i="108"/>
  <c r="M85" i="108"/>
  <c r="N85" i="108"/>
  <c r="AD28" i="108" s="1"/>
  <c r="D86" i="108"/>
  <c r="E86" i="108"/>
  <c r="F86" i="108"/>
  <c r="G86" i="108"/>
  <c r="W29" i="108" s="1"/>
  <c r="H86" i="108"/>
  <c r="I86" i="108"/>
  <c r="J86" i="108"/>
  <c r="K86" i="108"/>
  <c r="AA29" i="108" s="1"/>
  <c r="L86" i="108"/>
  <c r="M86" i="108"/>
  <c r="N86" i="108"/>
  <c r="D87" i="108"/>
  <c r="T29" i="108" s="1"/>
  <c r="E87" i="108"/>
  <c r="F87" i="108"/>
  <c r="G87" i="108"/>
  <c r="H87" i="108"/>
  <c r="X29" i="108" s="1"/>
  <c r="I87" i="108"/>
  <c r="J87" i="108"/>
  <c r="K87" i="108"/>
  <c r="L87" i="108"/>
  <c r="AB29" i="108" s="1"/>
  <c r="M87" i="108"/>
  <c r="N87" i="108"/>
  <c r="D88" i="108"/>
  <c r="E88" i="108"/>
  <c r="U29" i="108" s="1"/>
  <c r="F88" i="108"/>
  <c r="G88" i="108"/>
  <c r="H88" i="108"/>
  <c r="I88" i="108"/>
  <c r="Y29" i="108" s="1"/>
  <c r="J88" i="108"/>
  <c r="K88" i="108"/>
  <c r="L88" i="108"/>
  <c r="M88" i="108"/>
  <c r="AC29" i="108" s="1"/>
  <c r="N88" i="108"/>
  <c r="D89" i="108"/>
  <c r="E89" i="108"/>
  <c r="F89" i="108"/>
  <c r="P89" i="108" s="1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W30" i="108" s="1"/>
  <c r="H90" i="108"/>
  <c r="I90" i="108"/>
  <c r="J90" i="108"/>
  <c r="K90" i="108"/>
  <c r="AA30" i="108" s="1"/>
  <c r="L90" i="108"/>
  <c r="M90" i="108"/>
  <c r="N90" i="108"/>
  <c r="D91" i="108"/>
  <c r="T30" i="108" s="1"/>
  <c r="E91" i="108"/>
  <c r="F91" i="108"/>
  <c r="G91" i="108"/>
  <c r="H91" i="108"/>
  <c r="X30" i="108" s="1"/>
  <c r="I91" i="108"/>
  <c r="J91" i="108"/>
  <c r="K91" i="108"/>
  <c r="L91" i="108"/>
  <c r="AB30" i="108" s="1"/>
  <c r="M91" i="108"/>
  <c r="N91" i="108"/>
  <c r="D92" i="108"/>
  <c r="E92" i="108"/>
  <c r="U30" i="108" s="1"/>
  <c r="F92" i="108"/>
  <c r="G92" i="108"/>
  <c r="H92" i="108"/>
  <c r="I92" i="108"/>
  <c r="Y30" i="108" s="1"/>
  <c r="J92" i="108"/>
  <c r="K92" i="108"/>
  <c r="L92" i="108"/>
  <c r="M92" i="108"/>
  <c r="AC30" i="108" s="1"/>
  <c r="N92" i="108"/>
  <c r="D93" i="108"/>
  <c r="E93" i="108"/>
  <c r="F93" i="108"/>
  <c r="O93" i="108" s="1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W31" i="108" s="1"/>
  <c r="H94" i="108"/>
  <c r="I94" i="108"/>
  <c r="J94" i="108"/>
  <c r="K94" i="108"/>
  <c r="AA31" i="108" s="1"/>
  <c r="L94" i="108"/>
  <c r="M94" i="108"/>
  <c r="N94" i="108"/>
  <c r="D95" i="108"/>
  <c r="T31" i="108" s="1"/>
  <c r="E95" i="108"/>
  <c r="F95" i="108"/>
  <c r="G95" i="108"/>
  <c r="H95" i="108"/>
  <c r="X31" i="108" s="1"/>
  <c r="I95" i="108"/>
  <c r="J95" i="108"/>
  <c r="K95" i="108"/>
  <c r="L95" i="108"/>
  <c r="AB31" i="108" s="1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V31" i="108" s="1"/>
  <c r="G97" i="108"/>
  <c r="H97" i="108"/>
  <c r="I97" i="108"/>
  <c r="J97" i="108"/>
  <c r="Z31" i="108" s="1"/>
  <c r="K97" i="108"/>
  <c r="L97" i="108"/>
  <c r="M97" i="108"/>
  <c r="N97" i="108"/>
  <c r="AD31" i="108" s="1"/>
  <c r="D98" i="108"/>
  <c r="E98" i="108"/>
  <c r="F98" i="108"/>
  <c r="G98" i="108"/>
  <c r="W32" i="108" s="1"/>
  <c r="H98" i="108"/>
  <c r="I98" i="108"/>
  <c r="J98" i="108"/>
  <c r="K98" i="108"/>
  <c r="AA32" i="108" s="1"/>
  <c r="L98" i="108"/>
  <c r="M98" i="108"/>
  <c r="N98" i="108"/>
  <c r="D99" i="108"/>
  <c r="T32" i="108" s="1"/>
  <c r="E99" i="108"/>
  <c r="F99" i="108"/>
  <c r="G99" i="108"/>
  <c r="H99" i="108"/>
  <c r="X32" i="108" s="1"/>
  <c r="I99" i="108"/>
  <c r="J99" i="108"/>
  <c r="K99" i="108"/>
  <c r="L99" i="108"/>
  <c r="AB32" i="108" s="1"/>
  <c r="M99" i="108"/>
  <c r="N99" i="108"/>
  <c r="D100" i="108"/>
  <c r="E100" i="108"/>
  <c r="U32" i="108" s="1"/>
  <c r="F100" i="108"/>
  <c r="G100" i="108"/>
  <c r="H100" i="108"/>
  <c r="I100" i="108"/>
  <c r="Y32" i="108" s="1"/>
  <c r="J100" i="108"/>
  <c r="K100" i="108"/>
  <c r="L100" i="108"/>
  <c r="M100" i="108"/>
  <c r="AC32" i="108" s="1"/>
  <c r="N100" i="108"/>
  <c r="D101" i="108"/>
  <c r="E101" i="108"/>
  <c r="F101" i="108"/>
  <c r="V32" i="108" s="1"/>
  <c r="G101" i="108"/>
  <c r="H101" i="108"/>
  <c r="I101" i="108"/>
  <c r="J101" i="108"/>
  <c r="Z32" i="108" s="1"/>
  <c r="K101" i="108"/>
  <c r="L101" i="108"/>
  <c r="M101" i="108"/>
  <c r="N101" i="108"/>
  <c r="AD32" i="108" s="1"/>
  <c r="D102" i="108"/>
  <c r="E102" i="108"/>
  <c r="F102" i="108"/>
  <c r="G102" i="108"/>
  <c r="W33" i="108" s="1"/>
  <c r="H102" i="108"/>
  <c r="I102" i="108"/>
  <c r="J102" i="108"/>
  <c r="K102" i="108"/>
  <c r="AA33" i="108" s="1"/>
  <c r="L102" i="108"/>
  <c r="M102" i="108"/>
  <c r="N102" i="108"/>
  <c r="D103" i="108"/>
  <c r="T33" i="108" s="1"/>
  <c r="E103" i="108"/>
  <c r="F103" i="108"/>
  <c r="G103" i="108"/>
  <c r="H103" i="108"/>
  <c r="I103" i="108"/>
  <c r="J103" i="108"/>
  <c r="K103" i="108"/>
  <c r="L103" i="108"/>
  <c r="AB33" i="108" s="1"/>
  <c r="M103" i="108"/>
  <c r="N103" i="108"/>
  <c r="D104" i="108"/>
  <c r="E104" i="108"/>
  <c r="U33" i="108" s="1"/>
  <c r="F104" i="108"/>
  <c r="G104" i="108"/>
  <c r="H104" i="108"/>
  <c r="I104" i="108"/>
  <c r="Y33" i="108" s="1"/>
  <c r="J104" i="108"/>
  <c r="K104" i="108"/>
  <c r="L104" i="108"/>
  <c r="M104" i="108"/>
  <c r="AC33" i="108" s="1"/>
  <c r="N104" i="108"/>
  <c r="D105" i="108"/>
  <c r="E105" i="108"/>
  <c r="F105" i="108"/>
  <c r="P105" i="108" s="1"/>
  <c r="G105" i="108"/>
  <c r="H105" i="108"/>
  <c r="I105" i="108"/>
  <c r="J105" i="108"/>
  <c r="K105" i="108"/>
  <c r="L105" i="108"/>
  <c r="M105" i="108"/>
  <c r="N105" i="108"/>
  <c r="C59" i="108"/>
  <c r="P59" i="108" s="1"/>
  <c r="C60" i="108"/>
  <c r="P60" i="108" s="1"/>
  <c r="C61" i="108"/>
  <c r="C62" i="108"/>
  <c r="S23" i="108" s="1"/>
  <c r="C63" i="108"/>
  <c r="P63" i="108" s="1"/>
  <c r="C64" i="108"/>
  <c r="P64" i="108" s="1"/>
  <c r="C65" i="108"/>
  <c r="C66" i="108"/>
  <c r="S24" i="108" s="1"/>
  <c r="C67" i="108"/>
  <c r="P67" i="108" s="1"/>
  <c r="C68" i="108"/>
  <c r="P68" i="108" s="1"/>
  <c r="C69" i="108"/>
  <c r="C70" i="108"/>
  <c r="S25" i="108" s="1"/>
  <c r="C71" i="108"/>
  <c r="P71" i="108" s="1"/>
  <c r="C72" i="108"/>
  <c r="P72" i="108" s="1"/>
  <c r="C73" i="108"/>
  <c r="C74" i="108"/>
  <c r="S26" i="108" s="1"/>
  <c r="C75" i="108"/>
  <c r="P75" i="108" s="1"/>
  <c r="C76" i="108"/>
  <c r="P76" i="108" s="1"/>
  <c r="C77" i="108"/>
  <c r="C78" i="108"/>
  <c r="S27" i="108" s="1"/>
  <c r="C79" i="108"/>
  <c r="P79" i="108" s="1"/>
  <c r="C80" i="108"/>
  <c r="P80" i="108" s="1"/>
  <c r="C81" i="108"/>
  <c r="C82" i="108"/>
  <c r="S28" i="108" s="1"/>
  <c r="C83" i="108"/>
  <c r="P83" i="108" s="1"/>
  <c r="C84" i="108"/>
  <c r="P84" i="108" s="1"/>
  <c r="C85" i="108"/>
  <c r="C86" i="108"/>
  <c r="S29" i="108" s="1"/>
  <c r="C87" i="108"/>
  <c r="P87" i="108" s="1"/>
  <c r="C88" i="108"/>
  <c r="P88" i="108" s="1"/>
  <c r="C89" i="108"/>
  <c r="C90" i="108"/>
  <c r="S30" i="108" s="1"/>
  <c r="C91" i="108"/>
  <c r="P91" i="108" s="1"/>
  <c r="C92" i="108"/>
  <c r="P92" i="108" s="1"/>
  <c r="C93" i="108"/>
  <c r="C94" i="108"/>
  <c r="S31" i="108" s="1"/>
  <c r="C95" i="108"/>
  <c r="P95" i="108" s="1"/>
  <c r="C96" i="108"/>
  <c r="P96" i="108" s="1"/>
  <c r="C97" i="108"/>
  <c r="C98" i="108"/>
  <c r="S32" i="108" s="1"/>
  <c r="C99" i="108"/>
  <c r="P99" i="108" s="1"/>
  <c r="C100" i="108"/>
  <c r="P100" i="108" s="1"/>
  <c r="C101" i="108"/>
  <c r="C102" i="108"/>
  <c r="S33" i="108" s="1"/>
  <c r="C103" i="108"/>
  <c r="P103" i="108" s="1"/>
  <c r="C104" i="108"/>
  <c r="P104" i="108" s="1"/>
  <c r="C105" i="108"/>
  <c r="C58" i="108"/>
  <c r="P58" i="108" s="1"/>
  <c r="O61" i="107"/>
  <c r="O65" i="107"/>
  <c r="O77" i="107"/>
  <c r="O81" i="107"/>
  <c r="O93" i="107"/>
  <c r="O97" i="107"/>
  <c r="D58" i="107"/>
  <c r="E58" i="107"/>
  <c r="F58" i="107"/>
  <c r="G58" i="107"/>
  <c r="W22" i="107" s="1"/>
  <c r="H58" i="107"/>
  <c r="I58" i="107"/>
  <c r="J58" i="107"/>
  <c r="K58" i="107"/>
  <c r="AA22" i="107" s="1"/>
  <c r="L58" i="107"/>
  <c r="M58" i="107"/>
  <c r="N58" i="107"/>
  <c r="D59" i="107"/>
  <c r="T22" i="107" s="1"/>
  <c r="E59" i="107"/>
  <c r="F59" i="107"/>
  <c r="G59" i="107"/>
  <c r="H59" i="107"/>
  <c r="X22" i="107" s="1"/>
  <c r="I59" i="107"/>
  <c r="J59" i="107"/>
  <c r="K59" i="107"/>
  <c r="L59" i="107"/>
  <c r="AB22" i="107" s="1"/>
  <c r="M59" i="107"/>
  <c r="N59" i="107"/>
  <c r="D60" i="107"/>
  <c r="E60" i="107"/>
  <c r="U22" i="107" s="1"/>
  <c r="F60" i="107"/>
  <c r="G60" i="107"/>
  <c r="H60" i="107"/>
  <c r="I60" i="107"/>
  <c r="Y22" i="107" s="1"/>
  <c r="J60" i="107"/>
  <c r="K60" i="107"/>
  <c r="L60" i="107"/>
  <c r="M60" i="107"/>
  <c r="AC22" i="107" s="1"/>
  <c r="N60" i="107"/>
  <c r="D61" i="107"/>
  <c r="E61" i="107"/>
  <c r="F61" i="107"/>
  <c r="G61" i="107"/>
  <c r="H61" i="107"/>
  <c r="I61" i="107"/>
  <c r="J61" i="107"/>
  <c r="Z22" i="107" s="1"/>
  <c r="K61" i="107"/>
  <c r="L61" i="107"/>
  <c r="M61" i="107"/>
  <c r="N61" i="107"/>
  <c r="D62" i="107"/>
  <c r="E62" i="107"/>
  <c r="F62" i="107"/>
  <c r="G62" i="107"/>
  <c r="W23" i="107" s="1"/>
  <c r="H62" i="107"/>
  <c r="I62" i="107"/>
  <c r="J62" i="107"/>
  <c r="K62" i="107"/>
  <c r="AA23" i="107" s="1"/>
  <c r="L62" i="107"/>
  <c r="M62" i="107"/>
  <c r="N62" i="107"/>
  <c r="D63" i="107"/>
  <c r="E63" i="107"/>
  <c r="F63" i="107"/>
  <c r="G63" i="107"/>
  <c r="H63" i="107"/>
  <c r="X23" i="107" s="1"/>
  <c r="I63" i="107"/>
  <c r="J63" i="107"/>
  <c r="K63" i="107"/>
  <c r="L63" i="107"/>
  <c r="AB23" i="107" s="1"/>
  <c r="M63" i="107"/>
  <c r="N63" i="107"/>
  <c r="D64" i="107"/>
  <c r="E64" i="107"/>
  <c r="U23" i="107" s="1"/>
  <c r="F64" i="107"/>
  <c r="G64" i="107"/>
  <c r="H64" i="107"/>
  <c r="I64" i="107"/>
  <c r="Y23" i="107" s="1"/>
  <c r="J64" i="107"/>
  <c r="K64" i="107"/>
  <c r="L64" i="107"/>
  <c r="M64" i="107"/>
  <c r="AC23" i="107" s="1"/>
  <c r="N64" i="107"/>
  <c r="D65" i="107"/>
  <c r="E65" i="107"/>
  <c r="F65" i="107"/>
  <c r="G65" i="107"/>
  <c r="H65" i="107"/>
  <c r="I65" i="107"/>
  <c r="J65" i="107"/>
  <c r="Z23" i="107" s="1"/>
  <c r="K65" i="107"/>
  <c r="L65" i="107"/>
  <c r="M65" i="107"/>
  <c r="N65" i="107"/>
  <c r="AD23" i="107" s="1"/>
  <c r="D66" i="107"/>
  <c r="E66" i="107"/>
  <c r="F66" i="107"/>
  <c r="G66" i="107"/>
  <c r="H66" i="107"/>
  <c r="I66" i="107"/>
  <c r="J66" i="107"/>
  <c r="K66" i="107"/>
  <c r="AA24" i="107" s="1"/>
  <c r="L66" i="107"/>
  <c r="M66" i="107"/>
  <c r="N66" i="107"/>
  <c r="D67" i="107"/>
  <c r="T24" i="107" s="1"/>
  <c r="E67" i="107"/>
  <c r="F67" i="107"/>
  <c r="G67" i="107"/>
  <c r="H67" i="107"/>
  <c r="X24" i="107" s="1"/>
  <c r="I67" i="107"/>
  <c r="J67" i="107"/>
  <c r="K67" i="107"/>
  <c r="L67" i="107"/>
  <c r="AB24" i="107" s="1"/>
  <c r="M67" i="107"/>
  <c r="N67" i="107"/>
  <c r="D68" i="107"/>
  <c r="E68" i="107"/>
  <c r="U24" i="107" s="1"/>
  <c r="F68" i="107"/>
  <c r="G68" i="107"/>
  <c r="H68" i="107"/>
  <c r="I68" i="107"/>
  <c r="Y24" i="107" s="1"/>
  <c r="J68" i="107"/>
  <c r="K68" i="107"/>
  <c r="L68" i="107"/>
  <c r="M68" i="107"/>
  <c r="AC24" i="107" s="1"/>
  <c r="N68" i="107"/>
  <c r="D69" i="107"/>
  <c r="E69" i="107"/>
  <c r="F69" i="107"/>
  <c r="G69" i="107"/>
  <c r="H69" i="107"/>
  <c r="I69" i="107"/>
  <c r="J69" i="107"/>
  <c r="Z24" i="107" s="1"/>
  <c r="K69" i="107"/>
  <c r="L69" i="107"/>
  <c r="M69" i="107"/>
  <c r="N69" i="107"/>
  <c r="AD24" i="107" s="1"/>
  <c r="D70" i="107"/>
  <c r="E70" i="107"/>
  <c r="F70" i="107"/>
  <c r="G70" i="107"/>
  <c r="W25" i="107" s="1"/>
  <c r="H70" i="107"/>
  <c r="I70" i="107"/>
  <c r="J70" i="107"/>
  <c r="K70" i="107"/>
  <c r="AA25" i="107" s="1"/>
  <c r="L70" i="107"/>
  <c r="M70" i="107"/>
  <c r="N70" i="107"/>
  <c r="D71" i="107"/>
  <c r="T25" i="107" s="1"/>
  <c r="E71" i="107"/>
  <c r="F71" i="107"/>
  <c r="G71" i="107"/>
  <c r="H71" i="107"/>
  <c r="X25" i="107" s="1"/>
  <c r="I71" i="107"/>
  <c r="J71" i="107"/>
  <c r="K71" i="107"/>
  <c r="L71" i="107"/>
  <c r="AB25" i="107" s="1"/>
  <c r="M71" i="107"/>
  <c r="N71" i="107"/>
  <c r="D72" i="107"/>
  <c r="E72" i="107"/>
  <c r="U25" i="107" s="1"/>
  <c r="F72" i="107"/>
  <c r="G72" i="107"/>
  <c r="H72" i="107"/>
  <c r="I72" i="107"/>
  <c r="Y25" i="107" s="1"/>
  <c r="J72" i="107"/>
  <c r="K72" i="107"/>
  <c r="L72" i="107"/>
  <c r="M72" i="107"/>
  <c r="AC25" i="107" s="1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AD25" i="107" s="1"/>
  <c r="D74" i="107"/>
  <c r="E74" i="107"/>
  <c r="F74" i="107"/>
  <c r="G74" i="107"/>
  <c r="W26" i="107" s="1"/>
  <c r="H74" i="107"/>
  <c r="I74" i="107"/>
  <c r="J74" i="107"/>
  <c r="K74" i="107"/>
  <c r="AA26" i="107" s="1"/>
  <c r="L74" i="107"/>
  <c r="M74" i="107"/>
  <c r="N74" i="107"/>
  <c r="D75" i="107"/>
  <c r="T26" i="107" s="1"/>
  <c r="E75" i="107"/>
  <c r="F75" i="107"/>
  <c r="G75" i="107"/>
  <c r="H75" i="107"/>
  <c r="X26" i="107" s="1"/>
  <c r="I75" i="107"/>
  <c r="J75" i="107"/>
  <c r="K75" i="107"/>
  <c r="L75" i="107"/>
  <c r="AB26" i="107" s="1"/>
  <c r="M75" i="107"/>
  <c r="N75" i="107"/>
  <c r="D76" i="107"/>
  <c r="E76" i="107"/>
  <c r="U26" i="107" s="1"/>
  <c r="F76" i="107"/>
  <c r="G76" i="107"/>
  <c r="H76" i="107"/>
  <c r="I76" i="107"/>
  <c r="Y26" i="107" s="1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Z26" i="107" s="1"/>
  <c r="K77" i="107"/>
  <c r="L77" i="107"/>
  <c r="M77" i="107"/>
  <c r="N77" i="107"/>
  <c r="AD26" i="107" s="1"/>
  <c r="D78" i="107"/>
  <c r="E78" i="107"/>
  <c r="F78" i="107"/>
  <c r="G78" i="107"/>
  <c r="W27" i="107" s="1"/>
  <c r="H78" i="107"/>
  <c r="I78" i="107"/>
  <c r="J78" i="107"/>
  <c r="K78" i="107"/>
  <c r="AA27" i="107" s="1"/>
  <c r="L78" i="107"/>
  <c r="M78" i="107"/>
  <c r="N78" i="107"/>
  <c r="D79" i="107"/>
  <c r="T27" i="107" s="1"/>
  <c r="E79" i="107"/>
  <c r="F79" i="107"/>
  <c r="G79" i="107"/>
  <c r="H79" i="107"/>
  <c r="X27" i="107" s="1"/>
  <c r="I79" i="107"/>
  <c r="J79" i="107"/>
  <c r="K79" i="107"/>
  <c r="L79" i="107"/>
  <c r="AB27" i="107" s="1"/>
  <c r="M79" i="107"/>
  <c r="N79" i="107"/>
  <c r="D80" i="107"/>
  <c r="E80" i="107"/>
  <c r="U27" i="107" s="1"/>
  <c r="F80" i="107"/>
  <c r="G80" i="107"/>
  <c r="H80" i="107"/>
  <c r="I80" i="107"/>
  <c r="Y27" i="107" s="1"/>
  <c r="J80" i="107"/>
  <c r="K80" i="107"/>
  <c r="L80" i="107"/>
  <c r="M80" i="107"/>
  <c r="AC27" i="107" s="1"/>
  <c r="N80" i="107"/>
  <c r="D81" i="107"/>
  <c r="E81" i="107"/>
  <c r="F81" i="107"/>
  <c r="G81" i="107"/>
  <c r="H81" i="107"/>
  <c r="I81" i="107"/>
  <c r="J81" i="107"/>
  <c r="Z27" i="107" s="1"/>
  <c r="K81" i="107"/>
  <c r="L81" i="107"/>
  <c r="M81" i="107"/>
  <c r="N81" i="107"/>
  <c r="AD27" i="107" s="1"/>
  <c r="D82" i="107"/>
  <c r="E82" i="107"/>
  <c r="F82" i="107"/>
  <c r="G82" i="107"/>
  <c r="W28" i="107" s="1"/>
  <c r="H82" i="107"/>
  <c r="I82" i="107"/>
  <c r="J82" i="107"/>
  <c r="K82" i="107"/>
  <c r="AA28" i="107" s="1"/>
  <c r="L82" i="107"/>
  <c r="M82" i="107"/>
  <c r="N82" i="107"/>
  <c r="D83" i="107"/>
  <c r="T28" i="107" s="1"/>
  <c r="E83" i="107"/>
  <c r="F83" i="107"/>
  <c r="G83" i="107"/>
  <c r="H83" i="107"/>
  <c r="X28" i="107" s="1"/>
  <c r="I83" i="107"/>
  <c r="J83" i="107"/>
  <c r="K83" i="107"/>
  <c r="L83" i="107"/>
  <c r="AB28" i="107" s="1"/>
  <c r="M83" i="107"/>
  <c r="N83" i="107"/>
  <c r="D84" i="107"/>
  <c r="E84" i="107"/>
  <c r="U28" i="107" s="1"/>
  <c r="F84" i="107"/>
  <c r="G84" i="107"/>
  <c r="H84" i="107"/>
  <c r="I84" i="107"/>
  <c r="Y28" i="107" s="1"/>
  <c r="J84" i="107"/>
  <c r="K84" i="107"/>
  <c r="L84" i="107"/>
  <c r="M84" i="107"/>
  <c r="AC28" i="107" s="1"/>
  <c r="N84" i="107"/>
  <c r="D85" i="107"/>
  <c r="E85" i="107"/>
  <c r="F85" i="107"/>
  <c r="G85" i="107"/>
  <c r="H85" i="107"/>
  <c r="I85" i="107"/>
  <c r="J85" i="107"/>
  <c r="Z28" i="107" s="1"/>
  <c r="K85" i="107"/>
  <c r="L85" i="107"/>
  <c r="M85" i="107"/>
  <c r="N85" i="107"/>
  <c r="AD28" i="107" s="1"/>
  <c r="D86" i="107"/>
  <c r="E86" i="107"/>
  <c r="F86" i="107"/>
  <c r="G86" i="107"/>
  <c r="W29" i="107" s="1"/>
  <c r="H86" i="107"/>
  <c r="I86" i="107"/>
  <c r="J86" i="107"/>
  <c r="K86" i="107"/>
  <c r="AA29" i="107" s="1"/>
  <c r="L86" i="107"/>
  <c r="M86" i="107"/>
  <c r="N86" i="107"/>
  <c r="D87" i="107"/>
  <c r="T29" i="107" s="1"/>
  <c r="E87" i="107"/>
  <c r="F87" i="107"/>
  <c r="G87" i="107"/>
  <c r="H87" i="107"/>
  <c r="X29" i="107" s="1"/>
  <c r="I87" i="107"/>
  <c r="J87" i="107"/>
  <c r="K87" i="107"/>
  <c r="L87" i="107"/>
  <c r="AB29" i="107" s="1"/>
  <c r="M87" i="107"/>
  <c r="N87" i="107"/>
  <c r="D88" i="107"/>
  <c r="E88" i="107"/>
  <c r="U29" i="107" s="1"/>
  <c r="F88" i="107"/>
  <c r="G88" i="107"/>
  <c r="H88" i="107"/>
  <c r="I88" i="107"/>
  <c r="Y29" i="107" s="1"/>
  <c r="J88" i="107"/>
  <c r="K88" i="107"/>
  <c r="L88" i="107"/>
  <c r="M88" i="107"/>
  <c r="AC29" i="107" s="1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AD29" i="107" s="1"/>
  <c r="D90" i="107"/>
  <c r="E90" i="107"/>
  <c r="F90" i="107"/>
  <c r="G90" i="107"/>
  <c r="W30" i="107" s="1"/>
  <c r="H90" i="107"/>
  <c r="I90" i="107"/>
  <c r="J90" i="107"/>
  <c r="K90" i="107"/>
  <c r="AA30" i="107" s="1"/>
  <c r="L90" i="107"/>
  <c r="M90" i="107"/>
  <c r="N90" i="107"/>
  <c r="D91" i="107"/>
  <c r="T30" i="107" s="1"/>
  <c r="E91" i="107"/>
  <c r="F91" i="107"/>
  <c r="G91" i="107"/>
  <c r="H91" i="107"/>
  <c r="X30" i="107" s="1"/>
  <c r="I91" i="107"/>
  <c r="J91" i="107"/>
  <c r="K91" i="107"/>
  <c r="L91" i="107"/>
  <c r="AB30" i="107" s="1"/>
  <c r="M91" i="107"/>
  <c r="N91" i="107"/>
  <c r="D92" i="107"/>
  <c r="E92" i="107"/>
  <c r="U30" i="107" s="1"/>
  <c r="F92" i="107"/>
  <c r="G92" i="107"/>
  <c r="H92" i="107"/>
  <c r="I92" i="107"/>
  <c r="J92" i="107"/>
  <c r="K92" i="107"/>
  <c r="L92" i="107"/>
  <c r="M92" i="107"/>
  <c r="AC30" i="107" s="1"/>
  <c r="N92" i="107"/>
  <c r="D93" i="107"/>
  <c r="E93" i="107"/>
  <c r="F93" i="107"/>
  <c r="G93" i="107"/>
  <c r="H93" i="107"/>
  <c r="I93" i="107"/>
  <c r="J93" i="107"/>
  <c r="Z30" i="107" s="1"/>
  <c r="K93" i="107"/>
  <c r="L93" i="107"/>
  <c r="M93" i="107"/>
  <c r="N93" i="107"/>
  <c r="AD30" i="107" s="1"/>
  <c r="D94" i="107"/>
  <c r="E94" i="107"/>
  <c r="F94" i="107"/>
  <c r="G94" i="107"/>
  <c r="W31" i="107" s="1"/>
  <c r="H94" i="107"/>
  <c r="I94" i="107"/>
  <c r="J94" i="107"/>
  <c r="K94" i="107"/>
  <c r="L94" i="107"/>
  <c r="M94" i="107"/>
  <c r="N94" i="107"/>
  <c r="D95" i="107"/>
  <c r="T31" i="107" s="1"/>
  <c r="E95" i="107"/>
  <c r="F95" i="107"/>
  <c r="G95" i="107"/>
  <c r="H95" i="107"/>
  <c r="X31" i="107" s="1"/>
  <c r="I95" i="107"/>
  <c r="J95" i="107"/>
  <c r="K95" i="107"/>
  <c r="L95" i="107"/>
  <c r="AB31" i="107" s="1"/>
  <c r="M95" i="107"/>
  <c r="N95" i="107"/>
  <c r="D96" i="107"/>
  <c r="E96" i="107"/>
  <c r="U31" i="107" s="1"/>
  <c r="F96" i="107"/>
  <c r="G96" i="107"/>
  <c r="H96" i="107"/>
  <c r="I96" i="107"/>
  <c r="Y31" i="107" s="1"/>
  <c r="J96" i="107"/>
  <c r="K96" i="107"/>
  <c r="L96" i="107"/>
  <c r="M96" i="107"/>
  <c r="AC31" i="107" s="1"/>
  <c r="N96" i="107"/>
  <c r="D97" i="107"/>
  <c r="E97" i="107"/>
  <c r="F97" i="107"/>
  <c r="G97" i="107"/>
  <c r="H97" i="107"/>
  <c r="I97" i="107"/>
  <c r="J97" i="107"/>
  <c r="Z31" i="107" s="1"/>
  <c r="K97" i="107"/>
  <c r="L97" i="107"/>
  <c r="M97" i="107"/>
  <c r="N97" i="107"/>
  <c r="AD31" i="107" s="1"/>
  <c r="D98" i="107"/>
  <c r="E98" i="107"/>
  <c r="F98" i="107"/>
  <c r="G98" i="107"/>
  <c r="W32" i="107" s="1"/>
  <c r="H98" i="107"/>
  <c r="I98" i="107"/>
  <c r="J98" i="107"/>
  <c r="K98" i="107"/>
  <c r="AA32" i="107" s="1"/>
  <c r="L98" i="107"/>
  <c r="M98" i="107"/>
  <c r="N98" i="107"/>
  <c r="D99" i="107"/>
  <c r="T32" i="107" s="1"/>
  <c r="E99" i="107"/>
  <c r="F99" i="107"/>
  <c r="G99" i="107"/>
  <c r="H99" i="107"/>
  <c r="X32" i="107" s="1"/>
  <c r="I99" i="107"/>
  <c r="J99" i="107"/>
  <c r="K99" i="107"/>
  <c r="L99" i="107"/>
  <c r="AB32" i="107" s="1"/>
  <c r="M99" i="107"/>
  <c r="N99" i="107"/>
  <c r="D100" i="107"/>
  <c r="E100" i="107"/>
  <c r="U32" i="107" s="1"/>
  <c r="F100" i="107"/>
  <c r="G100" i="107"/>
  <c r="H100" i="107"/>
  <c r="I100" i="107"/>
  <c r="Y32" i="107" s="1"/>
  <c r="J100" i="107"/>
  <c r="K100" i="107"/>
  <c r="L100" i="107"/>
  <c r="M100" i="107"/>
  <c r="AC32" i="107" s="1"/>
  <c r="N100" i="107"/>
  <c r="D101" i="107"/>
  <c r="E101" i="107"/>
  <c r="F101" i="107"/>
  <c r="V32" i="107" s="1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W33" i="107" s="1"/>
  <c r="H102" i="107"/>
  <c r="I102" i="107"/>
  <c r="J102" i="107"/>
  <c r="K102" i="107"/>
  <c r="AA33" i="107" s="1"/>
  <c r="L102" i="107"/>
  <c r="M102" i="107"/>
  <c r="N102" i="107"/>
  <c r="D103" i="107"/>
  <c r="T33" i="107" s="1"/>
  <c r="E103" i="107"/>
  <c r="F103" i="107"/>
  <c r="G103" i="107"/>
  <c r="H103" i="107"/>
  <c r="X33" i="107" s="1"/>
  <c r="I103" i="107"/>
  <c r="J103" i="107"/>
  <c r="K103" i="107"/>
  <c r="L103" i="107"/>
  <c r="AB33" i="107" s="1"/>
  <c r="M103" i="107"/>
  <c r="N103" i="107"/>
  <c r="D104" i="107"/>
  <c r="E104" i="107"/>
  <c r="U33" i="107" s="1"/>
  <c r="F104" i="107"/>
  <c r="G104" i="107"/>
  <c r="H104" i="107"/>
  <c r="I104" i="107"/>
  <c r="Y33" i="107" s="1"/>
  <c r="J104" i="107"/>
  <c r="K104" i="107"/>
  <c r="L104" i="107"/>
  <c r="M104" i="107"/>
  <c r="AC33" i="107" s="1"/>
  <c r="N104" i="107"/>
  <c r="D105" i="107"/>
  <c r="E105" i="107"/>
  <c r="F105" i="107"/>
  <c r="V33" i="107" s="1"/>
  <c r="G105" i="107"/>
  <c r="H105" i="107"/>
  <c r="I105" i="107"/>
  <c r="J105" i="107"/>
  <c r="Z33" i="107" s="1"/>
  <c r="K105" i="107"/>
  <c r="L105" i="107"/>
  <c r="M105" i="107"/>
  <c r="N105" i="107"/>
  <c r="AD33" i="107" s="1"/>
  <c r="C105" i="107"/>
  <c r="C104" i="107"/>
  <c r="C103" i="107"/>
  <c r="C102" i="107"/>
  <c r="C101" i="107"/>
  <c r="C100" i="107"/>
  <c r="C99" i="107"/>
  <c r="C98" i="107"/>
  <c r="C97" i="107"/>
  <c r="C96" i="107"/>
  <c r="C95" i="107"/>
  <c r="C94" i="107"/>
  <c r="C93" i="107"/>
  <c r="C92" i="107"/>
  <c r="C91" i="107"/>
  <c r="C90" i="107"/>
  <c r="C89" i="107"/>
  <c r="C88" i="107"/>
  <c r="C87" i="107"/>
  <c r="C86" i="107"/>
  <c r="C85" i="107"/>
  <c r="C84" i="107"/>
  <c r="C83" i="107"/>
  <c r="C82" i="107"/>
  <c r="C81" i="107"/>
  <c r="C80" i="107"/>
  <c r="C79" i="107"/>
  <c r="C78" i="107"/>
  <c r="C77" i="107"/>
  <c r="C76" i="107"/>
  <c r="C75" i="107"/>
  <c r="C74" i="107"/>
  <c r="C73" i="107"/>
  <c r="C72" i="107"/>
  <c r="C71" i="107"/>
  <c r="C70" i="107"/>
  <c r="C69" i="107"/>
  <c r="C68" i="107"/>
  <c r="C67" i="107"/>
  <c r="C66" i="107"/>
  <c r="C65" i="107"/>
  <c r="C64" i="107"/>
  <c r="C63" i="107"/>
  <c r="P63" i="107" s="1"/>
  <c r="C62" i="107"/>
  <c r="C61" i="107"/>
  <c r="C60" i="107"/>
  <c r="C59" i="107"/>
  <c r="P59" i="107" s="1"/>
  <c r="S24" i="107"/>
  <c r="C58" i="107"/>
  <c r="T29" i="111"/>
  <c r="AD27" i="111"/>
  <c r="W26" i="111"/>
  <c r="W25" i="111"/>
  <c r="Y24" i="111"/>
  <c r="Y23" i="111"/>
  <c r="AA22" i="111"/>
  <c r="S22" i="111"/>
  <c r="X33" i="108"/>
  <c r="Y28" i="108"/>
  <c r="Y24" i="108"/>
  <c r="T22" i="108"/>
  <c r="AA31" i="107"/>
  <c r="Y30" i="107"/>
  <c r="Z29" i="107"/>
  <c r="AC26" i="107"/>
  <c r="Z25" i="107"/>
  <c r="W24" i="107"/>
  <c r="T23" i="107"/>
  <c r="V22" i="107"/>
  <c r="O105" i="111" l="1"/>
  <c r="O97" i="111"/>
  <c r="O89" i="111"/>
  <c r="O81" i="111"/>
  <c r="AE27" i="111" s="1"/>
  <c r="O73" i="111"/>
  <c r="O65" i="111"/>
  <c r="P97" i="111"/>
  <c r="P69" i="111"/>
  <c r="P61" i="111"/>
  <c r="AF22" i="111" s="1"/>
  <c r="AD33" i="111"/>
  <c r="V33" i="111"/>
  <c r="Z29" i="111"/>
  <c r="AD25" i="111"/>
  <c r="V25" i="111"/>
  <c r="O100" i="111"/>
  <c r="O92" i="111"/>
  <c r="O84" i="111"/>
  <c r="O76" i="111"/>
  <c r="O68" i="111"/>
  <c r="O60" i="111"/>
  <c r="O103" i="111"/>
  <c r="O99" i="111"/>
  <c r="O95" i="111"/>
  <c r="O91" i="111"/>
  <c r="O87" i="111"/>
  <c r="O83" i="111"/>
  <c r="O79" i="111"/>
  <c r="O75" i="111"/>
  <c r="O71" i="111"/>
  <c r="O67" i="111"/>
  <c r="O63" i="111"/>
  <c r="O59" i="111"/>
  <c r="O101" i="111"/>
  <c r="O93" i="111"/>
  <c r="O85" i="111"/>
  <c r="O77" i="111"/>
  <c r="AE26" i="111" s="1"/>
  <c r="O69" i="111"/>
  <c r="O61" i="111"/>
  <c r="P101" i="111"/>
  <c r="P93" i="111"/>
  <c r="P85" i="111"/>
  <c r="P77" i="111"/>
  <c r="Z33" i="111"/>
  <c r="AD29" i="111"/>
  <c r="V29" i="111"/>
  <c r="Z25" i="111"/>
  <c r="O104" i="111"/>
  <c r="O96" i="111"/>
  <c r="O88" i="111"/>
  <c r="O80" i="111"/>
  <c r="O72" i="111"/>
  <c r="O64" i="111"/>
  <c r="AB31" i="111"/>
  <c r="X31" i="111"/>
  <c r="T31" i="111"/>
  <c r="AC30" i="111"/>
  <c r="Y30" i="111"/>
  <c r="U30" i="111"/>
  <c r="O102" i="111"/>
  <c r="O98" i="111"/>
  <c r="O94" i="111"/>
  <c r="O90" i="111"/>
  <c r="O86" i="111"/>
  <c r="AE29" i="111" s="1"/>
  <c r="O82" i="111"/>
  <c r="O78" i="111"/>
  <c r="O74" i="111"/>
  <c r="O70" i="111"/>
  <c r="O66" i="111"/>
  <c r="O62" i="111"/>
  <c r="O58" i="111"/>
  <c r="P102" i="111"/>
  <c r="AF33" i="111" s="1"/>
  <c r="P98" i="111"/>
  <c r="AF32" i="111" s="1"/>
  <c r="P94" i="111"/>
  <c r="AF31" i="111" s="1"/>
  <c r="P90" i="111"/>
  <c r="P86" i="111"/>
  <c r="AF29" i="111" s="1"/>
  <c r="P82" i="111"/>
  <c r="AF28" i="111" s="1"/>
  <c r="P78" i="111"/>
  <c r="AF27" i="111" s="1"/>
  <c r="P74" i="111"/>
  <c r="AF26" i="111" s="1"/>
  <c r="P70" i="111"/>
  <c r="AF25" i="111" s="1"/>
  <c r="P66" i="111"/>
  <c r="AF24" i="111" s="1"/>
  <c r="P62" i="111"/>
  <c r="AF23" i="111" s="1"/>
  <c r="AF26" i="108"/>
  <c r="AF25" i="108"/>
  <c r="AF22" i="108"/>
  <c r="O97" i="108"/>
  <c r="O85" i="108"/>
  <c r="O73" i="108"/>
  <c r="O61" i="108"/>
  <c r="P93" i="108"/>
  <c r="AF30" i="108" s="1"/>
  <c r="P69" i="108"/>
  <c r="AF24" i="108" s="1"/>
  <c r="O104" i="108"/>
  <c r="O100" i="108"/>
  <c r="O96" i="108"/>
  <c r="O92" i="108"/>
  <c r="O88" i="108"/>
  <c r="O84" i="108"/>
  <c r="O80" i="108"/>
  <c r="O76" i="108"/>
  <c r="O72" i="108"/>
  <c r="O68" i="108"/>
  <c r="O64" i="108"/>
  <c r="O60" i="108"/>
  <c r="O105" i="108"/>
  <c r="O89" i="108"/>
  <c r="O77" i="108"/>
  <c r="O69" i="108"/>
  <c r="P97" i="108"/>
  <c r="P85" i="108"/>
  <c r="O103" i="108"/>
  <c r="O99" i="108"/>
  <c r="O95" i="108"/>
  <c r="O91" i="108"/>
  <c r="O87" i="108"/>
  <c r="O83" i="108"/>
  <c r="O79" i="108"/>
  <c r="O75" i="108"/>
  <c r="O71" i="108"/>
  <c r="O67" i="108"/>
  <c r="O63" i="108"/>
  <c r="O59" i="108"/>
  <c r="O101" i="108"/>
  <c r="O81" i="108"/>
  <c r="O65" i="108"/>
  <c r="P101" i="108"/>
  <c r="P81" i="108"/>
  <c r="P65" i="108"/>
  <c r="S22" i="108"/>
  <c r="O102" i="108"/>
  <c r="O98" i="108"/>
  <c r="O94" i="108"/>
  <c r="O90" i="108"/>
  <c r="AE30" i="108" s="1"/>
  <c r="O86" i="108"/>
  <c r="O82" i="108"/>
  <c r="O78" i="108"/>
  <c r="O74" i="108"/>
  <c r="O70" i="108"/>
  <c r="O66" i="108"/>
  <c r="O62" i="108"/>
  <c r="O58" i="108"/>
  <c r="P102" i="108"/>
  <c r="AF33" i="108" s="1"/>
  <c r="P98" i="108"/>
  <c r="P94" i="108"/>
  <c r="P90" i="108"/>
  <c r="P86" i="108"/>
  <c r="AF29" i="108" s="1"/>
  <c r="P82" i="108"/>
  <c r="P78" i="108"/>
  <c r="AF27" i="108" s="1"/>
  <c r="P74" i="108"/>
  <c r="P70" i="108"/>
  <c r="P66" i="108"/>
  <c r="P62" i="108"/>
  <c r="AD33" i="108"/>
  <c r="Z33" i="108"/>
  <c r="V33" i="108"/>
  <c r="AD30" i="108"/>
  <c r="Z30" i="108"/>
  <c r="V30" i="108"/>
  <c r="AD29" i="108"/>
  <c r="Z29" i="108"/>
  <c r="V29" i="108"/>
  <c r="AD26" i="108"/>
  <c r="Z26" i="108"/>
  <c r="V26" i="108"/>
  <c r="AD25" i="108"/>
  <c r="Z25" i="108"/>
  <c r="V25" i="108"/>
  <c r="AD22" i="108"/>
  <c r="Z22" i="108"/>
  <c r="V22" i="108"/>
  <c r="AC31" i="108"/>
  <c r="Y31" i="108"/>
  <c r="U31" i="108"/>
  <c r="P62" i="107"/>
  <c r="O62" i="107"/>
  <c r="S23" i="107"/>
  <c r="S25" i="107"/>
  <c r="P70" i="107"/>
  <c r="O70" i="107"/>
  <c r="S27" i="107"/>
  <c r="P78" i="107"/>
  <c r="O78" i="107"/>
  <c r="AE27" i="107" s="1"/>
  <c r="S29" i="107"/>
  <c r="P86" i="107"/>
  <c r="O86" i="107"/>
  <c r="S30" i="107"/>
  <c r="P90" i="107"/>
  <c r="O90" i="107"/>
  <c r="AE30" i="107" s="1"/>
  <c r="P98" i="107"/>
  <c r="O98" i="107"/>
  <c r="S32" i="107"/>
  <c r="V31" i="107"/>
  <c r="P97" i="107"/>
  <c r="V30" i="107"/>
  <c r="P93" i="107"/>
  <c r="P89" i="107"/>
  <c r="V26" i="107"/>
  <c r="P77" i="107"/>
  <c r="P73" i="107"/>
  <c r="V24" i="107"/>
  <c r="P69" i="107"/>
  <c r="V23" i="107"/>
  <c r="P65" i="107"/>
  <c r="P61" i="107"/>
  <c r="O105" i="107"/>
  <c r="O89" i="107"/>
  <c r="O73" i="107"/>
  <c r="P105" i="107"/>
  <c r="P66" i="107"/>
  <c r="O66" i="107"/>
  <c r="S26" i="107"/>
  <c r="P74" i="107"/>
  <c r="O74" i="107"/>
  <c r="S28" i="107"/>
  <c r="P82" i="107"/>
  <c r="O82" i="107"/>
  <c r="P94" i="107"/>
  <c r="O94" i="107"/>
  <c r="S31" i="107"/>
  <c r="S33" i="107"/>
  <c r="P102" i="107"/>
  <c r="O102" i="107"/>
  <c r="V28" i="107"/>
  <c r="P85" i="107"/>
  <c r="V27" i="107"/>
  <c r="P81" i="107"/>
  <c r="P67" i="107"/>
  <c r="P71" i="107"/>
  <c r="P75" i="107"/>
  <c r="P79" i="107"/>
  <c r="P83" i="107"/>
  <c r="P87" i="107"/>
  <c r="P91" i="107"/>
  <c r="P95" i="107"/>
  <c r="P99" i="107"/>
  <c r="P103" i="107"/>
  <c r="P104" i="107"/>
  <c r="O100" i="107"/>
  <c r="AD32" i="107"/>
  <c r="Z32" i="107"/>
  <c r="P96" i="107"/>
  <c r="O92" i="107"/>
  <c r="P88" i="107"/>
  <c r="V29" i="107"/>
  <c r="O84" i="107"/>
  <c r="P80" i="107"/>
  <c r="O76" i="107"/>
  <c r="P72" i="107"/>
  <c r="V25" i="107"/>
  <c r="O68" i="107"/>
  <c r="P64" i="107"/>
  <c r="P60" i="107"/>
  <c r="AD22" i="107"/>
  <c r="O101" i="107"/>
  <c r="O85" i="107"/>
  <c r="O69" i="107"/>
  <c r="P101" i="107"/>
  <c r="O104" i="107"/>
  <c r="O96" i="107"/>
  <c r="AE31" i="107" s="1"/>
  <c r="O88" i="107"/>
  <c r="O80" i="107"/>
  <c r="O72" i="107"/>
  <c r="O60" i="107"/>
  <c r="P100" i="107"/>
  <c r="P92" i="107"/>
  <c r="P84" i="107"/>
  <c r="P76" i="107"/>
  <c r="P68" i="107"/>
  <c r="S22" i="107"/>
  <c r="O103" i="107"/>
  <c r="O99" i="107"/>
  <c r="O95" i="107"/>
  <c r="O91" i="107"/>
  <c r="O87" i="107"/>
  <c r="O83" i="107"/>
  <c r="O79" i="107"/>
  <c r="O75" i="107"/>
  <c r="AE26" i="107" s="1"/>
  <c r="O71" i="107"/>
  <c r="O67" i="107"/>
  <c r="O63" i="107"/>
  <c r="O59" i="107"/>
  <c r="O64" i="107"/>
  <c r="O58" i="107"/>
  <c r="AE22" i="107" s="1"/>
  <c r="P58" i="107"/>
  <c r="D5" i="94"/>
  <c r="K6" i="94"/>
  <c r="C3" i="94"/>
  <c r="AE28" i="111" l="1"/>
  <c r="AF30" i="111"/>
  <c r="AE30" i="111"/>
  <c r="AE22" i="111"/>
  <c r="AE23" i="111"/>
  <c r="AE31" i="111"/>
  <c r="AE24" i="111"/>
  <c r="AE32" i="111"/>
  <c r="AE25" i="111"/>
  <c r="AE33" i="111"/>
  <c r="AE27" i="108"/>
  <c r="AE24" i="108"/>
  <c r="AE32" i="108"/>
  <c r="AE26" i="108"/>
  <c r="AE31" i="108"/>
  <c r="AE25" i="108"/>
  <c r="AF32" i="108"/>
  <c r="AF28" i="108"/>
  <c r="AE29" i="108"/>
  <c r="AF23" i="108"/>
  <c r="AE28" i="108"/>
  <c r="AE22" i="108"/>
  <c r="AE23" i="108"/>
  <c r="AF31" i="108"/>
  <c r="AE33" i="108"/>
  <c r="AE28" i="107"/>
  <c r="AF28" i="107"/>
  <c r="AE32" i="107"/>
  <c r="AF27" i="107"/>
  <c r="AE33" i="107"/>
  <c r="AE24" i="107"/>
  <c r="AF24" i="107"/>
  <c r="AF31" i="107"/>
  <c r="AE29" i="107"/>
  <c r="AF26" i="107"/>
  <c r="AF32" i="107"/>
  <c r="AF33" i="107"/>
  <c r="AE25" i="107"/>
  <c r="AF29" i="107"/>
  <c r="AF22" i="107"/>
  <c r="AF23" i="107"/>
  <c r="AF25" i="107"/>
  <c r="AF30" i="107"/>
  <c r="AE23" i="107"/>
  <c r="K6" i="100"/>
  <c r="K6" i="105" s="1"/>
  <c r="K6" i="110" s="1"/>
  <c r="K6" i="103" s="1"/>
  <c r="G5" i="98"/>
  <c r="G5" i="99" s="1"/>
  <c r="G5" i="100" s="1"/>
  <c r="G5" i="101" s="1"/>
  <c r="G5" i="109" s="1"/>
  <c r="G5" i="105" s="1"/>
  <c r="G5" i="110" s="1"/>
  <c r="G5" i="103" s="1"/>
  <c r="K5" i="97"/>
  <c r="G5" i="97"/>
  <c r="G5" i="96"/>
  <c r="G5" i="95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K6" i="104" l="1"/>
  <c r="K6" i="108" s="1"/>
  <c r="K6" i="111" s="1"/>
  <c r="K6" i="107"/>
  <c r="K5" i="107"/>
  <c r="K5" i="108"/>
  <c r="K5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Y19" i="105"/>
  <c r="X19" i="105"/>
  <c r="X39" i="105" s="1"/>
  <c r="W19" i="105"/>
  <c r="W39" i="105" s="1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V39" i="105" l="1"/>
  <c r="Z39" i="105"/>
  <c r="X26" i="98"/>
  <c r="AA39" i="101"/>
  <c r="AA26" i="9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T19" i="108" l="1"/>
  <c r="Y38" i="105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G106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H106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K106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D10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L106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N106" i="108"/>
  <c r="J106" i="108"/>
  <c r="F106" i="108"/>
  <c r="AB11" i="108"/>
  <c r="O41" i="108"/>
  <c r="O33" i="108"/>
  <c r="O25" i="108"/>
  <c r="V15" i="108"/>
  <c r="O23" i="108"/>
  <c r="O19" i="108"/>
  <c r="O15" i="108"/>
  <c r="C106" i="108"/>
  <c r="M106" i="108"/>
  <c r="I106" i="108"/>
  <c r="E106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C106" i="107"/>
  <c r="AC10" i="107"/>
  <c r="K106" i="107"/>
  <c r="I106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39" i="107" s="1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N106" i="107"/>
  <c r="AB10" i="107"/>
  <c r="L106" i="107"/>
  <c r="J106" i="107"/>
  <c r="Z10" i="107"/>
  <c r="Z41" i="107" s="1"/>
  <c r="X10" i="107"/>
  <c r="H106" i="107"/>
  <c r="F106" i="107"/>
  <c r="T10" i="107"/>
  <c r="T41" i="107" s="1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M106" i="107"/>
  <c r="E106" i="107"/>
  <c r="AB38" i="105"/>
  <c r="T38" i="105"/>
  <c r="AD10" i="107"/>
  <c r="V10" i="107"/>
  <c r="V41" i="107" s="1"/>
  <c r="D106" i="107"/>
  <c r="AA10" i="107"/>
  <c r="G106" i="107"/>
  <c r="P10" i="107"/>
  <c r="S10" i="107"/>
  <c r="O10" i="107"/>
  <c r="X35" i="105"/>
  <c r="U39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A41" i="108" l="1"/>
  <c r="X41" i="108"/>
  <c r="AB41" i="108"/>
  <c r="AB42" i="108" s="1"/>
  <c r="S41" i="108"/>
  <c r="U41" i="108"/>
  <c r="T41" i="108"/>
  <c r="AD41" i="108"/>
  <c r="AC41" i="108"/>
  <c r="W41" i="108"/>
  <c r="Y41" i="108"/>
  <c r="Z41" i="108"/>
  <c r="Z42" i="108" s="1"/>
  <c r="V41" i="108"/>
  <c r="AD41" i="107"/>
  <c r="AA41" i="107"/>
  <c r="Y41" i="107"/>
  <c r="U41" i="107"/>
  <c r="AC41" i="107"/>
  <c r="S41" i="107"/>
  <c r="X41" i="107"/>
  <c r="AB41" i="107"/>
  <c r="W41" i="107"/>
  <c r="W42" i="107" s="1"/>
  <c r="Y34" i="108"/>
  <c r="AD12" i="111"/>
  <c r="V39" i="107"/>
  <c r="U36" i="107"/>
  <c r="AF10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D106" i="111"/>
  <c r="L106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N106" i="111"/>
  <c r="T10" i="111"/>
  <c r="AB10" i="111"/>
  <c r="J106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M106" i="111"/>
  <c r="P17" i="111"/>
  <c r="O21" i="111"/>
  <c r="O37" i="111"/>
  <c r="P41" i="111"/>
  <c r="O42" i="111"/>
  <c r="U20" i="111"/>
  <c r="P53" i="111"/>
  <c r="H106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F106" i="111"/>
  <c r="O10" i="111"/>
  <c r="C108" i="110"/>
  <c r="E106" i="111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C106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I106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G106" i="111"/>
  <c r="AA10" i="111"/>
  <c r="K106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O106" i="108"/>
  <c r="H108" i="108" s="1"/>
  <c r="U36" i="108"/>
  <c r="V36" i="107"/>
  <c r="AD37" i="107"/>
  <c r="AD35" i="107"/>
  <c r="P106" i="107"/>
  <c r="C107" i="107" s="1"/>
  <c r="V37" i="107"/>
  <c r="Y37" i="107"/>
  <c r="W34" i="107"/>
  <c r="U40" i="108"/>
  <c r="AF12" i="108"/>
  <c r="AF18" i="108"/>
  <c r="AA38" i="108"/>
  <c r="AE11" i="108"/>
  <c r="AD36" i="107"/>
  <c r="Y34" i="107"/>
  <c r="Z40" i="107"/>
  <c r="Z42" i="107" s="1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P106" i="108"/>
  <c r="H107" i="108" s="1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V42" i="107" s="1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O106" i="107"/>
  <c r="H108" i="107" s="1"/>
  <c r="T40" i="107"/>
  <c r="T42" i="107" s="1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V42" i="108" l="1"/>
  <c r="AC42" i="108"/>
  <c r="S42" i="108"/>
  <c r="AD42" i="108"/>
  <c r="AF41" i="108"/>
  <c r="Y42" i="108"/>
  <c r="T42" i="108"/>
  <c r="X42" i="108"/>
  <c r="AE41" i="108"/>
  <c r="W42" i="108"/>
  <c r="U42" i="108"/>
  <c r="AA42" i="108"/>
  <c r="AC41" i="111"/>
  <c r="AA42" i="107"/>
  <c r="AD41" i="111"/>
  <c r="U41" i="111"/>
  <c r="U42" i="111" s="1"/>
  <c r="V41" i="111"/>
  <c r="W41" i="111"/>
  <c r="AB42" i="107"/>
  <c r="AC42" i="107"/>
  <c r="AB41" i="111"/>
  <c r="S41" i="111"/>
  <c r="X42" i="107"/>
  <c r="U42" i="107"/>
  <c r="AD42" i="107"/>
  <c r="AE41" i="107"/>
  <c r="AA41" i="111"/>
  <c r="AF41" i="107"/>
  <c r="Y41" i="111"/>
  <c r="X41" i="111"/>
  <c r="T41" i="111"/>
  <c r="Z41" i="111"/>
  <c r="Z42" i="111" s="1"/>
  <c r="S42" i="107"/>
  <c r="Y42" i="107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O106" i="111"/>
  <c r="K108" i="111" s="1"/>
  <c r="P106" i="111"/>
  <c r="N107" i="111" s="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42" i="108" l="1"/>
  <c r="AF42" i="108"/>
  <c r="AE41" i="111"/>
  <c r="AF42" i="107"/>
  <c r="T42" i="111"/>
  <c r="AA42" i="111"/>
  <c r="AD42" i="111"/>
  <c r="X42" i="111"/>
  <c r="AE42" i="107"/>
  <c r="S42" i="111"/>
  <c r="W42" i="111"/>
  <c r="AF34" i="111"/>
  <c r="AF41" i="111"/>
  <c r="Y42" i="111"/>
  <c r="AB42" i="111"/>
  <c r="V42" i="111"/>
  <c r="AC42" i="111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F42" i="111" l="1"/>
  <c r="AE42" i="111"/>
</calcChain>
</file>

<file path=xl/sharedStrings.xml><?xml version="1.0" encoding="utf-8"?>
<sst xmlns="http://schemas.openxmlformats.org/spreadsheetml/2006/main" count="2345" uniqueCount="186">
  <si>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</si>
  <si>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</si>
  <si>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</si>
  <si>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</si>
  <si>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</si>
  <si>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</si>
  <si>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</si>
  <si>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</si>
  <si>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</si>
  <si>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</si>
  <si>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</si>
  <si>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</si>
  <si>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</si>
  <si>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</si>
  <si>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</si>
  <si>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</si>
  <si>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</si>
  <si>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</si>
  <si>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</si>
  <si>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</si>
  <si>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</si>
  <si>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</si>
  <si>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</si>
  <si>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</si>
  <si>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</si>
  <si>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</si>
  <si>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</si>
  <si>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</si>
  <si>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</si>
  <si>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</si>
  <si>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</si>
  <si>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</si>
  <si>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</si>
  <si>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</si>
  <si>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</si>
  <si>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</si>
  <si>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</si>
  <si>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</si>
  <si>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</si>
  <si>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</si>
  <si>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</si>
  <si>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</si>
  <si>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</si>
  <si>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</si>
  <si>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</si>
  <si>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</si>
  <si>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</si>
  <si>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</si>
  <si>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</si>
  <si>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</si>
  <si>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</si>
  <si>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</si>
  <si>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</si>
  <si>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</si>
  <si>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</si>
  <si>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</si>
  <si>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</si>
  <si>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</si>
  <si>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</si>
  <si>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</si>
  <si>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</si>
  <si>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</si>
  <si>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</si>
  <si>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</si>
  <si>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</si>
  <si>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</si>
  <si>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</si>
  <si>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</si>
  <si>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</si>
  <si>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</si>
  <si>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</si>
  <si>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</si>
  <si>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</si>
  <si>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</si>
  <si>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</si>
  <si>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</si>
  <si>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</si>
  <si>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</si>
  <si>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</si>
  <si>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</si>
  <si>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</si>
  <si>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</si>
  <si>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</si>
  <si>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</si>
  <si>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</si>
  <si>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</si>
  <si>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</si>
  <si>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</si>
  <si>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</si>
  <si>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</si>
  <si>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</si>
  <si>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</si>
  <si>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</si>
  <si>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</si>
  <si>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</si>
  <si>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</si>
  <si>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</si>
  <si>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</si>
  <si>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</si>
  <si>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</si>
  <si>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</si>
  <si>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</si>
  <si>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</si>
  <si>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</si>
  <si>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</si>
  <si>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</si>
  <si>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</si>
  <si>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</si>
  <si>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</si>
  <si>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</si>
  <si>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</si>
  <si>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</si>
  <si>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</si>
  <si>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</si>
  <si>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</si>
  <si>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</si>
  <si>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</si>
  <si>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</si>
  <si>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</si>
  <si>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</si>
  <si>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</si>
  <si>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</si>
  <si>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</si>
  <si>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</si>
  <si>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</si>
  <si>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</si>
  <si>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</si>
  <si>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</si>
  <si>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</si>
  <si>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</si>
  <si>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</si>
  <si>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</si>
  <si>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</si>
  <si>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</si>
  <si>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</si>
  <si>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</si>
  <si>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</si>
  <si>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</si>
  <si>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</si>
  <si>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</si>
  <si>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</si>
  <si>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</si>
  <si>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</si>
  <si>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</si>
  <si>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</si>
  <si>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</si>
  <si>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</si>
  <si>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</si>
  <si>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</si>
  <si>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</si>
  <si>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</si>
  <si>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</si>
  <si>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</si>
  <si>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</si>
  <si>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</si>
  <si>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</si>
  <si>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</si>
  <si>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</si>
  <si>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</si>
  <si>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</si>
  <si>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</si>
  <si>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</si>
  <si>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</si>
  <si>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*</t>
  </si>
  <si>
    <t>Kyebando</t>
  </si>
  <si>
    <t>Mulago</t>
  </si>
  <si>
    <t>Emma</t>
  </si>
  <si>
    <t>Nabayunga Rashida</t>
  </si>
  <si>
    <t>Kisingiri Street</t>
  </si>
  <si>
    <t>MCC - C1 - STN28 - KISINGIRI ROAD</t>
  </si>
  <si>
    <t>Rashida</t>
  </si>
  <si>
    <t>01.08.19</t>
  </si>
  <si>
    <t>02.08.19</t>
  </si>
  <si>
    <t>03.08.19</t>
  </si>
  <si>
    <t>04.08.19</t>
  </si>
  <si>
    <t>Frank</t>
  </si>
  <si>
    <t>Frank &amp; Dorah</t>
  </si>
  <si>
    <t>Rashida &amp; Agnes</t>
  </si>
  <si>
    <t>29.07.19</t>
  </si>
  <si>
    <t>30.07.19</t>
  </si>
  <si>
    <t>31.07.19</t>
  </si>
  <si>
    <t>Rashida &amp; Conny</t>
  </si>
  <si>
    <t xml:space="preserve">Frank </t>
  </si>
  <si>
    <t>Steven</t>
  </si>
  <si>
    <t>130\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</si>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</sst>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Kyebando-Mulago'!$AE$9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Kyebando-Mulago'!$AE$10:$AE$21</c:f>
              <c:numCache>
                <c:formatCode>0</c:formatCode>
                <c:ptCount val="12"/>
                <c:pt idx="0">
                  <c:v>0</c:v>
                </c:pt>
                <c:pt idx="1">
                  <c:v>494</c:v>
                </c:pt>
                <c:pt idx="2">
                  <c:v>585</c:v>
                </c:pt>
                <c:pt idx="3">
                  <c:v>446</c:v>
                </c:pt>
                <c:pt idx="4">
                  <c:v>410</c:v>
                </c:pt>
                <c:pt idx="5">
                  <c:v>325</c:v>
                </c:pt>
                <c:pt idx="6">
                  <c:v>284</c:v>
                </c:pt>
                <c:pt idx="7">
                  <c:v>246</c:v>
                </c:pt>
                <c:pt idx="8">
                  <c:v>289</c:v>
                </c:pt>
                <c:pt idx="9">
                  <c:v>287</c:v>
                </c:pt>
                <c:pt idx="10">
                  <c:v>307</c:v>
                </c:pt>
                <c:pt idx="11">
                  <c:v>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'29.07 Kyebando-Mulago'!$AF$9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Kyebando-Mulago'!$AF$10:$AF$21</c:f>
              <c:numCache>
                <c:formatCode>0</c:formatCode>
                <c:ptCount val="12"/>
                <c:pt idx="0">
                  <c:v>0</c:v>
                </c:pt>
                <c:pt idx="1">
                  <c:v>970</c:v>
                </c:pt>
                <c:pt idx="2">
                  <c:v>1113</c:v>
                </c:pt>
                <c:pt idx="3">
                  <c:v>765</c:v>
                </c:pt>
                <c:pt idx="4">
                  <c:v>737</c:v>
                </c:pt>
                <c:pt idx="5">
                  <c:v>652</c:v>
                </c:pt>
                <c:pt idx="6">
                  <c:v>554</c:v>
                </c:pt>
                <c:pt idx="7">
                  <c:v>566</c:v>
                </c:pt>
                <c:pt idx="8">
                  <c:v>605</c:v>
                </c:pt>
                <c:pt idx="9">
                  <c:v>685</c:v>
                </c:pt>
                <c:pt idx="10">
                  <c:v>912</c:v>
                </c:pt>
                <c:pt idx="11">
                  <c:v>662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99904"/>
        <c:axId val="91101440"/>
      </c:lineChart>
      <c:catAx>
        <c:axId val="91099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101440"/>
        <c:crosses val="autoZero"/>
        <c:auto val="1"/>
        <c:lblAlgn val="ctr"/>
        <c:lblOffset val="100"/>
        <c:noMultiLvlLbl val="0"/>
      </c:catAx>
      <c:valAx>
        <c:axId val="91101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0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Kyebando-Mulago'!$C$9:$N$9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Kyebando-Mulago'!$C$59:$N$59</c:f>
              <c:numCache>
                <c:formatCode>0.0%</c:formatCode>
                <c:ptCount val="12"/>
                <c:pt idx="0">
                  <c:v>0.28743461865953046</c:v>
                </c:pt>
                <c:pt idx="1">
                  <c:v>5.3034910594818151E-2</c:v>
                </c:pt>
                <c:pt idx="2">
                  <c:v>3.3937477192555653E-2</c:v>
                </c:pt>
                <c:pt idx="3">
                  <c:v>7.1645785184284147E-2</c:v>
                </c:pt>
                <c:pt idx="4">
                  <c:v>9.7311762559299355E-4</c:v>
                </c:pt>
                <c:pt idx="5">
                  <c:v>7.2983821919474516E-4</c:v>
                </c:pt>
                <c:pt idx="6">
                  <c:v>1.9219073105461622E-2</c:v>
                </c:pt>
                <c:pt idx="7">
                  <c:v>4.3790293151684707E-3</c:v>
                </c:pt>
                <c:pt idx="8">
                  <c:v>0</c:v>
                </c:pt>
                <c:pt idx="9">
                  <c:v>0</c:v>
                </c:pt>
                <c:pt idx="10">
                  <c:v>0.52864615010339377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Kyebando-Mulago'!$S$9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Kyebando-Mulago'!$S$10:$S$21</c:f>
              <c:numCache>
                <c:formatCode>0</c:formatCode>
                <c:ptCount val="12"/>
                <c:pt idx="0">
                  <c:v>0</c:v>
                </c:pt>
                <c:pt idx="1">
                  <c:v>292</c:v>
                </c:pt>
                <c:pt idx="2">
                  <c:v>376</c:v>
                </c:pt>
                <c:pt idx="3">
                  <c:v>288</c:v>
                </c:pt>
                <c:pt idx="4">
                  <c:v>256</c:v>
                </c:pt>
                <c:pt idx="5">
                  <c:v>195</c:v>
                </c:pt>
                <c:pt idx="6">
                  <c:v>171</c:v>
                </c:pt>
                <c:pt idx="7">
                  <c:v>151</c:v>
                </c:pt>
                <c:pt idx="8">
                  <c:v>177</c:v>
                </c:pt>
                <c:pt idx="9">
                  <c:v>163</c:v>
                </c:pt>
                <c:pt idx="10">
                  <c:v>174</c:v>
                </c:pt>
                <c:pt idx="11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'29.07 Kyebando-Mulago'!$T$9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Kyebando-Mulago'!$T$10:$T$21</c:f>
              <c:numCache>
                <c:formatCode>0</c:formatCode>
                <c:ptCount val="12"/>
                <c:pt idx="0">
                  <c:v>0</c:v>
                </c:pt>
                <c:pt idx="1">
                  <c:v>45</c:v>
                </c:pt>
                <c:pt idx="2">
                  <c:v>56</c:v>
                </c:pt>
                <c:pt idx="3">
                  <c:v>48</c:v>
                </c:pt>
                <c:pt idx="4">
                  <c:v>59</c:v>
                </c:pt>
                <c:pt idx="5">
                  <c:v>36</c:v>
                </c:pt>
                <c:pt idx="6">
                  <c:v>32</c:v>
                </c:pt>
                <c:pt idx="7">
                  <c:v>30</c:v>
                </c:pt>
                <c:pt idx="8">
                  <c:v>25</c:v>
                </c:pt>
                <c:pt idx="9">
                  <c:v>38</c:v>
                </c:pt>
                <c:pt idx="10">
                  <c:v>38</c:v>
                </c:pt>
                <c:pt idx="11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'29.07 Kyebando-Mulago'!$U$9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Kyebando-Mulago'!$U$10:$U$21</c:f>
              <c:numCache>
                <c:formatCode>0</c:formatCode>
                <c:ptCount val="12"/>
                <c:pt idx="0">
                  <c:v>0</c:v>
                </c:pt>
                <c:pt idx="1">
                  <c:v>32</c:v>
                </c:pt>
                <c:pt idx="2">
                  <c:v>40</c:v>
                </c:pt>
                <c:pt idx="3">
                  <c:v>28</c:v>
                </c:pt>
                <c:pt idx="4">
                  <c:v>28</c:v>
                </c:pt>
                <c:pt idx="5">
                  <c:v>24</c:v>
                </c:pt>
                <c:pt idx="6">
                  <c:v>16</c:v>
                </c:pt>
                <c:pt idx="7">
                  <c:v>20</c:v>
                </c:pt>
                <c:pt idx="8">
                  <c:v>18</c:v>
                </c:pt>
                <c:pt idx="9">
                  <c:v>25</c:v>
                </c:pt>
                <c:pt idx="10">
                  <c:v>32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'29.07 Kyebando-Mulago'!$V$9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Kyebando-Mulago'!$V$10:$V$21</c:f>
              <c:numCache>
                <c:formatCode>0</c:formatCode>
                <c:ptCount val="12"/>
                <c:pt idx="0">
                  <c:v>0</c:v>
                </c:pt>
                <c:pt idx="1">
                  <c:v>108</c:v>
                </c:pt>
                <c:pt idx="2">
                  <c:v>100</c:v>
                </c:pt>
                <c:pt idx="3">
                  <c:v>62</c:v>
                </c:pt>
                <c:pt idx="4">
                  <c:v>41</c:v>
                </c:pt>
                <c:pt idx="5">
                  <c:v>44</c:v>
                </c:pt>
                <c:pt idx="6">
                  <c:v>43</c:v>
                </c:pt>
                <c:pt idx="7">
                  <c:v>28</c:v>
                </c:pt>
                <c:pt idx="8">
                  <c:v>44</c:v>
                </c:pt>
                <c:pt idx="9">
                  <c:v>47</c:v>
                </c:pt>
                <c:pt idx="10">
                  <c:v>45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'29.07 Kyebando-Mulago'!$W$9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Kyebando-Mulago'!$W$10:$W$21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'29.07 Kyebando-Mulago'!$X$9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Kyebando-Mulago'!$X$10:$X$21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'29.07 Kyebando-Mulago'!$Y$9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Kyebando-Mulago'!$Y$10:$Y$21</c:f>
              <c:numCache>
                <c:formatCode>0</c:formatCode>
                <c:ptCount val="12"/>
                <c:pt idx="0">
                  <c:v>0</c:v>
                </c:pt>
                <c:pt idx="1">
                  <c:v>11</c:v>
                </c:pt>
                <c:pt idx="2">
                  <c:v>8</c:v>
                </c:pt>
                <c:pt idx="3">
                  <c:v>19</c:v>
                </c:pt>
                <c:pt idx="4">
                  <c:v>23</c:v>
                </c:pt>
                <c:pt idx="5">
                  <c:v>20</c:v>
                </c:pt>
                <c:pt idx="6">
                  <c:v>17</c:v>
                </c:pt>
                <c:pt idx="7">
                  <c:v>10</c:v>
                </c:pt>
                <c:pt idx="8">
                  <c:v>22</c:v>
                </c:pt>
                <c:pt idx="9">
                  <c:v>8</c:v>
                </c:pt>
                <c:pt idx="10">
                  <c:v>12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'29.07 Kyebando-Mulago'!$Z$9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Kyebando-Mulago'!$Z$10:$Z$21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5</c:v>
                </c:pt>
                <c:pt idx="7">
                  <c:v>7</c:v>
                </c:pt>
                <c:pt idx="8">
                  <c:v>0</c:v>
                </c:pt>
                <c:pt idx="9">
                  <c:v>5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'29.07 Kyebando-Mulago'!$AA$9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Kyebando-Mulago'!$AA$10:$AA$21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'29.07 Kyebando-Mulago'!$AB$9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Kyebando-Mulago'!$AB$10:$AB$21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'29.07 Kyebando-Mulago'!$AC$9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Kyebando-Mulago'!$AC$10:$AC$21</c:f>
              <c:numCache>
                <c:formatCode>0</c:formatCode>
                <c:ptCount val="12"/>
                <c:pt idx="0">
                  <c:v>0</c:v>
                </c:pt>
                <c:pt idx="1">
                  <c:v>476</c:v>
                </c:pt>
                <c:pt idx="2">
                  <c:v>528</c:v>
                </c:pt>
                <c:pt idx="3">
                  <c:v>319</c:v>
                </c:pt>
                <c:pt idx="4">
                  <c:v>327</c:v>
                </c:pt>
                <c:pt idx="5">
                  <c:v>327</c:v>
                </c:pt>
                <c:pt idx="6">
                  <c:v>270</c:v>
                </c:pt>
                <c:pt idx="7">
                  <c:v>320</c:v>
                </c:pt>
                <c:pt idx="8">
                  <c:v>316</c:v>
                </c:pt>
                <c:pt idx="9">
                  <c:v>398</c:v>
                </c:pt>
                <c:pt idx="10">
                  <c:v>605</c:v>
                </c:pt>
                <c:pt idx="11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'29.07 Kyebando-Mulago'!$AD$9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Kyebando-Mulago'!$AD$10:$AD$21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25568"/>
        <c:axId val="115339648"/>
      </c:lineChart>
      <c:catAx>
        <c:axId val="11532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339648"/>
        <c:crosses val="autoZero"/>
        <c:auto val="1"/>
        <c:lblAlgn val="ctr"/>
        <c:lblOffset val="100"/>
        <c:noMultiLvlLbl val="0"/>
      </c:catAx>
      <c:valAx>
        <c:axId val="11533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32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Kyebando-Mulago'!$C$9:$N$9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Kyebando-Mulago'!$C$60:$N$60</c:f>
              <c:numCache>
                <c:formatCode>0.00%</c:formatCode>
                <c:ptCount val="12"/>
                <c:pt idx="0">
                  <c:v>0.60980645161290326</c:v>
                </c:pt>
                <c:pt idx="1">
                  <c:v>0.11251612903225806</c:v>
                </c:pt>
                <c:pt idx="2">
                  <c:v>7.1999999999999995E-2</c:v>
                </c:pt>
                <c:pt idx="3">
                  <c:v>0.152</c:v>
                </c:pt>
                <c:pt idx="4">
                  <c:v>2.0645161290322581E-3</c:v>
                </c:pt>
                <c:pt idx="5">
                  <c:v>1.5483870967741935E-3</c:v>
                </c:pt>
                <c:pt idx="6">
                  <c:v>4.07741935483871E-2</c:v>
                </c:pt>
                <c:pt idx="7">
                  <c:v>9.2903225806451606E-3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Mulago-Kyebando'!$AE$9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Mulago-Kyebando'!$AE$10:$AE$21</c:f>
              <c:numCache>
                <c:formatCode>0</c:formatCode>
                <c:ptCount val="12"/>
                <c:pt idx="0">
                  <c:v>0</c:v>
                </c:pt>
                <c:pt idx="1">
                  <c:v>159</c:v>
                </c:pt>
                <c:pt idx="2">
                  <c:v>246</c:v>
                </c:pt>
                <c:pt idx="3">
                  <c:v>300</c:v>
                </c:pt>
                <c:pt idx="4">
                  <c:v>323</c:v>
                </c:pt>
                <c:pt idx="5">
                  <c:v>324</c:v>
                </c:pt>
                <c:pt idx="6">
                  <c:v>376</c:v>
                </c:pt>
                <c:pt idx="7">
                  <c:v>357</c:v>
                </c:pt>
                <c:pt idx="8">
                  <c:v>476</c:v>
                </c:pt>
                <c:pt idx="9">
                  <c:v>735</c:v>
                </c:pt>
                <c:pt idx="10">
                  <c:v>856</c:v>
                </c:pt>
                <c:pt idx="11">
                  <c:v>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'29.07 Mulago-Kyebando'!$AF$9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Mulago-Kyebando'!$AF$10:$AF$21</c:f>
              <c:numCache>
                <c:formatCode>0</c:formatCode>
                <c:ptCount val="12"/>
                <c:pt idx="0">
                  <c:v>0</c:v>
                </c:pt>
                <c:pt idx="1">
                  <c:v>1054</c:v>
                </c:pt>
                <c:pt idx="2">
                  <c:v>1126</c:v>
                </c:pt>
                <c:pt idx="3">
                  <c:v>914</c:v>
                </c:pt>
                <c:pt idx="4">
                  <c:v>815</c:v>
                </c:pt>
                <c:pt idx="5">
                  <c:v>668</c:v>
                </c:pt>
                <c:pt idx="6">
                  <c:v>760</c:v>
                </c:pt>
                <c:pt idx="7">
                  <c:v>771</c:v>
                </c:pt>
                <c:pt idx="8">
                  <c:v>964</c:v>
                </c:pt>
                <c:pt idx="9">
                  <c:v>1275</c:v>
                </c:pt>
                <c:pt idx="10">
                  <c:v>1495</c:v>
                </c:pt>
                <c:pt idx="11">
                  <c:v>1122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32544"/>
        <c:axId val="115534464"/>
      </c:lineChart>
      <c:catAx>
        <c:axId val="1155325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534464"/>
        <c:crosses val="autoZero"/>
        <c:auto val="1"/>
        <c:lblAlgn val="ctr"/>
        <c:lblOffset val="100"/>
        <c:noMultiLvlLbl val="0"/>
      </c:catAx>
      <c:valAx>
        <c:axId val="115534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53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Mulago-Kyebando'!$C$9:$N$9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Mulago-Kyebando'!$C$59:$N$59</c:f>
              <c:numCache>
                <c:formatCode>0.0%</c:formatCode>
                <c:ptCount val="12"/>
                <c:pt idx="0">
                  <c:v>0.26605253557095948</c:v>
                </c:pt>
                <c:pt idx="1">
                  <c:v>3.3655600145932142E-2</c:v>
                </c:pt>
                <c:pt idx="2">
                  <c:v>3.6300620211601603E-2</c:v>
                </c:pt>
                <c:pt idx="3">
                  <c:v>5.8281649033199559E-2</c:v>
                </c:pt>
                <c:pt idx="4">
                  <c:v>1.8241517694272164E-3</c:v>
                </c:pt>
                <c:pt idx="5">
                  <c:v>1.8241517694272163E-4</c:v>
                </c:pt>
                <c:pt idx="6">
                  <c:v>1.8879970813571689E-2</c:v>
                </c:pt>
                <c:pt idx="7">
                  <c:v>2.9186428310835461E-3</c:v>
                </c:pt>
                <c:pt idx="8">
                  <c:v>4.5603794235680409E-4</c:v>
                </c:pt>
                <c:pt idx="9">
                  <c:v>0</c:v>
                </c:pt>
                <c:pt idx="10">
                  <c:v>0.5814483765049252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Mulago-Kyebando'!$S$9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Mulago-Kyebando'!$S$10:$S$21</c:f>
              <c:numCache>
                <c:formatCode>0</c:formatCode>
                <c:ptCount val="12"/>
                <c:pt idx="0">
                  <c:v>0</c:v>
                </c:pt>
                <c:pt idx="1">
                  <c:v>93</c:v>
                </c:pt>
                <c:pt idx="2">
                  <c:v>116</c:v>
                </c:pt>
                <c:pt idx="3">
                  <c:v>151</c:v>
                </c:pt>
                <c:pt idx="4">
                  <c:v>178</c:v>
                </c:pt>
                <c:pt idx="5">
                  <c:v>180</c:v>
                </c:pt>
                <c:pt idx="6">
                  <c:v>237</c:v>
                </c:pt>
                <c:pt idx="7">
                  <c:v>230</c:v>
                </c:pt>
                <c:pt idx="8">
                  <c:v>286</c:v>
                </c:pt>
                <c:pt idx="9">
                  <c:v>494</c:v>
                </c:pt>
                <c:pt idx="10">
                  <c:v>638</c:v>
                </c:pt>
                <c:pt idx="11">
                  <c:v>314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'29.07 Mulago-Kyebando'!$T$9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Mulago-Kyebando'!$T$10:$T$21</c:f>
              <c:numCache>
                <c:formatCode>0</c:formatCode>
                <c:ptCount val="12"/>
                <c:pt idx="0">
                  <c:v>0</c:v>
                </c:pt>
                <c:pt idx="1">
                  <c:v>16</c:v>
                </c:pt>
                <c:pt idx="2">
                  <c:v>15</c:v>
                </c:pt>
                <c:pt idx="3">
                  <c:v>27</c:v>
                </c:pt>
                <c:pt idx="4">
                  <c:v>22</c:v>
                </c:pt>
                <c:pt idx="5">
                  <c:v>35</c:v>
                </c:pt>
                <c:pt idx="6">
                  <c:v>24</c:v>
                </c:pt>
                <c:pt idx="7">
                  <c:v>20</c:v>
                </c:pt>
                <c:pt idx="8">
                  <c:v>45</c:v>
                </c:pt>
                <c:pt idx="9">
                  <c:v>64</c:v>
                </c:pt>
                <c:pt idx="10">
                  <c:v>67</c:v>
                </c:pt>
                <c:pt idx="11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'29.07 Mulago-Kyebando'!$U$9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Mulago-Kyebando'!$U$10:$U$21</c:f>
              <c:numCache>
                <c:formatCode>0</c:formatCode>
                <c:ptCount val="12"/>
                <c:pt idx="0">
                  <c:v>0</c:v>
                </c:pt>
                <c:pt idx="1">
                  <c:v>7</c:v>
                </c:pt>
                <c:pt idx="2">
                  <c:v>18</c:v>
                </c:pt>
                <c:pt idx="3">
                  <c:v>30</c:v>
                </c:pt>
                <c:pt idx="4">
                  <c:v>45</c:v>
                </c:pt>
                <c:pt idx="5">
                  <c:v>31</c:v>
                </c:pt>
                <c:pt idx="6">
                  <c:v>33</c:v>
                </c:pt>
                <c:pt idx="7">
                  <c:v>40</c:v>
                </c:pt>
                <c:pt idx="8">
                  <c:v>57</c:v>
                </c:pt>
                <c:pt idx="9">
                  <c:v>62</c:v>
                </c:pt>
                <c:pt idx="10">
                  <c:v>50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'29.07 Mulago-Kyebando'!$V$9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Mulago-Kyebando'!$V$10:$V$21</c:f>
              <c:numCache>
                <c:formatCode>0</c:formatCode>
                <c:ptCount val="12"/>
                <c:pt idx="0">
                  <c:v>0</c:v>
                </c:pt>
                <c:pt idx="1">
                  <c:v>31</c:v>
                </c:pt>
                <c:pt idx="2">
                  <c:v>64</c:v>
                </c:pt>
                <c:pt idx="3">
                  <c:v>69</c:v>
                </c:pt>
                <c:pt idx="4">
                  <c:v>50</c:v>
                </c:pt>
                <c:pt idx="5">
                  <c:v>55</c:v>
                </c:pt>
                <c:pt idx="6">
                  <c:v>53</c:v>
                </c:pt>
                <c:pt idx="7">
                  <c:v>37</c:v>
                </c:pt>
                <c:pt idx="8">
                  <c:v>60</c:v>
                </c:pt>
                <c:pt idx="9">
                  <c:v>87</c:v>
                </c:pt>
                <c:pt idx="10">
                  <c:v>78</c:v>
                </c:pt>
                <c:pt idx="1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'29.07 Mulago-Kyebando'!$W$9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Mulago-Kyebando'!$W$10:$W$21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'29.07 Mulago-Kyebando'!$X$9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Mulago-Kyebando'!$X$10:$X$21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'29.07 Mulago-Kyebando'!$Y$9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Mulago-Kyebando'!$Y$10:$Y$21</c:f>
              <c:numCache>
                <c:formatCode>0</c:formatCode>
                <c:ptCount val="12"/>
                <c:pt idx="0">
                  <c:v>0</c:v>
                </c:pt>
                <c:pt idx="1">
                  <c:v>12</c:v>
                </c:pt>
                <c:pt idx="2">
                  <c:v>31</c:v>
                </c:pt>
                <c:pt idx="3">
                  <c:v>19</c:v>
                </c:pt>
                <c:pt idx="4">
                  <c:v>24</c:v>
                </c:pt>
                <c:pt idx="5">
                  <c:v>14</c:v>
                </c:pt>
                <c:pt idx="6">
                  <c:v>26</c:v>
                </c:pt>
                <c:pt idx="7">
                  <c:v>21</c:v>
                </c:pt>
                <c:pt idx="8">
                  <c:v>22</c:v>
                </c:pt>
                <c:pt idx="9">
                  <c:v>17</c:v>
                </c:pt>
                <c:pt idx="10">
                  <c:v>16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'29.07 Mulago-Kyebando'!$Z$9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Mulago-Kyebando'!$Z$10:$Z$21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8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8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'29.07 Mulago-Kyebando'!$AA$9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Mulago-Kyebando'!$AA$10:$AA$21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'29.07 Mulago-Kyebando'!$AB$9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Mulago-Kyebando'!$AB$10:$AB$21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'29.07 Mulago-Kyebando'!$AC$9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Mulago-Kyebando'!$AC$10:$AC$21</c:f>
              <c:numCache>
                <c:formatCode>0</c:formatCode>
                <c:ptCount val="12"/>
                <c:pt idx="0">
                  <c:v>0</c:v>
                </c:pt>
                <c:pt idx="1">
                  <c:v>895</c:v>
                </c:pt>
                <c:pt idx="2">
                  <c:v>880</c:v>
                </c:pt>
                <c:pt idx="3">
                  <c:v>614</c:v>
                </c:pt>
                <c:pt idx="4">
                  <c:v>492</c:v>
                </c:pt>
                <c:pt idx="5">
                  <c:v>344</c:v>
                </c:pt>
                <c:pt idx="6">
                  <c:v>384</c:v>
                </c:pt>
                <c:pt idx="7">
                  <c:v>414</c:v>
                </c:pt>
                <c:pt idx="8">
                  <c:v>488</c:v>
                </c:pt>
                <c:pt idx="9">
                  <c:v>540</c:v>
                </c:pt>
                <c:pt idx="10">
                  <c:v>639</c:v>
                </c:pt>
                <c:pt idx="11">
                  <c:v>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'29.07 Mulago-Kyebando'!$AD$9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Mulago-Kyebando'!$AD$10:$AD$21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22496"/>
        <c:axId val="115609600"/>
      </c:lineChart>
      <c:catAx>
        <c:axId val="11572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609600"/>
        <c:crosses val="autoZero"/>
        <c:auto val="1"/>
        <c:lblAlgn val="ctr"/>
        <c:lblOffset val="100"/>
        <c:noMultiLvlLbl val="0"/>
      </c:catAx>
      <c:valAx>
        <c:axId val="1156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72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Mulago-Kyebando'!$C$9:$N$9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Mulago-Kyebando'!$C$60:$N$60</c:f>
              <c:numCache>
                <c:formatCode>0.00%</c:formatCode>
                <c:ptCount val="12"/>
                <c:pt idx="0">
                  <c:v>0.6356504685116583</c:v>
                </c:pt>
                <c:pt idx="1">
                  <c:v>8.0409675310525175E-2</c:v>
                </c:pt>
                <c:pt idx="2">
                  <c:v>8.6729134887775117E-2</c:v>
                </c:pt>
                <c:pt idx="3">
                  <c:v>0.13924602309871431</c:v>
                </c:pt>
                <c:pt idx="4">
                  <c:v>4.3582479843103069E-3</c:v>
                </c:pt>
                <c:pt idx="5">
                  <c:v>4.3582479843103073E-4</c:v>
                </c:pt>
                <c:pt idx="6">
                  <c:v>4.5107866637611682E-2</c:v>
                </c:pt>
                <c:pt idx="7">
                  <c:v>6.9731967748964917E-3</c:v>
                </c:pt>
                <c:pt idx="8">
                  <c:v>1.0895619960775767E-3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'30.07 -Kyebando-Mulago'!$AE$9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'30.07 -Kyebando-Mulago'!$R$10:$R$21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'30.07 -Kyebando-Mulago'!$AE$10:$AE$21</c:f>
              <c:numCache>
                <c:formatCode>0</c:formatCode>
                <c:ptCount val="12"/>
                <c:pt idx="0">
                  <c:v>1229</c:v>
                </c:pt>
                <c:pt idx="1">
                  <c:v>857</c:v>
                </c:pt>
                <c:pt idx="2">
                  <c:v>611</c:v>
                </c:pt>
                <c:pt idx="3">
                  <c:v>514</c:v>
                </c:pt>
                <c:pt idx="4">
                  <c:v>341</c:v>
                </c:pt>
                <c:pt idx="5">
                  <c:v>328</c:v>
                </c:pt>
                <c:pt idx="6">
                  <c:v>304</c:v>
                </c:pt>
                <c:pt idx="7">
                  <c:v>228</c:v>
                </c:pt>
                <c:pt idx="8">
                  <c:v>274</c:v>
                </c:pt>
                <c:pt idx="9">
                  <c:v>295</c:v>
                </c:pt>
                <c:pt idx="10">
                  <c:v>268</c:v>
                </c:pt>
                <c:pt idx="11">
                  <c:v>249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'30.07 -Kyebando-Mulago'!$AF$9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'30.07 -Kyebando-Mulago'!$R$10:$R$21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'30.07 -Kyebando-Mulago'!$AF$10:$AF$21</c:f>
              <c:numCache>
                <c:formatCode>0</c:formatCode>
                <c:ptCount val="12"/>
                <c:pt idx="0">
                  <c:v>1868</c:v>
                </c:pt>
                <c:pt idx="1">
                  <c:v>1684</c:v>
                </c:pt>
                <c:pt idx="2">
                  <c:v>1272</c:v>
                </c:pt>
                <c:pt idx="3">
                  <c:v>1010</c:v>
                </c:pt>
                <c:pt idx="4">
                  <c:v>706</c:v>
                </c:pt>
                <c:pt idx="5">
                  <c:v>651</c:v>
                </c:pt>
                <c:pt idx="6">
                  <c:v>555</c:v>
                </c:pt>
                <c:pt idx="7">
                  <c:v>559</c:v>
                </c:pt>
                <c:pt idx="8">
                  <c:v>598</c:v>
                </c:pt>
                <c:pt idx="9">
                  <c:v>640</c:v>
                </c:pt>
                <c:pt idx="10">
                  <c:v>747</c:v>
                </c:pt>
                <c:pt idx="11">
                  <c:v>644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80320"/>
        <c:axId val="115882240"/>
      </c:lineChart>
      <c:catAx>
        <c:axId val="115880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2240"/>
        <c:crosses val="autoZero"/>
        <c:auto val="1"/>
        <c:lblAlgn val="ctr"/>
        <c:lblOffset val="100"/>
        <c:noMultiLvlLbl val="0"/>
      </c:catAx>
      <c:valAx>
        <c:axId val="115882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'30.07 -Kyebando-Mulago'!$C$9:$N$9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'30.07 -Kyebando-Mulago'!$C$59:$N$59</c:f>
              <c:numCache>
                <c:formatCode>0.0%</c:formatCode>
                <c:ptCount val="12"/>
                <c:pt idx="0">
                  <c:v>0.31370038412291934</c:v>
                </c:pt>
                <c:pt idx="1">
                  <c:v>5.2679714651545639E-2</c:v>
                </c:pt>
                <c:pt idx="2">
                  <c:v>3.6400219498811046E-2</c:v>
                </c:pt>
                <c:pt idx="3">
                  <c:v>8.1580391439546374E-2</c:v>
                </c:pt>
                <c:pt idx="4">
                  <c:v>7.3166270349368941E-4</c:v>
                </c:pt>
                <c:pt idx="5">
                  <c:v>0</c:v>
                </c:pt>
                <c:pt idx="6">
                  <c:v>1.4541796231937076E-2</c:v>
                </c:pt>
                <c:pt idx="7">
                  <c:v>3.1095664898481801E-3</c:v>
                </c:pt>
                <c:pt idx="8">
                  <c:v>9.1457837936711176E-5</c:v>
                </c:pt>
                <c:pt idx="9">
                  <c:v>0</c:v>
                </c:pt>
                <c:pt idx="10">
                  <c:v>0.49716480702396193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'30.07 -Kyebando-Mulago'!$S$9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'30.07 -Kyebando-Mulago'!$R$10:$R$21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'30.07 -Kyebando-Mulago'!$S$10:$S$21</c:f>
              <c:numCache>
                <c:formatCode>0</c:formatCode>
                <c:ptCount val="12"/>
                <c:pt idx="0">
                  <c:v>831</c:v>
                </c:pt>
                <c:pt idx="1">
                  <c:v>516</c:v>
                </c:pt>
                <c:pt idx="2">
                  <c:v>378</c:v>
                </c:pt>
                <c:pt idx="3">
                  <c:v>316</c:v>
                </c:pt>
                <c:pt idx="4">
                  <c:v>215</c:v>
                </c:pt>
                <c:pt idx="5">
                  <c:v>203</c:v>
                </c:pt>
                <c:pt idx="6">
                  <c:v>188</c:v>
                </c:pt>
                <c:pt idx="7">
                  <c:v>137</c:v>
                </c:pt>
                <c:pt idx="8">
                  <c:v>157</c:v>
                </c:pt>
                <c:pt idx="9">
                  <c:v>182</c:v>
                </c:pt>
                <c:pt idx="10">
                  <c:v>156</c:v>
                </c:pt>
                <c:pt idx="11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'30.07 -Kyebando-Mulago'!$T$9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'30.07 -Kyebando-Mulago'!$R$10:$R$21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'30.07 -Kyebando-Mulago'!$T$10:$T$21</c:f>
              <c:numCache>
                <c:formatCode>0</c:formatCode>
                <c:ptCount val="12"/>
                <c:pt idx="0">
                  <c:v>81</c:v>
                </c:pt>
                <c:pt idx="1">
                  <c:v>74</c:v>
                </c:pt>
                <c:pt idx="2">
                  <c:v>70</c:v>
                </c:pt>
                <c:pt idx="3">
                  <c:v>73</c:v>
                </c:pt>
                <c:pt idx="4">
                  <c:v>47</c:v>
                </c:pt>
                <c:pt idx="5">
                  <c:v>42</c:v>
                </c:pt>
                <c:pt idx="6">
                  <c:v>32</c:v>
                </c:pt>
                <c:pt idx="7">
                  <c:v>22</c:v>
                </c:pt>
                <c:pt idx="8">
                  <c:v>31</c:v>
                </c:pt>
                <c:pt idx="9">
                  <c:v>43</c:v>
                </c:pt>
                <c:pt idx="10">
                  <c:v>29</c:v>
                </c:pt>
                <c:pt idx="11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'30.07 -Kyebando-Mulago'!$U$9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'30.07 -Kyebando-Mulago'!$U$10:$U$21</c:f>
              <c:numCache>
                <c:formatCode>0</c:formatCode>
                <c:ptCount val="12"/>
                <c:pt idx="0">
                  <c:v>59</c:v>
                </c:pt>
                <c:pt idx="1">
                  <c:v>50</c:v>
                </c:pt>
                <c:pt idx="2">
                  <c:v>46</c:v>
                </c:pt>
                <c:pt idx="3">
                  <c:v>44</c:v>
                </c:pt>
                <c:pt idx="4">
                  <c:v>15</c:v>
                </c:pt>
                <c:pt idx="5">
                  <c:v>33</c:v>
                </c:pt>
                <c:pt idx="6">
                  <c:v>25</c:v>
                </c:pt>
                <c:pt idx="7">
                  <c:v>17</c:v>
                </c:pt>
                <c:pt idx="8">
                  <c:v>30</c:v>
                </c:pt>
                <c:pt idx="9">
                  <c:v>26</c:v>
                </c:pt>
                <c:pt idx="10">
                  <c:v>26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'30.07 -Kyebando-Mulago'!$V$9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'30.07 -Kyebando-Mulago'!$V$10:$V$21</c:f>
              <c:numCache>
                <c:formatCode>0</c:formatCode>
                <c:ptCount val="12"/>
                <c:pt idx="0">
                  <c:v>249</c:v>
                </c:pt>
                <c:pt idx="1">
                  <c:v>198</c:v>
                </c:pt>
                <c:pt idx="2">
                  <c:v>92</c:v>
                </c:pt>
                <c:pt idx="3">
                  <c:v>61</c:v>
                </c:pt>
                <c:pt idx="4">
                  <c:v>44</c:v>
                </c:pt>
                <c:pt idx="5">
                  <c:v>32</c:v>
                </c:pt>
                <c:pt idx="6">
                  <c:v>38</c:v>
                </c:pt>
                <c:pt idx="7">
                  <c:v>38</c:v>
                </c:pt>
                <c:pt idx="8">
                  <c:v>41</c:v>
                </c:pt>
                <c:pt idx="9">
                  <c:v>33</c:v>
                </c:pt>
                <c:pt idx="10">
                  <c:v>37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'30.07 -Kyebando-Mulago'!$W$9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'30.07 -Kyebando-Mulago'!$W$10:$W$21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'30.07 -Kyebando-Mulago'!$X$9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'30.07 -Kyebando-Mulago'!$X$10:$X$21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'30.07 -Kyebando-Mulago'!$Y$9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'30.07 -Kyebando-Mulago'!$Y$10:$Y$21</c:f>
              <c:numCache>
                <c:formatCode>0</c:formatCode>
                <c:ptCount val="12"/>
                <c:pt idx="0">
                  <c:v>7</c:v>
                </c:pt>
                <c:pt idx="1">
                  <c:v>15</c:v>
                </c:pt>
                <c:pt idx="2">
                  <c:v>22</c:v>
                </c:pt>
                <c:pt idx="3">
                  <c:v>14</c:v>
                </c:pt>
                <c:pt idx="4">
                  <c:v>17</c:v>
                </c:pt>
                <c:pt idx="5">
                  <c:v>11</c:v>
                </c:pt>
                <c:pt idx="6">
                  <c:v>14</c:v>
                </c:pt>
                <c:pt idx="7">
                  <c:v>10</c:v>
                </c:pt>
                <c:pt idx="8">
                  <c:v>13</c:v>
                </c:pt>
                <c:pt idx="9">
                  <c:v>10</c:v>
                </c:pt>
                <c:pt idx="10">
                  <c:v>17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'30.07 -Kyebando-Mulago'!$Z$9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'30.07 -Kyebando-Mulago'!$Z$10:$Z$21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'30.07 -Kyebando-Mulago'!$AA$9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'30.07 -Kyebando-Mulago'!$AA$10:$AA$21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'30.07 -Kyebando-Mulago'!$AB$9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'30.07 -Kyebando-Mulago'!$AB$10:$AB$21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'30.07 -Kyebando-Mulago'!$AC$9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'30.07 -Kyebando-Mulago'!$AC$10:$AC$21</c:f>
              <c:numCache>
                <c:formatCode>0</c:formatCode>
                <c:ptCount val="12"/>
                <c:pt idx="0">
                  <c:v>639</c:v>
                </c:pt>
                <c:pt idx="1">
                  <c:v>827</c:v>
                </c:pt>
                <c:pt idx="2">
                  <c:v>661</c:v>
                </c:pt>
                <c:pt idx="3">
                  <c:v>496</c:v>
                </c:pt>
                <c:pt idx="4">
                  <c:v>365</c:v>
                </c:pt>
                <c:pt idx="5">
                  <c:v>323</c:v>
                </c:pt>
                <c:pt idx="6">
                  <c:v>251</c:v>
                </c:pt>
                <c:pt idx="7">
                  <c:v>331</c:v>
                </c:pt>
                <c:pt idx="8">
                  <c:v>324</c:v>
                </c:pt>
                <c:pt idx="9">
                  <c:v>345</c:v>
                </c:pt>
                <c:pt idx="10">
                  <c:v>479</c:v>
                </c:pt>
                <c:pt idx="11">
                  <c:v>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'30.07 -Kyebando-Mulago'!$AD$9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'30.07 -Kyebando-Mulago'!$AD$10:$AD$21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43296"/>
        <c:axId val="115944832"/>
      </c:lineChart>
      <c:catAx>
        <c:axId val="11594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44832"/>
        <c:crosses val="autoZero"/>
        <c:auto val="1"/>
        <c:lblAlgn val="ctr"/>
        <c:lblOffset val="100"/>
        <c:noMultiLvlLbl val="0"/>
      </c:catAx>
      <c:valAx>
        <c:axId val="1159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4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'30.07 -Kyebando-Mulago'!$C$9:$N$9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'30.07 -Kyebando-Mulago'!$C$60:$N$60</c:f>
              <c:numCache>
                <c:formatCode>0.00%</c:formatCode>
                <c:ptCount val="12"/>
                <c:pt idx="0">
                  <c:v>0.62386322299017827</c:v>
                </c:pt>
                <c:pt idx="1">
                  <c:v>0.10476536922517279</c:v>
                </c:pt>
                <c:pt idx="2">
                  <c:v>7.2389959985449254E-2</c:v>
                </c:pt>
                <c:pt idx="3">
                  <c:v>0.16224081484176064</c:v>
                </c:pt>
                <c:pt idx="4">
                  <c:v>1.4550745725718443E-3</c:v>
                </c:pt>
                <c:pt idx="5">
                  <c:v>0</c:v>
                </c:pt>
                <c:pt idx="6">
                  <c:v>2.8919607129865407E-2</c:v>
                </c:pt>
                <c:pt idx="7">
                  <c:v>6.1840669334303384E-3</c:v>
                </c:pt>
                <c:pt idx="8">
                  <c:v>1.8188432157148054E-4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Mulago-Kyebando'!$AE$9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Mulago-Kyebando'!$AE$10:$AE$21</c:f>
              <c:numCache>
                <c:formatCode>0</c:formatCode>
                <c:ptCount val="12"/>
                <c:pt idx="0">
                  <c:v>188</c:v>
                </c:pt>
                <c:pt idx="1">
                  <c:v>185</c:v>
                </c:pt>
                <c:pt idx="2">
                  <c:v>240</c:v>
                </c:pt>
                <c:pt idx="3">
                  <c:v>262</c:v>
                </c:pt>
                <c:pt idx="4">
                  <c:v>261</c:v>
                </c:pt>
                <c:pt idx="5">
                  <c:v>262</c:v>
                </c:pt>
                <c:pt idx="6">
                  <c:v>293</c:v>
                </c:pt>
                <c:pt idx="7">
                  <c:v>286</c:v>
                </c:pt>
                <c:pt idx="8">
                  <c:v>374</c:v>
                </c:pt>
                <c:pt idx="9">
                  <c:v>517</c:v>
                </c:pt>
                <c:pt idx="10">
                  <c:v>814</c:v>
                </c:pt>
                <c:pt idx="11">
                  <c:v>669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'30.07 Mulago-Kyebando'!$AF$9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Mulago-Kyebando'!$AF$10:$AF$21</c:f>
              <c:numCache>
                <c:formatCode>0</c:formatCode>
                <c:ptCount val="12"/>
                <c:pt idx="0">
                  <c:v>843</c:v>
                </c:pt>
                <c:pt idx="1">
                  <c:v>912</c:v>
                </c:pt>
                <c:pt idx="2">
                  <c:v>941</c:v>
                </c:pt>
                <c:pt idx="3">
                  <c:v>859</c:v>
                </c:pt>
                <c:pt idx="4">
                  <c:v>590</c:v>
                </c:pt>
                <c:pt idx="5">
                  <c:v>578</c:v>
                </c:pt>
                <c:pt idx="6">
                  <c:v>594</c:v>
                </c:pt>
                <c:pt idx="7">
                  <c:v>601</c:v>
                </c:pt>
                <c:pt idx="8">
                  <c:v>692</c:v>
                </c:pt>
                <c:pt idx="9">
                  <c:v>852</c:v>
                </c:pt>
                <c:pt idx="10">
                  <c:v>1200</c:v>
                </c:pt>
                <c:pt idx="11">
                  <c:v>949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273152"/>
        <c:axId val="116275072"/>
      </c:lineChart>
      <c:catAx>
        <c:axId val="116273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275072"/>
        <c:crosses val="autoZero"/>
        <c:auto val="1"/>
        <c:lblAlgn val="ctr"/>
        <c:lblOffset val="100"/>
        <c:noMultiLvlLbl val="0"/>
      </c:catAx>
      <c:valAx>
        <c:axId val="1162750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27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Mulago-Kyebando'!$C$9:$N$9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Mulago-Kyebando'!$C$59:$N$59</c:f>
              <c:numCache>
                <c:formatCode>0.0%</c:formatCode>
                <c:ptCount val="12"/>
                <c:pt idx="0">
                  <c:v>0.30080116533139112</c:v>
                </c:pt>
                <c:pt idx="1">
                  <c:v>3.1838518364374152E-2</c:v>
                </c:pt>
                <c:pt idx="2">
                  <c:v>3.4543751950889608E-2</c:v>
                </c:pt>
                <c:pt idx="3">
                  <c:v>5.8786806783893454E-2</c:v>
                </c:pt>
                <c:pt idx="4">
                  <c:v>1.8728540214337738E-3</c:v>
                </c:pt>
                <c:pt idx="5">
                  <c:v>4.1618978254083863E-4</c:v>
                </c:pt>
                <c:pt idx="6">
                  <c:v>2.080948912704193E-2</c:v>
                </c:pt>
                <c:pt idx="7">
                  <c:v>3.2254708146914994E-3</c:v>
                </c:pt>
                <c:pt idx="8">
                  <c:v>4.1618978254083863E-4</c:v>
                </c:pt>
                <c:pt idx="9">
                  <c:v>0</c:v>
                </c:pt>
                <c:pt idx="10">
                  <c:v>0.54728956404120277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Mulago-Kyebando'!$C$9:$N$9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Mulago-Kyebando'!$C$60:$N$60</c:f>
              <c:numCache>
                <c:formatCode>0.00%</c:formatCode>
                <c:ptCount val="12"/>
                <c:pt idx="0">
                  <c:v>0.66444495518271662</c:v>
                </c:pt>
                <c:pt idx="1">
                  <c:v>7.0328660078142952E-2</c:v>
                </c:pt>
                <c:pt idx="2">
                  <c:v>7.6304297862560336E-2</c:v>
                </c:pt>
                <c:pt idx="3">
                  <c:v>0.1298552056998391</c:v>
                </c:pt>
                <c:pt idx="4">
                  <c:v>4.1369800045966444E-3</c:v>
                </c:pt>
                <c:pt idx="5">
                  <c:v>9.1932888991036541E-4</c:v>
                </c:pt>
                <c:pt idx="6">
                  <c:v>4.5966444495518274E-2</c:v>
                </c:pt>
                <c:pt idx="7">
                  <c:v>7.1247988968053321E-3</c:v>
                </c:pt>
                <c:pt idx="8">
                  <c:v>9.1932888991036541E-4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Kyebando-Mulago'!$AE$9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Kyebando-Mulago'!$AE$10:$AE$21</c:f>
              <c:numCache>
                <c:formatCode>0</c:formatCode>
                <c:ptCount val="12"/>
                <c:pt idx="0">
                  <c:v>1380</c:v>
                </c:pt>
                <c:pt idx="1">
                  <c:v>922</c:v>
                </c:pt>
                <c:pt idx="2">
                  <c:v>476</c:v>
                </c:pt>
                <c:pt idx="3">
                  <c:v>444</c:v>
                </c:pt>
                <c:pt idx="4">
                  <c:v>332</c:v>
                </c:pt>
                <c:pt idx="5">
                  <c:v>272</c:v>
                </c:pt>
                <c:pt idx="6">
                  <c:v>243</c:v>
                </c:pt>
                <c:pt idx="7">
                  <c:v>326</c:v>
                </c:pt>
                <c:pt idx="8">
                  <c:v>255</c:v>
                </c:pt>
                <c:pt idx="9">
                  <c:v>298</c:v>
                </c:pt>
                <c:pt idx="10">
                  <c:v>307</c:v>
                </c:pt>
                <c:pt idx="11">
                  <c:v>224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'31.07 Kyebando-Mulago'!$AF$9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Kyebando-Mulago'!$AF$10:$AF$21</c:f>
              <c:numCache>
                <c:formatCode>0</c:formatCode>
                <c:ptCount val="12"/>
                <c:pt idx="0">
                  <c:v>2088</c:v>
                </c:pt>
                <c:pt idx="1">
                  <c:v>1797</c:v>
                </c:pt>
                <c:pt idx="2">
                  <c:v>998</c:v>
                </c:pt>
                <c:pt idx="3">
                  <c:v>860</c:v>
                </c:pt>
                <c:pt idx="4">
                  <c:v>664</c:v>
                </c:pt>
                <c:pt idx="5">
                  <c:v>575</c:v>
                </c:pt>
                <c:pt idx="6">
                  <c:v>540</c:v>
                </c:pt>
                <c:pt idx="7">
                  <c:v>606</c:v>
                </c:pt>
                <c:pt idx="8">
                  <c:v>549</c:v>
                </c:pt>
                <c:pt idx="9">
                  <c:v>702</c:v>
                </c:pt>
                <c:pt idx="10">
                  <c:v>722</c:v>
                </c:pt>
                <c:pt idx="11">
                  <c:v>535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73312"/>
        <c:axId val="116575232"/>
      </c:lineChart>
      <c:catAx>
        <c:axId val="1165733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575232"/>
        <c:crosses val="autoZero"/>
        <c:auto val="1"/>
        <c:lblAlgn val="ctr"/>
        <c:lblOffset val="100"/>
        <c:noMultiLvlLbl val="0"/>
      </c:catAx>
      <c:valAx>
        <c:axId val="11657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57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Kyebando-Mulago'!$C$9:$N$9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Kyebando-Mulago'!$C$59:$N$59</c:f>
              <c:numCache>
                <c:formatCode>0.0%</c:formatCode>
                <c:ptCount val="12"/>
                <c:pt idx="0">
                  <c:v>0.31534411432869502</c:v>
                </c:pt>
                <c:pt idx="1">
                  <c:v>5.5095900714554343E-2</c:v>
                </c:pt>
                <c:pt idx="2">
                  <c:v>3.3001128243700641E-2</c:v>
                </c:pt>
                <c:pt idx="3">
                  <c:v>9.1575780368559609E-2</c:v>
                </c:pt>
                <c:pt idx="4">
                  <c:v>1.0342233922527265E-3</c:v>
                </c:pt>
                <c:pt idx="5">
                  <c:v>1.8804061677322301E-4</c:v>
                </c:pt>
                <c:pt idx="6">
                  <c:v>1.5701391500564123E-2</c:v>
                </c:pt>
                <c:pt idx="7">
                  <c:v>3.1966904851447914E-3</c:v>
                </c:pt>
                <c:pt idx="8">
                  <c:v>0</c:v>
                </c:pt>
                <c:pt idx="9">
                  <c:v>0</c:v>
                </c:pt>
                <c:pt idx="10">
                  <c:v>0.48486273034975552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Kyebando-Mulago'!$S$9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Kyebando-Mulago'!$S$10:$S$21</c:f>
              <c:numCache>
                <c:formatCode>0</c:formatCode>
                <c:ptCount val="12"/>
                <c:pt idx="0">
                  <c:v>868</c:v>
                </c:pt>
                <c:pt idx="1">
                  <c:v>550</c:v>
                </c:pt>
                <c:pt idx="2">
                  <c:v>298</c:v>
                </c:pt>
                <c:pt idx="3">
                  <c:v>283</c:v>
                </c:pt>
                <c:pt idx="4">
                  <c:v>203</c:v>
                </c:pt>
                <c:pt idx="5">
                  <c:v>148</c:v>
                </c:pt>
                <c:pt idx="6">
                  <c:v>136</c:v>
                </c:pt>
                <c:pt idx="7">
                  <c:v>222</c:v>
                </c:pt>
                <c:pt idx="8">
                  <c:v>144</c:v>
                </c:pt>
                <c:pt idx="9">
                  <c:v>175</c:v>
                </c:pt>
                <c:pt idx="10">
                  <c:v>197</c:v>
                </c:pt>
                <c:pt idx="11">
                  <c:v>130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'31.07 Kyebando-Mulago'!$T$9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Kyebando-Mulago'!$T$10:$T$21</c:f>
              <c:numCache>
                <c:formatCode>0</c:formatCode>
                <c:ptCount val="12"/>
                <c:pt idx="0">
                  <c:v>124</c:v>
                </c:pt>
                <c:pt idx="1">
                  <c:v>79</c:v>
                </c:pt>
                <c:pt idx="2">
                  <c:v>49</c:v>
                </c:pt>
                <c:pt idx="3">
                  <c:v>51</c:v>
                </c:pt>
                <c:pt idx="4">
                  <c:v>38</c:v>
                </c:pt>
                <c:pt idx="5">
                  <c:v>45</c:v>
                </c:pt>
                <c:pt idx="6">
                  <c:v>23</c:v>
                </c:pt>
                <c:pt idx="7">
                  <c:v>33</c:v>
                </c:pt>
                <c:pt idx="8">
                  <c:v>37</c:v>
                </c:pt>
                <c:pt idx="9">
                  <c:v>32</c:v>
                </c:pt>
                <c:pt idx="10">
                  <c:v>41</c:v>
                </c:pt>
                <c:pt idx="11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'31.07 Kyebando-Mulago'!$U$9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Kyebando-Mulago'!$U$10:$U$21</c:f>
              <c:numCache>
                <c:formatCode>0</c:formatCode>
                <c:ptCount val="12"/>
                <c:pt idx="0">
                  <c:v>49</c:v>
                </c:pt>
                <c:pt idx="1">
                  <c:v>50</c:v>
                </c:pt>
                <c:pt idx="2">
                  <c:v>31</c:v>
                </c:pt>
                <c:pt idx="3">
                  <c:v>29</c:v>
                </c:pt>
                <c:pt idx="4">
                  <c:v>35</c:v>
                </c:pt>
                <c:pt idx="5">
                  <c:v>19</c:v>
                </c:pt>
                <c:pt idx="6">
                  <c:v>28</c:v>
                </c:pt>
                <c:pt idx="7">
                  <c:v>35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'31.07 Kyebando-Mulago'!$V$9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Kyebando-Mulago'!$V$10:$V$21</c:f>
              <c:numCache>
                <c:formatCode>0</c:formatCode>
                <c:ptCount val="12"/>
                <c:pt idx="0">
                  <c:v>318</c:v>
                </c:pt>
                <c:pt idx="1">
                  <c:v>218</c:v>
                </c:pt>
                <c:pt idx="2">
                  <c:v>89</c:v>
                </c:pt>
                <c:pt idx="3">
                  <c:v>62</c:v>
                </c:pt>
                <c:pt idx="4">
                  <c:v>37</c:v>
                </c:pt>
                <c:pt idx="5">
                  <c:v>44</c:v>
                </c:pt>
                <c:pt idx="6">
                  <c:v>40</c:v>
                </c:pt>
                <c:pt idx="7">
                  <c:v>25</c:v>
                </c:pt>
                <c:pt idx="8">
                  <c:v>34</c:v>
                </c:pt>
                <c:pt idx="9">
                  <c:v>50</c:v>
                </c:pt>
                <c:pt idx="10">
                  <c:v>26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'31.07 Kyebando-Mulago'!$W$9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Kyebando-Mulago'!$W$10:$W$21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'31.07 Kyebando-Mulago'!$X$9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Kyebando-Mulago'!$X$10:$X$21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'31.07 Kyebando-Mulago'!$Y$9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Kyebando-Mulago'!$Y$10:$Y$21</c:f>
              <c:numCache>
                <c:formatCode>0</c:formatCode>
                <c:ptCount val="12"/>
                <c:pt idx="0">
                  <c:v>14</c:v>
                </c:pt>
                <c:pt idx="1">
                  <c:v>12</c:v>
                </c:pt>
                <c:pt idx="2">
                  <c:v>9</c:v>
                </c:pt>
                <c:pt idx="3">
                  <c:v>17</c:v>
                </c:pt>
                <c:pt idx="4">
                  <c:v>18</c:v>
                </c:pt>
                <c:pt idx="5">
                  <c:v>12</c:v>
                </c:pt>
                <c:pt idx="6">
                  <c:v>13</c:v>
                </c:pt>
                <c:pt idx="7">
                  <c:v>8</c:v>
                </c:pt>
                <c:pt idx="8">
                  <c:v>17</c:v>
                </c:pt>
                <c:pt idx="9">
                  <c:v>14</c:v>
                </c:pt>
                <c:pt idx="10">
                  <c:v>19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'31.07 Kyebando-Mulago'!$Z$9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Kyebando-Mulago'!$Z$10:$Z$21</c:f>
              <c:numCache>
                <c:formatCode>0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6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'31.07 Kyebando-Mulago'!$AA$9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Kyebando-Mulago'!$AA$10:$AA$21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'31.07 Kyebando-Mulago'!$AB$9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Kyebando-Mulago'!$AB$10:$AB$21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'31.07 Kyebando-Mulago'!$AC$9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Kyebando-Mulago'!$AC$10:$AC$21</c:f>
              <c:numCache>
                <c:formatCode>0</c:formatCode>
                <c:ptCount val="12"/>
                <c:pt idx="0">
                  <c:v>708</c:v>
                </c:pt>
                <c:pt idx="1">
                  <c:v>875</c:v>
                </c:pt>
                <c:pt idx="2">
                  <c:v>522</c:v>
                </c:pt>
                <c:pt idx="3">
                  <c:v>416</c:v>
                </c:pt>
                <c:pt idx="4">
                  <c:v>332</c:v>
                </c:pt>
                <c:pt idx="5">
                  <c:v>303</c:v>
                </c:pt>
                <c:pt idx="6">
                  <c:v>297</c:v>
                </c:pt>
                <c:pt idx="7">
                  <c:v>280</c:v>
                </c:pt>
                <c:pt idx="8">
                  <c:v>294</c:v>
                </c:pt>
                <c:pt idx="9">
                  <c:v>404</c:v>
                </c:pt>
                <c:pt idx="10">
                  <c:v>415</c:v>
                </c:pt>
                <c:pt idx="11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'31.07 Kyebando-Mulago'!$AD$9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Kyebando-Mulago'!$AD$10:$AD$21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49280"/>
        <c:axId val="116728192"/>
      </c:lineChart>
      <c:catAx>
        <c:axId val="11684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728192"/>
        <c:crosses val="autoZero"/>
        <c:auto val="1"/>
        <c:lblAlgn val="ctr"/>
        <c:lblOffset val="100"/>
        <c:noMultiLvlLbl val="0"/>
      </c:catAx>
      <c:valAx>
        <c:axId val="11672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4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Kyebando-Mulago'!$C$9:$N$9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Kyebando-Mulago'!$C$60:$N$60</c:f>
              <c:numCache>
                <c:formatCode>0.00%</c:formatCode>
                <c:ptCount val="12"/>
                <c:pt idx="0">
                  <c:v>0.61215550282898334</c:v>
                </c:pt>
                <c:pt idx="1">
                  <c:v>0.10695382369045446</c:v>
                </c:pt>
                <c:pt idx="2">
                  <c:v>6.4062785179777329E-2</c:v>
                </c:pt>
                <c:pt idx="3">
                  <c:v>0.17776966599744479</c:v>
                </c:pt>
                <c:pt idx="4">
                  <c:v>2.0076656324146741E-3</c:v>
                </c:pt>
                <c:pt idx="5">
                  <c:v>3.650301149844862E-4</c:v>
                </c:pt>
                <c:pt idx="6">
                  <c:v>3.04800146012046E-2</c:v>
                </c:pt>
                <c:pt idx="7">
                  <c:v>6.2055119547362661E-3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Mulago-Kyebando'!$AE$9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Mulago-Kyebando'!$AE$10:$AE$21</c:f>
              <c:numCache>
                <c:formatCode>0</c:formatCode>
                <c:ptCount val="12"/>
                <c:pt idx="0">
                  <c:v>221</c:v>
                </c:pt>
                <c:pt idx="1">
                  <c:v>218</c:v>
                </c:pt>
                <c:pt idx="2">
                  <c:v>232</c:v>
                </c:pt>
                <c:pt idx="3">
                  <c:v>278</c:v>
                </c:pt>
                <c:pt idx="4">
                  <c:v>239</c:v>
                </c:pt>
                <c:pt idx="5">
                  <c:v>263</c:v>
                </c:pt>
                <c:pt idx="6">
                  <c:v>275</c:v>
                </c:pt>
                <c:pt idx="7">
                  <c:v>347</c:v>
                </c:pt>
                <c:pt idx="8">
                  <c:v>377</c:v>
                </c:pt>
                <c:pt idx="9">
                  <c:v>626</c:v>
                </c:pt>
                <c:pt idx="10">
                  <c:v>836</c:v>
                </c:pt>
                <c:pt idx="11">
                  <c:v>746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'31.07 Mulago-Kyebando'!$AF$9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Mulago-Kyebando'!$AF$10:$AF$21</c:f>
              <c:numCache>
                <c:formatCode>0</c:formatCode>
                <c:ptCount val="12"/>
                <c:pt idx="0">
                  <c:v>828</c:v>
                </c:pt>
                <c:pt idx="1">
                  <c:v>1133</c:v>
                </c:pt>
                <c:pt idx="2">
                  <c:v>990</c:v>
                </c:pt>
                <c:pt idx="3">
                  <c:v>938</c:v>
                </c:pt>
                <c:pt idx="4">
                  <c:v>751</c:v>
                </c:pt>
                <c:pt idx="5">
                  <c:v>683</c:v>
                </c:pt>
                <c:pt idx="6">
                  <c:v>562</c:v>
                </c:pt>
                <c:pt idx="7">
                  <c:v>799</c:v>
                </c:pt>
                <c:pt idx="8">
                  <c:v>805</c:v>
                </c:pt>
                <c:pt idx="9">
                  <c:v>1008</c:v>
                </c:pt>
                <c:pt idx="10">
                  <c:v>1203</c:v>
                </c:pt>
                <c:pt idx="11">
                  <c:v>1091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31680"/>
        <c:axId val="117033600"/>
      </c:lineChart>
      <c:catAx>
        <c:axId val="1170316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33600"/>
        <c:crosses val="autoZero"/>
        <c:auto val="1"/>
        <c:lblAlgn val="ctr"/>
        <c:lblOffset val="100"/>
        <c:noMultiLvlLbl val="0"/>
      </c:catAx>
      <c:valAx>
        <c:axId val="117033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3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Mulago-Kyebando'!$C$9:$N$9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Mulago-Kyebando'!$C$59:$N$59</c:f>
              <c:numCache>
                <c:formatCode>0.0%</c:formatCode>
                <c:ptCount val="12"/>
                <c:pt idx="0">
                  <c:v>0.27485867852840329</c:v>
                </c:pt>
                <c:pt idx="1">
                  <c:v>3.4658511722731905E-2</c:v>
                </c:pt>
                <c:pt idx="2">
                  <c:v>3.5214530627374667E-2</c:v>
                </c:pt>
                <c:pt idx="3">
                  <c:v>6.0235381336298764E-2</c:v>
                </c:pt>
                <c:pt idx="4">
                  <c:v>3.2434436104160874E-3</c:v>
                </c:pt>
                <c:pt idx="5">
                  <c:v>1.8533963488091929E-4</c:v>
                </c:pt>
                <c:pt idx="6">
                  <c:v>1.9924010749698823E-2</c:v>
                </c:pt>
                <c:pt idx="7">
                  <c:v>2.9654341580947086E-3</c:v>
                </c:pt>
                <c:pt idx="8">
                  <c:v>3.7067926976183858E-4</c:v>
                </c:pt>
                <c:pt idx="9">
                  <c:v>0</c:v>
                </c:pt>
                <c:pt idx="10">
                  <c:v>0.56834399036233896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Mulago-Kyebando'!$S$9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Mulago-Kyebando'!$S$10:$S$21</c:f>
              <c:numCache>
                <c:formatCode>0</c:formatCode>
                <c:ptCount val="12"/>
                <c:pt idx="0">
                  <c:v>130</c:v>
                </c:pt>
                <c:pt idx="1">
                  <c:v>124</c:v>
                </c:pt>
                <c:pt idx="2">
                  <c:v>100</c:v>
                </c:pt>
                <c:pt idx="3">
                  <c:v>137</c:v>
                </c:pt>
                <c:pt idx="4">
                  <c:v>130</c:v>
                </c:pt>
                <c:pt idx="5">
                  <c:v>140</c:v>
                </c:pt>
                <c:pt idx="6">
                  <c:v>151</c:v>
                </c:pt>
                <c:pt idx="7">
                  <c:v>200</c:v>
                </c:pt>
                <c:pt idx="8">
                  <c:v>221</c:v>
                </c:pt>
                <c:pt idx="9">
                  <c:v>453</c:v>
                </c:pt>
                <c:pt idx="10">
                  <c:v>640</c:v>
                </c:pt>
                <c:pt idx="11">
                  <c:v>540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'31.07 Mulago-Kyebando'!$T$9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Mulago-Kyebando'!$T$10:$T$21</c:f>
              <c:numCache>
                <c:formatCode>0</c:formatCode>
                <c:ptCount val="12"/>
                <c:pt idx="0">
                  <c:v>17</c:v>
                </c:pt>
                <c:pt idx="1">
                  <c:v>10</c:v>
                </c:pt>
                <c:pt idx="2">
                  <c:v>23</c:v>
                </c:pt>
                <c:pt idx="3">
                  <c:v>12</c:v>
                </c:pt>
                <c:pt idx="4">
                  <c:v>19</c:v>
                </c:pt>
                <c:pt idx="5">
                  <c:v>20</c:v>
                </c:pt>
                <c:pt idx="6">
                  <c:v>25</c:v>
                </c:pt>
                <c:pt idx="7">
                  <c:v>38</c:v>
                </c:pt>
                <c:pt idx="8">
                  <c:v>44</c:v>
                </c:pt>
                <c:pt idx="9">
                  <c:v>47</c:v>
                </c:pt>
                <c:pt idx="10">
                  <c:v>63</c:v>
                </c:pt>
                <c:pt idx="11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'31.07 Mulago-Kyebando'!$U$9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Mulago-Kyebando'!$U$10:$U$21</c:f>
              <c:numCache>
                <c:formatCode>0</c:formatCode>
                <c:ptCount val="12"/>
                <c:pt idx="0">
                  <c:v>13</c:v>
                </c:pt>
                <c:pt idx="1">
                  <c:v>18</c:v>
                </c:pt>
                <c:pt idx="2">
                  <c:v>32</c:v>
                </c:pt>
                <c:pt idx="3">
                  <c:v>38</c:v>
                </c:pt>
                <c:pt idx="4">
                  <c:v>23</c:v>
                </c:pt>
                <c:pt idx="5">
                  <c:v>32</c:v>
                </c:pt>
                <c:pt idx="6">
                  <c:v>27</c:v>
                </c:pt>
                <c:pt idx="7">
                  <c:v>37</c:v>
                </c:pt>
                <c:pt idx="8">
                  <c:v>36</c:v>
                </c:pt>
                <c:pt idx="9">
                  <c:v>52</c:v>
                </c:pt>
                <c:pt idx="10">
                  <c:v>48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'31.07 Mulago-Kyebando'!$V$9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Mulago-Kyebando'!$V$10:$V$21</c:f>
              <c:numCache>
                <c:formatCode>0</c:formatCode>
                <c:ptCount val="12"/>
                <c:pt idx="0">
                  <c:v>50</c:v>
                </c:pt>
                <c:pt idx="1">
                  <c:v>51</c:v>
                </c:pt>
                <c:pt idx="2">
                  <c:v>49</c:v>
                </c:pt>
                <c:pt idx="3">
                  <c:v>65</c:v>
                </c:pt>
                <c:pt idx="4">
                  <c:v>42</c:v>
                </c:pt>
                <c:pt idx="5">
                  <c:v>43</c:v>
                </c:pt>
                <c:pt idx="6">
                  <c:v>47</c:v>
                </c:pt>
                <c:pt idx="7">
                  <c:v>38</c:v>
                </c:pt>
                <c:pt idx="8">
                  <c:v>42</c:v>
                </c:pt>
                <c:pt idx="9">
                  <c:v>53</c:v>
                </c:pt>
                <c:pt idx="10">
                  <c:v>62</c:v>
                </c:pt>
                <c:pt idx="11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'31.07 Mulago-Kyebando'!$W$9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Mulago-Kyebando'!$W$10:$W$21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'31.07 Mulago-Kyebando'!$X$9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Mulago-Kyebando'!$X$10:$X$21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'31.07 Mulago-Kyebando'!$Y$9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Mulago-Kyebando'!$Y$10:$Y$21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21</c:v>
                </c:pt>
                <c:pt idx="3">
                  <c:v>21</c:v>
                </c:pt>
                <c:pt idx="4">
                  <c:v>19</c:v>
                </c:pt>
                <c:pt idx="5">
                  <c:v>19</c:v>
                </c:pt>
                <c:pt idx="6">
                  <c:v>21</c:v>
                </c:pt>
                <c:pt idx="7">
                  <c:v>29</c:v>
                </c:pt>
                <c:pt idx="8">
                  <c:v>31</c:v>
                </c:pt>
                <c:pt idx="9">
                  <c:v>13</c:v>
                </c:pt>
                <c:pt idx="10">
                  <c:v>16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'31.07 Mulago-Kyebando'!$Z$9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Mulago-Kyebando'!$Z$10:$Z$21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5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'31.07 Mulago-Kyebando'!$AA$9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Mulago-Kyebando'!$AA$10:$AA$21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'31.07 Mulago-Kyebando'!$AB$9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Mulago-Kyebando'!$AB$10:$AB$21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'31.07 Mulago-Kyebando'!$AC$9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Mulago-Kyebando'!$AC$10:$AC$21</c:f>
              <c:numCache>
                <c:formatCode>0</c:formatCode>
                <c:ptCount val="12"/>
                <c:pt idx="0">
                  <c:v>607</c:v>
                </c:pt>
                <c:pt idx="1">
                  <c:v>915</c:v>
                </c:pt>
                <c:pt idx="2">
                  <c:v>758</c:v>
                </c:pt>
                <c:pt idx="3">
                  <c:v>660</c:v>
                </c:pt>
                <c:pt idx="4">
                  <c:v>512</c:v>
                </c:pt>
                <c:pt idx="5">
                  <c:v>420</c:v>
                </c:pt>
                <c:pt idx="6">
                  <c:v>287</c:v>
                </c:pt>
                <c:pt idx="7">
                  <c:v>452</c:v>
                </c:pt>
                <c:pt idx="8">
                  <c:v>428</c:v>
                </c:pt>
                <c:pt idx="9">
                  <c:v>382</c:v>
                </c:pt>
                <c:pt idx="10">
                  <c:v>367</c:v>
                </c:pt>
                <c:pt idx="11">
                  <c:v>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'31.07 Mulago-Kyebando'!$AD$9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Mulago-Kyebando'!$AD$10:$AD$21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03552"/>
        <c:axId val="117047296"/>
      </c:lineChart>
      <c:catAx>
        <c:axId val="11730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47296"/>
        <c:crosses val="autoZero"/>
        <c:auto val="1"/>
        <c:lblAlgn val="ctr"/>
        <c:lblOffset val="100"/>
        <c:noMultiLvlLbl val="0"/>
      </c:catAx>
      <c:valAx>
        <c:axId val="11704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30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Mulago-Kyebando'!$C$9:$N$9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Mulago-Kyebando'!$C$60:$N$60</c:f>
              <c:numCache>
                <c:formatCode>0.00%</c:formatCode>
                <c:ptCount val="12"/>
                <c:pt idx="0">
                  <c:v>0.63675397166165737</c:v>
                </c:pt>
                <c:pt idx="1">
                  <c:v>8.0291970802919707E-2</c:v>
                </c:pt>
                <c:pt idx="2">
                  <c:v>8.1580077286389011E-2</c:v>
                </c:pt>
                <c:pt idx="3">
                  <c:v>0.13954486904250751</c:v>
                </c:pt>
                <c:pt idx="4">
                  <c:v>7.5139544869042511E-3</c:v>
                </c:pt>
                <c:pt idx="5">
                  <c:v>4.2936882782310007E-4</c:v>
                </c:pt>
                <c:pt idx="6">
                  <c:v>4.6157148990983256E-2</c:v>
                </c:pt>
                <c:pt idx="7">
                  <c:v>6.8699012451696011E-3</c:v>
                </c:pt>
                <c:pt idx="8">
                  <c:v>8.5873765564620013E-4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Kyebando-Mulago-24h'!$AE$9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Kyebando-Mulago-24h'!$R$10:$R$33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Kyebando-Mulago-24h'!$AE$10:$AE$33</c:f>
              <c:numCache>
                <c:formatCode>0</c:formatCode>
                <c:ptCount val="24"/>
                <c:pt idx="0">
                  <c:v>1126</c:v>
                </c:pt>
                <c:pt idx="1">
                  <c:v>939</c:v>
                </c:pt>
                <c:pt idx="2">
                  <c:v>582</c:v>
                </c:pt>
                <c:pt idx="3">
                  <c:v>394</c:v>
                </c:pt>
                <c:pt idx="4">
                  <c:v>318</c:v>
                </c:pt>
                <c:pt idx="5">
                  <c:v>286</c:v>
                </c:pt>
                <c:pt idx="6">
                  <c:v>282</c:v>
                </c:pt>
                <c:pt idx="7">
                  <c:v>250</c:v>
                </c:pt>
                <c:pt idx="8">
                  <c:v>245</c:v>
                </c:pt>
                <c:pt idx="9">
                  <c:v>235</c:v>
                </c:pt>
                <c:pt idx="10">
                  <c:v>295</c:v>
                </c:pt>
                <c:pt idx="11">
                  <c:v>229</c:v>
                </c:pt>
                <c:pt idx="12">
                  <c:v>188</c:v>
                </c:pt>
                <c:pt idx="13">
                  <c:v>211</c:v>
                </c:pt>
                <c:pt idx="14">
                  <c:v>173</c:v>
                </c:pt>
                <c:pt idx="15">
                  <c:v>77</c:v>
                </c:pt>
                <c:pt idx="16">
                  <c:v>66</c:v>
                </c:pt>
                <c:pt idx="17">
                  <c:v>21</c:v>
                </c:pt>
                <c:pt idx="18">
                  <c:v>18</c:v>
                </c:pt>
                <c:pt idx="19">
                  <c:v>8</c:v>
                </c:pt>
                <c:pt idx="20">
                  <c:v>3</c:v>
                </c:pt>
                <c:pt idx="21">
                  <c:v>13</c:v>
                </c:pt>
                <c:pt idx="22">
                  <c:v>101</c:v>
                </c:pt>
                <c:pt idx="23">
                  <c:v>1005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'01.08 Kyebando-Mulago-24h'!$AF$9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Kyebando-Mulago-24h'!$R$10:$R$33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Kyebando-Mulago-24h'!$AF$10:$AF$33</c:f>
              <c:numCache>
                <c:formatCode>0</c:formatCode>
                <c:ptCount val="24"/>
                <c:pt idx="0">
                  <c:v>1866</c:v>
                </c:pt>
                <c:pt idx="1">
                  <c:v>1630</c:v>
                </c:pt>
                <c:pt idx="2">
                  <c:v>1042</c:v>
                </c:pt>
                <c:pt idx="3">
                  <c:v>748</c:v>
                </c:pt>
                <c:pt idx="4">
                  <c:v>659</c:v>
                </c:pt>
                <c:pt idx="5">
                  <c:v>526</c:v>
                </c:pt>
                <c:pt idx="6">
                  <c:v>543</c:v>
                </c:pt>
                <c:pt idx="7">
                  <c:v>499</c:v>
                </c:pt>
                <c:pt idx="8">
                  <c:v>492</c:v>
                </c:pt>
                <c:pt idx="9">
                  <c:v>558</c:v>
                </c:pt>
                <c:pt idx="10">
                  <c:v>636</c:v>
                </c:pt>
                <c:pt idx="11">
                  <c:v>567</c:v>
                </c:pt>
                <c:pt idx="12">
                  <c:v>592</c:v>
                </c:pt>
                <c:pt idx="13">
                  <c:v>620</c:v>
                </c:pt>
                <c:pt idx="14">
                  <c:v>506</c:v>
                </c:pt>
                <c:pt idx="15">
                  <c:v>293</c:v>
                </c:pt>
                <c:pt idx="16">
                  <c:v>206</c:v>
                </c:pt>
                <c:pt idx="17">
                  <c:v>83</c:v>
                </c:pt>
                <c:pt idx="18">
                  <c:v>49</c:v>
                </c:pt>
                <c:pt idx="19">
                  <c:v>27</c:v>
                </c:pt>
                <c:pt idx="20">
                  <c:v>19</c:v>
                </c:pt>
                <c:pt idx="21">
                  <c:v>39</c:v>
                </c:pt>
                <c:pt idx="22">
                  <c:v>182</c:v>
                </c:pt>
                <c:pt idx="23">
                  <c:v>1185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70336"/>
        <c:axId val="117472256"/>
      </c:lineChart>
      <c:catAx>
        <c:axId val="1174703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472256"/>
        <c:crosses val="autoZero"/>
        <c:auto val="1"/>
        <c:lblAlgn val="ctr"/>
        <c:lblOffset val="100"/>
        <c:noMultiLvlLbl val="0"/>
      </c:catAx>
      <c:valAx>
        <c:axId val="117472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4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Kyebando-Mulago-24h'!$C$9:$N$9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Kyebando-Mulago-24h'!$C$107:$N$107</c:f>
              <c:numCache>
                <c:formatCode>0.0%</c:formatCode>
                <c:ptCount val="12"/>
                <c:pt idx="0">
                  <c:v>0.33411955480209332</c:v>
                </c:pt>
                <c:pt idx="1">
                  <c:v>4.4003832829660208E-2</c:v>
                </c:pt>
                <c:pt idx="2">
                  <c:v>4.348787499078647E-2</c:v>
                </c:pt>
                <c:pt idx="3">
                  <c:v>8.0710547652391829E-2</c:v>
                </c:pt>
                <c:pt idx="4">
                  <c:v>1.1056239404437238E-3</c:v>
                </c:pt>
                <c:pt idx="5">
                  <c:v>1.474165253924965E-4</c:v>
                </c:pt>
                <c:pt idx="6">
                  <c:v>1.4594236013857153E-2</c:v>
                </c:pt>
                <c:pt idx="7">
                  <c:v>2.2112478808874476E-3</c:v>
                </c:pt>
                <c:pt idx="8">
                  <c:v>2.9483305078499301E-4</c:v>
                </c:pt>
                <c:pt idx="9">
                  <c:v>0</c:v>
                </c:pt>
                <c:pt idx="10">
                  <c:v>0.47925112405100612</c:v>
                </c:pt>
                <c:pt idx="11">
                  <c:v>7.3708262696248252E-5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Kyebando-Mulago-24h'!$C$9:$N$9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Kyebando-Mulago-24h'!$C$108:$N$108</c:f>
              <c:numCache>
                <c:formatCode>0.00%</c:formatCode>
                <c:ptCount val="12"/>
                <c:pt idx="0">
                  <c:v>0.64161358811040337</c:v>
                </c:pt>
                <c:pt idx="1">
                  <c:v>8.4501061571125261E-2</c:v>
                </c:pt>
                <c:pt idx="2">
                  <c:v>8.3510261854210899E-2</c:v>
                </c:pt>
                <c:pt idx="3">
                  <c:v>0.15498938428874734</c:v>
                </c:pt>
                <c:pt idx="4">
                  <c:v>2.1231422505307855E-3</c:v>
                </c:pt>
                <c:pt idx="5">
                  <c:v>2.8308563340410475E-4</c:v>
                </c:pt>
                <c:pt idx="6">
                  <c:v>2.802547770700637E-2</c:v>
                </c:pt>
                <c:pt idx="7">
                  <c:v>4.246284501061571E-3</c:v>
                </c:pt>
                <c:pt idx="8">
                  <c:v>5.661712668082095E-4</c:v>
                </c:pt>
                <c:pt idx="9">
                  <c:v>0</c:v>
                </c:pt>
                <c:pt idx="11">
                  <c:v>1.4154281670205238E-4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Mulago-Kyebando-24h'!$AE$9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Mulago-Kyebando-24h'!$R$10:$R$33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Mulago-Kyebando-24h'!$AE$10:$AE$33</c:f>
              <c:numCache>
                <c:formatCode>0</c:formatCode>
                <c:ptCount val="24"/>
                <c:pt idx="0">
                  <c:v>183</c:v>
                </c:pt>
                <c:pt idx="1">
                  <c:v>186</c:v>
                </c:pt>
                <c:pt idx="2">
                  <c:v>227</c:v>
                </c:pt>
                <c:pt idx="3">
                  <c:v>298</c:v>
                </c:pt>
                <c:pt idx="4">
                  <c:v>334</c:v>
                </c:pt>
                <c:pt idx="5">
                  <c:v>272</c:v>
                </c:pt>
                <c:pt idx="6">
                  <c:v>374</c:v>
                </c:pt>
                <c:pt idx="7">
                  <c:v>313</c:v>
                </c:pt>
                <c:pt idx="8">
                  <c:v>451</c:v>
                </c:pt>
                <c:pt idx="9">
                  <c:v>468</c:v>
                </c:pt>
                <c:pt idx="10">
                  <c:v>725</c:v>
                </c:pt>
                <c:pt idx="11">
                  <c:v>753</c:v>
                </c:pt>
                <c:pt idx="12">
                  <c:v>680</c:v>
                </c:pt>
                <c:pt idx="13">
                  <c:v>786</c:v>
                </c:pt>
                <c:pt idx="14">
                  <c:v>529</c:v>
                </c:pt>
                <c:pt idx="15">
                  <c:v>350</c:v>
                </c:pt>
                <c:pt idx="16">
                  <c:v>168</c:v>
                </c:pt>
                <c:pt idx="17">
                  <c:v>82</c:v>
                </c:pt>
                <c:pt idx="18">
                  <c:v>31</c:v>
                </c:pt>
                <c:pt idx="19">
                  <c:v>28</c:v>
                </c:pt>
                <c:pt idx="20">
                  <c:v>11</c:v>
                </c:pt>
                <c:pt idx="21">
                  <c:v>11</c:v>
                </c:pt>
                <c:pt idx="22">
                  <c:v>46</c:v>
                </c:pt>
                <c:pt idx="23">
                  <c:v>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'01.08 Mulago-Kyebando-24h'!$AF$9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Mulago-Kyebando-24h'!$R$10:$R$33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Mulago-Kyebando-24h'!$AF$10:$AF$33</c:f>
              <c:numCache>
                <c:formatCode>0</c:formatCode>
                <c:ptCount val="24"/>
                <c:pt idx="0">
                  <c:v>794</c:v>
                </c:pt>
                <c:pt idx="1">
                  <c:v>985</c:v>
                </c:pt>
                <c:pt idx="2">
                  <c:v>1004</c:v>
                </c:pt>
                <c:pt idx="3">
                  <c:v>867</c:v>
                </c:pt>
                <c:pt idx="4">
                  <c:v>772</c:v>
                </c:pt>
                <c:pt idx="5">
                  <c:v>707</c:v>
                </c:pt>
                <c:pt idx="6">
                  <c:v>839</c:v>
                </c:pt>
                <c:pt idx="7">
                  <c:v>731</c:v>
                </c:pt>
                <c:pt idx="8">
                  <c:v>898</c:v>
                </c:pt>
                <c:pt idx="9">
                  <c:v>795</c:v>
                </c:pt>
                <c:pt idx="10">
                  <c:v>1135</c:v>
                </c:pt>
                <c:pt idx="11">
                  <c:v>1192</c:v>
                </c:pt>
                <c:pt idx="12">
                  <c:v>1225</c:v>
                </c:pt>
                <c:pt idx="13">
                  <c:v>1391</c:v>
                </c:pt>
                <c:pt idx="14">
                  <c:v>975</c:v>
                </c:pt>
                <c:pt idx="15">
                  <c:v>851</c:v>
                </c:pt>
                <c:pt idx="16">
                  <c:v>431</c:v>
                </c:pt>
                <c:pt idx="17">
                  <c:v>198</c:v>
                </c:pt>
                <c:pt idx="18">
                  <c:v>46</c:v>
                </c:pt>
                <c:pt idx="19">
                  <c:v>43</c:v>
                </c:pt>
                <c:pt idx="20">
                  <c:v>33</c:v>
                </c:pt>
                <c:pt idx="21">
                  <c:v>30</c:v>
                </c:pt>
                <c:pt idx="22">
                  <c:v>107</c:v>
                </c:pt>
                <c:pt idx="23">
                  <c:v>245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54112"/>
        <c:axId val="117772672"/>
      </c:lineChart>
      <c:catAx>
        <c:axId val="11775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772672"/>
        <c:crosses val="autoZero"/>
        <c:auto val="1"/>
        <c:lblAlgn val="ctr"/>
        <c:lblOffset val="100"/>
        <c:noMultiLvlLbl val="0"/>
      </c:catAx>
      <c:valAx>
        <c:axId val="117772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75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Mulago-Kyebando-24h'!$C$9:$N$9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Mulago-Kyebando-24h'!$C$107:$N$107</c:f>
              <c:numCache>
                <c:formatCode>0.0%</c:formatCode>
                <c:ptCount val="12"/>
                <c:pt idx="0">
                  <c:v>0.28924757579477106</c:v>
                </c:pt>
                <c:pt idx="1">
                  <c:v>3.7252976555787409E-2</c:v>
                </c:pt>
                <c:pt idx="2">
                  <c:v>3.3386522646372901E-2</c:v>
                </c:pt>
                <c:pt idx="3">
                  <c:v>7.2664784583282196E-2</c:v>
                </c:pt>
                <c:pt idx="4">
                  <c:v>2.2094022339511476E-3</c:v>
                </c:pt>
                <c:pt idx="5">
                  <c:v>6.1372284276420773E-4</c:v>
                </c:pt>
                <c:pt idx="6">
                  <c:v>1.6447772186080765E-2</c:v>
                </c:pt>
                <c:pt idx="7">
                  <c:v>2.6390082238860932E-3</c:v>
                </c:pt>
                <c:pt idx="8">
                  <c:v>1.2274456855284154E-4</c:v>
                </c:pt>
                <c:pt idx="9">
                  <c:v>0</c:v>
                </c:pt>
                <c:pt idx="10">
                  <c:v>0.54541549036455139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Mulago-Kyebando-24h'!$C$9:$N$9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Mulago-Kyebando-24h'!$C$108:$N$108</c:f>
              <c:numCache>
                <c:formatCode>0.00%</c:formatCode>
                <c:ptCount val="12"/>
                <c:pt idx="0">
                  <c:v>0.6362899959497772</c:v>
                </c:pt>
                <c:pt idx="1">
                  <c:v>8.1949507222897261E-2</c:v>
                </c:pt>
                <c:pt idx="2">
                  <c:v>7.344403942216822E-2</c:v>
                </c:pt>
                <c:pt idx="3">
                  <c:v>0.1598487916835426</c:v>
                </c:pt>
                <c:pt idx="4">
                  <c:v>4.8602673147023082E-3</c:v>
                </c:pt>
                <c:pt idx="5">
                  <c:v>1.3500742540839747E-3</c:v>
                </c:pt>
                <c:pt idx="6">
                  <c:v>3.6181990009450521E-2</c:v>
                </c:pt>
                <c:pt idx="7">
                  <c:v>5.8053192925610906E-3</c:v>
                </c:pt>
                <c:pt idx="8">
                  <c:v>2.700148508167949E-4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Kyebando-Mulago'!$AE$9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Kyebando-Mulago'!$AE$10:$AE$21</c:f>
              <c:numCache>
                <c:formatCode>0</c:formatCode>
                <c:ptCount val="12"/>
                <c:pt idx="0">
                  <c:v>1051</c:v>
                </c:pt>
                <c:pt idx="1">
                  <c:v>715</c:v>
                </c:pt>
                <c:pt idx="2">
                  <c:v>636</c:v>
                </c:pt>
                <c:pt idx="3">
                  <c:v>439</c:v>
                </c:pt>
                <c:pt idx="4">
                  <c:v>332</c:v>
                </c:pt>
                <c:pt idx="5">
                  <c:v>260</c:v>
                </c:pt>
                <c:pt idx="6">
                  <c:v>287</c:v>
                </c:pt>
                <c:pt idx="7">
                  <c:v>284</c:v>
                </c:pt>
                <c:pt idx="8">
                  <c:v>282</c:v>
                </c:pt>
                <c:pt idx="9">
                  <c:v>341</c:v>
                </c:pt>
                <c:pt idx="10">
                  <c:v>310</c:v>
                </c:pt>
                <c:pt idx="11">
                  <c:v>265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'02.08 Kyebando-Mulago'!$AF$9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Kyebando-Mulago'!$AF$10:$AF$21</c:f>
              <c:numCache>
                <c:formatCode>0</c:formatCode>
                <c:ptCount val="12"/>
                <c:pt idx="0">
                  <c:v>1646</c:v>
                </c:pt>
                <c:pt idx="1">
                  <c:v>1380</c:v>
                </c:pt>
                <c:pt idx="2">
                  <c:v>1286</c:v>
                </c:pt>
                <c:pt idx="3">
                  <c:v>780</c:v>
                </c:pt>
                <c:pt idx="4">
                  <c:v>682</c:v>
                </c:pt>
                <c:pt idx="5">
                  <c:v>547</c:v>
                </c:pt>
                <c:pt idx="6">
                  <c:v>651</c:v>
                </c:pt>
                <c:pt idx="7">
                  <c:v>626</c:v>
                </c:pt>
                <c:pt idx="8">
                  <c:v>635</c:v>
                </c:pt>
                <c:pt idx="9">
                  <c:v>709</c:v>
                </c:pt>
                <c:pt idx="10">
                  <c:v>735</c:v>
                </c:pt>
                <c:pt idx="11">
                  <c:v>775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3872"/>
        <c:axId val="117637888"/>
      </c:lineChart>
      <c:catAx>
        <c:axId val="117983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637888"/>
        <c:crosses val="autoZero"/>
        <c:auto val="1"/>
        <c:lblAlgn val="ctr"/>
        <c:lblOffset val="100"/>
        <c:noMultiLvlLbl val="0"/>
      </c:catAx>
      <c:valAx>
        <c:axId val="117637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8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Kyebando-Mulago'!$C$9:$N$9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Kyebando-Mulago'!$C$59:$N$59</c:f>
              <c:numCache>
                <c:formatCode>0.0%</c:formatCode>
                <c:ptCount val="12"/>
                <c:pt idx="0">
                  <c:v>0.30176042862610025</c:v>
                </c:pt>
                <c:pt idx="1">
                  <c:v>6.0753922694221203E-2</c:v>
                </c:pt>
                <c:pt idx="2">
                  <c:v>4.06620742441638E-2</c:v>
                </c:pt>
                <c:pt idx="3">
                  <c:v>7.6253348641408342E-2</c:v>
                </c:pt>
                <c:pt idx="4">
                  <c:v>2.0091848450057405E-3</c:v>
                </c:pt>
                <c:pt idx="5">
                  <c:v>9.567546880979717E-5</c:v>
                </c:pt>
                <c:pt idx="6">
                  <c:v>1.4064293915040185E-2</c:v>
                </c:pt>
                <c:pt idx="7">
                  <c:v>2.0091848450057405E-3</c:v>
                </c:pt>
                <c:pt idx="8">
                  <c:v>9.567546880979717E-5</c:v>
                </c:pt>
                <c:pt idx="9">
                  <c:v>0</c:v>
                </c:pt>
                <c:pt idx="10">
                  <c:v>0.50229621125143509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Kyebando-Mulago'!$C$9:$N$9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Kyebando-Mulago'!$C$60:$N$60</c:f>
              <c:numCache>
                <c:formatCode>0.00%</c:formatCode>
                <c:ptCount val="12"/>
                <c:pt idx="0">
                  <c:v>0.60630526720492117</c:v>
                </c:pt>
                <c:pt idx="1">
                  <c:v>0.12206843521722414</c:v>
                </c:pt>
                <c:pt idx="2">
                  <c:v>8.1699346405228759E-2</c:v>
                </c:pt>
                <c:pt idx="3">
                  <c:v>0.15321030372933486</c:v>
                </c:pt>
                <c:pt idx="4">
                  <c:v>4.0369088811995383E-3</c:v>
                </c:pt>
                <c:pt idx="5">
                  <c:v>1.9223375624759708E-4</c:v>
                </c:pt>
                <c:pt idx="6">
                  <c:v>2.8258362168396771E-2</c:v>
                </c:pt>
                <c:pt idx="7">
                  <c:v>4.0369088811995383E-3</c:v>
                </c:pt>
                <c:pt idx="8">
                  <c:v>1.9223375624759708E-4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Mulago-Kyebando'!$AE$9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Mulago-Kyebando'!$AE$10:$AE$21</c:f>
              <c:numCache>
                <c:formatCode>0</c:formatCode>
                <c:ptCount val="12"/>
                <c:pt idx="0">
                  <c:v>150</c:v>
                </c:pt>
                <c:pt idx="1">
                  <c:v>140</c:v>
                </c:pt>
                <c:pt idx="2">
                  <c:v>212</c:v>
                </c:pt>
                <c:pt idx="3">
                  <c:v>303</c:v>
                </c:pt>
                <c:pt idx="4">
                  <c:v>277</c:v>
                </c:pt>
                <c:pt idx="5">
                  <c:v>227</c:v>
                </c:pt>
                <c:pt idx="6">
                  <c:v>298</c:v>
                </c:pt>
                <c:pt idx="7">
                  <c:v>474</c:v>
                </c:pt>
                <c:pt idx="8">
                  <c:v>403</c:v>
                </c:pt>
                <c:pt idx="9">
                  <c:v>529</c:v>
                </c:pt>
                <c:pt idx="10">
                  <c:v>647</c:v>
                </c:pt>
                <c:pt idx="11">
                  <c:v>497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'02.08 Mulago-Kyebando'!$AF$9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Mulago-Kyebando'!$AF$10:$AF$21</c:f>
              <c:numCache>
                <c:formatCode>0</c:formatCode>
                <c:ptCount val="12"/>
                <c:pt idx="0">
                  <c:v>584</c:v>
                </c:pt>
                <c:pt idx="1">
                  <c:v>760</c:v>
                </c:pt>
                <c:pt idx="2">
                  <c:v>768</c:v>
                </c:pt>
                <c:pt idx="3">
                  <c:v>772</c:v>
                </c:pt>
                <c:pt idx="4">
                  <c:v>677</c:v>
                </c:pt>
                <c:pt idx="5">
                  <c:v>566</c:v>
                </c:pt>
                <c:pt idx="6">
                  <c:v>717</c:v>
                </c:pt>
                <c:pt idx="7">
                  <c:v>814</c:v>
                </c:pt>
                <c:pt idx="8">
                  <c:v>857</c:v>
                </c:pt>
                <c:pt idx="9">
                  <c:v>999</c:v>
                </c:pt>
                <c:pt idx="10">
                  <c:v>1112</c:v>
                </c:pt>
                <c:pt idx="11">
                  <c:v>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13504"/>
        <c:axId val="116615040"/>
      </c:lineChart>
      <c:catAx>
        <c:axId val="1166135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15040"/>
        <c:crosses val="autoZero"/>
        <c:auto val="1"/>
        <c:lblAlgn val="ctr"/>
        <c:lblOffset val="100"/>
        <c:noMultiLvlLbl val="0"/>
      </c:catAx>
      <c:valAx>
        <c:axId val="1166150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1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Mulago-Kyebando'!$C$9:$N$9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Mulago-Kyebando'!$C$59:$N$59</c:f>
              <c:numCache>
                <c:formatCode>0.0%</c:formatCode>
                <c:ptCount val="12"/>
                <c:pt idx="0">
                  <c:v>0.23319131248051544</c:v>
                </c:pt>
                <c:pt idx="1">
                  <c:v>6.2350618310298242E-2</c:v>
                </c:pt>
                <c:pt idx="2">
                  <c:v>4.2086667359451317E-2</c:v>
                </c:pt>
                <c:pt idx="3">
                  <c:v>6.744258547230593E-2</c:v>
                </c:pt>
                <c:pt idx="4">
                  <c:v>1.558765457757456E-3</c:v>
                </c:pt>
                <c:pt idx="5">
                  <c:v>2.0783539436766081E-4</c:v>
                </c:pt>
                <c:pt idx="6">
                  <c:v>1.9848280162111608E-2</c:v>
                </c:pt>
                <c:pt idx="7">
                  <c:v>4.8841317676400287E-3</c:v>
                </c:pt>
                <c:pt idx="8">
                  <c:v>4.1567078873532161E-4</c:v>
                </c:pt>
                <c:pt idx="9">
                  <c:v>0</c:v>
                </c:pt>
                <c:pt idx="10">
                  <c:v>0.56801413280681701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Mulago-Kyebando'!$S$9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Mulago-Kyebando'!$S$10:$S$21</c:f>
              <c:numCache>
                <c:formatCode>0</c:formatCode>
                <c:ptCount val="12"/>
                <c:pt idx="0">
                  <c:v>77</c:v>
                </c:pt>
                <c:pt idx="1">
                  <c:v>66</c:v>
                </c:pt>
                <c:pt idx="2">
                  <c:v>115</c:v>
                </c:pt>
                <c:pt idx="3">
                  <c:v>119</c:v>
                </c:pt>
                <c:pt idx="4">
                  <c:v>108</c:v>
                </c:pt>
                <c:pt idx="5">
                  <c:v>119</c:v>
                </c:pt>
                <c:pt idx="6">
                  <c:v>167</c:v>
                </c:pt>
                <c:pt idx="7">
                  <c:v>175</c:v>
                </c:pt>
                <c:pt idx="8">
                  <c:v>231</c:v>
                </c:pt>
                <c:pt idx="9">
                  <c:v>347</c:v>
                </c:pt>
                <c:pt idx="10">
                  <c:v>435</c:v>
                </c:pt>
                <c:pt idx="11">
                  <c:v>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'02.08 Mulago-Kyebando'!$T$9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Mulago-Kyebando'!$T$10:$T$21</c:f>
              <c:numCache>
                <c:formatCode>0</c:formatCode>
                <c:ptCount val="12"/>
                <c:pt idx="0">
                  <c:v>9</c:v>
                </c:pt>
                <c:pt idx="1">
                  <c:v>18</c:v>
                </c:pt>
                <c:pt idx="2">
                  <c:v>14</c:v>
                </c:pt>
                <c:pt idx="3">
                  <c:v>31</c:v>
                </c:pt>
                <c:pt idx="4">
                  <c:v>41</c:v>
                </c:pt>
                <c:pt idx="5">
                  <c:v>20</c:v>
                </c:pt>
                <c:pt idx="6">
                  <c:v>33</c:v>
                </c:pt>
                <c:pt idx="7">
                  <c:v>199</c:v>
                </c:pt>
                <c:pt idx="8">
                  <c:v>36</c:v>
                </c:pt>
                <c:pt idx="9">
                  <c:v>52</c:v>
                </c:pt>
                <c:pt idx="10">
                  <c:v>84</c:v>
                </c:pt>
                <c:pt idx="11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'02.08 Mulago-Kyebando'!$U$9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Mulago-Kyebando'!$U$10:$U$21</c:f>
              <c:numCache>
                <c:formatCode>0</c:formatCode>
                <c:ptCount val="12"/>
                <c:pt idx="0">
                  <c:v>7</c:v>
                </c:pt>
                <c:pt idx="1">
                  <c:v>11</c:v>
                </c:pt>
                <c:pt idx="2">
                  <c:v>29</c:v>
                </c:pt>
                <c:pt idx="3">
                  <c:v>43</c:v>
                </c:pt>
                <c:pt idx="4">
                  <c:v>40</c:v>
                </c:pt>
                <c:pt idx="5">
                  <c:v>27</c:v>
                </c:pt>
                <c:pt idx="6">
                  <c:v>29</c:v>
                </c:pt>
                <c:pt idx="7">
                  <c:v>32</c:v>
                </c:pt>
                <c:pt idx="8">
                  <c:v>58</c:v>
                </c:pt>
                <c:pt idx="9">
                  <c:v>52</c:v>
                </c:pt>
                <c:pt idx="10">
                  <c:v>43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'02.08 Mulago-Kyebando'!$V$9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Mulago-Kyebando'!$V$10:$V$21</c:f>
              <c:numCache>
                <c:formatCode>0</c:formatCode>
                <c:ptCount val="12"/>
                <c:pt idx="0">
                  <c:v>43</c:v>
                </c:pt>
                <c:pt idx="1">
                  <c:v>37</c:v>
                </c:pt>
                <c:pt idx="2">
                  <c:v>43</c:v>
                </c:pt>
                <c:pt idx="3">
                  <c:v>81</c:v>
                </c:pt>
                <c:pt idx="4">
                  <c:v>58</c:v>
                </c:pt>
                <c:pt idx="5">
                  <c:v>41</c:v>
                </c:pt>
                <c:pt idx="6">
                  <c:v>45</c:v>
                </c:pt>
                <c:pt idx="7">
                  <c:v>46</c:v>
                </c:pt>
                <c:pt idx="8">
                  <c:v>45</c:v>
                </c:pt>
                <c:pt idx="9">
                  <c:v>58</c:v>
                </c:pt>
                <c:pt idx="10">
                  <c:v>62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'02.08 Mulago-Kyebando'!$W$9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Mulago-Kyebando'!$W$10:$W$21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'02.08 Mulago-Kyebando'!$X$9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Mulago-Kyebando'!$X$10:$X$21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'02.08 Mulago-Kyebando'!$Y$9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Mulago-Kyebando'!$Y$10:$Y$21</c:f>
              <c:numCache>
                <c:formatCode>0</c:formatCode>
                <c:ptCount val="12"/>
                <c:pt idx="0">
                  <c:v>11</c:v>
                </c:pt>
                <c:pt idx="1">
                  <c:v>4</c:v>
                </c:pt>
                <c:pt idx="2">
                  <c:v>9</c:v>
                </c:pt>
                <c:pt idx="3">
                  <c:v>20</c:v>
                </c:pt>
                <c:pt idx="4">
                  <c:v>23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30</c:v>
                </c:pt>
                <c:pt idx="9">
                  <c:v>16</c:v>
                </c:pt>
                <c:pt idx="10">
                  <c:v>14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'02.08 Mulago-Kyebando'!$Z$9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Mulago-Kyebando'!$Z$10:$Z$21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3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'02.08 Mulago-Kyebando'!$AA$9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Mulago-Kyebando'!$AA$10:$AA$21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'02.08 Mulago-Kyebando'!$AB$9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Mulago-Kyebando'!$AB$10:$AB$21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'02.08 Mulago-Kyebando'!$AC$9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Mulago-Kyebando'!$AC$10:$AC$21</c:f>
              <c:numCache>
                <c:formatCode>0</c:formatCode>
                <c:ptCount val="12"/>
                <c:pt idx="0">
                  <c:v>434</c:v>
                </c:pt>
                <c:pt idx="1">
                  <c:v>620</c:v>
                </c:pt>
                <c:pt idx="2">
                  <c:v>556</c:v>
                </c:pt>
                <c:pt idx="3">
                  <c:v>469</c:v>
                </c:pt>
                <c:pt idx="4">
                  <c:v>400</c:v>
                </c:pt>
                <c:pt idx="5">
                  <c:v>339</c:v>
                </c:pt>
                <c:pt idx="6">
                  <c:v>419</c:v>
                </c:pt>
                <c:pt idx="7">
                  <c:v>340</c:v>
                </c:pt>
                <c:pt idx="8">
                  <c:v>454</c:v>
                </c:pt>
                <c:pt idx="9">
                  <c:v>470</c:v>
                </c:pt>
                <c:pt idx="10">
                  <c:v>465</c:v>
                </c:pt>
                <c:pt idx="11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'02.08 Mulago-Kyebando'!$AD$9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Mulago-Kyebando'!$AD$10:$AD$21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14496"/>
        <c:axId val="118316032"/>
      </c:lineChart>
      <c:catAx>
        <c:axId val="11831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316032"/>
        <c:crosses val="autoZero"/>
        <c:auto val="1"/>
        <c:lblAlgn val="ctr"/>
        <c:lblOffset val="100"/>
        <c:noMultiLvlLbl val="0"/>
      </c:catAx>
      <c:valAx>
        <c:axId val="1183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3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Mulago-Kyebando'!$C$9:$N$9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Mulago-Kyebando'!$C$60:$N$60</c:f>
              <c:numCache>
                <c:formatCode>0.00%</c:formatCode>
                <c:ptCount val="12"/>
                <c:pt idx="0">
                  <c:v>0.53981236468607163</c:v>
                </c:pt>
                <c:pt idx="1">
                  <c:v>0.1443348568679336</c:v>
                </c:pt>
                <c:pt idx="2">
                  <c:v>9.7426028385855179E-2</c:v>
                </c:pt>
                <c:pt idx="3">
                  <c:v>0.15612220351214817</c:v>
                </c:pt>
                <c:pt idx="4">
                  <c:v>3.6083714216983403E-3</c:v>
                </c:pt>
                <c:pt idx="5">
                  <c:v>4.811161895597787E-4</c:v>
                </c:pt>
                <c:pt idx="6">
                  <c:v>4.5946596102958863E-2</c:v>
                </c:pt>
                <c:pt idx="7">
                  <c:v>1.1306230454654799E-2</c:v>
                </c:pt>
                <c:pt idx="8">
                  <c:v>9.622323791195574E-4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Kyebando-Mulago-24h'!$AE$9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Kyebando-Mulago-24h'!$R$10:$R$33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Kyebando-Mulago-24h'!$AE$10:$AE$33</c:f>
              <c:numCache>
                <c:formatCode>0</c:formatCode>
                <c:ptCount val="24"/>
                <c:pt idx="0">
                  <c:v>426</c:v>
                </c:pt>
                <c:pt idx="1">
                  <c:v>597</c:v>
                </c:pt>
                <c:pt idx="2">
                  <c:v>527</c:v>
                </c:pt>
                <c:pt idx="3">
                  <c:v>690</c:v>
                </c:pt>
                <c:pt idx="4">
                  <c:v>564</c:v>
                </c:pt>
                <c:pt idx="5">
                  <c:v>553</c:v>
                </c:pt>
                <c:pt idx="6">
                  <c:v>430</c:v>
                </c:pt>
                <c:pt idx="7">
                  <c:v>372</c:v>
                </c:pt>
                <c:pt idx="8">
                  <c:v>312</c:v>
                </c:pt>
                <c:pt idx="9">
                  <c:v>322</c:v>
                </c:pt>
                <c:pt idx="10">
                  <c:v>300</c:v>
                </c:pt>
                <c:pt idx="11">
                  <c:v>308</c:v>
                </c:pt>
                <c:pt idx="12">
                  <c:v>467</c:v>
                </c:pt>
                <c:pt idx="13">
                  <c:v>384</c:v>
                </c:pt>
                <c:pt idx="14">
                  <c:v>300</c:v>
                </c:pt>
                <c:pt idx="15">
                  <c:v>189</c:v>
                </c:pt>
                <c:pt idx="16">
                  <c:v>97</c:v>
                </c:pt>
                <c:pt idx="17">
                  <c:v>87</c:v>
                </c:pt>
                <c:pt idx="18">
                  <c:v>65</c:v>
                </c:pt>
                <c:pt idx="19">
                  <c:v>53</c:v>
                </c:pt>
                <c:pt idx="20">
                  <c:v>13</c:v>
                </c:pt>
                <c:pt idx="21">
                  <c:v>18</c:v>
                </c:pt>
                <c:pt idx="22">
                  <c:v>27</c:v>
                </c:pt>
                <c:pt idx="23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Kyebando-Mulago-24h'!$AF$9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Kyebando-Mulago-24h'!$R$10:$R$33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Kyebando-Mulago-24h'!$AF$10:$AF$33</c:f>
              <c:numCache>
                <c:formatCode>0</c:formatCode>
                <c:ptCount val="24"/>
                <c:pt idx="0">
                  <c:v>720</c:v>
                </c:pt>
                <c:pt idx="1">
                  <c:v>1248</c:v>
                </c:pt>
                <c:pt idx="2">
                  <c:v>1012</c:v>
                </c:pt>
                <c:pt idx="3">
                  <c:v>1155</c:v>
                </c:pt>
                <c:pt idx="4">
                  <c:v>989</c:v>
                </c:pt>
                <c:pt idx="5">
                  <c:v>987</c:v>
                </c:pt>
                <c:pt idx="6">
                  <c:v>903</c:v>
                </c:pt>
                <c:pt idx="7">
                  <c:v>848</c:v>
                </c:pt>
                <c:pt idx="8">
                  <c:v>705</c:v>
                </c:pt>
                <c:pt idx="9">
                  <c:v>717</c:v>
                </c:pt>
                <c:pt idx="10">
                  <c:v>642</c:v>
                </c:pt>
                <c:pt idx="11">
                  <c:v>689</c:v>
                </c:pt>
                <c:pt idx="12">
                  <c:v>945</c:v>
                </c:pt>
                <c:pt idx="13">
                  <c:v>773</c:v>
                </c:pt>
                <c:pt idx="14">
                  <c:v>662</c:v>
                </c:pt>
                <c:pt idx="15">
                  <c:v>419</c:v>
                </c:pt>
                <c:pt idx="16">
                  <c:v>240</c:v>
                </c:pt>
                <c:pt idx="17">
                  <c:v>183</c:v>
                </c:pt>
                <c:pt idx="18">
                  <c:v>131</c:v>
                </c:pt>
                <c:pt idx="19">
                  <c:v>113</c:v>
                </c:pt>
                <c:pt idx="20">
                  <c:v>43</c:v>
                </c:pt>
                <c:pt idx="21">
                  <c:v>43</c:v>
                </c:pt>
                <c:pt idx="22">
                  <c:v>106</c:v>
                </c:pt>
                <c:pt idx="23">
                  <c:v>183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92576"/>
        <c:axId val="118794496"/>
      </c:lineChart>
      <c:catAx>
        <c:axId val="1187925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794496"/>
        <c:crosses val="autoZero"/>
        <c:auto val="1"/>
        <c:lblAlgn val="ctr"/>
        <c:lblOffset val="100"/>
        <c:noMultiLvlLbl val="0"/>
      </c:catAx>
      <c:valAx>
        <c:axId val="118794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79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Kyebando-Mulago-24h'!$C$9:$N$9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Kyebando-Mulago-24h'!$C$107:$N$107</c:f>
              <c:numCache>
                <c:formatCode>0.0%</c:formatCode>
                <c:ptCount val="12"/>
                <c:pt idx="0">
                  <c:v>0.33197288323187601</c:v>
                </c:pt>
                <c:pt idx="1">
                  <c:v>4.3995572772551186E-2</c:v>
                </c:pt>
                <c:pt idx="2">
                  <c:v>3.5625345877144436E-2</c:v>
                </c:pt>
                <c:pt idx="3">
                  <c:v>6.3641394576646373E-2</c:v>
                </c:pt>
                <c:pt idx="4">
                  <c:v>2.7670171555063639E-4</c:v>
                </c:pt>
                <c:pt idx="5">
                  <c:v>4.8422800221361375E-4</c:v>
                </c:pt>
                <c:pt idx="6">
                  <c:v>1.9714997232982843E-2</c:v>
                </c:pt>
                <c:pt idx="7">
                  <c:v>1.7985611510791368E-3</c:v>
                </c:pt>
                <c:pt idx="8">
                  <c:v>6.9175428887659099E-5</c:v>
                </c:pt>
                <c:pt idx="9">
                  <c:v>0</c:v>
                </c:pt>
                <c:pt idx="10">
                  <c:v>0.50242114001106808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Kyebando-Mulago-24h'!$C$9:$N$9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Kyebando-Mulago-24h'!$C$108:$N$108</c:f>
              <c:numCache>
                <c:formatCode>0.00%</c:formatCode>
                <c:ptCount val="12"/>
                <c:pt idx="0">
                  <c:v>0.66717642152092316</c:v>
                </c:pt>
                <c:pt idx="1">
                  <c:v>8.841929653830112E-2</c:v>
                </c:pt>
                <c:pt idx="2">
                  <c:v>7.1597386347838174E-2</c:v>
                </c:pt>
                <c:pt idx="3">
                  <c:v>0.12790212706798276</c:v>
                </c:pt>
                <c:pt idx="4">
                  <c:v>5.5609620464340331E-4</c:v>
                </c:pt>
                <c:pt idx="5">
                  <c:v>9.7316835812595582E-4</c:v>
                </c:pt>
                <c:pt idx="6">
                  <c:v>3.9621854580842483E-2</c:v>
                </c:pt>
                <c:pt idx="7">
                  <c:v>3.6146253301821214E-3</c:v>
                </c:pt>
                <c:pt idx="8">
                  <c:v>1.3902405116085083E-4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Mulago-Kyebando-24h'!$AE$9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Mulago-Kyebando-24h'!$R$10:$R$33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Mulago-Kyebando-24h'!$AE$10:$AE$33</c:f>
              <c:numCache>
                <c:formatCode>0</c:formatCode>
                <c:ptCount val="24"/>
                <c:pt idx="0">
                  <c:v>142</c:v>
                </c:pt>
                <c:pt idx="1">
                  <c:v>167</c:v>
                </c:pt>
                <c:pt idx="2">
                  <c:v>242</c:v>
                </c:pt>
                <c:pt idx="3">
                  <c:v>312</c:v>
                </c:pt>
                <c:pt idx="4">
                  <c:v>426</c:v>
                </c:pt>
                <c:pt idx="5">
                  <c:v>431</c:v>
                </c:pt>
                <c:pt idx="6">
                  <c:v>498</c:v>
                </c:pt>
                <c:pt idx="7">
                  <c:v>411</c:v>
                </c:pt>
                <c:pt idx="8">
                  <c:v>458</c:v>
                </c:pt>
                <c:pt idx="9">
                  <c:v>554</c:v>
                </c:pt>
                <c:pt idx="10">
                  <c:v>505</c:v>
                </c:pt>
                <c:pt idx="11">
                  <c:v>512</c:v>
                </c:pt>
                <c:pt idx="12">
                  <c:v>771</c:v>
                </c:pt>
                <c:pt idx="13">
                  <c:v>812</c:v>
                </c:pt>
                <c:pt idx="14">
                  <c:v>721</c:v>
                </c:pt>
                <c:pt idx="15">
                  <c:v>367</c:v>
                </c:pt>
                <c:pt idx="16">
                  <c:v>236</c:v>
                </c:pt>
                <c:pt idx="17">
                  <c:v>129</c:v>
                </c:pt>
                <c:pt idx="18">
                  <c:v>130</c:v>
                </c:pt>
                <c:pt idx="19">
                  <c:v>80</c:v>
                </c:pt>
                <c:pt idx="20">
                  <c:v>58</c:v>
                </c:pt>
                <c:pt idx="21">
                  <c:v>41</c:v>
                </c:pt>
                <c:pt idx="22">
                  <c:v>36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Mulago-Kyebando-24h'!$AF$9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Mulago-Kyebando-24h'!$R$10:$R$33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Mulago-Kyebando-24h'!$AF$10:$AF$33</c:f>
              <c:numCache>
                <c:formatCode>0</c:formatCode>
                <c:ptCount val="24"/>
                <c:pt idx="0">
                  <c:v>432</c:v>
                </c:pt>
                <c:pt idx="1">
                  <c:v>543</c:v>
                </c:pt>
                <c:pt idx="2">
                  <c:v>832</c:v>
                </c:pt>
                <c:pt idx="3">
                  <c:v>832</c:v>
                </c:pt>
                <c:pt idx="4">
                  <c:v>921</c:v>
                </c:pt>
                <c:pt idx="5">
                  <c:v>915</c:v>
                </c:pt>
                <c:pt idx="6">
                  <c:v>991</c:v>
                </c:pt>
                <c:pt idx="7">
                  <c:v>801</c:v>
                </c:pt>
                <c:pt idx="8">
                  <c:v>853</c:v>
                </c:pt>
                <c:pt idx="9">
                  <c:v>1011</c:v>
                </c:pt>
                <c:pt idx="10">
                  <c:v>895</c:v>
                </c:pt>
                <c:pt idx="11">
                  <c:v>926</c:v>
                </c:pt>
                <c:pt idx="12">
                  <c:v>1477</c:v>
                </c:pt>
                <c:pt idx="13">
                  <c:v>1492</c:v>
                </c:pt>
                <c:pt idx="14">
                  <c:v>1229</c:v>
                </c:pt>
                <c:pt idx="15">
                  <c:v>619</c:v>
                </c:pt>
                <c:pt idx="16">
                  <c:v>456</c:v>
                </c:pt>
                <c:pt idx="17">
                  <c:v>251</c:v>
                </c:pt>
                <c:pt idx="18">
                  <c:v>263</c:v>
                </c:pt>
                <c:pt idx="19">
                  <c:v>188</c:v>
                </c:pt>
                <c:pt idx="20">
                  <c:v>123</c:v>
                </c:pt>
                <c:pt idx="21">
                  <c:v>84</c:v>
                </c:pt>
                <c:pt idx="22">
                  <c:v>91</c:v>
                </c:pt>
                <c:pt idx="23">
                  <c:v>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27328"/>
        <c:axId val="120229248"/>
      </c:lineChart>
      <c:catAx>
        <c:axId val="1202273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229248"/>
        <c:crosses val="autoZero"/>
        <c:auto val="1"/>
        <c:lblAlgn val="ctr"/>
        <c:lblOffset val="100"/>
        <c:noMultiLvlLbl val="0"/>
      </c:catAx>
      <c:valAx>
        <c:axId val="120229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22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Mulago-Kyebando-24h'!$C$9:$N$9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Mulago-Kyebando-24h'!$C$107:$N$107</c:f>
              <c:numCache>
                <c:formatCode>0.0%</c:formatCode>
                <c:ptCount val="12"/>
                <c:pt idx="0">
                  <c:v>0.31319283712997931</c:v>
                </c:pt>
                <c:pt idx="1">
                  <c:v>3.9042514313558291E-2</c:v>
                </c:pt>
                <c:pt idx="2">
                  <c:v>3.5570715068826898E-2</c:v>
                </c:pt>
                <c:pt idx="3">
                  <c:v>7.9181386283347546E-2</c:v>
                </c:pt>
                <c:pt idx="4">
                  <c:v>1.3399926909489586E-3</c:v>
                </c:pt>
                <c:pt idx="5">
                  <c:v>3.0454379339749056E-4</c:v>
                </c:pt>
                <c:pt idx="6">
                  <c:v>2.0891704227067851E-2</c:v>
                </c:pt>
                <c:pt idx="7">
                  <c:v>2.4972591058594227E-3</c:v>
                </c:pt>
                <c:pt idx="8">
                  <c:v>3.6545255207698867E-4</c:v>
                </c:pt>
                <c:pt idx="9">
                  <c:v>0</c:v>
                </c:pt>
                <c:pt idx="10">
                  <c:v>0.50761359483493729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Mulago-Kyebando-24h'!$C$9:$N$9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Mulago-Kyebando-24h'!$C$108:$N$108</c:f>
              <c:numCache>
                <c:formatCode>0.00%</c:formatCode>
                <c:ptCount val="12"/>
                <c:pt idx="0">
                  <c:v>0.63607125185551705</c:v>
                </c:pt>
                <c:pt idx="1">
                  <c:v>7.9292429490351313E-2</c:v>
                </c:pt>
                <c:pt idx="2">
                  <c:v>7.2241464621474516E-2</c:v>
                </c:pt>
                <c:pt idx="3">
                  <c:v>0.16081147946561108</c:v>
                </c:pt>
                <c:pt idx="4">
                  <c:v>2.7214250371103412E-3</c:v>
                </c:pt>
                <c:pt idx="5">
                  <c:v>6.1850569025235027E-4</c:v>
                </c:pt>
                <c:pt idx="6">
                  <c:v>4.242949035131123E-2</c:v>
                </c:pt>
                <c:pt idx="7">
                  <c:v>5.0717466600692729E-3</c:v>
                </c:pt>
                <c:pt idx="8">
                  <c:v>7.4220682830282035E-4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Kyebando-Mulago'!$AE$9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Kyebando-Mulago'!$AE$10:$AE$21</c:f>
              <c:numCache>
                <c:formatCode>0</c:formatCode>
                <c:ptCount val="12"/>
                <c:pt idx="0">
                  <c:v>248</c:v>
                </c:pt>
                <c:pt idx="1">
                  <c:v>286</c:v>
                </c:pt>
                <c:pt idx="2">
                  <c:v>335</c:v>
                </c:pt>
                <c:pt idx="3">
                  <c:v>460</c:v>
                </c:pt>
                <c:pt idx="4">
                  <c:v>391</c:v>
                </c:pt>
                <c:pt idx="5">
                  <c:v>337</c:v>
                </c:pt>
                <c:pt idx="6">
                  <c:v>272</c:v>
                </c:pt>
                <c:pt idx="7">
                  <c:v>271</c:v>
                </c:pt>
                <c:pt idx="8">
                  <c:v>307</c:v>
                </c:pt>
                <c:pt idx="9">
                  <c:v>318</c:v>
                </c:pt>
                <c:pt idx="10">
                  <c:v>306</c:v>
                </c:pt>
                <c:pt idx="11">
                  <c:v>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'04.08 Kyebando-Mulago'!$AF$9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Kyebando-Mulago'!$AF$10:$AF$21</c:f>
              <c:numCache>
                <c:formatCode>0</c:formatCode>
                <c:ptCount val="12"/>
                <c:pt idx="0">
                  <c:v>500</c:v>
                </c:pt>
                <c:pt idx="1">
                  <c:v>632</c:v>
                </c:pt>
                <c:pt idx="2">
                  <c:v>652</c:v>
                </c:pt>
                <c:pt idx="3">
                  <c:v>921</c:v>
                </c:pt>
                <c:pt idx="4">
                  <c:v>809</c:v>
                </c:pt>
                <c:pt idx="5">
                  <c:v>705</c:v>
                </c:pt>
                <c:pt idx="6">
                  <c:v>633</c:v>
                </c:pt>
                <c:pt idx="7">
                  <c:v>642</c:v>
                </c:pt>
                <c:pt idx="8">
                  <c:v>638</c:v>
                </c:pt>
                <c:pt idx="9">
                  <c:v>675</c:v>
                </c:pt>
                <c:pt idx="10">
                  <c:v>647</c:v>
                </c:pt>
                <c:pt idx="11">
                  <c:v>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457088"/>
        <c:axId val="120471552"/>
      </c:lineChart>
      <c:catAx>
        <c:axId val="120457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471552"/>
        <c:crosses val="autoZero"/>
        <c:auto val="1"/>
        <c:lblAlgn val="ctr"/>
        <c:lblOffset val="100"/>
        <c:noMultiLvlLbl val="0"/>
      </c:catAx>
      <c:valAx>
        <c:axId val="120471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4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Kyebando-Mulago'!$C$9:$N$9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Kyebando-Mulago'!$C$59:$N$59</c:f>
              <c:numCache>
                <c:formatCode>0.0%</c:formatCode>
                <c:ptCount val="12"/>
                <c:pt idx="0">
                  <c:v>0.31424650698602796</c:v>
                </c:pt>
                <c:pt idx="1">
                  <c:v>5.6761477045908185E-2</c:v>
                </c:pt>
                <c:pt idx="2">
                  <c:v>2.6821357285429143E-2</c:v>
                </c:pt>
                <c:pt idx="3">
                  <c:v>5.8008982035928143E-2</c:v>
                </c:pt>
                <c:pt idx="4">
                  <c:v>3.7425149700598805E-4</c:v>
                </c:pt>
                <c:pt idx="5">
                  <c:v>2.4950099800399199E-4</c:v>
                </c:pt>
                <c:pt idx="6">
                  <c:v>1.2100798403193613E-2</c:v>
                </c:pt>
                <c:pt idx="7">
                  <c:v>4.9900199600798403E-3</c:v>
                </c:pt>
                <c:pt idx="8">
                  <c:v>2.4950099800399199E-4</c:v>
                </c:pt>
                <c:pt idx="9">
                  <c:v>0</c:v>
                </c:pt>
                <c:pt idx="10">
                  <c:v>0.52619760479041922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Kyebando-Mulago'!$S$9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Kyebando-Mulago'!$S$10:$S$21</c:f>
              <c:numCache>
                <c:formatCode>0</c:formatCode>
                <c:ptCount val="12"/>
                <c:pt idx="0">
                  <c:v>154</c:v>
                </c:pt>
                <c:pt idx="1">
                  <c:v>190</c:v>
                </c:pt>
                <c:pt idx="2">
                  <c:v>193</c:v>
                </c:pt>
                <c:pt idx="3">
                  <c:v>319</c:v>
                </c:pt>
                <c:pt idx="4">
                  <c:v>243</c:v>
                </c:pt>
                <c:pt idx="5">
                  <c:v>214</c:v>
                </c:pt>
                <c:pt idx="6">
                  <c:v>170</c:v>
                </c:pt>
                <c:pt idx="7">
                  <c:v>189</c:v>
                </c:pt>
                <c:pt idx="8">
                  <c:v>220</c:v>
                </c:pt>
                <c:pt idx="9">
                  <c:v>234</c:v>
                </c:pt>
                <c:pt idx="10">
                  <c:v>196</c:v>
                </c:pt>
                <c:pt idx="11">
                  <c:v>197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'04.08 Kyebando-Mulago'!$T$9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Kyebando-Mulago'!$T$10:$T$21</c:f>
              <c:numCache>
                <c:formatCode>0</c:formatCode>
                <c:ptCount val="12"/>
                <c:pt idx="0">
                  <c:v>29</c:v>
                </c:pt>
                <c:pt idx="1">
                  <c:v>24</c:v>
                </c:pt>
                <c:pt idx="2">
                  <c:v>46</c:v>
                </c:pt>
                <c:pt idx="3">
                  <c:v>66</c:v>
                </c:pt>
                <c:pt idx="4">
                  <c:v>64</c:v>
                </c:pt>
                <c:pt idx="5">
                  <c:v>40</c:v>
                </c:pt>
                <c:pt idx="6">
                  <c:v>43</c:v>
                </c:pt>
                <c:pt idx="7">
                  <c:v>24</c:v>
                </c:pt>
                <c:pt idx="8">
                  <c:v>29</c:v>
                </c:pt>
                <c:pt idx="9">
                  <c:v>27</c:v>
                </c:pt>
                <c:pt idx="10">
                  <c:v>43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'04.08 Kyebando-Mulago'!$U$9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Kyebando-Mulago'!$U$10:$U$21</c:f>
              <c:numCache>
                <c:formatCode>0</c:formatCode>
                <c:ptCount val="12"/>
                <c:pt idx="0">
                  <c:v>14</c:v>
                </c:pt>
                <c:pt idx="1">
                  <c:v>18</c:v>
                </c:pt>
                <c:pt idx="2">
                  <c:v>26</c:v>
                </c:pt>
                <c:pt idx="3">
                  <c:v>23</c:v>
                </c:pt>
                <c:pt idx="4">
                  <c:v>21</c:v>
                </c:pt>
                <c:pt idx="5">
                  <c:v>17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17</c:v>
                </c:pt>
                <c:pt idx="10">
                  <c:v>25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'04.08 Kyebando-Mulago'!$V$9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Kyebando-Mulago'!$V$10:$V$21</c:f>
              <c:numCache>
                <c:formatCode>0</c:formatCode>
                <c:ptCount val="12"/>
                <c:pt idx="0">
                  <c:v>43</c:v>
                </c:pt>
                <c:pt idx="1">
                  <c:v>41</c:v>
                </c:pt>
                <c:pt idx="2">
                  <c:v>57</c:v>
                </c:pt>
                <c:pt idx="3">
                  <c:v>39</c:v>
                </c:pt>
                <c:pt idx="4">
                  <c:v>48</c:v>
                </c:pt>
                <c:pt idx="5">
                  <c:v>50</c:v>
                </c:pt>
                <c:pt idx="6">
                  <c:v>31</c:v>
                </c:pt>
                <c:pt idx="7">
                  <c:v>30</c:v>
                </c:pt>
                <c:pt idx="8">
                  <c:v>33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'04.08 Kyebando-Mulago'!$W$9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Kyebando-Mulago'!$W$10:$W$21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'04.08 Kyebando-Mulago'!$X$9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Kyebando-Mulago'!$X$10:$X$21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'04.08 Kyebando-Mulago'!$Y$9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Kyebando-Mulago'!$Y$10:$Y$21</c:f>
              <c:numCache>
                <c:formatCode>0</c:formatCode>
                <c:ptCount val="12"/>
                <c:pt idx="0">
                  <c:v>7</c:v>
                </c:pt>
                <c:pt idx="1">
                  <c:v>13</c:v>
                </c:pt>
                <c:pt idx="2">
                  <c:v>10</c:v>
                </c:pt>
                <c:pt idx="3">
                  <c:v>6</c:v>
                </c:pt>
                <c:pt idx="4">
                  <c:v>12</c:v>
                </c:pt>
                <c:pt idx="5">
                  <c:v>11</c:v>
                </c:pt>
                <c:pt idx="6">
                  <c:v>9</c:v>
                </c:pt>
                <c:pt idx="7">
                  <c:v>11</c:v>
                </c:pt>
                <c:pt idx="8">
                  <c:v>7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'04.08 Kyebando-Mulago'!$Z$9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Kyebando-Mulago'!$Z$10:$Z$21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'04.08 Kyebando-Mulago'!$AA$9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Kyebando-Mulago'!$AA$10:$AA$21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'04.08 Kyebando-Mulago'!$AB$9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Kyebando-Mulago'!$AB$10:$AB$21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'04.08 Kyebando-Mulago'!$AC$9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Kyebando-Mulago'!$AC$10:$AC$21</c:f>
              <c:numCache>
                <c:formatCode>0</c:formatCode>
                <c:ptCount val="12"/>
                <c:pt idx="0">
                  <c:v>252</c:v>
                </c:pt>
                <c:pt idx="1">
                  <c:v>346</c:v>
                </c:pt>
                <c:pt idx="2">
                  <c:v>317</c:v>
                </c:pt>
                <c:pt idx="3">
                  <c:v>461</c:v>
                </c:pt>
                <c:pt idx="4">
                  <c:v>418</c:v>
                </c:pt>
                <c:pt idx="5">
                  <c:v>368</c:v>
                </c:pt>
                <c:pt idx="6">
                  <c:v>361</c:v>
                </c:pt>
                <c:pt idx="7">
                  <c:v>371</c:v>
                </c:pt>
                <c:pt idx="8">
                  <c:v>331</c:v>
                </c:pt>
                <c:pt idx="9">
                  <c:v>357</c:v>
                </c:pt>
                <c:pt idx="10">
                  <c:v>341</c:v>
                </c:pt>
                <c:pt idx="11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'04.08 Kyebando-Mulago'!$AD$9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Kyebando-Mulago'!$AD$10:$AD$21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04384"/>
        <c:axId val="120530048"/>
      </c:lineChart>
      <c:catAx>
        <c:axId val="12070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530048"/>
        <c:crosses val="autoZero"/>
        <c:auto val="1"/>
        <c:lblAlgn val="ctr"/>
        <c:lblOffset val="100"/>
        <c:noMultiLvlLbl val="0"/>
      </c:catAx>
      <c:valAx>
        <c:axId val="1205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70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Kyebando-Mulago'!$C$9:$N$9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Kyebando-Mulago'!$C$60:$N$60</c:f>
              <c:numCache>
                <c:formatCode>0.00%</c:formatCode>
                <c:ptCount val="12"/>
                <c:pt idx="0">
                  <c:v>0.66324381253291209</c:v>
                </c:pt>
                <c:pt idx="1">
                  <c:v>0.11979989468141126</c:v>
                </c:pt>
                <c:pt idx="2">
                  <c:v>5.6608741442864666E-2</c:v>
                </c:pt>
                <c:pt idx="3">
                  <c:v>0.12243285939968404</c:v>
                </c:pt>
                <c:pt idx="4">
                  <c:v>7.8988941548183253E-4</c:v>
                </c:pt>
                <c:pt idx="5">
                  <c:v>5.2659294365455498E-4</c:v>
                </c:pt>
                <c:pt idx="6">
                  <c:v>2.5539757767245919E-2</c:v>
                </c:pt>
                <c:pt idx="7">
                  <c:v>1.0531858873091101E-2</c:v>
                </c:pt>
                <c:pt idx="8">
                  <c:v>5.2659294365455498E-4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Mulago-Kyebando'!$AE$9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Mulago-Kyebando'!$AE$10:$AE$21</c:f>
              <c:numCache>
                <c:formatCode>0</c:formatCode>
                <c:ptCount val="12"/>
                <c:pt idx="0">
                  <c:v>85</c:v>
                </c:pt>
                <c:pt idx="1">
                  <c:v>168</c:v>
                </c:pt>
                <c:pt idx="2">
                  <c:v>223</c:v>
                </c:pt>
                <c:pt idx="3">
                  <c:v>263</c:v>
                </c:pt>
                <c:pt idx="4">
                  <c:v>316</c:v>
                </c:pt>
                <c:pt idx="5">
                  <c:v>364</c:v>
                </c:pt>
                <c:pt idx="6">
                  <c:v>439</c:v>
                </c:pt>
                <c:pt idx="7">
                  <c:v>458</c:v>
                </c:pt>
                <c:pt idx="8">
                  <c:v>453</c:v>
                </c:pt>
                <c:pt idx="9">
                  <c:v>389</c:v>
                </c:pt>
                <c:pt idx="10">
                  <c:v>432</c:v>
                </c:pt>
                <c:pt idx="11">
                  <c:v>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'04.08 Mulago-Kyebando'!$AF$9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Mulago-Kyebando'!$AF$10:$AF$21</c:f>
              <c:numCache>
                <c:formatCode>0</c:formatCode>
                <c:ptCount val="12"/>
                <c:pt idx="0">
                  <c:v>358</c:v>
                </c:pt>
                <c:pt idx="1">
                  <c:v>535</c:v>
                </c:pt>
                <c:pt idx="2">
                  <c:v>671</c:v>
                </c:pt>
                <c:pt idx="3">
                  <c:v>719</c:v>
                </c:pt>
                <c:pt idx="4">
                  <c:v>846</c:v>
                </c:pt>
                <c:pt idx="5">
                  <c:v>833</c:v>
                </c:pt>
                <c:pt idx="6">
                  <c:v>828</c:v>
                </c:pt>
                <c:pt idx="7">
                  <c:v>962</c:v>
                </c:pt>
                <c:pt idx="8">
                  <c:v>980</c:v>
                </c:pt>
                <c:pt idx="9">
                  <c:v>864</c:v>
                </c:pt>
                <c:pt idx="10">
                  <c:v>901</c:v>
                </c:pt>
                <c:pt idx="11">
                  <c:v>1010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48224"/>
        <c:axId val="120950144"/>
      </c:lineChart>
      <c:catAx>
        <c:axId val="1209482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950144"/>
        <c:crosses val="autoZero"/>
        <c:auto val="1"/>
        <c:lblAlgn val="ctr"/>
        <c:lblOffset val="100"/>
        <c:noMultiLvlLbl val="0"/>
      </c:catAx>
      <c:valAx>
        <c:axId val="120950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94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Mulago-Kyebando'!$C$9:$N$9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Mulago-Kyebando'!$C$59:$N$59</c:f>
              <c:numCache>
                <c:formatCode>0.0%</c:formatCode>
                <c:ptCount val="12"/>
                <c:pt idx="0">
                  <c:v>0.27558641001367412</c:v>
                </c:pt>
                <c:pt idx="1">
                  <c:v>4.4072788471652469E-2</c:v>
                </c:pt>
                <c:pt idx="2">
                  <c:v>2.9662354054906911E-2</c:v>
                </c:pt>
                <c:pt idx="3">
                  <c:v>5.9009151151782895E-2</c:v>
                </c:pt>
                <c:pt idx="4">
                  <c:v>7.3629956873882399E-4</c:v>
                </c:pt>
                <c:pt idx="5">
                  <c:v>0</c:v>
                </c:pt>
                <c:pt idx="6">
                  <c:v>1.2411907015883034E-2</c:v>
                </c:pt>
                <c:pt idx="7">
                  <c:v>5.9955822025875667E-3</c:v>
                </c:pt>
                <c:pt idx="8">
                  <c:v>1.472599137477648E-3</c:v>
                </c:pt>
                <c:pt idx="9">
                  <c:v>0</c:v>
                </c:pt>
                <c:pt idx="10">
                  <c:v>0.57105290838329648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Mulago-Kyebando'!$S$9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Mulago-Kyebando'!$S$10:$S$21</c:f>
              <c:numCache>
                <c:formatCode>0</c:formatCode>
                <c:ptCount val="12"/>
                <c:pt idx="0">
                  <c:v>50</c:v>
                </c:pt>
                <c:pt idx="1">
                  <c:v>99</c:v>
                </c:pt>
                <c:pt idx="2">
                  <c:v>126</c:v>
                </c:pt>
                <c:pt idx="3">
                  <c:v>142</c:v>
                </c:pt>
                <c:pt idx="4">
                  <c:v>187</c:v>
                </c:pt>
                <c:pt idx="5">
                  <c:v>223</c:v>
                </c:pt>
                <c:pt idx="6">
                  <c:v>288</c:v>
                </c:pt>
                <c:pt idx="7">
                  <c:v>333</c:v>
                </c:pt>
                <c:pt idx="8">
                  <c:v>305</c:v>
                </c:pt>
                <c:pt idx="9">
                  <c:v>258</c:v>
                </c:pt>
                <c:pt idx="10">
                  <c:v>288</c:v>
                </c:pt>
                <c:pt idx="11">
                  <c:v>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'04.08 Mulago-Kyebando'!$T$9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Mulago-Kyebando'!$T$10:$T$21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19</c:v>
                </c:pt>
                <c:pt idx="3">
                  <c:v>26</c:v>
                </c:pt>
                <c:pt idx="4">
                  <c:v>36</c:v>
                </c:pt>
                <c:pt idx="5">
                  <c:v>39</c:v>
                </c:pt>
                <c:pt idx="6">
                  <c:v>53</c:v>
                </c:pt>
                <c:pt idx="7">
                  <c:v>36</c:v>
                </c:pt>
                <c:pt idx="8">
                  <c:v>55</c:v>
                </c:pt>
                <c:pt idx="9">
                  <c:v>36</c:v>
                </c:pt>
                <c:pt idx="10">
                  <c:v>47</c:v>
                </c:pt>
                <c:pt idx="11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'04.08 Mulago-Kyebando'!$U$9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Mulago-Kyebando'!$U$10:$U$21</c:f>
              <c:numCache>
                <c:formatCode>0</c:formatCode>
                <c:ptCount val="12"/>
                <c:pt idx="0">
                  <c:v>9</c:v>
                </c:pt>
                <c:pt idx="1">
                  <c:v>21</c:v>
                </c:pt>
                <c:pt idx="2">
                  <c:v>14</c:v>
                </c:pt>
                <c:pt idx="3">
                  <c:v>16</c:v>
                </c:pt>
                <c:pt idx="4">
                  <c:v>20</c:v>
                </c:pt>
                <c:pt idx="5">
                  <c:v>30</c:v>
                </c:pt>
                <c:pt idx="6">
                  <c:v>32</c:v>
                </c:pt>
                <c:pt idx="7">
                  <c:v>21</c:v>
                </c:pt>
                <c:pt idx="8">
                  <c:v>32</c:v>
                </c:pt>
                <c:pt idx="9">
                  <c:v>34</c:v>
                </c:pt>
                <c:pt idx="10">
                  <c:v>25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'04.08 Mulago-Kyebando'!$V$9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Mulago-Kyebando'!$V$10:$V$21</c:f>
              <c:numCache>
                <c:formatCode>0</c:formatCode>
                <c:ptCount val="12"/>
                <c:pt idx="0">
                  <c:v>17</c:v>
                </c:pt>
                <c:pt idx="1">
                  <c:v>33</c:v>
                </c:pt>
                <c:pt idx="2">
                  <c:v>51</c:v>
                </c:pt>
                <c:pt idx="3">
                  <c:v>64</c:v>
                </c:pt>
                <c:pt idx="4">
                  <c:v>57</c:v>
                </c:pt>
                <c:pt idx="5">
                  <c:v>51</c:v>
                </c:pt>
                <c:pt idx="6">
                  <c:v>45</c:v>
                </c:pt>
                <c:pt idx="7">
                  <c:v>52</c:v>
                </c:pt>
                <c:pt idx="8">
                  <c:v>37</c:v>
                </c:pt>
                <c:pt idx="9">
                  <c:v>38</c:v>
                </c:pt>
                <c:pt idx="10">
                  <c:v>52</c:v>
                </c:pt>
                <c:pt idx="1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'04.08 Mulago-Kyebando'!$W$9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Mulago-Kyebando'!$W$10:$W$21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'04.08 Mulago-Kyebando'!$X$9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Mulago-Kyebando'!$X$10:$X$21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'04.08 Mulago-Kyebando'!$Y$9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Mulago-Kyebando'!$Y$10:$Y$21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7</c:v>
                </c:pt>
                <c:pt idx="3">
                  <c:v>14</c:v>
                </c:pt>
                <c:pt idx="4">
                  <c:v>5</c:v>
                </c:pt>
                <c:pt idx="5">
                  <c:v>14</c:v>
                </c:pt>
                <c:pt idx="6">
                  <c:v>14</c:v>
                </c:pt>
                <c:pt idx="7">
                  <c:v>8</c:v>
                </c:pt>
                <c:pt idx="8">
                  <c:v>17</c:v>
                </c:pt>
                <c:pt idx="9">
                  <c:v>14</c:v>
                </c:pt>
                <c:pt idx="10">
                  <c:v>10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'04.08 Mulago-Kyebando'!$Z$9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Mulago-Kyebando'!$Z$10:$Z$21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8</c:v>
                </c:pt>
                <c:pt idx="5">
                  <c:v>7</c:v>
                </c:pt>
                <c:pt idx="6">
                  <c:v>5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'04.08 Mulago-Kyebando'!$AA$9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Mulago-Kyebando'!$AA$10:$AA$21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'04.08 Mulago-Kyebando'!$AB$9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Mulago-Kyebando'!$AB$10:$AB$21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'04.08 Mulago-Kyebando'!$AC$9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Mulago-Kyebando'!$AC$10:$AC$21</c:f>
              <c:numCache>
                <c:formatCode>0</c:formatCode>
                <c:ptCount val="12"/>
                <c:pt idx="0">
                  <c:v>273</c:v>
                </c:pt>
                <c:pt idx="1">
                  <c:v>367</c:v>
                </c:pt>
                <c:pt idx="2">
                  <c:v>448</c:v>
                </c:pt>
                <c:pt idx="3">
                  <c:v>456</c:v>
                </c:pt>
                <c:pt idx="4">
                  <c:v>530</c:v>
                </c:pt>
                <c:pt idx="5">
                  <c:v>469</c:v>
                </c:pt>
                <c:pt idx="6">
                  <c:v>389</c:v>
                </c:pt>
                <c:pt idx="7">
                  <c:v>504</c:v>
                </c:pt>
                <c:pt idx="8">
                  <c:v>527</c:v>
                </c:pt>
                <c:pt idx="9">
                  <c:v>475</c:v>
                </c:pt>
                <c:pt idx="10">
                  <c:v>469</c:v>
                </c:pt>
                <c:pt idx="11">
                  <c:v>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'04.08 Mulago-Kyebando'!$AD$9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Mulago-Kyebando'!$AD$10:$AD$21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62752"/>
        <c:axId val="121049856"/>
      </c:lineChart>
      <c:catAx>
        <c:axId val="12116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049856"/>
        <c:crosses val="autoZero"/>
        <c:auto val="1"/>
        <c:lblAlgn val="ctr"/>
        <c:lblOffset val="100"/>
        <c:noMultiLvlLbl val="0"/>
      </c:catAx>
      <c:valAx>
        <c:axId val="1210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16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Mulago-Kyebando'!$C$9:$N$9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Mulago-Kyebando'!$C$60:$N$60</c:f>
              <c:numCache>
                <c:formatCode>0.00%</c:formatCode>
                <c:ptCount val="12"/>
                <c:pt idx="0">
                  <c:v>0.64247179990191272</c:v>
                </c:pt>
                <c:pt idx="1">
                  <c:v>0.10274644433545856</c:v>
                </c:pt>
                <c:pt idx="2">
                  <c:v>6.91515448749387E-2</c:v>
                </c:pt>
                <c:pt idx="3">
                  <c:v>0.13756743501716528</c:v>
                </c:pt>
                <c:pt idx="4">
                  <c:v>1.7165277096615988E-3</c:v>
                </c:pt>
                <c:pt idx="5">
                  <c:v>0</c:v>
                </c:pt>
                <c:pt idx="6">
                  <c:v>2.8935752820009809E-2</c:v>
                </c:pt>
                <c:pt idx="7">
                  <c:v>1.3977439921530162E-2</c:v>
                </c:pt>
                <c:pt idx="8">
                  <c:v>3.4330554193231977E-3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Kyebando-Mulago'!$AE$9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Kyebando-Mulago'!$R$10:$R$33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Kyebando-Mulago'!$AE$10:$AE$33</c:f>
              <c:numCache>
                <c:formatCode>0</c:formatCode>
                <c:ptCount val="24"/>
                <c:pt idx="0">
                  <c:v>780</c:v>
                </c:pt>
                <c:pt idx="1">
                  <c:v>687.14285714285722</c:v>
                </c:pt>
                <c:pt idx="2">
                  <c:v>536</c:v>
                </c:pt>
                <c:pt idx="3">
                  <c:v>483.85714285714289</c:v>
                </c:pt>
                <c:pt idx="4">
                  <c:v>383.99999999999994</c:v>
                </c:pt>
                <c:pt idx="5">
                  <c:v>337.28571428571428</c:v>
                </c:pt>
                <c:pt idx="6">
                  <c:v>300.28571428571428</c:v>
                </c:pt>
                <c:pt idx="7">
                  <c:v>282.42857142857144</c:v>
                </c:pt>
                <c:pt idx="8">
                  <c:v>280.57142857142856</c:v>
                </c:pt>
                <c:pt idx="9">
                  <c:v>299.42857142857144</c:v>
                </c:pt>
                <c:pt idx="10">
                  <c:v>299</c:v>
                </c:pt>
                <c:pt idx="11">
                  <c:v>249.14285714285717</c:v>
                </c:pt>
                <c:pt idx="12">
                  <c:v>327.5</c:v>
                </c:pt>
                <c:pt idx="13">
                  <c:v>297.5</c:v>
                </c:pt>
                <c:pt idx="14">
                  <c:v>236.5</c:v>
                </c:pt>
                <c:pt idx="15">
                  <c:v>133</c:v>
                </c:pt>
                <c:pt idx="16">
                  <c:v>81.5</c:v>
                </c:pt>
                <c:pt idx="17">
                  <c:v>54</c:v>
                </c:pt>
                <c:pt idx="18">
                  <c:v>41.5</c:v>
                </c:pt>
                <c:pt idx="19">
                  <c:v>30.5</c:v>
                </c:pt>
                <c:pt idx="20">
                  <c:v>8</c:v>
                </c:pt>
                <c:pt idx="21">
                  <c:v>15.5</c:v>
                </c:pt>
                <c:pt idx="22">
                  <c:v>64</c:v>
                </c:pt>
                <c:pt idx="23">
                  <c:v>548.5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Kyebando-Mulago'!$AF$9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Kyebando-Mulago'!$R$10:$R$33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Kyebando-Mulago'!$AF$10:$AF$33</c:f>
              <c:numCache>
                <c:formatCode>0</c:formatCode>
                <c:ptCount val="24"/>
                <c:pt idx="0">
                  <c:v>1241.1428571428571</c:v>
                </c:pt>
                <c:pt idx="1">
                  <c:v>1334.4285714285716</c:v>
                </c:pt>
                <c:pt idx="2">
                  <c:v>1053.5714285714287</c:v>
                </c:pt>
                <c:pt idx="3">
                  <c:v>891.28571428571433</c:v>
                </c:pt>
                <c:pt idx="4">
                  <c:v>749.42857142857133</c:v>
                </c:pt>
                <c:pt idx="5">
                  <c:v>663.28571428571422</c:v>
                </c:pt>
                <c:pt idx="6">
                  <c:v>625.57142857142856</c:v>
                </c:pt>
                <c:pt idx="7">
                  <c:v>620.85714285714278</c:v>
                </c:pt>
                <c:pt idx="8">
                  <c:v>603.14285714285711</c:v>
                </c:pt>
                <c:pt idx="9">
                  <c:v>669.42857142857133</c:v>
                </c:pt>
                <c:pt idx="10">
                  <c:v>720.14285714285722</c:v>
                </c:pt>
                <c:pt idx="11">
                  <c:v>633.42857142857144</c:v>
                </c:pt>
                <c:pt idx="12">
                  <c:v>768.5</c:v>
                </c:pt>
                <c:pt idx="13">
                  <c:v>696.5</c:v>
                </c:pt>
                <c:pt idx="14">
                  <c:v>584</c:v>
                </c:pt>
                <c:pt idx="15">
                  <c:v>356</c:v>
                </c:pt>
                <c:pt idx="16">
                  <c:v>223</c:v>
                </c:pt>
                <c:pt idx="17">
                  <c:v>133</c:v>
                </c:pt>
                <c:pt idx="18">
                  <c:v>90</c:v>
                </c:pt>
                <c:pt idx="19">
                  <c:v>70</c:v>
                </c:pt>
                <c:pt idx="20">
                  <c:v>31</c:v>
                </c:pt>
                <c:pt idx="21">
                  <c:v>41</c:v>
                </c:pt>
                <c:pt idx="22">
                  <c:v>144</c:v>
                </c:pt>
                <c:pt idx="23">
                  <c:v>684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94304"/>
        <c:axId val="121396224"/>
      </c:lineChart>
      <c:catAx>
        <c:axId val="1213943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396224"/>
        <c:crosses val="autoZero"/>
        <c:auto val="1"/>
        <c:lblAlgn val="ctr"/>
        <c:lblOffset val="100"/>
        <c:noMultiLvlLbl val="0"/>
      </c:catAx>
      <c:valAx>
        <c:axId val="121396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3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Kyebando-Mulago'!$C$9:$N$9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Kyebando-Mulago'!$C$107:$N$107</c:f>
              <c:numCache>
                <c:formatCode>0.0%</c:formatCode>
                <c:ptCount val="12"/>
                <c:pt idx="0">
                  <c:v>0.31353438228438235</c:v>
                </c:pt>
                <c:pt idx="1">
                  <c:v>5.48513986013986E-2</c:v>
                </c:pt>
                <c:pt idx="2">
                  <c:v>3.5533216783216803E-2</c:v>
                </c:pt>
                <c:pt idx="3">
                  <c:v>7.6937645687645675E-2</c:v>
                </c:pt>
                <c:pt idx="4">
                  <c:v>9.6153846153846203E-4</c:v>
                </c:pt>
                <c:pt idx="5">
                  <c:v>2.0396270396270391E-4</c:v>
                </c:pt>
                <c:pt idx="6">
                  <c:v>1.657925407925407E-2</c:v>
                </c:pt>
                <c:pt idx="7">
                  <c:v>2.9574592074592065E-3</c:v>
                </c:pt>
                <c:pt idx="8">
                  <c:v>8.7412587412587385E-5</c:v>
                </c:pt>
                <c:pt idx="9">
                  <c:v>0</c:v>
                </c:pt>
                <c:pt idx="10">
                  <c:v>0.49833916083916108</c:v>
                </c:pt>
                <c:pt idx="11">
                  <c:v>1.4568764568764567E-5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Kyebando-Mulago'!$S$9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Kyebando-Mulago'!$S$10:$S$21</c:f>
              <c:numCache>
                <c:formatCode>0</c:formatCode>
                <c:ptCount val="12"/>
                <c:pt idx="0">
                  <c:v>504.28571428571422</c:v>
                </c:pt>
                <c:pt idx="1">
                  <c:v>426</c:v>
                </c:pt>
                <c:pt idx="2">
                  <c:v>325</c:v>
                </c:pt>
                <c:pt idx="3">
                  <c:v>312.57142857142861</c:v>
                </c:pt>
                <c:pt idx="4">
                  <c:v>239.42857142857144</c:v>
                </c:pt>
                <c:pt idx="5">
                  <c:v>206.28571428571428</c:v>
                </c:pt>
                <c:pt idx="6">
                  <c:v>185.85714285714286</c:v>
                </c:pt>
                <c:pt idx="7">
                  <c:v>181.71428571428572</c:v>
                </c:pt>
                <c:pt idx="8">
                  <c:v>172.42857142857142</c:v>
                </c:pt>
                <c:pt idx="9">
                  <c:v>188</c:v>
                </c:pt>
                <c:pt idx="10">
                  <c:v>178.85714285714286</c:v>
                </c:pt>
                <c:pt idx="11">
                  <c:v>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68-4FCD-A619-4501F07B66D1}"/>
            </c:ext>
          </c:extLst>
        </c:ser>
        <c:ser>
          <c:idx val="1"/>
          <c:order val="1"/>
          <c:tx>
            <c:strRef>
              <c:f>'Avg Week Kyebando-Mulago'!$T$9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Kyebando-Mulago'!$R$10:$R$21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Kyebando-Mulago'!$T$10:$T$21</c:f>
              <c:numCache>
                <c:formatCode>0</c:formatCode>
                <c:ptCount val="12"/>
                <c:pt idx="0">
                  <c:v>66</c:v>
                </c:pt>
                <c:pt idx="1">
                  <c:v>55.285714285714278</c:v>
                </c:pt>
                <c:pt idx="2">
                  <c:v>61.142857142857139</c:v>
                </c:pt>
                <c:pt idx="3">
                  <c:v>59</c:v>
                </c:pt>
                <c:pt idx="4">
                  <c:v>54.571428571428569</c:v>
                </c:pt>
                <c:pt idx="5">
                  <c:v>41.714285714285715</c:v>
                </c:pt>
                <c:pt idx="6">
                  <c:v>34.714285714285715</c:v>
                </c:pt>
                <c:pt idx="7">
                  <c:v>30.999999999999996</c:v>
                </c:pt>
                <c:pt idx="8">
                  <c:v>31</c:v>
                </c:pt>
                <c:pt idx="9">
                  <c:v>35.285714285714285</c:v>
                </c:pt>
                <c:pt idx="10">
                  <c:v>37.714285714285715</c:v>
                </c:pt>
                <c:pt idx="11">
                  <c:v>30.428571428571427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68-4FCD-A619-4501F07B66D1}"/>
            </c:ext>
          </c:extLst>
        </c:ser>
        <c:ser>
          <c:idx val="2"/>
          <c:order val="2"/>
          <c:tx>
            <c:strRef>
              <c:f>'Avg Week Kyebando-Mulago'!$U$9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Kyebando-Mulago'!$U$10:$U$21</c:f>
              <c:numCache>
                <c:formatCode>0</c:formatCode>
                <c:ptCount val="12"/>
                <c:pt idx="0">
                  <c:v>39.142857142857146</c:v>
                </c:pt>
                <c:pt idx="1">
                  <c:v>40.857142857142854</c:v>
                </c:pt>
                <c:pt idx="2">
                  <c:v>39.285714285714285</c:v>
                </c:pt>
                <c:pt idx="3">
                  <c:v>34.857142857142861</c:v>
                </c:pt>
                <c:pt idx="4">
                  <c:v>28.428571428571427</c:v>
                </c:pt>
                <c:pt idx="5">
                  <c:v>25</c:v>
                </c:pt>
                <c:pt idx="6">
                  <c:v>24.142857142857146</c:v>
                </c:pt>
                <c:pt idx="7">
                  <c:v>23.857142857142854</c:v>
                </c:pt>
                <c:pt idx="8">
                  <c:v>24.714285714285712</c:v>
                </c:pt>
                <c:pt idx="9">
                  <c:v>22.857142857142861</c:v>
                </c:pt>
                <c:pt idx="10">
                  <c:v>26.857142857142858</c:v>
                </c:pt>
                <c:pt idx="11">
                  <c:v>18.428571428571431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68-4FCD-A619-4501F07B66D1}"/>
            </c:ext>
          </c:extLst>
        </c:ser>
        <c:ser>
          <c:idx val="3"/>
          <c:order val="3"/>
          <c:tx>
            <c:strRef>
              <c:f>'Avg Week Kyebando-Mulago'!$V$9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Kyebando-Mulago'!$V$10:$V$21</c:f>
              <c:numCache>
                <c:formatCode>0</c:formatCode>
                <c:ptCount val="12"/>
                <c:pt idx="0">
                  <c:v>157</c:v>
                </c:pt>
                <c:pt idx="1">
                  <c:v>145.85714285714286</c:v>
                </c:pt>
                <c:pt idx="2">
                  <c:v>93</c:v>
                </c:pt>
                <c:pt idx="3">
                  <c:v>57.714285714285708</c:v>
                </c:pt>
                <c:pt idx="4">
                  <c:v>44.285714285714285</c:v>
                </c:pt>
                <c:pt idx="5">
                  <c:v>43.571428571428569</c:v>
                </c:pt>
                <c:pt idx="6">
                  <c:v>37</c:v>
                </c:pt>
                <c:pt idx="7">
                  <c:v>30.714285714285715</c:v>
                </c:pt>
                <c:pt idx="8">
                  <c:v>36.142857142857139</c:v>
                </c:pt>
                <c:pt idx="9">
                  <c:v>39.142857142857146</c:v>
                </c:pt>
                <c:pt idx="10">
                  <c:v>37.571428571428569</c:v>
                </c:pt>
                <c:pt idx="11">
                  <c:v>32.428571428571431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68-4FCD-A619-4501F07B66D1}"/>
            </c:ext>
          </c:extLst>
        </c:ser>
        <c:ser>
          <c:idx val="4"/>
          <c:order val="4"/>
          <c:tx>
            <c:strRef>
              <c:f>'Avg Week Kyebando-Mulago'!$W$9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Kyebando-Mulago'!$W$10:$W$21</c:f>
              <c:numCache>
                <c:formatCode>0</c:formatCode>
                <c:ptCount val="12"/>
                <c:pt idx="0">
                  <c:v>0.99999999999999989</c:v>
                </c:pt>
                <c:pt idx="1">
                  <c:v>0.71428571428571419</c:v>
                </c:pt>
                <c:pt idx="2">
                  <c:v>1.5714285714285714</c:v>
                </c:pt>
                <c:pt idx="3">
                  <c:v>0.8571428571428571</c:v>
                </c:pt>
                <c:pt idx="4">
                  <c:v>0</c:v>
                </c:pt>
                <c:pt idx="5">
                  <c:v>0.42857142857142855</c:v>
                </c:pt>
                <c:pt idx="6">
                  <c:v>0.2857142857142857</c:v>
                </c:pt>
                <c:pt idx="7">
                  <c:v>0.2857142857142857</c:v>
                </c:pt>
                <c:pt idx="8">
                  <c:v>1</c:v>
                </c:pt>
                <c:pt idx="9">
                  <c:v>0.85714285714285698</c:v>
                </c:pt>
                <c:pt idx="10">
                  <c:v>1.5714285714285714</c:v>
                </c:pt>
                <c:pt idx="11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68-4FCD-A619-4501F07B66D1}"/>
            </c:ext>
          </c:extLst>
        </c:ser>
        <c:ser>
          <c:idx val="5"/>
          <c:order val="5"/>
          <c:tx>
            <c:strRef>
              <c:f>'Avg Week Kyebando-Mulago'!$X$9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Kyebando-Mulago'!$X$10:$X$21</c:f>
              <c:numCache>
                <c:formatCode>0</c:formatCode>
                <c:ptCount val="12"/>
                <c:pt idx="0">
                  <c:v>0</c:v>
                </c:pt>
                <c:pt idx="1">
                  <c:v>0.5714285714285714</c:v>
                </c:pt>
                <c:pt idx="2">
                  <c:v>0</c:v>
                </c:pt>
                <c:pt idx="3">
                  <c:v>0.42857142857142855</c:v>
                </c:pt>
                <c:pt idx="4">
                  <c:v>0.2857142857142857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0.14285714285714285</c:v>
                </c:pt>
                <c:pt idx="9">
                  <c:v>0.14285714285714285</c:v>
                </c:pt>
                <c:pt idx="10">
                  <c:v>0</c:v>
                </c:pt>
                <c:pt idx="11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68-4FCD-A619-4501F07B66D1}"/>
            </c:ext>
          </c:extLst>
        </c:ser>
        <c:ser>
          <c:idx val="6"/>
          <c:order val="6"/>
          <c:tx>
            <c:strRef>
              <c:f>'Avg Week Kyebando-Mulago'!$Y$9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Kyebando-Mulago'!$Y$10:$Y$21</c:f>
              <c:numCache>
                <c:formatCode>0</c:formatCode>
                <c:ptCount val="12"/>
                <c:pt idx="0">
                  <c:v>11.285714285714285</c:v>
                </c:pt>
                <c:pt idx="1">
                  <c:v>14.571428571428573</c:v>
                </c:pt>
                <c:pt idx="2">
                  <c:v>14</c:v>
                </c:pt>
                <c:pt idx="3">
                  <c:v>16.571428571428573</c:v>
                </c:pt>
                <c:pt idx="4">
                  <c:v>14.571428571428571</c:v>
                </c:pt>
                <c:pt idx="5">
                  <c:v>16.571428571428569</c:v>
                </c:pt>
                <c:pt idx="6">
                  <c:v>15.142857142857142</c:v>
                </c:pt>
                <c:pt idx="7">
                  <c:v>12.142857142857142</c:v>
                </c:pt>
                <c:pt idx="8">
                  <c:v>13.571428571428573</c:v>
                </c:pt>
                <c:pt idx="9">
                  <c:v>10.714285714285714</c:v>
                </c:pt>
                <c:pt idx="10">
                  <c:v>13.428571428571427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68-4FCD-A619-4501F07B66D1}"/>
            </c:ext>
          </c:extLst>
        </c:ser>
        <c:ser>
          <c:idx val="7"/>
          <c:order val="7"/>
          <c:tx>
            <c:strRef>
              <c:f>'Avg Week Kyebando-Mulago'!$Z$9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Kyebando-Mulago'!$Z$10:$Z$21</c:f>
              <c:numCache>
                <c:formatCode>0</c:formatCode>
                <c:ptCount val="12"/>
                <c:pt idx="0">
                  <c:v>1.2857142857142856</c:v>
                </c:pt>
                <c:pt idx="1">
                  <c:v>3.2857142857142856</c:v>
                </c:pt>
                <c:pt idx="2">
                  <c:v>1.857142857142857</c:v>
                </c:pt>
                <c:pt idx="3">
                  <c:v>1.8571428571428572</c:v>
                </c:pt>
                <c:pt idx="4">
                  <c:v>2.4285714285714284</c:v>
                </c:pt>
                <c:pt idx="5">
                  <c:v>3.4285714285714288</c:v>
                </c:pt>
                <c:pt idx="6">
                  <c:v>3</c:v>
                </c:pt>
                <c:pt idx="7">
                  <c:v>2.714285714285714</c:v>
                </c:pt>
                <c:pt idx="8">
                  <c:v>1.5714285714285712</c:v>
                </c:pt>
                <c:pt idx="9">
                  <c:v>2.4285714285714284</c:v>
                </c:pt>
                <c:pt idx="10">
                  <c:v>2.4285714285714284</c:v>
                </c:pt>
                <c:pt idx="11">
                  <c:v>2.7142857142857144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68-4FCD-A619-4501F07B66D1}"/>
            </c:ext>
          </c:extLst>
        </c:ser>
        <c:ser>
          <c:idx val="8"/>
          <c:order val="8"/>
          <c:tx>
            <c:strRef>
              <c:f>'Avg Week Kyebando-Mulago'!$AA$9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0.14285714285714285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0.5714285714285714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68-4FCD-A619-4501F07B66D1}"/>
            </c:ext>
          </c:extLst>
        </c:ser>
        <c:ser>
          <c:idx val="9"/>
          <c:order val="9"/>
          <c:tx>
            <c:strRef>
              <c:f>'Avg Week Kyebando-Mulago'!$AB$9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68-4FCD-A619-4501F07B66D1}"/>
            </c:ext>
          </c:extLst>
        </c:ser>
        <c:ser>
          <c:idx val="10"/>
          <c:order val="10"/>
          <c:tx>
            <c:strRef>
              <c:f>'Avg Week Kyebando-Mulago'!$AC$9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Kyebando-Mulago'!$AC$10:$AC$21</c:f>
              <c:numCache>
                <c:formatCode>0</c:formatCode>
                <c:ptCount val="12"/>
                <c:pt idx="0">
                  <c:v>461.14285714285711</c:v>
                </c:pt>
                <c:pt idx="1">
                  <c:v>647.28571428571422</c:v>
                </c:pt>
                <c:pt idx="2">
                  <c:v>517.57142857142867</c:v>
                </c:pt>
                <c:pt idx="3">
                  <c:v>407.42857142857139</c:v>
                </c:pt>
                <c:pt idx="4">
                  <c:v>365.42857142857144</c:v>
                </c:pt>
                <c:pt idx="5">
                  <c:v>326</c:v>
                </c:pt>
                <c:pt idx="6">
                  <c:v>325.28571428571433</c:v>
                </c:pt>
                <c:pt idx="7">
                  <c:v>338.42857142857144</c:v>
                </c:pt>
                <c:pt idx="8">
                  <c:v>322.57142857142856</c:v>
                </c:pt>
                <c:pt idx="9">
                  <c:v>370</c:v>
                </c:pt>
                <c:pt idx="10">
                  <c:v>421.14285714285711</c:v>
                </c:pt>
                <c:pt idx="11">
                  <c:v>384.28571428571428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68-4FCD-A619-4501F07B66D1}"/>
            </c:ext>
          </c:extLst>
        </c:ser>
        <c:ser>
          <c:idx val="11"/>
          <c:order val="11"/>
          <c:tx>
            <c:strRef>
              <c:f>'Avg Week Kyebando-Mulago'!$AD$9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68-4FCD-A619-4501F07B6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22816"/>
        <c:axId val="121532800"/>
      </c:lineChart>
      <c:catAx>
        <c:axId val="12152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32800"/>
        <c:crosses val="autoZero"/>
        <c:auto val="1"/>
        <c:lblAlgn val="ctr"/>
        <c:lblOffset val="100"/>
        <c:noMultiLvlLbl val="0"/>
      </c:catAx>
      <c:valAx>
        <c:axId val="12153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2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Kyebando-Mulago'!$C$9:$N$9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Kyebando-Mulago'!$C$108:$N$108</c:f>
              <c:numCache>
                <c:formatCode>0.00%</c:formatCode>
                <c:ptCount val="12"/>
                <c:pt idx="0">
                  <c:v>0.62499273973398406</c:v>
                </c:pt>
                <c:pt idx="1">
                  <c:v>0.10933960620317129</c:v>
                </c:pt>
                <c:pt idx="2">
                  <c:v>7.0831155253528524E-2</c:v>
                </c:pt>
                <c:pt idx="3">
                  <c:v>0.15336585932508565</c:v>
                </c:pt>
                <c:pt idx="4">
                  <c:v>1.9167102282627649E-3</c:v>
                </c:pt>
                <c:pt idx="5">
                  <c:v>4.0657489690422248E-4</c:v>
                </c:pt>
                <c:pt idx="6">
                  <c:v>3.3048730905500368E-2</c:v>
                </c:pt>
                <c:pt idx="7">
                  <c:v>5.8953360051112258E-3</c:v>
                </c:pt>
                <c:pt idx="8">
                  <c:v>1.7424638438752392E-4</c:v>
                </c:pt>
                <c:pt idx="9">
                  <c:v>0</c:v>
                </c:pt>
                <c:pt idx="11">
                  <c:v>2.9041064064587326E-5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Mulago-Kyebando'!$AE$9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Mulago-Kyebando'!$R$10:$R$33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Mulago-Kyebando'!$AE$10:$AE$33</c:f>
              <c:numCache>
                <c:formatCode>0</c:formatCode>
                <c:ptCount val="24"/>
                <c:pt idx="0">
                  <c:v>138.42857142857144</c:v>
                </c:pt>
                <c:pt idx="1">
                  <c:v>174.71428571428572</c:v>
                </c:pt>
                <c:pt idx="2">
                  <c:v>231.71428571428569</c:v>
                </c:pt>
                <c:pt idx="3">
                  <c:v>288</c:v>
                </c:pt>
                <c:pt idx="4">
                  <c:v>310.85714285714283</c:v>
                </c:pt>
                <c:pt idx="5">
                  <c:v>306.14285714285717</c:v>
                </c:pt>
                <c:pt idx="6">
                  <c:v>364.71428571428572</c:v>
                </c:pt>
                <c:pt idx="7">
                  <c:v>378</c:v>
                </c:pt>
                <c:pt idx="8">
                  <c:v>427.42857142857139</c:v>
                </c:pt>
                <c:pt idx="9">
                  <c:v>545.42857142857144</c:v>
                </c:pt>
                <c:pt idx="10">
                  <c:v>687.85714285714278</c:v>
                </c:pt>
                <c:pt idx="11">
                  <c:v>586</c:v>
                </c:pt>
                <c:pt idx="12">
                  <c:v>725.5</c:v>
                </c:pt>
                <c:pt idx="13">
                  <c:v>799</c:v>
                </c:pt>
                <c:pt idx="14">
                  <c:v>625</c:v>
                </c:pt>
                <c:pt idx="15">
                  <c:v>358.5</c:v>
                </c:pt>
                <c:pt idx="16">
                  <c:v>202</c:v>
                </c:pt>
                <c:pt idx="17">
                  <c:v>105.5</c:v>
                </c:pt>
                <c:pt idx="18">
                  <c:v>80.5</c:v>
                </c:pt>
                <c:pt idx="19">
                  <c:v>54</c:v>
                </c:pt>
                <c:pt idx="20">
                  <c:v>34.5</c:v>
                </c:pt>
                <c:pt idx="21">
                  <c:v>26</c:v>
                </c:pt>
                <c:pt idx="22">
                  <c:v>41</c:v>
                </c:pt>
                <c:pt idx="23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Mulago-Kyebando'!$AF$9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Mulago-Kyebando'!$R$10:$R$33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Mulago-Kyebando'!$AF$10:$AF$33</c:f>
              <c:numCache>
                <c:formatCode>0</c:formatCode>
                <c:ptCount val="24"/>
                <c:pt idx="0">
                  <c:v>548.42857142857144</c:v>
                </c:pt>
                <c:pt idx="1">
                  <c:v>846</c:v>
                </c:pt>
                <c:pt idx="2">
                  <c:v>904.57142857142856</c:v>
                </c:pt>
                <c:pt idx="3">
                  <c:v>843</c:v>
                </c:pt>
                <c:pt idx="4">
                  <c:v>782.69047619047615</c:v>
                </c:pt>
                <c:pt idx="5">
                  <c:v>707.14285714285711</c:v>
                </c:pt>
                <c:pt idx="6">
                  <c:v>755.85714285714289</c:v>
                </c:pt>
                <c:pt idx="7">
                  <c:v>782.71428571428567</c:v>
                </c:pt>
                <c:pt idx="8">
                  <c:v>864.14285714285711</c:v>
                </c:pt>
                <c:pt idx="9">
                  <c:v>972</c:v>
                </c:pt>
                <c:pt idx="10">
                  <c:v>1134.4285714285713</c:v>
                </c:pt>
                <c:pt idx="11">
                  <c:v>1041</c:v>
                </c:pt>
                <c:pt idx="12">
                  <c:v>1351</c:v>
                </c:pt>
                <c:pt idx="13">
                  <c:v>1441.5</c:v>
                </c:pt>
                <c:pt idx="14">
                  <c:v>1102</c:v>
                </c:pt>
                <c:pt idx="15">
                  <c:v>735</c:v>
                </c:pt>
                <c:pt idx="16">
                  <c:v>443.5</c:v>
                </c:pt>
                <c:pt idx="17">
                  <c:v>224.5</c:v>
                </c:pt>
                <c:pt idx="18">
                  <c:v>154.5</c:v>
                </c:pt>
                <c:pt idx="19">
                  <c:v>115.5</c:v>
                </c:pt>
                <c:pt idx="20">
                  <c:v>78</c:v>
                </c:pt>
                <c:pt idx="21">
                  <c:v>57</c:v>
                </c:pt>
                <c:pt idx="22">
                  <c:v>99</c:v>
                </c:pt>
                <c:pt idx="23">
                  <c:v>219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32896"/>
        <c:axId val="122034816"/>
      </c:lineChart>
      <c:catAx>
        <c:axId val="1220328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034816"/>
        <c:crosses val="autoZero"/>
        <c:auto val="1"/>
        <c:lblAlgn val="ctr"/>
        <c:lblOffset val="100"/>
        <c:noMultiLvlLbl val="0"/>
      </c:catAx>
      <c:valAx>
        <c:axId val="1220348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03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Mulago-Kyebando'!$C$9:$N$9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Mulago-Kyebando'!$C$107:$N$107</c:f>
              <c:numCache>
                <c:formatCode>0.0%</c:formatCode>
                <c:ptCount val="12"/>
                <c:pt idx="0">
                  <c:v>0.27030958065489197</c:v>
                </c:pt>
                <c:pt idx="1">
                  <c:v>4.1291451046784347E-2</c:v>
                </c:pt>
                <c:pt idx="2">
                  <c:v>3.6507086518427753E-2</c:v>
                </c:pt>
                <c:pt idx="3">
                  <c:v>6.2379133997282774E-2</c:v>
                </c:pt>
                <c:pt idx="4">
                  <c:v>1.781860102936328E-3</c:v>
                </c:pt>
                <c:pt idx="5">
                  <c:v>1.8239512864702564E-4</c:v>
                </c:pt>
                <c:pt idx="6">
                  <c:v>1.9333883636584722E-2</c:v>
                </c:pt>
                <c:pt idx="7">
                  <c:v>3.7180545454970622E-3</c:v>
                </c:pt>
                <c:pt idx="8">
                  <c:v>4.9106380789583825E-4</c:v>
                </c:pt>
                <c:pt idx="9">
                  <c:v>0</c:v>
                </c:pt>
                <c:pt idx="10">
                  <c:v>0.56400549056105209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Mulago-Kyebando'!$S$9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Mulago-Kyebando'!$S$10:$S$21</c:f>
              <c:numCache>
                <c:formatCode>0</c:formatCode>
                <c:ptCount val="12"/>
                <c:pt idx="0">
                  <c:v>73.428571428571416</c:v>
                </c:pt>
                <c:pt idx="1">
                  <c:v>97.142857142857139</c:v>
                </c:pt>
                <c:pt idx="2">
                  <c:v>116</c:v>
                </c:pt>
                <c:pt idx="3">
                  <c:v>142.42857142857142</c:v>
                </c:pt>
                <c:pt idx="4">
                  <c:v>165.14285714285714</c:v>
                </c:pt>
                <c:pt idx="5">
                  <c:v>173.14285714285714</c:v>
                </c:pt>
                <c:pt idx="6">
                  <c:v>222.42857142857144</c:v>
                </c:pt>
                <c:pt idx="7">
                  <c:v>226</c:v>
                </c:pt>
                <c:pt idx="8">
                  <c:v>265.57142857142856</c:v>
                </c:pt>
                <c:pt idx="9">
                  <c:v>369.85714285714283</c:v>
                </c:pt>
                <c:pt idx="10">
                  <c:v>493.71428571428578</c:v>
                </c:pt>
                <c:pt idx="11">
                  <c:v>407.42857142857144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B2-4E89-BB96-27269775CB4B}"/>
            </c:ext>
          </c:extLst>
        </c:ser>
        <c:ser>
          <c:idx val="1"/>
          <c:order val="1"/>
          <c:tx>
            <c:strRef>
              <c:f>'Avg Week Mulago-Kyebando'!$T$9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Mulago-Kyebando'!$R$10:$R$21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Mulago-Kyebando'!$T$10:$T$21</c:f>
              <c:numCache>
                <c:formatCode>0</c:formatCode>
                <c:ptCount val="12"/>
                <c:pt idx="0">
                  <c:v>10.714285714285714</c:v>
                </c:pt>
                <c:pt idx="1">
                  <c:v>13.714285714285715</c:v>
                </c:pt>
                <c:pt idx="2">
                  <c:v>17.285714285714285</c:v>
                </c:pt>
                <c:pt idx="3">
                  <c:v>26.571428571428577</c:v>
                </c:pt>
                <c:pt idx="4">
                  <c:v>30.285714285714292</c:v>
                </c:pt>
                <c:pt idx="5">
                  <c:v>26.714285714285715</c:v>
                </c:pt>
                <c:pt idx="6">
                  <c:v>32.142857142857146</c:v>
                </c:pt>
                <c:pt idx="7">
                  <c:v>54.714285714285715</c:v>
                </c:pt>
                <c:pt idx="8">
                  <c:v>44.714285714285715</c:v>
                </c:pt>
                <c:pt idx="9">
                  <c:v>51.428571428571423</c:v>
                </c:pt>
                <c:pt idx="10">
                  <c:v>63.285714285714285</c:v>
                </c:pt>
                <c:pt idx="11">
                  <c:v>48.857142857142854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B2-4E89-BB96-27269775CB4B}"/>
            </c:ext>
          </c:extLst>
        </c:ser>
        <c:ser>
          <c:idx val="2"/>
          <c:order val="2"/>
          <c:tx>
            <c:strRef>
              <c:f>'Avg Week Mulago-Kyebando'!$U$9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Mulago-Kyebando'!$U$10:$U$21</c:f>
              <c:numCache>
                <c:formatCode>0</c:formatCode>
                <c:ptCount val="12"/>
                <c:pt idx="0">
                  <c:v>10.428571428571429</c:v>
                </c:pt>
                <c:pt idx="1">
                  <c:v>13.714285714285715</c:v>
                </c:pt>
                <c:pt idx="2">
                  <c:v>22.857142857142858</c:v>
                </c:pt>
                <c:pt idx="3">
                  <c:v>32</c:v>
                </c:pt>
                <c:pt idx="4">
                  <c:v>35.142857142857146</c:v>
                </c:pt>
                <c:pt idx="5">
                  <c:v>31.571428571428577</c:v>
                </c:pt>
                <c:pt idx="6">
                  <c:v>34</c:v>
                </c:pt>
                <c:pt idx="7">
                  <c:v>28.571428571428573</c:v>
                </c:pt>
                <c:pt idx="8">
                  <c:v>43.571428571428569</c:v>
                </c:pt>
                <c:pt idx="9">
                  <c:v>45.857142857142854</c:v>
                </c:pt>
                <c:pt idx="10">
                  <c:v>42.857142857142854</c:v>
                </c:pt>
                <c:pt idx="11">
                  <c:v>31.142857142857139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B2-4E89-BB96-27269775CB4B}"/>
            </c:ext>
          </c:extLst>
        </c:ser>
        <c:ser>
          <c:idx val="3"/>
          <c:order val="3"/>
          <c:tx>
            <c:strRef>
              <c:f>'Avg Week Mulago-Kyebando'!$V$9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Mulago-Kyebando'!$V$10:$V$21</c:f>
              <c:numCache>
                <c:formatCode>0</c:formatCode>
                <c:ptCount val="12"/>
                <c:pt idx="0">
                  <c:v>35.571428571428569</c:v>
                </c:pt>
                <c:pt idx="1">
                  <c:v>39.428571428571431</c:v>
                </c:pt>
                <c:pt idx="2">
                  <c:v>56.428571428571431</c:v>
                </c:pt>
                <c:pt idx="3">
                  <c:v>63.285714285714278</c:v>
                </c:pt>
                <c:pt idx="4">
                  <c:v>54.571428571428569</c:v>
                </c:pt>
                <c:pt idx="5">
                  <c:v>48.428571428571431</c:v>
                </c:pt>
                <c:pt idx="6">
                  <c:v>50</c:v>
                </c:pt>
                <c:pt idx="7">
                  <c:v>43</c:v>
                </c:pt>
                <c:pt idx="8">
                  <c:v>45.285714285714285</c:v>
                </c:pt>
                <c:pt idx="9">
                  <c:v>56</c:v>
                </c:pt>
                <c:pt idx="10">
                  <c:v>64.571428571428569</c:v>
                </c:pt>
                <c:pt idx="11">
                  <c:v>78.571428571428569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B2-4E89-BB96-27269775CB4B}"/>
            </c:ext>
          </c:extLst>
        </c:ser>
        <c:ser>
          <c:idx val="4"/>
          <c:order val="4"/>
          <c:tx>
            <c:strRef>
              <c:f>'Avg Week Mulago-Kyebando'!$W$9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Mulago-Kyebando'!$W$10:$W$21</c:f>
              <c:numCache>
                <c:formatCode>0</c:formatCode>
                <c:ptCount val="12"/>
                <c:pt idx="0">
                  <c:v>2.2857142857142856</c:v>
                </c:pt>
                <c:pt idx="1">
                  <c:v>1.2857142857142856</c:v>
                </c:pt>
                <c:pt idx="2">
                  <c:v>0.8571428571428571</c:v>
                </c:pt>
                <c:pt idx="3">
                  <c:v>1.5714285714285714</c:v>
                </c:pt>
                <c:pt idx="4">
                  <c:v>1</c:v>
                </c:pt>
                <c:pt idx="5">
                  <c:v>1.4285714285714284</c:v>
                </c:pt>
                <c:pt idx="6">
                  <c:v>1.5714285714285714</c:v>
                </c:pt>
                <c:pt idx="7">
                  <c:v>1.1428571428571428</c:v>
                </c:pt>
                <c:pt idx="8">
                  <c:v>0.5714285714285714</c:v>
                </c:pt>
                <c:pt idx="9">
                  <c:v>1.9999999999999998</c:v>
                </c:pt>
                <c:pt idx="10">
                  <c:v>2.1428571428571428</c:v>
                </c:pt>
                <c:pt idx="11">
                  <c:v>2.2857142857142856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B2-4E89-BB96-27269775CB4B}"/>
            </c:ext>
          </c:extLst>
        </c:ser>
        <c:ser>
          <c:idx val="5"/>
          <c:order val="5"/>
          <c:tx>
            <c:strRef>
              <c:f>'Avg Week Mulago-Kyebando'!$X$9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Mulago-Kyebando'!$X$10:$X$21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0.14285714285714285</c:v>
                </c:pt>
                <c:pt idx="6">
                  <c:v>0.14285714285714285</c:v>
                </c:pt>
                <c:pt idx="7">
                  <c:v>0.2857142857142857</c:v>
                </c:pt>
                <c:pt idx="8">
                  <c:v>0.2857142857142857</c:v>
                </c:pt>
                <c:pt idx="9">
                  <c:v>0</c:v>
                </c:pt>
                <c:pt idx="10">
                  <c:v>0.5714285714285714</c:v>
                </c:pt>
                <c:pt idx="11">
                  <c:v>0.42857142857142855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B2-4E89-BB96-27269775CB4B}"/>
            </c:ext>
          </c:extLst>
        </c:ser>
        <c:ser>
          <c:idx val="6"/>
          <c:order val="6"/>
          <c:tx>
            <c:strRef>
              <c:f>'Avg Week Mulago-Kyebando'!$Y$9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Mulago-Kyebando'!$Y$10:$Y$21</c:f>
              <c:numCache>
                <c:formatCode>0</c:formatCode>
                <c:ptCount val="12"/>
                <c:pt idx="0">
                  <c:v>5.5714285714285712</c:v>
                </c:pt>
                <c:pt idx="1">
                  <c:v>6.2857142857142856</c:v>
                </c:pt>
                <c:pt idx="2">
                  <c:v>15.142857142857144</c:v>
                </c:pt>
                <c:pt idx="3">
                  <c:v>19.142857142857142</c:v>
                </c:pt>
                <c:pt idx="4">
                  <c:v>20.285714285714288</c:v>
                </c:pt>
                <c:pt idx="5">
                  <c:v>19.285714285714285</c:v>
                </c:pt>
                <c:pt idx="6">
                  <c:v>21.571428571428569</c:v>
                </c:pt>
                <c:pt idx="7">
                  <c:v>19.714285714285715</c:v>
                </c:pt>
                <c:pt idx="8">
                  <c:v>23.285714285714285</c:v>
                </c:pt>
                <c:pt idx="9">
                  <c:v>15.428571428571429</c:v>
                </c:pt>
                <c:pt idx="10">
                  <c:v>16.714285714285715</c:v>
                </c:pt>
                <c:pt idx="11">
                  <c:v>14.428571428571429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B2-4E89-BB96-27269775CB4B}"/>
            </c:ext>
          </c:extLst>
        </c:ser>
        <c:ser>
          <c:idx val="7"/>
          <c:order val="7"/>
          <c:tx>
            <c:strRef>
              <c:f>'Avg Week Mulago-Kyebando'!$Z$9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Mulago-Kyebando'!$Z$10:$Z$21</c:f>
              <c:numCache>
                <c:formatCode>0</c:formatCode>
                <c:ptCount val="12"/>
                <c:pt idx="0">
                  <c:v>0.42857142857142855</c:v>
                </c:pt>
                <c:pt idx="1">
                  <c:v>2.2857142857142856</c:v>
                </c:pt>
                <c:pt idx="2">
                  <c:v>2.7142857142857144</c:v>
                </c:pt>
                <c:pt idx="3">
                  <c:v>2.5714285714285712</c:v>
                </c:pt>
                <c:pt idx="4">
                  <c:v>4.2857142857142856</c:v>
                </c:pt>
                <c:pt idx="5">
                  <c:v>5.1428571428571432</c:v>
                </c:pt>
                <c:pt idx="6">
                  <c:v>2.714285714285714</c:v>
                </c:pt>
                <c:pt idx="7">
                  <c:v>3.8571428571428572</c:v>
                </c:pt>
                <c:pt idx="8">
                  <c:v>3.5714285714285716</c:v>
                </c:pt>
                <c:pt idx="9">
                  <c:v>4.4285714285714288</c:v>
                </c:pt>
                <c:pt idx="10">
                  <c:v>3.4285714285714279</c:v>
                </c:pt>
                <c:pt idx="11">
                  <c:v>2.4285714285714284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B2-4E89-BB96-27269775CB4B}"/>
            </c:ext>
          </c:extLst>
        </c:ser>
        <c:ser>
          <c:idx val="8"/>
          <c:order val="8"/>
          <c:tx>
            <c:strRef>
              <c:f>'Avg Week Mulago-Kyebando'!$AA$9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Mulago-Kyebando'!$AA$10:$AA$21</c:f>
              <c:numCache>
                <c:formatCode>0</c:formatCode>
                <c:ptCount val="12"/>
                <c:pt idx="0">
                  <c:v>0</c:v>
                </c:pt>
                <c:pt idx="1">
                  <c:v>0.85714285714285698</c:v>
                </c:pt>
                <c:pt idx="2">
                  <c:v>0.42857142857142855</c:v>
                </c:pt>
                <c:pt idx="3">
                  <c:v>0.42857142857142855</c:v>
                </c:pt>
                <c:pt idx="4">
                  <c:v>0.14285714285714285</c:v>
                </c:pt>
                <c:pt idx="5">
                  <c:v>0.2857142857142857</c:v>
                </c:pt>
                <c:pt idx="6">
                  <c:v>0.14285714285714285</c:v>
                </c:pt>
                <c:pt idx="7">
                  <c:v>0.71428571428571419</c:v>
                </c:pt>
                <c:pt idx="8">
                  <c:v>0.5714285714285714</c:v>
                </c:pt>
                <c:pt idx="9">
                  <c:v>0.42857142857142855</c:v>
                </c:pt>
                <c:pt idx="10">
                  <c:v>0.5714285714285714</c:v>
                </c:pt>
                <c:pt idx="11">
                  <c:v>0.42857142857142855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B2-4E89-BB96-27269775CB4B}"/>
            </c:ext>
          </c:extLst>
        </c:ser>
        <c:ser>
          <c:idx val="9"/>
          <c:order val="9"/>
          <c:tx>
            <c:strRef>
              <c:f>'Avg Week Mulago-Kyebando'!$AB$9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Mulago-Kyebando'!$AB$10:$AB$21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B2-4E89-BB96-27269775CB4B}"/>
            </c:ext>
          </c:extLst>
        </c:ser>
        <c:ser>
          <c:idx val="10"/>
          <c:order val="10"/>
          <c:tx>
            <c:strRef>
              <c:f>'Avg Week Mulago-Kyebando'!$AC$9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Mulago-Kyebando'!$AC$10:$AC$21</c:f>
              <c:numCache>
                <c:formatCode>0</c:formatCode>
                <c:ptCount val="12"/>
                <c:pt idx="0">
                  <c:v>410</c:v>
                </c:pt>
                <c:pt idx="1">
                  <c:v>671.28571428571433</c:v>
                </c:pt>
                <c:pt idx="2">
                  <c:v>672.85714285714278</c:v>
                </c:pt>
                <c:pt idx="3">
                  <c:v>555</c:v>
                </c:pt>
                <c:pt idx="4">
                  <c:v>471.83333333333331</c:v>
                </c:pt>
                <c:pt idx="5">
                  <c:v>401</c:v>
                </c:pt>
                <c:pt idx="6">
                  <c:v>391.14285714285711</c:v>
                </c:pt>
                <c:pt idx="7">
                  <c:v>404.71428571428567</c:v>
                </c:pt>
                <c:pt idx="8">
                  <c:v>436.71428571428567</c:v>
                </c:pt>
                <c:pt idx="9">
                  <c:v>426.57142857142856</c:v>
                </c:pt>
                <c:pt idx="10">
                  <c:v>446.57142857142856</c:v>
                </c:pt>
                <c:pt idx="11">
                  <c:v>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B2-4E89-BB96-27269775CB4B}"/>
            </c:ext>
          </c:extLst>
        </c:ser>
        <c:ser>
          <c:idx val="11"/>
          <c:order val="11"/>
          <c:tx>
            <c:strRef>
              <c:f>'Avg Week Mulago-Kyebando'!$AD$9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Mulago-Kyebando'!$AD$10:$AD$21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B2-4E89-BB96-27269775C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772288"/>
        <c:axId val="121778176"/>
      </c:lineChart>
      <c:catAx>
        <c:axId val="12177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778176"/>
        <c:crosses val="autoZero"/>
        <c:auto val="1"/>
        <c:lblAlgn val="ctr"/>
        <c:lblOffset val="100"/>
        <c:noMultiLvlLbl val="0"/>
      </c:catAx>
      <c:valAx>
        <c:axId val="1217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7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50300925375264E-2"/>
          <c:y val="0.2357770060266868"/>
          <c:w val="0.82182781835050078"/>
          <c:h val="0.7584600868154360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Mulago-Kyebando'!$C$9:$N$9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Mulago-Kyebando'!$C$108:$N$108</c:f>
              <c:numCache>
                <c:formatCode>0.00%</c:formatCode>
                <c:ptCount val="12"/>
                <c:pt idx="0">
                  <c:v>0.61998390989541419</c:v>
                </c:pt>
                <c:pt idx="1">
                  <c:v>9.4706355591311325E-2</c:v>
                </c:pt>
                <c:pt idx="2">
                  <c:v>8.3732904263877708E-2</c:v>
                </c:pt>
                <c:pt idx="3">
                  <c:v>0.14307320997586481</c:v>
                </c:pt>
                <c:pt idx="4">
                  <c:v>4.0868865647626712E-3</c:v>
                </c:pt>
                <c:pt idx="5">
                  <c:v>4.1834271922767485E-4</c:v>
                </c:pt>
                <c:pt idx="6">
                  <c:v>4.4344328238133543E-2</c:v>
                </c:pt>
                <c:pt idx="7">
                  <c:v>8.5277554304102974E-3</c:v>
                </c:pt>
                <c:pt idx="8">
                  <c:v>1.1263073209975862E-3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Kyebando-Mulago-2Dir'!$C$9:$N$9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Kyebando-Mulago-2Dir'!$C$107:$N$107</c:f>
              <c:numCache>
                <c:formatCode>0.0%</c:formatCode>
                <c:ptCount val="12"/>
                <c:pt idx="0">
                  <c:v>0.29151513491041509</c:v>
                </c:pt>
                <c:pt idx="1">
                  <c:v>4.7943793977960239E-2</c:v>
                </c:pt>
                <c:pt idx="2">
                  <c:v>3.6029318044558376E-2</c:v>
                </c:pt>
                <c:pt idx="3">
                  <c:v>6.952136017048588E-2</c:v>
                </c:pt>
                <c:pt idx="4">
                  <c:v>1.3794204290021356E-3</c:v>
                </c:pt>
                <c:pt idx="5">
                  <c:v>1.9297591493812257E-4</c:v>
                </c:pt>
                <c:pt idx="6">
                  <c:v>1.7982496369789502E-2</c:v>
                </c:pt>
                <c:pt idx="7">
                  <c:v>3.3449158589274578E-3</c:v>
                </c:pt>
                <c:pt idx="8">
                  <c:v>2.9303750046159361E-4</c:v>
                </c:pt>
                <c:pt idx="9">
                  <c:v>0</c:v>
                </c:pt>
                <c:pt idx="10">
                  <c:v>0.53179039956735297</c:v>
                </c:pt>
                <c:pt idx="11">
                  <c:v>7.1472561088193559E-6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Kyebando-Mulago-2Dir'!$S$9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Kyebando-Mulago-2Dir'!$R$10:$R$21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Kyebando-Mulago-2Dir'!$S$10:$S$21</c:f>
              <c:numCache>
                <c:formatCode>0</c:formatCode>
                <c:ptCount val="12"/>
                <c:pt idx="0">
                  <c:v>577.71428571428578</c:v>
                </c:pt>
                <c:pt idx="1">
                  <c:v>523.14285714285711</c:v>
                </c:pt>
                <c:pt idx="2">
                  <c:v>441</c:v>
                </c:pt>
                <c:pt idx="3">
                  <c:v>455</c:v>
                </c:pt>
                <c:pt idx="4">
                  <c:v>404.57142857142856</c:v>
                </c:pt>
                <c:pt idx="5">
                  <c:v>379.42857142857144</c:v>
                </c:pt>
                <c:pt idx="6">
                  <c:v>408.28571428571433</c:v>
                </c:pt>
                <c:pt idx="7">
                  <c:v>407.71428571428572</c:v>
                </c:pt>
                <c:pt idx="8">
                  <c:v>438</c:v>
                </c:pt>
                <c:pt idx="9">
                  <c:v>557.85714285714289</c:v>
                </c:pt>
                <c:pt idx="10">
                  <c:v>672.57142857142867</c:v>
                </c:pt>
                <c:pt idx="11">
                  <c:v>561.42857142857144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E8-49CE-9A67-22D6951BE8EE}"/>
            </c:ext>
          </c:extLst>
        </c:ser>
        <c:ser>
          <c:idx val="1"/>
          <c:order val="1"/>
          <c:tx>
            <c:strRef>
              <c:f>'Avg Week Kyebando-Mulago-2Dir'!$T$9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Kyebando-Mulago-2Dir'!$R$10:$R$21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Kyebando-Mulago-2Dir'!$T$10:$T$21</c:f>
              <c:numCache>
                <c:formatCode>0</c:formatCode>
                <c:ptCount val="12"/>
                <c:pt idx="0">
                  <c:v>76.714285714285708</c:v>
                </c:pt>
                <c:pt idx="1">
                  <c:v>69</c:v>
                </c:pt>
                <c:pt idx="2">
                  <c:v>78.428571428571416</c:v>
                </c:pt>
                <c:pt idx="3">
                  <c:v>85.571428571428584</c:v>
                </c:pt>
                <c:pt idx="4">
                  <c:v>84.857142857142861</c:v>
                </c:pt>
                <c:pt idx="5">
                  <c:v>68.428571428571431</c:v>
                </c:pt>
                <c:pt idx="6">
                  <c:v>66.857142857142861</c:v>
                </c:pt>
                <c:pt idx="7">
                  <c:v>85.714285714285722</c:v>
                </c:pt>
                <c:pt idx="8">
                  <c:v>75.714285714285708</c:v>
                </c:pt>
                <c:pt idx="9">
                  <c:v>86.714285714285722</c:v>
                </c:pt>
                <c:pt idx="10">
                  <c:v>101</c:v>
                </c:pt>
                <c:pt idx="11">
                  <c:v>79.285714285714292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E8-49CE-9A67-22D6951BE8EE}"/>
            </c:ext>
          </c:extLst>
        </c:ser>
        <c:ser>
          <c:idx val="2"/>
          <c:order val="2"/>
          <c:tx>
            <c:strRef>
              <c:f>'Avg Week Kyebando-Mulago-2Dir'!$U$9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Kyebando-Mulago-2Dir'!$U$10:$U$21</c:f>
              <c:numCache>
                <c:formatCode>0</c:formatCode>
                <c:ptCount val="12"/>
                <c:pt idx="0">
                  <c:v>49.571428571428569</c:v>
                </c:pt>
                <c:pt idx="1">
                  <c:v>54.571428571428569</c:v>
                </c:pt>
                <c:pt idx="2">
                  <c:v>62.142857142857139</c:v>
                </c:pt>
                <c:pt idx="3">
                  <c:v>66.857142857142861</c:v>
                </c:pt>
                <c:pt idx="4">
                  <c:v>63.571428571428569</c:v>
                </c:pt>
                <c:pt idx="5">
                  <c:v>56.571428571428569</c:v>
                </c:pt>
                <c:pt idx="6">
                  <c:v>58.142857142857146</c:v>
                </c:pt>
                <c:pt idx="7">
                  <c:v>52.428571428571431</c:v>
                </c:pt>
                <c:pt idx="8">
                  <c:v>68.285714285714278</c:v>
                </c:pt>
                <c:pt idx="9">
                  <c:v>68.714285714285722</c:v>
                </c:pt>
                <c:pt idx="10">
                  <c:v>69.714285714285722</c:v>
                </c:pt>
                <c:pt idx="11">
                  <c:v>49.571428571428569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E8-49CE-9A67-22D6951BE8EE}"/>
            </c:ext>
          </c:extLst>
        </c:ser>
        <c:ser>
          <c:idx val="3"/>
          <c:order val="3"/>
          <c:tx>
            <c:strRef>
              <c:f>'Avg Week Kyebando-Mulago-2Dir'!$V$9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Kyebando-Mulago-2Dir'!$V$10:$V$21</c:f>
              <c:numCache>
                <c:formatCode>0</c:formatCode>
                <c:ptCount val="12"/>
                <c:pt idx="0">
                  <c:v>192.57142857142856</c:v>
                </c:pt>
                <c:pt idx="1">
                  <c:v>185.28571428571431</c:v>
                </c:pt>
                <c:pt idx="2">
                  <c:v>149.42857142857142</c:v>
                </c:pt>
                <c:pt idx="3">
                  <c:v>121</c:v>
                </c:pt>
                <c:pt idx="4">
                  <c:v>98.857142857142861</c:v>
                </c:pt>
                <c:pt idx="5">
                  <c:v>92</c:v>
                </c:pt>
                <c:pt idx="6">
                  <c:v>87</c:v>
                </c:pt>
                <c:pt idx="7">
                  <c:v>73.714285714285722</c:v>
                </c:pt>
                <c:pt idx="8">
                  <c:v>81.428571428571416</c:v>
                </c:pt>
                <c:pt idx="9">
                  <c:v>95.142857142857139</c:v>
                </c:pt>
                <c:pt idx="10">
                  <c:v>102.14285714285714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E8-49CE-9A67-22D6951BE8EE}"/>
            </c:ext>
          </c:extLst>
        </c:ser>
        <c:ser>
          <c:idx val="4"/>
          <c:order val="4"/>
          <c:tx>
            <c:strRef>
              <c:f>'Avg Week Kyebando-Mulago-2Dir'!$W$9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Kyebando-Mulago-2Dir'!$W$10:$W$21</c:f>
              <c:numCache>
                <c:formatCode>0</c:formatCode>
                <c:ptCount val="12"/>
                <c:pt idx="0">
                  <c:v>3.2857142857142856</c:v>
                </c:pt>
                <c:pt idx="1">
                  <c:v>1.9999999999999998</c:v>
                </c:pt>
                <c:pt idx="2">
                  <c:v>2.4285714285714284</c:v>
                </c:pt>
                <c:pt idx="3">
                  <c:v>2.4285714285714284</c:v>
                </c:pt>
                <c:pt idx="4">
                  <c:v>1</c:v>
                </c:pt>
                <c:pt idx="5">
                  <c:v>1.8571428571428572</c:v>
                </c:pt>
                <c:pt idx="6">
                  <c:v>1.857142857142857</c:v>
                </c:pt>
                <c:pt idx="7">
                  <c:v>1.4285714285714284</c:v>
                </c:pt>
                <c:pt idx="8">
                  <c:v>1.5714285714285712</c:v>
                </c:pt>
                <c:pt idx="9">
                  <c:v>2.8571428571428568</c:v>
                </c:pt>
                <c:pt idx="10">
                  <c:v>3.7142857142857144</c:v>
                </c:pt>
                <c:pt idx="11">
                  <c:v>3.1428571428571423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E8-49CE-9A67-22D6951BE8EE}"/>
            </c:ext>
          </c:extLst>
        </c:ser>
        <c:ser>
          <c:idx val="5"/>
          <c:order val="5"/>
          <c:tx>
            <c:strRef>
              <c:f>'Avg Week Kyebando-Mulago-2Dir'!$X$9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Kyebando-Mulago-2Dir'!$X$10:$X$21</c:f>
              <c:numCache>
                <c:formatCode>0</c:formatCode>
                <c:ptCount val="12"/>
                <c:pt idx="0">
                  <c:v>0</c:v>
                </c:pt>
                <c:pt idx="1">
                  <c:v>0.5714285714285714</c:v>
                </c:pt>
                <c:pt idx="2">
                  <c:v>0</c:v>
                </c:pt>
                <c:pt idx="3">
                  <c:v>0.42857142857142855</c:v>
                </c:pt>
                <c:pt idx="4">
                  <c:v>0.2857142857142857</c:v>
                </c:pt>
                <c:pt idx="5">
                  <c:v>0.2857142857142857</c:v>
                </c:pt>
                <c:pt idx="6">
                  <c:v>0.14285714285714285</c:v>
                </c:pt>
                <c:pt idx="7">
                  <c:v>0.2857142857142857</c:v>
                </c:pt>
                <c:pt idx="8">
                  <c:v>0.42857142857142855</c:v>
                </c:pt>
                <c:pt idx="9">
                  <c:v>0.14285714285714285</c:v>
                </c:pt>
                <c:pt idx="10">
                  <c:v>0.5714285714285714</c:v>
                </c:pt>
                <c:pt idx="11">
                  <c:v>0.71428571428571419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E8-49CE-9A67-22D6951BE8EE}"/>
            </c:ext>
          </c:extLst>
        </c:ser>
        <c:ser>
          <c:idx val="6"/>
          <c:order val="6"/>
          <c:tx>
            <c:strRef>
              <c:f>'Avg Week Kyebando-Mulago-2Dir'!$Y$9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Kyebando-Mulago-2Dir'!$Y$10:$Y$21</c:f>
              <c:numCache>
                <c:formatCode>0</c:formatCode>
                <c:ptCount val="12"/>
                <c:pt idx="0">
                  <c:v>16.857142857142858</c:v>
                </c:pt>
                <c:pt idx="1">
                  <c:v>20.857142857142858</c:v>
                </c:pt>
                <c:pt idx="2">
                  <c:v>29.142857142857146</c:v>
                </c:pt>
                <c:pt idx="3">
                  <c:v>35.714285714285715</c:v>
                </c:pt>
                <c:pt idx="4">
                  <c:v>34.857142857142854</c:v>
                </c:pt>
                <c:pt idx="5">
                  <c:v>35.857142857142854</c:v>
                </c:pt>
                <c:pt idx="6">
                  <c:v>36.714285714285715</c:v>
                </c:pt>
                <c:pt idx="7">
                  <c:v>31.857142857142858</c:v>
                </c:pt>
                <c:pt idx="8">
                  <c:v>36.857142857142854</c:v>
                </c:pt>
                <c:pt idx="9">
                  <c:v>26.142857142857146</c:v>
                </c:pt>
                <c:pt idx="10">
                  <c:v>30.142857142857142</c:v>
                </c:pt>
                <c:pt idx="11">
                  <c:v>24.428571428571431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E8-49CE-9A67-22D6951BE8EE}"/>
            </c:ext>
          </c:extLst>
        </c:ser>
        <c:ser>
          <c:idx val="7"/>
          <c:order val="7"/>
          <c:tx>
            <c:strRef>
              <c:f>'Avg Week Kyebando-Mulago-2Dir'!$Z$9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Kyebando-Mulago-2Dir'!$Z$10:$Z$21</c:f>
              <c:numCache>
                <c:formatCode>0</c:formatCode>
                <c:ptCount val="12"/>
                <c:pt idx="0">
                  <c:v>1.7142857142857142</c:v>
                </c:pt>
                <c:pt idx="1">
                  <c:v>5.5714285714285712</c:v>
                </c:pt>
                <c:pt idx="2">
                  <c:v>4.5714285714285712</c:v>
                </c:pt>
                <c:pt idx="3">
                  <c:v>4.4285714285714279</c:v>
                </c:pt>
                <c:pt idx="4">
                  <c:v>6.7142857142857144</c:v>
                </c:pt>
                <c:pt idx="5">
                  <c:v>8.5714285714285712</c:v>
                </c:pt>
                <c:pt idx="6">
                  <c:v>5.7142857142857144</c:v>
                </c:pt>
                <c:pt idx="7">
                  <c:v>6.5714285714285703</c:v>
                </c:pt>
                <c:pt idx="8">
                  <c:v>5.1428571428571423</c:v>
                </c:pt>
                <c:pt idx="9">
                  <c:v>6.8571428571428577</c:v>
                </c:pt>
                <c:pt idx="10">
                  <c:v>5.8571428571428577</c:v>
                </c:pt>
                <c:pt idx="11">
                  <c:v>5.1428571428571432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E8-49CE-9A67-22D6951BE8EE}"/>
            </c:ext>
          </c:extLst>
        </c:ser>
        <c:ser>
          <c:idx val="8"/>
          <c:order val="8"/>
          <c:tx>
            <c:strRef>
              <c:f>'Avg Week Kyebando-Mulago-2Dir'!$AA$9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Kyebando-Mulago-2Dir'!$AA$10:$AA$21</c:f>
              <c:numCache>
                <c:formatCode>0</c:formatCode>
                <c:ptCount val="12"/>
                <c:pt idx="0">
                  <c:v>0</c:v>
                </c:pt>
                <c:pt idx="1">
                  <c:v>0.85714285714285698</c:v>
                </c:pt>
                <c:pt idx="2">
                  <c:v>0.5714285714285714</c:v>
                </c:pt>
                <c:pt idx="3">
                  <c:v>0.42857142857142855</c:v>
                </c:pt>
                <c:pt idx="4">
                  <c:v>0.14285714285714285</c:v>
                </c:pt>
                <c:pt idx="5">
                  <c:v>0.2857142857142857</c:v>
                </c:pt>
                <c:pt idx="6">
                  <c:v>0.2857142857142857</c:v>
                </c:pt>
                <c:pt idx="7">
                  <c:v>0.71428571428571419</c:v>
                </c:pt>
                <c:pt idx="8">
                  <c:v>0.5714285714285714</c:v>
                </c:pt>
                <c:pt idx="9">
                  <c:v>0.42857142857142855</c:v>
                </c:pt>
                <c:pt idx="10">
                  <c:v>1.1428571428571428</c:v>
                </c:pt>
                <c:pt idx="11">
                  <c:v>0.42857142857142855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E8-49CE-9A67-22D6951BE8EE}"/>
            </c:ext>
          </c:extLst>
        </c:ser>
        <c:ser>
          <c:idx val="9"/>
          <c:order val="9"/>
          <c:tx>
            <c:strRef>
              <c:f>'Avg Week Kyebando-Mulago-2Dir'!$AB$9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Kyebando-Mulago-2Dir'!$AB$10:$AB$21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E8-49CE-9A67-22D6951BE8EE}"/>
            </c:ext>
          </c:extLst>
        </c:ser>
        <c:ser>
          <c:idx val="10"/>
          <c:order val="10"/>
          <c:tx>
            <c:strRef>
              <c:f>'Avg Week Kyebando-Mulago-2Dir'!$AC$9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Kyebando-Mulago-2Dir'!$AC$10:$AC$21</c:f>
              <c:numCache>
                <c:formatCode>0</c:formatCode>
                <c:ptCount val="12"/>
                <c:pt idx="0">
                  <c:v>871.14285714285711</c:v>
                </c:pt>
                <c:pt idx="1">
                  <c:v>1318.5714285714284</c:v>
                </c:pt>
                <c:pt idx="2">
                  <c:v>1190.4285714285713</c:v>
                </c:pt>
                <c:pt idx="3">
                  <c:v>962.42857142857156</c:v>
                </c:pt>
                <c:pt idx="4">
                  <c:v>837.2619047619047</c:v>
                </c:pt>
                <c:pt idx="5">
                  <c:v>727</c:v>
                </c:pt>
                <c:pt idx="6">
                  <c:v>716.42857142857144</c:v>
                </c:pt>
                <c:pt idx="7">
                  <c:v>743.14285714285711</c:v>
                </c:pt>
                <c:pt idx="8">
                  <c:v>759.28571428571422</c:v>
                </c:pt>
                <c:pt idx="9">
                  <c:v>796.57142857142856</c:v>
                </c:pt>
                <c:pt idx="10">
                  <c:v>867.71428571428578</c:v>
                </c:pt>
                <c:pt idx="11">
                  <c:v>839.28571428571422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6E8-49CE-9A67-22D6951BE8EE}"/>
            </c:ext>
          </c:extLst>
        </c:ser>
        <c:ser>
          <c:idx val="11"/>
          <c:order val="11"/>
          <c:tx>
            <c:strRef>
              <c:f>'Avg Week Kyebando-Mulago-2Dir'!$AD$9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Kyebando-Mulago-2Dir'!$AD$10:$AD$21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6E8-49CE-9A67-22D6951BE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00288"/>
        <c:axId val="122301824"/>
      </c:lineChart>
      <c:catAx>
        <c:axId val="12230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01824"/>
        <c:crosses val="autoZero"/>
        <c:auto val="1"/>
        <c:lblAlgn val="ctr"/>
        <c:lblOffset val="100"/>
        <c:noMultiLvlLbl val="0"/>
      </c:catAx>
      <c:valAx>
        <c:axId val="12230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0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Kyebando-Mulago-2Dir'!$C$9:$N$9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Kyebando-Mulago-2Dir'!$C$108:$N$108</c:f>
              <c:numCache>
                <c:formatCode>0.00%</c:formatCode>
                <c:ptCount val="12"/>
                <c:pt idx="0">
                  <c:v>0.6226167396846235</c:v>
                </c:pt>
                <c:pt idx="1">
                  <c:v>0.10239814376650537</c:v>
                </c:pt>
                <c:pt idx="2">
                  <c:v>7.6951258605687772E-2</c:v>
                </c:pt>
                <c:pt idx="3">
                  <c:v>0.14848341449266514</c:v>
                </c:pt>
                <c:pt idx="4">
                  <c:v>2.946160069608756E-3</c:v>
                </c:pt>
                <c:pt idx="5">
                  <c:v>4.1215710818360825E-4</c:v>
                </c:pt>
                <c:pt idx="6">
                  <c:v>3.8406936451479953E-2</c:v>
                </c:pt>
                <c:pt idx="7">
                  <c:v>7.1440565418492098E-3</c:v>
                </c:pt>
                <c:pt idx="8">
                  <c:v>6.2586820131584975E-4</c:v>
                </c:pt>
                <c:pt idx="9">
                  <c:v>0</c:v>
                </c:pt>
                <c:pt idx="11">
                  <c:v>1.5265078080874384E-5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Kyebando-Mulago-2Dir'!$AE$9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Kyebando-Mulago-2Dir'!$R$10:$R$33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Kyebando-Mulago-2Dir'!$AE$10:$AE$33</c:f>
              <c:numCache>
                <c:formatCode>0</c:formatCode>
                <c:ptCount val="24"/>
                <c:pt idx="0">
                  <c:v>918.42857142857133</c:v>
                </c:pt>
                <c:pt idx="1">
                  <c:v>861.85714285714289</c:v>
                </c:pt>
                <c:pt idx="2">
                  <c:v>767.71428571428578</c:v>
                </c:pt>
                <c:pt idx="3">
                  <c:v>771.85714285714278</c:v>
                </c:pt>
                <c:pt idx="4">
                  <c:v>694.85714285714289</c:v>
                </c:pt>
                <c:pt idx="5">
                  <c:v>643.42857142857144</c:v>
                </c:pt>
                <c:pt idx="6">
                  <c:v>665</c:v>
                </c:pt>
                <c:pt idx="7">
                  <c:v>660.42857142857133</c:v>
                </c:pt>
                <c:pt idx="8">
                  <c:v>707.99999999999989</c:v>
                </c:pt>
                <c:pt idx="9">
                  <c:v>844.85714285714289</c:v>
                </c:pt>
                <c:pt idx="10">
                  <c:v>986.85714285714278</c:v>
                </c:pt>
                <c:pt idx="11">
                  <c:v>835.14285714285711</c:v>
                </c:pt>
                <c:pt idx="12">
                  <c:v>1053</c:v>
                </c:pt>
                <c:pt idx="13">
                  <c:v>1096.5</c:v>
                </c:pt>
                <c:pt idx="14">
                  <c:v>861.5</c:v>
                </c:pt>
                <c:pt idx="15">
                  <c:v>491.5</c:v>
                </c:pt>
                <c:pt idx="16">
                  <c:v>283.5</c:v>
                </c:pt>
                <c:pt idx="17">
                  <c:v>159.5</c:v>
                </c:pt>
                <c:pt idx="18">
                  <c:v>122</c:v>
                </c:pt>
                <c:pt idx="19">
                  <c:v>84.5</c:v>
                </c:pt>
                <c:pt idx="20">
                  <c:v>42.5</c:v>
                </c:pt>
                <c:pt idx="21">
                  <c:v>41.5</c:v>
                </c:pt>
                <c:pt idx="22">
                  <c:v>105</c:v>
                </c:pt>
                <c:pt idx="23">
                  <c:v>621.5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F0-460B-B779-285B4AA6E434}"/>
            </c:ext>
          </c:extLst>
        </c:ser>
        <c:ser>
          <c:idx val="1"/>
          <c:order val="1"/>
          <c:tx>
            <c:strRef>
              <c:f>'Avg Week Kyebando-Mulago-2Dir'!$AF$9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Kyebando-Mulago-2Dir'!$R$10:$R$33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Kyebando-Mulago-2Dir'!$AF$10:$AF$33</c:f>
              <c:numCache>
                <c:formatCode>0</c:formatCode>
                <c:ptCount val="24"/>
                <c:pt idx="0">
                  <c:v>1789.5714285714284</c:v>
                </c:pt>
                <c:pt idx="1">
                  <c:v>2180.4285714285716</c:v>
                </c:pt>
                <c:pt idx="2">
                  <c:v>1958.1428571428571</c:v>
                </c:pt>
                <c:pt idx="3">
                  <c:v>1734.2857142857142</c:v>
                </c:pt>
                <c:pt idx="4">
                  <c:v>1532.1190476190477</c:v>
                </c:pt>
                <c:pt idx="5">
                  <c:v>1370.4285714285716</c:v>
                </c:pt>
                <c:pt idx="6">
                  <c:v>1381.4285714285716</c:v>
                </c:pt>
                <c:pt idx="7">
                  <c:v>1403.5714285714284</c:v>
                </c:pt>
                <c:pt idx="8">
                  <c:v>1467.2857142857142</c:v>
                </c:pt>
                <c:pt idx="9">
                  <c:v>1641.4285714285713</c:v>
                </c:pt>
                <c:pt idx="10">
                  <c:v>1854.5714285714284</c:v>
                </c:pt>
                <c:pt idx="11">
                  <c:v>1674.4285714285716</c:v>
                </c:pt>
                <c:pt idx="12">
                  <c:v>2119.5</c:v>
                </c:pt>
                <c:pt idx="13">
                  <c:v>2138</c:v>
                </c:pt>
                <c:pt idx="14">
                  <c:v>1686</c:v>
                </c:pt>
                <c:pt idx="15">
                  <c:v>1091</c:v>
                </c:pt>
                <c:pt idx="16">
                  <c:v>666.5</c:v>
                </c:pt>
                <c:pt idx="17">
                  <c:v>357.5</c:v>
                </c:pt>
                <c:pt idx="18">
                  <c:v>244.5</c:v>
                </c:pt>
                <c:pt idx="19">
                  <c:v>185.5</c:v>
                </c:pt>
                <c:pt idx="20">
                  <c:v>109</c:v>
                </c:pt>
                <c:pt idx="21">
                  <c:v>98</c:v>
                </c:pt>
                <c:pt idx="22">
                  <c:v>243</c:v>
                </c:pt>
                <c:pt idx="23">
                  <c:v>903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F0-460B-B779-285B4AA6E434}"/>
            </c:ext>
          </c:extLst>
        </c:ser>
        <c:ser>
          <c:idx val="5"/>
          <c:order val="2"/>
          <c:tx>
            <c:strRef>
              <c:f>'Avg Week Kyebando-Mulago-2Dir'!$AC$9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Kyebando-Mulago-2Dir'!$R$10:$R$33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Kyebando-Mulago-2Dir'!$AC$10:$AC$33</c:f>
              <c:numCache>
                <c:formatCode>0</c:formatCode>
                <c:ptCount val="24"/>
                <c:pt idx="0">
                  <c:v>871.14285714285711</c:v>
                </c:pt>
                <c:pt idx="1">
                  <c:v>1318.5714285714284</c:v>
                </c:pt>
                <c:pt idx="2">
                  <c:v>1190.4285714285713</c:v>
                </c:pt>
                <c:pt idx="3">
                  <c:v>962.42857142857156</c:v>
                </c:pt>
                <c:pt idx="4">
                  <c:v>837.2619047619047</c:v>
                </c:pt>
                <c:pt idx="5">
                  <c:v>727</c:v>
                </c:pt>
                <c:pt idx="6">
                  <c:v>716.42857142857144</c:v>
                </c:pt>
                <c:pt idx="7">
                  <c:v>743.14285714285711</c:v>
                </c:pt>
                <c:pt idx="8">
                  <c:v>759.28571428571422</c:v>
                </c:pt>
                <c:pt idx="9">
                  <c:v>796.57142857142856</c:v>
                </c:pt>
                <c:pt idx="10">
                  <c:v>867.71428571428578</c:v>
                </c:pt>
                <c:pt idx="11">
                  <c:v>839.28571428571422</c:v>
                </c:pt>
                <c:pt idx="12">
                  <c:v>1066.5</c:v>
                </c:pt>
                <c:pt idx="13">
                  <c:v>1041.5</c:v>
                </c:pt>
                <c:pt idx="14">
                  <c:v>824.5</c:v>
                </c:pt>
                <c:pt idx="15">
                  <c:v>599.5</c:v>
                </c:pt>
                <c:pt idx="16">
                  <c:v>383</c:v>
                </c:pt>
                <c:pt idx="17">
                  <c:v>198</c:v>
                </c:pt>
                <c:pt idx="18">
                  <c:v>122.5</c:v>
                </c:pt>
                <c:pt idx="19">
                  <c:v>101</c:v>
                </c:pt>
                <c:pt idx="20">
                  <c:v>66.5</c:v>
                </c:pt>
                <c:pt idx="21">
                  <c:v>56.5</c:v>
                </c:pt>
                <c:pt idx="22">
                  <c:v>138</c:v>
                </c:pt>
                <c:pt idx="23">
                  <c:v>281.5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F0-460B-B779-285B4AA6E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Kyebando-Mulago-2Dir'!$S$9:$AF$9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Kyebando-Mulago-2Dir'!$S$41:$AF$41</c:f>
              <c:numCache>
                <c:formatCode>_(* #,##0_);_(* \(#,##0\);_(* "-"_);_(@_)</c:formatCode>
                <c:ptCount val="14"/>
                <c:pt idx="0">
                  <c:v>9255.7142857142862</c:v>
                </c:pt>
                <c:pt idx="1">
                  <c:v>1222.7857142857142</c:v>
                </c:pt>
                <c:pt idx="2">
                  <c:v>1048.6428571428573</c:v>
                </c:pt>
                <c:pt idx="3">
                  <c:v>2166.0714285714284</c:v>
                </c:pt>
                <c:pt idx="4">
                  <c:v>42.571428571428569</c:v>
                </c:pt>
                <c:pt idx="5">
                  <c:v>12.857142857142858</c:v>
                </c:pt>
                <c:pt idx="6">
                  <c:v>477.9285714285715</c:v>
                </c:pt>
                <c:pt idx="7">
                  <c:v>84.857142857142861</c:v>
                </c:pt>
                <c:pt idx="8">
                  <c:v>9.3571428571428577</c:v>
                </c:pt>
                <c:pt idx="9">
                  <c:v>0</c:v>
                </c:pt>
                <c:pt idx="10">
                  <c:v>15508.261904761905</c:v>
                </c:pt>
                <c:pt idx="11">
                  <c:v>0.14285714285714285</c:v>
                </c:pt>
                <c:pt idx="12">
                  <c:v>14320.928571428571</c:v>
                </c:pt>
                <c:pt idx="13">
                  <c:v>29829.190476190477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4-4188-9D35-330BFB5A0B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Kyebando-Mulago-2Dir'!$S$9:$AF$9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Kyebando-Mulago-2Dir'!$S$42:$AF$42</c:f>
              <c:numCache>
                <c:formatCode>0.000</c:formatCode>
                <c:ptCount val="14"/>
                <c:pt idx="0">
                  <c:v>1.5884963346164218</c:v>
                </c:pt>
                <c:pt idx="1">
                  <c:v>1.2760137149672033</c:v>
                </c:pt>
                <c:pt idx="2">
                  <c:v>1.4561594921642533</c:v>
                </c:pt>
                <c:pt idx="3">
                  <c:v>1.5588053870669272</c:v>
                </c:pt>
                <c:pt idx="4">
                  <c:v>1.544041450777202</c:v>
                </c:pt>
                <c:pt idx="5">
                  <c:v>3.3333333333333339</c:v>
                </c:pt>
                <c:pt idx="6">
                  <c:v>1.3296899841017487</c:v>
                </c:pt>
                <c:pt idx="7">
                  <c:v>1.2692307692307692</c:v>
                </c:pt>
                <c:pt idx="8">
                  <c:v>1.597560975609756</c:v>
                </c:pt>
                <c:pt idx="9">
                  <c:v>0</c:v>
                </c:pt>
                <c:pt idx="10">
                  <c:v>1.4590158793447559</c:v>
                </c:pt>
                <c:pt idx="11">
                  <c:v>1</c:v>
                </c:pt>
                <c:pt idx="12">
                  <c:v>1.5302706498343739</c:v>
                </c:pt>
                <c:pt idx="13">
                  <c:v>1.49237804696462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1-490A-94C8-8805636B6A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.xml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3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8.xml"/><Relationship Id="rId1" Type="http://schemas.openxmlformats.org/officeDocument/2006/relationships/chart" Target="../charts/chart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2.xml"/><Relationship Id="rId1" Type="http://schemas.openxmlformats.org/officeDocument/2006/relationships/chart" Target="../charts/chart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1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3.xml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0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3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1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18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4.xml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9.xml"/><Relationship Id="rId18" Type="http://schemas.openxmlformats.org/officeDocument/2006/relationships/chart" Target="../charts/chart64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3.xml"/><Relationship Id="rId2" Type="http://schemas.openxmlformats.org/officeDocument/2006/relationships/image" Target="../media/image2.emf"/><Relationship Id="rId16" Type="http://schemas.openxmlformats.org/officeDocument/2006/relationships/chart" Target="../charts/chart62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61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6349</xdr:rowOff>
    </xdr:from>
    <xdr:to>
      <xdr:col>28</xdr:col>
      <xdr:colOff>15875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555625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108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0528A59-0010-4D7E-82B3-4199F0C17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508001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108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B52FC5F-8151-4468-9056-5691CAE9E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0</xdr:colOff>
      <xdr:row>59</xdr:row>
      <xdr:rowOff>2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74</xdr:row>
      <xdr:rowOff>279400</xdr:rowOff>
    </xdr:from>
    <xdr:to>
      <xdr:col>25</xdr:col>
      <xdr:colOff>0</xdr:colOff>
      <xdr:row>92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108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8F92F88-806A-4199-BEC1-803EE1E41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</xdr:colOff>
      <xdr:row>59</xdr:row>
      <xdr:rowOff>0</xdr:rowOff>
    </xdr:from>
    <xdr:to>
      <xdr:col>25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58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B2EC271-D966-4A41-AE92-6ACE45188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59</xdr:row>
      <xdr:rowOff>0</xdr:rowOff>
    </xdr:from>
    <xdr:to>
      <xdr:col>31</xdr:col>
      <xdr:colOff>619125</xdr:colOff>
      <xdr:row>75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7402F41-265E-4BB3-A524-490771B27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0</xdr:colOff>
      <xdr:row>74</xdr:row>
      <xdr:rowOff>285749</xdr:rowOff>
    </xdr:from>
    <xdr:to>
      <xdr:col>31</xdr:col>
      <xdr:colOff>619125</xdr:colOff>
      <xdr:row>92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5F5A166-08F4-4385-B56E-0C8B0DAE9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6" zoomScale="60" workbookViewId="0">
      <selection activeCell="O66" sqref="O6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Kyebando-Mulago'!C3:G3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55" t="str">
        <f>'02.08 Kyebando-Mulago'!G5:H5</f>
        <v>Kisingiri Street</v>
      </c>
      <c r="H5" s="56"/>
      <c r="I5" s="14"/>
      <c r="J5" s="2" t="s">
        <v>5</v>
      </c>
      <c r="K5" s="55" t="s">
        <v>170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'02.08 Kyebando-Mulago'!D6:E6</f>
        <v>Kyebando</v>
      </c>
      <c r="E6" s="56"/>
      <c r="F6" s="2" t="s">
        <v>2</v>
      </c>
      <c r="G6" s="55" t="str">
        <f>'02.08 Kyebando-Mulago'!G6:H6</f>
        <v>Mulago</v>
      </c>
      <c r="H6" s="56"/>
      <c r="J6" s="2" t="s">
        <v>21</v>
      </c>
      <c r="K6" s="55" t="s">
        <v>183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292</v>
      </c>
      <c r="T11" s="17">
        <f t="shared" si="3"/>
        <v>45</v>
      </c>
      <c r="U11" s="17">
        <f t="shared" si="3"/>
        <v>32</v>
      </c>
      <c r="V11" s="17">
        <f t="shared" si="3"/>
        <v>108</v>
      </c>
      <c r="W11" s="17">
        <f t="shared" si="3"/>
        <v>2</v>
      </c>
      <c r="X11" s="17">
        <f t="shared" si="3"/>
        <v>1</v>
      </c>
      <c r="Y11" s="17">
        <f t="shared" si="3"/>
        <v>11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476</v>
      </c>
      <c r="AD11" s="17">
        <f t="shared" si="3"/>
        <v>0</v>
      </c>
      <c r="AE11" s="31">
        <f t="shared" si="3"/>
        <v>494</v>
      </c>
      <c r="AF11" s="31">
        <f t="shared" si="3"/>
        <v>970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376</v>
      </c>
      <c r="T12" s="17">
        <f t="shared" si="4"/>
        <v>56</v>
      </c>
      <c r="U12" s="17">
        <f t="shared" si="4"/>
        <v>40</v>
      </c>
      <c r="V12" s="17">
        <f t="shared" si="4"/>
        <v>100</v>
      </c>
      <c r="W12" s="17">
        <f t="shared" si="4"/>
        <v>2</v>
      </c>
      <c r="X12" s="17">
        <f t="shared" si="4"/>
        <v>0</v>
      </c>
      <c r="Y12" s="17">
        <f t="shared" si="4"/>
        <v>8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528</v>
      </c>
      <c r="AD12" s="17">
        <f t="shared" si="4"/>
        <v>0</v>
      </c>
      <c r="AE12" s="31">
        <f t="shared" si="4"/>
        <v>585</v>
      </c>
      <c r="AF12" s="31">
        <f t="shared" si="4"/>
        <v>1113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288</v>
      </c>
      <c r="T13" s="17">
        <f t="shared" si="5"/>
        <v>48</v>
      </c>
      <c r="U13" s="17">
        <f t="shared" si="5"/>
        <v>28</v>
      </c>
      <c r="V13" s="17">
        <f t="shared" si="5"/>
        <v>62</v>
      </c>
      <c r="W13" s="17">
        <f t="shared" si="5"/>
        <v>0</v>
      </c>
      <c r="X13" s="17">
        <f t="shared" si="5"/>
        <v>0</v>
      </c>
      <c r="Y13" s="17">
        <f t="shared" si="5"/>
        <v>19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319</v>
      </c>
      <c r="AD13" s="17">
        <f t="shared" si="5"/>
        <v>0</v>
      </c>
      <c r="AE13" s="31">
        <f t="shared" si="5"/>
        <v>446</v>
      </c>
      <c r="AF13" s="31">
        <f t="shared" si="5"/>
        <v>765</v>
      </c>
    </row>
    <row r="14" spans="2:32" ht="23.1" customHeight="1" x14ac:dyDescent="0.25">
      <c r="B14" s="23" t="s">
        <v>41</v>
      </c>
      <c r="C14" s="50">
        <v>25</v>
      </c>
      <c r="D14" s="50">
        <v>8</v>
      </c>
      <c r="E14" s="50">
        <v>0</v>
      </c>
      <c r="F14" s="50">
        <v>7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25</v>
      </c>
      <c r="N14" s="50">
        <v>0</v>
      </c>
      <c r="O14" s="15">
        <f t="shared" si="0"/>
        <v>40</v>
      </c>
      <c r="P14" s="15">
        <f t="shared" si="1"/>
        <v>65</v>
      </c>
      <c r="R14" s="1" t="s">
        <v>10</v>
      </c>
      <c r="S14" s="17">
        <f t="shared" ref="S14:AF14" si="6">SUM(C26:C29)</f>
        <v>256</v>
      </c>
      <c r="T14" s="17">
        <f t="shared" si="6"/>
        <v>59</v>
      </c>
      <c r="U14" s="17">
        <f t="shared" si="6"/>
        <v>28</v>
      </c>
      <c r="V14" s="17">
        <f t="shared" si="6"/>
        <v>41</v>
      </c>
      <c r="W14" s="17">
        <f t="shared" si="6"/>
        <v>0</v>
      </c>
      <c r="X14" s="17">
        <f t="shared" si="6"/>
        <v>2</v>
      </c>
      <c r="Y14" s="17">
        <f t="shared" si="6"/>
        <v>23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327</v>
      </c>
      <c r="AD14" s="17">
        <f t="shared" si="6"/>
        <v>0</v>
      </c>
      <c r="AE14" s="31">
        <f t="shared" si="6"/>
        <v>410</v>
      </c>
      <c r="AF14" s="31">
        <f t="shared" si="6"/>
        <v>737</v>
      </c>
    </row>
    <row r="15" spans="2:32" ht="23.1" customHeight="1" x14ac:dyDescent="0.25">
      <c r="B15" s="23" t="s">
        <v>42</v>
      </c>
      <c r="C15" s="50">
        <v>95</v>
      </c>
      <c r="D15" s="50">
        <v>19</v>
      </c>
      <c r="E15" s="50">
        <v>17</v>
      </c>
      <c r="F15" s="50">
        <v>40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105</v>
      </c>
      <c r="N15" s="50">
        <v>0</v>
      </c>
      <c r="O15" s="15">
        <f t="shared" si="0"/>
        <v>173</v>
      </c>
      <c r="P15" s="15">
        <f t="shared" si="1"/>
        <v>278</v>
      </c>
      <c r="R15" s="1" t="s">
        <v>11</v>
      </c>
      <c r="S15" s="17">
        <f t="shared" ref="S15:AF15" si="7">SUM(C30:C33)</f>
        <v>195</v>
      </c>
      <c r="T15" s="17">
        <f t="shared" si="7"/>
        <v>36</v>
      </c>
      <c r="U15" s="17">
        <f t="shared" si="7"/>
        <v>24</v>
      </c>
      <c r="V15" s="17">
        <f t="shared" si="7"/>
        <v>44</v>
      </c>
      <c r="W15" s="17">
        <f t="shared" si="7"/>
        <v>0</v>
      </c>
      <c r="X15" s="17">
        <f t="shared" si="7"/>
        <v>0</v>
      </c>
      <c r="Y15" s="17">
        <f t="shared" si="7"/>
        <v>20</v>
      </c>
      <c r="Z15" s="17">
        <f t="shared" si="7"/>
        <v>6</v>
      </c>
      <c r="AA15" s="17">
        <f t="shared" si="7"/>
        <v>0</v>
      </c>
      <c r="AB15" s="17">
        <f t="shared" si="7"/>
        <v>0</v>
      </c>
      <c r="AC15" s="17">
        <f t="shared" si="7"/>
        <v>327</v>
      </c>
      <c r="AD15" s="17">
        <f t="shared" si="7"/>
        <v>0</v>
      </c>
      <c r="AE15" s="31">
        <f t="shared" si="7"/>
        <v>325</v>
      </c>
      <c r="AF15" s="31">
        <f t="shared" si="7"/>
        <v>652</v>
      </c>
    </row>
    <row r="16" spans="2:32" ht="23.1" customHeight="1" x14ac:dyDescent="0.25">
      <c r="B16" s="23" t="s">
        <v>43</v>
      </c>
      <c r="C16" s="50">
        <v>92</v>
      </c>
      <c r="D16" s="50">
        <v>6</v>
      </c>
      <c r="E16" s="50">
        <v>5</v>
      </c>
      <c r="F16" s="50">
        <v>36</v>
      </c>
      <c r="G16" s="50">
        <v>0</v>
      </c>
      <c r="H16" s="50">
        <v>1</v>
      </c>
      <c r="I16" s="50">
        <v>5</v>
      </c>
      <c r="J16" s="50">
        <v>2</v>
      </c>
      <c r="K16" s="50">
        <v>0</v>
      </c>
      <c r="L16" s="50">
        <v>0</v>
      </c>
      <c r="M16" s="50">
        <v>166</v>
      </c>
      <c r="N16" s="50">
        <v>0</v>
      </c>
      <c r="O16" s="15">
        <f t="shared" si="0"/>
        <v>147</v>
      </c>
      <c r="P16" s="15">
        <f t="shared" si="1"/>
        <v>313</v>
      </c>
      <c r="R16" s="1" t="s">
        <v>12</v>
      </c>
      <c r="S16" s="17">
        <f t="shared" ref="S16:AF16" si="8">SUM(C34:C37)</f>
        <v>171</v>
      </c>
      <c r="T16" s="17">
        <f t="shared" si="8"/>
        <v>32</v>
      </c>
      <c r="U16" s="17">
        <f t="shared" si="8"/>
        <v>16</v>
      </c>
      <c r="V16" s="17">
        <f t="shared" si="8"/>
        <v>43</v>
      </c>
      <c r="W16" s="17">
        <f t="shared" si="8"/>
        <v>0</v>
      </c>
      <c r="X16" s="17">
        <f t="shared" si="8"/>
        <v>0</v>
      </c>
      <c r="Y16" s="17">
        <f t="shared" si="8"/>
        <v>17</v>
      </c>
      <c r="Z16" s="17">
        <f t="shared" si="8"/>
        <v>5</v>
      </c>
      <c r="AA16" s="17">
        <f t="shared" si="8"/>
        <v>0</v>
      </c>
      <c r="AB16" s="17">
        <f t="shared" si="8"/>
        <v>0</v>
      </c>
      <c r="AC16" s="17">
        <f t="shared" si="8"/>
        <v>270</v>
      </c>
      <c r="AD16" s="17">
        <f t="shared" si="8"/>
        <v>0</v>
      </c>
      <c r="AE16" s="31">
        <f t="shared" si="8"/>
        <v>284</v>
      </c>
      <c r="AF16" s="31">
        <f t="shared" si="8"/>
        <v>554</v>
      </c>
    </row>
    <row r="17" spans="2:32" ht="23.1" customHeight="1" x14ac:dyDescent="0.25">
      <c r="B17" s="23" t="s">
        <v>44</v>
      </c>
      <c r="C17" s="50">
        <v>80</v>
      </c>
      <c r="D17" s="50">
        <v>12</v>
      </c>
      <c r="E17" s="50">
        <v>10</v>
      </c>
      <c r="F17" s="50">
        <v>25</v>
      </c>
      <c r="G17" s="50">
        <v>2</v>
      </c>
      <c r="H17" s="50">
        <v>0</v>
      </c>
      <c r="I17" s="50">
        <v>5</v>
      </c>
      <c r="J17" s="50">
        <v>0</v>
      </c>
      <c r="K17" s="50">
        <v>0</v>
      </c>
      <c r="L17" s="50">
        <v>0</v>
      </c>
      <c r="M17" s="50">
        <v>180</v>
      </c>
      <c r="N17" s="50">
        <v>0</v>
      </c>
      <c r="O17" s="15">
        <f t="shared" si="0"/>
        <v>134</v>
      </c>
      <c r="P17" s="15">
        <f t="shared" si="1"/>
        <v>314</v>
      </c>
      <c r="R17" s="1" t="s">
        <v>13</v>
      </c>
      <c r="S17" s="17">
        <f t="shared" ref="S17:AF17" si="9">SUM(C38:C41)</f>
        <v>151</v>
      </c>
      <c r="T17" s="17">
        <f t="shared" si="9"/>
        <v>30</v>
      </c>
      <c r="U17" s="17">
        <f t="shared" si="9"/>
        <v>20</v>
      </c>
      <c r="V17" s="17">
        <f t="shared" si="9"/>
        <v>28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7</v>
      </c>
      <c r="AA17" s="17">
        <f t="shared" si="9"/>
        <v>0</v>
      </c>
      <c r="AB17" s="17">
        <f t="shared" si="9"/>
        <v>0</v>
      </c>
      <c r="AC17" s="17">
        <f t="shared" si="9"/>
        <v>320</v>
      </c>
      <c r="AD17" s="17">
        <f t="shared" si="9"/>
        <v>0</v>
      </c>
      <c r="AE17" s="31">
        <f t="shared" si="9"/>
        <v>246</v>
      </c>
      <c r="AF17" s="31">
        <f t="shared" si="9"/>
        <v>566</v>
      </c>
    </row>
    <row r="18" spans="2:32" ht="23.1" customHeight="1" x14ac:dyDescent="0.25">
      <c r="B18" s="23" t="s">
        <v>45</v>
      </c>
      <c r="C18" s="50">
        <v>78</v>
      </c>
      <c r="D18" s="50">
        <v>15</v>
      </c>
      <c r="E18" s="50">
        <v>9</v>
      </c>
      <c r="F18" s="50">
        <v>23</v>
      </c>
      <c r="G18" s="50">
        <v>1</v>
      </c>
      <c r="H18" s="50">
        <v>0</v>
      </c>
      <c r="I18" s="50">
        <v>0</v>
      </c>
      <c r="J18" s="50">
        <v>2</v>
      </c>
      <c r="K18" s="50">
        <v>0</v>
      </c>
      <c r="L18" s="50">
        <v>0</v>
      </c>
      <c r="M18" s="50">
        <v>117</v>
      </c>
      <c r="N18" s="50">
        <v>0</v>
      </c>
      <c r="O18" s="15">
        <f t="shared" si="0"/>
        <v>128</v>
      </c>
      <c r="P18" s="15">
        <f t="shared" si="1"/>
        <v>245</v>
      </c>
      <c r="R18" s="1" t="s">
        <v>14</v>
      </c>
      <c r="S18" s="17">
        <f t="shared" ref="S18:AF18" si="10">SUM(C42:C45)</f>
        <v>177</v>
      </c>
      <c r="T18" s="17">
        <f t="shared" si="10"/>
        <v>25</v>
      </c>
      <c r="U18" s="17">
        <f t="shared" si="10"/>
        <v>18</v>
      </c>
      <c r="V18" s="17">
        <f t="shared" si="10"/>
        <v>44</v>
      </c>
      <c r="W18" s="17">
        <f t="shared" si="10"/>
        <v>2</v>
      </c>
      <c r="X18" s="17">
        <f t="shared" si="10"/>
        <v>1</v>
      </c>
      <c r="Y18" s="17">
        <f t="shared" si="10"/>
        <v>22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316</v>
      </c>
      <c r="AD18" s="17">
        <f t="shared" si="10"/>
        <v>0</v>
      </c>
      <c r="AE18" s="31">
        <f t="shared" si="10"/>
        <v>289</v>
      </c>
      <c r="AF18" s="31">
        <f t="shared" si="10"/>
        <v>605</v>
      </c>
    </row>
    <row r="19" spans="2:32" ht="23.1" customHeight="1" x14ac:dyDescent="0.25">
      <c r="B19" s="23" t="s">
        <v>46</v>
      </c>
      <c r="C19" s="50">
        <v>105</v>
      </c>
      <c r="D19" s="50">
        <v>17</v>
      </c>
      <c r="E19" s="50">
        <v>7</v>
      </c>
      <c r="F19" s="50">
        <v>25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146</v>
      </c>
      <c r="N19" s="50">
        <v>0</v>
      </c>
      <c r="O19" s="15">
        <f t="shared" si="0"/>
        <v>156</v>
      </c>
      <c r="P19" s="15">
        <f t="shared" si="1"/>
        <v>302</v>
      </c>
      <c r="R19" s="1" t="s">
        <v>15</v>
      </c>
      <c r="S19" s="17">
        <f t="shared" ref="S19:AF19" si="11">SUM(C46:C49)</f>
        <v>163</v>
      </c>
      <c r="T19" s="17">
        <f t="shared" si="11"/>
        <v>38</v>
      </c>
      <c r="U19" s="17">
        <f t="shared" si="11"/>
        <v>25</v>
      </c>
      <c r="V19" s="17">
        <f t="shared" si="11"/>
        <v>47</v>
      </c>
      <c r="W19" s="17">
        <f t="shared" si="11"/>
        <v>0</v>
      </c>
      <c r="X19" s="17">
        <f t="shared" si="11"/>
        <v>1</v>
      </c>
      <c r="Y19" s="17">
        <f t="shared" si="11"/>
        <v>8</v>
      </c>
      <c r="Z19" s="17">
        <f t="shared" si="11"/>
        <v>5</v>
      </c>
      <c r="AA19" s="17">
        <f t="shared" si="11"/>
        <v>0</v>
      </c>
      <c r="AB19" s="17">
        <f t="shared" si="11"/>
        <v>0</v>
      </c>
      <c r="AC19" s="17">
        <f t="shared" si="11"/>
        <v>398</v>
      </c>
      <c r="AD19" s="17">
        <f t="shared" si="11"/>
        <v>0</v>
      </c>
      <c r="AE19" s="31">
        <f t="shared" si="11"/>
        <v>287</v>
      </c>
      <c r="AF19" s="31">
        <f t="shared" si="11"/>
        <v>685</v>
      </c>
    </row>
    <row r="20" spans="2:32" ht="23.1" customHeight="1" x14ac:dyDescent="0.25">
      <c r="B20" s="23" t="s">
        <v>47</v>
      </c>
      <c r="C20" s="50">
        <v>111</v>
      </c>
      <c r="D20" s="50">
        <v>11</v>
      </c>
      <c r="E20" s="50">
        <v>8</v>
      </c>
      <c r="F20" s="50">
        <v>30</v>
      </c>
      <c r="G20" s="50">
        <v>1</v>
      </c>
      <c r="H20" s="50">
        <v>0</v>
      </c>
      <c r="I20" s="50">
        <v>5</v>
      </c>
      <c r="J20" s="50">
        <v>0</v>
      </c>
      <c r="K20" s="50">
        <v>0</v>
      </c>
      <c r="L20" s="50">
        <v>0</v>
      </c>
      <c r="M20" s="50">
        <v>145</v>
      </c>
      <c r="N20" s="50">
        <v>0</v>
      </c>
      <c r="O20" s="15">
        <f t="shared" si="0"/>
        <v>166</v>
      </c>
      <c r="P20" s="15">
        <f t="shared" si="1"/>
        <v>311</v>
      </c>
      <c r="R20" s="1" t="s">
        <v>16</v>
      </c>
      <c r="S20" s="17">
        <f t="shared" ref="S20:AF20" si="12">SUM(C50:C53)</f>
        <v>174</v>
      </c>
      <c r="T20" s="17">
        <f t="shared" si="12"/>
        <v>38</v>
      </c>
      <c r="U20" s="17">
        <f t="shared" si="12"/>
        <v>32</v>
      </c>
      <c r="V20" s="17">
        <f t="shared" si="12"/>
        <v>45</v>
      </c>
      <c r="W20" s="17">
        <f t="shared" si="12"/>
        <v>2</v>
      </c>
      <c r="X20" s="17">
        <f t="shared" si="12"/>
        <v>0</v>
      </c>
      <c r="Y20" s="17">
        <f t="shared" si="12"/>
        <v>12</v>
      </c>
      <c r="Z20" s="17">
        <f t="shared" si="12"/>
        <v>4</v>
      </c>
      <c r="AA20" s="17">
        <f t="shared" si="12"/>
        <v>0</v>
      </c>
      <c r="AB20" s="17">
        <f t="shared" si="12"/>
        <v>0</v>
      </c>
      <c r="AC20" s="17">
        <f t="shared" si="12"/>
        <v>605</v>
      </c>
      <c r="AD20" s="17">
        <f t="shared" si="12"/>
        <v>0</v>
      </c>
      <c r="AE20" s="31">
        <f t="shared" si="12"/>
        <v>307</v>
      </c>
      <c r="AF20" s="31">
        <f t="shared" si="12"/>
        <v>912</v>
      </c>
    </row>
    <row r="21" spans="2:32" ht="23.1" customHeight="1" x14ac:dyDescent="0.25">
      <c r="B21" s="23" t="s">
        <v>48</v>
      </c>
      <c r="C21" s="50">
        <v>82</v>
      </c>
      <c r="D21" s="50">
        <v>13</v>
      </c>
      <c r="E21" s="50">
        <v>16</v>
      </c>
      <c r="F21" s="50">
        <v>22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120</v>
      </c>
      <c r="N21" s="50">
        <v>0</v>
      </c>
      <c r="O21" s="15">
        <f t="shared" si="0"/>
        <v>135</v>
      </c>
      <c r="P21" s="15">
        <f t="shared" si="1"/>
        <v>255</v>
      </c>
      <c r="R21" s="36" t="s">
        <v>20</v>
      </c>
      <c r="S21" s="34">
        <f t="shared" ref="S21:AF21" si="13">SUM(C54:C57)</f>
        <v>120</v>
      </c>
      <c r="T21" s="17">
        <f t="shared" si="13"/>
        <v>29</v>
      </c>
      <c r="U21" s="17">
        <f t="shared" si="13"/>
        <v>16</v>
      </c>
      <c r="V21" s="17">
        <f t="shared" si="13"/>
        <v>27</v>
      </c>
      <c r="W21" s="17">
        <f t="shared" si="13"/>
        <v>0</v>
      </c>
      <c r="X21" s="17">
        <f t="shared" si="13"/>
        <v>1</v>
      </c>
      <c r="Y21" s="17">
        <f t="shared" si="13"/>
        <v>8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460</v>
      </c>
      <c r="AD21" s="17">
        <f t="shared" si="13"/>
        <v>0</v>
      </c>
      <c r="AE21" s="31">
        <f t="shared" si="13"/>
        <v>202</v>
      </c>
      <c r="AF21" s="31">
        <f t="shared" si="13"/>
        <v>662</v>
      </c>
    </row>
    <row r="22" spans="2:32" ht="23.1" customHeight="1" x14ac:dyDescent="0.25">
      <c r="B22" s="23" t="s">
        <v>49</v>
      </c>
      <c r="C22" s="50">
        <v>77</v>
      </c>
      <c r="D22" s="50">
        <v>21</v>
      </c>
      <c r="E22" s="50">
        <v>5</v>
      </c>
      <c r="F22" s="50">
        <v>24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103</v>
      </c>
      <c r="N22" s="50">
        <v>0</v>
      </c>
      <c r="O22" s="15">
        <f t="shared" si="0"/>
        <v>129</v>
      </c>
      <c r="P22" s="15">
        <f t="shared" si="1"/>
        <v>232</v>
      </c>
      <c r="R22" s="38" t="s">
        <v>90</v>
      </c>
      <c r="S22" s="39">
        <f>MAX(S10:S12)</f>
        <v>376</v>
      </c>
      <c r="T22" s="39">
        <f t="shared" ref="T22:AF22" si="14">MAX(T10:T12)</f>
        <v>56</v>
      </c>
      <c r="U22" s="39">
        <f t="shared" si="14"/>
        <v>40</v>
      </c>
      <c r="V22" s="39">
        <f t="shared" si="14"/>
        <v>108</v>
      </c>
      <c r="W22" s="39">
        <f t="shared" si="14"/>
        <v>2</v>
      </c>
      <c r="X22" s="39">
        <f t="shared" si="14"/>
        <v>1</v>
      </c>
      <c r="Y22" s="39">
        <f t="shared" si="14"/>
        <v>11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528</v>
      </c>
      <c r="AD22" s="39">
        <f t="shared" si="14"/>
        <v>0</v>
      </c>
      <c r="AE22" s="40">
        <f t="shared" si="14"/>
        <v>585</v>
      </c>
      <c r="AF22" s="40">
        <f t="shared" si="14"/>
        <v>1113</v>
      </c>
    </row>
    <row r="23" spans="2:32" ht="23.1" customHeight="1" x14ac:dyDescent="0.25">
      <c r="B23" s="23" t="s">
        <v>50</v>
      </c>
      <c r="C23" s="50">
        <v>59</v>
      </c>
      <c r="D23" s="50">
        <v>9</v>
      </c>
      <c r="E23" s="50">
        <v>8</v>
      </c>
      <c r="F23" s="50">
        <v>9</v>
      </c>
      <c r="G23" s="50">
        <v>0</v>
      </c>
      <c r="H23" s="50">
        <v>0</v>
      </c>
      <c r="I23" s="50">
        <v>8</v>
      </c>
      <c r="J23" s="50">
        <v>0</v>
      </c>
      <c r="K23" s="50">
        <v>0</v>
      </c>
      <c r="L23" s="50">
        <v>0</v>
      </c>
      <c r="M23" s="50">
        <v>72</v>
      </c>
      <c r="N23" s="50">
        <v>0</v>
      </c>
      <c r="O23" s="15">
        <f t="shared" si="0"/>
        <v>93</v>
      </c>
      <c r="P23" s="15">
        <f t="shared" si="1"/>
        <v>165</v>
      </c>
      <c r="R23" s="38" t="s">
        <v>91</v>
      </c>
      <c r="S23" s="39">
        <f>MAX(S13:S18)</f>
        <v>288</v>
      </c>
      <c r="T23" s="39">
        <f t="shared" ref="T23:AF23" si="15">MAX(T13:T18)</f>
        <v>59</v>
      </c>
      <c r="U23" s="39">
        <f t="shared" si="15"/>
        <v>28</v>
      </c>
      <c r="V23" s="39">
        <f t="shared" si="15"/>
        <v>62</v>
      </c>
      <c r="W23" s="39">
        <f t="shared" si="15"/>
        <v>2</v>
      </c>
      <c r="X23" s="39">
        <f t="shared" si="15"/>
        <v>2</v>
      </c>
      <c r="Y23" s="39">
        <f t="shared" si="15"/>
        <v>23</v>
      </c>
      <c r="Z23" s="39">
        <f t="shared" si="15"/>
        <v>7</v>
      </c>
      <c r="AA23" s="39">
        <f t="shared" si="15"/>
        <v>0</v>
      </c>
      <c r="AB23" s="39">
        <f t="shared" si="15"/>
        <v>0</v>
      </c>
      <c r="AC23" s="39">
        <f t="shared" si="15"/>
        <v>327</v>
      </c>
      <c r="AD23" s="39">
        <f t="shared" si="15"/>
        <v>0</v>
      </c>
      <c r="AE23" s="40">
        <f t="shared" si="15"/>
        <v>446</v>
      </c>
      <c r="AF23" s="40">
        <f t="shared" si="15"/>
        <v>765</v>
      </c>
    </row>
    <row r="24" spans="2:32" ht="23.1" customHeight="1" x14ac:dyDescent="0.25">
      <c r="B24" s="23" t="s">
        <v>51</v>
      </c>
      <c r="C24" s="50">
        <v>72</v>
      </c>
      <c r="D24" s="50">
        <v>13</v>
      </c>
      <c r="E24" s="50">
        <v>11</v>
      </c>
      <c r="F24" s="50">
        <v>17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55</v>
      </c>
      <c r="N24" s="50">
        <v>0</v>
      </c>
      <c r="O24" s="15">
        <f t="shared" si="0"/>
        <v>117</v>
      </c>
      <c r="P24" s="15">
        <f t="shared" si="1"/>
        <v>172</v>
      </c>
      <c r="R24" s="38" t="s">
        <v>92</v>
      </c>
      <c r="S24" s="39">
        <f>MAX(S19:S21)</f>
        <v>174</v>
      </c>
      <c r="T24" s="39">
        <f t="shared" ref="T24:AF24" si="16">MAX(T19:T21)</f>
        <v>38</v>
      </c>
      <c r="U24" s="39">
        <f t="shared" si="16"/>
        <v>32</v>
      </c>
      <c r="V24" s="39">
        <f t="shared" si="16"/>
        <v>47</v>
      </c>
      <c r="W24" s="39">
        <f t="shared" si="16"/>
        <v>2</v>
      </c>
      <c r="X24" s="39">
        <f t="shared" si="16"/>
        <v>1</v>
      </c>
      <c r="Y24" s="39">
        <f t="shared" si="16"/>
        <v>12</v>
      </c>
      <c r="Z24" s="39">
        <f t="shared" si="16"/>
        <v>5</v>
      </c>
      <c r="AA24" s="39">
        <f t="shared" si="16"/>
        <v>0</v>
      </c>
      <c r="AB24" s="39">
        <f t="shared" si="16"/>
        <v>0</v>
      </c>
      <c r="AC24" s="39">
        <f t="shared" si="16"/>
        <v>605</v>
      </c>
      <c r="AD24" s="39">
        <f t="shared" si="16"/>
        <v>0</v>
      </c>
      <c r="AE24" s="40">
        <f t="shared" si="16"/>
        <v>307</v>
      </c>
      <c r="AF24" s="40">
        <f t="shared" si="16"/>
        <v>912</v>
      </c>
    </row>
    <row r="25" spans="2:32" ht="23.1" customHeight="1" x14ac:dyDescent="0.25">
      <c r="B25" s="23" t="s">
        <v>52</v>
      </c>
      <c r="C25" s="50">
        <v>80</v>
      </c>
      <c r="D25" s="50">
        <v>5</v>
      </c>
      <c r="E25" s="50">
        <v>4</v>
      </c>
      <c r="F25" s="50">
        <v>12</v>
      </c>
      <c r="G25" s="50">
        <v>0</v>
      </c>
      <c r="H25" s="50">
        <v>0</v>
      </c>
      <c r="I25" s="50">
        <v>6</v>
      </c>
      <c r="J25" s="50">
        <v>0</v>
      </c>
      <c r="K25" s="50">
        <v>0</v>
      </c>
      <c r="L25" s="50">
        <v>0</v>
      </c>
      <c r="M25" s="50">
        <v>89</v>
      </c>
      <c r="N25" s="50">
        <v>0</v>
      </c>
      <c r="O25" s="15">
        <f t="shared" si="0"/>
        <v>107</v>
      </c>
      <c r="P25" s="15">
        <f t="shared" si="1"/>
        <v>196</v>
      </c>
      <c r="R25" s="37" t="s">
        <v>85</v>
      </c>
      <c r="S25" s="35">
        <f t="shared" ref="S25:AF25" si="17">SUM(S10:S12)</f>
        <v>668</v>
      </c>
      <c r="T25" s="16">
        <f t="shared" si="17"/>
        <v>101</v>
      </c>
      <c r="U25" s="16">
        <f t="shared" si="17"/>
        <v>72</v>
      </c>
      <c r="V25" s="16">
        <f t="shared" si="17"/>
        <v>208</v>
      </c>
      <c r="W25" s="16">
        <f t="shared" si="17"/>
        <v>4</v>
      </c>
      <c r="X25" s="16">
        <f t="shared" si="17"/>
        <v>1</v>
      </c>
      <c r="Y25" s="16">
        <f t="shared" si="17"/>
        <v>19</v>
      </c>
      <c r="Z25" s="16">
        <f t="shared" si="17"/>
        <v>6</v>
      </c>
      <c r="AA25" s="16">
        <f t="shared" si="17"/>
        <v>0</v>
      </c>
      <c r="AB25" s="16">
        <f t="shared" si="17"/>
        <v>0</v>
      </c>
      <c r="AC25" s="16">
        <f t="shared" si="17"/>
        <v>1004</v>
      </c>
      <c r="AD25" s="16">
        <f t="shared" si="17"/>
        <v>0</v>
      </c>
      <c r="AE25" s="32">
        <f t="shared" si="17"/>
        <v>1079</v>
      </c>
      <c r="AF25" s="32">
        <f t="shared" si="17"/>
        <v>2083</v>
      </c>
    </row>
    <row r="26" spans="2:32" ht="23.1" customHeight="1" x14ac:dyDescent="0.25">
      <c r="B26" s="23" t="s">
        <v>53</v>
      </c>
      <c r="C26" s="50">
        <v>75</v>
      </c>
      <c r="D26" s="50">
        <v>20</v>
      </c>
      <c r="E26" s="50">
        <v>9</v>
      </c>
      <c r="F26" s="50">
        <v>13</v>
      </c>
      <c r="G26" s="50">
        <v>0</v>
      </c>
      <c r="H26" s="50">
        <v>1</v>
      </c>
      <c r="I26" s="50">
        <v>7</v>
      </c>
      <c r="J26" s="50">
        <v>0</v>
      </c>
      <c r="K26" s="50">
        <v>0</v>
      </c>
      <c r="L26" s="50">
        <v>0</v>
      </c>
      <c r="M26" s="50">
        <v>97</v>
      </c>
      <c r="N26" s="50">
        <v>0</v>
      </c>
      <c r="O26" s="15">
        <f t="shared" si="0"/>
        <v>125</v>
      </c>
      <c r="P26" s="15">
        <f t="shared" si="1"/>
        <v>222</v>
      </c>
      <c r="R26" s="28" t="s">
        <v>86</v>
      </c>
      <c r="S26" s="16">
        <f t="shared" ref="S26:AF26" si="18">SUM(S13:S18)</f>
        <v>1238</v>
      </c>
      <c r="T26" s="16">
        <f t="shared" si="18"/>
        <v>230</v>
      </c>
      <c r="U26" s="16">
        <f t="shared" si="18"/>
        <v>134</v>
      </c>
      <c r="V26" s="16">
        <f t="shared" si="18"/>
        <v>262</v>
      </c>
      <c r="W26" s="16">
        <f t="shared" si="18"/>
        <v>2</v>
      </c>
      <c r="X26" s="16">
        <f t="shared" si="18"/>
        <v>3</v>
      </c>
      <c r="Y26" s="16">
        <f t="shared" si="18"/>
        <v>111</v>
      </c>
      <c r="Z26" s="16">
        <f t="shared" si="18"/>
        <v>20</v>
      </c>
      <c r="AA26" s="16">
        <f t="shared" si="18"/>
        <v>0</v>
      </c>
      <c r="AB26" s="16">
        <f t="shared" si="18"/>
        <v>0</v>
      </c>
      <c r="AC26" s="16">
        <f t="shared" si="18"/>
        <v>1879</v>
      </c>
      <c r="AD26" s="16">
        <f t="shared" si="18"/>
        <v>0</v>
      </c>
      <c r="AE26" s="32">
        <f t="shared" si="18"/>
        <v>2000</v>
      </c>
      <c r="AF26" s="32">
        <f t="shared" si="18"/>
        <v>3879</v>
      </c>
    </row>
    <row r="27" spans="2:32" ht="23.1" customHeight="1" x14ac:dyDescent="0.25">
      <c r="B27" s="23" t="s">
        <v>54</v>
      </c>
      <c r="C27" s="50">
        <v>77</v>
      </c>
      <c r="D27" s="50">
        <v>14</v>
      </c>
      <c r="E27" s="50">
        <v>9</v>
      </c>
      <c r="F27" s="50">
        <v>7</v>
      </c>
      <c r="G27" s="50">
        <v>0</v>
      </c>
      <c r="H27" s="50">
        <v>1</v>
      </c>
      <c r="I27" s="50">
        <v>5</v>
      </c>
      <c r="J27" s="50">
        <v>1</v>
      </c>
      <c r="K27" s="50">
        <v>0</v>
      </c>
      <c r="L27" s="50">
        <v>0</v>
      </c>
      <c r="M27" s="50">
        <v>95</v>
      </c>
      <c r="N27" s="50">
        <v>0</v>
      </c>
      <c r="O27" s="15">
        <f t="shared" si="0"/>
        <v>114</v>
      </c>
      <c r="P27" s="15">
        <f t="shared" si="1"/>
        <v>209</v>
      </c>
      <c r="R27" s="29" t="s">
        <v>87</v>
      </c>
      <c r="S27" s="16">
        <f t="shared" ref="S27:AF27" si="19">SUM(S19:S21)</f>
        <v>457</v>
      </c>
      <c r="T27" s="16">
        <f t="shared" si="19"/>
        <v>105</v>
      </c>
      <c r="U27" s="16">
        <f t="shared" si="19"/>
        <v>73</v>
      </c>
      <c r="V27" s="16">
        <f t="shared" si="19"/>
        <v>119</v>
      </c>
      <c r="W27" s="16">
        <f t="shared" si="19"/>
        <v>2</v>
      </c>
      <c r="X27" s="16">
        <f t="shared" si="19"/>
        <v>2</v>
      </c>
      <c r="Y27" s="16">
        <f t="shared" si="19"/>
        <v>28</v>
      </c>
      <c r="Z27" s="16">
        <f t="shared" si="19"/>
        <v>10</v>
      </c>
      <c r="AA27" s="16">
        <f t="shared" si="19"/>
        <v>0</v>
      </c>
      <c r="AB27" s="16">
        <f t="shared" si="19"/>
        <v>0</v>
      </c>
      <c r="AC27" s="16">
        <f t="shared" si="19"/>
        <v>1463</v>
      </c>
      <c r="AD27" s="16">
        <f t="shared" si="19"/>
        <v>0</v>
      </c>
      <c r="AE27" s="32">
        <f t="shared" si="19"/>
        <v>796</v>
      </c>
      <c r="AF27" s="32">
        <f t="shared" si="19"/>
        <v>2259</v>
      </c>
    </row>
    <row r="28" spans="2:32" ht="23.1" customHeight="1" x14ac:dyDescent="0.25">
      <c r="B28" s="23" t="s">
        <v>55</v>
      </c>
      <c r="C28" s="50">
        <v>63</v>
      </c>
      <c r="D28" s="50">
        <v>13</v>
      </c>
      <c r="E28" s="50">
        <v>7</v>
      </c>
      <c r="F28" s="50">
        <v>12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v>0</v>
      </c>
      <c r="M28" s="50">
        <v>81</v>
      </c>
      <c r="N28" s="50">
        <v>0</v>
      </c>
      <c r="O28" s="15">
        <f t="shared" si="0"/>
        <v>100</v>
      </c>
      <c r="P28" s="15">
        <f t="shared" si="1"/>
        <v>181</v>
      </c>
      <c r="R28" s="5" t="s">
        <v>17</v>
      </c>
      <c r="S28" s="16">
        <f t="shared" ref="S28:AF28" si="20">SUM(S10:S21)</f>
        <v>2363</v>
      </c>
      <c r="T28" s="16">
        <f t="shared" si="20"/>
        <v>436</v>
      </c>
      <c r="U28" s="16">
        <f t="shared" si="20"/>
        <v>279</v>
      </c>
      <c r="V28" s="16">
        <f t="shared" si="20"/>
        <v>589</v>
      </c>
      <c r="W28" s="16">
        <f t="shared" si="20"/>
        <v>8</v>
      </c>
      <c r="X28" s="16">
        <f t="shared" si="20"/>
        <v>6</v>
      </c>
      <c r="Y28" s="16">
        <f t="shared" si="20"/>
        <v>158</v>
      </c>
      <c r="Z28" s="16">
        <f t="shared" si="20"/>
        <v>36</v>
      </c>
      <c r="AA28" s="16">
        <f t="shared" si="20"/>
        <v>0</v>
      </c>
      <c r="AB28" s="16">
        <f t="shared" si="20"/>
        <v>0</v>
      </c>
      <c r="AC28" s="16">
        <f t="shared" si="20"/>
        <v>4346</v>
      </c>
      <c r="AD28" s="16">
        <f t="shared" si="20"/>
        <v>0</v>
      </c>
      <c r="AE28" s="32">
        <f t="shared" si="20"/>
        <v>3875</v>
      </c>
      <c r="AF28" s="32">
        <f t="shared" si="20"/>
        <v>8221</v>
      </c>
    </row>
    <row r="29" spans="2:32" ht="23.1" customHeight="1" x14ac:dyDescent="0.25">
      <c r="B29" s="23" t="s">
        <v>56</v>
      </c>
      <c r="C29" s="50">
        <v>41</v>
      </c>
      <c r="D29" s="50">
        <v>12</v>
      </c>
      <c r="E29" s="50">
        <v>3</v>
      </c>
      <c r="F29" s="50">
        <v>9</v>
      </c>
      <c r="G29" s="50">
        <v>0</v>
      </c>
      <c r="H29" s="50">
        <v>0</v>
      </c>
      <c r="I29" s="50">
        <v>6</v>
      </c>
      <c r="J29" s="50">
        <v>0</v>
      </c>
      <c r="K29" s="50">
        <v>0</v>
      </c>
      <c r="L29" s="50">
        <v>0</v>
      </c>
      <c r="M29" s="50">
        <v>54</v>
      </c>
      <c r="N29" s="50">
        <v>0</v>
      </c>
      <c r="O29" s="15">
        <f t="shared" si="0"/>
        <v>71</v>
      </c>
      <c r="P29" s="15">
        <f t="shared" si="1"/>
        <v>125</v>
      </c>
      <c r="R29"/>
      <c r="S29" s="20"/>
      <c r="T29" s="19"/>
    </row>
    <row r="30" spans="2:32" ht="23.1" customHeight="1" x14ac:dyDescent="0.25">
      <c r="B30" s="23" t="s">
        <v>57</v>
      </c>
      <c r="C30" s="50">
        <v>66</v>
      </c>
      <c r="D30" s="50">
        <v>11</v>
      </c>
      <c r="E30" s="50">
        <v>5</v>
      </c>
      <c r="F30" s="50">
        <v>12</v>
      </c>
      <c r="G30" s="50">
        <v>0</v>
      </c>
      <c r="H30" s="50">
        <v>0</v>
      </c>
      <c r="I30" s="50">
        <v>8</v>
      </c>
      <c r="J30" s="50">
        <v>3</v>
      </c>
      <c r="K30" s="50">
        <v>0</v>
      </c>
      <c r="L30" s="50">
        <v>0</v>
      </c>
      <c r="M30" s="50">
        <v>87</v>
      </c>
      <c r="N30" s="50">
        <v>0</v>
      </c>
      <c r="O30" s="15">
        <f t="shared" si="0"/>
        <v>105</v>
      </c>
      <c r="P30" s="15">
        <f t="shared" si="1"/>
        <v>192</v>
      </c>
    </row>
    <row r="31" spans="2:32" ht="23.1" customHeight="1" x14ac:dyDescent="0.25">
      <c r="B31" s="24" t="s">
        <v>58</v>
      </c>
      <c r="C31" s="50">
        <v>49</v>
      </c>
      <c r="D31" s="50">
        <v>9</v>
      </c>
      <c r="E31" s="50">
        <v>4</v>
      </c>
      <c r="F31" s="50">
        <v>10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74</v>
      </c>
      <c r="N31" s="50">
        <v>0</v>
      </c>
      <c r="O31" s="15">
        <f t="shared" si="0"/>
        <v>77</v>
      </c>
      <c r="P31" s="15">
        <f t="shared" si="1"/>
        <v>151</v>
      </c>
    </row>
    <row r="32" spans="2:32" ht="23.1" customHeight="1" x14ac:dyDescent="0.25">
      <c r="B32" s="24" t="s">
        <v>59</v>
      </c>
      <c r="C32" s="50">
        <v>37</v>
      </c>
      <c r="D32" s="50">
        <v>6</v>
      </c>
      <c r="E32" s="50">
        <v>10</v>
      </c>
      <c r="F32" s="50">
        <v>15</v>
      </c>
      <c r="G32" s="50">
        <v>0</v>
      </c>
      <c r="H32" s="50">
        <v>0</v>
      </c>
      <c r="I32" s="50">
        <v>5</v>
      </c>
      <c r="J32" s="50">
        <v>2</v>
      </c>
      <c r="K32" s="50">
        <v>0</v>
      </c>
      <c r="L32" s="50">
        <v>0</v>
      </c>
      <c r="M32" s="50">
        <v>100</v>
      </c>
      <c r="N32" s="50">
        <v>0</v>
      </c>
      <c r="O32" s="15">
        <f t="shared" si="0"/>
        <v>75</v>
      </c>
      <c r="P32" s="15">
        <f t="shared" si="1"/>
        <v>175</v>
      </c>
    </row>
    <row r="33" spans="2:20" ht="23.1" customHeight="1" x14ac:dyDescent="0.25">
      <c r="B33" s="23" t="s">
        <v>60</v>
      </c>
      <c r="C33" s="50">
        <v>43</v>
      </c>
      <c r="D33" s="50">
        <v>10</v>
      </c>
      <c r="E33" s="50">
        <v>5</v>
      </c>
      <c r="F33" s="50">
        <v>7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66</v>
      </c>
      <c r="N33" s="50">
        <v>0</v>
      </c>
      <c r="O33" s="15">
        <f t="shared" si="0"/>
        <v>68</v>
      </c>
      <c r="P33" s="15">
        <f t="shared" si="1"/>
        <v>134</v>
      </c>
    </row>
    <row r="34" spans="2:20" ht="23.1" customHeight="1" x14ac:dyDescent="0.25">
      <c r="B34" s="24" t="s">
        <v>61</v>
      </c>
      <c r="C34" s="50">
        <v>48</v>
      </c>
      <c r="D34" s="50">
        <v>8</v>
      </c>
      <c r="E34" s="50">
        <v>6</v>
      </c>
      <c r="F34" s="50">
        <v>7</v>
      </c>
      <c r="G34" s="50">
        <v>0</v>
      </c>
      <c r="H34" s="50">
        <v>0</v>
      </c>
      <c r="I34" s="50">
        <v>5</v>
      </c>
      <c r="J34" s="50">
        <v>2</v>
      </c>
      <c r="K34" s="50">
        <v>0</v>
      </c>
      <c r="L34" s="50">
        <v>0</v>
      </c>
      <c r="M34" s="50">
        <v>72</v>
      </c>
      <c r="N34" s="50">
        <v>0</v>
      </c>
      <c r="O34" s="15">
        <f t="shared" si="0"/>
        <v>76</v>
      </c>
      <c r="P34" s="15">
        <f t="shared" si="1"/>
        <v>148</v>
      </c>
    </row>
    <row r="35" spans="2:20" ht="23.1" customHeight="1" x14ac:dyDescent="0.25">
      <c r="B35" s="24" t="s">
        <v>62</v>
      </c>
      <c r="C35" s="50">
        <v>41</v>
      </c>
      <c r="D35" s="50">
        <v>11</v>
      </c>
      <c r="E35" s="50">
        <v>5</v>
      </c>
      <c r="F35" s="50">
        <v>7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65</v>
      </c>
      <c r="N35" s="50">
        <v>0</v>
      </c>
      <c r="O35" s="15">
        <f t="shared" si="0"/>
        <v>67</v>
      </c>
      <c r="P35" s="15">
        <f t="shared" si="1"/>
        <v>132</v>
      </c>
    </row>
    <row r="36" spans="2:20" ht="23.1" customHeight="1" x14ac:dyDescent="0.25">
      <c r="B36" s="24" t="s">
        <v>63</v>
      </c>
      <c r="C36" s="50">
        <v>42</v>
      </c>
      <c r="D36" s="50">
        <v>8</v>
      </c>
      <c r="E36" s="50">
        <v>3</v>
      </c>
      <c r="F36" s="50">
        <v>14</v>
      </c>
      <c r="G36" s="50">
        <v>0</v>
      </c>
      <c r="H36" s="50">
        <v>0</v>
      </c>
      <c r="I36" s="50">
        <v>5</v>
      </c>
      <c r="J36" s="50">
        <v>2</v>
      </c>
      <c r="K36" s="50">
        <v>0</v>
      </c>
      <c r="L36" s="50">
        <v>0</v>
      </c>
      <c r="M36" s="50">
        <v>63</v>
      </c>
      <c r="N36" s="50">
        <v>0</v>
      </c>
      <c r="O36" s="15">
        <f t="shared" si="0"/>
        <v>74</v>
      </c>
      <c r="P36" s="15">
        <f t="shared" si="1"/>
        <v>137</v>
      </c>
    </row>
    <row r="37" spans="2:20" ht="23.1" customHeight="1" x14ac:dyDescent="0.25">
      <c r="B37" s="23" t="s">
        <v>64</v>
      </c>
      <c r="C37" s="50">
        <v>40</v>
      </c>
      <c r="D37" s="50">
        <v>5</v>
      </c>
      <c r="E37" s="50">
        <v>2</v>
      </c>
      <c r="F37" s="50">
        <v>15</v>
      </c>
      <c r="G37" s="50">
        <v>0</v>
      </c>
      <c r="H37" s="50">
        <v>0</v>
      </c>
      <c r="I37" s="50">
        <v>4</v>
      </c>
      <c r="J37" s="50">
        <v>1</v>
      </c>
      <c r="K37" s="50">
        <v>0</v>
      </c>
      <c r="L37" s="50">
        <v>0</v>
      </c>
      <c r="M37" s="50">
        <v>70</v>
      </c>
      <c r="N37" s="50">
        <v>0</v>
      </c>
      <c r="O37" s="15">
        <f t="shared" si="0"/>
        <v>67</v>
      </c>
      <c r="P37" s="15">
        <f t="shared" si="1"/>
        <v>137</v>
      </c>
    </row>
    <row r="38" spans="2:20" ht="23.1" customHeight="1" x14ac:dyDescent="0.25">
      <c r="B38" s="24" t="s">
        <v>65</v>
      </c>
      <c r="C38" s="50">
        <v>32</v>
      </c>
      <c r="D38" s="50">
        <v>6</v>
      </c>
      <c r="E38" s="50">
        <v>3</v>
      </c>
      <c r="F38" s="50">
        <v>6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75</v>
      </c>
      <c r="N38" s="50">
        <v>0</v>
      </c>
      <c r="O38" s="15">
        <f t="shared" si="0"/>
        <v>49</v>
      </c>
      <c r="P38" s="15">
        <f t="shared" si="1"/>
        <v>124</v>
      </c>
    </row>
    <row r="39" spans="2:20" ht="23.1" customHeight="1" x14ac:dyDescent="0.25">
      <c r="B39" s="24" t="s">
        <v>66</v>
      </c>
      <c r="C39" s="50">
        <v>41</v>
      </c>
      <c r="D39" s="50">
        <v>6</v>
      </c>
      <c r="E39" s="50">
        <v>3</v>
      </c>
      <c r="F39" s="50">
        <v>8</v>
      </c>
      <c r="G39" s="50">
        <v>0</v>
      </c>
      <c r="H39" s="50">
        <v>0</v>
      </c>
      <c r="I39" s="50">
        <v>3</v>
      </c>
      <c r="J39" s="50">
        <v>3</v>
      </c>
      <c r="K39" s="50">
        <v>0</v>
      </c>
      <c r="L39" s="50">
        <v>0</v>
      </c>
      <c r="M39" s="50">
        <v>79</v>
      </c>
      <c r="N39" s="50">
        <v>0</v>
      </c>
      <c r="O39" s="15">
        <f t="shared" si="0"/>
        <v>64</v>
      </c>
      <c r="P39" s="15">
        <f t="shared" si="1"/>
        <v>143</v>
      </c>
    </row>
    <row r="40" spans="2:20" ht="23.1" customHeight="1" x14ac:dyDescent="0.25">
      <c r="B40" s="24" t="s">
        <v>67</v>
      </c>
      <c r="C40" s="50">
        <v>40</v>
      </c>
      <c r="D40" s="50">
        <v>8</v>
      </c>
      <c r="E40" s="50">
        <v>4</v>
      </c>
      <c r="F40" s="50">
        <v>7</v>
      </c>
      <c r="G40" s="50">
        <v>0</v>
      </c>
      <c r="H40" s="50">
        <v>0</v>
      </c>
      <c r="I40" s="50">
        <v>4</v>
      </c>
      <c r="J40" s="50">
        <v>3</v>
      </c>
      <c r="K40" s="50">
        <v>0</v>
      </c>
      <c r="L40" s="50">
        <v>0</v>
      </c>
      <c r="M40" s="50">
        <v>86</v>
      </c>
      <c r="N40" s="50">
        <v>0</v>
      </c>
      <c r="O40" s="15">
        <f t="shared" si="0"/>
        <v>66</v>
      </c>
      <c r="P40" s="15">
        <f t="shared" si="1"/>
        <v>152</v>
      </c>
    </row>
    <row r="41" spans="2:20" ht="23.1" customHeight="1" x14ac:dyDescent="0.25">
      <c r="B41" s="23" t="s">
        <v>68</v>
      </c>
      <c r="C41" s="50">
        <v>38</v>
      </c>
      <c r="D41" s="50">
        <v>10</v>
      </c>
      <c r="E41" s="50">
        <v>10</v>
      </c>
      <c r="F41" s="50">
        <v>7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80</v>
      </c>
      <c r="N41" s="50">
        <v>0</v>
      </c>
      <c r="O41" s="15">
        <f t="shared" si="0"/>
        <v>67</v>
      </c>
      <c r="P41" s="15">
        <f t="shared" si="1"/>
        <v>147</v>
      </c>
    </row>
    <row r="42" spans="2:20" ht="23.1" customHeight="1" x14ac:dyDescent="0.25">
      <c r="B42" s="24" t="s">
        <v>69</v>
      </c>
      <c r="C42" s="50">
        <v>23</v>
      </c>
      <c r="D42" s="50">
        <v>7</v>
      </c>
      <c r="E42" s="50">
        <v>1</v>
      </c>
      <c r="F42" s="50">
        <v>8</v>
      </c>
      <c r="G42" s="50">
        <v>1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35</v>
      </c>
      <c r="N42" s="50">
        <v>0</v>
      </c>
      <c r="O42" s="15">
        <f t="shared" si="0"/>
        <v>44</v>
      </c>
      <c r="P42" s="15">
        <f t="shared" si="1"/>
        <v>79</v>
      </c>
    </row>
    <row r="43" spans="2:20" ht="23.1" customHeight="1" x14ac:dyDescent="0.25">
      <c r="B43" s="23" t="s">
        <v>70</v>
      </c>
      <c r="C43" s="50">
        <v>41</v>
      </c>
      <c r="D43" s="50">
        <v>2</v>
      </c>
      <c r="E43" s="50">
        <v>2</v>
      </c>
      <c r="F43" s="50">
        <v>8</v>
      </c>
      <c r="G43" s="50">
        <v>1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110</v>
      </c>
      <c r="N43" s="50">
        <v>0</v>
      </c>
      <c r="O43" s="15">
        <f t="shared" si="0"/>
        <v>58</v>
      </c>
      <c r="P43" s="15">
        <f t="shared" si="1"/>
        <v>168</v>
      </c>
    </row>
    <row r="44" spans="2:20" ht="23.1" customHeight="1" x14ac:dyDescent="0.25">
      <c r="B44" s="25" t="s">
        <v>71</v>
      </c>
      <c r="C44" s="50">
        <v>53</v>
      </c>
      <c r="D44" s="50">
        <v>6</v>
      </c>
      <c r="E44" s="50">
        <v>12</v>
      </c>
      <c r="F44" s="50">
        <v>18</v>
      </c>
      <c r="G44" s="50">
        <v>0</v>
      </c>
      <c r="H44" s="50">
        <v>0</v>
      </c>
      <c r="I44" s="50">
        <v>7</v>
      </c>
      <c r="J44" s="50">
        <v>0</v>
      </c>
      <c r="K44" s="50">
        <v>0</v>
      </c>
      <c r="L44" s="50">
        <v>0</v>
      </c>
      <c r="M44" s="50">
        <v>106</v>
      </c>
      <c r="N44" s="50">
        <v>0</v>
      </c>
      <c r="O44" s="15">
        <f t="shared" si="0"/>
        <v>96</v>
      </c>
      <c r="P44" s="15">
        <f t="shared" si="1"/>
        <v>202</v>
      </c>
    </row>
    <row r="45" spans="2:20" ht="23.1" customHeight="1" x14ac:dyDescent="0.25">
      <c r="B45" s="23" t="s">
        <v>72</v>
      </c>
      <c r="C45" s="50">
        <v>60</v>
      </c>
      <c r="D45" s="50">
        <v>10</v>
      </c>
      <c r="E45" s="50">
        <v>3</v>
      </c>
      <c r="F45" s="50">
        <v>10</v>
      </c>
      <c r="G45" s="50">
        <v>0</v>
      </c>
      <c r="H45" s="50">
        <v>1</v>
      </c>
      <c r="I45" s="50">
        <v>7</v>
      </c>
      <c r="J45" s="50">
        <v>0</v>
      </c>
      <c r="K45" s="50">
        <v>0</v>
      </c>
      <c r="L45" s="50">
        <v>0</v>
      </c>
      <c r="M45" s="50">
        <v>65</v>
      </c>
      <c r="N45" s="50">
        <v>0</v>
      </c>
      <c r="O45" s="15">
        <f t="shared" si="0"/>
        <v>91</v>
      </c>
      <c r="P45" s="15">
        <f t="shared" si="1"/>
        <v>156</v>
      </c>
    </row>
    <row r="46" spans="2:20" ht="23.1" customHeight="1" x14ac:dyDescent="0.25">
      <c r="B46" s="24" t="s">
        <v>73</v>
      </c>
      <c r="C46" s="50">
        <v>41</v>
      </c>
      <c r="D46" s="50">
        <v>9</v>
      </c>
      <c r="E46" s="50">
        <v>6</v>
      </c>
      <c r="F46" s="50">
        <v>17</v>
      </c>
      <c r="G46" s="50">
        <v>0</v>
      </c>
      <c r="H46" s="50">
        <v>1</v>
      </c>
      <c r="I46" s="50">
        <v>0</v>
      </c>
      <c r="J46" s="50">
        <v>3</v>
      </c>
      <c r="K46" s="50">
        <v>0</v>
      </c>
      <c r="L46" s="50">
        <v>0</v>
      </c>
      <c r="M46" s="50">
        <v>95</v>
      </c>
      <c r="N46" s="50">
        <v>0</v>
      </c>
      <c r="O46" s="15">
        <f t="shared" si="0"/>
        <v>77</v>
      </c>
      <c r="P46" s="15">
        <f t="shared" si="1"/>
        <v>172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14</v>
      </c>
      <c r="E47" s="50">
        <v>9</v>
      </c>
      <c r="F47" s="50">
        <v>12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81</v>
      </c>
      <c r="N47" s="50">
        <v>0</v>
      </c>
      <c r="O47" s="15">
        <f t="shared" si="0"/>
        <v>88</v>
      </c>
      <c r="P47" s="15">
        <f t="shared" si="1"/>
        <v>169</v>
      </c>
      <c r="R47" s="8"/>
      <c r="T47"/>
    </row>
    <row r="48" spans="2:20" ht="23.1" customHeight="1" x14ac:dyDescent="0.25">
      <c r="B48" s="24" t="s">
        <v>75</v>
      </c>
      <c r="C48" s="50">
        <v>34</v>
      </c>
      <c r="D48" s="50">
        <v>6</v>
      </c>
      <c r="E48" s="50">
        <v>7</v>
      </c>
      <c r="F48" s="50">
        <v>13</v>
      </c>
      <c r="G48" s="50">
        <v>0</v>
      </c>
      <c r="H48" s="50">
        <v>0</v>
      </c>
      <c r="I48" s="50">
        <v>4</v>
      </c>
      <c r="J48" s="50">
        <v>2</v>
      </c>
      <c r="K48" s="50">
        <v>0</v>
      </c>
      <c r="L48" s="50">
        <v>0</v>
      </c>
      <c r="M48" s="50">
        <v>112</v>
      </c>
      <c r="N48" s="50">
        <v>0</v>
      </c>
      <c r="O48" s="15">
        <f t="shared" si="0"/>
        <v>66</v>
      </c>
      <c r="P48" s="15">
        <f t="shared" si="1"/>
        <v>178</v>
      </c>
      <c r="R48" s="8"/>
      <c r="T48"/>
    </row>
    <row r="49" spans="2:20" ht="23.1" customHeight="1" x14ac:dyDescent="0.25">
      <c r="B49" s="23" t="s">
        <v>76</v>
      </c>
      <c r="C49" s="50">
        <v>38</v>
      </c>
      <c r="D49" s="50">
        <v>9</v>
      </c>
      <c r="E49" s="50">
        <v>3</v>
      </c>
      <c r="F49" s="50">
        <v>5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110</v>
      </c>
      <c r="N49" s="50">
        <v>0</v>
      </c>
      <c r="O49" s="15">
        <f t="shared" si="0"/>
        <v>56</v>
      </c>
      <c r="P49" s="15">
        <f t="shared" si="1"/>
        <v>166</v>
      </c>
      <c r="R49" s="8"/>
      <c r="T49"/>
    </row>
    <row r="50" spans="2:20" ht="23.1" customHeight="1" x14ac:dyDescent="0.25">
      <c r="B50" s="24" t="s">
        <v>77</v>
      </c>
      <c r="C50" s="50">
        <v>43</v>
      </c>
      <c r="D50" s="50">
        <v>15</v>
      </c>
      <c r="E50" s="50">
        <v>8</v>
      </c>
      <c r="F50" s="50">
        <v>13</v>
      </c>
      <c r="G50" s="50">
        <v>0</v>
      </c>
      <c r="H50" s="50">
        <v>0</v>
      </c>
      <c r="I50" s="50">
        <v>4</v>
      </c>
      <c r="J50" s="50">
        <v>0</v>
      </c>
      <c r="K50" s="50">
        <v>0</v>
      </c>
      <c r="L50" s="50">
        <v>0</v>
      </c>
      <c r="M50" s="50">
        <v>125</v>
      </c>
      <c r="N50" s="50">
        <v>0</v>
      </c>
      <c r="O50" s="15">
        <f t="shared" si="0"/>
        <v>83</v>
      </c>
      <c r="P50" s="15">
        <f t="shared" si="1"/>
        <v>208</v>
      </c>
      <c r="R50" s="8"/>
      <c r="T50"/>
    </row>
    <row r="51" spans="2:20" ht="23.1" customHeight="1" x14ac:dyDescent="0.25">
      <c r="B51" s="24" t="s">
        <v>78</v>
      </c>
      <c r="C51" s="50">
        <v>29</v>
      </c>
      <c r="D51" s="50">
        <v>7</v>
      </c>
      <c r="E51" s="50">
        <v>5</v>
      </c>
      <c r="F51" s="50">
        <v>14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135</v>
      </c>
      <c r="N51" s="50">
        <v>0</v>
      </c>
      <c r="O51" s="15">
        <f t="shared" si="0"/>
        <v>55</v>
      </c>
      <c r="P51" s="15">
        <f t="shared" si="1"/>
        <v>190</v>
      </c>
      <c r="R51" s="8"/>
      <c r="T51"/>
    </row>
    <row r="52" spans="2:20" ht="23.1" customHeight="1" x14ac:dyDescent="0.25">
      <c r="B52" s="24" t="s">
        <v>79</v>
      </c>
      <c r="C52" s="50">
        <v>42</v>
      </c>
      <c r="D52" s="50">
        <v>10</v>
      </c>
      <c r="E52" s="50">
        <v>12</v>
      </c>
      <c r="F52" s="50">
        <v>12</v>
      </c>
      <c r="G52" s="50">
        <v>1</v>
      </c>
      <c r="H52" s="50">
        <v>0</v>
      </c>
      <c r="I52" s="50">
        <v>5</v>
      </c>
      <c r="J52" s="50">
        <v>4</v>
      </c>
      <c r="K52" s="50">
        <v>0</v>
      </c>
      <c r="L52" s="50">
        <v>0</v>
      </c>
      <c r="M52" s="50">
        <v>145</v>
      </c>
      <c r="N52" s="50">
        <v>0</v>
      </c>
      <c r="O52" s="15">
        <f t="shared" si="0"/>
        <v>86</v>
      </c>
      <c r="P52" s="15">
        <f t="shared" si="1"/>
        <v>231</v>
      </c>
      <c r="R52" s="8"/>
      <c r="T52"/>
    </row>
    <row r="53" spans="2:20" ht="23.1" customHeight="1" x14ac:dyDescent="0.25">
      <c r="B53" s="23" t="s">
        <v>80</v>
      </c>
      <c r="C53" s="50">
        <v>60</v>
      </c>
      <c r="D53" s="50">
        <v>6</v>
      </c>
      <c r="E53" s="50">
        <v>7</v>
      </c>
      <c r="F53" s="50">
        <v>6</v>
      </c>
      <c r="G53" s="50">
        <v>1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200</v>
      </c>
      <c r="N53" s="50">
        <v>0</v>
      </c>
      <c r="O53" s="15">
        <f t="shared" si="0"/>
        <v>83</v>
      </c>
      <c r="P53" s="15">
        <f t="shared" si="1"/>
        <v>283</v>
      </c>
      <c r="R53" s="8"/>
      <c r="T53"/>
    </row>
    <row r="54" spans="2:20" ht="23.1" customHeight="1" x14ac:dyDescent="0.25">
      <c r="B54" s="23" t="s">
        <v>81</v>
      </c>
      <c r="C54" s="50">
        <v>30</v>
      </c>
      <c r="D54" s="50">
        <v>11</v>
      </c>
      <c r="E54" s="50">
        <v>5</v>
      </c>
      <c r="F54" s="50">
        <v>9</v>
      </c>
      <c r="G54" s="50">
        <v>0</v>
      </c>
      <c r="H54" s="50">
        <v>1</v>
      </c>
      <c r="I54" s="50">
        <v>5</v>
      </c>
      <c r="J54" s="50">
        <v>1</v>
      </c>
      <c r="K54" s="50">
        <v>0</v>
      </c>
      <c r="L54" s="50">
        <v>0</v>
      </c>
      <c r="M54" s="50">
        <v>105</v>
      </c>
      <c r="N54" s="50">
        <v>0</v>
      </c>
      <c r="O54" s="15">
        <f t="shared" si="0"/>
        <v>62</v>
      </c>
      <c r="P54" s="15">
        <f t="shared" si="1"/>
        <v>167</v>
      </c>
      <c r="R54" s="8"/>
      <c r="T54"/>
    </row>
    <row r="55" spans="2:20" ht="23.1" customHeight="1" x14ac:dyDescent="0.25">
      <c r="B55" s="23" t="s">
        <v>82</v>
      </c>
      <c r="C55" s="50">
        <v>23</v>
      </c>
      <c r="D55" s="50">
        <v>8</v>
      </c>
      <c r="E55" s="50">
        <v>0</v>
      </c>
      <c r="F55" s="50">
        <v>12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125</v>
      </c>
      <c r="N55" s="50">
        <v>0</v>
      </c>
      <c r="O55" s="15">
        <f t="shared" si="0"/>
        <v>44</v>
      </c>
      <c r="P55" s="15">
        <f t="shared" si="1"/>
        <v>169</v>
      </c>
      <c r="R55" s="8"/>
      <c r="T55"/>
    </row>
    <row r="56" spans="2:20" ht="23.1" customHeight="1" x14ac:dyDescent="0.25">
      <c r="B56" s="23" t="s">
        <v>83</v>
      </c>
      <c r="C56" s="50">
        <v>45</v>
      </c>
      <c r="D56" s="50">
        <v>5</v>
      </c>
      <c r="E56" s="50">
        <v>4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55</v>
      </c>
      <c r="N56" s="50">
        <v>0</v>
      </c>
      <c r="O56" s="15">
        <f t="shared" si="0"/>
        <v>55</v>
      </c>
      <c r="P56" s="15">
        <f t="shared" si="1"/>
        <v>110</v>
      </c>
      <c r="R56" s="8"/>
      <c r="T56"/>
    </row>
    <row r="57" spans="2:20" ht="23.1" customHeight="1" x14ac:dyDescent="0.25">
      <c r="B57" s="23" t="s">
        <v>84</v>
      </c>
      <c r="C57" s="50">
        <v>22</v>
      </c>
      <c r="D57" s="50">
        <v>5</v>
      </c>
      <c r="E57" s="50">
        <v>7</v>
      </c>
      <c r="F57" s="50">
        <v>5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175</v>
      </c>
      <c r="N57" s="50">
        <v>0</v>
      </c>
      <c r="O57" s="15">
        <f t="shared" si="0"/>
        <v>41</v>
      </c>
      <c r="P57" s="15">
        <f t="shared" si="1"/>
        <v>216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2363</v>
      </c>
      <c r="D58" s="16">
        <f t="shared" si="21"/>
        <v>436</v>
      </c>
      <c r="E58" s="16">
        <f t="shared" si="21"/>
        <v>279</v>
      </c>
      <c r="F58" s="16">
        <f t="shared" si="21"/>
        <v>589</v>
      </c>
      <c r="G58" s="16">
        <f t="shared" si="21"/>
        <v>8</v>
      </c>
      <c r="H58" s="16">
        <f t="shared" si="21"/>
        <v>6</v>
      </c>
      <c r="I58" s="16">
        <f t="shared" si="21"/>
        <v>158</v>
      </c>
      <c r="J58" s="16">
        <f t="shared" si="21"/>
        <v>36</v>
      </c>
      <c r="K58" s="16">
        <f t="shared" si="21"/>
        <v>0</v>
      </c>
      <c r="L58" s="16">
        <f t="shared" si="21"/>
        <v>0</v>
      </c>
      <c r="M58" s="16">
        <f t="shared" si="21"/>
        <v>4346</v>
      </c>
      <c r="N58" s="16">
        <f t="shared" si="21"/>
        <v>0</v>
      </c>
      <c r="O58" s="16">
        <f t="shared" si="21"/>
        <v>3875</v>
      </c>
      <c r="P58" s="16">
        <f t="shared" si="21"/>
        <v>8221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0.28743461865953046</v>
      </c>
      <c r="D59" s="43">
        <f t="shared" si="22"/>
        <v>5.3034910594818151E-2</v>
      </c>
      <c r="E59" s="43">
        <f t="shared" si="22"/>
        <v>3.3937477192555653E-2</v>
      </c>
      <c r="F59" s="43">
        <f t="shared" si="22"/>
        <v>7.1645785184284147E-2</v>
      </c>
      <c r="G59" s="43">
        <f t="shared" si="22"/>
        <v>9.7311762559299355E-4</v>
      </c>
      <c r="H59" s="43">
        <f t="shared" si="22"/>
        <v>7.2983821919474516E-4</v>
      </c>
      <c r="I59" s="43">
        <f t="shared" si="22"/>
        <v>1.9219073105461622E-2</v>
      </c>
      <c r="J59" s="43">
        <f t="shared" si="22"/>
        <v>4.3790293151684707E-3</v>
      </c>
      <c r="K59" s="43">
        <f t="shared" si="22"/>
        <v>0</v>
      </c>
      <c r="L59" s="43">
        <f t="shared" si="22"/>
        <v>0</v>
      </c>
      <c r="M59" s="43">
        <f t="shared" si="22"/>
        <v>0.52864615010339377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0.60980645161290326</v>
      </c>
      <c r="D60" s="44">
        <f t="shared" ref="D60:N60" si="23">D58/$O$58</f>
        <v>0.11251612903225806</v>
      </c>
      <c r="E60" s="44">
        <f t="shared" si="23"/>
        <v>7.1999999999999995E-2</v>
      </c>
      <c r="F60" s="44">
        <f t="shared" si="23"/>
        <v>0.152</v>
      </c>
      <c r="G60" s="44">
        <f t="shared" si="23"/>
        <v>2.0645161290322581E-3</v>
      </c>
      <c r="H60" s="44">
        <f t="shared" si="23"/>
        <v>1.5483870967741935E-3</v>
      </c>
      <c r="I60" s="44">
        <f t="shared" si="23"/>
        <v>4.07741935483871E-2</v>
      </c>
      <c r="J60" s="44">
        <f t="shared" si="23"/>
        <v>9.2903225806451606E-3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7" zoomScale="60" workbookViewId="0">
      <selection activeCell="R58" sqref="R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Mulago-Kyebando'!C3:G3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'29.07 Kyebando-Mulago'!D5</f>
        <v>29.07.19</v>
      </c>
      <c r="E5" s="3"/>
      <c r="F5" s="41" t="s">
        <v>1</v>
      </c>
      <c r="G5" s="55" t="str">
        <f>'02.08 Kyebando-Mulago'!G5:H5</f>
        <v>Kisingiri Street</v>
      </c>
      <c r="H5" s="56"/>
      <c r="I5" s="14"/>
      <c r="J5" s="2" t="s">
        <v>5</v>
      </c>
      <c r="K5" s="55" t="s">
        <v>175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'02.08 Mulago-Kyebando'!D6:E6</f>
        <v>Mulago</v>
      </c>
      <c r="E6" s="56"/>
      <c r="F6" s="2" t="s">
        <v>2</v>
      </c>
      <c r="G6" s="55" t="str">
        <f>'02.08 Mulago-Kyebando'!G6:H6</f>
        <v>Kyebando</v>
      </c>
      <c r="H6" s="56"/>
      <c r="J6" s="2" t="s">
        <v>21</v>
      </c>
      <c r="K6" s="55" t="s">
        <v>183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93</v>
      </c>
      <c r="T11" s="17">
        <f t="shared" si="3"/>
        <v>16</v>
      </c>
      <c r="U11" s="17">
        <f t="shared" si="3"/>
        <v>7</v>
      </c>
      <c r="V11" s="17">
        <f t="shared" si="3"/>
        <v>31</v>
      </c>
      <c r="W11" s="17">
        <f t="shared" si="3"/>
        <v>0</v>
      </c>
      <c r="X11" s="17">
        <f t="shared" si="3"/>
        <v>0</v>
      </c>
      <c r="Y11" s="17">
        <f t="shared" si="3"/>
        <v>12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895</v>
      </c>
      <c r="AD11" s="17">
        <f t="shared" si="3"/>
        <v>0</v>
      </c>
      <c r="AE11" s="31">
        <f t="shared" si="3"/>
        <v>159</v>
      </c>
      <c r="AF11" s="31">
        <f t="shared" si="3"/>
        <v>1054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116</v>
      </c>
      <c r="T12" s="17">
        <f t="shared" si="4"/>
        <v>15</v>
      </c>
      <c r="U12" s="17">
        <f t="shared" si="4"/>
        <v>18</v>
      </c>
      <c r="V12" s="17">
        <f t="shared" si="4"/>
        <v>64</v>
      </c>
      <c r="W12" s="17">
        <f t="shared" si="4"/>
        <v>2</v>
      </c>
      <c r="X12" s="17">
        <f t="shared" si="4"/>
        <v>0</v>
      </c>
      <c r="Y12" s="17">
        <f t="shared" si="4"/>
        <v>31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880</v>
      </c>
      <c r="AD12" s="17">
        <f t="shared" si="4"/>
        <v>0</v>
      </c>
      <c r="AE12" s="31">
        <f t="shared" si="4"/>
        <v>246</v>
      </c>
      <c r="AF12" s="31">
        <f t="shared" si="4"/>
        <v>1126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151</v>
      </c>
      <c r="T13" s="17">
        <f t="shared" si="5"/>
        <v>27</v>
      </c>
      <c r="U13" s="17">
        <f t="shared" si="5"/>
        <v>30</v>
      </c>
      <c r="V13" s="17">
        <f t="shared" si="5"/>
        <v>69</v>
      </c>
      <c r="W13" s="17">
        <f t="shared" si="5"/>
        <v>1</v>
      </c>
      <c r="X13" s="17">
        <f t="shared" si="5"/>
        <v>0</v>
      </c>
      <c r="Y13" s="17">
        <f t="shared" si="5"/>
        <v>19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614</v>
      </c>
      <c r="AD13" s="17">
        <f t="shared" si="5"/>
        <v>0</v>
      </c>
      <c r="AE13" s="31">
        <f t="shared" si="5"/>
        <v>300</v>
      </c>
      <c r="AF13" s="31">
        <f t="shared" si="5"/>
        <v>914</v>
      </c>
    </row>
    <row r="14" spans="2:32" ht="23.1" customHeight="1" x14ac:dyDescent="0.25">
      <c r="B14" s="23" t="s">
        <v>41</v>
      </c>
      <c r="C14" s="50">
        <v>15</v>
      </c>
      <c r="D14" s="50">
        <v>2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30</v>
      </c>
      <c r="N14" s="50">
        <v>0</v>
      </c>
      <c r="O14" s="15">
        <f t="shared" si="0"/>
        <v>19</v>
      </c>
      <c r="P14" s="15">
        <f t="shared" si="1"/>
        <v>49</v>
      </c>
      <c r="R14" s="1" t="s">
        <v>10</v>
      </c>
      <c r="S14" s="17">
        <f t="shared" ref="S14:AF14" si="6">SUM(C26:C29)</f>
        <v>178</v>
      </c>
      <c r="T14" s="17">
        <f t="shared" si="6"/>
        <v>22</v>
      </c>
      <c r="U14" s="17">
        <f t="shared" si="6"/>
        <v>45</v>
      </c>
      <c r="V14" s="17">
        <f t="shared" si="6"/>
        <v>50</v>
      </c>
      <c r="W14" s="17">
        <f t="shared" si="6"/>
        <v>1</v>
      </c>
      <c r="X14" s="17">
        <f t="shared" si="6"/>
        <v>0</v>
      </c>
      <c r="Y14" s="17">
        <f t="shared" si="6"/>
        <v>24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492</v>
      </c>
      <c r="AD14" s="17">
        <f t="shared" si="6"/>
        <v>0</v>
      </c>
      <c r="AE14" s="31">
        <f t="shared" si="6"/>
        <v>323</v>
      </c>
      <c r="AF14" s="31">
        <f t="shared" si="6"/>
        <v>815</v>
      </c>
    </row>
    <row r="15" spans="2:32" ht="23.1" customHeight="1" x14ac:dyDescent="0.25">
      <c r="B15" s="23" t="s">
        <v>42</v>
      </c>
      <c r="C15" s="50">
        <v>18</v>
      </c>
      <c r="D15" s="50">
        <v>4</v>
      </c>
      <c r="E15" s="50">
        <v>1</v>
      </c>
      <c r="F15" s="50">
        <v>8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350</v>
      </c>
      <c r="N15" s="50">
        <v>0</v>
      </c>
      <c r="O15" s="15">
        <f t="shared" si="0"/>
        <v>32</v>
      </c>
      <c r="P15" s="15">
        <f t="shared" si="1"/>
        <v>382</v>
      </c>
      <c r="R15" s="1" t="s">
        <v>11</v>
      </c>
      <c r="S15" s="17">
        <f t="shared" ref="S15:AF15" si="7">SUM(C30:C33)</f>
        <v>180</v>
      </c>
      <c r="T15" s="17">
        <f t="shared" si="7"/>
        <v>35</v>
      </c>
      <c r="U15" s="17">
        <f t="shared" si="7"/>
        <v>31</v>
      </c>
      <c r="V15" s="17">
        <f t="shared" si="7"/>
        <v>55</v>
      </c>
      <c r="W15" s="17">
        <f t="shared" si="7"/>
        <v>1</v>
      </c>
      <c r="X15" s="17">
        <f t="shared" si="7"/>
        <v>0</v>
      </c>
      <c r="Y15" s="17">
        <f t="shared" si="7"/>
        <v>14</v>
      </c>
      <c r="Z15" s="17">
        <f t="shared" si="7"/>
        <v>8</v>
      </c>
      <c r="AA15" s="17">
        <f t="shared" si="7"/>
        <v>0</v>
      </c>
      <c r="AB15" s="17">
        <f t="shared" si="7"/>
        <v>0</v>
      </c>
      <c r="AC15" s="17">
        <f t="shared" si="7"/>
        <v>344</v>
      </c>
      <c r="AD15" s="17">
        <f t="shared" si="7"/>
        <v>0</v>
      </c>
      <c r="AE15" s="31">
        <f t="shared" si="7"/>
        <v>324</v>
      </c>
      <c r="AF15" s="31">
        <f t="shared" si="7"/>
        <v>668</v>
      </c>
    </row>
    <row r="16" spans="2:32" ht="23.1" customHeight="1" x14ac:dyDescent="0.25">
      <c r="B16" s="23" t="s">
        <v>43</v>
      </c>
      <c r="C16" s="50">
        <v>28</v>
      </c>
      <c r="D16" s="50">
        <v>3</v>
      </c>
      <c r="E16" s="50">
        <v>4</v>
      </c>
      <c r="F16" s="50">
        <v>11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345</v>
      </c>
      <c r="N16" s="50">
        <v>0</v>
      </c>
      <c r="O16" s="15">
        <f t="shared" si="0"/>
        <v>49</v>
      </c>
      <c r="P16" s="15">
        <f t="shared" si="1"/>
        <v>394</v>
      </c>
      <c r="R16" s="1" t="s">
        <v>12</v>
      </c>
      <c r="S16" s="17">
        <f t="shared" ref="S16:AF16" si="8">SUM(C34:C37)</f>
        <v>237</v>
      </c>
      <c r="T16" s="17">
        <f t="shared" si="8"/>
        <v>24</v>
      </c>
      <c r="U16" s="17">
        <f t="shared" si="8"/>
        <v>33</v>
      </c>
      <c r="V16" s="17">
        <f t="shared" si="8"/>
        <v>53</v>
      </c>
      <c r="W16" s="17">
        <f t="shared" si="8"/>
        <v>2</v>
      </c>
      <c r="X16" s="17">
        <f t="shared" si="8"/>
        <v>0</v>
      </c>
      <c r="Y16" s="17">
        <f t="shared" si="8"/>
        <v>26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384</v>
      </c>
      <c r="AD16" s="17">
        <f t="shared" si="8"/>
        <v>0</v>
      </c>
      <c r="AE16" s="31">
        <f t="shared" si="8"/>
        <v>376</v>
      </c>
      <c r="AF16" s="31">
        <f t="shared" si="8"/>
        <v>760</v>
      </c>
    </row>
    <row r="17" spans="2:32" ht="23.1" customHeight="1" x14ac:dyDescent="0.25">
      <c r="B17" s="23" t="s">
        <v>44</v>
      </c>
      <c r="C17" s="50">
        <v>32</v>
      </c>
      <c r="D17" s="50">
        <v>7</v>
      </c>
      <c r="E17" s="50">
        <v>2</v>
      </c>
      <c r="F17" s="50">
        <v>11</v>
      </c>
      <c r="G17" s="50">
        <v>0</v>
      </c>
      <c r="H17" s="50">
        <v>0</v>
      </c>
      <c r="I17" s="50">
        <v>7</v>
      </c>
      <c r="J17" s="50">
        <v>0</v>
      </c>
      <c r="K17" s="50">
        <v>0</v>
      </c>
      <c r="L17" s="50">
        <v>0</v>
      </c>
      <c r="M17" s="50">
        <v>170</v>
      </c>
      <c r="N17" s="50">
        <v>0</v>
      </c>
      <c r="O17" s="15">
        <f t="shared" si="0"/>
        <v>59</v>
      </c>
      <c r="P17" s="15">
        <f t="shared" si="1"/>
        <v>229</v>
      </c>
      <c r="R17" s="1" t="s">
        <v>13</v>
      </c>
      <c r="S17" s="17">
        <f t="shared" ref="S17:AF17" si="9">SUM(C38:C41)</f>
        <v>230</v>
      </c>
      <c r="T17" s="17">
        <f t="shared" si="9"/>
        <v>20</v>
      </c>
      <c r="U17" s="17">
        <f t="shared" si="9"/>
        <v>40</v>
      </c>
      <c r="V17" s="17">
        <f t="shared" si="9"/>
        <v>37</v>
      </c>
      <c r="W17" s="17">
        <f t="shared" si="9"/>
        <v>4</v>
      </c>
      <c r="X17" s="17">
        <f t="shared" si="9"/>
        <v>0</v>
      </c>
      <c r="Y17" s="17">
        <f t="shared" si="9"/>
        <v>21</v>
      </c>
      <c r="Z17" s="17">
        <f t="shared" si="9"/>
        <v>2</v>
      </c>
      <c r="AA17" s="17">
        <f t="shared" si="9"/>
        <v>3</v>
      </c>
      <c r="AB17" s="17">
        <f t="shared" si="9"/>
        <v>0</v>
      </c>
      <c r="AC17" s="17">
        <f t="shared" si="9"/>
        <v>414</v>
      </c>
      <c r="AD17" s="17">
        <f t="shared" si="9"/>
        <v>0</v>
      </c>
      <c r="AE17" s="31">
        <f t="shared" si="9"/>
        <v>357</v>
      </c>
      <c r="AF17" s="31">
        <f t="shared" si="9"/>
        <v>771</v>
      </c>
    </row>
    <row r="18" spans="2:32" ht="23.1" customHeight="1" x14ac:dyDescent="0.25">
      <c r="B18" s="23" t="s">
        <v>45</v>
      </c>
      <c r="C18" s="50">
        <v>16</v>
      </c>
      <c r="D18" s="50">
        <v>3</v>
      </c>
      <c r="E18" s="50">
        <v>2</v>
      </c>
      <c r="F18" s="50">
        <v>12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195</v>
      </c>
      <c r="N18" s="50">
        <v>0</v>
      </c>
      <c r="O18" s="15">
        <f t="shared" si="0"/>
        <v>38</v>
      </c>
      <c r="P18" s="15">
        <f t="shared" si="1"/>
        <v>233</v>
      </c>
      <c r="R18" s="1" t="s">
        <v>14</v>
      </c>
      <c r="S18" s="17">
        <f t="shared" ref="S18:AF18" si="10">SUM(C42:C45)</f>
        <v>286</v>
      </c>
      <c r="T18" s="17">
        <f t="shared" si="10"/>
        <v>45</v>
      </c>
      <c r="U18" s="17">
        <f t="shared" si="10"/>
        <v>57</v>
      </c>
      <c r="V18" s="17">
        <f t="shared" si="10"/>
        <v>60</v>
      </c>
      <c r="W18" s="17">
        <f t="shared" si="10"/>
        <v>1</v>
      </c>
      <c r="X18" s="17">
        <f t="shared" si="10"/>
        <v>1</v>
      </c>
      <c r="Y18" s="17">
        <f t="shared" si="10"/>
        <v>22</v>
      </c>
      <c r="Z18" s="17">
        <f t="shared" si="10"/>
        <v>3</v>
      </c>
      <c r="AA18" s="17">
        <f t="shared" si="10"/>
        <v>1</v>
      </c>
      <c r="AB18" s="17">
        <f t="shared" si="10"/>
        <v>0</v>
      </c>
      <c r="AC18" s="17">
        <f t="shared" si="10"/>
        <v>488</v>
      </c>
      <c r="AD18" s="17">
        <f t="shared" si="10"/>
        <v>0</v>
      </c>
      <c r="AE18" s="31">
        <f t="shared" si="10"/>
        <v>476</v>
      </c>
      <c r="AF18" s="31">
        <f t="shared" si="10"/>
        <v>964</v>
      </c>
    </row>
    <row r="19" spans="2:32" ht="23.1" customHeight="1" x14ac:dyDescent="0.25">
      <c r="B19" s="23" t="s">
        <v>46</v>
      </c>
      <c r="C19" s="50">
        <v>30</v>
      </c>
      <c r="D19" s="50">
        <v>3</v>
      </c>
      <c r="E19" s="50">
        <v>2</v>
      </c>
      <c r="F19" s="50">
        <v>12</v>
      </c>
      <c r="G19" s="50">
        <v>1</v>
      </c>
      <c r="H19" s="50">
        <v>0</v>
      </c>
      <c r="I19" s="50">
        <v>7</v>
      </c>
      <c r="J19" s="50">
        <v>0</v>
      </c>
      <c r="K19" s="50">
        <v>0</v>
      </c>
      <c r="L19" s="50">
        <v>0</v>
      </c>
      <c r="M19" s="50">
        <v>270</v>
      </c>
      <c r="N19" s="50">
        <v>0</v>
      </c>
      <c r="O19" s="15">
        <f t="shared" si="0"/>
        <v>55</v>
      </c>
      <c r="P19" s="15">
        <f t="shared" si="1"/>
        <v>325</v>
      </c>
      <c r="R19" s="1" t="s">
        <v>15</v>
      </c>
      <c r="S19" s="17">
        <f t="shared" ref="S19:AF19" si="11">SUM(C46:C49)</f>
        <v>494</v>
      </c>
      <c r="T19" s="17">
        <f t="shared" si="11"/>
        <v>64</v>
      </c>
      <c r="U19" s="17">
        <f t="shared" si="11"/>
        <v>62</v>
      </c>
      <c r="V19" s="17">
        <f t="shared" si="11"/>
        <v>87</v>
      </c>
      <c r="W19" s="17">
        <f t="shared" si="11"/>
        <v>3</v>
      </c>
      <c r="X19" s="17">
        <f t="shared" si="11"/>
        <v>0</v>
      </c>
      <c r="Y19" s="17">
        <f t="shared" si="11"/>
        <v>17</v>
      </c>
      <c r="Z19" s="17">
        <f t="shared" si="11"/>
        <v>8</v>
      </c>
      <c r="AA19" s="17">
        <f t="shared" si="11"/>
        <v>0</v>
      </c>
      <c r="AB19" s="17">
        <f t="shared" si="11"/>
        <v>0</v>
      </c>
      <c r="AC19" s="17">
        <f t="shared" si="11"/>
        <v>540</v>
      </c>
      <c r="AD19" s="17">
        <f t="shared" si="11"/>
        <v>0</v>
      </c>
      <c r="AE19" s="31">
        <f t="shared" si="11"/>
        <v>735</v>
      </c>
      <c r="AF19" s="31">
        <f t="shared" si="11"/>
        <v>1275</v>
      </c>
    </row>
    <row r="20" spans="2:32" ht="23.1" customHeight="1" x14ac:dyDescent="0.25">
      <c r="B20" s="23" t="s">
        <v>47</v>
      </c>
      <c r="C20" s="50">
        <v>34</v>
      </c>
      <c r="D20" s="50">
        <v>3</v>
      </c>
      <c r="E20" s="50">
        <v>4</v>
      </c>
      <c r="F20" s="50">
        <v>18</v>
      </c>
      <c r="G20" s="50">
        <v>1</v>
      </c>
      <c r="H20" s="50">
        <v>0</v>
      </c>
      <c r="I20" s="50">
        <v>8</v>
      </c>
      <c r="J20" s="50">
        <v>0</v>
      </c>
      <c r="K20" s="50">
        <v>0</v>
      </c>
      <c r="L20" s="50">
        <v>0</v>
      </c>
      <c r="M20" s="50">
        <v>260</v>
      </c>
      <c r="N20" s="50">
        <v>0</v>
      </c>
      <c r="O20" s="15">
        <f t="shared" si="0"/>
        <v>68</v>
      </c>
      <c r="P20" s="15">
        <f t="shared" si="1"/>
        <v>328</v>
      </c>
      <c r="R20" s="1" t="s">
        <v>16</v>
      </c>
      <c r="S20" s="17">
        <f t="shared" ref="S20:AF20" si="12">SUM(C50:C53)</f>
        <v>638</v>
      </c>
      <c r="T20" s="17">
        <f t="shared" si="12"/>
        <v>67</v>
      </c>
      <c r="U20" s="17">
        <f t="shared" si="12"/>
        <v>50</v>
      </c>
      <c r="V20" s="17">
        <f t="shared" si="12"/>
        <v>78</v>
      </c>
      <c r="W20" s="17">
        <f t="shared" si="12"/>
        <v>1</v>
      </c>
      <c r="X20" s="17">
        <f t="shared" si="12"/>
        <v>1</v>
      </c>
      <c r="Y20" s="17">
        <f t="shared" si="12"/>
        <v>16</v>
      </c>
      <c r="Z20" s="17">
        <f t="shared" si="12"/>
        <v>4</v>
      </c>
      <c r="AA20" s="17">
        <f t="shared" si="12"/>
        <v>1</v>
      </c>
      <c r="AB20" s="17">
        <f t="shared" si="12"/>
        <v>0</v>
      </c>
      <c r="AC20" s="17">
        <f t="shared" si="12"/>
        <v>639</v>
      </c>
      <c r="AD20" s="17">
        <f t="shared" si="12"/>
        <v>0</v>
      </c>
      <c r="AE20" s="31">
        <f t="shared" si="12"/>
        <v>856</v>
      </c>
      <c r="AF20" s="31">
        <f t="shared" si="12"/>
        <v>1495</v>
      </c>
    </row>
    <row r="21" spans="2:32" ht="23.1" customHeight="1" x14ac:dyDescent="0.25">
      <c r="B21" s="23" t="s">
        <v>48</v>
      </c>
      <c r="C21" s="50">
        <v>36</v>
      </c>
      <c r="D21" s="50">
        <v>6</v>
      </c>
      <c r="E21" s="50">
        <v>10</v>
      </c>
      <c r="F21" s="50">
        <v>22</v>
      </c>
      <c r="G21" s="50">
        <v>0</v>
      </c>
      <c r="H21" s="50">
        <v>0</v>
      </c>
      <c r="I21" s="50">
        <v>11</v>
      </c>
      <c r="J21" s="50">
        <v>0</v>
      </c>
      <c r="K21" s="50">
        <v>0</v>
      </c>
      <c r="L21" s="50">
        <v>0</v>
      </c>
      <c r="M21" s="50">
        <v>155</v>
      </c>
      <c r="N21" s="50">
        <v>0</v>
      </c>
      <c r="O21" s="15">
        <f t="shared" si="0"/>
        <v>85</v>
      </c>
      <c r="P21" s="15">
        <f t="shared" si="1"/>
        <v>240</v>
      </c>
      <c r="R21" s="36" t="s">
        <v>20</v>
      </c>
      <c r="S21" s="34">
        <f t="shared" ref="S21:AF21" si="13">SUM(C54:C57)</f>
        <v>314</v>
      </c>
      <c r="T21" s="17">
        <f t="shared" si="13"/>
        <v>34</v>
      </c>
      <c r="U21" s="17">
        <f t="shared" si="13"/>
        <v>25</v>
      </c>
      <c r="V21" s="17">
        <f t="shared" si="13"/>
        <v>55</v>
      </c>
      <c r="W21" s="17">
        <f t="shared" si="13"/>
        <v>4</v>
      </c>
      <c r="X21" s="17">
        <f t="shared" si="13"/>
        <v>0</v>
      </c>
      <c r="Y21" s="17">
        <f t="shared" si="13"/>
        <v>5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685</v>
      </c>
      <c r="AD21" s="17">
        <f t="shared" si="13"/>
        <v>0</v>
      </c>
      <c r="AE21" s="31">
        <f t="shared" si="13"/>
        <v>437</v>
      </c>
      <c r="AF21" s="31">
        <f t="shared" si="13"/>
        <v>1122</v>
      </c>
    </row>
    <row r="22" spans="2:32" ht="23.1" customHeight="1" x14ac:dyDescent="0.25">
      <c r="B22" s="23" t="s">
        <v>49</v>
      </c>
      <c r="C22" s="50">
        <v>30</v>
      </c>
      <c r="D22" s="50">
        <v>7</v>
      </c>
      <c r="E22" s="50">
        <v>2</v>
      </c>
      <c r="F22" s="50">
        <v>14</v>
      </c>
      <c r="G22" s="50">
        <v>0</v>
      </c>
      <c r="H22" s="50">
        <v>0</v>
      </c>
      <c r="I22" s="50">
        <v>7</v>
      </c>
      <c r="J22" s="50">
        <v>0</v>
      </c>
      <c r="K22" s="50">
        <v>0</v>
      </c>
      <c r="L22" s="50">
        <v>0</v>
      </c>
      <c r="M22" s="50">
        <v>145</v>
      </c>
      <c r="N22" s="50">
        <v>0</v>
      </c>
      <c r="O22" s="15">
        <f t="shared" si="0"/>
        <v>60</v>
      </c>
      <c r="P22" s="15">
        <f t="shared" si="1"/>
        <v>205</v>
      </c>
      <c r="R22" s="38" t="s">
        <v>90</v>
      </c>
      <c r="S22" s="39">
        <f>MAX(S10:S12)</f>
        <v>116</v>
      </c>
      <c r="T22" s="39">
        <f t="shared" ref="T22:AF22" si="14">MAX(T10:T12)</f>
        <v>16</v>
      </c>
      <c r="U22" s="39">
        <f t="shared" si="14"/>
        <v>18</v>
      </c>
      <c r="V22" s="39">
        <f t="shared" si="14"/>
        <v>64</v>
      </c>
      <c r="W22" s="39">
        <f t="shared" si="14"/>
        <v>2</v>
      </c>
      <c r="X22" s="39">
        <f t="shared" si="14"/>
        <v>0</v>
      </c>
      <c r="Y22" s="39">
        <f t="shared" si="14"/>
        <v>31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895</v>
      </c>
      <c r="AD22" s="39">
        <f t="shared" si="14"/>
        <v>0</v>
      </c>
      <c r="AE22" s="40">
        <f t="shared" si="14"/>
        <v>246</v>
      </c>
      <c r="AF22" s="40">
        <f t="shared" si="14"/>
        <v>1126</v>
      </c>
    </row>
    <row r="23" spans="2:32" ht="23.1" customHeight="1" x14ac:dyDescent="0.25">
      <c r="B23" s="23" t="s">
        <v>50</v>
      </c>
      <c r="C23" s="50">
        <v>38</v>
      </c>
      <c r="D23" s="50">
        <v>5</v>
      </c>
      <c r="E23" s="50">
        <v>8</v>
      </c>
      <c r="F23" s="50">
        <v>15</v>
      </c>
      <c r="G23" s="50">
        <v>1</v>
      </c>
      <c r="H23" s="50">
        <v>0</v>
      </c>
      <c r="I23" s="50">
        <v>7</v>
      </c>
      <c r="J23" s="50">
        <v>2</v>
      </c>
      <c r="K23" s="50">
        <v>0</v>
      </c>
      <c r="L23" s="50">
        <v>0</v>
      </c>
      <c r="M23" s="50">
        <v>132</v>
      </c>
      <c r="N23" s="50">
        <v>0</v>
      </c>
      <c r="O23" s="15">
        <f t="shared" si="0"/>
        <v>76</v>
      </c>
      <c r="P23" s="15">
        <f t="shared" si="1"/>
        <v>208</v>
      </c>
      <c r="R23" s="38" t="s">
        <v>91</v>
      </c>
      <c r="S23" s="39">
        <f>MAX(S13:S18)</f>
        <v>286</v>
      </c>
      <c r="T23" s="39">
        <f t="shared" ref="T23:AF23" si="15">MAX(T13:T18)</f>
        <v>45</v>
      </c>
      <c r="U23" s="39">
        <f t="shared" si="15"/>
        <v>57</v>
      </c>
      <c r="V23" s="39">
        <f t="shared" si="15"/>
        <v>69</v>
      </c>
      <c r="W23" s="39">
        <f t="shared" si="15"/>
        <v>4</v>
      </c>
      <c r="X23" s="39">
        <f t="shared" si="15"/>
        <v>1</v>
      </c>
      <c r="Y23" s="39">
        <f t="shared" si="15"/>
        <v>26</v>
      </c>
      <c r="Z23" s="39">
        <f t="shared" si="15"/>
        <v>8</v>
      </c>
      <c r="AA23" s="39">
        <f t="shared" si="15"/>
        <v>3</v>
      </c>
      <c r="AB23" s="39">
        <f t="shared" si="15"/>
        <v>0</v>
      </c>
      <c r="AC23" s="39">
        <f t="shared" si="15"/>
        <v>614</v>
      </c>
      <c r="AD23" s="39">
        <f t="shared" si="15"/>
        <v>0</v>
      </c>
      <c r="AE23" s="40">
        <f t="shared" si="15"/>
        <v>476</v>
      </c>
      <c r="AF23" s="40">
        <f t="shared" si="15"/>
        <v>964</v>
      </c>
    </row>
    <row r="24" spans="2:32" ht="23.1" customHeight="1" x14ac:dyDescent="0.25">
      <c r="B24" s="23" t="s">
        <v>51</v>
      </c>
      <c r="C24" s="50">
        <v>41</v>
      </c>
      <c r="D24" s="50">
        <v>12</v>
      </c>
      <c r="E24" s="50">
        <v>14</v>
      </c>
      <c r="F24" s="50">
        <v>26</v>
      </c>
      <c r="G24" s="50">
        <v>0</v>
      </c>
      <c r="H24" s="50">
        <v>0</v>
      </c>
      <c r="I24" s="50">
        <v>4</v>
      </c>
      <c r="J24" s="50">
        <v>1</v>
      </c>
      <c r="K24" s="50">
        <v>0</v>
      </c>
      <c r="L24" s="50">
        <v>0</v>
      </c>
      <c r="M24" s="50">
        <v>215</v>
      </c>
      <c r="N24" s="50">
        <v>0</v>
      </c>
      <c r="O24" s="15">
        <f t="shared" si="0"/>
        <v>98</v>
      </c>
      <c r="P24" s="15">
        <f t="shared" si="1"/>
        <v>313</v>
      </c>
      <c r="R24" s="38" t="s">
        <v>92</v>
      </c>
      <c r="S24" s="39">
        <f>MAX(S19:S21)</f>
        <v>638</v>
      </c>
      <c r="T24" s="39">
        <f t="shared" ref="T24:AF24" si="16">MAX(T19:T21)</f>
        <v>67</v>
      </c>
      <c r="U24" s="39">
        <f t="shared" si="16"/>
        <v>62</v>
      </c>
      <c r="V24" s="39">
        <f t="shared" si="16"/>
        <v>87</v>
      </c>
      <c r="W24" s="39">
        <f t="shared" si="16"/>
        <v>4</v>
      </c>
      <c r="X24" s="39">
        <f t="shared" si="16"/>
        <v>1</v>
      </c>
      <c r="Y24" s="39">
        <f t="shared" si="16"/>
        <v>17</v>
      </c>
      <c r="Z24" s="39">
        <f t="shared" si="16"/>
        <v>8</v>
      </c>
      <c r="AA24" s="39">
        <f t="shared" si="16"/>
        <v>1</v>
      </c>
      <c r="AB24" s="39">
        <f t="shared" si="16"/>
        <v>0</v>
      </c>
      <c r="AC24" s="39">
        <f t="shared" si="16"/>
        <v>685</v>
      </c>
      <c r="AD24" s="39">
        <f t="shared" si="16"/>
        <v>0</v>
      </c>
      <c r="AE24" s="40">
        <f t="shared" si="16"/>
        <v>856</v>
      </c>
      <c r="AF24" s="40">
        <f t="shared" si="16"/>
        <v>1495</v>
      </c>
    </row>
    <row r="25" spans="2:32" ht="23.1" customHeight="1" x14ac:dyDescent="0.25">
      <c r="B25" s="23" t="s">
        <v>52</v>
      </c>
      <c r="C25" s="50">
        <v>42</v>
      </c>
      <c r="D25" s="50">
        <v>3</v>
      </c>
      <c r="E25" s="50">
        <v>6</v>
      </c>
      <c r="F25" s="50">
        <v>14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122</v>
      </c>
      <c r="N25" s="50">
        <v>0</v>
      </c>
      <c r="O25" s="15">
        <f t="shared" si="0"/>
        <v>66</v>
      </c>
      <c r="P25" s="15">
        <f t="shared" si="1"/>
        <v>188</v>
      </c>
      <c r="R25" s="37" t="s">
        <v>85</v>
      </c>
      <c r="S25" s="35">
        <f t="shared" ref="S25:AF25" si="17">SUM(S10:S12)</f>
        <v>209</v>
      </c>
      <c r="T25" s="16">
        <f t="shared" si="17"/>
        <v>31</v>
      </c>
      <c r="U25" s="16">
        <f t="shared" si="17"/>
        <v>25</v>
      </c>
      <c r="V25" s="16">
        <f t="shared" si="17"/>
        <v>95</v>
      </c>
      <c r="W25" s="16">
        <f t="shared" si="17"/>
        <v>2</v>
      </c>
      <c r="X25" s="16">
        <f t="shared" si="17"/>
        <v>0</v>
      </c>
      <c r="Y25" s="16">
        <f t="shared" si="17"/>
        <v>43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1775</v>
      </c>
      <c r="AD25" s="16">
        <f t="shared" si="17"/>
        <v>0</v>
      </c>
      <c r="AE25" s="32">
        <f t="shared" si="17"/>
        <v>405</v>
      </c>
      <c r="AF25" s="32">
        <f t="shared" si="17"/>
        <v>2180</v>
      </c>
    </row>
    <row r="26" spans="2:32" ht="23.1" customHeight="1" x14ac:dyDescent="0.25">
      <c r="B26" s="23" t="s">
        <v>53</v>
      </c>
      <c r="C26" s="50">
        <v>40</v>
      </c>
      <c r="D26" s="50">
        <v>4</v>
      </c>
      <c r="E26" s="50">
        <v>11</v>
      </c>
      <c r="F26" s="50">
        <v>14</v>
      </c>
      <c r="G26" s="50">
        <v>0</v>
      </c>
      <c r="H26" s="50">
        <v>0</v>
      </c>
      <c r="I26" s="50">
        <v>5</v>
      </c>
      <c r="J26" s="50">
        <v>1</v>
      </c>
      <c r="K26" s="50">
        <v>0</v>
      </c>
      <c r="L26" s="50">
        <v>0</v>
      </c>
      <c r="M26" s="50">
        <v>141</v>
      </c>
      <c r="N26" s="50">
        <v>0</v>
      </c>
      <c r="O26" s="15">
        <f t="shared" si="0"/>
        <v>75</v>
      </c>
      <c r="P26" s="15">
        <f t="shared" si="1"/>
        <v>216</v>
      </c>
      <c r="R26" s="28" t="s">
        <v>86</v>
      </c>
      <c r="S26" s="16">
        <f t="shared" ref="S26:AF26" si="18">SUM(S13:S18)</f>
        <v>1262</v>
      </c>
      <c r="T26" s="16">
        <f t="shared" si="18"/>
        <v>173</v>
      </c>
      <c r="U26" s="16">
        <f t="shared" si="18"/>
        <v>236</v>
      </c>
      <c r="V26" s="16">
        <f t="shared" si="18"/>
        <v>324</v>
      </c>
      <c r="W26" s="16">
        <f t="shared" si="18"/>
        <v>10</v>
      </c>
      <c r="X26" s="16">
        <f t="shared" si="18"/>
        <v>1</v>
      </c>
      <c r="Y26" s="16">
        <f t="shared" si="18"/>
        <v>126</v>
      </c>
      <c r="Z26" s="16">
        <f t="shared" si="18"/>
        <v>20</v>
      </c>
      <c r="AA26" s="16">
        <f t="shared" si="18"/>
        <v>4</v>
      </c>
      <c r="AB26" s="16">
        <f t="shared" si="18"/>
        <v>0</v>
      </c>
      <c r="AC26" s="16">
        <f t="shared" si="18"/>
        <v>2736</v>
      </c>
      <c r="AD26" s="16">
        <f t="shared" si="18"/>
        <v>0</v>
      </c>
      <c r="AE26" s="32">
        <f t="shared" si="18"/>
        <v>2156</v>
      </c>
      <c r="AF26" s="32">
        <f t="shared" si="18"/>
        <v>4892</v>
      </c>
    </row>
    <row r="27" spans="2:32" ht="23.1" customHeight="1" x14ac:dyDescent="0.25">
      <c r="B27" s="23" t="s">
        <v>54</v>
      </c>
      <c r="C27" s="50">
        <v>53</v>
      </c>
      <c r="D27" s="50">
        <v>9</v>
      </c>
      <c r="E27" s="50">
        <v>10</v>
      </c>
      <c r="F27" s="50">
        <v>18</v>
      </c>
      <c r="G27" s="50">
        <v>0</v>
      </c>
      <c r="H27" s="50">
        <v>0</v>
      </c>
      <c r="I27" s="50">
        <v>12</v>
      </c>
      <c r="J27" s="50">
        <v>1</v>
      </c>
      <c r="K27" s="50">
        <v>0</v>
      </c>
      <c r="L27" s="50">
        <v>0</v>
      </c>
      <c r="M27" s="50">
        <v>120</v>
      </c>
      <c r="N27" s="50">
        <v>0</v>
      </c>
      <c r="O27" s="15">
        <f t="shared" si="0"/>
        <v>103</v>
      </c>
      <c r="P27" s="15">
        <f t="shared" si="1"/>
        <v>223</v>
      </c>
      <c r="R27" s="29" t="s">
        <v>87</v>
      </c>
      <c r="S27" s="16">
        <f t="shared" ref="S27:AF27" si="19">SUM(S19:S21)</f>
        <v>1446</v>
      </c>
      <c r="T27" s="16">
        <f t="shared" si="19"/>
        <v>165</v>
      </c>
      <c r="U27" s="16">
        <f t="shared" si="19"/>
        <v>137</v>
      </c>
      <c r="V27" s="16">
        <f t="shared" si="19"/>
        <v>220</v>
      </c>
      <c r="W27" s="16">
        <f t="shared" si="19"/>
        <v>8</v>
      </c>
      <c r="X27" s="16">
        <f t="shared" si="19"/>
        <v>1</v>
      </c>
      <c r="Y27" s="16">
        <f t="shared" si="19"/>
        <v>38</v>
      </c>
      <c r="Z27" s="16">
        <f t="shared" si="19"/>
        <v>12</v>
      </c>
      <c r="AA27" s="16">
        <f t="shared" si="19"/>
        <v>1</v>
      </c>
      <c r="AB27" s="16">
        <f t="shared" si="19"/>
        <v>0</v>
      </c>
      <c r="AC27" s="16">
        <f t="shared" si="19"/>
        <v>1864</v>
      </c>
      <c r="AD27" s="16">
        <f t="shared" si="19"/>
        <v>0</v>
      </c>
      <c r="AE27" s="32">
        <f t="shared" si="19"/>
        <v>2028</v>
      </c>
      <c r="AF27" s="32">
        <f t="shared" si="19"/>
        <v>3892</v>
      </c>
    </row>
    <row r="28" spans="2:32" ht="23.1" customHeight="1" x14ac:dyDescent="0.25">
      <c r="B28" s="23" t="s">
        <v>55</v>
      </c>
      <c r="C28" s="50">
        <v>47</v>
      </c>
      <c r="D28" s="50">
        <v>2</v>
      </c>
      <c r="E28" s="50">
        <v>12</v>
      </c>
      <c r="F28" s="50">
        <v>12</v>
      </c>
      <c r="G28" s="50">
        <v>1</v>
      </c>
      <c r="H28" s="50">
        <v>0</v>
      </c>
      <c r="I28" s="50">
        <v>4</v>
      </c>
      <c r="J28" s="50">
        <v>0</v>
      </c>
      <c r="K28" s="50">
        <v>0</v>
      </c>
      <c r="L28" s="50">
        <v>0</v>
      </c>
      <c r="M28" s="50">
        <v>100</v>
      </c>
      <c r="N28" s="50">
        <v>0</v>
      </c>
      <c r="O28" s="15">
        <f t="shared" si="0"/>
        <v>78</v>
      </c>
      <c r="P28" s="15">
        <f t="shared" si="1"/>
        <v>178</v>
      </c>
      <c r="R28" s="5" t="s">
        <v>17</v>
      </c>
      <c r="S28" s="16">
        <f t="shared" ref="S28:AF28" si="20">SUM(S10:S21)</f>
        <v>2917</v>
      </c>
      <c r="T28" s="16">
        <f t="shared" si="20"/>
        <v>369</v>
      </c>
      <c r="U28" s="16">
        <f t="shared" si="20"/>
        <v>398</v>
      </c>
      <c r="V28" s="16">
        <f t="shared" si="20"/>
        <v>639</v>
      </c>
      <c r="W28" s="16">
        <f t="shared" si="20"/>
        <v>20</v>
      </c>
      <c r="X28" s="16">
        <f t="shared" si="20"/>
        <v>2</v>
      </c>
      <c r="Y28" s="16">
        <f t="shared" si="20"/>
        <v>207</v>
      </c>
      <c r="Z28" s="16">
        <f t="shared" si="20"/>
        <v>32</v>
      </c>
      <c r="AA28" s="16">
        <f t="shared" si="20"/>
        <v>5</v>
      </c>
      <c r="AB28" s="16">
        <f t="shared" si="20"/>
        <v>0</v>
      </c>
      <c r="AC28" s="16">
        <f t="shared" si="20"/>
        <v>6375</v>
      </c>
      <c r="AD28" s="16">
        <f t="shared" si="20"/>
        <v>0</v>
      </c>
      <c r="AE28" s="32">
        <f t="shared" si="20"/>
        <v>4589</v>
      </c>
      <c r="AF28" s="32">
        <f t="shared" si="20"/>
        <v>10964</v>
      </c>
    </row>
    <row r="29" spans="2:32" ht="23.1" customHeight="1" x14ac:dyDescent="0.25">
      <c r="B29" s="23" t="s">
        <v>56</v>
      </c>
      <c r="C29" s="50">
        <v>38</v>
      </c>
      <c r="D29" s="50">
        <v>7</v>
      </c>
      <c r="E29" s="50">
        <v>12</v>
      </c>
      <c r="F29" s="50">
        <v>6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131</v>
      </c>
      <c r="N29" s="50">
        <v>0</v>
      </c>
      <c r="O29" s="15">
        <f t="shared" si="0"/>
        <v>67</v>
      </c>
      <c r="P29" s="15">
        <f t="shared" si="1"/>
        <v>198</v>
      </c>
      <c r="R29"/>
      <c r="S29" s="20"/>
      <c r="T29" s="19"/>
    </row>
    <row r="30" spans="2:32" ht="23.1" customHeight="1" x14ac:dyDescent="0.25">
      <c r="B30" s="23" t="s">
        <v>57</v>
      </c>
      <c r="C30" s="50">
        <v>29</v>
      </c>
      <c r="D30" s="50">
        <v>6</v>
      </c>
      <c r="E30" s="50">
        <v>3</v>
      </c>
      <c r="F30" s="50">
        <v>10</v>
      </c>
      <c r="G30" s="50">
        <v>0</v>
      </c>
      <c r="H30" s="50">
        <v>0</v>
      </c>
      <c r="I30" s="50">
        <v>8</v>
      </c>
      <c r="J30" s="50">
        <v>3</v>
      </c>
      <c r="K30" s="50">
        <v>0</v>
      </c>
      <c r="L30" s="50">
        <v>0</v>
      </c>
      <c r="M30" s="50">
        <v>65</v>
      </c>
      <c r="N30" s="50">
        <v>0</v>
      </c>
      <c r="O30" s="15">
        <f t="shared" si="0"/>
        <v>59</v>
      </c>
      <c r="P30" s="15">
        <f t="shared" si="1"/>
        <v>124</v>
      </c>
    </row>
    <row r="31" spans="2:32" ht="23.1" customHeight="1" x14ac:dyDescent="0.25">
      <c r="B31" s="24" t="s">
        <v>58</v>
      </c>
      <c r="C31" s="50">
        <v>47</v>
      </c>
      <c r="D31" s="50">
        <v>5</v>
      </c>
      <c r="E31" s="50">
        <v>12</v>
      </c>
      <c r="F31" s="50">
        <v>17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70</v>
      </c>
      <c r="N31" s="50">
        <v>0</v>
      </c>
      <c r="O31" s="15">
        <f t="shared" si="0"/>
        <v>82</v>
      </c>
      <c r="P31" s="15">
        <f t="shared" si="1"/>
        <v>152</v>
      </c>
    </row>
    <row r="32" spans="2:32" ht="23.1" customHeight="1" x14ac:dyDescent="0.25">
      <c r="B32" s="24" t="s">
        <v>59</v>
      </c>
      <c r="C32" s="50">
        <v>48</v>
      </c>
      <c r="D32" s="50">
        <v>11</v>
      </c>
      <c r="E32" s="50">
        <v>9</v>
      </c>
      <c r="F32" s="50">
        <v>12</v>
      </c>
      <c r="G32" s="50">
        <v>1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115</v>
      </c>
      <c r="N32" s="50">
        <v>0</v>
      </c>
      <c r="O32" s="15">
        <f t="shared" si="0"/>
        <v>85</v>
      </c>
      <c r="P32" s="15">
        <f t="shared" si="1"/>
        <v>200</v>
      </c>
    </row>
    <row r="33" spans="2:20" ht="23.1" customHeight="1" x14ac:dyDescent="0.25">
      <c r="B33" s="23" t="s">
        <v>60</v>
      </c>
      <c r="C33" s="50">
        <v>56</v>
      </c>
      <c r="D33" s="50">
        <v>13</v>
      </c>
      <c r="E33" s="50">
        <v>7</v>
      </c>
      <c r="F33" s="50">
        <v>16</v>
      </c>
      <c r="G33" s="50">
        <v>0</v>
      </c>
      <c r="H33" s="50">
        <v>0</v>
      </c>
      <c r="I33" s="50">
        <v>3</v>
      </c>
      <c r="J33" s="50">
        <v>3</v>
      </c>
      <c r="K33" s="50">
        <v>0</v>
      </c>
      <c r="L33" s="50">
        <v>0</v>
      </c>
      <c r="M33" s="50">
        <v>94</v>
      </c>
      <c r="N33" s="50">
        <v>0</v>
      </c>
      <c r="O33" s="15">
        <f t="shared" si="0"/>
        <v>98</v>
      </c>
      <c r="P33" s="15">
        <f t="shared" si="1"/>
        <v>192</v>
      </c>
    </row>
    <row r="34" spans="2:20" ht="23.1" customHeight="1" x14ac:dyDescent="0.25">
      <c r="B34" s="24" t="s">
        <v>61</v>
      </c>
      <c r="C34" s="50">
        <v>57</v>
      </c>
      <c r="D34" s="50">
        <v>7</v>
      </c>
      <c r="E34" s="50">
        <v>3</v>
      </c>
      <c r="F34" s="50">
        <v>9</v>
      </c>
      <c r="G34" s="50">
        <v>2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97</v>
      </c>
      <c r="N34" s="50">
        <v>0</v>
      </c>
      <c r="O34" s="15">
        <f t="shared" si="0"/>
        <v>81</v>
      </c>
      <c r="P34" s="15">
        <f t="shared" si="1"/>
        <v>178</v>
      </c>
    </row>
    <row r="35" spans="2:20" ht="23.1" customHeight="1" x14ac:dyDescent="0.25">
      <c r="B35" s="24" t="s">
        <v>62</v>
      </c>
      <c r="C35" s="50">
        <v>64</v>
      </c>
      <c r="D35" s="50">
        <v>6</v>
      </c>
      <c r="E35" s="50">
        <v>11</v>
      </c>
      <c r="F35" s="50">
        <v>20</v>
      </c>
      <c r="G35" s="50">
        <v>0</v>
      </c>
      <c r="H35" s="50">
        <v>0</v>
      </c>
      <c r="I35" s="50">
        <v>6</v>
      </c>
      <c r="J35" s="50">
        <v>1</v>
      </c>
      <c r="K35" s="50">
        <v>0</v>
      </c>
      <c r="L35" s="50">
        <v>0</v>
      </c>
      <c r="M35" s="50">
        <v>122</v>
      </c>
      <c r="N35" s="50">
        <v>0</v>
      </c>
      <c r="O35" s="15">
        <f t="shared" si="0"/>
        <v>108</v>
      </c>
      <c r="P35" s="15">
        <f t="shared" si="1"/>
        <v>230</v>
      </c>
    </row>
    <row r="36" spans="2:20" ht="23.1" customHeight="1" x14ac:dyDescent="0.25">
      <c r="B36" s="24" t="s">
        <v>63</v>
      </c>
      <c r="C36" s="50">
        <v>75</v>
      </c>
      <c r="D36" s="50">
        <v>6</v>
      </c>
      <c r="E36" s="50">
        <v>13</v>
      </c>
      <c r="F36" s="50">
        <v>10</v>
      </c>
      <c r="G36" s="50">
        <v>0</v>
      </c>
      <c r="H36" s="50">
        <v>0</v>
      </c>
      <c r="I36" s="50">
        <v>14</v>
      </c>
      <c r="J36" s="50">
        <v>0</v>
      </c>
      <c r="K36" s="50">
        <v>0</v>
      </c>
      <c r="L36" s="50">
        <v>0</v>
      </c>
      <c r="M36" s="50">
        <v>90</v>
      </c>
      <c r="N36" s="50">
        <v>0</v>
      </c>
      <c r="O36" s="15">
        <f t="shared" si="0"/>
        <v>118</v>
      </c>
      <c r="P36" s="15">
        <f t="shared" si="1"/>
        <v>208</v>
      </c>
    </row>
    <row r="37" spans="2:20" ht="23.1" customHeight="1" x14ac:dyDescent="0.25">
      <c r="B37" s="23" t="s">
        <v>64</v>
      </c>
      <c r="C37" s="50">
        <v>41</v>
      </c>
      <c r="D37" s="50">
        <v>5</v>
      </c>
      <c r="E37" s="50">
        <v>6</v>
      </c>
      <c r="F37" s="50">
        <v>14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75</v>
      </c>
      <c r="N37" s="50">
        <v>0</v>
      </c>
      <c r="O37" s="15">
        <f t="shared" si="0"/>
        <v>69</v>
      </c>
      <c r="P37" s="15">
        <f t="shared" si="1"/>
        <v>144</v>
      </c>
    </row>
    <row r="38" spans="2:20" ht="23.1" customHeight="1" x14ac:dyDescent="0.25">
      <c r="B38" s="24" t="s">
        <v>65</v>
      </c>
      <c r="C38" s="50">
        <v>60</v>
      </c>
      <c r="D38" s="50">
        <v>8</v>
      </c>
      <c r="E38" s="50">
        <v>13</v>
      </c>
      <c r="F38" s="50">
        <v>7</v>
      </c>
      <c r="G38" s="50">
        <v>1</v>
      </c>
      <c r="H38" s="50">
        <v>0</v>
      </c>
      <c r="I38" s="50">
        <v>7</v>
      </c>
      <c r="J38" s="50">
        <v>1</v>
      </c>
      <c r="K38" s="50">
        <v>1</v>
      </c>
      <c r="L38" s="50">
        <v>0</v>
      </c>
      <c r="M38" s="50">
        <v>120</v>
      </c>
      <c r="N38" s="50">
        <v>0</v>
      </c>
      <c r="O38" s="15">
        <f t="shared" si="0"/>
        <v>98</v>
      </c>
      <c r="P38" s="15">
        <f t="shared" si="1"/>
        <v>218</v>
      </c>
    </row>
    <row r="39" spans="2:20" ht="23.1" customHeight="1" x14ac:dyDescent="0.25">
      <c r="B39" s="24" t="s">
        <v>66</v>
      </c>
      <c r="C39" s="50">
        <v>41</v>
      </c>
      <c r="D39" s="50">
        <v>4</v>
      </c>
      <c r="E39" s="50">
        <v>6</v>
      </c>
      <c r="F39" s="50">
        <v>12</v>
      </c>
      <c r="G39" s="50">
        <v>2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110</v>
      </c>
      <c r="N39" s="50">
        <v>0</v>
      </c>
      <c r="O39" s="15">
        <f t="shared" si="0"/>
        <v>67</v>
      </c>
      <c r="P39" s="15">
        <f t="shared" si="1"/>
        <v>177</v>
      </c>
    </row>
    <row r="40" spans="2:20" ht="23.1" customHeight="1" x14ac:dyDescent="0.25">
      <c r="B40" s="24" t="s">
        <v>67</v>
      </c>
      <c r="C40" s="50">
        <v>76</v>
      </c>
      <c r="D40" s="50">
        <v>5</v>
      </c>
      <c r="E40" s="50">
        <v>14</v>
      </c>
      <c r="F40" s="50">
        <v>7</v>
      </c>
      <c r="G40" s="50">
        <v>1</v>
      </c>
      <c r="H40" s="50">
        <v>0</v>
      </c>
      <c r="I40" s="50">
        <v>10</v>
      </c>
      <c r="J40" s="50">
        <v>1</v>
      </c>
      <c r="K40" s="50">
        <v>1</v>
      </c>
      <c r="L40" s="50">
        <v>0</v>
      </c>
      <c r="M40" s="50">
        <v>115</v>
      </c>
      <c r="N40" s="50">
        <v>0</v>
      </c>
      <c r="O40" s="15">
        <f t="shared" si="0"/>
        <v>115</v>
      </c>
      <c r="P40" s="15">
        <f t="shared" si="1"/>
        <v>230</v>
      </c>
    </row>
    <row r="41" spans="2:20" ht="23.1" customHeight="1" x14ac:dyDescent="0.25">
      <c r="B41" s="23" t="s">
        <v>68</v>
      </c>
      <c r="C41" s="50">
        <v>53</v>
      </c>
      <c r="D41" s="50">
        <v>3</v>
      </c>
      <c r="E41" s="50">
        <v>7</v>
      </c>
      <c r="F41" s="50">
        <v>11</v>
      </c>
      <c r="G41" s="50">
        <v>0</v>
      </c>
      <c r="H41" s="50">
        <v>0</v>
      </c>
      <c r="I41" s="50">
        <v>2</v>
      </c>
      <c r="J41" s="50">
        <v>0</v>
      </c>
      <c r="K41" s="50">
        <v>1</v>
      </c>
      <c r="L41" s="50">
        <v>0</v>
      </c>
      <c r="M41" s="50">
        <v>69</v>
      </c>
      <c r="N41" s="50">
        <v>0</v>
      </c>
      <c r="O41" s="15">
        <f t="shared" si="0"/>
        <v>77</v>
      </c>
      <c r="P41" s="15">
        <f t="shared" si="1"/>
        <v>146</v>
      </c>
    </row>
    <row r="42" spans="2:20" ht="23.1" customHeight="1" x14ac:dyDescent="0.25">
      <c r="B42" s="24" t="s">
        <v>69</v>
      </c>
      <c r="C42" s="50">
        <v>56</v>
      </c>
      <c r="D42" s="50">
        <v>7</v>
      </c>
      <c r="E42" s="50">
        <v>11</v>
      </c>
      <c r="F42" s="50">
        <v>9</v>
      </c>
      <c r="G42" s="50">
        <v>0</v>
      </c>
      <c r="H42" s="50">
        <v>1</v>
      </c>
      <c r="I42" s="50">
        <v>5</v>
      </c>
      <c r="J42" s="50">
        <v>1</v>
      </c>
      <c r="K42" s="50">
        <v>0</v>
      </c>
      <c r="L42" s="50">
        <v>0</v>
      </c>
      <c r="M42" s="50">
        <v>91</v>
      </c>
      <c r="N42" s="50">
        <v>0</v>
      </c>
      <c r="O42" s="15">
        <f t="shared" si="0"/>
        <v>90</v>
      </c>
      <c r="P42" s="15">
        <f t="shared" si="1"/>
        <v>181</v>
      </c>
    </row>
    <row r="43" spans="2:20" ht="23.1" customHeight="1" x14ac:dyDescent="0.25">
      <c r="B43" s="23" t="s">
        <v>70</v>
      </c>
      <c r="C43" s="50">
        <v>75</v>
      </c>
      <c r="D43" s="50">
        <v>12</v>
      </c>
      <c r="E43" s="50">
        <v>18</v>
      </c>
      <c r="F43" s="50">
        <v>18</v>
      </c>
      <c r="G43" s="50">
        <v>1</v>
      </c>
      <c r="H43" s="50">
        <v>0</v>
      </c>
      <c r="I43" s="50">
        <v>5</v>
      </c>
      <c r="J43" s="50">
        <v>1</v>
      </c>
      <c r="K43" s="50">
        <v>0</v>
      </c>
      <c r="L43" s="50">
        <v>0</v>
      </c>
      <c r="M43" s="50">
        <v>127</v>
      </c>
      <c r="N43" s="50">
        <v>0</v>
      </c>
      <c r="O43" s="15">
        <f t="shared" si="0"/>
        <v>130</v>
      </c>
      <c r="P43" s="15">
        <f t="shared" si="1"/>
        <v>257</v>
      </c>
    </row>
    <row r="44" spans="2:20" ht="23.1" customHeight="1" x14ac:dyDescent="0.25">
      <c r="B44" s="25" t="s">
        <v>71</v>
      </c>
      <c r="C44" s="50">
        <v>64</v>
      </c>
      <c r="D44" s="50">
        <v>17</v>
      </c>
      <c r="E44" s="50">
        <v>13</v>
      </c>
      <c r="F44" s="50">
        <v>22</v>
      </c>
      <c r="G44" s="50">
        <v>0</v>
      </c>
      <c r="H44" s="50">
        <v>0</v>
      </c>
      <c r="I44" s="50">
        <v>7</v>
      </c>
      <c r="J44" s="50">
        <v>1</v>
      </c>
      <c r="K44" s="50">
        <v>0</v>
      </c>
      <c r="L44" s="50">
        <v>0</v>
      </c>
      <c r="M44" s="50">
        <v>140</v>
      </c>
      <c r="N44" s="50">
        <v>0</v>
      </c>
      <c r="O44" s="15">
        <f t="shared" si="0"/>
        <v>124</v>
      </c>
      <c r="P44" s="15">
        <f t="shared" si="1"/>
        <v>264</v>
      </c>
    </row>
    <row r="45" spans="2:20" ht="23.1" customHeight="1" x14ac:dyDescent="0.25">
      <c r="B45" s="23" t="s">
        <v>72</v>
      </c>
      <c r="C45" s="50">
        <v>91</v>
      </c>
      <c r="D45" s="50">
        <v>9</v>
      </c>
      <c r="E45" s="50">
        <v>15</v>
      </c>
      <c r="F45" s="50">
        <v>11</v>
      </c>
      <c r="G45" s="50">
        <v>0</v>
      </c>
      <c r="H45" s="50">
        <v>0</v>
      </c>
      <c r="I45" s="50">
        <v>5</v>
      </c>
      <c r="J45" s="50">
        <v>0</v>
      </c>
      <c r="K45" s="50">
        <v>1</v>
      </c>
      <c r="L45" s="50">
        <v>0</v>
      </c>
      <c r="M45" s="50">
        <v>130</v>
      </c>
      <c r="N45" s="50">
        <v>0</v>
      </c>
      <c r="O45" s="15">
        <f t="shared" si="0"/>
        <v>132</v>
      </c>
      <c r="P45" s="15">
        <f t="shared" si="1"/>
        <v>262</v>
      </c>
    </row>
    <row r="46" spans="2:20" ht="23.1" customHeight="1" x14ac:dyDescent="0.25">
      <c r="B46" s="24" t="s">
        <v>73</v>
      </c>
      <c r="C46" s="50">
        <v>99</v>
      </c>
      <c r="D46" s="50">
        <v>14</v>
      </c>
      <c r="E46" s="50">
        <v>15</v>
      </c>
      <c r="F46" s="50">
        <v>28</v>
      </c>
      <c r="G46" s="50">
        <v>1</v>
      </c>
      <c r="H46" s="50">
        <v>0</v>
      </c>
      <c r="I46" s="50">
        <v>4</v>
      </c>
      <c r="J46" s="50">
        <v>2</v>
      </c>
      <c r="K46" s="50">
        <v>0</v>
      </c>
      <c r="L46" s="50">
        <v>0</v>
      </c>
      <c r="M46" s="50">
        <v>149</v>
      </c>
      <c r="N46" s="50">
        <v>0</v>
      </c>
      <c r="O46" s="15">
        <f t="shared" si="0"/>
        <v>163</v>
      </c>
      <c r="P46" s="15">
        <f t="shared" si="1"/>
        <v>312</v>
      </c>
      <c r="R46" s="8"/>
      <c r="T46"/>
    </row>
    <row r="47" spans="2:20" ht="23.1" customHeight="1" x14ac:dyDescent="0.25">
      <c r="B47" s="24" t="s">
        <v>74</v>
      </c>
      <c r="C47" s="50">
        <v>108</v>
      </c>
      <c r="D47" s="50">
        <v>18</v>
      </c>
      <c r="E47" s="50">
        <v>16</v>
      </c>
      <c r="F47" s="50">
        <v>23</v>
      </c>
      <c r="G47" s="50">
        <v>0</v>
      </c>
      <c r="H47" s="50">
        <v>0</v>
      </c>
      <c r="I47" s="50">
        <v>6</v>
      </c>
      <c r="J47" s="50">
        <v>1</v>
      </c>
      <c r="K47" s="50">
        <v>0</v>
      </c>
      <c r="L47" s="50">
        <v>0</v>
      </c>
      <c r="M47" s="50">
        <v>123</v>
      </c>
      <c r="N47" s="50">
        <v>0</v>
      </c>
      <c r="O47" s="15">
        <f t="shared" si="0"/>
        <v>172</v>
      </c>
      <c r="P47" s="15">
        <f t="shared" si="1"/>
        <v>295</v>
      </c>
      <c r="R47" s="8"/>
      <c r="T47"/>
    </row>
    <row r="48" spans="2:20" ht="23.1" customHeight="1" x14ac:dyDescent="0.25">
      <c r="B48" s="24" t="s">
        <v>75</v>
      </c>
      <c r="C48" s="50">
        <v>145</v>
      </c>
      <c r="D48" s="50">
        <v>15</v>
      </c>
      <c r="E48" s="50">
        <v>19</v>
      </c>
      <c r="F48" s="50">
        <v>28</v>
      </c>
      <c r="G48" s="50">
        <v>1</v>
      </c>
      <c r="H48" s="50">
        <v>0</v>
      </c>
      <c r="I48" s="50">
        <v>3</v>
      </c>
      <c r="J48" s="50">
        <v>2</v>
      </c>
      <c r="K48" s="50">
        <v>0</v>
      </c>
      <c r="L48" s="50">
        <v>0</v>
      </c>
      <c r="M48" s="50">
        <v>145</v>
      </c>
      <c r="N48" s="50">
        <v>0</v>
      </c>
      <c r="O48" s="15">
        <f t="shared" si="0"/>
        <v>213</v>
      </c>
      <c r="P48" s="15">
        <f t="shared" si="1"/>
        <v>358</v>
      </c>
      <c r="R48" s="8"/>
      <c r="T48"/>
    </row>
    <row r="49" spans="2:20" ht="23.1" customHeight="1" x14ac:dyDescent="0.25">
      <c r="B49" s="23" t="s">
        <v>76</v>
      </c>
      <c r="C49" s="50">
        <v>142</v>
      </c>
      <c r="D49" s="50">
        <v>17</v>
      </c>
      <c r="E49" s="50">
        <v>12</v>
      </c>
      <c r="F49" s="50">
        <v>8</v>
      </c>
      <c r="G49" s="50">
        <v>1</v>
      </c>
      <c r="H49" s="50">
        <v>0</v>
      </c>
      <c r="I49" s="50">
        <v>4</v>
      </c>
      <c r="J49" s="50">
        <v>3</v>
      </c>
      <c r="K49" s="50">
        <v>0</v>
      </c>
      <c r="L49" s="50">
        <v>0</v>
      </c>
      <c r="M49" s="50">
        <v>123</v>
      </c>
      <c r="N49" s="50">
        <v>0</v>
      </c>
      <c r="O49" s="15">
        <f t="shared" si="0"/>
        <v>187</v>
      </c>
      <c r="P49" s="15">
        <f t="shared" si="1"/>
        <v>310</v>
      </c>
      <c r="R49" s="8"/>
      <c r="T49"/>
    </row>
    <row r="50" spans="2:20" ht="23.1" customHeight="1" x14ac:dyDescent="0.25">
      <c r="B50" s="24" t="s">
        <v>77</v>
      </c>
      <c r="C50" s="50">
        <v>156</v>
      </c>
      <c r="D50" s="50">
        <v>22</v>
      </c>
      <c r="E50" s="50">
        <v>12</v>
      </c>
      <c r="F50" s="50">
        <v>14</v>
      </c>
      <c r="G50" s="50">
        <v>1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185</v>
      </c>
      <c r="N50" s="50">
        <v>0</v>
      </c>
      <c r="O50" s="15">
        <f t="shared" si="0"/>
        <v>207</v>
      </c>
      <c r="P50" s="15">
        <f t="shared" si="1"/>
        <v>392</v>
      </c>
      <c r="R50" s="8"/>
      <c r="T50"/>
    </row>
    <row r="51" spans="2:20" ht="23.1" customHeight="1" x14ac:dyDescent="0.25">
      <c r="B51" s="24" t="s">
        <v>78</v>
      </c>
      <c r="C51" s="50">
        <v>180</v>
      </c>
      <c r="D51" s="50">
        <v>15</v>
      </c>
      <c r="E51" s="50">
        <v>13</v>
      </c>
      <c r="F51" s="50">
        <v>26</v>
      </c>
      <c r="G51" s="50">
        <v>0</v>
      </c>
      <c r="H51" s="50">
        <v>0</v>
      </c>
      <c r="I51" s="50">
        <v>5</v>
      </c>
      <c r="J51" s="50">
        <v>1</v>
      </c>
      <c r="K51" s="50">
        <v>1</v>
      </c>
      <c r="L51" s="50">
        <v>0</v>
      </c>
      <c r="M51" s="50">
        <v>144</v>
      </c>
      <c r="N51" s="50">
        <v>0</v>
      </c>
      <c r="O51" s="15">
        <f t="shared" si="0"/>
        <v>241</v>
      </c>
      <c r="P51" s="15">
        <f t="shared" si="1"/>
        <v>385</v>
      </c>
      <c r="R51" s="8"/>
      <c r="T51"/>
    </row>
    <row r="52" spans="2:20" ht="23.1" customHeight="1" x14ac:dyDescent="0.25">
      <c r="B52" s="24" t="s">
        <v>79</v>
      </c>
      <c r="C52" s="50">
        <v>175</v>
      </c>
      <c r="D52" s="50">
        <v>15</v>
      </c>
      <c r="E52" s="50">
        <v>11</v>
      </c>
      <c r="F52" s="50">
        <v>21</v>
      </c>
      <c r="G52" s="50">
        <v>0</v>
      </c>
      <c r="H52" s="50">
        <v>1</v>
      </c>
      <c r="I52" s="50">
        <v>6</v>
      </c>
      <c r="J52" s="50">
        <v>3</v>
      </c>
      <c r="K52" s="50">
        <v>0</v>
      </c>
      <c r="L52" s="50">
        <v>0</v>
      </c>
      <c r="M52" s="50">
        <v>135</v>
      </c>
      <c r="N52" s="50">
        <v>0</v>
      </c>
      <c r="O52" s="15">
        <f t="shared" si="0"/>
        <v>232</v>
      </c>
      <c r="P52" s="15">
        <f t="shared" si="1"/>
        <v>367</v>
      </c>
      <c r="R52" s="8"/>
      <c r="T52"/>
    </row>
    <row r="53" spans="2:20" ht="23.1" customHeight="1" x14ac:dyDescent="0.25">
      <c r="B53" s="23" t="s">
        <v>80</v>
      </c>
      <c r="C53" s="50">
        <v>127</v>
      </c>
      <c r="D53" s="50">
        <v>15</v>
      </c>
      <c r="E53" s="50">
        <v>14</v>
      </c>
      <c r="F53" s="50">
        <v>17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175</v>
      </c>
      <c r="N53" s="50">
        <v>0</v>
      </c>
      <c r="O53" s="15">
        <f t="shared" si="0"/>
        <v>176</v>
      </c>
      <c r="P53" s="15">
        <f t="shared" si="1"/>
        <v>351</v>
      </c>
      <c r="R53" s="8"/>
      <c r="T53"/>
    </row>
    <row r="54" spans="2:20" ht="23.1" customHeight="1" x14ac:dyDescent="0.25">
      <c r="B54" s="23" t="s">
        <v>81</v>
      </c>
      <c r="C54" s="50">
        <v>111</v>
      </c>
      <c r="D54" s="50">
        <v>12</v>
      </c>
      <c r="E54" s="50">
        <v>11</v>
      </c>
      <c r="F54" s="50">
        <v>9</v>
      </c>
      <c r="G54" s="50">
        <v>1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210</v>
      </c>
      <c r="N54" s="50">
        <v>0</v>
      </c>
      <c r="O54" s="15">
        <f t="shared" si="0"/>
        <v>146</v>
      </c>
      <c r="P54" s="15">
        <f t="shared" si="1"/>
        <v>356</v>
      </c>
      <c r="R54" s="8"/>
      <c r="T54"/>
    </row>
    <row r="55" spans="2:20" ht="23.1" customHeight="1" x14ac:dyDescent="0.25">
      <c r="B55" s="23" t="s">
        <v>82</v>
      </c>
      <c r="C55" s="50">
        <v>68</v>
      </c>
      <c r="D55" s="50">
        <v>7</v>
      </c>
      <c r="E55" s="50">
        <v>8</v>
      </c>
      <c r="F55" s="50">
        <v>21</v>
      </c>
      <c r="G55" s="50">
        <v>1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175</v>
      </c>
      <c r="N55" s="50">
        <v>0</v>
      </c>
      <c r="O55" s="15">
        <f t="shared" si="0"/>
        <v>106</v>
      </c>
      <c r="P55" s="15">
        <f t="shared" si="1"/>
        <v>281</v>
      </c>
      <c r="R55" s="8"/>
      <c r="T55"/>
    </row>
    <row r="56" spans="2:20" ht="23.1" customHeight="1" x14ac:dyDescent="0.25">
      <c r="B56" s="23" t="s">
        <v>83</v>
      </c>
      <c r="C56" s="50">
        <v>70</v>
      </c>
      <c r="D56" s="50">
        <v>11</v>
      </c>
      <c r="E56" s="50">
        <v>6</v>
      </c>
      <c r="F56" s="50">
        <v>17</v>
      </c>
      <c r="G56" s="50">
        <v>1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175</v>
      </c>
      <c r="N56" s="50">
        <v>0</v>
      </c>
      <c r="O56" s="15">
        <f t="shared" si="0"/>
        <v>107</v>
      </c>
      <c r="P56" s="15">
        <f t="shared" si="1"/>
        <v>282</v>
      </c>
      <c r="R56" s="8"/>
      <c r="T56"/>
    </row>
    <row r="57" spans="2:20" ht="23.1" customHeight="1" x14ac:dyDescent="0.25">
      <c r="B57" s="23" t="s">
        <v>84</v>
      </c>
      <c r="C57" s="50">
        <v>65</v>
      </c>
      <c r="D57" s="50">
        <v>4</v>
      </c>
      <c r="E57" s="50">
        <v>0</v>
      </c>
      <c r="F57" s="50">
        <v>8</v>
      </c>
      <c r="G57" s="50">
        <v>1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125</v>
      </c>
      <c r="N57" s="50">
        <v>0</v>
      </c>
      <c r="O57" s="15">
        <f t="shared" si="0"/>
        <v>78</v>
      </c>
      <c r="P57" s="15">
        <f t="shared" si="1"/>
        <v>203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2917</v>
      </c>
      <c r="D58" s="16">
        <f t="shared" si="21"/>
        <v>369</v>
      </c>
      <c r="E58" s="16">
        <f t="shared" si="21"/>
        <v>398</v>
      </c>
      <c r="F58" s="16">
        <f t="shared" si="21"/>
        <v>639</v>
      </c>
      <c r="G58" s="16">
        <f t="shared" si="21"/>
        <v>20</v>
      </c>
      <c r="H58" s="16">
        <f t="shared" si="21"/>
        <v>2</v>
      </c>
      <c r="I58" s="16">
        <f t="shared" si="21"/>
        <v>207</v>
      </c>
      <c r="J58" s="16">
        <f t="shared" si="21"/>
        <v>32</v>
      </c>
      <c r="K58" s="16">
        <f t="shared" si="21"/>
        <v>5</v>
      </c>
      <c r="L58" s="16">
        <f t="shared" si="21"/>
        <v>0</v>
      </c>
      <c r="M58" s="16">
        <f t="shared" si="21"/>
        <v>6375</v>
      </c>
      <c r="N58" s="16">
        <f t="shared" si="21"/>
        <v>0</v>
      </c>
      <c r="O58" s="16">
        <f t="shared" si="21"/>
        <v>4589</v>
      </c>
      <c r="P58" s="16">
        <f t="shared" si="21"/>
        <v>10964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0.26605253557095948</v>
      </c>
      <c r="D59" s="43">
        <f t="shared" si="22"/>
        <v>3.3655600145932142E-2</v>
      </c>
      <c r="E59" s="43">
        <f t="shared" si="22"/>
        <v>3.6300620211601603E-2</v>
      </c>
      <c r="F59" s="43">
        <f t="shared" si="22"/>
        <v>5.8281649033199559E-2</v>
      </c>
      <c r="G59" s="43">
        <f t="shared" si="22"/>
        <v>1.8241517694272164E-3</v>
      </c>
      <c r="H59" s="43">
        <f t="shared" si="22"/>
        <v>1.8241517694272163E-4</v>
      </c>
      <c r="I59" s="43">
        <f t="shared" si="22"/>
        <v>1.8879970813571689E-2</v>
      </c>
      <c r="J59" s="43">
        <f t="shared" si="22"/>
        <v>2.9186428310835461E-3</v>
      </c>
      <c r="K59" s="43">
        <f t="shared" si="22"/>
        <v>4.5603794235680409E-4</v>
      </c>
      <c r="L59" s="43">
        <f t="shared" si="22"/>
        <v>0</v>
      </c>
      <c r="M59" s="43">
        <f t="shared" si="22"/>
        <v>0.5814483765049252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0.6356504685116583</v>
      </c>
      <c r="D60" s="44">
        <f t="shared" ref="D60:N60" si="23">D58/$O$58</f>
        <v>8.0409675310525175E-2</v>
      </c>
      <c r="E60" s="44">
        <f t="shared" si="23"/>
        <v>8.6729134887775117E-2</v>
      </c>
      <c r="F60" s="44">
        <f t="shared" si="23"/>
        <v>0.13924602309871431</v>
      </c>
      <c r="G60" s="44">
        <f t="shared" si="23"/>
        <v>4.3582479843103069E-3</v>
      </c>
      <c r="H60" s="44">
        <f t="shared" si="23"/>
        <v>4.3582479843103073E-4</v>
      </c>
      <c r="I60" s="44">
        <f t="shared" si="23"/>
        <v>4.5107866637611682E-2</v>
      </c>
      <c r="J60" s="44">
        <f t="shared" si="23"/>
        <v>6.9731967748964917E-3</v>
      </c>
      <c r="K60" s="44">
        <f t="shared" si="23"/>
        <v>1.0895619960775767E-3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Kyebando-Mulago'!C3:G3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179</v>
      </c>
      <c r="E5" s="3"/>
      <c r="F5" s="41" t="s">
        <v>1</v>
      </c>
      <c r="G5" s="55" t="str">
        <f>'02.08 Kyebando-Mulago'!G5:H5</f>
        <v>Kisingiri Street</v>
      </c>
      <c r="H5" s="56"/>
      <c r="I5" s="14"/>
      <c r="J5" s="2" t="s">
        <v>5</v>
      </c>
      <c r="K5" s="55" t="str">
        <f>'02.08 Kyebando-Mulago'!K5:L5</f>
        <v>Nabayunga Rashida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'02.08 Kyebando-Mulago'!D6:E6</f>
        <v>Kyebando</v>
      </c>
      <c r="E6" s="56"/>
      <c r="F6" s="2" t="s">
        <v>2</v>
      </c>
      <c r="G6" s="55" t="str">
        <f>'02.08 Kyebando-Mulago'!G6:H6</f>
        <v>Mulago</v>
      </c>
      <c r="H6" s="56"/>
      <c r="J6" s="2" t="s">
        <v>21</v>
      </c>
      <c r="K6" s="55" t="s">
        <v>183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215</v>
      </c>
      <c r="D10" s="50">
        <v>26</v>
      </c>
      <c r="E10" s="50">
        <v>21</v>
      </c>
      <c r="F10" s="50">
        <v>69</v>
      </c>
      <c r="G10" s="50">
        <v>0</v>
      </c>
      <c r="H10" s="50">
        <v>0</v>
      </c>
      <c r="I10" s="50">
        <v>4</v>
      </c>
      <c r="J10" s="50">
        <v>1</v>
      </c>
      <c r="K10" s="50">
        <v>0</v>
      </c>
      <c r="L10" s="50">
        <v>0</v>
      </c>
      <c r="M10" s="50">
        <v>100</v>
      </c>
      <c r="N10" s="50">
        <v>0</v>
      </c>
      <c r="O10" s="15">
        <f t="shared" ref="O10:O57" si="0">SUM(C10:L10,N10)</f>
        <v>336</v>
      </c>
      <c r="P10" s="15">
        <f t="shared" ref="P10:P57" si="1">SUM(C10:N10)</f>
        <v>436</v>
      </c>
      <c r="R10" s="1" t="s">
        <v>6</v>
      </c>
      <c r="S10" s="17">
        <f t="shared" ref="S10:AF10" si="2">SUM(C10:C13)</f>
        <v>831</v>
      </c>
      <c r="T10" s="17">
        <f t="shared" si="2"/>
        <v>81</v>
      </c>
      <c r="U10" s="17">
        <f t="shared" si="2"/>
        <v>59</v>
      </c>
      <c r="V10" s="17">
        <f t="shared" si="2"/>
        <v>249</v>
      </c>
      <c r="W10" s="17">
        <f t="shared" si="2"/>
        <v>1</v>
      </c>
      <c r="X10" s="17">
        <f t="shared" si="2"/>
        <v>0</v>
      </c>
      <c r="Y10" s="17">
        <f t="shared" si="2"/>
        <v>7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639</v>
      </c>
      <c r="AD10" s="17">
        <f t="shared" si="2"/>
        <v>0</v>
      </c>
      <c r="AE10" s="31">
        <f t="shared" si="2"/>
        <v>1229</v>
      </c>
      <c r="AF10" s="31">
        <f t="shared" si="2"/>
        <v>1868</v>
      </c>
    </row>
    <row r="11" spans="2:32" s="6" customFormat="1" ht="23.1" customHeight="1" x14ac:dyDescent="0.25">
      <c r="B11" s="23" t="s">
        <v>38</v>
      </c>
      <c r="C11" s="50">
        <v>235</v>
      </c>
      <c r="D11" s="50">
        <v>18</v>
      </c>
      <c r="E11" s="50">
        <v>11</v>
      </c>
      <c r="F11" s="50">
        <v>66</v>
      </c>
      <c r="G11" s="50">
        <v>1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115</v>
      </c>
      <c r="N11" s="50">
        <v>0</v>
      </c>
      <c r="O11" s="15">
        <f t="shared" si="0"/>
        <v>332</v>
      </c>
      <c r="P11" s="15">
        <f t="shared" si="1"/>
        <v>447</v>
      </c>
      <c r="R11" s="1" t="s">
        <v>7</v>
      </c>
      <c r="S11" s="17">
        <f t="shared" ref="S11:AF11" si="3">SUM(C14:C17)</f>
        <v>516</v>
      </c>
      <c r="T11" s="17">
        <f t="shared" si="3"/>
        <v>74</v>
      </c>
      <c r="U11" s="17">
        <f t="shared" si="3"/>
        <v>50</v>
      </c>
      <c r="V11" s="17">
        <f t="shared" si="3"/>
        <v>198</v>
      </c>
      <c r="W11" s="17">
        <f t="shared" si="3"/>
        <v>0</v>
      </c>
      <c r="X11" s="17">
        <f t="shared" si="3"/>
        <v>0</v>
      </c>
      <c r="Y11" s="17">
        <f t="shared" si="3"/>
        <v>15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827</v>
      </c>
      <c r="AD11" s="17">
        <f t="shared" si="3"/>
        <v>0</v>
      </c>
      <c r="AE11" s="31">
        <f t="shared" si="3"/>
        <v>857</v>
      </c>
      <c r="AF11" s="31">
        <f t="shared" si="3"/>
        <v>1684</v>
      </c>
    </row>
    <row r="12" spans="2:32" ht="23.1" customHeight="1" x14ac:dyDescent="0.25">
      <c r="B12" s="23" t="s">
        <v>39</v>
      </c>
      <c r="C12" s="50">
        <v>251</v>
      </c>
      <c r="D12" s="50">
        <v>22</v>
      </c>
      <c r="E12" s="50">
        <v>17</v>
      </c>
      <c r="F12" s="50">
        <v>81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285</v>
      </c>
      <c r="N12" s="50">
        <v>0</v>
      </c>
      <c r="O12" s="15">
        <f t="shared" si="0"/>
        <v>371</v>
      </c>
      <c r="P12" s="15">
        <f t="shared" si="1"/>
        <v>656</v>
      </c>
      <c r="R12" s="1" t="s">
        <v>8</v>
      </c>
      <c r="S12" s="17">
        <f t="shared" ref="S12:AF12" si="4">SUM(C18:C21)</f>
        <v>378</v>
      </c>
      <c r="T12" s="17">
        <f t="shared" si="4"/>
        <v>70</v>
      </c>
      <c r="U12" s="17">
        <f t="shared" si="4"/>
        <v>46</v>
      </c>
      <c r="V12" s="17">
        <f t="shared" si="4"/>
        <v>92</v>
      </c>
      <c r="W12" s="17">
        <f t="shared" si="4"/>
        <v>0</v>
      </c>
      <c r="X12" s="17">
        <f t="shared" si="4"/>
        <v>0</v>
      </c>
      <c r="Y12" s="17">
        <f t="shared" si="4"/>
        <v>22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661</v>
      </c>
      <c r="AD12" s="17">
        <f t="shared" si="4"/>
        <v>0</v>
      </c>
      <c r="AE12" s="31">
        <f t="shared" si="4"/>
        <v>611</v>
      </c>
      <c r="AF12" s="31">
        <f t="shared" si="4"/>
        <v>1272</v>
      </c>
    </row>
    <row r="13" spans="2:32" ht="23.1" customHeight="1" x14ac:dyDescent="0.25">
      <c r="B13" s="23" t="s">
        <v>40</v>
      </c>
      <c r="C13" s="50">
        <v>130</v>
      </c>
      <c r="D13" s="50">
        <v>15</v>
      </c>
      <c r="E13" s="50">
        <v>10</v>
      </c>
      <c r="F13" s="50">
        <v>33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139</v>
      </c>
      <c r="N13" s="50">
        <v>0</v>
      </c>
      <c r="O13" s="15">
        <f t="shared" si="0"/>
        <v>190</v>
      </c>
      <c r="P13" s="15">
        <f t="shared" si="1"/>
        <v>329</v>
      </c>
      <c r="R13" s="1" t="s">
        <v>9</v>
      </c>
      <c r="S13" s="17">
        <f t="shared" ref="S13:AF13" si="5">SUM(C22:C25)</f>
        <v>316</v>
      </c>
      <c r="T13" s="17">
        <f t="shared" si="5"/>
        <v>73</v>
      </c>
      <c r="U13" s="17">
        <f t="shared" si="5"/>
        <v>44</v>
      </c>
      <c r="V13" s="17">
        <f t="shared" si="5"/>
        <v>61</v>
      </c>
      <c r="W13" s="17">
        <f t="shared" si="5"/>
        <v>1</v>
      </c>
      <c r="X13" s="17">
        <f t="shared" si="5"/>
        <v>0</v>
      </c>
      <c r="Y13" s="17">
        <f t="shared" si="5"/>
        <v>14</v>
      </c>
      <c r="Z13" s="17">
        <f t="shared" si="5"/>
        <v>5</v>
      </c>
      <c r="AA13" s="17">
        <f t="shared" si="5"/>
        <v>0</v>
      </c>
      <c r="AB13" s="17">
        <f t="shared" si="5"/>
        <v>0</v>
      </c>
      <c r="AC13" s="17">
        <f t="shared" si="5"/>
        <v>496</v>
      </c>
      <c r="AD13" s="17">
        <f t="shared" si="5"/>
        <v>0</v>
      </c>
      <c r="AE13" s="31">
        <f t="shared" si="5"/>
        <v>514</v>
      </c>
      <c r="AF13" s="31">
        <f t="shared" si="5"/>
        <v>1010</v>
      </c>
    </row>
    <row r="14" spans="2:32" ht="23.1" customHeight="1" x14ac:dyDescent="0.25">
      <c r="B14" s="23" t="s">
        <v>41</v>
      </c>
      <c r="C14" s="50">
        <v>172</v>
      </c>
      <c r="D14" s="50">
        <v>30</v>
      </c>
      <c r="E14" s="50">
        <v>21</v>
      </c>
      <c r="F14" s="50">
        <v>58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170</v>
      </c>
      <c r="N14" s="50">
        <v>0</v>
      </c>
      <c r="O14" s="15">
        <f t="shared" si="0"/>
        <v>285</v>
      </c>
      <c r="P14" s="15">
        <f t="shared" si="1"/>
        <v>455</v>
      </c>
      <c r="R14" s="1" t="s">
        <v>10</v>
      </c>
      <c r="S14" s="17">
        <f t="shared" ref="S14:AF14" si="6">SUM(C26:C29)</f>
        <v>215</v>
      </c>
      <c r="T14" s="17">
        <f t="shared" si="6"/>
        <v>47</v>
      </c>
      <c r="U14" s="17">
        <f t="shared" si="6"/>
        <v>15</v>
      </c>
      <c r="V14" s="17">
        <f t="shared" si="6"/>
        <v>44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365</v>
      </c>
      <c r="AD14" s="17">
        <f t="shared" si="6"/>
        <v>0</v>
      </c>
      <c r="AE14" s="31">
        <f t="shared" si="6"/>
        <v>341</v>
      </c>
      <c r="AF14" s="31">
        <f t="shared" si="6"/>
        <v>706</v>
      </c>
    </row>
    <row r="15" spans="2:32" ht="23.1" customHeight="1" x14ac:dyDescent="0.25">
      <c r="B15" s="23" t="s">
        <v>42</v>
      </c>
      <c r="C15" s="50">
        <v>111</v>
      </c>
      <c r="D15" s="50">
        <v>21</v>
      </c>
      <c r="E15" s="50">
        <v>4</v>
      </c>
      <c r="F15" s="50">
        <v>61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240</v>
      </c>
      <c r="N15" s="50">
        <v>0</v>
      </c>
      <c r="O15" s="15">
        <f t="shared" si="0"/>
        <v>200</v>
      </c>
      <c r="P15" s="15">
        <f t="shared" si="1"/>
        <v>440</v>
      </c>
      <c r="R15" s="1" t="s">
        <v>11</v>
      </c>
      <c r="S15" s="17">
        <f t="shared" ref="S15:AF15" si="7">SUM(C30:C33)</f>
        <v>203</v>
      </c>
      <c r="T15" s="17">
        <f t="shared" si="7"/>
        <v>42</v>
      </c>
      <c r="U15" s="17">
        <f t="shared" si="7"/>
        <v>33</v>
      </c>
      <c r="V15" s="17">
        <f t="shared" si="7"/>
        <v>32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7</v>
      </c>
      <c r="AA15" s="17">
        <f t="shared" si="7"/>
        <v>0</v>
      </c>
      <c r="AB15" s="17">
        <f t="shared" si="7"/>
        <v>0</v>
      </c>
      <c r="AC15" s="17">
        <f t="shared" si="7"/>
        <v>323</v>
      </c>
      <c r="AD15" s="17">
        <f t="shared" si="7"/>
        <v>0</v>
      </c>
      <c r="AE15" s="31">
        <f t="shared" si="7"/>
        <v>328</v>
      </c>
      <c r="AF15" s="31">
        <f t="shared" si="7"/>
        <v>651</v>
      </c>
    </row>
    <row r="16" spans="2:32" ht="23.1" customHeight="1" x14ac:dyDescent="0.25">
      <c r="B16" s="23" t="s">
        <v>43</v>
      </c>
      <c r="C16" s="50">
        <v>130</v>
      </c>
      <c r="D16" s="50">
        <v>5</v>
      </c>
      <c r="E16" s="50">
        <v>9</v>
      </c>
      <c r="F16" s="50">
        <v>52</v>
      </c>
      <c r="G16" s="50">
        <v>0</v>
      </c>
      <c r="H16" s="50">
        <v>0</v>
      </c>
      <c r="I16" s="50">
        <v>6</v>
      </c>
      <c r="J16" s="50">
        <v>1</v>
      </c>
      <c r="K16" s="50">
        <v>0</v>
      </c>
      <c r="L16" s="50">
        <v>0</v>
      </c>
      <c r="M16" s="50">
        <v>242</v>
      </c>
      <c r="N16" s="50">
        <v>0</v>
      </c>
      <c r="O16" s="15">
        <f t="shared" si="0"/>
        <v>203</v>
      </c>
      <c r="P16" s="15">
        <f t="shared" si="1"/>
        <v>445</v>
      </c>
      <c r="R16" s="1" t="s">
        <v>12</v>
      </c>
      <c r="S16" s="17">
        <f t="shared" ref="S16:AF16" si="8">SUM(C34:C37)</f>
        <v>188</v>
      </c>
      <c r="T16" s="17">
        <f t="shared" si="8"/>
        <v>32</v>
      </c>
      <c r="U16" s="17">
        <f t="shared" si="8"/>
        <v>25</v>
      </c>
      <c r="V16" s="17">
        <f t="shared" si="8"/>
        <v>38</v>
      </c>
      <c r="W16" s="17">
        <f t="shared" si="8"/>
        <v>0</v>
      </c>
      <c r="X16" s="17">
        <f t="shared" si="8"/>
        <v>0</v>
      </c>
      <c r="Y16" s="17">
        <f t="shared" si="8"/>
        <v>14</v>
      </c>
      <c r="Z16" s="17">
        <f t="shared" si="8"/>
        <v>6</v>
      </c>
      <c r="AA16" s="17">
        <f t="shared" si="8"/>
        <v>1</v>
      </c>
      <c r="AB16" s="17">
        <f t="shared" si="8"/>
        <v>0</v>
      </c>
      <c r="AC16" s="17">
        <f t="shared" si="8"/>
        <v>251</v>
      </c>
      <c r="AD16" s="17">
        <f t="shared" si="8"/>
        <v>0</v>
      </c>
      <c r="AE16" s="31">
        <f t="shared" si="8"/>
        <v>304</v>
      </c>
      <c r="AF16" s="31">
        <f t="shared" si="8"/>
        <v>555</v>
      </c>
    </row>
    <row r="17" spans="2:32" ht="23.1" customHeight="1" x14ac:dyDescent="0.25">
      <c r="B17" s="23" t="s">
        <v>44</v>
      </c>
      <c r="C17" s="50">
        <v>103</v>
      </c>
      <c r="D17" s="50">
        <v>18</v>
      </c>
      <c r="E17" s="50">
        <v>16</v>
      </c>
      <c r="F17" s="50">
        <v>27</v>
      </c>
      <c r="G17" s="50">
        <v>0</v>
      </c>
      <c r="H17" s="50">
        <v>0</v>
      </c>
      <c r="I17" s="50">
        <v>3</v>
      </c>
      <c r="J17" s="50">
        <v>2</v>
      </c>
      <c r="K17" s="50">
        <v>0</v>
      </c>
      <c r="L17" s="50">
        <v>0</v>
      </c>
      <c r="M17" s="50">
        <v>175</v>
      </c>
      <c r="N17" s="50">
        <v>0</v>
      </c>
      <c r="O17" s="15">
        <f t="shared" si="0"/>
        <v>169</v>
      </c>
      <c r="P17" s="15">
        <f t="shared" si="1"/>
        <v>344</v>
      </c>
      <c r="R17" s="1" t="s">
        <v>13</v>
      </c>
      <c r="S17" s="17">
        <f t="shared" ref="S17:AF17" si="9">SUM(C38:C41)</f>
        <v>137</v>
      </c>
      <c r="T17" s="17">
        <f t="shared" si="9"/>
        <v>22</v>
      </c>
      <c r="U17" s="17">
        <f t="shared" si="9"/>
        <v>17</v>
      </c>
      <c r="V17" s="17">
        <f t="shared" si="9"/>
        <v>38</v>
      </c>
      <c r="W17" s="17">
        <f t="shared" si="9"/>
        <v>1</v>
      </c>
      <c r="X17" s="17">
        <f t="shared" si="9"/>
        <v>0</v>
      </c>
      <c r="Y17" s="17">
        <f t="shared" si="9"/>
        <v>10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331</v>
      </c>
      <c r="AD17" s="17">
        <f t="shared" si="9"/>
        <v>0</v>
      </c>
      <c r="AE17" s="31">
        <f t="shared" si="9"/>
        <v>228</v>
      </c>
      <c r="AF17" s="31">
        <f t="shared" si="9"/>
        <v>559</v>
      </c>
    </row>
    <row r="18" spans="2:32" ht="23.1" customHeight="1" x14ac:dyDescent="0.25">
      <c r="B18" s="23" t="s">
        <v>45</v>
      </c>
      <c r="C18" s="50">
        <v>121</v>
      </c>
      <c r="D18" s="50">
        <v>19</v>
      </c>
      <c r="E18" s="50">
        <v>11</v>
      </c>
      <c r="F18" s="50">
        <v>32</v>
      </c>
      <c r="G18" s="50">
        <v>0</v>
      </c>
      <c r="H18" s="50">
        <v>0</v>
      </c>
      <c r="I18" s="50">
        <v>4</v>
      </c>
      <c r="J18" s="50">
        <v>2</v>
      </c>
      <c r="K18" s="50">
        <v>0</v>
      </c>
      <c r="L18" s="50">
        <v>0</v>
      </c>
      <c r="M18" s="50">
        <v>205</v>
      </c>
      <c r="N18" s="50">
        <v>0</v>
      </c>
      <c r="O18" s="15">
        <f t="shared" si="0"/>
        <v>189</v>
      </c>
      <c r="P18" s="15">
        <f t="shared" si="1"/>
        <v>394</v>
      </c>
      <c r="R18" s="1" t="s">
        <v>14</v>
      </c>
      <c r="S18" s="17">
        <f t="shared" ref="S18:AF18" si="10">SUM(C42:C45)</f>
        <v>157</v>
      </c>
      <c r="T18" s="17">
        <f t="shared" si="10"/>
        <v>31</v>
      </c>
      <c r="U18" s="17">
        <f t="shared" si="10"/>
        <v>30</v>
      </c>
      <c r="V18" s="17">
        <f t="shared" si="10"/>
        <v>41</v>
      </c>
      <c r="W18" s="17">
        <f t="shared" si="10"/>
        <v>1</v>
      </c>
      <c r="X18" s="17">
        <f t="shared" si="10"/>
        <v>0</v>
      </c>
      <c r="Y18" s="17">
        <f t="shared" si="10"/>
        <v>13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324</v>
      </c>
      <c r="AD18" s="17">
        <f t="shared" si="10"/>
        <v>0</v>
      </c>
      <c r="AE18" s="31">
        <f t="shared" si="10"/>
        <v>274</v>
      </c>
      <c r="AF18" s="31">
        <f t="shared" si="10"/>
        <v>598</v>
      </c>
    </row>
    <row r="19" spans="2:32" ht="23.1" customHeight="1" x14ac:dyDescent="0.25">
      <c r="B19" s="23" t="s">
        <v>46</v>
      </c>
      <c r="C19" s="50">
        <v>74</v>
      </c>
      <c r="D19" s="50">
        <v>25</v>
      </c>
      <c r="E19" s="50">
        <v>12</v>
      </c>
      <c r="F19" s="50">
        <v>21</v>
      </c>
      <c r="G19" s="50">
        <v>0</v>
      </c>
      <c r="H19" s="50">
        <v>0</v>
      </c>
      <c r="I19" s="50">
        <v>7</v>
      </c>
      <c r="J19" s="50">
        <v>0</v>
      </c>
      <c r="K19" s="50">
        <v>0</v>
      </c>
      <c r="L19" s="50">
        <v>0</v>
      </c>
      <c r="M19" s="50">
        <v>126</v>
      </c>
      <c r="N19" s="50">
        <v>0</v>
      </c>
      <c r="O19" s="15">
        <f t="shared" si="0"/>
        <v>139</v>
      </c>
      <c r="P19" s="15">
        <f t="shared" si="1"/>
        <v>265</v>
      </c>
      <c r="R19" s="1" t="s">
        <v>15</v>
      </c>
      <c r="S19" s="17">
        <f t="shared" ref="S19:AF19" si="11">SUM(C46:C49)</f>
        <v>182</v>
      </c>
      <c r="T19" s="17">
        <f t="shared" si="11"/>
        <v>43</v>
      </c>
      <c r="U19" s="17">
        <f t="shared" si="11"/>
        <v>26</v>
      </c>
      <c r="V19" s="17">
        <f t="shared" si="11"/>
        <v>33</v>
      </c>
      <c r="W19" s="17">
        <f t="shared" si="11"/>
        <v>1</v>
      </c>
      <c r="X19" s="17">
        <f t="shared" si="11"/>
        <v>0</v>
      </c>
      <c r="Y19" s="17">
        <f t="shared" si="11"/>
        <v>10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345</v>
      </c>
      <c r="AD19" s="17">
        <f t="shared" si="11"/>
        <v>0</v>
      </c>
      <c r="AE19" s="31">
        <f t="shared" si="11"/>
        <v>295</v>
      </c>
      <c r="AF19" s="31">
        <f t="shared" si="11"/>
        <v>640</v>
      </c>
    </row>
    <row r="20" spans="2:32" ht="23.1" customHeight="1" x14ac:dyDescent="0.25">
      <c r="B20" s="23" t="s">
        <v>47</v>
      </c>
      <c r="C20" s="50">
        <v>108</v>
      </c>
      <c r="D20" s="50">
        <v>19</v>
      </c>
      <c r="E20" s="50">
        <v>11</v>
      </c>
      <c r="F20" s="50">
        <v>21</v>
      </c>
      <c r="G20" s="50">
        <v>0</v>
      </c>
      <c r="H20" s="50">
        <v>0</v>
      </c>
      <c r="I20" s="50">
        <v>5</v>
      </c>
      <c r="J20" s="50">
        <v>1</v>
      </c>
      <c r="K20" s="50">
        <v>0</v>
      </c>
      <c r="L20" s="50">
        <v>0</v>
      </c>
      <c r="M20" s="50">
        <v>175</v>
      </c>
      <c r="N20" s="50">
        <v>0</v>
      </c>
      <c r="O20" s="15">
        <f t="shared" si="0"/>
        <v>165</v>
      </c>
      <c r="P20" s="15">
        <f t="shared" si="1"/>
        <v>340</v>
      </c>
      <c r="R20" s="1" t="s">
        <v>16</v>
      </c>
      <c r="S20" s="17">
        <f t="shared" ref="S20:AF20" si="12">SUM(C50:C53)</f>
        <v>156</v>
      </c>
      <c r="T20" s="17">
        <f t="shared" si="12"/>
        <v>29</v>
      </c>
      <c r="U20" s="17">
        <f t="shared" si="12"/>
        <v>26</v>
      </c>
      <c r="V20" s="17">
        <f t="shared" si="12"/>
        <v>37</v>
      </c>
      <c r="W20" s="17">
        <f t="shared" si="12"/>
        <v>2</v>
      </c>
      <c r="X20" s="17">
        <f t="shared" si="12"/>
        <v>0</v>
      </c>
      <c r="Y20" s="17">
        <f t="shared" si="12"/>
        <v>17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479</v>
      </c>
      <c r="AD20" s="17">
        <f t="shared" si="12"/>
        <v>0</v>
      </c>
      <c r="AE20" s="31">
        <f t="shared" si="12"/>
        <v>268</v>
      </c>
      <c r="AF20" s="31">
        <f t="shared" si="12"/>
        <v>747</v>
      </c>
    </row>
    <row r="21" spans="2:32" ht="23.1" customHeight="1" x14ac:dyDescent="0.25">
      <c r="B21" s="23" t="s">
        <v>48</v>
      </c>
      <c r="C21" s="50">
        <v>75</v>
      </c>
      <c r="D21" s="50">
        <v>7</v>
      </c>
      <c r="E21" s="50">
        <v>12</v>
      </c>
      <c r="F21" s="50">
        <v>18</v>
      </c>
      <c r="G21" s="50">
        <v>0</v>
      </c>
      <c r="H21" s="50">
        <v>0</v>
      </c>
      <c r="I21" s="50">
        <v>6</v>
      </c>
      <c r="J21" s="50">
        <v>0</v>
      </c>
      <c r="K21" s="50">
        <v>0</v>
      </c>
      <c r="L21" s="50">
        <v>0</v>
      </c>
      <c r="M21" s="50">
        <v>155</v>
      </c>
      <c r="N21" s="50">
        <v>0</v>
      </c>
      <c r="O21" s="15">
        <f t="shared" si="0"/>
        <v>118</v>
      </c>
      <c r="P21" s="15">
        <f t="shared" si="1"/>
        <v>273</v>
      </c>
      <c r="R21" s="36" t="s">
        <v>20</v>
      </c>
      <c r="S21" s="34">
        <f t="shared" ref="S21:AF21" si="13">SUM(C54:C57)</f>
        <v>151</v>
      </c>
      <c r="T21" s="17">
        <f t="shared" si="13"/>
        <v>32</v>
      </c>
      <c r="U21" s="17">
        <f t="shared" si="13"/>
        <v>27</v>
      </c>
      <c r="V21" s="17">
        <f t="shared" si="13"/>
        <v>29</v>
      </c>
      <c r="W21" s="17">
        <f t="shared" si="13"/>
        <v>1</v>
      </c>
      <c r="X21" s="17">
        <f t="shared" si="13"/>
        <v>0</v>
      </c>
      <c r="Y21" s="17">
        <f t="shared" si="13"/>
        <v>9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395</v>
      </c>
      <c r="AD21" s="17">
        <f t="shared" si="13"/>
        <v>0</v>
      </c>
      <c r="AE21" s="31">
        <f t="shared" si="13"/>
        <v>249</v>
      </c>
      <c r="AF21" s="31">
        <f t="shared" si="13"/>
        <v>644</v>
      </c>
    </row>
    <row r="22" spans="2:32" ht="23.1" customHeight="1" x14ac:dyDescent="0.25">
      <c r="B22" s="23" t="s">
        <v>49</v>
      </c>
      <c r="C22" s="50">
        <v>93</v>
      </c>
      <c r="D22" s="50">
        <v>21</v>
      </c>
      <c r="E22" s="50">
        <v>8</v>
      </c>
      <c r="F22" s="50">
        <v>22</v>
      </c>
      <c r="G22" s="50">
        <v>1</v>
      </c>
      <c r="H22" s="50">
        <v>0</v>
      </c>
      <c r="I22" s="50">
        <v>3</v>
      </c>
      <c r="J22" s="50">
        <v>2</v>
      </c>
      <c r="K22" s="50">
        <v>0</v>
      </c>
      <c r="L22" s="50">
        <v>0</v>
      </c>
      <c r="M22" s="50">
        <v>147</v>
      </c>
      <c r="N22" s="50">
        <v>0</v>
      </c>
      <c r="O22" s="15">
        <f t="shared" si="0"/>
        <v>150</v>
      </c>
      <c r="P22" s="15">
        <f t="shared" si="1"/>
        <v>297</v>
      </c>
      <c r="R22" s="38" t="s">
        <v>90</v>
      </c>
      <c r="S22" s="39">
        <f>MAX(S10:S12)</f>
        <v>831</v>
      </c>
      <c r="T22" s="39">
        <f t="shared" ref="T22:AF22" si="14">MAX(T10:T12)</f>
        <v>81</v>
      </c>
      <c r="U22" s="39">
        <f t="shared" si="14"/>
        <v>59</v>
      </c>
      <c r="V22" s="39">
        <f t="shared" si="14"/>
        <v>249</v>
      </c>
      <c r="W22" s="39">
        <f t="shared" si="14"/>
        <v>1</v>
      </c>
      <c r="X22" s="39">
        <f t="shared" si="14"/>
        <v>0</v>
      </c>
      <c r="Y22" s="39">
        <f t="shared" si="14"/>
        <v>22</v>
      </c>
      <c r="Z22" s="39">
        <f t="shared" si="14"/>
        <v>4</v>
      </c>
      <c r="AA22" s="39">
        <f t="shared" si="14"/>
        <v>0</v>
      </c>
      <c r="AB22" s="39">
        <f t="shared" si="14"/>
        <v>0</v>
      </c>
      <c r="AC22" s="39">
        <f t="shared" si="14"/>
        <v>827</v>
      </c>
      <c r="AD22" s="39">
        <f t="shared" si="14"/>
        <v>0</v>
      </c>
      <c r="AE22" s="40">
        <f t="shared" si="14"/>
        <v>1229</v>
      </c>
      <c r="AF22" s="40">
        <f t="shared" si="14"/>
        <v>1868</v>
      </c>
    </row>
    <row r="23" spans="2:32" ht="23.1" customHeight="1" x14ac:dyDescent="0.25">
      <c r="B23" s="23" t="s">
        <v>50</v>
      </c>
      <c r="C23" s="50">
        <v>75</v>
      </c>
      <c r="D23" s="50">
        <v>20</v>
      </c>
      <c r="E23" s="50">
        <v>10</v>
      </c>
      <c r="F23" s="50">
        <v>15</v>
      </c>
      <c r="G23" s="50">
        <v>0</v>
      </c>
      <c r="H23" s="50">
        <v>0</v>
      </c>
      <c r="I23" s="50">
        <v>1</v>
      </c>
      <c r="J23" s="50">
        <v>2</v>
      </c>
      <c r="K23" s="50">
        <v>0</v>
      </c>
      <c r="L23" s="50">
        <v>0</v>
      </c>
      <c r="M23" s="50">
        <v>111</v>
      </c>
      <c r="N23" s="50">
        <v>0</v>
      </c>
      <c r="O23" s="15">
        <f t="shared" si="0"/>
        <v>123</v>
      </c>
      <c r="P23" s="15">
        <f t="shared" si="1"/>
        <v>234</v>
      </c>
      <c r="R23" s="38" t="s">
        <v>91</v>
      </c>
      <c r="S23" s="39">
        <f>MAX(S13:S18)</f>
        <v>316</v>
      </c>
      <c r="T23" s="39">
        <f t="shared" ref="T23:AF23" si="15">MAX(T13:T18)</f>
        <v>73</v>
      </c>
      <c r="U23" s="39">
        <f t="shared" si="15"/>
        <v>44</v>
      </c>
      <c r="V23" s="39">
        <f t="shared" si="15"/>
        <v>61</v>
      </c>
      <c r="W23" s="39">
        <f t="shared" si="15"/>
        <v>1</v>
      </c>
      <c r="X23" s="39">
        <f t="shared" si="15"/>
        <v>0</v>
      </c>
      <c r="Y23" s="39">
        <f t="shared" si="15"/>
        <v>17</v>
      </c>
      <c r="Z23" s="39">
        <f t="shared" si="15"/>
        <v>7</v>
      </c>
      <c r="AA23" s="39">
        <f t="shared" si="15"/>
        <v>1</v>
      </c>
      <c r="AB23" s="39">
        <f t="shared" si="15"/>
        <v>0</v>
      </c>
      <c r="AC23" s="39">
        <f t="shared" si="15"/>
        <v>496</v>
      </c>
      <c r="AD23" s="39">
        <f t="shared" si="15"/>
        <v>0</v>
      </c>
      <c r="AE23" s="40">
        <f t="shared" si="15"/>
        <v>514</v>
      </c>
      <c r="AF23" s="40">
        <f t="shared" si="15"/>
        <v>1010</v>
      </c>
    </row>
    <row r="24" spans="2:32" ht="23.1" customHeight="1" x14ac:dyDescent="0.25">
      <c r="B24" s="23" t="s">
        <v>51</v>
      </c>
      <c r="C24" s="50">
        <v>83</v>
      </c>
      <c r="D24" s="50">
        <v>17</v>
      </c>
      <c r="E24" s="50">
        <v>11</v>
      </c>
      <c r="F24" s="50">
        <v>15</v>
      </c>
      <c r="G24" s="50">
        <v>0</v>
      </c>
      <c r="H24" s="50">
        <v>0</v>
      </c>
      <c r="I24" s="50">
        <v>9</v>
      </c>
      <c r="J24" s="50">
        <v>1</v>
      </c>
      <c r="K24" s="50">
        <v>0</v>
      </c>
      <c r="L24" s="50">
        <v>0</v>
      </c>
      <c r="M24" s="50">
        <v>137</v>
      </c>
      <c r="N24" s="50">
        <v>0</v>
      </c>
      <c r="O24" s="15">
        <f t="shared" si="0"/>
        <v>136</v>
      </c>
      <c r="P24" s="15">
        <f t="shared" si="1"/>
        <v>273</v>
      </c>
      <c r="R24" s="38" t="s">
        <v>92</v>
      </c>
      <c r="S24" s="39">
        <f>MAX(S19:S21)</f>
        <v>182</v>
      </c>
      <c r="T24" s="39">
        <f t="shared" ref="T24:AF24" si="16">MAX(T19:T21)</f>
        <v>43</v>
      </c>
      <c r="U24" s="39">
        <f t="shared" si="16"/>
        <v>27</v>
      </c>
      <c r="V24" s="39">
        <f t="shared" si="16"/>
        <v>37</v>
      </c>
      <c r="W24" s="39">
        <f t="shared" si="16"/>
        <v>2</v>
      </c>
      <c r="X24" s="39">
        <f t="shared" si="16"/>
        <v>0</v>
      </c>
      <c r="Y24" s="39">
        <f t="shared" si="16"/>
        <v>17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479</v>
      </c>
      <c r="AD24" s="39">
        <f t="shared" si="16"/>
        <v>0</v>
      </c>
      <c r="AE24" s="40">
        <f t="shared" si="16"/>
        <v>295</v>
      </c>
      <c r="AF24" s="40">
        <f t="shared" si="16"/>
        <v>747</v>
      </c>
    </row>
    <row r="25" spans="2:32" ht="23.1" customHeight="1" x14ac:dyDescent="0.25">
      <c r="B25" s="23" t="s">
        <v>52</v>
      </c>
      <c r="C25" s="50">
        <v>65</v>
      </c>
      <c r="D25" s="50">
        <v>15</v>
      </c>
      <c r="E25" s="50">
        <v>15</v>
      </c>
      <c r="F25" s="50">
        <v>9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101</v>
      </c>
      <c r="N25" s="50">
        <v>0</v>
      </c>
      <c r="O25" s="15">
        <f t="shared" si="0"/>
        <v>105</v>
      </c>
      <c r="P25" s="15">
        <f t="shared" si="1"/>
        <v>206</v>
      </c>
      <c r="R25" s="37" t="s">
        <v>85</v>
      </c>
      <c r="S25" s="35">
        <f t="shared" ref="S25:AF25" si="17">SUM(S10:S12)</f>
        <v>1725</v>
      </c>
      <c r="T25" s="16">
        <f t="shared" si="17"/>
        <v>225</v>
      </c>
      <c r="U25" s="16">
        <f t="shared" si="17"/>
        <v>155</v>
      </c>
      <c r="V25" s="16">
        <f t="shared" si="17"/>
        <v>539</v>
      </c>
      <c r="W25" s="16">
        <f t="shared" si="17"/>
        <v>1</v>
      </c>
      <c r="X25" s="16">
        <f t="shared" si="17"/>
        <v>0</v>
      </c>
      <c r="Y25" s="16">
        <f t="shared" si="17"/>
        <v>44</v>
      </c>
      <c r="Z25" s="16">
        <f t="shared" si="17"/>
        <v>8</v>
      </c>
      <c r="AA25" s="16">
        <f t="shared" si="17"/>
        <v>0</v>
      </c>
      <c r="AB25" s="16">
        <f t="shared" si="17"/>
        <v>0</v>
      </c>
      <c r="AC25" s="16">
        <f t="shared" si="17"/>
        <v>2127</v>
      </c>
      <c r="AD25" s="16">
        <f t="shared" si="17"/>
        <v>0</v>
      </c>
      <c r="AE25" s="32">
        <f t="shared" si="17"/>
        <v>2697</v>
      </c>
      <c r="AF25" s="32">
        <f t="shared" si="17"/>
        <v>4824</v>
      </c>
    </row>
    <row r="26" spans="2:32" ht="23.1" customHeight="1" x14ac:dyDescent="0.25">
      <c r="B26" s="23" t="s">
        <v>53</v>
      </c>
      <c r="C26" s="50">
        <v>69</v>
      </c>
      <c r="D26" s="50">
        <v>13</v>
      </c>
      <c r="E26" s="50">
        <v>4</v>
      </c>
      <c r="F26" s="50">
        <v>12</v>
      </c>
      <c r="G26" s="50">
        <v>0</v>
      </c>
      <c r="H26" s="50">
        <v>0</v>
      </c>
      <c r="I26" s="50">
        <v>4</v>
      </c>
      <c r="J26" s="50">
        <v>1</v>
      </c>
      <c r="K26" s="50">
        <v>0</v>
      </c>
      <c r="L26" s="50">
        <v>0</v>
      </c>
      <c r="M26" s="50">
        <v>97</v>
      </c>
      <c r="N26" s="50">
        <v>0</v>
      </c>
      <c r="O26" s="15">
        <f t="shared" si="0"/>
        <v>103</v>
      </c>
      <c r="P26" s="15">
        <f t="shared" si="1"/>
        <v>200</v>
      </c>
      <c r="R26" s="28" t="s">
        <v>86</v>
      </c>
      <c r="S26" s="16">
        <f t="shared" ref="S26:AF26" si="18">SUM(S13:S18)</f>
        <v>1216</v>
      </c>
      <c r="T26" s="16">
        <f t="shared" si="18"/>
        <v>247</v>
      </c>
      <c r="U26" s="16">
        <f t="shared" si="18"/>
        <v>164</v>
      </c>
      <c r="V26" s="16">
        <f t="shared" si="18"/>
        <v>254</v>
      </c>
      <c r="W26" s="16">
        <f t="shared" si="18"/>
        <v>3</v>
      </c>
      <c r="X26" s="16">
        <f t="shared" si="18"/>
        <v>0</v>
      </c>
      <c r="Y26" s="16">
        <f t="shared" si="18"/>
        <v>79</v>
      </c>
      <c r="Z26" s="16">
        <f t="shared" si="18"/>
        <v>25</v>
      </c>
      <c r="AA26" s="16">
        <f t="shared" si="18"/>
        <v>1</v>
      </c>
      <c r="AB26" s="16">
        <f t="shared" si="18"/>
        <v>0</v>
      </c>
      <c r="AC26" s="16">
        <f t="shared" si="18"/>
        <v>2090</v>
      </c>
      <c r="AD26" s="16">
        <f t="shared" si="18"/>
        <v>0</v>
      </c>
      <c r="AE26" s="32">
        <f t="shared" si="18"/>
        <v>1989</v>
      </c>
      <c r="AF26" s="32">
        <f t="shared" si="18"/>
        <v>4079</v>
      </c>
    </row>
    <row r="27" spans="2:32" ht="23.1" customHeight="1" x14ac:dyDescent="0.25">
      <c r="B27" s="23" t="s">
        <v>54</v>
      </c>
      <c r="C27" s="50">
        <v>52</v>
      </c>
      <c r="D27" s="50">
        <v>14</v>
      </c>
      <c r="E27" s="50">
        <v>1</v>
      </c>
      <c r="F27" s="50">
        <v>14</v>
      </c>
      <c r="G27" s="50">
        <v>0</v>
      </c>
      <c r="H27" s="50">
        <v>0</v>
      </c>
      <c r="I27" s="50">
        <v>8</v>
      </c>
      <c r="J27" s="50">
        <v>2</v>
      </c>
      <c r="K27" s="50">
        <v>0</v>
      </c>
      <c r="L27" s="50">
        <v>0</v>
      </c>
      <c r="M27" s="50">
        <v>115</v>
      </c>
      <c r="N27" s="50">
        <v>0</v>
      </c>
      <c r="O27" s="15">
        <f t="shared" si="0"/>
        <v>91</v>
      </c>
      <c r="P27" s="15">
        <f t="shared" si="1"/>
        <v>206</v>
      </c>
      <c r="R27" s="29" t="s">
        <v>87</v>
      </c>
      <c r="S27" s="16">
        <f t="shared" ref="S27:AF27" si="19">SUM(S19:S21)</f>
        <v>489</v>
      </c>
      <c r="T27" s="16">
        <f t="shared" si="19"/>
        <v>104</v>
      </c>
      <c r="U27" s="16">
        <f t="shared" si="19"/>
        <v>79</v>
      </c>
      <c r="V27" s="16">
        <f t="shared" si="19"/>
        <v>99</v>
      </c>
      <c r="W27" s="16">
        <f t="shared" si="19"/>
        <v>4</v>
      </c>
      <c r="X27" s="16">
        <f t="shared" si="19"/>
        <v>0</v>
      </c>
      <c r="Y27" s="16">
        <f t="shared" si="19"/>
        <v>36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1219</v>
      </c>
      <c r="AD27" s="16">
        <f t="shared" si="19"/>
        <v>0</v>
      </c>
      <c r="AE27" s="32">
        <f t="shared" si="19"/>
        <v>812</v>
      </c>
      <c r="AF27" s="32">
        <f t="shared" si="19"/>
        <v>2031</v>
      </c>
    </row>
    <row r="28" spans="2:32" ht="23.1" customHeight="1" x14ac:dyDescent="0.25">
      <c r="B28" s="23" t="s">
        <v>55</v>
      </c>
      <c r="C28" s="50">
        <v>59</v>
      </c>
      <c r="D28" s="50">
        <v>11</v>
      </c>
      <c r="E28" s="50">
        <v>7</v>
      </c>
      <c r="F28" s="50">
        <v>12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98</v>
      </c>
      <c r="N28" s="50">
        <v>0</v>
      </c>
      <c r="O28" s="15">
        <f t="shared" si="0"/>
        <v>92</v>
      </c>
      <c r="P28" s="15">
        <f t="shared" si="1"/>
        <v>190</v>
      </c>
      <c r="R28" s="5" t="s">
        <v>17</v>
      </c>
      <c r="S28" s="16">
        <f t="shared" ref="S28:AF28" si="20">SUM(S10:S21)</f>
        <v>3430</v>
      </c>
      <c r="T28" s="16">
        <f t="shared" si="20"/>
        <v>576</v>
      </c>
      <c r="U28" s="16">
        <f t="shared" si="20"/>
        <v>398</v>
      </c>
      <c r="V28" s="16">
        <f t="shared" si="20"/>
        <v>892</v>
      </c>
      <c r="W28" s="16">
        <f t="shared" si="20"/>
        <v>8</v>
      </c>
      <c r="X28" s="16">
        <f t="shared" si="20"/>
        <v>0</v>
      </c>
      <c r="Y28" s="16">
        <f t="shared" si="20"/>
        <v>159</v>
      </c>
      <c r="Z28" s="16">
        <f t="shared" si="20"/>
        <v>34</v>
      </c>
      <c r="AA28" s="16">
        <f t="shared" si="20"/>
        <v>1</v>
      </c>
      <c r="AB28" s="16">
        <f t="shared" si="20"/>
        <v>0</v>
      </c>
      <c r="AC28" s="16">
        <f t="shared" si="20"/>
        <v>5436</v>
      </c>
      <c r="AD28" s="16">
        <f t="shared" si="20"/>
        <v>0</v>
      </c>
      <c r="AE28" s="32">
        <f t="shared" si="20"/>
        <v>5498</v>
      </c>
      <c r="AF28" s="32">
        <f t="shared" si="20"/>
        <v>10934</v>
      </c>
    </row>
    <row r="29" spans="2:32" ht="23.1" customHeight="1" x14ac:dyDescent="0.25">
      <c r="B29" s="23" t="s">
        <v>56</v>
      </c>
      <c r="C29" s="50">
        <v>35</v>
      </c>
      <c r="D29" s="50">
        <v>9</v>
      </c>
      <c r="E29" s="50">
        <v>3</v>
      </c>
      <c r="F29" s="50">
        <v>6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55</v>
      </c>
      <c r="N29" s="50">
        <v>0</v>
      </c>
      <c r="O29" s="15">
        <f t="shared" si="0"/>
        <v>55</v>
      </c>
      <c r="P29" s="15">
        <f t="shared" si="1"/>
        <v>110</v>
      </c>
      <c r="R29"/>
      <c r="S29" s="20"/>
      <c r="T29" s="19"/>
    </row>
    <row r="30" spans="2:32" ht="23.1" customHeight="1" x14ac:dyDescent="0.25">
      <c r="B30" s="23" t="s">
        <v>57</v>
      </c>
      <c r="C30" s="50">
        <v>55</v>
      </c>
      <c r="D30" s="50">
        <v>13</v>
      </c>
      <c r="E30" s="50">
        <v>13</v>
      </c>
      <c r="F30" s="50">
        <v>6</v>
      </c>
      <c r="G30" s="50">
        <v>0</v>
      </c>
      <c r="H30" s="50">
        <v>0</v>
      </c>
      <c r="I30" s="50">
        <v>6</v>
      </c>
      <c r="J30" s="50">
        <v>2</v>
      </c>
      <c r="K30" s="50">
        <v>0</v>
      </c>
      <c r="L30" s="50">
        <v>0</v>
      </c>
      <c r="M30" s="50">
        <v>72</v>
      </c>
      <c r="N30" s="50">
        <v>0</v>
      </c>
      <c r="O30" s="15">
        <f t="shared" si="0"/>
        <v>95</v>
      </c>
      <c r="P30" s="15">
        <f t="shared" si="1"/>
        <v>167</v>
      </c>
    </row>
    <row r="31" spans="2:32" ht="23.1" customHeight="1" x14ac:dyDescent="0.25">
      <c r="B31" s="24" t="s">
        <v>58</v>
      </c>
      <c r="C31" s="50">
        <v>56</v>
      </c>
      <c r="D31" s="50">
        <v>12</v>
      </c>
      <c r="E31" s="50">
        <v>6</v>
      </c>
      <c r="F31" s="50">
        <v>8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79</v>
      </c>
      <c r="N31" s="50">
        <v>0</v>
      </c>
      <c r="O31" s="15">
        <f t="shared" si="0"/>
        <v>83</v>
      </c>
      <c r="P31" s="15">
        <f t="shared" si="1"/>
        <v>162</v>
      </c>
    </row>
    <row r="32" spans="2:32" ht="23.1" customHeight="1" x14ac:dyDescent="0.25">
      <c r="B32" s="24" t="s">
        <v>59</v>
      </c>
      <c r="C32" s="50">
        <v>37</v>
      </c>
      <c r="D32" s="50">
        <v>10</v>
      </c>
      <c r="E32" s="50">
        <v>10</v>
      </c>
      <c r="F32" s="50">
        <v>10</v>
      </c>
      <c r="G32" s="50">
        <v>0</v>
      </c>
      <c r="H32" s="50">
        <v>0</v>
      </c>
      <c r="I32" s="50">
        <v>2</v>
      </c>
      <c r="J32" s="50">
        <v>2</v>
      </c>
      <c r="K32" s="50">
        <v>0</v>
      </c>
      <c r="L32" s="50">
        <v>0</v>
      </c>
      <c r="M32" s="50">
        <v>70</v>
      </c>
      <c r="N32" s="50">
        <v>0</v>
      </c>
      <c r="O32" s="15">
        <f t="shared" si="0"/>
        <v>71</v>
      </c>
      <c r="P32" s="15">
        <f t="shared" si="1"/>
        <v>141</v>
      </c>
    </row>
    <row r="33" spans="2:20" ht="23.1" customHeight="1" x14ac:dyDescent="0.25">
      <c r="B33" s="23" t="s">
        <v>60</v>
      </c>
      <c r="C33" s="50">
        <v>55</v>
      </c>
      <c r="D33" s="50">
        <v>7</v>
      </c>
      <c r="E33" s="50">
        <v>4</v>
      </c>
      <c r="F33" s="50">
        <v>8</v>
      </c>
      <c r="G33" s="50">
        <v>0</v>
      </c>
      <c r="H33" s="50">
        <v>0</v>
      </c>
      <c r="I33" s="50">
        <v>2</v>
      </c>
      <c r="J33" s="50">
        <v>3</v>
      </c>
      <c r="K33" s="50">
        <v>0</v>
      </c>
      <c r="L33" s="50">
        <v>0</v>
      </c>
      <c r="M33" s="50">
        <v>102</v>
      </c>
      <c r="N33" s="50">
        <v>0</v>
      </c>
      <c r="O33" s="15">
        <f t="shared" si="0"/>
        <v>79</v>
      </c>
      <c r="P33" s="15">
        <f t="shared" si="1"/>
        <v>181</v>
      </c>
    </row>
    <row r="34" spans="2:20" ht="23.1" customHeight="1" x14ac:dyDescent="0.25">
      <c r="B34" s="24" t="s">
        <v>61</v>
      </c>
      <c r="C34" s="50">
        <v>47</v>
      </c>
      <c r="D34" s="50">
        <v>10</v>
      </c>
      <c r="E34" s="50">
        <v>6</v>
      </c>
      <c r="F34" s="50">
        <v>10</v>
      </c>
      <c r="G34" s="50">
        <v>0</v>
      </c>
      <c r="H34" s="50">
        <v>0</v>
      </c>
      <c r="I34" s="50">
        <v>7</v>
      </c>
      <c r="J34" s="50">
        <v>1</v>
      </c>
      <c r="K34" s="50">
        <v>0</v>
      </c>
      <c r="L34" s="50">
        <v>0</v>
      </c>
      <c r="M34" s="50">
        <v>65</v>
      </c>
      <c r="N34" s="50">
        <v>0</v>
      </c>
      <c r="O34" s="15">
        <f t="shared" si="0"/>
        <v>81</v>
      </c>
      <c r="P34" s="15">
        <f t="shared" si="1"/>
        <v>146</v>
      </c>
    </row>
    <row r="35" spans="2:20" ht="23.1" customHeight="1" x14ac:dyDescent="0.25">
      <c r="B35" s="24" t="s">
        <v>62</v>
      </c>
      <c r="C35" s="50">
        <v>51</v>
      </c>
      <c r="D35" s="50">
        <v>6</v>
      </c>
      <c r="E35" s="50">
        <v>6</v>
      </c>
      <c r="F35" s="50">
        <v>13</v>
      </c>
      <c r="G35" s="50">
        <v>0</v>
      </c>
      <c r="H35" s="50">
        <v>0</v>
      </c>
      <c r="I35" s="50">
        <v>1</v>
      </c>
      <c r="J35" s="50">
        <v>2</v>
      </c>
      <c r="K35" s="50">
        <v>0</v>
      </c>
      <c r="L35" s="50">
        <v>0</v>
      </c>
      <c r="M35" s="50">
        <v>56</v>
      </c>
      <c r="N35" s="50">
        <v>0</v>
      </c>
      <c r="O35" s="15">
        <f t="shared" si="0"/>
        <v>79</v>
      </c>
      <c r="P35" s="15">
        <f t="shared" si="1"/>
        <v>135</v>
      </c>
    </row>
    <row r="36" spans="2:20" ht="23.1" customHeight="1" x14ac:dyDescent="0.25">
      <c r="B36" s="24" t="s">
        <v>63</v>
      </c>
      <c r="C36" s="50">
        <v>33</v>
      </c>
      <c r="D36" s="50">
        <v>10</v>
      </c>
      <c r="E36" s="50">
        <v>6</v>
      </c>
      <c r="F36" s="50">
        <v>8</v>
      </c>
      <c r="G36" s="50">
        <v>0</v>
      </c>
      <c r="H36" s="50">
        <v>0</v>
      </c>
      <c r="I36" s="50">
        <v>2</v>
      </c>
      <c r="J36" s="50">
        <v>3</v>
      </c>
      <c r="K36" s="50">
        <v>1</v>
      </c>
      <c r="L36" s="50">
        <v>0</v>
      </c>
      <c r="M36" s="50">
        <v>80</v>
      </c>
      <c r="N36" s="50">
        <v>0</v>
      </c>
      <c r="O36" s="15">
        <f t="shared" si="0"/>
        <v>63</v>
      </c>
      <c r="P36" s="15">
        <f t="shared" si="1"/>
        <v>143</v>
      </c>
    </row>
    <row r="37" spans="2:20" ht="23.1" customHeight="1" x14ac:dyDescent="0.25">
      <c r="B37" s="23" t="s">
        <v>64</v>
      </c>
      <c r="C37" s="50">
        <v>57</v>
      </c>
      <c r="D37" s="50">
        <v>6</v>
      </c>
      <c r="E37" s="50">
        <v>7</v>
      </c>
      <c r="F37" s="50">
        <v>7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50</v>
      </c>
      <c r="N37" s="50">
        <v>0</v>
      </c>
      <c r="O37" s="15">
        <f t="shared" si="0"/>
        <v>81</v>
      </c>
      <c r="P37" s="15">
        <f t="shared" si="1"/>
        <v>131</v>
      </c>
    </row>
    <row r="38" spans="2:20" ht="23.1" customHeight="1" x14ac:dyDescent="0.25">
      <c r="B38" s="24" t="s">
        <v>65</v>
      </c>
      <c r="C38" s="50">
        <v>22</v>
      </c>
      <c r="D38" s="50">
        <v>6</v>
      </c>
      <c r="E38" s="50">
        <v>3</v>
      </c>
      <c r="F38" s="50">
        <v>8</v>
      </c>
      <c r="G38" s="50">
        <v>0</v>
      </c>
      <c r="H38" s="50">
        <v>0</v>
      </c>
      <c r="I38" s="50">
        <v>4</v>
      </c>
      <c r="J38" s="50">
        <v>2</v>
      </c>
      <c r="K38" s="50">
        <v>0</v>
      </c>
      <c r="L38" s="50">
        <v>0</v>
      </c>
      <c r="M38" s="50">
        <v>80</v>
      </c>
      <c r="N38" s="50">
        <v>0</v>
      </c>
      <c r="O38" s="15">
        <f t="shared" si="0"/>
        <v>45</v>
      </c>
      <c r="P38" s="15">
        <f t="shared" si="1"/>
        <v>125</v>
      </c>
    </row>
    <row r="39" spans="2:20" ht="23.1" customHeight="1" x14ac:dyDescent="0.25">
      <c r="B39" s="24" t="s">
        <v>66</v>
      </c>
      <c r="C39" s="50">
        <v>40</v>
      </c>
      <c r="D39" s="50">
        <v>6</v>
      </c>
      <c r="E39" s="50">
        <v>5</v>
      </c>
      <c r="F39" s="50">
        <v>11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90</v>
      </c>
      <c r="N39" s="50">
        <v>0</v>
      </c>
      <c r="O39" s="15">
        <f t="shared" si="0"/>
        <v>64</v>
      </c>
      <c r="P39" s="15">
        <f t="shared" si="1"/>
        <v>154</v>
      </c>
    </row>
    <row r="40" spans="2:20" ht="23.1" customHeight="1" x14ac:dyDescent="0.25">
      <c r="B40" s="24" t="s">
        <v>67</v>
      </c>
      <c r="C40" s="50">
        <v>40</v>
      </c>
      <c r="D40" s="50">
        <v>3</v>
      </c>
      <c r="E40" s="50">
        <v>4</v>
      </c>
      <c r="F40" s="50">
        <v>9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91</v>
      </c>
      <c r="N40" s="50">
        <v>0</v>
      </c>
      <c r="O40" s="15">
        <f t="shared" si="0"/>
        <v>58</v>
      </c>
      <c r="P40" s="15">
        <f t="shared" si="1"/>
        <v>149</v>
      </c>
    </row>
    <row r="41" spans="2:20" ht="23.1" customHeight="1" x14ac:dyDescent="0.25">
      <c r="B41" s="23" t="s">
        <v>68</v>
      </c>
      <c r="C41" s="50">
        <v>35</v>
      </c>
      <c r="D41" s="50">
        <v>7</v>
      </c>
      <c r="E41" s="50">
        <v>5</v>
      </c>
      <c r="F41" s="50">
        <v>10</v>
      </c>
      <c r="G41" s="50">
        <v>1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70</v>
      </c>
      <c r="N41" s="50">
        <v>0</v>
      </c>
      <c r="O41" s="15">
        <f t="shared" si="0"/>
        <v>61</v>
      </c>
      <c r="P41" s="15">
        <f t="shared" si="1"/>
        <v>131</v>
      </c>
    </row>
    <row r="42" spans="2:20" ht="23.1" customHeight="1" x14ac:dyDescent="0.25">
      <c r="B42" s="24" t="s">
        <v>69</v>
      </c>
      <c r="C42" s="50">
        <v>35</v>
      </c>
      <c r="D42" s="50">
        <v>8</v>
      </c>
      <c r="E42" s="50">
        <v>11</v>
      </c>
      <c r="F42" s="50">
        <v>13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67</v>
      </c>
      <c r="N42" s="50">
        <v>0</v>
      </c>
      <c r="O42" s="15">
        <f t="shared" si="0"/>
        <v>71</v>
      </c>
      <c r="P42" s="15">
        <f t="shared" si="1"/>
        <v>138</v>
      </c>
    </row>
    <row r="43" spans="2:20" ht="23.1" customHeight="1" x14ac:dyDescent="0.25">
      <c r="B43" s="23" t="s">
        <v>70</v>
      </c>
      <c r="C43" s="50">
        <v>32</v>
      </c>
      <c r="D43" s="50">
        <v>9</v>
      </c>
      <c r="E43" s="50">
        <v>5</v>
      </c>
      <c r="F43" s="50">
        <v>10</v>
      </c>
      <c r="G43" s="50">
        <v>1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70</v>
      </c>
      <c r="N43" s="50">
        <v>0</v>
      </c>
      <c r="O43" s="15">
        <f t="shared" si="0"/>
        <v>59</v>
      </c>
      <c r="P43" s="15">
        <f t="shared" si="1"/>
        <v>129</v>
      </c>
    </row>
    <row r="44" spans="2:20" ht="23.1" customHeight="1" x14ac:dyDescent="0.25">
      <c r="B44" s="25" t="s">
        <v>71</v>
      </c>
      <c r="C44" s="50">
        <v>48</v>
      </c>
      <c r="D44" s="50">
        <v>6</v>
      </c>
      <c r="E44" s="50">
        <v>11</v>
      </c>
      <c r="F44" s="50">
        <v>11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87</v>
      </c>
      <c r="N44" s="50">
        <v>0</v>
      </c>
      <c r="O44" s="15">
        <f t="shared" si="0"/>
        <v>80</v>
      </c>
      <c r="P44" s="15">
        <f t="shared" si="1"/>
        <v>167</v>
      </c>
    </row>
    <row r="45" spans="2:20" ht="23.1" customHeight="1" x14ac:dyDescent="0.25">
      <c r="B45" s="23" t="s">
        <v>72</v>
      </c>
      <c r="C45" s="50">
        <v>42</v>
      </c>
      <c r="D45" s="50">
        <v>8</v>
      </c>
      <c r="E45" s="50">
        <v>3</v>
      </c>
      <c r="F45" s="50">
        <v>7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50">
        <v>100</v>
      </c>
      <c r="N45" s="50">
        <v>0</v>
      </c>
      <c r="O45" s="15">
        <f t="shared" si="0"/>
        <v>64</v>
      </c>
      <c r="P45" s="15">
        <f t="shared" si="1"/>
        <v>164</v>
      </c>
    </row>
    <row r="46" spans="2:20" ht="23.1" customHeight="1" x14ac:dyDescent="0.25">
      <c r="B46" s="24" t="s">
        <v>73</v>
      </c>
      <c r="C46" s="50">
        <v>40</v>
      </c>
      <c r="D46" s="50">
        <v>10</v>
      </c>
      <c r="E46" s="50">
        <v>2</v>
      </c>
      <c r="F46" s="50">
        <v>5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93</v>
      </c>
      <c r="N46" s="50">
        <v>0</v>
      </c>
      <c r="O46" s="15">
        <f t="shared" si="0"/>
        <v>59</v>
      </c>
      <c r="P46" s="15">
        <f t="shared" si="1"/>
        <v>152</v>
      </c>
      <c r="R46" s="8"/>
      <c r="T46"/>
    </row>
    <row r="47" spans="2:20" ht="23.1" customHeight="1" x14ac:dyDescent="0.25">
      <c r="B47" s="24" t="s">
        <v>74</v>
      </c>
      <c r="C47" s="50">
        <v>31</v>
      </c>
      <c r="D47" s="50">
        <v>8</v>
      </c>
      <c r="E47" s="50">
        <v>10</v>
      </c>
      <c r="F47" s="50">
        <v>12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78</v>
      </c>
      <c r="N47" s="50">
        <v>0</v>
      </c>
      <c r="O47" s="15">
        <f t="shared" si="0"/>
        <v>64</v>
      </c>
      <c r="P47" s="15">
        <f t="shared" si="1"/>
        <v>142</v>
      </c>
      <c r="R47" s="8"/>
      <c r="T47"/>
    </row>
    <row r="48" spans="2:20" ht="23.1" customHeight="1" x14ac:dyDescent="0.25">
      <c r="B48" s="24" t="s">
        <v>75</v>
      </c>
      <c r="C48" s="50">
        <v>63</v>
      </c>
      <c r="D48" s="50">
        <v>16</v>
      </c>
      <c r="E48" s="50">
        <v>7</v>
      </c>
      <c r="F48" s="50">
        <v>8</v>
      </c>
      <c r="G48" s="50">
        <v>1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115</v>
      </c>
      <c r="N48" s="50">
        <v>0</v>
      </c>
      <c r="O48" s="15">
        <f t="shared" si="0"/>
        <v>98</v>
      </c>
      <c r="P48" s="15">
        <f t="shared" si="1"/>
        <v>213</v>
      </c>
      <c r="R48" s="8"/>
      <c r="T48"/>
    </row>
    <row r="49" spans="2:20" ht="23.1" customHeight="1" x14ac:dyDescent="0.25">
      <c r="B49" s="23" t="s">
        <v>76</v>
      </c>
      <c r="C49" s="50">
        <v>48</v>
      </c>
      <c r="D49" s="50">
        <v>9</v>
      </c>
      <c r="E49" s="50">
        <v>7</v>
      </c>
      <c r="F49" s="50">
        <v>8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59</v>
      </c>
      <c r="N49" s="50">
        <v>0</v>
      </c>
      <c r="O49" s="15">
        <f t="shared" si="0"/>
        <v>74</v>
      </c>
      <c r="P49" s="15">
        <f t="shared" si="1"/>
        <v>133</v>
      </c>
      <c r="R49" s="8"/>
      <c r="T49"/>
    </row>
    <row r="50" spans="2:20" ht="23.1" customHeight="1" x14ac:dyDescent="0.25">
      <c r="B50" s="24" t="s">
        <v>77</v>
      </c>
      <c r="C50" s="50">
        <v>31</v>
      </c>
      <c r="D50" s="50">
        <v>10</v>
      </c>
      <c r="E50" s="50">
        <v>7</v>
      </c>
      <c r="F50" s="50">
        <v>12</v>
      </c>
      <c r="G50" s="50">
        <v>0</v>
      </c>
      <c r="H50" s="50">
        <v>0</v>
      </c>
      <c r="I50" s="50">
        <v>5</v>
      </c>
      <c r="J50" s="50">
        <v>0</v>
      </c>
      <c r="K50" s="50">
        <v>0</v>
      </c>
      <c r="L50" s="50">
        <v>0</v>
      </c>
      <c r="M50" s="50">
        <v>86</v>
      </c>
      <c r="N50" s="50">
        <v>0</v>
      </c>
      <c r="O50" s="15">
        <f t="shared" si="0"/>
        <v>65</v>
      </c>
      <c r="P50" s="15">
        <f t="shared" si="1"/>
        <v>151</v>
      </c>
      <c r="R50" s="8"/>
      <c r="T50"/>
    </row>
    <row r="51" spans="2:20" ht="23.1" customHeight="1" x14ac:dyDescent="0.25">
      <c r="B51" s="24" t="s">
        <v>78</v>
      </c>
      <c r="C51" s="50">
        <v>47</v>
      </c>
      <c r="D51" s="50">
        <v>9</v>
      </c>
      <c r="E51" s="50">
        <v>2</v>
      </c>
      <c r="F51" s="50">
        <v>10</v>
      </c>
      <c r="G51" s="50">
        <v>1</v>
      </c>
      <c r="H51" s="50">
        <v>0</v>
      </c>
      <c r="I51" s="50">
        <v>5</v>
      </c>
      <c r="J51" s="50">
        <v>0</v>
      </c>
      <c r="K51" s="50">
        <v>0</v>
      </c>
      <c r="L51" s="50">
        <v>0</v>
      </c>
      <c r="M51" s="50">
        <v>73</v>
      </c>
      <c r="N51" s="50">
        <v>0</v>
      </c>
      <c r="O51" s="15">
        <f t="shared" si="0"/>
        <v>74</v>
      </c>
      <c r="P51" s="15">
        <f t="shared" si="1"/>
        <v>147</v>
      </c>
      <c r="R51" s="8"/>
      <c r="T51"/>
    </row>
    <row r="52" spans="2:20" ht="23.1" customHeight="1" x14ac:dyDescent="0.25">
      <c r="B52" s="24" t="s">
        <v>79</v>
      </c>
      <c r="C52" s="50">
        <v>45</v>
      </c>
      <c r="D52" s="50">
        <v>3</v>
      </c>
      <c r="E52" s="50">
        <v>7</v>
      </c>
      <c r="F52" s="50">
        <v>10</v>
      </c>
      <c r="G52" s="50">
        <v>1</v>
      </c>
      <c r="H52" s="50">
        <v>0</v>
      </c>
      <c r="I52" s="50">
        <v>3</v>
      </c>
      <c r="J52" s="50">
        <v>1</v>
      </c>
      <c r="K52" s="50">
        <v>0</v>
      </c>
      <c r="L52" s="50">
        <v>0</v>
      </c>
      <c r="M52" s="50">
        <v>185</v>
      </c>
      <c r="N52" s="50">
        <v>0</v>
      </c>
      <c r="O52" s="15">
        <f t="shared" si="0"/>
        <v>70</v>
      </c>
      <c r="P52" s="15">
        <f t="shared" si="1"/>
        <v>255</v>
      </c>
      <c r="R52" s="8"/>
      <c r="T52"/>
    </row>
    <row r="53" spans="2:20" ht="23.1" customHeight="1" x14ac:dyDescent="0.25">
      <c r="B53" s="23" t="s">
        <v>80</v>
      </c>
      <c r="C53" s="50">
        <v>33</v>
      </c>
      <c r="D53" s="50">
        <v>7</v>
      </c>
      <c r="E53" s="50">
        <v>10</v>
      </c>
      <c r="F53" s="50">
        <v>5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135</v>
      </c>
      <c r="N53" s="50">
        <v>0</v>
      </c>
      <c r="O53" s="15">
        <f t="shared" si="0"/>
        <v>59</v>
      </c>
      <c r="P53" s="15">
        <f t="shared" si="1"/>
        <v>194</v>
      </c>
      <c r="R53" s="8"/>
      <c r="T53"/>
    </row>
    <row r="54" spans="2:20" ht="23.1" customHeight="1" x14ac:dyDescent="0.25">
      <c r="B54" s="23" t="s">
        <v>81</v>
      </c>
      <c r="C54" s="50">
        <v>30</v>
      </c>
      <c r="D54" s="50">
        <v>10</v>
      </c>
      <c r="E54" s="50">
        <v>4</v>
      </c>
      <c r="F54" s="50">
        <v>8</v>
      </c>
      <c r="G54" s="50">
        <v>1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150</v>
      </c>
      <c r="N54" s="50">
        <v>0</v>
      </c>
      <c r="O54" s="15">
        <f t="shared" si="0"/>
        <v>53</v>
      </c>
      <c r="P54" s="15">
        <f t="shared" si="1"/>
        <v>203</v>
      </c>
      <c r="R54" s="8"/>
      <c r="T54"/>
    </row>
    <row r="55" spans="2:20" ht="23.1" customHeight="1" x14ac:dyDescent="0.25">
      <c r="B55" s="23" t="s">
        <v>82</v>
      </c>
      <c r="C55" s="50">
        <v>45</v>
      </c>
      <c r="D55" s="50">
        <v>3</v>
      </c>
      <c r="E55" s="50">
        <v>10</v>
      </c>
      <c r="F55" s="50">
        <v>6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90</v>
      </c>
      <c r="N55" s="50">
        <v>0</v>
      </c>
      <c r="O55" s="15">
        <f t="shared" si="0"/>
        <v>67</v>
      </c>
      <c r="P55" s="15">
        <f t="shared" si="1"/>
        <v>157</v>
      </c>
      <c r="R55" s="8"/>
      <c r="T55"/>
    </row>
    <row r="56" spans="2:20" ht="23.1" customHeight="1" x14ac:dyDescent="0.25">
      <c r="B56" s="23" t="s">
        <v>83</v>
      </c>
      <c r="C56" s="50">
        <v>35</v>
      </c>
      <c r="D56" s="50">
        <v>13</v>
      </c>
      <c r="E56" s="50">
        <v>5</v>
      </c>
      <c r="F56" s="50">
        <v>5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95</v>
      </c>
      <c r="N56" s="50">
        <v>0</v>
      </c>
      <c r="O56" s="15">
        <f t="shared" si="0"/>
        <v>59</v>
      </c>
      <c r="P56" s="15">
        <f t="shared" si="1"/>
        <v>154</v>
      </c>
      <c r="R56" s="8"/>
      <c r="T56"/>
    </row>
    <row r="57" spans="2:20" ht="23.1" customHeight="1" x14ac:dyDescent="0.25">
      <c r="B57" s="23" t="s">
        <v>84</v>
      </c>
      <c r="C57" s="50">
        <v>41</v>
      </c>
      <c r="D57" s="50">
        <v>6</v>
      </c>
      <c r="E57" s="50">
        <v>8</v>
      </c>
      <c r="F57" s="50">
        <v>10</v>
      </c>
      <c r="G57" s="50">
        <v>0</v>
      </c>
      <c r="H57" s="50">
        <v>0</v>
      </c>
      <c r="I57" s="50">
        <v>5</v>
      </c>
      <c r="J57" s="50">
        <v>0</v>
      </c>
      <c r="K57" s="50">
        <v>0</v>
      </c>
      <c r="L57" s="50">
        <v>0</v>
      </c>
      <c r="M57" s="50">
        <v>60</v>
      </c>
      <c r="N57" s="50">
        <v>0</v>
      </c>
      <c r="O57" s="15">
        <f t="shared" si="0"/>
        <v>70</v>
      </c>
      <c r="P57" s="15">
        <f t="shared" si="1"/>
        <v>130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3430</v>
      </c>
      <c r="D58" s="16">
        <f t="shared" si="21"/>
        <v>576</v>
      </c>
      <c r="E58" s="16">
        <f t="shared" si="21"/>
        <v>398</v>
      </c>
      <c r="F58" s="16">
        <f t="shared" si="21"/>
        <v>892</v>
      </c>
      <c r="G58" s="16">
        <f t="shared" si="21"/>
        <v>8</v>
      </c>
      <c r="H58" s="16">
        <f t="shared" si="21"/>
        <v>0</v>
      </c>
      <c r="I58" s="16">
        <f t="shared" si="21"/>
        <v>159</v>
      </c>
      <c r="J58" s="16">
        <f t="shared" si="21"/>
        <v>34</v>
      </c>
      <c r="K58" s="16">
        <f t="shared" si="21"/>
        <v>1</v>
      </c>
      <c r="L58" s="16">
        <f t="shared" si="21"/>
        <v>0</v>
      </c>
      <c r="M58" s="16">
        <f t="shared" si="21"/>
        <v>5436</v>
      </c>
      <c r="N58" s="16">
        <f t="shared" si="21"/>
        <v>0</v>
      </c>
      <c r="O58" s="16">
        <f t="shared" si="21"/>
        <v>5498</v>
      </c>
      <c r="P58" s="16">
        <f t="shared" si="21"/>
        <v>10934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0.31370038412291934</v>
      </c>
      <c r="D59" s="43">
        <f t="shared" si="22"/>
        <v>5.2679714651545639E-2</v>
      </c>
      <c r="E59" s="43">
        <f t="shared" si="22"/>
        <v>3.6400219498811046E-2</v>
      </c>
      <c r="F59" s="43">
        <f t="shared" si="22"/>
        <v>8.1580391439546374E-2</v>
      </c>
      <c r="G59" s="43">
        <f t="shared" si="22"/>
        <v>7.3166270349368941E-4</v>
      </c>
      <c r="H59" s="43">
        <f t="shared" si="22"/>
        <v>0</v>
      </c>
      <c r="I59" s="43">
        <f t="shared" si="22"/>
        <v>1.4541796231937076E-2</v>
      </c>
      <c r="J59" s="43">
        <f t="shared" si="22"/>
        <v>3.1095664898481801E-3</v>
      </c>
      <c r="K59" s="43">
        <f t="shared" si="22"/>
        <v>9.1457837936711176E-5</v>
      </c>
      <c r="L59" s="43">
        <f t="shared" si="22"/>
        <v>0</v>
      </c>
      <c r="M59" s="43">
        <f t="shared" si="22"/>
        <v>0.49716480702396193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0.62386322299017827</v>
      </c>
      <c r="D60" s="44">
        <f t="shared" ref="D60:N60" si="23">D58/$O$58</f>
        <v>0.10476536922517279</v>
      </c>
      <c r="E60" s="44">
        <f t="shared" si="23"/>
        <v>7.2389959985449254E-2</v>
      </c>
      <c r="F60" s="44">
        <f t="shared" si="23"/>
        <v>0.16224081484176064</v>
      </c>
      <c r="G60" s="44">
        <f t="shared" si="23"/>
        <v>1.4550745725718443E-3</v>
      </c>
      <c r="H60" s="44">
        <f t="shared" si="23"/>
        <v>0</v>
      </c>
      <c r="I60" s="44">
        <f t="shared" si="23"/>
        <v>2.8919607129865407E-2</v>
      </c>
      <c r="J60" s="44">
        <f t="shared" si="23"/>
        <v>6.1840669334303384E-3</v>
      </c>
      <c r="K60" s="44">
        <f t="shared" si="23"/>
        <v>1.8188432157148054E-4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Mulago-Kyebando'!C3:G3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'30.07 -Kyebando-Mulago'!D5</f>
        <v>30.07.19</v>
      </c>
      <c r="E5" s="3"/>
      <c r="F5" s="41" t="s">
        <v>1</v>
      </c>
      <c r="G5" s="55" t="str">
        <f>'02.08 Kyebando-Mulago'!G5:H5</f>
        <v>Kisingiri Street</v>
      </c>
      <c r="H5" s="56"/>
      <c r="I5" s="14"/>
      <c r="J5" s="2" t="s">
        <v>5</v>
      </c>
      <c r="K5" s="55" t="s">
        <v>175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'02.08 Mulago-Kyebando'!D6:E6</f>
        <v>Mulago</v>
      </c>
      <c r="E6" s="56"/>
      <c r="F6" s="2" t="s">
        <v>2</v>
      </c>
      <c r="G6" s="55" t="str">
        <f>'02.08 Mulago-Kyebando'!G6:H6</f>
        <v>Kyebando</v>
      </c>
      <c r="H6" s="56"/>
      <c r="J6" s="2" t="s">
        <v>21</v>
      </c>
      <c r="K6" s="55" t="s">
        <v>183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31</v>
      </c>
      <c r="D10" s="50">
        <v>4</v>
      </c>
      <c r="E10" s="50">
        <v>3</v>
      </c>
      <c r="F10" s="50">
        <v>12</v>
      </c>
      <c r="G10" s="50">
        <v>1</v>
      </c>
      <c r="H10" s="50">
        <v>0</v>
      </c>
      <c r="I10" s="50">
        <v>5</v>
      </c>
      <c r="J10" s="50">
        <v>0</v>
      </c>
      <c r="K10" s="50">
        <v>0</v>
      </c>
      <c r="L10" s="50">
        <v>0</v>
      </c>
      <c r="M10" s="50">
        <v>135</v>
      </c>
      <c r="N10" s="50">
        <v>0</v>
      </c>
      <c r="O10" s="15">
        <f t="shared" ref="O10:O57" si="0">SUM(C10:L10,N10)</f>
        <v>56</v>
      </c>
      <c r="P10" s="15">
        <f t="shared" ref="P10:P57" si="1">SUM(C10:N10)</f>
        <v>191</v>
      </c>
      <c r="R10" s="1" t="s">
        <v>6</v>
      </c>
      <c r="S10" s="17">
        <f t="shared" ref="S10:AF10" si="2">SUM(C10:C13)</f>
        <v>102</v>
      </c>
      <c r="T10" s="17">
        <f t="shared" si="2"/>
        <v>10</v>
      </c>
      <c r="U10" s="17">
        <f t="shared" si="2"/>
        <v>15</v>
      </c>
      <c r="V10" s="17">
        <f t="shared" si="2"/>
        <v>50</v>
      </c>
      <c r="W10" s="17">
        <f t="shared" si="2"/>
        <v>4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655</v>
      </c>
      <c r="AD10" s="17">
        <f t="shared" si="2"/>
        <v>0</v>
      </c>
      <c r="AE10" s="31">
        <f t="shared" si="2"/>
        <v>188</v>
      </c>
      <c r="AF10" s="31">
        <f t="shared" si="2"/>
        <v>843</v>
      </c>
    </row>
    <row r="11" spans="2:32" s="6" customFormat="1" ht="23.1" customHeight="1" x14ac:dyDescent="0.25">
      <c r="B11" s="23" t="s">
        <v>38</v>
      </c>
      <c r="C11" s="50">
        <v>22</v>
      </c>
      <c r="D11" s="50">
        <v>3</v>
      </c>
      <c r="E11" s="50">
        <v>5</v>
      </c>
      <c r="F11" s="50">
        <v>14</v>
      </c>
      <c r="G11" s="50">
        <v>2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125</v>
      </c>
      <c r="N11" s="50">
        <v>0</v>
      </c>
      <c r="O11" s="15">
        <f t="shared" si="0"/>
        <v>46</v>
      </c>
      <c r="P11" s="15">
        <f t="shared" si="1"/>
        <v>171</v>
      </c>
      <c r="R11" s="1" t="s">
        <v>7</v>
      </c>
      <c r="S11" s="17">
        <f t="shared" ref="S11:AF11" si="3">SUM(C14:C17)</f>
        <v>113</v>
      </c>
      <c r="T11" s="17">
        <f t="shared" si="3"/>
        <v>14</v>
      </c>
      <c r="U11" s="17">
        <f t="shared" si="3"/>
        <v>8</v>
      </c>
      <c r="V11" s="17">
        <f t="shared" si="3"/>
        <v>39</v>
      </c>
      <c r="W11" s="17">
        <f t="shared" si="3"/>
        <v>1</v>
      </c>
      <c r="X11" s="17">
        <f t="shared" si="3"/>
        <v>0</v>
      </c>
      <c r="Y11" s="17">
        <f t="shared" si="3"/>
        <v>8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727</v>
      </c>
      <c r="AD11" s="17">
        <f t="shared" si="3"/>
        <v>0</v>
      </c>
      <c r="AE11" s="31">
        <f t="shared" si="3"/>
        <v>185</v>
      </c>
      <c r="AF11" s="31">
        <f t="shared" si="3"/>
        <v>912</v>
      </c>
    </row>
    <row r="12" spans="2:32" ht="23.1" customHeight="1" x14ac:dyDescent="0.25">
      <c r="B12" s="23" t="s">
        <v>39</v>
      </c>
      <c r="C12" s="50">
        <v>34</v>
      </c>
      <c r="D12" s="50">
        <v>2</v>
      </c>
      <c r="E12" s="50">
        <v>6</v>
      </c>
      <c r="F12" s="50">
        <v>19</v>
      </c>
      <c r="G12" s="50">
        <v>1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260</v>
      </c>
      <c r="N12" s="50">
        <v>0</v>
      </c>
      <c r="O12" s="15">
        <f t="shared" si="0"/>
        <v>64</v>
      </c>
      <c r="P12" s="15">
        <f t="shared" si="1"/>
        <v>324</v>
      </c>
      <c r="R12" s="1" t="s">
        <v>8</v>
      </c>
      <c r="S12" s="17">
        <f t="shared" ref="S12:AF12" si="4">SUM(C18:C21)</f>
        <v>131</v>
      </c>
      <c r="T12" s="17">
        <f t="shared" si="4"/>
        <v>12</v>
      </c>
      <c r="U12" s="17">
        <f t="shared" si="4"/>
        <v>23</v>
      </c>
      <c r="V12" s="17">
        <f t="shared" si="4"/>
        <v>57</v>
      </c>
      <c r="W12" s="17">
        <f t="shared" si="4"/>
        <v>2</v>
      </c>
      <c r="X12" s="17">
        <f t="shared" si="4"/>
        <v>0</v>
      </c>
      <c r="Y12" s="17">
        <f t="shared" si="4"/>
        <v>11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701</v>
      </c>
      <c r="AD12" s="17">
        <f t="shared" si="4"/>
        <v>0</v>
      </c>
      <c r="AE12" s="31">
        <f t="shared" si="4"/>
        <v>240</v>
      </c>
      <c r="AF12" s="31">
        <f t="shared" si="4"/>
        <v>941</v>
      </c>
    </row>
    <row r="13" spans="2:32" ht="23.1" customHeight="1" x14ac:dyDescent="0.25">
      <c r="B13" s="23" t="s">
        <v>40</v>
      </c>
      <c r="C13" s="50">
        <v>15</v>
      </c>
      <c r="D13" s="50">
        <v>1</v>
      </c>
      <c r="E13" s="50">
        <v>1</v>
      </c>
      <c r="F13" s="50">
        <v>5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135</v>
      </c>
      <c r="N13" s="50">
        <v>0</v>
      </c>
      <c r="O13" s="15">
        <f t="shared" si="0"/>
        <v>22</v>
      </c>
      <c r="P13" s="15">
        <f t="shared" si="1"/>
        <v>157</v>
      </c>
      <c r="R13" s="1" t="s">
        <v>9</v>
      </c>
      <c r="S13" s="17">
        <f t="shared" ref="S13:AF13" si="5">SUM(C22:C25)</f>
        <v>137</v>
      </c>
      <c r="T13" s="17">
        <f t="shared" si="5"/>
        <v>29</v>
      </c>
      <c r="U13" s="17">
        <f t="shared" si="5"/>
        <v>29</v>
      </c>
      <c r="V13" s="17">
        <f t="shared" si="5"/>
        <v>49</v>
      </c>
      <c r="W13" s="17">
        <f t="shared" si="5"/>
        <v>1</v>
      </c>
      <c r="X13" s="17">
        <f t="shared" si="5"/>
        <v>0</v>
      </c>
      <c r="Y13" s="17">
        <f t="shared" si="5"/>
        <v>16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597</v>
      </c>
      <c r="AD13" s="17">
        <f t="shared" si="5"/>
        <v>0</v>
      </c>
      <c r="AE13" s="31">
        <f t="shared" si="5"/>
        <v>262</v>
      </c>
      <c r="AF13" s="31">
        <f t="shared" si="5"/>
        <v>859</v>
      </c>
    </row>
    <row r="14" spans="2:32" ht="23.1" customHeight="1" x14ac:dyDescent="0.25">
      <c r="B14" s="23" t="s">
        <v>41</v>
      </c>
      <c r="C14" s="50">
        <v>32</v>
      </c>
      <c r="D14" s="50">
        <v>2</v>
      </c>
      <c r="E14" s="50">
        <v>0</v>
      </c>
      <c r="F14" s="50">
        <v>3</v>
      </c>
      <c r="G14" s="50">
        <v>1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181</v>
      </c>
      <c r="N14" s="50">
        <v>0</v>
      </c>
      <c r="O14" s="15">
        <f t="shared" si="0"/>
        <v>40</v>
      </c>
      <c r="P14" s="15">
        <f t="shared" si="1"/>
        <v>221</v>
      </c>
      <c r="R14" s="1" t="s">
        <v>10</v>
      </c>
      <c r="S14" s="17">
        <f t="shared" ref="S14:AF14" si="6">SUM(C26:C29)</f>
        <v>133</v>
      </c>
      <c r="T14" s="17">
        <f t="shared" si="6"/>
        <v>21</v>
      </c>
      <c r="U14" s="17">
        <f t="shared" si="6"/>
        <v>29</v>
      </c>
      <c r="V14" s="17">
        <f t="shared" si="6"/>
        <v>48</v>
      </c>
      <c r="W14" s="17">
        <f t="shared" si="6"/>
        <v>1</v>
      </c>
      <c r="X14" s="17">
        <f t="shared" si="6"/>
        <v>0</v>
      </c>
      <c r="Y14" s="17">
        <f t="shared" si="6"/>
        <v>26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329</v>
      </c>
      <c r="AD14" s="17">
        <f t="shared" si="6"/>
        <v>0</v>
      </c>
      <c r="AE14" s="31">
        <f t="shared" si="6"/>
        <v>261</v>
      </c>
      <c r="AF14" s="31">
        <f t="shared" si="6"/>
        <v>590</v>
      </c>
    </row>
    <row r="15" spans="2:32" ht="23.1" customHeight="1" x14ac:dyDescent="0.25">
      <c r="B15" s="23" t="s">
        <v>42</v>
      </c>
      <c r="C15" s="50">
        <v>29</v>
      </c>
      <c r="D15" s="50">
        <v>4</v>
      </c>
      <c r="E15" s="50">
        <v>3</v>
      </c>
      <c r="F15" s="50">
        <v>15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160</v>
      </c>
      <c r="N15" s="50">
        <v>0</v>
      </c>
      <c r="O15" s="15">
        <f t="shared" si="0"/>
        <v>54</v>
      </c>
      <c r="P15" s="15">
        <f t="shared" si="1"/>
        <v>214</v>
      </c>
      <c r="R15" s="1" t="s">
        <v>11</v>
      </c>
      <c r="S15" s="17">
        <f t="shared" ref="S15:AF15" si="7">SUM(C30:C33)</f>
        <v>148</v>
      </c>
      <c r="T15" s="17">
        <f t="shared" si="7"/>
        <v>11</v>
      </c>
      <c r="U15" s="17">
        <f t="shared" si="7"/>
        <v>31</v>
      </c>
      <c r="V15" s="17">
        <f t="shared" si="7"/>
        <v>36</v>
      </c>
      <c r="W15" s="17">
        <f t="shared" si="7"/>
        <v>1</v>
      </c>
      <c r="X15" s="17">
        <f t="shared" si="7"/>
        <v>1</v>
      </c>
      <c r="Y15" s="17">
        <f t="shared" si="7"/>
        <v>28</v>
      </c>
      <c r="Z15" s="17">
        <f t="shared" si="7"/>
        <v>5</v>
      </c>
      <c r="AA15" s="17">
        <f t="shared" si="7"/>
        <v>1</v>
      </c>
      <c r="AB15" s="17">
        <f t="shared" si="7"/>
        <v>0</v>
      </c>
      <c r="AC15" s="17">
        <f t="shared" si="7"/>
        <v>316</v>
      </c>
      <c r="AD15" s="17">
        <f t="shared" si="7"/>
        <v>0</v>
      </c>
      <c r="AE15" s="31">
        <f t="shared" si="7"/>
        <v>262</v>
      </c>
      <c r="AF15" s="31">
        <f t="shared" si="7"/>
        <v>578</v>
      </c>
    </row>
    <row r="16" spans="2:32" ht="23.1" customHeight="1" x14ac:dyDescent="0.25">
      <c r="B16" s="23" t="s">
        <v>43</v>
      </c>
      <c r="C16" s="50">
        <v>29</v>
      </c>
      <c r="D16" s="50">
        <v>3</v>
      </c>
      <c r="E16" s="50">
        <v>3</v>
      </c>
      <c r="F16" s="50">
        <v>11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215</v>
      </c>
      <c r="N16" s="50">
        <v>0</v>
      </c>
      <c r="O16" s="15">
        <f t="shared" si="0"/>
        <v>49</v>
      </c>
      <c r="P16" s="15">
        <f t="shared" si="1"/>
        <v>264</v>
      </c>
      <c r="R16" s="1" t="s">
        <v>12</v>
      </c>
      <c r="S16" s="17">
        <f t="shared" ref="S16:AF16" si="8">SUM(C34:C37)</f>
        <v>169</v>
      </c>
      <c r="T16" s="17">
        <f t="shared" si="8"/>
        <v>23</v>
      </c>
      <c r="U16" s="17">
        <f t="shared" si="8"/>
        <v>31</v>
      </c>
      <c r="V16" s="17">
        <f t="shared" si="8"/>
        <v>46</v>
      </c>
      <c r="W16" s="17">
        <f t="shared" si="8"/>
        <v>1</v>
      </c>
      <c r="X16" s="17">
        <f t="shared" si="8"/>
        <v>0</v>
      </c>
      <c r="Y16" s="17">
        <f t="shared" si="8"/>
        <v>19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301</v>
      </c>
      <c r="AD16" s="17">
        <f t="shared" si="8"/>
        <v>0</v>
      </c>
      <c r="AE16" s="31">
        <f t="shared" si="8"/>
        <v>293</v>
      </c>
      <c r="AF16" s="31">
        <f t="shared" si="8"/>
        <v>594</v>
      </c>
    </row>
    <row r="17" spans="2:32" ht="23.1" customHeight="1" x14ac:dyDescent="0.25">
      <c r="B17" s="23" t="s">
        <v>44</v>
      </c>
      <c r="C17" s="50">
        <v>23</v>
      </c>
      <c r="D17" s="50">
        <v>5</v>
      </c>
      <c r="E17" s="50">
        <v>2</v>
      </c>
      <c r="F17" s="50">
        <v>10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171</v>
      </c>
      <c r="N17" s="50">
        <v>0</v>
      </c>
      <c r="O17" s="15">
        <f t="shared" si="0"/>
        <v>42</v>
      </c>
      <c r="P17" s="15">
        <f t="shared" si="1"/>
        <v>213</v>
      </c>
      <c r="R17" s="1" t="s">
        <v>13</v>
      </c>
      <c r="S17" s="17">
        <f t="shared" ref="S17:AF17" si="9">SUM(C38:C41)</f>
        <v>184</v>
      </c>
      <c r="T17" s="17">
        <f t="shared" si="9"/>
        <v>27</v>
      </c>
      <c r="U17" s="17">
        <f t="shared" si="9"/>
        <v>21</v>
      </c>
      <c r="V17" s="17">
        <f t="shared" si="9"/>
        <v>29</v>
      </c>
      <c r="W17" s="17">
        <f t="shared" si="9"/>
        <v>1</v>
      </c>
      <c r="X17" s="17">
        <f t="shared" si="9"/>
        <v>1</v>
      </c>
      <c r="Y17" s="17">
        <f t="shared" si="9"/>
        <v>18</v>
      </c>
      <c r="Z17" s="17">
        <f t="shared" si="9"/>
        <v>4</v>
      </c>
      <c r="AA17" s="17">
        <f t="shared" si="9"/>
        <v>1</v>
      </c>
      <c r="AB17" s="17">
        <f t="shared" si="9"/>
        <v>0</v>
      </c>
      <c r="AC17" s="17">
        <f t="shared" si="9"/>
        <v>315</v>
      </c>
      <c r="AD17" s="17">
        <f t="shared" si="9"/>
        <v>0</v>
      </c>
      <c r="AE17" s="31">
        <f t="shared" si="9"/>
        <v>286</v>
      </c>
      <c r="AF17" s="31">
        <f t="shared" si="9"/>
        <v>601</v>
      </c>
    </row>
    <row r="18" spans="2:32" ht="23.1" customHeight="1" x14ac:dyDescent="0.25">
      <c r="B18" s="23" t="s">
        <v>45</v>
      </c>
      <c r="C18" s="50">
        <v>36</v>
      </c>
      <c r="D18" s="50">
        <v>4</v>
      </c>
      <c r="E18" s="50">
        <v>3</v>
      </c>
      <c r="F18" s="50">
        <v>2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235</v>
      </c>
      <c r="N18" s="50">
        <v>0</v>
      </c>
      <c r="O18" s="15">
        <f t="shared" si="0"/>
        <v>47</v>
      </c>
      <c r="P18" s="15">
        <f t="shared" si="1"/>
        <v>282</v>
      </c>
      <c r="R18" s="1" t="s">
        <v>14</v>
      </c>
      <c r="S18" s="17">
        <f t="shared" ref="S18:AF18" si="10">SUM(C42:C45)</f>
        <v>233</v>
      </c>
      <c r="T18" s="17">
        <f t="shared" si="10"/>
        <v>32</v>
      </c>
      <c r="U18" s="17">
        <f t="shared" si="10"/>
        <v>45</v>
      </c>
      <c r="V18" s="17">
        <f t="shared" si="10"/>
        <v>41</v>
      </c>
      <c r="W18" s="17">
        <f t="shared" si="10"/>
        <v>0</v>
      </c>
      <c r="X18" s="17">
        <f t="shared" si="10"/>
        <v>1</v>
      </c>
      <c r="Y18" s="17">
        <f t="shared" si="10"/>
        <v>18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318</v>
      </c>
      <c r="AD18" s="17">
        <f t="shared" si="10"/>
        <v>0</v>
      </c>
      <c r="AE18" s="31">
        <f t="shared" si="10"/>
        <v>374</v>
      </c>
      <c r="AF18" s="31">
        <f t="shared" si="10"/>
        <v>692</v>
      </c>
    </row>
    <row r="19" spans="2:32" ht="23.1" customHeight="1" x14ac:dyDescent="0.25">
      <c r="B19" s="23" t="s">
        <v>46</v>
      </c>
      <c r="C19" s="50">
        <v>34</v>
      </c>
      <c r="D19" s="50">
        <v>1</v>
      </c>
      <c r="E19" s="50">
        <v>4</v>
      </c>
      <c r="F19" s="50">
        <v>16</v>
      </c>
      <c r="G19" s="50">
        <v>1</v>
      </c>
      <c r="H19" s="50">
        <v>0</v>
      </c>
      <c r="I19" s="50">
        <v>5</v>
      </c>
      <c r="J19" s="50">
        <v>0</v>
      </c>
      <c r="K19" s="50">
        <v>0</v>
      </c>
      <c r="L19" s="50">
        <v>0</v>
      </c>
      <c r="M19" s="50">
        <v>175</v>
      </c>
      <c r="N19" s="50">
        <v>0</v>
      </c>
      <c r="O19" s="15">
        <f t="shared" si="0"/>
        <v>61</v>
      </c>
      <c r="P19" s="15">
        <f t="shared" si="1"/>
        <v>236</v>
      </c>
      <c r="R19" s="1" t="s">
        <v>15</v>
      </c>
      <c r="S19" s="17">
        <f t="shared" ref="S19:AF19" si="11">SUM(C46:C49)</f>
        <v>371</v>
      </c>
      <c r="T19" s="17">
        <f t="shared" si="11"/>
        <v>47</v>
      </c>
      <c r="U19" s="17">
        <f t="shared" si="11"/>
        <v>32</v>
      </c>
      <c r="V19" s="17">
        <f t="shared" si="11"/>
        <v>47</v>
      </c>
      <c r="W19" s="17">
        <f t="shared" si="11"/>
        <v>2</v>
      </c>
      <c r="X19" s="17">
        <f t="shared" si="11"/>
        <v>0</v>
      </c>
      <c r="Y19" s="17">
        <f t="shared" si="11"/>
        <v>16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335</v>
      </c>
      <c r="AD19" s="17">
        <f t="shared" si="11"/>
        <v>0</v>
      </c>
      <c r="AE19" s="31">
        <f t="shared" si="11"/>
        <v>517</v>
      </c>
      <c r="AF19" s="31">
        <f t="shared" si="11"/>
        <v>852</v>
      </c>
    </row>
    <row r="20" spans="2:32" ht="23.1" customHeight="1" x14ac:dyDescent="0.25">
      <c r="B20" s="23" t="s">
        <v>47</v>
      </c>
      <c r="C20" s="50">
        <v>38</v>
      </c>
      <c r="D20" s="50">
        <v>3</v>
      </c>
      <c r="E20" s="50">
        <v>5</v>
      </c>
      <c r="F20" s="50">
        <v>31</v>
      </c>
      <c r="G20" s="50">
        <v>1</v>
      </c>
      <c r="H20" s="50">
        <v>0</v>
      </c>
      <c r="I20" s="50">
        <v>2</v>
      </c>
      <c r="J20" s="50">
        <v>3</v>
      </c>
      <c r="K20" s="50">
        <v>0</v>
      </c>
      <c r="L20" s="50">
        <v>0</v>
      </c>
      <c r="M20" s="50">
        <v>180</v>
      </c>
      <c r="N20" s="50">
        <v>0</v>
      </c>
      <c r="O20" s="15">
        <f t="shared" si="0"/>
        <v>83</v>
      </c>
      <c r="P20" s="15">
        <f t="shared" si="1"/>
        <v>263</v>
      </c>
      <c r="R20" s="1" t="s">
        <v>16</v>
      </c>
      <c r="S20" s="17">
        <f t="shared" ref="S20:AF20" si="12">SUM(C50:C53)</f>
        <v>635</v>
      </c>
      <c r="T20" s="17">
        <f t="shared" si="12"/>
        <v>57</v>
      </c>
      <c r="U20" s="17">
        <f t="shared" si="12"/>
        <v>43</v>
      </c>
      <c r="V20" s="17">
        <f t="shared" si="12"/>
        <v>53</v>
      </c>
      <c r="W20" s="17">
        <f t="shared" si="12"/>
        <v>2</v>
      </c>
      <c r="X20" s="17">
        <f t="shared" si="12"/>
        <v>1</v>
      </c>
      <c r="Y20" s="17">
        <f t="shared" si="12"/>
        <v>19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386</v>
      </c>
      <c r="AD20" s="17">
        <f t="shared" si="12"/>
        <v>0</v>
      </c>
      <c r="AE20" s="31">
        <f t="shared" si="12"/>
        <v>814</v>
      </c>
      <c r="AF20" s="31">
        <f t="shared" si="12"/>
        <v>1200</v>
      </c>
    </row>
    <row r="21" spans="2:32" ht="23.1" customHeight="1" x14ac:dyDescent="0.25">
      <c r="B21" s="23" t="s">
        <v>48</v>
      </c>
      <c r="C21" s="50">
        <v>23</v>
      </c>
      <c r="D21" s="50">
        <v>4</v>
      </c>
      <c r="E21" s="50">
        <v>11</v>
      </c>
      <c r="F21" s="50">
        <v>8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111</v>
      </c>
      <c r="N21" s="50">
        <v>0</v>
      </c>
      <c r="O21" s="15">
        <f t="shared" si="0"/>
        <v>49</v>
      </c>
      <c r="P21" s="15">
        <f t="shared" si="1"/>
        <v>160</v>
      </c>
      <c r="R21" s="36" t="s">
        <v>20</v>
      </c>
      <c r="S21" s="34">
        <f t="shared" ref="S21:AF21" si="13">SUM(C54:C57)</f>
        <v>535</v>
      </c>
      <c r="T21" s="17">
        <f t="shared" si="13"/>
        <v>23</v>
      </c>
      <c r="U21" s="17">
        <f t="shared" si="13"/>
        <v>25</v>
      </c>
      <c r="V21" s="17">
        <f t="shared" si="13"/>
        <v>70</v>
      </c>
      <c r="W21" s="17">
        <f t="shared" si="13"/>
        <v>2</v>
      </c>
      <c r="X21" s="17">
        <f t="shared" si="13"/>
        <v>0</v>
      </c>
      <c r="Y21" s="17">
        <f t="shared" si="13"/>
        <v>14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280</v>
      </c>
      <c r="AD21" s="17">
        <f t="shared" si="13"/>
        <v>0</v>
      </c>
      <c r="AE21" s="31">
        <f t="shared" si="13"/>
        <v>669</v>
      </c>
      <c r="AF21" s="31">
        <f t="shared" si="13"/>
        <v>949</v>
      </c>
    </row>
    <row r="22" spans="2:32" ht="23.1" customHeight="1" x14ac:dyDescent="0.25">
      <c r="B22" s="23" t="s">
        <v>49</v>
      </c>
      <c r="C22" s="50">
        <v>20</v>
      </c>
      <c r="D22" s="50">
        <v>6</v>
      </c>
      <c r="E22" s="50">
        <v>5</v>
      </c>
      <c r="F22" s="50">
        <v>6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137</v>
      </c>
      <c r="N22" s="50">
        <v>0</v>
      </c>
      <c r="O22" s="15">
        <f t="shared" si="0"/>
        <v>40</v>
      </c>
      <c r="P22" s="15">
        <f t="shared" si="1"/>
        <v>177</v>
      </c>
      <c r="R22" s="38" t="s">
        <v>90</v>
      </c>
      <c r="S22" s="39">
        <f>MAX(S10:S12)</f>
        <v>131</v>
      </c>
      <c r="T22" s="39">
        <f t="shared" ref="T22:AF22" si="14">MAX(T10:T12)</f>
        <v>14</v>
      </c>
      <c r="U22" s="39">
        <f t="shared" si="14"/>
        <v>23</v>
      </c>
      <c r="V22" s="39">
        <f t="shared" si="14"/>
        <v>57</v>
      </c>
      <c r="W22" s="39">
        <f t="shared" si="14"/>
        <v>4</v>
      </c>
      <c r="X22" s="39">
        <f t="shared" si="14"/>
        <v>0</v>
      </c>
      <c r="Y22" s="39">
        <f t="shared" si="14"/>
        <v>11</v>
      </c>
      <c r="Z22" s="39">
        <f t="shared" si="14"/>
        <v>4</v>
      </c>
      <c r="AA22" s="39">
        <f t="shared" si="14"/>
        <v>0</v>
      </c>
      <c r="AB22" s="39">
        <f t="shared" si="14"/>
        <v>0</v>
      </c>
      <c r="AC22" s="39">
        <f t="shared" si="14"/>
        <v>727</v>
      </c>
      <c r="AD22" s="39">
        <f t="shared" si="14"/>
        <v>0</v>
      </c>
      <c r="AE22" s="40">
        <f t="shared" si="14"/>
        <v>240</v>
      </c>
      <c r="AF22" s="40">
        <f t="shared" si="14"/>
        <v>941</v>
      </c>
    </row>
    <row r="23" spans="2:32" ht="23.1" customHeight="1" x14ac:dyDescent="0.25">
      <c r="B23" s="23" t="s">
        <v>50</v>
      </c>
      <c r="C23" s="50">
        <v>46</v>
      </c>
      <c r="D23" s="50">
        <v>10</v>
      </c>
      <c r="E23" s="50">
        <v>7</v>
      </c>
      <c r="F23" s="50">
        <v>17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160</v>
      </c>
      <c r="N23" s="50">
        <v>0</v>
      </c>
      <c r="O23" s="15">
        <f t="shared" si="0"/>
        <v>83</v>
      </c>
      <c r="P23" s="15">
        <f t="shared" si="1"/>
        <v>243</v>
      </c>
      <c r="R23" s="38" t="s">
        <v>91</v>
      </c>
      <c r="S23" s="39">
        <f>MAX(S13:S18)</f>
        <v>233</v>
      </c>
      <c r="T23" s="39">
        <f t="shared" ref="T23:AF23" si="15">MAX(T13:T18)</f>
        <v>32</v>
      </c>
      <c r="U23" s="39">
        <f t="shared" si="15"/>
        <v>45</v>
      </c>
      <c r="V23" s="39">
        <f t="shared" si="15"/>
        <v>49</v>
      </c>
      <c r="W23" s="39">
        <f t="shared" si="15"/>
        <v>1</v>
      </c>
      <c r="X23" s="39">
        <f t="shared" si="15"/>
        <v>1</v>
      </c>
      <c r="Y23" s="39">
        <f t="shared" si="15"/>
        <v>28</v>
      </c>
      <c r="Z23" s="39">
        <f t="shared" si="15"/>
        <v>5</v>
      </c>
      <c r="AA23" s="39">
        <f t="shared" si="15"/>
        <v>1</v>
      </c>
      <c r="AB23" s="39">
        <f t="shared" si="15"/>
        <v>0</v>
      </c>
      <c r="AC23" s="39">
        <f t="shared" si="15"/>
        <v>597</v>
      </c>
      <c r="AD23" s="39">
        <f t="shared" si="15"/>
        <v>0</v>
      </c>
      <c r="AE23" s="40">
        <f t="shared" si="15"/>
        <v>374</v>
      </c>
      <c r="AF23" s="40">
        <f t="shared" si="15"/>
        <v>859</v>
      </c>
    </row>
    <row r="24" spans="2:32" ht="23.1" customHeight="1" x14ac:dyDescent="0.25">
      <c r="B24" s="23" t="s">
        <v>51</v>
      </c>
      <c r="C24" s="50">
        <v>25</v>
      </c>
      <c r="D24" s="50">
        <v>7</v>
      </c>
      <c r="E24" s="50">
        <v>9</v>
      </c>
      <c r="F24" s="50">
        <v>12</v>
      </c>
      <c r="G24" s="50">
        <v>0</v>
      </c>
      <c r="H24" s="50">
        <v>0</v>
      </c>
      <c r="I24" s="50">
        <v>3</v>
      </c>
      <c r="J24" s="50">
        <v>0</v>
      </c>
      <c r="K24" s="50">
        <v>1</v>
      </c>
      <c r="L24" s="50">
        <v>0</v>
      </c>
      <c r="M24" s="50">
        <v>140</v>
      </c>
      <c r="N24" s="50">
        <v>0</v>
      </c>
      <c r="O24" s="15">
        <f t="shared" si="0"/>
        <v>57</v>
      </c>
      <c r="P24" s="15">
        <f t="shared" si="1"/>
        <v>197</v>
      </c>
      <c r="R24" s="38" t="s">
        <v>92</v>
      </c>
      <c r="S24" s="39">
        <f>MAX(S19:S21)</f>
        <v>635</v>
      </c>
      <c r="T24" s="39">
        <f t="shared" ref="T24:AF24" si="16">MAX(T19:T21)</f>
        <v>57</v>
      </c>
      <c r="U24" s="39">
        <f t="shared" si="16"/>
        <v>43</v>
      </c>
      <c r="V24" s="39">
        <f t="shared" si="16"/>
        <v>70</v>
      </c>
      <c r="W24" s="39">
        <f t="shared" si="16"/>
        <v>2</v>
      </c>
      <c r="X24" s="39">
        <f t="shared" si="16"/>
        <v>1</v>
      </c>
      <c r="Y24" s="39">
        <f t="shared" si="16"/>
        <v>19</v>
      </c>
      <c r="Z24" s="39">
        <f t="shared" si="16"/>
        <v>3</v>
      </c>
      <c r="AA24" s="39">
        <f t="shared" si="16"/>
        <v>1</v>
      </c>
      <c r="AB24" s="39">
        <f t="shared" si="16"/>
        <v>0</v>
      </c>
      <c r="AC24" s="39">
        <f t="shared" si="16"/>
        <v>386</v>
      </c>
      <c r="AD24" s="39">
        <f t="shared" si="16"/>
        <v>0</v>
      </c>
      <c r="AE24" s="40">
        <f t="shared" si="16"/>
        <v>814</v>
      </c>
      <c r="AF24" s="40">
        <f t="shared" si="16"/>
        <v>1200</v>
      </c>
    </row>
    <row r="25" spans="2:32" ht="23.1" customHeight="1" x14ac:dyDescent="0.25">
      <c r="B25" s="23" t="s">
        <v>52</v>
      </c>
      <c r="C25" s="50">
        <v>46</v>
      </c>
      <c r="D25" s="50">
        <v>6</v>
      </c>
      <c r="E25" s="50">
        <v>8</v>
      </c>
      <c r="F25" s="50">
        <v>14</v>
      </c>
      <c r="G25" s="50">
        <v>1</v>
      </c>
      <c r="H25" s="50">
        <v>0</v>
      </c>
      <c r="I25" s="50">
        <v>7</v>
      </c>
      <c r="J25" s="50">
        <v>0</v>
      </c>
      <c r="K25" s="50">
        <v>0</v>
      </c>
      <c r="L25" s="50">
        <v>0</v>
      </c>
      <c r="M25" s="50">
        <v>160</v>
      </c>
      <c r="N25" s="50">
        <v>0</v>
      </c>
      <c r="O25" s="15">
        <f t="shared" si="0"/>
        <v>82</v>
      </c>
      <c r="P25" s="15">
        <f t="shared" si="1"/>
        <v>242</v>
      </c>
      <c r="R25" s="37" t="s">
        <v>85</v>
      </c>
      <c r="S25" s="35">
        <f t="shared" ref="S25:AF25" si="17">SUM(S10:S12)</f>
        <v>346</v>
      </c>
      <c r="T25" s="16">
        <f t="shared" si="17"/>
        <v>36</v>
      </c>
      <c r="U25" s="16">
        <f t="shared" si="17"/>
        <v>46</v>
      </c>
      <c r="V25" s="16">
        <f t="shared" si="17"/>
        <v>146</v>
      </c>
      <c r="W25" s="16">
        <f t="shared" si="17"/>
        <v>7</v>
      </c>
      <c r="X25" s="16">
        <f t="shared" si="17"/>
        <v>0</v>
      </c>
      <c r="Y25" s="16">
        <f t="shared" si="17"/>
        <v>26</v>
      </c>
      <c r="Z25" s="16">
        <f t="shared" si="17"/>
        <v>6</v>
      </c>
      <c r="AA25" s="16">
        <f t="shared" si="17"/>
        <v>0</v>
      </c>
      <c r="AB25" s="16">
        <f t="shared" si="17"/>
        <v>0</v>
      </c>
      <c r="AC25" s="16">
        <f t="shared" si="17"/>
        <v>2083</v>
      </c>
      <c r="AD25" s="16">
        <f t="shared" si="17"/>
        <v>0</v>
      </c>
      <c r="AE25" s="32">
        <f t="shared" si="17"/>
        <v>613</v>
      </c>
      <c r="AF25" s="32">
        <f t="shared" si="17"/>
        <v>2696</v>
      </c>
    </row>
    <row r="26" spans="2:32" ht="23.1" customHeight="1" x14ac:dyDescent="0.25">
      <c r="B26" s="23" t="s">
        <v>53</v>
      </c>
      <c r="C26" s="50">
        <v>50</v>
      </c>
      <c r="D26" s="50">
        <v>8</v>
      </c>
      <c r="E26" s="50">
        <v>9</v>
      </c>
      <c r="F26" s="50">
        <v>16</v>
      </c>
      <c r="G26" s="50">
        <v>1</v>
      </c>
      <c r="H26" s="50">
        <v>0</v>
      </c>
      <c r="I26" s="50">
        <v>12</v>
      </c>
      <c r="J26" s="50">
        <v>0</v>
      </c>
      <c r="K26" s="50">
        <v>0</v>
      </c>
      <c r="L26" s="50">
        <v>0</v>
      </c>
      <c r="M26" s="50">
        <v>120</v>
      </c>
      <c r="N26" s="50">
        <v>0</v>
      </c>
      <c r="O26" s="15">
        <f t="shared" si="0"/>
        <v>96</v>
      </c>
      <c r="P26" s="15">
        <f t="shared" si="1"/>
        <v>216</v>
      </c>
      <c r="R26" s="28" t="s">
        <v>86</v>
      </c>
      <c r="S26" s="16">
        <f t="shared" ref="S26:AF26" si="18">SUM(S13:S18)</f>
        <v>1004</v>
      </c>
      <c r="T26" s="16">
        <f t="shared" si="18"/>
        <v>143</v>
      </c>
      <c r="U26" s="16">
        <f t="shared" si="18"/>
        <v>186</v>
      </c>
      <c r="V26" s="16">
        <f t="shared" si="18"/>
        <v>249</v>
      </c>
      <c r="W26" s="16">
        <f t="shared" si="18"/>
        <v>5</v>
      </c>
      <c r="X26" s="16">
        <f t="shared" si="18"/>
        <v>3</v>
      </c>
      <c r="Y26" s="16">
        <f t="shared" si="18"/>
        <v>125</v>
      </c>
      <c r="Z26" s="16">
        <f t="shared" si="18"/>
        <v>20</v>
      </c>
      <c r="AA26" s="16">
        <f t="shared" si="18"/>
        <v>3</v>
      </c>
      <c r="AB26" s="16">
        <f t="shared" si="18"/>
        <v>0</v>
      </c>
      <c r="AC26" s="16">
        <f t="shared" si="18"/>
        <v>2176</v>
      </c>
      <c r="AD26" s="16">
        <f t="shared" si="18"/>
        <v>0</v>
      </c>
      <c r="AE26" s="32">
        <f t="shared" si="18"/>
        <v>1738</v>
      </c>
      <c r="AF26" s="32">
        <f t="shared" si="18"/>
        <v>3914</v>
      </c>
    </row>
    <row r="27" spans="2:32" ht="23.1" customHeight="1" x14ac:dyDescent="0.25">
      <c r="B27" s="23" t="s">
        <v>54</v>
      </c>
      <c r="C27" s="50">
        <v>22</v>
      </c>
      <c r="D27" s="50">
        <v>2</v>
      </c>
      <c r="E27" s="50">
        <v>11</v>
      </c>
      <c r="F27" s="50">
        <v>13</v>
      </c>
      <c r="G27" s="50">
        <v>0</v>
      </c>
      <c r="H27" s="50">
        <v>0</v>
      </c>
      <c r="I27" s="50">
        <v>4</v>
      </c>
      <c r="J27" s="50">
        <v>1</v>
      </c>
      <c r="K27" s="50">
        <v>0</v>
      </c>
      <c r="L27" s="50">
        <v>0</v>
      </c>
      <c r="M27" s="50">
        <v>90</v>
      </c>
      <c r="N27" s="50">
        <v>0</v>
      </c>
      <c r="O27" s="15">
        <f t="shared" si="0"/>
        <v>53</v>
      </c>
      <c r="P27" s="15">
        <f t="shared" si="1"/>
        <v>143</v>
      </c>
      <c r="R27" s="29" t="s">
        <v>87</v>
      </c>
      <c r="S27" s="16">
        <f t="shared" ref="S27:AF27" si="19">SUM(S19:S21)</f>
        <v>1541</v>
      </c>
      <c r="T27" s="16">
        <f t="shared" si="19"/>
        <v>127</v>
      </c>
      <c r="U27" s="16">
        <f t="shared" si="19"/>
        <v>100</v>
      </c>
      <c r="V27" s="16">
        <f t="shared" si="19"/>
        <v>170</v>
      </c>
      <c r="W27" s="16">
        <f t="shared" si="19"/>
        <v>6</v>
      </c>
      <c r="X27" s="16">
        <f t="shared" si="19"/>
        <v>1</v>
      </c>
      <c r="Y27" s="16">
        <f t="shared" si="19"/>
        <v>49</v>
      </c>
      <c r="Z27" s="16">
        <f t="shared" si="19"/>
        <v>5</v>
      </c>
      <c r="AA27" s="16">
        <f t="shared" si="19"/>
        <v>1</v>
      </c>
      <c r="AB27" s="16">
        <f t="shared" si="19"/>
        <v>0</v>
      </c>
      <c r="AC27" s="16">
        <f t="shared" si="19"/>
        <v>1001</v>
      </c>
      <c r="AD27" s="16">
        <f t="shared" si="19"/>
        <v>0</v>
      </c>
      <c r="AE27" s="32">
        <f t="shared" si="19"/>
        <v>2000</v>
      </c>
      <c r="AF27" s="32">
        <f t="shared" si="19"/>
        <v>3001</v>
      </c>
    </row>
    <row r="28" spans="2:32" ht="23.1" customHeight="1" x14ac:dyDescent="0.25">
      <c r="B28" s="23" t="s">
        <v>55</v>
      </c>
      <c r="C28" s="50">
        <v>27</v>
      </c>
      <c r="D28" s="50">
        <v>5</v>
      </c>
      <c r="E28" s="50">
        <v>2</v>
      </c>
      <c r="F28" s="50">
        <v>7</v>
      </c>
      <c r="G28" s="50">
        <v>0</v>
      </c>
      <c r="H28" s="50">
        <v>0</v>
      </c>
      <c r="I28" s="50">
        <v>2</v>
      </c>
      <c r="J28" s="50">
        <v>1</v>
      </c>
      <c r="K28" s="50">
        <v>0</v>
      </c>
      <c r="L28" s="50">
        <v>0</v>
      </c>
      <c r="M28" s="50">
        <v>69</v>
      </c>
      <c r="N28" s="50">
        <v>0</v>
      </c>
      <c r="O28" s="15">
        <f t="shared" si="0"/>
        <v>44</v>
      </c>
      <c r="P28" s="15">
        <f t="shared" si="1"/>
        <v>113</v>
      </c>
      <c r="R28" s="5" t="s">
        <v>17</v>
      </c>
      <c r="S28" s="16">
        <f t="shared" ref="S28:AF28" si="20">SUM(S10:S21)</f>
        <v>2891</v>
      </c>
      <c r="T28" s="16">
        <f t="shared" si="20"/>
        <v>306</v>
      </c>
      <c r="U28" s="16">
        <f t="shared" si="20"/>
        <v>332</v>
      </c>
      <c r="V28" s="16">
        <f t="shared" si="20"/>
        <v>565</v>
      </c>
      <c r="W28" s="16">
        <f t="shared" si="20"/>
        <v>18</v>
      </c>
      <c r="X28" s="16">
        <f t="shared" si="20"/>
        <v>4</v>
      </c>
      <c r="Y28" s="16">
        <f t="shared" si="20"/>
        <v>200</v>
      </c>
      <c r="Z28" s="16">
        <f t="shared" si="20"/>
        <v>31</v>
      </c>
      <c r="AA28" s="16">
        <f t="shared" si="20"/>
        <v>4</v>
      </c>
      <c r="AB28" s="16">
        <f t="shared" si="20"/>
        <v>0</v>
      </c>
      <c r="AC28" s="16">
        <f t="shared" si="20"/>
        <v>5260</v>
      </c>
      <c r="AD28" s="16">
        <f t="shared" si="20"/>
        <v>0</v>
      </c>
      <c r="AE28" s="32">
        <f t="shared" si="20"/>
        <v>4351</v>
      </c>
      <c r="AF28" s="32">
        <f t="shared" si="20"/>
        <v>9611</v>
      </c>
    </row>
    <row r="29" spans="2:32" ht="23.1" customHeight="1" x14ac:dyDescent="0.25">
      <c r="B29" s="23" t="s">
        <v>56</v>
      </c>
      <c r="C29" s="50">
        <v>34</v>
      </c>
      <c r="D29" s="50">
        <v>6</v>
      </c>
      <c r="E29" s="50">
        <v>7</v>
      </c>
      <c r="F29" s="50">
        <v>12</v>
      </c>
      <c r="G29" s="50">
        <v>0</v>
      </c>
      <c r="H29" s="50">
        <v>0</v>
      </c>
      <c r="I29" s="50">
        <v>8</v>
      </c>
      <c r="J29" s="50">
        <v>1</v>
      </c>
      <c r="K29" s="50">
        <v>0</v>
      </c>
      <c r="L29" s="50">
        <v>0</v>
      </c>
      <c r="M29" s="50">
        <v>50</v>
      </c>
      <c r="N29" s="50">
        <v>0</v>
      </c>
      <c r="O29" s="15">
        <f t="shared" si="0"/>
        <v>68</v>
      </c>
      <c r="P29" s="15">
        <f t="shared" si="1"/>
        <v>118</v>
      </c>
      <c r="R29"/>
      <c r="S29" s="20"/>
      <c r="T29" s="19"/>
    </row>
    <row r="30" spans="2:32" ht="23.1" customHeight="1" x14ac:dyDescent="0.25">
      <c r="B30" s="23" t="s">
        <v>57</v>
      </c>
      <c r="C30" s="50">
        <v>36</v>
      </c>
      <c r="D30" s="50">
        <v>3</v>
      </c>
      <c r="E30" s="50">
        <v>4</v>
      </c>
      <c r="F30" s="50">
        <v>11</v>
      </c>
      <c r="G30" s="50">
        <v>0</v>
      </c>
      <c r="H30" s="50">
        <v>0</v>
      </c>
      <c r="I30" s="50">
        <v>9</v>
      </c>
      <c r="J30" s="50">
        <v>0</v>
      </c>
      <c r="K30" s="50">
        <v>0</v>
      </c>
      <c r="L30" s="50">
        <v>0</v>
      </c>
      <c r="M30" s="50">
        <v>71</v>
      </c>
      <c r="N30" s="50">
        <v>0</v>
      </c>
      <c r="O30" s="15">
        <f t="shared" si="0"/>
        <v>63</v>
      </c>
      <c r="P30" s="15">
        <f t="shared" si="1"/>
        <v>134</v>
      </c>
    </row>
    <row r="31" spans="2:32" ht="23.1" customHeight="1" x14ac:dyDescent="0.25">
      <c r="B31" s="24" t="s">
        <v>58</v>
      </c>
      <c r="C31" s="50">
        <v>37</v>
      </c>
      <c r="D31" s="50">
        <v>6</v>
      </c>
      <c r="E31" s="50">
        <v>8</v>
      </c>
      <c r="F31" s="50">
        <v>10</v>
      </c>
      <c r="G31" s="50">
        <v>0</v>
      </c>
      <c r="H31" s="50">
        <v>0</v>
      </c>
      <c r="I31" s="50">
        <v>9</v>
      </c>
      <c r="J31" s="50">
        <v>1</v>
      </c>
      <c r="K31" s="50">
        <v>1</v>
      </c>
      <c r="L31" s="50">
        <v>0</v>
      </c>
      <c r="M31" s="50">
        <v>70</v>
      </c>
      <c r="N31" s="50">
        <v>0</v>
      </c>
      <c r="O31" s="15">
        <f t="shared" si="0"/>
        <v>72</v>
      </c>
      <c r="P31" s="15">
        <f t="shared" si="1"/>
        <v>142</v>
      </c>
    </row>
    <row r="32" spans="2:32" ht="23.1" customHeight="1" x14ac:dyDescent="0.25">
      <c r="B32" s="24" t="s">
        <v>59</v>
      </c>
      <c r="C32" s="50">
        <v>35</v>
      </c>
      <c r="D32" s="50">
        <v>0</v>
      </c>
      <c r="E32" s="50">
        <v>8</v>
      </c>
      <c r="F32" s="50">
        <v>8</v>
      </c>
      <c r="G32" s="50">
        <v>0</v>
      </c>
      <c r="H32" s="50">
        <v>0</v>
      </c>
      <c r="I32" s="50">
        <v>7</v>
      </c>
      <c r="J32" s="50">
        <v>1</v>
      </c>
      <c r="K32" s="50">
        <v>0</v>
      </c>
      <c r="L32" s="50">
        <v>0</v>
      </c>
      <c r="M32" s="50">
        <v>95</v>
      </c>
      <c r="N32" s="50">
        <v>0</v>
      </c>
      <c r="O32" s="15">
        <f t="shared" si="0"/>
        <v>59</v>
      </c>
      <c r="P32" s="15">
        <f t="shared" si="1"/>
        <v>154</v>
      </c>
    </row>
    <row r="33" spans="2:20" ht="23.1" customHeight="1" x14ac:dyDescent="0.25">
      <c r="B33" s="23" t="s">
        <v>60</v>
      </c>
      <c r="C33" s="50">
        <v>40</v>
      </c>
      <c r="D33" s="50">
        <v>2</v>
      </c>
      <c r="E33" s="50">
        <v>11</v>
      </c>
      <c r="F33" s="50">
        <v>7</v>
      </c>
      <c r="G33" s="50">
        <v>1</v>
      </c>
      <c r="H33" s="50">
        <v>1</v>
      </c>
      <c r="I33" s="50">
        <v>3</v>
      </c>
      <c r="J33" s="50">
        <v>3</v>
      </c>
      <c r="K33" s="50">
        <v>0</v>
      </c>
      <c r="L33" s="50">
        <v>0</v>
      </c>
      <c r="M33" s="50">
        <v>80</v>
      </c>
      <c r="N33" s="50">
        <v>0</v>
      </c>
      <c r="O33" s="15">
        <f t="shared" si="0"/>
        <v>68</v>
      </c>
      <c r="P33" s="15">
        <f t="shared" si="1"/>
        <v>148</v>
      </c>
    </row>
    <row r="34" spans="2:20" ht="23.1" customHeight="1" x14ac:dyDescent="0.25">
      <c r="B34" s="24" t="s">
        <v>61</v>
      </c>
      <c r="C34" s="50">
        <v>65</v>
      </c>
      <c r="D34" s="50">
        <v>7</v>
      </c>
      <c r="E34" s="50">
        <v>9</v>
      </c>
      <c r="F34" s="50">
        <v>24</v>
      </c>
      <c r="G34" s="50">
        <v>0</v>
      </c>
      <c r="H34" s="50">
        <v>0</v>
      </c>
      <c r="I34" s="50">
        <v>9</v>
      </c>
      <c r="J34" s="50">
        <v>1</v>
      </c>
      <c r="K34" s="50">
        <v>0</v>
      </c>
      <c r="L34" s="50">
        <v>0</v>
      </c>
      <c r="M34" s="50">
        <v>95</v>
      </c>
      <c r="N34" s="50">
        <v>0</v>
      </c>
      <c r="O34" s="15">
        <f t="shared" si="0"/>
        <v>115</v>
      </c>
      <c r="P34" s="15">
        <f t="shared" si="1"/>
        <v>210</v>
      </c>
    </row>
    <row r="35" spans="2:20" ht="23.1" customHeight="1" x14ac:dyDescent="0.25">
      <c r="B35" s="24" t="s">
        <v>62</v>
      </c>
      <c r="C35" s="50">
        <v>45</v>
      </c>
      <c r="D35" s="50">
        <v>5</v>
      </c>
      <c r="E35" s="50">
        <v>8</v>
      </c>
      <c r="F35" s="50">
        <v>13</v>
      </c>
      <c r="G35" s="50">
        <v>1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50">
        <v>90</v>
      </c>
      <c r="N35" s="50">
        <v>0</v>
      </c>
      <c r="O35" s="15">
        <f t="shared" si="0"/>
        <v>76</v>
      </c>
      <c r="P35" s="15">
        <f t="shared" si="1"/>
        <v>166</v>
      </c>
    </row>
    <row r="36" spans="2:20" ht="23.1" customHeight="1" x14ac:dyDescent="0.25">
      <c r="B36" s="24" t="s">
        <v>63</v>
      </c>
      <c r="C36" s="50">
        <v>32</v>
      </c>
      <c r="D36" s="50">
        <v>3</v>
      </c>
      <c r="E36" s="50">
        <v>7</v>
      </c>
      <c r="F36" s="50">
        <v>3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65</v>
      </c>
      <c r="N36" s="50">
        <v>0</v>
      </c>
      <c r="O36" s="15">
        <f t="shared" si="0"/>
        <v>47</v>
      </c>
      <c r="P36" s="15">
        <f t="shared" si="1"/>
        <v>112</v>
      </c>
    </row>
    <row r="37" spans="2:20" ht="23.1" customHeight="1" x14ac:dyDescent="0.25">
      <c r="B37" s="23" t="s">
        <v>64</v>
      </c>
      <c r="C37" s="50">
        <v>27</v>
      </c>
      <c r="D37" s="50">
        <v>8</v>
      </c>
      <c r="E37" s="50">
        <v>7</v>
      </c>
      <c r="F37" s="50">
        <v>6</v>
      </c>
      <c r="G37" s="50">
        <v>0</v>
      </c>
      <c r="H37" s="50">
        <v>0</v>
      </c>
      <c r="I37" s="50">
        <v>5</v>
      </c>
      <c r="J37" s="50">
        <v>2</v>
      </c>
      <c r="K37" s="50">
        <v>0</v>
      </c>
      <c r="L37" s="50">
        <v>0</v>
      </c>
      <c r="M37" s="50">
        <v>51</v>
      </c>
      <c r="N37" s="50">
        <v>0</v>
      </c>
      <c r="O37" s="15">
        <f t="shared" si="0"/>
        <v>55</v>
      </c>
      <c r="P37" s="15">
        <f t="shared" si="1"/>
        <v>106</v>
      </c>
    </row>
    <row r="38" spans="2:20" ht="23.1" customHeight="1" x14ac:dyDescent="0.25">
      <c r="B38" s="24" t="s">
        <v>65</v>
      </c>
      <c r="C38" s="50">
        <v>43</v>
      </c>
      <c r="D38" s="50">
        <v>9</v>
      </c>
      <c r="E38" s="50">
        <v>7</v>
      </c>
      <c r="F38" s="50">
        <v>10</v>
      </c>
      <c r="G38" s="50">
        <v>1</v>
      </c>
      <c r="H38" s="50">
        <v>0</v>
      </c>
      <c r="I38" s="50">
        <v>4</v>
      </c>
      <c r="J38" s="50">
        <v>1</v>
      </c>
      <c r="K38" s="50">
        <v>0</v>
      </c>
      <c r="L38" s="50">
        <v>0</v>
      </c>
      <c r="M38" s="50">
        <v>105</v>
      </c>
      <c r="N38" s="50">
        <v>0</v>
      </c>
      <c r="O38" s="15">
        <f t="shared" si="0"/>
        <v>75</v>
      </c>
      <c r="P38" s="15">
        <f t="shared" si="1"/>
        <v>180</v>
      </c>
    </row>
    <row r="39" spans="2:20" ht="23.1" customHeight="1" x14ac:dyDescent="0.25">
      <c r="B39" s="24" t="s">
        <v>66</v>
      </c>
      <c r="C39" s="50">
        <v>59</v>
      </c>
      <c r="D39" s="50">
        <v>6</v>
      </c>
      <c r="E39" s="50">
        <v>7</v>
      </c>
      <c r="F39" s="50">
        <v>10</v>
      </c>
      <c r="G39" s="50">
        <v>0</v>
      </c>
      <c r="H39" s="50">
        <v>1</v>
      </c>
      <c r="I39" s="50">
        <v>2</v>
      </c>
      <c r="J39" s="50">
        <v>1</v>
      </c>
      <c r="K39" s="50">
        <v>1</v>
      </c>
      <c r="L39" s="50">
        <v>0</v>
      </c>
      <c r="M39" s="50">
        <v>65</v>
      </c>
      <c r="N39" s="50">
        <v>0</v>
      </c>
      <c r="O39" s="15">
        <f t="shared" si="0"/>
        <v>87</v>
      </c>
      <c r="P39" s="15">
        <f t="shared" si="1"/>
        <v>152</v>
      </c>
    </row>
    <row r="40" spans="2:20" ht="23.1" customHeight="1" x14ac:dyDescent="0.25">
      <c r="B40" s="24" t="s">
        <v>67</v>
      </c>
      <c r="C40" s="50">
        <v>46</v>
      </c>
      <c r="D40" s="50">
        <v>2</v>
      </c>
      <c r="E40" s="50">
        <v>4</v>
      </c>
      <c r="F40" s="50">
        <v>2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80</v>
      </c>
      <c r="N40" s="50">
        <v>0</v>
      </c>
      <c r="O40" s="15">
        <f t="shared" si="0"/>
        <v>57</v>
      </c>
      <c r="P40" s="15">
        <f t="shared" si="1"/>
        <v>137</v>
      </c>
    </row>
    <row r="41" spans="2:20" ht="23.1" customHeight="1" x14ac:dyDescent="0.25">
      <c r="B41" s="23" t="s">
        <v>68</v>
      </c>
      <c r="C41" s="50">
        <v>36</v>
      </c>
      <c r="D41" s="50">
        <v>10</v>
      </c>
      <c r="E41" s="50">
        <v>3</v>
      </c>
      <c r="F41" s="50">
        <v>7</v>
      </c>
      <c r="G41" s="50">
        <v>0</v>
      </c>
      <c r="H41" s="50">
        <v>0</v>
      </c>
      <c r="I41" s="50">
        <v>9</v>
      </c>
      <c r="J41" s="50">
        <v>2</v>
      </c>
      <c r="K41" s="50">
        <v>0</v>
      </c>
      <c r="L41" s="50">
        <v>0</v>
      </c>
      <c r="M41" s="50">
        <v>65</v>
      </c>
      <c r="N41" s="50">
        <v>0</v>
      </c>
      <c r="O41" s="15">
        <f t="shared" si="0"/>
        <v>67</v>
      </c>
      <c r="P41" s="15">
        <f t="shared" si="1"/>
        <v>132</v>
      </c>
    </row>
    <row r="42" spans="2:20" ht="23.1" customHeight="1" x14ac:dyDescent="0.25">
      <c r="B42" s="24" t="s">
        <v>69</v>
      </c>
      <c r="C42" s="50">
        <v>57</v>
      </c>
      <c r="D42" s="50">
        <v>5</v>
      </c>
      <c r="E42" s="50">
        <v>11</v>
      </c>
      <c r="F42" s="50">
        <v>12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90</v>
      </c>
      <c r="N42" s="50">
        <v>0</v>
      </c>
      <c r="O42" s="15">
        <f t="shared" si="0"/>
        <v>86</v>
      </c>
      <c r="P42" s="15">
        <f t="shared" si="1"/>
        <v>176</v>
      </c>
    </row>
    <row r="43" spans="2:20" ht="23.1" customHeight="1" x14ac:dyDescent="0.25">
      <c r="B43" s="23" t="s">
        <v>70</v>
      </c>
      <c r="C43" s="50">
        <v>54</v>
      </c>
      <c r="D43" s="50">
        <v>11</v>
      </c>
      <c r="E43" s="50">
        <v>15</v>
      </c>
      <c r="F43" s="50">
        <v>11</v>
      </c>
      <c r="G43" s="50">
        <v>0</v>
      </c>
      <c r="H43" s="50">
        <v>1</v>
      </c>
      <c r="I43" s="50">
        <v>4</v>
      </c>
      <c r="J43" s="50">
        <v>3</v>
      </c>
      <c r="K43" s="50">
        <v>0</v>
      </c>
      <c r="L43" s="50">
        <v>0</v>
      </c>
      <c r="M43" s="50">
        <v>63</v>
      </c>
      <c r="N43" s="50">
        <v>0</v>
      </c>
      <c r="O43" s="15">
        <f t="shared" si="0"/>
        <v>99</v>
      </c>
      <c r="P43" s="15">
        <f t="shared" si="1"/>
        <v>162</v>
      </c>
    </row>
    <row r="44" spans="2:20" ht="23.1" customHeight="1" x14ac:dyDescent="0.25">
      <c r="B44" s="25" t="s">
        <v>71</v>
      </c>
      <c r="C44" s="50">
        <v>66</v>
      </c>
      <c r="D44" s="50">
        <v>13</v>
      </c>
      <c r="E44" s="50">
        <v>10</v>
      </c>
      <c r="F44" s="50">
        <v>10</v>
      </c>
      <c r="G44" s="50">
        <v>0</v>
      </c>
      <c r="H44" s="50">
        <v>0</v>
      </c>
      <c r="I44" s="50">
        <v>5</v>
      </c>
      <c r="J44" s="50">
        <v>1</v>
      </c>
      <c r="K44" s="50">
        <v>0</v>
      </c>
      <c r="L44" s="50">
        <v>0</v>
      </c>
      <c r="M44" s="50">
        <v>90</v>
      </c>
      <c r="N44" s="50">
        <v>0</v>
      </c>
      <c r="O44" s="15">
        <f t="shared" si="0"/>
        <v>105</v>
      </c>
      <c r="P44" s="15">
        <f t="shared" si="1"/>
        <v>195</v>
      </c>
    </row>
    <row r="45" spans="2:20" ht="23.1" customHeight="1" x14ac:dyDescent="0.25">
      <c r="B45" s="23" t="s">
        <v>72</v>
      </c>
      <c r="C45" s="50">
        <v>56</v>
      </c>
      <c r="D45" s="50">
        <v>3</v>
      </c>
      <c r="E45" s="50">
        <v>9</v>
      </c>
      <c r="F45" s="50">
        <v>8</v>
      </c>
      <c r="G45" s="50">
        <v>0</v>
      </c>
      <c r="H45" s="50">
        <v>0</v>
      </c>
      <c r="I45" s="50">
        <v>8</v>
      </c>
      <c r="J45" s="50">
        <v>0</v>
      </c>
      <c r="K45" s="50">
        <v>0</v>
      </c>
      <c r="L45" s="50">
        <v>0</v>
      </c>
      <c r="M45" s="50">
        <v>75</v>
      </c>
      <c r="N45" s="50">
        <v>0</v>
      </c>
      <c r="O45" s="15">
        <f t="shared" si="0"/>
        <v>84</v>
      </c>
      <c r="P45" s="15">
        <f t="shared" si="1"/>
        <v>159</v>
      </c>
    </row>
    <row r="46" spans="2:20" ht="23.1" customHeight="1" x14ac:dyDescent="0.25">
      <c r="B46" s="24" t="s">
        <v>73</v>
      </c>
      <c r="C46" s="50">
        <v>85</v>
      </c>
      <c r="D46" s="50">
        <v>11</v>
      </c>
      <c r="E46" s="50">
        <v>11</v>
      </c>
      <c r="F46" s="50">
        <v>9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0</v>
      </c>
      <c r="M46" s="50">
        <v>95</v>
      </c>
      <c r="N46" s="50">
        <v>0</v>
      </c>
      <c r="O46" s="15">
        <f t="shared" si="0"/>
        <v>121</v>
      </c>
      <c r="P46" s="15">
        <f t="shared" si="1"/>
        <v>216</v>
      </c>
      <c r="R46" s="8"/>
      <c r="T46"/>
    </row>
    <row r="47" spans="2:20" ht="23.1" customHeight="1" x14ac:dyDescent="0.25">
      <c r="B47" s="24" t="s">
        <v>74</v>
      </c>
      <c r="C47" s="50">
        <v>91</v>
      </c>
      <c r="D47" s="50">
        <v>14</v>
      </c>
      <c r="E47" s="50">
        <v>9</v>
      </c>
      <c r="F47" s="50">
        <v>18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120</v>
      </c>
      <c r="N47" s="50">
        <v>0</v>
      </c>
      <c r="O47" s="15">
        <f t="shared" si="0"/>
        <v>135</v>
      </c>
      <c r="P47" s="15">
        <f t="shared" si="1"/>
        <v>255</v>
      </c>
      <c r="R47" s="8"/>
      <c r="T47"/>
    </row>
    <row r="48" spans="2:20" ht="23.1" customHeight="1" x14ac:dyDescent="0.25">
      <c r="B48" s="24" t="s">
        <v>75</v>
      </c>
      <c r="C48" s="50">
        <v>120</v>
      </c>
      <c r="D48" s="50">
        <v>15</v>
      </c>
      <c r="E48" s="50">
        <v>7</v>
      </c>
      <c r="F48" s="50">
        <v>12</v>
      </c>
      <c r="G48" s="50">
        <v>2</v>
      </c>
      <c r="H48" s="50">
        <v>0</v>
      </c>
      <c r="I48" s="50">
        <v>6</v>
      </c>
      <c r="J48" s="50">
        <v>1</v>
      </c>
      <c r="K48" s="50">
        <v>0</v>
      </c>
      <c r="L48" s="50">
        <v>0</v>
      </c>
      <c r="M48" s="50">
        <v>60</v>
      </c>
      <c r="N48" s="50">
        <v>0</v>
      </c>
      <c r="O48" s="15">
        <f t="shared" si="0"/>
        <v>163</v>
      </c>
      <c r="P48" s="15">
        <f t="shared" si="1"/>
        <v>223</v>
      </c>
      <c r="R48" s="8"/>
      <c r="T48"/>
    </row>
    <row r="49" spans="2:20" ht="23.1" customHeight="1" x14ac:dyDescent="0.25">
      <c r="B49" s="23" t="s">
        <v>76</v>
      </c>
      <c r="C49" s="50">
        <v>75</v>
      </c>
      <c r="D49" s="50">
        <v>7</v>
      </c>
      <c r="E49" s="50">
        <v>5</v>
      </c>
      <c r="F49" s="50">
        <v>8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60</v>
      </c>
      <c r="N49" s="50">
        <v>0</v>
      </c>
      <c r="O49" s="15">
        <f t="shared" si="0"/>
        <v>98</v>
      </c>
      <c r="P49" s="15">
        <f t="shared" si="1"/>
        <v>158</v>
      </c>
      <c r="R49" s="8"/>
      <c r="T49"/>
    </row>
    <row r="50" spans="2:20" ht="23.1" customHeight="1" x14ac:dyDescent="0.25">
      <c r="B50" s="24" t="s">
        <v>77</v>
      </c>
      <c r="C50" s="50">
        <v>155</v>
      </c>
      <c r="D50" s="50">
        <v>14</v>
      </c>
      <c r="E50" s="50">
        <v>8</v>
      </c>
      <c r="F50" s="50">
        <v>14</v>
      </c>
      <c r="G50" s="50">
        <v>1</v>
      </c>
      <c r="H50" s="50">
        <v>0</v>
      </c>
      <c r="I50" s="50">
        <v>6</v>
      </c>
      <c r="J50" s="50">
        <v>0</v>
      </c>
      <c r="K50" s="50">
        <v>0</v>
      </c>
      <c r="L50" s="50">
        <v>0</v>
      </c>
      <c r="M50" s="50">
        <v>110</v>
      </c>
      <c r="N50" s="50">
        <v>0</v>
      </c>
      <c r="O50" s="15">
        <f t="shared" si="0"/>
        <v>198</v>
      </c>
      <c r="P50" s="15">
        <f t="shared" si="1"/>
        <v>308</v>
      </c>
      <c r="R50" s="8"/>
      <c r="T50"/>
    </row>
    <row r="51" spans="2:20" ht="23.1" customHeight="1" x14ac:dyDescent="0.25">
      <c r="B51" s="24" t="s">
        <v>78</v>
      </c>
      <c r="C51" s="50">
        <v>160</v>
      </c>
      <c r="D51" s="50">
        <v>10</v>
      </c>
      <c r="E51" s="50">
        <v>13</v>
      </c>
      <c r="F51" s="50">
        <v>16</v>
      </c>
      <c r="G51" s="50">
        <v>1</v>
      </c>
      <c r="H51" s="50">
        <v>0</v>
      </c>
      <c r="I51" s="50">
        <v>4</v>
      </c>
      <c r="J51" s="50">
        <v>0</v>
      </c>
      <c r="K51" s="50">
        <v>0</v>
      </c>
      <c r="L51" s="50">
        <v>0</v>
      </c>
      <c r="M51" s="50">
        <v>111</v>
      </c>
      <c r="N51" s="50">
        <v>0</v>
      </c>
      <c r="O51" s="15">
        <f t="shared" si="0"/>
        <v>204</v>
      </c>
      <c r="P51" s="15">
        <f t="shared" si="1"/>
        <v>315</v>
      </c>
      <c r="R51" s="8"/>
      <c r="T51"/>
    </row>
    <row r="52" spans="2:20" ht="23.1" customHeight="1" x14ac:dyDescent="0.25">
      <c r="B52" s="24" t="s">
        <v>79</v>
      </c>
      <c r="C52" s="50">
        <v>195</v>
      </c>
      <c r="D52" s="50">
        <v>24</v>
      </c>
      <c r="E52" s="50">
        <v>16</v>
      </c>
      <c r="F52" s="50">
        <v>16</v>
      </c>
      <c r="G52" s="50">
        <v>0</v>
      </c>
      <c r="H52" s="50">
        <v>0</v>
      </c>
      <c r="I52" s="50">
        <v>8</v>
      </c>
      <c r="J52" s="50">
        <v>2</v>
      </c>
      <c r="K52" s="50">
        <v>0</v>
      </c>
      <c r="L52" s="50">
        <v>0</v>
      </c>
      <c r="M52" s="50">
        <v>85</v>
      </c>
      <c r="N52" s="50">
        <v>0</v>
      </c>
      <c r="O52" s="15">
        <f t="shared" si="0"/>
        <v>261</v>
      </c>
      <c r="P52" s="15">
        <f t="shared" si="1"/>
        <v>346</v>
      </c>
      <c r="R52" s="8"/>
      <c r="T52"/>
    </row>
    <row r="53" spans="2:20" ht="23.1" customHeight="1" x14ac:dyDescent="0.25">
      <c r="B53" s="23" t="s">
        <v>80</v>
      </c>
      <c r="C53" s="50">
        <v>125</v>
      </c>
      <c r="D53" s="50">
        <v>9</v>
      </c>
      <c r="E53" s="50">
        <v>6</v>
      </c>
      <c r="F53" s="50">
        <v>7</v>
      </c>
      <c r="G53" s="50">
        <v>0</v>
      </c>
      <c r="H53" s="50">
        <v>1</v>
      </c>
      <c r="I53" s="50">
        <v>1</v>
      </c>
      <c r="J53" s="50">
        <v>1</v>
      </c>
      <c r="K53" s="50">
        <v>1</v>
      </c>
      <c r="L53" s="50">
        <v>0</v>
      </c>
      <c r="M53" s="50">
        <v>80</v>
      </c>
      <c r="N53" s="50">
        <v>0</v>
      </c>
      <c r="O53" s="15">
        <f t="shared" si="0"/>
        <v>151</v>
      </c>
      <c r="P53" s="15">
        <f t="shared" si="1"/>
        <v>231</v>
      </c>
      <c r="R53" s="8"/>
      <c r="T53"/>
    </row>
    <row r="54" spans="2:20" ht="23.1" customHeight="1" x14ac:dyDescent="0.25">
      <c r="B54" s="23" t="s">
        <v>81</v>
      </c>
      <c r="C54" s="50">
        <v>145</v>
      </c>
      <c r="D54" s="50">
        <v>4</v>
      </c>
      <c r="E54" s="50">
        <v>16</v>
      </c>
      <c r="F54" s="50">
        <v>22</v>
      </c>
      <c r="G54" s="50">
        <v>2</v>
      </c>
      <c r="H54" s="50">
        <v>0</v>
      </c>
      <c r="I54" s="50">
        <v>6</v>
      </c>
      <c r="J54" s="50">
        <v>0</v>
      </c>
      <c r="K54" s="50">
        <v>0</v>
      </c>
      <c r="L54" s="50">
        <v>0</v>
      </c>
      <c r="M54" s="50">
        <v>50</v>
      </c>
      <c r="N54" s="50">
        <v>0</v>
      </c>
      <c r="O54" s="15">
        <f t="shared" si="0"/>
        <v>195</v>
      </c>
      <c r="P54" s="15">
        <f t="shared" si="1"/>
        <v>245</v>
      </c>
      <c r="R54" s="8"/>
      <c r="T54"/>
    </row>
    <row r="55" spans="2:20" ht="23.1" customHeight="1" x14ac:dyDescent="0.25">
      <c r="B55" s="23" t="s">
        <v>82</v>
      </c>
      <c r="C55" s="50">
        <v>150</v>
      </c>
      <c r="D55" s="50">
        <v>5</v>
      </c>
      <c r="E55" s="50">
        <v>3</v>
      </c>
      <c r="F55" s="50">
        <v>23</v>
      </c>
      <c r="G55" s="50">
        <v>0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90</v>
      </c>
      <c r="N55" s="50">
        <v>0</v>
      </c>
      <c r="O55" s="15">
        <f t="shared" si="0"/>
        <v>186</v>
      </c>
      <c r="P55" s="15">
        <f t="shared" si="1"/>
        <v>276</v>
      </c>
      <c r="R55" s="8"/>
      <c r="T55"/>
    </row>
    <row r="56" spans="2:20" ht="23.1" customHeight="1" x14ac:dyDescent="0.25">
      <c r="B56" s="23" t="s">
        <v>83</v>
      </c>
      <c r="C56" s="50">
        <v>110</v>
      </c>
      <c r="D56" s="50">
        <v>10</v>
      </c>
      <c r="E56" s="50">
        <v>1</v>
      </c>
      <c r="F56" s="50">
        <v>15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65</v>
      </c>
      <c r="N56" s="50">
        <v>0</v>
      </c>
      <c r="O56" s="15">
        <f t="shared" si="0"/>
        <v>136</v>
      </c>
      <c r="P56" s="15">
        <f t="shared" si="1"/>
        <v>201</v>
      </c>
      <c r="R56" s="8"/>
      <c r="T56"/>
    </row>
    <row r="57" spans="2:20" ht="23.1" customHeight="1" x14ac:dyDescent="0.25">
      <c r="B57" s="23" t="s">
        <v>84</v>
      </c>
      <c r="C57" s="50">
        <v>130</v>
      </c>
      <c r="D57" s="50">
        <v>4</v>
      </c>
      <c r="E57" s="50">
        <v>5</v>
      </c>
      <c r="F57" s="50">
        <v>10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75</v>
      </c>
      <c r="N57" s="50">
        <v>0</v>
      </c>
      <c r="O57" s="15">
        <f t="shared" si="0"/>
        <v>152</v>
      </c>
      <c r="P57" s="15">
        <f t="shared" si="1"/>
        <v>227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2891</v>
      </c>
      <c r="D58" s="16">
        <f t="shared" si="21"/>
        <v>306</v>
      </c>
      <c r="E58" s="16">
        <f t="shared" si="21"/>
        <v>332</v>
      </c>
      <c r="F58" s="16">
        <f t="shared" si="21"/>
        <v>565</v>
      </c>
      <c r="G58" s="16">
        <f t="shared" si="21"/>
        <v>18</v>
      </c>
      <c r="H58" s="16">
        <f t="shared" si="21"/>
        <v>4</v>
      </c>
      <c r="I58" s="16">
        <f t="shared" si="21"/>
        <v>200</v>
      </c>
      <c r="J58" s="16">
        <f t="shared" si="21"/>
        <v>31</v>
      </c>
      <c r="K58" s="16">
        <f t="shared" si="21"/>
        <v>4</v>
      </c>
      <c r="L58" s="16">
        <f t="shared" si="21"/>
        <v>0</v>
      </c>
      <c r="M58" s="16">
        <f t="shared" si="21"/>
        <v>5260</v>
      </c>
      <c r="N58" s="16">
        <f t="shared" si="21"/>
        <v>0</v>
      </c>
      <c r="O58" s="16">
        <f t="shared" si="21"/>
        <v>4351</v>
      </c>
      <c r="P58" s="16">
        <f t="shared" si="21"/>
        <v>9611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0.30080116533139112</v>
      </c>
      <c r="D59" s="43">
        <f t="shared" si="22"/>
        <v>3.1838518364374152E-2</v>
      </c>
      <c r="E59" s="43">
        <f t="shared" si="22"/>
        <v>3.4543751950889608E-2</v>
      </c>
      <c r="F59" s="43">
        <f t="shared" si="22"/>
        <v>5.8786806783893454E-2</v>
      </c>
      <c r="G59" s="43">
        <f t="shared" si="22"/>
        <v>1.8728540214337738E-3</v>
      </c>
      <c r="H59" s="43">
        <f t="shared" si="22"/>
        <v>4.1618978254083863E-4</v>
      </c>
      <c r="I59" s="43">
        <f t="shared" si="22"/>
        <v>2.080948912704193E-2</v>
      </c>
      <c r="J59" s="43">
        <f t="shared" si="22"/>
        <v>3.2254708146914994E-3</v>
      </c>
      <c r="K59" s="43">
        <f t="shared" si="22"/>
        <v>4.1618978254083863E-4</v>
      </c>
      <c r="L59" s="43">
        <f t="shared" si="22"/>
        <v>0</v>
      </c>
      <c r="M59" s="43">
        <f t="shared" si="22"/>
        <v>0.54728956404120277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0.66444495518271662</v>
      </c>
      <c r="D60" s="44">
        <f t="shared" ref="D60:N60" si="23">D58/$O$58</f>
        <v>7.0328660078142952E-2</v>
      </c>
      <c r="E60" s="44">
        <f t="shared" si="23"/>
        <v>7.6304297862560336E-2</v>
      </c>
      <c r="F60" s="44">
        <f t="shared" si="23"/>
        <v>0.1298552056998391</v>
      </c>
      <c r="G60" s="44">
        <f t="shared" si="23"/>
        <v>4.1369800045966444E-3</v>
      </c>
      <c r="H60" s="44">
        <f t="shared" si="23"/>
        <v>9.1932888991036541E-4</v>
      </c>
      <c r="I60" s="44">
        <f t="shared" si="23"/>
        <v>4.5966444495518274E-2</v>
      </c>
      <c r="J60" s="44">
        <f t="shared" si="23"/>
        <v>7.1247988968053321E-3</v>
      </c>
      <c r="K60" s="44">
        <f t="shared" si="23"/>
        <v>9.1932888991036541E-4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J67" sqref="J6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Kyebando-Mulago'!C3:G3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180</v>
      </c>
      <c r="E5" s="3"/>
      <c r="F5" s="41" t="s">
        <v>1</v>
      </c>
      <c r="G5" s="55" t="str">
        <f>'30.07 Mulago-Kyebando'!G5:H5</f>
        <v>Kisingiri Street</v>
      </c>
      <c r="H5" s="56"/>
      <c r="I5" s="14"/>
      <c r="J5" s="2" t="s">
        <v>5</v>
      </c>
      <c r="K5" s="55" t="s">
        <v>170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'02.08 Kyebando-Mulago'!D6:E6</f>
        <v>Kyebando</v>
      </c>
      <c r="E6" s="56"/>
      <c r="F6" s="2" t="s">
        <v>2</v>
      </c>
      <c r="G6" s="55" t="str">
        <f>'02.08 Kyebando-Mulago'!G6:H6</f>
        <v>Mulago</v>
      </c>
      <c r="H6" s="56"/>
      <c r="J6" s="2" t="s">
        <v>21</v>
      </c>
      <c r="K6" s="55" t="s">
        <v>183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258</v>
      </c>
      <c r="D10" s="50">
        <v>33</v>
      </c>
      <c r="E10" s="50">
        <v>12</v>
      </c>
      <c r="F10" s="50">
        <v>75</v>
      </c>
      <c r="G10" s="50">
        <v>0</v>
      </c>
      <c r="H10" s="50">
        <v>0</v>
      </c>
      <c r="I10" s="50">
        <v>4</v>
      </c>
      <c r="J10" s="50">
        <v>0</v>
      </c>
      <c r="K10" s="50">
        <v>0</v>
      </c>
      <c r="L10" s="50">
        <v>0</v>
      </c>
      <c r="M10" s="50">
        <v>93</v>
      </c>
      <c r="N10" s="50">
        <v>0</v>
      </c>
      <c r="O10" s="15">
        <f t="shared" ref="O10:O57" si="0">SUM(C10:L10,N10)</f>
        <v>382</v>
      </c>
      <c r="P10" s="15">
        <f t="shared" ref="P10:P57" si="1">SUM(C10:N10)</f>
        <v>475</v>
      </c>
      <c r="R10" s="1" t="s">
        <v>6</v>
      </c>
      <c r="S10" s="17">
        <f t="shared" ref="S10:AF10" si="2">SUM(C10:C13)</f>
        <v>868</v>
      </c>
      <c r="T10" s="17">
        <f t="shared" si="2"/>
        <v>124</v>
      </c>
      <c r="U10" s="17">
        <f t="shared" si="2"/>
        <v>49</v>
      </c>
      <c r="V10" s="17">
        <f t="shared" si="2"/>
        <v>318</v>
      </c>
      <c r="W10" s="17">
        <f t="shared" si="2"/>
        <v>3</v>
      </c>
      <c r="X10" s="17">
        <f t="shared" si="2"/>
        <v>0</v>
      </c>
      <c r="Y10" s="17">
        <f t="shared" si="2"/>
        <v>14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708</v>
      </c>
      <c r="AD10" s="17">
        <f t="shared" si="2"/>
        <v>0</v>
      </c>
      <c r="AE10" s="31">
        <f t="shared" si="2"/>
        <v>1380</v>
      </c>
      <c r="AF10" s="31">
        <f t="shared" si="2"/>
        <v>2088</v>
      </c>
    </row>
    <row r="11" spans="2:32" s="6" customFormat="1" ht="23.1" customHeight="1" x14ac:dyDescent="0.25">
      <c r="B11" s="23" t="s">
        <v>38</v>
      </c>
      <c r="C11" s="50">
        <v>220</v>
      </c>
      <c r="D11" s="50">
        <v>30</v>
      </c>
      <c r="E11" s="50">
        <v>14</v>
      </c>
      <c r="F11" s="50">
        <v>80</v>
      </c>
      <c r="G11" s="50">
        <v>1</v>
      </c>
      <c r="H11" s="50">
        <v>0</v>
      </c>
      <c r="I11" s="50">
        <v>3</v>
      </c>
      <c r="J11" s="50">
        <v>1</v>
      </c>
      <c r="K11" s="50">
        <v>0</v>
      </c>
      <c r="L11" s="50">
        <v>0</v>
      </c>
      <c r="M11" s="50">
        <v>160</v>
      </c>
      <c r="N11" s="50">
        <v>0</v>
      </c>
      <c r="O11" s="15">
        <f t="shared" si="0"/>
        <v>349</v>
      </c>
      <c r="P11" s="15">
        <f t="shared" si="1"/>
        <v>509</v>
      </c>
      <c r="R11" s="1" t="s">
        <v>7</v>
      </c>
      <c r="S11" s="17">
        <f t="shared" ref="S11:AF11" si="3">SUM(C14:C17)</f>
        <v>550</v>
      </c>
      <c r="T11" s="17">
        <f t="shared" si="3"/>
        <v>79</v>
      </c>
      <c r="U11" s="17">
        <f t="shared" si="3"/>
        <v>50</v>
      </c>
      <c r="V11" s="17">
        <f t="shared" si="3"/>
        <v>218</v>
      </c>
      <c r="W11" s="17">
        <f t="shared" si="3"/>
        <v>0</v>
      </c>
      <c r="X11" s="17">
        <f t="shared" si="3"/>
        <v>2</v>
      </c>
      <c r="Y11" s="17">
        <f t="shared" si="3"/>
        <v>12</v>
      </c>
      <c r="Z11" s="17">
        <f t="shared" si="3"/>
        <v>11</v>
      </c>
      <c r="AA11" s="17">
        <f t="shared" si="3"/>
        <v>0</v>
      </c>
      <c r="AB11" s="17">
        <f t="shared" si="3"/>
        <v>0</v>
      </c>
      <c r="AC11" s="17">
        <f t="shared" si="3"/>
        <v>875</v>
      </c>
      <c r="AD11" s="17">
        <f t="shared" si="3"/>
        <v>0</v>
      </c>
      <c r="AE11" s="31">
        <f t="shared" si="3"/>
        <v>922</v>
      </c>
      <c r="AF11" s="31">
        <f t="shared" si="3"/>
        <v>1797</v>
      </c>
    </row>
    <row r="12" spans="2:32" ht="23.1" customHeight="1" x14ac:dyDescent="0.25">
      <c r="B12" s="23" t="s">
        <v>39</v>
      </c>
      <c r="C12" s="50">
        <v>245</v>
      </c>
      <c r="D12" s="50">
        <v>25</v>
      </c>
      <c r="E12" s="50">
        <v>10</v>
      </c>
      <c r="F12" s="50">
        <v>93</v>
      </c>
      <c r="G12" s="50">
        <v>1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270</v>
      </c>
      <c r="N12" s="50">
        <v>0</v>
      </c>
      <c r="O12" s="15">
        <f t="shared" si="0"/>
        <v>377</v>
      </c>
      <c r="P12" s="15">
        <f t="shared" si="1"/>
        <v>647</v>
      </c>
      <c r="R12" s="1" t="s">
        <v>8</v>
      </c>
      <c r="S12" s="17">
        <f t="shared" ref="S12:AF12" si="4">SUM(C18:C21)</f>
        <v>298</v>
      </c>
      <c r="T12" s="17">
        <f t="shared" si="4"/>
        <v>49</v>
      </c>
      <c r="U12" s="17">
        <f t="shared" si="4"/>
        <v>31</v>
      </c>
      <c r="V12" s="17">
        <f t="shared" si="4"/>
        <v>89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522</v>
      </c>
      <c r="AD12" s="17">
        <f t="shared" si="4"/>
        <v>0</v>
      </c>
      <c r="AE12" s="31">
        <f t="shared" si="4"/>
        <v>476</v>
      </c>
      <c r="AF12" s="31">
        <f t="shared" si="4"/>
        <v>998</v>
      </c>
    </row>
    <row r="13" spans="2:32" ht="23.1" customHeight="1" x14ac:dyDescent="0.25">
      <c r="B13" s="23" t="s">
        <v>40</v>
      </c>
      <c r="C13" s="50">
        <v>145</v>
      </c>
      <c r="D13" s="50">
        <v>36</v>
      </c>
      <c r="E13" s="50">
        <v>13</v>
      </c>
      <c r="F13" s="50">
        <v>70</v>
      </c>
      <c r="G13" s="50">
        <v>1</v>
      </c>
      <c r="H13" s="50">
        <v>0</v>
      </c>
      <c r="I13" s="50">
        <v>4</v>
      </c>
      <c r="J13" s="50">
        <v>3</v>
      </c>
      <c r="K13" s="50">
        <v>0</v>
      </c>
      <c r="L13" s="50">
        <v>0</v>
      </c>
      <c r="M13" s="50">
        <v>185</v>
      </c>
      <c r="N13" s="50">
        <v>0</v>
      </c>
      <c r="O13" s="15">
        <f t="shared" si="0"/>
        <v>272</v>
      </c>
      <c r="P13" s="15">
        <f t="shared" si="1"/>
        <v>457</v>
      </c>
      <c r="R13" s="1" t="s">
        <v>9</v>
      </c>
      <c r="S13" s="17">
        <f t="shared" ref="S13:AF13" si="5">SUM(C22:C25)</f>
        <v>283</v>
      </c>
      <c r="T13" s="17">
        <f t="shared" si="5"/>
        <v>51</v>
      </c>
      <c r="U13" s="17">
        <f t="shared" si="5"/>
        <v>29</v>
      </c>
      <c r="V13" s="17">
        <f t="shared" si="5"/>
        <v>62</v>
      </c>
      <c r="W13" s="17">
        <f t="shared" si="5"/>
        <v>1</v>
      </c>
      <c r="X13" s="17">
        <f t="shared" si="5"/>
        <v>0</v>
      </c>
      <c r="Y13" s="17">
        <f t="shared" si="5"/>
        <v>17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416</v>
      </c>
      <c r="AD13" s="17">
        <f t="shared" si="5"/>
        <v>0</v>
      </c>
      <c r="AE13" s="31">
        <f t="shared" si="5"/>
        <v>444</v>
      </c>
      <c r="AF13" s="31">
        <f t="shared" si="5"/>
        <v>860</v>
      </c>
    </row>
    <row r="14" spans="2:32" ht="23.1" customHeight="1" x14ac:dyDescent="0.25">
      <c r="B14" s="23" t="s">
        <v>41</v>
      </c>
      <c r="C14" s="50">
        <v>155</v>
      </c>
      <c r="D14" s="50">
        <v>31</v>
      </c>
      <c r="E14" s="50">
        <v>16</v>
      </c>
      <c r="F14" s="50">
        <v>81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225</v>
      </c>
      <c r="N14" s="50">
        <v>0</v>
      </c>
      <c r="O14" s="15">
        <f t="shared" si="0"/>
        <v>287</v>
      </c>
      <c r="P14" s="15">
        <f t="shared" si="1"/>
        <v>512</v>
      </c>
      <c r="R14" s="1" t="s">
        <v>10</v>
      </c>
      <c r="S14" s="17">
        <f t="shared" ref="S14:AF14" si="6">SUM(C26:C29)</f>
        <v>203</v>
      </c>
      <c r="T14" s="17">
        <f t="shared" si="6"/>
        <v>38</v>
      </c>
      <c r="U14" s="17">
        <f t="shared" si="6"/>
        <v>35</v>
      </c>
      <c r="V14" s="17">
        <f t="shared" si="6"/>
        <v>37</v>
      </c>
      <c r="W14" s="17">
        <f t="shared" si="6"/>
        <v>0</v>
      </c>
      <c r="X14" s="17">
        <f t="shared" si="6"/>
        <v>0</v>
      </c>
      <c r="Y14" s="17">
        <f t="shared" si="6"/>
        <v>18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332</v>
      </c>
      <c r="AD14" s="17">
        <f t="shared" si="6"/>
        <v>0</v>
      </c>
      <c r="AE14" s="31">
        <f t="shared" si="6"/>
        <v>332</v>
      </c>
      <c r="AF14" s="31">
        <f t="shared" si="6"/>
        <v>664</v>
      </c>
    </row>
    <row r="15" spans="2:32" ht="23.1" customHeight="1" x14ac:dyDescent="0.25">
      <c r="B15" s="23" t="s">
        <v>42</v>
      </c>
      <c r="C15" s="50">
        <v>139</v>
      </c>
      <c r="D15" s="50">
        <v>8</v>
      </c>
      <c r="E15" s="50">
        <v>13</v>
      </c>
      <c r="F15" s="50">
        <v>55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242</v>
      </c>
      <c r="N15" s="50">
        <v>0</v>
      </c>
      <c r="O15" s="15">
        <f t="shared" si="0"/>
        <v>216</v>
      </c>
      <c r="P15" s="15">
        <f t="shared" si="1"/>
        <v>458</v>
      </c>
      <c r="R15" s="1" t="s">
        <v>11</v>
      </c>
      <c r="S15" s="17">
        <f t="shared" ref="S15:AF15" si="7">SUM(C30:C33)</f>
        <v>148</v>
      </c>
      <c r="T15" s="17">
        <f t="shared" si="7"/>
        <v>45</v>
      </c>
      <c r="U15" s="17">
        <f t="shared" si="7"/>
        <v>19</v>
      </c>
      <c r="V15" s="17">
        <f t="shared" si="7"/>
        <v>44</v>
      </c>
      <c r="W15" s="17">
        <f t="shared" si="7"/>
        <v>1</v>
      </c>
      <c r="X15" s="17">
        <f t="shared" si="7"/>
        <v>0</v>
      </c>
      <c r="Y15" s="17">
        <f t="shared" si="7"/>
        <v>12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303</v>
      </c>
      <c r="AD15" s="17">
        <f t="shared" si="7"/>
        <v>0</v>
      </c>
      <c r="AE15" s="31">
        <f t="shared" si="7"/>
        <v>272</v>
      </c>
      <c r="AF15" s="31">
        <f t="shared" si="7"/>
        <v>575</v>
      </c>
    </row>
    <row r="16" spans="2:32" ht="23.1" customHeight="1" x14ac:dyDescent="0.25">
      <c r="B16" s="23" t="s">
        <v>43</v>
      </c>
      <c r="C16" s="50">
        <v>136</v>
      </c>
      <c r="D16" s="50">
        <v>18</v>
      </c>
      <c r="E16" s="50">
        <v>10</v>
      </c>
      <c r="F16" s="50">
        <v>50</v>
      </c>
      <c r="G16" s="50">
        <v>0</v>
      </c>
      <c r="H16" s="50">
        <v>2</v>
      </c>
      <c r="I16" s="50">
        <v>5</v>
      </c>
      <c r="J16" s="50">
        <v>0</v>
      </c>
      <c r="K16" s="50">
        <v>0</v>
      </c>
      <c r="L16" s="50">
        <v>0</v>
      </c>
      <c r="M16" s="50">
        <v>220</v>
      </c>
      <c r="N16" s="50">
        <v>0</v>
      </c>
      <c r="O16" s="15">
        <f t="shared" si="0"/>
        <v>221</v>
      </c>
      <c r="P16" s="15">
        <f t="shared" si="1"/>
        <v>441</v>
      </c>
      <c r="R16" s="1" t="s">
        <v>12</v>
      </c>
      <c r="S16" s="17">
        <f t="shared" ref="S16:AF16" si="8">SUM(C34:C37)</f>
        <v>136</v>
      </c>
      <c r="T16" s="17">
        <f t="shared" si="8"/>
        <v>23</v>
      </c>
      <c r="U16" s="17">
        <f t="shared" si="8"/>
        <v>28</v>
      </c>
      <c r="V16" s="17">
        <f t="shared" si="8"/>
        <v>40</v>
      </c>
      <c r="W16" s="17">
        <f t="shared" si="8"/>
        <v>1</v>
      </c>
      <c r="X16" s="17">
        <f t="shared" si="8"/>
        <v>0</v>
      </c>
      <c r="Y16" s="17">
        <f t="shared" si="8"/>
        <v>13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297</v>
      </c>
      <c r="AD16" s="17">
        <f t="shared" si="8"/>
        <v>0</v>
      </c>
      <c r="AE16" s="31">
        <f t="shared" si="8"/>
        <v>243</v>
      </c>
      <c r="AF16" s="31">
        <f t="shared" si="8"/>
        <v>540</v>
      </c>
    </row>
    <row r="17" spans="2:32" ht="23.1" customHeight="1" x14ac:dyDescent="0.25">
      <c r="B17" s="23" t="s">
        <v>44</v>
      </c>
      <c r="C17" s="50">
        <v>120</v>
      </c>
      <c r="D17" s="50">
        <v>22</v>
      </c>
      <c r="E17" s="50">
        <v>11</v>
      </c>
      <c r="F17" s="50">
        <v>32</v>
      </c>
      <c r="G17" s="50">
        <v>0</v>
      </c>
      <c r="H17" s="50">
        <v>0</v>
      </c>
      <c r="I17" s="50">
        <v>2</v>
      </c>
      <c r="J17" s="50">
        <v>11</v>
      </c>
      <c r="K17" s="50">
        <v>0</v>
      </c>
      <c r="L17" s="50">
        <v>0</v>
      </c>
      <c r="M17" s="50">
        <v>188</v>
      </c>
      <c r="N17" s="50">
        <v>0</v>
      </c>
      <c r="O17" s="15">
        <f t="shared" si="0"/>
        <v>198</v>
      </c>
      <c r="P17" s="15">
        <f t="shared" si="1"/>
        <v>386</v>
      </c>
      <c r="R17" s="1" t="s">
        <v>13</v>
      </c>
      <c r="S17" s="17">
        <f t="shared" ref="S17:AF17" si="9">SUM(C38:C41)</f>
        <v>222</v>
      </c>
      <c r="T17" s="17">
        <f t="shared" si="9"/>
        <v>33</v>
      </c>
      <c r="U17" s="17">
        <f t="shared" si="9"/>
        <v>35</v>
      </c>
      <c r="V17" s="17">
        <f t="shared" si="9"/>
        <v>25</v>
      </c>
      <c r="W17" s="17">
        <f t="shared" si="9"/>
        <v>1</v>
      </c>
      <c r="X17" s="17">
        <f t="shared" si="9"/>
        <v>0</v>
      </c>
      <c r="Y17" s="17">
        <f t="shared" si="9"/>
        <v>8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280</v>
      </c>
      <c r="AD17" s="17">
        <f t="shared" si="9"/>
        <v>0</v>
      </c>
      <c r="AE17" s="31">
        <f t="shared" si="9"/>
        <v>326</v>
      </c>
      <c r="AF17" s="31">
        <f t="shared" si="9"/>
        <v>606</v>
      </c>
    </row>
    <row r="18" spans="2:32" ht="23.1" customHeight="1" x14ac:dyDescent="0.25">
      <c r="B18" s="23" t="s">
        <v>45</v>
      </c>
      <c r="C18" s="50">
        <v>61</v>
      </c>
      <c r="D18" s="50">
        <v>13</v>
      </c>
      <c r="E18" s="50">
        <v>11</v>
      </c>
      <c r="F18" s="50">
        <v>29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117</v>
      </c>
      <c r="N18" s="50">
        <v>0</v>
      </c>
      <c r="O18" s="15">
        <f t="shared" si="0"/>
        <v>114</v>
      </c>
      <c r="P18" s="15">
        <f t="shared" si="1"/>
        <v>231</v>
      </c>
      <c r="R18" s="1" t="s">
        <v>14</v>
      </c>
      <c r="S18" s="17">
        <f t="shared" ref="S18:AF18" si="10">SUM(C42:C45)</f>
        <v>144</v>
      </c>
      <c r="T18" s="17">
        <f t="shared" si="10"/>
        <v>37</v>
      </c>
      <c r="U18" s="17">
        <f t="shared" si="10"/>
        <v>22</v>
      </c>
      <c r="V18" s="17">
        <f t="shared" si="10"/>
        <v>34</v>
      </c>
      <c r="W18" s="17">
        <f t="shared" si="10"/>
        <v>1</v>
      </c>
      <c r="X18" s="17">
        <f t="shared" si="10"/>
        <v>0</v>
      </c>
      <c r="Y18" s="17">
        <f t="shared" si="10"/>
        <v>17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294</v>
      </c>
      <c r="AD18" s="17">
        <f t="shared" si="10"/>
        <v>0</v>
      </c>
      <c r="AE18" s="31">
        <f t="shared" si="10"/>
        <v>255</v>
      </c>
      <c r="AF18" s="31">
        <f t="shared" si="10"/>
        <v>549</v>
      </c>
    </row>
    <row r="19" spans="2:32" ht="23.1" customHeight="1" x14ac:dyDescent="0.25">
      <c r="B19" s="23" t="s">
        <v>46</v>
      </c>
      <c r="C19" s="50">
        <v>50</v>
      </c>
      <c r="D19" s="50">
        <v>10</v>
      </c>
      <c r="E19" s="50">
        <v>5</v>
      </c>
      <c r="F19" s="50">
        <v>21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120</v>
      </c>
      <c r="N19" s="50">
        <v>0</v>
      </c>
      <c r="O19" s="15">
        <f t="shared" si="0"/>
        <v>89</v>
      </c>
      <c r="P19" s="15">
        <f t="shared" si="1"/>
        <v>209</v>
      </c>
      <c r="R19" s="1" t="s">
        <v>15</v>
      </c>
      <c r="S19" s="17">
        <f t="shared" ref="S19:AF19" si="11">SUM(C46:C49)</f>
        <v>175</v>
      </c>
      <c r="T19" s="17">
        <f t="shared" si="11"/>
        <v>32</v>
      </c>
      <c r="U19" s="17">
        <f t="shared" si="11"/>
        <v>20</v>
      </c>
      <c r="V19" s="17">
        <f t="shared" si="11"/>
        <v>50</v>
      </c>
      <c r="W19" s="17">
        <f t="shared" si="11"/>
        <v>1</v>
      </c>
      <c r="X19" s="17">
        <f t="shared" si="11"/>
        <v>0</v>
      </c>
      <c r="Y19" s="17">
        <f t="shared" si="11"/>
        <v>14</v>
      </c>
      <c r="Z19" s="17">
        <f t="shared" si="11"/>
        <v>6</v>
      </c>
      <c r="AA19" s="17">
        <f t="shared" si="11"/>
        <v>0</v>
      </c>
      <c r="AB19" s="17">
        <f t="shared" si="11"/>
        <v>0</v>
      </c>
      <c r="AC19" s="17">
        <f t="shared" si="11"/>
        <v>404</v>
      </c>
      <c r="AD19" s="17">
        <f t="shared" si="11"/>
        <v>0</v>
      </c>
      <c r="AE19" s="31">
        <f t="shared" si="11"/>
        <v>298</v>
      </c>
      <c r="AF19" s="31">
        <f t="shared" si="11"/>
        <v>702</v>
      </c>
    </row>
    <row r="20" spans="2:32" ht="23.1" customHeight="1" x14ac:dyDescent="0.25">
      <c r="B20" s="23" t="s">
        <v>47</v>
      </c>
      <c r="C20" s="50">
        <v>70</v>
      </c>
      <c r="D20" s="50">
        <v>14</v>
      </c>
      <c r="E20" s="50">
        <v>7</v>
      </c>
      <c r="F20" s="50">
        <v>26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120</v>
      </c>
      <c r="N20" s="50">
        <v>0</v>
      </c>
      <c r="O20" s="15">
        <f t="shared" si="0"/>
        <v>120</v>
      </c>
      <c r="P20" s="15">
        <f t="shared" si="1"/>
        <v>240</v>
      </c>
      <c r="R20" s="1" t="s">
        <v>16</v>
      </c>
      <c r="S20" s="17">
        <f t="shared" ref="S20:AF20" si="12">SUM(C50:C53)</f>
        <v>197</v>
      </c>
      <c r="T20" s="17">
        <f t="shared" si="12"/>
        <v>41</v>
      </c>
      <c r="U20" s="17">
        <f t="shared" si="12"/>
        <v>22</v>
      </c>
      <c r="V20" s="17">
        <f t="shared" si="12"/>
        <v>26</v>
      </c>
      <c r="W20" s="17">
        <f t="shared" si="12"/>
        <v>1</v>
      </c>
      <c r="X20" s="17">
        <f t="shared" si="12"/>
        <v>0</v>
      </c>
      <c r="Y20" s="17">
        <f t="shared" si="12"/>
        <v>19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415</v>
      </c>
      <c r="AD20" s="17">
        <f t="shared" si="12"/>
        <v>0</v>
      </c>
      <c r="AE20" s="31">
        <f t="shared" si="12"/>
        <v>307</v>
      </c>
      <c r="AF20" s="31">
        <f t="shared" si="12"/>
        <v>722</v>
      </c>
    </row>
    <row r="21" spans="2:32" ht="23.1" customHeight="1" x14ac:dyDescent="0.25">
      <c r="B21" s="23" t="s">
        <v>48</v>
      </c>
      <c r="C21" s="50">
        <v>117</v>
      </c>
      <c r="D21" s="50">
        <v>12</v>
      </c>
      <c r="E21" s="50">
        <v>8</v>
      </c>
      <c r="F21" s="50">
        <v>13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165</v>
      </c>
      <c r="N21" s="50">
        <v>0</v>
      </c>
      <c r="O21" s="15">
        <f t="shared" si="0"/>
        <v>153</v>
      </c>
      <c r="P21" s="15">
        <f t="shared" si="1"/>
        <v>318</v>
      </c>
      <c r="R21" s="36" t="s">
        <v>20</v>
      </c>
      <c r="S21" s="34">
        <f t="shared" ref="S21:AF21" si="13">SUM(C54:C57)</f>
        <v>130</v>
      </c>
      <c r="T21" s="17">
        <f t="shared" si="13"/>
        <v>34</v>
      </c>
      <c r="U21" s="17">
        <f t="shared" si="13"/>
        <v>11</v>
      </c>
      <c r="V21" s="17">
        <f t="shared" si="13"/>
        <v>31</v>
      </c>
      <c r="W21" s="17">
        <f t="shared" si="13"/>
        <v>1</v>
      </c>
      <c r="X21" s="17">
        <f t="shared" si="13"/>
        <v>0</v>
      </c>
      <c r="Y21" s="17">
        <f t="shared" si="13"/>
        <v>14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311</v>
      </c>
      <c r="AD21" s="17">
        <f t="shared" si="13"/>
        <v>0</v>
      </c>
      <c r="AE21" s="31">
        <f t="shared" si="13"/>
        <v>224</v>
      </c>
      <c r="AF21" s="31">
        <f t="shared" si="13"/>
        <v>535</v>
      </c>
    </row>
    <row r="22" spans="2:32" ht="23.1" customHeight="1" x14ac:dyDescent="0.25">
      <c r="B22" s="23" t="s">
        <v>49</v>
      </c>
      <c r="C22" s="50">
        <v>68</v>
      </c>
      <c r="D22" s="50">
        <v>17</v>
      </c>
      <c r="E22" s="50">
        <v>9</v>
      </c>
      <c r="F22" s="50">
        <v>13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115</v>
      </c>
      <c r="N22" s="50">
        <v>0</v>
      </c>
      <c r="O22" s="15">
        <f t="shared" si="0"/>
        <v>109</v>
      </c>
      <c r="P22" s="15">
        <f t="shared" si="1"/>
        <v>224</v>
      </c>
      <c r="R22" s="38" t="s">
        <v>90</v>
      </c>
      <c r="S22" s="39">
        <f>MAX(S10:S12)</f>
        <v>868</v>
      </c>
      <c r="T22" s="39">
        <f t="shared" ref="T22:AF22" si="14">MAX(T10:T12)</f>
        <v>124</v>
      </c>
      <c r="U22" s="39">
        <f t="shared" si="14"/>
        <v>50</v>
      </c>
      <c r="V22" s="39">
        <f t="shared" si="14"/>
        <v>318</v>
      </c>
      <c r="W22" s="39">
        <f t="shared" si="14"/>
        <v>3</v>
      </c>
      <c r="X22" s="39">
        <f t="shared" si="14"/>
        <v>2</v>
      </c>
      <c r="Y22" s="39">
        <f t="shared" si="14"/>
        <v>14</v>
      </c>
      <c r="Z22" s="39">
        <f t="shared" si="14"/>
        <v>11</v>
      </c>
      <c r="AA22" s="39">
        <f t="shared" si="14"/>
        <v>0</v>
      </c>
      <c r="AB22" s="39">
        <f t="shared" si="14"/>
        <v>0</v>
      </c>
      <c r="AC22" s="39">
        <f t="shared" si="14"/>
        <v>875</v>
      </c>
      <c r="AD22" s="39">
        <f t="shared" si="14"/>
        <v>0</v>
      </c>
      <c r="AE22" s="40">
        <f t="shared" si="14"/>
        <v>1380</v>
      </c>
      <c r="AF22" s="40">
        <f t="shared" si="14"/>
        <v>2088</v>
      </c>
    </row>
    <row r="23" spans="2:32" ht="23.1" customHeight="1" x14ac:dyDescent="0.25">
      <c r="B23" s="23" t="s">
        <v>50</v>
      </c>
      <c r="C23" s="50">
        <v>63</v>
      </c>
      <c r="D23" s="50">
        <v>11</v>
      </c>
      <c r="E23" s="50">
        <v>7</v>
      </c>
      <c r="F23" s="50">
        <v>7</v>
      </c>
      <c r="G23" s="50">
        <v>1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96</v>
      </c>
      <c r="N23" s="50">
        <v>0</v>
      </c>
      <c r="O23" s="15">
        <f t="shared" si="0"/>
        <v>94</v>
      </c>
      <c r="P23" s="15">
        <f t="shared" si="1"/>
        <v>190</v>
      </c>
      <c r="R23" s="38" t="s">
        <v>91</v>
      </c>
      <c r="S23" s="39">
        <f>MAX(S13:S18)</f>
        <v>283</v>
      </c>
      <c r="T23" s="39">
        <f t="shared" ref="T23:AF23" si="15">MAX(T13:T18)</f>
        <v>51</v>
      </c>
      <c r="U23" s="39">
        <f t="shared" si="15"/>
        <v>35</v>
      </c>
      <c r="V23" s="39">
        <f t="shared" si="15"/>
        <v>62</v>
      </c>
      <c r="W23" s="39">
        <f t="shared" si="15"/>
        <v>1</v>
      </c>
      <c r="X23" s="39">
        <f t="shared" si="15"/>
        <v>0</v>
      </c>
      <c r="Y23" s="39">
        <f t="shared" si="15"/>
        <v>18</v>
      </c>
      <c r="Z23" s="39">
        <f t="shared" si="15"/>
        <v>3</v>
      </c>
      <c r="AA23" s="39">
        <f t="shared" si="15"/>
        <v>0</v>
      </c>
      <c r="AB23" s="39">
        <f t="shared" si="15"/>
        <v>0</v>
      </c>
      <c r="AC23" s="39">
        <f t="shared" si="15"/>
        <v>416</v>
      </c>
      <c r="AD23" s="39">
        <f t="shared" si="15"/>
        <v>0</v>
      </c>
      <c r="AE23" s="40">
        <f t="shared" si="15"/>
        <v>444</v>
      </c>
      <c r="AF23" s="40">
        <f t="shared" si="15"/>
        <v>860</v>
      </c>
    </row>
    <row r="24" spans="2:32" ht="23.1" customHeight="1" x14ac:dyDescent="0.25">
      <c r="B24" s="23" t="s">
        <v>51</v>
      </c>
      <c r="C24" s="50">
        <v>84</v>
      </c>
      <c r="D24" s="50">
        <v>15</v>
      </c>
      <c r="E24" s="50">
        <v>6</v>
      </c>
      <c r="F24" s="50">
        <v>25</v>
      </c>
      <c r="G24" s="50">
        <v>0</v>
      </c>
      <c r="H24" s="50">
        <v>0</v>
      </c>
      <c r="I24" s="50">
        <v>6</v>
      </c>
      <c r="J24" s="50">
        <v>1</v>
      </c>
      <c r="K24" s="50">
        <v>0</v>
      </c>
      <c r="L24" s="50">
        <v>0</v>
      </c>
      <c r="M24" s="50">
        <v>110</v>
      </c>
      <c r="N24" s="50">
        <v>0</v>
      </c>
      <c r="O24" s="15">
        <f t="shared" si="0"/>
        <v>137</v>
      </c>
      <c r="P24" s="15">
        <f t="shared" si="1"/>
        <v>247</v>
      </c>
      <c r="R24" s="38" t="s">
        <v>92</v>
      </c>
      <c r="S24" s="39">
        <f>MAX(S19:S21)</f>
        <v>197</v>
      </c>
      <c r="T24" s="39">
        <f t="shared" ref="T24:AF24" si="16">MAX(T19:T21)</f>
        <v>41</v>
      </c>
      <c r="U24" s="39">
        <f t="shared" si="16"/>
        <v>22</v>
      </c>
      <c r="V24" s="39">
        <f t="shared" si="16"/>
        <v>50</v>
      </c>
      <c r="W24" s="39">
        <f t="shared" si="16"/>
        <v>1</v>
      </c>
      <c r="X24" s="39">
        <f t="shared" si="16"/>
        <v>0</v>
      </c>
      <c r="Y24" s="39">
        <f t="shared" si="16"/>
        <v>19</v>
      </c>
      <c r="Z24" s="39">
        <f t="shared" si="16"/>
        <v>6</v>
      </c>
      <c r="AA24" s="39">
        <f t="shared" si="16"/>
        <v>0</v>
      </c>
      <c r="AB24" s="39">
        <f t="shared" si="16"/>
        <v>0</v>
      </c>
      <c r="AC24" s="39">
        <f t="shared" si="16"/>
        <v>415</v>
      </c>
      <c r="AD24" s="39">
        <f t="shared" si="16"/>
        <v>0</v>
      </c>
      <c r="AE24" s="40">
        <f t="shared" si="16"/>
        <v>307</v>
      </c>
      <c r="AF24" s="40">
        <f t="shared" si="16"/>
        <v>722</v>
      </c>
    </row>
    <row r="25" spans="2:32" ht="23.1" customHeight="1" x14ac:dyDescent="0.25">
      <c r="B25" s="23" t="s">
        <v>52</v>
      </c>
      <c r="C25" s="50">
        <v>68</v>
      </c>
      <c r="D25" s="50">
        <v>8</v>
      </c>
      <c r="E25" s="50">
        <v>7</v>
      </c>
      <c r="F25" s="50">
        <v>17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95</v>
      </c>
      <c r="N25" s="50">
        <v>0</v>
      </c>
      <c r="O25" s="15">
        <f t="shared" si="0"/>
        <v>104</v>
      </c>
      <c r="P25" s="15">
        <f t="shared" si="1"/>
        <v>199</v>
      </c>
      <c r="R25" s="37" t="s">
        <v>85</v>
      </c>
      <c r="S25" s="35">
        <f t="shared" ref="S25:AF25" si="17">SUM(S10:S12)</f>
        <v>1716</v>
      </c>
      <c r="T25" s="16">
        <f t="shared" si="17"/>
        <v>252</v>
      </c>
      <c r="U25" s="16">
        <f t="shared" si="17"/>
        <v>130</v>
      </c>
      <c r="V25" s="16">
        <f t="shared" si="17"/>
        <v>625</v>
      </c>
      <c r="W25" s="16">
        <f t="shared" si="17"/>
        <v>3</v>
      </c>
      <c r="X25" s="16">
        <f t="shared" si="17"/>
        <v>2</v>
      </c>
      <c r="Y25" s="16">
        <f t="shared" si="17"/>
        <v>35</v>
      </c>
      <c r="Z25" s="16">
        <f t="shared" si="17"/>
        <v>15</v>
      </c>
      <c r="AA25" s="16">
        <f t="shared" si="17"/>
        <v>0</v>
      </c>
      <c r="AB25" s="16">
        <f t="shared" si="17"/>
        <v>0</v>
      </c>
      <c r="AC25" s="16">
        <f t="shared" si="17"/>
        <v>2105</v>
      </c>
      <c r="AD25" s="16">
        <f t="shared" si="17"/>
        <v>0</v>
      </c>
      <c r="AE25" s="32">
        <f t="shared" si="17"/>
        <v>2778</v>
      </c>
      <c r="AF25" s="32">
        <f t="shared" si="17"/>
        <v>4883</v>
      </c>
    </row>
    <row r="26" spans="2:32" ht="23.1" customHeight="1" x14ac:dyDescent="0.25">
      <c r="B26" s="23" t="s">
        <v>53</v>
      </c>
      <c r="C26" s="50">
        <v>76</v>
      </c>
      <c r="D26" s="50">
        <v>15</v>
      </c>
      <c r="E26" s="50">
        <v>11</v>
      </c>
      <c r="F26" s="50">
        <v>9</v>
      </c>
      <c r="G26" s="50">
        <v>0</v>
      </c>
      <c r="H26" s="50">
        <v>0</v>
      </c>
      <c r="I26" s="50">
        <v>5</v>
      </c>
      <c r="J26" s="50">
        <v>0</v>
      </c>
      <c r="K26" s="50">
        <v>0</v>
      </c>
      <c r="L26" s="50">
        <v>0</v>
      </c>
      <c r="M26" s="50">
        <v>100</v>
      </c>
      <c r="N26" s="50">
        <v>0</v>
      </c>
      <c r="O26" s="15">
        <f t="shared" si="0"/>
        <v>116</v>
      </c>
      <c r="P26" s="15">
        <f t="shared" si="1"/>
        <v>216</v>
      </c>
      <c r="R26" s="28" t="s">
        <v>86</v>
      </c>
      <c r="S26" s="16">
        <f t="shared" ref="S26:AF26" si="18">SUM(S13:S18)</f>
        <v>1136</v>
      </c>
      <c r="T26" s="16">
        <f t="shared" si="18"/>
        <v>227</v>
      </c>
      <c r="U26" s="16">
        <f t="shared" si="18"/>
        <v>168</v>
      </c>
      <c r="V26" s="16">
        <f t="shared" si="18"/>
        <v>242</v>
      </c>
      <c r="W26" s="16">
        <f t="shared" si="18"/>
        <v>5</v>
      </c>
      <c r="X26" s="16">
        <f t="shared" si="18"/>
        <v>0</v>
      </c>
      <c r="Y26" s="16">
        <f t="shared" si="18"/>
        <v>85</v>
      </c>
      <c r="Z26" s="16">
        <f t="shared" si="18"/>
        <v>9</v>
      </c>
      <c r="AA26" s="16">
        <f t="shared" si="18"/>
        <v>0</v>
      </c>
      <c r="AB26" s="16">
        <f t="shared" si="18"/>
        <v>0</v>
      </c>
      <c r="AC26" s="16">
        <f t="shared" si="18"/>
        <v>1922</v>
      </c>
      <c r="AD26" s="16">
        <f t="shared" si="18"/>
        <v>0</v>
      </c>
      <c r="AE26" s="32">
        <f t="shared" si="18"/>
        <v>1872</v>
      </c>
      <c r="AF26" s="32">
        <f t="shared" si="18"/>
        <v>3794</v>
      </c>
    </row>
    <row r="27" spans="2:32" ht="23.1" customHeight="1" x14ac:dyDescent="0.25">
      <c r="B27" s="23" t="s">
        <v>54</v>
      </c>
      <c r="C27" s="50">
        <v>35</v>
      </c>
      <c r="D27" s="50">
        <v>6</v>
      </c>
      <c r="E27" s="50">
        <v>9</v>
      </c>
      <c r="F27" s="50">
        <v>12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61</v>
      </c>
      <c r="N27" s="50">
        <v>0</v>
      </c>
      <c r="O27" s="15">
        <f t="shared" si="0"/>
        <v>66</v>
      </c>
      <c r="P27" s="15">
        <f t="shared" si="1"/>
        <v>127</v>
      </c>
      <c r="R27" s="29" t="s">
        <v>87</v>
      </c>
      <c r="S27" s="16">
        <f t="shared" ref="S27:AF27" si="19">SUM(S19:S21)</f>
        <v>502</v>
      </c>
      <c r="T27" s="16">
        <f t="shared" si="19"/>
        <v>107</v>
      </c>
      <c r="U27" s="16">
        <f t="shared" si="19"/>
        <v>53</v>
      </c>
      <c r="V27" s="16">
        <f t="shared" si="19"/>
        <v>107</v>
      </c>
      <c r="W27" s="16">
        <f t="shared" si="19"/>
        <v>3</v>
      </c>
      <c r="X27" s="16">
        <f t="shared" si="19"/>
        <v>0</v>
      </c>
      <c r="Y27" s="16">
        <f t="shared" si="19"/>
        <v>47</v>
      </c>
      <c r="Z27" s="16">
        <f t="shared" si="19"/>
        <v>10</v>
      </c>
      <c r="AA27" s="16">
        <f t="shared" si="19"/>
        <v>0</v>
      </c>
      <c r="AB27" s="16">
        <f t="shared" si="19"/>
        <v>0</v>
      </c>
      <c r="AC27" s="16">
        <f t="shared" si="19"/>
        <v>1130</v>
      </c>
      <c r="AD27" s="16">
        <f t="shared" si="19"/>
        <v>0</v>
      </c>
      <c r="AE27" s="32">
        <f t="shared" si="19"/>
        <v>829</v>
      </c>
      <c r="AF27" s="32">
        <f t="shared" si="19"/>
        <v>1959</v>
      </c>
    </row>
    <row r="28" spans="2:32" ht="23.1" customHeight="1" x14ac:dyDescent="0.25">
      <c r="B28" s="23" t="s">
        <v>55</v>
      </c>
      <c r="C28" s="50">
        <v>64</v>
      </c>
      <c r="D28" s="50">
        <v>14</v>
      </c>
      <c r="E28" s="50">
        <v>8</v>
      </c>
      <c r="F28" s="50">
        <v>10</v>
      </c>
      <c r="G28" s="50">
        <v>0</v>
      </c>
      <c r="H28" s="50">
        <v>0</v>
      </c>
      <c r="I28" s="50">
        <v>6</v>
      </c>
      <c r="J28" s="50">
        <v>1</v>
      </c>
      <c r="K28" s="50">
        <v>0</v>
      </c>
      <c r="L28" s="50">
        <v>0</v>
      </c>
      <c r="M28" s="50">
        <v>80</v>
      </c>
      <c r="N28" s="50">
        <v>0</v>
      </c>
      <c r="O28" s="15">
        <f t="shared" si="0"/>
        <v>103</v>
      </c>
      <c r="P28" s="15">
        <f t="shared" si="1"/>
        <v>183</v>
      </c>
      <c r="R28" s="5" t="s">
        <v>17</v>
      </c>
      <c r="S28" s="16">
        <f t="shared" ref="S28:AF28" si="20">SUM(S10:S21)</f>
        <v>3354</v>
      </c>
      <c r="T28" s="16">
        <f t="shared" si="20"/>
        <v>586</v>
      </c>
      <c r="U28" s="16">
        <f t="shared" si="20"/>
        <v>351</v>
      </c>
      <c r="V28" s="16">
        <f t="shared" si="20"/>
        <v>974</v>
      </c>
      <c r="W28" s="16">
        <f t="shared" si="20"/>
        <v>11</v>
      </c>
      <c r="X28" s="16">
        <f t="shared" si="20"/>
        <v>2</v>
      </c>
      <c r="Y28" s="16">
        <f t="shared" si="20"/>
        <v>167</v>
      </c>
      <c r="Z28" s="16">
        <f t="shared" si="20"/>
        <v>34</v>
      </c>
      <c r="AA28" s="16">
        <f t="shared" si="20"/>
        <v>0</v>
      </c>
      <c r="AB28" s="16">
        <f t="shared" si="20"/>
        <v>0</v>
      </c>
      <c r="AC28" s="16">
        <f t="shared" si="20"/>
        <v>5157</v>
      </c>
      <c r="AD28" s="16">
        <f t="shared" si="20"/>
        <v>0</v>
      </c>
      <c r="AE28" s="32">
        <f t="shared" si="20"/>
        <v>5479</v>
      </c>
      <c r="AF28" s="32">
        <f t="shared" si="20"/>
        <v>10636</v>
      </c>
    </row>
    <row r="29" spans="2:32" ht="23.1" customHeight="1" x14ac:dyDescent="0.25">
      <c r="B29" s="23" t="s">
        <v>56</v>
      </c>
      <c r="C29" s="50">
        <v>28</v>
      </c>
      <c r="D29" s="50">
        <v>3</v>
      </c>
      <c r="E29" s="50">
        <v>7</v>
      </c>
      <c r="F29" s="50">
        <v>6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91</v>
      </c>
      <c r="N29" s="50">
        <v>0</v>
      </c>
      <c r="O29" s="15">
        <f t="shared" si="0"/>
        <v>47</v>
      </c>
      <c r="P29" s="15">
        <f t="shared" si="1"/>
        <v>138</v>
      </c>
      <c r="R29"/>
      <c r="S29" s="20"/>
      <c r="T29" s="19"/>
    </row>
    <row r="30" spans="2:32" ht="23.1" customHeight="1" x14ac:dyDescent="0.25">
      <c r="B30" s="23" t="s">
        <v>57</v>
      </c>
      <c r="C30" s="50">
        <v>41</v>
      </c>
      <c r="D30" s="50">
        <v>15</v>
      </c>
      <c r="E30" s="50">
        <v>7</v>
      </c>
      <c r="F30" s="50">
        <v>8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72</v>
      </c>
      <c r="N30" s="50">
        <v>0</v>
      </c>
      <c r="O30" s="15">
        <f t="shared" si="0"/>
        <v>74</v>
      </c>
      <c r="P30" s="15">
        <f t="shared" si="1"/>
        <v>146</v>
      </c>
    </row>
    <row r="31" spans="2:32" ht="23.1" customHeight="1" x14ac:dyDescent="0.25">
      <c r="B31" s="24" t="s">
        <v>58</v>
      </c>
      <c r="C31" s="50">
        <v>43</v>
      </c>
      <c r="D31" s="50">
        <v>10</v>
      </c>
      <c r="E31" s="50">
        <v>5</v>
      </c>
      <c r="F31" s="50">
        <v>13</v>
      </c>
      <c r="G31" s="50">
        <v>1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64</v>
      </c>
      <c r="N31" s="50">
        <v>0</v>
      </c>
      <c r="O31" s="15">
        <f t="shared" si="0"/>
        <v>75</v>
      </c>
      <c r="P31" s="15">
        <f t="shared" si="1"/>
        <v>139</v>
      </c>
    </row>
    <row r="32" spans="2:32" ht="23.1" customHeight="1" x14ac:dyDescent="0.25">
      <c r="B32" s="24" t="s">
        <v>59</v>
      </c>
      <c r="C32" s="50">
        <v>24</v>
      </c>
      <c r="D32" s="50">
        <v>12</v>
      </c>
      <c r="E32" s="50">
        <v>5</v>
      </c>
      <c r="F32" s="50">
        <v>11</v>
      </c>
      <c r="G32" s="50">
        <v>0</v>
      </c>
      <c r="H32" s="50">
        <v>0</v>
      </c>
      <c r="I32" s="50">
        <v>4</v>
      </c>
      <c r="J32" s="50">
        <v>1</v>
      </c>
      <c r="K32" s="50">
        <v>0</v>
      </c>
      <c r="L32" s="50">
        <v>0</v>
      </c>
      <c r="M32" s="50">
        <v>80</v>
      </c>
      <c r="N32" s="50">
        <v>0</v>
      </c>
      <c r="O32" s="15">
        <f t="shared" si="0"/>
        <v>57</v>
      </c>
      <c r="P32" s="15">
        <f t="shared" si="1"/>
        <v>137</v>
      </c>
    </row>
    <row r="33" spans="2:20" ht="23.1" customHeight="1" x14ac:dyDescent="0.25">
      <c r="B33" s="23" t="s">
        <v>60</v>
      </c>
      <c r="C33" s="50">
        <v>40</v>
      </c>
      <c r="D33" s="50">
        <v>8</v>
      </c>
      <c r="E33" s="50">
        <v>2</v>
      </c>
      <c r="F33" s="50">
        <v>12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87</v>
      </c>
      <c r="N33" s="50">
        <v>0</v>
      </c>
      <c r="O33" s="15">
        <f t="shared" si="0"/>
        <v>66</v>
      </c>
      <c r="P33" s="15">
        <f t="shared" si="1"/>
        <v>153</v>
      </c>
    </row>
    <row r="34" spans="2:20" ht="23.1" customHeight="1" x14ac:dyDescent="0.25">
      <c r="B34" s="24" t="s">
        <v>61</v>
      </c>
      <c r="C34" s="50">
        <v>38</v>
      </c>
      <c r="D34" s="50">
        <v>5</v>
      </c>
      <c r="E34" s="50">
        <v>7</v>
      </c>
      <c r="F34" s="50">
        <v>5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100</v>
      </c>
      <c r="N34" s="50">
        <v>0</v>
      </c>
      <c r="O34" s="15">
        <f t="shared" si="0"/>
        <v>58</v>
      </c>
      <c r="P34" s="15">
        <f t="shared" si="1"/>
        <v>158</v>
      </c>
    </row>
    <row r="35" spans="2:20" ht="23.1" customHeight="1" x14ac:dyDescent="0.25">
      <c r="B35" s="24" t="s">
        <v>62</v>
      </c>
      <c r="C35" s="50">
        <v>29</v>
      </c>
      <c r="D35" s="50">
        <v>6</v>
      </c>
      <c r="E35" s="50">
        <v>6</v>
      </c>
      <c r="F35" s="50">
        <v>5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60</v>
      </c>
      <c r="N35" s="50">
        <v>0</v>
      </c>
      <c r="O35" s="15">
        <f t="shared" si="0"/>
        <v>48</v>
      </c>
      <c r="P35" s="15">
        <f t="shared" si="1"/>
        <v>108</v>
      </c>
    </row>
    <row r="36" spans="2:20" ht="23.1" customHeight="1" x14ac:dyDescent="0.25">
      <c r="B36" s="24" t="s">
        <v>63</v>
      </c>
      <c r="C36" s="50">
        <v>37</v>
      </c>
      <c r="D36" s="50">
        <v>4</v>
      </c>
      <c r="E36" s="50">
        <v>7</v>
      </c>
      <c r="F36" s="50">
        <v>15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80</v>
      </c>
      <c r="N36" s="50">
        <v>0</v>
      </c>
      <c r="O36" s="15">
        <f t="shared" si="0"/>
        <v>68</v>
      </c>
      <c r="P36" s="15">
        <f t="shared" si="1"/>
        <v>148</v>
      </c>
    </row>
    <row r="37" spans="2:20" ht="23.1" customHeight="1" x14ac:dyDescent="0.25">
      <c r="B37" s="23" t="s">
        <v>64</v>
      </c>
      <c r="C37" s="50">
        <v>32</v>
      </c>
      <c r="D37" s="50">
        <v>8</v>
      </c>
      <c r="E37" s="50">
        <v>8</v>
      </c>
      <c r="F37" s="50">
        <v>15</v>
      </c>
      <c r="G37" s="50">
        <v>1</v>
      </c>
      <c r="H37" s="50">
        <v>0</v>
      </c>
      <c r="I37" s="50">
        <v>4</v>
      </c>
      <c r="J37" s="50">
        <v>1</v>
      </c>
      <c r="K37" s="50">
        <v>0</v>
      </c>
      <c r="L37" s="50">
        <v>0</v>
      </c>
      <c r="M37" s="50">
        <v>57</v>
      </c>
      <c r="N37" s="50">
        <v>0</v>
      </c>
      <c r="O37" s="15">
        <f t="shared" si="0"/>
        <v>69</v>
      </c>
      <c r="P37" s="15">
        <f t="shared" si="1"/>
        <v>126</v>
      </c>
    </row>
    <row r="38" spans="2:20" ht="23.1" customHeight="1" x14ac:dyDescent="0.25">
      <c r="B38" s="24" t="s">
        <v>65</v>
      </c>
      <c r="C38" s="50">
        <v>48</v>
      </c>
      <c r="D38" s="50">
        <v>8</v>
      </c>
      <c r="E38" s="50">
        <v>9</v>
      </c>
      <c r="F38" s="50">
        <v>3</v>
      </c>
      <c r="G38" s="50">
        <v>1</v>
      </c>
      <c r="H38" s="50">
        <v>0</v>
      </c>
      <c r="I38" s="50">
        <v>5</v>
      </c>
      <c r="J38" s="50">
        <v>0</v>
      </c>
      <c r="K38" s="50">
        <v>0</v>
      </c>
      <c r="L38" s="50">
        <v>0</v>
      </c>
      <c r="M38" s="50">
        <v>62</v>
      </c>
      <c r="N38" s="50">
        <v>0</v>
      </c>
      <c r="O38" s="15">
        <f t="shared" si="0"/>
        <v>74</v>
      </c>
      <c r="P38" s="15">
        <f t="shared" si="1"/>
        <v>136</v>
      </c>
    </row>
    <row r="39" spans="2:20" ht="23.1" customHeight="1" x14ac:dyDescent="0.25">
      <c r="B39" s="24" t="s">
        <v>66</v>
      </c>
      <c r="C39" s="50">
        <v>50</v>
      </c>
      <c r="D39" s="50">
        <v>8</v>
      </c>
      <c r="E39" s="50">
        <v>6</v>
      </c>
      <c r="F39" s="50">
        <v>11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56</v>
      </c>
      <c r="N39" s="50">
        <v>0</v>
      </c>
      <c r="O39" s="15">
        <f t="shared" si="0"/>
        <v>77</v>
      </c>
      <c r="P39" s="15">
        <f t="shared" si="1"/>
        <v>133</v>
      </c>
    </row>
    <row r="40" spans="2:20" ht="23.1" customHeight="1" x14ac:dyDescent="0.25">
      <c r="B40" s="24" t="s">
        <v>67</v>
      </c>
      <c r="C40" s="50">
        <v>91</v>
      </c>
      <c r="D40" s="50">
        <v>11</v>
      </c>
      <c r="E40" s="50">
        <v>14</v>
      </c>
      <c r="F40" s="50">
        <v>5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90</v>
      </c>
      <c r="N40" s="50">
        <v>0</v>
      </c>
      <c r="O40" s="15">
        <f t="shared" si="0"/>
        <v>121</v>
      </c>
      <c r="P40" s="15">
        <f t="shared" si="1"/>
        <v>211</v>
      </c>
    </row>
    <row r="41" spans="2:20" ht="23.1" customHeight="1" x14ac:dyDescent="0.25">
      <c r="B41" s="23" t="s">
        <v>68</v>
      </c>
      <c r="C41" s="50">
        <v>33</v>
      </c>
      <c r="D41" s="50">
        <v>6</v>
      </c>
      <c r="E41" s="50">
        <v>6</v>
      </c>
      <c r="F41" s="50">
        <v>6</v>
      </c>
      <c r="G41" s="50">
        <v>0</v>
      </c>
      <c r="H41" s="50">
        <v>0</v>
      </c>
      <c r="I41" s="50">
        <v>1</v>
      </c>
      <c r="J41" s="50">
        <v>2</v>
      </c>
      <c r="K41" s="50">
        <v>0</v>
      </c>
      <c r="L41" s="50">
        <v>0</v>
      </c>
      <c r="M41" s="50">
        <v>72</v>
      </c>
      <c r="N41" s="50">
        <v>0</v>
      </c>
      <c r="O41" s="15">
        <f t="shared" si="0"/>
        <v>54</v>
      </c>
      <c r="P41" s="15">
        <f t="shared" si="1"/>
        <v>126</v>
      </c>
    </row>
    <row r="42" spans="2:20" ht="23.1" customHeight="1" x14ac:dyDescent="0.25">
      <c r="B42" s="24" t="s">
        <v>69</v>
      </c>
      <c r="C42" s="50">
        <v>39</v>
      </c>
      <c r="D42" s="50">
        <v>20</v>
      </c>
      <c r="E42" s="50">
        <v>5</v>
      </c>
      <c r="F42" s="50">
        <v>11</v>
      </c>
      <c r="G42" s="50">
        <v>1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73</v>
      </c>
      <c r="N42" s="50">
        <v>0</v>
      </c>
      <c r="O42" s="15">
        <f t="shared" si="0"/>
        <v>80</v>
      </c>
      <c r="P42" s="15">
        <f t="shared" si="1"/>
        <v>153</v>
      </c>
    </row>
    <row r="43" spans="2:20" ht="23.1" customHeight="1" x14ac:dyDescent="0.25">
      <c r="B43" s="23" t="s">
        <v>70</v>
      </c>
      <c r="C43" s="50">
        <v>48</v>
      </c>
      <c r="D43" s="50">
        <v>4</v>
      </c>
      <c r="E43" s="50">
        <v>7</v>
      </c>
      <c r="F43" s="50">
        <v>8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85</v>
      </c>
      <c r="N43" s="50">
        <v>0</v>
      </c>
      <c r="O43" s="15">
        <f t="shared" si="0"/>
        <v>71</v>
      </c>
      <c r="P43" s="15">
        <f t="shared" si="1"/>
        <v>156</v>
      </c>
    </row>
    <row r="44" spans="2:20" ht="23.1" customHeight="1" x14ac:dyDescent="0.25">
      <c r="B44" s="25" t="s">
        <v>71</v>
      </c>
      <c r="C44" s="50">
        <v>30</v>
      </c>
      <c r="D44" s="50">
        <v>6</v>
      </c>
      <c r="E44" s="50">
        <v>8</v>
      </c>
      <c r="F44" s="50">
        <v>11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76</v>
      </c>
      <c r="N44" s="50">
        <v>0</v>
      </c>
      <c r="O44" s="15">
        <f t="shared" si="0"/>
        <v>58</v>
      </c>
      <c r="P44" s="15">
        <f t="shared" si="1"/>
        <v>134</v>
      </c>
    </row>
    <row r="45" spans="2:20" ht="23.1" customHeight="1" x14ac:dyDescent="0.25">
      <c r="B45" s="23" t="s">
        <v>72</v>
      </c>
      <c r="C45" s="50">
        <v>27</v>
      </c>
      <c r="D45" s="50">
        <v>7</v>
      </c>
      <c r="E45" s="50">
        <v>2</v>
      </c>
      <c r="F45" s="50">
        <v>4</v>
      </c>
      <c r="G45" s="50">
        <v>0</v>
      </c>
      <c r="H45" s="50">
        <v>0</v>
      </c>
      <c r="I45" s="50">
        <v>6</v>
      </c>
      <c r="J45" s="50">
        <v>0</v>
      </c>
      <c r="K45" s="50">
        <v>0</v>
      </c>
      <c r="L45" s="50">
        <v>0</v>
      </c>
      <c r="M45" s="50">
        <v>60</v>
      </c>
      <c r="N45" s="50">
        <v>0</v>
      </c>
      <c r="O45" s="15">
        <f t="shared" si="0"/>
        <v>46</v>
      </c>
      <c r="P45" s="15">
        <f t="shared" si="1"/>
        <v>106</v>
      </c>
    </row>
    <row r="46" spans="2:20" ht="23.1" customHeight="1" x14ac:dyDescent="0.25">
      <c r="B46" s="24" t="s">
        <v>73</v>
      </c>
      <c r="C46" s="50">
        <v>40</v>
      </c>
      <c r="D46" s="50">
        <v>11</v>
      </c>
      <c r="E46" s="50">
        <v>8</v>
      </c>
      <c r="F46" s="50">
        <v>17</v>
      </c>
      <c r="G46" s="50">
        <v>0</v>
      </c>
      <c r="H46" s="50">
        <v>0</v>
      </c>
      <c r="I46" s="50">
        <v>11</v>
      </c>
      <c r="J46" s="50">
        <v>2</v>
      </c>
      <c r="K46" s="50">
        <v>0</v>
      </c>
      <c r="L46" s="50">
        <v>0</v>
      </c>
      <c r="M46" s="50">
        <v>125</v>
      </c>
      <c r="N46" s="50">
        <v>0</v>
      </c>
      <c r="O46" s="15">
        <f t="shared" si="0"/>
        <v>89</v>
      </c>
      <c r="P46" s="15">
        <f t="shared" si="1"/>
        <v>214</v>
      </c>
      <c r="R46" s="8"/>
      <c r="T46"/>
    </row>
    <row r="47" spans="2:20" ht="23.1" customHeight="1" x14ac:dyDescent="0.25">
      <c r="B47" s="24" t="s">
        <v>74</v>
      </c>
      <c r="C47" s="50">
        <v>45</v>
      </c>
      <c r="D47" s="50">
        <v>5</v>
      </c>
      <c r="E47" s="50">
        <v>5</v>
      </c>
      <c r="F47" s="50">
        <v>8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76</v>
      </c>
      <c r="N47" s="50">
        <v>0</v>
      </c>
      <c r="O47" s="15">
        <f t="shared" si="0"/>
        <v>66</v>
      </c>
      <c r="P47" s="15">
        <f t="shared" si="1"/>
        <v>142</v>
      </c>
      <c r="R47" s="8"/>
      <c r="T47"/>
    </row>
    <row r="48" spans="2:20" ht="23.1" customHeight="1" x14ac:dyDescent="0.25">
      <c r="B48" s="24" t="s">
        <v>75</v>
      </c>
      <c r="C48" s="50">
        <v>43</v>
      </c>
      <c r="D48" s="50">
        <v>9</v>
      </c>
      <c r="E48" s="50">
        <v>4</v>
      </c>
      <c r="F48" s="50">
        <v>10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115</v>
      </c>
      <c r="N48" s="50">
        <v>0</v>
      </c>
      <c r="O48" s="15">
        <f t="shared" si="0"/>
        <v>66</v>
      </c>
      <c r="P48" s="15">
        <f t="shared" si="1"/>
        <v>181</v>
      </c>
      <c r="R48" s="8"/>
      <c r="T48"/>
    </row>
    <row r="49" spans="2:20" ht="23.1" customHeight="1" x14ac:dyDescent="0.25">
      <c r="B49" s="23" t="s">
        <v>76</v>
      </c>
      <c r="C49" s="50">
        <v>47</v>
      </c>
      <c r="D49" s="50">
        <v>7</v>
      </c>
      <c r="E49" s="50">
        <v>3</v>
      </c>
      <c r="F49" s="50">
        <v>15</v>
      </c>
      <c r="G49" s="50">
        <v>1</v>
      </c>
      <c r="H49" s="50">
        <v>0</v>
      </c>
      <c r="I49" s="50">
        <v>1</v>
      </c>
      <c r="J49" s="50">
        <v>3</v>
      </c>
      <c r="K49" s="50">
        <v>0</v>
      </c>
      <c r="L49" s="50">
        <v>0</v>
      </c>
      <c r="M49" s="50">
        <v>88</v>
      </c>
      <c r="N49" s="50">
        <v>0</v>
      </c>
      <c r="O49" s="15">
        <f t="shared" si="0"/>
        <v>77</v>
      </c>
      <c r="P49" s="15">
        <f t="shared" si="1"/>
        <v>165</v>
      </c>
      <c r="R49" s="8"/>
      <c r="T49"/>
    </row>
    <row r="50" spans="2:20" ht="23.1" customHeight="1" x14ac:dyDescent="0.25">
      <c r="B50" s="24" t="s">
        <v>77</v>
      </c>
      <c r="C50" s="50">
        <v>47</v>
      </c>
      <c r="D50" s="50">
        <v>17</v>
      </c>
      <c r="E50" s="50">
        <v>6</v>
      </c>
      <c r="F50" s="50">
        <v>13</v>
      </c>
      <c r="G50" s="50">
        <v>0</v>
      </c>
      <c r="H50" s="50">
        <v>0</v>
      </c>
      <c r="I50" s="50">
        <v>6</v>
      </c>
      <c r="J50" s="50">
        <v>0</v>
      </c>
      <c r="K50" s="50">
        <v>0</v>
      </c>
      <c r="L50" s="50">
        <v>0</v>
      </c>
      <c r="M50" s="50">
        <v>95</v>
      </c>
      <c r="N50" s="50">
        <v>0</v>
      </c>
      <c r="O50" s="15">
        <f t="shared" si="0"/>
        <v>89</v>
      </c>
      <c r="P50" s="15">
        <f t="shared" si="1"/>
        <v>184</v>
      </c>
      <c r="R50" s="8"/>
      <c r="T50"/>
    </row>
    <row r="51" spans="2:20" ht="23.1" customHeight="1" x14ac:dyDescent="0.25">
      <c r="B51" s="24" t="s">
        <v>78</v>
      </c>
      <c r="C51" s="50">
        <v>44</v>
      </c>
      <c r="D51" s="50">
        <v>10</v>
      </c>
      <c r="E51" s="50">
        <v>13</v>
      </c>
      <c r="F51" s="50">
        <v>8</v>
      </c>
      <c r="G51" s="50">
        <v>0</v>
      </c>
      <c r="H51" s="50">
        <v>0</v>
      </c>
      <c r="I51" s="50">
        <v>3</v>
      </c>
      <c r="J51" s="50">
        <v>1</v>
      </c>
      <c r="K51" s="50">
        <v>0</v>
      </c>
      <c r="L51" s="50">
        <v>0</v>
      </c>
      <c r="M51" s="50">
        <v>125</v>
      </c>
      <c r="N51" s="50">
        <v>0</v>
      </c>
      <c r="O51" s="15">
        <f t="shared" si="0"/>
        <v>79</v>
      </c>
      <c r="P51" s="15">
        <f t="shared" si="1"/>
        <v>204</v>
      </c>
      <c r="R51" s="8"/>
      <c r="T51"/>
    </row>
    <row r="52" spans="2:20" ht="23.1" customHeight="1" x14ac:dyDescent="0.25">
      <c r="B52" s="24" t="s">
        <v>79</v>
      </c>
      <c r="C52" s="50">
        <v>51</v>
      </c>
      <c r="D52" s="50">
        <v>9</v>
      </c>
      <c r="E52" s="50">
        <v>2</v>
      </c>
      <c r="F52" s="50">
        <v>3</v>
      </c>
      <c r="G52" s="50">
        <v>1</v>
      </c>
      <c r="H52" s="50">
        <v>0</v>
      </c>
      <c r="I52" s="50">
        <v>5</v>
      </c>
      <c r="J52" s="50">
        <v>0</v>
      </c>
      <c r="K52" s="50">
        <v>0</v>
      </c>
      <c r="L52" s="50">
        <v>0</v>
      </c>
      <c r="M52" s="50">
        <v>110</v>
      </c>
      <c r="N52" s="50">
        <v>0</v>
      </c>
      <c r="O52" s="15">
        <f t="shared" si="0"/>
        <v>71</v>
      </c>
      <c r="P52" s="15">
        <f t="shared" si="1"/>
        <v>181</v>
      </c>
      <c r="R52" s="8"/>
      <c r="T52"/>
    </row>
    <row r="53" spans="2:20" ht="23.1" customHeight="1" x14ac:dyDescent="0.25">
      <c r="B53" s="23" t="s">
        <v>80</v>
      </c>
      <c r="C53" s="50">
        <v>55</v>
      </c>
      <c r="D53" s="50">
        <v>5</v>
      </c>
      <c r="E53" s="50">
        <v>1</v>
      </c>
      <c r="F53" s="50">
        <v>2</v>
      </c>
      <c r="G53" s="50">
        <v>0</v>
      </c>
      <c r="H53" s="50">
        <v>0</v>
      </c>
      <c r="I53" s="50">
        <v>5</v>
      </c>
      <c r="J53" s="50">
        <v>0</v>
      </c>
      <c r="K53" s="50">
        <v>0</v>
      </c>
      <c r="L53" s="50">
        <v>0</v>
      </c>
      <c r="M53" s="50">
        <v>85</v>
      </c>
      <c r="N53" s="50">
        <v>0</v>
      </c>
      <c r="O53" s="15">
        <f t="shared" si="0"/>
        <v>68</v>
      </c>
      <c r="P53" s="15">
        <f t="shared" si="1"/>
        <v>153</v>
      </c>
      <c r="R53" s="8"/>
      <c r="T53"/>
    </row>
    <row r="54" spans="2:20" ht="23.1" customHeight="1" x14ac:dyDescent="0.25">
      <c r="B54" s="23" t="s">
        <v>81</v>
      </c>
      <c r="C54" s="50">
        <v>43</v>
      </c>
      <c r="D54" s="50">
        <v>9</v>
      </c>
      <c r="E54" s="50">
        <v>3</v>
      </c>
      <c r="F54" s="50">
        <v>5</v>
      </c>
      <c r="G54" s="50">
        <v>1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86</v>
      </c>
      <c r="N54" s="50">
        <v>0</v>
      </c>
      <c r="O54" s="15">
        <f t="shared" si="0"/>
        <v>65</v>
      </c>
      <c r="P54" s="15">
        <f t="shared" si="1"/>
        <v>151</v>
      </c>
      <c r="R54" s="8"/>
      <c r="T54"/>
    </row>
    <row r="55" spans="2:20" ht="23.1" customHeight="1" x14ac:dyDescent="0.25">
      <c r="B55" s="23" t="s">
        <v>82</v>
      </c>
      <c r="C55" s="50">
        <v>15</v>
      </c>
      <c r="D55" s="50">
        <v>5</v>
      </c>
      <c r="E55" s="50">
        <v>0</v>
      </c>
      <c r="F55" s="50">
        <v>7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55</v>
      </c>
      <c r="N55" s="50">
        <v>0</v>
      </c>
      <c r="O55" s="15">
        <f t="shared" si="0"/>
        <v>30</v>
      </c>
      <c r="P55" s="15">
        <f t="shared" si="1"/>
        <v>85</v>
      </c>
      <c r="R55" s="8"/>
      <c r="T55"/>
    </row>
    <row r="56" spans="2:20" ht="23.1" customHeight="1" x14ac:dyDescent="0.25">
      <c r="B56" s="23" t="s">
        <v>83</v>
      </c>
      <c r="C56" s="50">
        <v>27</v>
      </c>
      <c r="D56" s="50">
        <v>12</v>
      </c>
      <c r="E56" s="50">
        <v>3</v>
      </c>
      <c r="F56" s="50">
        <v>7</v>
      </c>
      <c r="G56" s="50">
        <v>0</v>
      </c>
      <c r="H56" s="50">
        <v>0</v>
      </c>
      <c r="I56" s="50">
        <v>4</v>
      </c>
      <c r="J56" s="50">
        <v>1</v>
      </c>
      <c r="K56" s="50">
        <v>0</v>
      </c>
      <c r="L56" s="50">
        <v>0</v>
      </c>
      <c r="M56" s="50">
        <v>65</v>
      </c>
      <c r="N56" s="50">
        <v>0</v>
      </c>
      <c r="O56" s="15">
        <f t="shared" si="0"/>
        <v>54</v>
      </c>
      <c r="P56" s="15">
        <f t="shared" si="1"/>
        <v>119</v>
      </c>
      <c r="R56" s="8"/>
      <c r="T56"/>
    </row>
    <row r="57" spans="2:20" ht="23.1" customHeight="1" x14ac:dyDescent="0.25">
      <c r="B57" s="23" t="s">
        <v>84</v>
      </c>
      <c r="C57" s="50">
        <v>45</v>
      </c>
      <c r="D57" s="50">
        <v>8</v>
      </c>
      <c r="E57" s="50">
        <v>5</v>
      </c>
      <c r="F57" s="50">
        <v>12</v>
      </c>
      <c r="G57" s="50">
        <v>0</v>
      </c>
      <c r="H57" s="50">
        <v>0</v>
      </c>
      <c r="I57" s="50">
        <v>3</v>
      </c>
      <c r="J57" s="50">
        <v>2</v>
      </c>
      <c r="K57" s="50">
        <v>0</v>
      </c>
      <c r="L57" s="50">
        <v>0</v>
      </c>
      <c r="M57" s="50">
        <v>105</v>
      </c>
      <c r="N57" s="50">
        <v>0</v>
      </c>
      <c r="O57" s="15">
        <f t="shared" si="0"/>
        <v>75</v>
      </c>
      <c r="P57" s="15">
        <f t="shared" si="1"/>
        <v>180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3354</v>
      </c>
      <c r="D58" s="16">
        <f t="shared" si="21"/>
        <v>586</v>
      </c>
      <c r="E58" s="16">
        <f t="shared" si="21"/>
        <v>351</v>
      </c>
      <c r="F58" s="16">
        <f t="shared" si="21"/>
        <v>974</v>
      </c>
      <c r="G58" s="16">
        <f t="shared" si="21"/>
        <v>11</v>
      </c>
      <c r="H58" s="16">
        <f t="shared" si="21"/>
        <v>2</v>
      </c>
      <c r="I58" s="16">
        <f t="shared" si="21"/>
        <v>167</v>
      </c>
      <c r="J58" s="16">
        <f t="shared" si="21"/>
        <v>34</v>
      </c>
      <c r="K58" s="16">
        <f t="shared" si="21"/>
        <v>0</v>
      </c>
      <c r="L58" s="16">
        <f t="shared" si="21"/>
        <v>0</v>
      </c>
      <c r="M58" s="16">
        <f t="shared" si="21"/>
        <v>5157</v>
      </c>
      <c r="N58" s="16">
        <f t="shared" si="21"/>
        <v>0</v>
      </c>
      <c r="O58" s="16">
        <f t="shared" si="21"/>
        <v>5479</v>
      </c>
      <c r="P58" s="16">
        <f t="shared" si="21"/>
        <v>10636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0.31534411432869502</v>
      </c>
      <c r="D59" s="43">
        <f t="shared" si="22"/>
        <v>5.5095900714554343E-2</v>
      </c>
      <c r="E59" s="43">
        <f t="shared" si="22"/>
        <v>3.3001128243700641E-2</v>
      </c>
      <c r="F59" s="43">
        <f t="shared" si="22"/>
        <v>9.1575780368559609E-2</v>
      </c>
      <c r="G59" s="43">
        <f t="shared" si="22"/>
        <v>1.0342233922527265E-3</v>
      </c>
      <c r="H59" s="43">
        <f t="shared" si="22"/>
        <v>1.8804061677322301E-4</v>
      </c>
      <c r="I59" s="43">
        <f t="shared" si="22"/>
        <v>1.5701391500564123E-2</v>
      </c>
      <c r="J59" s="43">
        <f t="shared" si="22"/>
        <v>3.1966904851447914E-3</v>
      </c>
      <c r="K59" s="43">
        <f t="shared" si="22"/>
        <v>0</v>
      </c>
      <c r="L59" s="43">
        <f t="shared" si="22"/>
        <v>0</v>
      </c>
      <c r="M59" s="43">
        <f t="shared" si="22"/>
        <v>0.48486273034975552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0.61215550282898334</v>
      </c>
      <c r="D60" s="44">
        <f t="shared" ref="D60:N60" si="23">D58/$O$58</f>
        <v>0.10695382369045446</v>
      </c>
      <c r="E60" s="44">
        <f t="shared" si="23"/>
        <v>6.4062785179777329E-2</v>
      </c>
      <c r="F60" s="44">
        <f t="shared" si="23"/>
        <v>0.17776966599744479</v>
      </c>
      <c r="G60" s="44">
        <f t="shared" si="23"/>
        <v>2.0076656324146741E-3</v>
      </c>
      <c r="H60" s="44">
        <f t="shared" si="23"/>
        <v>3.650301149844862E-4</v>
      </c>
      <c r="I60" s="44">
        <f t="shared" si="23"/>
        <v>3.04800146012046E-2</v>
      </c>
      <c r="J60" s="44">
        <f t="shared" si="23"/>
        <v>6.2055119547362661E-3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F64" sqref="F6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Mulago-Kyebando'!C3:G3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Kyebando-Mulago'!D5</f>
        <v>31.07.19</v>
      </c>
      <c r="E5" s="3"/>
      <c r="F5" s="41" t="s">
        <v>1</v>
      </c>
      <c r="G5" s="55" t="str">
        <f>'31.07 Kyebando-Mulago'!G5:H5</f>
        <v>Kisingiri Street</v>
      </c>
      <c r="H5" s="56"/>
      <c r="I5" s="14"/>
      <c r="J5" s="2" t="s">
        <v>5</v>
      </c>
      <c r="K5" s="55" t="s">
        <v>175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'02.08 Mulago-Kyebando'!D6:E6</f>
        <v>Mulago</v>
      </c>
      <c r="E6" s="56"/>
      <c r="F6" s="2" t="s">
        <v>2</v>
      </c>
      <c r="G6" s="55" t="str">
        <f>'02.08 Mulago-Kyebando'!G6:H6</f>
        <v>Kyebando</v>
      </c>
      <c r="H6" s="56"/>
      <c r="J6" s="2" t="s">
        <v>21</v>
      </c>
      <c r="K6" s="55" t="str">
        <f>'31.07 Kyebando-Mulago'!K6:L6</f>
        <v>Steven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35</v>
      </c>
      <c r="D10" s="50">
        <v>9</v>
      </c>
      <c r="E10" s="50">
        <v>6</v>
      </c>
      <c r="F10" s="50">
        <v>12</v>
      </c>
      <c r="G10" s="50">
        <v>3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120</v>
      </c>
      <c r="N10" s="50">
        <v>0</v>
      </c>
      <c r="O10" s="15">
        <f t="shared" ref="O10:O57" si="0">SUM(C10:L10,N10)</f>
        <v>65</v>
      </c>
      <c r="P10" s="15">
        <f t="shared" ref="P10:P57" si="1">SUM(C10:N10)</f>
        <v>185</v>
      </c>
      <c r="R10" s="1" t="s">
        <v>6</v>
      </c>
      <c r="S10" s="17">
        <f t="shared" ref="S10:AF10" si="2">SUM(C10:C13)</f>
        <v>130</v>
      </c>
      <c r="T10" s="17">
        <f t="shared" si="2"/>
        <v>17</v>
      </c>
      <c r="U10" s="17">
        <f t="shared" si="2"/>
        <v>13</v>
      </c>
      <c r="V10" s="17">
        <f t="shared" si="2"/>
        <v>50</v>
      </c>
      <c r="W10" s="17">
        <f t="shared" si="2"/>
        <v>5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607</v>
      </c>
      <c r="AD10" s="17">
        <f t="shared" si="2"/>
        <v>0</v>
      </c>
      <c r="AE10" s="31">
        <f t="shared" si="2"/>
        <v>221</v>
      </c>
      <c r="AF10" s="31">
        <f t="shared" si="2"/>
        <v>828</v>
      </c>
    </row>
    <row r="11" spans="2:32" s="6" customFormat="1" ht="23.1" customHeight="1" x14ac:dyDescent="0.25">
      <c r="B11" s="23" t="s">
        <v>38</v>
      </c>
      <c r="C11" s="50">
        <v>25</v>
      </c>
      <c r="D11" s="50">
        <v>4</v>
      </c>
      <c r="E11" s="50">
        <v>1</v>
      </c>
      <c r="F11" s="50">
        <v>14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130</v>
      </c>
      <c r="N11" s="50">
        <v>0</v>
      </c>
      <c r="O11" s="15">
        <f t="shared" si="0"/>
        <v>46</v>
      </c>
      <c r="P11" s="15">
        <f t="shared" si="1"/>
        <v>176</v>
      </c>
      <c r="R11" s="1" t="s">
        <v>7</v>
      </c>
      <c r="S11" s="17">
        <f t="shared" ref="S11:AF11" si="3">SUM(C14:C17)</f>
        <v>124</v>
      </c>
      <c r="T11" s="17">
        <f t="shared" si="3"/>
        <v>10</v>
      </c>
      <c r="U11" s="17">
        <f t="shared" si="3"/>
        <v>18</v>
      </c>
      <c r="V11" s="17">
        <f t="shared" si="3"/>
        <v>51</v>
      </c>
      <c r="W11" s="17">
        <f t="shared" si="3"/>
        <v>5</v>
      </c>
      <c r="X11" s="17">
        <f t="shared" si="3"/>
        <v>0</v>
      </c>
      <c r="Y11" s="17">
        <f t="shared" si="3"/>
        <v>7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915</v>
      </c>
      <c r="AD11" s="17">
        <f t="shared" si="3"/>
        <v>0</v>
      </c>
      <c r="AE11" s="31">
        <f t="shared" si="3"/>
        <v>218</v>
      </c>
      <c r="AF11" s="31">
        <f t="shared" si="3"/>
        <v>1133</v>
      </c>
    </row>
    <row r="12" spans="2:32" ht="23.1" customHeight="1" x14ac:dyDescent="0.25">
      <c r="B12" s="23" t="s">
        <v>39</v>
      </c>
      <c r="C12" s="50">
        <v>42</v>
      </c>
      <c r="D12" s="50">
        <v>1</v>
      </c>
      <c r="E12" s="50">
        <v>4</v>
      </c>
      <c r="F12" s="50">
        <v>12</v>
      </c>
      <c r="G12" s="50">
        <v>1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207</v>
      </c>
      <c r="N12" s="50">
        <v>0</v>
      </c>
      <c r="O12" s="15">
        <f t="shared" si="0"/>
        <v>62</v>
      </c>
      <c r="P12" s="15">
        <f t="shared" si="1"/>
        <v>269</v>
      </c>
      <c r="R12" s="1" t="s">
        <v>8</v>
      </c>
      <c r="S12" s="17">
        <f t="shared" ref="S12:AF12" si="4">SUM(C18:C21)</f>
        <v>100</v>
      </c>
      <c r="T12" s="17">
        <f t="shared" si="4"/>
        <v>23</v>
      </c>
      <c r="U12" s="17">
        <f t="shared" si="4"/>
        <v>32</v>
      </c>
      <c r="V12" s="17">
        <f t="shared" si="4"/>
        <v>49</v>
      </c>
      <c r="W12" s="17">
        <f t="shared" si="4"/>
        <v>1</v>
      </c>
      <c r="X12" s="17">
        <f t="shared" si="4"/>
        <v>0</v>
      </c>
      <c r="Y12" s="17">
        <f t="shared" si="4"/>
        <v>21</v>
      </c>
      <c r="Z12" s="17">
        <f t="shared" si="4"/>
        <v>5</v>
      </c>
      <c r="AA12" s="17">
        <f t="shared" si="4"/>
        <v>1</v>
      </c>
      <c r="AB12" s="17">
        <f t="shared" si="4"/>
        <v>0</v>
      </c>
      <c r="AC12" s="17">
        <f t="shared" si="4"/>
        <v>758</v>
      </c>
      <c r="AD12" s="17">
        <f t="shared" si="4"/>
        <v>0</v>
      </c>
      <c r="AE12" s="31">
        <f t="shared" si="4"/>
        <v>232</v>
      </c>
      <c r="AF12" s="31">
        <f t="shared" si="4"/>
        <v>990</v>
      </c>
    </row>
    <row r="13" spans="2:32" ht="23.1" customHeight="1" x14ac:dyDescent="0.25">
      <c r="B13" s="23" t="s">
        <v>40</v>
      </c>
      <c r="C13" s="50">
        <v>28</v>
      </c>
      <c r="D13" s="50">
        <v>3</v>
      </c>
      <c r="E13" s="50">
        <v>2</v>
      </c>
      <c r="F13" s="50">
        <v>12</v>
      </c>
      <c r="G13" s="50">
        <v>1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150</v>
      </c>
      <c r="N13" s="50">
        <v>0</v>
      </c>
      <c r="O13" s="15">
        <f t="shared" si="0"/>
        <v>48</v>
      </c>
      <c r="P13" s="15">
        <f t="shared" si="1"/>
        <v>198</v>
      </c>
      <c r="R13" s="1" t="s">
        <v>9</v>
      </c>
      <c r="S13" s="17">
        <f t="shared" ref="S13:AF13" si="5">SUM(C22:C25)</f>
        <v>137</v>
      </c>
      <c r="T13" s="17">
        <f t="shared" si="5"/>
        <v>12</v>
      </c>
      <c r="U13" s="17">
        <f t="shared" si="5"/>
        <v>38</v>
      </c>
      <c r="V13" s="17">
        <f t="shared" si="5"/>
        <v>65</v>
      </c>
      <c r="W13" s="17">
        <f t="shared" si="5"/>
        <v>2</v>
      </c>
      <c r="X13" s="17">
        <f t="shared" si="5"/>
        <v>0</v>
      </c>
      <c r="Y13" s="17">
        <f t="shared" si="5"/>
        <v>21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660</v>
      </c>
      <c r="AD13" s="17">
        <f t="shared" si="5"/>
        <v>0</v>
      </c>
      <c r="AE13" s="31">
        <f t="shared" si="5"/>
        <v>278</v>
      </c>
      <c r="AF13" s="31">
        <f t="shared" si="5"/>
        <v>938</v>
      </c>
    </row>
    <row r="14" spans="2:32" ht="23.1" customHeight="1" x14ac:dyDescent="0.25">
      <c r="B14" s="23" t="s">
        <v>41</v>
      </c>
      <c r="C14" s="50">
        <v>32</v>
      </c>
      <c r="D14" s="50">
        <v>4</v>
      </c>
      <c r="E14" s="50">
        <v>5</v>
      </c>
      <c r="F14" s="50">
        <v>12</v>
      </c>
      <c r="G14" s="50">
        <v>1</v>
      </c>
      <c r="H14" s="50">
        <v>0</v>
      </c>
      <c r="I14" s="50">
        <v>2</v>
      </c>
      <c r="J14" s="50">
        <v>0</v>
      </c>
      <c r="K14" s="50">
        <v>1</v>
      </c>
      <c r="L14" s="50">
        <v>0</v>
      </c>
      <c r="M14" s="50">
        <v>205</v>
      </c>
      <c r="N14" s="50">
        <v>0</v>
      </c>
      <c r="O14" s="15">
        <f t="shared" si="0"/>
        <v>57</v>
      </c>
      <c r="P14" s="15">
        <f t="shared" si="1"/>
        <v>262</v>
      </c>
      <c r="R14" s="1" t="s">
        <v>10</v>
      </c>
      <c r="S14" s="17">
        <f t="shared" ref="S14:AF14" si="6">SUM(C26:C29)</f>
        <v>130</v>
      </c>
      <c r="T14" s="17">
        <f t="shared" si="6"/>
        <v>19</v>
      </c>
      <c r="U14" s="17">
        <f t="shared" si="6"/>
        <v>23</v>
      </c>
      <c r="V14" s="17">
        <f t="shared" si="6"/>
        <v>42</v>
      </c>
      <c r="W14" s="17">
        <f t="shared" si="6"/>
        <v>2</v>
      </c>
      <c r="X14" s="17">
        <f t="shared" si="6"/>
        <v>0</v>
      </c>
      <c r="Y14" s="17">
        <f t="shared" si="6"/>
        <v>19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512</v>
      </c>
      <c r="AD14" s="17">
        <f t="shared" si="6"/>
        <v>0</v>
      </c>
      <c r="AE14" s="31">
        <f t="shared" si="6"/>
        <v>239</v>
      </c>
      <c r="AF14" s="31">
        <f t="shared" si="6"/>
        <v>751</v>
      </c>
    </row>
    <row r="15" spans="2:32" ht="23.1" customHeight="1" x14ac:dyDescent="0.25">
      <c r="B15" s="23" t="s">
        <v>42</v>
      </c>
      <c r="C15" s="50">
        <v>38</v>
      </c>
      <c r="D15" s="50">
        <v>0</v>
      </c>
      <c r="E15" s="50">
        <v>4</v>
      </c>
      <c r="F15" s="50">
        <v>21</v>
      </c>
      <c r="G15" s="50">
        <v>0</v>
      </c>
      <c r="H15" s="50">
        <v>0</v>
      </c>
      <c r="I15" s="50">
        <v>5</v>
      </c>
      <c r="J15" s="50">
        <v>1</v>
      </c>
      <c r="K15" s="50">
        <v>0</v>
      </c>
      <c r="L15" s="50">
        <v>0</v>
      </c>
      <c r="M15" s="50">
        <v>200</v>
      </c>
      <c r="N15" s="50">
        <v>0</v>
      </c>
      <c r="O15" s="15">
        <f t="shared" si="0"/>
        <v>69</v>
      </c>
      <c r="P15" s="15">
        <f t="shared" si="1"/>
        <v>269</v>
      </c>
      <c r="R15" s="1" t="s">
        <v>11</v>
      </c>
      <c r="S15" s="17">
        <f t="shared" ref="S15:AF15" si="7">SUM(C30:C33)</f>
        <v>140</v>
      </c>
      <c r="T15" s="17">
        <f t="shared" si="7"/>
        <v>20</v>
      </c>
      <c r="U15" s="17">
        <f t="shared" si="7"/>
        <v>32</v>
      </c>
      <c r="V15" s="17">
        <f t="shared" si="7"/>
        <v>43</v>
      </c>
      <c r="W15" s="17">
        <f t="shared" si="7"/>
        <v>5</v>
      </c>
      <c r="X15" s="17">
        <f t="shared" si="7"/>
        <v>0</v>
      </c>
      <c r="Y15" s="17">
        <f t="shared" si="7"/>
        <v>19</v>
      </c>
      <c r="Z15" s="17">
        <f t="shared" si="7"/>
        <v>3</v>
      </c>
      <c r="AA15" s="17">
        <f t="shared" si="7"/>
        <v>1</v>
      </c>
      <c r="AB15" s="17">
        <f t="shared" si="7"/>
        <v>0</v>
      </c>
      <c r="AC15" s="17">
        <f t="shared" si="7"/>
        <v>420</v>
      </c>
      <c r="AD15" s="17">
        <f t="shared" si="7"/>
        <v>0</v>
      </c>
      <c r="AE15" s="31">
        <f t="shared" si="7"/>
        <v>263</v>
      </c>
      <c r="AF15" s="31">
        <f t="shared" si="7"/>
        <v>683</v>
      </c>
    </row>
    <row r="16" spans="2:32" ht="23.1" customHeight="1" x14ac:dyDescent="0.25">
      <c r="B16" s="23" t="s">
        <v>43</v>
      </c>
      <c r="C16" s="50">
        <v>29</v>
      </c>
      <c r="D16" s="50">
        <v>3</v>
      </c>
      <c r="E16" s="50">
        <v>3</v>
      </c>
      <c r="F16" s="50">
        <v>7</v>
      </c>
      <c r="G16" s="50">
        <v>1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210</v>
      </c>
      <c r="N16" s="50">
        <v>0</v>
      </c>
      <c r="O16" s="15">
        <f t="shared" si="0"/>
        <v>44</v>
      </c>
      <c r="P16" s="15">
        <f t="shared" si="1"/>
        <v>254</v>
      </c>
      <c r="R16" s="1" t="s">
        <v>12</v>
      </c>
      <c r="S16" s="17">
        <f t="shared" ref="S16:AF16" si="8">SUM(C34:C37)</f>
        <v>151</v>
      </c>
      <c r="T16" s="17">
        <f t="shared" si="8"/>
        <v>25</v>
      </c>
      <c r="U16" s="17">
        <f t="shared" si="8"/>
        <v>27</v>
      </c>
      <c r="V16" s="17">
        <f t="shared" si="8"/>
        <v>47</v>
      </c>
      <c r="W16" s="17">
        <f t="shared" si="8"/>
        <v>3</v>
      </c>
      <c r="X16" s="17">
        <f t="shared" si="8"/>
        <v>0</v>
      </c>
      <c r="Y16" s="17">
        <f t="shared" si="8"/>
        <v>21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287</v>
      </c>
      <c r="AD16" s="17">
        <f t="shared" si="8"/>
        <v>0</v>
      </c>
      <c r="AE16" s="31">
        <f t="shared" si="8"/>
        <v>275</v>
      </c>
      <c r="AF16" s="31">
        <f t="shared" si="8"/>
        <v>562</v>
      </c>
    </row>
    <row r="17" spans="2:32" ht="23.1" customHeight="1" x14ac:dyDescent="0.25">
      <c r="B17" s="23" t="s">
        <v>44</v>
      </c>
      <c r="C17" s="50">
        <v>25</v>
      </c>
      <c r="D17" s="50">
        <v>3</v>
      </c>
      <c r="E17" s="50">
        <v>6</v>
      </c>
      <c r="F17" s="50">
        <v>11</v>
      </c>
      <c r="G17" s="50">
        <v>3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300</v>
      </c>
      <c r="N17" s="50">
        <v>0</v>
      </c>
      <c r="O17" s="15">
        <f t="shared" si="0"/>
        <v>48</v>
      </c>
      <c r="P17" s="15">
        <f t="shared" si="1"/>
        <v>348</v>
      </c>
      <c r="R17" s="1" t="s">
        <v>13</v>
      </c>
      <c r="S17" s="17">
        <f t="shared" ref="S17:AF17" si="9">SUM(C38:C41)</f>
        <v>200</v>
      </c>
      <c r="T17" s="17">
        <f t="shared" si="9"/>
        <v>38</v>
      </c>
      <c r="U17" s="17">
        <f t="shared" si="9"/>
        <v>37</v>
      </c>
      <c r="V17" s="17">
        <f t="shared" si="9"/>
        <v>38</v>
      </c>
      <c r="W17" s="17">
        <f t="shared" si="9"/>
        <v>2</v>
      </c>
      <c r="X17" s="17">
        <f t="shared" si="9"/>
        <v>0</v>
      </c>
      <c r="Y17" s="17">
        <f t="shared" si="9"/>
        <v>29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452</v>
      </c>
      <c r="AD17" s="17">
        <f t="shared" si="9"/>
        <v>0</v>
      </c>
      <c r="AE17" s="31">
        <f t="shared" si="9"/>
        <v>347</v>
      </c>
      <c r="AF17" s="31">
        <f t="shared" si="9"/>
        <v>799</v>
      </c>
    </row>
    <row r="18" spans="2:32" ht="23.1" customHeight="1" x14ac:dyDescent="0.25">
      <c r="B18" s="23" t="s">
        <v>45</v>
      </c>
      <c r="C18" s="50">
        <v>17</v>
      </c>
      <c r="D18" s="50">
        <v>6</v>
      </c>
      <c r="E18" s="50">
        <v>5</v>
      </c>
      <c r="F18" s="50">
        <v>15</v>
      </c>
      <c r="G18" s="50">
        <v>1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210</v>
      </c>
      <c r="N18" s="50">
        <v>0</v>
      </c>
      <c r="O18" s="15">
        <f t="shared" si="0"/>
        <v>47</v>
      </c>
      <c r="P18" s="15">
        <f t="shared" si="1"/>
        <v>257</v>
      </c>
      <c r="R18" s="1" t="s">
        <v>14</v>
      </c>
      <c r="S18" s="17">
        <f t="shared" ref="S18:AF18" si="10">SUM(C42:C45)</f>
        <v>221</v>
      </c>
      <c r="T18" s="17">
        <f t="shared" si="10"/>
        <v>44</v>
      </c>
      <c r="U18" s="17">
        <f t="shared" si="10"/>
        <v>36</v>
      </c>
      <c r="V18" s="17">
        <f t="shared" si="10"/>
        <v>42</v>
      </c>
      <c r="W18" s="17">
        <f t="shared" si="10"/>
        <v>0</v>
      </c>
      <c r="X18" s="17">
        <f t="shared" si="10"/>
        <v>0</v>
      </c>
      <c r="Y18" s="17">
        <f t="shared" si="10"/>
        <v>31</v>
      </c>
      <c r="Z18" s="17">
        <f t="shared" si="10"/>
        <v>2</v>
      </c>
      <c r="AA18" s="17">
        <f t="shared" si="10"/>
        <v>1</v>
      </c>
      <c r="AB18" s="17">
        <f t="shared" si="10"/>
        <v>0</v>
      </c>
      <c r="AC18" s="17">
        <f t="shared" si="10"/>
        <v>428</v>
      </c>
      <c r="AD18" s="17">
        <f t="shared" si="10"/>
        <v>0</v>
      </c>
      <c r="AE18" s="31">
        <f t="shared" si="10"/>
        <v>377</v>
      </c>
      <c r="AF18" s="31">
        <f t="shared" si="10"/>
        <v>805</v>
      </c>
    </row>
    <row r="19" spans="2:32" ht="23.1" customHeight="1" x14ac:dyDescent="0.25">
      <c r="B19" s="23" t="s">
        <v>46</v>
      </c>
      <c r="C19" s="50">
        <v>25</v>
      </c>
      <c r="D19" s="50">
        <v>6</v>
      </c>
      <c r="E19" s="50">
        <v>8</v>
      </c>
      <c r="F19" s="50">
        <v>15</v>
      </c>
      <c r="G19" s="50">
        <v>0</v>
      </c>
      <c r="H19" s="50">
        <v>0</v>
      </c>
      <c r="I19" s="50">
        <v>8</v>
      </c>
      <c r="J19" s="50">
        <v>2</v>
      </c>
      <c r="K19" s="50">
        <v>1</v>
      </c>
      <c r="L19" s="50">
        <v>0</v>
      </c>
      <c r="M19" s="50">
        <v>173</v>
      </c>
      <c r="N19" s="50">
        <v>0</v>
      </c>
      <c r="O19" s="15">
        <f t="shared" si="0"/>
        <v>65</v>
      </c>
      <c r="P19" s="15">
        <f t="shared" si="1"/>
        <v>238</v>
      </c>
      <c r="R19" s="1" t="s">
        <v>15</v>
      </c>
      <c r="S19" s="17">
        <f t="shared" ref="S19:AF19" si="11">SUM(C46:C49)</f>
        <v>453</v>
      </c>
      <c r="T19" s="17">
        <f t="shared" si="11"/>
        <v>47</v>
      </c>
      <c r="U19" s="17">
        <f t="shared" si="11"/>
        <v>52</v>
      </c>
      <c r="V19" s="17">
        <f t="shared" si="11"/>
        <v>53</v>
      </c>
      <c r="W19" s="17">
        <f t="shared" si="11"/>
        <v>3</v>
      </c>
      <c r="X19" s="17">
        <f t="shared" si="11"/>
        <v>0</v>
      </c>
      <c r="Y19" s="17">
        <f t="shared" si="11"/>
        <v>13</v>
      </c>
      <c r="Z19" s="17">
        <f t="shared" si="11"/>
        <v>5</v>
      </c>
      <c r="AA19" s="17">
        <f t="shared" si="11"/>
        <v>0</v>
      </c>
      <c r="AB19" s="17">
        <f t="shared" si="11"/>
        <v>0</v>
      </c>
      <c r="AC19" s="17">
        <f t="shared" si="11"/>
        <v>382</v>
      </c>
      <c r="AD19" s="17">
        <f t="shared" si="11"/>
        <v>0</v>
      </c>
      <c r="AE19" s="31">
        <f t="shared" si="11"/>
        <v>626</v>
      </c>
      <c r="AF19" s="31">
        <f t="shared" si="11"/>
        <v>1008</v>
      </c>
    </row>
    <row r="20" spans="2:32" ht="23.1" customHeight="1" x14ac:dyDescent="0.25">
      <c r="B20" s="23" t="s">
        <v>47</v>
      </c>
      <c r="C20" s="50">
        <v>28</v>
      </c>
      <c r="D20" s="50">
        <v>7</v>
      </c>
      <c r="E20" s="50">
        <v>14</v>
      </c>
      <c r="F20" s="50">
        <v>12</v>
      </c>
      <c r="G20" s="50">
        <v>0</v>
      </c>
      <c r="H20" s="50">
        <v>0</v>
      </c>
      <c r="I20" s="50">
        <v>8</v>
      </c>
      <c r="J20" s="50">
        <v>0</v>
      </c>
      <c r="K20" s="50">
        <v>0</v>
      </c>
      <c r="L20" s="50">
        <v>0</v>
      </c>
      <c r="M20" s="50">
        <v>200</v>
      </c>
      <c r="N20" s="50">
        <v>0</v>
      </c>
      <c r="O20" s="15">
        <f t="shared" si="0"/>
        <v>69</v>
      </c>
      <c r="P20" s="15">
        <f t="shared" si="1"/>
        <v>269</v>
      </c>
      <c r="R20" s="1" t="s">
        <v>16</v>
      </c>
      <c r="S20" s="17">
        <f t="shared" ref="S20:AF20" si="12">SUM(C50:C53)</f>
        <v>640</v>
      </c>
      <c r="T20" s="17">
        <f t="shared" si="12"/>
        <v>63</v>
      </c>
      <c r="U20" s="17">
        <f t="shared" si="12"/>
        <v>48</v>
      </c>
      <c r="V20" s="17">
        <f t="shared" si="12"/>
        <v>62</v>
      </c>
      <c r="W20" s="17">
        <f t="shared" si="12"/>
        <v>2</v>
      </c>
      <c r="X20" s="17">
        <f t="shared" si="12"/>
        <v>1</v>
      </c>
      <c r="Y20" s="17">
        <f t="shared" si="12"/>
        <v>16</v>
      </c>
      <c r="Z20" s="17">
        <f t="shared" si="12"/>
        <v>4</v>
      </c>
      <c r="AA20" s="17">
        <f t="shared" si="12"/>
        <v>0</v>
      </c>
      <c r="AB20" s="17">
        <f t="shared" si="12"/>
        <v>0</v>
      </c>
      <c r="AC20" s="17">
        <f t="shared" si="12"/>
        <v>367</v>
      </c>
      <c r="AD20" s="17">
        <f t="shared" si="12"/>
        <v>0</v>
      </c>
      <c r="AE20" s="31">
        <f t="shared" si="12"/>
        <v>836</v>
      </c>
      <c r="AF20" s="31">
        <f t="shared" si="12"/>
        <v>1203</v>
      </c>
    </row>
    <row r="21" spans="2:32" ht="23.1" customHeight="1" x14ac:dyDescent="0.25">
      <c r="B21" s="23" t="s">
        <v>48</v>
      </c>
      <c r="C21" s="50">
        <v>30</v>
      </c>
      <c r="D21" s="50">
        <v>4</v>
      </c>
      <c r="E21" s="50">
        <v>5</v>
      </c>
      <c r="F21" s="50">
        <v>7</v>
      </c>
      <c r="G21" s="50">
        <v>0</v>
      </c>
      <c r="H21" s="50">
        <v>0</v>
      </c>
      <c r="I21" s="50">
        <v>3</v>
      </c>
      <c r="J21" s="50">
        <v>2</v>
      </c>
      <c r="K21" s="50">
        <v>0</v>
      </c>
      <c r="L21" s="50">
        <v>0</v>
      </c>
      <c r="M21" s="50">
        <v>175</v>
      </c>
      <c r="N21" s="50">
        <v>0</v>
      </c>
      <c r="O21" s="15">
        <f t="shared" si="0"/>
        <v>51</v>
      </c>
      <c r="P21" s="15">
        <f t="shared" si="1"/>
        <v>226</v>
      </c>
      <c r="R21" s="36" t="s">
        <v>20</v>
      </c>
      <c r="S21" s="34">
        <f t="shared" ref="S21:AF21" si="13">SUM(C54:C57)</f>
        <v>540</v>
      </c>
      <c r="T21" s="17">
        <f t="shared" si="13"/>
        <v>56</v>
      </c>
      <c r="U21" s="17">
        <f t="shared" si="13"/>
        <v>24</v>
      </c>
      <c r="V21" s="17">
        <f t="shared" si="13"/>
        <v>108</v>
      </c>
      <c r="W21" s="17">
        <f t="shared" si="13"/>
        <v>5</v>
      </c>
      <c r="X21" s="17">
        <f t="shared" si="13"/>
        <v>1</v>
      </c>
      <c r="Y21" s="17">
        <f t="shared" si="13"/>
        <v>12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345</v>
      </c>
      <c r="AD21" s="17">
        <f t="shared" si="13"/>
        <v>0</v>
      </c>
      <c r="AE21" s="31">
        <f t="shared" si="13"/>
        <v>746</v>
      </c>
      <c r="AF21" s="31">
        <f t="shared" si="13"/>
        <v>1091</v>
      </c>
    </row>
    <row r="22" spans="2:32" ht="23.1" customHeight="1" x14ac:dyDescent="0.25">
      <c r="B22" s="23" t="s">
        <v>49</v>
      </c>
      <c r="C22" s="50">
        <v>39</v>
      </c>
      <c r="D22" s="50">
        <v>1</v>
      </c>
      <c r="E22" s="50">
        <v>10</v>
      </c>
      <c r="F22" s="50">
        <v>24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200</v>
      </c>
      <c r="N22" s="50">
        <v>0</v>
      </c>
      <c r="O22" s="15">
        <f t="shared" si="0"/>
        <v>78</v>
      </c>
      <c r="P22" s="15">
        <f t="shared" si="1"/>
        <v>278</v>
      </c>
      <c r="R22" s="38" t="s">
        <v>90</v>
      </c>
      <c r="S22" s="39">
        <f>MAX(S10:S12)</f>
        <v>130</v>
      </c>
      <c r="T22" s="39">
        <f t="shared" ref="T22:AF22" si="14">MAX(T10:T12)</f>
        <v>23</v>
      </c>
      <c r="U22" s="39">
        <f t="shared" si="14"/>
        <v>32</v>
      </c>
      <c r="V22" s="39">
        <f t="shared" si="14"/>
        <v>51</v>
      </c>
      <c r="W22" s="39">
        <f t="shared" si="14"/>
        <v>5</v>
      </c>
      <c r="X22" s="39">
        <f t="shared" si="14"/>
        <v>0</v>
      </c>
      <c r="Y22" s="39">
        <f t="shared" si="14"/>
        <v>21</v>
      </c>
      <c r="Z22" s="39">
        <f t="shared" si="14"/>
        <v>5</v>
      </c>
      <c r="AA22" s="39">
        <f t="shared" si="14"/>
        <v>1</v>
      </c>
      <c r="AB22" s="39">
        <f t="shared" si="14"/>
        <v>0</v>
      </c>
      <c r="AC22" s="39">
        <f t="shared" si="14"/>
        <v>915</v>
      </c>
      <c r="AD22" s="39">
        <f t="shared" si="14"/>
        <v>0</v>
      </c>
      <c r="AE22" s="40">
        <f t="shared" si="14"/>
        <v>232</v>
      </c>
      <c r="AF22" s="40">
        <f t="shared" si="14"/>
        <v>1133</v>
      </c>
    </row>
    <row r="23" spans="2:32" ht="23.1" customHeight="1" x14ac:dyDescent="0.25">
      <c r="B23" s="23" t="s">
        <v>50</v>
      </c>
      <c r="C23" s="50">
        <v>36</v>
      </c>
      <c r="D23" s="50">
        <v>7</v>
      </c>
      <c r="E23" s="50">
        <v>8</v>
      </c>
      <c r="F23" s="50">
        <v>11</v>
      </c>
      <c r="G23" s="50">
        <v>0</v>
      </c>
      <c r="H23" s="50">
        <v>0</v>
      </c>
      <c r="I23" s="50">
        <v>7</v>
      </c>
      <c r="J23" s="50">
        <v>0</v>
      </c>
      <c r="K23" s="50">
        <v>0</v>
      </c>
      <c r="L23" s="50">
        <v>0</v>
      </c>
      <c r="M23" s="50">
        <v>180</v>
      </c>
      <c r="N23" s="50">
        <v>0</v>
      </c>
      <c r="O23" s="15">
        <f t="shared" si="0"/>
        <v>69</v>
      </c>
      <c r="P23" s="15">
        <f t="shared" si="1"/>
        <v>249</v>
      </c>
      <c r="R23" s="38" t="s">
        <v>91</v>
      </c>
      <c r="S23" s="39">
        <f>MAX(S13:S18)</f>
        <v>221</v>
      </c>
      <c r="T23" s="39">
        <f t="shared" ref="T23:AF23" si="15">MAX(T13:T18)</f>
        <v>44</v>
      </c>
      <c r="U23" s="39">
        <f t="shared" si="15"/>
        <v>38</v>
      </c>
      <c r="V23" s="39">
        <f t="shared" si="15"/>
        <v>65</v>
      </c>
      <c r="W23" s="39">
        <f t="shared" si="15"/>
        <v>5</v>
      </c>
      <c r="X23" s="39">
        <f t="shared" si="15"/>
        <v>0</v>
      </c>
      <c r="Y23" s="39">
        <f t="shared" si="15"/>
        <v>31</v>
      </c>
      <c r="Z23" s="39">
        <f t="shared" si="15"/>
        <v>4</v>
      </c>
      <c r="AA23" s="39">
        <f t="shared" si="15"/>
        <v>1</v>
      </c>
      <c r="AB23" s="39">
        <f t="shared" si="15"/>
        <v>0</v>
      </c>
      <c r="AC23" s="39">
        <f t="shared" si="15"/>
        <v>660</v>
      </c>
      <c r="AD23" s="39">
        <f t="shared" si="15"/>
        <v>0</v>
      </c>
      <c r="AE23" s="40">
        <f t="shared" si="15"/>
        <v>377</v>
      </c>
      <c r="AF23" s="40">
        <f t="shared" si="15"/>
        <v>938</v>
      </c>
    </row>
    <row r="24" spans="2:32" ht="23.1" customHeight="1" x14ac:dyDescent="0.25">
      <c r="B24" s="23" t="s">
        <v>51</v>
      </c>
      <c r="C24" s="50">
        <v>28</v>
      </c>
      <c r="D24" s="50">
        <v>3</v>
      </c>
      <c r="E24" s="50">
        <v>12</v>
      </c>
      <c r="F24" s="50">
        <v>15</v>
      </c>
      <c r="G24" s="50">
        <v>1</v>
      </c>
      <c r="H24" s="50">
        <v>0</v>
      </c>
      <c r="I24" s="50">
        <v>4</v>
      </c>
      <c r="J24" s="50">
        <v>3</v>
      </c>
      <c r="K24" s="50">
        <v>0</v>
      </c>
      <c r="L24" s="50">
        <v>0</v>
      </c>
      <c r="M24" s="50">
        <v>165</v>
      </c>
      <c r="N24" s="50">
        <v>0</v>
      </c>
      <c r="O24" s="15">
        <f t="shared" si="0"/>
        <v>66</v>
      </c>
      <c r="P24" s="15">
        <f t="shared" si="1"/>
        <v>231</v>
      </c>
      <c r="R24" s="38" t="s">
        <v>92</v>
      </c>
      <c r="S24" s="39">
        <f>MAX(S19:S21)</f>
        <v>640</v>
      </c>
      <c r="T24" s="39">
        <f t="shared" ref="T24:AF24" si="16">MAX(T19:T21)</f>
        <v>63</v>
      </c>
      <c r="U24" s="39">
        <f t="shared" si="16"/>
        <v>52</v>
      </c>
      <c r="V24" s="39">
        <f t="shared" si="16"/>
        <v>108</v>
      </c>
      <c r="W24" s="39">
        <f t="shared" si="16"/>
        <v>5</v>
      </c>
      <c r="X24" s="39">
        <f t="shared" si="16"/>
        <v>1</v>
      </c>
      <c r="Y24" s="39">
        <f t="shared" si="16"/>
        <v>16</v>
      </c>
      <c r="Z24" s="39">
        <f t="shared" si="16"/>
        <v>5</v>
      </c>
      <c r="AA24" s="39">
        <f t="shared" si="16"/>
        <v>0</v>
      </c>
      <c r="AB24" s="39">
        <f t="shared" si="16"/>
        <v>0</v>
      </c>
      <c r="AC24" s="39">
        <f t="shared" si="16"/>
        <v>382</v>
      </c>
      <c r="AD24" s="39">
        <f t="shared" si="16"/>
        <v>0</v>
      </c>
      <c r="AE24" s="40">
        <f t="shared" si="16"/>
        <v>836</v>
      </c>
      <c r="AF24" s="40">
        <f t="shared" si="16"/>
        <v>1203</v>
      </c>
    </row>
    <row r="25" spans="2:32" ht="23.1" customHeight="1" x14ac:dyDescent="0.25">
      <c r="B25" s="23" t="s">
        <v>52</v>
      </c>
      <c r="C25" s="50">
        <v>34</v>
      </c>
      <c r="D25" s="50">
        <v>1</v>
      </c>
      <c r="E25" s="50">
        <v>8</v>
      </c>
      <c r="F25" s="50">
        <v>15</v>
      </c>
      <c r="G25" s="50">
        <v>1</v>
      </c>
      <c r="H25" s="50">
        <v>0</v>
      </c>
      <c r="I25" s="50">
        <v>6</v>
      </c>
      <c r="J25" s="50">
        <v>0</v>
      </c>
      <c r="K25" s="50">
        <v>0</v>
      </c>
      <c r="L25" s="50">
        <v>0</v>
      </c>
      <c r="M25" s="50">
        <v>115</v>
      </c>
      <c r="N25" s="50">
        <v>0</v>
      </c>
      <c r="O25" s="15">
        <f t="shared" si="0"/>
        <v>65</v>
      </c>
      <c r="P25" s="15">
        <f t="shared" si="1"/>
        <v>180</v>
      </c>
      <c r="R25" s="37" t="s">
        <v>85</v>
      </c>
      <c r="S25" s="35">
        <f t="shared" ref="S25:AF25" si="17">SUM(S10:S12)</f>
        <v>354</v>
      </c>
      <c r="T25" s="16">
        <f t="shared" si="17"/>
        <v>50</v>
      </c>
      <c r="U25" s="16">
        <f t="shared" si="17"/>
        <v>63</v>
      </c>
      <c r="V25" s="16">
        <f t="shared" si="17"/>
        <v>150</v>
      </c>
      <c r="W25" s="16">
        <f t="shared" si="17"/>
        <v>11</v>
      </c>
      <c r="X25" s="16">
        <f t="shared" si="17"/>
        <v>0</v>
      </c>
      <c r="Y25" s="16">
        <f t="shared" si="17"/>
        <v>34</v>
      </c>
      <c r="Z25" s="16">
        <f t="shared" si="17"/>
        <v>7</v>
      </c>
      <c r="AA25" s="16">
        <f t="shared" si="17"/>
        <v>2</v>
      </c>
      <c r="AB25" s="16">
        <f t="shared" si="17"/>
        <v>0</v>
      </c>
      <c r="AC25" s="16">
        <f t="shared" si="17"/>
        <v>2280</v>
      </c>
      <c r="AD25" s="16">
        <f t="shared" si="17"/>
        <v>0</v>
      </c>
      <c r="AE25" s="32">
        <f t="shared" si="17"/>
        <v>671</v>
      </c>
      <c r="AF25" s="32">
        <f t="shared" si="17"/>
        <v>2951</v>
      </c>
    </row>
    <row r="26" spans="2:32" ht="23.1" customHeight="1" x14ac:dyDescent="0.25">
      <c r="B26" s="23" t="s">
        <v>53</v>
      </c>
      <c r="C26" s="50">
        <v>45</v>
      </c>
      <c r="D26" s="50">
        <v>5</v>
      </c>
      <c r="E26" s="50">
        <v>6</v>
      </c>
      <c r="F26" s="50">
        <v>15</v>
      </c>
      <c r="G26" s="50">
        <v>0</v>
      </c>
      <c r="H26" s="50">
        <v>0</v>
      </c>
      <c r="I26" s="50">
        <v>11</v>
      </c>
      <c r="J26" s="50">
        <v>2</v>
      </c>
      <c r="K26" s="50">
        <v>0</v>
      </c>
      <c r="L26" s="50">
        <v>0</v>
      </c>
      <c r="M26" s="50">
        <v>180</v>
      </c>
      <c r="N26" s="50">
        <v>0</v>
      </c>
      <c r="O26" s="15">
        <f t="shared" si="0"/>
        <v>84</v>
      </c>
      <c r="P26" s="15">
        <f t="shared" si="1"/>
        <v>264</v>
      </c>
      <c r="R26" s="28" t="s">
        <v>86</v>
      </c>
      <c r="S26" s="16">
        <f t="shared" ref="S26:AF26" si="18">SUM(S13:S18)</f>
        <v>979</v>
      </c>
      <c r="T26" s="16">
        <f t="shared" si="18"/>
        <v>158</v>
      </c>
      <c r="U26" s="16">
        <f t="shared" si="18"/>
        <v>193</v>
      </c>
      <c r="V26" s="16">
        <f t="shared" si="18"/>
        <v>277</v>
      </c>
      <c r="W26" s="16">
        <f t="shared" si="18"/>
        <v>14</v>
      </c>
      <c r="X26" s="16">
        <f t="shared" si="18"/>
        <v>0</v>
      </c>
      <c r="Y26" s="16">
        <f t="shared" si="18"/>
        <v>140</v>
      </c>
      <c r="Z26" s="16">
        <f t="shared" si="18"/>
        <v>16</v>
      </c>
      <c r="AA26" s="16">
        <f t="shared" si="18"/>
        <v>2</v>
      </c>
      <c r="AB26" s="16">
        <f t="shared" si="18"/>
        <v>0</v>
      </c>
      <c r="AC26" s="16">
        <f t="shared" si="18"/>
        <v>2759</v>
      </c>
      <c r="AD26" s="16">
        <f t="shared" si="18"/>
        <v>0</v>
      </c>
      <c r="AE26" s="32">
        <f t="shared" si="18"/>
        <v>1779</v>
      </c>
      <c r="AF26" s="32">
        <f t="shared" si="18"/>
        <v>4538</v>
      </c>
    </row>
    <row r="27" spans="2:32" ht="23.1" customHeight="1" x14ac:dyDescent="0.25">
      <c r="B27" s="23" t="s">
        <v>54</v>
      </c>
      <c r="C27" s="50">
        <v>30</v>
      </c>
      <c r="D27" s="50">
        <v>3</v>
      </c>
      <c r="E27" s="50">
        <v>8</v>
      </c>
      <c r="F27" s="50">
        <v>11</v>
      </c>
      <c r="G27" s="50">
        <v>2</v>
      </c>
      <c r="H27" s="50">
        <v>0</v>
      </c>
      <c r="I27" s="50">
        <v>5</v>
      </c>
      <c r="J27" s="50">
        <v>0</v>
      </c>
      <c r="K27" s="50">
        <v>0</v>
      </c>
      <c r="L27" s="50">
        <v>0</v>
      </c>
      <c r="M27" s="50">
        <v>122</v>
      </c>
      <c r="N27" s="50">
        <v>0</v>
      </c>
      <c r="O27" s="15">
        <f t="shared" si="0"/>
        <v>59</v>
      </c>
      <c r="P27" s="15">
        <f t="shared" si="1"/>
        <v>181</v>
      </c>
      <c r="R27" s="29" t="s">
        <v>87</v>
      </c>
      <c r="S27" s="16">
        <f t="shared" ref="S27:AF27" si="19">SUM(S19:S21)</f>
        <v>1633</v>
      </c>
      <c r="T27" s="16">
        <f t="shared" si="19"/>
        <v>166</v>
      </c>
      <c r="U27" s="16">
        <f t="shared" si="19"/>
        <v>124</v>
      </c>
      <c r="V27" s="16">
        <f t="shared" si="19"/>
        <v>223</v>
      </c>
      <c r="W27" s="16">
        <f t="shared" si="19"/>
        <v>10</v>
      </c>
      <c r="X27" s="16">
        <f t="shared" si="19"/>
        <v>2</v>
      </c>
      <c r="Y27" s="16">
        <f t="shared" si="19"/>
        <v>41</v>
      </c>
      <c r="Z27" s="16">
        <f t="shared" si="19"/>
        <v>9</v>
      </c>
      <c r="AA27" s="16">
        <f t="shared" si="19"/>
        <v>0</v>
      </c>
      <c r="AB27" s="16">
        <f t="shared" si="19"/>
        <v>0</v>
      </c>
      <c r="AC27" s="16">
        <f t="shared" si="19"/>
        <v>1094</v>
      </c>
      <c r="AD27" s="16">
        <f t="shared" si="19"/>
        <v>0</v>
      </c>
      <c r="AE27" s="32">
        <f t="shared" si="19"/>
        <v>2208</v>
      </c>
      <c r="AF27" s="32">
        <f t="shared" si="19"/>
        <v>3302</v>
      </c>
    </row>
    <row r="28" spans="2:32" ht="23.1" customHeight="1" x14ac:dyDescent="0.25">
      <c r="B28" s="23" t="s">
        <v>55</v>
      </c>
      <c r="C28" s="50">
        <v>22</v>
      </c>
      <c r="D28" s="50">
        <v>4</v>
      </c>
      <c r="E28" s="50">
        <v>2</v>
      </c>
      <c r="F28" s="50">
        <v>8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85</v>
      </c>
      <c r="N28" s="50">
        <v>0</v>
      </c>
      <c r="O28" s="15">
        <f t="shared" si="0"/>
        <v>38</v>
      </c>
      <c r="P28" s="15">
        <f t="shared" si="1"/>
        <v>123</v>
      </c>
      <c r="R28" s="5" t="s">
        <v>17</v>
      </c>
      <c r="S28" s="16">
        <f t="shared" ref="S28:AF28" si="20">SUM(S10:S21)</f>
        <v>2966</v>
      </c>
      <c r="T28" s="16">
        <f t="shared" si="20"/>
        <v>374</v>
      </c>
      <c r="U28" s="16">
        <f t="shared" si="20"/>
        <v>380</v>
      </c>
      <c r="V28" s="16">
        <f t="shared" si="20"/>
        <v>650</v>
      </c>
      <c r="W28" s="16">
        <f t="shared" si="20"/>
        <v>35</v>
      </c>
      <c r="X28" s="16">
        <f t="shared" si="20"/>
        <v>2</v>
      </c>
      <c r="Y28" s="16">
        <f t="shared" si="20"/>
        <v>215</v>
      </c>
      <c r="Z28" s="16">
        <f t="shared" si="20"/>
        <v>32</v>
      </c>
      <c r="AA28" s="16">
        <f t="shared" si="20"/>
        <v>4</v>
      </c>
      <c r="AB28" s="16">
        <f t="shared" si="20"/>
        <v>0</v>
      </c>
      <c r="AC28" s="16">
        <f t="shared" si="20"/>
        <v>6133</v>
      </c>
      <c r="AD28" s="16">
        <f t="shared" si="20"/>
        <v>0</v>
      </c>
      <c r="AE28" s="32">
        <f t="shared" si="20"/>
        <v>4658</v>
      </c>
      <c r="AF28" s="32">
        <f t="shared" si="20"/>
        <v>10791</v>
      </c>
    </row>
    <row r="29" spans="2:32" ht="23.1" customHeight="1" x14ac:dyDescent="0.25">
      <c r="B29" s="23" t="s">
        <v>56</v>
      </c>
      <c r="C29" s="50">
        <v>33</v>
      </c>
      <c r="D29" s="50">
        <v>7</v>
      </c>
      <c r="E29" s="50">
        <v>7</v>
      </c>
      <c r="F29" s="50">
        <v>8</v>
      </c>
      <c r="G29" s="50">
        <v>0</v>
      </c>
      <c r="H29" s="50">
        <v>0</v>
      </c>
      <c r="I29" s="50">
        <v>1</v>
      </c>
      <c r="J29" s="50">
        <v>2</v>
      </c>
      <c r="K29" s="50">
        <v>0</v>
      </c>
      <c r="L29" s="50">
        <v>0</v>
      </c>
      <c r="M29" s="50">
        <v>125</v>
      </c>
      <c r="N29" s="50">
        <v>0</v>
      </c>
      <c r="O29" s="15">
        <f t="shared" si="0"/>
        <v>58</v>
      </c>
      <c r="P29" s="15">
        <f t="shared" si="1"/>
        <v>183</v>
      </c>
      <c r="R29"/>
      <c r="S29" s="20"/>
      <c r="T29" s="19"/>
    </row>
    <row r="30" spans="2:32" ht="23.1" customHeight="1" x14ac:dyDescent="0.25">
      <c r="B30" s="23" t="s">
        <v>57</v>
      </c>
      <c r="C30" s="50">
        <v>30</v>
      </c>
      <c r="D30" s="50">
        <v>5</v>
      </c>
      <c r="E30" s="50">
        <v>7</v>
      </c>
      <c r="F30" s="50">
        <v>16</v>
      </c>
      <c r="G30" s="50">
        <v>3</v>
      </c>
      <c r="H30" s="50">
        <v>0</v>
      </c>
      <c r="I30" s="50">
        <v>5</v>
      </c>
      <c r="J30" s="50">
        <v>1</v>
      </c>
      <c r="K30" s="50">
        <v>0</v>
      </c>
      <c r="L30" s="50">
        <v>0</v>
      </c>
      <c r="M30" s="50">
        <v>108</v>
      </c>
      <c r="N30" s="50">
        <v>0</v>
      </c>
      <c r="O30" s="15">
        <f t="shared" si="0"/>
        <v>67</v>
      </c>
      <c r="P30" s="15">
        <f t="shared" si="1"/>
        <v>175</v>
      </c>
    </row>
    <row r="31" spans="2:32" ht="23.1" customHeight="1" x14ac:dyDescent="0.25">
      <c r="B31" s="24" t="s">
        <v>58</v>
      </c>
      <c r="C31" s="50">
        <v>26</v>
      </c>
      <c r="D31" s="50">
        <v>1</v>
      </c>
      <c r="E31" s="50">
        <v>7</v>
      </c>
      <c r="F31" s="50">
        <v>7</v>
      </c>
      <c r="G31" s="50">
        <v>0</v>
      </c>
      <c r="H31" s="50">
        <v>0</v>
      </c>
      <c r="I31" s="50">
        <v>5</v>
      </c>
      <c r="J31" s="50">
        <v>2</v>
      </c>
      <c r="K31" s="50">
        <v>1</v>
      </c>
      <c r="L31" s="50">
        <v>0</v>
      </c>
      <c r="M31" s="50">
        <v>105</v>
      </c>
      <c r="N31" s="50">
        <v>0</v>
      </c>
      <c r="O31" s="15">
        <f t="shared" si="0"/>
        <v>49</v>
      </c>
      <c r="P31" s="15">
        <f t="shared" si="1"/>
        <v>154</v>
      </c>
    </row>
    <row r="32" spans="2:32" ht="23.1" customHeight="1" x14ac:dyDescent="0.25">
      <c r="B32" s="24" t="s">
        <v>59</v>
      </c>
      <c r="C32" s="50">
        <v>44</v>
      </c>
      <c r="D32" s="50">
        <v>9</v>
      </c>
      <c r="E32" s="50">
        <v>7</v>
      </c>
      <c r="F32" s="50">
        <v>10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122</v>
      </c>
      <c r="N32" s="50">
        <v>0</v>
      </c>
      <c r="O32" s="15">
        <f t="shared" si="0"/>
        <v>73</v>
      </c>
      <c r="P32" s="15">
        <f t="shared" si="1"/>
        <v>195</v>
      </c>
    </row>
    <row r="33" spans="2:20" ht="23.1" customHeight="1" x14ac:dyDescent="0.25">
      <c r="B33" s="23" t="s">
        <v>60</v>
      </c>
      <c r="C33" s="50">
        <v>40</v>
      </c>
      <c r="D33" s="50">
        <v>5</v>
      </c>
      <c r="E33" s="50">
        <v>11</v>
      </c>
      <c r="F33" s="50">
        <v>10</v>
      </c>
      <c r="G33" s="50">
        <v>2</v>
      </c>
      <c r="H33" s="50">
        <v>0</v>
      </c>
      <c r="I33" s="50">
        <v>6</v>
      </c>
      <c r="J33" s="50">
        <v>0</v>
      </c>
      <c r="K33" s="50">
        <v>0</v>
      </c>
      <c r="L33" s="50">
        <v>0</v>
      </c>
      <c r="M33" s="50">
        <v>85</v>
      </c>
      <c r="N33" s="50">
        <v>0</v>
      </c>
      <c r="O33" s="15">
        <f t="shared" si="0"/>
        <v>74</v>
      </c>
      <c r="P33" s="15">
        <f t="shared" si="1"/>
        <v>159</v>
      </c>
    </row>
    <row r="34" spans="2:20" ht="23.1" customHeight="1" x14ac:dyDescent="0.25">
      <c r="B34" s="24" t="s">
        <v>61</v>
      </c>
      <c r="C34" s="50">
        <v>38</v>
      </c>
      <c r="D34" s="50">
        <v>9</v>
      </c>
      <c r="E34" s="50">
        <v>8</v>
      </c>
      <c r="F34" s="50">
        <v>24</v>
      </c>
      <c r="G34" s="50">
        <v>3</v>
      </c>
      <c r="H34" s="50">
        <v>0</v>
      </c>
      <c r="I34" s="50">
        <v>5</v>
      </c>
      <c r="J34" s="50">
        <v>1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88</v>
      </c>
      <c r="P34" s="15">
        <f t="shared" si="1"/>
        <v>102</v>
      </c>
    </row>
    <row r="35" spans="2:20" ht="23.1" customHeight="1" x14ac:dyDescent="0.25">
      <c r="B35" s="24" t="s">
        <v>62</v>
      </c>
      <c r="C35" s="50">
        <v>43</v>
      </c>
      <c r="D35" s="50">
        <v>5</v>
      </c>
      <c r="E35" s="50">
        <v>9</v>
      </c>
      <c r="F35" s="50">
        <v>12</v>
      </c>
      <c r="G35" s="50">
        <v>0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50">
        <v>85</v>
      </c>
      <c r="N35" s="50">
        <v>0</v>
      </c>
      <c r="O35" s="15">
        <f t="shared" si="0"/>
        <v>73</v>
      </c>
      <c r="P35" s="15">
        <f t="shared" si="1"/>
        <v>158</v>
      </c>
    </row>
    <row r="36" spans="2:20" ht="23.1" customHeight="1" x14ac:dyDescent="0.25">
      <c r="B36" s="24" t="s">
        <v>63</v>
      </c>
      <c r="C36" s="50">
        <v>41</v>
      </c>
      <c r="D36" s="50">
        <v>4</v>
      </c>
      <c r="E36" s="50">
        <v>8</v>
      </c>
      <c r="F36" s="50">
        <v>7</v>
      </c>
      <c r="G36" s="50">
        <v>0</v>
      </c>
      <c r="H36" s="50">
        <v>0</v>
      </c>
      <c r="I36" s="50">
        <v>9</v>
      </c>
      <c r="J36" s="50">
        <v>0</v>
      </c>
      <c r="K36" s="50">
        <v>0</v>
      </c>
      <c r="L36" s="50">
        <v>0</v>
      </c>
      <c r="M36" s="50">
        <v>115</v>
      </c>
      <c r="N36" s="50">
        <v>0</v>
      </c>
      <c r="O36" s="15">
        <f t="shared" si="0"/>
        <v>69</v>
      </c>
      <c r="P36" s="15">
        <f t="shared" si="1"/>
        <v>184</v>
      </c>
    </row>
    <row r="37" spans="2:20" ht="23.1" customHeight="1" x14ac:dyDescent="0.25">
      <c r="B37" s="23" t="s">
        <v>64</v>
      </c>
      <c r="C37" s="50">
        <v>29</v>
      </c>
      <c r="D37" s="50">
        <v>7</v>
      </c>
      <c r="E37" s="50">
        <v>2</v>
      </c>
      <c r="F37" s="50">
        <v>4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73</v>
      </c>
      <c r="N37" s="50">
        <v>0</v>
      </c>
      <c r="O37" s="15">
        <f t="shared" si="0"/>
        <v>45</v>
      </c>
      <c r="P37" s="15">
        <f t="shared" si="1"/>
        <v>118</v>
      </c>
    </row>
    <row r="38" spans="2:20" ht="23.1" customHeight="1" x14ac:dyDescent="0.25">
      <c r="B38" s="24" t="s">
        <v>65</v>
      </c>
      <c r="C38" s="50">
        <v>39</v>
      </c>
      <c r="D38" s="50">
        <v>9</v>
      </c>
      <c r="E38" s="50">
        <v>8</v>
      </c>
      <c r="F38" s="50">
        <v>10</v>
      </c>
      <c r="G38" s="50">
        <v>1</v>
      </c>
      <c r="H38" s="50">
        <v>0</v>
      </c>
      <c r="I38" s="50">
        <v>4</v>
      </c>
      <c r="J38" s="50">
        <v>1</v>
      </c>
      <c r="K38" s="50">
        <v>0</v>
      </c>
      <c r="L38" s="50">
        <v>0</v>
      </c>
      <c r="M38" s="50">
        <v>100</v>
      </c>
      <c r="N38" s="50">
        <v>0</v>
      </c>
      <c r="O38" s="15">
        <f t="shared" si="0"/>
        <v>72</v>
      </c>
      <c r="P38" s="15">
        <f t="shared" si="1"/>
        <v>172</v>
      </c>
    </row>
    <row r="39" spans="2:20" ht="23.1" customHeight="1" x14ac:dyDescent="0.25">
      <c r="B39" s="24" t="s">
        <v>66</v>
      </c>
      <c r="C39" s="50">
        <v>48</v>
      </c>
      <c r="D39" s="50">
        <v>8</v>
      </c>
      <c r="E39" s="50">
        <v>10</v>
      </c>
      <c r="F39" s="50">
        <v>9</v>
      </c>
      <c r="G39" s="50">
        <v>1</v>
      </c>
      <c r="H39" s="50">
        <v>0</v>
      </c>
      <c r="I39" s="50">
        <v>9</v>
      </c>
      <c r="J39" s="50">
        <v>0</v>
      </c>
      <c r="K39" s="50">
        <v>0</v>
      </c>
      <c r="L39" s="50">
        <v>0</v>
      </c>
      <c r="M39" s="50">
        <v>110</v>
      </c>
      <c r="N39" s="50">
        <v>0</v>
      </c>
      <c r="O39" s="15">
        <f t="shared" si="0"/>
        <v>85</v>
      </c>
      <c r="P39" s="15">
        <f t="shared" si="1"/>
        <v>195</v>
      </c>
    </row>
    <row r="40" spans="2:20" ht="23.1" customHeight="1" x14ac:dyDescent="0.25">
      <c r="B40" s="24" t="s">
        <v>67</v>
      </c>
      <c r="C40" s="50">
        <v>56</v>
      </c>
      <c r="D40" s="50">
        <v>14</v>
      </c>
      <c r="E40" s="50">
        <v>8</v>
      </c>
      <c r="F40" s="50">
        <v>10</v>
      </c>
      <c r="G40" s="50">
        <v>0</v>
      </c>
      <c r="H40" s="50">
        <v>0</v>
      </c>
      <c r="I40" s="50">
        <v>9</v>
      </c>
      <c r="J40" s="50">
        <v>2</v>
      </c>
      <c r="K40" s="50">
        <v>0</v>
      </c>
      <c r="L40" s="50">
        <v>0</v>
      </c>
      <c r="M40" s="50">
        <v>115</v>
      </c>
      <c r="N40" s="50">
        <v>0</v>
      </c>
      <c r="O40" s="15">
        <f t="shared" si="0"/>
        <v>99</v>
      </c>
      <c r="P40" s="15">
        <f t="shared" si="1"/>
        <v>214</v>
      </c>
    </row>
    <row r="41" spans="2:20" ht="23.1" customHeight="1" x14ac:dyDescent="0.25">
      <c r="B41" s="23" t="s">
        <v>68</v>
      </c>
      <c r="C41" s="50">
        <v>57</v>
      </c>
      <c r="D41" s="50">
        <v>7</v>
      </c>
      <c r="E41" s="50">
        <v>11</v>
      </c>
      <c r="F41" s="50">
        <v>9</v>
      </c>
      <c r="G41" s="50">
        <v>0</v>
      </c>
      <c r="H41" s="50">
        <v>0</v>
      </c>
      <c r="I41" s="50">
        <v>7</v>
      </c>
      <c r="J41" s="50">
        <v>0</v>
      </c>
      <c r="K41" s="50">
        <v>0</v>
      </c>
      <c r="L41" s="50">
        <v>0</v>
      </c>
      <c r="M41" s="50">
        <v>127</v>
      </c>
      <c r="N41" s="50">
        <v>0</v>
      </c>
      <c r="O41" s="15">
        <f t="shared" si="0"/>
        <v>91</v>
      </c>
      <c r="P41" s="15">
        <f t="shared" si="1"/>
        <v>218</v>
      </c>
    </row>
    <row r="42" spans="2:20" ht="23.1" customHeight="1" x14ac:dyDescent="0.25">
      <c r="B42" s="24" t="s">
        <v>69</v>
      </c>
      <c r="C42" s="50">
        <v>60</v>
      </c>
      <c r="D42" s="50">
        <v>12</v>
      </c>
      <c r="E42" s="50">
        <v>7</v>
      </c>
      <c r="F42" s="50">
        <v>12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105</v>
      </c>
      <c r="N42" s="50">
        <v>0</v>
      </c>
      <c r="O42" s="15">
        <f t="shared" si="0"/>
        <v>94</v>
      </c>
      <c r="P42" s="15">
        <f t="shared" si="1"/>
        <v>199</v>
      </c>
    </row>
    <row r="43" spans="2:20" ht="23.1" customHeight="1" x14ac:dyDescent="0.25">
      <c r="B43" s="23" t="s">
        <v>70</v>
      </c>
      <c r="C43" s="50">
        <v>38</v>
      </c>
      <c r="D43" s="50">
        <v>13</v>
      </c>
      <c r="E43" s="50">
        <v>6</v>
      </c>
      <c r="F43" s="50">
        <v>7</v>
      </c>
      <c r="G43" s="50">
        <v>0</v>
      </c>
      <c r="H43" s="50">
        <v>0</v>
      </c>
      <c r="I43" s="50">
        <v>9</v>
      </c>
      <c r="J43" s="50">
        <v>0</v>
      </c>
      <c r="K43" s="50">
        <v>0</v>
      </c>
      <c r="L43" s="50">
        <v>0</v>
      </c>
      <c r="M43" s="50">
        <v>101</v>
      </c>
      <c r="N43" s="50">
        <v>0</v>
      </c>
      <c r="O43" s="15">
        <f t="shared" si="0"/>
        <v>73</v>
      </c>
      <c r="P43" s="15">
        <f t="shared" si="1"/>
        <v>174</v>
      </c>
    </row>
    <row r="44" spans="2:20" ht="23.1" customHeight="1" x14ac:dyDescent="0.25">
      <c r="B44" s="25" t="s">
        <v>71</v>
      </c>
      <c r="C44" s="50">
        <v>52</v>
      </c>
      <c r="D44" s="50">
        <v>12</v>
      </c>
      <c r="E44" s="50">
        <v>12</v>
      </c>
      <c r="F44" s="50">
        <v>12</v>
      </c>
      <c r="G44" s="50">
        <v>0</v>
      </c>
      <c r="H44" s="50">
        <v>0</v>
      </c>
      <c r="I44" s="50">
        <v>6</v>
      </c>
      <c r="J44" s="50">
        <v>1</v>
      </c>
      <c r="K44" s="50">
        <v>1</v>
      </c>
      <c r="L44" s="50">
        <v>0</v>
      </c>
      <c r="M44" s="50">
        <v>102</v>
      </c>
      <c r="N44" s="50">
        <v>0</v>
      </c>
      <c r="O44" s="15">
        <f t="shared" si="0"/>
        <v>96</v>
      </c>
      <c r="P44" s="15">
        <f t="shared" si="1"/>
        <v>198</v>
      </c>
    </row>
    <row r="45" spans="2:20" ht="23.1" customHeight="1" x14ac:dyDescent="0.25">
      <c r="B45" s="23" t="s">
        <v>72</v>
      </c>
      <c r="C45" s="50">
        <v>71</v>
      </c>
      <c r="D45" s="50">
        <v>7</v>
      </c>
      <c r="E45" s="50">
        <v>11</v>
      </c>
      <c r="F45" s="50">
        <v>11</v>
      </c>
      <c r="G45" s="50">
        <v>0</v>
      </c>
      <c r="H45" s="50">
        <v>0</v>
      </c>
      <c r="I45" s="50">
        <v>13</v>
      </c>
      <c r="J45" s="50">
        <v>1</v>
      </c>
      <c r="K45" s="50">
        <v>0</v>
      </c>
      <c r="L45" s="50">
        <v>0</v>
      </c>
      <c r="M45" s="50">
        <v>120</v>
      </c>
      <c r="N45" s="50">
        <v>0</v>
      </c>
      <c r="O45" s="15">
        <f t="shared" si="0"/>
        <v>114</v>
      </c>
      <c r="P45" s="15">
        <f t="shared" si="1"/>
        <v>234</v>
      </c>
    </row>
    <row r="46" spans="2:20" ht="23.1" customHeight="1" x14ac:dyDescent="0.25">
      <c r="B46" s="24" t="s">
        <v>73</v>
      </c>
      <c r="C46" s="50">
        <v>80</v>
      </c>
      <c r="D46" s="50">
        <v>9</v>
      </c>
      <c r="E46" s="50">
        <v>9</v>
      </c>
      <c r="F46" s="50">
        <v>10</v>
      </c>
      <c r="G46" s="50">
        <v>0</v>
      </c>
      <c r="H46" s="50">
        <v>0</v>
      </c>
      <c r="I46" s="50">
        <v>4</v>
      </c>
      <c r="J46" s="50">
        <v>2</v>
      </c>
      <c r="K46" s="50">
        <v>0</v>
      </c>
      <c r="L46" s="50">
        <v>0</v>
      </c>
      <c r="M46" s="50">
        <v>100</v>
      </c>
      <c r="N46" s="50">
        <v>0</v>
      </c>
      <c r="O46" s="15">
        <f t="shared" si="0"/>
        <v>114</v>
      </c>
      <c r="P46" s="15">
        <f t="shared" si="1"/>
        <v>214</v>
      </c>
      <c r="R46" s="8"/>
      <c r="T46"/>
    </row>
    <row r="47" spans="2:20" ht="23.1" customHeight="1" x14ac:dyDescent="0.25">
      <c r="B47" s="24" t="s">
        <v>74</v>
      </c>
      <c r="C47" s="50">
        <v>109</v>
      </c>
      <c r="D47" s="50">
        <v>15</v>
      </c>
      <c r="E47" s="50">
        <v>10</v>
      </c>
      <c r="F47" s="50">
        <v>15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115</v>
      </c>
      <c r="N47" s="50">
        <v>0</v>
      </c>
      <c r="O47" s="15">
        <f t="shared" si="0"/>
        <v>152</v>
      </c>
      <c r="P47" s="15">
        <f t="shared" si="1"/>
        <v>267</v>
      </c>
      <c r="R47" s="8"/>
      <c r="T47"/>
    </row>
    <row r="48" spans="2:20" ht="23.1" customHeight="1" x14ac:dyDescent="0.25">
      <c r="B48" s="24" t="s">
        <v>75</v>
      </c>
      <c r="C48" s="50">
        <v>139</v>
      </c>
      <c r="D48" s="50">
        <v>9</v>
      </c>
      <c r="E48" s="50">
        <v>18</v>
      </c>
      <c r="F48" s="50">
        <v>15</v>
      </c>
      <c r="G48" s="50">
        <v>2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80</v>
      </c>
      <c r="N48" s="50">
        <v>0</v>
      </c>
      <c r="O48" s="15">
        <f t="shared" si="0"/>
        <v>188</v>
      </c>
      <c r="P48" s="15">
        <f t="shared" si="1"/>
        <v>268</v>
      </c>
      <c r="R48" s="8"/>
      <c r="T48"/>
    </row>
    <row r="49" spans="2:20" ht="23.1" customHeight="1" x14ac:dyDescent="0.25">
      <c r="B49" s="23" t="s">
        <v>76</v>
      </c>
      <c r="C49" s="50">
        <v>125</v>
      </c>
      <c r="D49" s="50">
        <v>14</v>
      </c>
      <c r="E49" s="50">
        <v>15</v>
      </c>
      <c r="F49" s="50">
        <v>13</v>
      </c>
      <c r="G49" s="50">
        <v>1</v>
      </c>
      <c r="H49" s="50">
        <v>0</v>
      </c>
      <c r="I49" s="50">
        <v>2</v>
      </c>
      <c r="J49" s="50">
        <v>2</v>
      </c>
      <c r="K49" s="50">
        <v>0</v>
      </c>
      <c r="L49" s="50">
        <v>0</v>
      </c>
      <c r="M49" s="50">
        <v>87</v>
      </c>
      <c r="N49" s="50">
        <v>0</v>
      </c>
      <c r="O49" s="15">
        <f t="shared" si="0"/>
        <v>172</v>
      </c>
      <c r="P49" s="15">
        <f t="shared" si="1"/>
        <v>259</v>
      </c>
      <c r="R49" s="8"/>
      <c r="T49"/>
    </row>
    <row r="50" spans="2:20" ht="23.1" customHeight="1" x14ac:dyDescent="0.25">
      <c r="B50" s="24" t="s">
        <v>77</v>
      </c>
      <c r="C50" s="50">
        <v>135</v>
      </c>
      <c r="D50" s="50">
        <v>14</v>
      </c>
      <c r="E50" s="50">
        <v>16</v>
      </c>
      <c r="F50" s="50">
        <v>20</v>
      </c>
      <c r="G50" s="50">
        <v>0</v>
      </c>
      <c r="H50" s="50">
        <v>0</v>
      </c>
      <c r="I50" s="50">
        <v>3</v>
      </c>
      <c r="J50" s="50">
        <v>2</v>
      </c>
      <c r="K50" s="50">
        <v>0</v>
      </c>
      <c r="L50" s="50">
        <v>0</v>
      </c>
      <c r="M50" s="50">
        <v>95</v>
      </c>
      <c r="N50" s="50">
        <v>0</v>
      </c>
      <c r="O50" s="15">
        <f t="shared" si="0"/>
        <v>190</v>
      </c>
      <c r="P50" s="15">
        <f t="shared" si="1"/>
        <v>285</v>
      </c>
      <c r="R50" s="8"/>
      <c r="T50"/>
    </row>
    <row r="51" spans="2:20" ht="23.1" customHeight="1" x14ac:dyDescent="0.25">
      <c r="B51" s="24" t="s">
        <v>78</v>
      </c>
      <c r="C51" s="50">
        <v>170</v>
      </c>
      <c r="D51" s="50">
        <v>16</v>
      </c>
      <c r="E51" s="50">
        <v>8</v>
      </c>
      <c r="F51" s="50">
        <v>13</v>
      </c>
      <c r="G51" s="50">
        <v>1</v>
      </c>
      <c r="H51" s="50">
        <v>1</v>
      </c>
      <c r="I51" s="50">
        <v>5</v>
      </c>
      <c r="J51" s="50">
        <v>0</v>
      </c>
      <c r="K51" s="50">
        <v>0</v>
      </c>
      <c r="L51" s="50">
        <v>0</v>
      </c>
      <c r="M51" s="50">
        <v>97</v>
      </c>
      <c r="N51" s="50">
        <v>0</v>
      </c>
      <c r="O51" s="15">
        <f t="shared" si="0"/>
        <v>214</v>
      </c>
      <c r="P51" s="15">
        <f t="shared" si="1"/>
        <v>311</v>
      </c>
      <c r="R51" s="8"/>
      <c r="T51"/>
    </row>
    <row r="52" spans="2:20" ht="23.1" customHeight="1" x14ac:dyDescent="0.25">
      <c r="B52" s="24" t="s">
        <v>79</v>
      </c>
      <c r="C52" s="50">
        <v>200</v>
      </c>
      <c r="D52" s="50">
        <v>22</v>
      </c>
      <c r="E52" s="50">
        <v>16</v>
      </c>
      <c r="F52" s="50">
        <v>22</v>
      </c>
      <c r="G52" s="50">
        <v>0</v>
      </c>
      <c r="H52" s="50">
        <v>0</v>
      </c>
      <c r="I52" s="50">
        <v>6</v>
      </c>
      <c r="J52" s="50">
        <v>0</v>
      </c>
      <c r="K52" s="50">
        <v>0</v>
      </c>
      <c r="L52" s="50">
        <v>0</v>
      </c>
      <c r="M52" s="50">
        <v>85</v>
      </c>
      <c r="N52" s="50">
        <v>0</v>
      </c>
      <c r="O52" s="15">
        <f t="shared" si="0"/>
        <v>266</v>
      </c>
      <c r="P52" s="15">
        <f t="shared" si="1"/>
        <v>351</v>
      </c>
      <c r="R52" s="8"/>
      <c r="T52"/>
    </row>
    <row r="53" spans="2:20" ht="23.1" customHeight="1" x14ac:dyDescent="0.25">
      <c r="B53" s="23" t="s">
        <v>80</v>
      </c>
      <c r="C53" s="50">
        <v>135</v>
      </c>
      <c r="D53" s="50">
        <v>11</v>
      </c>
      <c r="E53" s="50">
        <v>8</v>
      </c>
      <c r="F53" s="50">
        <v>7</v>
      </c>
      <c r="G53" s="50">
        <v>1</v>
      </c>
      <c r="H53" s="50">
        <v>0</v>
      </c>
      <c r="I53" s="50">
        <v>2</v>
      </c>
      <c r="J53" s="50">
        <v>2</v>
      </c>
      <c r="K53" s="50">
        <v>0</v>
      </c>
      <c r="L53" s="50">
        <v>0</v>
      </c>
      <c r="M53" s="50">
        <v>90</v>
      </c>
      <c r="N53" s="50">
        <v>0</v>
      </c>
      <c r="O53" s="15">
        <f t="shared" si="0"/>
        <v>166</v>
      </c>
      <c r="P53" s="15">
        <f t="shared" si="1"/>
        <v>256</v>
      </c>
      <c r="R53" s="8"/>
      <c r="T53"/>
    </row>
    <row r="54" spans="2:20" ht="23.1" customHeight="1" x14ac:dyDescent="0.25">
      <c r="B54" s="23" t="s">
        <v>81</v>
      </c>
      <c r="C54" s="50">
        <v>155</v>
      </c>
      <c r="D54" s="50">
        <v>15</v>
      </c>
      <c r="E54" s="50">
        <v>11</v>
      </c>
      <c r="F54" s="50">
        <v>17</v>
      </c>
      <c r="G54" s="50">
        <v>2</v>
      </c>
      <c r="H54" s="50">
        <v>0</v>
      </c>
      <c r="I54" s="50">
        <v>6</v>
      </c>
      <c r="J54" s="50">
        <v>0</v>
      </c>
      <c r="K54" s="50">
        <v>0</v>
      </c>
      <c r="L54" s="50">
        <v>0</v>
      </c>
      <c r="M54" s="50">
        <v>80</v>
      </c>
      <c r="N54" s="50">
        <v>0</v>
      </c>
      <c r="O54" s="15">
        <f t="shared" si="0"/>
        <v>206</v>
      </c>
      <c r="P54" s="15">
        <f t="shared" si="1"/>
        <v>286</v>
      </c>
      <c r="R54" s="8"/>
      <c r="T54"/>
    </row>
    <row r="55" spans="2:20" ht="23.1" customHeight="1" x14ac:dyDescent="0.25">
      <c r="B55" s="23" t="s">
        <v>82</v>
      </c>
      <c r="C55" s="50">
        <v>125</v>
      </c>
      <c r="D55" s="50">
        <v>12</v>
      </c>
      <c r="E55" s="50">
        <v>3</v>
      </c>
      <c r="F55" s="50">
        <v>16</v>
      </c>
      <c r="G55" s="50">
        <v>1</v>
      </c>
      <c r="H55" s="50">
        <v>1</v>
      </c>
      <c r="I55" s="50">
        <v>0</v>
      </c>
      <c r="J55" s="50">
        <v>0</v>
      </c>
      <c r="K55" s="50">
        <v>0</v>
      </c>
      <c r="L55" s="50">
        <v>0</v>
      </c>
      <c r="M55" s="50">
        <v>100</v>
      </c>
      <c r="N55" s="50">
        <v>0</v>
      </c>
      <c r="O55" s="15">
        <f t="shared" si="0"/>
        <v>158</v>
      </c>
      <c r="P55" s="15">
        <f t="shared" si="1"/>
        <v>258</v>
      </c>
      <c r="R55" s="8"/>
      <c r="T55"/>
    </row>
    <row r="56" spans="2:20" ht="23.1" customHeight="1" x14ac:dyDescent="0.25">
      <c r="B56" s="23" t="s">
        <v>83</v>
      </c>
      <c r="C56" s="50">
        <v>125</v>
      </c>
      <c r="D56" s="50">
        <v>14</v>
      </c>
      <c r="E56" s="50">
        <v>5</v>
      </c>
      <c r="F56" s="50">
        <v>30</v>
      </c>
      <c r="G56" s="50">
        <v>0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90</v>
      </c>
      <c r="N56" s="50">
        <v>0</v>
      </c>
      <c r="O56" s="15">
        <f t="shared" si="0"/>
        <v>179</v>
      </c>
      <c r="P56" s="15">
        <f t="shared" si="1"/>
        <v>269</v>
      </c>
      <c r="R56" s="8"/>
      <c r="T56"/>
    </row>
    <row r="57" spans="2:20" ht="23.1" customHeight="1" x14ac:dyDescent="0.25">
      <c r="B57" s="23" t="s">
        <v>84</v>
      </c>
      <c r="C57" s="50">
        <v>135</v>
      </c>
      <c r="D57" s="50">
        <v>15</v>
      </c>
      <c r="E57" s="50">
        <v>5</v>
      </c>
      <c r="F57" s="50">
        <v>45</v>
      </c>
      <c r="G57" s="50">
        <v>2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75</v>
      </c>
      <c r="N57" s="50">
        <v>0</v>
      </c>
      <c r="O57" s="15">
        <f t="shared" si="0"/>
        <v>203</v>
      </c>
      <c r="P57" s="15">
        <f t="shared" si="1"/>
        <v>278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2966</v>
      </c>
      <c r="D58" s="16">
        <f t="shared" si="21"/>
        <v>374</v>
      </c>
      <c r="E58" s="16">
        <f t="shared" si="21"/>
        <v>380</v>
      </c>
      <c r="F58" s="16">
        <f t="shared" si="21"/>
        <v>650</v>
      </c>
      <c r="G58" s="16">
        <f t="shared" si="21"/>
        <v>35</v>
      </c>
      <c r="H58" s="16">
        <f t="shared" si="21"/>
        <v>2</v>
      </c>
      <c r="I58" s="16">
        <f t="shared" si="21"/>
        <v>215</v>
      </c>
      <c r="J58" s="16">
        <f t="shared" si="21"/>
        <v>32</v>
      </c>
      <c r="K58" s="16">
        <f t="shared" si="21"/>
        <v>4</v>
      </c>
      <c r="L58" s="16">
        <f t="shared" si="21"/>
        <v>0</v>
      </c>
      <c r="M58" s="16">
        <f t="shared" si="21"/>
        <v>6133</v>
      </c>
      <c r="N58" s="16">
        <f t="shared" si="21"/>
        <v>0</v>
      </c>
      <c r="O58" s="16">
        <f t="shared" si="21"/>
        <v>4658</v>
      </c>
      <c r="P58" s="16">
        <f t="shared" si="21"/>
        <v>10791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0.27485867852840329</v>
      </c>
      <c r="D59" s="43">
        <f t="shared" si="22"/>
        <v>3.4658511722731905E-2</v>
      </c>
      <c r="E59" s="43">
        <f t="shared" si="22"/>
        <v>3.5214530627374667E-2</v>
      </c>
      <c r="F59" s="43">
        <f t="shared" si="22"/>
        <v>6.0235381336298764E-2</v>
      </c>
      <c r="G59" s="43">
        <f t="shared" si="22"/>
        <v>3.2434436104160874E-3</v>
      </c>
      <c r="H59" s="43">
        <f t="shared" si="22"/>
        <v>1.8533963488091929E-4</v>
      </c>
      <c r="I59" s="43">
        <f t="shared" si="22"/>
        <v>1.9924010749698823E-2</v>
      </c>
      <c r="J59" s="43">
        <f t="shared" si="22"/>
        <v>2.9654341580947086E-3</v>
      </c>
      <c r="K59" s="43">
        <f t="shared" si="22"/>
        <v>3.7067926976183858E-4</v>
      </c>
      <c r="L59" s="43">
        <f t="shared" si="22"/>
        <v>0</v>
      </c>
      <c r="M59" s="43">
        <f t="shared" si="22"/>
        <v>0.56834399036233896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0.63675397166165737</v>
      </c>
      <c r="D60" s="44">
        <f t="shared" ref="D60:N60" si="23">D58/$O$58</f>
        <v>8.0291970802919707E-2</v>
      </c>
      <c r="E60" s="44">
        <f t="shared" si="23"/>
        <v>8.1580077286389011E-2</v>
      </c>
      <c r="F60" s="44">
        <f t="shared" si="23"/>
        <v>0.13954486904250751</v>
      </c>
      <c r="G60" s="44">
        <f t="shared" si="23"/>
        <v>7.5139544869042511E-3</v>
      </c>
      <c r="H60" s="44">
        <f t="shared" si="23"/>
        <v>4.2936882782310007E-4</v>
      </c>
      <c r="I60" s="44">
        <f t="shared" si="23"/>
        <v>4.6157148990983256E-2</v>
      </c>
      <c r="J60" s="44">
        <f t="shared" si="23"/>
        <v>6.8699012451696011E-3</v>
      </c>
      <c r="K60" s="44">
        <f t="shared" si="23"/>
        <v>8.5873765564620013E-4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Kyebando-Mulago'!C3:G3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55" t="str">
        <f>'31.07 Mulago-Kyebando'!G5:H5</f>
        <v>Kisingiri Street</v>
      </c>
      <c r="H5" s="56"/>
      <c r="I5" s="14"/>
      <c r="J5" s="2" t="s">
        <v>5</v>
      </c>
      <c r="K5" s="55" t="s">
        <v>181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'02.08 Kyebando-Mulago'!D6:E6</f>
        <v>Kyebando</v>
      </c>
      <c r="E6" s="56"/>
      <c r="F6" s="2" t="s">
        <v>2</v>
      </c>
      <c r="G6" s="55" t="str">
        <f>'02.08 Kyebando-Mulago'!G6:H6</f>
        <v>Mulago</v>
      </c>
      <c r="H6" s="56"/>
      <c r="J6" s="2" t="s">
        <v>21</v>
      </c>
      <c r="K6" s="55" t="s">
        <v>183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197</v>
      </c>
      <c r="D10" s="50">
        <v>24</v>
      </c>
      <c r="E10" s="50">
        <v>17</v>
      </c>
      <c r="F10" s="50">
        <v>51</v>
      </c>
      <c r="G10" s="50">
        <v>1</v>
      </c>
      <c r="H10" s="50">
        <v>0</v>
      </c>
      <c r="I10" s="50">
        <v>6</v>
      </c>
      <c r="J10" s="50">
        <v>0</v>
      </c>
      <c r="K10" s="50">
        <v>0</v>
      </c>
      <c r="L10" s="50">
        <v>0</v>
      </c>
      <c r="M10" s="50">
        <v>125</v>
      </c>
      <c r="N10" s="50">
        <v>0</v>
      </c>
      <c r="O10" s="15">
        <f t="shared" ref="O10:O57" si="0">SUM(C10:L10,N10)</f>
        <v>296</v>
      </c>
      <c r="P10" s="15">
        <f t="shared" ref="P10:P57" si="1">SUM(C10:N10)</f>
        <v>421</v>
      </c>
      <c r="R10" s="1" t="s">
        <v>6</v>
      </c>
      <c r="S10" s="17">
        <f t="shared" ref="S10:AF10" si="2">SUM(C10:C13)</f>
        <v>750</v>
      </c>
      <c r="T10" s="17">
        <f t="shared" si="2"/>
        <v>86</v>
      </c>
      <c r="U10" s="17">
        <f t="shared" si="2"/>
        <v>63</v>
      </c>
      <c r="V10" s="17">
        <f t="shared" si="2"/>
        <v>201</v>
      </c>
      <c r="W10" s="17">
        <f t="shared" si="2"/>
        <v>1</v>
      </c>
      <c r="X10" s="17">
        <f t="shared" si="2"/>
        <v>0</v>
      </c>
      <c r="Y10" s="17">
        <f t="shared" si="2"/>
        <v>23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740</v>
      </c>
      <c r="AD10" s="17">
        <f t="shared" si="2"/>
        <v>0</v>
      </c>
      <c r="AE10" s="31">
        <f t="shared" si="2"/>
        <v>1126</v>
      </c>
      <c r="AF10" s="31">
        <f t="shared" si="2"/>
        <v>1866</v>
      </c>
    </row>
    <row r="11" spans="2:32" s="6" customFormat="1" ht="23.1" customHeight="1" x14ac:dyDescent="0.25">
      <c r="B11" s="45" t="s">
        <v>38</v>
      </c>
      <c r="C11" s="50">
        <v>200</v>
      </c>
      <c r="D11" s="50">
        <v>16</v>
      </c>
      <c r="E11" s="50">
        <v>16</v>
      </c>
      <c r="F11" s="50">
        <v>58</v>
      </c>
      <c r="G11" s="50">
        <v>0</v>
      </c>
      <c r="H11" s="50">
        <v>0</v>
      </c>
      <c r="I11" s="50">
        <v>7</v>
      </c>
      <c r="J11" s="50">
        <v>0</v>
      </c>
      <c r="K11" s="50">
        <v>0</v>
      </c>
      <c r="L11" s="50">
        <v>0</v>
      </c>
      <c r="M11" s="50">
        <v>180</v>
      </c>
      <c r="N11" s="50">
        <v>0</v>
      </c>
      <c r="O11" s="15">
        <f t="shared" si="0"/>
        <v>297</v>
      </c>
      <c r="P11" s="15">
        <f t="shared" si="1"/>
        <v>477</v>
      </c>
      <c r="R11" s="1" t="s">
        <v>7</v>
      </c>
      <c r="S11" s="17">
        <f t="shared" ref="S11:AF11" si="3">SUM(C14:C17)</f>
        <v>620</v>
      </c>
      <c r="T11" s="17">
        <f t="shared" si="3"/>
        <v>61</v>
      </c>
      <c r="U11" s="17">
        <f t="shared" si="3"/>
        <v>41</v>
      </c>
      <c r="V11" s="17">
        <f t="shared" si="3"/>
        <v>193</v>
      </c>
      <c r="W11" s="17">
        <f t="shared" si="3"/>
        <v>3</v>
      </c>
      <c r="X11" s="17">
        <f t="shared" si="3"/>
        <v>0</v>
      </c>
      <c r="Y11" s="17">
        <f t="shared" si="3"/>
        <v>19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691</v>
      </c>
      <c r="AD11" s="17">
        <f t="shared" si="3"/>
        <v>0</v>
      </c>
      <c r="AE11" s="31">
        <f t="shared" si="3"/>
        <v>939</v>
      </c>
      <c r="AF11" s="31">
        <f t="shared" si="3"/>
        <v>1630</v>
      </c>
    </row>
    <row r="12" spans="2:32" ht="23.1" customHeight="1" x14ac:dyDescent="0.25">
      <c r="B12" s="45" t="s">
        <v>39</v>
      </c>
      <c r="C12" s="50">
        <v>211</v>
      </c>
      <c r="D12" s="50">
        <v>30</v>
      </c>
      <c r="E12" s="50">
        <v>19</v>
      </c>
      <c r="F12" s="50">
        <v>50</v>
      </c>
      <c r="G12" s="50">
        <v>0</v>
      </c>
      <c r="H12" s="50">
        <v>0</v>
      </c>
      <c r="I12" s="50">
        <v>4</v>
      </c>
      <c r="J12" s="50">
        <v>1</v>
      </c>
      <c r="K12" s="50">
        <v>0</v>
      </c>
      <c r="L12" s="50">
        <v>0</v>
      </c>
      <c r="M12" s="50">
        <v>210</v>
      </c>
      <c r="N12" s="50">
        <v>0</v>
      </c>
      <c r="O12" s="15">
        <f t="shared" si="0"/>
        <v>315</v>
      </c>
      <c r="P12" s="15">
        <f t="shared" si="1"/>
        <v>525</v>
      </c>
      <c r="R12" s="1" t="s">
        <v>8</v>
      </c>
      <c r="S12" s="17">
        <f t="shared" ref="S12:AF12" si="4">SUM(C18:C21)</f>
        <v>382</v>
      </c>
      <c r="T12" s="17">
        <f t="shared" si="4"/>
        <v>65</v>
      </c>
      <c r="U12" s="17">
        <f t="shared" si="4"/>
        <v>39</v>
      </c>
      <c r="V12" s="17">
        <f t="shared" si="4"/>
        <v>77</v>
      </c>
      <c r="W12" s="17">
        <f t="shared" si="4"/>
        <v>0</v>
      </c>
      <c r="X12" s="17">
        <f t="shared" si="4"/>
        <v>0</v>
      </c>
      <c r="Y12" s="17">
        <f t="shared" si="4"/>
        <v>19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460</v>
      </c>
      <c r="AD12" s="17">
        <f t="shared" si="4"/>
        <v>0</v>
      </c>
      <c r="AE12" s="31">
        <f t="shared" si="4"/>
        <v>582</v>
      </c>
      <c r="AF12" s="31">
        <f t="shared" si="4"/>
        <v>1042</v>
      </c>
    </row>
    <row r="13" spans="2:32" ht="23.1" customHeight="1" x14ac:dyDescent="0.25">
      <c r="B13" s="45" t="s">
        <v>40</v>
      </c>
      <c r="C13" s="50">
        <v>142</v>
      </c>
      <c r="D13" s="50">
        <v>16</v>
      </c>
      <c r="E13" s="50">
        <v>11</v>
      </c>
      <c r="F13" s="50">
        <v>42</v>
      </c>
      <c r="G13" s="50">
        <v>0</v>
      </c>
      <c r="H13" s="50">
        <v>0</v>
      </c>
      <c r="I13" s="50">
        <v>6</v>
      </c>
      <c r="J13" s="50">
        <v>1</v>
      </c>
      <c r="K13" s="50">
        <v>0</v>
      </c>
      <c r="L13" s="50">
        <v>0</v>
      </c>
      <c r="M13" s="50">
        <v>225</v>
      </c>
      <c r="N13" s="50">
        <v>0</v>
      </c>
      <c r="O13" s="15">
        <f t="shared" si="0"/>
        <v>218</v>
      </c>
      <c r="P13" s="15">
        <f t="shared" si="1"/>
        <v>443</v>
      </c>
      <c r="R13" s="1" t="s">
        <v>9</v>
      </c>
      <c r="S13" s="17">
        <f t="shared" ref="S13:AF13" si="5">SUM(C22:C25)</f>
        <v>263</v>
      </c>
      <c r="T13" s="17">
        <f t="shared" si="5"/>
        <v>36</v>
      </c>
      <c r="U13" s="17">
        <f t="shared" si="5"/>
        <v>30</v>
      </c>
      <c r="V13" s="17">
        <f t="shared" si="5"/>
        <v>51</v>
      </c>
      <c r="W13" s="17">
        <f t="shared" si="5"/>
        <v>1</v>
      </c>
      <c r="X13" s="17">
        <f t="shared" si="5"/>
        <v>1</v>
      </c>
      <c r="Y13" s="17">
        <f t="shared" si="5"/>
        <v>10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354</v>
      </c>
      <c r="AD13" s="17">
        <f t="shared" si="5"/>
        <v>0</v>
      </c>
      <c r="AE13" s="31">
        <f t="shared" si="5"/>
        <v>394</v>
      </c>
      <c r="AF13" s="31">
        <f t="shared" si="5"/>
        <v>748</v>
      </c>
    </row>
    <row r="14" spans="2:32" ht="23.1" customHeight="1" x14ac:dyDescent="0.25">
      <c r="B14" s="45" t="s">
        <v>41</v>
      </c>
      <c r="C14" s="50">
        <v>150</v>
      </c>
      <c r="D14" s="50">
        <v>18</v>
      </c>
      <c r="E14" s="50">
        <v>8</v>
      </c>
      <c r="F14" s="50">
        <v>55</v>
      </c>
      <c r="G14" s="50">
        <v>2</v>
      </c>
      <c r="H14" s="50">
        <v>0</v>
      </c>
      <c r="I14" s="50">
        <v>5</v>
      </c>
      <c r="J14" s="50">
        <v>1</v>
      </c>
      <c r="K14" s="50">
        <v>0</v>
      </c>
      <c r="L14" s="50">
        <v>0</v>
      </c>
      <c r="M14" s="50">
        <v>230</v>
      </c>
      <c r="N14" s="50">
        <v>0</v>
      </c>
      <c r="O14" s="15">
        <f t="shared" si="0"/>
        <v>239</v>
      </c>
      <c r="P14" s="15">
        <f t="shared" si="1"/>
        <v>469</v>
      </c>
      <c r="R14" s="1" t="s">
        <v>10</v>
      </c>
      <c r="S14" s="17">
        <f t="shared" ref="S14:AF14" si="6">SUM(C26:C29)</f>
        <v>197</v>
      </c>
      <c r="T14" s="17">
        <f t="shared" si="6"/>
        <v>47</v>
      </c>
      <c r="U14" s="17">
        <f t="shared" si="6"/>
        <v>27</v>
      </c>
      <c r="V14" s="17">
        <f t="shared" si="6"/>
        <v>34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5</v>
      </c>
      <c r="AA14" s="17">
        <f t="shared" si="6"/>
        <v>0</v>
      </c>
      <c r="AB14" s="17">
        <f t="shared" si="6"/>
        <v>0</v>
      </c>
      <c r="AC14" s="17">
        <f t="shared" si="6"/>
        <v>341</v>
      </c>
      <c r="AD14" s="17">
        <f t="shared" si="6"/>
        <v>0</v>
      </c>
      <c r="AE14" s="31">
        <f t="shared" si="6"/>
        <v>318</v>
      </c>
      <c r="AF14" s="31">
        <f t="shared" si="6"/>
        <v>659</v>
      </c>
    </row>
    <row r="15" spans="2:32" ht="23.1" customHeight="1" x14ac:dyDescent="0.25">
      <c r="B15" s="45" t="s">
        <v>42</v>
      </c>
      <c r="C15" s="50">
        <v>150</v>
      </c>
      <c r="D15" s="50">
        <v>14</v>
      </c>
      <c r="E15" s="50">
        <v>13</v>
      </c>
      <c r="F15" s="50">
        <v>51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200</v>
      </c>
      <c r="N15" s="50">
        <v>0</v>
      </c>
      <c r="O15" s="15">
        <f t="shared" si="0"/>
        <v>232</v>
      </c>
      <c r="P15" s="15">
        <f t="shared" si="1"/>
        <v>432</v>
      </c>
      <c r="R15" s="1" t="s">
        <v>11</v>
      </c>
      <c r="S15" s="17">
        <f t="shared" ref="S15:AF15" si="7">SUM(C30:C33)</f>
        <v>170</v>
      </c>
      <c r="T15" s="17">
        <f t="shared" si="7"/>
        <v>36</v>
      </c>
      <c r="U15" s="17">
        <f t="shared" si="7"/>
        <v>26</v>
      </c>
      <c r="V15" s="17">
        <f t="shared" si="7"/>
        <v>40</v>
      </c>
      <c r="W15" s="17">
        <f t="shared" si="7"/>
        <v>1</v>
      </c>
      <c r="X15" s="17">
        <f t="shared" si="7"/>
        <v>0</v>
      </c>
      <c r="Y15" s="17">
        <f t="shared" si="7"/>
        <v>10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240</v>
      </c>
      <c r="AD15" s="17">
        <f t="shared" si="7"/>
        <v>1</v>
      </c>
      <c r="AE15" s="31">
        <f t="shared" si="7"/>
        <v>286</v>
      </c>
      <c r="AF15" s="31">
        <f t="shared" si="7"/>
        <v>526</v>
      </c>
    </row>
    <row r="16" spans="2:32" ht="23.1" customHeight="1" x14ac:dyDescent="0.25">
      <c r="B16" s="45" t="s">
        <v>43</v>
      </c>
      <c r="C16" s="50">
        <v>205</v>
      </c>
      <c r="D16" s="50">
        <v>13</v>
      </c>
      <c r="E16" s="50">
        <v>9</v>
      </c>
      <c r="F16" s="50">
        <v>57</v>
      </c>
      <c r="G16" s="50">
        <v>1</v>
      </c>
      <c r="H16" s="50">
        <v>0</v>
      </c>
      <c r="I16" s="50">
        <v>7</v>
      </c>
      <c r="J16" s="50">
        <v>0</v>
      </c>
      <c r="K16" s="50">
        <v>0</v>
      </c>
      <c r="L16" s="50">
        <v>0</v>
      </c>
      <c r="M16" s="50">
        <v>121</v>
      </c>
      <c r="N16" s="50">
        <v>0</v>
      </c>
      <c r="O16" s="15">
        <f t="shared" si="0"/>
        <v>292</v>
      </c>
      <c r="P16" s="15">
        <f t="shared" si="1"/>
        <v>413</v>
      </c>
      <c r="R16" s="1" t="s">
        <v>12</v>
      </c>
      <c r="S16" s="17">
        <f t="shared" ref="S16:AF16" si="8">SUM(C34:C37)</f>
        <v>178</v>
      </c>
      <c r="T16" s="17">
        <f t="shared" si="8"/>
        <v>32</v>
      </c>
      <c r="U16" s="17">
        <f t="shared" si="8"/>
        <v>29</v>
      </c>
      <c r="V16" s="17">
        <f t="shared" si="8"/>
        <v>34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261</v>
      </c>
      <c r="AD16" s="17">
        <f t="shared" si="8"/>
        <v>0</v>
      </c>
      <c r="AE16" s="31">
        <f t="shared" si="8"/>
        <v>282</v>
      </c>
      <c r="AF16" s="31">
        <f t="shared" si="8"/>
        <v>543</v>
      </c>
    </row>
    <row r="17" spans="2:32" ht="23.1" customHeight="1" x14ac:dyDescent="0.25">
      <c r="B17" s="45" t="s">
        <v>44</v>
      </c>
      <c r="C17" s="50">
        <v>115</v>
      </c>
      <c r="D17" s="50">
        <v>16</v>
      </c>
      <c r="E17" s="50">
        <v>11</v>
      </c>
      <c r="F17" s="50">
        <v>30</v>
      </c>
      <c r="G17" s="50">
        <v>0</v>
      </c>
      <c r="H17" s="50">
        <v>0</v>
      </c>
      <c r="I17" s="50">
        <v>3</v>
      </c>
      <c r="J17" s="50">
        <v>1</v>
      </c>
      <c r="K17" s="50">
        <v>0</v>
      </c>
      <c r="L17" s="50">
        <v>0</v>
      </c>
      <c r="M17" s="50">
        <v>140</v>
      </c>
      <c r="N17" s="50">
        <v>0</v>
      </c>
      <c r="O17" s="15">
        <f t="shared" si="0"/>
        <v>176</v>
      </c>
      <c r="P17" s="15">
        <f t="shared" si="1"/>
        <v>316</v>
      </c>
      <c r="R17" s="1" t="s">
        <v>13</v>
      </c>
      <c r="S17" s="17">
        <f t="shared" ref="S17:AF17" si="9">SUM(C38:C41)</f>
        <v>154</v>
      </c>
      <c r="T17" s="17">
        <f t="shared" si="9"/>
        <v>24</v>
      </c>
      <c r="U17" s="17">
        <f t="shared" si="9"/>
        <v>23</v>
      </c>
      <c r="V17" s="17">
        <f t="shared" si="9"/>
        <v>30</v>
      </c>
      <c r="W17" s="17">
        <f t="shared" si="9"/>
        <v>0</v>
      </c>
      <c r="X17" s="17">
        <f t="shared" si="9"/>
        <v>0</v>
      </c>
      <c r="Y17" s="17">
        <f t="shared" si="9"/>
        <v>19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249</v>
      </c>
      <c r="AD17" s="17">
        <f t="shared" si="9"/>
        <v>0</v>
      </c>
      <c r="AE17" s="31">
        <f t="shared" si="9"/>
        <v>250</v>
      </c>
      <c r="AF17" s="31">
        <f t="shared" si="9"/>
        <v>499</v>
      </c>
    </row>
    <row r="18" spans="2:32" ht="23.1" customHeight="1" x14ac:dyDescent="0.25">
      <c r="B18" s="45" t="s">
        <v>45</v>
      </c>
      <c r="C18" s="50">
        <v>118</v>
      </c>
      <c r="D18" s="50">
        <v>12</v>
      </c>
      <c r="E18" s="50">
        <v>16</v>
      </c>
      <c r="F18" s="50">
        <v>21</v>
      </c>
      <c r="G18" s="50">
        <v>0</v>
      </c>
      <c r="H18" s="50">
        <v>0</v>
      </c>
      <c r="I18" s="50">
        <v>7</v>
      </c>
      <c r="J18" s="50">
        <v>0</v>
      </c>
      <c r="K18" s="50">
        <v>0</v>
      </c>
      <c r="L18" s="50">
        <v>0</v>
      </c>
      <c r="M18" s="50">
        <v>135</v>
      </c>
      <c r="N18" s="50">
        <v>0</v>
      </c>
      <c r="O18" s="15">
        <f t="shared" si="0"/>
        <v>174</v>
      </c>
      <c r="P18" s="15">
        <f t="shared" si="1"/>
        <v>309</v>
      </c>
      <c r="R18" s="1" t="s">
        <v>14</v>
      </c>
      <c r="S18" s="17">
        <f t="shared" ref="S18:AF18" si="10">SUM(C42:C45)</f>
        <v>141</v>
      </c>
      <c r="T18" s="17">
        <f t="shared" si="10"/>
        <v>31</v>
      </c>
      <c r="U18" s="17">
        <f t="shared" si="10"/>
        <v>24</v>
      </c>
      <c r="V18" s="17">
        <f t="shared" si="10"/>
        <v>33</v>
      </c>
      <c r="W18" s="17">
        <f t="shared" si="10"/>
        <v>1</v>
      </c>
      <c r="X18" s="17">
        <f t="shared" si="10"/>
        <v>0</v>
      </c>
      <c r="Y18" s="17">
        <f t="shared" si="10"/>
        <v>13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247</v>
      </c>
      <c r="AD18" s="17">
        <f t="shared" si="10"/>
        <v>0</v>
      </c>
      <c r="AE18" s="31">
        <f t="shared" si="10"/>
        <v>245</v>
      </c>
      <c r="AF18" s="31">
        <f t="shared" si="10"/>
        <v>492</v>
      </c>
    </row>
    <row r="19" spans="2:32" ht="23.1" customHeight="1" x14ac:dyDescent="0.25">
      <c r="B19" s="45" t="s">
        <v>46</v>
      </c>
      <c r="C19" s="50">
        <v>111</v>
      </c>
      <c r="D19" s="50">
        <v>16</v>
      </c>
      <c r="E19" s="50">
        <v>7</v>
      </c>
      <c r="F19" s="50">
        <v>20</v>
      </c>
      <c r="G19" s="50">
        <v>0</v>
      </c>
      <c r="H19" s="50">
        <v>0</v>
      </c>
      <c r="I19" s="50">
        <v>9</v>
      </c>
      <c r="J19" s="50">
        <v>0</v>
      </c>
      <c r="K19" s="50">
        <v>0</v>
      </c>
      <c r="L19" s="50">
        <v>0</v>
      </c>
      <c r="M19" s="50">
        <v>150</v>
      </c>
      <c r="N19" s="50">
        <v>0</v>
      </c>
      <c r="O19" s="15">
        <f t="shared" si="0"/>
        <v>163</v>
      </c>
      <c r="P19" s="15">
        <f t="shared" si="1"/>
        <v>313</v>
      </c>
      <c r="R19" s="1" t="s">
        <v>15</v>
      </c>
      <c r="S19" s="17">
        <f t="shared" ref="S19:AF19" si="11">SUM(C46:C49)</f>
        <v>139</v>
      </c>
      <c r="T19" s="17">
        <f t="shared" si="11"/>
        <v>29</v>
      </c>
      <c r="U19" s="17">
        <f t="shared" si="11"/>
        <v>16</v>
      </c>
      <c r="V19" s="17">
        <f t="shared" si="11"/>
        <v>39</v>
      </c>
      <c r="W19" s="17">
        <f t="shared" si="11"/>
        <v>1</v>
      </c>
      <c r="X19" s="17">
        <f t="shared" si="11"/>
        <v>0</v>
      </c>
      <c r="Y19" s="17">
        <f t="shared" si="11"/>
        <v>9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323</v>
      </c>
      <c r="AD19" s="17">
        <f t="shared" si="11"/>
        <v>0</v>
      </c>
      <c r="AE19" s="31">
        <f t="shared" si="11"/>
        <v>235</v>
      </c>
      <c r="AF19" s="31">
        <f t="shared" si="11"/>
        <v>558</v>
      </c>
    </row>
    <row r="20" spans="2:32" ht="23.1" customHeight="1" x14ac:dyDescent="0.25">
      <c r="B20" s="45" t="s">
        <v>47</v>
      </c>
      <c r="C20" s="50">
        <v>90</v>
      </c>
      <c r="D20" s="50">
        <v>23</v>
      </c>
      <c r="E20" s="50">
        <v>9</v>
      </c>
      <c r="F20" s="50">
        <v>22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100</v>
      </c>
      <c r="N20" s="50">
        <v>0</v>
      </c>
      <c r="O20" s="15">
        <f t="shared" si="0"/>
        <v>147</v>
      </c>
      <c r="P20" s="15">
        <f t="shared" si="1"/>
        <v>247</v>
      </c>
      <c r="R20" s="1" t="s">
        <v>16</v>
      </c>
      <c r="S20" s="17">
        <f t="shared" ref="S20:AF20" si="12">SUM(C50:C53)</f>
        <v>163</v>
      </c>
      <c r="T20" s="17">
        <f t="shared" si="12"/>
        <v>40</v>
      </c>
      <c r="U20" s="17">
        <f t="shared" si="12"/>
        <v>35</v>
      </c>
      <c r="V20" s="17">
        <f t="shared" si="12"/>
        <v>38</v>
      </c>
      <c r="W20" s="17">
        <f t="shared" si="12"/>
        <v>3</v>
      </c>
      <c r="X20" s="17">
        <f t="shared" si="12"/>
        <v>0</v>
      </c>
      <c r="Y20" s="17">
        <f t="shared" si="12"/>
        <v>15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341</v>
      </c>
      <c r="AD20" s="17">
        <f t="shared" si="12"/>
        <v>0</v>
      </c>
      <c r="AE20" s="31">
        <f t="shared" si="12"/>
        <v>295</v>
      </c>
      <c r="AF20" s="31">
        <f t="shared" si="12"/>
        <v>636</v>
      </c>
    </row>
    <row r="21" spans="2:32" ht="23.1" customHeight="1" x14ac:dyDescent="0.25">
      <c r="B21" s="45" t="s">
        <v>48</v>
      </c>
      <c r="C21" s="50">
        <v>63</v>
      </c>
      <c r="D21" s="50">
        <v>14</v>
      </c>
      <c r="E21" s="50">
        <v>7</v>
      </c>
      <c r="F21" s="50">
        <v>14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75</v>
      </c>
      <c r="N21" s="50">
        <v>0</v>
      </c>
      <c r="O21" s="15">
        <f t="shared" si="0"/>
        <v>98</v>
      </c>
      <c r="P21" s="15">
        <f t="shared" si="1"/>
        <v>173</v>
      </c>
      <c r="R21" s="36" t="s">
        <v>20</v>
      </c>
      <c r="S21" s="34">
        <f t="shared" ref="S21:AF21" si="13">SUM(C54:C57)</f>
        <v>141</v>
      </c>
      <c r="T21" s="17">
        <f t="shared" si="13"/>
        <v>22</v>
      </c>
      <c r="U21" s="17">
        <f t="shared" si="13"/>
        <v>20</v>
      </c>
      <c r="V21" s="17">
        <f t="shared" si="13"/>
        <v>34</v>
      </c>
      <c r="W21" s="17">
        <f t="shared" si="13"/>
        <v>2</v>
      </c>
      <c r="X21" s="17">
        <f t="shared" si="13"/>
        <v>0</v>
      </c>
      <c r="Y21" s="17">
        <f t="shared" si="13"/>
        <v>6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338</v>
      </c>
      <c r="AD21" s="17">
        <f t="shared" si="13"/>
        <v>0</v>
      </c>
      <c r="AE21" s="31">
        <f t="shared" si="13"/>
        <v>229</v>
      </c>
      <c r="AF21" s="31">
        <f t="shared" si="13"/>
        <v>567</v>
      </c>
    </row>
    <row r="22" spans="2:32" ht="23.1" customHeight="1" x14ac:dyDescent="0.25">
      <c r="B22" s="45" t="s">
        <v>49</v>
      </c>
      <c r="C22" s="50">
        <v>65</v>
      </c>
      <c r="D22" s="50">
        <v>9</v>
      </c>
      <c r="E22" s="50">
        <v>10</v>
      </c>
      <c r="F22" s="50">
        <v>17</v>
      </c>
      <c r="G22" s="50">
        <v>1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85</v>
      </c>
      <c r="N22" s="50">
        <v>0</v>
      </c>
      <c r="O22" s="15">
        <f t="shared" si="0"/>
        <v>105</v>
      </c>
      <c r="P22" s="15">
        <f t="shared" si="1"/>
        <v>190</v>
      </c>
      <c r="R22" s="36" t="s">
        <v>146</v>
      </c>
      <c r="S22" s="34">
        <f>SUM(C58:C61)</f>
        <v>88</v>
      </c>
      <c r="T22" s="34">
        <f t="shared" ref="T22:AF22" si="14">SUM(D58:D61)</f>
        <v>9</v>
      </c>
      <c r="U22" s="34">
        <f t="shared" si="14"/>
        <v>33</v>
      </c>
      <c r="V22" s="34">
        <f t="shared" si="14"/>
        <v>51</v>
      </c>
      <c r="W22" s="34">
        <f t="shared" si="14"/>
        <v>1</v>
      </c>
      <c r="X22" s="34">
        <f t="shared" si="14"/>
        <v>0</v>
      </c>
      <c r="Y22" s="34">
        <f t="shared" si="14"/>
        <v>4</v>
      </c>
      <c r="Z22" s="34">
        <f t="shared" si="14"/>
        <v>1</v>
      </c>
      <c r="AA22" s="34">
        <f t="shared" si="14"/>
        <v>1</v>
      </c>
      <c r="AB22" s="34">
        <f t="shared" si="14"/>
        <v>0</v>
      </c>
      <c r="AC22" s="34">
        <f t="shared" si="14"/>
        <v>404</v>
      </c>
      <c r="AD22" s="34">
        <f t="shared" si="14"/>
        <v>0</v>
      </c>
      <c r="AE22" s="31">
        <f t="shared" si="14"/>
        <v>188</v>
      </c>
      <c r="AF22" s="31">
        <f t="shared" si="14"/>
        <v>592</v>
      </c>
    </row>
    <row r="23" spans="2:32" ht="23.1" customHeight="1" x14ac:dyDescent="0.25">
      <c r="B23" s="45" t="s">
        <v>50</v>
      </c>
      <c r="C23" s="50">
        <v>58</v>
      </c>
      <c r="D23" s="50">
        <v>7</v>
      </c>
      <c r="E23" s="50">
        <v>5</v>
      </c>
      <c r="F23" s="50">
        <v>6</v>
      </c>
      <c r="G23" s="50">
        <v>0</v>
      </c>
      <c r="H23" s="50">
        <v>1</v>
      </c>
      <c r="I23" s="50">
        <v>1</v>
      </c>
      <c r="J23" s="50">
        <v>0</v>
      </c>
      <c r="K23" s="50">
        <v>0</v>
      </c>
      <c r="L23" s="50">
        <v>0</v>
      </c>
      <c r="M23" s="50">
        <v>92</v>
      </c>
      <c r="N23" s="50">
        <v>0</v>
      </c>
      <c r="O23" s="15">
        <f t="shared" si="0"/>
        <v>78</v>
      </c>
      <c r="P23" s="15">
        <f t="shared" si="1"/>
        <v>170</v>
      </c>
      <c r="R23" s="36" t="s">
        <v>147</v>
      </c>
      <c r="S23" s="34">
        <f>SUM(C62:C65)</f>
        <v>98</v>
      </c>
      <c r="T23" s="34">
        <f t="shared" ref="T23:AF23" si="15">SUM(D62:D65)</f>
        <v>13</v>
      </c>
      <c r="U23" s="34">
        <f t="shared" si="15"/>
        <v>43</v>
      </c>
      <c r="V23" s="34">
        <f t="shared" si="15"/>
        <v>49</v>
      </c>
      <c r="W23" s="34">
        <f t="shared" si="15"/>
        <v>0</v>
      </c>
      <c r="X23" s="34">
        <f t="shared" si="15"/>
        <v>1</v>
      </c>
      <c r="Y23" s="34">
        <f t="shared" si="15"/>
        <v>6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409</v>
      </c>
      <c r="AD23" s="34">
        <f t="shared" si="15"/>
        <v>0</v>
      </c>
      <c r="AE23" s="31">
        <f t="shared" si="15"/>
        <v>211</v>
      </c>
      <c r="AF23" s="31">
        <f t="shared" si="15"/>
        <v>620</v>
      </c>
    </row>
    <row r="24" spans="2:32" ht="23.1" customHeight="1" x14ac:dyDescent="0.25">
      <c r="B24" s="45" t="s">
        <v>51</v>
      </c>
      <c r="C24" s="50">
        <v>70</v>
      </c>
      <c r="D24" s="50">
        <v>8</v>
      </c>
      <c r="E24" s="50">
        <v>10</v>
      </c>
      <c r="F24" s="50">
        <v>13</v>
      </c>
      <c r="G24" s="50">
        <v>0</v>
      </c>
      <c r="H24" s="50">
        <v>0</v>
      </c>
      <c r="I24" s="50">
        <v>5</v>
      </c>
      <c r="J24" s="50">
        <v>2</v>
      </c>
      <c r="K24" s="50">
        <v>0</v>
      </c>
      <c r="L24" s="50">
        <v>0</v>
      </c>
      <c r="M24" s="50">
        <v>105</v>
      </c>
      <c r="N24" s="50">
        <v>0</v>
      </c>
      <c r="O24" s="15">
        <f t="shared" si="0"/>
        <v>108</v>
      </c>
      <c r="P24" s="15">
        <f t="shared" si="1"/>
        <v>213</v>
      </c>
      <c r="R24" s="36" t="s">
        <v>148</v>
      </c>
      <c r="S24" s="34">
        <f>SUM(C66:C69)</f>
        <v>87</v>
      </c>
      <c r="T24" s="34">
        <f t="shared" ref="T24:AF24" si="16">SUM(D66:D69)</f>
        <v>12</v>
      </c>
      <c r="U24" s="34">
        <f t="shared" si="16"/>
        <v>41</v>
      </c>
      <c r="V24" s="34">
        <f t="shared" si="16"/>
        <v>21</v>
      </c>
      <c r="W24" s="34">
        <f t="shared" si="16"/>
        <v>0</v>
      </c>
      <c r="X24" s="34">
        <f t="shared" si="16"/>
        <v>0</v>
      </c>
      <c r="Y24" s="34">
        <f t="shared" si="16"/>
        <v>9</v>
      </c>
      <c r="Z24" s="34">
        <f t="shared" si="16"/>
        <v>2</v>
      </c>
      <c r="AA24" s="34">
        <f t="shared" si="16"/>
        <v>1</v>
      </c>
      <c r="AB24" s="34">
        <f t="shared" si="16"/>
        <v>0</v>
      </c>
      <c r="AC24" s="34">
        <f t="shared" si="16"/>
        <v>333</v>
      </c>
      <c r="AD24" s="34">
        <f t="shared" si="16"/>
        <v>0</v>
      </c>
      <c r="AE24" s="31">
        <f t="shared" si="16"/>
        <v>173</v>
      </c>
      <c r="AF24" s="31">
        <f t="shared" si="16"/>
        <v>506</v>
      </c>
    </row>
    <row r="25" spans="2:32" ht="23.1" customHeight="1" x14ac:dyDescent="0.25">
      <c r="B25" s="45" t="s">
        <v>52</v>
      </c>
      <c r="C25" s="50">
        <v>70</v>
      </c>
      <c r="D25" s="50">
        <v>12</v>
      </c>
      <c r="E25" s="50">
        <v>5</v>
      </c>
      <c r="F25" s="50">
        <v>15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72</v>
      </c>
      <c r="N25" s="50">
        <v>0</v>
      </c>
      <c r="O25" s="15">
        <f t="shared" si="0"/>
        <v>103</v>
      </c>
      <c r="P25" s="15">
        <f t="shared" si="1"/>
        <v>175</v>
      </c>
      <c r="R25" s="36" t="s">
        <v>149</v>
      </c>
      <c r="S25" s="34">
        <f>SUM(C70:C73)</f>
        <v>42</v>
      </c>
      <c r="T25" s="34">
        <f t="shared" ref="T25:AF25" si="17">SUM(D70:D73)</f>
        <v>8</v>
      </c>
      <c r="U25" s="34">
        <f t="shared" si="17"/>
        <v>17</v>
      </c>
      <c r="V25" s="34">
        <f t="shared" si="17"/>
        <v>9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216</v>
      </c>
      <c r="AD25" s="34">
        <f t="shared" si="17"/>
        <v>0</v>
      </c>
      <c r="AE25" s="31">
        <f t="shared" si="17"/>
        <v>77</v>
      </c>
      <c r="AF25" s="31">
        <f t="shared" si="17"/>
        <v>293</v>
      </c>
    </row>
    <row r="26" spans="2:32" ht="23.1" customHeight="1" x14ac:dyDescent="0.25">
      <c r="B26" s="45" t="s">
        <v>53</v>
      </c>
      <c r="C26" s="50">
        <v>61</v>
      </c>
      <c r="D26" s="50">
        <v>17</v>
      </c>
      <c r="E26" s="50">
        <v>7</v>
      </c>
      <c r="F26" s="50">
        <v>7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72</v>
      </c>
      <c r="N26" s="50">
        <v>0</v>
      </c>
      <c r="O26" s="15">
        <f t="shared" si="0"/>
        <v>95</v>
      </c>
      <c r="P26" s="15">
        <f t="shared" si="1"/>
        <v>167</v>
      </c>
      <c r="R26" s="36" t="s">
        <v>150</v>
      </c>
      <c r="S26" s="34">
        <f>SUM(C74:C77)</f>
        <v>39</v>
      </c>
      <c r="T26" s="34">
        <f t="shared" ref="T26:AF26" si="18">SUM(D74:D77)</f>
        <v>4</v>
      </c>
      <c r="U26" s="34">
        <f t="shared" si="18"/>
        <v>12</v>
      </c>
      <c r="V26" s="34">
        <f t="shared" si="18"/>
        <v>9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140</v>
      </c>
      <c r="AD26" s="34">
        <f t="shared" si="18"/>
        <v>0</v>
      </c>
      <c r="AE26" s="31">
        <f t="shared" si="18"/>
        <v>66</v>
      </c>
      <c r="AF26" s="31">
        <f t="shared" si="18"/>
        <v>206</v>
      </c>
    </row>
    <row r="27" spans="2:32" ht="23.1" customHeight="1" x14ac:dyDescent="0.25">
      <c r="B27" s="45" t="s">
        <v>54</v>
      </c>
      <c r="C27" s="50">
        <v>51</v>
      </c>
      <c r="D27" s="50">
        <v>13</v>
      </c>
      <c r="E27" s="50">
        <v>4</v>
      </c>
      <c r="F27" s="50">
        <v>15</v>
      </c>
      <c r="G27" s="50">
        <v>0</v>
      </c>
      <c r="H27" s="50">
        <v>0</v>
      </c>
      <c r="I27" s="50">
        <v>2</v>
      </c>
      <c r="J27" s="50">
        <v>2</v>
      </c>
      <c r="K27" s="50">
        <v>0</v>
      </c>
      <c r="L27" s="50">
        <v>0</v>
      </c>
      <c r="M27" s="50">
        <v>75</v>
      </c>
      <c r="N27" s="50">
        <v>0</v>
      </c>
      <c r="O27" s="15">
        <f t="shared" si="0"/>
        <v>87</v>
      </c>
      <c r="P27" s="15">
        <f t="shared" si="1"/>
        <v>162</v>
      </c>
      <c r="R27" s="36" t="s">
        <v>151</v>
      </c>
      <c r="S27" s="34">
        <f>SUM(C78:C81)</f>
        <v>15</v>
      </c>
      <c r="T27" s="34">
        <f t="shared" ref="T27:AF27" si="19">SUM(D78:D81)</f>
        <v>2</v>
      </c>
      <c r="U27" s="34">
        <f t="shared" si="19"/>
        <v>4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62</v>
      </c>
      <c r="AD27" s="34">
        <f t="shared" si="19"/>
        <v>0</v>
      </c>
      <c r="AE27" s="31">
        <f t="shared" si="19"/>
        <v>21</v>
      </c>
      <c r="AF27" s="31">
        <f t="shared" si="19"/>
        <v>83</v>
      </c>
    </row>
    <row r="28" spans="2:32" ht="23.1" customHeight="1" x14ac:dyDescent="0.25">
      <c r="B28" s="45" t="s">
        <v>55</v>
      </c>
      <c r="C28" s="50">
        <v>43</v>
      </c>
      <c r="D28" s="50">
        <v>11</v>
      </c>
      <c r="E28" s="50">
        <v>8</v>
      </c>
      <c r="F28" s="50">
        <v>6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90</v>
      </c>
      <c r="N28" s="50">
        <v>0</v>
      </c>
      <c r="O28" s="15">
        <f t="shared" si="0"/>
        <v>70</v>
      </c>
      <c r="P28" s="15">
        <f t="shared" si="1"/>
        <v>160</v>
      </c>
      <c r="R28" s="36" t="s">
        <v>152</v>
      </c>
      <c r="S28" s="34">
        <f>SUM(C82:C85)</f>
        <v>15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31</v>
      </c>
      <c r="AD28" s="34">
        <f t="shared" si="20"/>
        <v>0</v>
      </c>
      <c r="AE28" s="31">
        <f t="shared" si="20"/>
        <v>18</v>
      </c>
      <c r="AF28" s="31">
        <f t="shared" si="20"/>
        <v>49</v>
      </c>
    </row>
    <row r="29" spans="2:32" ht="23.1" customHeight="1" x14ac:dyDescent="0.25">
      <c r="B29" s="45" t="s">
        <v>56</v>
      </c>
      <c r="C29" s="50">
        <v>42</v>
      </c>
      <c r="D29" s="50">
        <v>6</v>
      </c>
      <c r="E29" s="50">
        <v>8</v>
      </c>
      <c r="F29" s="50">
        <v>6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104</v>
      </c>
      <c r="N29" s="50">
        <v>0</v>
      </c>
      <c r="O29" s="15">
        <f t="shared" si="0"/>
        <v>66</v>
      </c>
      <c r="P29" s="15">
        <f t="shared" si="1"/>
        <v>170</v>
      </c>
      <c r="R29" s="36" t="s">
        <v>153</v>
      </c>
      <c r="S29" s="34">
        <f>SUM(C86:C89)</f>
        <v>6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19</v>
      </c>
      <c r="AD29" s="34">
        <f t="shared" si="21"/>
        <v>0</v>
      </c>
      <c r="AE29" s="31">
        <f t="shared" si="21"/>
        <v>8</v>
      </c>
      <c r="AF29" s="31">
        <f t="shared" si="21"/>
        <v>27</v>
      </c>
    </row>
    <row r="30" spans="2:32" ht="23.1" customHeight="1" x14ac:dyDescent="0.25">
      <c r="B30" s="45" t="s">
        <v>57</v>
      </c>
      <c r="C30" s="50">
        <v>55</v>
      </c>
      <c r="D30" s="50">
        <v>13</v>
      </c>
      <c r="E30" s="50">
        <v>12</v>
      </c>
      <c r="F30" s="50">
        <v>15</v>
      </c>
      <c r="G30" s="50">
        <v>1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68</v>
      </c>
      <c r="N30" s="50">
        <v>0</v>
      </c>
      <c r="O30" s="15">
        <f t="shared" si="0"/>
        <v>100</v>
      </c>
      <c r="P30" s="15">
        <f t="shared" si="1"/>
        <v>168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16</v>
      </c>
      <c r="AD30" s="34">
        <f t="shared" si="22"/>
        <v>0</v>
      </c>
      <c r="AE30" s="31">
        <f t="shared" si="22"/>
        <v>3</v>
      </c>
      <c r="AF30" s="31">
        <f t="shared" si="22"/>
        <v>19</v>
      </c>
    </row>
    <row r="31" spans="2:32" ht="23.1" customHeight="1" x14ac:dyDescent="0.25">
      <c r="B31" s="46" t="s">
        <v>58</v>
      </c>
      <c r="C31" s="50">
        <v>42</v>
      </c>
      <c r="D31" s="50">
        <v>10</v>
      </c>
      <c r="E31" s="50">
        <v>7</v>
      </c>
      <c r="F31" s="50">
        <v>13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62</v>
      </c>
      <c r="N31" s="50">
        <v>0</v>
      </c>
      <c r="O31" s="15">
        <f t="shared" si="0"/>
        <v>75</v>
      </c>
      <c r="P31" s="15">
        <f t="shared" si="1"/>
        <v>137</v>
      </c>
      <c r="R31" s="36" t="s">
        <v>155</v>
      </c>
      <c r="S31" s="34">
        <f>SUM(C94:C97)</f>
        <v>7</v>
      </c>
      <c r="T31" s="34">
        <f t="shared" ref="T31:AF31" si="23">SUM(D94:D97)</f>
        <v>0</v>
      </c>
      <c r="U31" s="34">
        <f t="shared" si="23"/>
        <v>2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1</v>
      </c>
      <c r="AB31" s="34">
        <f t="shared" si="23"/>
        <v>0</v>
      </c>
      <c r="AC31" s="34">
        <f t="shared" si="23"/>
        <v>26</v>
      </c>
      <c r="AD31" s="34">
        <f t="shared" si="23"/>
        <v>0</v>
      </c>
      <c r="AE31" s="31">
        <f t="shared" si="23"/>
        <v>13</v>
      </c>
      <c r="AF31" s="31">
        <f t="shared" si="23"/>
        <v>39</v>
      </c>
    </row>
    <row r="32" spans="2:32" ht="23.1" customHeight="1" x14ac:dyDescent="0.25">
      <c r="B32" s="46" t="s">
        <v>59</v>
      </c>
      <c r="C32" s="50">
        <v>22</v>
      </c>
      <c r="D32" s="50">
        <v>6</v>
      </c>
      <c r="E32" s="50">
        <v>2</v>
      </c>
      <c r="F32" s="50">
        <v>5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35</v>
      </c>
      <c r="N32" s="50">
        <v>0</v>
      </c>
      <c r="O32" s="15">
        <f t="shared" si="0"/>
        <v>37</v>
      </c>
      <c r="P32" s="15">
        <f t="shared" si="1"/>
        <v>72</v>
      </c>
      <c r="R32" s="33" t="s">
        <v>156</v>
      </c>
      <c r="S32" s="34">
        <f>SUM(C98:C101)</f>
        <v>59</v>
      </c>
      <c r="T32" s="34">
        <f t="shared" ref="T32:AF32" si="24">SUM(D98:D101)</f>
        <v>3</v>
      </c>
      <c r="U32" s="34">
        <f t="shared" si="24"/>
        <v>14</v>
      </c>
      <c r="V32" s="34">
        <f t="shared" si="24"/>
        <v>23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81</v>
      </c>
      <c r="AD32" s="34">
        <f t="shared" si="24"/>
        <v>0</v>
      </c>
      <c r="AE32" s="31">
        <f t="shared" si="24"/>
        <v>101</v>
      </c>
      <c r="AF32" s="31">
        <f t="shared" si="24"/>
        <v>182</v>
      </c>
    </row>
    <row r="33" spans="2:32" ht="23.1" customHeight="1" x14ac:dyDescent="0.25">
      <c r="B33" s="45" t="s">
        <v>60</v>
      </c>
      <c r="C33" s="50">
        <v>51</v>
      </c>
      <c r="D33" s="50">
        <v>7</v>
      </c>
      <c r="E33" s="50">
        <v>5</v>
      </c>
      <c r="F33" s="50">
        <v>7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75</v>
      </c>
      <c r="N33" s="50">
        <v>1</v>
      </c>
      <c r="O33" s="15">
        <f t="shared" si="0"/>
        <v>74</v>
      </c>
      <c r="P33" s="15">
        <f t="shared" si="1"/>
        <v>149</v>
      </c>
      <c r="R33" s="33" t="s">
        <v>157</v>
      </c>
      <c r="S33" s="34">
        <f>SUM(C102:C105)</f>
        <v>776</v>
      </c>
      <c r="T33" s="34">
        <f t="shared" ref="T33:AF33" si="25">SUM(D102:D105)</f>
        <v>37</v>
      </c>
      <c r="U33" s="34">
        <f t="shared" si="25"/>
        <v>49</v>
      </c>
      <c r="V33" s="34">
        <f t="shared" si="25"/>
        <v>127</v>
      </c>
      <c r="W33" s="34">
        <f t="shared" si="25"/>
        <v>1</v>
      </c>
      <c r="X33" s="34">
        <f t="shared" si="25"/>
        <v>0</v>
      </c>
      <c r="Y33" s="34">
        <f t="shared" si="25"/>
        <v>13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180</v>
      </c>
      <c r="AD33" s="34">
        <f t="shared" si="25"/>
        <v>0</v>
      </c>
      <c r="AE33" s="31">
        <f t="shared" si="25"/>
        <v>1005</v>
      </c>
      <c r="AF33" s="31">
        <f t="shared" si="25"/>
        <v>1185</v>
      </c>
    </row>
    <row r="34" spans="2:32" ht="23.1" customHeight="1" x14ac:dyDescent="0.25">
      <c r="B34" s="46" t="s">
        <v>61</v>
      </c>
      <c r="C34" s="50">
        <v>51</v>
      </c>
      <c r="D34" s="50">
        <v>8</v>
      </c>
      <c r="E34" s="50">
        <v>14</v>
      </c>
      <c r="F34" s="50">
        <v>12</v>
      </c>
      <c r="G34" s="50">
        <v>0</v>
      </c>
      <c r="H34" s="50">
        <v>0</v>
      </c>
      <c r="I34" s="50">
        <v>2</v>
      </c>
      <c r="J34" s="50">
        <v>2</v>
      </c>
      <c r="K34" s="50">
        <v>0</v>
      </c>
      <c r="L34" s="50">
        <v>0</v>
      </c>
      <c r="M34" s="50">
        <v>80</v>
      </c>
      <c r="N34" s="50">
        <v>0</v>
      </c>
      <c r="O34" s="15">
        <f t="shared" si="0"/>
        <v>89</v>
      </c>
      <c r="P34" s="15">
        <f t="shared" si="1"/>
        <v>169</v>
      </c>
      <c r="R34" s="38" t="s">
        <v>90</v>
      </c>
      <c r="S34" s="39">
        <f t="shared" ref="S34:AF34" si="26">MAX(S10:S12)</f>
        <v>750</v>
      </c>
      <c r="T34" s="39">
        <f t="shared" si="26"/>
        <v>86</v>
      </c>
      <c r="U34" s="39">
        <f t="shared" si="26"/>
        <v>63</v>
      </c>
      <c r="V34" s="39">
        <f t="shared" si="26"/>
        <v>201</v>
      </c>
      <c r="W34" s="39">
        <f t="shared" si="26"/>
        <v>3</v>
      </c>
      <c r="X34" s="39">
        <f t="shared" si="26"/>
        <v>0</v>
      </c>
      <c r="Y34" s="39">
        <f t="shared" si="26"/>
        <v>23</v>
      </c>
      <c r="Z34" s="39">
        <f t="shared" si="26"/>
        <v>2</v>
      </c>
      <c r="AA34" s="39">
        <f t="shared" si="26"/>
        <v>0</v>
      </c>
      <c r="AB34" s="39">
        <f t="shared" si="26"/>
        <v>0</v>
      </c>
      <c r="AC34" s="39">
        <f t="shared" si="26"/>
        <v>740</v>
      </c>
      <c r="AD34" s="39">
        <f t="shared" si="26"/>
        <v>0</v>
      </c>
      <c r="AE34" s="40">
        <f t="shared" si="26"/>
        <v>1126</v>
      </c>
      <c r="AF34" s="40">
        <f t="shared" si="26"/>
        <v>1866</v>
      </c>
    </row>
    <row r="35" spans="2:32" ht="23.1" customHeight="1" x14ac:dyDescent="0.25">
      <c r="B35" s="46" t="s">
        <v>62</v>
      </c>
      <c r="C35" s="50">
        <v>40</v>
      </c>
      <c r="D35" s="50">
        <v>6</v>
      </c>
      <c r="E35" s="50">
        <v>7</v>
      </c>
      <c r="F35" s="50">
        <v>8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55</v>
      </c>
      <c r="N35" s="50">
        <v>0</v>
      </c>
      <c r="O35" s="15">
        <f t="shared" si="0"/>
        <v>64</v>
      </c>
      <c r="P35" s="15">
        <f t="shared" si="1"/>
        <v>119</v>
      </c>
      <c r="R35" s="38" t="s">
        <v>91</v>
      </c>
      <c r="S35" s="39">
        <f t="shared" ref="S35:AF35" si="27">MAX(S13:S18)</f>
        <v>263</v>
      </c>
      <c r="T35" s="39">
        <f t="shared" si="27"/>
        <v>47</v>
      </c>
      <c r="U35" s="39">
        <f t="shared" si="27"/>
        <v>30</v>
      </c>
      <c r="V35" s="39">
        <f t="shared" si="27"/>
        <v>51</v>
      </c>
      <c r="W35" s="39">
        <f t="shared" si="27"/>
        <v>1</v>
      </c>
      <c r="X35" s="39">
        <f t="shared" si="27"/>
        <v>1</v>
      </c>
      <c r="Y35" s="39">
        <f t="shared" si="27"/>
        <v>19</v>
      </c>
      <c r="Z35" s="39">
        <f t="shared" si="27"/>
        <v>5</v>
      </c>
      <c r="AA35" s="39">
        <f t="shared" si="27"/>
        <v>0</v>
      </c>
      <c r="AB35" s="39">
        <f t="shared" si="27"/>
        <v>0</v>
      </c>
      <c r="AC35" s="39">
        <f t="shared" si="27"/>
        <v>354</v>
      </c>
      <c r="AD35" s="39">
        <f t="shared" si="27"/>
        <v>1</v>
      </c>
      <c r="AE35" s="40">
        <f t="shared" si="27"/>
        <v>394</v>
      </c>
      <c r="AF35" s="40">
        <f t="shared" si="27"/>
        <v>748</v>
      </c>
    </row>
    <row r="36" spans="2:32" ht="23.1" customHeight="1" x14ac:dyDescent="0.25">
      <c r="B36" s="46" t="s">
        <v>63</v>
      </c>
      <c r="C36" s="50">
        <v>47</v>
      </c>
      <c r="D36" s="50">
        <v>11</v>
      </c>
      <c r="E36" s="50">
        <v>5</v>
      </c>
      <c r="F36" s="50">
        <v>6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71</v>
      </c>
      <c r="N36" s="50">
        <v>0</v>
      </c>
      <c r="O36" s="15">
        <f t="shared" si="0"/>
        <v>70</v>
      </c>
      <c r="P36" s="15">
        <f t="shared" si="1"/>
        <v>141</v>
      </c>
      <c r="R36" s="38" t="s">
        <v>92</v>
      </c>
      <c r="S36" s="39">
        <f t="shared" ref="S36:AF36" si="28">MAX(S19:S21)</f>
        <v>163</v>
      </c>
      <c r="T36" s="39">
        <f t="shared" si="28"/>
        <v>40</v>
      </c>
      <c r="U36" s="39">
        <f t="shared" si="28"/>
        <v>35</v>
      </c>
      <c r="V36" s="39">
        <f t="shared" si="28"/>
        <v>39</v>
      </c>
      <c r="W36" s="39">
        <f t="shared" si="28"/>
        <v>3</v>
      </c>
      <c r="X36" s="39">
        <f t="shared" si="28"/>
        <v>0</v>
      </c>
      <c r="Y36" s="39">
        <f t="shared" si="28"/>
        <v>15</v>
      </c>
      <c r="Z36" s="39">
        <f t="shared" si="28"/>
        <v>4</v>
      </c>
      <c r="AA36" s="39">
        <f t="shared" si="28"/>
        <v>1</v>
      </c>
      <c r="AB36" s="39">
        <f t="shared" si="28"/>
        <v>0</v>
      </c>
      <c r="AC36" s="39">
        <f t="shared" si="28"/>
        <v>341</v>
      </c>
      <c r="AD36" s="39">
        <f t="shared" si="28"/>
        <v>0</v>
      </c>
      <c r="AE36" s="40">
        <f t="shared" si="28"/>
        <v>295</v>
      </c>
      <c r="AF36" s="40">
        <f t="shared" si="28"/>
        <v>636</v>
      </c>
    </row>
    <row r="37" spans="2:32" ht="23.1" customHeight="1" x14ac:dyDescent="0.25">
      <c r="B37" s="45" t="s">
        <v>64</v>
      </c>
      <c r="C37" s="50">
        <v>40</v>
      </c>
      <c r="D37" s="50">
        <v>7</v>
      </c>
      <c r="E37" s="50">
        <v>3</v>
      </c>
      <c r="F37" s="50">
        <v>8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55</v>
      </c>
      <c r="N37" s="50">
        <v>0</v>
      </c>
      <c r="O37" s="15">
        <f t="shared" si="0"/>
        <v>59</v>
      </c>
      <c r="P37" s="15">
        <f t="shared" si="1"/>
        <v>114</v>
      </c>
      <c r="R37" s="37" t="s">
        <v>85</v>
      </c>
      <c r="S37" s="35">
        <f t="shared" ref="S37:AF37" si="29">SUM(S10:S12)</f>
        <v>1752</v>
      </c>
      <c r="T37" s="16">
        <f t="shared" si="29"/>
        <v>212</v>
      </c>
      <c r="U37" s="16">
        <f t="shared" si="29"/>
        <v>143</v>
      </c>
      <c r="V37" s="16">
        <f t="shared" si="29"/>
        <v>471</v>
      </c>
      <c r="W37" s="16">
        <f t="shared" si="29"/>
        <v>4</v>
      </c>
      <c r="X37" s="16">
        <f t="shared" si="29"/>
        <v>0</v>
      </c>
      <c r="Y37" s="16">
        <f t="shared" si="29"/>
        <v>61</v>
      </c>
      <c r="Z37" s="16">
        <f t="shared" si="29"/>
        <v>4</v>
      </c>
      <c r="AA37" s="16">
        <f t="shared" si="29"/>
        <v>0</v>
      </c>
      <c r="AB37" s="16">
        <f t="shared" si="29"/>
        <v>0</v>
      </c>
      <c r="AC37" s="16">
        <f t="shared" si="29"/>
        <v>1891</v>
      </c>
      <c r="AD37" s="16">
        <f t="shared" si="29"/>
        <v>0</v>
      </c>
      <c r="AE37" s="32">
        <f t="shared" si="29"/>
        <v>2647</v>
      </c>
      <c r="AF37" s="32">
        <f t="shared" si="29"/>
        <v>4538</v>
      </c>
    </row>
    <row r="38" spans="2:32" ht="23.1" customHeight="1" x14ac:dyDescent="0.25">
      <c r="B38" s="46" t="s">
        <v>65</v>
      </c>
      <c r="C38" s="50">
        <v>37</v>
      </c>
      <c r="D38" s="50">
        <v>11</v>
      </c>
      <c r="E38" s="50">
        <v>7</v>
      </c>
      <c r="F38" s="50">
        <v>10</v>
      </c>
      <c r="G38" s="50">
        <v>0</v>
      </c>
      <c r="H38" s="50">
        <v>0</v>
      </c>
      <c r="I38" s="50">
        <v>6</v>
      </c>
      <c r="J38" s="50">
        <v>0</v>
      </c>
      <c r="K38" s="50">
        <v>0</v>
      </c>
      <c r="L38" s="50">
        <v>0</v>
      </c>
      <c r="M38" s="50">
        <v>67</v>
      </c>
      <c r="N38" s="50">
        <v>0</v>
      </c>
      <c r="O38" s="15">
        <f t="shared" si="0"/>
        <v>71</v>
      </c>
      <c r="P38" s="15">
        <f t="shared" si="1"/>
        <v>138</v>
      </c>
      <c r="R38" s="28" t="s">
        <v>86</v>
      </c>
      <c r="S38" s="16">
        <f t="shared" ref="S38:AF38" si="30">SUM(S13:S18)</f>
        <v>1103</v>
      </c>
      <c r="T38" s="16">
        <f t="shared" si="30"/>
        <v>206</v>
      </c>
      <c r="U38" s="16">
        <f t="shared" si="30"/>
        <v>159</v>
      </c>
      <c r="V38" s="16">
        <f t="shared" si="30"/>
        <v>222</v>
      </c>
      <c r="W38" s="16">
        <f t="shared" si="30"/>
        <v>3</v>
      </c>
      <c r="X38" s="16">
        <f t="shared" si="30"/>
        <v>1</v>
      </c>
      <c r="Y38" s="16">
        <f t="shared" si="30"/>
        <v>67</v>
      </c>
      <c r="Z38" s="16">
        <f t="shared" si="30"/>
        <v>13</v>
      </c>
      <c r="AA38" s="16">
        <f t="shared" si="30"/>
        <v>0</v>
      </c>
      <c r="AB38" s="16">
        <f t="shared" si="30"/>
        <v>0</v>
      </c>
      <c r="AC38" s="16">
        <f t="shared" si="30"/>
        <v>1692</v>
      </c>
      <c r="AD38" s="16">
        <f t="shared" si="30"/>
        <v>1</v>
      </c>
      <c r="AE38" s="32">
        <f t="shared" si="30"/>
        <v>1775</v>
      </c>
      <c r="AF38" s="32">
        <f t="shared" si="30"/>
        <v>3467</v>
      </c>
    </row>
    <row r="39" spans="2:32" ht="23.1" customHeight="1" x14ac:dyDescent="0.25">
      <c r="B39" s="46" t="s">
        <v>66</v>
      </c>
      <c r="C39" s="50">
        <v>34</v>
      </c>
      <c r="D39" s="50">
        <v>6</v>
      </c>
      <c r="E39" s="50">
        <v>4</v>
      </c>
      <c r="F39" s="50">
        <v>5</v>
      </c>
      <c r="G39" s="50">
        <v>0</v>
      </c>
      <c r="H39" s="50">
        <v>0</v>
      </c>
      <c r="I39" s="50">
        <v>5</v>
      </c>
      <c r="J39" s="50">
        <v>0</v>
      </c>
      <c r="K39" s="50">
        <v>0</v>
      </c>
      <c r="L39" s="50">
        <v>0</v>
      </c>
      <c r="M39" s="50">
        <v>57</v>
      </c>
      <c r="N39" s="50">
        <v>0</v>
      </c>
      <c r="O39" s="15">
        <f t="shared" si="0"/>
        <v>54</v>
      </c>
      <c r="P39" s="15">
        <f t="shared" si="1"/>
        <v>111</v>
      </c>
      <c r="R39" s="29" t="s">
        <v>87</v>
      </c>
      <c r="S39" s="16">
        <f t="shared" ref="S39:AF39" si="31">SUM(S19:S21)</f>
        <v>443</v>
      </c>
      <c r="T39" s="16">
        <f t="shared" si="31"/>
        <v>91</v>
      </c>
      <c r="U39" s="16">
        <f t="shared" si="31"/>
        <v>71</v>
      </c>
      <c r="V39" s="16">
        <f t="shared" si="31"/>
        <v>111</v>
      </c>
      <c r="W39" s="16">
        <f t="shared" si="31"/>
        <v>6</v>
      </c>
      <c r="X39" s="16">
        <f t="shared" si="31"/>
        <v>0</v>
      </c>
      <c r="Y39" s="16">
        <f t="shared" si="31"/>
        <v>30</v>
      </c>
      <c r="Z39" s="16">
        <f t="shared" si="31"/>
        <v>6</v>
      </c>
      <c r="AA39" s="16">
        <f t="shared" si="31"/>
        <v>1</v>
      </c>
      <c r="AB39" s="16">
        <f t="shared" si="31"/>
        <v>0</v>
      </c>
      <c r="AC39" s="16">
        <f t="shared" si="31"/>
        <v>1002</v>
      </c>
      <c r="AD39" s="16">
        <f t="shared" si="31"/>
        <v>0</v>
      </c>
      <c r="AE39" s="32">
        <f t="shared" si="31"/>
        <v>759</v>
      </c>
      <c r="AF39" s="32">
        <f t="shared" si="31"/>
        <v>1761</v>
      </c>
    </row>
    <row r="40" spans="2:32" ht="23.1" customHeight="1" x14ac:dyDescent="0.25">
      <c r="B40" s="46" t="s">
        <v>67</v>
      </c>
      <c r="C40" s="50">
        <v>48</v>
      </c>
      <c r="D40" s="50">
        <v>4</v>
      </c>
      <c r="E40" s="50">
        <v>2</v>
      </c>
      <c r="F40" s="50">
        <v>8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70</v>
      </c>
      <c r="N40" s="50">
        <v>0</v>
      </c>
      <c r="O40" s="15">
        <f t="shared" si="0"/>
        <v>64</v>
      </c>
      <c r="P40" s="15">
        <f t="shared" si="1"/>
        <v>134</v>
      </c>
      <c r="R40" s="5" t="s">
        <v>17</v>
      </c>
      <c r="S40" s="16">
        <f t="shared" ref="S40:AF40" si="32">SUM(S10:S21)</f>
        <v>3298</v>
      </c>
      <c r="T40" s="16">
        <f t="shared" si="32"/>
        <v>509</v>
      </c>
      <c r="U40" s="16">
        <f t="shared" si="32"/>
        <v>373</v>
      </c>
      <c r="V40" s="16">
        <f t="shared" si="32"/>
        <v>804</v>
      </c>
      <c r="W40" s="16">
        <f t="shared" si="32"/>
        <v>13</v>
      </c>
      <c r="X40" s="16">
        <f t="shared" si="32"/>
        <v>1</v>
      </c>
      <c r="Y40" s="16">
        <f t="shared" si="32"/>
        <v>158</v>
      </c>
      <c r="Z40" s="16">
        <f t="shared" si="32"/>
        <v>23</v>
      </c>
      <c r="AA40" s="16">
        <f t="shared" si="32"/>
        <v>1</v>
      </c>
      <c r="AB40" s="16">
        <f t="shared" si="32"/>
        <v>0</v>
      </c>
      <c r="AC40" s="16">
        <f t="shared" si="32"/>
        <v>4585</v>
      </c>
      <c r="AD40" s="16">
        <f t="shared" si="32"/>
        <v>1</v>
      </c>
      <c r="AE40" s="32">
        <f t="shared" si="32"/>
        <v>5181</v>
      </c>
      <c r="AF40" s="32">
        <f t="shared" si="32"/>
        <v>9766</v>
      </c>
    </row>
    <row r="41" spans="2:32" ht="23.1" customHeight="1" x14ac:dyDescent="0.25">
      <c r="B41" s="45" t="s">
        <v>68</v>
      </c>
      <c r="C41" s="50">
        <v>35</v>
      </c>
      <c r="D41" s="50">
        <v>3</v>
      </c>
      <c r="E41" s="50">
        <v>10</v>
      </c>
      <c r="F41" s="50">
        <v>7</v>
      </c>
      <c r="G41" s="50">
        <v>0</v>
      </c>
      <c r="H41" s="50">
        <v>0</v>
      </c>
      <c r="I41" s="50">
        <v>6</v>
      </c>
      <c r="J41" s="50">
        <v>0</v>
      </c>
      <c r="K41" s="50">
        <v>0</v>
      </c>
      <c r="L41" s="50">
        <v>0</v>
      </c>
      <c r="M41" s="50">
        <v>55</v>
      </c>
      <c r="N41" s="50">
        <v>0</v>
      </c>
      <c r="O41" s="15">
        <f t="shared" si="0"/>
        <v>61</v>
      </c>
      <c r="P41" s="15">
        <f t="shared" si="1"/>
        <v>116</v>
      </c>
      <c r="R41" s="5" t="s">
        <v>159</v>
      </c>
      <c r="S41" s="16">
        <f>SUM(S10:S33)</f>
        <v>4533</v>
      </c>
      <c r="T41" s="16">
        <f t="shared" ref="T41:AF41" si="33">SUM(T10:T33)</f>
        <v>597</v>
      </c>
      <c r="U41" s="16">
        <f t="shared" si="33"/>
        <v>590</v>
      </c>
      <c r="V41" s="16">
        <f t="shared" si="33"/>
        <v>1095</v>
      </c>
      <c r="W41" s="16">
        <f t="shared" si="33"/>
        <v>15</v>
      </c>
      <c r="X41" s="16">
        <f t="shared" si="33"/>
        <v>2</v>
      </c>
      <c r="Y41" s="16">
        <f t="shared" si="33"/>
        <v>198</v>
      </c>
      <c r="Z41" s="16">
        <f t="shared" si="33"/>
        <v>30</v>
      </c>
      <c r="AA41" s="16">
        <f t="shared" si="33"/>
        <v>4</v>
      </c>
      <c r="AB41" s="16">
        <f t="shared" si="33"/>
        <v>0</v>
      </c>
      <c r="AC41" s="16">
        <f t="shared" si="33"/>
        <v>6502</v>
      </c>
      <c r="AD41" s="16">
        <f t="shared" si="33"/>
        <v>1</v>
      </c>
      <c r="AE41" s="32">
        <f t="shared" si="33"/>
        <v>7065</v>
      </c>
      <c r="AF41" s="32">
        <f t="shared" si="33"/>
        <v>13567</v>
      </c>
    </row>
    <row r="42" spans="2:32" ht="23.1" customHeight="1" x14ac:dyDescent="0.25">
      <c r="B42" s="46" t="s">
        <v>69</v>
      </c>
      <c r="C42" s="50">
        <v>26</v>
      </c>
      <c r="D42" s="50">
        <v>11</v>
      </c>
      <c r="E42" s="50">
        <v>5</v>
      </c>
      <c r="F42" s="50">
        <v>10</v>
      </c>
      <c r="G42" s="50">
        <v>1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55</v>
      </c>
      <c r="N42" s="50">
        <v>0</v>
      </c>
      <c r="O42" s="15">
        <f t="shared" si="0"/>
        <v>53</v>
      </c>
      <c r="P42" s="15">
        <f t="shared" si="1"/>
        <v>108</v>
      </c>
      <c r="R42" s="5" t="s">
        <v>160</v>
      </c>
      <c r="S42" s="48">
        <f>S41/S40</f>
        <v>1.3744693753790176</v>
      </c>
      <c r="T42" s="48">
        <f t="shared" ref="T42:AF42" si="34">T41/T40</f>
        <v>1.1728880157170924</v>
      </c>
      <c r="U42" s="48">
        <f t="shared" si="34"/>
        <v>1.581769436997319</v>
      </c>
      <c r="V42" s="48">
        <f t="shared" si="34"/>
        <v>1.3619402985074627</v>
      </c>
      <c r="W42" s="48">
        <f t="shared" si="34"/>
        <v>1.1538461538461537</v>
      </c>
      <c r="X42" s="48">
        <f t="shared" si="34"/>
        <v>2</v>
      </c>
      <c r="Y42" s="48">
        <f t="shared" si="34"/>
        <v>1.2531645569620253</v>
      </c>
      <c r="Z42" s="48">
        <f t="shared" si="34"/>
        <v>1.3043478260869565</v>
      </c>
      <c r="AA42" s="48">
        <f t="shared" si="34"/>
        <v>4</v>
      </c>
      <c r="AB42" s="48" t="e">
        <f t="shared" si="34"/>
        <v>#DIV/0!</v>
      </c>
      <c r="AC42" s="48">
        <f t="shared" si="34"/>
        <v>1.4181025081788441</v>
      </c>
      <c r="AD42" s="48">
        <f t="shared" si="34"/>
        <v>1</v>
      </c>
      <c r="AE42" s="48">
        <f t="shared" si="34"/>
        <v>1.3636363636363635</v>
      </c>
      <c r="AF42" s="48">
        <f t="shared" si="34"/>
        <v>1.3892074544337498</v>
      </c>
    </row>
    <row r="43" spans="2:32" ht="23.1" customHeight="1" x14ac:dyDescent="0.25">
      <c r="B43" s="45" t="s">
        <v>70</v>
      </c>
      <c r="C43" s="50">
        <v>31</v>
      </c>
      <c r="D43" s="50">
        <v>5</v>
      </c>
      <c r="E43" s="50">
        <v>4</v>
      </c>
      <c r="F43" s="50">
        <v>5</v>
      </c>
      <c r="G43" s="50">
        <v>0</v>
      </c>
      <c r="H43" s="50">
        <v>0</v>
      </c>
      <c r="I43" s="50">
        <v>5</v>
      </c>
      <c r="J43" s="50">
        <v>1</v>
      </c>
      <c r="K43" s="50">
        <v>0</v>
      </c>
      <c r="L43" s="50">
        <v>0</v>
      </c>
      <c r="M43" s="50">
        <v>67</v>
      </c>
      <c r="N43" s="50">
        <v>0</v>
      </c>
      <c r="O43" s="15">
        <f t="shared" si="0"/>
        <v>51</v>
      </c>
      <c r="P43" s="15">
        <f t="shared" si="1"/>
        <v>118</v>
      </c>
    </row>
    <row r="44" spans="2:32" ht="23.1" customHeight="1" x14ac:dyDescent="0.25">
      <c r="B44" s="47" t="s">
        <v>71</v>
      </c>
      <c r="C44" s="50">
        <v>39</v>
      </c>
      <c r="D44" s="50">
        <v>8</v>
      </c>
      <c r="E44" s="50">
        <v>10</v>
      </c>
      <c r="F44" s="50">
        <v>10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70</v>
      </c>
      <c r="N44" s="50">
        <v>0</v>
      </c>
      <c r="O44" s="15">
        <f t="shared" si="0"/>
        <v>70</v>
      </c>
      <c r="P44" s="15">
        <f t="shared" si="1"/>
        <v>140</v>
      </c>
    </row>
    <row r="45" spans="2:32" ht="23.1" customHeight="1" x14ac:dyDescent="0.25">
      <c r="B45" s="45" t="s">
        <v>72</v>
      </c>
      <c r="C45" s="50">
        <v>45</v>
      </c>
      <c r="D45" s="50">
        <v>7</v>
      </c>
      <c r="E45" s="50">
        <v>5</v>
      </c>
      <c r="F45" s="50">
        <v>8</v>
      </c>
      <c r="G45" s="50">
        <v>0</v>
      </c>
      <c r="H45" s="50">
        <v>0</v>
      </c>
      <c r="I45" s="50">
        <v>5</v>
      </c>
      <c r="J45" s="50">
        <v>1</v>
      </c>
      <c r="K45" s="50">
        <v>0</v>
      </c>
      <c r="L45" s="50">
        <v>0</v>
      </c>
      <c r="M45" s="50">
        <v>55</v>
      </c>
      <c r="N45" s="50">
        <v>0</v>
      </c>
      <c r="O45" s="15">
        <f t="shared" si="0"/>
        <v>71</v>
      </c>
      <c r="P45" s="15">
        <f t="shared" si="1"/>
        <v>126</v>
      </c>
    </row>
    <row r="46" spans="2:32" ht="23.1" customHeight="1" x14ac:dyDescent="0.25">
      <c r="B46" s="46" t="s">
        <v>73</v>
      </c>
      <c r="C46" s="50">
        <v>33</v>
      </c>
      <c r="D46" s="50">
        <v>5</v>
      </c>
      <c r="E46" s="50">
        <v>2</v>
      </c>
      <c r="F46" s="50">
        <v>10</v>
      </c>
      <c r="G46" s="50">
        <v>1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70</v>
      </c>
      <c r="N46" s="50">
        <v>0</v>
      </c>
      <c r="O46" s="15">
        <f t="shared" si="0"/>
        <v>53</v>
      </c>
      <c r="P46" s="15">
        <f t="shared" si="1"/>
        <v>123</v>
      </c>
      <c r="R46" s="8"/>
      <c r="T46"/>
    </row>
    <row r="47" spans="2:32" ht="23.1" customHeight="1" x14ac:dyDescent="0.25">
      <c r="B47" s="46" t="s">
        <v>74</v>
      </c>
      <c r="C47" s="50">
        <v>30</v>
      </c>
      <c r="D47" s="50">
        <v>4</v>
      </c>
      <c r="E47" s="50">
        <v>4</v>
      </c>
      <c r="F47" s="50">
        <v>13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75</v>
      </c>
      <c r="N47" s="50">
        <v>0</v>
      </c>
      <c r="O47" s="15">
        <f t="shared" si="0"/>
        <v>53</v>
      </c>
      <c r="P47" s="15">
        <f t="shared" si="1"/>
        <v>128</v>
      </c>
      <c r="R47" s="8"/>
      <c r="T47"/>
    </row>
    <row r="48" spans="2:32" ht="23.1" customHeight="1" x14ac:dyDescent="0.25">
      <c r="B48" s="46" t="s">
        <v>75</v>
      </c>
      <c r="C48" s="50">
        <v>37</v>
      </c>
      <c r="D48" s="50">
        <v>13</v>
      </c>
      <c r="E48" s="50">
        <v>7</v>
      </c>
      <c r="F48" s="50">
        <v>8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85</v>
      </c>
      <c r="N48" s="50">
        <v>0</v>
      </c>
      <c r="O48" s="15">
        <f t="shared" si="0"/>
        <v>69</v>
      </c>
      <c r="P48" s="15">
        <f t="shared" si="1"/>
        <v>154</v>
      </c>
      <c r="R48" s="8"/>
      <c r="T48"/>
    </row>
    <row r="49" spans="2:20" ht="23.1" customHeight="1" x14ac:dyDescent="0.25">
      <c r="B49" s="45" t="s">
        <v>76</v>
      </c>
      <c r="C49" s="50">
        <v>39</v>
      </c>
      <c r="D49" s="50">
        <v>7</v>
      </c>
      <c r="E49" s="50">
        <v>3</v>
      </c>
      <c r="F49" s="50">
        <v>8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93</v>
      </c>
      <c r="N49" s="50">
        <v>0</v>
      </c>
      <c r="O49" s="15">
        <f t="shared" si="0"/>
        <v>60</v>
      </c>
      <c r="P49" s="15">
        <f t="shared" si="1"/>
        <v>153</v>
      </c>
      <c r="R49" s="8"/>
      <c r="T49"/>
    </row>
    <row r="50" spans="2:20" ht="23.1" customHeight="1" x14ac:dyDescent="0.25">
      <c r="B50" s="46" t="s">
        <v>77</v>
      </c>
      <c r="C50" s="50">
        <v>29</v>
      </c>
      <c r="D50" s="50">
        <v>10</v>
      </c>
      <c r="E50" s="50">
        <v>5</v>
      </c>
      <c r="F50" s="50">
        <v>8</v>
      </c>
      <c r="G50" s="50">
        <v>0</v>
      </c>
      <c r="H50" s="50">
        <v>0</v>
      </c>
      <c r="I50" s="50">
        <v>5</v>
      </c>
      <c r="J50" s="50">
        <v>0</v>
      </c>
      <c r="K50" s="50">
        <v>0</v>
      </c>
      <c r="L50" s="50">
        <v>0</v>
      </c>
      <c r="M50" s="50">
        <v>60</v>
      </c>
      <c r="N50" s="50">
        <v>0</v>
      </c>
      <c r="O50" s="15">
        <f t="shared" si="0"/>
        <v>57</v>
      </c>
      <c r="P50" s="15">
        <f t="shared" si="1"/>
        <v>117</v>
      </c>
      <c r="R50" s="8"/>
      <c r="T50"/>
    </row>
    <row r="51" spans="2:20" ht="23.1" customHeight="1" x14ac:dyDescent="0.25">
      <c r="B51" s="46" t="s">
        <v>78</v>
      </c>
      <c r="C51" s="50">
        <v>44</v>
      </c>
      <c r="D51" s="50">
        <v>8</v>
      </c>
      <c r="E51" s="50">
        <v>10</v>
      </c>
      <c r="F51" s="50">
        <v>6</v>
      </c>
      <c r="G51" s="50">
        <v>0</v>
      </c>
      <c r="H51" s="50">
        <v>0</v>
      </c>
      <c r="I51" s="50">
        <v>3</v>
      </c>
      <c r="J51" s="50">
        <v>0</v>
      </c>
      <c r="K51" s="50">
        <v>1</v>
      </c>
      <c r="L51" s="50">
        <v>0</v>
      </c>
      <c r="M51" s="50">
        <v>95</v>
      </c>
      <c r="N51" s="50">
        <v>0</v>
      </c>
      <c r="O51" s="15">
        <f t="shared" si="0"/>
        <v>72</v>
      </c>
      <c r="P51" s="15">
        <f t="shared" si="1"/>
        <v>167</v>
      </c>
      <c r="R51" s="8"/>
      <c r="T51"/>
    </row>
    <row r="52" spans="2:20" ht="23.1" customHeight="1" x14ac:dyDescent="0.25">
      <c r="B52" s="46" t="s">
        <v>79</v>
      </c>
      <c r="C52" s="50">
        <v>45</v>
      </c>
      <c r="D52" s="50">
        <v>13</v>
      </c>
      <c r="E52" s="50">
        <v>12</v>
      </c>
      <c r="F52" s="50">
        <v>13</v>
      </c>
      <c r="G52" s="50">
        <v>2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110</v>
      </c>
      <c r="N52" s="50">
        <v>0</v>
      </c>
      <c r="O52" s="15">
        <f t="shared" si="0"/>
        <v>88</v>
      </c>
      <c r="P52" s="15">
        <f t="shared" si="1"/>
        <v>198</v>
      </c>
      <c r="R52" s="8"/>
      <c r="T52"/>
    </row>
    <row r="53" spans="2:20" ht="23.1" customHeight="1" x14ac:dyDescent="0.25">
      <c r="B53" s="45" t="s">
        <v>80</v>
      </c>
      <c r="C53" s="50">
        <v>45</v>
      </c>
      <c r="D53" s="50">
        <v>9</v>
      </c>
      <c r="E53" s="50">
        <v>8</v>
      </c>
      <c r="F53" s="50">
        <v>11</v>
      </c>
      <c r="G53" s="50">
        <v>1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76</v>
      </c>
      <c r="N53" s="50">
        <v>0</v>
      </c>
      <c r="O53" s="15">
        <f t="shared" si="0"/>
        <v>78</v>
      </c>
      <c r="P53" s="15">
        <f t="shared" si="1"/>
        <v>154</v>
      </c>
      <c r="R53" s="8"/>
      <c r="T53"/>
    </row>
    <row r="54" spans="2:20" ht="23.1" customHeight="1" x14ac:dyDescent="0.25">
      <c r="B54" s="45" t="s">
        <v>81</v>
      </c>
      <c r="C54" s="50">
        <v>42</v>
      </c>
      <c r="D54" s="50">
        <v>6</v>
      </c>
      <c r="E54" s="50">
        <v>5</v>
      </c>
      <c r="F54" s="50">
        <v>7</v>
      </c>
      <c r="G54" s="50">
        <v>0</v>
      </c>
      <c r="H54" s="50">
        <v>0</v>
      </c>
      <c r="I54" s="50">
        <v>1</v>
      </c>
      <c r="J54" s="50">
        <v>2</v>
      </c>
      <c r="K54" s="50">
        <v>0</v>
      </c>
      <c r="L54" s="50">
        <v>0</v>
      </c>
      <c r="M54" s="50">
        <v>90</v>
      </c>
      <c r="N54" s="50">
        <v>0</v>
      </c>
      <c r="O54" s="15">
        <f t="shared" si="0"/>
        <v>63</v>
      </c>
      <c r="P54" s="15">
        <f t="shared" si="1"/>
        <v>153</v>
      </c>
      <c r="R54" s="8"/>
      <c r="T54"/>
    </row>
    <row r="55" spans="2:20" ht="23.1" customHeight="1" x14ac:dyDescent="0.25">
      <c r="B55" s="45" t="s">
        <v>82</v>
      </c>
      <c r="C55" s="50">
        <v>45</v>
      </c>
      <c r="D55" s="50">
        <v>5</v>
      </c>
      <c r="E55" s="50">
        <v>8</v>
      </c>
      <c r="F55" s="50">
        <v>11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70</v>
      </c>
      <c r="N55" s="50">
        <v>0</v>
      </c>
      <c r="O55" s="15">
        <f t="shared" si="0"/>
        <v>71</v>
      </c>
      <c r="P55" s="15">
        <f t="shared" si="1"/>
        <v>141</v>
      </c>
      <c r="R55" s="8"/>
      <c r="T55"/>
    </row>
    <row r="56" spans="2:20" ht="23.1" customHeight="1" x14ac:dyDescent="0.25">
      <c r="B56" s="45" t="s">
        <v>83</v>
      </c>
      <c r="C56" s="50">
        <v>33</v>
      </c>
      <c r="D56" s="50">
        <v>6</v>
      </c>
      <c r="E56" s="50">
        <v>3</v>
      </c>
      <c r="F56" s="50">
        <v>8</v>
      </c>
      <c r="G56" s="50">
        <v>1</v>
      </c>
      <c r="H56" s="50">
        <v>0</v>
      </c>
      <c r="I56" s="50">
        <v>2</v>
      </c>
      <c r="J56" s="50">
        <v>2</v>
      </c>
      <c r="K56" s="50">
        <v>0</v>
      </c>
      <c r="L56" s="50">
        <v>0</v>
      </c>
      <c r="M56" s="50">
        <v>86</v>
      </c>
      <c r="N56" s="50">
        <v>0</v>
      </c>
      <c r="O56" s="15">
        <f t="shared" si="0"/>
        <v>55</v>
      </c>
      <c r="P56" s="15">
        <f t="shared" si="1"/>
        <v>141</v>
      </c>
      <c r="R56" s="8"/>
      <c r="T56"/>
    </row>
    <row r="57" spans="2:20" ht="23.1" customHeight="1" x14ac:dyDescent="0.25">
      <c r="B57" s="45" t="s">
        <v>84</v>
      </c>
      <c r="C57" s="50">
        <v>21</v>
      </c>
      <c r="D57" s="50">
        <v>5</v>
      </c>
      <c r="E57" s="50">
        <v>4</v>
      </c>
      <c r="F57" s="50">
        <v>8</v>
      </c>
      <c r="G57" s="50">
        <v>1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92</v>
      </c>
      <c r="N57" s="50">
        <v>0</v>
      </c>
      <c r="O57" s="15">
        <f t="shared" si="0"/>
        <v>40</v>
      </c>
      <c r="P57" s="15">
        <f t="shared" si="1"/>
        <v>132</v>
      </c>
      <c r="R57" s="8"/>
      <c r="T57"/>
    </row>
    <row r="58" spans="2:20" ht="23.1" customHeight="1" x14ac:dyDescent="0.25">
      <c r="B58" s="45" t="s">
        <v>99</v>
      </c>
      <c r="C58" s="50">
        <v>15</v>
      </c>
      <c r="D58" s="50">
        <v>2</v>
      </c>
      <c r="E58" s="50">
        <v>2</v>
      </c>
      <c r="F58" s="50">
        <v>9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112</v>
      </c>
      <c r="N58" s="50">
        <v>0</v>
      </c>
      <c r="O58" s="15">
        <f t="shared" ref="O58:O105" si="35">SUM(C58:L58,N58)</f>
        <v>29</v>
      </c>
      <c r="P58" s="15">
        <f t="shared" ref="P58:P105" si="36">SUM(C58:N58)</f>
        <v>141</v>
      </c>
      <c r="R58" s="8"/>
      <c r="T58"/>
    </row>
    <row r="59" spans="2:20" ht="23.1" customHeight="1" x14ac:dyDescent="0.25">
      <c r="B59" s="45" t="s">
        <v>100</v>
      </c>
      <c r="C59" s="50">
        <v>28</v>
      </c>
      <c r="D59" s="50">
        <v>5</v>
      </c>
      <c r="E59" s="50">
        <v>4</v>
      </c>
      <c r="F59" s="50">
        <v>9</v>
      </c>
      <c r="G59" s="50">
        <v>1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80</v>
      </c>
      <c r="N59" s="50">
        <v>0</v>
      </c>
      <c r="O59" s="15">
        <f t="shared" si="35"/>
        <v>48</v>
      </c>
      <c r="P59" s="15">
        <f t="shared" si="36"/>
        <v>128</v>
      </c>
      <c r="R59" s="8"/>
      <c r="T59"/>
    </row>
    <row r="60" spans="2:20" ht="23.1" customHeight="1" x14ac:dyDescent="0.25">
      <c r="B60" s="45" t="s">
        <v>101</v>
      </c>
      <c r="C60" s="50">
        <v>27</v>
      </c>
      <c r="D60" s="50">
        <v>1</v>
      </c>
      <c r="E60" s="50">
        <v>17</v>
      </c>
      <c r="F60" s="50">
        <v>20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87</v>
      </c>
      <c r="N60" s="50">
        <v>0</v>
      </c>
      <c r="O60" s="15">
        <f t="shared" si="35"/>
        <v>66</v>
      </c>
      <c r="P60" s="15">
        <f t="shared" si="36"/>
        <v>153</v>
      </c>
      <c r="R60" s="8"/>
      <c r="T60"/>
    </row>
    <row r="61" spans="2:20" ht="23.1" customHeight="1" x14ac:dyDescent="0.25">
      <c r="B61" s="45" t="s">
        <v>102</v>
      </c>
      <c r="C61" s="50">
        <v>18</v>
      </c>
      <c r="D61" s="50">
        <v>1</v>
      </c>
      <c r="E61" s="50">
        <v>10</v>
      </c>
      <c r="F61" s="50">
        <v>13</v>
      </c>
      <c r="G61" s="50">
        <v>0</v>
      </c>
      <c r="H61" s="50">
        <v>0</v>
      </c>
      <c r="I61" s="50">
        <v>1</v>
      </c>
      <c r="J61" s="50">
        <v>1</v>
      </c>
      <c r="K61" s="50">
        <v>1</v>
      </c>
      <c r="L61" s="50">
        <v>0</v>
      </c>
      <c r="M61" s="50">
        <v>125</v>
      </c>
      <c r="N61" s="50">
        <v>0</v>
      </c>
      <c r="O61" s="15">
        <f t="shared" si="35"/>
        <v>45</v>
      </c>
      <c r="P61" s="15">
        <f t="shared" si="36"/>
        <v>170</v>
      </c>
      <c r="R61" s="8"/>
      <c r="T61"/>
    </row>
    <row r="62" spans="2:20" ht="23.1" customHeight="1" x14ac:dyDescent="0.25">
      <c r="B62" s="45" t="s">
        <v>107</v>
      </c>
      <c r="C62" s="50">
        <v>31</v>
      </c>
      <c r="D62" s="50">
        <v>7</v>
      </c>
      <c r="E62" s="50">
        <v>12</v>
      </c>
      <c r="F62" s="50">
        <v>14</v>
      </c>
      <c r="G62" s="50">
        <v>0</v>
      </c>
      <c r="H62" s="50">
        <v>0</v>
      </c>
      <c r="I62" s="50">
        <v>3</v>
      </c>
      <c r="J62" s="50">
        <v>0</v>
      </c>
      <c r="K62" s="50">
        <v>0</v>
      </c>
      <c r="L62" s="50">
        <v>0</v>
      </c>
      <c r="M62" s="50">
        <v>110</v>
      </c>
      <c r="N62" s="50">
        <v>0</v>
      </c>
      <c r="O62" s="15">
        <f t="shared" si="35"/>
        <v>67</v>
      </c>
      <c r="P62" s="15">
        <f t="shared" si="36"/>
        <v>177</v>
      </c>
      <c r="R62" s="8"/>
      <c r="T62"/>
    </row>
    <row r="63" spans="2:20" ht="23.1" customHeight="1" x14ac:dyDescent="0.25">
      <c r="B63" s="45" t="s">
        <v>108</v>
      </c>
      <c r="C63" s="50">
        <v>18</v>
      </c>
      <c r="D63" s="50">
        <v>1</v>
      </c>
      <c r="E63" s="50">
        <v>11</v>
      </c>
      <c r="F63" s="50">
        <v>16</v>
      </c>
      <c r="G63" s="50">
        <v>0</v>
      </c>
      <c r="H63" s="50">
        <v>1</v>
      </c>
      <c r="I63" s="50">
        <v>1</v>
      </c>
      <c r="J63" s="50">
        <v>0</v>
      </c>
      <c r="K63" s="50">
        <v>0</v>
      </c>
      <c r="L63" s="50">
        <v>0</v>
      </c>
      <c r="M63" s="50">
        <v>110</v>
      </c>
      <c r="N63" s="50">
        <v>0</v>
      </c>
      <c r="O63" s="15">
        <f t="shared" si="35"/>
        <v>48</v>
      </c>
      <c r="P63" s="15">
        <f t="shared" si="36"/>
        <v>158</v>
      </c>
      <c r="R63" s="8"/>
      <c r="T63"/>
    </row>
    <row r="64" spans="2:20" ht="23.1" customHeight="1" x14ac:dyDescent="0.25">
      <c r="B64" s="45" t="s">
        <v>109</v>
      </c>
      <c r="C64" s="50">
        <v>24</v>
      </c>
      <c r="D64" s="50">
        <v>5</v>
      </c>
      <c r="E64" s="50">
        <v>10</v>
      </c>
      <c r="F64" s="50">
        <v>10</v>
      </c>
      <c r="G64" s="50">
        <v>0</v>
      </c>
      <c r="H64" s="50">
        <v>0</v>
      </c>
      <c r="I64" s="50">
        <v>1</v>
      </c>
      <c r="J64" s="50">
        <v>1</v>
      </c>
      <c r="K64" s="50">
        <v>0</v>
      </c>
      <c r="L64" s="50">
        <v>0</v>
      </c>
      <c r="M64" s="50">
        <v>114</v>
      </c>
      <c r="N64" s="50">
        <v>0</v>
      </c>
      <c r="O64" s="15">
        <f t="shared" si="35"/>
        <v>51</v>
      </c>
      <c r="P64" s="15">
        <f t="shared" si="36"/>
        <v>165</v>
      </c>
      <c r="R64" s="8"/>
      <c r="T64"/>
    </row>
    <row r="65" spans="2:20" ht="23.1" customHeight="1" x14ac:dyDescent="0.25">
      <c r="B65" s="45" t="s">
        <v>158</v>
      </c>
      <c r="C65" s="50">
        <v>25</v>
      </c>
      <c r="D65" s="50">
        <v>0</v>
      </c>
      <c r="E65" s="50">
        <v>10</v>
      </c>
      <c r="F65" s="50">
        <v>9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75</v>
      </c>
      <c r="N65" s="50">
        <v>0</v>
      </c>
      <c r="O65" s="15">
        <f t="shared" si="35"/>
        <v>45</v>
      </c>
      <c r="P65" s="15">
        <f t="shared" si="36"/>
        <v>120</v>
      </c>
      <c r="R65" s="8"/>
      <c r="T65"/>
    </row>
    <row r="66" spans="2:20" ht="23.1" customHeight="1" x14ac:dyDescent="0.25">
      <c r="B66" s="45" t="s">
        <v>103</v>
      </c>
      <c r="C66" s="50">
        <v>21</v>
      </c>
      <c r="D66" s="50">
        <v>3</v>
      </c>
      <c r="E66" s="50">
        <v>11</v>
      </c>
      <c r="F66" s="50">
        <v>5</v>
      </c>
      <c r="G66" s="50">
        <v>0</v>
      </c>
      <c r="H66" s="50">
        <v>0</v>
      </c>
      <c r="I66" s="50">
        <v>4</v>
      </c>
      <c r="J66" s="50">
        <v>0</v>
      </c>
      <c r="K66" s="50">
        <v>0</v>
      </c>
      <c r="L66" s="50">
        <v>0</v>
      </c>
      <c r="M66" s="50">
        <v>93</v>
      </c>
      <c r="N66" s="50">
        <v>0</v>
      </c>
      <c r="O66" s="15">
        <f t="shared" si="35"/>
        <v>44</v>
      </c>
      <c r="P66" s="15">
        <f t="shared" si="36"/>
        <v>137</v>
      </c>
      <c r="R66" s="8"/>
      <c r="T66"/>
    </row>
    <row r="67" spans="2:20" ht="23.1" customHeight="1" x14ac:dyDescent="0.25">
      <c r="B67" s="45" t="s">
        <v>104</v>
      </c>
      <c r="C67" s="50">
        <v>12</v>
      </c>
      <c r="D67" s="50">
        <v>5</v>
      </c>
      <c r="E67" s="50">
        <v>8</v>
      </c>
      <c r="F67" s="50">
        <v>5</v>
      </c>
      <c r="G67" s="50">
        <v>0</v>
      </c>
      <c r="H67" s="50">
        <v>0</v>
      </c>
      <c r="I67" s="50">
        <v>1</v>
      </c>
      <c r="J67" s="50">
        <v>1</v>
      </c>
      <c r="K67" s="50">
        <v>0</v>
      </c>
      <c r="L67" s="50">
        <v>0</v>
      </c>
      <c r="M67" s="50">
        <v>71</v>
      </c>
      <c r="N67" s="50">
        <v>0</v>
      </c>
      <c r="O67" s="15">
        <f t="shared" si="35"/>
        <v>32</v>
      </c>
      <c r="P67" s="15">
        <f t="shared" si="36"/>
        <v>103</v>
      </c>
      <c r="R67" s="8"/>
      <c r="T67"/>
    </row>
    <row r="68" spans="2:20" ht="23.1" customHeight="1" x14ac:dyDescent="0.25">
      <c r="B68" s="45" t="s">
        <v>105</v>
      </c>
      <c r="C68" s="50">
        <v>31</v>
      </c>
      <c r="D68" s="50">
        <v>2</v>
      </c>
      <c r="E68" s="50">
        <v>12</v>
      </c>
      <c r="F68" s="50">
        <v>8</v>
      </c>
      <c r="G68" s="50">
        <v>0</v>
      </c>
      <c r="H68" s="50">
        <v>0</v>
      </c>
      <c r="I68" s="50">
        <v>2</v>
      </c>
      <c r="J68" s="50">
        <v>1</v>
      </c>
      <c r="K68" s="50">
        <v>1</v>
      </c>
      <c r="L68" s="50">
        <v>0</v>
      </c>
      <c r="M68" s="50">
        <v>76</v>
      </c>
      <c r="N68" s="50">
        <v>0</v>
      </c>
      <c r="O68" s="15">
        <f t="shared" si="35"/>
        <v>57</v>
      </c>
      <c r="P68" s="15">
        <f t="shared" si="36"/>
        <v>133</v>
      </c>
      <c r="R68" s="8"/>
      <c r="T68"/>
    </row>
    <row r="69" spans="2:20" ht="23.1" customHeight="1" x14ac:dyDescent="0.25">
      <c r="B69" s="45" t="s">
        <v>106</v>
      </c>
      <c r="C69" s="50">
        <v>23</v>
      </c>
      <c r="D69" s="50">
        <v>2</v>
      </c>
      <c r="E69" s="50">
        <v>10</v>
      </c>
      <c r="F69" s="50">
        <v>3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93</v>
      </c>
      <c r="N69" s="50">
        <v>0</v>
      </c>
      <c r="O69" s="15">
        <f t="shared" si="35"/>
        <v>40</v>
      </c>
      <c r="P69" s="15">
        <f t="shared" si="36"/>
        <v>133</v>
      </c>
      <c r="R69" s="8"/>
      <c r="T69"/>
    </row>
    <row r="70" spans="2:20" ht="23.1" customHeight="1" x14ac:dyDescent="0.25">
      <c r="B70" s="45" t="s">
        <v>110</v>
      </c>
      <c r="C70" s="50">
        <v>11</v>
      </c>
      <c r="D70" s="50">
        <v>1</v>
      </c>
      <c r="E70" s="50">
        <v>6</v>
      </c>
      <c r="F70" s="50">
        <v>3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53</v>
      </c>
      <c r="N70" s="50">
        <v>0</v>
      </c>
      <c r="O70" s="15">
        <f t="shared" si="35"/>
        <v>22</v>
      </c>
      <c r="P70" s="15">
        <f t="shared" si="36"/>
        <v>75</v>
      </c>
      <c r="R70" s="8"/>
      <c r="T70"/>
    </row>
    <row r="71" spans="2:20" ht="23.1" customHeight="1" x14ac:dyDescent="0.25">
      <c r="B71" s="45" t="s">
        <v>111</v>
      </c>
      <c r="C71" s="50">
        <v>11</v>
      </c>
      <c r="D71" s="50">
        <v>1</v>
      </c>
      <c r="E71" s="50">
        <v>4</v>
      </c>
      <c r="F71" s="50">
        <v>2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58</v>
      </c>
      <c r="N71" s="50">
        <v>0</v>
      </c>
      <c r="O71" s="15">
        <f t="shared" si="35"/>
        <v>18</v>
      </c>
      <c r="P71" s="15">
        <f t="shared" si="36"/>
        <v>76</v>
      </c>
      <c r="R71" s="8"/>
      <c r="T71"/>
    </row>
    <row r="72" spans="2:20" ht="23.1" customHeight="1" x14ac:dyDescent="0.25">
      <c r="B72" s="45" t="s">
        <v>112</v>
      </c>
      <c r="C72" s="50">
        <v>12</v>
      </c>
      <c r="D72" s="50">
        <v>3</v>
      </c>
      <c r="E72" s="50">
        <v>5</v>
      </c>
      <c r="F72" s="50">
        <v>1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62</v>
      </c>
      <c r="N72" s="50">
        <v>0</v>
      </c>
      <c r="O72" s="15">
        <f t="shared" si="35"/>
        <v>21</v>
      </c>
      <c r="P72" s="15">
        <f t="shared" si="36"/>
        <v>83</v>
      </c>
      <c r="R72" s="8"/>
      <c r="T72"/>
    </row>
    <row r="73" spans="2:20" ht="23.1" customHeight="1" x14ac:dyDescent="0.25">
      <c r="B73" s="45" t="s">
        <v>113</v>
      </c>
      <c r="C73" s="50">
        <v>8</v>
      </c>
      <c r="D73" s="50">
        <v>3</v>
      </c>
      <c r="E73" s="50">
        <v>2</v>
      </c>
      <c r="F73" s="50">
        <v>3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43</v>
      </c>
      <c r="N73" s="50">
        <v>0</v>
      </c>
      <c r="O73" s="15">
        <f t="shared" si="35"/>
        <v>16</v>
      </c>
      <c r="P73" s="15">
        <f t="shared" si="36"/>
        <v>59</v>
      </c>
      <c r="R73" s="8"/>
      <c r="T73"/>
    </row>
    <row r="74" spans="2:20" ht="23.1" customHeight="1" x14ac:dyDescent="0.25">
      <c r="B74" s="45" t="s">
        <v>114</v>
      </c>
      <c r="C74" s="50">
        <v>10</v>
      </c>
      <c r="D74" s="50">
        <v>2</v>
      </c>
      <c r="E74" s="50">
        <v>4</v>
      </c>
      <c r="F74" s="50">
        <v>5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50">
        <v>32</v>
      </c>
      <c r="N74" s="50">
        <v>0</v>
      </c>
      <c r="O74" s="15">
        <f t="shared" si="35"/>
        <v>22</v>
      </c>
      <c r="P74" s="15">
        <f t="shared" si="36"/>
        <v>54</v>
      </c>
      <c r="R74" s="8"/>
      <c r="T74"/>
    </row>
    <row r="75" spans="2:20" ht="23.1" customHeight="1" x14ac:dyDescent="0.25">
      <c r="B75" s="45" t="s">
        <v>115</v>
      </c>
      <c r="C75" s="50">
        <v>15</v>
      </c>
      <c r="D75" s="50">
        <v>0</v>
      </c>
      <c r="E75" s="50">
        <v>2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40</v>
      </c>
      <c r="N75" s="50">
        <v>0</v>
      </c>
      <c r="O75" s="15">
        <f t="shared" si="35"/>
        <v>18</v>
      </c>
      <c r="P75" s="15">
        <f t="shared" si="36"/>
        <v>58</v>
      </c>
      <c r="R75" s="8"/>
      <c r="T75"/>
    </row>
    <row r="76" spans="2:20" ht="23.1" customHeight="1" x14ac:dyDescent="0.25">
      <c r="B76" s="45" t="s">
        <v>116</v>
      </c>
      <c r="C76" s="50">
        <v>12</v>
      </c>
      <c r="D76" s="50">
        <v>1</v>
      </c>
      <c r="E76" s="50">
        <v>5</v>
      </c>
      <c r="F76" s="50">
        <v>2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42</v>
      </c>
      <c r="N76" s="50">
        <v>0</v>
      </c>
      <c r="O76" s="15">
        <f t="shared" si="35"/>
        <v>20</v>
      </c>
      <c r="P76" s="15">
        <f t="shared" si="36"/>
        <v>62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1</v>
      </c>
      <c r="E77" s="50">
        <v>1</v>
      </c>
      <c r="F77" s="50">
        <v>1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26</v>
      </c>
      <c r="N77" s="50">
        <v>0</v>
      </c>
      <c r="O77" s="15">
        <f t="shared" si="35"/>
        <v>6</v>
      </c>
      <c r="P77" s="15">
        <f t="shared" si="36"/>
        <v>32</v>
      </c>
      <c r="R77" s="8"/>
      <c r="T77"/>
    </row>
    <row r="78" spans="2:20" ht="23.1" customHeight="1" x14ac:dyDescent="0.25">
      <c r="B78" s="46" t="s">
        <v>118</v>
      </c>
      <c r="C78" s="50">
        <v>5</v>
      </c>
      <c r="D78" s="50">
        <v>2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19</v>
      </c>
      <c r="N78" s="50">
        <v>0</v>
      </c>
      <c r="O78" s="15">
        <f t="shared" si="35"/>
        <v>7</v>
      </c>
      <c r="P78" s="15">
        <f t="shared" si="36"/>
        <v>26</v>
      </c>
      <c r="R78" s="8"/>
      <c r="T78"/>
    </row>
    <row r="79" spans="2:20" ht="23.1" customHeight="1" x14ac:dyDescent="0.25">
      <c r="B79" s="45" t="s">
        <v>119</v>
      </c>
      <c r="C79" s="50">
        <v>8</v>
      </c>
      <c r="D79" s="50">
        <v>0</v>
      </c>
      <c r="E79" s="50">
        <v>2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13</v>
      </c>
      <c r="N79" s="50">
        <v>0</v>
      </c>
      <c r="O79" s="15">
        <f t="shared" si="35"/>
        <v>10</v>
      </c>
      <c r="P79" s="15">
        <f t="shared" si="36"/>
        <v>23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2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12</v>
      </c>
      <c r="N80" s="50">
        <v>0</v>
      </c>
      <c r="O80" s="15">
        <f t="shared" si="35"/>
        <v>3</v>
      </c>
      <c r="P80" s="15">
        <f t="shared" si="36"/>
        <v>15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18</v>
      </c>
      <c r="N81" s="50">
        <v>0</v>
      </c>
      <c r="O81" s="15">
        <f t="shared" si="35"/>
        <v>1</v>
      </c>
      <c r="P81" s="15">
        <f t="shared" si="36"/>
        <v>19</v>
      </c>
      <c r="R81" s="8"/>
      <c r="T81"/>
    </row>
    <row r="82" spans="2:20" ht="23.1" customHeight="1" x14ac:dyDescent="0.25">
      <c r="B82" s="46" t="s">
        <v>122</v>
      </c>
      <c r="C82" s="50">
        <v>6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10</v>
      </c>
      <c r="N82" s="50">
        <v>0</v>
      </c>
      <c r="O82" s="15">
        <f t="shared" si="35"/>
        <v>6</v>
      </c>
      <c r="P82" s="15">
        <f t="shared" si="36"/>
        <v>16</v>
      </c>
      <c r="R82" s="8"/>
      <c r="T82"/>
    </row>
    <row r="83" spans="2:20" ht="23.1" customHeight="1" x14ac:dyDescent="0.25">
      <c r="B83" s="45" t="s">
        <v>123</v>
      </c>
      <c r="C83" s="50">
        <v>5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7</v>
      </c>
      <c r="N83" s="50">
        <v>0</v>
      </c>
      <c r="O83" s="15">
        <f t="shared" si="35"/>
        <v>6</v>
      </c>
      <c r="P83" s="15">
        <f t="shared" si="36"/>
        <v>13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11</v>
      </c>
      <c r="N84" s="50">
        <v>0</v>
      </c>
      <c r="O84" s="15">
        <f t="shared" si="35"/>
        <v>3</v>
      </c>
      <c r="P84" s="15">
        <f t="shared" si="36"/>
        <v>14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3</v>
      </c>
      <c r="N85" s="50">
        <v>0</v>
      </c>
      <c r="O85" s="15">
        <f t="shared" si="35"/>
        <v>3</v>
      </c>
      <c r="P85" s="15">
        <f t="shared" si="36"/>
        <v>6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8</v>
      </c>
      <c r="N86" s="50">
        <v>0</v>
      </c>
      <c r="O86" s="15">
        <f t="shared" si="35"/>
        <v>4</v>
      </c>
      <c r="P86" s="15">
        <f t="shared" si="36"/>
        <v>12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3</v>
      </c>
      <c r="N87" s="50">
        <v>0</v>
      </c>
      <c r="O87" s="15">
        <f t="shared" si="35"/>
        <v>0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1</v>
      </c>
      <c r="F88" s="50">
        <v>1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3</v>
      </c>
      <c r="N88" s="50">
        <v>0</v>
      </c>
      <c r="O88" s="15">
        <f t="shared" si="35"/>
        <v>3</v>
      </c>
      <c r="P88" s="15">
        <f t="shared" si="36"/>
        <v>6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5</v>
      </c>
      <c r="N89" s="50">
        <v>0</v>
      </c>
      <c r="O89" s="15">
        <f t="shared" si="35"/>
        <v>1</v>
      </c>
      <c r="P89" s="15">
        <f t="shared" si="36"/>
        <v>6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2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3</v>
      </c>
      <c r="N91" s="50">
        <v>0</v>
      </c>
      <c r="O91" s="15">
        <f t="shared" si="35"/>
        <v>0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4</v>
      </c>
      <c r="N92" s="50">
        <v>0</v>
      </c>
      <c r="O92" s="15">
        <f t="shared" si="35"/>
        <v>1</v>
      </c>
      <c r="P92" s="15">
        <f t="shared" si="36"/>
        <v>5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8</v>
      </c>
      <c r="N93" s="50">
        <v>0</v>
      </c>
      <c r="O93" s="15">
        <f t="shared" si="35"/>
        <v>0</v>
      </c>
      <c r="P93" s="15">
        <f t="shared" si="36"/>
        <v>8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1</v>
      </c>
      <c r="L94" s="50">
        <v>0</v>
      </c>
      <c r="M94" s="50">
        <v>4</v>
      </c>
      <c r="N94" s="50">
        <v>0</v>
      </c>
      <c r="O94" s="15">
        <f t="shared" si="35"/>
        <v>2</v>
      </c>
      <c r="P94" s="15">
        <f t="shared" si="36"/>
        <v>6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8</v>
      </c>
      <c r="N95" s="50">
        <v>0</v>
      </c>
      <c r="O95" s="15">
        <f t="shared" si="35"/>
        <v>3</v>
      </c>
      <c r="P95" s="15">
        <f t="shared" si="36"/>
        <v>11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2</v>
      </c>
      <c r="J96" s="50">
        <v>0</v>
      </c>
      <c r="K96" s="50">
        <v>0</v>
      </c>
      <c r="L96" s="50">
        <v>0</v>
      </c>
      <c r="M96" s="50">
        <v>8</v>
      </c>
      <c r="N96" s="50">
        <v>0</v>
      </c>
      <c r="O96" s="15">
        <f t="shared" si="35"/>
        <v>5</v>
      </c>
      <c r="P96" s="15">
        <f t="shared" si="36"/>
        <v>13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1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6</v>
      </c>
      <c r="N97" s="50">
        <v>0</v>
      </c>
      <c r="O97" s="15">
        <f t="shared" si="35"/>
        <v>3</v>
      </c>
      <c r="P97" s="15">
        <f t="shared" si="36"/>
        <v>9</v>
      </c>
      <c r="R97" s="8"/>
      <c r="T97"/>
    </row>
    <row r="98" spans="2:20" ht="23.1" customHeight="1" x14ac:dyDescent="0.25">
      <c r="B98" s="46" t="s">
        <v>138</v>
      </c>
      <c r="C98" s="50">
        <v>7</v>
      </c>
      <c r="D98" s="50">
        <v>0</v>
      </c>
      <c r="E98" s="50">
        <v>1</v>
      </c>
      <c r="F98" s="50">
        <v>2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16</v>
      </c>
      <c r="N98" s="50">
        <v>0</v>
      </c>
      <c r="O98" s="15">
        <f t="shared" si="35"/>
        <v>10</v>
      </c>
      <c r="P98" s="15">
        <f t="shared" si="36"/>
        <v>26</v>
      </c>
      <c r="R98" s="8"/>
      <c r="T98"/>
    </row>
    <row r="99" spans="2:20" ht="23.1" customHeight="1" x14ac:dyDescent="0.25">
      <c r="B99" s="45" t="s">
        <v>139</v>
      </c>
      <c r="C99" s="50">
        <v>4</v>
      </c>
      <c r="D99" s="50">
        <v>1</v>
      </c>
      <c r="E99" s="50">
        <v>0</v>
      </c>
      <c r="F99" s="50">
        <v>5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15</v>
      </c>
      <c r="N99" s="50">
        <v>0</v>
      </c>
      <c r="O99" s="15">
        <f t="shared" si="35"/>
        <v>11</v>
      </c>
      <c r="P99" s="15">
        <f t="shared" si="36"/>
        <v>26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0</v>
      </c>
      <c r="E100" s="50">
        <v>3</v>
      </c>
      <c r="F100" s="50">
        <v>5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22</v>
      </c>
      <c r="N100" s="50">
        <v>0</v>
      </c>
      <c r="O100" s="15">
        <f t="shared" si="35"/>
        <v>13</v>
      </c>
      <c r="P100" s="15">
        <f t="shared" si="36"/>
        <v>35</v>
      </c>
      <c r="R100" s="8"/>
      <c r="T100"/>
    </row>
    <row r="101" spans="2:20" ht="23.1" customHeight="1" x14ac:dyDescent="0.25">
      <c r="B101" s="45" t="s">
        <v>141</v>
      </c>
      <c r="C101" s="50">
        <v>43</v>
      </c>
      <c r="D101" s="50">
        <v>2</v>
      </c>
      <c r="E101" s="50">
        <v>10</v>
      </c>
      <c r="F101" s="50">
        <v>11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28</v>
      </c>
      <c r="N101" s="50">
        <v>0</v>
      </c>
      <c r="O101" s="15">
        <f t="shared" si="35"/>
        <v>67</v>
      </c>
      <c r="P101" s="15">
        <f t="shared" si="36"/>
        <v>95</v>
      </c>
      <c r="R101" s="8"/>
      <c r="T101"/>
    </row>
    <row r="102" spans="2:20" ht="23.1" customHeight="1" x14ac:dyDescent="0.25">
      <c r="B102" s="46" t="s">
        <v>142</v>
      </c>
      <c r="C102" s="50">
        <v>90</v>
      </c>
      <c r="D102" s="50">
        <v>6</v>
      </c>
      <c r="E102" s="50">
        <v>6</v>
      </c>
      <c r="F102" s="50">
        <v>15</v>
      </c>
      <c r="G102" s="50">
        <v>1</v>
      </c>
      <c r="H102" s="50">
        <v>0</v>
      </c>
      <c r="I102" s="50">
        <v>3</v>
      </c>
      <c r="J102" s="50">
        <v>1</v>
      </c>
      <c r="K102" s="50">
        <v>0</v>
      </c>
      <c r="L102" s="50">
        <v>0</v>
      </c>
      <c r="M102" s="50">
        <v>32</v>
      </c>
      <c r="N102" s="50">
        <v>0</v>
      </c>
      <c r="O102" s="15">
        <f t="shared" si="35"/>
        <v>122</v>
      </c>
      <c r="P102" s="15">
        <f t="shared" si="36"/>
        <v>154</v>
      </c>
      <c r="R102" s="8"/>
      <c r="T102"/>
    </row>
    <row r="103" spans="2:20" ht="23.1" customHeight="1" x14ac:dyDescent="0.25">
      <c r="B103" s="45" t="s">
        <v>143</v>
      </c>
      <c r="C103" s="50">
        <v>198</v>
      </c>
      <c r="D103" s="50">
        <v>18</v>
      </c>
      <c r="E103" s="50">
        <v>17</v>
      </c>
      <c r="F103" s="50">
        <v>23</v>
      </c>
      <c r="G103" s="50">
        <v>0</v>
      </c>
      <c r="H103" s="50">
        <v>0</v>
      </c>
      <c r="I103" s="50">
        <v>5</v>
      </c>
      <c r="J103" s="50">
        <v>1</v>
      </c>
      <c r="K103" s="50">
        <v>0</v>
      </c>
      <c r="L103" s="50">
        <v>0</v>
      </c>
      <c r="M103" s="50">
        <v>43</v>
      </c>
      <c r="N103" s="50">
        <v>0</v>
      </c>
      <c r="O103" s="15">
        <f t="shared" si="35"/>
        <v>262</v>
      </c>
      <c r="P103" s="15">
        <f t="shared" si="36"/>
        <v>305</v>
      </c>
      <c r="R103" s="8"/>
      <c r="T103"/>
    </row>
    <row r="104" spans="2:20" ht="23.1" customHeight="1" x14ac:dyDescent="0.25">
      <c r="B104" s="47" t="s">
        <v>144</v>
      </c>
      <c r="C104" s="50">
        <v>255</v>
      </c>
      <c r="D104" s="50">
        <v>5</v>
      </c>
      <c r="E104" s="50">
        <v>10</v>
      </c>
      <c r="F104" s="50">
        <v>28</v>
      </c>
      <c r="G104" s="50">
        <v>0</v>
      </c>
      <c r="H104" s="50">
        <v>0</v>
      </c>
      <c r="I104" s="50">
        <v>5</v>
      </c>
      <c r="J104" s="50">
        <v>0</v>
      </c>
      <c r="K104" s="50">
        <v>0</v>
      </c>
      <c r="L104" s="50">
        <v>0</v>
      </c>
      <c r="M104" s="50">
        <v>57</v>
      </c>
      <c r="N104" s="50">
        <v>0</v>
      </c>
      <c r="O104" s="15">
        <f t="shared" si="35"/>
        <v>303</v>
      </c>
      <c r="P104" s="15">
        <f t="shared" si="36"/>
        <v>360</v>
      </c>
      <c r="R104" s="8"/>
      <c r="T104"/>
    </row>
    <row r="105" spans="2:20" ht="23.1" customHeight="1" x14ac:dyDescent="0.25">
      <c r="B105" s="45" t="s">
        <v>145</v>
      </c>
      <c r="C105" s="50">
        <v>233</v>
      </c>
      <c r="D105" s="50">
        <v>8</v>
      </c>
      <c r="E105" s="50">
        <v>16</v>
      </c>
      <c r="F105" s="50">
        <v>61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48</v>
      </c>
      <c r="N105" s="50">
        <v>0</v>
      </c>
      <c r="O105" s="15">
        <f t="shared" si="35"/>
        <v>318</v>
      </c>
      <c r="P105" s="15">
        <f t="shared" si="36"/>
        <v>366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4533</v>
      </c>
      <c r="D106" s="16">
        <f t="shared" ref="D106:P106" si="37">SUM(D10:D105)</f>
        <v>597</v>
      </c>
      <c r="E106" s="16">
        <f t="shared" si="37"/>
        <v>590</v>
      </c>
      <c r="F106" s="16">
        <f t="shared" si="37"/>
        <v>1095</v>
      </c>
      <c r="G106" s="16">
        <f t="shared" si="37"/>
        <v>15</v>
      </c>
      <c r="H106" s="16">
        <f t="shared" si="37"/>
        <v>2</v>
      </c>
      <c r="I106" s="16">
        <f t="shared" si="37"/>
        <v>198</v>
      </c>
      <c r="J106" s="16">
        <f t="shared" si="37"/>
        <v>30</v>
      </c>
      <c r="K106" s="16">
        <f t="shared" si="37"/>
        <v>4</v>
      </c>
      <c r="L106" s="16">
        <f t="shared" si="37"/>
        <v>0</v>
      </c>
      <c r="M106" s="16">
        <f t="shared" si="37"/>
        <v>6502</v>
      </c>
      <c r="N106" s="16">
        <f t="shared" si="37"/>
        <v>1</v>
      </c>
      <c r="O106" s="16">
        <f t="shared" si="37"/>
        <v>7065</v>
      </c>
      <c r="P106" s="16">
        <f t="shared" si="37"/>
        <v>13567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0.33411955480209332</v>
      </c>
      <c r="D107" s="43">
        <f t="shared" si="38"/>
        <v>4.4003832829660208E-2</v>
      </c>
      <c r="E107" s="43">
        <f t="shared" si="38"/>
        <v>4.348787499078647E-2</v>
      </c>
      <c r="F107" s="43">
        <f t="shared" si="38"/>
        <v>8.0710547652391829E-2</v>
      </c>
      <c r="G107" s="43">
        <f t="shared" si="38"/>
        <v>1.1056239404437238E-3</v>
      </c>
      <c r="H107" s="43">
        <f t="shared" si="38"/>
        <v>1.474165253924965E-4</v>
      </c>
      <c r="I107" s="43">
        <f t="shared" si="38"/>
        <v>1.4594236013857153E-2</v>
      </c>
      <c r="J107" s="43">
        <f t="shared" si="38"/>
        <v>2.2112478808874476E-3</v>
      </c>
      <c r="K107" s="43">
        <f t="shared" si="38"/>
        <v>2.9483305078499301E-4</v>
      </c>
      <c r="L107" s="43">
        <f t="shared" si="38"/>
        <v>0</v>
      </c>
      <c r="M107" s="43">
        <f t="shared" si="38"/>
        <v>0.47925112405100612</v>
      </c>
      <c r="N107" s="43">
        <f t="shared" si="38"/>
        <v>7.3708262696248252E-5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0.64161358811040337</v>
      </c>
      <c r="D108" s="44">
        <f t="shared" ref="D108:N108" si="39">D106/$O$106</f>
        <v>8.4501061571125261E-2</v>
      </c>
      <c r="E108" s="44">
        <f t="shared" si="39"/>
        <v>8.3510261854210899E-2</v>
      </c>
      <c r="F108" s="44">
        <f t="shared" si="39"/>
        <v>0.15498938428874734</v>
      </c>
      <c r="G108" s="44">
        <f t="shared" si="39"/>
        <v>2.1231422505307855E-3</v>
      </c>
      <c r="H108" s="44">
        <f t="shared" si="39"/>
        <v>2.8308563340410475E-4</v>
      </c>
      <c r="I108" s="44">
        <f t="shared" si="39"/>
        <v>2.802547770700637E-2</v>
      </c>
      <c r="J108" s="44">
        <f t="shared" si="39"/>
        <v>4.246284501061571E-3</v>
      </c>
      <c r="K108" s="44">
        <f t="shared" si="39"/>
        <v>5.661712668082095E-4</v>
      </c>
      <c r="L108" s="44">
        <f t="shared" si="39"/>
        <v>0</v>
      </c>
      <c r="M108" s="44"/>
      <c r="N108" s="44">
        <f t="shared" si="39"/>
        <v>1.4154281670205238E-4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T104" sqref="T10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Kyebando-Mulago'!C3:G3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Kyebando-Mulago-24h'!D5</f>
        <v>01.08.19</v>
      </c>
      <c r="E5" s="3"/>
      <c r="F5" s="41" t="s">
        <v>1</v>
      </c>
      <c r="G5" s="55" t="str">
        <f>'01.08 Kyebando-Mulago-24h'!G5:H5</f>
        <v>Kisingiri Street</v>
      </c>
      <c r="H5" s="56"/>
      <c r="I5" s="14"/>
      <c r="J5" s="2" t="s">
        <v>5</v>
      </c>
      <c r="K5" s="55" t="s">
        <v>182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'02.08 Mulago-Kyebando'!D6:E6</f>
        <v>Mulago</v>
      </c>
      <c r="E6" s="56"/>
      <c r="F6" s="2" t="s">
        <v>2</v>
      </c>
      <c r="G6" s="55" t="str">
        <f>'29.07 Mulago-Kyebando'!G6:H6</f>
        <v>Kyebando</v>
      </c>
      <c r="H6" s="56"/>
      <c r="J6" s="2" t="s">
        <v>21</v>
      </c>
      <c r="K6" s="55" t="s">
        <v>183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32</v>
      </c>
      <c r="D10" s="50">
        <v>2</v>
      </c>
      <c r="E10" s="50">
        <v>7</v>
      </c>
      <c r="F10" s="50">
        <v>17</v>
      </c>
      <c r="G10" s="50">
        <v>3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150</v>
      </c>
      <c r="N10" s="50">
        <v>0</v>
      </c>
      <c r="O10" s="15">
        <f t="shared" ref="O10:O73" si="0">SUM(C10:L10,N10)</f>
        <v>62</v>
      </c>
      <c r="P10" s="15">
        <f t="shared" ref="P10:P73" si="1">SUM(C10:N10)</f>
        <v>212</v>
      </c>
      <c r="R10" s="1" t="s">
        <v>6</v>
      </c>
      <c r="S10" s="17">
        <f t="shared" ref="S10:AF10" si="2">SUM(C10:C13)</f>
        <v>83</v>
      </c>
      <c r="T10" s="17">
        <f t="shared" si="2"/>
        <v>19</v>
      </c>
      <c r="U10" s="17">
        <f t="shared" si="2"/>
        <v>18</v>
      </c>
      <c r="V10" s="17">
        <f t="shared" si="2"/>
        <v>50</v>
      </c>
      <c r="W10" s="17">
        <f t="shared" si="2"/>
        <v>6</v>
      </c>
      <c r="X10" s="17">
        <f t="shared" si="2"/>
        <v>0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611</v>
      </c>
      <c r="AD10" s="17">
        <f t="shared" si="2"/>
        <v>0</v>
      </c>
      <c r="AE10" s="31">
        <f t="shared" si="2"/>
        <v>183</v>
      </c>
      <c r="AF10" s="31">
        <f t="shared" si="2"/>
        <v>794</v>
      </c>
    </row>
    <row r="11" spans="2:32" s="6" customFormat="1" ht="23.1" customHeight="1" x14ac:dyDescent="0.25">
      <c r="B11" s="45" t="s">
        <v>38</v>
      </c>
      <c r="C11" s="50">
        <v>23</v>
      </c>
      <c r="D11" s="50">
        <v>9</v>
      </c>
      <c r="E11" s="50">
        <v>4</v>
      </c>
      <c r="F11" s="50">
        <v>11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161</v>
      </c>
      <c r="N11" s="50">
        <v>0</v>
      </c>
      <c r="O11" s="15">
        <f t="shared" si="0"/>
        <v>49</v>
      </c>
      <c r="P11" s="15">
        <f t="shared" si="1"/>
        <v>210</v>
      </c>
      <c r="R11" s="1" t="s">
        <v>7</v>
      </c>
      <c r="S11" s="17">
        <f t="shared" ref="S11:AF11" si="3">SUM(C14:C17)</f>
        <v>102</v>
      </c>
      <c r="T11" s="17">
        <f t="shared" si="3"/>
        <v>11</v>
      </c>
      <c r="U11" s="17">
        <f t="shared" si="3"/>
        <v>20</v>
      </c>
      <c r="V11" s="17">
        <f t="shared" si="3"/>
        <v>39</v>
      </c>
      <c r="W11" s="17">
        <f t="shared" si="3"/>
        <v>1</v>
      </c>
      <c r="X11" s="17">
        <f t="shared" si="3"/>
        <v>0</v>
      </c>
      <c r="Y11" s="17">
        <f t="shared" si="3"/>
        <v>9</v>
      </c>
      <c r="Z11" s="17">
        <f t="shared" si="3"/>
        <v>3</v>
      </c>
      <c r="AA11" s="17">
        <f t="shared" si="3"/>
        <v>1</v>
      </c>
      <c r="AB11" s="17">
        <f t="shared" si="3"/>
        <v>0</v>
      </c>
      <c r="AC11" s="17">
        <f t="shared" si="3"/>
        <v>799</v>
      </c>
      <c r="AD11" s="17">
        <f t="shared" si="3"/>
        <v>0</v>
      </c>
      <c r="AE11" s="31">
        <f t="shared" si="3"/>
        <v>186</v>
      </c>
      <c r="AF11" s="31">
        <f t="shared" si="3"/>
        <v>985</v>
      </c>
    </row>
    <row r="12" spans="2:32" ht="23.1" customHeight="1" x14ac:dyDescent="0.25">
      <c r="B12" s="45" t="s">
        <v>39</v>
      </c>
      <c r="C12" s="50">
        <v>20</v>
      </c>
      <c r="D12" s="50">
        <v>4</v>
      </c>
      <c r="E12" s="50">
        <v>5</v>
      </c>
      <c r="F12" s="50">
        <v>13</v>
      </c>
      <c r="G12" s="50">
        <v>2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170</v>
      </c>
      <c r="N12" s="50">
        <v>0</v>
      </c>
      <c r="O12" s="15">
        <f t="shared" si="0"/>
        <v>46</v>
      </c>
      <c r="P12" s="15">
        <f t="shared" si="1"/>
        <v>216</v>
      </c>
      <c r="R12" s="1" t="s">
        <v>8</v>
      </c>
      <c r="S12" s="17">
        <f t="shared" ref="S12:AF12" si="4">SUM(C18:C21)</f>
        <v>111</v>
      </c>
      <c r="T12" s="17">
        <f t="shared" si="4"/>
        <v>14</v>
      </c>
      <c r="U12" s="17">
        <f t="shared" si="4"/>
        <v>17</v>
      </c>
      <c r="V12" s="17">
        <f t="shared" si="4"/>
        <v>74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777</v>
      </c>
      <c r="AD12" s="17">
        <f t="shared" si="4"/>
        <v>0</v>
      </c>
      <c r="AE12" s="31">
        <f t="shared" si="4"/>
        <v>227</v>
      </c>
      <c r="AF12" s="31">
        <f t="shared" si="4"/>
        <v>1004</v>
      </c>
    </row>
    <row r="13" spans="2:32" ht="23.1" customHeight="1" x14ac:dyDescent="0.25">
      <c r="B13" s="45" t="s">
        <v>40</v>
      </c>
      <c r="C13" s="50">
        <v>8</v>
      </c>
      <c r="D13" s="50">
        <v>4</v>
      </c>
      <c r="E13" s="50">
        <v>2</v>
      </c>
      <c r="F13" s="50">
        <v>9</v>
      </c>
      <c r="G13" s="50">
        <v>1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130</v>
      </c>
      <c r="N13" s="50">
        <v>0</v>
      </c>
      <c r="O13" s="15">
        <f t="shared" si="0"/>
        <v>26</v>
      </c>
      <c r="P13" s="15">
        <f t="shared" si="1"/>
        <v>156</v>
      </c>
      <c r="R13" s="1" t="s">
        <v>9</v>
      </c>
      <c r="S13" s="17">
        <f t="shared" ref="S13:AF13" si="5">SUM(C22:C25)</f>
        <v>139</v>
      </c>
      <c r="T13" s="17">
        <f t="shared" si="5"/>
        <v>28</v>
      </c>
      <c r="U13" s="17">
        <f t="shared" si="5"/>
        <v>43</v>
      </c>
      <c r="V13" s="17">
        <f t="shared" si="5"/>
        <v>67</v>
      </c>
      <c r="W13" s="17">
        <f t="shared" si="5"/>
        <v>3</v>
      </c>
      <c r="X13" s="17">
        <f t="shared" si="5"/>
        <v>0</v>
      </c>
      <c r="Y13" s="17">
        <f t="shared" si="5"/>
        <v>15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569</v>
      </c>
      <c r="AD13" s="17">
        <f t="shared" si="5"/>
        <v>0</v>
      </c>
      <c r="AE13" s="31">
        <f t="shared" si="5"/>
        <v>298</v>
      </c>
      <c r="AF13" s="31">
        <f t="shared" si="5"/>
        <v>867</v>
      </c>
    </row>
    <row r="14" spans="2:32" ht="23.1" customHeight="1" x14ac:dyDescent="0.25">
      <c r="B14" s="45" t="s">
        <v>41</v>
      </c>
      <c r="C14" s="50">
        <v>26</v>
      </c>
      <c r="D14" s="50">
        <v>0</v>
      </c>
      <c r="E14" s="50">
        <v>2</v>
      </c>
      <c r="F14" s="50">
        <v>9</v>
      </c>
      <c r="G14" s="50">
        <v>1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175</v>
      </c>
      <c r="N14" s="50">
        <v>0</v>
      </c>
      <c r="O14" s="15">
        <f t="shared" si="0"/>
        <v>41</v>
      </c>
      <c r="P14" s="15">
        <f t="shared" si="1"/>
        <v>216</v>
      </c>
      <c r="R14" s="1" t="s">
        <v>10</v>
      </c>
      <c r="S14" s="17">
        <f t="shared" ref="S14:AF14" si="6">SUM(C26:C29)</f>
        <v>179</v>
      </c>
      <c r="T14" s="17">
        <f t="shared" si="6"/>
        <v>34</v>
      </c>
      <c r="U14" s="17">
        <f t="shared" si="6"/>
        <v>38</v>
      </c>
      <c r="V14" s="17">
        <f t="shared" si="6"/>
        <v>56</v>
      </c>
      <c r="W14" s="17">
        <f t="shared" si="6"/>
        <v>1</v>
      </c>
      <c r="X14" s="17">
        <f t="shared" si="6"/>
        <v>0</v>
      </c>
      <c r="Y14" s="17">
        <f t="shared" si="6"/>
        <v>23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438</v>
      </c>
      <c r="AD14" s="17">
        <f t="shared" si="6"/>
        <v>0</v>
      </c>
      <c r="AE14" s="31">
        <f t="shared" si="6"/>
        <v>334</v>
      </c>
      <c r="AF14" s="31">
        <f t="shared" si="6"/>
        <v>772</v>
      </c>
    </row>
    <row r="15" spans="2:32" ht="23.1" customHeight="1" x14ac:dyDescent="0.25">
      <c r="B15" s="45" t="s">
        <v>42</v>
      </c>
      <c r="C15" s="50">
        <v>30</v>
      </c>
      <c r="D15" s="50">
        <v>5</v>
      </c>
      <c r="E15" s="50">
        <v>3</v>
      </c>
      <c r="F15" s="50">
        <v>12</v>
      </c>
      <c r="G15" s="50">
        <v>0</v>
      </c>
      <c r="H15" s="50">
        <v>0</v>
      </c>
      <c r="I15" s="50">
        <v>4</v>
      </c>
      <c r="J15" s="50">
        <v>1</v>
      </c>
      <c r="K15" s="50">
        <v>1</v>
      </c>
      <c r="L15" s="50">
        <v>0</v>
      </c>
      <c r="M15" s="50">
        <v>229</v>
      </c>
      <c r="N15" s="50">
        <v>0</v>
      </c>
      <c r="O15" s="15">
        <f t="shared" si="0"/>
        <v>56</v>
      </c>
      <c r="P15" s="15">
        <f t="shared" si="1"/>
        <v>285</v>
      </c>
      <c r="R15" s="1" t="s">
        <v>11</v>
      </c>
      <c r="S15" s="17">
        <f t="shared" ref="S15:AF15" si="7">SUM(C30:C33)</f>
        <v>161</v>
      </c>
      <c r="T15" s="17">
        <f t="shared" si="7"/>
        <v>27</v>
      </c>
      <c r="U15" s="17">
        <f t="shared" si="7"/>
        <v>20</v>
      </c>
      <c r="V15" s="17">
        <f t="shared" si="7"/>
        <v>44</v>
      </c>
      <c r="W15" s="17">
        <f t="shared" si="7"/>
        <v>0</v>
      </c>
      <c r="X15" s="17">
        <f t="shared" si="7"/>
        <v>0</v>
      </c>
      <c r="Y15" s="17">
        <f t="shared" si="7"/>
        <v>13</v>
      </c>
      <c r="Z15" s="17">
        <f t="shared" si="7"/>
        <v>7</v>
      </c>
      <c r="AA15" s="17">
        <f t="shared" si="7"/>
        <v>0</v>
      </c>
      <c r="AB15" s="17">
        <f t="shared" si="7"/>
        <v>0</v>
      </c>
      <c r="AC15" s="17">
        <f t="shared" si="7"/>
        <v>435</v>
      </c>
      <c r="AD15" s="17">
        <f t="shared" si="7"/>
        <v>0</v>
      </c>
      <c r="AE15" s="31">
        <f t="shared" si="7"/>
        <v>272</v>
      </c>
      <c r="AF15" s="31">
        <f t="shared" si="7"/>
        <v>707</v>
      </c>
    </row>
    <row r="16" spans="2:32" ht="23.1" customHeight="1" x14ac:dyDescent="0.25">
      <c r="B16" s="45" t="s">
        <v>43</v>
      </c>
      <c r="C16" s="50">
        <v>18</v>
      </c>
      <c r="D16" s="50">
        <v>3</v>
      </c>
      <c r="E16" s="50">
        <v>7</v>
      </c>
      <c r="F16" s="50">
        <v>8</v>
      </c>
      <c r="G16" s="50">
        <v>0</v>
      </c>
      <c r="H16" s="50">
        <v>0</v>
      </c>
      <c r="I16" s="50">
        <v>3</v>
      </c>
      <c r="J16" s="50">
        <v>1</v>
      </c>
      <c r="K16" s="50">
        <v>0</v>
      </c>
      <c r="L16" s="50">
        <v>0</v>
      </c>
      <c r="M16" s="50">
        <v>180</v>
      </c>
      <c r="N16" s="50">
        <v>0</v>
      </c>
      <c r="O16" s="15">
        <f t="shared" si="0"/>
        <v>40</v>
      </c>
      <c r="P16" s="15">
        <f t="shared" si="1"/>
        <v>220</v>
      </c>
      <c r="R16" s="1" t="s">
        <v>12</v>
      </c>
      <c r="S16" s="17">
        <f t="shared" ref="S16:AF16" si="8">SUM(C34:C37)</f>
        <v>223</v>
      </c>
      <c r="T16" s="17">
        <f t="shared" si="8"/>
        <v>26</v>
      </c>
      <c r="U16" s="17">
        <f t="shared" si="8"/>
        <v>40</v>
      </c>
      <c r="V16" s="17">
        <f t="shared" si="8"/>
        <v>56</v>
      </c>
      <c r="W16" s="17">
        <f t="shared" si="8"/>
        <v>2</v>
      </c>
      <c r="X16" s="17">
        <f t="shared" si="8"/>
        <v>0</v>
      </c>
      <c r="Y16" s="17">
        <f t="shared" si="8"/>
        <v>26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465</v>
      </c>
      <c r="AD16" s="17">
        <f t="shared" si="8"/>
        <v>0</v>
      </c>
      <c r="AE16" s="31">
        <f t="shared" si="8"/>
        <v>374</v>
      </c>
      <c r="AF16" s="31">
        <f t="shared" si="8"/>
        <v>839</v>
      </c>
    </row>
    <row r="17" spans="2:32" ht="23.1" customHeight="1" x14ac:dyDescent="0.25">
      <c r="B17" s="45" t="s">
        <v>44</v>
      </c>
      <c r="C17" s="50">
        <v>28</v>
      </c>
      <c r="D17" s="50">
        <v>3</v>
      </c>
      <c r="E17" s="50">
        <v>8</v>
      </c>
      <c r="F17" s="50">
        <v>10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215</v>
      </c>
      <c r="N17" s="50">
        <v>0</v>
      </c>
      <c r="O17" s="15">
        <f t="shared" si="0"/>
        <v>49</v>
      </c>
      <c r="P17" s="15">
        <f t="shared" si="1"/>
        <v>264</v>
      </c>
      <c r="R17" s="1" t="s">
        <v>13</v>
      </c>
      <c r="S17" s="17">
        <f t="shared" ref="S17:AF17" si="9">SUM(C38:C41)</f>
        <v>189</v>
      </c>
      <c r="T17" s="17">
        <f t="shared" si="9"/>
        <v>28</v>
      </c>
      <c r="U17" s="17">
        <f t="shared" si="9"/>
        <v>25</v>
      </c>
      <c r="V17" s="17">
        <f t="shared" si="9"/>
        <v>43</v>
      </c>
      <c r="W17" s="17">
        <f t="shared" si="9"/>
        <v>0</v>
      </c>
      <c r="X17" s="17">
        <f t="shared" si="9"/>
        <v>0</v>
      </c>
      <c r="Y17" s="17">
        <f t="shared" si="9"/>
        <v>23</v>
      </c>
      <c r="Z17" s="17">
        <f t="shared" si="9"/>
        <v>4</v>
      </c>
      <c r="AA17" s="17">
        <f t="shared" si="9"/>
        <v>1</v>
      </c>
      <c r="AB17" s="17">
        <f t="shared" si="9"/>
        <v>0</v>
      </c>
      <c r="AC17" s="17">
        <f t="shared" si="9"/>
        <v>418</v>
      </c>
      <c r="AD17" s="17">
        <f t="shared" si="9"/>
        <v>0</v>
      </c>
      <c r="AE17" s="31">
        <f t="shared" si="9"/>
        <v>313</v>
      </c>
      <c r="AF17" s="31">
        <f t="shared" si="9"/>
        <v>731</v>
      </c>
    </row>
    <row r="18" spans="2:32" ht="23.1" customHeight="1" x14ac:dyDescent="0.25">
      <c r="B18" s="45" t="s">
        <v>45</v>
      </c>
      <c r="C18" s="50">
        <v>13</v>
      </c>
      <c r="D18" s="50">
        <v>3</v>
      </c>
      <c r="E18" s="50">
        <v>5</v>
      </c>
      <c r="F18" s="50">
        <v>19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225</v>
      </c>
      <c r="N18" s="50">
        <v>0</v>
      </c>
      <c r="O18" s="15">
        <f t="shared" si="0"/>
        <v>44</v>
      </c>
      <c r="P18" s="15">
        <f t="shared" si="1"/>
        <v>269</v>
      </c>
      <c r="R18" s="1" t="s">
        <v>14</v>
      </c>
      <c r="S18" s="17">
        <f t="shared" ref="S18:AF18" si="10">SUM(C42:C45)</f>
        <v>291</v>
      </c>
      <c r="T18" s="17">
        <f t="shared" si="10"/>
        <v>49</v>
      </c>
      <c r="U18" s="17">
        <f t="shared" si="10"/>
        <v>39</v>
      </c>
      <c r="V18" s="17">
        <f t="shared" si="10"/>
        <v>40</v>
      </c>
      <c r="W18" s="17">
        <f t="shared" si="10"/>
        <v>1</v>
      </c>
      <c r="X18" s="17">
        <f t="shared" si="10"/>
        <v>0</v>
      </c>
      <c r="Y18" s="17">
        <f t="shared" si="10"/>
        <v>27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447</v>
      </c>
      <c r="AD18" s="17">
        <f t="shared" si="10"/>
        <v>0</v>
      </c>
      <c r="AE18" s="31">
        <f t="shared" si="10"/>
        <v>451</v>
      </c>
      <c r="AF18" s="31">
        <f t="shared" si="10"/>
        <v>898</v>
      </c>
    </row>
    <row r="19" spans="2:32" ht="23.1" customHeight="1" x14ac:dyDescent="0.25">
      <c r="B19" s="45" t="s">
        <v>46</v>
      </c>
      <c r="C19" s="50">
        <v>21</v>
      </c>
      <c r="D19" s="50">
        <v>0</v>
      </c>
      <c r="E19" s="50">
        <v>0</v>
      </c>
      <c r="F19" s="50">
        <v>4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230</v>
      </c>
      <c r="N19" s="50">
        <v>0</v>
      </c>
      <c r="O19" s="15">
        <f t="shared" si="0"/>
        <v>26</v>
      </c>
      <c r="P19" s="15">
        <f t="shared" si="1"/>
        <v>256</v>
      </c>
      <c r="R19" s="1" t="s">
        <v>15</v>
      </c>
      <c r="S19" s="17">
        <f t="shared" ref="S19:AF19" si="11">SUM(C46:C49)</f>
        <v>325</v>
      </c>
      <c r="T19" s="17">
        <f t="shared" si="11"/>
        <v>48</v>
      </c>
      <c r="U19" s="17">
        <f t="shared" si="11"/>
        <v>35</v>
      </c>
      <c r="V19" s="17">
        <f t="shared" si="11"/>
        <v>48</v>
      </c>
      <c r="W19" s="17">
        <f t="shared" si="11"/>
        <v>2</v>
      </c>
      <c r="X19" s="17">
        <f t="shared" si="11"/>
        <v>0</v>
      </c>
      <c r="Y19" s="17">
        <f t="shared" si="11"/>
        <v>8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327</v>
      </c>
      <c r="AD19" s="17">
        <f t="shared" si="11"/>
        <v>0</v>
      </c>
      <c r="AE19" s="31">
        <f t="shared" si="11"/>
        <v>468</v>
      </c>
      <c r="AF19" s="31">
        <f t="shared" si="11"/>
        <v>795</v>
      </c>
    </row>
    <row r="20" spans="2:32" ht="23.1" customHeight="1" x14ac:dyDescent="0.25">
      <c r="B20" s="45" t="s">
        <v>47</v>
      </c>
      <c r="C20" s="50">
        <v>37</v>
      </c>
      <c r="D20" s="50">
        <v>6</v>
      </c>
      <c r="E20" s="50">
        <v>6</v>
      </c>
      <c r="F20" s="50">
        <v>29</v>
      </c>
      <c r="G20" s="50">
        <v>0</v>
      </c>
      <c r="H20" s="50">
        <v>0</v>
      </c>
      <c r="I20" s="50">
        <v>5</v>
      </c>
      <c r="J20" s="50">
        <v>0</v>
      </c>
      <c r="K20" s="50">
        <v>0</v>
      </c>
      <c r="L20" s="50">
        <v>0</v>
      </c>
      <c r="M20" s="50">
        <v>190</v>
      </c>
      <c r="N20" s="50">
        <v>0</v>
      </c>
      <c r="O20" s="15">
        <f t="shared" si="0"/>
        <v>83</v>
      </c>
      <c r="P20" s="15">
        <f t="shared" si="1"/>
        <v>273</v>
      </c>
      <c r="R20" s="1" t="s">
        <v>16</v>
      </c>
      <c r="S20" s="17">
        <f t="shared" ref="S20:AF20" si="12">SUM(C50:C53)</f>
        <v>494</v>
      </c>
      <c r="T20" s="17">
        <f t="shared" si="12"/>
        <v>83</v>
      </c>
      <c r="U20" s="17">
        <f t="shared" si="12"/>
        <v>58</v>
      </c>
      <c r="V20" s="17">
        <f t="shared" si="12"/>
        <v>64</v>
      </c>
      <c r="W20" s="17">
        <f t="shared" si="12"/>
        <v>3</v>
      </c>
      <c r="X20" s="17">
        <f t="shared" si="12"/>
        <v>0</v>
      </c>
      <c r="Y20" s="17">
        <f t="shared" si="12"/>
        <v>23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410</v>
      </c>
      <c r="AD20" s="17">
        <f t="shared" si="12"/>
        <v>0</v>
      </c>
      <c r="AE20" s="31">
        <f t="shared" si="12"/>
        <v>725</v>
      </c>
      <c r="AF20" s="31">
        <f t="shared" si="12"/>
        <v>1135</v>
      </c>
    </row>
    <row r="21" spans="2:32" ht="23.1" customHeight="1" x14ac:dyDescent="0.25">
      <c r="B21" s="45" t="s">
        <v>48</v>
      </c>
      <c r="C21" s="50">
        <v>40</v>
      </c>
      <c r="D21" s="50">
        <v>5</v>
      </c>
      <c r="E21" s="50">
        <v>6</v>
      </c>
      <c r="F21" s="50">
        <v>22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132</v>
      </c>
      <c r="N21" s="50">
        <v>0</v>
      </c>
      <c r="O21" s="15">
        <f t="shared" si="0"/>
        <v>74</v>
      </c>
      <c r="P21" s="15">
        <f t="shared" si="1"/>
        <v>206</v>
      </c>
      <c r="R21" s="36" t="s">
        <v>20</v>
      </c>
      <c r="S21" s="34">
        <f t="shared" ref="S21:AF21" si="13">SUM(C54:C57)</f>
        <v>541</v>
      </c>
      <c r="T21" s="17">
        <f t="shared" si="13"/>
        <v>60</v>
      </c>
      <c r="U21" s="17">
        <f t="shared" si="13"/>
        <v>48</v>
      </c>
      <c r="V21" s="17">
        <f t="shared" si="13"/>
        <v>75</v>
      </c>
      <c r="W21" s="17">
        <f t="shared" si="13"/>
        <v>2</v>
      </c>
      <c r="X21" s="17">
        <f t="shared" si="13"/>
        <v>2</v>
      </c>
      <c r="Y21" s="17">
        <f t="shared" si="13"/>
        <v>21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439</v>
      </c>
      <c r="AD21" s="17">
        <f t="shared" si="13"/>
        <v>0</v>
      </c>
      <c r="AE21" s="31">
        <f t="shared" si="13"/>
        <v>753</v>
      </c>
      <c r="AF21" s="31">
        <f t="shared" si="13"/>
        <v>1192</v>
      </c>
    </row>
    <row r="22" spans="2:32" ht="23.1" customHeight="1" x14ac:dyDescent="0.25">
      <c r="B22" s="45" t="s">
        <v>49</v>
      </c>
      <c r="C22" s="50">
        <v>35</v>
      </c>
      <c r="D22" s="50">
        <v>7</v>
      </c>
      <c r="E22" s="50">
        <v>11</v>
      </c>
      <c r="F22" s="50">
        <v>20</v>
      </c>
      <c r="G22" s="50">
        <v>0</v>
      </c>
      <c r="H22" s="50">
        <v>0</v>
      </c>
      <c r="I22" s="50">
        <v>5</v>
      </c>
      <c r="J22" s="50">
        <v>1</v>
      </c>
      <c r="K22" s="50">
        <v>0</v>
      </c>
      <c r="L22" s="50">
        <v>0</v>
      </c>
      <c r="M22" s="50">
        <v>170</v>
      </c>
      <c r="N22" s="50">
        <v>0</v>
      </c>
      <c r="O22" s="15">
        <f t="shared" si="0"/>
        <v>79</v>
      </c>
      <c r="P22" s="15">
        <f t="shared" si="1"/>
        <v>249</v>
      </c>
      <c r="R22" s="36" t="s">
        <v>146</v>
      </c>
      <c r="S22" s="34">
        <f>SUM(C58:C61)</f>
        <v>432</v>
      </c>
      <c r="T22" s="34">
        <f t="shared" ref="T22:AF22" si="14">SUM(D58:D61)</f>
        <v>40</v>
      </c>
      <c r="U22" s="34">
        <f t="shared" si="14"/>
        <v>40</v>
      </c>
      <c r="V22" s="34">
        <f t="shared" si="14"/>
        <v>147</v>
      </c>
      <c r="W22" s="34">
        <f t="shared" si="14"/>
        <v>4</v>
      </c>
      <c r="X22" s="34">
        <f t="shared" si="14"/>
        <v>2</v>
      </c>
      <c r="Y22" s="34">
        <f t="shared" si="14"/>
        <v>10</v>
      </c>
      <c r="Z22" s="34">
        <f t="shared" si="14"/>
        <v>5</v>
      </c>
      <c r="AA22" s="34">
        <f t="shared" si="14"/>
        <v>0</v>
      </c>
      <c r="AB22" s="34">
        <f t="shared" si="14"/>
        <v>0</v>
      </c>
      <c r="AC22" s="34">
        <f t="shared" si="14"/>
        <v>545</v>
      </c>
      <c r="AD22" s="34">
        <f t="shared" si="14"/>
        <v>0</v>
      </c>
      <c r="AE22" s="31">
        <f t="shared" si="14"/>
        <v>680</v>
      </c>
      <c r="AF22" s="31">
        <f t="shared" si="14"/>
        <v>1225</v>
      </c>
    </row>
    <row r="23" spans="2:32" ht="23.1" customHeight="1" x14ac:dyDescent="0.25">
      <c r="B23" s="45" t="s">
        <v>50</v>
      </c>
      <c r="C23" s="50">
        <v>39</v>
      </c>
      <c r="D23" s="50">
        <v>3</v>
      </c>
      <c r="E23" s="50">
        <v>16</v>
      </c>
      <c r="F23" s="50">
        <v>18</v>
      </c>
      <c r="G23" s="50">
        <v>1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142</v>
      </c>
      <c r="N23" s="50">
        <v>0</v>
      </c>
      <c r="O23" s="15">
        <f t="shared" si="0"/>
        <v>80</v>
      </c>
      <c r="P23" s="15">
        <f t="shared" si="1"/>
        <v>222</v>
      </c>
      <c r="R23" s="36" t="s">
        <v>147</v>
      </c>
      <c r="S23" s="34">
        <f>SUM(C62:C65)</f>
        <v>480</v>
      </c>
      <c r="T23" s="34">
        <f t="shared" ref="T23:AF23" si="15">SUM(D62:D65)</f>
        <v>36</v>
      </c>
      <c r="U23" s="34">
        <f t="shared" si="15"/>
        <v>39</v>
      </c>
      <c r="V23" s="34">
        <f t="shared" si="15"/>
        <v>192</v>
      </c>
      <c r="W23" s="34">
        <f t="shared" si="15"/>
        <v>7</v>
      </c>
      <c r="X23" s="34">
        <f t="shared" si="15"/>
        <v>4</v>
      </c>
      <c r="Y23" s="34">
        <f t="shared" si="15"/>
        <v>27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605</v>
      </c>
      <c r="AD23" s="34">
        <f t="shared" si="15"/>
        <v>0</v>
      </c>
      <c r="AE23" s="31">
        <f t="shared" si="15"/>
        <v>786</v>
      </c>
      <c r="AF23" s="31">
        <f t="shared" si="15"/>
        <v>1391</v>
      </c>
    </row>
    <row r="24" spans="2:32" ht="23.1" customHeight="1" x14ac:dyDescent="0.25">
      <c r="B24" s="45" t="s">
        <v>51</v>
      </c>
      <c r="C24" s="50">
        <v>20</v>
      </c>
      <c r="D24" s="50">
        <v>6</v>
      </c>
      <c r="E24" s="50">
        <v>6</v>
      </c>
      <c r="F24" s="50">
        <v>12</v>
      </c>
      <c r="G24" s="50">
        <v>1</v>
      </c>
      <c r="H24" s="50">
        <v>0</v>
      </c>
      <c r="I24" s="50">
        <v>5</v>
      </c>
      <c r="J24" s="50">
        <v>1</v>
      </c>
      <c r="K24" s="50">
        <v>0</v>
      </c>
      <c r="L24" s="50">
        <v>0</v>
      </c>
      <c r="M24" s="50">
        <v>135</v>
      </c>
      <c r="N24" s="50">
        <v>0</v>
      </c>
      <c r="O24" s="15">
        <f t="shared" si="0"/>
        <v>51</v>
      </c>
      <c r="P24" s="15">
        <f t="shared" si="1"/>
        <v>186</v>
      </c>
      <c r="R24" s="36" t="s">
        <v>148</v>
      </c>
      <c r="S24" s="34">
        <f>SUM(C66:C69)</f>
        <v>336</v>
      </c>
      <c r="T24" s="34">
        <f t="shared" ref="T24:AF24" si="16">SUM(D66:D69)</f>
        <v>45</v>
      </c>
      <c r="U24" s="34">
        <f t="shared" si="16"/>
        <v>24</v>
      </c>
      <c r="V24" s="34">
        <f t="shared" si="16"/>
        <v>110</v>
      </c>
      <c r="W24" s="34">
        <f t="shared" si="16"/>
        <v>1</v>
      </c>
      <c r="X24" s="34">
        <f t="shared" si="16"/>
        <v>2</v>
      </c>
      <c r="Y24" s="34">
        <f t="shared" si="16"/>
        <v>10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446</v>
      </c>
      <c r="AD24" s="34">
        <f t="shared" si="16"/>
        <v>0</v>
      </c>
      <c r="AE24" s="31">
        <f t="shared" si="16"/>
        <v>529</v>
      </c>
      <c r="AF24" s="31">
        <f t="shared" si="16"/>
        <v>975</v>
      </c>
    </row>
    <row r="25" spans="2:32" ht="23.1" customHeight="1" x14ac:dyDescent="0.25">
      <c r="B25" s="45" t="s">
        <v>52</v>
      </c>
      <c r="C25" s="50">
        <v>45</v>
      </c>
      <c r="D25" s="50">
        <v>12</v>
      </c>
      <c r="E25" s="50">
        <v>10</v>
      </c>
      <c r="F25" s="50">
        <v>17</v>
      </c>
      <c r="G25" s="50">
        <v>1</v>
      </c>
      <c r="H25" s="50">
        <v>0</v>
      </c>
      <c r="I25" s="50">
        <v>2</v>
      </c>
      <c r="J25" s="50">
        <v>1</v>
      </c>
      <c r="K25" s="50">
        <v>0</v>
      </c>
      <c r="L25" s="50">
        <v>0</v>
      </c>
      <c r="M25" s="50">
        <v>122</v>
      </c>
      <c r="N25" s="50">
        <v>0</v>
      </c>
      <c r="O25" s="15">
        <f t="shared" si="0"/>
        <v>88</v>
      </c>
      <c r="P25" s="15">
        <f t="shared" si="1"/>
        <v>210</v>
      </c>
      <c r="R25" s="36" t="s">
        <v>149</v>
      </c>
      <c r="S25" s="34">
        <f>SUM(C70:C73)</f>
        <v>256</v>
      </c>
      <c r="T25" s="34">
        <f t="shared" ref="T25:AF25" si="17">SUM(D70:D73)</f>
        <v>29</v>
      </c>
      <c r="U25" s="34">
        <f t="shared" si="17"/>
        <v>18</v>
      </c>
      <c r="V25" s="34">
        <f t="shared" si="17"/>
        <v>42</v>
      </c>
      <c r="W25" s="34">
        <f t="shared" si="17"/>
        <v>1</v>
      </c>
      <c r="X25" s="34">
        <f t="shared" si="17"/>
        <v>0</v>
      </c>
      <c r="Y25" s="34">
        <f t="shared" si="17"/>
        <v>4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501</v>
      </c>
      <c r="AD25" s="34">
        <f t="shared" si="17"/>
        <v>0</v>
      </c>
      <c r="AE25" s="31">
        <f t="shared" si="17"/>
        <v>350</v>
      </c>
      <c r="AF25" s="31">
        <f t="shared" si="17"/>
        <v>851</v>
      </c>
    </row>
    <row r="26" spans="2:32" ht="23.1" customHeight="1" x14ac:dyDescent="0.25">
      <c r="B26" s="45" t="s">
        <v>53</v>
      </c>
      <c r="C26" s="50">
        <v>41</v>
      </c>
      <c r="D26" s="50">
        <v>12</v>
      </c>
      <c r="E26" s="50">
        <v>11</v>
      </c>
      <c r="F26" s="50">
        <v>14</v>
      </c>
      <c r="G26" s="50">
        <v>0</v>
      </c>
      <c r="H26" s="50">
        <v>0</v>
      </c>
      <c r="I26" s="50">
        <v>11</v>
      </c>
      <c r="J26" s="50">
        <v>0</v>
      </c>
      <c r="K26" s="50">
        <v>0</v>
      </c>
      <c r="L26" s="50">
        <v>0</v>
      </c>
      <c r="M26" s="50">
        <v>155</v>
      </c>
      <c r="N26" s="50">
        <v>0</v>
      </c>
      <c r="O26" s="15">
        <f t="shared" si="0"/>
        <v>89</v>
      </c>
      <c r="P26" s="15">
        <f t="shared" si="1"/>
        <v>244</v>
      </c>
      <c r="R26" s="36" t="s">
        <v>150</v>
      </c>
      <c r="S26" s="34">
        <f>SUM(C74:C77)</f>
        <v>140</v>
      </c>
      <c r="T26" s="34">
        <f t="shared" ref="T26:AF26" si="18">SUM(D74:D77)</f>
        <v>13</v>
      </c>
      <c r="U26" s="34">
        <f t="shared" si="18"/>
        <v>5</v>
      </c>
      <c r="V26" s="34">
        <f t="shared" si="18"/>
        <v>7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2</v>
      </c>
      <c r="AA26" s="34">
        <f t="shared" si="18"/>
        <v>0</v>
      </c>
      <c r="AB26" s="34">
        <f t="shared" si="18"/>
        <v>0</v>
      </c>
      <c r="AC26" s="34">
        <f t="shared" si="18"/>
        <v>263</v>
      </c>
      <c r="AD26" s="34">
        <f t="shared" si="18"/>
        <v>0</v>
      </c>
      <c r="AE26" s="31">
        <f t="shared" si="18"/>
        <v>168</v>
      </c>
      <c r="AF26" s="31">
        <f t="shared" si="18"/>
        <v>431</v>
      </c>
    </row>
    <row r="27" spans="2:32" ht="23.1" customHeight="1" x14ac:dyDescent="0.25">
      <c r="B27" s="45" t="s">
        <v>54</v>
      </c>
      <c r="C27" s="50">
        <v>41</v>
      </c>
      <c r="D27" s="50">
        <v>12</v>
      </c>
      <c r="E27" s="50">
        <v>5</v>
      </c>
      <c r="F27" s="50">
        <v>13</v>
      </c>
      <c r="G27" s="50">
        <v>1</v>
      </c>
      <c r="H27" s="50">
        <v>0</v>
      </c>
      <c r="I27" s="50">
        <v>4</v>
      </c>
      <c r="J27" s="50">
        <v>1</v>
      </c>
      <c r="K27" s="50">
        <v>0</v>
      </c>
      <c r="L27" s="50">
        <v>0</v>
      </c>
      <c r="M27" s="50" t="s">
        <v>184</v>
      </c>
      <c r="N27" s="50">
        <v>0</v>
      </c>
      <c r="O27" s="15">
        <f t="shared" si="0"/>
        <v>77</v>
      </c>
      <c r="P27" s="15">
        <f t="shared" si="1"/>
        <v>77</v>
      </c>
      <c r="R27" s="36" t="s">
        <v>151</v>
      </c>
      <c r="S27" s="34">
        <f>SUM(C78:C81)</f>
        <v>65</v>
      </c>
      <c r="T27" s="34">
        <f t="shared" ref="T27:AF27" si="19">SUM(D78:D81)</f>
        <v>3</v>
      </c>
      <c r="U27" s="34">
        <f t="shared" si="19"/>
        <v>1</v>
      </c>
      <c r="V27" s="34">
        <f t="shared" si="19"/>
        <v>11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116</v>
      </c>
      <c r="AD27" s="34">
        <f t="shared" si="19"/>
        <v>0</v>
      </c>
      <c r="AE27" s="31">
        <f t="shared" si="19"/>
        <v>82</v>
      </c>
      <c r="AF27" s="31">
        <f t="shared" si="19"/>
        <v>198</v>
      </c>
    </row>
    <row r="28" spans="2:32" ht="23.1" customHeight="1" x14ac:dyDescent="0.25">
      <c r="B28" s="45" t="s">
        <v>55</v>
      </c>
      <c r="C28" s="50">
        <v>42</v>
      </c>
      <c r="D28" s="50">
        <v>7</v>
      </c>
      <c r="E28" s="50">
        <v>9</v>
      </c>
      <c r="F28" s="50">
        <v>15</v>
      </c>
      <c r="G28" s="50">
        <v>0</v>
      </c>
      <c r="H28" s="50">
        <v>0</v>
      </c>
      <c r="I28" s="50">
        <v>7</v>
      </c>
      <c r="J28" s="50">
        <v>2</v>
      </c>
      <c r="K28" s="50">
        <v>0</v>
      </c>
      <c r="L28" s="50">
        <v>0</v>
      </c>
      <c r="M28" s="50">
        <v>150</v>
      </c>
      <c r="N28" s="50">
        <v>0</v>
      </c>
      <c r="O28" s="15">
        <f t="shared" si="0"/>
        <v>82</v>
      </c>
      <c r="P28" s="15">
        <f t="shared" si="1"/>
        <v>232</v>
      </c>
      <c r="R28" s="36" t="s">
        <v>152</v>
      </c>
      <c r="S28" s="34">
        <f>SUM(C82:C85)</f>
        <v>21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15</v>
      </c>
      <c r="AD28" s="34">
        <f t="shared" si="20"/>
        <v>0</v>
      </c>
      <c r="AE28" s="31">
        <f t="shared" si="20"/>
        <v>31</v>
      </c>
      <c r="AF28" s="31">
        <f t="shared" si="20"/>
        <v>46</v>
      </c>
    </row>
    <row r="29" spans="2:32" ht="23.1" customHeight="1" x14ac:dyDescent="0.25">
      <c r="B29" s="45" t="s">
        <v>56</v>
      </c>
      <c r="C29" s="50">
        <v>55</v>
      </c>
      <c r="D29" s="50">
        <v>3</v>
      </c>
      <c r="E29" s="50">
        <v>13</v>
      </c>
      <c r="F29" s="50">
        <v>14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133</v>
      </c>
      <c r="N29" s="50">
        <v>0</v>
      </c>
      <c r="O29" s="15">
        <f t="shared" si="0"/>
        <v>86</v>
      </c>
      <c r="P29" s="15">
        <f t="shared" si="1"/>
        <v>219</v>
      </c>
      <c r="R29" s="36" t="s">
        <v>153</v>
      </c>
      <c r="S29" s="34">
        <f>SUM(C86:C89)</f>
        <v>19</v>
      </c>
      <c r="T29" s="34">
        <f t="shared" ref="T29:AF29" si="21">SUM(D86:D89)</f>
        <v>2</v>
      </c>
      <c r="U29" s="34">
        <f t="shared" si="21"/>
        <v>7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15</v>
      </c>
      <c r="AD29" s="34">
        <f t="shared" si="21"/>
        <v>0</v>
      </c>
      <c r="AE29" s="31">
        <f t="shared" si="21"/>
        <v>28</v>
      </c>
      <c r="AF29" s="31">
        <f t="shared" si="21"/>
        <v>43</v>
      </c>
    </row>
    <row r="30" spans="2:32" ht="23.1" customHeight="1" x14ac:dyDescent="0.25">
      <c r="B30" s="45" t="s">
        <v>57</v>
      </c>
      <c r="C30" s="50">
        <v>57</v>
      </c>
      <c r="D30" s="50">
        <v>6</v>
      </c>
      <c r="E30" s="50">
        <v>8</v>
      </c>
      <c r="F30" s="50">
        <v>13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142</v>
      </c>
      <c r="N30" s="50">
        <v>0</v>
      </c>
      <c r="O30" s="15">
        <f t="shared" si="0"/>
        <v>88</v>
      </c>
      <c r="P30" s="15">
        <f t="shared" si="1"/>
        <v>230</v>
      </c>
      <c r="R30" s="36" t="s">
        <v>154</v>
      </c>
      <c r="S30" s="34">
        <f>SUM(C90:C93)</f>
        <v>9</v>
      </c>
      <c r="T30" s="34">
        <f t="shared" ref="T30:AF30" si="22">SUM(D90:D93)</f>
        <v>1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22</v>
      </c>
      <c r="AD30" s="34">
        <f t="shared" si="22"/>
        <v>0</v>
      </c>
      <c r="AE30" s="31">
        <f t="shared" si="22"/>
        <v>11</v>
      </c>
      <c r="AF30" s="31">
        <f t="shared" si="22"/>
        <v>33</v>
      </c>
    </row>
    <row r="31" spans="2:32" ht="23.1" customHeight="1" x14ac:dyDescent="0.25">
      <c r="B31" s="46" t="s">
        <v>58</v>
      </c>
      <c r="C31" s="50">
        <v>29</v>
      </c>
      <c r="D31" s="50">
        <v>4</v>
      </c>
      <c r="E31" s="50">
        <v>3</v>
      </c>
      <c r="F31" s="50">
        <v>6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100</v>
      </c>
      <c r="N31" s="50">
        <v>0</v>
      </c>
      <c r="O31" s="15">
        <f t="shared" si="0"/>
        <v>43</v>
      </c>
      <c r="P31" s="15">
        <f t="shared" si="1"/>
        <v>143</v>
      </c>
      <c r="R31" s="36" t="s">
        <v>155</v>
      </c>
      <c r="S31" s="34">
        <f>SUM(C94:C97)</f>
        <v>8</v>
      </c>
      <c r="T31" s="34">
        <f t="shared" ref="T31:AF31" si="23">SUM(D94:D97)</f>
        <v>1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19</v>
      </c>
      <c r="AD31" s="34">
        <f t="shared" si="23"/>
        <v>0</v>
      </c>
      <c r="AE31" s="31">
        <f t="shared" si="23"/>
        <v>11</v>
      </c>
      <c r="AF31" s="31">
        <f t="shared" si="23"/>
        <v>30</v>
      </c>
    </row>
    <row r="32" spans="2:32" ht="23.1" customHeight="1" x14ac:dyDescent="0.25">
      <c r="B32" s="46" t="s">
        <v>59</v>
      </c>
      <c r="C32" s="50">
        <v>35</v>
      </c>
      <c r="D32" s="50">
        <v>12</v>
      </c>
      <c r="E32" s="50">
        <v>6</v>
      </c>
      <c r="F32" s="50">
        <v>12</v>
      </c>
      <c r="G32" s="50">
        <v>0</v>
      </c>
      <c r="H32" s="50">
        <v>0</v>
      </c>
      <c r="I32" s="50">
        <v>5</v>
      </c>
      <c r="J32" s="50">
        <v>6</v>
      </c>
      <c r="K32" s="50">
        <v>0</v>
      </c>
      <c r="L32" s="50">
        <v>0</v>
      </c>
      <c r="M32" s="50">
        <v>88</v>
      </c>
      <c r="N32" s="50">
        <v>0</v>
      </c>
      <c r="O32" s="15">
        <f t="shared" si="0"/>
        <v>76</v>
      </c>
      <c r="P32" s="15">
        <f t="shared" si="1"/>
        <v>164</v>
      </c>
      <c r="R32" s="33" t="s">
        <v>156</v>
      </c>
      <c r="S32" s="34">
        <f>SUM(C98:C101)</f>
        <v>45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61</v>
      </c>
      <c r="AD32" s="34">
        <f t="shared" si="24"/>
        <v>0</v>
      </c>
      <c r="AE32" s="31">
        <f t="shared" si="24"/>
        <v>46</v>
      </c>
      <c r="AF32" s="31">
        <f t="shared" si="24"/>
        <v>107</v>
      </c>
    </row>
    <row r="33" spans="2:32" ht="23.1" customHeight="1" x14ac:dyDescent="0.25">
      <c r="B33" s="45" t="s">
        <v>60</v>
      </c>
      <c r="C33" s="50">
        <v>40</v>
      </c>
      <c r="D33" s="50">
        <v>5</v>
      </c>
      <c r="E33" s="50">
        <v>3</v>
      </c>
      <c r="F33" s="50">
        <v>13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0</v>
      </c>
      <c r="M33" s="50">
        <v>105</v>
      </c>
      <c r="N33" s="50">
        <v>0</v>
      </c>
      <c r="O33" s="15">
        <f t="shared" si="0"/>
        <v>65</v>
      </c>
      <c r="P33" s="15">
        <f t="shared" si="1"/>
        <v>170</v>
      </c>
      <c r="R33" s="33" t="s">
        <v>157</v>
      </c>
      <c r="S33" s="34">
        <f>SUM(C102:C105)</f>
        <v>64</v>
      </c>
      <c r="T33" s="34">
        <f t="shared" ref="T33:AF33" si="25">SUM(D102:D105)</f>
        <v>10</v>
      </c>
      <c r="U33" s="34">
        <f t="shared" si="25"/>
        <v>5</v>
      </c>
      <c r="V33" s="34">
        <f t="shared" si="25"/>
        <v>15</v>
      </c>
      <c r="W33" s="34">
        <f t="shared" si="25"/>
        <v>2</v>
      </c>
      <c r="X33" s="34">
        <f t="shared" si="25"/>
        <v>0</v>
      </c>
      <c r="Y33" s="34">
        <f t="shared" si="25"/>
        <v>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144</v>
      </c>
      <c r="AD33" s="34">
        <f t="shared" si="25"/>
        <v>0</v>
      </c>
      <c r="AE33" s="31">
        <f t="shared" si="25"/>
        <v>101</v>
      </c>
      <c r="AF33" s="31">
        <f t="shared" si="25"/>
        <v>245</v>
      </c>
    </row>
    <row r="34" spans="2:32" ht="23.1" customHeight="1" x14ac:dyDescent="0.25">
      <c r="B34" s="46" t="s">
        <v>61</v>
      </c>
      <c r="C34" s="50">
        <v>60</v>
      </c>
      <c r="D34" s="50">
        <v>5</v>
      </c>
      <c r="E34" s="50">
        <v>9</v>
      </c>
      <c r="F34" s="50">
        <v>23</v>
      </c>
      <c r="G34" s="50">
        <v>2</v>
      </c>
      <c r="H34" s="50">
        <v>0</v>
      </c>
      <c r="I34" s="50">
        <v>10</v>
      </c>
      <c r="J34" s="50">
        <v>1</v>
      </c>
      <c r="K34" s="50">
        <v>0</v>
      </c>
      <c r="L34" s="50">
        <v>0</v>
      </c>
      <c r="M34" s="50">
        <v>130</v>
      </c>
      <c r="N34" s="50">
        <v>0</v>
      </c>
      <c r="O34" s="15">
        <f t="shared" si="0"/>
        <v>110</v>
      </c>
      <c r="P34" s="15">
        <f t="shared" si="1"/>
        <v>240</v>
      </c>
      <c r="R34" s="38" t="s">
        <v>90</v>
      </c>
      <c r="S34" s="39">
        <f t="shared" ref="S34:AF34" si="26">MAX(S10:S12)</f>
        <v>111</v>
      </c>
      <c r="T34" s="39">
        <f t="shared" si="26"/>
        <v>19</v>
      </c>
      <c r="U34" s="39">
        <f t="shared" si="26"/>
        <v>20</v>
      </c>
      <c r="V34" s="39">
        <f t="shared" si="26"/>
        <v>74</v>
      </c>
      <c r="W34" s="39">
        <f t="shared" si="26"/>
        <v>6</v>
      </c>
      <c r="X34" s="39">
        <f t="shared" si="26"/>
        <v>0</v>
      </c>
      <c r="Y34" s="39">
        <f t="shared" si="26"/>
        <v>10</v>
      </c>
      <c r="Z34" s="39">
        <f t="shared" si="26"/>
        <v>3</v>
      </c>
      <c r="AA34" s="39">
        <f t="shared" si="26"/>
        <v>1</v>
      </c>
      <c r="AB34" s="39">
        <f t="shared" si="26"/>
        <v>0</v>
      </c>
      <c r="AC34" s="39">
        <f t="shared" si="26"/>
        <v>799</v>
      </c>
      <c r="AD34" s="39">
        <f t="shared" si="26"/>
        <v>0</v>
      </c>
      <c r="AE34" s="40">
        <f t="shared" si="26"/>
        <v>227</v>
      </c>
      <c r="AF34" s="40">
        <f t="shared" si="26"/>
        <v>1004</v>
      </c>
    </row>
    <row r="35" spans="2:32" ht="23.1" customHeight="1" x14ac:dyDescent="0.25">
      <c r="B35" s="46" t="s">
        <v>62</v>
      </c>
      <c r="C35" s="50">
        <v>55</v>
      </c>
      <c r="D35" s="50">
        <v>10</v>
      </c>
      <c r="E35" s="50">
        <v>14</v>
      </c>
      <c r="F35" s="50">
        <v>13</v>
      </c>
      <c r="G35" s="50">
        <v>0</v>
      </c>
      <c r="H35" s="50">
        <v>0</v>
      </c>
      <c r="I35" s="50">
        <v>6</v>
      </c>
      <c r="J35" s="50">
        <v>0</v>
      </c>
      <c r="K35" s="50">
        <v>0</v>
      </c>
      <c r="L35" s="50">
        <v>0</v>
      </c>
      <c r="M35" s="50">
        <v>145</v>
      </c>
      <c r="N35" s="50">
        <v>0</v>
      </c>
      <c r="O35" s="15">
        <f t="shared" si="0"/>
        <v>98</v>
      </c>
      <c r="P35" s="15">
        <f t="shared" si="1"/>
        <v>243</v>
      </c>
      <c r="R35" s="38" t="s">
        <v>91</v>
      </c>
      <c r="S35" s="39">
        <f t="shared" ref="S35:AF35" si="27">MAX(S13:S18)</f>
        <v>291</v>
      </c>
      <c r="T35" s="39">
        <f t="shared" si="27"/>
        <v>49</v>
      </c>
      <c r="U35" s="39">
        <f t="shared" si="27"/>
        <v>43</v>
      </c>
      <c r="V35" s="39">
        <f t="shared" si="27"/>
        <v>67</v>
      </c>
      <c r="W35" s="39">
        <f t="shared" si="27"/>
        <v>3</v>
      </c>
      <c r="X35" s="39">
        <f t="shared" si="27"/>
        <v>0</v>
      </c>
      <c r="Y35" s="39">
        <f t="shared" si="27"/>
        <v>27</v>
      </c>
      <c r="Z35" s="39">
        <f t="shared" si="27"/>
        <v>7</v>
      </c>
      <c r="AA35" s="39">
        <f t="shared" si="27"/>
        <v>1</v>
      </c>
      <c r="AB35" s="39">
        <f t="shared" si="27"/>
        <v>0</v>
      </c>
      <c r="AC35" s="39">
        <f t="shared" si="27"/>
        <v>569</v>
      </c>
      <c r="AD35" s="39">
        <f t="shared" si="27"/>
        <v>0</v>
      </c>
      <c r="AE35" s="40">
        <f t="shared" si="27"/>
        <v>451</v>
      </c>
      <c r="AF35" s="40">
        <f t="shared" si="27"/>
        <v>898</v>
      </c>
    </row>
    <row r="36" spans="2:32" ht="23.1" customHeight="1" x14ac:dyDescent="0.25">
      <c r="B36" s="46" t="s">
        <v>63</v>
      </c>
      <c r="C36" s="50">
        <v>66</v>
      </c>
      <c r="D36" s="50">
        <v>8</v>
      </c>
      <c r="E36" s="50">
        <v>11</v>
      </c>
      <c r="F36" s="50">
        <v>14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125</v>
      </c>
      <c r="N36" s="50">
        <v>0</v>
      </c>
      <c r="O36" s="15">
        <f t="shared" si="0"/>
        <v>104</v>
      </c>
      <c r="P36" s="15">
        <f t="shared" si="1"/>
        <v>229</v>
      </c>
      <c r="R36" s="38" t="s">
        <v>92</v>
      </c>
      <c r="S36" s="39">
        <f t="shared" ref="S36:AF36" si="28">MAX(S19:S21)</f>
        <v>541</v>
      </c>
      <c r="T36" s="39">
        <f t="shared" si="28"/>
        <v>83</v>
      </c>
      <c r="U36" s="39">
        <f t="shared" si="28"/>
        <v>58</v>
      </c>
      <c r="V36" s="39">
        <f t="shared" si="28"/>
        <v>75</v>
      </c>
      <c r="W36" s="39">
        <f t="shared" si="28"/>
        <v>3</v>
      </c>
      <c r="X36" s="39">
        <f t="shared" si="28"/>
        <v>2</v>
      </c>
      <c r="Y36" s="39">
        <f t="shared" si="28"/>
        <v>23</v>
      </c>
      <c r="Z36" s="39">
        <f t="shared" si="28"/>
        <v>4</v>
      </c>
      <c r="AA36" s="39">
        <f t="shared" si="28"/>
        <v>0</v>
      </c>
      <c r="AB36" s="39">
        <f t="shared" si="28"/>
        <v>0</v>
      </c>
      <c r="AC36" s="39">
        <f t="shared" si="28"/>
        <v>439</v>
      </c>
      <c r="AD36" s="39">
        <f t="shared" si="28"/>
        <v>0</v>
      </c>
      <c r="AE36" s="40">
        <f t="shared" si="28"/>
        <v>753</v>
      </c>
      <c r="AF36" s="40">
        <f t="shared" si="28"/>
        <v>1192</v>
      </c>
    </row>
    <row r="37" spans="2:32" ht="23.1" customHeight="1" x14ac:dyDescent="0.25">
      <c r="B37" s="45" t="s">
        <v>64</v>
      </c>
      <c r="C37" s="50">
        <v>42</v>
      </c>
      <c r="D37" s="50">
        <v>3</v>
      </c>
      <c r="E37" s="50">
        <v>6</v>
      </c>
      <c r="F37" s="50">
        <v>6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65</v>
      </c>
      <c r="N37" s="50">
        <v>0</v>
      </c>
      <c r="O37" s="15">
        <f t="shared" si="0"/>
        <v>62</v>
      </c>
      <c r="P37" s="15">
        <f t="shared" si="1"/>
        <v>127</v>
      </c>
      <c r="R37" s="37" t="s">
        <v>85</v>
      </c>
      <c r="S37" s="35">
        <f t="shared" ref="S37:AF37" si="29">SUM(S10:S12)</f>
        <v>296</v>
      </c>
      <c r="T37" s="16">
        <f t="shared" si="29"/>
        <v>44</v>
      </c>
      <c r="U37" s="16">
        <f t="shared" si="29"/>
        <v>55</v>
      </c>
      <c r="V37" s="16">
        <f t="shared" si="29"/>
        <v>163</v>
      </c>
      <c r="W37" s="16">
        <f t="shared" si="29"/>
        <v>7</v>
      </c>
      <c r="X37" s="16">
        <f t="shared" si="29"/>
        <v>0</v>
      </c>
      <c r="Y37" s="16">
        <f t="shared" si="29"/>
        <v>25</v>
      </c>
      <c r="Z37" s="16">
        <f t="shared" si="29"/>
        <v>5</v>
      </c>
      <c r="AA37" s="16">
        <f t="shared" si="29"/>
        <v>1</v>
      </c>
      <c r="AB37" s="16">
        <f t="shared" si="29"/>
        <v>0</v>
      </c>
      <c r="AC37" s="16">
        <f t="shared" si="29"/>
        <v>2187</v>
      </c>
      <c r="AD37" s="16">
        <f t="shared" si="29"/>
        <v>0</v>
      </c>
      <c r="AE37" s="32">
        <f t="shared" si="29"/>
        <v>596</v>
      </c>
      <c r="AF37" s="32">
        <f t="shared" si="29"/>
        <v>2783</v>
      </c>
    </row>
    <row r="38" spans="2:32" ht="23.1" customHeight="1" x14ac:dyDescent="0.25">
      <c r="B38" s="46" t="s">
        <v>65</v>
      </c>
      <c r="C38" s="50">
        <v>57</v>
      </c>
      <c r="D38" s="50">
        <v>11</v>
      </c>
      <c r="E38" s="50">
        <v>8</v>
      </c>
      <c r="F38" s="50">
        <v>15</v>
      </c>
      <c r="G38" s="50">
        <v>0</v>
      </c>
      <c r="H38" s="50">
        <v>0</v>
      </c>
      <c r="I38" s="50">
        <v>6</v>
      </c>
      <c r="J38" s="50">
        <v>3</v>
      </c>
      <c r="K38" s="50">
        <v>0</v>
      </c>
      <c r="L38" s="50">
        <v>0</v>
      </c>
      <c r="M38" s="50">
        <v>125</v>
      </c>
      <c r="N38" s="50">
        <v>0</v>
      </c>
      <c r="O38" s="15">
        <f t="shared" si="0"/>
        <v>100</v>
      </c>
      <c r="P38" s="15">
        <f t="shared" si="1"/>
        <v>225</v>
      </c>
      <c r="R38" s="28" t="s">
        <v>86</v>
      </c>
      <c r="S38" s="16">
        <f t="shared" ref="S38:AF38" si="30">SUM(S13:S18)</f>
        <v>1182</v>
      </c>
      <c r="T38" s="16">
        <f t="shared" si="30"/>
        <v>192</v>
      </c>
      <c r="U38" s="16">
        <f t="shared" si="30"/>
        <v>205</v>
      </c>
      <c r="V38" s="16">
        <f t="shared" si="30"/>
        <v>306</v>
      </c>
      <c r="W38" s="16">
        <f t="shared" si="30"/>
        <v>7</v>
      </c>
      <c r="X38" s="16">
        <f t="shared" si="30"/>
        <v>0</v>
      </c>
      <c r="Y38" s="16">
        <f t="shared" si="30"/>
        <v>127</v>
      </c>
      <c r="Z38" s="16">
        <f t="shared" si="30"/>
        <v>22</v>
      </c>
      <c r="AA38" s="16">
        <f t="shared" si="30"/>
        <v>1</v>
      </c>
      <c r="AB38" s="16">
        <f t="shared" si="30"/>
        <v>0</v>
      </c>
      <c r="AC38" s="16">
        <f t="shared" si="30"/>
        <v>2772</v>
      </c>
      <c r="AD38" s="16">
        <f t="shared" si="30"/>
        <v>0</v>
      </c>
      <c r="AE38" s="32">
        <f t="shared" si="30"/>
        <v>2042</v>
      </c>
      <c r="AF38" s="32">
        <f t="shared" si="30"/>
        <v>4814</v>
      </c>
    </row>
    <row r="39" spans="2:32" ht="23.1" customHeight="1" x14ac:dyDescent="0.25">
      <c r="B39" s="46" t="s">
        <v>66</v>
      </c>
      <c r="C39" s="50">
        <v>51</v>
      </c>
      <c r="D39" s="50">
        <v>9</v>
      </c>
      <c r="E39" s="50">
        <v>9</v>
      </c>
      <c r="F39" s="50">
        <v>17</v>
      </c>
      <c r="G39" s="50">
        <v>0</v>
      </c>
      <c r="H39" s="50">
        <v>0</v>
      </c>
      <c r="I39" s="50">
        <v>6</v>
      </c>
      <c r="J39" s="50">
        <v>1</v>
      </c>
      <c r="K39" s="50">
        <v>1</v>
      </c>
      <c r="L39" s="50">
        <v>0</v>
      </c>
      <c r="M39" s="50">
        <v>110</v>
      </c>
      <c r="N39" s="50">
        <v>0</v>
      </c>
      <c r="O39" s="15">
        <f t="shared" si="0"/>
        <v>94</v>
      </c>
      <c r="P39" s="15">
        <f t="shared" si="1"/>
        <v>204</v>
      </c>
      <c r="R39" s="29" t="s">
        <v>87</v>
      </c>
      <c r="S39" s="16">
        <f t="shared" ref="S39:AF39" si="31">SUM(S19:S21)</f>
        <v>1360</v>
      </c>
      <c r="T39" s="16">
        <f t="shared" si="31"/>
        <v>191</v>
      </c>
      <c r="U39" s="16">
        <f t="shared" si="31"/>
        <v>141</v>
      </c>
      <c r="V39" s="16">
        <f t="shared" si="31"/>
        <v>187</v>
      </c>
      <c r="W39" s="16">
        <f t="shared" si="31"/>
        <v>7</v>
      </c>
      <c r="X39" s="16">
        <f t="shared" si="31"/>
        <v>2</v>
      </c>
      <c r="Y39" s="16">
        <f t="shared" si="31"/>
        <v>52</v>
      </c>
      <c r="Z39" s="16">
        <f t="shared" si="31"/>
        <v>6</v>
      </c>
      <c r="AA39" s="16">
        <f t="shared" si="31"/>
        <v>0</v>
      </c>
      <c r="AB39" s="16">
        <f t="shared" si="31"/>
        <v>0</v>
      </c>
      <c r="AC39" s="16">
        <f t="shared" si="31"/>
        <v>1176</v>
      </c>
      <c r="AD39" s="16">
        <f t="shared" si="31"/>
        <v>0</v>
      </c>
      <c r="AE39" s="32">
        <f t="shared" si="31"/>
        <v>1946</v>
      </c>
      <c r="AF39" s="32">
        <f t="shared" si="31"/>
        <v>3122</v>
      </c>
    </row>
    <row r="40" spans="2:32" ht="23.1" customHeight="1" x14ac:dyDescent="0.25">
      <c r="B40" s="46" t="s">
        <v>67</v>
      </c>
      <c r="C40" s="50">
        <v>61</v>
      </c>
      <c r="D40" s="50">
        <v>7</v>
      </c>
      <c r="E40" s="50">
        <v>6</v>
      </c>
      <c r="F40" s="50">
        <v>8</v>
      </c>
      <c r="G40" s="50">
        <v>0</v>
      </c>
      <c r="H40" s="50">
        <v>0</v>
      </c>
      <c r="I40" s="50">
        <v>10</v>
      </c>
      <c r="J40" s="50">
        <v>0</v>
      </c>
      <c r="K40" s="50">
        <v>0</v>
      </c>
      <c r="L40" s="50">
        <v>0</v>
      </c>
      <c r="M40" s="50">
        <v>113</v>
      </c>
      <c r="N40" s="50">
        <v>0</v>
      </c>
      <c r="O40" s="15">
        <f t="shared" si="0"/>
        <v>92</v>
      </c>
      <c r="P40" s="15">
        <f t="shared" si="1"/>
        <v>205</v>
      </c>
      <c r="R40" s="5" t="s">
        <v>17</v>
      </c>
      <c r="S40" s="16">
        <f t="shared" ref="S40:AF40" si="32">SUM(S10:S21)</f>
        <v>2838</v>
      </c>
      <c r="T40" s="16">
        <f t="shared" si="32"/>
        <v>427</v>
      </c>
      <c r="U40" s="16">
        <f t="shared" si="32"/>
        <v>401</v>
      </c>
      <c r="V40" s="16">
        <f t="shared" si="32"/>
        <v>656</v>
      </c>
      <c r="W40" s="16">
        <f t="shared" si="32"/>
        <v>21</v>
      </c>
      <c r="X40" s="16">
        <f t="shared" si="32"/>
        <v>2</v>
      </c>
      <c r="Y40" s="16">
        <f t="shared" si="32"/>
        <v>204</v>
      </c>
      <c r="Z40" s="16">
        <f t="shared" si="32"/>
        <v>33</v>
      </c>
      <c r="AA40" s="16">
        <f t="shared" si="32"/>
        <v>2</v>
      </c>
      <c r="AB40" s="16">
        <f t="shared" si="32"/>
        <v>0</v>
      </c>
      <c r="AC40" s="16">
        <f t="shared" si="32"/>
        <v>6135</v>
      </c>
      <c r="AD40" s="16">
        <f t="shared" si="32"/>
        <v>0</v>
      </c>
      <c r="AE40" s="32">
        <f t="shared" si="32"/>
        <v>4584</v>
      </c>
      <c r="AF40" s="32">
        <f t="shared" si="32"/>
        <v>10719</v>
      </c>
    </row>
    <row r="41" spans="2:32" ht="23.1" customHeight="1" x14ac:dyDescent="0.25">
      <c r="B41" s="45" t="s">
        <v>68</v>
      </c>
      <c r="C41" s="50">
        <v>20</v>
      </c>
      <c r="D41" s="50">
        <v>1</v>
      </c>
      <c r="E41" s="50">
        <v>2</v>
      </c>
      <c r="F41" s="50">
        <v>3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70</v>
      </c>
      <c r="N41" s="50">
        <v>0</v>
      </c>
      <c r="O41" s="15">
        <f t="shared" si="0"/>
        <v>27</v>
      </c>
      <c r="P41" s="15">
        <f t="shared" si="1"/>
        <v>97</v>
      </c>
      <c r="R41" s="5" t="s">
        <v>159</v>
      </c>
      <c r="S41" s="16">
        <f>SUM(S10:S33)</f>
        <v>4713</v>
      </c>
      <c r="T41" s="16">
        <f t="shared" ref="T41:AF41" si="33">SUM(T10:T33)</f>
        <v>607</v>
      </c>
      <c r="U41" s="16">
        <f t="shared" si="33"/>
        <v>544</v>
      </c>
      <c r="V41" s="16">
        <f t="shared" si="33"/>
        <v>1184</v>
      </c>
      <c r="W41" s="16">
        <f t="shared" si="33"/>
        <v>36</v>
      </c>
      <c r="X41" s="16">
        <f t="shared" si="33"/>
        <v>10</v>
      </c>
      <c r="Y41" s="16">
        <f t="shared" si="33"/>
        <v>268</v>
      </c>
      <c r="Z41" s="16">
        <f t="shared" si="33"/>
        <v>43</v>
      </c>
      <c r="AA41" s="16">
        <f t="shared" si="33"/>
        <v>2</v>
      </c>
      <c r="AB41" s="16">
        <f t="shared" si="33"/>
        <v>0</v>
      </c>
      <c r="AC41" s="16">
        <f t="shared" si="33"/>
        <v>8887</v>
      </c>
      <c r="AD41" s="16">
        <f t="shared" si="33"/>
        <v>0</v>
      </c>
      <c r="AE41" s="32">
        <f t="shared" si="33"/>
        <v>7407</v>
      </c>
      <c r="AF41" s="32">
        <f t="shared" si="33"/>
        <v>16294</v>
      </c>
    </row>
    <row r="42" spans="2:32" ht="23.1" customHeight="1" x14ac:dyDescent="0.25">
      <c r="B42" s="46" t="s">
        <v>69</v>
      </c>
      <c r="C42" s="50">
        <v>71</v>
      </c>
      <c r="D42" s="50">
        <v>13</v>
      </c>
      <c r="E42" s="50">
        <v>15</v>
      </c>
      <c r="F42" s="50">
        <v>9</v>
      </c>
      <c r="G42" s="50">
        <v>0</v>
      </c>
      <c r="H42" s="50">
        <v>0</v>
      </c>
      <c r="I42" s="50">
        <v>6</v>
      </c>
      <c r="J42" s="50">
        <v>0</v>
      </c>
      <c r="K42" s="50">
        <v>0</v>
      </c>
      <c r="L42" s="50">
        <v>0</v>
      </c>
      <c r="M42" s="50">
        <v>101</v>
      </c>
      <c r="N42" s="50">
        <v>0</v>
      </c>
      <c r="O42" s="15">
        <f t="shared" si="0"/>
        <v>114</v>
      </c>
      <c r="P42" s="15">
        <f t="shared" si="1"/>
        <v>215</v>
      </c>
      <c r="R42" s="5" t="s">
        <v>160</v>
      </c>
      <c r="S42" s="48">
        <f>S41/S40</f>
        <v>1.6606765327695561</v>
      </c>
      <c r="T42" s="48">
        <f t="shared" ref="T42:AF42" si="34">T41/T40</f>
        <v>1.4215456674473068</v>
      </c>
      <c r="U42" s="48">
        <f t="shared" si="34"/>
        <v>1.3566084788029926</v>
      </c>
      <c r="V42" s="48">
        <f t="shared" si="34"/>
        <v>1.8048780487804879</v>
      </c>
      <c r="W42" s="48">
        <f t="shared" si="34"/>
        <v>1.7142857142857142</v>
      </c>
      <c r="X42" s="48">
        <f t="shared" si="34"/>
        <v>5</v>
      </c>
      <c r="Y42" s="48">
        <f t="shared" si="34"/>
        <v>1.3137254901960784</v>
      </c>
      <c r="Z42" s="48">
        <f t="shared" si="34"/>
        <v>1.303030303030303</v>
      </c>
      <c r="AA42" s="48">
        <f t="shared" si="34"/>
        <v>1</v>
      </c>
      <c r="AB42" s="48" t="e">
        <f t="shared" si="34"/>
        <v>#DIV/0!</v>
      </c>
      <c r="AC42" s="48">
        <f t="shared" si="34"/>
        <v>1.4485737571312143</v>
      </c>
      <c r="AD42" s="48" t="e">
        <f t="shared" si="34"/>
        <v>#DIV/0!</v>
      </c>
      <c r="AE42" s="48">
        <f t="shared" si="34"/>
        <v>1.6158376963350785</v>
      </c>
      <c r="AF42" s="48">
        <f t="shared" si="34"/>
        <v>1.5201044873588954</v>
      </c>
    </row>
    <row r="43" spans="2:32" ht="23.1" customHeight="1" x14ac:dyDescent="0.25">
      <c r="B43" s="45" t="s">
        <v>70</v>
      </c>
      <c r="C43" s="50">
        <v>63</v>
      </c>
      <c r="D43" s="50">
        <v>8</v>
      </c>
      <c r="E43" s="50">
        <v>7</v>
      </c>
      <c r="F43" s="50">
        <v>13</v>
      </c>
      <c r="G43" s="50">
        <v>0</v>
      </c>
      <c r="H43" s="50">
        <v>0</v>
      </c>
      <c r="I43" s="50">
        <v>6</v>
      </c>
      <c r="J43" s="50">
        <v>1</v>
      </c>
      <c r="K43" s="50">
        <v>0</v>
      </c>
      <c r="L43" s="50">
        <v>0</v>
      </c>
      <c r="M43" s="50">
        <v>101</v>
      </c>
      <c r="N43" s="50">
        <v>0</v>
      </c>
      <c r="O43" s="15">
        <f t="shared" si="0"/>
        <v>98</v>
      </c>
      <c r="P43" s="15">
        <f t="shared" si="1"/>
        <v>199</v>
      </c>
    </row>
    <row r="44" spans="2:32" ht="23.1" customHeight="1" x14ac:dyDescent="0.25">
      <c r="B44" s="47" t="s">
        <v>71</v>
      </c>
      <c r="C44" s="50">
        <v>76</v>
      </c>
      <c r="D44" s="50">
        <v>15</v>
      </c>
      <c r="E44" s="50">
        <v>6</v>
      </c>
      <c r="F44" s="50">
        <v>7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50">
        <v>145</v>
      </c>
      <c r="N44" s="50">
        <v>0</v>
      </c>
      <c r="O44" s="15">
        <f t="shared" si="0"/>
        <v>109</v>
      </c>
      <c r="P44" s="15">
        <f t="shared" si="1"/>
        <v>254</v>
      </c>
    </row>
    <row r="45" spans="2:32" ht="23.1" customHeight="1" x14ac:dyDescent="0.25">
      <c r="B45" s="45" t="s">
        <v>72</v>
      </c>
      <c r="C45" s="50">
        <v>81</v>
      </c>
      <c r="D45" s="50">
        <v>13</v>
      </c>
      <c r="E45" s="50">
        <v>11</v>
      </c>
      <c r="F45" s="50">
        <v>11</v>
      </c>
      <c r="G45" s="50">
        <v>1</v>
      </c>
      <c r="H45" s="50">
        <v>0</v>
      </c>
      <c r="I45" s="50">
        <v>10</v>
      </c>
      <c r="J45" s="50">
        <v>3</v>
      </c>
      <c r="K45" s="50">
        <v>0</v>
      </c>
      <c r="L45" s="50">
        <v>0</v>
      </c>
      <c r="M45" s="50">
        <v>100</v>
      </c>
      <c r="N45" s="50">
        <v>0</v>
      </c>
      <c r="O45" s="15">
        <f t="shared" si="0"/>
        <v>130</v>
      </c>
      <c r="P45" s="15">
        <f t="shared" si="1"/>
        <v>230</v>
      </c>
    </row>
    <row r="46" spans="2:32" ht="23.1" customHeight="1" x14ac:dyDescent="0.25">
      <c r="B46" s="46" t="s">
        <v>73</v>
      </c>
      <c r="C46" s="50">
        <v>74</v>
      </c>
      <c r="D46" s="50">
        <v>10</v>
      </c>
      <c r="E46" s="50">
        <v>12</v>
      </c>
      <c r="F46" s="50">
        <v>17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85</v>
      </c>
      <c r="N46" s="50">
        <v>0</v>
      </c>
      <c r="O46" s="15">
        <f t="shared" si="0"/>
        <v>117</v>
      </c>
      <c r="P46" s="15">
        <f t="shared" si="1"/>
        <v>202</v>
      </c>
      <c r="R46" s="8"/>
      <c r="T46"/>
    </row>
    <row r="47" spans="2:32" ht="23.1" customHeight="1" x14ac:dyDescent="0.25">
      <c r="B47" s="46" t="s">
        <v>74</v>
      </c>
      <c r="C47" s="50">
        <v>71</v>
      </c>
      <c r="D47" s="50">
        <v>17</v>
      </c>
      <c r="E47" s="50">
        <v>7</v>
      </c>
      <c r="F47" s="50">
        <v>10</v>
      </c>
      <c r="G47" s="50">
        <v>1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82</v>
      </c>
      <c r="N47" s="50">
        <v>0</v>
      </c>
      <c r="O47" s="15">
        <f t="shared" si="0"/>
        <v>107</v>
      </c>
      <c r="P47" s="15">
        <f t="shared" si="1"/>
        <v>189</v>
      </c>
      <c r="R47" s="8"/>
      <c r="T47"/>
    </row>
    <row r="48" spans="2:32" ht="23.1" customHeight="1" x14ac:dyDescent="0.25">
      <c r="B48" s="46" t="s">
        <v>75</v>
      </c>
      <c r="C48" s="50">
        <v>90</v>
      </c>
      <c r="D48" s="50">
        <v>4</v>
      </c>
      <c r="E48" s="50">
        <v>6</v>
      </c>
      <c r="F48" s="50">
        <v>8</v>
      </c>
      <c r="G48" s="50">
        <v>1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75</v>
      </c>
      <c r="N48" s="50">
        <v>0</v>
      </c>
      <c r="O48" s="15">
        <f t="shared" si="0"/>
        <v>112</v>
      </c>
      <c r="P48" s="15">
        <f t="shared" si="1"/>
        <v>187</v>
      </c>
      <c r="R48" s="8"/>
      <c r="T48"/>
    </row>
    <row r="49" spans="2:20" ht="23.1" customHeight="1" x14ac:dyDescent="0.25">
      <c r="B49" s="45" t="s">
        <v>76</v>
      </c>
      <c r="C49" s="50">
        <v>90</v>
      </c>
      <c r="D49" s="50">
        <v>17</v>
      </c>
      <c r="E49" s="50">
        <v>10</v>
      </c>
      <c r="F49" s="50">
        <v>13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85</v>
      </c>
      <c r="N49" s="50">
        <v>0</v>
      </c>
      <c r="O49" s="15">
        <f t="shared" si="0"/>
        <v>132</v>
      </c>
      <c r="P49" s="15">
        <f t="shared" si="1"/>
        <v>217</v>
      </c>
      <c r="R49" s="8"/>
      <c r="T49"/>
    </row>
    <row r="50" spans="2:20" ht="23.1" customHeight="1" x14ac:dyDescent="0.25">
      <c r="B50" s="46" t="s">
        <v>77</v>
      </c>
      <c r="C50" s="50">
        <v>120</v>
      </c>
      <c r="D50" s="50">
        <v>20</v>
      </c>
      <c r="E50" s="50">
        <v>14</v>
      </c>
      <c r="F50" s="50">
        <v>17</v>
      </c>
      <c r="G50" s="50">
        <v>2</v>
      </c>
      <c r="H50" s="50">
        <v>0</v>
      </c>
      <c r="I50" s="50">
        <v>11</v>
      </c>
      <c r="J50" s="50">
        <v>0</v>
      </c>
      <c r="K50" s="50">
        <v>0</v>
      </c>
      <c r="L50" s="50">
        <v>0</v>
      </c>
      <c r="M50" s="50">
        <v>55</v>
      </c>
      <c r="N50" s="50">
        <v>0</v>
      </c>
      <c r="O50" s="15">
        <f t="shared" si="0"/>
        <v>184</v>
      </c>
      <c r="P50" s="15">
        <f t="shared" si="1"/>
        <v>239</v>
      </c>
      <c r="R50" s="8"/>
      <c r="T50"/>
    </row>
    <row r="51" spans="2:20" ht="23.1" customHeight="1" x14ac:dyDescent="0.25">
      <c r="B51" s="46" t="s">
        <v>78</v>
      </c>
      <c r="C51" s="50">
        <v>130</v>
      </c>
      <c r="D51" s="50">
        <v>20</v>
      </c>
      <c r="E51" s="50">
        <v>13</v>
      </c>
      <c r="F51" s="50">
        <v>15</v>
      </c>
      <c r="G51" s="50">
        <v>0</v>
      </c>
      <c r="H51" s="50">
        <v>0</v>
      </c>
      <c r="I51" s="50">
        <v>5</v>
      </c>
      <c r="J51" s="50">
        <v>0</v>
      </c>
      <c r="K51" s="50">
        <v>0</v>
      </c>
      <c r="L51" s="50">
        <v>0</v>
      </c>
      <c r="M51" s="50">
        <v>75</v>
      </c>
      <c r="N51" s="50">
        <v>0</v>
      </c>
      <c r="O51" s="15">
        <f t="shared" si="0"/>
        <v>183</v>
      </c>
      <c r="P51" s="15">
        <f t="shared" si="1"/>
        <v>258</v>
      </c>
      <c r="R51" s="8"/>
      <c r="T51"/>
    </row>
    <row r="52" spans="2:20" ht="23.1" customHeight="1" x14ac:dyDescent="0.25">
      <c r="B52" s="46" t="s">
        <v>79</v>
      </c>
      <c r="C52" s="50">
        <v>125</v>
      </c>
      <c r="D52" s="50">
        <v>32</v>
      </c>
      <c r="E52" s="50">
        <v>15</v>
      </c>
      <c r="F52" s="50">
        <v>16</v>
      </c>
      <c r="G52" s="50">
        <v>0</v>
      </c>
      <c r="H52" s="50">
        <v>0</v>
      </c>
      <c r="I52" s="50">
        <v>5</v>
      </c>
      <c r="J52" s="50">
        <v>0</v>
      </c>
      <c r="K52" s="50">
        <v>0</v>
      </c>
      <c r="L52" s="50">
        <v>0</v>
      </c>
      <c r="M52" s="50">
        <v>155</v>
      </c>
      <c r="N52" s="50">
        <v>0</v>
      </c>
      <c r="O52" s="15">
        <f t="shared" si="0"/>
        <v>193</v>
      </c>
      <c r="P52" s="15">
        <f t="shared" si="1"/>
        <v>348</v>
      </c>
      <c r="R52" s="8"/>
      <c r="T52"/>
    </row>
    <row r="53" spans="2:20" ht="23.1" customHeight="1" x14ac:dyDescent="0.25">
      <c r="B53" s="45" t="s">
        <v>80</v>
      </c>
      <c r="C53" s="50">
        <v>119</v>
      </c>
      <c r="D53" s="50">
        <v>11</v>
      </c>
      <c r="E53" s="50">
        <v>16</v>
      </c>
      <c r="F53" s="50">
        <v>16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125</v>
      </c>
      <c r="N53" s="50">
        <v>0</v>
      </c>
      <c r="O53" s="15">
        <f t="shared" si="0"/>
        <v>165</v>
      </c>
      <c r="P53" s="15">
        <f t="shared" si="1"/>
        <v>290</v>
      </c>
      <c r="R53" s="8"/>
      <c r="T53"/>
    </row>
    <row r="54" spans="2:20" ht="23.1" customHeight="1" x14ac:dyDescent="0.25">
      <c r="B54" s="45" t="s">
        <v>81</v>
      </c>
      <c r="C54" s="50">
        <v>120</v>
      </c>
      <c r="D54" s="50">
        <v>12</v>
      </c>
      <c r="E54" s="50">
        <v>10</v>
      </c>
      <c r="F54" s="50">
        <v>10</v>
      </c>
      <c r="G54" s="50">
        <v>1</v>
      </c>
      <c r="H54" s="50">
        <v>0</v>
      </c>
      <c r="I54" s="50">
        <v>6</v>
      </c>
      <c r="J54" s="50">
        <v>3</v>
      </c>
      <c r="K54" s="50">
        <v>0</v>
      </c>
      <c r="L54" s="50">
        <v>0</v>
      </c>
      <c r="M54" s="50">
        <v>130</v>
      </c>
      <c r="N54" s="50">
        <v>0</v>
      </c>
      <c r="O54" s="15">
        <f t="shared" si="0"/>
        <v>162</v>
      </c>
      <c r="P54" s="15">
        <f t="shared" si="1"/>
        <v>292</v>
      </c>
      <c r="R54" s="8"/>
      <c r="T54"/>
    </row>
    <row r="55" spans="2:20" ht="23.1" customHeight="1" x14ac:dyDescent="0.25">
      <c r="B55" s="45" t="s">
        <v>82</v>
      </c>
      <c r="C55" s="50">
        <v>196</v>
      </c>
      <c r="D55" s="50">
        <v>15</v>
      </c>
      <c r="E55" s="50">
        <v>16</v>
      </c>
      <c r="F55" s="50">
        <v>18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132</v>
      </c>
      <c r="N55" s="50">
        <v>0</v>
      </c>
      <c r="O55" s="15">
        <f t="shared" si="0"/>
        <v>248</v>
      </c>
      <c r="P55" s="15">
        <f t="shared" si="1"/>
        <v>380</v>
      </c>
      <c r="R55" s="8"/>
      <c r="T55"/>
    </row>
    <row r="56" spans="2:20" ht="23.1" customHeight="1" x14ac:dyDescent="0.25">
      <c r="B56" s="45" t="s">
        <v>83</v>
      </c>
      <c r="C56" s="50">
        <v>140</v>
      </c>
      <c r="D56" s="50">
        <v>22</v>
      </c>
      <c r="E56" s="50">
        <v>13</v>
      </c>
      <c r="F56" s="50">
        <v>31</v>
      </c>
      <c r="G56" s="50">
        <v>1</v>
      </c>
      <c r="H56" s="50">
        <v>1</v>
      </c>
      <c r="I56" s="50">
        <v>6</v>
      </c>
      <c r="J56" s="50">
        <v>1</v>
      </c>
      <c r="K56" s="50">
        <v>0</v>
      </c>
      <c r="L56" s="50">
        <v>0</v>
      </c>
      <c r="M56" s="50">
        <v>82</v>
      </c>
      <c r="N56" s="50">
        <v>0</v>
      </c>
      <c r="O56" s="15">
        <f t="shared" si="0"/>
        <v>215</v>
      </c>
      <c r="P56" s="15">
        <f t="shared" si="1"/>
        <v>297</v>
      </c>
      <c r="R56" s="8"/>
      <c r="T56"/>
    </row>
    <row r="57" spans="2:20" ht="23.1" customHeight="1" x14ac:dyDescent="0.25">
      <c r="B57" s="45" t="s">
        <v>84</v>
      </c>
      <c r="C57" s="50">
        <v>85</v>
      </c>
      <c r="D57" s="50">
        <v>11</v>
      </c>
      <c r="E57" s="50">
        <v>9</v>
      </c>
      <c r="F57" s="50">
        <v>16</v>
      </c>
      <c r="G57" s="50">
        <v>0</v>
      </c>
      <c r="H57" s="50">
        <v>1</v>
      </c>
      <c r="I57" s="50">
        <v>6</v>
      </c>
      <c r="J57" s="50">
        <v>0</v>
      </c>
      <c r="K57" s="50">
        <v>0</v>
      </c>
      <c r="L57" s="50">
        <v>0</v>
      </c>
      <c r="M57" s="50">
        <v>95</v>
      </c>
      <c r="N57" s="50">
        <v>0</v>
      </c>
      <c r="O57" s="15">
        <f t="shared" si="0"/>
        <v>128</v>
      </c>
      <c r="P57" s="15">
        <f t="shared" si="1"/>
        <v>223</v>
      </c>
      <c r="R57" s="8"/>
      <c r="T57"/>
    </row>
    <row r="58" spans="2:20" ht="23.1" customHeight="1" x14ac:dyDescent="0.25">
      <c r="B58" s="45" t="s">
        <v>99</v>
      </c>
      <c r="C58" s="50">
        <v>105</v>
      </c>
      <c r="D58" s="50">
        <v>7</v>
      </c>
      <c r="E58" s="50">
        <v>9</v>
      </c>
      <c r="F58" s="50">
        <v>20</v>
      </c>
      <c r="G58" s="50">
        <v>2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80</v>
      </c>
      <c r="N58" s="50">
        <v>0</v>
      </c>
      <c r="O58" s="15">
        <f t="shared" si="0"/>
        <v>143</v>
      </c>
      <c r="P58" s="15">
        <f t="shared" si="1"/>
        <v>223</v>
      </c>
      <c r="R58" s="8"/>
      <c r="T58"/>
    </row>
    <row r="59" spans="2:20" ht="23.1" customHeight="1" x14ac:dyDescent="0.25">
      <c r="B59" s="45" t="s">
        <v>100</v>
      </c>
      <c r="C59" s="50">
        <v>100</v>
      </c>
      <c r="D59" s="50">
        <v>13</v>
      </c>
      <c r="E59" s="50">
        <v>9</v>
      </c>
      <c r="F59" s="50">
        <v>38</v>
      </c>
      <c r="G59" s="50">
        <v>0</v>
      </c>
      <c r="H59" s="50">
        <v>0</v>
      </c>
      <c r="I59" s="50">
        <v>2</v>
      </c>
      <c r="J59" s="50">
        <v>1</v>
      </c>
      <c r="K59" s="50">
        <v>0</v>
      </c>
      <c r="L59" s="50">
        <v>0</v>
      </c>
      <c r="M59" s="50">
        <v>135</v>
      </c>
      <c r="N59" s="50">
        <v>0</v>
      </c>
      <c r="O59" s="15">
        <f t="shared" si="0"/>
        <v>163</v>
      </c>
      <c r="P59" s="15">
        <f t="shared" si="1"/>
        <v>298</v>
      </c>
      <c r="R59" s="8"/>
      <c r="T59"/>
    </row>
    <row r="60" spans="2:20" ht="23.1" customHeight="1" x14ac:dyDescent="0.25">
      <c r="B60" s="45" t="s">
        <v>101</v>
      </c>
      <c r="C60" s="50">
        <v>120</v>
      </c>
      <c r="D60" s="50">
        <v>5</v>
      </c>
      <c r="E60" s="50">
        <v>13</v>
      </c>
      <c r="F60" s="50">
        <v>37</v>
      </c>
      <c r="G60" s="50">
        <v>1</v>
      </c>
      <c r="H60" s="50">
        <v>2</v>
      </c>
      <c r="I60" s="50">
        <v>6</v>
      </c>
      <c r="J60" s="50">
        <v>2</v>
      </c>
      <c r="K60" s="50">
        <v>0</v>
      </c>
      <c r="L60" s="50">
        <v>0</v>
      </c>
      <c r="M60" s="50">
        <v>180</v>
      </c>
      <c r="N60" s="50">
        <v>0</v>
      </c>
      <c r="O60" s="15">
        <f t="shared" si="0"/>
        <v>186</v>
      </c>
      <c r="P60" s="15">
        <f t="shared" si="1"/>
        <v>366</v>
      </c>
      <c r="R60" s="8"/>
      <c r="T60"/>
    </row>
    <row r="61" spans="2:20" ht="23.1" customHeight="1" x14ac:dyDescent="0.25">
      <c r="B61" s="45" t="s">
        <v>102</v>
      </c>
      <c r="C61" s="50">
        <v>107</v>
      </c>
      <c r="D61" s="50">
        <v>15</v>
      </c>
      <c r="E61" s="50">
        <v>9</v>
      </c>
      <c r="F61" s="50">
        <v>52</v>
      </c>
      <c r="G61" s="50">
        <v>1</v>
      </c>
      <c r="H61" s="50">
        <v>0</v>
      </c>
      <c r="I61" s="50">
        <v>2</v>
      </c>
      <c r="J61" s="50">
        <v>2</v>
      </c>
      <c r="K61" s="50">
        <v>0</v>
      </c>
      <c r="L61" s="50">
        <v>0</v>
      </c>
      <c r="M61" s="50">
        <v>150</v>
      </c>
      <c r="N61" s="50">
        <v>0</v>
      </c>
      <c r="O61" s="15">
        <f t="shared" si="0"/>
        <v>188</v>
      </c>
      <c r="P61" s="15">
        <f t="shared" si="1"/>
        <v>338</v>
      </c>
      <c r="R61" s="8"/>
      <c r="T61"/>
    </row>
    <row r="62" spans="2:20" ht="23.1" customHeight="1" x14ac:dyDescent="0.25">
      <c r="B62" s="45" t="s">
        <v>107</v>
      </c>
      <c r="C62" s="50">
        <v>140</v>
      </c>
      <c r="D62" s="50">
        <v>9</v>
      </c>
      <c r="E62" s="50">
        <v>10</v>
      </c>
      <c r="F62" s="50">
        <v>55</v>
      </c>
      <c r="G62" s="50">
        <v>1</v>
      </c>
      <c r="H62" s="50">
        <v>0</v>
      </c>
      <c r="I62" s="50">
        <v>8</v>
      </c>
      <c r="J62" s="50">
        <v>0</v>
      </c>
      <c r="K62" s="50">
        <v>0</v>
      </c>
      <c r="L62" s="50">
        <v>0</v>
      </c>
      <c r="M62" s="50">
        <v>160</v>
      </c>
      <c r="N62" s="50">
        <v>0</v>
      </c>
      <c r="O62" s="15">
        <f t="shared" si="0"/>
        <v>223</v>
      </c>
      <c r="P62" s="15">
        <f t="shared" si="1"/>
        <v>383</v>
      </c>
      <c r="R62" s="8"/>
      <c r="T62"/>
    </row>
    <row r="63" spans="2:20" ht="23.1" customHeight="1" x14ac:dyDescent="0.25">
      <c r="B63" s="45" t="s">
        <v>108</v>
      </c>
      <c r="C63" s="50">
        <v>125</v>
      </c>
      <c r="D63" s="50">
        <v>12</v>
      </c>
      <c r="E63" s="50">
        <v>14</v>
      </c>
      <c r="F63" s="50">
        <v>47</v>
      </c>
      <c r="G63" s="50">
        <v>1</v>
      </c>
      <c r="H63" s="50">
        <v>1</v>
      </c>
      <c r="I63" s="50">
        <v>9</v>
      </c>
      <c r="J63" s="50">
        <v>1</v>
      </c>
      <c r="K63" s="50">
        <v>0</v>
      </c>
      <c r="L63" s="50">
        <v>0</v>
      </c>
      <c r="M63" s="50">
        <v>140</v>
      </c>
      <c r="N63" s="50">
        <v>0</v>
      </c>
      <c r="O63" s="15">
        <f t="shared" si="0"/>
        <v>210</v>
      </c>
      <c r="P63" s="15">
        <f t="shared" si="1"/>
        <v>350</v>
      </c>
      <c r="R63" s="8"/>
      <c r="T63"/>
    </row>
    <row r="64" spans="2:20" ht="23.1" customHeight="1" x14ac:dyDescent="0.25">
      <c r="B64" s="45" t="s">
        <v>109</v>
      </c>
      <c r="C64" s="50">
        <v>100</v>
      </c>
      <c r="D64" s="50">
        <v>9</v>
      </c>
      <c r="E64" s="50">
        <v>9</v>
      </c>
      <c r="F64" s="50">
        <v>58</v>
      </c>
      <c r="G64" s="50">
        <v>1</v>
      </c>
      <c r="H64" s="50">
        <v>3</v>
      </c>
      <c r="I64" s="50">
        <v>2</v>
      </c>
      <c r="J64" s="50">
        <v>0</v>
      </c>
      <c r="K64" s="50">
        <v>0</v>
      </c>
      <c r="L64" s="50">
        <v>0</v>
      </c>
      <c r="M64" s="50">
        <v>180</v>
      </c>
      <c r="N64" s="50">
        <v>0</v>
      </c>
      <c r="O64" s="15">
        <f t="shared" si="0"/>
        <v>182</v>
      </c>
      <c r="P64" s="15">
        <f t="shared" si="1"/>
        <v>362</v>
      </c>
      <c r="R64" s="8"/>
      <c r="T64"/>
    </row>
    <row r="65" spans="2:20" ht="23.1" customHeight="1" x14ac:dyDescent="0.25">
      <c r="B65" s="45" t="s">
        <v>158</v>
      </c>
      <c r="C65" s="50">
        <v>115</v>
      </c>
      <c r="D65" s="50">
        <v>6</v>
      </c>
      <c r="E65" s="50">
        <v>6</v>
      </c>
      <c r="F65" s="50">
        <v>32</v>
      </c>
      <c r="G65" s="50">
        <v>4</v>
      </c>
      <c r="H65" s="50">
        <v>0</v>
      </c>
      <c r="I65" s="50">
        <v>8</v>
      </c>
      <c r="J65" s="50">
        <v>0</v>
      </c>
      <c r="K65" s="50">
        <v>0</v>
      </c>
      <c r="L65" s="50">
        <v>0</v>
      </c>
      <c r="M65" s="50">
        <v>125</v>
      </c>
      <c r="N65" s="50">
        <v>0</v>
      </c>
      <c r="O65" s="15">
        <f t="shared" si="0"/>
        <v>171</v>
      </c>
      <c r="P65" s="15">
        <f t="shared" si="1"/>
        <v>296</v>
      </c>
      <c r="R65" s="8"/>
      <c r="T65"/>
    </row>
    <row r="66" spans="2:20" ht="23.1" customHeight="1" x14ac:dyDescent="0.25">
      <c r="B66" s="45" t="s">
        <v>103</v>
      </c>
      <c r="C66" s="50">
        <v>76</v>
      </c>
      <c r="D66" s="50">
        <v>6</v>
      </c>
      <c r="E66" s="50">
        <v>4</v>
      </c>
      <c r="F66" s="50">
        <v>34</v>
      </c>
      <c r="G66" s="50">
        <v>0</v>
      </c>
      <c r="H66" s="50">
        <v>0</v>
      </c>
      <c r="I66" s="50">
        <v>2</v>
      </c>
      <c r="J66" s="50">
        <v>1</v>
      </c>
      <c r="K66" s="50">
        <v>0</v>
      </c>
      <c r="L66" s="50">
        <v>0</v>
      </c>
      <c r="M66" s="50">
        <v>100</v>
      </c>
      <c r="N66" s="50">
        <v>0</v>
      </c>
      <c r="O66" s="15">
        <f t="shared" si="0"/>
        <v>123</v>
      </c>
      <c r="P66" s="15">
        <f t="shared" si="1"/>
        <v>223</v>
      </c>
      <c r="R66" s="8"/>
      <c r="T66"/>
    </row>
    <row r="67" spans="2:20" ht="23.1" customHeight="1" x14ac:dyDescent="0.25">
      <c r="B67" s="45" t="s">
        <v>104</v>
      </c>
      <c r="C67" s="50">
        <v>100</v>
      </c>
      <c r="D67" s="50">
        <v>10</v>
      </c>
      <c r="E67" s="50">
        <v>7</v>
      </c>
      <c r="F67" s="50">
        <v>30</v>
      </c>
      <c r="G67" s="50">
        <v>0</v>
      </c>
      <c r="H67" s="50">
        <v>1</v>
      </c>
      <c r="I67" s="50">
        <v>3</v>
      </c>
      <c r="J67" s="50">
        <v>0</v>
      </c>
      <c r="K67" s="50">
        <v>0</v>
      </c>
      <c r="L67" s="50">
        <v>0</v>
      </c>
      <c r="M67" s="50">
        <v>125</v>
      </c>
      <c r="N67" s="50">
        <v>0</v>
      </c>
      <c r="O67" s="15">
        <f t="shared" si="0"/>
        <v>151</v>
      </c>
      <c r="P67" s="15">
        <f t="shared" si="1"/>
        <v>276</v>
      </c>
      <c r="R67" s="8"/>
      <c r="T67"/>
    </row>
    <row r="68" spans="2:20" ht="23.1" customHeight="1" x14ac:dyDescent="0.25">
      <c r="B68" s="45" t="s">
        <v>105</v>
      </c>
      <c r="C68" s="50">
        <v>90</v>
      </c>
      <c r="D68" s="50">
        <v>18</v>
      </c>
      <c r="E68" s="50">
        <v>8</v>
      </c>
      <c r="F68" s="50">
        <v>26</v>
      </c>
      <c r="G68" s="50">
        <v>1</v>
      </c>
      <c r="H68" s="50">
        <v>1</v>
      </c>
      <c r="I68" s="50">
        <v>5</v>
      </c>
      <c r="J68" s="50">
        <v>0</v>
      </c>
      <c r="K68" s="50">
        <v>0</v>
      </c>
      <c r="L68" s="50">
        <v>0</v>
      </c>
      <c r="M68" s="50">
        <v>116</v>
      </c>
      <c r="N68" s="50">
        <v>0</v>
      </c>
      <c r="O68" s="15">
        <f t="shared" si="0"/>
        <v>149</v>
      </c>
      <c r="P68" s="15">
        <f t="shared" si="1"/>
        <v>265</v>
      </c>
      <c r="R68" s="8"/>
      <c r="T68"/>
    </row>
    <row r="69" spans="2:20" ht="23.1" customHeight="1" x14ac:dyDescent="0.25">
      <c r="B69" s="45" t="s">
        <v>106</v>
      </c>
      <c r="C69" s="50">
        <v>70</v>
      </c>
      <c r="D69" s="50">
        <v>11</v>
      </c>
      <c r="E69" s="50">
        <v>5</v>
      </c>
      <c r="F69" s="50">
        <v>20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105</v>
      </c>
      <c r="N69" s="50">
        <v>0</v>
      </c>
      <c r="O69" s="15">
        <f t="shared" si="0"/>
        <v>106</v>
      </c>
      <c r="P69" s="15">
        <f t="shared" si="1"/>
        <v>211</v>
      </c>
      <c r="R69" s="8"/>
      <c r="T69"/>
    </row>
    <row r="70" spans="2:20" ht="23.1" customHeight="1" x14ac:dyDescent="0.25">
      <c r="B70" s="45" t="s">
        <v>110</v>
      </c>
      <c r="C70" s="50">
        <v>73</v>
      </c>
      <c r="D70" s="50">
        <v>11</v>
      </c>
      <c r="E70" s="50">
        <v>7</v>
      </c>
      <c r="F70" s="50">
        <v>18</v>
      </c>
      <c r="G70" s="50">
        <v>1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120</v>
      </c>
      <c r="N70" s="50">
        <v>0</v>
      </c>
      <c r="O70" s="15">
        <f t="shared" si="0"/>
        <v>110</v>
      </c>
      <c r="P70" s="15">
        <f t="shared" si="1"/>
        <v>230</v>
      </c>
      <c r="R70" s="8"/>
      <c r="T70"/>
    </row>
    <row r="71" spans="2:20" ht="23.1" customHeight="1" x14ac:dyDescent="0.25">
      <c r="B71" s="45" t="s">
        <v>111</v>
      </c>
      <c r="C71" s="50">
        <v>80</v>
      </c>
      <c r="D71" s="50">
        <v>9</v>
      </c>
      <c r="E71" s="50">
        <v>2</v>
      </c>
      <c r="F71" s="50">
        <v>10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155</v>
      </c>
      <c r="N71" s="50">
        <v>0</v>
      </c>
      <c r="O71" s="15">
        <f t="shared" si="0"/>
        <v>102</v>
      </c>
      <c r="P71" s="15">
        <f t="shared" si="1"/>
        <v>257</v>
      </c>
      <c r="R71" s="8"/>
      <c r="T71"/>
    </row>
    <row r="72" spans="2:20" ht="23.1" customHeight="1" x14ac:dyDescent="0.25">
      <c r="B72" s="45" t="s">
        <v>112</v>
      </c>
      <c r="C72" s="50">
        <v>50</v>
      </c>
      <c r="D72" s="50">
        <v>0</v>
      </c>
      <c r="E72" s="50">
        <v>7</v>
      </c>
      <c r="F72" s="50">
        <v>9</v>
      </c>
      <c r="G72" s="50">
        <v>0</v>
      </c>
      <c r="H72" s="50">
        <v>0</v>
      </c>
      <c r="I72" s="50">
        <v>2</v>
      </c>
      <c r="J72" s="50">
        <v>0</v>
      </c>
      <c r="K72" s="50">
        <v>0</v>
      </c>
      <c r="L72" s="50">
        <v>0</v>
      </c>
      <c r="M72" s="50">
        <v>125</v>
      </c>
      <c r="N72" s="50">
        <v>0</v>
      </c>
      <c r="O72" s="15">
        <f t="shared" si="0"/>
        <v>68</v>
      </c>
      <c r="P72" s="15">
        <f t="shared" si="1"/>
        <v>193</v>
      </c>
      <c r="R72" s="8"/>
      <c r="T72"/>
    </row>
    <row r="73" spans="2:20" ht="23.1" customHeight="1" x14ac:dyDescent="0.25">
      <c r="B73" s="45" t="s">
        <v>113</v>
      </c>
      <c r="C73" s="50">
        <v>53</v>
      </c>
      <c r="D73" s="50">
        <v>9</v>
      </c>
      <c r="E73" s="50">
        <v>2</v>
      </c>
      <c r="F73" s="50">
        <v>5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101</v>
      </c>
      <c r="N73" s="50">
        <v>0</v>
      </c>
      <c r="O73" s="15">
        <f t="shared" si="0"/>
        <v>70</v>
      </c>
      <c r="P73" s="15">
        <f t="shared" si="1"/>
        <v>171</v>
      </c>
      <c r="R73" s="8"/>
      <c r="T73"/>
    </row>
    <row r="74" spans="2:20" ht="23.1" customHeight="1" x14ac:dyDescent="0.25">
      <c r="B74" s="45" t="s">
        <v>114</v>
      </c>
      <c r="C74" s="50">
        <v>34</v>
      </c>
      <c r="D74" s="50">
        <v>4</v>
      </c>
      <c r="E74" s="50">
        <v>0</v>
      </c>
      <c r="F74" s="50">
        <v>3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95</v>
      </c>
      <c r="N74" s="50">
        <v>0</v>
      </c>
      <c r="O74" s="15">
        <f t="shared" ref="O74:O105" si="35">SUM(C74:L74,N74)</f>
        <v>41</v>
      </c>
      <c r="P74" s="15">
        <f t="shared" ref="P74:P105" si="36">SUM(C74:N74)</f>
        <v>136</v>
      </c>
      <c r="R74" s="8"/>
      <c r="T74"/>
    </row>
    <row r="75" spans="2:20" ht="23.1" customHeight="1" x14ac:dyDescent="0.25">
      <c r="B75" s="45" t="s">
        <v>115</v>
      </c>
      <c r="C75" s="50">
        <v>35</v>
      </c>
      <c r="D75" s="50">
        <v>4</v>
      </c>
      <c r="E75" s="50">
        <v>5</v>
      </c>
      <c r="F75" s="50">
        <v>2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66</v>
      </c>
      <c r="N75" s="50">
        <v>0</v>
      </c>
      <c r="O75" s="15">
        <f t="shared" si="35"/>
        <v>46</v>
      </c>
      <c r="P75" s="15">
        <f t="shared" si="36"/>
        <v>112</v>
      </c>
      <c r="R75" s="8"/>
      <c r="T75"/>
    </row>
    <row r="76" spans="2:20" ht="23.1" customHeight="1" x14ac:dyDescent="0.25">
      <c r="B76" s="45" t="s">
        <v>116</v>
      </c>
      <c r="C76" s="50">
        <v>34</v>
      </c>
      <c r="D76" s="50">
        <v>1</v>
      </c>
      <c r="E76" s="50">
        <v>0</v>
      </c>
      <c r="F76" s="50">
        <v>2</v>
      </c>
      <c r="G76" s="50">
        <v>0</v>
      </c>
      <c r="H76" s="50">
        <v>0</v>
      </c>
      <c r="I76" s="50">
        <v>1</v>
      </c>
      <c r="J76" s="50">
        <v>2</v>
      </c>
      <c r="K76" s="50">
        <v>0</v>
      </c>
      <c r="L76" s="50">
        <v>0</v>
      </c>
      <c r="M76" s="50">
        <v>48</v>
      </c>
      <c r="N76" s="50">
        <v>0</v>
      </c>
      <c r="O76" s="15">
        <f t="shared" si="35"/>
        <v>40</v>
      </c>
      <c r="P76" s="15">
        <f t="shared" si="36"/>
        <v>88</v>
      </c>
      <c r="R76" s="8"/>
      <c r="T76"/>
    </row>
    <row r="77" spans="2:20" ht="23.1" customHeight="1" x14ac:dyDescent="0.25">
      <c r="B77" s="45" t="s">
        <v>117</v>
      </c>
      <c r="C77" s="50">
        <v>37</v>
      </c>
      <c r="D77" s="50">
        <v>4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54</v>
      </c>
      <c r="N77" s="50">
        <v>0</v>
      </c>
      <c r="O77" s="15">
        <f t="shared" si="35"/>
        <v>41</v>
      </c>
      <c r="P77" s="15">
        <f t="shared" si="36"/>
        <v>95</v>
      </c>
      <c r="R77" s="8"/>
      <c r="T77"/>
    </row>
    <row r="78" spans="2:20" ht="23.1" customHeight="1" x14ac:dyDescent="0.25">
      <c r="B78" s="46" t="s">
        <v>118</v>
      </c>
      <c r="C78" s="50">
        <v>28</v>
      </c>
      <c r="D78" s="50">
        <v>0</v>
      </c>
      <c r="E78" s="50">
        <v>0</v>
      </c>
      <c r="F78" s="50">
        <v>5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50">
        <v>43</v>
      </c>
      <c r="N78" s="50">
        <v>0</v>
      </c>
      <c r="O78" s="15">
        <f t="shared" si="35"/>
        <v>35</v>
      </c>
      <c r="P78" s="15">
        <f t="shared" si="36"/>
        <v>78</v>
      </c>
      <c r="R78" s="8"/>
      <c r="T78"/>
    </row>
    <row r="79" spans="2:20" ht="23.1" customHeight="1" x14ac:dyDescent="0.25">
      <c r="B79" s="45" t="s">
        <v>119</v>
      </c>
      <c r="C79" s="50">
        <v>14</v>
      </c>
      <c r="D79" s="50">
        <v>2</v>
      </c>
      <c r="E79" s="50">
        <v>1</v>
      </c>
      <c r="F79" s="50">
        <v>5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32</v>
      </c>
      <c r="N79" s="50">
        <v>0</v>
      </c>
      <c r="O79" s="15">
        <f t="shared" si="35"/>
        <v>22</v>
      </c>
      <c r="P79" s="15">
        <f t="shared" si="36"/>
        <v>54</v>
      </c>
      <c r="R79" s="8"/>
      <c r="T79"/>
    </row>
    <row r="80" spans="2:20" ht="23.1" customHeight="1" x14ac:dyDescent="0.25">
      <c r="B80" s="47" t="s">
        <v>120</v>
      </c>
      <c r="C80" s="50">
        <v>17</v>
      </c>
      <c r="D80" s="50">
        <v>1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20</v>
      </c>
      <c r="N80" s="50">
        <v>0</v>
      </c>
      <c r="O80" s="15">
        <f t="shared" si="35"/>
        <v>18</v>
      </c>
      <c r="P80" s="15">
        <f t="shared" si="36"/>
        <v>38</v>
      </c>
      <c r="R80" s="8"/>
      <c r="T80"/>
    </row>
    <row r="81" spans="2:20" ht="23.1" customHeight="1" x14ac:dyDescent="0.25">
      <c r="B81" s="45" t="s">
        <v>121</v>
      </c>
      <c r="C81" s="50">
        <v>6</v>
      </c>
      <c r="D81" s="50">
        <v>0</v>
      </c>
      <c r="E81" s="50">
        <v>0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21</v>
      </c>
      <c r="N81" s="50">
        <v>0</v>
      </c>
      <c r="O81" s="15">
        <f t="shared" si="35"/>
        <v>7</v>
      </c>
      <c r="P81" s="15">
        <f t="shared" si="36"/>
        <v>28</v>
      </c>
      <c r="R81" s="8"/>
      <c r="T81"/>
    </row>
    <row r="82" spans="2:20" ht="23.1" customHeight="1" x14ac:dyDescent="0.25">
      <c r="B82" s="46" t="s">
        <v>122</v>
      </c>
      <c r="C82" s="50">
        <v>7</v>
      </c>
      <c r="D82" s="50">
        <v>0</v>
      </c>
      <c r="E82" s="50">
        <v>0</v>
      </c>
      <c r="F82" s="50">
        <v>1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11</v>
      </c>
      <c r="N82" s="50">
        <v>0</v>
      </c>
      <c r="O82" s="15">
        <f t="shared" si="35"/>
        <v>9</v>
      </c>
      <c r="P82" s="15">
        <f t="shared" si="36"/>
        <v>20</v>
      </c>
      <c r="R82" s="8"/>
      <c r="T82"/>
    </row>
    <row r="83" spans="2:20" ht="23.1" customHeight="1" x14ac:dyDescent="0.25">
      <c r="B83" s="45" t="s">
        <v>123</v>
      </c>
      <c r="C83" s="50">
        <v>4</v>
      </c>
      <c r="D83" s="50">
        <v>0</v>
      </c>
      <c r="E83" s="50">
        <v>1</v>
      </c>
      <c r="F83" s="50">
        <v>2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8</v>
      </c>
      <c r="P83" s="15">
        <f t="shared" si="36"/>
        <v>10</v>
      </c>
      <c r="R83" s="8"/>
      <c r="T83"/>
    </row>
    <row r="84" spans="2:20" ht="23.1" customHeight="1" x14ac:dyDescent="0.25">
      <c r="B84" s="47" t="s">
        <v>124</v>
      </c>
      <c r="C84" s="50">
        <v>5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2</v>
      </c>
      <c r="N84" s="50">
        <v>0</v>
      </c>
      <c r="O84" s="15">
        <f t="shared" si="35"/>
        <v>7</v>
      </c>
      <c r="P84" s="15">
        <f t="shared" si="36"/>
        <v>9</v>
      </c>
      <c r="R84" s="8"/>
      <c r="T84"/>
    </row>
    <row r="85" spans="2:20" ht="23.1" customHeight="1" x14ac:dyDescent="0.25">
      <c r="B85" s="45" t="s">
        <v>125</v>
      </c>
      <c r="C85" s="50">
        <v>5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7</v>
      </c>
      <c r="P85" s="15">
        <f t="shared" si="36"/>
        <v>7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4</v>
      </c>
      <c r="N86" s="50">
        <v>0</v>
      </c>
      <c r="O86" s="15">
        <f t="shared" si="35"/>
        <v>2</v>
      </c>
      <c r="P86" s="15">
        <f t="shared" si="36"/>
        <v>6</v>
      </c>
      <c r="R86" s="8"/>
      <c r="T86"/>
    </row>
    <row r="87" spans="2:20" ht="23.1" customHeight="1" x14ac:dyDescent="0.25">
      <c r="B87" s="45" t="s">
        <v>127</v>
      </c>
      <c r="C87" s="50">
        <v>9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</v>
      </c>
      <c r="N87" s="50">
        <v>0</v>
      </c>
      <c r="O87" s="15">
        <f t="shared" si="35"/>
        <v>9</v>
      </c>
      <c r="P87" s="15">
        <f t="shared" si="36"/>
        <v>11</v>
      </c>
      <c r="R87" s="8"/>
      <c r="T87"/>
    </row>
    <row r="88" spans="2:20" ht="23.1" customHeight="1" x14ac:dyDescent="0.25">
      <c r="B88" s="47" t="s">
        <v>128</v>
      </c>
      <c r="C88" s="50">
        <v>5</v>
      </c>
      <c r="D88" s="50">
        <v>0</v>
      </c>
      <c r="E88" s="50">
        <v>4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3</v>
      </c>
      <c r="N88" s="50">
        <v>0</v>
      </c>
      <c r="O88" s="15">
        <f t="shared" si="35"/>
        <v>9</v>
      </c>
      <c r="P88" s="15">
        <f t="shared" si="36"/>
        <v>12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2</v>
      </c>
      <c r="E89" s="50">
        <v>3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6</v>
      </c>
      <c r="N89" s="50">
        <v>0</v>
      </c>
      <c r="O89" s="15">
        <f t="shared" si="35"/>
        <v>8</v>
      </c>
      <c r="P89" s="15">
        <f t="shared" si="36"/>
        <v>14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2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3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3</v>
      </c>
      <c r="N91" s="50">
        <v>0</v>
      </c>
      <c r="O91" s="15">
        <f t="shared" si="35"/>
        <v>3</v>
      </c>
      <c r="P91" s="15">
        <f t="shared" si="36"/>
        <v>6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15</v>
      </c>
      <c r="N92" s="50">
        <v>0</v>
      </c>
      <c r="O92" s="15">
        <f t="shared" si="35"/>
        <v>2</v>
      </c>
      <c r="P92" s="15">
        <f t="shared" si="36"/>
        <v>17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1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4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5</v>
      </c>
      <c r="N94" s="50">
        <v>0</v>
      </c>
      <c r="O94" s="15">
        <f t="shared" si="35"/>
        <v>1</v>
      </c>
      <c r="P94" s="15">
        <f t="shared" si="36"/>
        <v>6</v>
      </c>
      <c r="R94" s="8"/>
      <c r="T94"/>
    </row>
    <row r="95" spans="2:20" ht="23.1" customHeight="1" x14ac:dyDescent="0.25">
      <c r="B95" s="45" t="s">
        <v>135</v>
      </c>
      <c r="C95" s="50">
        <v>4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4</v>
      </c>
      <c r="N95" s="50">
        <v>0</v>
      </c>
      <c r="O95" s="15">
        <f t="shared" si="35"/>
        <v>4</v>
      </c>
      <c r="P95" s="15">
        <f t="shared" si="36"/>
        <v>8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7</v>
      </c>
      <c r="N96" s="50">
        <v>0</v>
      </c>
      <c r="O96" s="15">
        <f t="shared" si="35"/>
        <v>3</v>
      </c>
      <c r="P96" s="15">
        <f t="shared" si="36"/>
        <v>10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3</v>
      </c>
      <c r="N97" s="50">
        <v>0</v>
      </c>
      <c r="O97" s="15">
        <f t="shared" si="35"/>
        <v>3</v>
      </c>
      <c r="P97" s="15">
        <f t="shared" si="36"/>
        <v>6</v>
      </c>
      <c r="R97" s="8"/>
      <c r="T97"/>
    </row>
    <row r="98" spans="2:20" ht="23.1" customHeight="1" x14ac:dyDescent="0.25">
      <c r="B98" s="46" t="s">
        <v>138</v>
      </c>
      <c r="C98" s="50">
        <v>10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17</v>
      </c>
      <c r="N98" s="50">
        <v>0</v>
      </c>
      <c r="O98" s="15">
        <f t="shared" si="35"/>
        <v>10</v>
      </c>
      <c r="P98" s="15">
        <f t="shared" si="36"/>
        <v>27</v>
      </c>
      <c r="R98" s="8"/>
      <c r="T98"/>
    </row>
    <row r="99" spans="2:20" ht="23.1" customHeight="1" x14ac:dyDescent="0.25">
      <c r="B99" s="45" t="s">
        <v>139</v>
      </c>
      <c r="C99" s="50">
        <v>20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25</v>
      </c>
      <c r="N99" s="50">
        <v>0</v>
      </c>
      <c r="O99" s="15">
        <f t="shared" si="35"/>
        <v>20</v>
      </c>
      <c r="P99" s="15">
        <f t="shared" si="36"/>
        <v>45</v>
      </c>
      <c r="R99" s="8"/>
      <c r="T99"/>
    </row>
    <row r="100" spans="2:20" ht="23.1" customHeight="1" x14ac:dyDescent="0.25">
      <c r="B100" s="47" t="s">
        <v>140</v>
      </c>
      <c r="C100" s="50">
        <v>10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6</v>
      </c>
      <c r="N100" s="50">
        <v>0</v>
      </c>
      <c r="O100" s="15">
        <f t="shared" si="35"/>
        <v>10</v>
      </c>
      <c r="P100" s="15">
        <f t="shared" si="36"/>
        <v>16</v>
      </c>
      <c r="R100" s="8"/>
      <c r="T100"/>
    </row>
    <row r="101" spans="2:20" ht="23.1" customHeight="1" x14ac:dyDescent="0.25">
      <c r="B101" s="45" t="s">
        <v>141</v>
      </c>
      <c r="C101" s="50">
        <v>5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13</v>
      </c>
      <c r="N101" s="50">
        <v>0</v>
      </c>
      <c r="O101" s="15">
        <f t="shared" si="35"/>
        <v>6</v>
      </c>
      <c r="P101" s="15">
        <f t="shared" si="36"/>
        <v>19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0</v>
      </c>
      <c r="E102" s="50">
        <v>0</v>
      </c>
      <c r="F102" s="50">
        <v>3</v>
      </c>
      <c r="G102" s="50">
        <v>1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10</v>
      </c>
      <c r="N102" s="50">
        <v>0</v>
      </c>
      <c r="O102" s="15">
        <f t="shared" si="35"/>
        <v>13</v>
      </c>
      <c r="P102" s="15">
        <f t="shared" si="36"/>
        <v>23</v>
      </c>
      <c r="R102" s="8"/>
      <c r="T102"/>
    </row>
    <row r="103" spans="2:20" ht="23.1" customHeight="1" x14ac:dyDescent="0.25">
      <c r="B103" s="45" t="s">
        <v>143</v>
      </c>
      <c r="C103" s="50">
        <v>15</v>
      </c>
      <c r="D103" s="50">
        <v>2</v>
      </c>
      <c r="E103" s="50">
        <v>0</v>
      </c>
      <c r="F103" s="50">
        <v>4</v>
      </c>
      <c r="G103" s="50">
        <v>0</v>
      </c>
      <c r="H103" s="50">
        <v>0</v>
      </c>
      <c r="I103" s="50">
        <v>3</v>
      </c>
      <c r="J103" s="50">
        <v>0</v>
      </c>
      <c r="K103" s="50">
        <v>0</v>
      </c>
      <c r="L103" s="50">
        <v>0</v>
      </c>
      <c r="M103" s="50">
        <v>24</v>
      </c>
      <c r="N103" s="50">
        <v>0</v>
      </c>
      <c r="O103" s="15">
        <f t="shared" si="35"/>
        <v>24</v>
      </c>
      <c r="P103" s="15">
        <f t="shared" si="36"/>
        <v>48</v>
      </c>
      <c r="R103" s="8"/>
      <c r="T103"/>
    </row>
    <row r="104" spans="2:20" ht="23.1" customHeight="1" x14ac:dyDescent="0.25">
      <c r="B104" s="47" t="s">
        <v>144</v>
      </c>
      <c r="C104" s="50">
        <v>11</v>
      </c>
      <c r="D104" s="50">
        <v>4</v>
      </c>
      <c r="E104" s="50">
        <v>2</v>
      </c>
      <c r="F104" s="50">
        <v>5</v>
      </c>
      <c r="G104" s="50">
        <v>1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40</v>
      </c>
      <c r="N104" s="50">
        <v>0</v>
      </c>
      <c r="O104" s="15">
        <f t="shared" si="35"/>
        <v>23</v>
      </c>
      <c r="P104" s="15">
        <f t="shared" si="36"/>
        <v>63</v>
      </c>
      <c r="R104" s="8"/>
      <c r="T104"/>
    </row>
    <row r="105" spans="2:20" ht="23.1" customHeight="1" x14ac:dyDescent="0.25">
      <c r="B105" s="45" t="s">
        <v>145</v>
      </c>
      <c r="C105" s="50">
        <v>30</v>
      </c>
      <c r="D105" s="50">
        <v>4</v>
      </c>
      <c r="E105" s="50">
        <v>3</v>
      </c>
      <c r="F105" s="50">
        <v>3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70</v>
      </c>
      <c r="N105" s="50">
        <v>0</v>
      </c>
      <c r="O105" s="15">
        <f t="shared" si="35"/>
        <v>41</v>
      </c>
      <c r="P105" s="15">
        <f t="shared" si="36"/>
        <v>111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4713</v>
      </c>
      <c r="D106" s="16">
        <f t="shared" ref="D106:P106" si="37">SUM(D10:D105)</f>
        <v>607</v>
      </c>
      <c r="E106" s="16">
        <f t="shared" si="37"/>
        <v>544</v>
      </c>
      <c r="F106" s="16">
        <f t="shared" si="37"/>
        <v>1184</v>
      </c>
      <c r="G106" s="16">
        <f t="shared" si="37"/>
        <v>36</v>
      </c>
      <c r="H106" s="16">
        <f t="shared" si="37"/>
        <v>10</v>
      </c>
      <c r="I106" s="16">
        <f t="shared" si="37"/>
        <v>268</v>
      </c>
      <c r="J106" s="16">
        <f t="shared" si="37"/>
        <v>43</v>
      </c>
      <c r="K106" s="16">
        <f t="shared" si="37"/>
        <v>2</v>
      </c>
      <c r="L106" s="16">
        <f t="shared" si="37"/>
        <v>0</v>
      </c>
      <c r="M106" s="16">
        <f t="shared" si="37"/>
        <v>8887</v>
      </c>
      <c r="N106" s="16">
        <f t="shared" si="37"/>
        <v>0</v>
      </c>
      <c r="O106" s="16">
        <f t="shared" si="37"/>
        <v>7407</v>
      </c>
      <c r="P106" s="16">
        <f t="shared" si="37"/>
        <v>16294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0.28924757579477106</v>
      </c>
      <c r="D107" s="43">
        <f t="shared" si="38"/>
        <v>3.7252976555787409E-2</v>
      </c>
      <c r="E107" s="43">
        <f t="shared" si="38"/>
        <v>3.3386522646372901E-2</v>
      </c>
      <c r="F107" s="43">
        <f t="shared" si="38"/>
        <v>7.2664784583282196E-2</v>
      </c>
      <c r="G107" s="43">
        <f t="shared" si="38"/>
        <v>2.2094022339511476E-3</v>
      </c>
      <c r="H107" s="43">
        <f t="shared" si="38"/>
        <v>6.1372284276420773E-4</v>
      </c>
      <c r="I107" s="43">
        <f t="shared" si="38"/>
        <v>1.6447772186080765E-2</v>
      </c>
      <c r="J107" s="43">
        <f t="shared" si="38"/>
        <v>2.6390082238860932E-3</v>
      </c>
      <c r="K107" s="43">
        <f t="shared" si="38"/>
        <v>1.2274456855284154E-4</v>
      </c>
      <c r="L107" s="43">
        <f t="shared" si="38"/>
        <v>0</v>
      </c>
      <c r="M107" s="43">
        <f t="shared" si="38"/>
        <v>0.54541549036455139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0.6362899959497772</v>
      </c>
      <c r="D108" s="44">
        <f t="shared" ref="D108:N108" si="39">D106/$O$106</f>
        <v>8.1949507222897261E-2</v>
      </c>
      <c r="E108" s="44">
        <f t="shared" si="39"/>
        <v>7.344403942216822E-2</v>
      </c>
      <c r="F108" s="44">
        <f t="shared" si="39"/>
        <v>0.1598487916835426</v>
      </c>
      <c r="G108" s="44">
        <f t="shared" si="39"/>
        <v>4.8602673147023082E-3</v>
      </c>
      <c r="H108" s="44">
        <f t="shared" si="39"/>
        <v>1.3500742540839747E-3</v>
      </c>
      <c r="I108" s="44">
        <f t="shared" si="39"/>
        <v>3.6181990009450521E-2</v>
      </c>
      <c r="J108" s="44">
        <f t="shared" si="39"/>
        <v>5.8053192925610906E-3</v>
      </c>
      <c r="K108" s="44">
        <f t="shared" si="39"/>
        <v>2.700148508167949E-4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16" zoomScale="60" workbookViewId="0">
      <selection activeCell="S56" sqref="S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62" t="s">
        <v>169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0" t="s">
        <v>168</v>
      </c>
      <c r="H5" s="61"/>
      <c r="I5" s="14"/>
      <c r="J5" s="2" t="s">
        <v>5</v>
      </c>
      <c r="K5" s="60" t="s">
        <v>167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">
        <v>164</v>
      </c>
      <c r="E6" s="61"/>
      <c r="F6" s="2" t="s">
        <v>2</v>
      </c>
      <c r="G6" s="60" t="s">
        <v>165</v>
      </c>
      <c r="H6" s="61"/>
      <c r="J6" s="2" t="s">
        <v>21</v>
      </c>
      <c r="K6" s="60" t="s">
        <v>166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177</v>
      </c>
      <c r="D10" s="50">
        <v>38</v>
      </c>
      <c r="E10" s="50">
        <v>20</v>
      </c>
      <c r="F10" s="50">
        <v>52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110</v>
      </c>
      <c r="N10" s="50">
        <v>0</v>
      </c>
      <c r="O10" s="15">
        <f t="shared" ref="O10:O57" si="0">SUM(C10:L10,N10)</f>
        <v>287</v>
      </c>
      <c r="P10" s="15">
        <f t="shared" ref="P10:P57" si="1">SUM(C10:N10)</f>
        <v>397</v>
      </c>
      <c r="R10" s="1" t="s">
        <v>6</v>
      </c>
      <c r="S10" s="17">
        <f t="shared" ref="S10:AF10" si="2">SUM(C10:C13)</f>
        <v>692</v>
      </c>
      <c r="T10" s="17">
        <f t="shared" si="2"/>
        <v>108</v>
      </c>
      <c r="U10" s="17">
        <f t="shared" si="2"/>
        <v>64</v>
      </c>
      <c r="V10" s="17">
        <f t="shared" si="2"/>
        <v>176</v>
      </c>
      <c r="W10" s="17">
        <f t="shared" si="2"/>
        <v>2</v>
      </c>
      <c r="X10" s="17">
        <f t="shared" si="2"/>
        <v>0</v>
      </c>
      <c r="Y10" s="17">
        <f t="shared" si="2"/>
        <v>9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595</v>
      </c>
      <c r="AD10" s="17">
        <f t="shared" si="2"/>
        <v>0</v>
      </c>
      <c r="AE10" s="31">
        <f t="shared" si="2"/>
        <v>1051</v>
      </c>
      <c r="AF10" s="31">
        <f t="shared" si="2"/>
        <v>1646</v>
      </c>
    </row>
    <row r="11" spans="2:32" s="6" customFormat="1" ht="23.1" customHeight="1" x14ac:dyDescent="0.25">
      <c r="B11" s="23" t="s">
        <v>38</v>
      </c>
      <c r="C11" s="50">
        <v>165</v>
      </c>
      <c r="D11" s="50">
        <v>21</v>
      </c>
      <c r="E11" s="50">
        <v>14</v>
      </c>
      <c r="F11" s="50">
        <v>28</v>
      </c>
      <c r="G11" s="50">
        <v>1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95</v>
      </c>
      <c r="N11" s="50">
        <v>0</v>
      </c>
      <c r="O11" s="15">
        <f t="shared" si="0"/>
        <v>231</v>
      </c>
      <c r="P11" s="15">
        <f t="shared" si="1"/>
        <v>326</v>
      </c>
      <c r="R11" s="1" t="s">
        <v>7</v>
      </c>
      <c r="S11" s="17">
        <f t="shared" ref="S11:AF11" si="3">SUM(C14:C17)</f>
        <v>435</v>
      </c>
      <c r="T11" s="17">
        <f t="shared" si="3"/>
        <v>66</v>
      </c>
      <c r="U11" s="17">
        <f t="shared" si="3"/>
        <v>55</v>
      </c>
      <c r="V11" s="17">
        <f t="shared" si="3"/>
        <v>141</v>
      </c>
      <c r="W11" s="17">
        <f t="shared" si="3"/>
        <v>0</v>
      </c>
      <c r="X11" s="17">
        <f t="shared" si="3"/>
        <v>0</v>
      </c>
      <c r="Y11" s="17">
        <f t="shared" si="3"/>
        <v>16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665</v>
      </c>
      <c r="AD11" s="17">
        <f t="shared" si="3"/>
        <v>0</v>
      </c>
      <c r="AE11" s="31">
        <f t="shared" si="3"/>
        <v>715</v>
      </c>
      <c r="AF11" s="31">
        <f t="shared" si="3"/>
        <v>1380</v>
      </c>
    </row>
    <row r="12" spans="2:32" ht="23.1" customHeight="1" x14ac:dyDescent="0.25">
      <c r="B12" s="23" t="s">
        <v>39</v>
      </c>
      <c r="C12" s="50">
        <v>173</v>
      </c>
      <c r="D12" s="50">
        <v>18</v>
      </c>
      <c r="E12" s="50">
        <v>16</v>
      </c>
      <c r="F12" s="50">
        <v>48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180</v>
      </c>
      <c r="N12" s="50">
        <v>0</v>
      </c>
      <c r="O12" s="15">
        <f t="shared" si="0"/>
        <v>257</v>
      </c>
      <c r="P12" s="15">
        <f t="shared" si="1"/>
        <v>437</v>
      </c>
      <c r="R12" s="1" t="s">
        <v>8</v>
      </c>
      <c r="S12" s="17">
        <f t="shared" ref="S12:AF12" si="4">SUM(C18:C21)</f>
        <v>361</v>
      </c>
      <c r="T12" s="17">
        <f t="shared" si="4"/>
        <v>75</v>
      </c>
      <c r="U12" s="17">
        <f t="shared" si="4"/>
        <v>49</v>
      </c>
      <c r="V12" s="17">
        <f t="shared" si="4"/>
        <v>126</v>
      </c>
      <c r="W12" s="17">
        <f t="shared" si="4"/>
        <v>8</v>
      </c>
      <c r="X12" s="17">
        <f t="shared" si="4"/>
        <v>0</v>
      </c>
      <c r="Y12" s="17">
        <f t="shared" si="4"/>
        <v>12</v>
      </c>
      <c r="Z12" s="17">
        <f t="shared" si="4"/>
        <v>4</v>
      </c>
      <c r="AA12" s="17">
        <f t="shared" si="4"/>
        <v>1</v>
      </c>
      <c r="AB12" s="17">
        <f t="shared" si="4"/>
        <v>0</v>
      </c>
      <c r="AC12" s="17">
        <f t="shared" si="4"/>
        <v>650</v>
      </c>
      <c r="AD12" s="17">
        <f t="shared" si="4"/>
        <v>0</v>
      </c>
      <c r="AE12" s="31">
        <f t="shared" si="4"/>
        <v>636</v>
      </c>
      <c r="AF12" s="31">
        <f t="shared" si="4"/>
        <v>1286</v>
      </c>
    </row>
    <row r="13" spans="2:32" ht="23.1" customHeight="1" x14ac:dyDescent="0.25">
      <c r="B13" s="23" t="s">
        <v>40</v>
      </c>
      <c r="C13" s="50">
        <v>177</v>
      </c>
      <c r="D13" s="50">
        <v>31</v>
      </c>
      <c r="E13" s="50">
        <v>14</v>
      </c>
      <c r="F13" s="50">
        <v>48</v>
      </c>
      <c r="G13" s="50">
        <v>1</v>
      </c>
      <c r="H13" s="50">
        <v>0</v>
      </c>
      <c r="I13" s="50">
        <v>5</v>
      </c>
      <c r="J13" s="50">
        <v>0</v>
      </c>
      <c r="K13" s="50">
        <v>0</v>
      </c>
      <c r="L13" s="50">
        <v>0</v>
      </c>
      <c r="M13" s="50">
        <v>210</v>
      </c>
      <c r="N13" s="50">
        <v>0</v>
      </c>
      <c r="O13" s="15">
        <f t="shared" si="0"/>
        <v>276</v>
      </c>
      <c r="P13" s="15">
        <f t="shared" si="1"/>
        <v>486</v>
      </c>
      <c r="R13" s="1" t="s">
        <v>9</v>
      </c>
      <c r="S13" s="17">
        <f t="shared" ref="S13:AF13" si="5">SUM(C22:C25)</f>
        <v>257</v>
      </c>
      <c r="T13" s="17">
        <f t="shared" si="5"/>
        <v>58</v>
      </c>
      <c r="U13" s="17">
        <f t="shared" si="5"/>
        <v>42</v>
      </c>
      <c r="V13" s="17">
        <f t="shared" si="5"/>
        <v>63</v>
      </c>
      <c r="W13" s="17">
        <f t="shared" si="5"/>
        <v>1</v>
      </c>
      <c r="X13" s="17">
        <f t="shared" si="5"/>
        <v>0</v>
      </c>
      <c r="Y13" s="17">
        <f t="shared" si="5"/>
        <v>18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341</v>
      </c>
      <c r="AD13" s="17">
        <f t="shared" si="5"/>
        <v>0</v>
      </c>
      <c r="AE13" s="31">
        <f t="shared" si="5"/>
        <v>439</v>
      </c>
      <c r="AF13" s="31">
        <f t="shared" si="5"/>
        <v>780</v>
      </c>
    </row>
    <row r="14" spans="2:32" ht="23.1" customHeight="1" x14ac:dyDescent="0.25">
      <c r="B14" s="23" t="s">
        <v>41</v>
      </c>
      <c r="C14" s="50">
        <v>105</v>
      </c>
      <c r="D14" s="50">
        <v>15</v>
      </c>
      <c r="E14" s="50">
        <v>15</v>
      </c>
      <c r="F14" s="50">
        <v>46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195</v>
      </c>
      <c r="N14" s="50">
        <v>0</v>
      </c>
      <c r="O14" s="15">
        <f t="shared" si="0"/>
        <v>184</v>
      </c>
      <c r="P14" s="15">
        <f t="shared" si="1"/>
        <v>379</v>
      </c>
      <c r="R14" s="1" t="s">
        <v>10</v>
      </c>
      <c r="S14" s="17">
        <f t="shared" ref="S14:AF14" si="6">SUM(C26:C29)</f>
        <v>179</v>
      </c>
      <c r="T14" s="17">
        <f t="shared" si="6"/>
        <v>63</v>
      </c>
      <c r="U14" s="17">
        <f t="shared" si="6"/>
        <v>34</v>
      </c>
      <c r="V14" s="17">
        <f t="shared" si="6"/>
        <v>46</v>
      </c>
      <c r="W14" s="17">
        <f t="shared" si="6"/>
        <v>0</v>
      </c>
      <c r="X14" s="17">
        <f t="shared" si="6"/>
        <v>0</v>
      </c>
      <c r="Y14" s="17">
        <f t="shared" si="6"/>
        <v>7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350</v>
      </c>
      <c r="AD14" s="17">
        <f t="shared" si="6"/>
        <v>0</v>
      </c>
      <c r="AE14" s="31">
        <f t="shared" si="6"/>
        <v>332</v>
      </c>
      <c r="AF14" s="31">
        <f t="shared" si="6"/>
        <v>682</v>
      </c>
    </row>
    <row r="15" spans="2:32" ht="23.1" customHeight="1" x14ac:dyDescent="0.25">
      <c r="B15" s="23" t="s">
        <v>42</v>
      </c>
      <c r="C15" s="50">
        <v>110</v>
      </c>
      <c r="D15" s="50">
        <v>14</v>
      </c>
      <c r="E15" s="50">
        <v>14</v>
      </c>
      <c r="F15" s="50">
        <v>30</v>
      </c>
      <c r="G15" s="50">
        <v>0</v>
      </c>
      <c r="H15" s="50">
        <v>0</v>
      </c>
      <c r="I15" s="50">
        <v>4</v>
      </c>
      <c r="J15" s="50">
        <v>1</v>
      </c>
      <c r="K15" s="50">
        <v>0</v>
      </c>
      <c r="L15" s="50">
        <v>0</v>
      </c>
      <c r="M15" s="50">
        <v>160</v>
      </c>
      <c r="N15" s="50">
        <v>0</v>
      </c>
      <c r="O15" s="15">
        <f t="shared" si="0"/>
        <v>173</v>
      </c>
      <c r="P15" s="15">
        <f t="shared" si="1"/>
        <v>333</v>
      </c>
      <c r="R15" s="1" t="s">
        <v>11</v>
      </c>
      <c r="S15" s="17">
        <f t="shared" ref="S15:AF15" si="7">SUM(C30:C33)</f>
        <v>166</v>
      </c>
      <c r="T15" s="17">
        <f t="shared" si="7"/>
        <v>32</v>
      </c>
      <c r="U15" s="17">
        <f t="shared" si="7"/>
        <v>20</v>
      </c>
      <c r="V15" s="17">
        <f t="shared" si="7"/>
        <v>29</v>
      </c>
      <c r="W15" s="17">
        <f t="shared" si="7"/>
        <v>0</v>
      </c>
      <c r="X15" s="17">
        <f t="shared" si="7"/>
        <v>0</v>
      </c>
      <c r="Y15" s="17">
        <f t="shared" si="7"/>
        <v>13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287</v>
      </c>
      <c r="AD15" s="17">
        <f t="shared" si="7"/>
        <v>0</v>
      </c>
      <c r="AE15" s="31">
        <f t="shared" si="7"/>
        <v>260</v>
      </c>
      <c r="AF15" s="31">
        <f t="shared" si="7"/>
        <v>547</v>
      </c>
    </row>
    <row r="16" spans="2:32" ht="23.1" customHeight="1" x14ac:dyDescent="0.25">
      <c r="B16" s="23" t="s">
        <v>43</v>
      </c>
      <c r="C16" s="50">
        <v>125</v>
      </c>
      <c r="D16" s="50">
        <v>18</v>
      </c>
      <c r="E16" s="50">
        <v>16</v>
      </c>
      <c r="F16" s="50">
        <v>35</v>
      </c>
      <c r="G16" s="50">
        <v>0</v>
      </c>
      <c r="H16" s="50">
        <v>0</v>
      </c>
      <c r="I16" s="50">
        <v>4</v>
      </c>
      <c r="J16" s="50">
        <v>1</v>
      </c>
      <c r="K16" s="50">
        <v>0</v>
      </c>
      <c r="L16" s="50">
        <v>0</v>
      </c>
      <c r="M16" s="50">
        <v>160</v>
      </c>
      <c r="N16" s="50">
        <v>0</v>
      </c>
      <c r="O16" s="15">
        <f t="shared" si="0"/>
        <v>199</v>
      </c>
      <c r="P16" s="15">
        <f t="shared" si="1"/>
        <v>359</v>
      </c>
      <c r="R16" s="1" t="s">
        <v>12</v>
      </c>
      <c r="S16" s="17">
        <f t="shared" ref="S16:AF16" si="8">SUM(C34:C37)</f>
        <v>174</v>
      </c>
      <c r="T16" s="17">
        <f t="shared" si="8"/>
        <v>41</v>
      </c>
      <c r="U16" s="17">
        <f t="shared" si="8"/>
        <v>23</v>
      </c>
      <c r="V16" s="17">
        <f t="shared" si="8"/>
        <v>35</v>
      </c>
      <c r="W16" s="17">
        <f t="shared" si="8"/>
        <v>1</v>
      </c>
      <c r="X16" s="17">
        <f t="shared" si="8"/>
        <v>0</v>
      </c>
      <c r="Y16" s="17">
        <f t="shared" si="8"/>
        <v>12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364</v>
      </c>
      <c r="AD16" s="17">
        <f t="shared" si="8"/>
        <v>0</v>
      </c>
      <c r="AE16" s="31">
        <f t="shared" si="8"/>
        <v>287</v>
      </c>
      <c r="AF16" s="31">
        <f t="shared" si="8"/>
        <v>651</v>
      </c>
    </row>
    <row r="17" spans="2:32" ht="23.1" customHeight="1" x14ac:dyDescent="0.25">
      <c r="B17" s="23" t="s">
        <v>44</v>
      </c>
      <c r="C17" s="50">
        <v>95</v>
      </c>
      <c r="D17" s="50">
        <v>19</v>
      </c>
      <c r="E17" s="50">
        <v>10</v>
      </c>
      <c r="F17" s="50">
        <v>30</v>
      </c>
      <c r="G17" s="50">
        <v>0</v>
      </c>
      <c r="H17" s="50">
        <v>0</v>
      </c>
      <c r="I17" s="50">
        <v>5</v>
      </c>
      <c r="J17" s="50">
        <v>0</v>
      </c>
      <c r="K17" s="50">
        <v>0</v>
      </c>
      <c r="L17" s="50">
        <v>0</v>
      </c>
      <c r="M17" s="50">
        <v>150</v>
      </c>
      <c r="N17" s="50">
        <v>0</v>
      </c>
      <c r="O17" s="15">
        <f t="shared" si="0"/>
        <v>159</v>
      </c>
      <c r="P17" s="15">
        <f t="shared" si="1"/>
        <v>309</v>
      </c>
      <c r="R17" s="1" t="s">
        <v>13</v>
      </c>
      <c r="S17" s="17">
        <f t="shared" ref="S17:AF17" si="9">SUM(C38:C41)</f>
        <v>173</v>
      </c>
      <c r="T17" s="17">
        <f t="shared" si="9"/>
        <v>39</v>
      </c>
      <c r="U17" s="17">
        <f t="shared" si="9"/>
        <v>31</v>
      </c>
      <c r="V17" s="17">
        <f t="shared" si="9"/>
        <v>28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342</v>
      </c>
      <c r="AD17" s="17">
        <f t="shared" si="9"/>
        <v>0</v>
      </c>
      <c r="AE17" s="31">
        <f t="shared" si="9"/>
        <v>284</v>
      </c>
      <c r="AF17" s="31">
        <f t="shared" si="9"/>
        <v>626</v>
      </c>
    </row>
    <row r="18" spans="2:32" ht="23.1" customHeight="1" x14ac:dyDescent="0.25">
      <c r="B18" s="23" t="s">
        <v>45</v>
      </c>
      <c r="C18" s="50">
        <v>105</v>
      </c>
      <c r="D18" s="50">
        <v>18</v>
      </c>
      <c r="E18" s="50">
        <v>10</v>
      </c>
      <c r="F18" s="50">
        <v>46</v>
      </c>
      <c r="G18" s="50">
        <v>4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155</v>
      </c>
      <c r="N18" s="50">
        <v>0</v>
      </c>
      <c r="O18" s="15">
        <f t="shared" si="0"/>
        <v>189</v>
      </c>
      <c r="P18" s="15">
        <f t="shared" si="1"/>
        <v>344</v>
      </c>
      <c r="R18" s="1" t="s">
        <v>14</v>
      </c>
      <c r="S18" s="17">
        <f t="shared" ref="S18:AF18" si="10">SUM(C42:C45)</f>
        <v>165</v>
      </c>
      <c r="T18" s="17">
        <f t="shared" si="10"/>
        <v>30</v>
      </c>
      <c r="U18" s="17">
        <f t="shared" si="10"/>
        <v>32</v>
      </c>
      <c r="V18" s="17">
        <f t="shared" si="10"/>
        <v>38</v>
      </c>
      <c r="W18" s="17">
        <f t="shared" si="10"/>
        <v>2</v>
      </c>
      <c r="X18" s="17">
        <f t="shared" si="10"/>
        <v>0</v>
      </c>
      <c r="Y18" s="17">
        <f t="shared" si="10"/>
        <v>14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353</v>
      </c>
      <c r="AD18" s="17">
        <f t="shared" si="10"/>
        <v>0</v>
      </c>
      <c r="AE18" s="31">
        <f t="shared" si="10"/>
        <v>282</v>
      </c>
      <c r="AF18" s="31">
        <f t="shared" si="10"/>
        <v>635</v>
      </c>
    </row>
    <row r="19" spans="2:32" ht="23.1" customHeight="1" x14ac:dyDescent="0.25">
      <c r="B19" s="23" t="s">
        <v>46</v>
      </c>
      <c r="C19" s="50">
        <v>80</v>
      </c>
      <c r="D19" s="50">
        <v>17</v>
      </c>
      <c r="E19" s="50">
        <v>16</v>
      </c>
      <c r="F19" s="50">
        <v>23</v>
      </c>
      <c r="G19" s="50">
        <v>0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50">
        <v>165</v>
      </c>
      <c r="N19" s="50">
        <v>0</v>
      </c>
      <c r="O19" s="15">
        <f t="shared" si="0"/>
        <v>140</v>
      </c>
      <c r="P19" s="15">
        <f t="shared" si="1"/>
        <v>305</v>
      </c>
      <c r="R19" s="1" t="s">
        <v>15</v>
      </c>
      <c r="S19" s="17">
        <f t="shared" ref="S19:AF19" si="11">SUM(C46:C49)</f>
        <v>213</v>
      </c>
      <c r="T19" s="17">
        <f t="shared" si="11"/>
        <v>45</v>
      </c>
      <c r="U19" s="17">
        <f t="shared" si="11"/>
        <v>29</v>
      </c>
      <c r="V19" s="17">
        <f t="shared" si="11"/>
        <v>36</v>
      </c>
      <c r="W19" s="17">
        <f t="shared" si="11"/>
        <v>2</v>
      </c>
      <c r="X19" s="17">
        <f t="shared" si="11"/>
        <v>0</v>
      </c>
      <c r="Y19" s="17">
        <f t="shared" si="11"/>
        <v>15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368</v>
      </c>
      <c r="AD19" s="17">
        <f t="shared" si="11"/>
        <v>0</v>
      </c>
      <c r="AE19" s="31">
        <f t="shared" si="11"/>
        <v>341</v>
      </c>
      <c r="AF19" s="31">
        <f t="shared" si="11"/>
        <v>709</v>
      </c>
    </row>
    <row r="20" spans="2:32" ht="23.1" customHeight="1" x14ac:dyDescent="0.25">
      <c r="B20" s="23" t="s">
        <v>47</v>
      </c>
      <c r="C20" s="50">
        <v>86</v>
      </c>
      <c r="D20" s="50">
        <v>24</v>
      </c>
      <c r="E20" s="50">
        <v>14</v>
      </c>
      <c r="F20" s="50">
        <v>38</v>
      </c>
      <c r="G20" s="50">
        <v>3</v>
      </c>
      <c r="H20" s="50">
        <v>0</v>
      </c>
      <c r="I20" s="50">
        <v>2</v>
      </c>
      <c r="J20" s="50">
        <v>2</v>
      </c>
      <c r="K20" s="50">
        <v>1</v>
      </c>
      <c r="L20" s="50">
        <v>0</v>
      </c>
      <c r="M20" s="50">
        <v>185</v>
      </c>
      <c r="N20" s="50">
        <v>0</v>
      </c>
      <c r="O20" s="15">
        <f t="shared" si="0"/>
        <v>170</v>
      </c>
      <c r="P20" s="15">
        <f t="shared" si="1"/>
        <v>355</v>
      </c>
      <c r="R20" s="1" t="s">
        <v>16</v>
      </c>
      <c r="S20" s="17">
        <f t="shared" ref="S20:AF20" si="12">SUM(C50:C53)</f>
        <v>182</v>
      </c>
      <c r="T20" s="17">
        <f t="shared" si="12"/>
        <v>42</v>
      </c>
      <c r="U20" s="17">
        <f t="shared" si="12"/>
        <v>23</v>
      </c>
      <c r="V20" s="17">
        <f t="shared" si="12"/>
        <v>44</v>
      </c>
      <c r="W20" s="17">
        <f t="shared" si="12"/>
        <v>3</v>
      </c>
      <c r="X20" s="17">
        <f t="shared" si="12"/>
        <v>0</v>
      </c>
      <c r="Y20" s="17">
        <f t="shared" si="12"/>
        <v>13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425</v>
      </c>
      <c r="AD20" s="17">
        <f t="shared" si="12"/>
        <v>0</v>
      </c>
      <c r="AE20" s="31">
        <f t="shared" si="12"/>
        <v>310</v>
      </c>
      <c r="AF20" s="31">
        <f t="shared" si="12"/>
        <v>735</v>
      </c>
    </row>
    <row r="21" spans="2:32" ht="23.1" customHeight="1" x14ac:dyDescent="0.25">
      <c r="B21" s="23" t="s">
        <v>48</v>
      </c>
      <c r="C21" s="50">
        <v>90</v>
      </c>
      <c r="D21" s="50">
        <v>16</v>
      </c>
      <c r="E21" s="50">
        <v>9</v>
      </c>
      <c r="F21" s="50">
        <v>19</v>
      </c>
      <c r="G21" s="50">
        <v>1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145</v>
      </c>
      <c r="N21" s="50">
        <v>0</v>
      </c>
      <c r="O21" s="15">
        <f t="shared" si="0"/>
        <v>137</v>
      </c>
      <c r="P21" s="15">
        <f t="shared" si="1"/>
        <v>282</v>
      </c>
      <c r="R21" s="36" t="s">
        <v>20</v>
      </c>
      <c r="S21" s="34">
        <f t="shared" ref="S21:AF21" si="13">SUM(C54:C57)</f>
        <v>157</v>
      </c>
      <c r="T21" s="17">
        <f t="shared" si="13"/>
        <v>36</v>
      </c>
      <c r="U21" s="17">
        <f t="shared" si="13"/>
        <v>23</v>
      </c>
      <c r="V21" s="17">
        <f t="shared" si="13"/>
        <v>35</v>
      </c>
      <c r="W21" s="17">
        <f t="shared" si="13"/>
        <v>2</v>
      </c>
      <c r="X21" s="17">
        <f t="shared" si="13"/>
        <v>1</v>
      </c>
      <c r="Y21" s="17">
        <f t="shared" si="13"/>
        <v>8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510</v>
      </c>
      <c r="AD21" s="17">
        <f t="shared" si="13"/>
        <v>0</v>
      </c>
      <c r="AE21" s="31">
        <f t="shared" si="13"/>
        <v>265</v>
      </c>
      <c r="AF21" s="31">
        <f t="shared" si="13"/>
        <v>775</v>
      </c>
    </row>
    <row r="22" spans="2:32" ht="23.1" customHeight="1" x14ac:dyDescent="0.25">
      <c r="B22" s="23" t="s">
        <v>49</v>
      </c>
      <c r="C22" s="50">
        <v>78</v>
      </c>
      <c r="D22" s="50">
        <v>17</v>
      </c>
      <c r="E22" s="50">
        <v>10</v>
      </c>
      <c r="F22" s="50">
        <v>17</v>
      </c>
      <c r="G22" s="50">
        <v>0</v>
      </c>
      <c r="H22" s="50">
        <v>0</v>
      </c>
      <c r="I22" s="50">
        <v>5</v>
      </c>
      <c r="J22" s="50">
        <v>0</v>
      </c>
      <c r="K22" s="50">
        <v>0</v>
      </c>
      <c r="L22" s="50">
        <v>0</v>
      </c>
      <c r="M22" s="50">
        <v>116</v>
      </c>
      <c r="N22" s="50">
        <v>0</v>
      </c>
      <c r="O22" s="15">
        <f t="shared" si="0"/>
        <v>127</v>
      </c>
      <c r="P22" s="15">
        <f t="shared" si="1"/>
        <v>243</v>
      </c>
      <c r="R22" s="38" t="s">
        <v>90</v>
      </c>
      <c r="S22" s="39">
        <f>MAX(S10:S12)</f>
        <v>692</v>
      </c>
      <c r="T22" s="39">
        <f t="shared" ref="T22:AF22" si="14">MAX(T10:T12)</f>
        <v>108</v>
      </c>
      <c r="U22" s="39">
        <f t="shared" si="14"/>
        <v>64</v>
      </c>
      <c r="V22" s="39">
        <f t="shared" si="14"/>
        <v>176</v>
      </c>
      <c r="W22" s="39">
        <f t="shared" si="14"/>
        <v>8</v>
      </c>
      <c r="X22" s="39">
        <f t="shared" si="14"/>
        <v>0</v>
      </c>
      <c r="Y22" s="39">
        <f t="shared" si="14"/>
        <v>16</v>
      </c>
      <c r="Z22" s="39">
        <f t="shared" si="14"/>
        <v>4</v>
      </c>
      <c r="AA22" s="39">
        <f t="shared" si="14"/>
        <v>1</v>
      </c>
      <c r="AB22" s="39">
        <f t="shared" si="14"/>
        <v>0</v>
      </c>
      <c r="AC22" s="39">
        <f t="shared" si="14"/>
        <v>665</v>
      </c>
      <c r="AD22" s="39">
        <f t="shared" si="14"/>
        <v>0</v>
      </c>
      <c r="AE22" s="40">
        <f t="shared" si="14"/>
        <v>1051</v>
      </c>
      <c r="AF22" s="40">
        <f t="shared" si="14"/>
        <v>1646</v>
      </c>
    </row>
    <row r="23" spans="2:32" ht="23.1" customHeight="1" x14ac:dyDescent="0.25">
      <c r="B23" s="23" t="s">
        <v>50</v>
      </c>
      <c r="C23" s="50">
        <v>76</v>
      </c>
      <c r="D23" s="50">
        <v>21</v>
      </c>
      <c r="E23" s="50">
        <v>12</v>
      </c>
      <c r="F23" s="50">
        <v>10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75</v>
      </c>
      <c r="N23" s="50">
        <v>0</v>
      </c>
      <c r="O23" s="15">
        <f t="shared" si="0"/>
        <v>121</v>
      </c>
      <c r="P23" s="15">
        <f t="shared" si="1"/>
        <v>196</v>
      </c>
      <c r="R23" s="38" t="s">
        <v>91</v>
      </c>
      <c r="S23" s="39">
        <f>MAX(S13:S18)</f>
        <v>257</v>
      </c>
      <c r="T23" s="39">
        <f t="shared" ref="T23:AF23" si="15">MAX(T13:T18)</f>
        <v>63</v>
      </c>
      <c r="U23" s="39">
        <f t="shared" si="15"/>
        <v>42</v>
      </c>
      <c r="V23" s="39">
        <f t="shared" si="15"/>
        <v>63</v>
      </c>
      <c r="W23" s="39">
        <f t="shared" si="15"/>
        <v>2</v>
      </c>
      <c r="X23" s="39">
        <f t="shared" si="15"/>
        <v>0</v>
      </c>
      <c r="Y23" s="39">
        <f t="shared" si="15"/>
        <v>18</v>
      </c>
      <c r="Z23" s="39">
        <f t="shared" si="15"/>
        <v>3</v>
      </c>
      <c r="AA23" s="39">
        <f t="shared" si="15"/>
        <v>0</v>
      </c>
      <c r="AB23" s="39">
        <f t="shared" si="15"/>
        <v>0</v>
      </c>
      <c r="AC23" s="39">
        <f t="shared" si="15"/>
        <v>364</v>
      </c>
      <c r="AD23" s="39">
        <f t="shared" si="15"/>
        <v>0</v>
      </c>
      <c r="AE23" s="40">
        <f t="shared" si="15"/>
        <v>439</v>
      </c>
      <c r="AF23" s="40">
        <f t="shared" si="15"/>
        <v>780</v>
      </c>
    </row>
    <row r="24" spans="2:32" ht="23.1" customHeight="1" x14ac:dyDescent="0.25">
      <c r="B24" s="23" t="s">
        <v>51</v>
      </c>
      <c r="C24" s="50">
        <v>57</v>
      </c>
      <c r="D24" s="50">
        <v>12</v>
      </c>
      <c r="E24" s="50">
        <v>8</v>
      </c>
      <c r="F24" s="50">
        <v>20</v>
      </c>
      <c r="G24" s="50">
        <v>1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70</v>
      </c>
      <c r="N24" s="50">
        <v>0</v>
      </c>
      <c r="O24" s="15">
        <f t="shared" si="0"/>
        <v>103</v>
      </c>
      <c r="P24" s="15">
        <f t="shared" si="1"/>
        <v>173</v>
      </c>
      <c r="R24" s="38" t="s">
        <v>92</v>
      </c>
      <c r="S24" s="39">
        <f>MAX(S19:S21)</f>
        <v>213</v>
      </c>
      <c r="T24" s="39">
        <f t="shared" ref="T24:AF24" si="16">MAX(T19:T21)</f>
        <v>45</v>
      </c>
      <c r="U24" s="39">
        <f t="shared" si="16"/>
        <v>29</v>
      </c>
      <c r="V24" s="39">
        <f t="shared" si="16"/>
        <v>44</v>
      </c>
      <c r="W24" s="39">
        <f t="shared" si="16"/>
        <v>3</v>
      </c>
      <c r="X24" s="39">
        <f t="shared" si="16"/>
        <v>1</v>
      </c>
      <c r="Y24" s="39">
        <f t="shared" si="16"/>
        <v>15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510</v>
      </c>
      <c r="AD24" s="39">
        <f t="shared" si="16"/>
        <v>0</v>
      </c>
      <c r="AE24" s="40">
        <f t="shared" si="16"/>
        <v>341</v>
      </c>
      <c r="AF24" s="40">
        <f t="shared" si="16"/>
        <v>775</v>
      </c>
    </row>
    <row r="25" spans="2:32" ht="23.1" customHeight="1" x14ac:dyDescent="0.25">
      <c r="B25" s="23" t="s">
        <v>52</v>
      </c>
      <c r="C25" s="50">
        <v>46</v>
      </c>
      <c r="D25" s="50">
        <v>8</v>
      </c>
      <c r="E25" s="50">
        <v>12</v>
      </c>
      <c r="F25" s="50">
        <v>16</v>
      </c>
      <c r="G25" s="50">
        <v>0</v>
      </c>
      <c r="H25" s="50">
        <v>0</v>
      </c>
      <c r="I25" s="50">
        <v>6</v>
      </c>
      <c r="J25" s="50">
        <v>0</v>
      </c>
      <c r="K25" s="50">
        <v>0</v>
      </c>
      <c r="L25" s="50">
        <v>0</v>
      </c>
      <c r="M25" s="50">
        <v>80</v>
      </c>
      <c r="N25" s="50">
        <v>0</v>
      </c>
      <c r="O25" s="15">
        <f t="shared" si="0"/>
        <v>88</v>
      </c>
      <c r="P25" s="15">
        <f t="shared" si="1"/>
        <v>168</v>
      </c>
      <c r="R25" s="37" t="s">
        <v>85</v>
      </c>
      <c r="S25" s="35">
        <f t="shared" ref="S25:AF25" si="17">SUM(S10:S12)</f>
        <v>1488</v>
      </c>
      <c r="T25" s="16">
        <f t="shared" si="17"/>
        <v>249</v>
      </c>
      <c r="U25" s="16">
        <f t="shared" si="17"/>
        <v>168</v>
      </c>
      <c r="V25" s="16">
        <f t="shared" si="17"/>
        <v>443</v>
      </c>
      <c r="W25" s="16">
        <f t="shared" si="17"/>
        <v>10</v>
      </c>
      <c r="X25" s="16">
        <f t="shared" si="17"/>
        <v>0</v>
      </c>
      <c r="Y25" s="16">
        <f t="shared" si="17"/>
        <v>37</v>
      </c>
      <c r="Z25" s="16">
        <f t="shared" si="17"/>
        <v>6</v>
      </c>
      <c r="AA25" s="16">
        <f t="shared" si="17"/>
        <v>1</v>
      </c>
      <c r="AB25" s="16">
        <f t="shared" si="17"/>
        <v>0</v>
      </c>
      <c r="AC25" s="16">
        <f t="shared" si="17"/>
        <v>1910</v>
      </c>
      <c r="AD25" s="16">
        <f t="shared" si="17"/>
        <v>0</v>
      </c>
      <c r="AE25" s="32">
        <f t="shared" si="17"/>
        <v>2402</v>
      </c>
      <c r="AF25" s="32">
        <f t="shared" si="17"/>
        <v>4312</v>
      </c>
    </row>
    <row r="26" spans="2:32" ht="23.1" customHeight="1" x14ac:dyDescent="0.25">
      <c r="B26" s="23" t="s">
        <v>53</v>
      </c>
      <c r="C26" s="50">
        <v>50</v>
      </c>
      <c r="D26" s="50">
        <v>23</v>
      </c>
      <c r="E26" s="50">
        <v>7</v>
      </c>
      <c r="F26" s="50">
        <v>13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100</v>
      </c>
      <c r="N26" s="50">
        <v>0</v>
      </c>
      <c r="O26" s="15">
        <f t="shared" si="0"/>
        <v>95</v>
      </c>
      <c r="P26" s="15">
        <f t="shared" si="1"/>
        <v>195</v>
      </c>
      <c r="R26" s="28" t="s">
        <v>86</v>
      </c>
      <c r="S26" s="16">
        <f t="shared" ref="S26:AF26" si="18">SUM(S13:S18)</f>
        <v>1114</v>
      </c>
      <c r="T26" s="16">
        <f t="shared" si="18"/>
        <v>263</v>
      </c>
      <c r="U26" s="16">
        <f t="shared" si="18"/>
        <v>182</v>
      </c>
      <c r="V26" s="16">
        <f t="shared" si="18"/>
        <v>239</v>
      </c>
      <c r="W26" s="16">
        <f t="shared" si="18"/>
        <v>4</v>
      </c>
      <c r="X26" s="16">
        <f t="shared" si="18"/>
        <v>0</v>
      </c>
      <c r="Y26" s="16">
        <f t="shared" si="18"/>
        <v>74</v>
      </c>
      <c r="Z26" s="16">
        <f t="shared" si="18"/>
        <v>8</v>
      </c>
      <c r="AA26" s="16">
        <f t="shared" si="18"/>
        <v>0</v>
      </c>
      <c r="AB26" s="16">
        <f t="shared" si="18"/>
        <v>0</v>
      </c>
      <c r="AC26" s="16">
        <f t="shared" si="18"/>
        <v>2037</v>
      </c>
      <c r="AD26" s="16">
        <f t="shared" si="18"/>
        <v>0</v>
      </c>
      <c r="AE26" s="32">
        <f t="shared" si="18"/>
        <v>1884</v>
      </c>
      <c r="AF26" s="32">
        <f t="shared" si="18"/>
        <v>3921</v>
      </c>
    </row>
    <row r="27" spans="2:32" ht="23.1" customHeight="1" x14ac:dyDescent="0.25">
      <c r="B27" s="23" t="s">
        <v>54</v>
      </c>
      <c r="C27" s="50">
        <v>59</v>
      </c>
      <c r="D27" s="50">
        <v>15</v>
      </c>
      <c r="E27" s="50">
        <v>9</v>
      </c>
      <c r="F27" s="50">
        <v>11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115</v>
      </c>
      <c r="N27" s="50">
        <v>0</v>
      </c>
      <c r="O27" s="15">
        <f t="shared" si="0"/>
        <v>98</v>
      </c>
      <c r="P27" s="15">
        <f t="shared" si="1"/>
        <v>213</v>
      </c>
      <c r="R27" s="29" t="s">
        <v>87</v>
      </c>
      <c r="S27" s="16">
        <f t="shared" ref="S27:AF27" si="19">SUM(S19:S21)</f>
        <v>552</v>
      </c>
      <c r="T27" s="16">
        <f t="shared" si="19"/>
        <v>123</v>
      </c>
      <c r="U27" s="16">
        <f t="shared" si="19"/>
        <v>75</v>
      </c>
      <c r="V27" s="16">
        <f t="shared" si="19"/>
        <v>115</v>
      </c>
      <c r="W27" s="16">
        <f t="shared" si="19"/>
        <v>7</v>
      </c>
      <c r="X27" s="16">
        <f t="shared" si="19"/>
        <v>1</v>
      </c>
      <c r="Y27" s="16">
        <f t="shared" si="19"/>
        <v>36</v>
      </c>
      <c r="Z27" s="16">
        <f t="shared" si="19"/>
        <v>7</v>
      </c>
      <c r="AA27" s="16">
        <f t="shared" si="19"/>
        <v>0</v>
      </c>
      <c r="AB27" s="16">
        <f t="shared" si="19"/>
        <v>0</v>
      </c>
      <c r="AC27" s="16">
        <f t="shared" si="19"/>
        <v>1303</v>
      </c>
      <c r="AD27" s="16">
        <f t="shared" si="19"/>
        <v>0</v>
      </c>
      <c r="AE27" s="32">
        <f t="shared" si="19"/>
        <v>916</v>
      </c>
      <c r="AF27" s="32">
        <f t="shared" si="19"/>
        <v>2219</v>
      </c>
    </row>
    <row r="28" spans="2:32" ht="23.1" customHeight="1" x14ac:dyDescent="0.25">
      <c r="B28" s="23" t="s">
        <v>55</v>
      </c>
      <c r="C28" s="50">
        <v>30</v>
      </c>
      <c r="D28" s="50">
        <v>10</v>
      </c>
      <c r="E28" s="50">
        <v>11</v>
      </c>
      <c r="F28" s="50">
        <v>11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70</v>
      </c>
      <c r="N28" s="50">
        <v>0</v>
      </c>
      <c r="O28" s="15">
        <f t="shared" si="0"/>
        <v>63</v>
      </c>
      <c r="P28" s="15">
        <f t="shared" si="1"/>
        <v>133</v>
      </c>
      <c r="R28" s="5" t="s">
        <v>17</v>
      </c>
      <c r="S28" s="16">
        <f t="shared" ref="S28:AF28" si="20">SUM(S10:S21)</f>
        <v>3154</v>
      </c>
      <c r="T28" s="16">
        <f t="shared" si="20"/>
        <v>635</v>
      </c>
      <c r="U28" s="16">
        <f t="shared" si="20"/>
        <v>425</v>
      </c>
      <c r="V28" s="16">
        <f t="shared" si="20"/>
        <v>797</v>
      </c>
      <c r="W28" s="16">
        <f t="shared" si="20"/>
        <v>21</v>
      </c>
      <c r="X28" s="16">
        <f t="shared" si="20"/>
        <v>1</v>
      </c>
      <c r="Y28" s="16">
        <f t="shared" si="20"/>
        <v>147</v>
      </c>
      <c r="Z28" s="16">
        <f t="shared" si="20"/>
        <v>21</v>
      </c>
      <c r="AA28" s="16">
        <f t="shared" si="20"/>
        <v>1</v>
      </c>
      <c r="AB28" s="16">
        <f t="shared" si="20"/>
        <v>0</v>
      </c>
      <c r="AC28" s="16">
        <f t="shared" si="20"/>
        <v>5250</v>
      </c>
      <c r="AD28" s="16">
        <f t="shared" si="20"/>
        <v>0</v>
      </c>
      <c r="AE28" s="32">
        <f t="shared" si="20"/>
        <v>5202</v>
      </c>
      <c r="AF28" s="32">
        <f t="shared" si="20"/>
        <v>10452</v>
      </c>
    </row>
    <row r="29" spans="2:32" ht="23.1" customHeight="1" x14ac:dyDescent="0.25">
      <c r="B29" s="23" t="s">
        <v>56</v>
      </c>
      <c r="C29" s="50">
        <v>40</v>
      </c>
      <c r="D29" s="50">
        <v>15</v>
      </c>
      <c r="E29" s="50">
        <v>7</v>
      </c>
      <c r="F29" s="50">
        <v>11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65</v>
      </c>
      <c r="N29" s="50">
        <v>0</v>
      </c>
      <c r="O29" s="15">
        <f t="shared" si="0"/>
        <v>76</v>
      </c>
      <c r="P29" s="15">
        <f t="shared" si="1"/>
        <v>141</v>
      </c>
      <c r="R29"/>
      <c r="S29" s="20"/>
      <c r="T29" s="19"/>
    </row>
    <row r="30" spans="2:32" ht="23.1" customHeight="1" x14ac:dyDescent="0.25">
      <c r="B30" s="23" t="s">
        <v>57</v>
      </c>
      <c r="C30" s="50">
        <v>26</v>
      </c>
      <c r="D30" s="50">
        <v>8</v>
      </c>
      <c r="E30" s="50">
        <v>4</v>
      </c>
      <c r="F30" s="50">
        <v>7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50</v>
      </c>
      <c r="N30" s="50">
        <v>0</v>
      </c>
      <c r="O30" s="15">
        <f t="shared" si="0"/>
        <v>46</v>
      </c>
      <c r="P30" s="15">
        <f t="shared" si="1"/>
        <v>96</v>
      </c>
    </row>
    <row r="31" spans="2:32" ht="23.1" customHeight="1" x14ac:dyDescent="0.25">
      <c r="B31" s="24" t="s">
        <v>58</v>
      </c>
      <c r="C31" s="50">
        <v>43</v>
      </c>
      <c r="D31" s="50">
        <v>12</v>
      </c>
      <c r="E31" s="50">
        <v>7</v>
      </c>
      <c r="F31" s="50">
        <v>10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55</v>
      </c>
      <c r="N31" s="50">
        <v>0</v>
      </c>
      <c r="O31" s="15">
        <f t="shared" si="0"/>
        <v>75</v>
      </c>
      <c r="P31" s="15">
        <f t="shared" si="1"/>
        <v>130</v>
      </c>
    </row>
    <row r="32" spans="2:32" ht="23.1" customHeight="1" x14ac:dyDescent="0.25">
      <c r="B32" s="24" t="s">
        <v>59</v>
      </c>
      <c r="C32" s="50">
        <v>52</v>
      </c>
      <c r="D32" s="50">
        <v>3</v>
      </c>
      <c r="E32" s="50">
        <v>4</v>
      </c>
      <c r="F32" s="50">
        <v>5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85</v>
      </c>
      <c r="N32" s="50">
        <v>0</v>
      </c>
      <c r="O32" s="15">
        <f t="shared" si="0"/>
        <v>68</v>
      </c>
      <c r="P32" s="15">
        <f t="shared" si="1"/>
        <v>153</v>
      </c>
    </row>
    <row r="33" spans="2:20" ht="23.1" customHeight="1" x14ac:dyDescent="0.25">
      <c r="B33" s="23" t="s">
        <v>60</v>
      </c>
      <c r="C33" s="50">
        <v>45</v>
      </c>
      <c r="D33" s="50">
        <v>9</v>
      </c>
      <c r="E33" s="50">
        <v>5</v>
      </c>
      <c r="F33" s="50">
        <v>7</v>
      </c>
      <c r="G33" s="50">
        <v>0</v>
      </c>
      <c r="H33" s="50">
        <v>0</v>
      </c>
      <c r="I33" s="50">
        <v>5</v>
      </c>
      <c r="J33" s="50">
        <v>0</v>
      </c>
      <c r="K33" s="50">
        <v>0</v>
      </c>
      <c r="L33" s="50">
        <v>0</v>
      </c>
      <c r="M33" s="50">
        <v>97</v>
      </c>
      <c r="N33" s="50">
        <v>0</v>
      </c>
      <c r="O33" s="15">
        <f t="shared" si="0"/>
        <v>71</v>
      </c>
      <c r="P33" s="15">
        <f t="shared" si="1"/>
        <v>168</v>
      </c>
    </row>
    <row r="34" spans="2:20" ht="23.1" customHeight="1" x14ac:dyDescent="0.25">
      <c r="B34" s="24" t="s">
        <v>61</v>
      </c>
      <c r="C34" s="50">
        <v>38</v>
      </c>
      <c r="D34" s="50">
        <v>12</v>
      </c>
      <c r="E34" s="50">
        <v>8</v>
      </c>
      <c r="F34" s="50">
        <v>10</v>
      </c>
      <c r="G34" s="50">
        <v>1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70</v>
      </c>
      <c r="N34" s="50">
        <v>0</v>
      </c>
      <c r="O34" s="15">
        <f t="shared" si="0"/>
        <v>72</v>
      </c>
      <c r="P34" s="15">
        <f t="shared" si="1"/>
        <v>142</v>
      </c>
    </row>
    <row r="35" spans="2:20" ht="23.1" customHeight="1" x14ac:dyDescent="0.25">
      <c r="B35" s="24" t="s">
        <v>62</v>
      </c>
      <c r="C35" s="50">
        <v>41</v>
      </c>
      <c r="D35" s="50">
        <v>8</v>
      </c>
      <c r="E35" s="50">
        <v>8</v>
      </c>
      <c r="F35" s="50">
        <v>9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82</v>
      </c>
      <c r="N35" s="50">
        <v>0</v>
      </c>
      <c r="O35" s="15">
        <f t="shared" si="0"/>
        <v>68</v>
      </c>
      <c r="P35" s="15">
        <f t="shared" si="1"/>
        <v>150</v>
      </c>
    </row>
    <row r="36" spans="2:20" ht="23.1" customHeight="1" x14ac:dyDescent="0.25">
      <c r="B36" s="24" t="s">
        <v>63</v>
      </c>
      <c r="C36" s="50">
        <v>50</v>
      </c>
      <c r="D36" s="50">
        <v>12</v>
      </c>
      <c r="E36" s="50">
        <v>4</v>
      </c>
      <c r="F36" s="50">
        <v>10</v>
      </c>
      <c r="G36" s="50">
        <v>0</v>
      </c>
      <c r="H36" s="50">
        <v>0</v>
      </c>
      <c r="I36" s="50">
        <v>7</v>
      </c>
      <c r="J36" s="50">
        <v>0</v>
      </c>
      <c r="K36" s="50">
        <v>0</v>
      </c>
      <c r="L36" s="50">
        <v>0</v>
      </c>
      <c r="M36" s="50">
        <v>120</v>
      </c>
      <c r="N36" s="50">
        <v>0</v>
      </c>
      <c r="O36" s="15">
        <f t="shared" si="0"/>
        <v>83</v>
      </c>
      <c r="P36" s="15">
        <f t="shared" si="1"/>
        <v>203</v>
      </c>
    </row>
    <row r="37" spans="2:20" ht="23.1" customHeight="1" x14ac:dyDescent="0.25">
      <c r="B37" s="23" t="s">
        <v>64</v>
      </c>
      <c r="C37" s="50">
        <v>45</v>
      </c>
      <c r="D37" s="50">
        <v>9</v>
      </c>
      <c r="E37" s="50">
        <v>3</v>
      </c>
      <c r="F37" s="50">
        <v>6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92</v>
      </c>
      <c r="N37" s="50">
        <v>0</v>
      </c>
      <c r="O37" s="15">
        <f t="shared" si="0"/>
        <v>64</v>
      </c>
      <c r="P37" s="15">
        <f t="shared" si="1"/>
        <v>156</v>
      </c>
    </row>
    <row r="38" spans="2:20" ht="23.1" customHeight="1" x14ac:dyDescent="0.25">
      <c r="B38" s="24" t="s">
        <v>65</v>
      </c>
      <c r="C38" s="50">
        <v>47</v>
      </c>
      <c r="D38" s="50">
        <v>12</v>
      </c>
      <c r="E38" s="50">
        <v>2</v>
      </c>
      <c r="F38" s="50">
        <v>11</v>
      </c>
      <c r="G38" s="50">
        <v>0</v>
      </c>
      <c r="H38" s="50">
        <v>0</v>
      </c>
      <c r="I38" s="50">
        <v>4</v>
      </c>
      <c r="J38" s="50">
        <v>2</v>
      </c>
      <c r="K38" s="50">
        <v>0</v>
      </c>
      <c r="L38" s="50">
        <v>0</v>
      </c>
      <c r="M38" s="50">
        <v>100</v>
      </c>
      <c r="N38" s="50">
        <v>0</v>
      </c>
      <c r="O38" s="15">
        <f t="shared" si="0"/>
        <v>78</v>
      </c>
      <c r="P38" s="15">
        <f t="shared" si="1"/>
        <v>178</v>
      </c>
    </row>
    <row r="39" spans="2:20" ht="23.1" customHeight="1" x14ac:dyDescent="0.25">
      <c r="B39" s="24" t="s">
        <v>66</v>
      </c>
      <c r="C39" s="50">
        <v>35</v>
      </c>
      <c r="D39" s="50">
        <v>9</v>
      </c>
      <c r="E39" s="50">
        <v>5</v>
      </c>
      <c r="F39" s="50">
        <v>3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70</v>
      </c>
      <c r="N39" s="50">
        <v>0</v>
      </c>
      <c r="O39" s="15">
        <f t="shared" si="0"/>
        <v>54</v>
      </c>
      <c r="P39" s="15">
        <f t="shared" si="1"/>
        <v>124</v>
      </c>
    </row>
    <row r="40" spans="2:20" ht="23.1" customHeight="1" x14ac:dyDescent="0.25">
      <c r="B40" s="24" t="s">
        <v>67</v>
      </c>
      <c r="C40" s="50">
        <v>45</v>
      </c>
      <c r="D40" s="50">
        <v>8</v>
      </c>
      <c r="E40" s="50">
        <v>10</v>
      </c>
      <c r="F40" s="50">
        <v>7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80</v>
      </c>
      <c r="N40" s="50">
        <v>0</v>
      </c>
      <c r="O40" s="15">
        <f t="shared" si="0"/>
        <v>73</v>
      </c>
      <c r="P40" s="15">
        <f t="shared" si="1"/>
        <v>153</v>
      </c>
    </row>
    <row r="41" spans="2:20" ht="23.1" customHeight="1" x14ac:dyDescent="0.25">
      <c r="B41" s="23" t="s">
        <v>68</v>
      </c>
      <c r="C41" s="50">
        <v>46</v>
      </c>
      <c r="D41" s="50">
        <v>10</v>
      </c>
      <c r="E41" s="50">
        <v>14</v>
      </c>
      <c r="F41" s="50">
        <v>7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92</v>
      </c>
      <c r="N41" s="50">
        <v>0</v>
      </c>
      <c r="O41" s="15">
        <f t="shared" si="0"/>
        <v>79</v>
      </c>
      <c r="P41" s="15">
        <f t="shared" si="1"/>
        <v>171</v>
      </c>
    </row>
    <row r="42" spans="2:20" ht="23.1" customHeight="1" x14ac:dyDescent="0.25">
      <c r="B42" s="24" t="s">
        <v>69</v>
      </c>
      <c r="C42" s="50">
        <v>47</v>
      </c>
      <c r="D42" s="50">
        <v>8</v>
      </c>
      <c r="E42" s="50">
        <v>10</v>
      </c>
      <c r="F42" s="50">
        <v>10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125</v>
      </c>
      <c r="N42" s="50">
        <v>0</v>
      </c>
      <c r="O42" s="15">
        <f t="shared" si="0"/>
        <v>76</v>
      </c>
      <c r="P42" s="15">
        <f t="shared" si="1"/>
        <v>201</v>
      </c>
    </row>
    <row r="43" spans="2:20" ht="23.1" customHeight="1" x14ac:dyDescent="0.25">
      <c r="B43" s="23" t="s">
        <v>70</v>
      </c>
      <c r="C43" s="50">
        <v>38</v>
      </c>
      <c r="D43" s="50">
        <v>8</v>
      </c>
      <c r="E43" s="50">
        <v>9</v>
      </c>
      <c r="F43" s="50">
        <v>6</v>
      </c>
      <c r="G43" s="50">
        <v>1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67</v>
      </c>
      <c r="N43" s="50">
        <v>0</v>
      </c>
      <c r="O43" s="15">
        <f t="shared" si="0"/>
        <v>67</v>
      </c>
      <c r="P43" s="15">
        <f t="shared" si="1"/>
        <v>134</v>
      </c>
    </row>
    <row r="44" spans="2:20" ht="23.1" customHeight="1" x14ac:dyDescent="0.25">
      <c r="B44" s="25" t="s">
        <v>71</v>
      </c>
      <c r="C44" s="50">
        <v>40</v>
      </c>
      <c r="D44" s="50">
        <v>5</v>
      </c>
      <c r="E44" s="50">
        <v>8</v>
      </c>
      <c r="F44" s="50">
        <v>12</v>
      </c>
      <c r="G44" s="50">
        <v>1</v>
      </c>
      <c r="H44" s="50">
        <v>0</v>
      </c>
      <c r="I44" s="50">
        <v>6</v>
      </c>
      <c r="J44" s="50">
        <v>0</v>
      </c>
      <c r="K44" s="50">
        <v>0</v>
      </c>
      <c r="L44" s="50">
        <v>0</v>
      </c>
      <c r="M44" s="50">
        <v>77</v>
      </c>
      <c r="N44" s="50">
        <v>0</v>
      </c>
      <c r="O44" s="15">
        <f t="shared" si="0"/>
        <v>72</v>
      </c>
      <c r="P44" s="15">
        <f t="shared" si="1"/>
        <v>149</v>
      </c>
    </row>
    <row r="45" spans="2:20" ht="23.1" customHeight="1" x14ac:dyDescent="0.25">
      <c r="B45" s="23" t="s">
        <v>72</v>
      </c>
      <c r="C45" s="50">
        <v>40</v>
      </c>
      <c r="D45" s="50">
        <v>9</v>
      </c>
      <c r="E45" s="50">
        <v>5</v>
      </c>
      <c r="F45" s="50">
        <v>10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84</v>
      </c>
      <c r="N45" s="50">
        <v>0</v>
      </c>
      <c r="O45" s="15">
        <f t="shared" si="0"/>
        <v>67</v>
      </c>
      <c r="P45" s="15">
        <f t="shared" si="1"/>
        <v>151</v>
      </c>
    </row>
    <row r="46" spans="2:20" ht="23.1" customHeight="1" x14ac:dyDescent="0.25">
      <c r="B46" s="24" t="s">
        <v>73</v>
      </c>
      <c r="C46" s="50">
        <v>51</v>
      </c>
      <c r="D46" s="50">
        <v>9</v>
      </c>
      <c r="E46" s="50">
        <v>11</v>
      </c>
      <c r="F46" s="50">
        <v>7</v>
      </c>
      <c r="G46" s="50">
        <v>0</v>
      </c>
      <c r="H46" s="50">
        <v>0</v>
      </c>
      <c r="I46" s="50">
        <v>5</v>
      </c>
      <c r="J46" s="50">
        <v>0</v>
      </c>
      <c r="K46" s="50">
        <v>0</v>
      </c>
      <c r="L46" s="50">
        <v>0</v>
      </c>
      <c r="M46" s="50">
        <v>96</v>
      </c>
      <c r="N46" s="50">
        <v>0</v>
      </c>
      <c r="O46" s="15">
        <f t="shared" si="0"/>
        <v>83</v>
      </c>
      <c r="P46" s="15">
        <f t="shared" si="1"/>
        <v>179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7</v>
      </c>
      <c r="E47" s="50">
        <v>6</v>
      </c>
      <c r="F47" s="50">
        <v>8</v>
      </c>
      <c r="G47" s="50">
        <v>1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88</v>
      </c>
      <c r="N47" s="50">
        <v>0</v>
      </c>
      <c r="O47" s="15">
        <f t="shared" si="0"/>
        <v>73</v>
      </c>
      <c r="P47" s="15">
        <f t="shared" si="1"/>
        <v>161</v>
      </c>
      <c r="R47" s="8"/>
      <c r="T47"/>
    </row>
    <row r="48" spans="2:20" ht="23.1" customHeight="1" x14ac:dyDescent="0.25">
      <c r="B48" s="24" t="s">
        <v>75</v>
      </c>
      <c r="C48" s="50">
        <v>57</v>
      </c>
      <c r="D48" s="50">
        <v>18</v>
      </c>
      <c r="E48" s="50">
        <v>7</v>
      </c>
      <c r="F48" s="50">
        <v>13</v>
      </c>
      <c r="G48" s="50">
        <v>1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109</v>
      </c>
      <c r="N48" s="50">
        <v>0</v>
      </c>
      <c r="O48" s="15">
        <f t="shared" si="0"/>
        <v>101</v>
      </c>
      <c r="P48" s="15">
        <f t="shared" si="1"/>
        <v>210</v>
      </c>
      <c r="R48" s="8"/>
      <c r="T48"/>
    </row>
    <row r="49" spans="2:20" ht="23.1" customHeight="1" x14ac:dyDescent="0.25">
      <c r="B49" s="23" t="s">
        <v>76</v>
      </c>
      <c r="C49" s="50">
        <v>55</v>
      </c>
      <c r="D49" s="50">
        <v>11</v>
      </c>
      <c r="E49" s="50">
        <v>5</v>
      </c>
      <c r="F49" s="50">
        <v>8</v>
      </c>
      <c r="G49" s="50">
        <v>0</v>
      </c>
      <c r="H49" s="50">
        <v>0</v>
      </c>
      <c r="I49" s="50">
        <v>4</v>
      </c>
      <c r="J49" s="50">
        <v>1</v>
      </c>
      <c r="K49" s="50">
        <v>0</v>
      </c>
      <c r="L49" s="50">
        <v>0</v>
      </c>
      <c r="M49" s="50">
        <v>75</v>
      </c>
      <c r="N49" s="50">
        <v>0</v>
      </c>
      <c r="O49" s="15">
        <f t="shared" si="0"/>
        <v>84</v>
      </c>
      <c r="P49" s="15">
        <f t="shared" si="1"/>
        <v>159</v>
      </c>
      <c r="R49" s="8"/>
      <c r="T49"/>
    </row>
    <row r="50" spans="2:20" ht="23.1" customHeight="1" x14ac:dyDescent="0.25">
      <c r="B50" s="24" t="s">
        <v>77</v>
      </c>
      <c r="C50" s="50">
        <v>37</v>
      </c>
      <c r="D50" s="50">
        <v>11</v>
      </c>
      <c r="E50" s="50">
        <v>3</v>
      </c>
      <c r="F50" s="50">
        <v>11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95</v>
      </c>
      <c r="N50" s="50">
        <v>0</v>
      </c>
      <c r="O50" s="15">
        <f t="shared" si="0"/>
        <v>62</v>
      </c>
      <c r="P50" s="15">
        <f t="shared" si="1"/>
        <v>157</v>
      </c>
      <c r="R50" s="8"/>
      <c r="T50"/>
    </row>
    <row r="51" spans="2:20" ht="23.1" customHeight="1" x14ac:dyDescent="0.25">
      <c r="B51" s="24" t="s">
        <v>78</v>
      </c>
      <c r="C51" s="50">
        <v>40</v>
      </c>
      <c r="D51" s="50">
        <v>11</v>
      </c>
      <c r="E51" s="50">
        <v>5</v>
      </c>
      <c r="F51" s="50">
        <v>14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84</v>
      </c>
      <c r="N51" s="50">
        <v>0</v>
      </c>
      <c r="O51" s="15">
        <f t="shared" si="0"/>
        <v>71</v>
      </c>
      <c r="P51" s="15">
        <f t="shared" si="1"/>
        <v>155</v>
      </c>
      <c r="R51" s="8"/>
      <c r="T51"/>
    </row>
    <row r="52" spans="2:20" ht="23.1" customHeight="1" x14ac:dyDescent="0.25">
      <c r="B52" s="24" t="s">
        <v>79</v>
      </c>
      <c r="C52" s="50">
        <v>58</v>
      </c>
      <c r="D52" s="50">
        <v>11</v>
      </c>
      <c r="E52" s="50">
        <v>7</v>
      </c>
      <c r="F52" s="50">
        <v>9</v>
      </c>
      <c r="G52" s="50">
        <v>2</v>
      </c>
      <c r="H52" s="50">
        <v>0</v>
      </c>
      <c r="I52" s="50">
        <v>3</v>
      </c>
      <c r="J52" s="50">
        <v>2</v>
      </c>
      <c r="K52" s="50">
        <v>0</v>
      </c>
      <c r="L52" s="50">
        <v>0</v>
      </c>
      <c r="M52" s="50">
        <v>138</v>
      </c>
      <c r="N52" s="50">
        <v>0</v>
      </c>
      <c r="O52" s="15">
        <f t="shared" si="0"/>
        <v>92</v>
      </c>
      <c r="P52" s="15">
        <f t="shared" si="1"/>
        <v>230</v>
      </c>
      <c r="R52" s="8"/>
      <c r="T52"/>
    </row>
    <row r="53" spans="2:20" ht="23.1" customHeight="1" x14ac:dyDescent="0.25">
      <c r="B53" s="23" t="s">
        <v>80</v>
      </c>
      <c r="C53" s="50">
        <v>47</v>
      </c>
      <c r="D53" s="50">
        <v>9</v>
      </c>
      <c r="E53" s="50">
        <v>8</v>
      </c>
      <c r="F53" s="50">
        <v>10</v>
      </c>
      <c r="G53" s="50">
        <v>1</v>
      </c>
      <c r="H53" s="50">
        <v>0</v>
      </c>
      <c r="I53" s="50">
        <v>9</v>
      </c>
      <c r="J53" s="50">
        <v>1</v>
      </c>
      <c r="K53" s="50">
        <v>0</v>
      </c>
      <c r="L53" s="50">
        <v>0</v>
      </c>
      <c r="M53" s="50">
        <v>108</v>
      </c>
      <c r="N53" s="50">
        <v>0</v>
      </c>
      <c r="O53" s="15">
        <f t="shared" si="0"/>
        <v>85</v>
      </c>
      <c r="P53" s="15">
        <f t="shared" si="1"/>
        <v>193</v>
      </c>
      <c r="R53" s="8"/>
      <c r="T53"/>
    </row>
    <row r="54" spans="2:20" ht="23.1" customHeight="1" x14ac:dyDescent="0.25">
      <c r="B54" s="23" t="s">
        <v>81</v>
      </c>
      <c r="C54" s="50">
        <v>37</v>
      </c>
      <c r="D54" s="50">
        <v>13</v>
      </c>
      <c r="E54" s="50">
        <v>3</v>
      </c>
      <c r="F54" s="50">
        <v>7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125</v>
      </c>
      <c r="N54" s="50">
        <v>0</v>
      </c>
      <c r="O54" s="15">
        <f t="shared" si="0"/>
        <v>62</v>
      </c>
      <c r="P54" s="15">
        <f t="shared" si="1"/>
        <v>187</v>
      </c>
      <c r="R54" s="8"/>
      <c r="T54"/>
    </row>
    <row r="55" spans="2:20" ht="23.1" customHeight="1" x14ac:dyDescent="0.25">
      <c r="B55" s="23" t="s">
        <v>82</v>
      </c>
      <c r="C55" s="50">
        <v>40</v>
      </c>
      <c r="D55" s="50">
        <v>9</v>
      </c>
      <c r="E55" s="50">
        <v>3</v>
      </c>
      <c r="F55" s="50">
        <v>5</v>
      </c>
      <c r="G55" s="50">
        <v>0</v>
      </c>
      <c r="H55" s="50">
        <v>1</v>
      </c>
      <c r="I55" s="50">
        <v>0</v>
      </c>
      <c r="J55" s="50">
        <v>1</v>
      </c>
      <c r="K55" s="50">
        <v>0</v>
      </c>
      <c r="L55" s="50">
        <v>0</v>
      </c>
      <c r="M55" s="50">
        <v>90</v>
      </c>
      <c r="N55" s="50">
        <v>0</v>
      </c>
      <c r="O55" s="15">
        <f t="shared" si="0"/>
        <v>59</v>
      </c>
      <c r="P55" s="15">
        <f t="shared" si="1"/>
        <v>149</v>
      </c>
      <c r="R55" s="8"/>
      <c r="T55"/>
    </row>
    <row r="56" spans="2:20" ht="23.1" customHeight="1" x14ac:dyDescent="0.25">
      <c r="B56" s="23" t="s">
        <v>83</v>
      </c>
      <c r="C56" s="50">
        <v>50</v>
      </c>
      <c r="D56" s="50">
        <v>7</v>
      </c>
      <c r="E56" s="50">
        <v>9</v>
      </c>
      <c r="F56" s="50">
        <v>13</v>
      </c>
      <c r="G56" s="50">
        <v>0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150</v>
      </c>
      <c r="N56" s="50">
        <v>0</v>
      </c>
      <c r="O56" s="15">
        <f t="shared" si="0"/>
        <v>84</v>
      </c>
      <c r="P56" s="15">
        <f t="shared" si="1"/>
        <v>234</v>
      </c>
      <c r="R56" s="8"/>
      <c r="T56"/>
    </row>
    <row r="57" spans="2:20" ht="23.1" customHeight="1" x14ac:dyDescent="0.25">
      <c r="B57" s="23" t="s">
        <v>84</v>
      </c>
      <c r="C57" s="50">
        <v>30</v>
      </c>
      <c r="D57" s="50">
        <v>7</v>
      </c>
      <c r="E57" s="50">
        <v>8</v>
      </c>
      <c r="F57" s="50">
        <v>10</v>
      </c>
      <c r="G57" s="50">
        <v>2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145</v>
      </c>
      <c r="N57" s="50">
        <v>0</v>
      </c>
      <c r="O57" s="15">
        <f t="shared" si="0"/>
        <v>60</v>
      </c>
      <c r="P57" s="15">
        <f t="shared" si="1"/>
        <v>205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3154</v>
      </c>
      <c r="D58" s="16">
        <f t="shared" si="21"/>
        <v>635</v>
      </c>
      <c r="E58" s="16">
        <f t="shared" si="21"/>
        <v>425</v>
      </c>
      <c r="F58" s="16">
        <f t="shared" si="21"/>
        <v>797</v>
      </c>
      <c r="G58" s="16">
        <f t="shared" si="21"/>
        <v>21</v>
      </c>
      <c r="H58" s="16">
        <f t="shared" si="21"/>
        <v>1</v>
      </c>
      <c r="I58" s="16">
        <f t="shared" si="21"/>
        <v>147</v>
      </c>
      <c r="J58" s="16">
        <f t="shared" si="21"/>
        <v>21</v>
      </c>
      <c r="K58" s="16">
        <f t="shared" si="21"/>
        <v>1</v>
      </c>
      <c r="L58" s="16">
        <f t="shared" si="21"/>
        <v>0</v>
      </c>
      <c r="M58" s="16">
        <f t="shared" si="21"/>
        <v>5250</v>
      </c>
      <c r="N58" s="16">
        <f t="shared" si="21"/>
        <v>0</v>
      </c>
      <c r="O58" s="16">
        <f t="shared" si="21"/>
        <v>5202</v>
      </c>
      <c r="P58" s="16">
        <f t="shared" si="21"/>
        <v>10452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0.30176042862610025</v>
      </c>
      <c r="D59" s="43">
        <f t="shared" si="22"/>
        <v>6.0753922694221203E-2</v>
      </c>
      <c r="E59" s="43">
        <f t="shared" si="22"/>
        <v>4.06620742441638E-2</v>
      </c>
      <c r="F59" s="43">
        <f t="shared" si="22"/>
        <v>7.6253348641408342E-2</v>
      </c>
      <c r="G59" s="43">
        <f t="shared" si="22"/>
        <v>2.0091848450057405E-3</v>
      </c>
      <c r="H59" s="43">
        <f t="shared" si="22"/>
        <v>9.567546880979717E-5</v>
      </c>
      <c r="I59" s="43">
        <f t="shared" si="22"/>
        <v>1.4064293915040185E-2</v>
      </c>
      <c r="J59" s="43">
        <f t="shared" si="22"/>
        <v>2.0091848450057405E-3</v>
      </c>
      <c r="K59" s="43">
        <f t="shared" si="22"/>
        <v>9.567546880979717E-5</v>
      </c>
      <c r="L59" s="43">
        <f t="shared" si="22"/>
        <v>0</v>
      </c>
      <c r="M59" s="43">
        <f t="shared" si="22"/>
        <v>0.50229621125143509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0.60630526720492117</v>
      </c>
      <c r="D60" s="44">
        <f t="shared" ref="D60:N60" si="23">D58/$O$58</f>
        <v>0.12206843521722414</v>
      </c>
      <c r="E60" s="44">
        <f t="shared" si="23"/>
        <v>8.1699346405228759E-2</v>
      </c>
      <c r="F60" s="44">
        <f t="shared" si="23"/>
        <v>0.15321030372933486</v>
      </c>
      <c r="G60" s="44">
        <f t="shared" si="23"/>
        <v>4.0369088811995383E-3</v>
      </c>
      <c r="H60" s="44">
        <f t="shared" si="23"/>
        <v>1.9223375624759708E-4</v>
      </c>
      <c r="I60" s="44">
        <f t="shared" si="23"/>
        <v>2.8258362168396771E-2</v>
      </c>
      <c r="J60" s="44">
        <f t="shared" si="23"/>
        <v>4.0369088811995383E-3</v>
      </c>
      <c r="K60" s="44">
        <f t="shared" si="23"/>
        <v>1.9223375624759708E-4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4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Kyebando-Mulago'!C3:G3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Kyebando-Mulago'!D5</f>
        <v>02.08.19</v>
      </c>
      <c r="E5" s="3"/>
      <c r="F5" s="41" t="s">
        <v>1</v>
      </c>
      <c r="G5" s="63" t="str">
        <f>'02.08 Kyebando-Mulago'!G5:H5</f>
        <v>Kisingiri Street</v>
      </c>
      <c r="H5" s="64"/>
      <c r="I5" s="14"/>
      <c r="J5" s="2" t="s">
        <v>5</v>
      </c>
      <c r="K5" s="63" t="s">
        <v>175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0" t="s">
        <v>165</v>
      </c>
      <c r="E6" s="61"/>
      <c r="F6" s="2" t="s">
        <v>2</v>
      </c>
      <c r="G6" s="60" t="s">
        <v>164</v>
      </c>
      <c r="H6" s="61"/>
      <c r="J6" s="2" t="s">
        <v>21</v>
      </c>
      <c r="K6" s="63" t="str">
        <f>'02.08 Kyebando-Mulago'!K6:L6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16</v>
      </c>
      <c r="D10" s="50">
        <v>5</v>
      </c>
      <c r="E10" s="50">
        <v>2</v>
      </c>
      <c r="F10" s="50">
        <v>14</v>
      </c>
      <c r="G10" s="50">
        <v>0</v>
      </c>
      <c r="H10" s="50">
        <v>0</v>
      </c>
      <c r="I10" s="50">
        <v>6</v>
      </c>
      <c r="J10" s="50">
        <v>0</v>
      </c>
      <c r="K10" s="50">
        <v>0</v>
      </c>
      <c r="L10" s="50">
        <v>0</v>
      </c>
      <c r="M10" s="50">
        <v>89</v>
      </c>
      <c r="N10" s="50">
        <v>0</v>
      </c>
      <c r="O10" s="15">
        <f t="shared" ref="O10:O57" si="0">SUM(C10:L10,N10)</f>
        <v>43</v>
      </c>
      <c r="P10" s="15">
        <f t="shared" ref="P10:P57" si="1">SUM(C10:N10)</f>
        <v>132</v>
      </c>
      <c r="R10" s="1" t="s">
        <v>6</v>
      </c>
      <c r="S10" s="17">
        <f t="shared" ref="S10:AF10" si="2">SUM(C10:C13)</f>
        <v>77</v>
      </c>
      <c r="T10" s="17">
        <f t="shared" si="2"/>
        <v>9</v>
      </c>
      <c r="U10" s="17">
        <f t="shared" si="2"/>
        <v>7</v>
      </c>
      <c r="V10" s="17">
        <f t="shared" si="2"/>
        <v>43</v>
      </c>
      <c r="W10" s="17">
        <f t="shared" si="2"/>
        <v>1</v>
      </c>
      <c r="X10" s="17">
        <f t="shared" si="2"/>
        <v>0</v>
      </c>
      <c r="Y10" s="17">
        <f t="shared" si="2"/>
        <v>11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434</v>
      </c>
      <c r="AD10" s="17">
        <f t="shared" si="2"/>
        <v>0</v>
      </c>
      <c r="AE10" s="31">
        <f t="shared" si="2"/>
        <v>150</v>
      </c>
      <c r="AF10" s="31">
        <f t="shared" si="2"/>
        <v>584</v>
      </c>
    </row>
    <row r="11" spans="2:32" s="6" customFormat="1" ht="23.1" customHeight="1" x14ac:dyDescent="0.25">
      <c r="B11" s="23" t="s">
        <v>38</v>
      </c>
      <c r="C11" s="50">
        <v>23</v>
      </c>
      <c r="D11" s="50">
        <v>3</v>
      </c>
      <c r="E11" s="50">
        <v>3</v>
      </c>
      <c r="F11" s="50">
        <v>16</v>
      </c>
      <c r="G11" s="50">
        <v>1</v>
      </c>
      <c r="H11" s="50">
        <v>0</v>
      </c>
      <c r="I11" s="50">
        <v>3</v>
      </c>
      <c r="J11" s="50">
        <v>1</v>
      </c>
      <c r="K11" s="50">
        <v>0</v>
      </c>
      <c r="L11" s="50">
        <v>0</v>
      </c>
      <c r="M11" s="50">
        <v>120</v>
      </c>
      <c r="N11" s="50">
        <v>0</v>
      </c>
      <c r="O11" s="15">
        <f t="shared" si="0"/>
        <v>50</v>
      </c>
      <c r="P11" s="15">
        <f t="shared" si="1"/>
        <v>170</v>
      </c>
      <c r="R11" s="1" t="s">
        <v>7</v>
      </c>
      <c r="S11" s="17">
        <f t="shared" ref="S11:AF11" si="3">SUM(C14:C17)</f>
        <v>66</v>
      </c>
      <c r="T11" s="17">
        <f t="shared" si="3"/>
        <v>18</v>
      </c>
      <c r="U11" s="17">
        <f t="shared" si="3"/>
        <v>11</v>
      </c>
      <c r="V11" s="17">
        <f t="shared" si="3"/>
        <v>37</v>
      </c>
      <c r="W11" s="17">
        <f t="shared" si="3"/>
        <v>2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620</v>
      </c>
      <c r="AD11" s="17">
        <f t="shared" si="3"/>
        <v>0</v>
      </c>
      <c r="AE11" s="31">
        <f t="shared" si="3"/>
        <v>140</v>
      </c>
      <c r="AF11" s="31">
        <f t="shared" si="3"/>
        <v>760</v>
      </c>
    </row>
    <row r="12" spans="2:32" ht="23.1" customHeight="1" x14ac:dyDescent="0.25">
      <c r="B12" s="23" t="s">
        <v>39</v>
      </c>
      <c r="C12" s="50">
        <v>18</v>
      </c>
      <c r="D12" s="50">
        <v>1</v>
      </c>
      <c r="E12" s="50">
        <v>2</v>
      </c>
      <c r="F12" s="50">
        <v>9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120</v>
      </c>
      <c r="N12" s="50">
        <v>0</v>
      </c>
      <c r="O12" s="15">
        <f t="shared" si="0"/>
        <v>31</v>
      </c>
      <c r="P12" s="15">
        <f t="shared" si="1"/>
        <v>151</v>
      </c>
      <c r="R12" s="1" t="s">
        <v>8</v>
      </c>
      <c r="S12" s="17">
        <f t="shared" ref="S12:AF12" si="4">SUM(C18:C21)</f>
        <v>115</v>
      </c>
      <c r="T12" s="17">
        <f t="shared" si="4"/>
        <v>14</v>
      </c>
      <c r="U12" s="17">
        <f t="shared" si="4"/>
        <v>29</v>
      </c>
      <c r="V12" s="17">
        <f t="shared" si="4"/>
        <v>43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556</v>
      </c>
      <c r="AD12" s="17">
        <f t="shared" si="4"/>
        <v>0</v>
      </c>
      <c r="AE12" s="31">
        <f t="shared" si="4"/>
        <v>212</v>
      </c>
      <c r="AF12" s="31">
        <f t="shared" si="4"/>
        <v>768</v>
      </c>
    </row>
    <row r="13" spans="2:32" ht="23.1" customHeight="1" x14ac:dyDescent="0.25">
      <c r="B13" s="23" t="s">
        <v>40</v>
      </c>
      <c r="C13" s="50">
        <v>20</v>
      </c>
      <c r="D13" s="50">
        <v>0</v>
      </c>
      <c r="E13" s="50">
        <v>0</v>
      </c>
      <c r="F13" s="50">
        <v>4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105</v>
      </c>
      <c r="N13" s="50">
        <v>0</v>
      </c>
      <c r="O13" s="15">
        <f t="shared" si="0"/>
        <v>26</v>
      </c>
      <c r="P13" s="15">
        <f t="shared" si="1"/>
        <v>131</v>
      </c>
      <c r="R13" s="1" t="s">
        <v>9</v>
      </c>
      <c r="S13" s="17">
        <f t="shared" ref="S13:AF13" si="5">SUM(C22:C25)</f>
        <v>119</v>
      </c>
      <c r="T13" s="17">
        <f t="shared" si="5"/>
        <v>31</v>
      </c>
      <c r="U13" s="17">
        <f t="shared" si="5"/>
        <v>43</v>
      </c>
      <c r="V13" s="17">
        <f t="shared" si="5"/>
        <v>81</v>
      </c>
      <c r="W13" s="17">
        <f t="shared" si="5"/>
        <v>3</v>
      </c>
      <c r="X13" s="17">
        <f t="shared" si="5"/>
        <v>0</v>
      </c>
      <c r="Y13" s="17">
        <f t="shared" si="5"/>
        <v>20</v>
      </c>
      <c r="Z13" s="17">
        <f t="shared" si="5"/>
        <v>5</v>
      </c>
      <c r="AA13" s="17">
        <f t="shared" si="5"/>
        <v>1</v>
      </c>
      <c r="AB13" s="17">
        <f t="shared" si="5"/>
        <v>0</v>
      </c>
      <c r="AC13" s="17">
        <f t="shared" si="5"/>
        <v>469</v>
      </c>
      <c r="AD13" s="17">
        <f t="shared" si="5"/>
        <v>0</v>
      </c>
      <c r="AE13" s="31">
        <f t="shared" si="5"/>
        <v>303</v>
      </c>
      <c r="AF13" s="31">
        <f t="shared" si="5"/>
        <v>772</v>
      </c>
    </row>
    <row r="14" spans="2:32" ht="23.1" customHeight="1" x14ac:dyDescent="0.25">
      <c r="B14" s="23" t="s">
        <v>41</v>
      </c>
      <c r="C14" s="50">
        <v>14</v>
      </c>
      <c r="D14" s="50">
        <v>3</v>
      </c>
      <c r="E14" s="50">
        <v>4</v>
      </c>
      <c r="F14" s="50">
        <v>8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150</v>
      </c>
      <c r="N14" s="50">
        <v>0</v>
      </c>
      <c r="O14" s="15">
        <f t="shared" si="0"/>
        <v>31</v>
      </c>
      <c r="P14" s="15">
        <f t="shared" si="1"/>
        <v>181</v>
      </c>
      <c r="R14" s="1" t="s">
        <v>10</v>
      </c>
      <c r="S14" s="17">
        <f t="shared" ref="S14:AF14" si="6">SUM(C26:C29)</f>
        <v>108</v>
      </c>
      <c r="T14" s="17">
        <f t="shared" si="6"/>
        <v>41</v>
      </c>
      <c r="U14" s="17">
        <f t="shared" si="6"/>
        <v>40</v>
      </c>
      <c r="V14" s="17">
        <f t="shared" si="6"/>
        <v>58</v>
      </c>
      <c r="W14" s="17">
        <f t="shared" si="6"/>
        <v>0</v>
      </c>
      <c r="X14" s="17">
        <f t="shared" si="6"/>
        <v>0</v>
      </c>
      <c r="Y14" s="17">
        <f t="shared" si="6"/>
        <v>23</v>
      </c>
      <c r="Z14" s="17">
        <f t="shared" si="6"/>
        <v>7</v>
      </c>
      <c r="AA14" s="17">
        <f t="shared" si="6"/>
        <v>0</v>
      </c>
      <c r="AB14" s="17">
        <f t="shared" si="6"/>
        <v>0</v>
      </c>
      <c r="AC14" s="17">
        <f t="shared" si="6"/>
        <v>400</v>
      </c>
      <c r="AD14" s="17">
        <f t="shared" si="6"/>
        <v>0</v>
      </c>
      <c r="AE14" s="31">
        <f t="shared" si="6"/>
        <v>277</v>
      </c>
      <c r="AF14" s="31">
        <f t="shared" si="6"/>
        <v>677</v>
      </c>
    </row>
    <row r="15" spans="2:32" ht="23.1" customHeight="1" x14ac:dyDescent="0.25">
      <c r="B15" s="23" t="s">
        <v>42</v>
      </c>
      <c r="C15" s="50">
        <v>27</v>
      </c>
      <c r="D15" s="50">
        <v>6</v>
      </c>
      <c r="E15" s="50">
        <v>2</v>
      </c>
      <c r="F15" s="50">
        <v>13</v>
      </c>
      <c r="G15" s="50">
        <v>2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165</v>
      </c>
      <c r="N15" s="50">
        <v>0</v>
      </c>
      <c r="O15" s="15">
        <f t="shared" si="0"/>
        <v>51</v>
      </c>
      <c r="P15" s="15">
        <f t="shared" si="1"/>
        <v>216</v>
      </c>
      <c r="R15" s="1" t="s">
        <v>11</v>
      </c>
      <c r="S15" s="17">
        <f t="shared" ref="S15:AF15" si="7">SUM(C30:C33)</f>
        <v>119</v>
      </c>
      <c r="T15" s="17">
        <f t="shared" si="7"/>
        <v>20</v>
      </c>
      <c r="U15" s="17">
        <f t="shared" si="7"/>
        <v>27</v>
      </c>
      <c r="V15" s="17">
        <f t="shared" si="7"/>
        <v>41</v>
      </c>
      <c r="W15" s="17">
        <f t="shared" si="7"/>
        <v>2</v>
      </c>
      <c r="X15" s="17">
        <f t="shared" si="7"/>
        <v>0</v>
      </c>
      <c r="Y15" s="17">
        <f t="shared" si="7"/>
        <v>15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339</v>
      </c>
      <c r="AD15" s="17">
        <f t="shared" si="7"/>
        <v>0</v>
      </c>
      <c r="AE15" s="31">
        <f t="shared" si="7"/>
        <v>227</v>
      </c>
      <c r="AF15" s="31">
        <f t="shared" si="7"/>
        <v>566</v>
      </c>
    </row>
    <row r="16" spans="2:32" ht="23.1" customHeight="1" x14ac:dyDescent="0.25">
      <c r="B16" s="23" t="s">
        <v>43</v>
      </c>
      <c r="C16" s="50">
        <v>13</v>
      </c>
      <c r="D16" s="50">
        <v>8</v>
      </c>
      <c r="E16" s="50">
        <v>3</v>
      </c>
      <c r="F16" s="50">
        <v>12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165</v>
      </c>
      <c r="N16" s="50">
        <v>0</v>
      </c>
      <c r="O16" s="15">
        <f t="shared" si="0"/>
        <v>39</v>
      </c>
      <c r="P16" s="15">
        <f t="shared" si="1"/>
        <v>204</v>
      </c>
      <c r="R16" s="1" t="s">
        <v>12</v>
      </c>
      <c r="S16" s="17">
        <f t="shared" ref="S16:AF16" si="8">SUM(C34:C37)</f>
        <v>167</v>
      </c>
      <c r="T16" s="17">
        <f t="shared" si="8"/>
        <v>33</v>
      </c>
      <c r="U16" s="17">
        <f t="shared" si="8"/>
        <v>29</v>
      </c>
      <c r="V16" s="17">
        <f t="shared" si="8"/>
        <v>45</v>
      </c>
      <c r="W16" s="17">
        <f t="shared" si="8"/>
        <v>0</v>
      </c>
      <c r="X16" s="17">
        <f t="shared" si="8"/>
        <v>1</v>
      </c>
      <c r="Y16" s="17">
        <f t="shared" si="8"/>
        <v>16</v>
      </c>
      <c r="Z16" s="17">
        <f t="shared" si="8"/>
        <v>6</v>
      </c>
      <c r="AA16" s="17">
        <f t="shared" si="8"/>
        <v>1</v>
      </c>
      <c r="AB16" s="17">
        <f t="shared" si="8"/>
        <v>0</v>
      </c>
      <c r="AC16" s="17">
        <f t="shared" si="8"/>
        <v>419</v>
      </c>
      <c r="AD16" s="17">
        <f t="shared" si="8"/>
        <v>0</v>
      </c>
      <c r="AE16" s="31">
        <f t="shared" si="8"/>
        <v>298</v>
      </c>
      <c r="AF16" s="31">
        <f t="shared" si="8"/>
        <v>717</v>
      </c>
    </row>
    <row r="17" spans="2:32" ht="23.1" customHeight="1" x14ac:dyDescent="0.25">
      <c r="B17" s="23" t="s">
        <v>44</v>
      </c>
      <c r="C17" s="50">
        <v>12</v>
      </c>
      <c r="D17" s="50">
        <v>1</v>
      </c>
      <c r="E17" s="50">
        <v>2</v>
      </c>
      <c r="F17" s="50">
        <v>4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140</v>
      </c>
      <c r="N17" s="50">
        <v>0</v>
      </c>
      <c r="O17" s="15">
        <f t="shared" si="0"/>
        <v>19</v>
      </c>
      <c r="P17" s="15">
        <f t="shared" si="1"/>
        <v>159</v>
      </c>
      <c r="R17" s="1" t="s">
        <v>13</v>
      </c>
      <c r="S17" s="17">
        <f t="shared" ref="S17:AF17" si="9">SUM(C38:C41)</f>
        <v>175</v>
      </c>
      <c r="T17" s="17">
        <f t="shared" si="9"/>
        <v>199</v>
      </c>
      <c r="U17" s="17">
        <f t="shared" si="9"/>
        <v>32</v>
      </c>
      <c r="V17" s="17">
        <f t="shared" si="9"/>
        <v>46</v>
      </c>
      <c r="W17" s="17">
        <f t="shared" si="9"/>
        <v>0</v>
      </c>
      <c r="X17" s="17">
        <f t="shared" si="9"/>
        <v>0</v>
      </c>
      <c r="Y17" s="17">
        <f t="shared" si="9"/>
        <v>17</v>
      </c>
      <c r="Z17" s="17">
        <f t="shared" si="9"/>
        <v>5</v>
      </c>
      <c r="AA17" s="17">
        <f t="shared" si="9"/>
        <v>0</v>
      </c>
      <c r="AB17" s="17">
        <f t="shared" si="9"/>
        <v>0</v>
      </c>
      <c r="AC17" s="17">
        <f t="shared" si="9"/>
        <v>340</v>
      </c>
      <c r="AD17" s="17">
        <f t="shared" si="9"/>
        <v>0</v>
      </c>
      <c r="AE17" s="31">
        <f t="shared" si="9"/>
        <v>474</v>
      </c>
      <c r="AF17" s="31">
        <f t="shared" si="9"/>
        <v>814</v>
      </c>
    </row>
    <row r="18" spans="2:32" ht="23.1" customHeight="1" x14ac:dyDescent="0.25">
      <c r="B18" s="23" t="s">
        <v>45</v>
      </c>
      <c r="C18" s="50">
        <v>24</v>
      </c>
      <c r="D18" s="50">
        <v>1</v>
      </c>
      <c r="E18" s="50">
        <v>1</v>
      </c>
      <c r="F18" s="50">
        <v>12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135</v>
      </c>
      <c r="N18" s="50">
        <v>0</v>
      </c>
      <c r="O18" s="15">
        <f t="shared" si="0"/>
        <v>38</v>
      </c>
      <c r="P18" s="15">
        <f t="shared" si="1"/>
        <v>173</v>
      </c>
      <c r="R18" s="1" t="s">
        <v>14</v>
      </c>
      <c r="S18" s="17">
        <f t="shared" ref="S18:AF18" si="10">SUM(C42:C45)</f>
        <v>231</v>
      </c>
      <c r="T18" s="17">
        <f t="shared" si="10"/>
        <v>36</v>
      </c>
      <c r="U18" s="17">
        <f t="shared" si="10"/>
        <v>58</v>
      </c>
      <c r="V18" s="17">
        <f t="shared" si="10"/>
        <v>45</v>
      </c>
      <c r="W18" s="17">
        <f t="shared" si="10"/>
        <v>0</v>
      </c>
      <c r="X18" s="17">
        <f t="shared" si="10"/>
        <v>0</v>
      </c>
      <c r="Y18" s="17">
        <f t="shared" si="10"/>
        <v>30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454</v>
      </c>
      <c r="AD18" s="17">
        <f t="shared" si="10"/>
        <v>0</v>
      </c>
      <c r="AE18" s="31">
        <f t="shared" si="10"/>
        <v>403</v>
      </c>
      <c r="AF18" s="31">
        <f t="shared" si="10"/>
        <v>857</v>
      </c>
    </row>
    <row r="19" spans="2:32" ht="23.1" customHeight="1" x14ac:dyDescent="0.25">
      <c r="B19" s="23" t="s">
        <v>46</v>
      </c>
      <c r="C19" s="50">
        <v>32</v>
      </c>
      <c r="D19" s="50">
        <v>3</v>
      </c>
      <c r="E19" s="50">
        <v>12</v>
      </c>
      <c r="F19" s="50">
        <v>14</v>
      </c>
      <c r="G19" s="50">
        <v>0</v>
      </c>
      <c r="H19" s="50">
        <v>0</v>
      </c>
      <c r="I19" s="50">
        <v>4</v>
      </c>
      <c r="J19" s="50">
        <v>1</v>
      </c>
      <c r="K19" s="50">
        <v>0</v>
      </c>
      <c r="L19" s="50">
        <v>0</v>
      </c>
      <c r="M19" s="50">
        <v>150</v>
      </c>
      <c r="N19" s="50">
        <v>0</v>
      </c>
      <c r="O19" s="15">
        <f t="shared" si="0"/>
        <v>66</v>
      </c>
      <c r="P19" s="15">
        <f t="shared" si="1"/>
        <v>216</v>
      </c>
      <c r="R19" s="1" t="s">
        <v>15</v>
      </c>
      <c r="S19" s="17">
        <f t="shared" ref="S19:AF19" si="11">SUM(C46:C49)</f>
        <v>347</v>
      </c>
      <c r="T19" s="17">
        <f t="shared" si="11"/>
        <v>52</v>
      </c>
      <c r="U19" s="17">
        <f t="shared" si="11"/>
        <v>52</v>
      </c>
      <c r="V19" s="17">
        <f t="shared" si="11"/>
        <v>58</v>
      </c>
      <c r="W19" s="17">
        <f t="shared" si="11"/>
        <v>1</v>
      </c>
      <c r="X19" s="17">
        <f t="shared" si="11"/>
        <v>0</v>
      </c>
      <c r="Y19" s="17">
        <f t="shared" si="11"/>
        <v>16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470</v>
      </c>
      <c r="AD19" s="17">
        <f t="shared" si="11"/>
        <v>0</v>
      </c>
      <c r="AE19" s="31">
        <f t="shared" si="11"/>
        <v>529</v>
      </c>
      <c r="AF19" s="31">
        <f t="shared" si="11"/>
        <v>999</v>
      </c>
    </row>
    <row r="20" spans="2:32" ht="23.1" customHeight="1" x14ac:dyDescent="0.25">
      <c r="B20" s="23" t="s">
        <v>47</v>
      </c>
      <c r="C20" s="50">
        <v>29</v>
      </c>
      <c r="D20" s="50">
        <v>6</v>
      </c>
      <c r="E20" s="50">
        <v>11</v>
      </c>
      <c r="F20" s="50">
        <v>12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160</v>
      </c>
      <c r="N20" s="50">
        <v>0</v>
      </c>
      <c r="O20" s="15">
        <f t="shared" si="0"/>
        <v>59</v>
      </c>
      <c r="P20" s="15">
        <f t="shared" si="1"/>
        <v>219</v>
      </c>
      <c r="R20" s="1" t="s">
        <v>16</v>
      </c>
      <c r="S20" s="17">
        <f t="shared" ref="S20:AF20" si="12">SUM(C50:C53)</f>
        <v>435</v>
      </c>
      <c r="T20" s="17">
        <f t="shared" si="12"/>
        <v>84</v>
      </c>
      <c r="U20" s="17">
        <f t="shared" si="12"/>
        <v>43</v>
      </c>
      <c r="V20" s="17">
        <f t="shared" si="12"/>
        <v>62</v>
      </c>
      <c r="W20" s="17">
        <f t="shared" si="12"/>
        <v>4</v>
      </c>
      <c r="X20" s="17">
        <f t="shared" si="12"/>
        <v>1</v>
      </c>
      <c r="Y20" s="17">
        <f t="shared" si="12"/>
        <v>14</v>
      </c>
      <c r="Z20" s="17">
        <f t="shared" si="12"/>
        <v>4</v>
      </c>
      <c r="AA20" s="17">
        <f t="shared" si="12"/>
        <v>0</v>
      </c>
      <c r="AB20" s="17">
        <f t="shared" si="12"/>
        <v>0</v>
      </c>
      <c r="AC20" s="17">
        <f t="shared" si="12"/>
        <v>465</v>
      </c>
      <c r="AD20" s="17">
        <f t="shared" si="12"/>
        <v>0</v>
      </c>
      <c r="AE20" s="31">
        <f t="shared" si="12"/>
        <v>647</v>
      </c>
      <c r="AF20" s="31">
        <f t="shared" si="12"/>
        <v>1112</v>
      </c>
    </row>
    <row r="21" spans="2:32" ht="23.1" customHeight="1" x14ac:dyDescent="0.25">
      <c r="B21" s="23" t="s">
        <v>48</v>
      </c>
      <c r="C21" s="50">
        <v>30</v>
      </c>
      <c r="D21" s="50">
        <v>4</v>
      </c>
      <c r="E21" s="50">
        <v>5</v>
      </c>
      <c r="F21" s="50">
        <v>5</v>
      </c>
      <c r="G21" s="50">
        <v>0</v>
      </c>
      <c r="H21" s="50">
        <v>0</v>
      </c>
      <c r="I21" s="50">
        <v>4</v>
      </c>
      <c r="J21" s="50">
        <v>1</v>
      </c>
      <c r="K21" s="50">
        <v>0</v>
      </c>
      <c r="L21" s="50">
        <v>0</v>
      </c>
      <c r="M21" s="50">
        <v>111</v>
      </c>
      <c r="N21" s="50">
        <v>0</v>
      </c>
      <c r="O21" s="15">
        <f t="shared" si="0"/>
        <v>49</v>
      </c>
      <c r="P21" s="15">
        <f t="shared" si="1"/>
        <v>160</v>
      </c>
      <c r="R21" s="36" t="s">
        <v>20</v>
      </c>
      <c r="S21" s="34">
        <f t="shared" ref="S21:AF21" si="13">SUM(C54:C57)</f>
        <v>285</v>
      </c>
      <c r="T21" s="17">
        <f t="shared" si="13"/>
        <v>63</v>
      </c>
      <c r="U21" s="17">
        <f t="shared" si="13"/>
        <v>34</v>
      </c>
      <c r="V21" s="17">
        <f t="shared" si="13"/>
        <v>90</v>
      </c>
      <c r="W21" s="17">
        <f t="shared" si="13"/>
        <v>2</v>
      </c>
      <c r="X21" s="17">
        <f t="shared" si="13"/>
        <v>0</v>
      </c>
      <c r="Y21" s="17">
        <f t="shared" si="13"/>
        <v>16</v>
      </c>
      <c r="Z21" s="17">
        <f t="shared" si="13"/>
        <v>5</v>
      </c>
      <c r="AA21" s="17">
        <f t="shared" si="13"/>
        <v>2</v>
      </c>
      <c r="AB21" s="17">
        <f t="shared" si="13"/>
        <v>0</v>
      </c>
      <c r="AC21" s="17">
        <f t="shared" si="13"/>
        <v>500</v>
      </c>
      <c r="AD21" s="17">
        <f t="shared" si="13"/>
        <v>0</v>
      </c>
      <c r="AE21" s="31">
        <f t="shared" si="13"/>
        <v>497</v>
      </c>
      <c r="AF21" s="31">
        <f t="shared" si="13"/>
        <v>997</v>
      </c>
    </row>
    <row r="22" spans="2:32" ht="23.1" customHeight="1" x14ac:dyDescent="0.25">
      <c r="B22" s="23" t="s">
        <v>49</v>
      </c>
      <c r="C22" s="50">
        <v>40</v>
      </c>
      <c r="D22" s="50">
        <v>9</v>
      </c>
      <c r="E22" s="50">
        <v>11</v>
      </c>
      <c r="F22" s="50">
        <v>23</v>
      </c>
      <c r="G22" s="50">
        <v>1</v>
      </c>
      <c r="H22" s="50">
        <v>0</v>
      </c>
      <c r="I22" s="50">
        <v>8</v>
      </c>
      <c r="J22" s="50">
        <v>4</v>
      </c>
      <c r="K22" s="50">
        <v>0</v>
      </c>
      <c r="L22" s="50">
        <v>0</v>
      </c>
      <c r="M22" s="50">
        <v>135</v>
      </c>
      <c r="N22" s="50">
        <v>0</v>
      </c>
      <c r="O22" s="15">
        <f t="shared" si="0"/>
        <v>96</v>
      </c>
      <c r="P22" s="15">
        <f t="shared" si="1"/>
        <v>231</v>
      </c>
      <c r="R22" s="38" t="s">
        <v>90</v>
      </c>
      <c r="S22" s="39">
        <f>MAX(S10:S12)</f>
        <v>115</v>
      </c>
      <c r="T22" s="39">
        <f t="shared" ref="T22:AF22" si="14">MAX(T10:T12)</f>
        <v>18</v>
      </c>
      <c r="U22" s="39">
        <f t="shared" si="14"/>
        <v>29</v>
      </c>
      <c r="V22" s="39">
        <f t="shared" si="14"/>
        <v>43</v>
      </c>
      <c r="W22" s="39">
        <f t="shared" si="14"/>
        <v>2</v>
      </c>
      <c r="X22" s="39">
        <f t="shared" si="14"/>
        <v>0</v>
      </c>
      <c r="Y22" s="39">
        <f t="shared" si="14"/>
        <v>11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620</v>
      </c>
      <c r="AD22" s="39">
        <f t="shared" si="14"/>
        <v>0</v>
      </c>
      <c r="AE22" s="40">
        <f t="shared" si="14"/>
        <v>212</v>
      </c>
      <c r="AF22" s="40">
        <f t="shared" si="14"/>
        <v>768</v>
      </c>
    </row>
    <row r="23" spans="2:32" ht="23.1" customHeight="1" x14ac:dyDescent="0.25">
      <c r="B23" s="23" t="s">
        <v>50</v>
      </c>
      <c r="C23" s="50">
        <v>31</v>
      </c>
      <c r="D23" s="50">
        <v>9</v>
      </c>
      <c r="E23" s="50">
        <v>14</v>
      </c>
      <c r="F23" s="50">
        <v>23</v>
      </c>
      <c r="G23" s="50">
        <v>2</v>
      </c>
      <c r="H23" s="50">
        <v>0</v>
      </c>
      <c r="I23" s="50">
        <v>2</v>
      </c>
      <c r="J23" s="50">
        <v>0</v>
      </c>
      <c r="K23" s="50">
        <v>1</v>
      </c>
      <c r="L23" s="50">
        <v>0</v>
      </c>
      <c r="M23" s="50">
        <v>123</v>
      </c>
      <c r="N23" s="50">
        <v>0</v>
      </c>
      <c r="O23" s="15">
        <f t="shared" si="0"/>
        <v>82</v>
      </c>
      <c r="P23" s="15">
        <f t="shared" si="1"/>
        <v>205</v>
      </c>
      <c r="R23" s="38" t="s">
        <v>91</v>
      </c>
      <c r="S23" s="39">
        <f>MAX(S13:S18)</f>
        <v>231</v>
      </c>
      <c r="T23" s="39">
        <f t="shared" ref="T23:AF23" si="15">MAX(T13:T18)</f>
        <v>199</v>
      </c>
      <c r="U23" s="39">
        <f t="shared" si="15"/>
        <v>58</v>
      </c>
      <c r="V23" s="39">
        <f t="shared" si="15"/>
        <v>81</v>
      </c>
      <c r="W23" s="39">
        <f t="shared" si="15"/>
        <v>3</v>
      </c>
      <c r="X23" s="39">
        <f t="shared" si="15"/>
        <v>1</v>
      </c>
      <c r="Y23" s="39">
        <f t="shared" si="15"/>
        <v>30</v>
      </c>
      <c r="Z23" s="39">
        <f t="shared" si="15"/>
        <v>7</v>
      </c>
      <c r="AA23" s="39">
        <f t="shared" si="15"/>
        <v>1</v>
      </c>
      <c r="AB23" s="39">
        <f t="shared" si="15"/>
        <v>0</v>
      </c>
      <c r="AC23" s="39">
        <f t="shared" si="15"/>
        <v>469</v>
      </c>
      <c r="AD23" s="39">
        <f t="shared" si="15"/>
        <v>0</v>
      </c>
      <c r="AE23" s="40">
        <f t="shared" si="15"/>
        <v>474</v>
      </c>
      <c r="AF23" s="40">
        <f t="shared" si="15"/>
        <v>857</v>
      </c>
    </row>
    <row r="24" spans="2:32" ht="23.1" customHeight="1" x14ac:dyDescent="0.25">
      <c r="B24" s="23" t="s">
        <v>51</v>
      </c>
      <c r="C24" s="50">
        <v>16</v>
      </c>
      <c r="D24" s="50">
        <v>8</v>
      </c>
      <c r="E24" s="50">
        <v>10</v>
      </c>
      <c r="F24" s="50">
        <v>17</v>
      </c>
      <c r="G24" s="50">
        <v>0</v>
      </c>
      <c r="H24" s="50">
        <v>0</v>
      </c>
      <c r="I24" s="50">
        <v>6</v>
      </c>
      <c r="J24" s="50">
        <v>0</v>
      </c>
      <c r="K24" s="50">
        <v>0</v>
      </c>
      <c r="L24" s="50">
        <v>0</v>
      </c>
      <c r="M24" s="50">
        <v>121</v>
      </c>
      <c r="N24" s="50">
        <v>0</v>
      </c>
      <c r="O24" s="15">
        <f t="shared" si="0"/>
        <v>57</v>
      </c>
      <c r="P24" s="15">
        <f t="shared" si="1"/>
        <v>178</v>
      </c>
      <c r="R24" s="38" t="s">
        <v>92</v>
      </c>
      <c r="S24" s="39">
        <f>MAX(S19:S21)</f>
        <v>435</v>
      </c>
      <c r="T24" s="39">
        <f t="shared" ref="T24:AF24" si="16">MAX(T19:T21)</f>
        <v>84</v>
      </c>
      <c r="U24" s="39">
        <f t="shared" si="16"/>
        <v>52</v>
      </c>
      <c r="V24" s="39">
        <f t="shared" si="16"/>
        <v>90</v>
      </c>
      <c r="W24" s="39">
        <f t="shared" si="16"/>
        <v>4</v>
      </c>
      <c r="X24" s="39">
        <f t="shared" si="16"/>
        <v>1</v>
      </c>
      <c r="Y24" s="39">
        <f t="shared" si="16"/>
        <v>16</v>
      </c>
      <c r="Z24" s="39">
        <f t="shared" si="16"/>
        <v>5</v>
      </c>
      <c r="AA24" s="39">
        <f t="shared" si="16"/>
        <v>2</v>
      </c>
      <c r="AB24" s="39">
        <f t="shared" si="16"/>
        <v>0</v>
      </c>
      <c r="AC24" s="39">
        <f t="shared" si="16"/>
        <v>500</v>
      </c>
      <c r="AD24" s="39">
        <f t="shared" si="16"/>
        <v>0</v>
      </c>
      <c r="AE24" s="40">
        <f t="shared" si="16"/>
        <v>647</v>
      </c>
      <c r="AF24" s="40">
        <f t="shared" si="16"/>
        <v>1112</v>
      </c>
    </row>
    <row r="25" spans="2:32" ht="23.1" customHeight="1" x14ac:dyDescent="0.25">
      <c r="B25" s="23" t="s">
        <v>52</v>
      </c>
      <c r="C25" s="50">
        <v>32</v>
      </c>
      <c r="D25" s="50">
        <v>5</v>
      </c>
      <c r="E25" s="50">
        <v>8</v>
      </c>
      <c r="F25" s="50">
        <v>18</v>
      </c>
      <c r="G25" s="50">
        <v>0</v>
      </c>
      <c r="H25" s="50">
        <v>0</v>
      </c>
      <c r="I25" s="50">
        <v>4</v>
      </c>
      <c r="J25" s="50">
        <v>1</v>
      </c>
      <c r="K25" s="50">
        <v>0</v>
      </c>
      <c r="L25" s="50">
        <v>0</v>
      </c>
      <c r="M25" s="50">
        <v>90</v>
      </c>
      <c r="N25" s="50">
        <v>0</v>
      </c>
      <c r="O25" s="15">
        <f t="shared" si="0"/>
        <v>68</v>
      </c>
      <c r="P25" s="15">
        <f t="shared" si="1"/>
        <v>158</v>
      </c>
      <c r="R25" s="37" t="s">
        <v>85</v>
      </c>
      <c r="S25" s="35">
        <f t="shared" ref="S25:AF25" si="17">SUM(S10:S12)</f>
        <v>258</v>
      </c>
      <c r="T25" s="16">
        <f t="shared" si="17"/>
        <v>41</v>
      </c>
      <c r="U25" s="16">
        <f t="shared" si="17"/>
        <v>47</v>
      </c>
      <c r="V25" s="16">
        <f t="shared" si="17"/>
        <v>123</v>
      </c>
      <c r="W25" s="16">
        <f t="shared" si="17"/>
        <v>3</v>
      </c>
      <c r="X25" s="16">
        <f t="shared" si="17"/>
        <v>0</v>
      </c>
      <c r="Y25" s="16">
        <f t="shared" si="17"/>
        <v>24</v>
      </c>
      <c r="Z25" s="16">
        <f t="shared" si="17"/>
        <v>6</v>
      </c>
      <c r="AA25" s="16">
        <f t="shared" si="17"/>
        <v>0</v>
      </c>
      <c r="AB25" s="16">
        <f t="shared" si="17"/>
        <v>0</v>
      </c>
      <c r="AC25" s="16">
        <f t="shared" si="17"/>
        <v>1610</v>
      </c>
      <c r="AD25" s="16">
        <f t="shared" si="17"/>
        <v>0</v>
      </c>
      <c r="AE25" s="32">
        <f t="shared" si="17"/>
        <v>502</v>
      </c>
      <c r="AF25" s="32">
        <f t="shared" si="17"/>
        <v>2112</v>
      </c>
    </row>
    <row r="26" spans="2:32" ht="23.1" customHeight="1" x14ac:dyDescent="0.25">
      <c r="B26" s="23" t="s">
        <v>53</v>
      </c>
      <c r="C26" s="50">
        <v>25</v>
      </c>
      <c r="D26" s="50">
        <v>10</v>
      </c>
      <c r="E26" s="50">
        <v>11</v>
      </c>
      <c r="F26" s="50">
        <v>12</v>
      </c>
      <c r="G26" s="50">
        <v>0</v>
      </c>
      <c r="H26" s="50">
        <v>0</v>
      </c>
      <c r="I26" s="50">
        <v>3</v>
      </c>
      <c r="J26" s="50">
        <v>1</v>
      </c>
      <c r="K26" s="50">
        <v>0</v>
      </c>
      <c r="L26" s="50">
        <v>0</v>
      </c>
      <c r="M26" s="50">
        <v>120</v>
      </c>
      <c r="N26" s="50">
        <v>0</v>
      </c>
      <c r="O26" s="15">
        <f t="shared" si="0"/>
        <v>62</v>
      </c>
      <c r="P26" s="15">
        <f t="shared" si="1"/>
        <v>182</v>
      </c>
      <c r="R26" s="28" t="s">
        <v>86</v>
      </c>
      <c r="S26" s="16">
        <f t="shared" ref="S26:AF26" si="18">SUM(S13:S18)</f>
        <v>919</v>
      </c>
      <c r="T26" s="16">
        <f t="shared" si="18"/>
        <v>360</v>
      </c>
      <c r="U26" s="16">
        <f t="shared" si="18"/>
        <v>229</v>
      </c>
      <c r="V26" s="16">
        <f t="shared" si="18"/>
        <v>316</v>
      </c>
      <c r="W26" s="16">
        <f t="shared" si="18"/>
        <v>5</v>
      </c>
      <c r="X26" s="16">
        <f t="shared" si="18"/>
        <v>1</v>
      </c>
      <c r="Y26" s="16">
        <f t="shared" si="18"/>
        <v>121</v>
      </c>
      <c r="Z26" s="16">
        <f t="shared" si="18"/>
        <v>29</v>
      </c>
      <c r="AA26" s="16">
        <f t="shared" si="18"/>
        <v>2</v>
      </c>
      <c r="AB26" s="16">
        <f t="shared" si="18"/>
        <v>0</v>
      </c>
      <c r="AC26" s="16">
        <f t="shared" si="18"/>
        <v>2421</v>
      </c>
      <c r="AD26" s="16">
        <f t="shared" si="18"/>
        <v>0</v>
      </c>
      <c r="AE26" s="32">
        <f t="shared" si="18"/>
        <v>1982</v>
      </c>
      <c r="AF26" s="32">
        <f t="shared" si="18"/>
        <v>4403</v>
      </c>
    </row>
    <row r="27" spans="2:32" ht="23.1" customHeight="1" x14ac:dyDescent="0.25">
      <c r="B27" s="23" t="s">
        <v>54</v>
      </c>
      <c r="C27" s="50">
        <v>32</v>
      </c>
      <c r="D27" s="50">
        <v>13</v>
      </c>
      <c r="E27" s="50">
        <v>8</v>
      </c>
      <c r="F27" s="50">
        <v>12</v>
      </c>
      <c r="G27" s="50">
        <v>0</v>
      </c>
      <c r="H27" s="50">
        <v>0</v>
      </c>
      <c r="I27" s="50">
        <v>6</v>
      </c>
      <c r="J27" s="50">
        <v>3</v>
      </c>
      <c r="K27" s="50">
        <v>0</v>
      </c>
      <c r="L27" s="50">
        <v>0</v>
      </c>
      <c r="M27" s="50">
        <v>92</v>
      </c>
      <c r="N27" s="50">
        <v>0</v>
      </c>
      <c r="O27" s="15">
        <f t="shared" si="0"/>
        <v>74</v>
      </c>
      <c r="P27" s="15">
        <f t="shared" si="1"/>
        <v>166</v>
      </c>
      <c r="R27" s="29" t="s">
        <v>87</v>
      </c>
      <c r="S27" s="16">
        <f t="shared" ref="S27:AF27" si="19">SUM(S19:S21)</f>
        <v>1067</v>
      </c>
      <c r="T27" s="16">
        <f t="shared" si="19"/>
        <v>199</v>
      </c>
      <c r="U27" s="16">
        <f t="shared" si="19"/>
        <v>129</v>
      </c>
      <c r="V27" s="16">
        <f t="shared" si="19"/>
        <v>210</v>
      </c>
      <c r="W27" s="16">
        <f t="shared" si="19"/>
        <v>7</v>
      </c>
      <c r="X27" s="16">
        <f t="shared" si="19"/>
        <v>1</v>
      </c>
      <c r="Y27" s="16">
        <f t="shared" si="19"/>
        <v>46</v>
      </c>
      <c r="Z27" s="16">
        <f t="shared" si="19"/>
        <v>12</v>
      </c>
      <c r="AA27" s="16">
        <f t="shared" si="19"/>
        <v>2</v>
      </c>
      <c r="AB27" s="16">
        <f t="shared" si="19"/>
        <v>0</v>
      </c>
      <c r="AC27" s="16">
        <f t="shared" si="19"/>
        <v>1435</v>
      </c>
      <c r="AD27" s="16">
        <f t="shared" si="19"/>
        <v>0</v>
      </c>
      <c r="AE27" s="32">
        <f t="shared" si="19"/>
        <v>1673</v>
      </c>
      <c r="AF27" s="32">
        <f t="shared" si="19"/>
        <v>3108</v>
      </c>
    </row>
    <row r="28" spans="2:32" ht="23.1" customHeight="1" x14ac:dyDescent="0.25">
      <c r="B28" s="23" t="s">
        <v>55</v>
      </c>
      <c r="C28" s="50">
        <v>26</v>
      </c>
      <c r="D28" s="50">
        <v>11</v>
      </c>
      <c r="E28" s="50">
        <v>14</v>
      </c>
      <c r="F28" s="50">
        <v>19</v>
      </c>
      <c r="G28" s="50">
        <v>0</v>
      </c>
      <c r="H28" s="50">
        <v>0</v>
      </c>
      <c r="I28" s="50">
        <v>9</v>
      </c>
      <c r="J28" s="50">
        <v>2</v>
      </c>
      <c r="K28" s="50">
        <v>0</v>
      </c>
      <c r="L28" s="50">
        <v>0</v>
      </c>
      <c r="M28" s="50">
        <v>93</v>
      </c>
      <c r="N28" s="50">
        <v>0</v>
      </c>
      <c r="O28" s="15">
        <f t="shared" si="0"/>
        <v>81</v>
      </c>
      <c r="P28" s="15">
        <f t="shared" si="1"/>
        <v>174</v>
      </c>
      <c r="R28" s="5" t="s">
        <v>17</v>
      </c>
      <c r="S28" s="16">
        <f t="shared" ref="S28:AF28" si="20">SUM(S10:S21)</f>
        <v>2244</v>
      </c>
      <c r="T28" s="16">
        <f t="shared" si="20"/>
        <v>600</v>
      </c>
      <c r="U28" s="16">
        <f t="shared" si="20"/>
        <v>405</v>
      </c>
      <c r="V28" s="16">
        <f t="shared" si="20"/>
        <v>649</v>
      </c>
      <c r="W28" s="16">
        <f t="shared" si="20"/>
        <v>15</v>
      </c>
      <c r="X28" s="16">
        <f t="shared" si="20"/>
        <v>2</v>
      </c>
      <c r="Y28" s="16">
        <f t="shared" si="20"/>
        <v>191</v>
      </c>
      <c r="Z28" s="16">
        <f t="shared" si="20"/>
        <v>47</v>
      </c>
      <c r="AA28" s="16">
        <f t="shared" si="20"/>
        <v>4</v>
      </c>
      <c r="AB28" s="16">
        <f t="shared" si="20"/>
        <v>0</v>
      </c>
      <c r="AC28" s="16">
        <f t="shared" si="20"/>
        <v>5466</v>
      </c>
      <c r="AD28" s="16">
        <f t="shared" si="20"/>
        <v>0</v>
      </c>
      <c r="AE28" s="32">
        <f t="shared" si="20"/>
        <v>4157</v>
      </c>
      <c r="AF28" s="32">
        <f t="shared" si="20"/>
        <v>9623</v>
      </c>
    </row>
    <row r="29" spans="2:32" ht="23.1" customHeight="1" x14ac:dyDescent="0.25">
      <c r="B29" s="23" t="s">
        <v>56</v>
      </c>
      <c r="C29" s="50">
        <v>25</v>
      </c>
      <c r="D29" s="50">
        <v>7</v>
      </c>
      <c r="E29" s="50">
        <v>7</v>
      </c>
      <c r="F29" s="50">
        <v>15</v>
      </c>
      <c r="G29" s="50">
        <v>0</v>
      </c>
      <c r="H29" s="50">
        <v>0</v>
      </c>
      <c r="I29" s="50">
        <v>5</v>
      </c>
      <c r="J29" s="50">
        <v>1</v>
      </c>
      <c r="K29" s="50">
        <v>0</v>
      </c>
      <c r="L29" s="50">
        <v>0</v>
      </c>
      <c r="M29" s="50">
        <v>95</v>
      </c>
      <c r="N29" s="50">
        <v>0</v>
      </c>
      <c r="O29" s="15">
        <f t="shared" si="0"/>
        <v>60</v>
      </c>
      <c r="P29" s="15">
        <f t="shared" si="1"/>
        <v>155</v>
      </c>
      <c r="R29"/>
      <c r="S29" s="20"/>
      <c r="T29" s="19"/>
    </row>
    <row r="30" spans="2:32" ht="23.1" customHeight="1" x14ac:dyDescent="0.25">
      <c r="B30" s="23" t="s">
        <v>57</v>
      </c>
      <c r="C30" s="50">
        <v>28</v>
      </c>
      <c r="D30" s="50">
        <v>7</v>
      </c>
      <c r="E30" s="50">
        <v>6</v>
      </c>
      <c r="F30" s="50">
        <v>10</v>
      </c>
      <c r="G30" s="50">
        <v>0</v>
      </c>
      <c r="H30" s="50">
        <v>0</v>
      </c>
      <c r="I30" s="50">
        <v>5</v>
      </c>
      <c r="J30" s="50">
        <v>1</v>
      </c>
      <c r="K30" s="50">
        <v>0</v>
      </c>
      <c r="L30" s="50">
        <v>0</v>
      </c>
      <c r="M30" s="50">
        <v>87</v>
      </c>
      <c r="N30" s="50">
        <v>0</v>
      </c>
      <c r="O30" s="15">
        <f t="shared" si="0"/>
        <v>57</v>
      </c>
      <c r="P30" s="15">
        <f t="shared" si="1"/>
        <v>144</v>
      </c>
    </row>
    <row r="31" spans="2:32" ht="23.1" customHeight="1" x14ac:dyDescent="0.25">
      <c r="B31" s="24" t="s">
        <v>58</v>
      </c>
      <c r="C31" s="50">
        <v>35</v>
      </c>
      <c r="D31" s="50">
        <v>5</v>
      </c>
      <c r="E31" s="50">
        <v>10</v>
      </c>
      <c r="F31" s="50">
        <v>13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72</v>
      </c>
      <c r="N31" s="50">
        <v>0</v>
      </c>
      <c r="O31" s="15">
        <f t="shared" si="0"/>
        <v>66</v>
      </c>
      <c r="P31" s="15">
        <f t="shared" si="1"/>
        <v>138</v>
      </c>
    </row>
    <row r="32" spans="2:32" ht="23.1" customHeight="1" x14ac:dyDescent="0.25">
      <c r="B32" s="24" t="s">
        <v>59</v>
      </c>
      <c r="C32" s="50">
        <v>33</v>
      </c>
      <c r="D32" s="50">
        <v>6</v>
      </c>
      <c r="E32" s="50">
        <v>3</v>
      </c>
      <c r="F32" s="50">
        <v>7</v>
      </c>
      <c r="G32" s="50">
        <v>0</v>
      </c>
      <c r="H32" s="50">
        <v>0</v>
      </c>
      <c r="I32" s="50">
        <v>5</v>
      </c>
      <c r="J32" s="50">
        <v>1</v>
      </c>
      <c r="K32" s="50">
        <v>0</v>
      </c>
      <c r="L32" s="50">
        <v>0</v>
      </c>
      <c r="M32" s="50">
        <v>95</v>
      </c>
      <c r="N32" s="50">
        <v>0</v>
      </c>
      <c r="O32" s="15">
        <f t="shared" si="0"/>
        <v>55</v>
      </c>
      <c r="P32" s="15">
        <f t="shared" si="1"/>
        <v>150</v>
      </c>
    </row>
    <row r="33" spans="2:20" ht="23.1" customHeight="1" x14ac:dyDescent="0.25">
      <c r="B33" s="23" t="s">
        <v>60</v>
      </c>
      <c r="C33" s="50">
        <v>23</v>
      </c>
      <c r="D33" s="50">
        <v>2</v>
      </c>
      <c r="E33" s="50">
        <v>8</v>
      </c>
      <c r="F33" s="50">
        <v>11</v>
      </c>
      <c r="G33" s="50">
        <v>2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85</v>
      </c>
      <c r="N33" s="50">
        <v>0</v>
      </c>
      <c r="O33" s="15">
        <f t="shared" si="0"/>
        <v>49</v>
      </c>
      <c r="P33" s="15">
        <f t="shared" si="1"/>
        <v>134</v>
      </c>
    </row>
    <row r="34" spans="2:20" ht="23.1" customHeight="1" x14ac:dyDescent="0.25">
      <c r="B34" s="24" t="s">
        <v>61</v>
      </c>
      <c r="C34" s="50">
        <v>32</v>
      </c>
      <c r="D34" s="50">
        <v>10</v>
      </c>
      <c r="E34" s="50">
        <v>6</v>
      </c>
      <c r="F34" s="50">
        <v>11</v>
      </c>
      <c r="G34" s="50">
        <v>0</v>
      </c>
      <c r="H34" s="50">
        <v>0</v>
      </c>
      <c r="I34" s="50">
        <v>3</v>
      </c>
      <c r="J34" s="50">
        <v>2</v>
      </c>
      <c r="K34" s="50">
        <v>1</v>
      </c>
      <c r="L34" s="50">
        <v>0</v>
      </c>
      <c r="M34" s="50">
        <v>110</v>
      </c>
      <c r="N34" s="50">
        <v>0</v>
      </c>
      <c r="O34" s="15">
        <f t="shared" si="0"/>
        <v>65</v>
      </c>
      <c r="P34" s="15">
        <f t="shared" si="1"/>
        <v>175</v>
      </c>
    </row>
    <row r="35" spans="2:20" ht="23.1" customHeight="1" x14ac:dyDescent="0.25">
      <c r="B35" s="24" t="s">
        <v>62</v>
      </c>
      <c r="C35" s="50">
        <v>46</v>
      </c>
      <c r="D35" s="50">
        <v>8</v>
      </c>
      <c r="E35" s="50">
        <v>5</v>
      </c>
      <c r="F35" s="50">
        <v>9</v>
      </c>
      <c r="G35" s="50">
        <v>0</v>
      </c>
      <c r="H35" s="50">
        <v>1</v>
      </c>
      <c r="I35" s="50">
        <v>3</v>
      </c>
      <c r="J35" s="50">
        <v>0</v>
      </c>
      <c r="K35" s="50">
        <v>0</v>
      </c>
      <c r="L35" s="50">
        <v>0</v>
      </c>
      <c r="M35" s="50">
        <v>125</v>
      </c>
      <c r="N35" s="50">
        <v>0</v>
      </c>
      <c r="O35" s="15">
        <f t="shared" si="0"/>
        <v>72</v>
      </c>
      <c r="P35" s="15">
        <f t="shared" si="1"/>
        <v>197</v>
      </c>
    </row>
    <row r="36" spans="2:20" ht="23.1" customHeight="1" x14ac:dyDescent="0.25">
      <c r="B36" s="24" t="s">
        <v>63</v>
      </c>
      <c r="C36" s="50">
        <v>45</v>
      </c>
      <c r="D36" s="50">
        <v>5</v>
      </c>
      <c r="E36" s="50">
        <v>11</v>
      </c>
      <c r="F36" s="50">
        <v>20</v>
      </c>
      <c r="G36" s="50">
        <v>0</v>
      </c>
      <c r="H36" s="50">
        <v>0</v>
      </c>
      <c r="I36" s="50">
        <v>6</v>
      </c>
      <c r="J36" s="50">
        <v>4</v>
      </c>
      <c r="K36" s="50">
        <v>0</v>
      </c>
      <c r="L36" s="50">
        <v>0</v>
      </c>
      <c r="M36" s="50">
        <v>132</v>
      </c>
      <c r="N36" s="50">
        <v>0</v>
      </c>
      <c r="O36" s="15">
        <f t="shared" si="0"/>
        <v>91</v>
      </c>
      <c r="P36" s="15">
        <f t="shared" si="1"/>
        <v>223</v>
      </c>
    </row>
    <row r="37" spans="2:20" ht="23.1" customHeight="1" x14ac:dyDescent="0.25">
      <c r="B37" s="23" t="s">
        <v>64</v>
      </c>
      <c r="C37" s="50">
        <v>44</v>
      </c>
      <c r="D37" s="50">
        <v>10</v>
      </c>
      <c r="E37" s="50">
        <v>7</v>
      </c>
      <c r="F37" s="50">
        <v>5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52</v>
      </c>
      <c r="N37" s="50">
        <v>0</v>
      </c>
      <c r="O37" s="15">
        <f t="shared" si="0"/>
        <v>70</v>
      </c>
      <c r="P37" s="15">
        <f t="shared" si="1"/>
        <v>122</v>
      </c>
    </row>
    <row r="38" spans="2:20" ht="23.1" customHeight="1" x14ac:dyDescent="0.25">
      <c r="B38" s="24" t="s">
        <v>65</v>
      </c>
      <c r="C38" s="50">
        <v>50</v>
      </c>
      <c r="D38" s="50">
        <v>12</v>
      </c>
      <c r="E38" s="50">
        <v>9</v>
      </c>
      <c r="F38" s="50">
        <v>28</v>
      </c>
      <c r="G38" s="50">
        <v>0</v>
      </c>
      <c r="H38" s="50">
        <v>0</v>
      </c>
      <c r="I38" s="50">
        <v>5</v>
      </c>
      <c r="J38" s="50">
        <v>0</v>
      </c>
      <c r="K38" s="50">
        <v>0</v>
      </c>
      <c r="L38" s="50">
        <v>0</v>
      </c>
      <c r="M38" s="50">
        <v>105</v>
      </c>
      <c r="N38" s="50">
        <v>0</v>
      </c>
      <c r="O38" s="15">
        <f t="shared" si="0"/>
        <v>104</v>
      </c>
      <c r="P38" s="15">
        <f t="shared" si="1"/>
        <v>209</v>
      </c>
    </row>
    <row r="39" spans="2:20" ht="23.1" customHeight="1" x14ac:dyDescent="0.25">
      <c r="B39" s="24" t="s">
        <v>66</v>
      </c>
      <c r="C39" s="50">
        <v>30</v>
      </c>
      <c r="D39" s="50">
        <v>5</v>
      </c>
      <c r="E39" s="50">
        <v>7</v>
      </c>
      <c r="F39" s="50">
        <v>4</v>
      </c>
      <c r="G39" s="50">
        <v>0</v>
      </c>
      <c r="H39" s="50">
        <v>0</v>
      </c>
      <c r="I39" s="50">
        <v>3</v>
      </c>
      <c r="J39" s="50">
        <v>1</v>
      </c>
      <c r="K39" s="50">
        <v>0</v>
      </c>
      <c r="L39" s="50">
        <v>0</v>
      </c>
      <c r="M39" s="50">
        <v>70</v>
      </c>
      <c r="N39" s="50">
        <v>0</v>
      </c>
      <c r="O39" s="15">
        <f t="shared" si="0"/>
        <v>50</v>
      </c>
      <c r="P39" s="15">
        <f t="shared" si="1"/>
        <v>120</v>
      </c>
    </row>
    <row r="40" spans="2:20" ht="23.1" customHeight="1" x14ac:dyDescent="0.25">
      <c r="B40" s="24" t="s">
        <v>67</v>
      </c>
      <c r="C40" s="50">
        <v>70</v>
      </c>
      <c r="D40" s="50">
        <v>181</v>
      </c>
      <c r="E40" s="50">
        <v>12</v>
      </c>
      <c r="F40" s="50">
        <v>13</v>
      </c>
      <c r="G40" s="50">
        <v>0</v>
      </c>
      <c r="H40" s="50">
        <v>0</v>
      </c>
      <c r="I40" s="50">
        <v>6</v>
      </c>
      <c r="J40" s="50">
        <v>4</v>
      </c>
      <c r="K40" s="50">
        <v>0</v>
      </c>
      <c r="L40" s="50">
        <v>0</v>
      </c>
      <c r="M40" s="50">
        <v>100</v>
      </c>
      <c r="N40" s="50">
        <v>0</v>
      </c>
      <c r="O40" s="15">
        <f t="shared" si="0"/>
        <v>286</v>
      </c>
      <c r="P40" s="15">
        <f t="shared" si="1"/>
        <v>386</v>
      </c>
    </row>
    <row r="41" spans="2:20" ht="23.1" customHeight="1" x14ac:dyDescent="0.25">
      <c r="B41" s="23" t="s">
        <v>68</v>
      </c>
      <c r="C41" s="50">
        <v>25</v>
      </c>
      <c r="D41" s="50">
        <v>1</v>
      </c>
      <c r="E41" s="50">
        <v>4</v>
      </c>
      <c r="F41" s="50">
        <v>1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65</v>
      </c>
      <c r="N41" s="50">
        <v>0</v>
      </c>
      <c r="O41" s="15">
        <f t="shared" si="0"/>
        <v>34</v>
      </c>
      <c r="P41" s="15">
        <f t="shared" si="1"/>
        <v>99</v>
      </c>
    </row>
    <row r="42" spans="2:20" ht="23.1" customHeight="1" x14ac:dyDescent="0.25">
      <c r="B42" s="24" t="s">
        <v>69</v>
      </c>
      <c r="C42" s="50">
        <v>70</v>
      </c>
      <c r="D42" s="50">
        <v>9</v>
      </c>
      <c r="E42" s="50">
        <v>16</v>
      </c>
      <c r="F42" s="50">
        <v>13</v>
      </c>
      <c r="G42" s="50">
        <v>0</v>
      </c>
      <c r="H42" s="50">
        <v>0</v>
      </c>
      <c r="I42" s="50">
        <v>12</v>
      </c>
      <c r="J42" s="50">
        <v>1</v>
      </c>
      <c r="K42" s="50">
        <v>0</v>
      </c>
      <c r="L42" s="50">
        <v>0</v>
      </c>
      <c r="M42" s="50">
        <v>113</v>
      </c>
      <c r="N42" s="50">
        <v>0</v>
      </c>
      <c r="O42" s="15">
        <f t="shared" si="0"/>
        <v>121</v>
      </c>
      <c r="P42" s="15">
        <f t="shared" si="1"/>
        <v>234</v>
      </c>
    </row>
    <row r="43" spans="2:20" ht="23.1" customHeight="1" x14ac:dyDescent="0.25">
      <c r="B43" s="23" t="s">
        <v>70</v>
      </c>
      <c r="C43" s="50">
        <v>61</v>
      </c>
      <c r="D43" s="50">
        <v>9</v>
      </c>
      <c r="E43" s="50">
        <v>13</v>
      </c>
      <c r="F43" s="50">
        <v>13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111</v>
      </c>
      <c r="N43" s="50">
        <v>0</v>
      </c>
      <c r="O43" s="15">
        <f t="shared" si="0"/>
        <v>100</v>
      </c>
      <c r="P43" s="15">
        <f t="shared" si="1"/>
        <v>211</v>
      </c>
    </row>
    <row r="44" spans="2:20" ht="23.1" customHeight="1" x14ac:dyDescent="0.25">
      <c r="B44" s="25" t="s">
        <v>71</v>
      </c>
      <c r="C44" s="50">
        <v>65</v>
      </c>
      <c r="D44" s="50">
        <v>5</v>
      </c>
      <c r="E44" s="50">
        <v>8</v>
      </c>
      <c r="F44" s="50">
        <v>10</v>
      </c>
      <c r="G44" s="50">
        <v>0</v>
      </c>
      <c r="H44" s="50">
        <v>0</v>
      </c>
      <c r="I44" s="50">
        <v>4</v>
      </c>
      <c r="J44" s="50">
        <v>2</v>
      </c>
      <c r="K44" s="50">
        <v>0</v>
      </c>
      <c r="L44" s="50">
        <v>0</v>
      </c>
      <c r="M44" s="50">
        <v>145</v>
      </c>
      <c r="N44" s="50">
        <v>0</v>
      </c>
      <c r="O44" s="15">
        <f t="shared" si="0"/>
        <v>94</v>
      </c>
      <c r="P44" s="15">
        <f t="shared" si="1"/>
        <v>239</v>
      </c>
    </row>
    <row r="45" spans="2:20" ht="23.1" customHeight="1" x14ac:dyDescent="0.25">
      <c r="B45" s="23" t="s">
        <v>72</v>
      </c>
      <c r="C45" s="50">
        <v>35</v>
      </c>
      <c r="D45" s="50">
        <v>13</v>
      </c>
      <c r="E45" s="50">
        <v>21</v>
      </c>
      <c r="F45" s="50">
        <v>9</v>
      </c>
      <c r="G45" s="50">
        <v>0</v>
      </c>
      <c r="H45" s="50">
        <v>0</v>
      </c>
      <c r="I45" s="50">
        <v>10</v>
      </c>
      <c r="J45" s="50">
        <v>0</v>
      </c>
      <c r="K45" s="50">
        <v>0</v>
      </c>
      <c r="L45" s="50">
        <v>0</v>
      </c>
      <c r="M45" s="50">
        <v>85</v>
      </c>
      <c r="N45" s="50">
        <v>0</v>
      </c>
      <c r="O45" s="15">
        <f t="shared" si="0"/>
        <v>88</v>
      </c>
      <c r="P45" s="15">
        <f t="shared" si="1"/>
        <v>173</v>
      </c>
    </row>
    <row r="46" spans="2:20" ht="23.1" customHeight="1" x14ac:dyDescent="0.25">
      <c r="B46" s="24" t="s">
        <v>73</v>
      </c>
      <c r="C46" s="50">
        <v>67</v>
      </c>
      <c r="D46" s="50">
        <v>14</v>
      </c>
      <c r="E46" s="50">
        <v>13</v>
      </c>
      <c r="F46" s="50">
        <v>17</v>
      </c>
      <c r="G46" s="50">
        <v>0</v>
      </c>
      <c r="H46" s="50">
        <v>0</v>
      </c>
      <c r="I46" s="50">
        <v>6</v>
      </c>
      <c r="J46" s="50">
        <v>0</v>
      </c>
      <c r="K46" s="50">
        <v>0</v>
      </c>
      <c r="L46" s="50">
        <v>0</v>
      </c>
      <c r="M46" s="50">
        <v>130</v>
      </c>
      <c r="N46" s="50">
        <v>0</v>
      </c>
      <c r="O46" s="15">
        <f t="shared" si="0"/>
        <v>117</v>
      </c>
      <c r="P46" s="15">
        <f t="shared" si="1"/>
        <v>247</v>
      </c>
      <c r="R46" s="8"/>
      <c r="T46"/>
    </row>
    <row r="47" spans="2:20" ht="23.1" customHeight="1" x14ac:dyDescent="0.25">
      <c r="B47" s="24" t="s">
        <v>74</v>
      </c>
      <c r="C47" s="50">
        <v>100</v>
      </c>
      <c r="D47" s="50">
        <v>13</v>
      </c>
      <c r="E47" s="50">
        <v>7</v>
      </c>
      <c r="F47" s="50">
        <v>10</v>
      </c>
      <c r="G47" s="50">
        <v>0</v>
      </c>
      <c r="H47" s="50">
        <v>0</v>
      </c>
      <c r="I47" s="50">
        <v>5</v>
      </c>
      <c r="J47" s="50">
        <v>2</v>
      </c>
      <c r="K47" s="50">
        <v>0</v>
      </c>
      <c r="L47" s="50">
        <v>0</v>
      </c>
      <c r="M47" s="50">
        <v>115</v>
      </c>
      <c r="N47" s="50">
        <v>0</v>
      </c>
      <c r="O47" s="15">
        <f t="shared" si="0"/>
        <v>137</v>
      </c>
      <c r="P47" s="15">
        <f t="shared" si="1"/>
        <v>252</v>
      </c>
      <c r="R47" s="8"/>
      <c r="T47"/>
    </row>
    <row r="48" spans="2:20" ht="23.1" customHeight="1" x14ac:dyDescent="0.25">
      <c r="B48" s="24" t="s">
        <v>75</v>
      </c>
      <c r="C48" s="50">
        <v>100</v>
      </c>
      <c r="D48" s="50">
        <v>10</v>
      </c>
      <c r="E48" s="50">
        <v>9</v>
      </c>
      <c r="F48" s="50">
        <v>15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0</v>
      </c>
      <c r="M48" s="50">
        <v>140</v>
      </c>
      <c r="N48" s="50">
        <v>0</v>
      </c>
      <c r="O48" s="15">
        <f t="shared" si="0"/>
        <v>139</v>
      </c>
      <c r="P48" s="15">
        <f t="shared" si="1"/>
        <v>279</v>
      </c>
      <c r="R48" s="8"/>
      <c r="T48"/>
    </row>
    <row r="49" spans="2:20" ht="23.1" customHeight="1" x14ac:dyDescent="0.25">
      <c r="B49" s="23" t="s">
        <v>76</v>
      </c>
      <c r="C49" s="50">
        <v>80</v>
      </c>
      <c r="D49" s="50">
        <v>15</v>
      </c>
      <c r="E49" s="50">
        <v>23</v>
      </c>
      <c r="F49" s="50">
        <v>16</v>
      </c>
      <c r="G49" s="50">
        <v>1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85</v>
      </c>
      <c r="N49" s="50">
        <v>0</v>
      </c>
      <c r="O49" s="15">
        <f t="shared" si="0"/>
        <v>136</v>
      </c>
      <c r="P49" s="15">
        <f t="shared" si="1"/>
        <v>221</v>
      </c>
      <c r="R49" s="8"/>
      <c r="T49"/>
    </row>
    <row r="50" spans="2:20" ht="23.1" customHeight="1" x14ac:dyDescent="0.25">
      <c r="B50" s="24" t="s">
        <v>77</v>
      </c>
      <c r="C50" s="50">
        <v>150</v>
      </c>
      <c r="D50" s="50">
        <v>25</v>
      </c>
      <c r="E50" s="50">
        <v>9</v>
      </c>
      <c r="F50" s="50">
        <v>24</v>
      </c>
      <c r="G50" s="50">
        <v>2</v>
      </c>
      <c r="H50" s="50">
        <v>0</v>
      </c>
      <c r="I50" s="50">
        <v>2</v>
      </c>
      <c r="J50" s="50">
        <v>2</v>
      </c>
      <c r="K50" s="50">
        <v>0</v>
      </c>
      <c r="L50" s="50">
        <v>0</v>
      </c>
      <c r="M50" s="50">
        <v>90</v>
      </c>
      <c r="N50" s="50">
        <v>0</v>
      </c>
      <c r="O50" s="15">
        <f t="shared" si="0"/>
        <v>214</v>
      </c>
      <c r="P50" s="15">
        <f t="shared" si="1"/>
        <v>304</v>
      </c>
      <c r="R50" s="8"/>
      <c r="T50"/>
    </row>
    <row r="51" spans="2:20" ht="23.1" customHeight="1" x14ac:dyDescent="0.25">
      <c r="B51" s="24" t="s">
        <v>78</v>
      </c>
      <c r="C51" s="50">
        <v>90</v>
      </c>
      <c r="D51" s="50">
        <v>26</v>
      </c>
      <c r="E51" s="50">
        <v>13</v>
      </c>
      <c r="F51" s="50">
        <v>19</v>
      </c>
      <c r="G51" s="50">
        <v>1</v>
      </c>
      <c r="H51" s="50">
        <v>0</v>
      </c>
      <c r="I51" s="50">
        <v>4</v>
      </c>
      <c r="J51" s="50">
        <v>0</v>
      </c>
      <c r="K51" s="50">
        <v>0</v>
      </c>
      <c r="L51" s="50">
        <v>0</v>
      </c>
      <c r="M51" s="50">
        <v>150</v>
      </c>
      <c r="N51" s="50">
        <v>0</v>
      </c>
      <c r="O51" s="15">
        <f t="shared" si="0"/>
        <v>153</v>
      </c>
      <c r="P51" s="15">
        <f t="shared" si="1"/>
        <v>303</v>
      </c>
      <c r="R51" s="8"/>
      <c r="T51"/>
    </row>
    <row r="52" spans="2:20" ht="23.1" customHeight="1" x14ac:dyDescent="0.25">
      <c r="B52" s="24" t="s">
        <v>79</v>
      </c>
      <c r="C52" s="50">
        <v>90</v>
      </c>
      <c r="D52" s="50">
        <v>15</v>
      </c>
      <c r="E52" s="50">
        <v>9</v>
      </c>
      <c r="F52" s="50">
        <v>11</v>
      </c>
      <c r="G52" s="50">
        <v>1</v>
      </c>
      <c r="H52" s="50">
        <v>1</v>
      </c>
      <c r="I52" s="50">
        <v>4</v>
      </c>
      <c r="J52" s="50">
        <v>2</v>
      </c>
      <c r="K52" s="50">
        <v>0</v>
      </c>
      <c r="L52" s="50">
        <v>0</v>
      </c>
      <c r="M52" s="50">
        <v>135</v>
      </c>
      <c r="N52" s="50">
        <v>0</v>
      </c>
      <c r="O52" s="15">
        <f t="shared" si="0"/>
        <v>133</v>
      </c>
      <c r="P52" s="15">
        <f t="shared" si="1"/>
        <v>268</v>
      </c>
      <c r="R52" s="8"/>
      <c r="T52"/>
    </row>
    <row r="53" spans="2:20" ht="23.1" customHeight="1" x14ac:dyDescent="0.25">
      <c r="B53" s="23" t="s">
        <v>80</v>
      </c>
      <c r="C53" s="50">
        <v>105</v>
      </c>
      <c r="D53" s="50">
        <v>18</v>
      </c>
      <c r="E53" s="50">
        <v>12</v>
      </c>
      <c r="F53" s="50">
        <v>8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90</v>
      </c>
      <c r="N53" s="50">
        <v>0</v>
      </c>
      <c r="O53" s="15">
        <f t="shared" si="0"/>
        <v>147</v>
      </c>
      <c r="P53" s="15">
        <f t="shared" si="1"/>
        <v>237</v>
      </c>
      <c r="R53" s="8"/>
      <c r="T53"/>
    </row>
    <row r="54" spans="2:20" ht="23.1" customHeight="1" x14ac:dyDescent="0.25">
      <c r="B54" s="23" t="s">
        <v>81</v>
      </c>
      <c r="C54" s="50">
        <v>60</v>
      </c>
      <c r="D54" s="50">
        <v>28</v>
      </c>
      <c r="E54" s="50">
        <v>16</v>
      </c>
      <c r="F54" s="50">
        <v>28</v>
      </c>
      <c r="G54" s="50">
        <v>0</v>
      </c>
      <c r="H54" s="50">
        <v>0</v>
      </c>
      <c r="I54" s="50">
        <v>2</v>
      </c>
      <c r="J54" s="50">
        <v>2</v>
      </c>
      <c r="K54" s="50">
        <v>0</v>
      </c>
      <c r="L54" s="50">
        <v>0</v>
      </c>
      <c r="M54" s="50">
        <v>115</v>
      </c>
      <c r="N54" s="50">
        <v>0</v>
      </c>
      <c r="O54" s="15">
        <f t="shared" si="0"/>
        <v>136</v>
      </c>
      <c r="P54" s="15">
        <f t="shared" si="1"/>
        <v>251</v>
      </c>
      <c r="R54" s="8"/>
      <c r="T54"/>
    </row>
    <row r="55" spans="2:20" ht="23.1" customHeight="1" x14ac:dyDescent="0.25">
      <c r="B55" s="23" t="s">
        <v>82</v>
      </c>
      <c r="C55" s="50">
        <v>65</v>
      </c>
      <c r="D55" s="50">
        <v>2</v>
      </c>
      <c r="E55" s="50">
        <v>5</v>
      </c>
      <c r="F55" s="50">
        <v>16</v>
      </c>
      <c r="G55" s="50">
        <v>0</v>
      </c>
      <c r="H55" s="50">
        <v>0</v>
      </c>
      <c r="I55" s="50">
        <v>4</v>
      </c>
      <c r="J55" s="50">
        <v>1</v>
      </c>
      <c r="K55" s="50">
        <v>1</v>
      </c>
      <c r="L55" s="50">
        <v>0</v>
      </c>
      <c r="M55" s="50">
        <v>90</v>
      </c>
      <c r="N55" s="50">
        <v>0</v>
      </c>
      <c r="O55" s="15">
        <f t="shared" si="0"/>
        <v>94</v>
      </c>
      <c r="P55" s="15">
        <f t="shared" si="1"/>
        <v>184</v>
      </c>
      <c r="R55" s="8"/>
      <c r="T55"/>
    </row>
    <row r="56" spans="2:20" ht="23.1" customHeight="1" x14ac:dyDescent="0.25">
      <c r="B56" s="23" t="s">
        <v>83</v>
      </c>
      <c r="C56" s="50">
        <v>85</v>
      </c>
      <c r="D56" s="50">
        <v>13</v>
      </c>
      <c r="E56" s="50">
        <v>4</v>
      </c>
      <c r="F56" s="50">
        <v>15</v>
      </c>
      <c r="G56" s="50">
        <v>1</v>
      </c>
      <c r="H56" s="50">
        <v>0</v>
      </c>
      <c r="I56" s="50">
        <v>3</v>
      </c>
      <c r="J56" s="50">
        <v>1</v>
      </c>
      <c r="K56" s="50">
        <v>1</v>
      </c>
      <c r="L56" s="50">
        <v>0</v>
      </c>
      <c r="M56" s="50">
        <v>160</v>
      </c>
      <c r="N56" s="50">
        <v>0</v>
      </c>
      <c r="O56" s="15">
        <f t="shared" si="0"/>
        <v>123</v>
      </c>
      <c r="P56" s="15">
        <f t="shared" si="1"/>
        <v>283</v>
      </c>
      <c r="R56" s="8"/>
      <c r="T56"/>
    </row>
    <row r="57" spans="2:20" ht="23.1" customHeight="1" x14ac:dyDescent="0.25">
      <c r="B57" s="23" t="s">
        <v>84</v>
      </c>
      <c r="C57" s="50">
        <v>75</v>
      </c>
      <c r="D57" s="50">
        <v>20</v>
      </c>
      <c r="E57" s="50">
        <v>9</v>
      </c>
      <c r="F57" s="50">
        <v>31</v>
      </c>
      <c r="G57" s="50">
        <v>1</v>
      </c>
      <c r="H57" s="50">
        <v>0</v>
      </c>
      <c r="I57" s="50">
        <v>7</v>
      </c>
      <c r="J57" s="50">
        <v>1</v>
      </c>
      <c r="K57" s="50">
        <v>0</v>
      </c>
      <c r="L57" s="50">
        <v>0</v>
      </c>
      <c r="M57" s="50">
        <v>135</v>
      </c>
      <c r="N57" s="50">
        <v>0</v>
      </c>
      <c r="O57" s="15">
        <f t="shared" si="0"/>
        <v>144</v>
      </c>
      <c r="P57" s="15">
        <f t="shared" si="1"/>
        <v>279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2244</v>
      </c>
      <c r="D58" s="16">
        <f t="shared" si="21"/>
        <v>600</v>
      </c>
      <c r="E58" s="16">
        <f t="shared" si="21"/>
        <v>405</v>
      </c>
      <c r="F58" s="16">
        <f t="shared" si="21"/>
        <v>649</v>
      </c>
      <c r="G58" s="16">
        <f t="shared" si="21"/>
        <v>15</v>
      </c>
      <c r="H58" s="16">
        <f t="shared" si="21"/>
        <v>2</v>
      </c>
      <c r="I58" s="16">
        <f t="shared" si="21"/>
        <v>191</v>
      </c>
      <c r="J58" s="16">
        <f t="shared" si="21"/>
        <v>47</v>
      </c>
      <c r="K58" s="16">
        <f t="shared" si="21"/>
        <v>4</v>
      </c>
      <c r="L58" s="16">
        <f t="shared" si="21"/>
        <v>0</v>
      </c>
      <c r="M58" s="16">
        <f t="shared" si="21"/>
        <v>5466</v>
      </c>
      <c r="N58" s="16">
        <f t="shared" si="21"/>
        <v>0</v>
      </c>
      <c r="O58" s="16">
        <f t="shared" si="21"/>
        <v>4157</v>
      </c>
      <c r="P58" s="16">
        <f t="shared" si="21"/>
        <v>9623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0.23319131248051544</v>
      </c>
      <c r="D59" s="43">
        <f t="shared" si="22"/>
        <v>6.2350618310298242E-2</v>
      </c>
      <c r="E59" s="43">
        <f t="shared" si="22"/>
        <v>4.2086667359451317E-2</v>
      </c>
      <c r="F59" s="43">
        <f t="shared" si="22"/>
        <v>6.744258547230593E-2</v>
      </c>
      <c r="G59" s="43">
        <f t="shared" si="22"/>
        <v>1.558765457757456E-3</v>
      </c>
      <c r="H59" s="43">
        <f t="shared" si="22"/>
        <v>2.0783539436766081E-4</v>
      </c>
      <c r="I59" s="43">
        <f t="shared" si="22"/>
        <v>1.9848280162111608E-2</v>
      </c>
      <c r="J59" s="43">
        <f t="shared" si="22"/>
        <v>4.8841317676400287E-3</v>
      </c>
      <c r="K59" s="43">
        <f t="shared" si="22"/>
        <v>4.1567078873532161E-4</v>
      </c>
      <c r="L59" s="43">
        <f t="shared" si="22"/>
        <v>0</v>
      </c>
      <c r="M59" s="43">
        <f t="shared" si="22"/>
        <v>0.56801413280681701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0.53981236468607163</v>
      </c>
      <c r="D60" s="44">
        <f t="shared" ref="D60:N60" si="23">D58/$O$58</f>
        <v>0.1443348568679336</v>
      </c>
      <c r="E60" s="44">
        <f t="shared" si="23"/>
        <v>9.7426028385855179E-2</v>
      </c>
      <c r="F60" s="44">
        <f t="shared" si="23"/>
        <v>0.15612220351214817</v>
      </c>
      <c r="G60" s="44">
        <f t="shared" si="23"/>
        <v>3.6083714216983403E-3</v>
      </c>
      <c r="H60" s="44">
        <f t="shared" si="23"/>
        <v>4.811161895597787E-4</v>
      </c>
      <c r="I60" s="44">
        <f t="shared" si="23"/>
        <v>4.5946596102958863E-2</v>
      </c>
      <c r="J60" s="44">
        <f t="shared" si="23"/>
        <v>1.1306230454654799E-2</v>
      </c>
      <c r="K60" s="44">
        <f t="shared" si="23"/>
        <v>9.622323791195574E-4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Kyebando-Mulago'!C3:G3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55" t="str">
        <f>'01.08 Mulago-Kyebando-24h'!G5:H5</f>
        <v>Kisingiri Street</v>
      </c>
      <c r="H5" s="56"/>
      <c r="I5" s="14"/>
      <c r="J5" s="2" t="s">
        <v>5</v>
      </c>
      <c r="K5" s="55" t="s">
        <v>177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'02.08 Kyebando-Mulago'!D6:E6</f>
        <v>Kyebando</v>
      </c>
      <c r="E6" s="56"/>
      <c r="F6" s="2" t="s">
        <v>2</v>
      </c>
      <c r="G6" s="55" t="str">
        <f>'02.08 Kyebando-Mulago'!G6:H6</f>
        <v>Mulago</v>
      </c>
      <c r="H6" s="56"/>
      <c r="J6" s="2" t="s">
        <v>21</v>
      </c>
      <c r="K6" s="55" t="str">
        <f>'01.08 Mulago-Kyebando-24h'!K6:L6</f>
        <v>Steven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51</v>
      </c>
      <c r="D10" s="50">
        <v>7</v>
      </c>
      <c r="E10" s="50">
        <v>5</v>
      </c>
      <c r="F10" s="50">
        <v>23</v>
      </c>
      <c r="G10" s="50">
        <v>0</v>
      </c>
      <c r="H10" s="50">
        <v>0</v>
      </c>
      <c r="I10" s="50">
        <v>7</v>
      </c>
      <c r="J10" s="50">
        <v>0</v>
      </c>
      <c r="K10" s="50">
        <v>0</v>
      </c>
      <c r="L10" s="50">
        <v>0</v>
      </c>
      <c r="M10" s="50">
        <v>55</v>
      </c>
      <c r="N10" s="50">
        <v>0</v>
      </c>
      <c r="O10" s="15">
        <f t="shared" ref="O10:O73" si="0">SUM(C10:L10,N10)</f>
        <v>93</v>
      </c>
      <c r="P10" s="15">
        <f t="shared" ref="P10:P73" si="1">SUM(C10:N10)</f>
        <v>148</v>
      </c>
      <c r="R10" s="1" t="s">
        <v>6</v>
      </c>
      <c r="S10" s="17">
        <f t="shared" ref="S10:AF10" si="2">SUM(C10:C13)</f>
        <v>235</v>
      </c>
      <c r="T10" s="17">
        <f t="shared" si="2"/>
        <v>34</v>
      </c>
      <c r="U10" s="17">
        <f t="shared" si="2"/>
        <v>25</v>
      </c>
      <c r="V10" s="17">
        <f t="shared" si="2"/>
        <v>112</v>
      </c>
      <c r="W10" s="17">
        <f t="shared" si="2"/>
        <v>0</v>
      </c>
      <c r="X10" s="17">
        <f t="shared" si="2"/>
        <v>0</v>
      </c>
      <c r="Y10" s="17">
        <f t="shared" si="2"/>
        <v>19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294</v>
      </c>
      <c r="AD10" s="17">
        <f t="shared" si="2"/>
        <v>0</v>
      </c>
      <c r="AE10" s="31">
        <f t="shared" si="2"/>
        <v>426</v>
      </c>
      <c r="AF10" s="31">
        <f t="shared" si="2"/>
        <v>720</v>
      </c>
    </row>
    <row r="11" spans="2:32" s="6" customFormat="1" ht="23.1" customHeight="1" x14ac:dyDescent="0.25">
      <c r="B11" s="45" t="s">
        <v>38</v>
      </c>
      <c r="C11" s="50">
        <v>40</v>
      </c>
      <c r="D11" s="50">
        <v>6</v>
      </c>
      <c r="E11" s="50">
        <v>3</v>
      </c>
      <c r="F11" s="50">
        <v>23</v>
      </c>
      <c r="G11" s="50">
        <v>0</v>
      </c>
      <c r="H11" s="50">
        <v>0</v>
      </c>
      <c r="I11" s="50">
        <v>8</v>
      </c>
      <c r="J11" s="50">
        <v>0</v>
      </c>
      <c r="K11" s="50">
        <v>0</v>
      </c>
      <c r="L11" s="50">
        <v>0</v>
      </c>
      <c r="M11" s="50">
        <v>40</v>
      </c>
      <c r="N11" s="50">
        <v>0</v>
      </c>
      <c r="O11" s="15">
        <f t="shared" si="0"/>
        <v>80</v>
      </c>
      <c r="P11" s="15">
        <f t="shared" si="1"/>
        <v>120</v>
      </c>
      <c r="R11" s="1" t="s">
        <v>7</v>
      </c>
      <c r="S11" s="17">
        <f t="shared" ref="S11:AF11" si="3">SUM(C14:C17)</f>
        <v>379</v>
      </c>
      <c r="T11" s="17">
        <f t="shared" si="3"/>
        <v>38</v>
      </c>
      <c r="U11" s="17">
        <f t="shared" si="3"/>
        <v>40</v>
      </c>
      <c r="V11" s="17">
        <f t="shared" si="3"/>
        <v>122</v>
      </c>
      <c r="W11" s="17">
        <f t="shared" si="3"/>
        <v>0</v>
      </c>
      <c r="X11" s="17">
        <f t="shared" si="3"/>
        <v>1</v>
      </c>
      <c r="Y11" s="17">
        <f t="shared" si="3"/>
        <v>16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651</v>
      </c>
      <c r="AD11" s="17">
        <f t="shared" si="3"/>
        <v>0</v>
      </c>
      <c r="AE11" s="31">
        <f t="shared" si="3"/>
        <v>597</v>
      </c>
      <c r="AF11" s="31">
        <f t="shared" si="3"/>
        <v>1248</v>
      </c>
    </row>
    <row r="12" spans="2:32" ht="23.1" customHeight="1" x14ac:dyDescent="0.25">
      <c r="B12" s="45" t="s">
        <v>39</v>
      </c>
      <c r="C12" s="50">
        <v>73</v>
      </c>
      <c r="D12" s="50">
        <v>15</v>
      </c>
      <c r="E12" s="50">
        <v>10</v>
      </c>
      <c r="F12" s="50">
        <v>31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88</v>
      </c>
      <c r="N12" s="50">
        <v>0</v>
      </c>
      <c r="O12" s="15">
        <f t="shared" si="0"/>
        <v>132</v>
      </c>
      <c r="P12" s="15">
        <f t="shared" si="1"/>
        <v>220</v>
      </c>
      <c r="R12" s="1" t="s">
        <v>8</v>
      </c>
      <c r="S12" s="17">
        <f t="shared" ref="S12:AF12" si="4">SUM(C18:C21)</f>
        <v>287</v>
      </c>
      <c r="T12" s="17">
        <f t="shared" si="4"/>
        <v>67</v>
      </c>
      <c r="U12" s="17">
        <f t="shared" si="4"/>
        <v>44</v>
      </c>
      <c r="V12" s="17">
        <f t="shared" si="4"/>
        <v>110</v>
      </c>
      <c r="W12" s="17">
        <f t="shared" si="4"/>
        <v>1</v>
      </c>
      <c r="X12" s="17">
        <f t="shared" si="4"/>
        <v>0</v>
      </c>
      <c r="Y12" s="17">
        <f t="shared" si="4"/>
        <v>18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485</v>
      </c>
      <c r="AD12" s="17">
        <f t="shared" si="4"/>
        <v>0</v>
      </c>
      <c r="AE12" s="31">
        <f t="shared" si="4"/>
        <v>527</v>
      </c>
      <c r="AF12" s="31">
        <f t="shared" si="4"/>
        <v>1012</v>
      </c>
    </row>
    <row r="13" spans="2:32" ht="23.1" customHeight="1" x14ac:dyDescent="0.25">
      <c r="B13" s="45" t="s">
        <v>40</v>
      </c>
      <c r="C13" s="50">
        <v>71</v>
      </c>
      <c r="D13" s="50">
        <v>6</v>
      </c>
      <c r="E13" s="50">
        <v>7</v>
      </c>
      <c r="F13" s="50">
        <v>35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111</v>
      </c>
      <c r="N13" s="50">
        <v>0</v>
      </c>
      <c r="O13" s="15">
        <f t="shared" si="0"/>
        <v>121</v>
      </c>
      <c r="P13" s="15">
        <f t="shared" si="1"/>
        <v>232</v>
      </c>
      <c r="R13" s="1" t="s">
        <v>9</v>
      </c>
      <c r="S13" s="17">
        <f t="shared" ref="S13:AF13" si="5">SUM(C22:C25)</f>
        <v>462</v>
      </c>
      <c r="T13" s="17">
        <f t="shared" si="5"/>
        <v>81</v>
      </c>
      <c r="U13" s="17">
        <f t="shared" si="5"/>
        <v>48</v>
      </c>
      <c r="V13" s="17">
        <f t="shared" si="5"/>
        <v>66</v>
      </c>
      <c r="W13" s="17">
        <f t="shared" si="5"/>
        <v>0</v>
      </c>
      <c r="X13" s="17">
        <f t="shared" si="5"/>
        <v>0</v>
      </c>
      <c r="Y13" s="17">
        <f t="shared" si="5"/>
        <v>32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465</v>
      </c>
      <c r="AD13" s="17">
        <f t="shared" si="5"/>
        <v>0</v>
      </c>
      <c r="AE13" s="31">
        <f t="shared" si="5"/>
        <v>690</v>
      </c>
      <c r="AF13" s="31">
        <f t="shared" si="5"/>
        <v>1155</v>
      </c>
    </row>
    <row r="14" spans="2:32" ht="23.1" customHeight="1" x14ac:dyDescent="0.25">
      <c r="B14" s="45" t="s">
        <v>41</v>
      </c>
      <c r="C14" s="50">
        <v>100</v>
      </c>
      <c r="D14" s="50">
        <v>6</v>
      </c>
      <c r="E14" s="50">
        <v>10</v>
      </c>
      <c r="F14" s="50">
        <v>35</v>
      </c>
      <c r="G14" s="50">
        <v>0</v>
      </c>
      <c r="H14" s="50">
        <v>0</v>
      </c>
      <c r="I14" s="50">
        <v>8</v>
      </c>
      <c r="J14" s="50">
        <v>1</v>
      </c>
      <c r="K14" s="50">
        <v>0</v>
      </c>
      <c r="L14" s="50">
        <v>0</v>
      </c>
      <c r="M14" s="50">
        <v>140</v>
      </c>
      <c r="N14" s="50">
        <v>0</v>
      </c>
      <c r="O14" s="15">
        <f t="shared" si="0"/>
        <v>160</v>
      </c>
      <c r="P14" s="15">
        <f t="shared" si="1"/>
        <v>300</v>
      </c>
      <c r="R14" s="1" t="s">
        <v>10</v>
      </c>
      <c r="S14" s="17">
        <f t="shared" ref="S14:AF14" si="6">SUM(C26:C29)</f>
        <v>383</v>
      </c>
      <c r="T14" s="17">
        <f t="shared" si="6"/>
        <v>64</v>
      </c>
      <c r="U14" s="17">
        <f t="shared" si="6"/>
        <v>39</v>
      </c>
      <c r="V14" s="17">
        <f t="shared" si="6"/>
        <v>60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425</v>
      </c>
      <c r="AD14" s="17">
        <f t="shared" si="6"/>
        <v>0</v>
      </c>
      <c r="AE14" s="31">
        <f t="shared" si="6"/>
        <v>564</v>
      </c>
      <c r="AF14" s="31">
        <f t="shared" si="6"/>
        <v>989</v>
      </c>
    </row>
    <row r="15" spans="2:32" ht="23.1" customHeight="1" x14ac:dyDescent="0.25">
      <c r="B15" s="45" t="s">
        <v>42</v>
      </c>
      <c r="C15" s="50">
        <v>104</v>
      </c>
      <c r="D15" s="50">
        <v>9</v>
      </c>
      <c r="E15" s="50">
        <v>9</v>
      </c>
      <c r="F15" s="50">
        <v>34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200</v>
      </c>
      <c r="N15" s="50">
        <v>0</v>
      </c>
      <c r="O15" s="15">
        <f t="shared" si="0"/>
        <v>158</v>
      </c>
      <c r="P15" s="15">
        <f t="shared" si="1"/>
        <v>358</v>
      </c>
      <c r="R15" s="1" t="s">
        <v>11</v>
      </c>
      <c r="S15" s="17">
        <f t="shared" ref="S15:AF15" si="7">SUM(C30:C33)</f>
        <v>348</v>
      </c>
      <c r="T15" s="17">
        <f t="shared" si="7"/>
        <v>61</v>
      </c>
      <c r="U15" s="17">
        <f t="shared" si="7"/>
        <v>36</v>
      </c>
      <c r="V15" s="17">
        <f t="shared" si="7"/>
        <v>66</v>
      </c>
      <c r="W15" s="17">
        <f t="shared" si="7"/>
        <v>1</v>
      </c>
      <c r="X15" s="17">
        <f t="shared" si="7"/>
        <v>1</v>
      </c>
      <c r="Y15" s="17">
        <f t="shared" si="7"/>
        <v>39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434</v>
      </c>
      <c r="AD15" s="17">
        <f t="shared" si="7"/>
        <v>0</v>
      </c>
      <c r="AE15" s="31">
        <f t="shared" si="7"/>
        <v>553</v>
      </c>
      <c r="AF15" s="31">
        <f t="shared" si="7"/>
        <v>987</v>
      </c>
    </row>
    <row r="16" spans="2:32" ht="23.1" customHeight="1" x14ac:dyDescent="0.25">
      <c r="B16" s="45" t="s">
        <v>43</v>
      </c>
      <c r="C16" s="50">
        <v>110</v>
      </c>
      <c r="D16" s="50">
        <v>12</v>
      </c>
      <c r="E16" s="50">
        <v>12</v>
      </c>
      <c r="F16" s="50">
        <v>36</v>
      </c>
      <c r="G16" s="50">
        <v>0</v>
      </c>
      <c r="H16" s="50">
        <v>1</v>
      </c>
      <c r="I16" s="50">
        <v>4</v>
      </c>
      <c r="J16" s="50">
        <v>0</v>
      </c>
      <c r="K16" s="50">
        <v>0</v>
      </c>
      <c r="L16" s="50">
        <v>0</v>
      </c>
      <c r="M16" s="50">
        <v>211</v>
      </c>
      <c r="N16" s="50">
        <v>0</v>
      </c>
      <c r="O16" s="15">
        <f t="shared" si="0"/>
        <v>175</v>
      </c>
      <c r="P16" s="15">
        <f t="shared" si="1"/>
        <v>386</v>
      </c>
      <c r="R16" s="1" t="s">
        <v>12</v>
      </c>
      <c r="S16" s="17">
        <f t="shared" ref="S16:AF16" si="8">SUM(C34:C37)</f>
        <v>284</v>
      </c>
      <c r="T16" s="17">
        <f t="shared" si="8"/>
        <v>40</v>
      </c>
      <c r="U16" s="17">
        <f t="shared" si="8"/>
        <v>33</v>
      </c>
      <c r="V16" s="17">
        <f t="shared" si="8"/>
        <v>38</v>
      </c>
      <c r="W16" s="17">
        <f t="shared" si="8"/>
        <v>0</v>
      </c>
      <c r="X16" s="17">
        <f t="shared" si="8"/>
        <v>0</v>
      </c>
      <c r="Y16" s="17">
        <f t="shared" si="8"/>
        <v>34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473</v>
      </c>
      <c r="AD16" s="17">
        <f t="shared" si="8"/>
        <v>0</v>
      </c>
      <c r="AE16" s="31">
        <f t="shared" si="8"/>
        <v>430</v>
      </c>
      <c r="AF16" s="31">
        <f t="shared" si="8"/>
        <v>903</v>
      </c>
    </row>
    <row r="17" spans="2:32" ht="23.1" customHeight="1" x14ac:dyDescent="0.25">
      <c r="B17" s="45" t="s">
        <v>44</v>
      </c>
      <c r="C17" s="50">
        <v>65</v>
      </c>
      <c r="D17" s="50">
        <v>11</v>
      </c>
      <c r="E17" s="50">
        <v>9</v>
      </c>
      <c r="F17" s="50">
        <v>17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100</v>
      </c>
      <c r="N17" s="50">
        <v>0</v>
      </c>
      <c r="O17" s="15">
        <f t="shared" si="0"/>
        <v>104</v>
      </c>
      <c r="P17" s="15">
        <f t="shared" si="1"/>
        <v>204</v>
      </c>
      <c r="R17" s="1" t="s">
        <v>13</v>
      </c>
      <c r="S17" s="17">
        <f t="shared" ref="S17:AF17" si="9">SUM(C38:C41)</f>
        <v>246</v>
      </c>
      <c r="T17" s="17">
        <f t="shared" si="9"/>
        <v>45</v>
      </c>
      <c r="U17" s="17">
        <f t="shared" si="9"/>
        <v>27</v>
      </c>
      <c r="V17" s="17">
        <f t="shared" si="9"/>
        <v>36</v>
      </c>
      <c r="W17" s="17">
        <f t="shared" si="9"/>
        <v>0</v>
      </c>
      <c r="X17" s="17">
        <f t="shared" si="9"/>
        <v>0</v>
      </c>
      <c r="Y17" s="17">
        <f t="shared" si="9"/>
        <v>17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476</v>
      </c>
      <c r="AD17" s="17">
        <f t="shared" si="9"/>
        <v>0</v>
      </c>
      <c r="AE17" s="31">
        <f t="shared" si="9"/>
        <v>372</v>
      </c>
      <c r="AF17" s="31">
        <f t="shared" si="9"/>
        <v>848</v>
      </c>
    </row>
    <row r="18" spans="2:32" ht="23.1" customHeight="1" x14ac:dyDescent="0.25">
      <c r="B18" s="45" t="s">
        <v>45</v>
      </c>
      <c r="C18" s="50">
        <v>81</v>
      </c>
      <c r="D18" s="50">
        <v>23</v>
      </c>
      <c r="E18" s="50">
        <v>14</v>
      </c>
      <c r="F18" s="50">
        <v>37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130</v>
      </c>
      <c r="N18" s="50">
        <v>0</v>
      </c>
      <c r="O18" s="15">
        <f t="shared" si="0"/>
        <v>160</v>
      </c>
      <c r="P18" s="15">
        <f t="shared" si="1"/>
        <v>290</v>
      </c>
      <c r="R18" s="1" t="s">
        <v>14</v>
      </c>
      <c r="S18" s="17">
        <f t="shared" ref="S18:AF18" si="10">SUM(C42:C45)</f>
        <v>203</v>
      </c>
      <c r="T18" s="17">
        <f t="shared" si="10"/>
        <v>34</v>
      </c>
      <c r="U18" s="17">
        <f t="shared" si="10"/>
        <v>33</v>
      </c>
      <c r="V18" s="17">
        <f t="shared" si="10"/>
        <v>30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393</v>
      </c>
      <c r="AD18" s="17">
        <f t="shared" si="10"/>
        <v>0</v>
      </c>
      <c r="AE18" s="31">
        <f t="shared" si="10"/>
        <v>312</v>
      </c>
      <c r="AF18" s="31">
        <f t="shared" si="10"/>
        <v>705</v>
      </c>
    </row>
    <row r="19" spans="2:32" ht="23.1" customHeight="1" x14ac:dyDescent="0.25">
      <c r="B19" s="45" t="s">
        <v>46</v>
      </c>
      <c r="C19" s="50">
        <v>61</v>
      </c>
      <c r="D19" s="50">
        <v>19</v>
      </c>
      <c r="E19" s="50">
        <v>8</v>
      </c>
      <c r="F19" s="50">
        <v>26</v>
      </c>
      <c r="G19" s="50">
        <v>0</v>
      </c>
      <c r="H19" s="50">
        <v>0</v>
      </c>
      <c r="I19" s="50">
        <v>9</v>
      </c>
      <c r="J19" s="50">
        <v>0</v>
      </c>
      <c r="K19" s="50">
        <v>0</v>
      </c>
      <c r="L19" s="50">
        <v>0</v>
      </c>
      <c r="M19" s="50">
        <v>115</v>
      </c>
      <c r="N19" s="50">
        <v>0</v>
      </c>
      <c r="O19" s="15">
        <f t="shared" si="0"/>
        <v>123</v>
      </c>
      <c r="P19" s="15">
        <f t="shared" si="1"/>
        <v>238</v>
      </c>
      <c r="R19" s="1" t="s">
        <v>15</v>
      </c>
      <c r="S19" s="17">
        <f t="shared" ref="S19:AF19" si="11">SUM(C46:C49)</f>
        <v>210</v>
      </c>
      <c r="T19" s="17">
        <f t="shared" si="11"/>
        <v>33</v>
      </c>
      <c r="U19" s="17">
        <f t="shared" si="11"/>
        <v>27</v>
      </c>
      <c r="V19" s="17">
        <f t="shared" si="11"/>
        <v>38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395</v>
      </c>
      <c r="AD19" s="17">
        <f t="shared" si="11"/>
        <v>0</v>
      </c>
      <c r="AE19" s="31">
        <f t="shared" si="11"/>
        <v>322</v>
      </c>
      <c r="AF19" s="31">
        <f t="shared" si="11"/>
        <v>717</v>
      </c>
    </row>
    <row r="20" spans="2:32" ht="23.1" customHeight="1" x14ac:dyDescent="0.25">
      <c r="B20" s="45" t="s">
        <v>47</v>
      </c>
      <c r="C20" s="50">
        <v>75</v>
      </c>
      <c r="D20" s="50">
        <v>13</v>
      </c>
      <c r="E20" s="50">
        <v>9</v>
      </c>
      <c r="F20" s="50">
        <v>20</v>
      </c>
      <c r="G20" s="50">
        <v>1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115</v>
      </c>
      <c r="N20" s="50">
        <v>0</v>
      </c>
      <c r="O20" s="15">
        <f t="shared" si="0"/>
        <v>120</v>
      </c>
      <c r="P20" s="15">
        <f t="shared" si="1"/>
        <v>235</v>
      </c>
      <c r="R20" s="1" t="s">
        <v>16</v>
      </c>
      <c r="S20" s="17">
        <f t="shared" ref="S20:AF20" si="12">SUM(C50:C53)</f>
        <v>184</v>
      </c>
      <c r="T20" s="17">
        <f t="shared" si="12"/>
        <v>31</v>
      </c>
      <c r="U20" s="17">
        <f t="shared" si="12"/>
        <v>25</v>
      </c>
      <c r="V20" s="17">
        <f t="shared" si="12"/>
        <v>42</v>
      </c>
      <c r="W20" s="17">
        <f t="shared" si="12"/>
        <v>0</v>
      </c>
      <c r="X20" s="17">
        <f t="shared" si="12"/>
        <v>0</v>
      </c>
      <c r="Y20" s="17">
        <f t="shared" si="12"/>
        <v>15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342</v>
      </c>
      <c r="AD20" s="17">
        <f t="shared" si="12"/>
        <v>0</v>
      </c>
      <c r="AE20" s="31">
        <f t="shared" si="12"/>
        <v>300</v>
      </c>
      <c r="AF20" s="31">
        <f t="shared" si="12"/>
        <v>642</v>
      </c>
    </row>
    <row r="21" spans="2:32" ht="23.1" customHeight="1" x14ac:dyDescent="0.25">
      <c r="B21" s="45" t="s">
        <v>48</v>
      </c>
      <c r="C21" s="50">
        <v>70</v>
      </c>
      <c r="D21" s="50">
        <v>12</v>
      </c>
      <c r="E21" s="50">
        <v>13</v>
      </c>
      <c r="F21" s="50">
        <v>27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125</v>
      </c>
      <c r="N21" s="50">
        <v>0</v>
      </c>
      <c r="O21" s="15">
        <f t="shared" si="0"/>
        <v>124</v>
      </c>
      <c r="P21" s="15">
        <f t="shared" si="1"/>
        <v>249</v>
      </c>
      <c r="R21" s="36" t="s">
        <v>20</v>
      </c>
      <c r="S21" s="34">
        <f t="shared" ref="S21:AF21" si="13">SUM(C54:C57)</f>
        <v>182</v>
      </c>
      <c r="T21" s="17">
        <f t="shared" si="13"/>
        <v>40</v>
      </c>
      <c r="U21" s="17">
        <f t="shared" si="13"/>
        <v>21</v>
      </c>
      <c r="V21" s="17">
        <f t="shared" si="13"/>
        <v>40</v>
      </c>
      <c r="W21" s="17">
        <f t="shared" si="13"/>
        <v>0</v>
      </c>
      <c r="X21" s="17">
        <f t="shared" si="13"/>
        <v>0</v>
      </c>
      <c r="Y21" s="17">
        <f t="shared" si="13"/>
        <v>22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381</v>
      </c>
      <c r="AD21" s="17">
        <f t="shared" si="13"/>
        <v>0</v>
      </c>
      <c r="AE21" s="31">
        <f t="shared" si="13"/>
        <v>308</v>
      </c>
      <c r="AF21" s="31">
        <f t="shared" si="13"/>
        <v>689</v>
      </c>
    </row>
    <row r="22" spans="2:32" ht="23.1" customHeight="1" x14ac:dyDescent="0.25">
      <c r="B22" s="45" t="s">
        <v>49</v>
      </c>
      <c r="C22" s="50">
        <v>85</v>
      </c>
      <c r="D22" s="50">
        <v>16</v>
      </c>
      <c r="E22" s="50">
        <v>11</v>
      </c>
      <c r="F22" s="50">
        <v>21</v>
      </c>
      <c r="G22" s="50">
        <v>0</v>
      </c>
      <c r="H22" s="50">
        <v>0</v>
      </c>
      <c r="I22" s="50">
        <v>5</v>
      </c>
      <c r="J22" s="50">
        <v>0</v>
      </c>
      <c r="K22" s="50">
        <v>0</v>
      </c>
      <c r="L22" s="50">
        <v>0</v>
      </c>
      <c r="M22" s="50">
        <v>105</v>
      </c>
      <c r="N22" s="50">
        <v>0</v>
      </c>
      <c r="O22" s="15">
        <f t="shared" si="0"/>
        <v>138</v>
      </c>
      <c r="P22" s="15">
        <f t="shared" si="1"/>
        <v>243</v>
      </c>
      <c r="R22" s="36" t="s">
        <v>146</v>
      </c>
      <c r="S22" s="34">
        <f>SUM(C58:C61)</f>
        <v>347</v>
      </c>
      <c r="T22" s="34">
        <f t="shared" ref="T22:AF22" si="14">SUM(D58:D61)</f>
        <v>23</v>
      </c>
      <c r="U22" s="34">
        <f t="shared" si="14"/>
        <v>24</v>
      </c>
      <c r="V22" s="34">
        <f t="shared" si="14"/>
        <v>52</v>
      </c>
      <c r="W22" s="34">
        <f t="shared" si="14"/>
        <v>1</v>
      </c>
      <c r="X22" s="34">
        <f t="shared" si="14"/>
        <v>4</v>
      </c>
      <c r="Y22" s="34">
        <f t="shared" si="14"/>
        <v>8</v>
      </c>
      <c r="Z22" s="34">
        <f t="shared" si="14"/>
        <v>8</v>
      </c>
      <c r="AA22" s="34">
        <f t="shared" si="14"/>
        <v>0</v>
      </c>
      <c r="AB22" s="34">
        <f t="shared" si="14"/>
        <v>0</v>
      </c>
      <c r="AC22" s="34">
        <f t="shared" si="14"/>
        <v>478</v>
      </c>
      <c r="AD22" s="34">
        <f t="shared" si="14"/>
        <v>0</v>
      </c>
      <c r="AE22" s="31">
        <f t="shared" si="14"/>
        <v>467</v>
      </c>
      <c r="AF22" s="31">
        <f t="shared" si="14"/>
        <v>945</v>
      </c>
    </row>
    <row r="23" spans="2:32" ht="23.1" customHeight="1" x14ac:dyDescent="0.25">
      <c r="B23" s="45" t="s">
        <v>50</v>
      </c>
      <c r="C23" s="50">
        <v>130</v>
      </c>
      <c r="D23" s="50">
        <v>14</v>
      </c>
      <c r="E23" s="50">
        <v>12</v>
      </c>
      <c r="F23" s="50">
        <v>14</v>
      </c>
      <c r="G23" s="50">
        <v>0</v>
      </c>
      <c r="H23" s="50">
        <v>0</v>
      </c>
      <c r="I23" s="50">
        <v>7</v>
      </c>
      <c r="J23" s="50">
        <v>0</v>
      </c>
      <c r="K23" s="50">
        <v>0</v>
      </c>
      <c r="L23" s="50">
        <v>0</v>
      </c>
      <c r="M23" s="50">
        <v>135</v>
      </c>
      <c r="N23" s="50">
        <v>0</v>
      </c>
      <c r="O23" s="15">
        <f t="shared" si="0"/>
        <v>177</v>
      </c>
      <c r="P23" s="15">
        <f t="shared" si="1"/>
        <v>312</v>
      </c>
      <c r="R23" s="36" t="s">
        <v>147</v>
      </c>
      <c r="S23" s="34">
        <f>SUM(C62:C65)</f>
        <v>289</v>
      </c>
      <c r="T23" s="34">
        <f t="shared" ref="T23:AF23" si="15">SUM(D62:D65)</f>
        <v>16</v>
      </c>
      <c r="U23" s="34">
        <f t="shared" si="15"/>
        <v>26</v>
      </c>
      <c r="V23" s="34">
        <f t="shared" si="15"/>
        <v>40</v>
      </c>
      <c r="W23" s="34">
        <f t="shared" si="15"/>
        <v>1</v>
      </c>
      <c r="X23" s="34">
        <f t="shared" si="15"/>
        <v>0</v>
      </c>
      <c r="Y23" s="34">
        <f t="shared" si="15"/>
        <v>11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389</v>
      </c>
      <c r="AD23" s="34">
        <f t="shared" si="15"/>
        <v>0</v>
      </c>
      <c r="AE23" s="31">
        <f t="shared" si="15"/>
        <v>384</v>
      </c>
      <c r="AF23" s="31">
        <f t="shared" si="15"/>
        <v>773</v>
      </c>
    </row>
    <row r="24" spans="2:32" ht="23.1" customHeight="1" x14ac:dyDescent="0.25">
      <c r="B24" s="45" t="s">
        <v>51</v>
      </c>
      <c r="C24" s="50">
        <v>135</v>
      </c>
      <c r="D24" s="50">
        <v>21</v>
      </c>
      <c r="E24" s="50">
        <v>10</v>
      </c>
      <c r="F24" s="50">
        <v>16</v>
      </c>
      <c r="G24" s="50">
        <v>0</v>
      </c>
      <c r="H24" s="50">
        <v>0</v>
      </c>
      <c r="I24" s="50">
        <v>12</v>
      </c>
      <c r="J24" s="50">
        <v>1</v>
      </c>
      <c r="K24" s="50">
        <v>0</v>
      </c>
      <c r="L24" s="50">
        <v>0</v>
      </c>
      <c r="M24" s="50">
        <v>150</v>
      </c>
      <c r="N24" s="50">
        <v>0</v>
      </c>
      <c r="O24" s="15">
        <f t="shared" si="0"/>
        <v>195</v>
      </c>
      <c r="P24" s="15">
        <f t="shared" si="1"/>
        <v>345</v>
      </c>
      <c r="R24" s="36" t="s">
        <v>148</v>
      </c>
      <c r="S24" s="34">
        <f>SUM(C66:C69)</f>
        <v>237</v>
      </c>
      <c r="T24" s="34">
        <f t="shared" ref="T24:AF24" si="16">SUM(D66:D69)</f>
        <v>12</v>
      </c>
      <c r="U24" s="34">
        <f t="shared" si="16"/>
        <v>24</v>
      </c>
      <c r="V24" s="34">
        <f t="shared" si="16"/>
        <v>23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362</v>
      </c>
      <c r="AD24" s="34">
        <f t="shared" si="16"/>
        <v>0</v>
      </c>
      <c r="AE24" s="31">
        <f t="shared" si="16"/>
        <v>300</v>
      </c>
      <c r="AF24" s="31">
        <f t="shared" si="16"/>
        <v>662</v>
      </c>
    </row>
    <row r="25" spans="2:32" ht="23.1" customHeight="1" x14ac:dyDescent="0.25">
      <c r="B25" s="45" t="s">
        <v>52</v>
      </c>
      <c r="C25" s="50">
        <v>112</v>
      </c>
      <c r="D25" s="50">
        <v>30</v>
      </c>
      <c r="E25" s="50">
        <v>15</v>
      </c>
      <c r="F25" s="50">
        <v>15</v>
      </c>
      <c r="G25" s="50">
        <v>0</v>
      </c>
      <c r="H25" s="50">
        <v>0</v>
      </c>
      <c r="I25" s="50">
        <v>8</v>
      </c>
      <c r="J25" s="50">
        <v>0</v>
      </c>
      <c r="K25" s="50">
        <v>0</v>
      </c>
      <c r="L25" s="50">
        <v>0</v>
      </c>
      <c r="M25" s="50">
        <v>75</v>
      </c>
      <c r="N25" s="50">
        <v>0</v>
      </c>
      <c r="O25" s="15">
        <f t="shared" si="0"/>
        <v>180</v>
      </c>
      <c r="P25" s="15">
        <f t="shared" si="1"/>
        <v>255</v>
      </c>
      <c r="R25" s="36" t="s">
        <v>149</v>
      </c>
      <c r="S25" s="34">
        <f>SUM(C70:C73)</f>
        <v>157</v>
      </c>
      <c r="T25" s="34">
        <f t="shared" ref="T25:AF25" si="17">SUM(D70:D73)</f>
        <v>6</v>
      </c>
      <c r="U25" s="34">
        <f t="shared" si="17"/>
        <v>13</v>
      </c>
      <c r="V25" s="34">
        <f t="shared" si="17"/>
        <v>9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230</v>
      </c>
      <c r="AD25" s="34">
        <f t="shared" si="17"/>
        <v>0</v>
      </c>
      <c r="AE25" s="31">
        <f t="shared" si="17"/>
        <v>189</v>
      </c>
      <c r="AF25" s="31">
        <f t="shared" si="17"/>
        <v>419</v>
      </c>
    </row>
    <row r="26" spans="2:32" ht="23.1" customHeight="1" x14ac:dyDescent="0.25">
      <c r="B26" s="45" t="s">
        <v>53</v>
      </c>
      <c r="C26" s="50">
        <v>92</v>
      </c>
      <c r="D26" s="50">
        <v>15</v>
      </c>
      <c r="E26" s="50">
        <v>6</v>
      </c>
      <c r="F26" s="50">
        <v>13</v>
      </c>
      <c r="G26" s="50">
        <v>0</v>
      </c>
      <c r="H26" s="50">
        <v>0</v>
      </c>
      <c r="I26" s="50">
        <v>4</v>
      </c>
      <c r="J26" s="50">
        <v>1</v>
      </c>
      <c r="K26" s="50">
        <v>0</v>
      </c>
      <c r="L26" s="50">
        <v>0</v>
      </c>
      <c r="M26" s="50">
        <v>115</v>
      </c>
      <c r="N26" s="50">
        <v>0</v>
      </c>
      <c r="O26" s="15">
        <f t="shared" si="0"/>
        <v>131</v>
      </c>
      <c r="P26" s="15">
        <f t="shared" si="1"/>
        <v>246</v>
      </c>
      <c r="R26" s="36" t="s">
        <v>150</v>
      </c>
      <c r="S26" s="34">
        <f>SUM(C74:C77)</f>
        <v>80</v>
      </c>
      <c r="T26" s="34">
        <f t="shared" ref="T26:AF26" si="18">SUM(D74:D77)</f>
        <v>3</v>
      </c>
      <c r="U26" s="34">
        <f t="shared" si="18"/>
        <v>10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143</v>
      </c>
      <c r="AD26" s="34">
        <f t="shared" si="18"/>
        <v>0</v>
      </c>
      <c r="AE26" s="31">
        <f t="shared" si="18"/>
        <v>97</v>
      </c>
      <c r="AF26" s="31">
        <f t="shared" si="18"/>
        <v>240</v>
      </c>
    </row>
    <row r="27" spans="2:32" ht="23.1" customHeight="1" x14ac:dyDescent="0.25">
      <c r="B27" s="45" t="s">
        <v>54</v>
      </c>
      <c r="C27" s="50">
        <v>105</v>
      </c>
      <c r="D27" s="50">
        <v>14</v>
      </c>
      <c r="E27" s="50">
        <v>12</v>
      </c>
      <c r="F27" s="50">
        <v>17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117</v>
      </c>
      <c r="N27" s="50">
        <v>0</v>
      </c>
      <c r="O27" s="15">
        <f t="shared" si="0"/>
        <v>149</v>
      </c>
      <c r="P27" s="15">
        <f t="shared" si="1"/>
        <v>266</v>
      </c>
      <c r="R27" s="36" t="s">
        <v>151</v>
      </c>
      <c r="S27" s="34">
        <f>SUM(C78:C81)</f>
        <v>77</v>
      </c>
      <c r="T27" s="34">
        <f t="shared" ref="T27:AF27" si="19">SUM(D78:D81)</f>
        <v>4</v>
      </c>
      <c r="U27" s="34">
        <f t="shared" si="19"/>
        <v>5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96</v>
      </c>
      <c r="AD27" s="34">
        <f t="shared" si="19"/>
        <v>0</v>
      </c>
      <c r="AE27" s="31">
        <f t="shared" si="19"/>
        <v>87</v>
      </c>
      <c r="AF27" s="31">
        <f t="shared" si="19"/>
        <v>183</v>
      </c>
    </row>
    <row r="28" spans="2:32" ht="23.1" customHeight="1" x14ac:dyDescent="0.25">
      <c r="B28" s="45" t="s">
        <v>55</v>
      </c>
      <c r="C28" s="50">
        <v>71</v>
      </c>
      <c r="D28" s="50">
        <v>20</v>
      </c>
      <c r="E28" s="50">
        <v>12</v>
      </c>
      <c r="F28" s="50">
        <v>18</v>
      </c>
      <c r="G28" s="50">
        <v>0</v>
      </c>
      <c r="H28" s="50">
        <v>0</v>
      </c>
      <c r="I28" s="50">
        <v>9</v>
      </c>
      <c r="J28" s="50">
        <v>0</v>
      </c>
      <c r="K28" s="50">
        <v>0</v>
      </c>
      <c r="L28" s="50">
        <v>0</v>
      </c>
      <c r="M28" s="50">
        <v>83</v>
      </c>
      <c r="N28" s="50">
        <v>0</v>
      </c>
      <c r="O28" s="15">
        <f t="shared" si="0"/>
        <v>130</v>
      </c>
      <c r="P28" s="15">
        <f t="shared" si="1"/>
        <v>213</v>
      </c>
      <c r="R28" s="36" t="s">
        <v>152</v>
      </c>
      <c r="S28" s="34">
        <f>SUM(C82:C85)</f>
        <v>56</v>
      </c>
      <c r="T28" s="34">
        <f t="shared" ref="T28:AF28" si="20">SUM(D82:D85)</f>
        <v>2</v>
      </c>
      <c r="U28" s="34">
        <f t="shared" si="20"/>
        <v>2</v>
      </c>
      <c r="V28" s="34">
        <f t="shared" si="20"/>
        <v>0</v>
      </c>
      <c r="W28" s="34">
        <f t="shared" si="20"/>
        <v>0</v>
      </c>
      <c r="X28" s="34">
        <f t="shared" si="20"/>
        <v>1</v>
      </c>
      <c r="Y28" s="34">
        <f t="shared" si="20"/>
        <v>4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66</v>
      </c>
      <c r="AD28" s="34">
        <f t="shared" si="20"/>
        <v>0</v>
      </c>
      <c r="AE28" s="31">
        <f t="shared" si="20"/>
        <v>65</v>
      </c>
      <c r="AF28" s="31">
        <f t="shared" si="20"/>
        <v>131</v>
      </c>
    </row>
    <row r="29" spans="2:32" ht="23.1" customHeight="1" x14ac:dyDescent="0.25">
      <c r="B29" s="45" t="s">
        <v>56</v>
      </c>
      <c r="C29" s="50">
        <v>115</v>
      </c>
      <c r="D29" s="50">
        <v>15</v>
      </c>
      <c r="E29" s="50">
        <v>9</v>
      </c>
      <c r="F29" s="50">
        <v>12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110</v>
      </c>
      <c r="N29" s="50">
        <v>0</v>
      </c>
      <c r="O29" s="15">
        <f t="shared" si="0"/>
        <v>154</v>
      </c>
      <c r="P29" s="15">
        <f t="shared" si="1"/>
        <v>264</v>
      </c>
      <c r="R29" s="36" t="s">
        <v>153</v>
      </c>
      <c r="S29" s="34">
        <f>SUM(C86:C89)</f>
        <v>46</v>
      </c>
      <c r="T29" s="34">
        <f t="shared" ref="T29:AF29" si="21">SUM(D86:D89)</f>
        <v>1</v>
      </c>
      <c r="U29" s="34">
        <f t="shared" si="21"/>
        <v>5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60</v>
      </c>
      <c r="AD29" s="34">
        <f t="shared" si="21"/>
        <v>0</v>
      </c>
      <c r="AE29" s="31">
        <f t="shared" si="21"/>
        <v>53</v>
      </c>
      <c r="AF29" s="31">
        <f t="shared" si="21"/>
        <v>113</v>
      </c>
    </row>
    <row r="30" spans="2:32" ht="23.1" customHeight="1" x14ac:dyDescent="0.25">
      <c r="B30" s="45" t="s">
        <v>57</v>
      </c>
      <c r="C30" s="50">
        <v>78</v>
      </c>
      <c r="D30" s="50">
        <v>22</v>
      </c>
      <c r="E30" s="50">
        <v>10</v>
      </c>
      <c r="F30" s="50">
        <v>31</v>
      </c>
      <c r="G30" s="50">
        <v>0</v>
      </c>
      <c r="H30" s="50">
        <v>0</v>
      </c>
      <c r="I30" s="50">
        <v>9</v>
      </c>
      <c r="J30" s="50">
        <v>1</v>
      </c>
      <c r="K30" s="50">
        <v>0</v>
      </c>
      <c r="L30" s="50">
        <v>0</v>
      </c>
      <c r="M30" s="50">
        <v>110</v>
      </c>
      <c r="N30" s="50">
        <v>0</v>
      </c>
      <c r="O30" s="15">
        <f t="shared" si="0"/>
        <v>151</v>
      </c>
      <c r="P30" s="15">
        <f t="shared" si="1"/>
        <v>261</v>
      </c>
      <c r="R30" s="36" t="s">
        <v>154</v>
      </c>
      <c r="S30" s="34">
        <f>SUM(C90:C93)</f>
        <v>13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30</v>
      </c>
      <c r="AD30" s="34">
        <f t="shared" si="22"/>
        <v>0</v>
      </c>
      <c r="AE30" s="31">
        <f t="shared" si="22"/>
        <v>13</v>
      </c>
      <c r="AF30" s="31">
        <f t="shared" si="22"/>
        <v>43</v>
      </c>
    </row>
    <row r="31" spans="2:32" ht="23.1" customHeight="1" x14ac:dyDescent="0.25">
      <c r="B31" s="46" t="s">
        <v>58</v>
      </c>
      <c r="C31" s="50">
        <v>80</v>
      </c>
      <c r="D31" s="50">
        <v>11</v>
      </c>
      <c r="E31" s="50">
        <v>7</v>
      </c>
      <c r="F31" s="50">
        <v>15</v>
      </c>
      <c r="G31" s="50">
        <v>0</v>
      </c>
      <c r="H31" s="50">
        <v>0</v>
      </c>
      <c r="I31" s="50">
        <v>10</v>
      </c>
      <c r="J31" s="50">
        <v>0</v>
      </c>
      <c r="K31" s="50">
        <v>0</v>
      </c>
      <c r="L31" s="50">
        <v>0</v>
      </c>
      <c r="M31" s="50">
        <v>81</v>
      </c>
      <c r="N31" s="50">
        <v>0</v>
      </c>
      <c r="O31" s="15">
        <f t="shared" si="0"/>
        <v>123</v>
      </c>
      <c r="P31" s="15">
        <f t="shared" si="1"/>
        <v>204</v>
      </c>
      <c r="R31" s="36" t="s">
        <v>155</v>
      </c>
      <c r="S31" s="34">
        <f>SUM(C94:C97)</f>
        <v>16</v>
      </c>
      <c r="T31" s="34">
        <f t="shared" ref="T31:AF31" si="23">SUM(D94:D97)</f>
        <v>1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25</v>
      </c>
      <c r="AD31" s="34">
        <f t="shared" si="23"/>
        <v>0</v>
      </c>
      <c r="AE31" s="31">
        <f t="shared" si="23"/>
        <v>18</v>
      </c>
      <c r="AF31" s="31">
        <f t="shared" si="23"/>
        <v>43</v>
      </c>
    </row>
    <row r="32" spans="2:32" ht="23.1" customHeight="1" x14ac:dyDescent="0.25">
      <c r="B32" s="46" t="s">
        <v>59</v>
      </c>
      <c r="C32" s="50">
        <v>110</v>
      </c>
      <c r="D32" s="50">
        <v>13</v>
      </c>
      <c r="E32" s="50">
        <v>10</v>
      </c>
      <c r="F32" s="50">
        <v>7</v>
      </c>
      <c r="G32" s="50">
        <v>1</v>
      </c>
      <c r="H32" s="50">
        <v>0</v>
      </c>
      <c r="I32" s="50">
        <v>12</v>
      </c>
      <c r="J32" s="50">
        <v>0</v>
      </c>
      <c r="K32" s="50">
        <v>0</v>
      </c>
      <c r="L32" s="50">
        <v>0</v>
      </c>
      <c r="M32" s="50">
        <v>122</v>
      </c>
      <c r="N32" s="50">
        <v>0</v>
      </c>
      <c r="O32" s="15">
        <f t="shared" si="0"/>
        <v>153</v>
      </c>
      <c r="P32" s="15">
        <f t="shared" si="1"/>
        <v>275</v>
      </c>
      <c r="R32" s="33" t="s">
        <v>156</v>
      </c>
      <c r="S32" s="34">
        <f>SUM(C98:C101)</f>
        <v>17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9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79</v>
      </c>
      <c r="AD32" s="34">
        <f t="shared" si="24"/>
        <v>0</v>
      </c>
      <c r="AE32" s="31">
        <f t="shared" si="24"/>
        <v>27</v>
      </c>
      <c r="AF32" s="31">
        <f t="shared" si="24"/>
        <v>106</v>
      </c>
    </row>
    <row r="33" spans="2:32" ht="23.1" customHeight="1" x14ac:dyDescent="0.25">
      <c r="B33" s="45" t="s">
        <v>60</v>
      </c>
      <c r="C33" s="50">
        <v>80</v>
      </c>
      <c r="D33" s="50">
        <v>15</v>
      </c>
      <c r="E33" s="50">
        <v>9</v>
      </c>
      <c r="F33" s="50">
        <v>13</v>
      </c>
      <c r="G33" s="50">
        <v>0</v>
      </c>
      <c r="H33" s="50">
        <v>1</v>
      </c>
      <c r="I33" s="50">
        <v>8</v>
      </c>
      <c r="J33" s="50">
        <v>0</v>
      </c>
      <c r="K33" s="50">
        <v>0</v>
      </c>
      <c r="L33" s="50">
        <v>0</v>
      </c>
      <c r="M33" s="50">
        <v>121</v>
      </c>
      <c r="N33" s="50">
        <v>0</v>
      </c>
      <c r="O33" s="15">
        <f t="shared" si="0"/>
        <v>126</v>
      </c>
      <c r="P33" s="15">
        <f t="shared" si="1"/>
        <v>247</v>
      </c>
      <c r="R33" s="33" t="s">
        <v>157</v>
      </c>
      <c r="S33" s="34">
        <f>SUM(C102:C105)</f>
        <v>61</v>
      </c>
      <c r="T33" s="34">
        <f t="shared" ref="T33:AF33" si="25">SUM(D102:D105)</f>
        <v>0</v>
      </c>
      <c r="U33" s="34">
        <f t="shared" si="25"/>
        <v>6</v>
      </c>
      <c r="V33" s="34">
        <f t="shared" si="25"/>
        <v>23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91</v>
      </c>
      <c r="AD33" s="34">
        <f t="shared" si="25"/>
        <v>0</v>
      </c>
      <c r="AE33" s="31">
        <f t="shared" si="25"/>
        <v>92</v>
      </c>
      <c r="AF33" s="31">
        <f t="shared" si="25"/>
        <v>183</v>
      </c>
    </row>
    <row r="34" spans="2:32" ht="23.1" customHeight="1" x14ac:dyDescent="0.25">
      <c r="B34" s="46" t="s">
        <v>61</v>
      </c>
      <c r="C34" s="50">
        <v>87</v>
      </c>
      <c r="D34" s="50">
        <v>12</v>
      </c>
      <c r="E34" s="50">
        <v>6</v>
      </c>
      <c r="F34" s="50">
        <v>10</v>
      </c>
      <c r="G34" s="50">
        <v>0</v>
      </c>
      <c r="H34" s="50">
        <v>0</v>
      </c>
      <c r="I34" s="50">
        <v>10</v>
      </c>
      <c r="J34" s="50">
        <v>1</v>
      </c>
      <c r="K34" s="50">
        <v>0</v>
      </c>
      <c r="L34" s="50">
        <v>0</v>
      </c>
      <c r="M34" s="50">
        <v>86</v>
      </c>
      <c r="N34" s="50">
        <v>0</v>
      </c>
      <c r="O34" s="15">
        <f t="shared" si="0"/>
        <v>126</v>
      </c>
      <c r="P34" s="15">
        <f t="shared" si="1"/>
        <v>212</v>
      </c>
      <c r="R34" s="38" t="s">
        <v>90</v>
      </c>
      <c r="S34" s="39">
        <f t="shared" ref="S34:AF34" si="26">MAX(S10:S12)</f>
        <v>379</v>
      </c>
      <c r="T34" s="39">
        <f t="shared" si="26"/>
        <v>67</v>
      </c>
      <c r="U34" s="39">
        <f t="shared" si="26"/>
        <v>44</v>
      </c>
      <c r="V34" s="39">
        <f t="shared" si="26"/>
        <v>122</v>
      </c>
      <c r="W34" s="39">
        <f t="shared" si="26"/>
        <v>1</v>
      </c>
      <c r="X34" s="39">
        <f t="shared" si="26"/>
        <v>1</v>
      </c>
      <c r="Y34" s="39">
        <f t="shared" si="26"/>
        <v>19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651</v>
      </c>
      <c r="AD34" s="39">
        <f t="shared" si="26"/>
        <v>0</v>
      </c>
      <c r="AE34" s="40">
        <f t="shared" si="26"/>
        <v>597</v>
      </c>
      <c r="AF34" s="40">
        <f t="shared" si="26"/>
        <v>1248</v>
      </c>
    </row>
    <row r="35" spans="2:32" ht="23.1" customHeight="1" x14ac:dyDescent="0.25">
      <c r="B35" s="46" t="s">
        <v>62</v>
      </c>
      <c r="C35" s="50">
        <v>81</v>
      </c>
      <c r="D35" s="50">
        <v>11</v>
      </c>
      <c r="E35" s="50">
        <v>7</v>
      </c>
      <c r="F35" s="50">
        <v>9</v>
      </c>
      <c r="G35" s="50">
        <v>0</v>
      </c>
      <c r="H35" s="50">
        <v>0</v>
      </c>
      <c r="I35" s="50">
        <v>7</v>
      </c>
      <c r="J35" s="50">
        <v>0</v>
      </c>
      <c r="K35" s="50">
        <v>0</v>
      </c>
      <c r="L35" s="50">
        <v>0</v>
      </c>
      <c r="M35" s="50">
        <v>135</v>
      </c>
      <c r="N35" s="50">
        <v>0</v>
      </c>
      <c r="O35" s="15">
        <f t="shared" si="0"/>
        <v>115</v>
      </c>
      <c r="P35" s="15">
        <f t="shared" si="1"/>
        <v>250</v>
      </c>
      <c r="R35" s="38" t="s">
        <v>91</v>
      </c>
      <c r="S35" s="39">
        <f t="shared" ref="S35:AF35" si="27">MAX(S13:S18)</f>
        <v>462</v>
      </c>
      <c r="T35" s="39">
        <f t="shared" si="27"/>
        <v>81</v>
      </c>
      <c r="U35" s="39">
        <f t="shared" si="27"/>
        <v>48</v>
      </c>
      <c r="V35" s="39">
        <f t="shared" si="27"/>
        <v>66</v>
      </c>
      <c r="W35" s="39">
        <f t="shared" si="27"/>
        <v>1</v>
      </c>
      <c r="X35" s="39">
        <f t="shared" si="27"/>
        <v>1</v>
      </c>
      <c r="Y35" s="39">
        <f t="shared" si="27"/>
        <v>39</v>
      </c>
      <c r="Z35" s="39">
        <f t="shared" si="27"/>
        <v>3</v>
      </c>
      <c r="AA35" s="39">
        <f t="shared" si="27"/>
        <v>0</v>
      </c>
      <c r="AB35" s="39">
        <f t="shared" si="27"/>
        <v>0</v>
      </c>
      <c r="AC35" s="39">
        <f t="shared" si="27"/>
        <v>476</v>
      </c>
      <c r="AD35" s="39">
        <f t="shared" si="27"/>
        <v>0</v>
      </c>
      <c r="AE35" s="40">
        <f t="shared" si="27"/>
        <v>690</v>
      </c>
      <c r="AF35" s="40">
        <f t="shared" si="27"/>
        <v>1155</v>
      </c>
    </row>
    <row r="36" spans="2:32" ht="23.1" customHeight="1" x14ac:dyDescent="0.25">
      <c r="B36" s="46" t="s">
        <v>63</v>
      </c>
      <c r="C36" s="50">
        <v>61</v>
      </c>
      <c r="D36" s="50">
        <v>5</v>
      </c>
      <c r="E36" s="50">
        <v>12</v>
      </c>
      <c r="F36" s="50">
        <v>7</v>
      </c>
      <c r="G36" s="50">
        <v>0</v>
      </c>
      <c r="H36" s="50">
        <v>0</v>
      </c>
      <c r="I36" s="50">
        <v>11</v>
      </c>
      <c r="J36" s="50">
        <v>0</v>
      </c>
      <c r="K36" s="50">
        <v>0</v>
      </c>
      <c r="L36" s="50">
        <v>0</v>
      </c>
      <c r="M36" s="50">
        <v>137</v>
      </c>
      <c r="N36" s="50">
        <v>0</v>
      </c>
      <c r="O36" s="15">
        <f t="shared" si="0"/>
        <v>96</v>
      </c>
      <c r="P36" s="15">
        <f t="shared" si="1"/>
        <v>233</v>
      </c>
      <c r="R36" s="38" t="s">
        <v>92</v>
      </c>
      <c r="S36" s="39">
        <f t="shared" ref="S36:AF36" si="28">MAX(S19:S21)</f>
        <v>210</v>
      </c>
      <c r="T36" s="39">
        <f t="shared" si="28"/>
        <v>40</v>
      </c>
      <c r="U36" s="39">
        <f t="shared" si="28"/>
        <v>27</v>
      </c>
      <c r="V36" s="39">
        <f t="shared" si="28"/>
        <v>42</v>
      </c>
      <c r="W36" s="39">
        <f t="shared" si="28"/>
        <v>0</v>
      </c>
      <c r="X36" s="39">
        <f t="shared" si="28"/>
        <v>0</v>
      </c>
      <c r="Y36" s="39">
        <f t="shared" si="28"/>
        <v>22</v>
      </c>
      <c r="Z36" s="39">
        <f t="shared" si="28"/>
        <v>3</v>
      </c>
      <c r="AA36" s="39">
        <f t="shared" si="28"/>
        <v>1</v>
      </c>
      <c r="AB36" s="39">
        <f t="shared" si="28"/>
        <v>0</v>
      </c>
      <c r="AC36" s="39">
        <f t="shared" si="28"/>
        <v>395</v>
      </c>
      <c r="AD36" s="39">
        <f t="shared" si="28"/>
        <v>0</v>
      </c>
      <c r="AE36" s="40">
        <f t="shared" si="28"/>
        <v>322</v>
      </c>
      <c r="AF36" s="40">
        <f t="shared" si="28"/>
        <v>717</v>
      </c>
    </row>
    <row r="37" spans="2:32" ht="23.1" customHeight="1" x14ac:dyDescent="0.25">
      <c r="B37" s="45" t="s">
        <v>64</v>
      </c>
      <c r="C37" s="50">
        <v>55</v>
      </c>
      <c r="D37" s="50">
        <v>12</v>
      </c>
      <c r="E37" s="50">
        <v>8</v>
      </c>
      <c r="F37" s="50">
        <v>12</v>
      </c>
      <c r="G37" s="50">
        <v>0</v>
      </c>
      <c r="H37" s="50">
        <v>0</v>
      </c>
      <c r="I37" s="50">
        <v>6</v>
      </c>
      <c r="J37" s="50">
        <v>0</v>
      </c>
      <c r="K37" s="50">
        <v>0</v>
      </c>
      <c r="L37" s="50">
        <v>0</v>
      </c>
      <c r="M37" s="50">
        <v>115</v>
      </c>
      <c r="N37" s="50">
        <v>0</v>
      </c>
      <c r="O37" s="15">
        <f t="shared" si="0"/>
        <v>93</v>
      </c>
      <c r="P37" s="15">
        <f t="shared" si="1"/>
        <v>208</v>
      </c>
      <c r="R37" s="37" t="s">
        <v>85</v>
      </c>
      <c r="S37" s="35">
        <f t="shared" ref="S37:AF37" si="29">SUM(S10:S12)</f>
        <v>901</v>
      </c>
      <c r="T37" s="16">
        <f t="shared" si="29"/>
        <v>139</v>
      </c>
      <c r="U37" s="16">
        <f t="shared" si="29"/>
        <v>109</v>
      </c>
      <c r="V37" s="16">
        <f t="shared" si="29"/>
        <v>344</v>
      </c>
      <c r="W37" s="16">
        <f t="shared" si="29"/>
        <v>1</v>
      </c>
      <c r="X37" s="16">
        <f t="shared" si="29"/>
        <v>1</v>
      </c>
      <c r="Y37" s="16">
        <f t="shared" si="29"/>
        <v>53</v>
      </c>
      <c r="Z37" s="16">
        <f t="shared" si="29"/>
        <v>2</v>
      </c>
      <c r="AA37" s="16">
        <f t="shared" si="29"/>
        <v>0</v>
      </c>
      <c r="AB37" s="16">
        <f t="shared" si="29"/>
        <v>0</v>
      </c>
      <c r="AC37" s="16">
        <f t="shared" si="29"/>
        <v>1430</v>
      </c>
      <c r="AD37" s="16">
        <f t="shared" si="29"/>
        <v>0</v>
      </c>
      <c r="AE37" s="32">
        <f t="shared" si="29"/>
        <v>1550</v>
      </c>
      <c r="AF37" s="32">
        <f t="shared" si="29"/>
        <v>2980</v>
      </c>
    </row>
    <row r="38" spans="2:32" ht="23.1" customHeight="1" x14ac:dyDescent="0.25">
      <c r="B38" s="46" t="s">
        <v>65</v>
      </c>
      <c r="C38" s="50">
        <v>75</v>
      </c>
      <c r="D38" s="50">
        <v>13</v>
      </c>
      <c r="E38" s="50">
        <v>9</v>
      </c>
      <c r="F38" s="50">
        <v>7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113</v>
      </c>
      <c r="N38" s="50">
        <v>0</v>
      </c>
      <c r="O38" s="15">
        <f t="shared" si="0"/>
        <v>107</v>
      </c>
      <c r="P38" s="15">
        <f t="shared" si="1"/>
        <v>220</v>
      </c>
      <c r="R38" s="28" t="s">
        <v>86</v>
      </c>
      <c r="S38" s="16">
        <f t="shared" ref="S38:AF38" si="30">SUM(S13:S18)</f>
        <v>1926</v>
      </c>
      <c r="T38" s="16">
        <f t="shared" si="30"/>
        <v>325</v>
      </c>
      <c r="U38" s="16">
        <f t="shared" si="30"/>
        <v>216</v>
      </c>
      <c r="V38" s="16">
        <f t="shared" si="30"/>
        <v>296</v>
      </c>
      <c r="W38" s="16">
        <f t="shared" si="30"/>
        <v>1</v>
      </c>
      <c r="X38" s="16">
        <f t="shared" si="30"/>
        <v>1</v>
      </c>
      <c r="Y38" s="16">
        <f t="shared" si="30"/>
        <v>148</v>
      </c>
      <c r="Z38" s="16">
        <f t="shared" si="30"/>
        <v>8</v>
      </c>
      <c r="AA38" s="16">
        <f t="shared" si="30"/>
        <v>0</v>
      </c>
      <c r="AB38" s="16">
        <f t="shared" si="30"/>
        <v>0</v>
      </c>
      <c r="AC38" s="16">
        <f t="shared" si="30"/>
        <v>2666</v>
      </c>
      <c r="AD38" s="16">
        <f t="shared" si="30"/>
        <v>0</v>
      </c>
      <c r="AE38" s="32">
        <f t="shared" si="30"/>
        <v>2921</v>
      </c>
      <c r="AF38" s="32">
        <f t="shared" si="30"/>
        <v>5587</v>
      </c>
    </row>
    <row r="39" spans="2:32" ht="23.1" customHeight="1" x14ac:dyDescent="0.25">
      <c r="B39" s="46" t="s">
        <v>66</v>
      </c>
      <c r="C39" s="50">
        <v>64</v>
      </c>
      <c r="D39" s="50">
        <v>10</v>
      </c>
      <c r="E39" s="50">
        <v>6</v>
      </c>
      <c r="F39" s="50">
        <v>7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120</v>
      </c>
      <c r="N39" s="50">
        <v>0</v>
      </c>
      <c r="O39" s="15">
        <f t="shared" si="0"/>
        <v>91</v>
      </c>
      <c r="P39" s="15">
        <f t="shared" si="1"/>
        <v>211</v>
      </c>
      <c r="R39" s="29" t="s">
        <v>87</v>
      </c>
      <c r="S39" s="16">
        <f t="shared" ref="S39:AF39" si="31">SUM(S19:S21)</f>
        <v>576</v>
      </c>
      <c r="T39" s="16">
        <f t="shared" si="31"/>
        <v>104</v>
      </c>
      <c r="U39" s="16">
        <f t="shared" si="31"/>
        <v>73</v>
      </c>
      <c r="V39" s="16">
        <f t="shared" si="31"/>
        <v>120</v>
      </c>
      <c r="W39" s="16">
        <f t="shared" si="31"/>
        <v>0</v>
      </c>
      <c r="X39" s="16">
        <f t="shared" si="31"/>
        <v>0</v>
      </c>
      <c r="Y39" s="16">
        <f t="shared" si="31"/>
        <v>51</v>
      </c>
      <c r="Z39" s="16">
        <f t="shared" si="31"/>
        <v>5</v>
      </c>
      <c r="AA39" s="16">
        <f t="shared" si="31"/>
        <v>1</v>
      </c>
      <c r="AB39" s="16">
        <f t="shared" si="31"/>
        <v>0</v>
      </c>
      <c r="AC39" s="16">
        <f t="shared" si="31"/>
        <v>1118</v>
      </c>
      <c r="AD39" s="16">
        <f t="shared" si="31"/>
        <v>0</v>
      </c>
      <c r="AE39" s="32">
        <f t="shared" si="31"/>
        <v>930</v>
      </c>
      <c r="AF39" s="32">
        <f t="shared" si="31"/>
        <v>2048</v>
      </c>
    </row>
    <row r="40" spans="2:32" ht="23.1" customHeight="1" x14ac:dyDescent="0.25">
      <c r="B40" s="46" t="s">
        <v>67</v>
      </c>
      <c r="C40" s="50">
        <v>52</v>
      </c>
      <c r="D40" s="50">
        <v>13</v>
      </c>
      <c r="E40" s="50">
        <v>8</v>
      </c>
      <c r="F40" s="50">
        <v>14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123</v>
      </c>
      <c r="N40" s="50">
        <v>0</v>
      </c>
      <c r="O40" s="15">
        <f t="shared" si="0"/>
        <v>92</v>
      </c>
      <c r="P40" s="15">
        <f t="shared" si="1"/>
        <v>215</v>
      </c>
      <c r="R40" s="5" t="s">
        <v>17</v>
      </c>
      <c r="S40" s="16">
        <f t="shared" ref="S40:AF40" si="32">SUM(S10:S21)</f>
        <v>3403</v>
      </c>
      <c r="T40" s="16">
        <f t="shared" si="32"/>
        <v>568</v>
      </c>
      <c r="U40" s="16">
        <f t="shared" si="32"/>
        <v>398</v>
      </c>
      <c r="V40" s="16">
        <f t="shared" si="32"/>
        <v>760</v>
      </c>
      <c r="W40" s="16">
        <f t="shared" si="32"/>
        <v>2</v>
      </c>
      <c r="X40" s="16">
        <f t="shared" si="32"/>
        <v>2</v>
      </c>
      <c r="Y40" s="16">
        <f t="shared" si="32"/>
        <v>252</v>
      </c>
      <c r="Z40" s="16">
        <f t="shared" si="32"/>
        <v>15</v>
      </c>
      <c r="AA40" s="16">
        <f t="shared" si="32"/>
        <v>1</v>
      </c>
      <c r="AB40" s="16">
        <f t="shared" si="32"/>
        <v>0</v>
      </c>
      <c r="AC40" s="16">
        <f t="shared" si="32"/>
        <v>5214</v>
      </c>
      <c r="AD40" s="16">
        <f t="shared" si="32"/>
        <v>0</v>
      </c>
      <c r="AE40" s="32">
        <f t="shared" si="32"/>
        <v>5401</v>
      </c>
      <c r="AF40" s="32">
        <f t="shared" si="32"/>
        <v>10615</v>
      </c>
    </row>
    <row r="41" spans="2:32" ht="23.1" customHeight="1" x14ac:dyDescent="0.25">
      <c r="B41" s="45" t="s">
        <v>68</v>
      </c>
      <c r="C41" s="50">
        <v>55</v>
      </c>
      <c r="D41" s="50">
        <v>9</v>
      </c>
      <c r="E41" s="50">
        <v>4</v>
      </c>
      <c r="F41" s="50">
        <v>8</v>
      </c>
      <c r="G41" s="50">
        <v>0</v>
      </c>
      <c r="H41" s="50">
        <v>0</v>
      </c>
      <c r="I41" s="50">
        <v>6</v>
      </c>
      <c r="J41" s="50">
        <v>0</v>
      </c>
      <c r="K41" s="50">
        <v>0</v>
      </c>
      <c r="L41" s="50">
        <v>0</v>
      </c>
      <c r="M41" s="50">
        <v>120</v>
      </c>
      <c r="N41" s="50">
        <v>0</v>
      </c>
      <c r="O41" s="15">
        <f t="shared" si="0"/>
        <v>82</v>
      </c>
      <c r="P41" s="15">
        <f t="shared" si="1"/>
        <v>202</v>
      </c>
      <c r="R41" s="5" t="s">
        <v>159</v>
      </c>
      <c r="S41" s="16">
        <f>SUM(S10:S33)</f>
        <v>4799</v>
      </c>
      <c r="T41" s="16">
        <f t="shared" ref="T41:AF41" si="33">SUM(T10:T33)</f>
        <v>636</v>
      </c>
      <c r="U41" s="16">
        <f t="shared" si="33"/>
        <v>515</v>
      </c>
      <c r="V41" s="16">
        <f t="shared" si="33"/>
        <v>920</v>
      </c>
      <c r="W41" s="16">
        <f t="shared" si="33"/>
        <v>4</v>
      </c>
      <c r="X41" s="16">
        <f t="shared" si="33"/>
        <v>7</v>
      </c>
      <c r="Y41" s="16">
        <f t="shared" si="33"/>
        <v>285</v>
      </c>
      <c r="Z41" s="16">
        <f t="shared" si="33"/>
        <v>26</v>
      </c>
      <c r="AA41" s="16">
        <f t="shared" si="33"/>
        <v>1</v>
      </c>
      <c r="AB41" s="16">
        <f t="shared" si="33"/>
        <v>0</v>
      </c>
      <c r="AC41" s="16">
        <f t="shared" si="33"/>
        <v>7263</v>
      </c>
      <c r="AD41" s="16">
        <f t="shared" si="33"/>
        <v>0</v>
      </c>
      <c r="AE41" s="32">
        <f t="shared" si="33"/>
        <v>7193</v>
      </c>
      <c r="AF41" s="32">
        <f t="shared" si="33"/>
        <v>14456</v>
      </c>
    </row>
    <row r="42" spans="2:32" ht="23.1" customHeight="1" x14ac:dyDescent="0.25">
      <c r="B42" s="46" t="s">
        <v>69</v>
      </c>
      <c r="C42" s="50">
        <v>52</v>
      </c>
      <c r="D42" s="50">
        <v>10</v>
      </c>
      <c r="E42" s="50">
        <v>13</v>
      </c>
      <c r="F42" s="50">
        <v>9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100</v>
      </c>
      <c r="N42" s="50">
        <v>0</v>
      </c>
      <c r="O42" s="15">
        <f t="shared" si="0"/>
        <v>87</v>
      </c>
      <c r="P42" s="15">
        <f t="shared" si="1"/>
        <v>187</v>
      </c>
      <c r="R42" s="5" t="s">
        <v>160</v>
      </c>
      <c r="S42" s="48">
        <f>S41/S40</f>
        <v>1.4102262709374083</v>
      </c>
      <c r="T42" s="48">
        <f t="shared" ref="T42:AF42" si="34">T41/T40</f>
        <v>1.119718309859155</v>
      </c>
      <c r="U42" s="48">
        <f t="shared" si="34"/>
        <v>1.2939698492462313</v>
      </c>
      <c r="V42" s="48">
        <f t="shared" si="34"/>
        <v>1.2105263157894737</v>
      </c>
      <c r="W42" s="48">
        <f t="shared" si="34"/>
        <v>2</v>
      </c>
      <c r="X42" s="48">
        <f t="shared" si="34"/>
        <v>3.5</v>
      </c>
      <c r="Y42" s="48">
        <f t="shared" si="34"/>
        <v>1.1309523809523809</v>
      </c>
      <c r="Z42" s="48">
        <f t="shared" si="34"/>
        <v>1.7333333333333334</v>
      </c>
      <c r="AA42" s="48">
        <f t="shared" si="34"/>
        <v>1</v>
      </c>
      <c r="AB42" s="48" t="e">
        <f t="shared" si="34"/>
        <v>#DIV/0!</v>
      </c>
      <c r="AC42" s="48">
        <f t="shared" si="34"/>
        <v>1.3929804372842347</v>
      </c>
      <c r="AD42" s="48" t="e">
        <f t="shared" si="34"/>
        <v>#DIV/0!</v>
      </c>
      <c r="AE42" s="48">
        <f t="shared" si="34"/>
        <v>1.3317904091834845</v>
      </c>
      <c r="AF42" s="48">
        <f t="shared" si="34"/>
        <v>1.3618464437117286</v>
      </c>
    </row>
    <row r="43" spans="2:32" ht="23.1" customHeight="1" x14ac:dyDescent="0.25">
      <c r="B43" s="45" t="s">
        <v>70</v>
      </c>
      <c r="C43" s="50">
        <v>35</v>
      </c>
      <c r="D43" s="50">
        <v>5</v>
      </c>
      <c r="E43" s="50">
        <v>6</v>
      </c>
      <c r="F43" s="50">
        <v>5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105</v>
      </c>
      <c r="N43" s="50">
        <v>0</v>
      </c>
      <c r="O43" s="15">
        <f t="shared" si="0"/>
        <v>51</v>
      </c>
      <c r="P43" s="15">
        <f t="shared" si="1"/>
        <v>156</v>
      </c>
    </row>
    <row r="44" spans="2:32" ht="23.1" customHeight="1" x14ac:dyDescent="0.25">
      <c r="B44" s="47" t="s">
        <v>71</v>
      </c>
      <c r="C44" s="50">
        <v>57</v>
      </c>
      <c r="D44" s="50">
        <v>9</v>
      </c>
      <c r="E44" s="50">
        <v>7</v>
      </c>
      <c r="F44" s="50">
        <v>5</v>
      </c>
      <c r="G44" s="50">
        <v>0</v>
      </c>
      <c r="H44" s="50">
        <v>0</v>
      </c>
      <c r="I44" s="50">
        <v>5</v>
      </c>
      <c r="J44" s="50">
        <v>3</v>
      </c>
      <c r="K44" s="50">
        <v>0</v>
      </c>
      <c r="L44" s="50">
        <v>0</v>
      </c>
      <c r="M44" s="50">
        <v>88</v>
      </c>
      <c r="N44" s="50">
        <v>0</v>
      </c>
      <c r="O44" s="15">
        <f t="shared" si="0"/>
        <v>86</v>
      </c>
      <c r="P44" s="15">
        <f t="shared" si="1"/>
        <v>174</v>
      </c>
    </row>
    <row r="45" spans="2:32" ht="23.1" customHeight="1" x14ac:dyDescent="0.25">
      <c r="B45" s="45" t="s">
        <v>72</v>
      </c>
      <c r="C45" s="50">
        <v>59</v>
      </c>
      <c r="D45" s="50">
        <v>10</v>
      </c>
      <c r="E45" s="50">
        <v>7</v>
      </c>
      <c r="F45" s="50">
        <v>11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100</v>
      </c>
      <c r="N45" s="50">
        <v>0</v>
      </c>
      <c r="O45" s="15">
        <f t="shared" si="0"/>
        <v>88</v>
      </c>
      <c r="P45" s="15">
        <f t="shared" si="1"/>
        <v>188</v>
      </c>
    </row>
    <row r="46" spans="2:32" ht="23.1" customHeight="1" x14ac:dyDescent="0.25">
      <c r="B46" s="46" t="s">
        <v>73</v>
      </c>
      <c r="C46" s="50">
        <v>48</v>
      </c>
      <c r="D46" s="50">
        <v>6</v>
      </c>
      <c r="E46" s="50">
        <v>4</v>
      </c>
      <c r="F46" s="50">
        <v>9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95</v>
      </c>
      <c r="N46" s="50">
        <v>0</v>
      </c>
      <c r="O46" s="15">
        <f t="shared" si="0"/>
        <v>70</v>
      </c>
      <c r="P46" s="15">
        <f t="shared" si="1"/>
        <v>165</v>
      </c>
      <c r="R46" s="8"/>
      <c r="T46"/>
    </row>
    <row r="47" spans="2:32" ht="23.1" customHeight="1" x14ac:dyDescent="0.25">
      <c r="B47" s="46" t="s">
        <v>74</v>
      </c>
      <c r="C47" s="50">
        <v>59</v>
      </c>
      <c r="D47" s="50">
        <v>10</v>
      </c>
      <c r="E47" s="50">
        <v>7</v>
      </c>
      <c r="F47" s="50">
        <v>13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81</v>
      </c>
      <c r="N47" s="50">
        <v>0</v>
      </c>
      <c r="O47" s="15">
        <f t="shared" si="0"/>
        <v>92</v>
      </c>
      <c r="P47" s="15">
        <f t="shared" si="1"/>
        <v>173</v>
      </c>
      <c r="R47" s="8"/>
      <c r="T47"/>
    </row>
    <row r="48" spans="2:32" ht="23.1" customHeight="1" x14ac:dyDescent="0.25">
      <c r="B48" s="46" t="s">
        <v>75</v>
      </c>
      <c r="C48" s="50">
        <v>60</v>
      </c>
      <c r="D48" s="50">
        <v>9</v>
      </c>
      <c r="E48" s="50">
        <v>6</v>
      </c>
      <c r="F48" s="50">
        <v>8</v>
      </c>
      <c r="G48" s="50">
        <v>0</v>
      </c>
      <c r="H48" s="50">
        <v>0</v>
      </c>
      <c r="I48" s="50">
        <v>6</v>
      </c>
      <c r="J48" s="50">
        <v>0</v>
      </c>
      <c r="K48" s="50">
        <v>0</v>
      </c>
      <c r="L48" s="50">
        <v>0</v>
      </c>
      <c r="M48" s="50">
        <v>125</v>
      </c>
      <c r="N48" s="50">
        <v>0</v>
      </c>
      <c r="O48" s="15">
        <f t="shared" si="0"/>
        <v>89</v>
      </c>
      <c r="P48" s="15">
        <f t="shared" si="1"/>
        <v>214</v>
      </c>
      <c r="R48" s="8"/>
      <c r="T48"/>
    </row>
    <row r="49" spans="2:20" ht="23.1" customHeight="1" x14ac:dyDescent="0.25">
      <c r="B49" s="45" t="s">
        <v>76</v>
      </c>
      <c r="C49" s="50">
        <v>43</v>
      </c>
      <c r="D49" s="50">
        <v>8</v>
      </c>
      <c r="E49" s="50">
        <v>10</v>
      </c>
      <c r="F49" s="50">
        <v>8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94</v>
      </c>
      <c r="N49" s="50">
        <v>0</v>
      </c>
      <c r="O49" s="15">
        <f t="shared" si="0"/>
        <v>71</v>
      </c>
      <c r="P49" s="15">
        <f t="shared" si="1"/>
        <v>165</v>
      </c>
      <c r="R49" s="8"/>
      <c r="T49"/>
    </row>
    <row r="50" spans="2:20" ht="23.1" customHeight="1" x14ac:dyDescent="0.25">
      <c r="B50" s="46" t="s">
        <v>77</v>
      </c>
      <c r="C50" s="50">
        <v>36</v>
      </c>
      <c r="D50" s="50">
        <v>6</v>
      </c>
      <c r="E50" s="50">
        <v>5</v>
      </c>
      <c r="F50" s="50">
        <v>7</v>
      </c>
      <c r="G50" s="50">
        <v>0</v>
      </c>
      <c r="H50" s="50">
        <v>0</v>
      </c>
      <c r="I50" s="50">
        <v>4</v>
      </c>
      <c r="J50" s="50">
        <v>2</v>
      </c>
      <c r="K50" s="50">
        <v>0</v>
      </c>
      <c r="L50" s="50">
        <v>0</v>
      </c>
      <c r="M50" s="50">
        <v>85</v>
      </c>
      <c r="N50" s="50">
        <v>0</v>
      </c>
      <c r="O50" s="15">
        <f t="shared" si="0"/>
        <v>60</v>
      </c>
      <c r="P50" s="15">
        <f t="shared" si="1"/>
        <v>145</v>
      </c>
      <c r="R50" s="8"/>
      <c r="T50"/>
    </row>
    <row r="51" spans="2:20" ht="23.1" customHeight="1" x14ac:dyDescent="0.25">
      <c r="B51" s="46" t="s">
        <v>78</v>
      </c>
      <c r="C51" s="50">
        <v>41</v>
      </c>
      <c r="D51" s="50">
        <v>7</v>
      </c>
      <c r="E51" s="50">
        <v>4</v>
      </c>
      <c r="F51" s="50">
        <v>9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96</v>
      </c>
      <c r="N51" s="50">
        <v>0</v>
      </c>
      <c r="O51" s="15">
        <f t="shared" si="0"/>
        <v>64</v>
      </c>
      <c r="P51" s="15">
        <f t="shared" si="1"/>
        <v>160</v>
      </c>
      <c r="R51" s="8"/>
      <c r="T51"/>
    </row>
    <row r="52" spans="2:20" ht="23.1" customHeight="1" x14ac:dyDescent="0.25">
      <c r="B52" s="46" t="s">
        <v>79</v>
      </c>
      <c r="C52" s="50">
        <v>54</v>
      </c>
      <c r="D52" s="50">
        <v>5</v>
      </c>
      <c r="E52" s="50">
        <v>12</v>
      </c>
      <c r="F52" s="50">
        <v>15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80</v>
      </c>
      <c r="N52" s="50">
        <v>0</v>
      </c>
      <c r="O52" s="15">
        <f t="shared" si="0"/>
        <v>89</v>
      </c>
      <c r="P52" s="15">
        <f t="shared" si="1"/>
        <v>169</v>
      </c>
      <c r="R52" s="8"/>
      <c r="T52"/>
    </row>
    <row r="53" spans="2:20" ht="23.1" customHeight="1" x14ac:dyDescent="0.25">
      <c r="B53" s="45" t="s">
        <v>80</v>
      </c>
      <c r="C53" s="50">
        <v>53</v>
      </c>
      <c r="D53" s="50">
        <v>13</v>
      </c>
      <c r="E53" s="50">
        <v>4</v>
      </c>
      <c r="F53" s="50">
        <v>11</v>
      </c>
      <c r="G53" s="50">
        <v>0</v>
      </c>
      <c r="H53" s="50">
        <v>0</v>
      </c>
      <c r="I53" s="50">
        <v>5</v>
      </c>
      <c r="J53" s="50">
        <v>0</v>
      </c>
      <c r="K53" s="50">
        <v>1</v>
      </c>
      <c r="L53" s="50">
        <v>0</v>
      </c>
      <c r="M53" s="50">
        <v>81</v>
      </c>
      <c r="N53" s="50">
        <v>0</v>
      </c>
      <c r="O53" s="15">
        <f t="shared" si="0"/>
        <v>87</v>
      </c>
      <c r="P53" s="15">
        <f t="shared" si="1"/>
        <v>168</v>
      </c>
      <c r="R53" s="8"/>
      <c r="T53"/>
    </row>
    <row r="54" spans="2:20" ht="23.1" customHeight="1" x14ac:dyDescent="0.25">
      <c r="B54" s="45" t="s">
        <v>81</v>
      </c>
      <c r="C54" s="50">
        <v>56</v>
      </c>
      <c r="D54" s="50">
        <v>12</v>
      </c>
      <c r="E54" s="50">
        <v>4</v>
      </c>
      <c r="F54" s="50">
        <v>13</v>
      </c>
      <c r="G54" s="50">
        <v>0</v>
      </c>
      <c r="H54" s="50">
        <v>0</v>
      </c>
      <c r="I54" s="50">
        <v>2</v>
      </c>
      <c r="J54" s="50">
        <v>3</v>
      </c>
      <c r="K54" s="50">
        <v>0</v>
      </c>
      <c r="L54" s="50">
        <v>0</v>
      </c>
      <c r="M54" s="50">
        <v>110</v>
      </c>
      <c r="N54" s="50">
        <v>0</v>
      </c>
      <c r="O54" s="15">
        <f t="shared" si="0"/>
        <v>90</v>
      </c>
      <c r="P54" s="15">
        <f t="shared" si="1"/>
        <v>200</v>
      </c>
      <c r="R54" s="8"/>
      <c r="T54"/>
    </row>
    <row r="55" spans="2:20" ht="23.1" customHeight="1" x14ac:dyDescent="0.25">
      <c r="B55" s="45" t="s">
        <v>82</v>
      </c>
      <c r="C55" s="50">
        <v>55</v>
      </c>
      <c r="D55" s="50">
        <v>6</v>
      </c>
      <c r="E55" s="50">
        <v>10</v>
      </c>
      <c r="F55" s="50">
        <v>9</v>
      </c>
      <c r="G55" s="50">
        <v>0</v>
      </c>
      <c r="H55" s="50">
        <v>0</v>
      </c>
      <c r="I55" s="50">
        <v>7</v>
      </c>
      <c r="J55" s="50">
        <v>0</v>
      </c>
      <c r="K55" s="50">
        <v>0</v>
      </c>
      <c r="L55" s="50">
        <v>0</v>
      </c>
      <c r="M55" s="50">
        <v>125</v>
      </c>
      <c r="N55" s="50">
        <v>0</v>
      </c>
      <c r="O55" s="15">
        <f t="shared" si="0"/>
        <v>87</v>
      </c>
      <c r="P55" s="15">
        <f t="shared" si="1"/>
        <v>212</v>
      </c>
      <c r="R55" s="8"/>
      <c r="T55"/>
    </row>
    <row r="56" spans="2:20" ht="23.1" customHeight="1" x14ac:dyDescent="0.25">
      <c r="B56" s="45" t="s">
        <v>83</v>
      </c>
      <c r="C56" s="50">
        <v>48</v>
      </c>
      <c r="D56" s="50">
        <v>14</v>
      </c>
      <c r="E56" s="50">
        <v>5</v>
      </c>
      <c r="F56" s="50">
        <v>12</v>
      </c>
      <c r="G56" s="50">
        <v>0</v>
      </c>
      <c r="H56" s="50">
        <v>0</v>
      </c>
      <c r="I56" s="50">
        <v>9</v>
      </c>
      <c r="J56" s="50">
        <v>0</v>
      </c>
      <c r="K56" s="50">
        <v>0</v>
      </c>
      <c r="L56" s="50">
        <v>0</v>
      </c>
      <c r="M56" s="50">
        <v>75</v>
      </c>
      <c r="N56" s="50">
        <v>0</v>
      </c>
      <c r="O56" s="15">
        <f t="shared" si="0"/>
        <v>88</v>
      </c>
      <c r="P56" s="15">
        <f t="shared" si="1"/>
        <v>163</v>
      </c>
      <c r="R56" s="8"/>
      <c r="T56"/>
    </row>
    <row r="57" spans="2:20" ht="23.1" customHeight="1" x14ac:dyDescent="0.25">
      <c r="B57" s="45" t="s">
        <v>84</v>
      </c>
      <c r="C57" s="50">
        <v>23</v>
      </c>
      <c r="D57" s="50">
        <v>8</v>
      </c>
      <c r="E57" s="50">
        <v>2</v>
      </c>
      <c r="F57" s="50">
        <v>6</v>
      </c>
      <c r="G57" s="50">
        <v>0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71</v>
      </c>
      <c r="N57" s="50">
        <v>0</v>
      </c>
      <c r="O57" s="15">
        <f t="shared" si="0"/>
        <v>43</v>
      </c>
      <c r="P57" s="15">
        <f t="shared" si="1"/>
        <v>114</v>
      </c>
      <c r="R57" s="8"/>
      <c r="T57"/>
    </row>
    <row r="58" spans="2:20" ht="23.1" customHeight="1" x14ac:dyDescent="0.25">
      <c r="B58" s="45" t="s">
        <v>99</v>
      </c>
      <c r="C58" s="50">
        <v>123</v>
      </c>
      <c r="D58" s="50">
        <v>6</v>
      </c>
      <c r="E58" s="50">
        <v>6</v>
      </c>
      <c r="F58" s="50">
        <v>16</v>
      </c>
      <c r="G58" s="50">
        <v>0</v>
      </c>
      <c r="H58" s="50">
        <v>1</v>
      </c>
      <c r="I58" s="50">
        <v>0</v>
      </c>
      <c r="J58" s="50">
        <v>2</v>
      </c>
      <c r="K58" s="50">
        <v>0</v>
      </c>
      <c r="L58" s="50">
        <v>0</v>
      </c>
      <c r="M58" s="50">
        <v>165</v>
      </c>
      <c r="N58" s="50">
        <v>0</v>
      </c>
      <c r="O58" s="15">
        <f t="shared" si="0"/>
        <v>154</v>
      </c>
      <c r="P58" s="15">
        <f t="shared" si="1"/>
        <v>319</v>
      </c>
      <c r="R58" s="8"/>
      <c r="T58"/>
    </row>
    <row r="59" spans="2:20" ht="23.1" customHeight="1" x14ac:dyDescent="0.25">
      <c r="B59" s="45" t="s">
        <v>100</v>
      </c>
      <c r="C59" s="50">
        <v>55</v>
      </c>
      <c r="D59" s="50">
        <v>8</v>
      </c>
      <c r="E59" s="50">
        <v>5</v>
      </c>
      <c r="F59" s="50">
        <v>14</v>
      </c>
      <c r="G59" s="50">
        <v>1</v>
      </c>
      <c r="H59" s="50">
        <v>1</v>
      </c>
      <c r="I59" s="50">
        <v>0</v>
      </c>
      <c r="J59" s="50">
        <v>2</v>
      </c>
      <c r="K59" s="50">
        <v>0</v>
      </c>
      <c r="L59" s="50">
        <v>0</v>
      </c>
      <c r="M59" s="50">
        <v>60</v>
      </c>
      <c r="N59" s="50">
        <v>0</v>
      </c>
      <c r="O59" s="15">
        <f t="shared" si="0"/>
        <v>86</v>
      </c>
      <c r="P59" s="15">
        <f t="shared" si="1"/>
        <v>146</v>
      </c>
      <c r="R59" s="8"/>
      <c r="T59"/>
    </row>
    <row r="60" spans="2:20" ht="23.1" customHeight="1" x14ac:dyDescent="0.25">
      <c r="B60" s="45" t="s">
        <v>101</v>
      </c>
      <c r="C60" s="50">
        <v>91</v>
      </c>
      <c r="D60" s="50">
        <v>6</v>
      </c>
      <c r="E60" s="50">
        <v>9</v>
      </c>
      <c r="F60" s="50">
        <v>10</v>
      </c>
      <c r="G60" s="50">
        <v>0</v>
      </c>
      <c r="H60" s="50">
        <v>1</v>
      </c>
      <c r="I60" s="50">
        <v>0</v>
      </c>
      <c r="J60" s="50">
        <v>2</v>
      </c>
      <c r="K60" s="50">
        <v>0</v>
      </c>
      <c r="L60" s="50">
        <v>0</v>
      </c>
      <c r="M60" s="50">
        <v>143</v>
      </c>
      <c r="N60" s="50">
        <v>0</v>
      </c>
      <c r="O60" s="15">
        <f t="shared" si="0"/>
        <v>119</v>
      </c>
      <c r="P60" s="15">
        <f t="shared" si="1"/>
        <v>262</v>
      </c>
      <c r="R60" s="8"/>
      <c r="T60"/>
    </row>
    <row r="61" spans="2:20" ht="23.1" customHeight="1" x14ac:dyDescent="0.25">
      <c r="B61" s="45" t="s">
        <v>102</v>
      </c>
      <c r="C61" s="50">
        <v>78</v>
      </c>
      <c r="D61" s="50">
        <v>3</v>
      </c>
      <c r="E61" s="50">
        <v>4</v>
      </c>
      <c r="F61" s="50">
        <v>12</v>
      </c>
      <c r="G61" s="50">
        <v>0</v>
      </c>
      <c r="H61" s="50">
        <v>1</v>
      </c>
      <c r="I61" s="50">
        <v>8</v>
      </c>
      <c r="J61" s="50">
        <v>2</v>
      </c>
      <c r="K61" s="50">
        <v>0</v>
      </c>
      <c r="L61" s="50">
        <v>0</v>
      </c>
      <c r="M61" s="50">
        <v>110</v>
      </c>
      <c r="N61" s="50">
        <v>0</v>
      </c>
      <c r="O61" s="15">
        <f t="shared" si="0"/>
        <v>108</v>
      </c>
      <c r="P61" s="15">
        <f t="shared" si="1"/>
        <v>218</v>
      </c>
      <c r="R61" s="8"/>
      <c r="T61"/>
    </row>
    <row r="62" spans="2:20" ht="23.1" customHeight="1" x14ac:dyDescent="0.25">
      <c r="B62" s="45" t="s">
        <v>107</v>
      </c>
      <c r="C62" s="50">
        <v>115</v>
      </c>
      <c r="D62" s="50">
        <v>4</v>
      </c>
      <c r="E62" s="50">
        <v>7</v>
      </c>
      <c r="F62" s="50">
        <v>14</v>
      </c>
      <c r="G62" s="50">
        <v>1</v>
      </c>
      <c r="H62" s="50">
        <v>0</v>
      </c>
      <c r="I62" s="50">
        <v>2</v>
      </c>
      <c r="J62" s="50">
        <v>1</v>
      </c>
      <c r="K62" s="50">
        <v>0</v>
      </c>
      <c r="L62" s="50">
        <v>0</v>
      </c>
      <c r="M62" s="50">
        <v>130</v>
      </c>
      <c r="N62" s="50">
        <v>0</v>
      </c>
      <c r="O62" s="15">
        <f t="shared" si="0"/>
        <v>144</v>
      </c>
      <c r="P62" s="15">
        <f t="shared" si="1"/>
        <v>274</v>
      </c>
      <c r="R62" s="8"/>
      <c r="T62"/>
    </row>
    <row r="63" spans="2:20" ht="23.1" customHeight="1" x14ac:dyDescent="0.25">
      <c r="B63" s="45" t="s">
        <v>108</v>
      </c>
      <c r="C63" s="50">
        <v>60</v>
      </c>
      <c r="D63" s="50">
        <v>3</v>
      </c>
      <c r="E63" s="50">
        <v>5</v>
      </c>
      <c r="F63" s="50">
        <v>7</v>
      </c>
      <c r="G63" s="50">
        <v>0</v>
      </c>
      <c r="H63" s="50">
        <v>0</v>
      </c>
      <c r="I63" s="50">
        <v>4</v>
      </c>
      <c r="J63" s="50">
        <v>0</v>
      </c>
      <c r="K63" s="50">
        <v>0</v>
      </c>
      <c r="L63" s="50">
        <v>0</v>
      </c>
      <c r="M63" s="50">
        <v>89</v>
      </c>
      <c r="N63" s="50">
        <v>0</v>
      </c>
      <c r="O63" s="15">
        <f t="shared" si="0"/>
        <v>79</v>
      </c>
      <c r="P63" s="15">
        <f t="shared" si="1"/>
        <v>168</v>
      </c>
      <c r="R63" s="8"/>
      <c r="T63"/>
    </row>
    <row r="64" spans="2:20" ht="23.1" customHeight="1" x14ac:dyDescent="0.25">
      <c r="B64" s="45" t="s">
        <v>109</v>
      </c>
      <c r="C64" s="50">
        <v>68</v>
      </c>
      <c r="D64" s="50">
        <v>6</v>
      </c>
      <c r="E64" s="50">
        <v>11</v>
      </c>
      <c r="F64" s="50">
        <v>13</v>
      </c>
      <c r="G64" s="50">
        <v>0</v>
      </c>
      <c r="H64" s="50">
        <v>0</v>
      </c>
      <c r="I64" s="50">
        <v>4</v>
      </c>
      <c r="J64" s="50">
        <v>0</v>
      </c>
      <c r="K64" s="50">
        <v>0</v>
      </c>
      <c r="L64" s="50">
        <v>0</v>
      </c>
      <c r="M64" s="50">
        <v>105</v>
      </c>
      <c r="N64" s="50">
        <v>0</v>
      </c>
      <c r="O64" s="15">
        <f t="shared" si="0"/>
        <v>102</v>
      </c>
      <c r="P64" s="15">
        <f t="shared" si="1"/>
        <v>207</v>
      </c>
      <c r="R64" s="8"/>
      <c r="T64"/>
    </row>
    <row r="65" spans="2:20" ht="23.1" customHeight="1" x14ac:dyDescent="0.25">
      <c r="B65" s="45" t="s">
        <v>158</v>
      </c>
      <c r="C65" s="50">
        <v>46</v>
      </c>
      <c r="D65" s="50">
        <v>3</v>
      </c>
      <c r="E65" s="50">
        <v>3</v>
      </c>
      <c r="F65" s="50">
        <v>6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65</v>
      </c>
      <c r="N65" s="50">
        <v>0</v>
      </c>
      <c r="O65" s="15">
        <f t="shared" si="0"/>
        <v>59</v>
      </c>
      <c r="P65" s="15">
        <f t="shared" si="1"/>
        <v>124</v>
      </c>
      <c r="R65" s="8"/>
      <c r="T65"/>
    </row>
    <row r="66" spans="2:20" ht="23.1" customHeight="1" x14ac:dyDescent="0.25">
      <c r="B66" s="45" t="s">
        <v>103</v>
      </c>
      <c r="C66" s="50">
        <v>65</v>
      </c>
      <c r="D66" s="50">
        <v>4</v>
      </c>
      <c r="E66" s="50">
        <v>6</v>
      </c>
      <c r="F66" s="50">
        <v>6</v>
      </c>
      <c r="G66" s="50">
        <v>0</v>
      </c>
      <c r="H66" s="50">
        <v>0</v>
      </c>
      <c r="I66" s="50">
        <v>2</v>
      </c>
      <c r="J66" s="50">
        <v>0</v>
      </c>
      <c r="K66" s="50">
        <v>0</v>
      </c>
      <c r="L66" s="50">
        <v>0</v>
      </c>
      <c r="M66" s="50">
        <v>93</v>
      </c>
      <c r="N66" s="50">
        <v>0</v>
      </c>
      <c r="O66" s="15">
        <f t="shared" si="0"/>
        <v>83</v>
      </c>
      <c r="P66" s="15">
        <f t="shared" si="1"/>
        <v>176</v>
      </c>
      <c r="R66" s="8"/>
      <c r="T66"/>
    </row>
    <row r="67" spans="2:20" ht="23.1" customHeight="1" x14ac:dyDescent="0.25">
      <c r="B67" s="45" t="s">
        <v>104</v>
      </c>
      <c r="C67" s="50">
        <v>63</v>
      </c>
      <c r="D67" s="50">
        <v>2</v>
      </c>
      <c r="E67" s="50">
        <v>4</v>
      </c>
      <c r="F67" s="50">
        <v>8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0</v>
      </c>
      <c r="M67" s="50">
        <v>89</v>
      </c>
      <c r="N67" s="50">
        <v>0</v>
      </c>
      <c r="O67" s="15">
        <f t="shared" si="0"/>
        <v>78</v>
      </c>
      <c r="P67" s="15">
        <f t="shared" si="1"/>
        <v>167</v>
      </c>
      <c r="R67" s="8"/>
      <c r="T67"/>
    </row>
    <row r="68" spans="2:20" ht="23.1" customHeight="1" x14ac:dyDescent="0.25">
      <c r="B68" s="45" t="s">
        <v>105</v>
      </c>
      <c r="C68" s="50">
        <v>62</v>
      </c>
      <c r="D68" s="50">
        <v>4</v>
      </c>
      <c r="E68" s="50">
        <v>9</v>
      </c>
      <c r="F68" s="50">
        <v>5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105</v>
      </c>
      <c r="N68" s="50">
        <v>0</v>
      </c>
      <c r="O68" s="15">
        <f t="shared" si="0"/>
        <v>80</v>
      </c>
      <c r="P68" s="15">
        <f t="shared" si="1"/>
        <v>185</v>
      </c>
      <c r="R68" s="8"/>
      <c r="T68"/>
    </row>
    <row r="69" spans="2:20" ht="23.1" customHeight="1" x14ac:dyDescent="0.25">
      <c r="B69" s="45" t="s">
        <v>106</v>
      </c>
      <c r="C69" s="50">
        <v>47</v>
      </c>
      <c r="D69" s="50">
        <v>2</v>
      </c>
      <c r="E69" s="50">
        <v>5</v>
      </c>
      <c r="F69" s="50">
        <v>4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75</v>
      </c>
      <c r="N69" s="50">
        <v>0</v>
      </c>
      <c r="O69" s="15">
        <f t="shared" si="0"/>
        <v>59</v>
      </c>
      <c r="P69" s="15">
        <f t="shared" si="1"/>
        <v>134</v>
      </c>
      <c r="R69" s="8"/>
      <c r="T69"/>
    </row>
    <row r="70" spans="2:20" ht="23.1" customHeight="1" x14ac:dyDescent="0.25">
      <c r="B70" s="45" t="s">
        <v>110</v>
      </c>
      <c r="C70" s="50">
        <v>38</v>
      </c>
      <c r="D70" s="50">
        <v>2</v>
      </c>
      <c r="E70" s="50">
        <v>4</v>
      </c>
      <c r="F70" s="50">
        <v>2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v>0</v>
      </c>
      <c r="M70" s="50">
        <v>93</v>
      </c>
      <c r="N70" s="50">
        <v>0</v>
      </c>
      <c r="O70" s="15">
        <f t="shared" si="0"/>
        <v>48</v>
      </c>
      <c r="P70" s="15">
        <f t="shared" si="1"/>
        <v>141</v>
      </c>
      <c r="R70" s="8"/>
      <c r="T70"/>
    </row>
    <row r="71" spans="2:20" ht="23.1" customHeight="1" x14ac:dyDescent="0.25">
      <c r="B71" s="45" t="s">
        <v>111</v>
      </c>
      <c r="C71" s="50">
        <v>48</v>
      </c>
      <c r="D71" s="50">
        <v>3</v>
      </c>
      <c r="E71" s="50">
        <v>3</v>
      </c>
      <c r="F71" s="50">
        <v>3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70</v>
      </c>
      <c r="N71" s="50">
        <v>0</v>
      </c>
      <c r="O71" s="15">
        <f t="shared" si="0"/>
        <v>58</v>
      </c>
      <c r="P71" s="15">
        <f t="shared" si="1"/>
        <v>128</v>
      </c>
      <c r="R71" s="8"/>
      <c r="T71"/>
    </row>
    <row r="72" spans="2:20" ht="23.1" customHeight="1" x14ac:dyDescent="0.25">
      <c r="B72" s="45" t="s">
        <v>112</v>
      </c>
      <c r="C72" s="50">
        <v>31</v>
      </c>
      <c r="D72" s="50">
        <v>0</v>
      </c>
      <c r="E72" s="50">
        <v>4</v>
      </c>
      <c r="F72" s="50">
        <v>2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23</v>
      </c>
      <c r="N72" s="50">
        <v>0</v>
      </c>
      <c r="O72" s="15">
        <f t="shared" si="0"/>
        <v>38</v>
      </c>
      <c r="P72" s="15">
        <f t="shared" si="1"/>
        <v>61</v>
      </c>
      <c r="R72" s="8"/>
      <c r="T72"/>
    </row>
    <row r="73" spans="2:20" ht="23.1" customHeight="1" x14ac:dyDescent="0.25">
      <c r="B73" s="45" t="s">
        <v>113</v>
      </c>
      <c r="C73" s="50">
        <v>40</v>
      </c>
      <c r="D73" s="50">
        <v>1</v>
      </c>
      <c r="E73" s="50">
        <v>2</v>
      </c>
      <c r="F73" s="50">
        <v>2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44</v>
      </c>
      <c r="N73" s="50">
        <v>0</v>
      </c>
      <c r="O73" s="15">
        <f t="shared" si="0"/>
        <v>45</v>
      </c>
      <c r="P73" s="15">
        <f t="shared" si="1"/>
        <v>89</v>
      </c>
      <c r="R73" s="8"/>
      <c r="T73"/>
    </row>
    <row r="74" spans="2:20" ht="23.1" customHeight="1" x14ac:dyDescent="0.25">
      <c r="B74" s="45" t="s">
        <v>114</v>
      </c>
      <c r="C74" s="50">
        <v>30</v>
      </c>
      <c r="D74" s="50">
        <v>0</v>
      </c>
      <c r="E74" s="50">
        <v>3</v>
      </c>
      <c r="F74" s="50">
        <v>2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42</v>
      </c>
      <c r="N74" s="50">
        <v>0</v>
      </c>
      <c r="O74" s="15">
        <f t="shared" ref="O74:O105" si="35">SUM(C74:L74,N74)</f>
        <v>35</v>
      </c>
      <c r="P74" s="15">
        <f t="shared" ref="P74:P105" si="36">SUM(C74:N74)</f>
        <v>77</v>
      </c>
      <c r="R74" s="8"/>
      <c r="T74"/>
    </row>
    <row r="75" spans="2:20" ht="23.1" customHeight="1" x14ac:dyDescent="0.25">
      <c r="B75" s="45" t="s">
        <v>115</v>
      </c>
      <c r="C75" s="50">
        <v>16</v>
      </c>
      <c r="D75" s="50">
        <v>2</v>
      </c>
      <c r="E75" s="50">
        <v>3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30</v>
      </c>
      <c r="N75" s="50">
        <v>0</v>
      </c>
      <c r="O75" s="15">
        <f t="shared" si="35"/>
        <v>21</v>
      </c>
      <c r="P75" s="15">
        <f t="shared" si="36"/>
        <v>51</v>
      </c>
      <c r="R75" s="8"/>
      <c r="T75"/>
    </row>
    <row r="76" spans="2:20" ht="23.1" customHeight="1" x14ac:dyDescent="0.25">
      <c r="B76" s="45" t="s">
        <v>116</v>
      </c>
      <c r="C76" s="50">
        <v>21</v>
      </c>
      <c r="D76" s="50">
        <v>1</v>
      </c>
      <c r="E76" s="50">
        <v>2</v>
      </c>
      <c r="F76" s="50">
        <v>1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45</v>
      </c>
      <c r="N76" s="50">
        <v>0</v>
      </c>
      <c r="O76" s="15">
        <f t="shared" si="35"/>
        <v>26</v>
      </c>
      <c r="P76" s="15">
        <f t="shared" si="36"/>
        <v>71</v>
      </c>
      <c r="R76" s="8"/>
      <c r="T76"/>
    </row>
    <row r="77" spans="2:20" ht="23.1" customHeight="1" x14ac:dyDescent="0.25">
      <c r="B77" s="45" t="s">
        <v>117</v>
      </c>
      <c r="C77" s="50">
        <v>13</v>
      </c>
      <c r="D77" s="50">
        <v>0</v>
      </c>
      <c r="E77" s="50">
        <v>2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26</v>
      </c>
      <c r="N77" s="50">
        <v>0</v>
      </c>
      <c r="O77" s="15">
        <f t="shared" si="35"/>
        <v>15</v>
      </c>
      <c r="P77" s="15">
        <f t="shared" si="36"/>
        <v>41</v>
      </c>
      <c r="R77" s="8"/>
      <c r="T77"/>
    </row>
    <row r="78" spans="2:20" ht="23.1" customHeight="1" x14ac:dyDescent="0.25">
      <c r="B78" s="46" t="s">
        <v>118</v>
      </c>
      <c r="C78" s="50">
        <v>15</v>
      </c>
      <c r="D78" s="50">
        <v>1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30</v>
      </c>
      <c r="N78" s="50">
        <v>0</v>
      </c>
      <c r="O78" s="15">
        <f t="shared" si="35"/>
        <v>17</v>
      </c>
      <c r="P78" s="15">
        <f t="shared" si="36"/>
        <v>47</v>
      </c>
      <c r="R78" s="8"/>
      <c r="T78"/>
    </row>
    <row r="79" spans="2:20" ht="23.1" customHeight="1" x14ac:dyDescent="0.25">
      <c r="B79" s="45" t="s">
        <v>119</v>
      </c>
      <c r="C79" s="50">
        <v>18</v>
      </c>
      <c r="D79" s="50">
        <v>2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25</v>
      </c>
      <c r="N79" s="50">
        <v>0</v>
      </c>
      <c r="O79" s="15">
        <f t="shared" si="35"/>
        <v>21</v>
      </c>
      <c r="P79" s="15">
        <f t="shared" si="36"/>
        <v>46</v>
      </c>
      <c r="R79" s="8"/>
      <c r="T79"/>
    </row>
    <row r="80" spans="2:20" ht="23.1" customHeight="1" x14ac:dyDescent="0.25">
      <c r="B80" s="47" t="s">
        <v>120</v>
      </c>
      <c r="C80" s="50">
        <v>20</v>
      </c>
      <c r="D80" s="50">
        <v>1</v>
      </c>
      <c r="E80" s="50">
        <v>3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23</v>
      </c>
      <c r="N80" s="50">
        <v>0</v>
      </c>
      <c r="O80" s="15">
        <f t="shared" si="35"/>
        <v>25</v>
      </c>
      <c r="P80" s="15">
        <f t="shared" si="36"/>
        <v>48</v>
      </c>
      <c r="R80" s="8"/>
      <c r="T80"/>
    </row>
    <row r="81" spans="2:20" ht="23.1" customHeight="1" x14ac:dyDescent="0.25">
      <c r="B81" s="45" t="s">
        <v>121</v>
      </c>
      <c r="C81" s="50">
        <v>24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18</v>
      </c>
      <c r="N81" s="50">
        <v>0</v>
      </c>
      <c r="O81" s="15">
        <f t="shared" si="35"/>
        <v>24</v>
      </c>
      <c r="P81" s="15">
        <f t="shared" si="36"/>
        <v>42</v>
      </c>
      <c r="R81" s="8"/>
      <c r="T81"/>
    </row>
    <row r="82" spans="2:20" ht="23.1" customHeight="1" x14ac:dyDescent="0.25">
      <c r="B82" s="46" t="s">
        <v>122</v>
      </c>
      <c r="C82" s="50">
        <v>15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18</v>
      </c>
      <c r="N82" s="50">
        <v>0</v>
      </c>
      <c r="O82" s="15">
        <f t="shared" si="35"/>
        <v>17</v>
      </c>
      <c r="P82" s="15">
        <f t="shared" si="36"/>
        <v>35</v>
      </c>
      <c r="R82" s="8"/>
      <c r="T82"/>
    </row>
    <row r="83" spans="2:20" ht="23.1" customHeight="1" x14ac:dyDescent="0.25">
      <c r="B83" s="45" t="s">
        <v>123</v>
      </c>
      <c r="C83" s="50">
        <v>10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19</v>
      </c>
      <c r="N83" s="50">
        <v>0</v>
      </c>
      <c r="O83" s="15">
        <f t="shared" si="35"/>
        <v>10</v>
      </c>
      <c r="P83" s="15">
        <f t="shared" si="36"/>
        <v>29</v>
      </c>
      <c r="R83" s="8"/>
      <c r="T83"/>
    </row>
    <row r="84" spans="2:20" ht="23.1" customHeight="1" x14ac:dyDescent="0.25">
      <c r="B84" s="47" t="s">
        <v>124</v>
      </c>
      <c r="C84" s="50">
        <v>16</v>
      </c>
      <c r="D84" s="50">
        <v>2</v>
      </c>
      <c r="E84" s="50">
        <v>1</v>
      </c>
      <c r="F84" s="50">
        <v>0</v>
      </c>
      <c r="G84" s="50">
        <v>0</v>
      </c>
      <c r="H84" s="50">
        <v>1</v>
      </c>
      <c r="I84" s="50">
        <v>2</v>
      </c>
      <c r="J84" s="50">
        <v>0</v>
      </c>
      <c r="K84" s="50">
        <v>0</v>
      </c>
      <c r="L84" s="50">
        <v>0</v>
      </c>
      <c r="M84" s="50">
        <v>11</v>
      </c>
      <c r="N84" s="50">
        <v>0</v>
      </c>
      <c r="O84" s="15">
        <f t="shared" si="35"/>
        <v>22</v>
      </c>
      <c r="P84" s="15">
        <f t="shared" si="36"/>
        <v>33</v>
      </c>
      <c r="R84" s="8"/>
      <c r="T84"/>
    </row>
    <row r="85" spans="2:20" ht="23.1" customHeight="1" x14ac:dyDescent="0.25">
      <c r="B85" s="45" t="s">
        <v>125</v>
      </c>
      <c r="C85" s="50">
        <v>15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18</v>
      </c>
      <c r="N85" s="50">
        <v>0</v>
      </c>
      <c r="O85" s="15">
        <f t="shared" si="35"/>
        <v>16</v>
      </c>
      <c r="P85" s="15">
        <f t="shared" si="36"/>
        <v>34</v>
      </c>
      <c r="R85" s="8"/>
      <c r="T85"/>
    </row>
    <row r="86" spans="2:20" ht="23.1" customHeight="1" x14ac:dyDescent="0.25">
      <c r="B86" s="46" t="s">
        <v>126</v>
      </c>
      <c r="C86" s="50">
        <v>10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20</v>
      </c>
      <c r="N86" s="50">
        <v>0</v>
      </c>
      <c r="O86" s="15">
        <f t="shared" si="35"/>
        <v>11</v>
      </c>
      <c r="P86" s="15">
        <f t="shared" si="36"/>
        <v>31</v>
      </c>
      <c r="R86" s="8"/>
      <c r="T86"/>
    </row>
    <row r="87" spans="2:20" ht="23.1" customHeight="1" x14ac:dyDescent="0.25">
      <c r="B87" s="45" t="s">
        <v>127</v>
      </c>
      <c r="C87" s="50">
        <v>20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15</v>
      </c>
      <c r="N87" s="50">
        <v>0</v>
      </c>
      <c r="O87" s="15">
        <f t="shared" si="35"/>
        <v>20</v>
      </c>
      <c r="P87" s="15">
        <f t="shared" si="36"/>
        <v>35</v>
      </c>
      <c r="R87" s="8"/>
      <c r="T87"/>
    </row>
    <row r="88" spans="2:20" ht="23.1" customHeight="1" x14ac:dyDescent="0.25">
      <c r="B88" s="47" t="s">
        <v>128</v>
      </c>
      <c r="C88" s="50">
        <v>7</v>
      </c>
      <c r="D88" s="50">
        <v>1</v>
      </c>
      <c r="E88" s="50">
        <v>2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18</v>
      </c>
      <c r="N88" s="50">
        <v>0</v>
      </c>
      <c r="O88" s="15">
        <f t="shared" si="35"/>
        <v>10</v>
      </c>
      <c r="P88" s="15">
        <f t="shared" si="36"/>
        <v>28</v>
      </c>
      <c r="R88" s="8"/>
      <c r="T88"/>
    </row>
    <row r="89" spans="2:20" ht="23.1" customHeight="1" x14ac:dyDescent="0.25">
      <c r="B89" s="45" t="s">
        <v>129</v>
      </c>
      <c r="C89" s="50">
        <v>9</v>
      </c>
      <c r="D89" s="50">
        <v>0</v>
      </c>
      <c r="E89" s="50">
        <v>2</v>
      </c>
      <c r="F89" s="50">
        <v>1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7</v>
      </c>
      <c r="N89" s="50">
        <v>0</v>
      </c>
      <c r="O89" s="15">
        <f t="shared" si="35"/>
        <v>12</v>
      </c>
      <c r="P89" s="15">
        <f t="shared" si="36"/>
        <v>19</v>
      </c>
      <c r="R89" s="8"/>
      <c r="T89"/>
    </row>
    <row r="90" spans="2:20" ht="23.1" customHeight="1" x14ac:dyDescent="0.25">
      <c r="B90" s="46" t="s">
        <v>130</v>
      </c>
      <c r="C90" s="50">
        <v>3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7</v>
      </c>
      <c r="N90" s="50">
        <v>0</v>
      </c>
      <c r="O90" s="15">
        <f t="shared" si="35"/>
        <v>3</v>
      </c>
      <c r="P90" s="15">
        <f t="shared" si="36"/>
        <v>10</v>
      </c>
      <c r="R90" s="8"/>
      <c r="T90"/>
    </row>
    <row r="91" spans="2:20" ht="23.1" customHeight="1" x14ac:dyDescent="0.25">
      <c r="B91" s="45" t="s">
        <v>131</v>
      </c>
      <c r="C91" s="50">
        <v>4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6</v>
      </c>
      <c r="N91" s="50">
        <v>0</v>
      </c>
      <c r="O91" s="15">
        <f t="shared" si="35"/>
        <v>4</v>
      </c>
      <c r="P91" s="15">
        <f t="shared" si="36"/>
        <v>10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11</v>
      </c>
      <c r="N92" s="50">
        <v>0</v>
      </c>
      <c r="O92" s="15">
        <f t="shared" si="35"/>
        <v>1</v>
      </c>
      <c r="P92" s="15">
        <f t="shared" si="36"/>
        <v>12</v>
      </c>
      <c r="R92" s="8"/>
      <c r="T92"/>
    </row>
    <row r="93" spans="2:20" ht="23.1" customHeight="1" x14ac:dyDescent="0.25">
      <c r="B93" s="45" t="s">
        <v>133</v>
      </c>
      <c r="C93" s="50">
        <v>5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6</v>
      </c>
      <c r="N93" s="50">
        <v>0</v>
      </c>
      <c r="O93" s="15">
        <f t="shared" si="35"/>
        <v>5</v>
      </c>
      <c r="P93" s="15">
        <f t="shared" si="36"/>
        <v>11</v>
      </c>
      <c r="R93" s="8"/>
      <c r="T93"/>
    </row>
    <row r="94" spans="2:20" ht="23.1" customHeight="1" x14ac:dyDescent="0.25">
      <c r="B94" s="46" t="s">
        <v>134</v>
      </c>
      <c r="C94" s="50">
        <v>6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4</v>
      </c>
      <c r="N94" s="50">
        <v>0</v>
      </c>
      <c r="O94" s="15">
        <f t="shared" si="35"/>
        <v>6</v>
      </c>
      <c r="P94" s="15">
        <f t="shared" si="36"/>
        <v>10</v>
      </c>
      <c r="R94" s="8"/>
      <c r="T94"/>
    </row>
    <row r="95" spans="2:20" ht="23.1" customHeight="1" x14ac:dyDescent="0.25">
      <c r="B95" s="45" t="s">
        <v>135</v>
      </c>
      <c r="C95" s="50">
        <v>4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6</v>
      </c>
      <c r="N95" s="50">
        <v>0</v>
      </c>
      <c r="O95" s="15">
        <f t="shared" si="35"/>
        <v>5</v>
      </c>
      <c r="P95" s="15">
        <f t="shared" si="36"/>
        <v>11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9</v>
      </c>
      <c r="N96" s="50">
        <v>0</v>
      </c>
      <c r="O96" s="15">
        <f t="shared" si="35"/>
        <v>2</v>
      </c>
      <c r="P96" s="15">
        <f t="shared" si="36"/>
        <v>11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1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6</v>
      </c>
      <c r="N97" s="50">
        <v>0</v>
      </c>
      <c r="O97" s="15">
        <f t="shared" si="35"/>
        <v>5</v>
      </c>
      <c r="P97" s="15">
        <f t="shared" si="36"/>
        <v>11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0</v>
      </c>
      <c r="F98" s="50">
        <v>3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17</v>
      </c>
      <c r="N98" s="50">
        <v>0</v>
      </c>
      <c r="O98" s="15">
        <f t="shared" si="35"/>
        <v>5</v>
      </c>
      <c r="P98" s="15">
        <f t="shared" si="36"/>
        <v>22</v>
      </c>
      <c r="R98" s="8"/>
      <c r="T98"/>
    </row>
    <row r="99" spans="2:20" ht="23.1" customHeight="1" x14ac:dyDescent="0.25">
      <c r="B99" s="45" t="s">
        <v>139</v>
      </c>
      <c r="C99" s="50">
        <v>4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18</v>
      </c>
      <c r="N99" s="50">
        <v>0</v>
      </c>
      <c r="O99" s="15">
        <f t="shared" si="35"/>
        <v>5</v>
      </c>
      <c r="P99" s="15">
        <f t="shared" si="36"/>
        <v>23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18</v>
      </c>
      <c r="N100" s="50">
        <v>0</v>
      </c>
      <c r="O100" s="15">
        <f t="shared" si="35"/>
        <v>6</v>
      </c>
      <c r="P100" s="15">
        <f t="shared" si="36"/>
        <v>24</v>
      </c>
      <c r="R100" s="8"/>
      <c r="T100"/>
    </row>
    <row r="101" spans="2:20" ht="23.1" customHeight="1" x14ac:dyDescent="0.25">
      <c r="B101" s="45" t="s">
        <v>141</v>
      </c>
      <c r="C101" s="50">
        <v>6</v>
      </c>
      <c r="D101" s="50">
        <v>0</v>
      </c>
      <c r="E101" s="50">
        <v>1</v>
      </c>
      <c r="F101" s="50">
        <v>4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26</v>
      </c>
      <c r="N101" s="50">
        <v>0</v>
      </c>
      <c r="O101" s="15">
        <f t="shared" si="35"/>
        <v>11</v>
      </c>
      <c r="P101" s="15">
        <f t="shared" si="36"/>
        <v>37</v>
      </c>
      <c r="R101" s="8"/>
      <c r="T101"/>
    </row>
    <row r="102" spans="2:20" ht="23.1" customHeight="1" x14ac:dyDescent="0.25">
      <c r="B102" s="46" t="s">
        <v>142</v>
      </c>
      <c r="C102" s="50">
        <v>13</v>
      </c>
      <c r="D102" s="50">
        <v>0</v>
      </c>
      <c r="E102" s="50">
        <v>0</v>
      </c>
      <c r="F102" s="50">
        <v>4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17</v>
      </c>
      <c r="N102" s="50">
        <v>0</v>
      </c>
      <c r="O102" s="15">
        <f t="shared" si="35"/>
        <v>17</v>
      </c>
      <c r="P102" s="15">
        <f t="shared" si="36"/>
        <v>34</v>
      </c>
      <c r="R102" s="8"/>
      <c r="T102"/>
    </row>
    <row r="103" spans="2:20" ht="23.1" customHeight="1" x14ac:dyDescent="0.25">
      <c r="B103" s="45" t="s">
        <v>143</v>
      </c>
      <c r="C103" s="50">
        <v>8</v>
      </c>
      <c r="D103" s="50">
        <v>0</v>
      </c>
      <c r="E103" s="50">
        <v>2</v>
      </c>
      <c r="F103" s="50">
        <v>7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18</v>
      </c>
      <c r="N103" s="50">
        <v>0</v>
      </c>
      <c r="O103" s="15">
        <f t="shared" si="35"/>
        <v>18</v>
      </c>
      <c r="P103" s="15">
        <f t="shared" si="36"/>
        <v>36</v>
      </c>
      <c r="R103" s="8"/>
      <c r="T103"/>
    </row>
    <row r="104" spans="2:20" ht="23.1" customHeight="1" x14ac:dyDescent="0.25">
      <c r="B104" s="47" t="s">
        <v>144</v>
      </c>
      <c r="C104" s="50">
        <v>17</v>
      </c>
      <c r="D104" s="50">
        <v>0</v>
      </c>
      <c r="E104" s="50">
        <v>2</v>
      </c>
      <c r="F104" s="50">
        <v>4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27</v>
      </c>
      <c r="N104" s="50">
        <v>0</v>
      </c>
      <c r="O104" s="15">
        <f t="shared" si="35"/>
        <v>23</v>
      </c>
      <c r="P104" s="15">
        <f t="shared" si="36"/>
        <v>50</v>
      </c>
      <c r="R104" s="8"/>
      <c r="T104"/>
    </row>
    <row r="105" spans="2:20" ht="23.1" customHeight="1" x14ac:dyDescent="0.25">
      <c r="B105" s="45" t="s">
        <v>145</v>
      </c>
      <c r="C105" s="50">
        <v>23</v>
      </c>
      <c r="D105" s="50">
        <v>0</v>
      </c>
      <c r="E105" s="50">
        <v>2</v>
      </c>
      <c r="F105" s="50">
        <v>8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29</v>
      </c>
      <c r="N105" s="50">
        <v>0</v>
      </c>
      <c r="O105" s="15">
        <f t="shared" si="35"/>
        <v>34</v>
      </c>
      <c r="P105" s="15">
        <f t="shared" si="36"/>
        <v>63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4799</v>
      </c>
      <c r="D106" s="16">
        <f t="shared" ref="D106:P106" si="37">SUM(D10:D105)</f>
        <v>636</v>
      </c>
      <c r="E106" s="16">
        <f t="shared" si="37"/>
        <v>515</v>
      </c>
      <c r="F106" s="16">
        <f t="shared" si="37"/>
        <v>920</v>
      </c>
      <c r="G106" s="16">
        <f t="shared" si="37"/>
        <v>4</v>
      </c>
      <c r="H106" s="16">
        <f t="shared" si="37"/>
        <v>7</v>
      </c>
      <c r="I106" s="16">
        <f t="shared" si="37"/>
        <v>285</v>
      </c>
      <c r="J106" s="16">
        <f t="shared" si="37"/>
        <v>26</v>
      </c>
      <c r="K106" s="16">
        <f t="shared" si="37"/>
        <v>1</v>
      </c>
      <c r="L106" s="16">
        <f t="shared" si="37"/>
        <v>0</v>
      </c>
      <c r="M106" s="16">
        <f t="shared" si="37"/>
        <v>7263</v>
      </c>
      <c r="N106" s="16">
        <f t="shared" si="37"/>
        <v>0</v>
      </c>
      <c r="O106" s="16">
        <f t="shared" si="37"/>
        <v>7193</v>
      </c>
      <c r="P106" s="16">
        <f t="shared" si="37"/>
        <v>14456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0.33197288323187601</v>
      </c>
      <c r="D107" s="43">
        <f t="shared" si="38"/>
        <v>4.3995572772551186E-2</v>
      </c>
      <c r="E107" s="43">
        <f t="shared" si="38"/>
        <v>3.5625345877144436E-2</v>
      </c>
      <c r="F107" s="43">
        <f t="shared" si="38"/>
        <v>6.3641394576646373E-2</v>
      </c>
      <c r="G107" s="43">
        <f t="shared" si="38"/>
        <v>2.7670171555063639E-4</v>
      </c>
      <c r="H107" s="43">
        <f t="shared" si="38"/>
        <v>4.8422800221361375E-4</v>
      </c>
      <c r="I107" s="43">
        <f t="shared" si="38"/>
        <v>1.9714997232982843E-2</v>
      </c>
      <c r="J107" s="43">
        <f t="shared" si="38"/>
        <v>1.7985611510791368E-3</v>
      </c>
      <c r="K107" s="43">
        <f t="shared" si="38"/>
        <v>6.9175428887659099E-5</v>
      </c>
      <c r="L107" s="43">
        <f t="shared" si="38"/>
        <v>0</v>
      </c>
      <c r="M107" s="43">
        <f t="shared" si="38"/>
        <v>0.50242114001106808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0.66717642152092316</v>
      </c>
      <c r="D108" s="44">
        <f t="shared" ref="D108:N108" si="39">D106/$O$106</f>
        <v>8.841929653830112E-2</v>
      </c>
      <c r="E108" s="44">
        <f t="shared" si="39"/>
        <v>7.1597386347838174E-2</v>
      </c>
      <c r="F108" s="44">
        <f t="shared" si="39"/>
        <v>0.12790212706798276</v>
      </c>
      <c r="G108" s="44">
        <f t="shared" si="39"/>
        <v>5.5609620464340331E-4</v>
      </c>
      <c r="H108" s="44">
        <f t="shared" si="39"/>
        <v>9.7316835812595582E-4</v>
      </c>
      <c r="I108" s="44">
        <f t="shared" si="39"/>
        <v>3.9621854580842483E-2</v>
      </c>
      <c r="J108" s="44">
        <f t="shared" si="39"/>
        <v>3.6146253301821214E-3</v>
      </c>
      <c r="K108" s="44">
        <f t="shared" si="39"/>
        <v>1.3902405116085083E-4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I111" sqref="I1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Kyebando-Mulago'!C3:G3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'03.08 Kyebando-Mulago-24h'!D5</f>
        <v>03.08.19</v>
      </c>
      <c r="E5" s="3"/>
      <c r="F5" s="41" t="s">
        <v>1</v>
      </c>
      <c r="G5" s="55" t="str">
        <f>'03.08 Kyebando-Mulago-24h'!G5:H5</f>
        <v>Kisingiri Street</v>
      </c>
      <c r="H5" s="56"/>
      <c r="I5" s="14"/>
      <c r="J5" s="2" t="s">
        <v>5</v>
      </c>
      <c r="K5" s="55" t="s">
        <v>176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'02.08 Mulago-Kyebando'!D6:E6</f>
        <v>Mulago</v>
      </c>
      <c r="E6" s="56"/>
      <c r="F6" s="2" t="s">
        <v>2</v>
      </c>
      <c r="G6" s="55" t="str">
        <f>'02.08 Mulago-Kyebando'!G6:H6</f>
        <v>Kyebando</v>
      </c>
      <c r="H6" s="56"/>
      <c r="J6" s="2" t="s">
        <v>21</v>
      </c>
      <c r="K6" s="55" t="str">
        <f>'03.08 Kyebando-Mulago-24h'!K6:L6</f>
        <v>Steven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18</v>
      </c>
      <c r="D10" s="50">
        <v>7</v>
      </c>
      <c r="E10" s="50">
        <v>7</v>
      </c>
      <c r="F10" s="50">
        <v>10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68</v>
      </c>
      <c r="N10" s="50">
        <v>0</v>
      </c>
      <c r="O10" s="15">
        <f t="shared" ref="O10:O73" si="0">SUM(C10:L10,N10)</f>
        <v>43</v>
      </c>
      <c r="P10" s="15">
        <f t="shared" ref="P10:P73" si="1">SUM(C10:N10)</f>
        <v>111</v>
      </c>
      <c r="R10" s="1" t="s">
        <v>6</v>
      </c>
      <c r="S10" s="17">
        <f t="shared" ref="S10:AF10" si="2">SUM(C10:C13)</f>
        <v>72</v>
      </c>
      <c r="T10" s="17">
        <f t="shared" si="2"/>
        <v>14</v>
      </c>
      <c r="U10" s="17">
        <f t="shared" si="2"/>
        <v>11</v>
      </c>
      <c r="V10" s="17">
        <f t="shared" si="2"/>
        <v>39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290</v>
      </c>
      <c r="AD10" s="17">
        <f t="shared" si="2"/>
        <v>0</v>
      </c>
      <c r="AE10" s="31">
        <f t="shared" si="2"/>
        <v>142</v>
      </c>
      <c r="AF10" s="31">
        <f t="shared" si="2"/>
        <v>432</v>
      </c>
    </row>
    <row r="11" spans="2:32" s="6" customFormat="1" ht="23.1" customHeight="1" x14ac:dyDescent="0.25">
      <c r="B11" s="45" t="s">
        <v>38</v>
      </c>
      <c r="C11" s="50">
        <v>15</v>
      </c>
      <c r="D11" s="50">
        <v>2</v>
      </c>
      <c r="E11" s="50">
        <v>3</v>
      </c>
      <c r="F11" s="50">
        <v>14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66</v>
      </c>
      <c r="N11" s="50">
        <v>0</v>
      </c>
      <c r="O11" s="15">
        <f t="shared" si="0"/>
        <v>37</v>
      </c>
      <c r="P11" s="15">
        <f t="shared" si="1"/>
        <v>103</v>
      </c>
      <c r="R11" s="1" t="s">
        <v>7</v>
      </c>
      <c r="S11" s="17">
        <f t="shared" ref="S11:AF11" si="3">SUM(C14:C17)</f>
        <v>83</v>
      </c>
      <c r="T11" s="17">
        <f t="shared" si="3"/>
        <v>17</v>
      </c>
      <c r="U11" s="17">
        <f t="shared" si="3"/>
        <v>11</v>
      </c>
      <c r="V11" s="17">
        <f t="shared" si="3"/>
        <v>46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5</v>
      </c>
      <c r="AA11" s="17">
        <f t="shared" si="3"/>
        <v>1</v>
      </c>
      <c r="AB11" s="17">
        <f t="shared" si="3"/>
        <v>0</v>
      </c>
      <c r="AC11" s="17">
        <f t="shared" si="3"/>
        <v>376</v>
      </c>
      <c r="AD11" s="17">
        <f t="shared" si="3"/>
        <v>0</v>
      </c>
      <c r="AE11" s="31">
        <f t="shared" si="3"/>
        <v>167</v>
      </c>
      <c r="AF11" s="31">
        <f t="shared" si="3"/>
        <v>543</v>
      </c>
    </row>
    <row r="12" spans="2:32" ht="23.1" customHeight="1" x14ac:dyDescent="0.25">
      <c r="B12" s="45" t="s">
        <v>39</v>
      </c>
      <c r="C12" s="50">
        <v>17</v>
      </c>
      <c r="D12" s="50">
        <v>4</v>
      </c>
      <c r="E12" s="50">
        <v>1</v>
      </c>
      <c r="F12" s="50">
        <v>9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71</v>
      </c>
      <c r="N12" s="50">
        <v>0</v>
      </c>
      <c r="O12" s="15">
        <f t="shared" si="0"/>
        <v>32</v>
      </c>
      <c r="P12" s="15">
        <f t="shared" si="1"/>
        <v>103</v>
      </c>
      <c r="R12" s="1" t="s">
        <v>8</v>
      </c>
      <c r="S12" s="17">
        <f t="shared" ref="S12:AF12" si="4">SUM(C18:C21)</f>
        <v>113</v>
      </c>
      <c r="T12" s="17">
        <f t="shared" si="4"/>
        <v>24</v>
      </c>
      <c r="U12" s="17">
        <f t="shared" si="4"/>
        <v>27</v>
      </c>
      <c r="V12" s="17">
        <f t="shared" si="4"/>
        <v>57</v>
      </c>
      <c r="W12" s="17">
        <f t="shared" si="4"/>
        <v>0</v>
      </c>
      <c r="X12" s="17">
        <f t="shared" si="4"/>
        <v>0</v>
      </c>
      <c r="Y12" s="17">
        <f t="shared" si="4"/>
        <v>17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590</v>
      </c>
      <c r="AD12" s="17">
        <f t="shared" si="4"/>
        <v>0</v>
      </c>
      <c r="AE12" s="31">
        <f t="shared" si="4"/>
        <v>242</v>
      </c>
      <c r="AF12" s="31">
        <f t="shared" si="4"/>
        <v>832</v>
      </c>
    </row>
    <row r="13" spans="2:32" ht="23.1" customHeight="1" x14ac:dyDescent="0.25">
      <c r="B13" s="45" t="s">
        <v>40</v>
      </c>
      <c r="C13" s="50">
        <v>22</v>
      </c>
      <c r="D13" s="50">
        <v>1</v>
      </c>
      <c r="E13" s="50">
        <v>0</v>
      </c>
      <c r="F13" s="50">
        <v>6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85</v>
      </c>
      <c r="N13" s="50">
        <v>0</v>
      </c>
      <c r="O13" s="15">
        <f t="shared" si="0"/>
        <v>30</v>
      </c>
      <c r="P13" s="15">
        <f t="shared" si="1"/>
        <v>115</v>
      </c>
      <c r="R13" s="1" t="s">
        <v>9</v>
      </c>
      <c r="S13" s="17">
        <f t="shared" ref="S13:AF13" si="5">SUM(C22:C25)</f>
        <v>172</v>
      </c>
      <c r="T13" s="17">
        <f t="shared" si="5"/>
        <v>33</v>
      </c>
      <c r="U13" s="17">
        <f t="shared" si="5"/>
        <v>25</v>
      </c>
      <c r="V13" s="17">
        <f t="shared" si="5"/>
        <v>48</v>
      </c>
      <c r="W13" s="17">
        <f t="shared" si="5"/>
        <v>1</v>
      </c>
      <c r="X13" s="17">
        <f t="shared" si="5"/>
        <v>0</v>
      </c>
      <c r="Y13" s="17">
        <f t="shared" si="5"/>
        <v>29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520</v>
      </c>
      <c r="AD13" s="17">
        <f t="shared" si="5"/>
        <v>0</v>
      </c>
      <c r="AE13" s="31">
        <f t="shared" si="5"/>
        <v>312</v>
      </c>
      <c r="AF13" s="31">
        <f t="shared" si="5"/>
        <v>832</v>
      </c>
    </row>
    <row r="14" spans="2:32" ht="23.1" customHeight="1" x14ac:dyDescent="0.25">
      <c r="B14" s="45" t="s">
        <v>41</v>
      </c>
      <c r="C14" s="50">
        <v>28</v>
      </c>
      <c r="D14" s="50">
        <v>10</v>
      </c>
      <c r="E14" s="50">
        <v>3</v>
      </c>
      <c r="F14" s="50">
        <v>7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93</v>
      </c>
      <c r="N14" s="50">
        <v>0</v>
      </c>
      <c r="O14" s="15">
        <f t="shared" si="0"/>
        <v>49</v>
      </c>
      <c r="P14" s="15">
        <f t="shared" si="1"/>
        <v>142</v>
      </c>
      <c r="R14" s="1" t="s">
        <v>10</v>
      </c>
      <c r="S14" s="17">
        <f t="shared" ref="S14:AF14" si="6">SUM(C26:C29)</f>
        <v>241</v>
      </c>
      <c r="T14" s="17">
        <f t="shared" si="6"/>
        <v>39</v>
      </c>
      <c r="U14" s="17">
        <f t="shared" si="6"/>
        <v>51</v>
      </c>
      <c r="V14" s="17">
        <f t="shared" si="6"/>
        <v>71</v>
      </c>
      <c r="W14" s="17">
        <f t="shared" si="6"/>
        <v>0</v>
      </c>
      <c r="X14" s="17">
        <f t="shared" si="6"/>
        <v>0</v>
      </c>
      <c r="Y14" s="17">
        <f t="shared" si="6"/>
        <v>22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495</v>
      </c>
      <c r="AD14" s="17">
        <f t="shared" si="6"/>
        <v>0</v>
      </c>
      <c r="AE14" s="31">
        <f t="shared" si="6"/>
        <v>426</v>
      </c>
      <c r="AF14" s="31">
        <f t="shared" si="6"/>
        <v>921</v>
      </c>
    </row>
    <row r="15" spans="2:32" ht="23.1" customHeight="1" x14ac:dyDescent="0.25">
      <c r="B15" s="45" t="s">
        <v>42</v>
      </c>
      <c r="C15" s="50">
        <v>17</v>
      </c>
      <c r="D15" s="50">
        <v>1</v>
      </c>
      <c r="E15" s="50">
        <v>3</v>
      </c>
      <c r="F15" s="50">
        <v>11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87</v>
      </c>
      <c r="N15" s="50">
        <v>0</v>
      </c>
      <c r="O15" s="15">
        <f t="shared" si="0"/>
        <v>34</v>
      </c>
      <c r="P15" s="15">
        <f t="shared" si="1"/>
        <v>121</v>
      </c>
      <c r="R15" s="1" t="s">
        <v>11</v>
      </c>
      <c r="S15" s="17">
        <f t="shared" ref="S15:AF15" si="7">SUM(C30:C33)</f>
        <v>241</v>
      </c>
      <c r="T15" s="17">
        <f t="shared" si="7"/>
        <v>35</v>
      </c>
      <c r="U15" s="17">
        <f t="shared" si="7"/>
        <v>50</v>
      </c>
      <c r="V15" s="17">
        <f t="shared" si="7"/>
        <v>69</v>
      </c>
      <c r="W15" s="17">
        <f t="shared" si="7"/>
        <v>1</v>
      </c>
      <c r="X15" s="17">
        <f t="shared" si="7"/>
        <v>0</v>
      </c>
      <c r="Y15" s="17">
        <f t="shared" si="7"/>
        <v>32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484</v>
      </c>
      <c r="AD15" s="17">
        <f t="shared" si="7"/>
        <v>0</v>
      </c>
      <c r="AE15" s="31">
        <f t="shared" si="7"/>
        <v>431</v>
      </c>
      <c r="AF15" s="31">
        <f t="shared" si="7"/>
        <v>915</v>
      </c>
    </row>
    <row r="16" spans="2:32" ht="23.1" customHeight="1" x14ac:dyDescent="0.25">
      <c r="B16" s="45" t="s">
        <v>43</v>
      </c>
      <c r="C16" s="50">
        <v>21</v>
      </c>
      <c r="D16" s="50">
        <v>3</v>
      </c>
      <c r="E16" s="50">
        <v>3</v>
      </c>
      <c r="F16" s="50">
        <v>15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91</v>
      </c>
      <c r="N16" s="50">
        <v>0</v>
      </c>
      <c r="O16" s="15">
        <f t="shared" si="0"/>
        <v>43</v>
      </c>
      <c r="P16" s="15">
        <f t="shared" si="1"/>
        <v>134</v>
      </c>
      <c r="R16" s="1" t="s">
        <v>12</v>
      </c>
      <c r="S16" s="17">
        <f t="shared" ref="S16:AF16" si="8">SUM(C34:C37)</f>
        <v>322</v>
      </c>
      <c r="T16" s="17">
        <f t="shared" si="8"/>
        <v>41</v>
      </c>
      <c r="U16" s="17">
        <f t="shared" si="8"/>
        <v>46</v>
      </c>
      <c r="V16" s="17">
        <f t="shared" si="8"/>
        <v>58</v>
      </c>
      <c r="W16" s="17">
        <f t="shared" si="8"/>
        <v>1</v>
      </c>
      <c r="X16" s="17">
        <f t="shared" si="8"/>
        <v>0</v>
      </c>
      <c r="Y16" s="17">
        <f t="shared" si="8"/>
        <v>29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493</v>
      </c>
      <c r="AD16" s="17">
        <f t="shared" si="8"/>
        <v>0</v>
      </c>
      <c r="AE16" s="31">
        <f t="shared" si="8"/>
        <v>498</v>
      </c>
      <c r="AF16" s="31">
        <f t="shared" si="8"/>
        <v>991</v>
      </c>
    </row>
    <row r="17" spans="2:32" ht="23.1" customHeight="1" x14ac:dyDescent="0.25">
      <c r="B17" s="45" t="s">
        <v>44</v>
      </c>
      <c r="C17" s="50">
        <v>17</v>
      </c>
      <c r="D17" s="50">
        <v>3</v>
      </c>
      <c r="E17" s="50">
        <v>2</v>
      </c>
      <c r="F17" s="50">
        <v>13</v>
      </c>
      <c r="G17" s="50">
        <v>0</v>
      </c>
      <c r="H17" s="50">
        <v>0</v>
      </c>
      <c r="I17" s="50">
        <v>3</v>
      </c>
      <c r="J17" s="50">
        <v>2</v>
      </c>
      <c r="K17" s="50">
        <v>1</v>
      </c>
      <c r="L17" s="50">
        <v>0</v>
      </c>
      <c r="M17" s="50">
        <v>105</v>
      </c>
      <c r="N17" s="50">
        <v>0</v>
      </c>
      <c r="O17" s="15">
        <f t="shared" si="0"/>
        <v>41</v>
      </c>
      <c r="P17" s="15">
        <f t="shared" si="1"/>
        <v>146</v>
      </c>
      <c r="R17" s="1" t="s">
        <v>13</v>
      </c>
      <c r="S17" s="17">
        <f t="shared" ref="S17:AF17" si="9">SUM(C38:C41)</f>
        <v>271</v>
      </c>
      <c r="T17" s="17">
        <f t="shared" si="9"/>
        <v>35</v>
      </c>
      <c r="U17" s="17">
        <f t="shared" si="9"/>
        <v>24</v>
      </c>
      <c r="V17" s="17">
        <f t="shared" si="9"/>
        <v>56</v>
      </c>
      <c r="W17" s="17">
        <f t="shared" si="9"/>
        <v>1</v>
      </c>
      <c r="X17" s="17">
        <f t="shared" si="9"/>
        <v>1</v>
      </c>
      <c r="Y17" s="17">
        <f t="shared" si="9"/>
        <v>22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390</v>
      </c>
      <c r="AD17" s="17">
        <f t="shared" si="9"/>
        <v>0</v>
      </c>
      <c r="AE17" s="31">
        <f t="shared" si="9"/>
        <v>411</v>
      </c>
      <c r="AF17" s="31">
        <f t="shared" si="9"/>
        <v>801</v>
      </c>
    </row>
    <row r="18" spans="2:32" ht="23.1" customHeight="1" x14ac:dyDescent="0.25">
      <c r="B18" s="45" t="s">
        <v>45</v>
      </c>
      <c r="C18" s="50">
        <v>26</v>
      </c>
      <c r="D18" s="50">
        <v>6</v>
      </c>
      <c r="E18" s="50">
        <v>4</v>
      </c>
      <c r="F18" s="50">
        <v>16</v>
      </c>
      <c r="G18" s="50">
        <v>0</v>
      </c>
      <c r="H18" s="50">
        <v>0</v>
      </c>
      <c r="I18" s="50">
        <v>4</v>
      </c>
      <c r="J18" s="50">
        <v>1</v>
      </c>
      <c r="K18" s="50">
        <v>0</v>
      </c>
      <c r="L18" s="50">
        <v>0</v>
      </c>
      <c r="M18" s="50">
        <v>155</v>
      </c>
      <c r="N18" s="50">
        <v>0</v>
      </c>
      <c r="O18" s="15">
        <f t="shared" si="0"/>
        <v>57</v>
      </c>
      <c r="P18" s="15">
        <f t="shared" si="1"/>
        <v>212</v>
      </c>
      <c r="R18" s="1" t="s">
        <v>14</v>
      </c>
      <c r="S18" s="17">
        <f t="shared" ref="S18:AF18" si="10">SUM(C42:C45)</f>
        <v>292</v>
      </c>
      <c r="T18" s="17">
        <f t="shared" si="10"/>
        <v>52</v>
      </c>
      <c r="U18" s="17">
        <f t="shared" si="10"/>
        <v>38</v>
      </c>
      <c r="V18" s="17">
        <f t="shared" si="10"/>
        <v>52</v>
      </c>
      <c r="W18" s="17">
        <f t="shared" si="10"/>
        <v>2</v>
      </c>
      <c r="X18" s="17">
        <f t="shared" si="10"/>
        <v>0</v>
      </c>
      <c r="Y18" s="17">
        <f t="shared" si="10"/>
        <v>18</v>
      </c>
      <c r="Z18" s="17">
        <f t="shared" si="10"/>
        <v>3</v>
      </c>
      <c r="AA18" s="17">
        <f t="shared" si="10"/>
        <v>1</v>
      </c>
      <c r="AB18" s="17">
        <f t="shared" si="10"/>
        <v>0</v>
      </c>
      <c r="AC18" s="17">
        <f t="shared" si="10"/>
        <v>395</v>
      </c>
      <c r="AD18" s="17">
        <f t="shared" si="10"/>
        <v>0</v>
      </c>
      <c r="AE18" s="31">
        <f t="shared" si="10"/>
        <v>458</v>
      </c>
      <c r="AF18" s="31">
        <f t="shared" si="10"/>
        <v>853</v>
      </c>
    </row>
    <row r="19" spans="2:32" ht="23.1" customHeight="1" x14ac:dyDescent="0.25">
      <c r="B19" s="45" t="s">
        <v>46</v>
      </c>
      <c r="C19" s="50">
        <v>20</v>
      </c>
      <c r="D19" s="50">
        <v>5</v>
      </c>
      <c r="E19" s="50">
        <v>4</v>
      </c>
      <c r="F19" s="50">
        <v>15</v>
      </c>
      <c r="G19" s="50">
        <v>0</v>
      </c>
      <c r="H19" s="50">
        <v>0</v>
      </c>
      <c r="I19" s="50">
        <v>4</v>
      </c>
      <c r="J19" s="50">
        <v>2</v>
      </c>
      <c r="K19" s="50">
        <v>0</v>
      </c>
      <c r="L19" s="50">
        <v>0</v>
      </c>
      <c r="M19" s="50">
        <v>155</v>
      </c>
      <c r="N19" s="50">
        <v>0</v>
      </c>
      <c r="O19" s="15">
        <f t="shared" si="0"/>
        <v>50</v>
      </c>
      <c r="P19" s="15">
        <f t="shared" si="1"/>
        <v>205</v>
      </c>
      <c r="R19" s="1" t="s">
        <v>15</v>
      </c>
      <c r="S19" s="17">
        <f t="shared" ref="S19:AF19" si="11">SUM(C46:C49)</f>
        <v>341</v>
      </c>
      <c r="T19" s="17">
        <f t="shared" si="11"/>
        <v>66</v>
      </c>
      <c r="U19" s="17">
        <f t="shared" si="11"/>
        <v>54</v>
      </c>
      <c r="V19" s="17">
        <f t="shared" si="11"/>
        <v>61</v>
      </c>
      <c r="W19" s="17">
        <f t="shared" si="11"/>
        <v>2</v>
      </c>
      <c r="X19" s="17">
        <f t="shared" si="11"/>
        <v>0</v>
      </c>
      <c r="Y19" s="17">
        <f t="shared" si="11"/>
        <v>24</v>
      </c>
      <c r="Z19" s="17">
        <f t="shared" si="11"/>
        <v>6</v>
      </c>
      <c r="AA19" s="17">
        <f t="shared" si="11"/>
        <v>0</v>
      </c>
      <c r="AB19" s="17">
        <f t="shared" si="11"/>
        <v>0</v>
      </c>
      <c r="AC19" s="17">
        <f t="shared" si="11"/>
        <v>457</v>
      </c>
      <c r="AD19" s="17">
        <f t="shared" si="11"/>
        <v>0</v>
      </c>
      <c r="AE19" s="31">
        <f t="shared" si="11"/>
        <v>554</v>
      </c>
      <c r="AF19" s="31">
        <f t="shared" si="11"/>
        <v>1011</v>
      </c>
    </row>
    <row r="20" spans="2:32" ht="23.1" customHeight="1" x14ac:dyDescent="0.25">
      <c r="B20" s="45" t="s">
        <v>47</v>
      </c>
      <c r="C20" s="50">
        <v>48</v>
      </c>
      <c r="D20" s="50">
        <v>10</v>
      </c>
      <c r="E20" s="50">
        <v>10</v>
      </c>
      <c r="F20" s="50">
        <v>10</v>
      </c>
      <c r="G20" s="50">
        <v>0</v>
      </c>
      <c r="H20" s="50">
        <v>0</v>
      </c>
      <c r="I20" s="50">
        <v>7</v>
      </c>
      <c r="J20" s="50">
        <v>1</v>
      </c>
      <c r="K20" s="50">
        <v>0</v>
      </c>
      <c r="L20" s="50">
        <v>0</v>
      </c>
      <c r="M20" s="50">
        <v>150</v>
      </c>
      <c r="N20" s="50">
        <v>0</v>
      </c>
      <c r="O20" s="15">
        <f t="shared" si="0"/>
        <v>86</v>
      </c>
      <c r="P20" s="15">
        <f t="shared" si="1"/>
        <v>236</v>
      </c>
      <c r="R20" s="1" t="s">
        <v>16</v>
      </c>
      <c r="S20" s="17">
        <f t="shared" ref="S20:AF20" si="12">SUM(C50:C53)</f>
        <v>326</v>
      </c>
      <c r="T20" s="17">
        <f t="shared" si="12"/>
        <v>42</v>
      </c>
      <c r="U20" s="17">
        <f t="shared" si="12"/>
        <v>33</v>
      </c>
      <c r="V20" s="17">
        <f t="shared" si="12"/>
        <v>81</v>
      </c>
      <c r="W20" s="17">
        <f t="shared" si="12"/>
        <v>2</v>
      </c>
      <c r="X20" s="17">
        <f t="shared" si="12"/>
        <v>0</v>
      </c>
      <c r="Y20" s="17">
        <f t="shared" si="12"/>
        <v>19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390</v>
      </c>
      <c r="AD20" s="17">
        <f t="shared" si="12"/>
        <v>0</v>
      </c>
      <c r="AE20" s="31">
        <f t="shared" si="12"/>
        <v>505</v>
      </c>
      <c r="AF20" s="31">
        <f t="shared" si="12"/>
        <v>895</v>
      </c>
    </row>
    <row r="21" spans="2:32" ht="23.1" customHeight="1" x14ac:dyDescent="0.25">
      <c r="B21" s="45" t="s">
        <v>48</v>
      </c>
      <c r="C21" s="50">
        <v>19</v>
      </c>
      <c r="D21" s="50">
        <v>3</v>
      </c>
      <c r="E21" s="50">
        <v>9</v>
      </c>
      <c r="F21" s="50">
        <v>16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130</v>
      </c>
      <c r="N21" s="50">
        <v>0</v>
      </c>
      <c r="O21" s="15">
        <f t="shared" si="0"/>
        <v>49</v>
      </c>
      <c r="P21" s="15">
        <f t="shared" si="1"/>
        <v>179</v>
      </c>
      <c r="R21" s="36" t="s">
        <v>20</v>
      </c>
      <c r="S21" s="34">
        <f t="shared" ref="S21:AF21" si="13">SUM(C54:C57)</f>
        <v>316</v>
      </c>
      <c r="T21" s="17">
        <f t="shared" si="13"/>
        <v>50</v>
      </c>
      <c r="U21" s="17">
        <f t="shared" si="13"/>
        <v>34</v>
      </c>
      <c r="V21" s="17">
        <f t="shared" si="13"/>
        <v>88</v>
      </c>
      <c r="W21" s="17">
        <f t="shared" si="13"/>
        <v>1</v>
      </c>
      <c r="X21" s="17">
        <f t="shared" si="13"/>
        <v>0</v>
      </c>
      <c r="Y21" s="17">
        <f t="shared" si="13"/>
        <v>21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414</v>
      </c>
      <c r="AD21" s="17">
        <f t="shared" si="13"/>
        <v>0</v>
      </c>
      <c r="AE21" s="31">
        <f t="shared" si="13"/>
        <v>512</v>
      </c>
      <c r="AF21" s="31">
        <f t="shared" si="13"/>
        <v>926</v>
      </c>
    </row>
    <row r="22" spans="2:32" ht="23.1" customHeight="1" x14ac:dyDescent="0.25">
      <c r="B22" s="45" t="s">
        <v>49</v>
      </c>
      <c r="C22" s="50">
        <v>36</v>
      </c>
      <c r="D22" s="50">
        <v>7</v>
      </c>
      <c r="E22" s="50">
        <v>6</v>
      </c>
      <c r="F22" s="50">
        <v>13</v>
      </c>
      <c r="G22" s="50">
        <v>0</v>
      </c>
      <c r="H22" s="50">
        <v>0</v>
      </c>
      <c r="I22" s="50">
        <v>6</v>
      </c>
      <c r="J22" s="50">
        <v>0</v>
      </c>
      <c r="K22" s="50">
        <v>0</v>
      </c>
      <c r="L22" s="50">
        <v>0</v>
      </c>
      <c r="M22" s="50">
        <v>125</v>
      </c>
      <c r="N22" s="50">
        <v>0</v>
      </c>
      <c r="O22" s="15">
        <f t="shared" si="0"/>
        <v>68</v>
      </c>
      <c r="P22" s="15">
        <f t="shared" si="1"/>
        <v>193</v>
      </c>
      <c r="R22" s="36" t="s">
        <v>146</v>
      </c>
      <c r="S22" s="34">
        <f>SUM(C58:C61)</f>
        <v>469</v>
      </c>
      <c r="T22" s="34">
        <f t="shared" ref="T22:AF22" si="14">SUM(D58:D61)</f>
        <v>50</v>
      </c>
      <c r="U22" s="34">
        <f t="shared" si="14"/>
        <v>61</v>
      </c>
      <c r="V22" s="34">
        <f t="shared" si="14"/>
        <v>151</v>
      </c>
      <c r="W22" s="34">
        <f t="shared" si="14"/>
        <v>1</v>
      </c>
      <c r="X22" s="34">
        <f t="shared" si="14"/>
        <v>1</v>
      </c>
      <c r="Y22" s="34">
        <f t="shared" si="14"/>
        <v>34</v>
      </c>
      <c r="Z22" s="34">
        <f t="shared" si="14"/>
        <v>2</v>
      </c>
      <c r="AA22" s="34">
        <f t="shared" si="14"/>
        <v>2</v>
      </c>
      <c r="AB22" s="34">
        <f t="shared" si="14"/>
        <v>0</v>
      </c>
      <c r="AC22" s="34">
        <f t="shared" si="14"/>
        <v>706</v>
      </c>
      <c r="AD22" s="34">
        <f t="shared" si="14"/>
        <v>0</v>
      </c>
      <c r="AE22" s="31">
        <f t="shared" si="14"/>
        <v>771</v>
      </c>
      <c r="AF22" s="31">
        <f t="shared" si="14"/>
        <v>1477</v>
      </c>
    </row>
    <row r="23" spans="2:32" ht="23.1" customHeight="1" x14ac:dyDescent="0.25">
      <c r="B23" s="45" t="s">
        <v>50</v>
      </c>
      <c r="C23" s="50">
        <v>44</v>
      </c>
      <c r="D23" s="50">
        <v>8</v>
      </c>
      <c r="E23" s="50">
        <v>8</v>
      </c>
      <c r="F23" s="50">
        <v>14</v>
      </c>
      <c r="G23" s="50">
        <v>0</v>
      </c>
      <c r="H23" s="50">
        <v>0</v>
      </c>
      <c r="I23" s="50">
        <v>6</v>
      </c>
      <c r="J23" s="50">
        <v>0</v>
      </c>
      <c r="K23" s="50">
        <v>0</v>
      </c>
      <c r="L23" s="50">
        <v>0</v>
      </c>
      <c r="M23" s="50">
        <v>135</v>
      </c>
      <c r="N23" s="50">
        <v>0</v>
      </c>
      <c r="O23" s="15">
        <f t="shared" si="0"/>
        <v>80</v>
      </c>
      <c r="P23" s="15">
        <f t="shared" si="1"/>
        <v>215</v>
      </c>
      <c r="R23" s="36" t="s">
        <v>147</v>
      </c>
      <c r="S23" s="34">
        <f>SUM(C62:C65)</f>
        <v>509</v>
      </c>
      <c r="T23" s="34">
        <f t="shared" ref="T23:AF23" si="15">SUM(D62:D65)</f>
        <v>46</v>
      </c>
      <c r="U23" s="34">
        <f t="shared" si="15"/>
        <v>34</v>
      </c>
      <c r="V23" s="34">
        <f t="shared" si="15"/>
        <v>192</v>
      </c>
      <c r="W23" s="34">
        <f t="shared" si="15"/>
        <v>3</v>
      </c>
      <c r="X23" s="34">
        <f t="shared" si="15"/>
        <v>2</v>
      </c>
      <c r="Y23" s="34">
        <f t="shared" si="15"/>
        <v>24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680</v>
      </c>
      <c r="AD23" s="34">
        <f t="shared" si="15"/>
        <v>0</v>
      </c>
      <c r="AE23" s="31">
        <f t="shared" si="15"/>
        <v>812</v>
      </c>
      <c r="AF23" s="31">
        <f t="shared" si="15"/>
        <v>1492</v>
      </c>
    </row>
    <row r="24" spans="2:32" ht="23.1" customHeight="1" x14ac:dyDescent="0.25">
      <c r="B24" s="45" t="s">
        <v>51</v>
      </c>
      <c r="C24" s="50">
        <v>42</v>
      </c>
      <c r="D24" s="50">
        <v>12</v>
      </c>
      <c r="E24" s="50">
        <v>2</v>
      </c>
      <c r="F24" s="50">
        <v>9</v>
      </c>
      <c r="G24" s="50">
        <v>1</v>
      </c>
      <c r="H24" s="50">
        <v>0</v>
      </c>
      <c r="I24" s="50">
        <v>9</v>
      </c>
      <c r="J24" s="50">
        <v>2</v>
      </c>
      <c r="K24" s="50">
        <v>0</v>
      </c>
      <c r="L24" s="50">
        <v>0</v>
      </c>
      <c r="M24" s="50">
        <v>150</v>
      </c>
      <c r="N24" s="50">
        <v>0</v>
      </c>
      <c r="O24" s="15">
        <f t="shared" si="0"/>
        <v>77</v>
      </c>
      <c r="P24" s="15">
        <f t="shared" si="1"/>
        <v>227</v>
      </c>
      <c r="R24" s="36" t="s">
        <v>148</v>
      </c>
      <c r="S24" s="34">
        <f>SUM(C66:C69)</f>
        <v>467</v>
      </c>
      <c r="T24" s="34">
        <f t="shared" ref="T24:AF24" si="16">SUM(D66:D69)</f>
        <v>39</v>
      </c>
      <c r="U24" s="34">
        <f t="shared" si="16"/>
        <v>35</v>
      </c>
      <c r="V24" s="34">
        <f t="shared" si="16"/>
        <v>154</v>
      </c>
      <c r="W24" s="34">
        <f t="shared" si="16"/>
        <v>7</v>
      </c>
      <c r="X24" s="34">
        <f t="shared" si="16"/>
        <v>1</v>
      </c>
      <c r="Y24" s="34">
        <f t="shared" si="16"/>
        <v>18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508</v>
      </c>
      <c r="AD24" s="34">
        <f t="shared" si="16"/>
        <v>0</v>
      </c>
      <c r="AE24" s="31">
        <f t="shared" si="16"/>
        <v>721</v>
      </c>
      <c r="AF24" s="31">
        <f t="shared" si="16"/>
        <v>1229</v>
      </c>
    </row>
    <row r="25" spans="2:32" ht="23.1" customHeight="1" x14ac:dyDescent="0.25">
      <c r="B25" s="45" t="s">
        <v>52</v>
      </c>
      <c r="C25" s="50">
        <v>50</v>
      </c>
      <c r="D25" s="50">
        <v>6</v>
      </c>
      <c r="E25" s="50">
        <v>9</v>
      </c>
      <c r="F25" s="50">
        <v>12</v>
      </c>
      <c r="G25" s="50">
        <v>0</v>
      </c>
      <c r="H25" s="50">
        <v>0</v>
      </c>
      <c r="I25" s="50">
        <v>8</v>
      </c>
      <c r="J25" s="50">
        <v>2</v>
      </c>
      <c r="K25" s="50">
        <v>0</v>
      </c>
      <c r="L25" s="50">
        <v>0</v>
      </c>
      <c r="M25" s="50">
        <v>110</v>
      </c>
      <c r="N25" s="50">
        <v>0</v>
      </c>
      <c r="O25" s="15">
        <f t="shared" si="0"/>
        <v>87</v>
      </c>
      <c r="P25" s="15">
        <f t="shared" si="1"/>
        <v>197</v>
      </c>
      <c r="R25" s="36" t="s">
        <v>149</v>
      </c>
      <c r="S25" s="34">
        <f>SUM(C70:C73)</f>
        <v>274</v>
      </c>
      <c r="T25" s="34">
        <f t="shared" ref="T25:AF25" si="17">SUM(D70:D73)</f>
        <v>21</v>
      </c>
      <c r="U25" s="34">
        <f t="shared" si="17"/>
        <v>19</v>
      </c>
      <c r="V25" s="34">
        <f t="shared" si="17"/>
        <v>48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252</v>
      </c>
      <c r="AD25" s="34">
        <f t="shared" si="17"/>
        <v>0</v>
      </c>
      <c r="AE25" s="31">
        <f t="shared" si="17"/>
        <v>367</v>
      </c>
      <c r="AF25" s="31">
        <f t="shared" si="17"/>
        <v>619</v>
      </c>
    </row>
    <row r="26" spans="2:32" ht="23.1" customHeight="1" x14ac:dyDescent="0.25">
      <c r="B26" s="45" t="s">
        <v>53</v>
      </c>
      <c r="C26" s="50">
        <v>48</v>
      </c>
      <c r="D26" s="50">
        <v>10</v>
      </c>
      <c r="E26" s="50">
        <v>15</v>
      </c>
      <c r="F26" s="50">
        <v>27</v>
      </c>
      <c r="G26" s="50">
        <v>0</v>
      </c>
      <c r="H26" s="50">
        <v>0</v>
      </c>
      <c r="I26" s="50">
        <v>6</v>
      </c>
      <c r="J26" s="50">
        <v>1</v>
      </c>
      <c r="K26" s="50">
        <v>0</v>
      </c>
      <c r="L26" s="50">
        <v>0</v>
      </c>
      <c r="M26" s="50">
        <v>125</v>
      </c>
      <c r="N26" s="50">
        <v>0</v>
      </c>
      <c r="O26" s="15">
        <f t="shared" si="0"/>
        <v>107</v>
      </c>
      <c r="P26" s="15">
        <f t="shared" si="1"/>
        <v>232</v>
      </c>
      <c r="R26" s="36" t="s">
        <v>150</v>
      </c>
      <c r="S26" s="34">
        <f>SUM(C74:C77)</f>
        <v>187</v>
      </c>
      <c r="T26" s="34">
        <f t="shared" ref="T26:AF26" si="18">SUM(D74:D77)</f>
        <v>14</v>
      </c>
      <c r="U26" s="34">
        <f t="shared" si="18"/>
        <v>12</v>
      </c>
      <c r="V26" s="34">
        <f t="shared" si="18"/>
        <v>16</v>
      </c>
      <c r="W26" s="34">
        <f t="shared" si="18"/>
        <v>0</v>
      </c>
      <c r="X26" s="34">
        <f t="shared" si="18"/>
        <v>0</v>
      </c>
      <c r="Y26" s="34">
        <f t="shared" si="18"/>
        <v>7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220</v>
      </c>
      <c r="AD26" s="34">
        <f t="shared" si="18"/>
        <v>0</v>
      </c>
      <c r="AE26" s="31">
        <f t="shared" si="18"/>
        <v>236</v>
      </c>
      <c r="AF26" s="31">
        <f t="shared" si="18"/>
        <v>456</v>
      </c>
    </row>
    <row r="27" spans="2:32" ht="23.1" customHeight="1" x14ac:dyDescent="0.25">
      <c r="B27" s="45" t="s">
        <v>54</v>
      </c>
      <c r="C27" s="50">
        <v>51</v>
      </c>
      <c r="D27" s="50">
        <v>11</v>
      </c>
      <c r="E27" s="50">
        <v>10</v>
      </c>
      <c r="F27" s="50">
        <v>14</v>
      </c>
      <c r="G27" s="50">
        <v>0</v>
      </c>
      <c r="H27" s="50">
        <v>0</v>
      </c>
      <c r="I27" s="50">
        <v>5</v>
      </c>
      <c r="J27" s="50">
        <v>0</v>
      </c>
      <c r="K27" s="50">
        <v>0</v>
      </c>
      <c r="L27" s="50">
        <v>0</v>
      </c>
      <c r="M27" s="50">
        <v>110</v>
      </c>
      <c r="N27" s="50">
        <v>0</v>
      </c>
      <c r="O27" s="15">
        <f t="shared" si="0"/>
        <v>91</v>
      </c>
      <c r="P27" s="15">
        <f t="shared" si="1"/>
        <v>201</v>
      </c>
      <c r="R27" s="36" t="s">
        <v>151</v>
      </c>
      <c r="S27" s="34">
        <f>SUM(C78:C81)</f>
        <v>112</v>
      </c>
      <c r="T27" s="34">
        <f t="shared" ref="T27:AF27" si="19">SUM(D78:D81)</f>
        <v>7</v>
      </c>
      <c r="U27" s="34">
        <f t="shared" si="19"/>
        <v>4</v>
      </c>
      <c r="V27" s="34">
        <f t="shared" si="19"/>
        <v>4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122</v>
      </c>
      <c r="AD27" s="34">
        <f t="shared" si="19"/>
        <v>0</v>
      </c>
      <c r="AE27" s="31">
        <f t="shared" si="19"/>
        <v>129</v>
      </c>
      <c r="AF27" s="31">
        <f t="shared" si="19"/>
        <v>251</v>
      </c>
    </row>
    <row r="28" spans="2:32" ht="23.1" customHeight="1" x14ac:dyDescent="0.25">
      <c r="B28" s="45" t="s">
        <v>55</v>
      </c>
      <c r="C28" s="50">
        <v>57</v>
      </c>
      <c r="D28" s="50">
        <v>8</v>
      </c>
      <c r="E28" s="50">
        <v>10</v>
      </c>
      <c r="F28" s="50">
        <v>17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0</v>
      </c>
      <c r="M28" s="50">
        <v>170</v>
      </c>
      <c r="N28" s="50">
        <v>0</v>
      </c>
      <c r="O28" s="15">
        <f t="shared" si="0"/>
        <v>96</v>
      </c>
      <c r="P28" s="15">
        <f t="shared" si="1"/>
        <v>266</v>
      </c>
      <c r="R28" s="36" t="s">
        <v>152</v>
      </c>
      <c r="S28" s="34">
        <f>SUM(C82:C85)</f>
        <v>114</v>
      </c>
      <c r="T28" s="34">
        <f t="shared" ref="T28:AF28" si="20">SUM(D82:D85)</f>
        <v>5</v>
      </c>
      <c r="U28" s="34">
        <f t="shared" si="20"/>
        <v>8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133</v>
      </c>
      <c r="AD28" s="34">
        <f t="shared" si="20"/>
        <v>0</v>
      </c>
      <c r="AE28" s="31">
        <f t="shared" si="20"/>
        <v>130</v>
      </c>
      <c r="AF28" s="31">
        <f t="shared" si="20"/>
        <v>263</v>
      </c>
    </row>
    <row r="29" spans="2:32" ht="23.1" customHeight="1" x14ac:dyDescent="0.25">
      <c r="B29" s="45" t="s">
        <v>56</v>
      </c>
      <c r="C29" s="50">
        <v>85</v>
      </c>
      <c r="D29" s="50">
        <v>10</v>
      </c>
      <c r="E29" s="50">
        <v>16</v>
      </c>
      <c r="F29" s="50">
        <v>13</v>
      </c>
      <c r="G29" s="50">
        <v>0</v>
      </c>
      <c r="H29" s="50">
        <v>0</v>
      </c>
      <c r="I29" s="50">
        <v>7</v>
      </c>
      <c r="J29" s="50">
        <v>1</v>
      </c>
      <c r="K29" s="50">
        <v>0</v>
      </c>
      <c r="L29" s="50">
        <v>0</v>
      </c>
      <c r="M29" s="50">
        <v>90</v>
      </c>
      <c r="N29" s="50">
        <v>0</v>
      </c>
      <c r="O29" s="15">
        <f t="shared" si="0"/>
        <v>132</v>
      </c>
      <c r="P29" s="15">
        <f t="shared" si="1"/>
        <v>222</v>
      </c>
      <c r="R29" s="36" t="s">
        <v>153</v>
      </c>
      <c r="S29" s="34">
        <f>SUM(C86:C89)</f>
        <v>72</v>
      </c>
      <c r="T29" s="34">
        <f t="shared" ref="T29:AF29" si="21">SUM(D86:D89)</f>
        <v>3</v>
      </c>
      <c r="U29" s="34">
        <f t="shared" si="21"/>
        <v>3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108</v>
      </c>
      <c r="AD29" s="34">
        <f t="shared" si="21"/>
        <v>0</v>
      </c>
      <c r="AE29" s="31">
        <f t="shared" si="21"/>
        <v>80</v>
      </c>
      <c r="AF29" s="31">
        <f t="shared" si="21"/>
        <v>188</v>
      </c>
    </row>
    <row r="30" spans="2:32" ht="23.1" customHeight="1" x14ac:dyDescent="0.25">
      <c r="B30" s="45" t="s">
        <v>57</v>
      </c>
      <c r="C30" s="50">
        <v>51</v>
      </c>
      <c r="D30" s="50">
        <v>7</v>
      </c>
      <c r="E30" s="50">
        <v>11</v>
      </c>
      <c r="F30" s="50">
        <v>19</v>
      </c>
      <c r="G30" s="50">
        <v>0</v>
      </c>
      <c r="H30" s="50">
        <v>0</v>
      </c>
      <c r="I30" s="50">
        <v>8</v>
      </c>
      <c r="J30" s="50">
        <v>0</v>
      </c>
      <c r="K30" s="50">
        <v>0</v>
      </c>
      <c r="L30" s="50">
        <v>0</v>
      </c>
      <c r="M30" s="50">
        <v>116</v>
      </c>
      <c r="N30" s="50">
        <v>0</v>
      </c>
      <c r="O30" s="15">
        <f t="shared" si="0"/>
        <v>96</v>
      </c>
      <c r="P30" s="15">
        <f t="shared" si="1"/>
        <v>212</v>
      </c>
      <c r="R30" s="36" t="s">
        <v>154</v>
      </c>
      <c r="S30" s="34">
        <f>SUM(C90:C93)</f>
        <v>47</v>
      </c>
      <c r="T30" s="34">
        <f t="shared" ref="T30:AF30" si="22">SUM(D90:D93)</f>
        <v>5</v>
      </c>
      <c r="U30" s="34">
        <f t="shared" si="22"/>
        <v>3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1</v>
      </c>
      <c r="AB30" s="34">
        <f t="shared" si="22"/>
        <v>0</v>
      </c>
      <c r="AC30" s="34">
        <f t="shared" si="22"/>
        <v>65</v>
      </c>
      <c r="AD30" s="34">
        <f t="shared" si="22"/>
        <v>0</v>
      </c>
      <c r="AE30" s="31">
        <f t="shared" si="22"/>
        <v>58</v>
      </c>
      <c r="AF30" s="31">
        <f t="shared" si="22"/>
        <v>123</v>
      </c>
    </row>
    <row r="31" spans="2:32" ht="23.1" customHeight="1" x14ac:dyDescent="0.25">
      <c r="B31" s="46" t="s">
        <v>58</v>
      </c>
      <c r="C31" s="50">
        <v>70</v>
      </c>
      <c r="D31" s="50">
        <v>8</v>
      </c>
      <c r="E31" s="50">
        <v>18</v>
      </c>
      <c r="F31" s="50">
        <v>18</v>
      </c>
      <c r="G31" s="50">
        <v>1</v>
      </c>
      <c r="H31" s="50">
        <v>0</v>
      </c>
      <c r="I31" s="50">
        <v>9</v>
      </c>
      <c r="J31" s="50">
        <v>0</v>
      </c>
      <c r="K31" s="50">
        <v>0</v>
      </c>
      <c r="L31" s="50">
        <v>0</v>
      </c>
      <c r="M31" s="50">
        <v>130</v>
      </c>
      <c r="N31" s="50">
        <v>0</v>
      </c>
      <c r="O31" s="15">
        <f t="shared" si="0"/>
        <v>124</v>
      </c>
      <c r="P31" s="15">
        <f t="shared" si="1"/>
        <v>254</v>
      </c>
      <c r="R31" s="36" t="s">
        <v>155</v>
      </c>
      <c r="S31" s="34">
        <f>SUM(C94:C97)</f>
        <v>38</v>
      </c>
      <c r="T31" s="34">
        <f t="shared" ref="T31:AF31" si="23">SUM(D94:D97)</f>
        <v>3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43</v>
      </c>
      <c r="AD31" s="34">
        <f t="shared" si="23"/>
        <v>0</v>
      </c>
      <c r="AE31" s="31">
        <f t="shared" si="23"/>
        <v>41</v>
      </c>
      <c r="AF31" s="31">
        <f t="shared" si="23"/>
        <v>84</v>
      </c>
    </row>
    <row r="32" spans="2:32" ht="23.1" customHeight="1" x14ac:dyDescent="0.25">
      <c r="B32" s="46" t="s">
        <v>59</v>
      </c>
      <c r="C32" s="50">
        <v>52</v>
      </c>
      <c r="D32" s="50">
        <v>12</v>
      </c>
      <c r="E32" s="50">
        <v>12</v>
      </c>
      <c r="F32" s="50">
        <v>21</v>
      </c>
      <c r="G32" s="50">
        <v>0</v>
      </c>
      <c r="H32" s="50">
        <v>0</v>
      </c>
      <c r="I32" s="50">
        <v>5</v>
      </c>
      <c r="J32" s="50">
        <v>1</v>
      </c>
      <c r="K32" s="50">
        <v>0</v>
      </c>
      <c r="L32" s="50">
        <v>0</v>
      </c>
      <c r="M32" s="50">
        <v>131</v>
      </c>
      <c r="N32" s="50">
        <v>0</v>
      </c>
      <c r="O32" s="15">
        <f t="shared" si="0"/>
        <v>103</v>
      </c>
      <c r="P32" s="15">
        <f t="shared" si="1"/>
        <v>234</v>
      </c>
      <c r="R32" s="33" t="s">
        <v>156</v>
      </c>
      <c r="S32" s="34">
        <f>SUM(C98:C101)</f>
        <v>28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4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2</v>
      </c>
      <c r="AA32" s="34">
        <f t="shared" si="24"/>
        <v>0</v>
      </c>
      <c r="AB32" s="34">
        <f t="shared" si="24"/>
        <v>0</v>
      </c>
      <c r="AC32" s="34">
        <f t="shared" si="24"/>
        <v>55</v>
      </c>
      <c r="AD32" s="34">
        <f t="shared" si="24"/>
        <v>0</v>
      </c>
      <c r="AE32" s="31">
        <f t="shared" si="24"/>
        <v>36</v>
      </c>
      <c r="AF32" s="31">
        <f t="shared" si="24"/>
        <v>91</v>
      </c>
    </row>
    <row r="33" spans="2:32" ht="23.1" customHeight="1" x14ac:dyDescent="0.25">
      <c r="B33" s="45" t="s">
        <v>60</v>
      </c>
      <c r="C33" s="50">
        <v>68</v>
      </c>
      <c r="D33" s="50">
        <v>8</v>
      </c>
      <c r="E33" s="50">
        <v>9</v>
      </c>
      <c r="F33" s="50">
        <v>11</v>
      </c>
      <c r="G33" s="50">
        <v>0</v>
      </c>
      <c r="H33" s="50">
        <v>0</v>
      </c>
      <c r="I33" s="50">
        <v>10</v>
      </c>
      <c r="J33" s="50">
        <v>2</v>
      </c>
      <c r="K33" s="50">
        <v>0</v>
      </c>
      <c r="L33" s="50">
        <v>0</v>
      </c>
      <c r="M33" s="50">
        <v>107</v>
      </c>
      <c r="N33" s="50">
        <v>0</v>
      </c>
      <c r="O33" s="15">
        <f t="shared" si="0"/>
        <v>108</v>
      </c>
      <c r="P33" s="15">
        <f t="shared" si="1"/>
        <v>215</v>
      </c>
      <c r="R33" s="33" t="s">
        <v>157</v>
      </c>
      <c r="S33" s="34">
        <f>SUM(C102:C105)</f>
        <v>35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4</v>
      </c>
      <c r="W33" s="34">
        <f t="shared" si="25"/>
        <v>0</v>
      </c>
      <c r="X33" s="34">
        <f t="shared" si="25"/>
        <v>0</v>
      </c>
      <c r="Y33" s="34">
        <f t="shared" si="25"/>
        <v>4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148</v>
      </c>
      <c r="AD33" s="34">
        <f t="shared" si="25"/>
        <v>0</v>
      </c>
      <c r="AE33" s="31">
        <f t="shared" si="25"/>
        <v>45</v>
      </c>
      <c r="AF33" s="31">
        <f t="shared" si="25"/>
        <v>193</v>
      </c>
    </row>
    <row r="34" spans="2:32" ht="23.1" customHeight="1" x14ac:dyDescent="0.25">
      <c r="B34" s="46" t="s">
        <v>61</v>
      </c>
      <c r="C34" s="50">
        <v>82</v>
      </c>
      <c r="D34" s="50">
        <v>5</v>
      </c>
      <c r="E34" s="50">
        <v>12</v>
      </c>
      <c r="F34" s="50">
        <v>19</v>
      </c>
      <c r="G34" s="50">
        <v>0</v>
      </c>
      <c r="H34" s="50">
        <v>0</v>
      </c>
      <c r="I34" s="50">
        <v>10</v>
      </c>
      <c r="J34" s="50">
        <v>0</v>
      </c>
      <c r="K34" s="50">
        <v>0</v>
      </c>
      <c r="L34" s="50">
        <v>0</v>
      </c>
      <c r="M34" s="50">
        <v>129</v>
      </c>
      <c r="N34" s="50">
        <v>0</v>
      </c>
      <c r="O34" s="15">
        <f t="shared" si="0"/>
        <v>128</v>
      </c>
      <c r="P34" s="15">
        <f t="shared" si="1"/>
        <v>257</v>
      </c>
      <c r="R34" s="38" t="s">
        <v>90</v>
      </c>
      <c r="S34" s="39">
        <f t="shared" ref="S34:AF34" si="26">MAX(S10:S12)</f>
        <v>113</v>
      </c>
      <c r="T34" s="39">
        <f t="shared" si="26"/>
        <v>24</v>
      </c>
      <c r="U34" s="39">
        <f t="shared" si="26"/>
        <v>27</v>
      </c>
      <c r="V34" s="39">
        <f t="shared" si="26"/>
        <v>57</v>
      </c>
      <c r="W34" s="39">
        <f t="shared" si="26"/>
        <v>0</v>
      </c>
      <c r="X34" s="39">
        <f t="shared" si="26"/>
        <v>0</v>
      </c>
      <c r="Y34" s="39">
        <f t="shared" si="26"/>
        <v>17</v>
      </c>
      <c r="Z34" s="39">
        <f t="shared" si="26"/>
        <v>5</v>
      </c>
      <c r="AA34" s="39">
        <f t="shared" si="26"/>
        <v>1</v>
      </c>
      <c r="AB34" s="39">
        <f t="shared" si="26"/>
        <v>0</v>
      </c>
      <c r="AC34" s="39">
        <f t="shared" si="26"/>
        <v>590</v>
      </c>
      <c r="AD34" s="39">
        <f t="shared" si="26"/>
        <v>0</v>
      </c>
      <c r="AE34" s="40">
        <f t="shared" si="26"/>
        <v>242</v>
      </c>
      <c r="AF34" s="40">
        <f t="shared" si="26"/>
        <v>832</v>
      </c>
    </row>
    <row r="35" spans="2:32" ht="23.1" customHeight="1" x14ac:dyDescent="0.25">
      <c r="B35" s="46" t="s">
        <v>62</v>
      </c>
      <c r="C35" s="50">
        <v>84</v>
      </c>
      <c r="D35" s="50">
        <v>10</v>
      </c>
      <c r="E35" s="50">
        <v>7</v>
      </c>
      <c r="F35" s="50">
        <v>7</v>
      </c>
      <c r="G35" s="50">
        <v>0</v>
      </c>
      <c r="H35" s="50">
        <v>0</v>
      </c>
      <c r="I35" s="50">
        <v>9</v>
      </c>
      <c r="J35" s="50">
        <v>1</v>
      </c>
      <c r="K35" s="50">
        <v>0</v>
      </c>
      <c r="L35" s="50">
        <v>0</v>
      </c>
      <c r="M35" s="50">
        <v>150</v>
      </c>
      <c r="N35" s="50">
        <v>0</v>
      </c>
      <c r="O35" s="15">
        <f t="shared" si="0"/>
        <v>118</v>
      </c>
      <c r="P35" s="15">
        <f t="shared" si="1"/>
        <v>268</v>
      </c>
      <c r="R35" s="38" t="s">
        <v>91</v>
      </c>
      <c r="S35" s="39">
        <f t="shared" ref="S35:AF35" si="27">MAX(S13:S18)</f>
        <v>322</v>
      </c>
      <c r="T35" s="39">
        <f t="shared" si="27"/>
        <v>52</v>
      </c>
      <c r="U35" s="39">
        <f t="shared" si="27"/>
        <v>51</v>
      </c>
      <c r="V35" s="39">
        <f t="shared" si="27"/>
        <v>71</v>
      </c>
      <c r="W35" s="39">
        <f t="shared" si="27"/>
        <v>2</v>
      </c>
      <c r="X35" s="39">
        <f t="shared" si="27"/>
        <v>1</v>
      </c>
      <c r="Y35" s="39">
        <f t="shared" si="27"/>
        <v>32</v>
      </c>
      <c r="Z35" s="39">
        <f t="shared" si="27"/>
        <v>4</v>
      </c>
      <c r="AA35" s="39">
        <f t="shared" si="27"/>
        <v>1</v>
      </c>
      <c r="AB35" s="39">
        <f t="shared" si="27"/>
        <v>0</v>
      </c>
      <c r="AC35" s="39">
        <f t="shared" si="27"/>
        <v>520</v>
      </c>
      <c r="AD35" s="39">
        <f t="shared" si="27"/>
        <v>0</v>
      </c>
      <c r="AE35" s="40">
        <f t="shared" si="27"/>
        <v>498</v>
      </c>
      <c r="AF35" s="40">
        <f t="shared" si="27"/>
        <v>991</v>
      </c>
    </row>
    <row r="36" spans="2:32" ht="23.1" customHeight="1" x14ac:dyDescent="0.25">
      <c r="B36" s="46" t="s">
        <v>63</v>
      </c>
      <c r="C36" s="50">
        <v>68</v>
      </c>
      <c r="D36" s="50">
        <v>11</v>
      </c>
      <c r="E36" s="50">
        <v>12</v>
      </c>
      <c r="F36" s="50">
        <v>20</v>
      </c>
      <c r="G36" s="50">
        <v>1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105</v>
      </c>
      <c r="N36" s="50">
        <v>0</v>
      </c>
      <c r="O36" s="15">
        <f t="shared" si="0"/>
        <v>117</v>
      </c>
      <c r="P36" s="15">
        <f t="shared" si="1"/>
        <v>222</v>
      </c>
      <c r="R36" s="38" t="s">
        <v>92</v>
      </c>
      <c r="S36" s="39">
        <f t="shared" ref="S36:AF36" si="28">MAX(S19:S21)</f>
        <v>341</v>
      </c>
      <c r="T36" s="39">
        <f t="shared" si="28"/>
        <v>66</v>
      </c>
      <c r="U36" s="39">
        <f t="shared" si="28"/>
        <v>54</v>
      </c>
      <c r="V36" s="39">
        <f t="shared" si="28"/>
        <v>88</v>
      </c>
      <c r="W36" s="39">
        <f t="shared" si="28"/>
        <v>2</v>
      </c>
      <c r="X36" s="39">
        <f t="shared" si="28"/>
        <v>0</v>
      </c>
      <c r="Y36" s="39">
        <f t="shared" si="28"/>
        <v>24</v>
      </c>
      <c r="Z36" s="39">
        <f t="shared" si="28"/>
        <v>6</v>
      </c>
      <c r="AA36" s="39">
        <f t="shared" si="28"/>
        <v>0</v>
      </c>
      <c r="AB36" s="39">
        <f t="shared" si="28"/>
        <v>0</v>
      </c>
      <c r="AC36" s="39">
        <f t="shared" si="28"/>
        <v>457</v>
      </c>
      <c r="AD36" s="39">
        <f t="shared" si="28"/>
        <v>0</v>
      </c>
      <c r="AE36" s="40">
        <f t="shared" si="28"/>
        <v>554</v>
      </c>
      <c r="AF36" s="40">
        <f t="shared" si="28"/>
        <v>1011</v>
      </c>
    </row>
    <row r="37" spans="2:32" ht="23.1" customHeight="1" x14ac:dyDescent="0.25">
      <c r="B37" s="45" t="s">
        <v>64</v>
      </c>
      <c r="C37" s="50">
        <v>88</v>
      </c>
      <c r="D37" s="50">
        <v>15</v>
      </c>
      <c r="E37" s="50">
        <v>15</v>
      </c>
      <c r="F37" s="50">
        <v>12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109</v>
      </c>
      <c r="N37" s="50">
        <v>0</v>
      </c>
      <c r="O37" s="15">
        <f t="shared" si="0"/>
        <v>135</v>
      </c>
      <c r="P37" s="15">
        <f t="shared" si="1"/>
        <v>244</v>
      </c>
      <c r="R37" s="37" t="s">
        <v>85</v>
      </c>
      <c r="S37" s="35">
        <f t="shared" ref="S37:AF37" si="29">SUM(S10:S12)</f>
        <v>268</v>
      </c>
      <c r="T37" s="16">
        <f t="shared" si="29"/>
        <v>55</v>
      </c>
      <c r="U37" s="16">
        <f t="shared" si="29"/>
        <v>49</v>
      </c>
      <c r="V37" s="16">
        <f t="shared" si="29"/>
        <v>142</v>
      </c>
      <c r="W37" s="16">
        <f t="shared" si="29"/>
        <v>0</v>
      </c>
      <c r="X37" s="16">
        <f t="shared" si="29"/>
        <v>0</v>
      </c>
      <c r="Y37" s="16">
        <f t="shared" si="29"/>
        <v>27</v>
      </c>
      <c r="Z37" s="16">
        <f t="shared" si="29"/>
        <v>9</v>
      </c>
      <c r="AA37" s="16">
        <f t="shared" si="29"/>
        <v>1</v>
      </c>
      <c r="AB37" s="16">
        <f t="shared" si="29"/>
        <v>0</v>
      </c>
      <c r="AC37" s="16">
        <f t="shared" si="29"/>
        <v>1256</v>
      </c>
      <c r="AD37" s="16">
        <f t="shared" si="29"/>
        <v>0</v>
      </c>
      <c r="AE37" s="32">
        <f t="shared" si="29"/>
        <v>551</v>
      </c>
      <c r="AF37" s="32">
        <f t="shared" si="29"/>
        <v>1807</v>
      </c>
    </row>
    <row r="38" spans="2:32" ht="23.1" customHeight="1" x14ac:dyDescent="0.25">
      <c r="B38" s="46" t="s">
        <v>65</v>
      </c>
      <c r="C38" s="50">
        <v>75</v>
      </c>
      <c r="D38" s="50">
        <v>8</v>
      </c>
      <c r="E38" s="50">
        <v>7</v>
      </c>
      <c r="F38" s="50">
        <v>15</v>
      </c>
      <c r="G38" s="50">
        <v>1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120</v>
      </c>
      <c r="N38" s="50">
        <v>0</v>
      </c>
      <c r="O38" s="15">
        <f t="shared" si="0"/>
        <v>109</v>
      </c>
      <c r="P38" s="15">
        <f t="shared" si="1"/>
        <v>229</v>
      </c>
      <c r="R38" s="28" t="s">
        <v>86</v>
      </c>
      <c r="S38" s="16">
        <f t="shared" ref="S38:AF38" si="30">SUM(S13:S18)</f>
        <v>1539</v>
      </c>
      <c r="T38" s="16">
        <f t="shared" si="30"/>
        <v>235</v>
      </c>
      <c r="U38" s="16">
        <f t="shared" si="30"/>
        <v>234</v>
      </c>
      <c r="V38" s="16">
        <f t="shared" si="30"/>
        <v>354</v>
      </c>
      <c r="W38" s="16">
        <f t="shared" si="30"/>
        <v>6</v>
      </c>
      <c r="X38" s="16">
        <f t="shared" si="30"/>
        <v>1</v>
      </c>
      <c r="Y38" s="16">
        <f t="shared" si="30"/>
        <v>152</v>
      </c>
      <c r="Z38" s="16">
        <f t="shared" si="30"/>
        <v>14</v>
      </c>
      <c r="AA38" s="16">
        <f t="shared" si="30"/>
        <v>1</v>
      </c>
      <c r="AB38" s="16">
        <f t="shared" si="30"/>
        <v>0</v>
      </c>
      <c r="AC38" s="16">
        <f t="shared" si="30"/>
        <v>2777</v>
      </c>
      <c r="AD38" s="16">
        <f t="shared" si="30"/>
        <v>0</v>
      </c>
      <c r="AE38" s="32">
        <f t="shared" si="30"/>
        <v>2536</v>
      </c>
      <c r="AF38" s="32">
        <f t="shared" si="30"/>
        <v>5313</v>
      </c>
    </row>
    <row r="39" spans="2:32" ht="23.1" customHeight="1" x14ac:dyDescent="0.25">
      <c r="B39" s="46" t="s">
        <v>66</v>
      </c>
      <c r="C39" s="50">
        <v>79</v>
      </c>
      <c r="D39" s="50">
        <v>6</v>
      </c>
      <c r="E39" s="50">
        <v>4</v>
      </c>
      <c r="F39" s="50">
        <v>11</v>
      </c>
      <c r="G39" s="50">
        <v>0</v>
      </c>
      <c r="H39" s="50">
        <v>0</v>
      </c>
      <c r="I39" s="50">
        <v>5</v>
      </c>
      <c r="J39" s="50">
        <v>0</v>
      </c>
      <c r="K39" s="50">
        <v>0</v>
      </c>
      <c r="L39" s="50">
        <v>0</v>
      </c>
      <c r="M39" s="50">
        <v>88</v>
      </c>
      <c r="N39" s="50">
        <v>0</v>
      </c>
      <c r="O39" s="15">
        <f t="shared" si="0"/>
        <v>105</v>
      </c>
      <c r="P39" s="15">
        <f t="shared" si="1"/>
        <v>193</v>
      </c>
      <c r="R39" s="29" t="s">
        <v>87</v>
      </c>
      <c r="S39" s="16">
        <f t="shared" ref="S39:AF39" si="31">SUM(S19:S21)</f>
        <v>983</v>
      </c>
      <c r="T39" s="16">
        <f t="shared" si="31"/>
        <v>158</v>
      </c>
      <c r="U39" s="16">
        <f t="shared" si="31"/>
        <v>121</v>
      </c>
      <c r="V39" s="16">
        <f t="shared" si="31"/>
        <v>230</v>
      </c>
      <c r="W39" s="16">
        <f t="shared" si="31"/>
        <v>5</v>
      </c>
      <c r="X39" s="16">
        <f t="shared" si="31"/>
        <v>0</v>
      </c>
      <c r="Y39" s="16">
        <f t="shared" si="31"/>
        <v>64</v>
      </c>
      <c r="Z39" s="16">
        <f t="shared" si="31"/>
        <v>10</v>
      </c>
      <c r="AA39" s="16">
        <f t="shared" si="31"/>
        <v>0</v>
      </c>
      <c r="AB39" s="16">
        <f t="shared" si="31"/>
        <v>0</v>
      </c>
      <c r="AC39" s="16">
        <f t="shared" si="31"/>
        <v>1261</v>
      </c>
      <c r="AD39" s="16">
        <f t="shared" si="31"/>
        <v>0</v>
      </c>
      <c r="AE39" s="32">
        <f t="shared" si="31"/>
        <v>1571</v>
      </c>
      <c r="AF39" s="32">
        <f t="shared" si="31"/>
        <v>2832</v>
      </c>
    </row>
    <row r="40" spans="2:32" ht="23.1" customHeight="1" x14ac:dyDescent="0.25">
      <c r="B40" s="46" t="s">
        <v>67</v>
      </c>
      <c r="C40" s="50">
        <v>52</v>
      </c>
      <c r="D40" s="50">
        <v>7</v>
      </c>
      <c r="E40" s="50">
        <v>6</v>
      </c>
      <c r="F40" s="50">
        <v>12</v>
      </c>
      <c r="G40" s="50">
        <v>0</v>
      </c>
      <c r="H40" s="50">
        <v>1</v>
      </c>
      <c r="I40" s="50">
        <v>4</v>
      </c>
      <c r="J40" s="50">
        <v>1</v>
      </c>
      <c r="K40" s="50">
        <v>0</v>
      </c>
      <c r="L40" s="50">
        <v>0</v>
      </c>
      <c r="M40" s="50">
        <v>78</v>
      </c>
      <c r="N40" s="50">
        <v>0</v>
      </c>
      <c r="O40" s="15">
        <f t="shared" si="0"/>
        <v>83</v>
      </c>
      <c r="P40" s="15">
        <f t="shared" si="1"/>
        <v>161</v>
      </c>
      <c r="R40" s="5" t="s">
        <v>17</v>
      </c>
      <c r="S40" s="16">
        <f t="shared" ref="S40:AF40" si="32">SUM(S10:S21)</f>
        <v>2790</v>
      </c>
      <c r="T40" s="16">
        <f t="shared" si="32"/>
        <v>448</v>
      </c>
      <c r="U40" s="16">
        <f t="shared" si="32"/>
        <v>404</v>
      </c>
      <c r="V40" s="16">
        <f t="shared" si="32"/>
        <v>726</v>
      </c>
      <c r="W40" s="16">
        <f t="shared" si="32"/>
        <v>11</v>
      </c>
      <c r="X40" s="16">
        <f t="shared" si="32"/>
        <v>1</v>
      </c>
      <c r="Y40" s="16">
        <f t="shared" si="32"/>
        <v>243</v>
      </c>
      <c r="Z40" s="16">
        <f t="shared" si="32"/>
        <v>33</v>
      </c>
      <c r="AA40" s="16">
        <f t="shared" si="32"/>
        <v>2</v>
      </c>
      <c r="AB40" s="16">
        <f t="shared" si="32"/>
        <v>0</v>
      </c>
      <c r="AC40" s="16">
        <f t="shared" si="32"/>
        <v>5294</v>
      </c>
      <c r="AD40" s="16">
        <f t="shared" si="32"/>
        <v>0</v>
      </c>
      <c r="AE40" s="32">
        <f t="shared" si="32"/>
        <v>4658</v>
      </c>
      <c r="AF40" s="32">
        <f t="shared" si="32"/>
        <v>9952</v>
      </c>
    </row>
    <row r="41" spans="2:32" ht="23.1" customHeight="1" x14ac:dyDescent="0.25">
      <c r="B41" s="45" t="s">
        <v>68</v>
      </c>
      <c r="C41" s="50">
        <v>65</v>
      </c>
      <c r="D41" s="50">
        <v>14</v>
      </c>
      <c r="E41" s="50">
        <v>7</v>
      </c>
      <c r="F41" s="50">
        <v>18</v>
      </c>
      <c r="G41" s="50">
        <v>0</v>
      </c>
      <c r="H41" s="50">
        <v>0</v>
      </c>
      <c r="I41" s="50">
        <v>10</v>
      </c>
      <c r="J41" s="50">
        <v>0</v>
      </c>
      <c r="K41" s="50">
        <v>0</v>
      </c>
      <c r="L41" s="50">
        <v>0</v>
      </c>
      <c r="M41" s="50">
        <v>104</v>
      </c>
      <c r="N41" s="50">
        <v>0</v>
      </c>
      <c r="O41" s="15">
        <f t="shared" si="0"/>
        <v>114</v>
      </c>
      <c r="P41" s="15">
        <f t="shared" si="1"/>
        <v>218</v>
      </c>
      <c r="R41" s="5" t="s">
        <v>159</v>
      </c>
      <c r="S41" s="16">
        <f>SUM(S10:S33)</f>
        <v>5142</v>
      </c>
      <c r="T41" s="16">
        <f t="shared" ref="T41:AF41" si="33">SUM(T10:T33)</f>
        <v>641</v>
      </c>
      <c r="U41" s="16">
        <f t="shared" si="33"/>
        <v>584</v>
      </c>
      <c r="V41" s="16">
        <f t="shared" si="33"/>
        <v>1300</v>
      </c>
      <c r="W41" s="16">
        <f t="shared" si="33"/>
        <v>22</v>
      </c>
      <c r="X41" s="16">
        <f t="shared" si="33"/>
        <v>5</v>
      </c>
      <c r="Y41" s="16">
        <f t="shared" si="33"/>
        <v>343</v>
      </c>
      <c r="Z41" s="16">
        <f t="shared" si="33"/>
        <v>41</v>
      </c>
      <c r="AA41" s="16">
        <f t="shared" si="33"/>
        <v>6</v>
      </c>
      <c r="AB41" s="16">
        <f t="shared" si="33"/>
        <v>0</v>
      </c>
      <c r="AC41" s="16">
        <f t="shared" si="33"/>
        <v>8334</v>
      </c>
      <c r="AD41" s="16">
        <f t="shared" si="33"/>
        <v>0</v>
      </c>
      <c r="AE41" s="32">
        <f t="shared" si="33"/>
        <v>8084</v>
      </c>
      <c r="AF41" s="32">
        <f t="shared" si="33"/>
        <v>16418</v>
      </c>
    </row>
    <row r="42" spans="2:32" ht="23.1" customHeight="1" x14ac:dyDescent="0.25">
      <c r="B42" s="46" t="s">
        <v>69</v>
      </c>
      <c r="C42" s="50">
        <v>86</v>
      </c>
      <c r="D42" s="50">
        <v>13</v>
      </c>
      <c r="E42" s="50">
        <v>11</v>
      </c>
      <c r="F42" s="50">
        <v>15</v>
      </c>
      <c r="G42" s="50">
        <v>2</v>
      </c>
      <c r="H42" s="50">
        <v>0</v>
      </c>
      <c r="I42" s="50">
        <v>5</v>
      </c>
      <c r="J42" s="50">
        <v>0</v>
      </c>
      <c r="K42" s="50">
        <v>0</v>
      </c>
      <c r="L42" s="50">
        <v>0</v>
      </c>
      <c r="M42" s="50">
        <v>135</v>
      </c>
      <c r="N42" s="50">
        <v>0</v>
      </c>
      <c r="O42" s="15">
        <f t="shared" si="0"/>
        <v>132</v>
      </c>
      <c r="P42" s="15">
        <f t="shared" si="1"/>
        <v>267</v>
      </c>
      <c r="R42" s="5" t="s">
        <v>160</v>
      </c>
      <c r="S42" s="48">
        <f>S41/S40</f>
        <v>1.843010752688172</v>
      </c>
      <c r="T42" s="48">
        <f t="shared" ref="T42:AF42" si="34">T41/T40</f>
        <v>1.4308035714285714</v>
      </c>
      <c r="U42" s="48">
        <f t="shared" si="34"/>
        <v>1.4455445544554455</v>
      </c>
      <c r="V42" s="48">
        <f t="shared" si="34"/>
        <v>1.7906336088154271</v>
      </c>
      <c r="W42" s="48">
        <f t="shared" si="34"/>
        <v>2</v>
      </c>
      <c r="X42" s="48">
        <f t="shared" si="34"/>
        <v>5</v>
      </c>
      <c r="Y42" s="48">
        <f t="shared" si="34"/>
        <v>1.4115226337448559</v>
      </c>
      <c r="Z42" s="48">
        <f t="shared" si="34"/>
        <v>1.2424242424242424</v>
      </c>
      <c r="AA42" s="48">
        <f t="shared" si="34"/>
        <v>3</v>
      </c>
      <c r="AB42" s="48" t="e">
        <f t="shared" si="34"/>
        <v>#DIV/0!</v>
      </c>
      <c r="AC42" s="48">
        <f t="shared" si="34"/>
        <v>1.5742349829996223</v>
      </c>
      <c r="AD42" s="48" t="e">
        <f t="shared" si="34"/>
        <v>#DIV/0!</v>
      </c>
      <c r="AE42" s="48">
        <f t="shared" si="34"/>
        <v>1.7355088020609704</v>
      </c>
      <c r="AF42" s="48">
        <f t="shared" si="34"/>
        <v>1.649718649517685</v>
      </c>
    </row>
    <row r="43" spans="2:32" ht="23.1" customHeight="1" x14ac:dyDescent="0.25">
      <c r="B43" s="45" t="s">
        <v>70</v>
      </c>
      <c r="C43" s="50">
        <v>56</v>
      </c>
      <c r="D43" s="50">
        <v>8</v>
      </c>
      <c r="E43" s="50">
        <v>6</v>
      </c>
      <c r="F43" s="50">
        <v>11</v>
      </c>
      <c r="G43" s="50">
        <v>0</v>
      </c>
      <c r="H43" s="50">
        <v>0</v>
      </c>
      <c r="I43" s="50">
        <v>3</v>
      </c>
      <c r="J43" s="50">
        <v>1</v>
      </c>
      <c r="K43" s="50">
        <v>1</v>
      </c>
      <c r="L43" s="50">
        <v>0</v>
      </c>
      <c r="M43" s="50">
        <v>80</v>
      </c>
      <c r="N43" s="50">
        <v>0</v>
      </c>
      <c r="O43" s="15">
        <f t="shared" si="0"/>
        <v>86</v>
      </c>
      <c r="P43" s="15">
        <f t="shared" si="1"/>
        <v>166</v>
      </c>
    </row>
    <row r="44" spans="2:32" ht="23.1" customHeight="1" x14ac:dyDescent="0.25">
      <c r="B44" s="47" t="s">
        <v>71</v>
      </c>
      <c r="C44" s="50">
        <v>75</v>
      </c>
      <c r="D44" s="50">
        <v>14</v>
      </c>
      <c r="E44" s="50">
        <v>11</v>
      </c>
      <c r="F44" s="50">
        <v>17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50">
        <v>96</v>
      </c>
      <c r="N44" s="50">
        <v>0</v>
      </c>
      <c r="O44" s="15">
        <f t="shared" si="0"/>
        <v>122</v>
      </c>
      <c r="P44" s="15">
        <f t="shared" si="1"/>
        <v>218</v>
      </c>
    </row>
    <row r="45" spans="2:32" ht="23.1" customHeight="1" x14ac:dyDescent="0.25">
      <c r="B45" s="45" t="s">
        <v>72</v>
      </c>
      <c r="C45" s="50">
        <v>75</v>
      </c>
      <c r="D45" s="50">
        <v>17</v>
      </c>
      <c r="E45" s="50">
        <v>10</v>
      </c>
      <c r="F45" s="50">
        <v>9</v>
      </c>
      <c r="G45" s="50">
        <v>0</v>
      </c>
      <c r="H45" s="50">
        <v>0</v>
      </c>
      <c r="I45" s="50">
        <v>5</v>
      </c>
      <c r="J45" s="50">
        <v>2</v>
      </c>
      <c r="K45" s="50">
        <v>0</v>
      </c>
      <c r="L45" s="50">
        <v>0</v>
      </c>
      <c r="M45" s="50">
        <v>84</v>
      </c>
      <c r="N45" s="50">
        <v>0</v>
      </c>
      <c r="O45" s="15">
        <f t="shared" si="0"/>
        <v>118</v>
      </c>
      <c r="P45" s="15">
        <f t="shared" si="1"/>
        <v>202</v>
      </c>
    </row>
    <row r="46" spans="2:32" ht="23.1" customHeight="1" x14ac:dyDescent="0.25">
      <c r="B46" s="46" t="s">
        <v>73</v>
      </c>
      <c r="C46" s="50">
        <v>90</v>
      </c>
      <c r="D46" s="50">
        <v>17</v>
      </c>
      <c r="E46" s="50">
        <v>17</v>
      </c>
      <c r="F46" s="50">
        <v>13</v>
      </c>
      <c r="G46" s="50">
        <v>1</v>
      </c>
      <c r="H46" s="50">
        <v>0</v>
      </c>
      <c r="I46" s="50">
        <v>6</v>
      </c>
      <c r="J46" s="50">
        <v>4</v>
      </c>
      <c r="K46" s="50">
        <v>0</v>
      </c>
      <c r="L46" s="50">
        <v>0</v>
      </c>
      <c r="M46" s="50">
        <v>115</v>
      </c>
      <c r="N46" s="50">
        <v>0</v>
      </c>
      <c r="O46" s="15">
        <f t="shared" si="0"/>
        <v>148</v>
      </c>
      <c r="P46" s="15">
        <f t="shared" si="1"/>
        <v>263</v>
      </c>
      <c r="R46" s="8"/>
      <c r="T46"/>
    </row>
    <row r="47" spans="2:32" ht="23.1" customHeight="1" x14ac:dyDescent="0.25">
      <c r="B47" s="46" t="s">
        <v>74</v>
      </c>
      <c r="C47" s="50">
        <v>95</v>
      </c>
      <c r="D47" s="50">
        <v>19</v>
      </c>
      <c r="E47" s="50">
        <v>11</v>
      </c>
      <c r="F47" s="50">
        <v>16</v>
      </c>
      <c r="G47" s="50">
        <v>1</v>
      </c>
      <c r="H47" s="50">
        <v>0</v>
      </c>
      <c r="I47" s="50">
        <v>12</v>
      </c>
      <c r="J47" s="50">
        <v>0</v>
      </c>
      <c r="K47" s="50">
        <v>0</v>
      </c>
      <c r="L47" s="50">
        <v>0</v>
      </c>
      <c r="M47" s="50">
        <v>100</v>
      </c>
      <c r="N47" s="50">
        <v>0</v>
      </c>
      <c r="O47" s="15">
        <f t="shared" si="0"/>
        <v>154</v>
      </c>
      <c r="P47" s="15">
        <f t="shared" si="1"/>
        <v>254</v>
      </c>
      <c r="R47" s="8"/>
      <c r="T47"/>
    </row>
    <row r="48" spans="2:32" ht="23.1" customHeight="1" x14ac:dyDescent="0.25">
      <c r="B48" s="46" t="s">
        <v>75</v>
      </c>
      <c r="C48" s="50">
        <v>83</v>
      </c>
      <c r="D48" s="50">
        <v>16</v>
      </c>
      <c r="E48" s="50">
        <v>16</v>
      </c>
      <c r="F48" s="50">
        <v>21</v>
      </c>
      <c r="G48" s="50">
        <v>0</v>
      </c>
      <c r="H48" s="50">
        <v>0</v>
      </c>
      <c r="I48" s="50">
        <v>3</v>
      </c>
      <c r="J48" s="50">
        <v>1</v>
      </c>
      <c r="K48" s="50">
        <v>0</v>
      </c>
      <c r="L48" s="50">
        <v>0</v>
      </c>
      <c r="M48" s="50">
        <v>140</v>
      </c>
      <c r="N48" s="50">
        <v>0</v>
      </c>
      <c r="O48" s="15">
        <f t="shared" si="0"/>
        <v>140</v>
      </c>
      <c r="P48" s="15">
        <f t="shared" si="1"/>
        <v>280</v>
      </c>
      <c r="R48" s="8"/>
      <c r="T48"/>
    </row>
    <row r="49" spans="2:20" ht="23.1" customHeight="1" x14ac:dyDescent="0.25">
      <c r="B49" s="45" t="s">
        <v>76</v>
      </c>
      <c r="C49" s="50">
        <v>73</v>
      </c>
      <c r="D49" s="50">
        <v>14</v>
      </c>
      <c r="E49" s="50">
        <v>10</v>
      </c>
      <c r="F49" s="50">
        <v>11</v>
      </c>
      <c r="G49" s="50">
        <v>0</v>
      </c>
      <c r="H49" s="50">
        <v>0</v>
      </c>
      <c r="I49" s="50">
        <v>3</v>
      </c>
      <c r="J49" s="50">
        <v>1</v>
      </c>
      <c r="K49" s="50">
        <v>0</v>
      </c>
      <c r="L49" s="50">
        <v>0</v>
      </c>
      <c r="M49" s="50">
        <v>102</v>
      </c>
      <c r="N49" s="50">
        <v>0</v>
      </c>
      <c r="O49" s="15">
        <f t="shared" si="0"/>
        <v>112</v>
      </c>
      <c r="P49" s="15">
        <f t="shared" si="1"/>
        <v>214</v>
      </c>
      <c r="R49" s="8"/>
      <c r="T49"/>
    </row>
    <row r="50" spans="2:20" ht="23.1" customHeight="1" x14ac:dyDescent="0.25">
      <c r="B50" s="46" t="s">
        <v>77</v>
      </c>
      <c r="C50" s="50">
        <v>80</v>
      </c>
      <c r="D50" s="50">
        <v>10</v>
      </c>
      <c r="E50" s="50">
        <v>10</v>
      </c>
      <c r="F50" s="50">
        <v>22</v>
      </c>
      <c r="G50" s="50">
        <v>0</v>
      </c>
      <c r="H50" s="50">
        <v>0</v>
      </c>
      <c r="I50" s="50">
        <v>4</v>
      </c>
      <c r="J50" s="50">
        <v>0</v>
      </c>
      <c r="K50" s="50">
        <v>0</v>
      </c>
      <c r="L50" s="50">
        <v>0</v>
      </c>
      <c r="M50" s="50">
        <v>95</v>
      </c>
      <c r="N50" s="50">
        <v>0</v>
      </c>
      <c r="O50" s="15">
        <f t="shared" si="0"/>
        <v>126</v>
      </c>
      <c r="P50" s="15">
        <f t="shared" si="1"/>
        <v>221</v>
      </c>
      <c r="R50" s="8"/>
      <c r="T50"/>
    </row>
    <row r="51" spans="2:20" ht="23.1" customHeight="1" x14ac:dyDescent="0.25">
      <c r="B51" s="46" t="s">
        <v>78</v>
      </c>
      <c r="C51" s="50">
        <v>95</v>
      </c>
      <c r="D51" s="50">
        <v>9</v>
      </c>
      <c r="E51" s="50">
        <v>8</v>
      </c>
      <c r="F51" s="50">
        <v>22</v>
      </c>
      <c r="G51" s="50">
        <v>1</v>
      </c>
      <c r="H51" s="50">
        <v>0</v>
      </c>
      <c r="I51" s="50">
        <v>7</v>
      </c>
      <c r="J51" s="50">
        <v>1</v>
      </c>
      <c r="K51" s="50">
        <v>0</v>
      </c>
      <c r="L51" s="50">
        <v>0</v>
      </c>
      <c r="M51" s="50">
        <v>95</v>
      </c>
      <c r="N51" s="50">
        <v>0</v>
      </c>
      <c r="O51" s="15">
        <f t="shared" si="0"/>
        <v>143</v>
      </c>
      <c r="P51" s="15">
        <f t="shared" si="1"/>
        <v>238</v>
      </c>
      <c r="R51" s="8"/>
      <c r="T51"/>
    </row>
    <row r="52" spans="2:20" ht="23.1" customHeight="1" x14ac:dyDescent="0.25">
      <c r="B52" s="46" t="s">
        <v>79</v>
      </c>
      <c r="C52" s="50">
        <v>66</v>
      </c>
      <c r="D52" s="50">
        <v>15</v>
      </c>
      <c r="E52" s="50">
        <v>8</v>
      </c>
      <c r="F52" s="50">
        <v>24</v>
      </c>
      <c r="G52" s="50">
        <v>1</v>
      </c>
      <c r="H52" s="50">
        <v>0</v>
      </c>
      <c r="I52" s="50">
        <v>3</v>
      </c>
      <c r="J52" s="50">
        <v>1</v>
      </c>
      <c r="K52" s="50">
        <v>0</v>
      </c>
      <c r="L52" s="50">
        <v>0</v>
      </c>
      <c r="M52" s="50">
        <v>120</v>
      </c>
      <c r="N52" s="50">
        <v>0</v>
      </c>
      <c r="O52" s="15">
        <f t="shared" si="0"/>
        <v>118</v>
      </c>
      <c r="P52" s="15">
        <f t="shared" si="1"/>
        <v>238</v>
      </c>
      <c r="R52" s="8"/>
      <c r="T52"/>
    </row>
    <row r="53" spans="2:20" ht="23.1" customHeight="1" x14ac:dyDescent="0.25">
      <c r="B53" s="45" t="s">
        <v>80</v>
      </c>
      <c r="C53" s="50">
        <v>85</v>
      </c>
      <c r="D53" s="50">
        <v>8</v>
      </c>
      <c r="E53" s="50">
        <v>7</v>
      </c>
      <c r="F53" s="50">
        <v>13</v>
      </c>
      <c r="G53" s="50">
        <v>0</v>
      </c>
      <c r="H53" s="50">
        <v>0</v>
      </c>
      <c r="I53" s="50">
        <v>5</v>
      </c>
      <c r="J53" s="50">
        <v>0</v>
      </c>
      <c r="K53" s="50">
        <v>0</v>
      </c>
      <c r="L53" s="50">
        <v>0</v>
      </c>
      <c r="M53" s="50">
        <v>80</v>
      </c>
      <c r="N53" s="50">
        <v>0</v>
      </c>
      <c r="O53" s="15">
        <f t="shared" si="0"/>
        <v>118</v>
      </c>
      <c r="P53" s="15">
        <f t="shared" si="1"/>
        <v>198</v>
      </c>
      <c r="R53" s="8"/>
      <c r="T53"/>
    </row>
    <row r="54" spans="2:20" ht="23.1" customHeight="1" x14ac:dyDescent="0.25">
      <c r="B54" s="45" t="s">
        <v>81</v>
      </c>
      <c r="C54" s="50">
        <v>85</v>
      </c>
      <c r="D54" s="50">
        <v>22</v>
      </c>
      <c r="E54" s="50">
        <v>6</v>
      </c>
      <c r="F54" s="50">
        <v>30</v>
      </c>
      <c r="G54" s="50">
        <v>0</v>
      </c>
      <c r="H54" s="50">
        <v>0</v>
      </c>
      <c r="I54" s="50">
        <v>4</v>
      </c>
      <c r="J54" s="50">
        <v>1</v>
      </c>
      <c r="K54" s="50">
        <v>0</v>
      </c>
      <c r="L54" s="50">
        <v>0</v>
      </c>
      <c r="M54" s="50">
        <v>100</v>
      </c>
      <c r="N54" s="50">
        <v>0</v>
      </c>
      <c r="O54" s="15">
        <f t="shared" si="0"/>
        <v>148</v>
      </c>
      <c r="P54" s="15">
        <f t="shared" si="1"/>
        <v>248</v>
      </c>
      <c r="R54" s="8"/>
      <c r="T54"/>
    </row>
    <row r="55" spans="2:20" ht="23.1" customHeight="1" x14ac:dyDescent="0.25">
      <c r="B55" s="45" t="s">
        <v>82</v>
      </c>
      <c r="C55" s="50">
        <v>107</v>
      </c>
      <c r="D55" s="50">
        <v>17</v>
      </c>
      <c r="E55" s="50">
        <v>13</v>
      </c>
      <c r="F55" s="50">
        <v>24</v>
      </c>
      <c r="G55" s="50">
        <v>0</v>
      </c>
      <c r="H55" s="50">
        <v>0</v>
      </c>
      <c r="I55" s="50">
        <v>9</v>
      </c>
      <c r="J55" s="50">
        <v>0</v>
      </c>
      <c r="K55" s="50">
        <v>0</v>
      </c>
      <c r="L55" s="50">
        <v>0</v>
      </c>
      <c r="M55" s="50">
        <v>117</v>
      </c>
      <c r="N55" s="50">
        <v>0</v>
      </c>
      <c r="O55" s="15">
        <f t="shared" si="0"/>
        <v>170</v>
      </c>
      <c r="P55" s="15">
        <f t="shared" si="1"/>
        <v>287</v>
      </c>
      <c r="R55" s="8"/>
      <c r="T55"/>
    </row>
    <row r="56" spans="2:20" ht="23.1" customHeight="1" x14ac:dyDescent="0.25">
      <c r="B56" s="45" t="s">
        <v>83</v>
      </c>
      <c r="C56" s="50">
        <v>62</v>
      </c>
      <c r="D56" s="50">
        <v>6</v>
      </c>
      <c r="E56" s="50">
        <v>10</v>
      </c>
      <c r="F56" s="50">
        <v>20</v>
      </c>
      <c r="G56" s="50">
        <v>1</v>
      </c>
      <c r="H56" s="50">
        <v>0</v>
      </c>
      <c r="I56" s="50">
        <v>5</v>
      </c>
      <c r="J56" s="50">
        <v>1</v>
      </c>
      <c r="K56" s="50">
        <v>0</v>
      </c>
      <c r="L56" s="50">
        <v>0</v>
      </c>
      <c r="M56" s="50">
        <v>100</v>
      </c>
      <c r="N56" s="50">
        <v>0</v>
      </c>
      <c r="O56" s="15">
        <f t="shared" si="0"/>
        <v>105</v>
      </c>
      <c r="P56" s="15">
        <f t="shared" si="1"/>
        <v>205</v>
      </c>
      <c r="R56" s="8"/>
      <c r="T56"/>
    </row>
    <row r="57" spans="2:20" ht="23.1" customHeight="1" x14ac:dyDescent="0.25">
      <c r="B57" s="45" t="s">
        <v>84</v>
      </c>
      <c r="C57" s="50">
        <v>62</v>
      </c>
      <c r="D57" s="50">
        <v>5</v>
      </c>
      <c r="E57" s="50">
        <v>5</v>
      </c>
      <c r="F57" s="50">
        <v>14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97</v>
      </c>
      <c r="N57" s="50">
        <v>0</v>
      </c>
      <c r="O57" s="15">
        <f t="shared" si="0"/>
        <v>89</v>
      </c>
      <c r="P57" s="15">
        <f t="shared" si="1"/>
        <v>186</v>
      </c>
      <c r="R57" s="8"/>
      <c r="T57"/>
    </row>
    <row r="58" spans="2:20" ht="23.1" customHeight="1" x14ac:dyDescent="0.25">
      <c r="B58" s="45" t="s">
        <v>99</v>
      </c>
      <c r="C58" s="50">
        <v>84</v>
      </c>
      <c r="D58" s="50">
        <v>8</v>
      </c>
      <c r="E58" s="50">
        <v>14</v>
      </c>
      <c r="F58" s="50">
        <v>22</v>
      </c>
      <c r="G58" s="50">
        <v>0</v>
      </c>
      <c r="H58" s="50">
        <v>0</v>
      </c>
      <c r="I58" s="50">
        <v>13</v>
      </c>
      <c r="J58" s="50">
        <v>0</v>
      </c>
      <c r="K58" s="50">
        <v>1</v>
      </c>
      <c r="L58" s="50">
        <v>0</v>
      </c>
      <c r="M58" s="50">
        <v>121</v>
      </c>
      <c r="N58" s="50">
        <v>0</v>
      </c>
      <c r="O58" s="15">
        <f t="shared" si="0"/>
        <v>142</v>
      </c>
      <c r="P58" s="15">
        <f t="shared" si="1"/>
        <v>263</v>
      </c>
      <c r="R58" s="8"/>
      <c r="T58"/>
    </row>
    <row r="59" spans="2:20" ht="23.1" customHeight="1" x14ac:dyDescent="0.25">
      <c r="B59" s="45" t="s">
        <v>100</v>
      </c>
      <c r="C59" s="50">
        <v>178</v>
      </c>
      <c r="D59" s="50">
        <v>13</v>
      </c>
      <c r="E59" s="50">
        <v>12</v>
      </c>
      <c r="F59" s="50">
        <v>38</v>
      </c>
      <c r="G59" s="50">
        <v>0</v>
      </c>
      <c r="H59" s="50">
        <v>1</v>
      </c>
      <c r="I59" s="50">
        <v>9</v>
      </c>
      <c r="J59" s="50">
        <v>1</v>
      </c>
      <c r="K59" s="50">
        <v>0</v>
      </c>
      <c r="L59" s="50">
        <v>0</v>
      </c>
      <c r="M59" s="50">
        <v>183</v>
      </c>
      <c r="N59" s="50">
        <v>0</v>
      </c>
      <c r="O59" s="15">
        <f t="shared" si="0"/>
        <v>252</v>
      </c>
      <c r="P59" s="15">
        <f t="shared" si="1"/>
        <v>435</v>
      </c>
      <c r="R59" s="8"/>
      <c r="T59"/>
    </row>
    <row r="60" spans="2:20" ht="23.1" customHeight="1" x14ac:dyDescent="0.25">
      <c r="B60" s="45" t="s">
        <v>101</v>
      </c>
      <c r="C60" s="50">
        <v>104</v>
      </c>
      <c r="D60" s="50">
        <v>16</v>
      </c>
      <c r="E60" s="50">
        <v>16</v>
      </c>
      <c r="F60" s="50">
        <v>48</v>
      </c>
      <c r="G60" s="50">
        <v>0</v>
      </c>
      <c r="H60" s="50">
        <v>0</v>
      </c>
      <c r="I60" s="50">
        <v>7</v>
      </c>
      <c r="J60" s="50">
        <v>1</v>
      </c>
      <c r="K60" s="50">
        <v>0</v>
      </c>
      <c r="L60" s="50">
        <v>0</v>
      </c>
      <c r="M60" s="50">
        <v>221</v>
      </c>
      <c r="N60" s="50">
        <v>0</v>
      </c>
      <c r="O60" s="15">
        <f t="shared" si="0"/>
        <v>192</v>
      </c>
      <c r="P60" s="15">
        <f t="shared" si="1"/>
        <v>413</v>
      </c>
      <c r="R60" s="8"/>
      <c r="T60"/>
    </row>
    <row r="61" spans="2:20" ht="23.1" customHeight="1" x14ac:dyDescent="0.25">
      <c r="B61" s="45" t="s">
        <v>102</v>
      </c>
      <c r="C61" s="50">
        <v>103</v>
      </c>
      <c r="D61" s="50">
        <v>13</v>
      </c>
      <c r="E61" s="50">
        <v>19</v>
      </c>
      <c r="F61" s="50">
        <v>43</v>
      </c>
      <c r="G61" s="50">
        <v>1</v>
      </c>
      <c r="H61" s="50">
        <v>0</v>
      </c>
      <c r="I61" s="50">
        <v>5</v>
      </c>
      <c r="J61" s="50">
        <v>0</v>
      </c>
      <c r="K61" s="50">
        <v>1</v>
      </c>
      <c r="L61" s="50">
        <v>0</v>
      </c>
      <c r="M61" s="50">
        <v>181</v>
      </c>
      <c r="N61" s="50">
        <v>0</v>
      </c>
      <c r="O61" s="15">
        <f t="shared" si="0"/>
        <v>185</v>
      </c>
      <c r="P61" s="15">
        <f t="shared" si="1"/>
        <v>366</v>
      </c>
      <c r="R61" s="8"/>
      <c r="T61"/>
    </row>
    <row r="62" spans="2:20" ht="23.1" customHeight="1" x14ac:dyDescent="0.25">
      <c r="B62" s="45" t="s">
        <v>107</v>
      </c>
      <c r="C62" s="50">
        <v>180</v>
      </c>
      <c r="D62" s="50">
        <v>14</v>
      </c>
      <c r="E62" s="50">
        <v>10</v>
      </c>
      <c r="F62" s="50">
        <v>50</v>
      </c>
      <c r="G62" s="50">
        <v>1</v>
      </c>
      <c r="H62" s="50">
        <v>0</v>
      </c>
      <c r="I62" s="50">
        <v>6</v>
      </c>
      <c r="J62" s="50">
        <v>1</v>
      </c>
      <c r="K62" s="50">
        <v>0</v>
      </c>
      <c r="L62" s="50">
        <v>0</v>
      </c>
      <c r="M62" s="50">
        <v>202</v>
      </c>
      <c r="N62" s="50">
        <v>0</v>
      </c>
      <c r="O62" s="15">
        <f t="shared" si="0"/>
        <v>262</v>
      </c>
      <c r="P62" s="15">
        <f t="shared" si="1"/>
        <v>464</v>
      </c>
      <c r="R62" s="8"/>
      <c r="T62"/>
    </row>
    <row r="63" spans="2:20" ht="23.1" customHeight="1" x14ac:dyDescent="0.25">
      <c r="B63" s="45" t="s">
        <v>108</v>
      </c>
      <c r="C63" s="50">
        <v>111</v>
      </c>
      <c r="D63" s="50">
        <v>13</v>
      </c>
      <c r="E63" s="50">
        <v>8</v>
      </c>
      <c r="F63" s="50">
        <v>43</v>
      </c>
      <c r="G63" s="50">
        <v>1</v>
      </c>
      <c r="H63" s="50">
        <v>0</v>
      </c>
      <c r="I63" s="50">
        <v>10</v>
      </c>
      <c r="J63" s="50">
        <v>0</v>
      </c>
      <c r="K63" s="50">
        <v>0</v>
      </c>
      <c r="L63" s="50">
        <v>0</v>
      </c>
      <c r="M63" s="50">
        <v>180</v>
      </c>
      <c r="N63" s="50">
        <v>0</v>
      </c>
      <c r="O63" s="15">
        <f t="shared" si="0"/>
        <v>186</v>
      </c>
      <c r="P63" s="15">
        <f t="shared" si="1"/>
        <v>366</v>
      </c>
      <c r="R63" s="8"/>
      <c r="T63"/>
    </row>
    <row r="64" spans="2:20" ht="23.1" customHeight="1" x14ac:dyDescent="0.25">
      <c r="B64" s="45" t="s">
        <v>109</v>
      </c>
      <c r="C64" s="50">
        <v>85</v>
      </c>
      <c r="D64" s="50">
        <v>10</v>
      </c>
      <c r="E64" s="50">
        <v>6</v>
      </c>
      <c r="F64" s="50">
        <v>51</v>
      </c>
      <c r="G64" s="50">
        <v>1</v>
      </c>
      <c r="H64" s="50">
        <v>2</v>
      </c>
      <c r="I64" s="50">
        <v>4</v>
      </c>
      <c r="J64" s="50">
        <v>1</v>
      </c>
      <c r="K64" s="50">
        <v>0</v>
      </c>
      <c r="L64" s="50">
        <v>0</v>
      </c>
      <c r="M64" s="50">
        <v>136</v>
      </c>
      <c r="N64" s="50">
        <v>0</v>
      </c>
      <c r="O64" s="15">
        <f t="shared" si="0"/>
        <v>160</v>
      </c>
      <c r="P64" s="15">
        <f t="shared" si="1"/>
        <v>296</v>
      </c>
      <c r="R64" s="8"/>
      <c r="T64"/>
    </row>
    <row r="65" spans="2:20" ht="23.1" customHeight="1" x14ac:dyDescent="0.25">
      <c r="B65" s="45" t="s">
        <v>158</v>
      </c>
      <c r="C65" s="50">
        <v>133</v>
      </c>
      <c r="D65" s="50">
        <v>9</v>
      </c>
      <c r="E65" s="50">
        <v>10</v>
      </c>
      <c r="F65" s="50">
        <v>48</v>
      </c>
      <c r="G65" s="50">
        <v>0</v>
      </c>
      <c r="H65" s="50">
        <v>0</v>
      </c>
      <c r="I65" s="50">
        <v>4</v>
      </c>
      <c r="J65" s="50">
        <v>0</v>
      </c>
      <c r="K65" s="50">
        <v>0</v>
      </c>
      <c r="L65" s="50">
        <v>0</v>
      </c>
      <c r="M65" s="50">
        <v>162</v>
      </c>
      <c r="N65" s="50">
        <v>0</v>
      </c>
      <c r="O65" s="15">
        <f t="shared" si="0"/>
        <v>204</v>
      </c>
      <c r="P65" s="15">
        <f t="shared" si="1"/>
        <v>366</v>
      </c>
      <c r="R65" s="8"/>
      <c r="T65"/>
    </row>
    <row r="66" spans="2:20" ht="23.1" customHeight="1" x14ac:dyDescent="0.25">
      <c r="B66" s="45" t="s">
        <v>103</v>
      </c>
      <c r="C66" s="50">
        <v>140</v>
      </c>
      <c r="D66" s="50">
        <v>8</v>
      </c>
      <c r="E66" s="50">
        <v>5</v>
      </c>
      <c r="F66" s="50">
        <v>45</v>
      </c>
      <c r="G66" s="50">
        <v>3</v>
      </c>
      <c r="H66" s="50">
        <v>0</v>
      </c>
      <c r="I66" s="50">
        <v>3</v>
      </c>
      <c r="J66" s="50">
        <v>0</v>
      </c>
      <c r="K66" s="50">
        <v>0</v>
      </c>
      <c r="L66" s="50">
        <v>0</v>
      </c>
      <c r="M66" s="50">
        <v>157</v>
      </c>
      <c r="N66" s="50">
        <v>0</v>
      </c>
      <c r="O66" s="15">
        <f t="shared" si="0"/>
        <v>204</v>
      </c>
      <c r="P66" s="15">
        <f t="shared" si="1"/>
        <v>361</v>
      </c>
      <c r="R66" s="8"/>
      <c r="T66"/>
    </row>
    <row r="67" spans="2:20" ht="23.1" customHeight="1" x14ac:dyDescent="0.25">
      <c r="B67" s="45" t="s">
        <v>104</v>
      </c>
      <c r="C67" s="50">
        <v>108</v>
      </c>
      <c r="D67" s="50">
        <v>14</v>
      </c>
      <c r="E67" s="50">
        <v>12</v>
      </c>
      <c r="F67" s="50">
        <v>32</v>
      </c>
      <c r="G67" s="50">
        <v>4</v>
      </c>
      <c r="H67" s="50">
        <v>0</v>
      </c>
      <c r="I67" s="50">
        <v>5</v>
      </c>
      <c r="J67" s="50">
        <v>0</v>
      </c>
      <c r="K67" s="50">
        <v>0</v>
      </c>
      <c r="L67" s="50">
        <v>0</v>
      </c>
      <c r="M67" s="50">
        <v>120</v>
      </c>
      <c r="N67" s="50">
        <v>0</v>
      </c>
      <c r="O67" s="15">
        <f t="shared" si="0"/>
        <v>175</v>
      </c>
      <c r="P67" s="15">
        <f t="shared" si="1"/>
        <v>295</v>
      </c>
      <c r="R67" s="8"/>
      <c r="T67"/>
    </row>
    <row r="68" spans="2:20" ht="23.1" customHeight="1" x14ac:dyDescent="0.25">
      <c r="B68" s="45" t="s">
        <v>105</v>
      </c>
      <c r="C68" s="50">
        <v>110</v>
      </c>
      <c r="D68" s="50">
        <v>10</v>
      </c>
      <c r="E68" s="50">
        <v>11</v>
      </c>
      <c r="F68" s="50">
        <v>51</v>
      </c>
      <c r="G68" s="50">
        <v>0</v>
      </c>
      <c r="H68" s="50">
        <v>1</v>
      </c>
      <c r="I68" s="50">
        <v>8</v>
      </c>
      <c r="J68" s="50">
        <v>0</v>
      </c>
      <c r="K68" s="50">
        <v>0</v>
      </c>
      <c r="L68" s="50">
        <v>0</v>
      </c>
      <c r="M68" s="50">
        <v>125</v>
      </c>
      <c r="N68" s="50">
        <v>0</v>
      </c>
      <c r="O68" s="15">
        <f t="shared" si="0"/>
        <v>191</v>
      </c>
      <c r="P68" s="15">
        <f t="shared" si="1"/>
        <v>316</v>
      </c>
      <c r="R68" s="8"/>
      <c r="T68"/>
    </row>
    <row r="69" spans="2:20" ht="23.1" customHeight="1" x14ac:dyDescent="0.25">
      <c r="B69" s="45" t="s">
        <v>106</v>
      </c>
      <c r="C69" s="50">
        <v>109</v>
      </c>
      <c r="D69" s="50">
        <v>7</v>
      </c>
      <c r="E69" s="50">
        <v>7</v>
      </c>
      <c r="F69" s="50">
        <v>26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106</v>
      </c>
      <c r="N69" s="50">
        <v>0</v>
      </c>
      <c r="O69" s="15">
        <f t="shared" si="0"/>
        <v>151</v>
      </c>
      <c r="P69" s="15">
        <f t="shared" si="1"/>
        <v>257</v>
      </c>
      <c r="R69" s="8"/>
      <c r="T69"/>
    </row>
    <row r="70" spans="2:20" ht="23.1" customHeight="1" x14ac:dyDescent="0.25">
      <c r="B70" s="45" t="s">
        <v>110</v>
      </c>
      <c r="C70" s="50">
        <v>103</v>
      </c>
      <c r="D70" s="50">
        <v>4</v>
      </c>
      <c r="E70" s="50">
        <v>11</v>
      </c>
      <c r="F70" s="50">
        <v>17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103</v>
      </c>
      <c r="N70" s="50">
        <v>0</v>
      </c>
      <c r="O70" s="15">
        <f t="shared" si="0"/>
        <v>135</v>
      </c>
      <c r="P70" s="15">
        <f t="shared" si="1"/>
        <v>238</v>
      </c>
      <c r="R70" s="8"/>
      <c r="T70"/>
    </row>
    <row r="71" spans="2:20" ht="23.1" customHeight="1" x14ac:dyDescent="0.25">
      <c r="B71" s="45" t="s">
        <v>111</v>
      </c>
      <c r="C71" s="50">
        <v>73</v>
      </c>
      <c r="D71" s="50">
        <v>7</v>
      </c>
      <c r="E71" s="50">
        <v>4</v>
      </c>
      <c r="F71" s="50">
        <v>10</v>
      </c>
      <c r="G71" s="50">
        <v>0</v>
      </c>
      <c r="H71" s="50">
        <v>0</v>
      </c>
      <c r="I71" s="50">
        <v>4</v>
      </c>
      <c r="J71" s="50">
        <v>0</v>
      </c>
      <c r="K71" s="50">
        <v>0</v>
      </c>
      <c r="L71" s="50">
        <v>0</v>
      </c>
      <c r="M71" s="50">
        <v>58</v>
      </c>
      <c r="N71" s="50">
        <v>0</v>
      </c>
      <c r="O71" s="15">
        <f t="shared" si="0"/>
        <v>98</v>
      </c>
      <c r="P71" s="15">
        <f t="shared" si="1"/>
        <v>156</v>
      </c>
      <c r="R71" s="8"/>
      <c r="T71"/>
    </row>
    <row r="72" spans="2:20" ht="23.1" customHeight="1" x14ac:dyDescent="0.25">
      <c r="B72" s="45" t="s">
        <v>112</v>
      </c>
      <c r="C72" s="50">
        <v>75</v>
      </c>
      <c r="D72" s="50">
        <v>7</v>
      </c>
      <c r="E72" s="50">
        <v>3</v>
      </c>
      <c r="F72" s="50">
        <v>13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61</v>
      </c>
      <c r="N72" s="50">
        <v>0</v>
      </c>
      <c r="O72" s="15">
        <f t="shared" si="0"/>
        <v>98</v>
      </c>
      <c r="P72" s="15">
        <f t="shared" si="1"/>
        <v>159</v>
      </c>
      <c r="R72" s="8"/>
      <c r="T72"/>
    </row>
    <row r="73" spans="2:20" ht="23.1" customHeight="1" x14ac:dyDescent="0.25">
      <c r="B73" s="45" t="s">
        <v>113</v>
      </c>
      <c r="C73" s="50">
        <v>23</v>
      </c>
      <c r="D73" s="50">
        <v>3</v>
      </c>
      <c r="E73" s="50">
        <v>1</v>
      </c>
      <c r="F73" s="50">
        <v>8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30</v>
      </c>
      <c r="N73" s="50">
        <v>0</v>
      </c>
      <c r="O73" s="15">
        <f t="shared" si="0"/>
        <v>36</v>
      </c>
      <c r="P73" s="15">
        <f t="shared" si="1"/>
        <v>66</v>
      </c>
      <c r="R73" s="8"/>
      <c r="T73"/>
    </row>
    <row r="74" spans="2:20" ht="23.1" customHeight="1" x14ac:dyDescent="0.25">
      <c r="B74" s="45" t="s">
        <v>114</v>
      </c>
      <c r="C74" s="50">
        <v>47</v>
      </c>
      <c r="D74" s="50">
        <v>9</v>
      </c>
      <c r="E74" s="50">
        <v>3</v>
      </c>
      <c r="F74" s="50">
        <v>2</v>
      </c>
      <c r="G74" s="50">
        <v>0</v>
      </c>
      <c r="H74" s="50">
        <v>0</v>
      </c>
      <c r="I74" s="50">
        <v>3</v>
      </c>
      <c r="J74" s="50">
        <v>0</v>
      </c>
      <c r="K74" s="50">
        <v>0</v>
      </c>
      <c r="L74" s="50">
        <v>0</v>
      </c>
      <c r="M74" s="50">
        <v>61</v>
      </c>
      <c r="N74" s="50">
        <v>0</v>
      </c>
      <c r="O74" s="15">
        <f t="shared" ref="O74:O105" si="35">SUM(C74:L74,N74)</f>
        <v>64</v>
      </c>
      <c r="P74" s="15">
        <f t="shared" ref="P74:P105" si="36">SUM(C74:N74)</f>
        <v>125</v>
      </c>
      <c r="R74" s="8"/>
      <c r="T74"/>
    </row>
    <row r="75" spans="2:20" ht="23.1" customHeight="1" x14ac:dyDescent="0.25">
      <c r="B75" s="45" t="s">
        <v>115</v>
      </c>
      <c r="C75" s="50">
        <v>60</v>
      </c>
      <c r="D75" s="50">
        <v>1</v>
      </c>
      <c r="E75" s="50">
        <v>5</v>
      </c>
      <c r="F75" s="50">
        <v>5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70</v>
      </c>
      <c r="N75" s="50">
        <v>0</v>
      </c>
      <c r="O75" s="15">
        <f t="shared" si="35"/>
        <v>71</v>
      </c>
      <c r="P75" s="15">
        <f t="shared" si="36"/>
        <v>141</v>
      </c>
      <c r="R75" s="8"/>
      <c r="T75"/>
    </row>
    <row r="76" spans="2:20" ht="23.1" customHeight="1" x14ac:dyDescent="0.25">
      <c r="B76" s="45" t="s">
        <v>116</v>
      </c>
      <c r="C76" s="50">
        <v>45</v>
      </c>
      <c r="D76" s="50">
        <v>2</v>
      </c>
      <c r="E76" s="50">
        <v>1</v>
      </c>
      <c r="F76" s="50">
        <v>3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63</v>
      </c>
      <c r="N76" s="50">
        <v>0</v>
      </c>
      <c r="O76" s="15">
        <f t="shared" si="35"/>
        <v>52</v>
      </c>
      <c r="P76" s="15">
        <f t="shared" si="36"/>
        <v>115</v>
      </c>
      <c r="R76" s="8"/>
      <c r="T76"/>
    </row>
    <row r="77" spans="2:20" ht="23.1" customHeight="1" x14ac:dyDescent="0.25">
      <c r="B77" s="45" t="s">
        <v>117</v>
      </c>
      <c r="C77" s="50">
        <v>35</v>
      </c>
      <c r="D77" s="50">
        <v>2</v>
      </c>
      <c r="E77" s="50">
        <v>3</v>
      </c>
      <c r="F77" s="50">
        <v>6</v>
      </c>
      <c r="G77" s="50">
        <v>0</v>
      </c>
      <c r="H77" s="50">
        <v>0</v>
      </c>
      <c r="I77" s="50">
        <v>3</v>
      </c>
      <c r="J77" s="50">
        <v>0</v>
      </c>
      <c r="K77" s="50">
        <v>0</v>
      </c>
      <c r="L77" s="50">
        <v>0</v>
      </c>
      <c r="M77" s="50">
        <v>26</v>
      </c>
      <c r="N77" s="50">
        <v>0</v>
      </c>
      <c r="O77" s="15">
        <f t="shared" si="35"/>
        <v>49</v>
      </c>
      <c r="P77" s="15">
        <f t="shared" si="36"/>
        <v>75</v>
      </c>
      <c r="R77" s="8"/>
      <c r="T77"/>
    </row>
    <row r="78" spans="2:20" ht="23.1" customHeight="1" x14ac:dyDescent="0.25">
      <c r="B78" s="46" t="s">
        <v>118</v>
      </c>
      <c r="C78" s="50">
        <v>15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32</v>
      </c>
      <c r="N78" s="50">
        <v>0</v>
      </c>
      <c r="O78" s="15">
        <f t="shared" si="35"/>
        <v>15</v>
      </c>
      <c r="P78" s="15">
        <f t="shared" si="36"/>
        <v>47</v>
      </c>
      <c r="R78" s="8"/>
      <c r="T78"/>
    </row>
    <row r="79" spans="2:20" ht="23.1" customHeight="1" x14ac:dyDescent="0.25">
      <c r="B79" s="45" t="s">
        <v>119</v>
      </c>
      <c r="C79" s="50">
        <v>25</v>
      </c>
      <c r="D79" s="50">
        <v>2</v>
      </c>
      <c r="E79" s="50">
        <v>1</v>
      </c>
      <c r="F79" s="50">
        <v>2</v>
      </c>
      <c r="G79" s="50">
        <v>0</v>
      </c>
      <c r="H79" s="50">
        <v>0</v>
      </c>
      <c r="I79" s="50">
        <v>1</v>
      </c>
      <c r="J79" s="50">
        <v>0</v>
      </c>
      <c r="K79" s="50">
        <v>1</v>
      </c>
      <c r="L79" s="50">
        <v>0</v>
      </c>
      <c r="M79" s="50">
        <v>30</v>
      </c>
      <c r="N79" s="50">
        <v>0</v>
      </c>
      <c r="O79" s="15">
        <f t="shared" si="35"/>
        <v>32</v>
      </c>
      <c r="P79" s="15">
        <f t="shared" si="36"/>
        <v>62</v>
      </c>
      <c r="R79" s="8"/>
      <c r="T79"/>
    </row>
    <row r="80" spans="2:20" ht="23.1" customHeight="1" x14ac:dyDescent="0.25">
      <c r="B80" s="47" t="s">
        <v>120</v>
      </c>
      <c r="C80" s="50">
        <v>32</v>
      </c>
      <c r="D80" s="50">
        <v>3</v>
      </c>
      <c r="E80" s="50">
        <v>2</v>
      </c>
      <c r="F80" s="50">
        <v>2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40</v>
      </c>
      <c r="N80" s="50">
        <v>0</v>
      </c>
      <c r="O80" s="15">
        <f t="shared" si="35"/>
        <v>39</v>
      </c>
      <c r="P80" s="15">
        <f t="shared" si="36"/>
        <v>79</v>
      </c>
      <c r="R80" s="8"/>
      <c r="T80"/>
    </row>
    <row r="81" spans="2:20" ht="23.1" customHeight="1" x14ac:dyDescent="0.25">
      <c r="B81" s="45" t="s">
        <v>121</v>
      </c>
      <c r="C81" s="50">
        <v>40</v>
      </c>
      <c r="D81" s="50">
        <v>2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20</v>
      </c>
      <c r="N81" s="50">
        <v>0</v>
      </c>
      <c r="O81" s="15">
        <f t="shared" si="35"/>
        <v>43</v>
      </c>
      <c r="P81" s="15">
        <f t="shared" si="36"/>
        <v>63</v>
      </c>
      <c r="R81" s="8"/>
      <c r="T81"/>
    </row>
    <row r="82" spans="2:20" ht="23.1" customHeight="1" x14ac:dyDescent="0.25">
      <c r="B82" s="46" t="s">
        <v>122</v>
      </c>
      <c r="C82" s="50">
        <v>27</v>
      </c>
      <c r="D82" s="50">
        <v>1</v>
      </c>
      <c r="E82" s="50">
        <v>3</v>
      </c>
      <c r="F82" s="50">
        <v>0</v>
      </c>
      <c r="G82" s="50">
        <v>0</v>
      </c>
      <c r="H82" s="50">
        <v>0</v>
      </c>
      <c r="I82" s="50">
        <v>2</v>
      </c>
      <c r="J82" s="50">
        <v>0</v>
      </c>
      <c r="K82" s="50">
        <v>0</v>
      </c>
      <c r="L82" s="50">
        <v>0</v>
      </c>
      <c r="M82" s="50">
        <v>24</v>
      </c>
      <c r="N82" s="50">
        <v>0</v>
      </c>
      <c r="O82" s="15">
        <f t="shared" si="35"/>
        <v>33</v>
      </c>
      <c r="P82" s="15">
        <f t="shared" si="36"/>
        <v>57</v>
      </c>
      <c r="R82" s="8"/>
      <c r="T82"/>
    </row>
    <row r="83" spans="2:20" ht="23.1" customHeight="1" x14ac:dyDescent="0.25">
      <c r="B83" s="45" t="s">
        <v>123</v>
      </c>
      <c r="C83" s="50">
        <v>30</v>
      </c>
      <c r="D83" s="50">
        <v>3</v>
      </c>
      <c r="E83" s="50">
        <v>2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25</v>
      </c>
      <c r="N83" s="50">
        <v>0</v>
      </c>
      <c r="O83" s="15">
        <f t="shared" si="35"/>
        <v>36</v>
      </c>
      <c r="P83" s="15">
        <f t="shared" si="36"/>
        <v>61</v>
      </c>
      <c r="R83" s="8"/>
      <c r="T83"/>
    </row>
    <row r="84" spans="2:20" ht="23.1" customHeight="1" x14ac:dyDescent="0.25">
      <c r="B84" s="47" t="s">
        <v>124</v>
      </c>
      <c r="C84" s="50">
        <v>25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39</v>
      </c>
      <c r="N84" s="50">
        <v>0</v>
      </c>
      <c r="O84" s="15">
        <f t="shared" si="35"/>
        <v>25</v>
      </c>
      <c r="P84" s="15">
        <f t="shared" si="36"/>
        <v>64</v>
      </c>
      <c r="R84" s="8"/>
      <c r="T84"/>
    </row>
    <row r="85" spans="2:20" ht="23.1" customHeight="1" x14ac:dyDescent="0.25">
      <c r="B85" s="45" t="s">
        <v>125</v>
      </c>
      <c r="C85" s="50">
        <v>32</v>
      </c>
      <c r="D85" s="50">
        <v>1</v>
      </c>
      <c r="E85" s="50">
        <v>3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45</v>
      </c>
      <c r="N85" s="50">
        <v>0</v>
      </c>
      <c r="O85" s="15">
        <f t="shared" si="35"/>
        <v>36</v>
      </c>
      <c r="P85" s="15">
        <f t="shared" si="36"/>
        <v>81</v>
      </c>
      <c r="R85" s="8"/>
      <c r="T85"/>
    </row>
    <row r="86" spans="2:20" ht="23.1" customHeight="1" x14ac:dyDescent="0.25">
      <c r="B86" s="46" t="s">
        <v>126</v>
      </c>
      <c r="C86" s="50">
        <v>22</v>
      </c>
      <c r="D86" s="50">
        <v>2</v>
      </c>
      <c r="E86" s="50">
        <v>2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29</v>
      </c>
      <c r="N86" s="50">
        <v>0</v>
      </c>
      <c r="O86" s="15">
        <f t="shared" si="35"/>
        <v>27</v>
      </c>
      <c r="P86" s="15">
        <f t="shared" si="36"/>
        <v>56</v>
      </c>
      <c r="R86" s="8"/>
      <c r="T86"/>
    </row>
    <row r="87" spans="2:20" ht="23.1" customHeight="1" x14ac:dyDescent="0.25">
      <c r="B87" s="45" t="s">
        <v>127</v>
      </c>
      <c r="C87" s="50">
        <v>15</v>
      </c>
      <c r="D87" s="50">
        <v>1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35</v>
      </c>
      <c r="N87" s="50">
        <v>0</v>
      </c>
      <c r="O87" s="15">
        <f t="shared" si="35"/>
        <v>17</v>
      </c>
      <c r="P87" s="15">
        <f t="shared" si="36"/>
        <v>52</v>
      </c>
      <c r="R87" s="8"/>
      <c r="T87"/>
    </row>
    <row r="88" spans="2:20" ht="23.1" customHeight="1" x14ac:dyDescent="0.25">
      <c r="B88" s="47" t="s">
        <v>128</v>
      </c>
      <c r="C88" s="50">
        <v>12</v>
      </c>
      <c r="D88" s="50">
        <v>0</v>
      </c>
      <c r="E88" s="50">
        <v>0</v>
      </c>
      <c r="F88" s="50">
        <v>1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15</v>
      </c>
      <c r="N88" s="50">
        <v>0</v>
      </c>
      <c r="O88" s="15">
        <f t="shared" si="35"/>
        <v>13</v>
      </c>
      <c r="P88" s="15">
        <f t="shared" si="36"/>
        <v>28</v>
      </c>
      <c r="R88" s="8"/>
      <c r="T88"/>
    </row>
    <row r="89" spans="2:20" ht="23.1" customHeight="1" x14ac:dyDescent="0.25">
      <c r="B89" s="45" t="s">
        <v>129</v>
      </c>
      <c r="C89" s="50">
        <v>23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29</v>
      </c>
      <c r="N89" s="50">
        <v>0</v>
      </c>
      <c r="O89" s="15">
        <f t="shared" si="35"/>
        <v>23</v>
      </c>
      <c r="P89" s="15">
        <f t="shared" si="36"/>
        <v>52</v>
      </c>
      <c r="R89" s="8"/>
      <c r="T89"/>
    </row>
    <row r="90" spans="2:20" ht="23.1" customHeight="1" x14ac:dyDescent="0.25">
      <c r="B90" s="46" t="s">
        <v>130</v>
      </c>
      <c r="C90" s="50">
        <v>7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15</v>
      </c>
      <c r="N90" s="50">
        <v>0</v>
      </c>
      <c r="O90" s="15">
        <f t="shared" si="35"/>
        <v>8</v>
      </c>
      <c r="P90" s="15">
        <f t="shared" si="36"/>
        <v>23</v>
      </c>
      <c r="R90" s="8"/>
      <c r="T90"/>
    </row>
    <row r="91" spans="2:20" ht="23.1" customHeight="1" x14ac:dyDescent="0.25">
      <c r="B91" s="45" t="s">
        <v>131</v>
      </c>
      <c r="C91" s="50">
        <v>13</v>
      </c>
      <c r="D91" s="50">
        <v>2</v>
      </c>
      <c r="E91" s="50">
        <v>0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15</v>
      </c>
      <c r="N91" s="50">
        <v>0</v>
      </c>
      <c r="O91" s="15">
        <f t="shared" si="35"/>
        <v>16</v>
      </c>
      <c r="P91" s="15">
        <f t="shared" si="36"/>
        <v>31</v>
      </c>
      <c r="R91" s="8"/>
      <c r="T91"/>
    </row>
    <row r="92" spans="2:20" ht="23.1" customHeight="1" x14ac:dyDescent="0.25">
      <c r="B92" s="47" t="s">
        <v>132</v>
      </c>
      <c r="C92" s="50">
        <v>14</v>
      </c>
      <c r="D92" s="50">
        <v>1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25</v>
      </c>
      <c r="N92" s="50">
        <v>0</v>
      </c>
      <c r="O92" s="15">
        <f t="shared" si="35"/>
        <v>17</v>
      </c>
      <c r="P92" s="15">
        <f t="shared" si="36"/>
        <v>42</v>
      </c>
      <c r="R92" s="8"/>
      <c r="T92"/>
    </row>
    <row r="93" spans="2:20" ht="23.1" customHeight="1" x14ac:dyDescent="0.25">
      <c r="B93" s="45" t="s">
        <v>133</v>
      </c>
      <c r="C93" s="50">
        <v>13</v>
      </c>
      <c r="D93" s="50">
        <v>1</v>
      </c>
      <c r="E93" s="50">
        <v>2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1</v>
      </c>
      <c r="L93" s="50">
        <v>0</v>
      </c>
      <c r="M93" s="50">
        <v>10</v>
      </c>
      <c r="N93" s="50">
        <v>0</v>
      </c>
      <c r="O93" s="15">
        <f t="shared" si="35"/>
        <v>17</v>
      </c>
      <c r="P93" s="15">
        <f t="shared" si="36"/>
        <v>27</v>
      </c>
      <c r="R93" s="8"/>
      <c r="T93"/>
    </row>
    <row r="94" spans="2:20" ht="23.1" customHeight="1" x14ac:dyDescent="0.25">
      <c r="B94" s="46" t="s">
        <v>134</v>
      </c>
      <c r="C94" s="50">
        <v>9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8</v>
      </c>
      <c r="N94" s="50">
        <v>0</v>
      </c>
      <c r="O94" s="15">
        <f t="shared" si="35"/>
        <v>10</v>
      </c>
      <c r="P94" s="15">
        <f t="shared" si="36"/>
        <v>18</v>
      </c>
      <c r="R94" s="8"/>
      <c r="T94"/>
    </row>
    <row r="95" spans="2:20" ht="23.1" customHeight="1" x14ac:dyDescent="0.25">
      <c r="B95" s="45" t="s">
        <v>135</v>
      </c>
      <c r="C95" s="50">
        <v>15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12</v>
      </c>
      <c r="N95" s="50">
        <v>0</v>
      </c>
      <c r="O95" s="15">
        <f t="shared" si="35"/>
        <v>16</v>
      </c>
      <c r="P95" s="15">
        <f t="shared" si="36"/>
        <v>28</v>
      </c>
      <c r="R95" s="8"/>
      <c r="T95"/>
    </row>
    <row r="96" spans="2:20" ht="23.1" customHeight="1" x14ac:dyDescent="0.25">
      <c r="B96" s="47" t="s">
        <v>136</v>
      </c>
      <c r="C96" s="50">
        <v>9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11</v>
      </c>
      <c r="N96" s="50">
        <v>0</v>
      </c>
      <c r="O96" s="15">
        <f t="shared" si="35"/>
        <v>10</v>
      </c>
      <c r="P96" s="15">
        <f t="shared" si="36"/>
        <v>21</v>
      </c>
      <c r="R96" s="8"/>
      <c r="T96"/>
    </row>
    <row r="97" spans="2:20" ht="23.1" customHeight="1" x14ac:dyDescent="0.25">
      <c r="B97" s="45" t="s">
        <v>137</v>
      </c>
      <c r="C97" s="50">
        <v>5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12</v>
      </c>
      <c r="N97" s="50">
        <v>0</v>
      </c>
      <c r="O97" s="15">
        <f t="shared" si="35"/>
        <v>5</v>
      </c>
      <c r="P97" s="15">
        <f t="shared" si="36"/>
        <v>17</v>
      </c>
      <c r="R97" s="8"/>
      <c r="T97"/>
    </row>
    <row r="98" spans="2:20" ht="23.1" customHeight="1" x14ac:dyDescent="0.25">
      <c r="B98" s="46" t="s">
        <v>138</v>
      </c>
      <c r="C98" s="50">
        <v>7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11</v>
      </c>
      <c r="N98" s="50">
        <v>0</v>
      </c>
      <c r="O98" s="15">
        <f t="shared" si="35"/>
        <v>7</v>
      </c>
      <c r="P98" s="15">
        <f t="shared" si="36"/>
        <v>18</v>
      </c>
      <c r="R98" s="8"/>
      <c r="T98"/>
    </row>
    <row r="99" spans="2:20" ht="23.1" customHeight="1" x14ac:dyDescent="0.25">
      <c r="B99" s="45" t="s">
        <v>139</v>
      </c>
      <c r="C99" s="50">
        <v>10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17</v>
      </c>
      <c r="N99" s="50">
        <v>0</v>
      </c>
      <c r="O99" s="15">
        <f t="shared" si="35"/>
        <v>11</v>
      </c>
      <c r="P99" s="15">
        <f t="shared" si="36"/>
        <v>28</v>
      </c>
      <c r="R99" s="8"/>
      <c r="T99"/>
    </row>
    <row r="100" spans="2:20" ht="23.1" customHeight="1" x14ac:dyDescent="0.25">
      <c r="B100" s="47" t="s">
        <v>140</v>
      </c>
      <c r="C100" s="50">
        <v>8</v>
      </c>
      <c r="D100" s="50">
        <v>0</v>
      </c>
      <c r="E100" s="50">
        <v>0</v>
      </c>
      <c r="F100" s="50">
        <v>3</v>
      </c>
      <c r="G100" s="50">
        <v>0</v>
      </c>
      <c r="H100" s="50">
        <v>0</v>
      </c>
      <c r="I100" s="50">
        <v>2</v>
      </c>
      <c r="J100" s="50">
        <v>1</v>
      </c>
      <c r="K100" s="50">
        <v>0</v>
      </c>
      <c r="L100" s="50">
        <v>0</v>
      </c>
      <c r="M100" s="50">
        <v>25</v>
      </c>
      <c r="N100" s="50">
        <v>0</v>
      </c>
      <c r="O100" s="15">
        <f t="shared" si="35"/>
        <v>14</v>
      </c>
      <c r="P100" s="15">
        <f t="shared" si="36"/>
        <v>39</v>
      </c>
      <c r="R100" s="8"/>
      <c r="T100"/>
    </row>
    <row r="101" spans="2:20" ht="23.1" customHeight="1" x14ac:dyDescent="0.25">
      <c r="B101" s="45" t="s">
        <v>141</v>
      </c>
      <c r="C101" s="50">
        <v>3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4</v>
      </c>
      <c r="P101" s="15">
        <f t="shared" si="36"/>
        <v>6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2</v>
      </c>
      <c r="J102" s="50">
        <v>0</v>
      </c>
      <c r="K102" s="50">
        <v>0</v>
      </c>
      <c r="L102" s="50">
        <v>0</v>
      </c>
      <c r="M102" s="50">
        <v>23</v>
      </c>
      <c r="N102" s="50">
        <v>0</v>
      </c>
      <c r="O102" s="15">
        <f t="shared" si="35"/>
        <v>10</v>
      </c>
      <c r="P102" s="15">
        <f t="shared" si="36"/>
        <v>33</v>
      </c>
      <c r="R102" s="8"/>
      <c r="T102"/>
    </row>
    <row r="103" spans="2:20" ht="23.1" customHeight="1" x14ac:dyDescent="0.25">
      <c r="B103" s="45" t="s">
        <v>143</v>
      </c>
      <c r="C103" s="50">
        <v>6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24</v>
      </c>
      <c r="N103" s="50">
        <v>0</v>
      </c>
      <c r="O103" s="15">
        <f t="shared" si="35"/>
        <v>7</v>
      </c>
      <c r="P103" s="15">
        <f t="shared" si="36"/>
        <v>31</v>
      </c>
      <c r="R103" s="8"/>
      <c r="T103"/>
    </row>
    <row r="104" spans="2:20" ht="23.1" customHeight="1" x14ac:dyDescent="0.25">
      <c r="B104" s="47" t="s">
        <v>144</v>
      </c>
      <c r="C104" s="50">
        <v>9</v>
      </c>
      <c r="D104" s="50">
        <v>0</v>
      </c>
      <c r="E104" s="50">
        <v>1</v>
      </c>
      <c r="F104" s="50">
        <v>1</v>
      </c>
      <c r="G104" s="50">
        <v>0</v>
      </c>
      <c r="H104" s="50">
        <v>0</v>
      </c>
      <c r="I104" s="50">
        <v>0</v>
      </c>
      <c r="J104" s="50">
        <v>1</v>
      </c>
      <c r="K104" s="50">
        <v>0</v>
      </c>
      <c r="L104" s="50">
        <v>0</v>
      </c>
      <c r="M104" s="50">
        <v>41</v>
      </c>
      <c r="N104" s="50">
        <v>0</v>
      </c>
      <c r="O104" s="15">
        <f t="shared" si="35"/>
        <v>12</v>
      </c>
      <c r="P104" s="15">
        <f t="shared" si="36"/>
        <v>53</v>
      </c>
      <c r="R104" s="8"/>
      <c r="T104"/>
    </row>
    <row r="105" spans="2:20" ht="23.1" customHeight="1" x14ac:dyDescent="0.25">
      <c r="B105" s="45" t="s">
        <v>145</v>
      </c>
      <c r="C105" s="50">
        <v>12</v>
      </c>
      <c r="D105" s="50">
        <v>0</v>
      </c>
      <c r="E105" s="50">
        <v>0</v>
      </c>
      <c r="F105" s="50">
        <v>3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60</v>
      </c>
      <c r="N105" s="50">
        <v>0</v>
      </c>
      <c r="O105" s="15">
        <f t="shared" si="35"/>
        <v>16</v>
      </c>
      <c r="P105" s="15">
        <f t="shared" si="36"/>
        <v>76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5142</v>
      </c>
      <c r="D106" s="16">
        <f t="shared" ref="D106:P106" si="37">SUM(D10:D105)</f>
        <v>641</v>
      </c>
      <c r="E106" s="16">
        <f t="shared" si="37"/>
        <v>584</v>
      </c>
      <c r="F106" s="16">
        <f t="shared" si="37"/>
        <v>1300</v>
      </c>
      <c r="G106" s="16">
        <f t="shared" si="37"/>
        <v>22</v>
      </c>
      <c r="H106" s="16">
        <f t="shared" si="37"/>
        <v>5</v>
      </c>
      <c r="I106" s="16">
        <f t="shared" si="37"/>
        <v>343</v>
      </c>
      <c r="J106" s="16">
        <f t="shared" si="37"/>
        <v>41</v>
      </c>
      <c r="K106" s="16">
        <f t="shared" si="37"/>
        <v>6</v>
      </c>
      <c r="L106" s="16">
        <f t="shared" si="37"/>
        <v>0</v>
      </c>
      <c r="M106" s="16">
        <f t="shared" si="37"/>
        <v>8334</v>
      </c>
      <c r="N106" s="16">
        <f t="shared" si="37"/>
        <v>0</v>
      </c>
      <c r="O106" s="16">
        <f t="shared" si="37"/>
        <v>8084</v>
      </c>
      <c r="P106" s="16">
        <f t="shared" si="37"/>
        <v>16418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0.31319283712997931</v>
      </c>
      <c r="D107" s="43">
        <f t="shared" si="38"/>
        <v>3.9042514313558291E-2</v>
      </c>
      <c r="E107" s="43">
        <f t="shared" si="38"/>
        <v>3.5570715068826898E-2</v>
      </c>
      <c r="F107" s="43">
        <f t="shared" si="38"/>
        <v>7.9181386283347546E-2</v>
      </c>
      <c r="G107" s="43">
        <f t="shared" si="38"/>
        <v>1.3399926909489586E-3</v>
      </c>
      <c r="H107" s="43">
        <f t="shared" si="38"/>
        <v>3.0454379339749056E-4</v>
      </c>
      <c r="I107" s="43">
        <f t="shared" si="38"/>
        <v>2.0891704227067851E-2</v>
      </c>
      <c r="J107" s="43">
        <f t="shared" si="38"/>
        <v>2.4972591058594227E-3</v>
      </c>
      <c r="K107" s="43">
        <f t="shared" si="38"/>
        <v>3.6545255207698867E-4</v>
      </c>
      <c r="L107" s="43">
        <f t="shared" si="38"/>
        <v>0</v>
      </c>
      <c r="M107" s="43">
        <f t="shared" si="38"/>
        <v>0.50761359483493729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0.63607125185551705</v>
      </c>
      <c r="D108" s="44">
        <f t="shared" ref="D108:N108" si="39">D106/$O$106</f>
        <v>7.9292429490351313E-2</v>
      </c>
      <c r="E108" s="44">
        <f t="shared" si="39"/>
        <v>7.2241464621474516E-2</v>
      </c>
      <c r="F108" s="44">
        <f t="shared" si="39"/>
        <v>0.16081147946561108</v>
      </c>
      <c r="G108" s="44">
        <f t="shared" si="39"/>
        <v>2.7214250371103412E-3</v>
      </c>
      <c r="H108" s="44">
        <f t="shared" si="39"/>
        <v>6.1850569025235027E-4</v>
      </c>
      <c r="I108" s="44">
        <f t="shared" si="39"/>
        <v>4.242949035131123E-2</v>
      </c>
      <c r="J108" s="44">
        <f t="shared" si="39"/>
        <v>5.0717466600692729E-3</v>
      </c>
      <c r="K108" s="44">
        <f t="shared" si="39"/>
        <v>7.4220682830282035E-4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Kyebando-Mulago'!C3:G3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55" t="str">
        <f>'03.08 Mulago-Kyebando-24h'!G5:H5</f>
        <v>Kisingiri Street</v>
      </c>
      <c r="H5" s="56"/>
      <c r="I5" s="14"/>
      <c r="J5" s="2" t="s">
        <v>5</v>
      </c>
      <c r="K5" s="55" t="s">
        <v>170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'02.08 Kyebando-Mulago'!D6:E6</f>
        <v>Kyebando</v>
      </c>
      <c r="E6" s="56"/>
      <c r="F6" s="2" t="s">
        <v>2</v>
      </c>
      <c r="G6" s="55" t="str">
        <f>'02.08 Kyebando-Mulago'!G6:H6</f>
        <v>Mulago</v>
      </c>
      <c r="H6" s="56"/>
      <c r="J6" s="2" t="s">
        <v>21</v>
      </c>
      <c r="K6" s="55" t="str">
        <f>'03.08 Mulago-Kyebando-24h'!K6:L6</f>
        <v>Steven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23</v>
      </c>
      <c r="D10" s="50">
        <v>6</v>
      </c>
      <c r="E10" s="50">
        <v>3</v>
      </c>
      <c r="F10" s="50">
        <v>14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55</v>
      </c>
      <c r="N10" s="50">
        <v>0</v>
      </c>
      <c r="O10" s="15">
        <f t="shared" ref="O10:O57" si="0">SUM(C10:L10,N10)</f>
        <v>48</v>
      </c>
      <c r="P10" s="15">
        <f t="shared" ref="P10:P57" si="1">SUM(C10:N10)</f>
        <v>103</v>
      </c>
      <c r="R10" s="1" t="s">
        <v>6</v>
      </c>
      <c r="S10" s="17">
        <f t="shared" ref="S10:AF10" si="2">SUM(C10:C13)</f>
        <v>154</v>
      </c>
      <c r="T10" s="17">
        <f t="shared" si="2"/>
        <v>29</v>
      </c>
      <c r="U10" s="17">
        <f t="shared" si="2"/>
        <v>14</v>
      </c>
      <c r="V10" s="17">
        <f t="shared" si="2"/>
        <v>43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252</v>
      </c>
      <c r="AD10" s="17">
        <f t="shared" si="2"/>
        <v>0</v>
      </c>
      <c r="AE10" s="31">
        <f t="shared" si="2"/>
        <v>248</v>
      </c>
      <c r="AF10" s="31">
        <f t="shared" si="2"/>
        <v>500</v>
      </c>
    </row>
    <row r="11" spans="2:32" s="6" customFormat="1" ht="23.1" customHeight="1" x14ac:dyDescent="0.25">
      <c r="B11" s="23" t="s">
        <v>38</v>
      </c>
      <c r="C11" s="50">
        <v>22</v>
      </c>
      <c r="D11" s="50">
        <v>4</v>
      </c>
      <c r="E11" s="50">
        <v>0</v>
      </c>
      <c r="F11" s="50">
        <v>10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63</v>
      </c>
      <c r="N11" s="50">
        <v>0</v>
      </c>
      <c r="O11" s="15">
        <f t="shared" si="0"/>
        <v>36</v>
      </c>
      <c r="P11" s="15">
        <f t="shared" si="1"/>
        <v>99</v>
      </c>
      <c r="R11" s="1" t="s">
        <v>7</v>
      </c>
      <c r="S11" s="17">
        <f t="shared" ref="S11:AF11" si="3">SUM(C14:C17)</f>
        <v>190</v>
      </c>
      <c r="T11" s="17">
        <f t="shared" si="3"/>
        <v>24</v>
      </c>
      <c r="U11" s="17">
        <f t="shared" si="3"/>
        <v>18</v>
      </c>
      <c r="V11" s="17">
        <f t="shared" si="3"/>
        <v>41</v>
      </c>
      <c r="W11" s="17">
        <f t="shared" si="3"/>
        <v>0</v>
      </c>
      <c r="X11" s="17">
        <f t="shared" si="3"/>
        <v>0</v>
      </c>
      <c r="Y11" s="17">
        <f t="shared" si="3"/>
        <v>13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346</v>
      </c>
      <c r="AD11" s="17">
        <f t="shared" si="3"/>
        <v>0</v>
      </c>
      <c r="AE11" s="31">
        <f t="shared" si="3"/>
        <v>286</v>
      </c>
      <c r="AF11" s="31">
        <f t="shared" si="3"/>
        <v>632</v>
      </c>
    </row>
    <row r="12" spans="2:32" ht="23.1" customHeight="1" x14ac:dyDescent="0.25">
      <c r="B12" s="23" t="s">
        <v>39</v>
      </c>
      <c r="C12" s="50">
        <v>63</v>
      </c>
      <c r="D12" s="50">
        <v>8</v>
      </c>
      <c r="E12" s="50">
        <v>7</v>
      </c>
      <c r="F12" s="50">
        <v>11</v>
      </c>
      <c r="G12" s="50">
        <v>0</v>
      </c>
      <c r="H12" s="50">
        <v>0</v>
      </c>
      <c r="I12" s="50">
        <v>3</v>
      </c>
      <c r="J12" s="50">
        <v>1</v>
      </c>
      <c r="K12" s="50">
        <v>0</v>
      </c>
      <c r="L12" s="50">
        <v>0</v>
      </c>
      <c r="M12" s="50">
        <v>58</v>
      </c>
      <c r="N12" s="50">
        <v>0</v>
      </c>
      <c r="O12" s="15">
        <f t="shared" si="0"/>
        <v>93</v>
      </c>
      <c r="P12" s="15">
        <f t="shared" si="1"/>
        <v>151</v>
      </c>
      <c r="R12" s="1" t="s">
        <v>8</v>
      </c>
      <c r="S12" s="17">
        <f t="shared" ref="S12:AF12" si="4">SUM(C18:C21)</f>
        <v>193</v>
      </c>
      <c r="T12" s="17">
        <f t="shared" si="4"/>
        <v>46</v>
      </c>
      <c r="U12" s="17">
        <f t="shared" si="4"/>
        <v>26</v>
      </c>
      <c r="V12" s="17">
        <f t="shared" si="4"/>
        <v>57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317</v>
      </c>
      <c r="AD12" s="17">
        <f t="shared" si="4"/>
        <v>0</v>
      </c>
      <c r="AE12" s="31">
        <f t="shared" si="4"/>
        <v>335</v>
      </c>
      <c r="AF12" s="31">
        <f t="shared" si="4"/>
        <v>652</v>
      </c>
    </row>
    <row r="13" spans="2:32" ht="23.1" customHeight="1" x14ac:dyDescent="0.25">
      <c r="B13" s="23" t="s">
        <v>40</v>
      </c>
      <c r="C13" s="50">
        <v>46</v>
      </c>
      <c r="D13" s="50">
        <v>11</v>
      </c>
      <c r="E13" s="50">
        <v>4</v>
      </c>
      <c r="F13" s="50">
        <v>8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76</v>
      </c>
      <c r="N13" s="50">
        <v>0</v>
      </c>
      <c r="O13" s="15">
        <f t="shared" si="0"/>
        <v>71</v>
      </c>
      <c r="P13" s="15">
        <f t="shared" si="1"/>
        <v>147</v>
      </c>
      <c r="R13" s="1" t="s">
        <v>9</v>
      </c>
      <c r="S13" s="17">
        <f t="shared" ref="S13:AF13" si="5">SUM(C22:C25)</f>
        <v>319</v>
      </c>
      <c r="T13" s="17">
        <f t="shared" si="5"/>
        <v>66</v>
      </c>
      <c r="U13" s="17">
        <f t="shared" si="5"/>
        <v>23</v>
      </c>
      <c r="V13" s="17">
        <f t="shared" si="5"/>
        <v>39</v>
      </c>
      <c r="W13" s="17">
        <f t="shared" si="5"/>
        <v>2</v>
      </c>
      <c r="X13" s="17">
        <f t="shared" si="5"/>
        <v>2</v>
      </c>
      <c r="Y13" s="17">
        <f t="shared" si="5"/>
        <v>6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461</v>
      </c>
      <c r="AD13" s="17">
        <f t="shared" si="5"/>
        <v>0</v>
      </c>
      <c r="AE13" s="31">
        <f t="shared" si="5"/>
        <v>460</v>
      </c>
      <c r="AF13" s="31">
        <f t="shared" si="5"/>
        <v>921</v>
      </c>
    </row>
    <row r="14" spans="2:32" ht="23.1" customHeight="1" x14ac:dyDescent="0.25">
      <c r="B14" s="23" t="s">
        <v>41</v>
      </c>
      <c r="C14" s="50">
        <v>39</v>
      </c>
      <c r="D14" s="50">
        <v>1</v>
      </c>
      <c r="E14" s="50">
        <v>2</v>
      </c>
      <c r="F14" s="50">
        <v>6</v>
      </c>
      <c r="G14" s="50">
        <v>0</v>
      </c>
      <c r="H14" s="50">
        <v>0</v>
      </c>
      <c r="I14" s="50">
        <v>6</v>
      </c>
      <c r="J14" s="50">
        <v>0</v>
      </c>
      <c r="K14" s="50">
        <v>0</v>
      </c>
      <c r="L14" s="50">
        <v>0</v>
      </c>
      <c r="M14" s="50">
        <v>71</v>
      </c>
      <c r="N14" s="50">
        <v>0</v>
      </c>
      <c r="O14" s="15">
        <f t="shared" si="0"/>
        <v>54</v>
      </c>
      <c r="P14" s="15">
        <f t="shared" si="1"/>
        <v>125</v>
      </c>
      <c r="R14" s="1" t="s">
        <v>10</v>
      </c>
      <c r="S14" s="17">
        <f t="shared" ref="S14:AF14" si="6">SUM(C26:C29)</f>
        <v>243</v>
      </c>
      <c r="T14" s="17">
        <f t="shared" si="6"/>
        <v>64</v>
      </c>
      <c r="U14" s="17">
        <f t="shared" si="6"/>
        <v>21</v>
      </c>
      <c r="V14" s="17">
        <f t="shared" si="6"/>
        <v>48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418</v>
      </c>
      <c r="AD14" s="17">
        <f t="shared" si="6"/>
        <v>0</v>
      </c>
      <c r="AE14" s="31">
        <f t="shared" si="6"/>
        <v>391</v>
      </c>
      <c r="AF14" s="31">
        <f t="shared" si="6"/>
        <v>809</v>
      </c>
    </row>
    <row r="15" spans="2:32" ht="23.1" customHeight="1" x14ac:dyDescent="0.25">
      <c r="B15" s="23" t="s">
        <v>42</v>
      </c>
      <c r="C15" s="50">
        <v>46</v>
      </c>
      <c r="D15" s="50">
        <v>9</v>
      </c>
      <c r="E15" s="50">
        <v>7</v>
      </c>
      <c r="F15" s="50">
        <v>12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90</v>
      </c>
      <c r="N15" s="50">
        <v>0</v>
      </c>
      <c r="O15" s="15">
        <f t="shared" si="0"/>
        <v>78</v>
      </c>
      <c r="P15" s="15">
        <f t="shared" si="1"/>
        <v>168</v>
      </c>
      <c r="R15" s="1" t="s">
        <v>11</v>
      </c>
      <c r="S15" s="17">
        <f t="shared" ref="S15:AF15" si="7">SUM(C30:C33)</f>
        <v>214</v>
      </c>
      <c r="T15" s="17">
        <f t="shared" si="7"/>
        <v>40</v>
      </c>
      <c r="U15" s="17">
        <f t="shared" si="7"/>
        <v>17</v>
      </c>
      <c r="V15" s="17">
        <f t="shared" si="7"/>
        <v>50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5</v>
      </c>
      <c r="AA15" s="17">
        <f t="shared" si="7"/>
        <v>0</v>
      </c>
      <c r="AB15" s="17">
        <f t="shared" si="7"/>
        <v>0</v>
      </c>
      <c r="AC15" s="17">
        <f t="shared" si="7"/>
        <v>368</v>
      </c>
      <c r="AD15" s="17">
        <f t="shared" si="7"/>
        <v>0</v>
      </c>
      <c r="AE15" s="31">
        <f t="shared" si="7"/>
        <v>337</v>
      </c>
      <c r="AF15" s="31">
        <f t="shared" si="7"/>
        <v>705</v>
      </c>
    </row>
    <row r="16" spans="2:32" ht="23.1" customHeight="1" x14ac:dyDescent="0.25">
      <c r="B16" s="23" t="s">
        <v>43</v>
      </c>
      <c r="C16" s="50">
        <v>53</v>
      </c>
      <c r="D16" s="50">
        <v>6</v>
      </c>
      <c r="E16" s="50">
        <v>8</v>
      </c>
      <c r="F16" s="50">
        <v>7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80</v>
      </c>
      <c r="N16" s="50">
        <v>0</v>
      </c>
      <c r="O16" s="15">
        <f t="shared" si="0"/>
        <v>76</v>
      </c>
      <c r="P16" s="15">
        <f t="shared" si="1"/>
        <v>156</v>
      </c>
      <c r="R16" s="1" t="s">
        <v>12</v>
      </c>
      <c r="S16" s="17">
        <f t="shared" ref="S16:AF16" si="8">SUM(C34:C37)</f>
        <v>170</v>
      </c>
      <c r="T16" s="17">
        <f t="shared" si="8"/>
        <v>43</v>
      </c>
      <c r="U16" s="17">
        <f t="shared" si="8"/>
        <v>15</v>
      </c>
      <c r="V16" s="17">
        <f t="shared" si="8"/>
        <v>31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361</v>
      </c>
      <c r="AD16" s="17">
        <f t="shared" si="8"/>
        <v>0</v>
      </c>
      <c r="AE16" s="31">
        <f t="shared" si="8"/>
        <v>272</v>
      </c>
      <c r="AF16" s="31">
        <f t="shared" si="8"/>
        <v>633</v>
      </c>
    </row>
    <row r="17" spans="2:32" ht="23.1" customHeight="1" x14ac:dyDescent="0.25">
      <c r="B17" s="23" t="s">
        <v>44</v>
      </c>
      <c r="C17" s="50">
        <v>52</v>
      </c>
      <c r="D17" s="50">
        <v>8</v>
      </c>
      <c r="E17" s="50">
        <v>1</v>
      </c>
      <c r="F17" s="50">
        <v>16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105</v>
      </c>
      <c r="N17" s="50">
        <v>0</v>
      </c>
      <c r="O17" s="15">
        <f t="shared" si="0"/>
        <v>78</v>
      </c>
      <c r="P17" s="15">
        <f t="shared" si="1"/>
        <v>183</v>
      </c>
      <c r="R17" s="1" t="s">
        <v>13</v>
      </c>
      <c r="S17" s="17">
        <f t="shared" ref="S17:AF17" si="9">SUM(C38:C41)</f>
        <v>189</v>
      </c>
      <c r="T17" s="17">
        <f t="shared" si="9"/>
        <v>24</v>
      </c>
      <c r="U17" s="17">
        <f t="shared" si="9"/>
        <v>14</v>
      </c>
      <c r="V17" s="17">
        <f t="shared" si="9"/>
        <v>30</v>
      </c>
      <c r="W17" s="17">
        <f t="shared" si="9"/>
        <v>0</v>
      </c>
      <c r="X17" s="17">
        <f t="shared" si="9"/>
        <v>0</v>
      </c>
      <c r="Y17" s="17">
        <f t="shared" si="9"/>
        <v>11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371</v>
      </c>
      <c r="AD17" s="17">
        <f t="shared" si="9"/>
        <v>0</v>
      </c>
      <c r="AE17" s="31">
        <f t="shared" si="9"/>
        <v>271</v>
      </c>
      <c r="AF17" s="31">
        <f t="shared" si="9"/>
        <v>642</v>
      </c>
    </row>
    <row r="18" spans="2:32" ht="23.1" customHeight="1" x14ac:dyDescent="0.25">
      <c r="B18" s="23" t="s">
        <v>45</v>
      </c>
      <c r="C18" s="50">
        <v>48</v>
      </c>
      <c r="D18" s="50">
        <v>10</v>
      </c>
      <c r="E18" s="50">
        <v>6</v>
      </c>
      <c r="F18" s="50">
        <v>10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91</v>
      </c>
      <c r="N18" s="50">
        <v>0</v>
      </c>
      <c r="O18" s="15">
        <f t="shared" si="0"/>
        <v>77</v>
      </c>
      <c r="P18" s="15">
        <f t="shared" si="1"/>
        <v>168</v>
      </c>
      <c r="R18" s="1" t="s">
        <v>14</v>
      </c>
      <c r="S18" s="17">
        <f t="shared" ref="S18:AF18" si="10">SUM(C42:C45)</f>
        <v>220</v>
      </c>
      <c r="T18" s="17">
        <f t="shared" si="10"/>
        <v>29</v>
      </c>
      <c r="U18" s="17">
        <f t="shared" si="10"/>
        <v>14</v>
      </c>
      <c r="V18" s="17">
        <f t="shared" si="10"/>
        <v>33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331</v>
      </c>
      <c r="AD18" s="17">
        <f t="shared" si="10"/>
        <v>0</v>
      </c>
      <c r="AE18" s="31">
        <f t="shared" si="10"/>
        <v>307</v>
      </c>
      <c r="AF18" s="31">
        <f t="shared" si="10"/>
        <v>638</v>
      </c>
    </row>
    <row r="19" spans="2:32" ht="23.1" customHeight="1" x14ac:dyDescent="0.25">
      <c r="B19" s="23" t="s">
        <v>46</v>
      </c>
      <c r="C19" s="50">
        <v>52</v>
      </c>
      <c r="D19" s="50">
        <v>10</v>
      </c>
      <c r="E19" s="50">
        <v>8</v>
      </c>
      <c r="F19" s="50">
        <v>18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85</v>
      </c>
      <c r="N19" s="50">
        <v>0</v>
      </c>
      <c r="O19" s="15">
        <f t="shared" si="0"/>
        <v>89</v>
      </c>
      <c r="P19" s="15">
        <f t="shared" si="1"/>
        <v>174</v>
      </c>
      <c r="R19" s="1" t="s">
        <v>15</v>
      </c>
      <c r="S19" s="17">
        <f t="shared" ref="S19:AF19" si="11">SUM(C46:C49)</f>
        <v>234</v>
      </c>
      <c r="T19" s="17">
        <f t="shared" si="11"/>
        <v>27</v>
      </c>
      <c r="U19" s="17">
        <f t="shared" si="11"/>
        <v>17</v>
      </c>
      <c r="V19" s="17">
        <f t="shared" si="11"/>
        <v>31</v>
      </c>
      <c r="W19" s="17">
        <f t="shared" si="11"/>
        <v>1</v>
      </c>
      <c r="X19" s="17">
        <f t="shared" si="11"/>
        <v>0</v>
      </c>
      <c r="Y19" s="17">
        <f t="shared" si="11"/>
        <v>5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357</v>
      </c>
      <c r="AD19" s="17">
        <f t="shared" si="11"/>
        <v>0</v>
      </c>
      <c r="AE19" s="31">
        <f t="shared" si="11"/>
        <v>318</v>
      </c>
      <c r="AF19" s="31">
        <f t="shared" si="11"/>
        <v>675</v>
      </c>
    </row>
    <row r="20" spans="2:32" ht="23.1" customHeight="1" x14ac:dyDescent="0.25">
      <c r="B20" s="23" t="s">
        <v>47</v>
      </c>
      <c r="C20" s="50">
        <v>38</v>
      </c>
      <c r="D20" s="50">
        <v>12</v>
      </c>
      <c r="E20" s="50">
        <v>5</v>
      </c>
      <c r="F20" s="50">
        <v>20</v>
      </c>
      <c r="G20" s="50">
        <v>0</v>
      </c>
      <c r="H20" s="50">
        <v>0</v>
      </c>
      <c r="I20" s="50">
        <v>5</v>
      </c>
      <c r="J20" s="50">
        <v>1</v>
      </c>
      <c r="K20" s="50">
        <v>0</v>
      </c>
      <c r="L20" s="50">
        <v>0</v>
      </c>
      <c r="M20" s="50">
        <v>66</v>
      </c>
      <c r="N20" s="50">
        <v>0</v>
      </c>
      <c r="O20" s="15">
        <f t="shared" si="0"/>
        <v>81</v>
      </c>
      <c r="P20" s="15">
        <f t="shared" si="1"/>
        <v>147</v>
      </c>
      <c r="R20" s="1" t="s">
        <v>16</v>
      </c>
      <c r="S20" s="17">
        <f t="shared" ref="S20:AF20" si="12">SUM(C50:C53)</f>
        <v>196</v>
      </c>
      <c r="T20" s="17">
        <f t="shared" si="12"/>
        <v>43</v>
      </c>
      <c r="U20" s="17">
        <f t="shared" si="12"/>
        <v>25</v>
      </c>
      <c r="V20" s="17">
        <f t="shared" si="12"/>
        <v>31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6</v>
      </c>
      <c r="AA20" s="17">
        <f t="shared" si="12"/>
        <v>2</v>
      </c>
      <c r="AB20" s="17">
        <f t="shared" si="12"/>
        <v>0</v>
      </c>
      <c r="AC20" s="17">
        <f t="shared" si="12"/>
        <v>341</v>
      </c>
      <c r="AD20" s="17">
        <f t="shared" si="12"/>
        <v>0</v>
      </c>
      <c r="AE20" s="31">
        <f t="shared" si="12"/>
        <v>306</v>
      </c>
      <c r="AF20" s="31">
        <f t="shared" si="12"/>
        <v>647</v>
      </c>
    </row>
    <row r="21" spans="2:32" ht="23.1" customHeight="1" x14ac:dyDescent="0.25">
      <c r="B21" s="23" t="s">
        <v>48</v>
      </c>
      <c r="C21" s="50">
        <v>55</v>
      </c>
      <c r="D21" s="50">
        <v>14</v>
      </c>
      <c r="E21" s="50">
        <v>7</v>
      </c>
      <c r="F21" s="50">
        <v>9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75</v>
      </c>
      <c r="N21" s="50">
        <v>0</v>
      </c>
      <c r="O21" s="15">
        <f t="shared" si="0"/>
        <v>88</v>
      </c>
      <c r="P21" s="15">
        <f t="shared" si="1"/>
        <v>163</v>
      </c>
      <c r="R21" s="36" t="s">
        <v>20</v>
      </c>
      <c r="S21" s="34">
        <f t="shared" ref="S21:AF21" si="13">SUM(C54:C57)</f>
        <v>197</v>
      </c>
      <c r="T21" s="17">
        <f t="shared" si="13"/>
        <v>20</v>
      </c>
      <c r="U21" s="17">
        <f t="shared" si="13"/>
        <v>11</v>
      </c>
      <c r="V21" s="17">
        <f t="shared" si="13"/>
        <v>31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5</v>
      </c>
      <c r="AA21" s="17">
        <f t="shared" si="13"/>
        <v>0</v>
      </c>
      <c r="AB21" s="17">
        <f t="shared" si="13"/>
        <v>0</v>
      </c>
      <c r="AC21" s="17">
        <f t="shared" si="13"/>
        <v>295</v>
      </c>
      <c r="AD21" s="17">
        <f t="shared" si="13"/>
        <v>0</v>
      </c>
      <c r="AE21" s="31">
        <f t="shared" si="13"/>
        <v>267</v>
      </c>
      <c r="AF21" s="31">
        <f t="shared" si="13"/>
        <v>562</v>
      </c>
    </row>
    <row r="22" spans="2:32" ht="23.1" customHeight="1" x14ac:dyDescent="0.25">
      <c r="B22" s="23" t="s">
        <v>49</v>
      </c>
      <c r="C22" s="50">
        <v>77</v>
      </c>
      <c r="D22" s="50">
        <v>26</v>
      </c>
      <c r="E22" s="50">
        <v>6</v>
      </c>
      <c r="F22" s="50">
        <v>11</v>
      </c>
      <c r="G22" s="50">
        <v>0</v>
      </c>
      <c r="H22" s="50">
        <v>1</v>
      </c>
      <c r="I22" s="50">
        <v>1</v>
      </c>
      <c r="J22" s="50">
        <v>1</v>
      </c>
      <c r="K22" s="50">
        <v>0</v>
      </c>
      <c r="L22" s="50">
        <v>0</v>
      </c>
      <c r="M22" s="50">
        <v>115</v>
      </c>
      <c r="N22" s="50">
        <v>0</v>
      </c>
      <c r="O22" s="15">
        <f t="shared" si="0"/>
        <v>123</v>
      </c>
      <c r="P22" s="15">
        <f t="shared" si="1"/>
        <v>238</v>
      </c>
      <c r="R22" s="38" t="s">
        <v>90</v>
      </c>
      <c r="S22" s="39">
        <f>MAX(S10:S12)</f>
        <v>193</v>
      </c>
      <c r="T22" s="39">
        <f t="shared" ref="T22:AF22" si="14">MAX(T10:T12)</f>
        <v>46</v>
      </c>
      <c r="U22" s="39">
        <f t="shared" si="14"/>
        <v>26</v>
      </c>
      <c r="V22" s="39">
        <f t="shared" si="14"/>
        <v>57</v>
      </c>
      <c r="W22" s="39">
        <f t="shared" si="14"/>
        <v>0</v>
      </c>
      <c r="X22" s="39">
        <f t="shared" si="14"/>
        <v>0</v>
      </c>
      <c r="Y22" s="39">
        <f t="shared" si="14"/>
        <v>13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346</v>
      </c>
      <c r="AD22" s="39">
        <f t="shared" si="14"/>
        <v>0</v>
      </c>
      <c r="AE22" s="40">
        <f t="shared" si="14"/>
        <v>335</v>
      </c>
      <c r="AF22" s="40">
        <f t="shared" si="14"/>
        <v>652</v>
      </c>
    </row>
    <row r="23" spans="2:32" ht="23.1" customHeight="1" x14ac:dyDescent="0.25">
      <c r="B23" s="23" t="s">
        <v>50</v>
      </c>
      <c r="C23" s="50">
        <v>86</v>
      </c>
      <c r="D23" s="50">
        <v>12</v>
      </c>
      <c r="E23" s="50">
        <v>6</v>
      </c>
      <c r="F23" s="50">
        <v>12</v>
      </c>
      <c r="G23" s="50">
        <v>0</v>
      </c>
      <c r="H23" s="50">
        <v>1</v>
      </c>
      <c r="I23" s="50">
        <v>1</v>
      </c>
      <c r="J23" s="50">
        <v>1</v>
      </c>
      <c r="K23" s="50">
        <v>0</v>
      </c>
      <c r="L23" s="50">
        <v>0</v>
      </c>
      <c r="M23" s="50">
        <v>110</v>
      </c>
      <c r="N23" s="50">
        <v>0</v>
      </c>
      <c r="O23" s="15">
        <f t="shared" si="0"/>
        <v>119</v>
      </c>
      <c r="P23" s="15">
        <f t="shared" si="1"/>
        <v>229</v>
      </c>
      <c r="R23" s="38" t="s">
        <v>91</v>
      </c>
      <c r="S23" s="39">
        <f>MAX(S13:S18)</f>
        <v>319</v>
      </c>
      <c r="T23" s="39">
        <f t="shared" ref="T23:AF23" si="15">MAX(T13:T18)</f>
        <v>66</v>
      </c>
      <c r="U23" s="39">
        <f t="shared" si="15"/>
        <v>23</v>
      </c>
      <c r="V23" s="39">
        <f t="shared" si="15"/>
        <v>50</v>
      </c>
      <c r="W23" s="39">
        <f t="shared" si="15"/>
        <v>2</v>
      </c>
      <c r="X23" s="39">
        <f t="shared" si="15"/>
        <v>2</v>
      </c>
      <c r="Y23" s="39">
        <f t="shared" si="15"/>
        <v>12</v>
      </c>
      <c r="Z23" s="39">
        <f t="shared" si="15"/>
        <v>5</v>
      </c>
      <c r="AA23" s="39">
        <f t="shared" si="15"/>
        <v>0</v>
      </c>
      <c r="AB23" s="39">
        <f t="shared" si="15"/>
        <v>0</v>
      </c>
      <c r="AC23" s="39">
        <f t="shared" si="15"/>
        <v>461</v>
      </c>
      <c r="AD23" s="39">
        <f t="shared" si="15"/>
        <v>0</v>
      </c>
      <c r="AE23" s="40">
        <f t="shared" si="15"/>
        <v>460</v>
      </c>
      <c r="AF23" s="40">
        <f t="shared" si="15"/>
        <v>921</v>
      </c>
    </row>
    <row r="24" spans="2:32" ht="23.1" customHeight="1" x14ac:dyDescent="0.25">
      <c r="B24" s="23" t="s">
        <v>51</v>
      </c>
      <c r="C24" s="50">
        <v>76</v>
      </c>
      <c r="D24" s="50">
        <v>11</v>
      </c>
      <c r="E24" s="50">
        <v>7</v>
      </c>
      <c r="F24" s="50">
        <v>8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130</v>
      </c>
      <c r="N24" s="50">
        <v>0</v>
      </c>
      <c r="O24" s="15">
        <f t="shared" si="0"/>
        <v>106</v>
      </c>
      <c r="P24" s="15">
        <f t="shared" si="1"/>
        <v>236</v>
      </c>
      <c r="R24" s="38" t="s">
        <v>92</v>
      </c>
      <c r="S24" s="39">
        <f>MAX(S19:S21)</f>
        <v>234</v>
      </c>
      <c r="T24" s="39">
        <f t="shared" ref="T24:AF24" si="16">MAX(T19:T21)</f>
        <v>43</v>
      </c>
      <c r="U24" s="39">
        <f t="shared" si="16"/>
        <v>25</v>
      </c>
      <c r="V24" s="39">
        <f t="shared" si="16"/>
        <v>31</v>
      </c>
      <c r="W24" s="39">
        <f t="shared" si="16"/>
        <v>1</v>
      </c>
      <c r="X24" s="39">
        <f t="shared" si="16"/>
        <v>0</v>
      </c>
      <c r="Y24" s="39">
        <f t="shared" si="16"/>
        <v>5</v>
      </c>
      <c r="Z24" s="39">
        <f t="shared" si="16"/>
        <v>6</v>
      </c>
      <c r="AA24" s="39">
        <f t="shared" si="16"/>
        <v>2</v>
      </c>
      <c r="AB24" s="39">
        <f t="shared" si="16"/>
        <v>0</v>
      </c>
      <c r="AC24" s="39">
        <f t="shared" si="16"/>
        <v>357</v>
      </c>
      <c r="AD24" s="39">
        <f t="shared" si="16"/>
        <v>0</v>
      </c>
      <c r="AE24" s="40">
        <f t="shared" si="16"/>
        <v>318</v>
      </c>
      <c r="AF24" s="40">
        <f t="shared" si="16"/>
        <v>675</v>
      </c>
    </row>
    <row r="25" spans="2:32" ht="23.1" customHeight="1" x14ac:dyDescent="0.25">
      <c r="B25" s="23" t="s">
        <v>52</v>
      </c>
      <c r="C25" s="50">
        <v>80</v>
      </c>
      <c r="D25" s="50">
        <v>17</v>
      </c>
      <c r="E25" s="50">
        <v>4</v>
      </c>
      <c r="F25" s="50">
        <v>8</v>
      </c>
      <c r="G25" s="50">
        <v>2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106</v>
      </c>
      <c r="N25" s="50">
        <v>0</v>
      </c>
      <c r="O25" s="15">
        <f t="shared" si="0"/>
        <v>112</v>
      </c>
      <c r="P25" s="15">
        <f t="shared" si="1"/>
        <v>218</v>
      </c>
      <c r="R25" s="37" t="s">
        <v>85</v>
      </c>
      <c r="S25" s="35">
        <f t="shared" ref="S25:AF25" si="17">SUM(S10:S12)</f>
        <v>537</v>
      </c>
      <c r="T25" s="16">
        <f t="shared" si="17"/>
        <v>99</v>
      </c>
      <c r="U25" s="16">
        <f t="shared" si="17"/>
        <v>58</v>
      </c>
      <c r="V25" s="16">
        <f t="shared" si="17"/>
        <v>141</v>
      </c>
      <c r="W25" s="16">
        <f t="shared" si="17"/>
        <v>0</v>
      </c>
      <c r="X25" s="16">
        <f t="shared" si="17"/>
        <v>0</v>
      </c>
      <c r="Y25" s="16">
        <f t="shared" si="17"/>
        <v>30</v>
      </c>
      <c r="Z25" s="16">
        <f t="shared" si="17"/>
        <v>4</v>
      </c>
      <c r="AA25" s="16">
        <f t="shared" si="17"/>
        <v>0</v>
      </c>
      <c r="AB25" s="16">
        <f t="shared" si="17"/>
        <v>0</v>
      </c>
      <c r="AC25" s="16">
        <f t="shared" si="17"/>
        <v>915</v>
      </c>
      <c r="AD25" s="16">
        <f t="shared" si="17"/>
        <v>0</v>
      </c>
      <c r="AE25" s="32">
        <f t="shared" si="17"/>
        <v>869</v>
      </c>
      <c r="AF25" s="32">
        <f t="shared" si="17"/>
        <v>1784</v>
      </c>
    </row>
    <row r="26" spans="2:32" ht="23.1" customHeight="1" x14ac:dyDescent="0.25">
      <c r="B26" s="23" t="s">
        <v>53</v>
      </c>
      <c r="C26" s="50">
        <v>62</v>
      </c>
      <c r="D26" s="50">
        <v>25</v>
      </c>
      <c r="E26" s="50">
        <v>7</v>
      </c>
      <c r="F26" s="50">
        <v>8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90</v>
      </c>
      <c r="N26" s="50">
        <v>0</v>
      </c>
      <c r="O26" s="15">
        <f t="shared" si="0"/>
        <v>105</v>
      </c>
      <c r="P26" s="15">
        <f t="shared" si="1"/>
        <v>195</v>
      </c>
      <c r="R26" s="28" t="s">
        <v>86</v>
      </c>
      <c r="S26" s="16">
        <f t="shared" ref="S26:AF26" si="18">SUM(S13:S18)</f>
        <v>1355</v>
      </c>
      <c r="T26" s="16">
        <f t="shared" si="18"/>
        <v>266</v>
      </c>
      <c r="U26" s="16">
        <f t="shared" si="18"/>
        <v>104</v>
      </c>
      <c r="V26" s="16">
        <f t="shared" si="18"/>
        <v>231</v>
      </c>
      <c r="W26" s="16">
        <f t="shared" si="18"/>
        <v>2</v>
      </c>
      <c r="X26" s="16">
        <f t="shared" si="18"/>
        <v>2</v>
      </c>
      <c r="Y26" s="16">
        <f t="shared" si="18"/>
        <v>56</v>
      </c>
      <c r="Z26" s="16">
        <f t="shared" si="18"/>
        <v>22</v>
      </c>
      <c r="AA26" s="16">
        <f t="shared" si="18"/>
        <v>0</v>
      </c>
      <c r="AB26" s="16">
        <f t="shared" si="18"/>
        <v>0</v>
      </c>
      <c r="AC26" s="16">
        <f t="shared" si="18"/>
        <v>2310</v>
      </c>
      <c r="AD26" s="16">
        <f t="shared" si="18"/>
        <v>0</v>
      </c>
      <c r="AE26" s="32">
        <f t="shared" si="18"/>
        <v>2038</v>
      </c>
      <c r="AF26" s="32">
        <f t="shared" si="18"/>
        <v>4348</v>
      </c>
    </row>
    <row r="27" spans="2:32" ht="23.1" customHeight="1" x14ac:dyDescent="0.25">
      <c r="B27" s="23" t="s">
        <v>54</v>
      </c>
      <c r="C27" s="50">
        <v>50</v>
      </c>
      <c r="D27" s="50">
        <v>15</v>
      </c>
      <c r="E27" s="50">
        <v>5</v>
      </c>
      <c r="F27" s="50">
        <v>11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91</v>
      </c>
      <c r="N27" s="50">
        <v>0</v>
      </c>
      <c r="O27" s="15">
        <f t="shared" si="0"/>
        <v>85</v>
      </c>
      <c r="P27" s="15">
        <f t="shared" si="1"/>
        <v>176</v>
      </c>
      <c r="R27" s="29" t="s">
        <v>87</v>
      </c>
      <c r="S27" s="16">
        <f t="shared" ref="S27:AF27" si="19">SUM(S19:S21)</f>
        <v>627</v>
      </c>
      <c r="T27" s="16">
        <f t="shared" si="19"/>
        <v>90</v>
      </c>
      <c r="U27" s="16">
        <f t="shared" si="19"/>
        <v>53</v>
      </c>
      <c r="V27" s="16">
        <f t="shared" si="19"/>
        <v>93</v>
      </c>
      <c r="W27" s="16">
        <f t="shared" si="19"/>
        <v>1</v>
      </c>
      <c r="X27" s="16">
        <f t="shared" si="19"/>
        <v>0</v>
      </c>
      <c r="Y27" s="16">
        <f t="shared" si="19"/>
        <v>11</v>
      </c>
      <c r="Z27" s="16">
        <f t="shared" si="19"/>
        <v>14</v>
      </c>
      <c r="AA27" s="16">
        <f t="shared" si="19"/>
        <v>2</v>
      </c>
      <c r="AB27" s="16">
        <f t="shared" si="19"/>
        <v>0</v>
      </c>
      <c r="AC27" s="16">
        <f t="shared" si="19"/>
        <v>993</v>
      </c>
      <c r="AD27" s="16">
        <f t="shared" si="19"/>
        <v>0</v>
      </c>
      <c r="AE27" s="32">
        <f t="shared" si="19"/>
        <v>891</v>
      </c>
      <c r="AF27" s="32">
        <f t="shared" si="19"/>
        <v>1884</v>
      </c>
    </row>
    <row r="28" spans="2:32" ht="23.1" customHeight="1" x14ac:dyDescent="0.25">
      <c r="B28" s="23" t="s">
        <v>55</v>
      </c>
      <c r="C28" s="50">
        <v>56</v>
      </c>
      <c r="D28" s="50">
        <v>12</v>
      </c>
      <c r="E28" s="50">
        <v>5</v>
      </c>
      <c r="F28" s="50">
        <v>16</v>
      </c>
      <c r="G28" s="50">
        <v>0</v>
      </c>
      <c r="H28" s="50">
        <v>0</v>
      </c>
      <c r="I28" s="50">
        <v>3</v>
      </c>
      <c r="J28" s="50">
        <v>2</v>
      </c>
      <c r="K28" s="50">
        <v>0</v>
      </c>
      <c r="L28" s="50">
        <v>0</v>
      </c>
      <c r="M28" s="50">
        <v>115</v>
      </c>
      <c r="N28" s="50">
        <v>0</v>
      </c>
      <c r="O28" s="15">
        <f t="shared" si="0"/>
        <v>94</v>
      </c>
      <c r="P28" s="15">
        <f t="shared" si="1"/>
        <v>209</v>
      </c>
      <c r="R28" s="5" t="s">
        <v>17</v>
      </c>
      <c r="S28" s="16">
        <f t="shared" ref="S28:AF28" si="20">SUM(S10:S21)</f>
        <v>2519</v>
      </c>
      <c r="T28" s="16">
        <f t="shared" si="20"/>
        <v>455</v>
      </c>
      <c r="U28" s="16">
        <f t="shared" si="20"/>
        <v>215</v>
      </c>
      <c r="V28" s="16">
        <f t="shared" si="20"/>
        <v>465</v>
      </c>
      <c r="W28" s="16">
        <f t="shared" si="20"/>
        <v>3</v>
      </c>
      <c r="X28" s="16">
        <f t="shared" si="20"/>
        <v>2</v>
      </c>
      <c r="Y28" s="16">
        <f t="shared" si="20"/>
        <v>97</v>
      </c>
      <c r="Z28" s="16">
        <f t="shared" si="20"/>
        <v>40</v>
      </c>
      <c r="AA28" s="16">
        <f t="shared" si="20"/>
        <v>2</v>
      </c>
      <c r="AB28" s="16">
        <f t="shared" si="20"/>
        <v>0</v>
      </c>
      <c r="AC28" s="16">
        <f t="shared" si="20"/>
        <v>4218</v>
      </c>
      <c r="AD28" s="16">
        <f t="shared" si="20"/>
        <v>0</v>
      </c>
      <c r="AE28" s="32">
        <f t="shared" si="20"/>
        <v>3798</v>
      </c>
      <c r="AF28" s="32">
        <f t="shared" si="20"/>
        <v>8016</v>
      </c>
    </row>
    <row r="29" spans="2:32" ht="23.1" customHeight="1" x14ac:dyDescent="0.25">
      <c r="B29" s="23" t="s">
        <v>56</v>
      </c>
      <c r="C29" s="50">
        <v>75</v>
      </c>
      <c r="D29" s="50">
        <v>12</v>
      </c>
      <c r="E29" s="50">
        <v>4</v>
      </c>
      <c r="F29" s="50">
        <v>13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122</v>
      </c>
      <c r="N29" s="50">
        <v>0</v>
      </c>
      <c r="O29" s="15">
        <f t="shared" si="0"/>
        <v>107</v>
      </c>
      <c r="P29" s="15">
        <f t="shared" si="1"/>
        <v>229</v>
      </c>
      <c r="R29"/>
      <c r="S29" s="20"/>
      <c r="T29" s="19"/>
    </row>
    <row r="30" spans="2:32" ht="23.1" customHeight="1" x14ac:dyDescent="0.25">
      <c r="B30" s="23" t="s">
        <v>57</v>
      </c>
      <c r="C30" s="50">
        <v>55</v>
      </c>
      <c r="D30" s="50">
        <v>13</v>
      </c>
      <c r="E30" s="50">
        <v>6</v>
      </c>
      <c r="F30" s="50">
        <v>13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0</v>
      </c>
      <c r="M30" s="50">
        <v>120</v>
      </c>
      <c r="N30" s="50">
        <v>0</v>
      </c>
      <c r="O30" s="15">
        <f t="shared" si="0"/>
        <v>91</v>
      </c>
      <c r="P30" s="15">
        <f t="shared" si="1"/>
        <v>211</v>
      </c>
    </row>
    <row r="31" spans="2:32" ht="23.1" customHeight="1" x14ac:dyDescent="0.25">
      <c r="B31" s="24" t="s">
        <v>58</v>
      </c>
      <c r="C31" s="50">
        <v>45</v>
      </c>
      <c r="D31" s="50">
        <v>9</v>
      </c>
      <c r="E31" s="50">
        <v>7</v>
      </c>
      <c r="F31" s="50">
        <v>13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86</v>
      </c>
      <c r="N31" s="50">
        <v>0</v>
      </c>
      <c r="O31" s="15">
        <f t="shared" si="0"/>
        <v>74</v>
      </c>
      <c r="P31" s="15">
        <f t="shared" si="1"/>
        <v>160</v>
      </c>
    </row>
    <row r="32" spans="2:32" ht="23.1" customHeight="1" x14ac:dyDescent="0.25">
      <c r="B32" s="24" t="s">
        <v>59</v>
      </c>
      <c r="C32" s="50">
        <v>62</v>
      </c>
      <c r="D32" s="50">
        <v>8</v>
      </c>
      <c r="E32" s="50">
        <v>1</v>
      </c>
      <c r="F32" s="50">
        <v>14</v>
      </c>
      <c r="G32" s="50">
        <v>0</v>
      </c>
      <c r="H32" s="50">
        <v>0</v>
      </c>
      <c r="I32" s="50">
        <v>4</v>
      </c>
      <c r="J32" s="50">
        <v>1</v>
      </c>
      <c r="K32" s="50">
        <v>0</v>
      </c>
      <c r="L32" s="50">
        <v>0</v>
      </c>
      <c r="M32" s="50">
        <v>83</v>
      </c>
      <c r="N32" s="50">
        <v>0</v>
      </c>
      <c r="O32" s="15">
        <f t="shared" si="0"/>
        <v>90</v>
      </c>
      <c r="P32" s="15">
        <f t="shared" si="1"/>
        <v>173</v>
      </c>
    </row>
    <row r="33" spans="2:20" ht="23.1" customHeight="1" x14ac:dyDescent="0.25">
      <c r="B33" s="23" t="s">
        <v>60</v>
      </c>
      <c r="C33" s="50">
        <v>52</v>
      </c>
      <c r="D33" s="50">
        <v>10</v>
      </c>
      <c r="E33" s="50">
        <v>3</v>
      </c>
      <c r="F33" s="50">
        <v>10</v>
      </c>
      <c r="G33" s="50">
        <v>0</v>
      </c>
      <c r="H33" s="50">
        <v>0</v>
      </c>
      <c r="I33" s="50">
        <v>5</v>
      </c>
      <c r="J33" s="50">
        <v>2</v>
      </c>
      <c r="K33" s="50">
        <v>0</v>
      </c>
      <c r="L33" s="50">
        <v>0</v>
      </c>
      <c r="M33" s="50">
        <v>79</v>
      </c>
      <c r="N33" s="50">
        <v>0</v>
      </c>
      <c r="O33" s="15">
        <f t="shared" si="0"/>
        <v>82</v>
      </c>
      <c r="P33" s="15">
        <f t="shared" si="1"/>
        <v>161</v>
      </c>
    </row>
    <row r="34" spans="2:20" ht="23.1" customHeight="1" x14ac:dyDescent="0.25">
      <c r="B34" s="24" t="s">
        <v>61</v>
      </c>
      <c r="C34" s="50">
        <v>39</v>
      </c>
      <c r="D34" s="50">
        <v>12</v>
      </c>
      <c r="E34" s="50">
        <v>8</v>
      </c>
      <c r="F34" s="50">
        <v>6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90</v>
      </c>
      <c r="N34" s="50">
        <v>0</v>
      </c>
      <c r="O34" s="15">
        <f t="shared" si="0"/>
        <v>67</v>
      </c>
      <c r="P34" s="15">
        <f t="shared" si="1"/>
        <v>157</v>
      </c>
    </row>
    <row r="35" spans="2:20" ht="23.1" customHeight="1" x14ac:dyDescent="0.25">
      <c r="B35" s="24" t="s">
        <v>62</v>
      </c>
      <c r="C35" s="50">
        <v>35</v>
      </c>
      <c r="D35" s="50">
        <v>11</v>
      </c>
      <c r="E35" s="50">
        <v>3</v>
      </c>
      <c r="F35" s="50">
        <v>10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86</v>
      </c>
      <c r="N35" s="50">
        <v>0</v>
      </c>
      <c r="O35" s="15">
        <f t="shared" si="0"/>
        <v>62</v>
      </c>
      <c r="P35" s="15">
        <f t="shared" si="1"/>
        <v>148</v>
      </c>
    </row>
    <row r="36" spans="2:20" ht="23.1" customHeight="1" x14ac:dyDescent="0.25">
      <c r="B36" s="24" t="s">
        <v>63</v>
      </c>
      <c r="C36" s="50">
        <v>38</v>
      </c>
      <c r="D36" s="50">
        <v>13</v>
      </c>
      <c r="E36" s="50">
        <v>3</v>
      </c>
      <c r="F36" s="50">
        <v>5</v>
      </c>
      <c r="G36" s="50">
        <v>0</v>
      </c>
      <c r="H36" s="50">
        <v>0</v>
      </c>
      <c r="I36" s="50">
        <v>4</v>
      </c>
      <c r="J36" s="50">
        <v>2</v>
      </c>
      <c r="K36" s="50">
        <v>0</v>
      </c>
      <c r="L36" s="50">
        <v>0</v>
      </c>
      <c r="M36" s="50">
        <v>75</v>
      </c>
      <c r="N36" s="50">
        <v>0</v>
      </c>
      <c r="O36" s="15">
        <f t="shared" si="0"/>
        <v>65</v>
      </c>
      <c r="P36" s="15">
        <f t="shared" si="1"/>
        <v>140</v>
      </c>
    </row>
    <row r="37" spans="2:20" ht="23.1" customHeight="1" x14ac:dyDescent="0.25">
      <c r="B37" s="23" t="s">
        <v>64</v>
      </c>
      <c r="C37" s="50">
        <v>58</v>
      </c>
      <c r="D37" s="50">
        <v>7</v>
      </c>
      <c r="E37" s="50">
        <v>1</v>
      </c>
      <c r="F37" s="50">
        <v>10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0</v>
      </c>
      <c r="M37" s="50">
        <v>110</v>
      </c>
      <c r="N37" s="50">
        <v>0</v>
      </c>
      <c r="O37" s="15">
        <f t="shared" si="0"/>
        <v>78</v>
      </c>
      <c r="P37" s="15">
        <f t="shared" si="1"/>
        <v>188</v>
      </c>
    </row>
    <row r="38" spans="2:20" ht="23.1" customHeight="1" x14ac:dyDescent="0.25">
      <c r="B38" s="24" t="s">
        <v>65</v>
      </c>
      <c r="C38" s="50">
        <v>43</v>
      </c>
      <c r="D38" s="50">
        <v>9</v>
      </c>
      <c r="E38" s="50">
        <v>2</v>
      </c>
      <c r="F38" s="50">
        <v>3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100</v>
      </c>
      <c r="N38" s="50">
        <v>0</v>
      </c>
      <c r="O38" s="15">
        <f t="shared" si="0"/>
        <v>59</v>
      </c>
      <c r="P38" s="15">
        <f t="shared" si="1"/>
        <v>159</v>
      </c>
    </row>
    <row r="39" spans="2:20" ht="23.1" customHeight="1" x14ac:dyDescent="0.25">
      <c r="B39" s="24" t="s">
        <v>66</v>
      </c>
      <c r="C39" s="50">
        <v>59</v>
      </c>
      <c r="D39" s="50">
        <v>4</v>
      </c>
      <c r="E39" s="50">
        <v>3</v>
      </c>
      <c r="F39" s="50">
        <v>11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93</v>
      </c>
      <c r="N39" s="50">
        <v>0</v>
      </c>
      <c r="O39" s="15">
        <f t="shared" si="0"/>
        <v>78</v>
      </c>
      <c r="P39" s="15">
        <f t="shared" si="1"/>
        <v>171</v>
      </c>
    </row>
    <row r="40" spans="2:20" ht="23.1" customHeight="1" x14ac:dyDescent="0.25">
      <c r="B40" s="24" t="s">
        <v>67</v>
      </c>
      <c r="C40" s="50">
        <v>49</v>
      </c>
      <c r="D40" s="50">
        <v>6</v>
      </c>
      <c r="E40" s="50">
        <v>5</v>
      </c>
      <c r="F40" s="50">
        <v>5</v>
      </c>
      <c r="G40" s="50">
        <v>0</v>
      </c>
      <c r="H40" s="50">
        <v>0</v>
      </c>
      <c r="I40" s="50">
        <v>6</v>
      </c>
      <c r="J40" s="50">
        <v>2</v>
      </c>
      <c r="K40" s="50">
        <v>0</v>
      </c>
      <c r="L40" s="50">
        <v>0</v>
      </c>
      <c r="M40" s="50">
        <v>95</v>
      </c>
      <c r="N40" s="50">
        <v>0</v>
      </c>
      <c r="O40" s="15">
        <f t="shared" si="0"/>
        <v>73</v>
      </c>
      <c r="P40" s="15">
        <f t="shared" si="1"/>
        <v>168</v>
      </c>
    </row>
    <row r="41" spans="2:20" ht="23.1" customHeight="1" x14ac:dyDescent="0.25">
      <c r="B41" s="23" t="s">
        <v>68</v>
      </c>
      <c r="C41" s="50">
        <v>38</v>
      </c>
      <c r="D41" s="50">
        <v>5</v>
      </c>
      <c r="E41" s="50">
        <v>4</v>
      </c>
      <c r="F41" s="50">
        <v>11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83</v>
      </c>
      <c r="N41" s="50">
        <v>0</v>
      </c>
      <c r="O41" s="15">
        <f t="shared" si="0"/>
        <v>61</v>
      </c>
      <c r="P41" s="15">
        <f t="shared" si="1"/>
        <v>144</v>
      </c>
    </row>
    <row r="42" spans="2:20" ht="23.1" customHeight="1" x14ac:dyDescent="0.25">
      <c r="B42" s="24" t="s">
        <v>69</v>
      </c>
      <c r="C42" s="50">
        <v>46</v>
      </c>
      <c r="D42" s="50">
        <v>10</v>
      </c>
      <c r="E42" s="50">
        <v>3</v>
      </c>
      <c r="F42" s="50">
        <v>10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63</v>
      </c>
      <c r="N42" s="50">
        <v>0</v>
      </c>
      <c r="O42" s="15">
        <f t="shared" si="0"/>
        <v>72</v>
      </c>
      <c r="P42" s="15">
        <f t="shared" si="1"/>
        <v>135</v>
      </c>
    </row>
    <row r="43" spans="2:20" ht="23.1" customHeight="1" x14ac:dyDescent="0.25">
      <c r="B43" s="23" t="s">
        <v>70</v>
      </c>
      <c r="C43" s="50">
        <v>48</v>
      </c>
      <c r="D43" s="50">
        <v>6</v>
      </c>
      <c r="E43" s="50">
        <v>2</v>
      </c>
      <c r="F43" s="50">
        <v>6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80</v>
      </c>
      <c r="N43" s="50">
        <v>0</v>
      </c>
      <c r="O43" s="15">
        <f t="shared" si="0"/>
        <v>64</v>
      </c>
      <c r="P43" s="15">
        <f t="shared" si="1"/>
        <v>144</v>
      </c>
    </row>
    <row r="44" spans="2:20" ht="23.1" customHeight="1" x14ac:dyDescent="0.25">
      <c r="B44" s="25" t="s">
        <v>71</v>
      </c>
      <c r="C44" s="50">
        <v>61</v>
      </c>
      <c r="D44" s="50">
        <v>9</v>
      </c>
      <c r="E44" s="50">
        <v>5</v>
      </c>
      <c r="F44" s="50">
        <v>7</v>
      </c>
      <c r="G44" s="50">
        <v>0</v>
      </c>
      <c r="H44" s="50">
        <v>0</v>
      </c>
      <c r="I44" s="50">
        <v>1</v>
      </c>
      <c r="J44" s="50">
        <v>2</v>
      </c>
      <c r="K44" s="50">
        <v>0</v>
      </c>
      <c r="L44" s="50">
        <v>0</v>
      </c>
      <c r="M44" s="50">
        <v>98</v>
      </c>
      <c r="N44" s="50">
        <v>0</v>
      </c>
      <c r="O44" s="15">
        <f t="shared" si="0"/>
        <v>85</v>
      </c>
      <c r="P44" s="15">
        <f t="shared" si="1"/>
        <v>183</v>
      </c>
    </row>
    <row r="45" spans="2:20" ht="23.1" customHeight="1" x14ac:dyDescent="0.25">
      <c r="B45" s="23" t="s">
        <v>72</v>
      </c>
      <c r="C45" s="50">
        <v>65</v>
      </c>
      <c r="D45" s="50">
        <v>4</v>
      </c>
      <c r="E45" s="50">
        <v>4</v>
      </c>
      <c r="F45" s="50">
        <v>10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90</v>
      </c>
      <c r="N45" s="50">
        <v>0</v>
      </c>
      <c r="O45" s="15">
        <f t="shared" si="0"/>
        <v>86</v>
      </c>
      <c r="P45" s="15">
        <f t="shared" si="1"/>
        <v>176</v>
      </c>
    </row>
    <row r="46" spans="2:20" ht="23.1" customHeight="1" x14ac:dyDescent="0.25">
      <c r="B46" s="24" t="s">
        <v>73</v>
      </c>
      <c r="C46" s="50">
        <v>60</v>
      </c>
      <c r="D46" s="50">
        <v>7</v>
      </c>
      <c r="E46" s="50">
        <v>3</v>
      </c>
      <c r="F46" s="50">
        <v>7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80</v>
      </c>
      <c r="N46" s="50">
        <v>0</v>
      </c>
      <c r="O46" s="15">
        <f t="shared" si="0"/>
        <v>81</v>
      </c>
      <c r="P46" s="15">
        <f t="shared" si="1"/>
        <v>161</v>
      </c>
      <c r="R46" s="8"/>
      <c r="T46"/>
    </row>
    <row r="47" spans="2:20" ht="23.1" customHeight="1" x14ac:dyDescent="0.25">
      <c r="B47" s="24" t="s">
        <v>74</v>
      </c>
      <c r="C47" s="50">
        <v>60</v>
      </c>
      <c r="D47" s="50">
        <v>9</v>
      </c>
      <c r="E47" s="50">
        <v>4</v>
      </c>
      <c r="F47" s="50">
        <v>8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105</v>
      </c>
      <c r="N47" s="50">
        <v>0</v>
      </c>
      <c r="O47" s="15">
        <f t="shared" si="0"/>
        <v>81</v>
      </c>
      <c r="P47" s="15">
        <f t="shared" si="1"/>
        <v>186</v>
      </c>
      <c r="R47" s="8"/>
      <c r="T47"/>
    </row>
    <row r="48" spans="2:20" ht="23.1" customHeight="1" x14ac:dyDescent="0.25">
      <c r="B48" s="24" t="s">
        <v>75</v>
      </c>
      <c r="C48" s="50">
        <v>49</v>
      </c>
      <c r="D48" s="50">
        <v>5</v>
      </c>
      <c r="E48" s="50">
        <v>3</v>
      </c>
      <c r="F48" s="50">
        <v>7</v>
      </c>
      <c r="G48" s="50">
        <v>1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72</v>
      </c>
      <c r="N48" s="50">
        <v>0</v>
      </c>
      <c r="O48" s="15">
        <f t="shared" si="0"/>
        <v>65</v>
      </c>
      <c r="P48" s="15">
        <f t="shared" si="1"/>
        <v>137</v>
      </c>
      <c r="R48" s="8"/>
      <c r="T48"/>
    </row>
    <row r="49" spans="2:20" ht="23.1" customHeight="1" x14ac:dyDescent="0.25">
      <c r="B49" s="23" t="s">
        <v>76</v>
      </c>
      <c r="C49" s="50">
        <v>65</v>
      </c>
      <c r="D49" s="50">
        <v>6</v>
      </c>
      <c r="E49" s="50">
        <v>7</v>
      </c>
      <c r="F49" s="50">
        <v>9</v>
      </c>
      <c r="G49" s="50">
        <v>0</v>
      </c>
      <c r="H49" s="50">
        <v>0</v>
      </c>
      <c r="I49" s="50">
        <v>2</v>
      </c>
      <c r="J49" s="50">
        <v>2</v>
      </c>
      <c r="K49" s="50">
        <v>0</v>
      </c>
      <c r="L49" s="50">
        <v>0</v>
      </c>
      <c r="M49" s="50">
        <v>100</v>
      </c>
      <c r="N49" s="50">
        <v>0</v>
      </c>
      <c r="O49" s="15">
        <f t="shared" si="0"/>
        <v>91</v>
      </c>
      <c r="P49" s="15">
        <f t="shared" si="1"/>
        <v>191</v>
      </c>
      <c r="R49" s="8"/>
      <c r="T49"/>
    </row>
    <row r="50" spans="2:20" ht="23.1" customHeight="1" x14ac:dyDescent="0.25">
      <c r="B50" s="24" t="s">
        <v>77</v>
      </c>
      <c r="C50" s="50">
        <v>51</v>
      </c>
      <c r="D50" s="50">
        <v>7</v>
      </c>
      <c r="E50" s="50">
        <v>6</v>
      </c>
      <c r="F50" s="50">
        <v>5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88</v>
      </c>
      <c r="N50" s="50">
        <v>0</v>
      </c>
      <c r="O50" s="15">
        <f t="shared" si="0"/>
        <v>72</v>
      </c>
      <c r="P50" s="15">
        <f t="shared" si="1"/>
        <v>160</v>
      </c>
      <c r="R50" s="8"/>
      <c r="T50"/>
    </row>
    <row r="51" spans="2:20" ht="23.1" customHeight="1" x14ac:dyDescent="0.25">
      <c r="B51" s="24" t="s">
        <v>78</v>
      </c>
      <c r="C51" s="50">
        <v>45</v>
      </c>
      <c r="D51" s="50">
        <v>5</v>
      </c>
      <c r="E51" s="50">
        <v>4</v>
      </c>
      <c r="F51" s="50">
        <v>5</v>
      </c>
      <c r="G51" s="50">
        <v>0</v>
      </c>
      <c r="H51" s="50">
        <v>0</v>
      </c>
      <c r="I51" s="50">
        <v>0</v>
      </c>
      <c r="J51" s="50">
        <v>1</v>
      </c>
      <c r="K51" s="50">
        <v>1</v>
      </c>
      <c r="L51" s="50">
        <v>0</v>
      </c>
      <c r="M51" s="50">
        <v>80</v>
      </c>
      <c r="N51" s="50">
        <v>0</v>
      </c>
      <c r="O51" s="15">
        <f t="shared" si="0"/>
        <v>61</v>
      </c>
      <c r="P51" s="15">
        <f t="shared" si="1"/>
        <v>141</v>
      </c>
      <c r="R51" s="8"/>
      <c r="T51"/>
    </row>
    <row r="52" spans="2:20" ht="23.1" customHeight="1" x14ac:dyDescent="0.25">
      <c r="B52" s="24" t="s">
        <v>79</v>
      </c>
      <c r="C52" s="50">
        <v>58</v>
      </c>
      <c r="D52" s="50">
        <v>20</v>
      </c>
      <c r="E52" s="50">
        <v>10</v>
      </c>
      <c r="F52" s="50">
        <v>12</v>
      </c>
      <c r="G52" s="50">
        <v>0</v>
      </c>
      <c r="H52" s="50">
        <v>0</v>
      </c>
      <c r="I52" s="50">
        <v>1</v>
      </c>
      <c r="J52" s="50">
        <v>2</v>
      </c>
      <c r="K52" s="50">
        <v>1</v>
      </c>
      <c r="L52" s="50">
        <v>0</v>
      </c>
      <c r="M52" s="50">
        <v>110</v>
      </c>
      <c r="N52" s="50">
        <v>0</v>
      </c>
      <c r="O52" s="15">
        <f t="shared" si="0"/>
        <v>104</v>
      </c>
      <c r="P52" s="15">
        <f t="shared" si="1"/>
        <v>214</v>
      </c>
      <c r="R52" s="8"/>
      <c r="T52"/>
    </row>
    <row r="53" spans="2:20" ht="23.1" customHeight="1" x14ac:dyDescent="0.25">
      <c r="B53" s="23" t="s">
        <v>80</v>
      </c>
      <c r="C53" s="50">
        <v>42</v>
      </c>
      <c r="D53" s="50">
        <v>11</v>
      </c>
      <c r="E53" s="50">
        <v>5</v>
      </c>
      <c r="F53" s="50">
        <v>9</v>
      </c>
      <c r="G53" s="50">
        <v>0</v>
      </c>
      <c r="H53" s="50">
        <v>0</v>
      </c>
      <c r="I53" s="50">
        <v>0</v>
      </c>
      <c r="J53" s="50">
        <v>2</v>
      </c>
      <c r="K53" s="50">
        <v>0</v>
      </c>
      <c r="L53" s="50">
        <v>0</v>
      </c>
      <c r="M53" s="50">
        <v>63</v>
      </c>
      <c r="N53" s="50">
        <v>0</v>
      </c>
      <c r="O53" s="15">
        <f t="shared" si="0"/>
        <v>69</v>
      </c>
      <c r="P53" s="15">
        <f t="shared" si="1"/>
        <v>132</v>
      </c>
      <c r="R53" s="8"/>
      <c r="T53"/>
    </row>
    <row r="54" spans="2:20" ht="23.1" customHeight="1" x14ac:dyDescent="0.25">
      <c r="B54" s="23" t="s">
        <v>81</v>
      </c>
      <c r="C54" s="50">
        <v>52</v>
      </c>
      <c r="D54" s="50">
        <v>5</v>
      </c>
      <c r="E54" s="50">
        <v>5</v>
      </c>
      <c r="F54" s="50">
        <v>8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83</v>
      </c>
      <c r="N54" s="50">
        <v>0</v>
      </c>
      <c r="O54" s="15">
        <f t="shared" si="0"/>
        <v>71</v>
      </c>
      <c r="P54" s="15">
        <f t="shared" si="1"/>
        <v>154</v>
      </c>
      <c r="R54" s="8"/>
      <c r="T54"/>
    </row>
    <row r="55" spans="2:20" ht="23.1" customHeight="1" x14ac:dyDescent="0.25">
      <c r="B55" s="23" t="s">
        <v>82</v>
      </c>
      <c r="C55" s="50">
        <v>60</v>
      </c>
      <c r="D55" s="50">
        <v>6</v>
      </c>
      <c r="E55" s="50">
        <v>0</v>
      </c>
      <c r="F55" s="50">
        <v>6</v>
      </c>
      <c r="G55" s="50">
        <v>0</v>
      </c>
      <c r="H55" s="50">
        <v>0</v>
      </c>
      <c r="I55" s="50">
        <v>1</v>
      </c>
      <c r="J55" s="50">
        <v>3</v>
      </c>
      <c r="K55" s="50">
        <v>0</v>
      </c>
      <c r="L55" s="50">
        <v>0</v>
      </c>
      <c r="M55" s="50">
        <v>74</v>
      </c>
      <c r="N55" s="50">
        <v>0</v>
      </c>
      <c r="O55" s="15">
        <f t="shared" si="0"/>
        <v>76</v>
      </c>
      <c r="P55" s="15">
        <f t="shared" si="1"/>
        <v>150</v>
      </c>
      <c r="R55" s="8"/>
      <c r="T55"/>
    </row>
    <row r="56" spans="2:20" ht="23.1" customHeight="1" x14ac:dyDescent="0.25">
      <c r="B56" s="23" t="s">
        <v>83</v>
      </c>
      <c r="C56" s="50">
        <v>55</v>
      </c>
      <c r="D56" s="50">
        <v>5</v>
      </c>
      <c r="E56" s="50">
        <v>5</v>
      </c>
      <c r="F56" s="50">
        <v>11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68</v>
      </c>
      <c r="N56" s="50">
        <v>0</v>
      </c>
      <c r="O56" s="15">
        <f t="shared" si="0"/>
        <v>78</v>
      </c>
      <c r="P56" s="15">
        <f t="shared" si="1"/>
        <v>146</v>
      </c>
      <c r="R56" s="8"/>
      <c r="T56"/>
    </row>
    <row r="57" spans="2:20" ht="23.1" customHeight="1" x14ac:dyDescent="0.25">
      <c r="B57" s="23" t="s">
        <v>84</v>
      </c>
      <c r="C57" s="50">
        <v>30</v>
      </c>
      <c r="D57" s="50">
        <v>4</v>
      </c>
      <c r="E57" s="50">
        <v>1</v>
      </c>
      <c r="F57" s="50">
        <v>6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70</v>
      </c>
      <c r="N57" s="50">
        <v>0</v>
      </c>
      <c r="O57" s="15">
        <f t="shared" si="0"/>
        <v>42</v>
      </c>
      <c r="P57" s="15">
        <f t="shared" si="1"/>
        <v>112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2519</v>
      </c>
      <c r="D58" s="16">
        <f t="shared" si="21"/>
        <v>455</v>
      </c>
      <c r="E58" s="16">
        <f t="shared" si="21"/>
        <v>215</v>
      </c>
      <c r="F58" s="16">
        <f t="shared" si="21"/>
        <v>465</v>
      </c>
      <c r="G58" s="16">
        <f t="shared" si="21"/>
        <v>3</v>
      </c>
      <c r="H58" s="16">
        <f t="shared" si="21"/>
        <v>2</v>
      </c>
      <c r="I58" s="16">
        <f t="shared" si="21"/>
        <v>97</v>
      </c>
      <c r="J58" s="16">
        <f t="shared" si="21"/>
        <v>40</v>
      </c>
      <c r="K58" s="16">
        <f t="shared" si="21"/>
        <v>2</v>
      </c>
      <c r="L58" s="16">
        <f t="shared" si="21"/>
        <v>0</v>
      </c>
      <c r="M58" s="16">
        <f t="shared" si="21"/>
        <v>4218</v>
      </c>
      <c r="N58" s="16">
        <f t="shared" si="21"/>
        <v>0</v>
      </c>
      <c r="O58" s="16">
        <f t="shared" si="21"/>
        <v>3798</v>
      </c>
      <c r="P58" s="16">
        <f t="shared" si="21"/>
        <v>8016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0.31424650698602796</v>
      </c>
      <c r="D59" s="43">
        <f t="shared" si="22"/>
        <v>5.6761477045908185E-2</v>
      </c>
      <c r="E59" s="43">
        <f t="shared" si="22"/>
        <v>2.6821357285429143E-2</v>
      </c>
      <c r="F59" s="43">
        <f t="shared" si="22"/>
        <v>5.8008982035928143E-2</v>
      </c>
      <c r="G59" s="43">
        <f t="shared" si="22"/>
        <v>3.7425149700598805E-4</v>
      </c>
      <c r="H59" s="43">
        <f t="shared" si="22"/>
        <v>2.4950099800399199E-4</v>
      </c>
      <c r="I59" s="43">
        <f t="shared" si="22"/>
        <v>1.2100798403193613E-2</v>
      </c>
      <c r="J59" s="43">
        <f t="shared" si="22"/>
        <v>4.9900199600798403E-3</v>
      </c>
      <c r="K59" s="43">
        <f t="shared" si="22"/>
        <v>2.4950099800399199E-4</v>
      </c>
      <c r="L59" s="43">
        <f t="shared" si="22"/>
        <v>0</v>
      </c>
      <c r="M59" s="43">
        <f t="shared" si="22"/>
        <v>0.52619760479041922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0.66324381253291209</v>
      </c>
      <c r="D60" s="44">
        <f t="shared" ref="D60:N60" si="23">D58/$O$58</f>
        <v>0.11979989468141126</v>
      </c>
      <c r="E60" s="44">
        <f t="shared" si="23"/>
        <v>5.6608741442864666E-2</v>
      </c>
      <c r="F60" s="44">
        <f t="shared" si="23"/>
        <v>0.12243285939968404</v>
      </c>
      <c r="G60" s="44">
        <f t="shared" si="23"/>
        <v>7.8988941548183253E-4</v>
      </c>
      <c r="H60" s="44">
        <f t="shared" si="23"/>
        <v>5.2659294365455498E-4</v>
      </c>
      <c r="I60" s="44">
        <f t="shared" si="23"/>
        <v>2.5539757767245919E-2</v>
      </c>
      <c r="J60" s="44">
        <f t="shared" si="23"/>
        <v>1.0531858873091101E-2</v>
      </c>
      <c r="K60" s="44">
        <f t="shared" si="23"/>
        <v>5.2659294365455498E-4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'02.08 Mulago-Kyebando'!C3:G3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'04.08 Kyebando-Mulago'!D5</f>
        <v>04.08.19</v>
      </c>
      <c r="E5" s="3"/>
      <c r="F5" s="41" t="s">
        <v>1</v>
      </c>
      <c r="G5" s="55" t="str">
        <f>'04.08 Kyebando-Mulago'!G5:H5</f>
        <v>Kisingiri Street</v>
      </c>
      <c r="H5" s="56"/>
      <c r="I5" s="14"/>
      <c r="J5" s="2" t="s">
        <v>5</v>
      </c>
      <c r="K5" s="55" t="s">
        <v>175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'02.08 Mulago-Kyebando'!D6:E6</f>
        <v>Mulago</v>
      </c>
      <c r="E6" s="56"/>
      <c r="F6" s="2" t="s">
        <v>2</v>
      </c>
      <c r="G6" s="55" t="str">
        <f>'02.08 Mulago-Kyebando'!G6:H6</f>
        <v>Kyebando</v>
      </c>
      <c r="H6" s="56"/>
      <c r="J6" s="2" t="s">
        <v>21</v>
      </c>
      <c r="K6" s="55" t="str">
        <f>'04.08 Kyebando-Mulago'!K6:L6</f>
        <v>Steven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1</v>
      </c>
      <c r="E10" s="50">
        <v>1</v>
      </c>
      <c r="F10" s="50">
        <v>2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58</v>
      </c>
      <c r="N10" s="50">
        <v>0</v>
      </c>
      <c r="O10" s="15">
        <f t="shared" ref="O10:O57" si="0">SUM(C10:L10,N10)</f>
        <v>9</v>
      </c>
      <c r="P10" s="15">
        <f t="shared" ref="P10:P57" si="1">SUM(C10:N10)</f>
        <v>67</v>
      </c>
      <c r="R10" s="1" t="s">
        <v>6</v>
      </c>
      <c r="S10" s="17">
        <f t="shared" ref="S10:AF10" si="2">SUM(C10:C13)</f>
        <v>50</v>
      </c>
      <c r="T10" s="17">
        <f t="shared" si="2"/>
        <v>6</v>
      </c>
      <c r="U10" s="17">
        <f t="shared" si="2"/>
        <v>9</v>
      </c>
      <c r="V10" s="17">
        <f t="shared" si="2"/>
        <v>17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273</v>
      </c>
      <c r="AD10" s="17">
        <f t="shared" si="2"/>
        <v>0</v>
      </c>
      <c r="AE10" s="31">
        <f t="shared" si="2"/>
        <v>85</v>
      </c>
      <c r="AF10" s="31">
        <f t="shared" si="2"/>
        <v>358</v>
      </c>
    </row>
    <row r="11" spans="2:32" s="6" customFormat="1" ht="23.1" customHeight="1" x14ac:dyDescent="0.25">
      <c r="B11" s="23" t="s">
        <v>38</v>
      </c>
      <c r="C11" s="50">
        <v>10</v>
      </c>
      <c r="D11" s="50">
        <v>2</v>
      </c>
      <c r="E11" s="50">
        <v>3</v>
      </c>
      <c r="F11" s="50">
        <v>6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53</v>
      </c>
      <c r="N11" s="50">
        <v>0</v>
      </c>
      <c r="O11" s="15">
        <f t="shared" si="0"/>
        <v>21</v>
      </c>
      <c r="P11" s="15">
        <f t="shared" si="1"/>
        <v>74</v>
      </c>
      <c r="R11" s="1" t="s">
        <v>7</v>
      </c>
      <c r="S11" s="17">
        <f t="shared" ref="S11:AF11" si="3">SUM(C14:C17)</f>
        <v>99</v>
      </c>
      <c r="T11" s="17">
        <f t="shared" si="3"/>
        <v>10</v>
      </c>
      <c r="U11" s="17">
        <f t="shared" si="3"/>
        <v>21</v>
      </c>
      <c r="V11" s="17">
        <f t="shared" si="3"/>
        <v>33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2</v>
      </c>
      <c r="AA11" s="17">
        <f t="shared" si="3"/>
        <v>3</v>
      </c>
      <c r="AB11" s="17">
        <f t="shared" si="3"/>
        <v>0</v>
      </c>
      <c r="AC11" s="17">
        <f t="shared" si="3"/>
        <v>367</v>
      </c>
      <c r="AD11" s="17">
        <f t="shared" si="3"/>
        <v>0</v>
      </c>
      <c r="AE11" s="31">
        <f t="shared" si="3"/>
        <v>168</v>
      </c>
      <c r="AF11" s="31">
        <f t="shared" si="3"/>
        <v>535</v>
      </c>
    </row>
    <row r="12" spans="2:32" ht="23.1" customHeight="1" x14ac:dyDescent="0.25">
      <c r="B12" s="23" t="s">
        <v>39</v>
      </c>
      <c r="C12" s="50">
        <v>15</v>
      </c>
      <c r="D12" s="50">
        <v>0</v>
      </c>
      <c r="E12" s="50">
        <v>2</v>
      </c>
      <c r="F12" s="50">
        <v>6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80</v>
      </c>
      <c r="N12" s="50">
        <v>0</v>
      </c>
      <c r="O12" s="15">
        <f t="shared" si="0"/>
        <v>24</v>
      </c>
      <c r="P12" s="15">
        <f t="shared" si="1"/>
        <v>104</v>
      </c>
      <c r="R12" s="1" t="s">
        <v>8</v>
      </c>
      <c r="S12" s="17">
        <f t="shared" ref="S12:AF12" si="4">SUM(C18:C21)</f>
        <v>126</v>
      </c>
      <c r="T12" s="17">
        <f t="shared" si="4"/>
        <v>19</v>
      </c>
      <c r="U12" s="17">
        <f t="shared" si="4"/>
        <v>14</v>
      </c>
      <c r="V12" s="17">
        <f t="shared" si="4"/>
        <v>51</v>
      </c>
      <c r="W12" s="17">
        <f t="shared" si="4"/>
        <v>1</v>
      </c>
      <c r="X12" s="17">
        <f t="shared" si="4"/>
        <v>0</v>
      </c>
      <c r="Y12" s="17">
        <f t="shared" si="4"/>
        <v>7</v>
      </c>
      <c r="Z12" s="17">
        <f t="shared" si="4"/>
        <v>3</v>
      </c>
      <c r="AA12" s="17">
        <f t="shared" si="4"/>
        <v>2</v>
      </c>
      <c r="AB12" s="17">
        <f t="shared" si="4"/>
        <v>0</v>
      </c>
      <c r="AC12" s="17">
        <f t="shared" si="4"/>
        <v>448</v>
      </c>
      <c r="AD12" s="17">
        <f t="shared" si="4"/>
        <v>0</v>
      </c>
      <c r="AE12" s="31">
        <f t="shared" si="4"/>
        <v>223</v>
      </c>
      <c r="AF12" s="31">
        <f t="shared" si="4"/>
        <v>671</v>
      </c>
    </row>
    <row r="13" spans="2:32" ht="23.1" customHeight="1" x14ac:dyDescent="0.25">
      <c r="B13" s="23" t="s">
        <v>40</v>
      </c>
      <c r="C13" s="50">
        <v>21</v>
      </c>
      <c r="D13" s="50">
        <v>3</v>
      </c>
      <c r="E13" s="50">
        <v>3</v>
      </c>
      <c r="F13" s="50">
        <v>3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82</v>
      </c>
      <c r="N13" s="50">
        <v>0</v>
      </c>
      <c r="O13" s="15">
        <f t="shared" si="0"/>
        <v>31</v>
      </c>
      <c r="P13" s="15">
        <f t="shared" si="1"/>
        <v>113</v>
      </c>
      <c r="R13" s="1" t="s">
        <v>9</v>
      </c>
      <c r="S13" s="17">
        <f t="shared" ref="S13:AF13" si="5">SUM(C22:C25)</f>
        <v>142</v>
      </c>
      <c r="T13" s="17">
        <f t="shared" si="5"/>
        <v>26</v>
      </c>
      <c r="U13" s="17">
        <f t="shared" si="5"/>
        <v>16</v>
      </c>
      <c r="V13" s="17">
        <f t="shared" si="5"/>
        <v>64</v>
      </c>
      <c r="W13" s="17">
        <f t="shared" si="5"/>
        <v>0</v>
      </c>
      <c r="X13" s="17">
        <f t="shared" si="5"/>
        <v>0</v>
      </c>
      <c r="Y13" s="17">
        <f t="shared" si="5"/>
        <v>14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456</v>
      </c>
      <c r="AD13" s="17">
        <f t="shared" si="5"/>
        <v>0</v>
      </c>
      <c r="AE13" s="31">
        <f t="shared" si="5"/>
        <v>263</v>
      </c>
      <c r="AF13" s="31">
        <f t="shared" si="5"/>
        <v>719</v>
      </c>
    </row>
    <row r="14" spans="2:32" ht="23.1" customHeight="1" x14ac:dyDescent="0.25">
      <c r="B14" s="23" t="s">
        <v>41</v>
      </c>
      <c r="C14" s="50">
        <v>24</v>
      </c>
      <c r="D14" s="50">
        <v>4</v>
      </c>
      <c r="E14" s="50">
        <v>3</v>
      </c>
      <c r="F14" s="50">
        <v>6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86</v>
      </c>
      <c r="N14" s="50">
        <v>0</v>
      </c>
      <c r="O14" s="15">
        <f t="shared" si="0"/>
        <v>38</v>
      </c>
      <c r="P14" s="15">
        <f t="shared" si="1"/>
        <v>124</v>
      </c>
      <c r="R14" s="1" t="s">
        <v>10</v>
      </c>
      <c r="S14" s="17">
        <f t="shared" ref="S14:AF14" si="6">SUM(C26:C29)</f>
        <v>187</v>
      </c>
      <c r="T14" s="17">
        <f t="shared" si="6"/>
        <v>36</v>
      </c>
      <c r="U14" s="17">
        <f t="shared" si="6"/>
        <v>20</v>
      </c>
      <c r="V14" s="17">
        <f t="shared" si="6"/>
        <v>57</v>
      </c>
      <c r="W14" s="17">
        <f t="shared" si="6"/>
        <v>2</v>
      </c>
      <c r="X14" s="17">
        <f t="shared" si="6"/>
        <v>0</v>
      </c>
      <c r="Y14" s="17">
        <f t="shared" si="6"/>
        <v>5</v>
      </c>
      <c r="Z14" s="17">
        <f t="shared" si="6"/>
        <v>8</v>
      </c>
      <c r="AA14" s="17">
        <f t="shared" si="6"/>
        <v>1</v>
      </c>
      <c r="AB14" s="17">
        <f t="shared" si="6"/>
        <v>0</v>
      </c>
      <c r="AC14" s="17">
        <f t="shared" si="6"/>
        <v>530</v>
      </c>
      <c r="AD14" s="17">
        <f t="shared" si="6"/>
        <v>0</v>
      </c>
      <c r="AE14" s="31">
        <f t="shared" si="6"/>
        <v>316</v>
      </c>
      <c r="AF14" s="31">
        <f t="shared" si="6"/>
        <v>846</v>
      </c>
    </row>
    <row r="15" spans="2:32" ht="23.1" customHeight="1" x14ac:dyDescent="0.25">
      <c r="B15" s="23" t="s">
        <v>42</v>
      </c>
      <c r="C15" s="50">
        <v>32</v>
      </c>
      <c r="D15" s="50">
        <v>3</v>
      </c>
      <c r="E15" s="50">
        <v>10</v>
      </c>
      <c r="F15" s="50">
        <v>16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79</v>
      </c>
      <c r="N15" s="50">
        <v>0</v>
      </c>
      <c r="O15" s="15">
        <f t="shared" si="0"/>
        <v>61</v>
      </c>
      <c r="P15" s="15">
        <f t="shared" si="1"/>
        <v>140</v>
      </c>
      <c r="R15" s="1" t="s">
        <v>11</v>
      </c>
      <c r="S15" s="17">
        <f t="shared" ref="S15:AF15" si="7">SUM(C30:C33)</f>
        <v>223</v>
      </c>
      <c r="T15" s="17">
        <f t="shared" si="7"/>
        <v>39</v>
      </c>
      <c r="U15" s="17">
        <f t="shared" si="7"/>
        <v>30</v>
      </c>
      <c r="V15" s="17">
        <f t="shared" si="7"/>
        <v>51</v>
      </c>
      <c r="W15" s="17">
        <f t="shared" si="7"/>
        <v>0</v>
      </c>
      <c r="X15" s="17">
        <f t="shared" si="7"/>
        <v>0</v>
      </c>
      <c r="Y15" s="17">
        <f t="shared" si="7"/>
        <v>14</v>
      </c>
      <c r="Z15" s="17">
        <f t="shared" si="7"/>
        <v>7</v>
      </c>
      <c r="AA15" s="17">
        <f t="shared" si="7"/>
        <v>0</v>
      </c>
      <c r="AB15" s="17">
        <f t="shared" si="7"/>
        <v>0</v>
      </c>
      <c r="AC15" s="17">
        <f t="shared" si="7"/>
        <v>469</v>
      </c>
      <c r="AD15" s="17">
        <f t="shared" si="7"/>
        <v>0</v>
      </c>
      <c r="AE15" s="31">
        <f t="shared" si="7"/>
        <v>364</v>
      </c>
      <c r="AF15" s="31">
        <f t="shared" si="7"/>
        <v>833</v>
      </c>
    </row>
    <row r="16" spans="2:32" ht="23.1" customHeight="1" x14ac:dyDescent="0.25">
      <c r="B16" s="23" t="s">
        <v>43</v>
      </c>
      <c r="C16" s="50">
        <v>14</v>
      </c>
      <c r="D16" s="50">
        <v>1</v>
      </c>
      <c r="E16" s="50">
        <v>4</v>
      </c>
      <c r="F16" s="50">
        <v>4</v>
      </c>
      <c r="G16" s="50">
        <v>0</v>
      </c>
      <c r="H16" s="50">
        <v>0</v>
      </c>
      <c r="I16" s="50">
        <v>0</v>
      </c>
      <c r="J16" s="50">
        <v>0</v>
      </c>
      <c r="K16" s="50">
        <v>3</v>
      </c>
      <c r="L16" s="50">
        <v>0</v>
      </c>
      <c r="M16" s="50">
        <v>107</v>
      </c>
      <c r="N16" s="50">
        <v>0</v>
      </c>
      <c r="O16" s="15">
        <f t="shared" si="0"/>
        <v>26</v>
      </c>
      <c r="P16" s="15">
        <f t="shared" si="1"/>
        <v>133</v>
      </c>
      <c r="R16" s="1" t="s">
        <v>12</v>
      </c>
      <c r="S16" s="17">
        <f t="shared" ref="S16:AF16" si="8">SUM(C34:C37)</f>
        <v>288</v>
      </c>
      <c r="T16" s="17">
        <f t="shared" si="8"/>
        <v>53</v>
      </c>
      <c r="U16" s="17">
        <f t="shared" si="8"/>
        <v>32</v>
      </c>
      <c r="V16" s="17">
        <f t="shared" si="8"/>
        <v>45</v>
      </c>
      <c r="W16" s="17">
        <f t="shared" si="8"/>
        <v>2</v>
      </c>
      <c r="X16" s="17">
        <f t="shared" si="8"/>
        <v>0</v>
      </c>
      <c r="Y16" s="17">
        <f t="shared" si="8"/>
        <v>14</v>
      </c>
      <c r="Z16" s="17">
        <f t="shared" si="8"/>
        <v>5</v>
      </c>
      <c r="AA16" s="17">
        <f t="shared" si="8"/>
        <v>0</v>
      </c>
      <c r="AB16" s="17">
        <f t="shared" si="8"/>
        <v>0</v>
      </c>
      <c r="AC16" s="17">
        <f t="shared" si="8"/>
        <v>389</v>
      </c>
      <c r="AD16" s="17">
        <f t="shared" si="8"/>
        <v>0</v>
      </c>
      <c r="AE16" s="31">
        <f t="shared" si="8"/>
        <v>439</v>
      </c>
      <c r="AF16" s="31">
        <f t="shared" si="8"/>
        <v>828</v>
      </c>
    </row>
    <row r="17" spans="2:32" ht="23.1" customHeight="1" x14ac:dyDescent="0.25">
      <c r="B17" s="23" t="s">
        <v>44</v>
      </c>
      <c r="C17" s="50">
        <v>29</v>
      </c>
      <c r="D17" s="50">
        <v>2</v>
      </c>
      <c r="E17" s="50">
        <v>4</v>
      </c>
      <c r="F17" s="50">
        <v>7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95</v>
      </c>
      <c r="N17" s="50">
        <v>0</v>
      </c>
      <c r="O17" s="15">
        <f t="shared" si="0"/>
        <v>43</v>
      </c>
      <c r="P17" s="15">
        <f t="shared" si="1"/>
        <v>138</v>
      </c>
      <c r="R17" s="1" t="s">
        <v>13</v>
      </c>
      <c r="S17" s="17">
        <f t="shared" ref="S17:AF17" si="9">SUM(C38:C41)</f>
        <v>333</v>
      </c>
      <c r="T17" s="17">
        <f t="shared" si="9"/>
        <v>36</v>
      </c>
      <c r="U17" s="17">
        <f t="shared" si="9"/>
        <v>21</v>
      </c>
      <c r="V17" s="17">
        <f t="shared" si="9"/>
        <v>52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8</v>
      </c>
      <c r="AA17" s="17">
        <f t="shared" si="9"/>
        <v>0</v>
      </c>
      <c r="AB17" s="17">
        <f t="shared" si="9"/>
        <v>0</v>
      </c>
      <c r="AC17" s="17">
        <f t="shared" si="9"/>
        <v>504</v>
      </c>
      <c r="AD17" s="17">
        <f t="shared" si="9"/>
        <v>0</v>
      </c>
      <c r="AE17" s="31">
        <f t="shared" si="9"/>
        <v>458</v>
      </c>
      <c r="AF17" s="31">
        <f t="shared" si="9"/>
        <v>962</v>
      </c>
    </row>
    <row r="18" spans="2:32" ht="23.1" customHeight="1" x14ac:dyDescent="0.25">
      <c r="B18" s="23" t="s">
        <v>45</v>
      </c>
      <c r="C18" s="50">
        <v>18</v>
      </c>
      <c r="D18" s="50">
        <v>3</v>
      </c>
      <c r="E18" s="50">
        <v>2</v>
      </c>
      <c r="F18" s="50">
        <v>10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91</v>
      </c>
      <c r="N18" s="50">
        <v>0</v>
      </c>
      <c r="O18" s="15">
        <f t="shared" si="0"/>
        <v>34</v>
      </c>
      <c r="P18" s="15">
        <f t="shared" si="1"/>
        <v>125</v>
      </c>
      <c r="R18" s="1" t="s">
        <v>14</v>
      </c>
      <c r="S18" s="17">
        <f t="shared" ref="S18:AF18" si="10">SUM(C42:C45)</f>
        <v>305</v>
      </c>
      <c r="T18" s="17">
        <f t="shared" si="10"/>
        <v>55</v>
      </c>
      <c r="U18" s="17">
        <f t="shared" si="10"/>
        <v>32</v>
      </c>
      <c r="V18" s="17">
        <f t="shared" si="10"/>
        <v>37</v>
      </c>
      <c r="W18" s="17">
        <f t="shared" si="10"/>
        <v>0</v>
      </c>
      <c r="X18" s="17">
        <f t="shared" si="10"/>
        <v>0</v>
      </c>
      <c r="Y18" s="17">
        <f t="shared" si="10"/>
        <v>17</v>
      </c>
      <c r="Z18" s="17">
        <f t="shared" si="10"/>
        <v>6</v>
      </c>
      <c r="AA18" s="17">
        <f t="shared" si="10"/>
        <v>1</v>
      </c>
      <c r="AB18" s="17">
        <f t="shared" si="10"/>
        <v>0</v>
      </c>
      <c r="AC18" s="17">
        <f t="shared" si="10"/>
        <v>527</v>
      </c>
      <c r="AD18" s="17">
        <f t="shared" si="10"/>
        <v>0</v>
      </c>
      <c r="AE18" s="31">
        <f t="shared" si="10"/>
        <v>453</v>
      </c>
      <c r="AF18" s="31">
        <f t="shared" si="10"/>
        <v>980</v>
      </c>
    </row>
    <row r="19" spans="2:32" ht="23.1" customHeight="1" x14ac:dyDescent="0.25">
      <c r="B19" s="23" t="s">
        <v>46</v>
      </c>
      <c r="C19" s="50">
        <v>38</v>
      </c>
      <c r="D19" s="50">
        <v>3</v>
      </c>
      <c r="E19" s="50">
        <v>5</v>
      </c>
      <c r="F19" s="50">
        <v>17</v>
      </c>
      <c r="G19" s="50">
        <v>0</v>
      </c>
      <c r="H19" s="50">
        <v>0</v>
      </c>
      <c r="I19" s="50">
        <v>2</v>
      </c>
      <c r="J19" s="50">
        <v>0</v>
      </c>
      <c r="K19" s="50">
        <v>1</v>
      </c>
      <c r="L19" s="50">
        <v>0</v>
      </c>
      <c r="M19" s="50">
        <v>121</v>
      </c>
      <c r="N19" s="50">
        <v>0</v>
      </c>
      <c r="O19" s="15">
        <f t="shared" si="0"/>
        <v>66</v>
      </c>
      <c r="P19" s="15">
        <f t="shared" si="1"/>
        <v>187</v>
      </c>
      <c r="R19" s="1" t="s">
        <v>15</v>
      </c>
      <c r="S19" s="17">
        <f t="shared" ref="S19:AF19" si="11">SUM(C46:C49)</f>
        <v>258</v>
      </c>
      <c r="T19" s="17">
        <f t="shared" si="11"/>
        <v>36</v>
      </c>
      <c r="U19" s="17">
        <f t="shared" si="11"/>
        <v>34</v>
      </c>
      <c r="V19" s="17">
        <f t="shared" si="11"/>
        <v>38</v>
      </c>
      <c r="W19" s="17">
        <f t="shared" si="11"/>
        <v>1</v>
      </c>
      <c r="X19" s="17">
        <f t="shared" si="11"/>
        <v>0</v>
      </c>
      <c r="Y19" s="17">
        <f t="shared" si="11"/>
        <v>14</v>
      </c>
      <c r="Z19" s="17">
        <f t="shared" si="11"/>
        <v>5</v>
      </c>
      <c r="AA19" s="17">
        <f t="shared" si="11"/>
        <v>3</v>
      </c>
      <c r="AB19" s="17">
        <f t="shared" si="11"/>
        <v>0</v>
      </c>
      <c r="AC19" s="17">
        <f t="shared" si="11"/>
        <v>475</v>
      </c>
      <c r="AD19" s="17">
        <f t="shared" si="11"/>
        <v>0</v>
      </c>
      <c r="AE19" s="31">
        <f t="shared" si="11"/>
        <v>389</v>
      </c>
      <c r="AF19" s="31">
        <f t="shared" si="11"/>
        <v>864</v>
      </c>
    </row>
    <row r="20" spans="2:32" ht="23.1" customHeight="1" x14ac:dyDescent="0.25">
      <c r="B20" s="23" t="s">
        <v>47</v>
      </c>
      <c r="C20" s="50">
        <v>38</v>
      </c>
      <c r="D20" s="50">
        <v>7</v>
      </c>
      <c r="E20" s="50">
        <v>3</v>
      </c>
      <c r="F20" s="50">
        <v>14</v>
      </c>
      <c r="G20" s="50">
        <v>1</v>
      </c>
      <c r="H20" s="50">
        <v>0</v>
      </c>
      <c r="I20" s="50">
        <v>2</v>
      </c>
      <c r="J20" s="50">
        <v>3</v>
      </c>
      <c r="K20" s="50">
        <v>0</v>
      </c>
      <c r="L20" s="50">
        <v>0</v>
      </c>
      <c r="M20" s="50">
        <v>115</v>
      </c>
      <c r="N20" s="50">
        <v>0</v>
      </c>
      <c r="O20" s="15">
        <f t="shared" si="0"/>
        <v>68</v>
      </c>
      <c r="P20" s="15">
        <f t="shared" si="1"/>
        <v>183</v>
      </c>
      <c r="R20" s="1" t="s">
        <v>16</v>
      </c>
      <c r="S20" s="17">
        <f t="shared" ref="S20:AF20" si="12">SUM(C50:C53)</f>
        <v>288</v>
      </c>
      <c r="T20" s="17">
        <f t="shared" si="12"/>
        <v>47</v>
      </c>
      <c r="U20" s="17">
        <f t="shared" si="12"/>
        <v>25</v>
      </c>
      <c r="V20" s="17">
        <f t="shared" si="12"/>
        <v>52</v>
      </c>
      <c r="W20" s="17">
        <f t="shared" si="12"/>
        <v>1</v>
      </c>
      <c r="X20" s="17">
        <f t="shared" si="12"/>
        <v>0</v>
      </c>
      <c r="Y20" s="17">
        <f t="shared" si="12"/>
        <v>10</v>
      </c>
      <c r="Z20" s="17">
        <f t="shared" si="12"/>
        <v>7</v>
      </c>
      <c r="AA20" s="17">
        <f t="shared" si="12"/>
        <v>2</v>
      </c>
      <c r="AB20" s="17">
        <f t="shared" si="12"/>
        <v>0</v>
      </c>
      <c r="AC20" s="17">
        <f t="shared" si="12"/>
        <v>469</v>
      </c>
      <c r="AD20" s="17">
        <f t="shared" si="12"/>
        <v>0</v>
      </c>
      <c r="AE20" s="31">
        <f t="shared" si="12"/>
        <v>432</v>
      </c>
      <c r="AF20" s="31">
        <f t="shared" si="12"/>
        <v>901</v>
      </c>
    </row>
    <row r="21" spans="2:32" ht="23.1" customHeight="1" x14ac:dyDescent="0.25">
      <c r="B21" s="23" t="s">
        <v>48</v>
      </c>
      <c r="C21" s="50">
        <v>32</v>
      </c>
      <c r="D21" s="50">
        <v>6</v>
      </c>
      <c r="E21" s="50">
        <v>4</v>
      </c>
      <c r="F21" s="50">
        <v>10</v>
      </c>
      <c r="G21" s="50">
        <v>0</v>
      </c>
      <c r="H21" s="50">
        <v>0</v>
      </c>
      <c r="I21" s="50">
        <v>2</v>
      </c>
      <c r="J21" s="50">
        <v>0</v>
      </c>
      <c r="K21" s="50">
        <v>1</v>
      </c>
      <c r="L21" s="50">
        <v>0</v>
      </c>
      <c r="M21" s="50">
        <v>121</v>
      </c>
      <c r="N21" s="50">
        <v>0</v>
      </c>
      <c r="O21" s="15">
        <f t="shared" si="0"/>
        <v>55</v>
      </c>
      <c r="P21" s="15">
        <f t="shared" si="1"/>
        <v>176</v>
      </c>
      <c r="R21" s="36" t="s">
        <v>20</v>
      </c>
      <c r="S21" s="34">
        <f t="shared" ref="S21:AF21" si="13">SUM(C54:C57)</f>
        <v>321</v>
      </c>
      <c r="T21" s="17">
        <f t="shared" si="13"/>
        <v>56</v>
      </c>
      <c r="U21" s="17">
        <f t="shared" si="13"/>
        <v>28</v>
      </c>
      <c r="V21" s="17">
        <f t="shared" si="13"/>
        <v>64</v>
      </c>
      <c r="W21" s="17">
        <f t="shared" si="13"/>
        <v>0</v>
      </c>
      <c r="X21" s="17">
        <f t="shared" si="13"/>
        <v>0</v>
      </c>
      <c r="Y21" s="17">
        <f t="shared" si="13"/>
        <v>12</v>
      </c>
      <c r="Z21" s="17">
        <f t="shared" si="13"/>
        <v>6</v>
      </c>
      <c r="AA21" s="17">
        <f t="shared" si="13"/>
        <v>1</v>
      </c>
      <c r="AB21" s="17">
        <f t="shared" si="13"/>
        <v>0</v>
      </c>
      <c r="AC21" s="17">
        <f t="shared" si="13"/>
        <v>522</v>
      </c>
      <c r="AD21" s="17">
        <f t="shared" si="13"/>
        <v>0</v>
      </c>
      <c r="AE21" s="31">
        <f t="shared" si="13"/>
        <v>488</v>
      </c>
      <c r="AF21" s="31">
        <f t="shared" si="13"/>
        <v>1010</v>
      </c>
    </row>
    <row r="22" spans="2:32" ht="23.1" customHeight="1" x14ac:dyDescent="0.25">
      <c r="B22" s="23" t="s">
        <v>49</v>
      </c>
      <c r="C22" s="50">
        <v>30</v>
      </c>
      <c r="D22" s="50">
        <v>2</v>
      </c>
      <c r="E22" s="50">
        <v>2</v>
      </c>
      <c r="F22" s="50">
        <v>14</v>
      </c>
      <c r="G22" s="50">
        <v>0</v>
      </c>
      <c r="H22" s="50">
        <v>0</v>
      </c>
      <c r="I22" s="50">
        <v>2</v>
      </c>
      <c r="J22" s="50">
        <v>0</v>
      </c>
      <c r="K22" s="50">
        <v>1</v>
      </c>
      <c r="L22" s="50">
        <v>0</v>
      </c>
      <c r="M22" s="50">
        <v>130</v>
      </c>
      <c r="N22" s="50">
        <v>0</v>
      </c>
      <c r="O22" s="15">
        <f t="shared" si="0"/>
        <v>51</v>
      </c>
      <c r="P22" s="15">
        <f t="shared" si="1"/>
        <v>181</v>
      </c>
      <c r="R22" s="38" t="s">
        <v>90</v>
      </c>
      <c r="S22" s="39">
        <f>MAX(S10:S12)</f>
        <v>126</v>
      </c>
      <c r="T22" s="39">
        <f t="shared" ref="T22:AF22" si="14">MAX(T10:T12)</f>
        <v>19</v>
      </c>
      <c r="U22" s="39">
        <f t="shared" si="14"/>
        <v>21</v>
      </c>
      <c r="V22" s="39">
        <f t="shared" si="14"/>
        <v>51</v>
      </c>
      <c r="W22" s="39">
        <f t="shared" si="14"/>
        <v>1</v>
      </c>
      <c r="X22" s="39">
        <f t="shared" si="14"/>
        <v>0</v>
      </c>
      <c r="Y22" s="39">
        <f t="shared" si="14"/>
        <v>7</v>
      </c>
      <c r="Z22" s="39">
        <f t="shared" si="14"/>
        <v>3</v>
      </c>
      <c r="AA22" s="39">
        <f t="shared" si="14"/>
        <v>3</v>
      </c>
      <c r="AB22" s="39">
        <f t="shared" si="14"/>
        <v>0</v>
      </c>
      <c r="AC22" s="39">
        <f t="shared" si="14"/>
        <v>448</v>
      </c>
      <c r="AD22" s="39">
        <f t="shared" si="14"/>
        <v>0</v>
      </c>
      <c r="AE22" s="40">
        <f t="shared" si="14"/>
        <v>223</v>
      </c>
      <c r="AF22" s="40">
        <f t="shared" si="14"/>
        <v>671</v>
      </c>
    </row>
    <row r="23" spans="2:32" ht="23.1" customHeight="1" x14ac:dyDescent="0.25">
      <c r="B23" s="23" t="s">
        <v>50</v>
      </c>
      <c r="C23" s="50">
        <v>35</v>
      </c>
      <c r="D23" s="50">
        <v>8</v>
      </c>
      <c r="E23" s="50">
        <v>8</v>
      </c>
      <c r="F23" s="50">
        <v>17</v>
      </c>
      <c r="G23" s="50">
        <v>0</v>
      </c>
      <c r="H23" s="50">
        <v>0</v>
      </c>
      <c r="I23" s="50">
        <v>6</v>
      </c>
      <c r="J23" s="50">
        <v>0</v>
      </c>
      <c r="K23" s="50">
        <v>0</v>
      </c>
      <c r="L23" s="50">
        <v>0</v>
      </c>
      <c r="M23" s="50">
        <v>120</v>
      </c>
      <c r="N23" s="50">
        <v>0</v>
      </c>
      <c r="O23" s="15">
        <f t="shared" si="0"/>
        <v>74</v>
      </c>
      <c r="P23" s="15">
        <f t="shared" si="1"/>
        <v>194</v>
      </c>
      <c r="R23" s="38" t="s">
        <v>91</v>
      </c>
      <c r="S23" s="39">
        <f>MAX(S13:S18)</f>
        <v>333</v>
      </c>
      <c r="T23" s="39">
        <f t="shared" ref="T23:AF23" si="15">MAX(T13:T18)</f>
        <v>55</v>
      </c>
      <c r="U23" s="39">
        <f t="shared" si="15"/>
        <v>32</v>
      </c>
      <c r="V23" s="39">
        <f t="shared" si="15"/>
        <v>64</v>
      </c>
      <c r="W23" s="39">
        <f t="shared" si="15"/>
        <v>2</v>
      </c>
      <c r="X23" s="39">
        <f t="shared" si="15"/>
        <v>0</v>
      </c>
      <c r="Y23" s="39">
        <f t="shared" si="15"/>
        <v>17</v>
      </c>
      <c r="Z23" s="39">
        <f t="shared" si="15"/>
        <v>8</v>
      </c>
      <c r="AA23" s="39">
        <f t="shared" si="15"/>
        <v>1</v>
      </c>
      <c r="AB23" s="39">
        <f t="shared" si="15"/>
        <v>0</v>
      </c>
      <c r="AC23" s="39">
        <f t="shared" si="15"/>
        <v>530</v>
      </c>
      <c r="AD23" s="39">
        <f t="shared" si="15"/>
        <v>0</v>
      </c>
      <c r="AE23" s="40">
        <f t="shared" si="15"/>
        <v>458</v>
      </c>
      <c r="AF23" s="40">
        <f t="shared" si="15"/>
        <v>980</v>
      </c>
    </row>
    <row r="24" spans="2:32" ht="23.1" customHeight="1" x14ac:dyDescent="0.25">
      <c r="B24" s="23" t="s">
        <v>51</v>
      </c>
      <c r="C24" s="50">
        <v>46</v>
      </c>
      <c r="D24" s="50">
        <v>11</v>
      </c>
      <c r="E24" s="50">
        <v>2</v>
      </c>
      <c r="F24" s="50">
        <v>17</v>
      </c>
      <c r="G24" s="50">
        <v>0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110</v>
      </c>
      <c r="N24" s="50">
        <v>0</v>
      </c>
      <c r="O24" s="15">
        <f t="shared" si="0"/>
        <v>81</v>
      </c>
      <c r="P24" s="15">
        <f t="shared" si="1"/>
        <v>191</v>
      </c>
      <c r="R24" s="38" t="s">
        <v>92</v>
      </c>
      <c r="S24" s="39">
        <f>MAX(S19:S21)</f>
        <v>321</v>
      </c>
      <c r="T24" s="39">
        <f t="shared" ref="T24:AF24" si="16">MAX(T19:T21)</f>
        <v>56</v>
      </c>
      <c r="U24" s="39">
        <f t="shared" si="16"/>
        <v>34</v>
      </c>
      <c r="V24" s="39">
        <f t="shared" si="16"/>
        <v>64</v>
      </c>
      <c r="W24" s="39">
        <f t="shared" si="16"/>
        <v>1</v>
      </c>
      <c r="X24" s="39">
        <f t="shared" si="16"/>
        <v>0</v>
      </c>
      <c r="Y24" s="39">
        <f t="shared" si="16"/>
        <v>14</v>
      </c>
      <c r="Z24" s="39">
        <f t="shared" si="16"/>
        <v>7</v>
      </c>
      <c r="AA24" s="39">
        <f t="shared" si="16"/>
        <v>3</v>
      </c>
      <c r="AB24" s="39">
        <f t="shared" si="16"/>
        <v>0</v>
      </c>
      <c r="AC24" s="39">
        <f t="shared" si="16"/>
        <v>522</v>
      </c>
      <c r="AD24" s="39">
        <f t="shared" si="16"/>
        <v>0</v>
      </c>
      <c r="AE24" s="40">
        <f t="shared" si="16"/>
        <v>488</v>
      </c>
      <c r="AF24" s="40">
        <f t="shared" si="16"/>
        <v>1010</v>
      </c>
    </row>
    <row r="25" spans="2:32" ht="23.1" customHeight="1" x14ac:dyDescent="0.25">
      <c r="B25" s="23" t="s">
        <v>52</v>
      </c>
      <c r="C25" s="50">
        <v>31</v>
      </c>
      <c r="D25" s="50">
        <v>5</v>
      </c>
      <c r="E25" s="50">
        <v>4</v>
      </c>
      <c r="F25" s="50">
        <v>16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96</v>
      </c>
      <c r="N25" s="50">
        <v>0</v>
      </c>
      <c r="O25" s="15">
        <f t="shared" si="0"/>
        <v>57</v>
      </c>
      <c r="P25" s="15">
        <f t="shared" si="1"/>
        <v>153</v>
      </c>
      <c r="R25" s="37" t="s">
        <v>85</v>
      </c>
      <c r="S25" s="35">
        <f t="shared" ref="S25:AF25" si="17">SUM(S10:S12)</f>
        <v>275</v>
      </c>
      <c r="T25" s="16">
        <f t="shared" si="17"/>
        <v>35</v>
      </c>
      <c r="U25" s="16">
        <f t="shared" si="17"/>
        <v>44</v>
      </c>
      <c r="V25" s="16">
        <f t="shared" si="17"/>
        <v>101</v>
      </c>
      <c r="W25" s="16">
        <f t="shared" si="17"/>
        <v>1</v>
      </c>
      <c r="X25" s="16">
        <f t="shared" si="17"/>
        <v>0</v>
      </c>
      <c r="Y25" s="16">
        <f t="shared" si="17"/>
        <v>10</v>
      </c>
      <c r="Z25" s="16">
        <f t="shared" si="17"/>
        <v>5</v>
      </c>
      <c r="AA25" s="16">
        <f t="shared" si="17"/>
        <v>5</v>
      </c>
      <c r="AB25" s="16">
        <f t="shared" si="17"/>
        <v>0</v>
      </c>
      <c r="AC25" s="16">
        <f t="shared" si="17"/>
        <v>1088</v>
      </c>
      <c r="AD25" s="16">
        <f t="shared" si="17"/>
        <v>0</v>
      </c>
      <c r="AE25" s="32">
        <f t="shared" si="17"/>
        <v>476</v>
      </c>
      <c r="AF25" s="32">
        <f t="shared" si="17"/>
        <v>1564</v>
      </c>
    </row>
    <row r="26" spans="2:32" ht="23.1" customHeight="1" x14ac:dyDescent="0.25">
      <c r="B26" s="23" t="s">
        <v>53</v>
      </c>
      <c r="C26" s="50">
        <v>45</v>
      </c>
      <c r="D26" s="50">
        <v>10</v>
      </c>
      <c r="E26" s="50">
        <v>4</v>
      </c>
      <c r="F26" s="50">
        <v>15</v>
      </c>
      <c r="G26" s="50">
        <v>1</v>
      </c>
      <c r="H26" s="50">
        <v>0</v>
      </c>
      <c r="I26" s="50">
        <v>4</v>
      </c>
      <c r="J26" s="50">
        <v>2</v>
      </c>
      <c r="K26" s="50">
        <v>1</v>
      </c>
      <c r="L26" s="50">
        <v>0</v>
      </c>
      <c r="M26" s="50">
        <v>118</v>
      </c>
      <c r="N26" s="50">
        <v>0</v>
      </c>
      <c r="O26" s="15">
        <f t="shared" si="0"/>
        <v>82</v>
      </c>
      <c r="P26" s="15">
        <f t="shared" si="1"/>
        <v>200</v>
      </c>
      <c r="R26" s="28" t="s">
        <v>86</v>
      </c>
      <c r="S26" s="16">
        <f t="shared" ref="S26:AF26" si="18">SUM(S13:S18)</f>
        <v>1478</v>
      </c>
      <c r="T26" s="16">
        <f t="shared" si="18"/>
        <v>245</v>
      </c>
      <c r="U26" s="16">
        <f t="shared" si="18"/>
        <v>151</v>
      </c>
      <c r="V26" s="16">
        <f t="shared" si="18"/>
        <v>306</v>
      </c>
      <c r="W26" s="16">
        <f t="shared" si="18"/>
        <v>4</v>
      </c>
      <c r="X26" s="16">
        <f t="shared" si="18"/>
        <v>0</v>
      </c>
      <c r="Y26" s="16">
        <f t="shared" si="18"/>
        <v>72</v>
      </c>
      <c r="Z26" s="16">
        <f t="shared" si="18"/>
        <v>34</v>
      </c>
      <c r="AA26" s="16">
        <f t="shared" si="18"/>
        <v>3</v>
      </c>
      <c r="AB26" s="16">
        <f t="shared" si="18"/>
        <v>0</v>
      </c>
      <c r="AC26" s="16">
        <f t="shared" si="18"/>
        <v>2875</v>
      </c>
      <c r="AD26" s="16">
        <f t="shared" si="18"/>
        <v>0</v>
      </c>
      <c r="AE26" s="32">
        <f t="shared" si="18"/>
        <v>2293</v>
      </c>
      <c r="AF26" s="32">
        <f t="shared" si="18"/>
        <v>5168</v>
      </c>
    </row>
    <row r="27" spans="2:32" ht="23.1" customHeight="1" x14ac:dyDescent="0.25">
      <c r="B27" s="23" t="s">
        <v>54</v>
      </c>
      <c r="C27" s="50">
        <v>40</v>
      </c>
      <c r="D27" s="50">
        <v>6</v>
      </c>
      <c r="E27" s="50">
        <v>7</v>
      </c>
      <c r="F27" s="50">
        <v>14</v>
      </c>
      <c r="G27" s="50">
        <v>1</v>
      </c>
      <c r="H27" s="50">
        <v>0</v>
      </c>
      <c r="I27" s="50">
        <v>0</v>
      </c>
      <c r="J27" s="50">
        <v>2</v>
      </c>
      <c r="K27" s="50">
        <v>0</v>
      </c>
      <c r="L27" s="50">
        <v>0</v>
      </c>
      <c r="M27" s="50">
        <v>107</v>
      </c>
      <c r="N27" s="50">
        <v>0</v>
      </c>
      <c r="O27" s="15">
        <f t="shared" si="0"/>
        <v>70</v>
      </c>
      <c r="P27" s="15">
        <f t="shared" si="1"/>
        <v>177</v>
      </c>
      <c r="R27" s="29" t="s">
        <v>87</v>
      </c>
      <c r="S27" s="16">
        <f t="shared" ref="S27:AF27" si="19">SUM(S19:S21)</f>
        <v>867</v>
      </c>
      <c r="T27" s="16">
        <f t="shared" si="19"/>
        <v>139</v>
      </c>
      <c r="U27" s="16">
        <f t="shared" si="19"/>
        <v>87</v>
      </c>
      <c r="V27" s="16">
        <f t="shared" si="19"/>
        <v>154</v>
      </c>
      <c r="W27" s="16">
        <f t="shared" si="19"/>
        <v>2</v>
      </c>
      <c r="X27" s="16">
        <f t="shared" si="19"/>
        <v>0</v>
      </c>
      <c r="Y27" s="16">
        <f t="shared" si="19"/>
        <v>36</v>
      </c>
      <c r="Z27" s="16">
        <f t="shared" si="19"/>
        <v>18</v>
      </c>
      <c r="AA27" s="16">
        <f t="shared" si="19"/>
        <v>6</v>
      </c>
      <c r="AB27" s="16">
        <f t="shared" si="19"/>
        <v>0</v>
      </c>
      <c r="AC27" s="16">
        <f t="shared" si="19"/>
        <v>1466</v>
      </c>
      <c r="AD27" s="16">
        <f t="shared" si="19"/>
        <v>0</v>
      </c>
      <c r="AE27" s="32">
        <f t="shared" si="19"/>
        <v>1309</v>
      </c>
      <c r="AF27" s="32">
        <f t="shared" si="19"/>
        <v>2775</v>
      </c>
    </row>
    <row r="28" spans="2:32" ht="23.1" customHeight="1" x14ac:dyDescent="0.25">
      <c r="B28" s="23" t="s">
        <v>55</v>
      </c>
      <c r="C28" s="50">
        <v>48</v>
      </c>
      <c r="D28" s="50">
        <v>8</v>
      </c>
      <c r="E28" s="50">
        <v>3</v>
      </c>
      <c r="F28" s="50">
        <v>13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140</v>
      </c>
      <c r="N28" s="50">
        <v>0</v>
      </c>
      <c r="O28" s="15">
        <f t="shared" si="0"/>
        <v>73</v>
      </c>
      <c r="P28" s="15">
        <f t="shared" si="1"/>
        <v>213</v>
      </c>
      <c r="R28" s="5" t="s">
        <v>17</v>
      </c>
      <c r="S28" s="16">
        <f t="shared" ref="S28:AF28" si="20">SUM(S10:S21)</f>
        <v>2620</v>
      </c>
      <c r="T28" s="16">
        <f t="shared" si="20"/>
        <v>419</v>
      </c>
      <c r="U28" s="16">
        <f t="shared" si="20"/>
        <v>282</v>
      </c>
      <c r="V28" s="16">
        <f t="shared" si="20"/>
        <v>561</v>
      </c>
      <c r="W28" s="16">
        <f t="shared" si="20"/>
        <v>7</v>
      </c>
      <c r="X28" s="16">
        <f t="shared" si="20"/>
        <v>0</v>
      </c>
      <c r="Y28" s="16">
        <f t="shared" si="20"/>
        <v>118</v>
      </c>
      <c r="Z28" s="16">
        <f t="shared" si="20"/>
        <v>57</v>
      </c>
      <c r="AA28" s="16">
        <f t="shared" si="20"/>
        <v>14</v>
      </c>
      <c r="AB28" s="16">
        <f t="shared" si="20"/>
        <v>0</v>
      </c>
      <c r="AC28" s="16">
        <f t="shared" si="20"/>
        <v>5429</v>
      </c>
      <c r="AD28" s="16">
        <f t="shared" si="20"/>
        <v>0</v>
      </c>
      <c r="AE28" s="32">
        <f t="shared" si="20"/>
        <v>4078</v>
      </c>
      <c r="AF28" s="32">
        <f t="shared" si="20"/>
        <v>9507</v>
      </c>
    </row>
    <row r="29" spans="2:32" ht="23.1" customHeight="1" x14ac:dyDescent="0.25">
      <c r="B29" s="23" t="s">
        <v>56</v>
      </c>
      <c r="C29" s="50">
        <v>54</v>
      </c>
      <c r="D29" s="50">
        <v>12</v>
      </c>
      <c r="E29" s="50">
        <v>6</v>
      </c>
      <c r="F29" s="50">
        <v>15</v>
      </c>
      <c r="G29" s="50">
        <v>0</v>
      </c>
      <c r="H29" s="50">
        <v>0</v>
      </c>
      <c r="I29" s="50">
        <v>0</v>
      </c>
      <c r="J29" s="50">
        <v>4</v>
      </c>
      <c r="K29" s="50">
        <v>0</v>
      </c>
      <c r="L29" s="50">
        <v>0</v>
      </c>
      <c r="M29" s="50">
        <v>165</v>
      </c>
      <c r="N29" s="50">
        <v>0</v>
      </c>
      <c r="O29" s="15">
        <f t="shared" si="0"/>
        <v>91</v>
      </c>
      <c r="P29" s="15">
        <f t="shared" si="1"/>
        <v>256</v>
      </c>
      <c r="R29"/>
      <c r="S29" s="20"/>
      <c r="T29" s="19"/>
    </row>
    <row r="30" spans="2:32" ht="23.1" customHeight="1" x14ac:dyDescent="0.25">
      <c r="B30" s="23" t="s">
        <v>57</v>
      </c>
      <c r="C30" s="50">
        <v>56</v>
      </c>
      <c r="D30" s="50">
        <v>12</v>
      </c>
      <c r="E30" s="50">
        <v>6</v>
      </c>
      <c r="F30" s="50">
        <v>20</v>
      </c>
      <c r="G30" s="50">
        <v>0</v>
      </c>
      <c r="H30" s="50">
        <v>0</v>
      </c>
      <c r="I30" s="50">
        <v>6</v>
      </c>
      <c r="J30" s="50">
        <v>1</v>
      </c>
      <c r="K30" s="50">
        <v>0</v>
      </c>
      <c r="L30" s="50">
        <v>0</v>
      </c>
      <c r="M30" s="50">
        <v>141</v>
      </c>
      <c r="N30" s="50">
        <v>0</v>
      </c>
      <c r="O30" s="15">
        <f t="shared" si="0"/>
        <v>101</v>
      </c>
      <c r="P30" s="15">
        <f t="shared" si="1"/>
        <v>242</v>
      </c>
    </row>
    <row r="31" spans="2:32" ht="23.1" customHeight="1" x14ac:dyDescent="0.25">
      <c r="B31" s="24" t="s">
        <v>58</v>
      </c>
      <c r="C31" s="50">
        <v>49</v>
      </c>
      <c r="D31" s="50">
        <v>13</v>
      </c>
      <c r="E31" s="50">
        <v>7</v>
      </c>
      <c r="F31" s="50">
        <v>8</v>
      </c>
      <c r="G31" s="50">
        <v>0</v>
      </c>
      <c r="H31" s="50">
        <v>0</v>
      </c>
      <c r="I31" s="50">
        <v>7</v>
      </c>
      <c r="J31" s="50">
        <v>2</v>
      </c>
      <c r="K31" s="50">
        <v>0</v>
      </c>
      <c r="L31" s="50">
        <v>0</v>
      </c>
      <c r="M31" s="50">
        <v>93</v>
      </c>
      <c r="N31" s="50">
        <v>0</v>
      </c>
      <c r="O31" s="15">
        <f t="shared" si="0"/>
        <v>86</v>
      </c>
      <c r="P31" s="15">
        <f t="shared" si="1"/>
        <v>179</v>
      </c>
    </row>
    <row r="32" spans="2:32" ht="23.1" customHeight="1" x14ac:dyDescent="0.25">
      <c r="B32" s="24" t="s">
        <v>59</v>
      </c>
      <c r="C32" s="50">
        <v>58</v>
      </c>
      <c r="D32" s="50">
        <v>10</v>
      </c>
      <c r="E32" s="50">
        <v>7</v>
      </c>
      <c r="F32" s="50">
        <v>11</v>
      </c>
      <c r="G32" s="50">
        <v>0</v>
      </c>
      <c r="H32" s="50">
        <v>0</v>
      </c>
      <c r="I32" s="50">
        <v>0</v>
      </c>
      <c r="J32" s="50">
        <v>2</v>
      </c>
      <c r="K32" s="50">
        <v>0</v>
      </c>
      <c r="L32" s="50">
        <v>0</v>
      </c>
      <c r="M32" s="50">
        <v>110</v>
      </c>
      <c r="N32" s="50">
        <v>0</v>
      </c>
      <c r="O32" s="15">
        <f t="shared" si="0"/>
        <v>88</v>
      </c>
      <c r="P32" s="15">
        <f t="shared" si="1"/>
        <v>198</v>
      </c>
    </row>
    <row r="33" spans="2:20" ht="23.1" customHeight="1" x14ac:dyDescent="0.25">
      <c r="B33" s="23" t="s">
        <v>60</v>
      </c>
      <c r="C33" s="50">
        <v>60</v>
      </c>
      <c r="D33" s="50">
        <v>4</v>
      </c>
      <c r="E33" s="50">
        <v>10</v>
      </c>
      <c r="F33" s="50">
        <v>12</v>
      </c>
      <c r="G33" s="50">
        <v>0</v>
      </c>
      <c r="H33" s="50">
        <v>0</v>
      </c>
      <c r="I33" s="50">
        <v>1</v>
      </c>
      <c r="J33" s="50">
        <v>2</v>
      </c>
      <c r="K33" s="50">
        <v>0</v>
      </c>
      <c r="L33" s="50">
        <v>0</v>
      </c>
      <c r="M33" s="50">
        <v>125</v>
      </c>
      <c r="N33" s="50">
        <v>0</v>
      </c>
      <c r="O33" s="15">
        <f t="shared" si="0"/>
        <v>89</v>
      </c>
      <c r="P33" s="15">
        <f t="shared" si="1"/>
        <v>214</v>
      </c>
    </row>
    <row r="34" spans="2:20" ht="23.1" customHeight="1" x14ac:dyDescent="0.25">
      <c r="B34" s="24" t="s">
        <v>61</v>
      </c>
      <c r="C34" s="50">
        <v>75</v>
      </c>
      <c r="D34" s="50">
        <v>14</v>
      </c>
      <c r="E34" s="50">
        <v>11</v>
      </c>
      <c r="F34" s="50">
        <v>12</v>
      </c>
      <c r="G34" s="50">
        <v>2</v>
      </c>
      <c r="H34" s="50">
        <v>0</v>
      </c>
      <c r="I34" s="50">
        <v>6</v>
      </c>
      <c r="J34" s="50">
        <v>2</v>
      </c>
      <c r="K34" s="50">
        <v>0</v>
      </c>
      <c r="L34" s="50">
        <v>0</v>
      </c>
      <c r="M34" s="50">
        <v>83</v>
      </c>
      <c r="N34" s="50">
        <v>0</v>
      </c>
      <c r="O34" s="15">
        <f t="shared" si="0"/>
        <v>122</v>
      </c>
      <c r="P34" s="15">
        <f t="shared" si="1"/>
        <v>205</v>
      </c>
    </row>
    <row r="35" spans="2:20" ht="23.1" customHeight="1" x14ac:dyDescent="0.25">
      <c r="B35" s="24" t="s">
        <v>62</v>
      </c>
      <c r="C35" s="50">
        <v>63</v>
      </c>
      <c r="D35" s="50">
        <v>12</v>
      </c>
      <c r="E35" s="50">
        <v>1</v>
      </c>
      <c r="F35" s="50">
        <v>9</v>
      </c>
      <c r="G35" s="50">
        <v>0</v>
      </c>
      <c r="H35" s="50">
        <v>0</v>
      </c>
      <c r="I35" s="50">
        <v>2</v>
      </c>
      <c r="J35" s="50">
        <v>2</v>
      </c>
      <c r="K35" s="50">
        <v>0</v>
      </c>
      <c r="L35" s="50">
        <v>0</v>
      </c>
      <c r="M35" s="50">
        <v>115</v>
      </c>
      <c r="N35" s="50">
        <v>0</v>
      </c>
      <c r="O35" s="15">
        <f t="shared" si="0"/>
        <v>89</v>
      </c>
      <c r="P35" s="15">
        <f t="shared" si="1"/>
        <v>204</v>
      </c>
    </row>
    <row r="36" spans="2:20" ht="23.1" customHeight="1" x14ac:dyDescent="0.25">
      <c r="B36" s="24" t="s">
        <v>63</v>
      </c>
      <c r="C36" s="50">
        <v>70</v>
      </c>
      <c r="D36" s="50">
        <v>9</v>
      </c>
      <c r="E36" s="50">
        <v>6</v>
      </c>
      <c r="F36" s="50">
        <v>8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76</v>
      </c>
      <c r="N36" s="50">
        <v>0</v>
      </c>
      <c r="O36" s="15">
        <f t="shared" si="0"/>
        <v>97</v>
      </c>
      <c r="P36" s="15">
        <f t="shared" si="1"/>
        <v>173</v>
      </c>
    </row>
    <row r="37" spans="2:20" ht="23.1" customHeight="1" x14ac:dyDescent="0.25">
      <c r="B37" s="23" t="s">
        <v>64</v>
      </c>
      <c r="C37" s="50">
        <v>80</v>
      </c>
      <c r="D37" s="50">
        <v>18</v>
      </c>
      <c r="E37" s="50">
        <v>14</v>
      </c>
      <c r="F37" s="50">
        <v>16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115</v>
      </c>
      <c r="N37" s="50">
        <v>0</v>
      </c>
      <c r="O37" s="15">
        <f t="shared" si="0"/>
        <v>131</v>
      </c>
      <c r="P37" s="15">
        <f t="shared" si="1"/>
        <v>246</v>
      </c>
    </row>
    <row r="38" spans="2:20" ht="23.1" customHeight="1" x14ac:dyDescent="0.25">
      <c r="B38" s="24" t="s">
        <v>65</v>
      </c>
      <c r="C38" s="50">
        <v>90</v>
      </c>
      <c r="D38" s="50">
        <v>5</v>
      </c>
      <c r="E38" s="50">
        <v>8</v>
      </c>
      <c r="F38" s="50">
        <v>10</v>
      </c>
      <c r="G38" s="50">
        <v>0</v>
      </c>
      <c r="H38" s="50">
        <v>0</v>
      </c>
      <c r="I38" s="50">
        <v>1</v>
      </c>
      <c r="J38" s="50">
        <v>3</v>
      </c>
      <c r="K38" s="50">
        <v>0</v>
      </c>
      <c r="L38" s="50">
        <v>0</v>
      </c>
      <c r="M38" s="50">
        <v>124</v>
      </c>
      <c r="N38" s="50">
        <v>0</v>
      </c>
      <c r="O38" s="15">
        <f t="shared" si="0"/>
        <v>117</v>
      </c>
      <c r="P38" s="15">
        <f t="shared" si="1"/>
        <v>241</v>
      </c>
    </row>
    <row r="39" spans="2:20" ht="23.1" customHeight="1" x14ac:dyDescent="0.25">
      <c r="B39" s="24" t="s">
        <v>66</v>
      </c>
      <c r="C39" s="50">
        <v>89</v>
      </c>
      <c r="D39" s="50">
        <v>9</v>
      </c>
      <c r="E39" s="50">
        <v>8</v>
      </c>
      <c r="F39" s="50">
        <v>15</v>
      </c>
      <c r="G39" s="50">
        <v>0</v>
      </c>
      <c r="H39" s="50">
        <v>0</v>
      </c>
      <c r="I39" s="50">
        <v>4</v>
      </c>
      <c r="J39" s="50">
        <v>1</v>
      </c>
      <c r="K39" s="50">
        <v>0</v>
      </c>
      <c r="L39" s="50">
        <v>0</v>
      </c>
      <c r="M39" s="50">
        <v>168</v>
      </c>
      <c r="N39" s="50">
        <v>0</v>
      </c>
      <c r="O39" s="15">
        <f t="shared" si="0"/>
        <v>126</v>
      </c>
      <c r="P39" s="15">
        <f t="shared" si="1"/>
        <v>294</v>
      </c>
    </row>
    <row r="40" spans="2:20" ht="23.1" customHeight="1" x14ac:dyDescent="0.25">
      <c r="B40" s="24" t="s">
        <v>67</v>
      </c>
      <c r="C40" s="50">
        <v>83</v>
      </c>
      <c r="D40" s="50">
        <v>15</v>
      </c>
      <c r="E40" s="50">
        <v>3</v>
      </c>
      <c r="F40" s="50">
        <v>15</v>
      </c>
      <c r="G40" s="50">
        <v>0</v>
      </c>
      <c r="H40" s="50">
        <v>0</v>
      </c>
      <c r="I40" s="50">
        <v>0</v>
      </c>
      <c r="J40" s="50">
        <v>3</v>
      </c>
      <c r="K40" s="50">
        <v>0</v>
      </c>
      <c r="L40" s="50">
        <v>0</v>
      </c>
      <c r="M40" s="50">
        <v>102</v>
      </c>
      <c r="N40" s="50">
        <v>0</v>
      </c>
      <c r="O40" s="15">
        <f t="shared" si="0"/>
        <v>119</v>
      </c>
      <c r="P40" s="15">
        <f t="shared" si="1"/>
        <v>221</v>
      </c>
    </row>
    <row r="41" spans="2:20" ht="23.1" customHeight="1" x14ac:dyDescent="0.25">
      <c r="B41" s="23" t="s">
        <v>68</v>
      </c>
      <c r="C41" s="50">
        <v>71</v>
      </c>
      <c r="D41" s="50">
        <v>7</v>
      </c>
      <c r="E41" s="50">
        <v>2</v>
      </c>
      <c r="F41" s="50">
        <v>12</v>
      </c>
      <c r="G41" s="50">
        <v>0</v>
      </c>
      <c r="H41" s="50">
        <v>0</v>
      </c>
      <c r="I41" s="50">
        <v>3</v>
      </c>
      <c r="J41" s="50">
        <v>1</v>
      </c>
      <c r="K41" s="50">
        <v>0</v>
      </c>
      <c r="L41" s="50">
        <v>0</v>
      </c>
      <c r="M41" s="50">
        <v>110</v>
      </c>
      <c r="N41" s="50">
        <v>0</v>
      </c>
      <c r="O41" s="15">
        <f t="shared" si="0"/>
        <v>96</v>
      </c>
      <c r="P41" s="15">
        <f t="shared" si="1"/>
        <v>206</v>
      </c>
    </row>
    <row r="42" spans="2:20" ht="23.1" customHeight="1" x14ac:dyDescent="0.25">
      <c r="B42" s="24" t="s">
        <v>69</v>
      </c>
      <c r="C42" s="50">
        <v>86</v>
      </c>
      <c r="D42" s="50">
        <v>20</v>
      </c>
      <c r="E42" s="50">
        <v>6</v>
      </c>
      <c r="F42" s="50">
        <v>6</v>
      </c>
      <c r="G42" s="50">
        <v>0</v>
      </c>
      <c r="H42" s="50">
        <v>0</v>
      </c>
      <c r="I42" s="50">
        <v>6</v>
      </c>
      <c r="J42" s="50">
        <v>0</v>
      </c>
      <c r="K42" s="50">
        <v>0</v>
      </c>
      <c r="L42" s="50">
        <v>0</v>
      </c>
      <c r="M42" s="50">
        <v>129</v>
      </c>
      <c r="N42" s="50">
        <v>0</v>
      </c>
      <c r="O42" s="15">
        <f t="shared" si="0"/>
        <v>124</v>
      </c>
      <c r="P42" s="15">
        <f t="shared" si="1"/>
        <v>253</v>
      </c>
    </row>
    <row r="43" spans="2:20" ht="23.1" customHeight="1" x14ac:dyDescent="0.25">
      <c r="B43" s="23" t="s">
        <v>70</v>
      </c>
      <c r="C43" s="50">
        <v>65</v>
      </c>
      <c r="D43" s="50">
        <v>8</v>
      </c>
      <c r="E43" s="50">
        <v>6</v>
      </c>
      <c r="F43" s="50">
        <v>9</v>
      </c>
      <c r="G43" s="50">
        <v>0</v>
      </c>
      <c r="H43" s="50">
        <v>0</v>
      </c>
      <c r="I43" s="50">
        <v>5</v>
      </c>
      <c r="J43" s="50">
        <v>4</v>
      </c>
      <c r="K43" s="50">
        <v>0</v>
      </c>
      <c r="L43" s="50">
        <v>0</v>
      </c>
      <c r="M43" s="50">
        <v>130</v>
      </c>
      <c r="N43" s="50">
        <v>0</v>
      </c>
      <c r="O43" s="15">
        <f t="shared" si="0"/>
        <v>97</v>
      </c>
      <c r="P43" s="15">
        <f t="shared" si="1"/>
        <v>227</v>
      </c>
    </row>
    <row r="44" spans="2:20" ht="23.1" customHeight="1" x14ac:dyDescent="0.25">
      <c r="B44" s="25" t="s">
        <v>71</v>
      </c>
      <c r="C44" s="50">
        <v>79</v>
      </c>
      <c r="D44" s="50">
        <v>17</v>
      </c>
      <c r="E44" s="50">
        <v>12</v>
      </c>
      <c r="F44" s="50">
        <v>11</v>
      </c>
      <c r="G44" s="50">
        <v>0</v>
      </c>
      <c r="H44" s="50">
        <v>0</v>
      </c>
      <c r="I44" s="50">
        <v>4</v>
      </c>
      <c r="J44" s="50">
        <v>1</v>
      </c>
      <c r="K44" s="50">
        <v>0</v>
      </c>
      <c r="L44" s="50">
        <v>0</v>
      </c>
      <c r="M44" s="50">
        <v>133</v>
      </c>
      <c r="N44" s="50">
        <v>0</v>
      </c>
      <c r="O44" s="15">
        <f t="shared" si="0"/>
        <v>124</v>
      </c>
      <c r="P44" s="15">
        <f t="shared" si="1"/>
        <v>257</v>
      </c>
    </row>
    <row r="45" spans="2:20" ht="23.1" customHeight="1" x14ac:dyDescent="0.25">
      <c r="B45" s="23" t="s">
        <v>72</v>
      </c>
      <c r="C45" s="50">
        <v>75</v>
      </c>
      <c r="D45" s="50">
        <v>10</v>
      </c>
      <c r="E45" s="50">
        <v>8</v>
      </c>
      <c r="F45" s="50">
        <v>11</v>
      </c>
      <c r="G45" s="50">
        <v>0</v>
      </c>
      <c r="H45" s="50">
        <v>0</v>
      </c>
      <c r="I45" s="50">
        <v>2</v>
      </c>
      <c r="J45" s="50">
        <v>1</v>
      </c>
      <c r="K45" s="50">
        <v>1</v>
      </c>
      <c r="L45" s="50">
        <v>0</v>
      </c>
      <c r="M45" s="50">
        <v>135</v>
      </c>
      <c r="N45" s="50">
        <v>0</v>
      </c>
      <c r="O45" s="15">
        <f t="shared" si="0"/>
        <v>108</v>
      </c>
      <c r="P45" s="15">
        <f t="shared" si="1"/>
        <v>243</v>
      </c>
    </row>
    <row r="46" spans="2:20" ht="23.1" customHeight="1" x14ac:dyDescent="0.25">
      <c r="B46" s="24" t="s">
        <v>73</v>
      </c>
      <c r="C46" s="50">
        <v>76</v>
      </c>
      <c r="D46" s="50">
        <v>10</v>
      </c>
      <c r="E46" s="50">
        <v>10</v>
      </c>
      <c r="F46" s="50">
        <v>16</v>
      </c>
      <c r="G46" s="50">
        <v>1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120</v>
      </c>
      <c r="N46" s="50">
        <v>0</v>
      </c>
      <c r="O46" s="15">
        <f t="shared" si="0"/>
        <v>117</v>
      </c>
      <c r="P46" s="15">
        <f t="shared" si="1"/>
        <v>237</v>
      </c>
      <c r="R46" s="8"/>
      <c r="T46"/>
    </row>
    <row r="47" spans="2:20" ht="23.1" customHeight="1" x14ac:dyDescent="0.25">
      <c r="B47" s="24" t="s">
        <v>74</v>
      </c>
      <c r="C47" s="50">
        <v>32</v>
      </c>
      <c r="D47" s="50">
        <v>9</v>
      </c>
      <c r="E47" s="50">
        <v>6</v>
      </c>
      <c r="F47" s="50">
        <v>4</v>
      </c>
      <c r="G47" s="50">
        <v>0</v>
      </c>
      <c r="H47" s="50">
        <v>0</v>
      </c>
      <c r="I47" s="50">
        <v>2</v>
      </c>
      <c r="J47" s="50">
        <v>0</v>
      </c>
      <c r="K47" s="50">
        <v>3</v>
      </c>
      <c r="L47" s="50">
        <v>0</v>
      </c>
      <c r="M47" s="50">
        <v>92</v>
      </c>
      <c r="N47" s="50">
        <v>0</v>
      </c>
      <c r="O47" s="15">
        <f t="shared" si="0"/>
        <v>56</v>
      </c>
      <c r="P47" s="15">
        <f t="shared" si="1"/>
        <v>148</v>
      </c>
      <c r="R47" s="8"/>
      <c r="T47"/>
    </row>
    <row r="48" spans="2:20" ht="23.1" customHeight="1" x14ac:dyDescent="0.25">
      <c r="B48" s="24" t="s">
        <v>75</v>
      </c>
      <c r="C48" s="50">
        <v>82</v>
      </c>
      <c r="D48" s="50">
        <v>6</v>
      </c>
      <c r="E48" s="50">
        <v>7</v>
      </c>
      <c r="F48" s="50">
        <v>8</v>
      </c>
      <c r="G48" s="50">
        <v>0</v>
      </c>
      <c r="H48" s="50">
        <v>0</v>
      </c>
      <c r="I48" s="50">
        <v>5</v>
      </c>
      <c r="J48" s="50">
        <v>1</v>
      </c>
      <c r="K48" s="50">
        <v>0</v>
      </c>
      <c r="L48" s="50">
        <v>0</v>
      </c>
      <c r="M48" s="50">
        <v>139</v>
      </c>
      <c r="N48" s="50">
        <v>0</v>
      </c>
      <c r="O48" s="15">
        <f t="shared" si="0"/>
        <v>109</v>
      </c>
      <c r="P48" s="15">
        <f t="shared" si="1"/>
        <v>248</v>
      </c>
      <c r="R48" s="8"/>
      <c r="T48"/>
    </row>
    <row r="49" spans="2:20" ht="23.1" customHeight="1" x14ac:dyDescent="0.25">
      <c r="B49" s="23" t="s">
        <v>76</v>
      </c>
      <c r="C49" s="50">
        <v>68</v>
      </c>
      <c r="D49" s="50">
        <v>11</v>
      </c>
      <c r="E49" s="50">
        <v>11</v>
      </c>
      <c r="F49" s="50">
        <v>10</v>
      </c>
      <c r="G49" s="50">
        <v>0</v>
      </c>
      <c r="H49" s="50">
        <v>0</v>
      </c>
      <c r="I49" s="50">
        <v>4</v>
      </c>
      <c r="J49" s="50">
        <v>3</v>
      </c>
      <c r="K49" s="50">
        <v>0</v>
      </c>
      <c r="L49" s="50">
        <v>0</v>
      </c>
      <c r="M49" s="50">
        <v>124</v>
      </c>
      <c r="N49" s="50">
        <v>0</v>
      </c>
      <c r="O49" s="15">
        <f t="shared" si="0"/>
        <v>107</v>
      </c>
      <c r="P49" s="15">
        <f t="shared" si="1"/>
        <v>231</v>
      </c>
      <c r="R49" s="8"/>
      <c r="T49"/>
    </row>
    <row r="50" spans="2:20" ht="23.1" customHeight="1" x14ac:dyDescent="0.25">
      <c r="B50" s="24" t="s">
        <v>77</v>
      </c>
      <c r="C50" s="50">
        <v>66</v>
      </c>
      <c r="D50" s="50">
        <v>14</v>
      </c>
      <c r="E50" s="50">
        <v>11</v>
      </c>
      <c r="F50" s="50">
        <v>18</v>
      </c>
      <c r="G50" s="50">
        <v>0</v>
      </c>
      <c r="H50" s="50">
        <v>0</v>
      </c>
      <c r="I50" s="50">
        <v>2</v>
      </c>
      <c r="J50" s="50">
        <v>3</v>
      </c>
      <c r="K50" s="50">
        <v>0</v>
      </c>
      <c r="L50" s="50">
        <v>0</v>
      </c>
      <c r="M50" s="50">
        <v>105</v>
      </c>
      <c r="N50" s="50">
        <v>0</v>
      </c>
      <c r="O50" s="15">
        <f t="shared" si="0"/>
        <v>114</v>
      </c>
      <c r="P50" s="15">
        <f t="shared" si="1"/>
        <v>219</v>
      </c>
      <c r="R50" s="8"/>
      <c r="T50"/>
    </row>
    <row r="51" spans="2:20" ht="23.1" customHeight="1" x14ac:dyDescent="0.25">
      <c r="B51" s="24" t="s">
        <v>78</v>
      </c>
      <c r="C51" s="50">
        <v>66</v>
      </c>
      <c r="D51" s="50">
        <v>13</v>
      </c>
      <c r="E51" s="50">
        <v>5</v>
      </c>
      <c r="F51" s="50">
        <v>13</v>
      </c>
      <c r="G51" s="50">
        <v>0</v>
      </c>
      <c r="H51" s="50">
        <v>0</v>
      </c>
      <c r="I51" s="50">
        <v>4</v>
      </c>
      <c r="J51" s="50">
        <v>0</v>
      </c>
      <c r="K51" s="50">
        <v>2</v>
      </c>
      <c r="L51" s="50">
        <v>0</v>
      </c>
      <c r="M51" s="50">
        <v>123</v>
      </c>
      <c r="N51" s="50">
        <v>0</v>
      </c>
      <c r="O51" s="15">
        <f t="shared" si="0"/>
        <v>103</v>
      </c>
      <c r="P51" s="15">
        <f t="shared" si="1"/>
        <v>226</v>
      </c>
      <c r="R51" s="8"/>
      <c r="T51"/>
    </row>
    <row r="52" spans="2:20" ht="23.1" customHeight="1" x14ac:dyDescent="0.25">
      <c r="B52" s="24" t="s">
        <v>79</v>
      </c>
      <c r="C52" s="50">
        <v>90</v>
      </c>
      <c r="D52" s="50">
        <v>12</v>
      </c>
      <c r="E52" s="50">
        <v>5</v>
      </c>
      <c r="F52" s="50">
        <v>16</v>
      </c>
      <c r="G52" s="50">
        <v>1</v>
      </c>
      <c r="H52" s="50">
        <v>0</v>
      </c>
      <c r="I52" s="50">
        <v>3</v>
      </c>
      <c r="J52" s="50">
        <v>3</v>
      </c>
      <c r="K52" s="50">
        <v>0</v>
      </c>
      <c r="L52" s="50">
        <v>0</v>
      </c>
      <c r="M52" s="50">
        <v>147</v>
      </c>
      <c r="N52" s="50">
        <v>0</v>
      </c>
      <c r="O52" s="15">
        <f t="shared" si="0"/>
        <v>130</v>
      </c>
      <c r="P52" s="15">
        <f t="shared" si="1"/>
        <v>277</v>
      </c>
      <c r="R52" s="8"/>
      <c r="T52"/>
    </row>
    <row r="53" spans="2:20" ht="23.1" customHeight="1" x14ac:dyDescent="0.25">
      <c r="B53" s="23" t="s">
        <v>80</v>
      </c>
      <c r="C53" s="50">
        <v>66</v>
      </c>
      <c r="D53" s="50">
        <v>8</v>
      </c>
      <c r="E53" s="50">
        <v>4</v>
      </c>
      <c r="F53" s="50">
        <v>5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94</v>
      </c>
      <c r="N53" s="50">
        <v>0</v>
      </c>
      <c r="O53" s="15">
        <f t="shared" si="0"/>
        <v>85</v>
      </c>
      <c r="P53" s="15">
        <f t="shared" si="1"/>
        <v>179</v>
      </c>
      <c r="R53" s="8"/>
      <c r="T53"/>
    </row>
    <row r="54" spans="2:20" ht="23.1" customHeight="1" x14ac:dyDescent="0.25">
      <c r="B54" s="23" t="s">
        <v>81</v>
      </c>
      <c r="C54" s="50">
        <v>86</v>
      </c>
      <c r="D54" s="50">
        <v>14</v>
      </c>
      <c r="E54" s="50">
        <v>10</v>
      </c>
      <c r="F54" s="50">
        <v>22</v>
      </c>
      <c r="G54" s="50">
        <v>0</v>
      </c>
      <c r="H54" s="50">
        <v>0</v>
      </c>
      <c r="I54" s="50">
        <v>4</v>
      </c>
      <c r="J54" s="50">
        <v>4</v>
      </c>
      <c r="K54" s="50">
        <v>0</v>
      </c>
      <c r="L54" s="50">
        <v>0</v>
      </c>
      <c r="M54" s="50">
        <v>142</v>
      </c>
      <c r="N54" s="50">
        <v>0</v>
      </c>
      <c r="O54" s="15">
        <f t="shared" si="0"/>
        <v>140</v>
      </c>
      <c r="P54" s="15">
        <f t="shared" si="1"/>
        <v>282</v>
      </c>
      <c r="R54" s="8"/>
      <c r="T54"/>
    </row>
    <row r="55" spans="2:20" ht="23.1" customHeight="1" x14ac:dyDescent="0.25">
      <c r="B55" s="23" t="s">
        <v>82</v>
      </c>
      <c r="C55" s="50">
        <v>68</v>
      </c>
      <c r="D55" s="50">
        <v>12</v>
      </c>
      <c r="E55" s="50">
        <v>5</v>
      </c>
      <c r="F55" s="50">
        <v>11</v>
      </c>
      <c r="G55" s="50">
        <v>0</v>
      </c>
      <c r="H55" s="50">
        <v>0</v>
      </c>
      <c r="I55" s="50">
        <v>4</v>
      </c>
      <c r="J55" s="50">
        <v>0</v>
      </c>
      <c r="K55" s="50">
        <v>1</v>
      </c>
      <c r="L55" s="50">
        <v>0</v>
      </c>
      <c r="M55" s="50">
        <v>120</v>
      </c>
      <c r="N55" s="50">
        <v>0</v>
      </c>
      <c r="O55" s="15">
        <f t="shared" si="0"/>
        <v>101</v>
      </c>
      <c r="P55" s="15">
        <f t="shared" si="1"/>
        <v>221</v>
      </c>
      <c r="R55" s="8"/>
      <c r="T55"/>
    </row>
    <row r="56" spans="2:20" ht="23.1" customHeight="1" x14ac:dyDescent="0.25">
      <c r="B56" s="23" t="s">
        <v>83</v>
      </c>
      <c r="C56" s="50">
        <v>97</v>
      </c>
      <c r="D56" s="50">
        <v>12</v>
      </c>
      <c r="E56" s="50">
        <v>7</v>
      </c>
      <c r="F56" s="50">
        <v>15</v>
      </c>
      <c r="G56" s="50">
        <v>0</v>
      </c>
      <c r="H56" s="50">
        <v>0</v>
      </c>
      <c r="I56" s="50">
        <v>3</v>
      </c>
      <c r="J56" s="50">
        <v>2</v>
      </c>
      <c r="K56" s="50">
        <v>0</v>
      </c>
      <c r="L56" s="50">
        <v>0</v>
      </c>
      <c r="M56" s="50">
        <v>140</v>
      </c>
      <c r="N56" s="50">
        <v>0</v>
      </c>
      <c r="O56" s="15">
        <f t="shared" si="0"/>
        <v>136</v>
      </c>
      <c r="P56" s="15">
        <f t="shared" si="1"/>
        <v>276</v>
      </c>
      <c r="R56" s="8"/>
      <c r="T56"/>
    </row>
    <row r="57" spans="2:20" ht="23.1" customHeight="1" x14ac:dyDescent="0.25">
      <c r="B57" s="23" t="s">
        <v>84</v>
      </c>
      <c r="C57" s="50">
        <v>70</v>
      </c>
      <c r="D57" s="50">
        <v>18</v>
      </c>
      <c r="E57" s="50">
        <v>6</v>
      </c>
      <c r="F57" s="50">
        <v>16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120</v>
      </c>
      <c r="N57" s="50">
        <v>0</v>
      </c>
      <c r="O57" s="15">
        <f t="shared" si="0"/>
        <v>111</v>
      </c>
      <c r="P57" s="15">
        <f t="shared" si="1"/>
        <v>231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2620</v>
      </c>
      <c r="D58" s="16">
        <f t="shared" si="21"/>
        <v>419</v>
      </c>
      <c r="E58" s="16">
        <f t="shared" si="21"/>
        <v>282</v>
      </c>
      <c r="F58" s="16">
        <f t="shared" si="21"/>
        <v>561</v>
      </c>
      <c r="G58" s="16">
        <f t="shared" si="21"/>
        <v>7</v>
      </c>
      <c r="H58" s="16">
        <f t="shared" si="21"/>
        <v>0</v>
      </c>
      <c r="I58" s="16">
        <f t="shared" si="21"/>
        <v>118</v>
      </c>
      <c r="J58" s="16">
        <f t="shared" si="21"/>
        <v>57</v>
      </c>
      <c r="K58" s="16">
        <f t="shared" si="21"/>
        <v>14</v>
      </c>
      <c r="L58" s="16">
        <f t="shared" si="21"/>
        <v>0</v>
      </c>
      <c r="M58" s="16">
        <f t="shared" si="21"/>
        <v>5429</v>
      </c>
      <c r="N58" s="16">
        <f t="shared" si="21"/>
        <v>0</v>
      </c>
      <c r="O58" s="16">
        <f t="shared" si="21"/>
        <v>4078</v>
      </c>
      <c r="P58" s="16">
        <f t="shared" si="21"/>
        <v>9507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0.27558641001367412</v>
      </c>
      <c r="D59" s="43">
        <f t="shared" si="22"/>
        <v>4.4072788471652469E-2</v>
      </c>
      <c r="E59" s="43">
        <f t="shared" si="22"/>
        <v>2.9662354054906911E-2</v>
      </c>
      <c r="F59" s="43">
        <f t="shared" si="22"/>
        <v>5.9009151151782895E-2</v>
      </c>
      <c r="G59" s="43">
        <f t="shared" si="22"/>
        <v>7.3629956873882399E-4</v>
      </c>
      <c r="H59" s="43">
        <f t="shared" si="22"/>
        <v>0</v>
      </c>
      <c r="I59" s="43">
        <f t="shared" si="22"/>
        <v>1.2411907015883034E-2</v>
      </c>
      <c r="J59" s="43">
        <f t="shared" si="22"/>
        <v>5.9955822025875667E-3</v>
      </c>
      <c r="K59" s="43">
        <f t="shared" si="22"/>
        <v>1.472599137477648E-3</v>
      </c>
      <c r="L59" s="43">
        <f t="shared" si="22"/>
        <v>0</v>
      </c>
      <c r="M59" s="43">
        <f t="shared" si="22"/>
        <v>0.57105290838329648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0.64247179990191272</v>
      </c>
      <c r="D60" s="44">
        <f t="shared" ref="D60:N60" si="23">D58/$O$58</f>
        <v>0.10274644433545856</v>
      </c>
      <c r="E60" s="44">
        <f t="shared" si="23"/>
        <v>6.91515448749387E-2</v>
      </c>
      <c r="F60" s="44">
        <f t="shared" si="23"/>
        <v>0.13756743501716528</v>
      </c>
      <c r="G60" s="44">
        <f t="shared" si="23"/>
        <v>1.7165277096615988E-3</v>
      </c>
      <c r="H60" s="44">
        <f t="shared" si="23"/>
        <v>0</v>
      </c>
      <c r="I60" s="44">
        <f t="shared" si="23"/>
        <v>2.8935752820009809E-2</v>
      </c>
      <c r="J60" s="44">
        <f t="shared" si="23"/>
        <v>1.3977439921530162E-2</v>
      </c>
      <c r="K60" s="44">
        <f t="shared" si="23"/>
        <v>3.4330554193231977E-3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E47" zoomScale="60" workbookViewId="0">
      <selection activeCell="Y78" sqref="Y7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'04.08 Mulago-Kyebando'!C3:G3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 t="s">
        <v>163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55" t="str">
        <f>'04.08 Kyebando-Mulago'!G5:H5</f>
        <v>Kisingiri Street</v>
      </c>
      <c r="H5" s="56"/>
      <c r="I5" s="14"/>
      <c r="J5" s="2" t="s">
        <v>5</v>
      </c>
      <c r="K5" s="55" t="str">
        <f>'04.08 Kyebando-Mulago'!K5:L5</f>
        <v>Rashida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'04.08 Kyebando-Mulago'!D6:E6</f>
        <v>Kyebando</v>
      </c>
      <c r="E6" s="56"/>
      <c r="F6" s="2" t="s">
        <v>2</v>
      </c>
      <c r="G6" s="55" t="str">
        <f>'04.08 Kyebando-Mulago'!G6:H6</f>
        <v>Mulago</v>
      </c>
      <c r="H6" s="56"/>
      <c r="J6" s="2" t="s">
        <v>21</v>
      </c>
      <c r="K6" s="55" t="str">
        <f>'04.08 Kyebando-Mulago'!K6:L6</f>
        <v>Steven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AVERAGE('02.08 Kyebando-Mulago'!C10,'29.07 Kyebando-Mulago'!C10,'30.07 -Kyebando-Mulago'!C10,'31.07 Kyebando-Mulago'!C10,'01.08 Kyebando-Mulago-24h'!C10,'03.08 Kyebando-Mulago-24h'!C10,'04.08 Kyebando-Mulago'!C10)</f>
        <v>131.57142857142858</v>
      </c>
      <c r="D10" s="49">
        <f>AVERAGE('02.08 Kyebando-Mulago'!D10,'29.07 Kyebando-Mulago'!D10,'30.07 -Kyebando-Mulago'!D10,'31.07 Kyebando-Mulago'!D10,'01.08 Kyebando-Mulago-24h'!D10,'03.08 Kyebando-Mulago-24h'!D10,'04.08 Kyebando-Mulago'!D10)</f>
        <v>19.142857142857142</v>
      </c>
      <c r="E10" s="49">
        <f>AVERAGE('02.08 Kyebando-Mulago'!E10,'29.07 Kyebando-Mulago'!E10,'30.07 -Kyebando-Mulago'!E10,'31.07 Kyebando-Mulago'!E10,'01.08 Kyebando-Mulago-24h'!E10,'03.08 Kyebando-Mulago-24h'!E10,'04.08 Kyebando-Mulago'!E10)</f>
        <v>11.142857142857142</v>
      </c>
      <c r="F10" s="49">
        <f>AVERAGE('02.08 Kyebando-Mulago'!F10,'29.07 Kyebando-Mulago'!F10,'30.07 -Kyebando-Mulago'!F10,'31.07 Kyebando-Mulago'!F10,'01.08 Kyebando-Mulago-24h'!F10,'03.08 Kyebando-Mulago-24h'!F10,'04.08 Kyebando-Mulago'!F10)</f>
        <v>40.571428571428569</v>
      </c>
      <c r="G10" s="49">
        <f>AVERAGE('02.08 Kyebando-Mulago'!G10,'29.07 Kyebando-Mulago'!G10,'30.07 -Kyebando-Mulago'!G10,'31.07 Kyebando-Mulago'!G10,'01.08 Kyebando-Mulago-24h'!G10,'03.08 Kyebando-Mulago-24h'!G10,'04.08 Kyebando-Mulago'!G10)</f>
        <v>0.14285714285714285</v>
      </c>
      <c r="H10" s="49">
        <f>AVERAGE('02.08 Kyebando-Mulago'!H10,'29.07 Kyebando-Mulago'!H10,'30.07 -Kyebando-Mulago'!H10,'31.07 Kyebando-Mulago'!H10,'01.08 Kyebando-Mulago-24h'!H10,'03.08 Kyebando-Mulago-24h'!H10,'04.08 Kyebando-Mulago'!H10)</f>
        <v>0</v>
      </c>
      <c r="I10" s="49">
        <f>AVERAGE('02.08 Kyebando-Mulago'!I10,'29.07 Kyebando-Mulago'!I10,'30.07 -Kyebando-Mulago'!I10,'31.07 Kyebando-Mulago'!I10,'01.08 Kyebando-Mulago-24h'!I10,'03.08 Kyebando-Mulago-24h'!I10,'04.08 Kyebando-Mulago'!I10)</f>
        <v>3.2857142857142856</v>
      </c>
      <c r="J10" s="49">
        <f>AVERAGE('02.08 Kyebando-Mulago'!J10,'29.07 Kyebando-Mulago'!J10,'30.07 -Kyebando-Mulago'!J10,'31.07 Kyebando-Mulago'!J10,'01.08 Kyebando-Mulago-24h'!J10,'03.08 Kyebando-Mulago-24h'!J10,'04.08 Kyebando-Mulago'!J10)</f>
        <v>0.14285714285714285</v>
      </c>
      <c r="K10" s="49">
        <f>AVERAGE('02.08 Kyebando-Mulago'!K10,'29.07 Kyebando-Mulago'!K10,'30.07 -Kyebando-Mulago'!K10,'31.07 Kyebando-Mulago'!K10,'01.08 Kyebando-Mulago-24h'!K10,'03.08 Kyebando-Mulago-24h'!K10,'04.08 Kyebando-Mulago'!K10)</f>
        <v>0</v>
      </c>
      <c r="L10" s="49">
        <f>AVERAGE('02.08 Kyebando-Mulago'!L10,'29.07 Kyebando-Mulago'!L10,'30.07 -Kyebando-Mulago'!L10,'31.07 Kyebando-Mulago'!L10,'01.08 Kyebando-Mulago-24h'!L10,'03.08 Kyebando-Mulago-24h'!L10,'04.08 Kyebando-Mulago'!L10)</f>
        <v>0</v>
      </c>
      <c r="M10" s="49">
        <f>AVERAGE('02.08 Kyebando-Mulago'!M10,'29.07 Kyebando-Mulago'!M10,'30.07 -Kyebando-Mulago'!M10,'31.07 Kyebando-Mulago'!M10,'01.08 Kyebando-Mulago-24h'!M10,'03.08 Kyebando-Mulago-24h'!M10,'04.08 Kyebando-Mulago'!M10)</f>
        <v>76.857142857142861</v>
      </c>
      <c r="N10" s="49">
        <f>AVERAGE('02.08 Kyebando-Mulago'!N10,'29.07 Kyebando-Mulago'!N10,'30.07 -Kyebando-Mulago'!N10,'31.07 Kyebando-Mulago'!N10,'01.08 Kyebando-Mulago-24h'!N10,'03.08 Kyebando-Mulago-24h'!N10,'04.08 Kyebando-Mulago'!N10)</f>
        <v>0</v>
      </c>
      <c r="O10" s="15">
        <f t="shared" ref="O10:O73" si="0">SUM(C10:L10,N10)</f>
        <v>206</v>
      </c>
      <c r="P10" s="15">
        <f t="shared" ref="P10:P73" si="1">SUM(C10:N10)</f>
        <v>282.85714285714289</v>
      </c>
      <c r="R10" s="1" t="s">
        <v>6</v>
      </c>
      <c r="S10" s="17">
        <f t="shared" ref="S10:AF10" si="2">SUM(C10:C13)</f>
        <v>504.28571428571422</v>
      </c>
      <c r="T10" s="17">
        <f t="shared" si="2"/>
        <v>66</v>
      </c>
      <c r="U10" s="17">
        <f t="shared" si="2"/>
        <v>39.142857142857146</v>
      </c>
      <c r="V10" s="17">
        <f t="shared" si="2"/>
        <v>157</v>
      </c>
      <c r="W10" s="17">
        <f t="shared" si="2"/>
        <v>0.99999999999999989</v>
      </c>
      <c r="X10" s="17">
        <f t="shared" si="2"/>
        <v>0</v>
      </c>
      <c r="Y10" s="17">
        <f t="shared" si="2"/>
        <v>11.285714285714285</v>
      </c>
      <c r="Z10" s="17">
        <f t="shared" si="2"/>
        <v>1.2857142857142856</v>
      </c>
      <c r="AA10" s="17">
        <f t="shared" si="2"/>
        <v>0</v>
      </c>
      <c r="AB10" s="17">
        <f t="shared" si="2"/>
        <v>0</v>
      </c>
      <c r="AC10" s="17">
        <f t="shared" si="2"/>
        <v>461.14285714285711</v>
      </c>
      <c r="AD10" s="17">
        <f t="shared" si="2"/>
        <v>0</v>
      </c>
      <c r="AE10" s="31">
        <f t="shared" si="2"/>
        <v>780</v>
      </c>
      <c r="AF10" s="31">
        <f t="shared" si="2"/>
        <v>1241.1428571428571</v>
      </c>
    </row>
    <row r="11" spans="2:32" s="6" customFormat="1" ht="23.1" customHeight="1" x14ac:dyDescent="0.25">
      <c r="B11" s="23" t="s">
        <v>38</v>
      </c>
      <c r="C11" s="49">
        <f>AVERAGE('02.08 Kyebando-Mulago'!C11,'29.07 Kyebando-Mulago'!C11,'30.07 -Kyebando-Mulago'!C11,'31.07 Kyebando-Mulago'!C11,'01.08 Kyebando-Mulago-24h'!C11,'03.08 Kyebando-Mulago-24h'!C11,'04.08 Kyebando-Mulago'!C11)</f>
        <v>126</v>
      </c>
      <c r="D11" s="49">
        <f>AVERAGE('02.08 Kyebando-Mulago'!D11,'29.07 Kyebando-Mulago'!D11,'30.07 -Kyebando-Mulago'!D11,'31.07 Kyebando-Mulago'!D11,'01.08 Kyebando-Mulago-24h'!D11,'03.08 Kyebando-Mulago-24h'!D11,'04.08 Kyebando-Mulago'!D11)</f>
        <v>13.571428571428571</v>
      </c>
      <c r="E11" s="49">
        <f>AVERAGE('02.08 Kyebando-Mulago'!E11,'29.07 Kyebando-Mulago'!E11,'30.07 -Kyebando-Mulago'!E11,'31.07 Kyebando-Mulago'!E11,'01.08 Kyebando-Mulago-24h'!E11,'03.08 Kyebando-Mulago-24h'!E11,'04.08 Kyebando-Mulago'!E11)</f>
        <v>8.2857142857142865</v>
      </c>
      <c r="F11" s="49">
        <f>AVERAGE('02.08 Kyebando-Mulago'!F11,'29.07 Kyebando-Mulago'!F11,'30.07 -Kyebando-Mulago'!F11,'31.07 Kyebando-Mulago'!F11,'01.08 Kyebando-Mulago-24h'!F11,'03.08 Kyebando-Mulago-24h'!F11,'04.08 Kyebando-Mulago'!F11)</f>
        <v>37.857142857142854</v>
      </c>
      <c r="G11" s="49">
        <f>AVERAGE('02.08 Kyebando-Mulago'!G11,'29.07 Kyebando-Mulago'!G11,'30.07 -Kyebando-Mulago'!G11,'31.07 Kyebando-Mulago'!G11,'01.08 Kyebando-Mulago-24h'!G11,'03.08 Kyebando-Mulago-24h'!G11,'04.08 Kyebando-Mulago'!G11)</f>
        <v>0.42857142857142855</v>
      </c>
      <c r="H11" s="49">
        <f>AVERAGE('02.08 Kyebando-Mulago'!H11,'29.07 Kyebando-Mulago'!H11,'30.07 -Kyebando-Mulago'!H11,'31.07 Kyebando-Mulago'!H11,'01.08 Kyebando-Mulago-24h'!H11,'03.08 Kyebando-Mulago-24h'!H11,'04.08 Kyebando-Mulago'!H11)</f>
        <v>0</v>
      </c>
      <c r="I11" s="49">
        <f>AVERAGE('02.08 Kyebando-Mulago'!I11,'29.07 Kyebando-Mulago'!I11,'30.07 -Kyebando-Mulago'!I11,'31.07 Kyebando-Mulago'!I11,'01.08 Kyebando-Mulago-24h'!I11,'03.08 Kyebando-Mulago-24h'!I11,'04.08 Kyebando-Mulago'!I11)</f>
        <v>3</v>
      </c>
      <c r="J11" s="49">
        <f>AVERAGE('02.08 Kyebando-Mulago'!J11,'29.07 Kyebando-Mulago'!J11,'30.07 -Kyebando-Mulago'!J11,'31.07 Kyebando-Mulago'!J11,'01.08 Kyebando-Mulago-24h'!J11,'03.08 Kyebando-Mulago-24h'!J11,'04.08 Kyebando-Mulago'!J11)</f>
        <v>0.14285714285714285</v>
      </c>
      <c r="K11" s="49">
        <f>AVERAGE('02.08 Kyebando-Mulago'!K11,'29.07 Kyebando-Mulago'!K11,'30.07 -Kyebando-Mulago'!K11,'31.07 Kyebando-Mulago'!K11,'01.08 Kyebando-Mulago-24h'!K11,'03.08 Kyebando-Mulago-24h'!K11,'04.08 Kyebando-Mulago'!K11)</f>
        <v>0</v>
      </c>
      <c r="L11" s="49">
        <f>AVERAGE('02.08 Kyebando-Mulago'!L11,'29.07 Kyebando-Mulago'!L11,'30.07 -Kyebando-Mulago'!L11,'31.07 Kyebando-Mulago'!L11,'01.08 Kyebando-Mulago-24h'!L11,'03.08 Kyebando-Mulago-24h'!L11,'04.08 Kyebando-Mulago'!L11)</f>
        <v>0</v>
      </c>
      <c r="M11" s="49">
        <f>AVERAGE('02.08 Kyebando-Mulago'!M11,'29.07 Kyebando-Mulago'!M11,'30.07 -Kyebando-Mulago'!M11,'31.07 Kyebando-Mulago'!M11,'01.08 Kyebando-Mulago-24h'!M11,'03.08 Kyebando-Mulago-24h'!M11,'04.08 Kyebando-Mulago'!M11)</f>
        <v>93.285714285714292</v>
      </c>
      <c r="N11" s="49">
        <f>AVERAGE('02.08 Kyebando-Mulago'!N11,'29.07 Kyebando-Mulago'!N11,'30.07 -Kyebando-Mulago'!N11,'31.07 Kyebando-Mulago'!N11,'01.08 Kyebando-Mulago-24h'!N11,'03.08 Kyebando-Mulago-24h'!N11,'04.08 Kyebando-Mulago'!N11)</f>
        <v>0</v>
      </c>
      <c r="O11" s="15">
        <f t="shared" si="0"/>
        <v>189.28571428571428</v>
      </c>
      <c r="P11" s="15">
        <f t="shared" si="1"/>
        <v>282.57142857142856</v>
      </c>
      <c r="R11" s="1" t="s">
        <v>7</v>
      </c>
      <c r="S11" s="17">
        <f t="shared" ref="S11:AF11" si="3">SUM(C14:C17)</f>
        <v>426</v>
      </c>
      <c r="T11" s="17">
        <f t="shared" si="3"/>
        <v>55.285714285714278</v>
      </c>
      <c r="U11" s="17">
        <f t="shared" si="3"/>
        <v>40.857142857142854</v>
      </c>
      <c r="V11" s="17">
        <f t="shared" si="3"/>
        <v>145.85714285714286</v>
      </c>
      <c r="W11" s="17">
        <f t="shared" si="3"/>
        <v>0.71428571428571419</v>
      </c>
      <c r="X11" s="17">
        <f t="shared" si="3"/>
        <v>0.5714285714285714</v>
      </c>
      <c r="Y11" s="17">
        <f t="shared" si="3"/>
        <v>14.571428571428573</v>
      </c>
      <c r="Z11" s="17">
        <f t="shared" si="3"/>
        <v>3.2857142857142856</v>
      </c>
      <c r="AA11" s="17">
        <f t="shared" si="3"/>
        <v>0</v>
      </c>
      <c r="AB11" s="17">
        <f t="shared" si="3"/>
        <v>0</v>
      </c>
      <c r="AC11" s="17">
        <f t="shared" si="3"/>
        <v>647.28571428571422</v>
      </c>
      <c r="AD11" s="17">
        <f t="shared" si="3"/>
        <v>0</v>
      </c>
      <c r="AE11" s="31">
        <f t="shared" si="3"/>
        <v>687.14285714285722</v>
      </c>
      <c r="AF11" s="31">
        <f t="shared" si="3"/>
        <v>1334.4285714285716</v>
      </c>
    </row>
    <row r="12" spans="2:32" ht="23.1" customHeight="1" x14ac:dyDescent="0.25">
      <c r="B12" s="23" t="s">
        <v>39</v>
      </c>
      <c r="C12" s="49">
        <f>AVERAGE('02.08 Kyebando-Mulago'!C12,'29.07 Kyebando-Mulago'!C12,'30.07 -Kyebando-Mulago'!C12,'31.07 Kyebando-Mulago'!C12,'01.08 Kyebando-Mulago-24h'!C12,'03.08 Kyebando-Mulago-24h'!C12,'04.08 Kyebando-Mulago'!C12)</f>
        <v>145.14285714285714</v>
      </c>
      <c r="D12" s="49">
        <f>AVERAGE('02.08 Kyebando-Mulago'!D12,'29.07 Kyebando-Mulago'!D12,'30.07 -Kyebando-Mulago'!D12,'31.07 Kyebando-Mulago'!D12,'01.08 Kyebando-Mulago-24h'!D12,'03.08 Kyebando-Mulago-24h'!D12,'04.08 Kyebando-Mulago'!D12)</f>
        <v>16.857142857142858</v>
      </c>
      <c r="E12" s="49">
        <f>AVERAGE('02.08 Kyebando-Mulago'!E12,'29.07 Kyebando-Mulago'!E12,'30.07 -Kyebando-Mulago'!E12,'31.07 Kyebando-Mulago'!E12,'01.08 Kyebando-Mulago-24h'!E12,'03.08 Kyebando-Mulago-24h'!E12,'04.08 Kyebando-Mulago'!E12)</f>
        <v>11.285714285714286</v>
      </c>
      <c r="F12" s="49">
        <f>AVERAGE('02.08 Kyebando-Mulago'!F12,'29.07 Kyebando-Mulago'!F12,'30.07 -Kyebando-Mulago'!F12,'31.07 Kyebando-Mulago'!F12,'01.08 Kyebando-Mulago-24h'!F12,'03.08 Kyebando-Mulago-24h'!F12,'04.08 Kyebando-Mulago'!F12)</f>
        <v>44.857142857142854</v>
      </c>
      <c r="G12" s="49">
        <f>AVERAGE('02.08 Kyebando-Mulago'!G12,'29.07 Kyebando-Mulago'!G12,'30.07 -Kyebando-Mulago'!G12,'31.07 Kyebando-Mulago'!G12,'01.08 Kyebando-Mulago-24h'!G12,'03.08 Kyebando-Mulago-24h'!G12,'04.08 Kyebando-Mulago'!G12)</f>
        <v>0.14285714285714285</v>
      </c>
      <c r="H12" s="49">
        <f>AVERAGE('02.08 Kyebando-Mulago'!H12,'29.07 Kyebando-Mulago'!H12,'30.07 -Kyebando-Mulago'!H12,'31.07 Kyebando-Mulago'!H12,'01.08 Kyebando-Mulago-24h'!H12,'03.08 Kyebando-Mulago-24h'!H12,'04.08 Kyebando-Mulago'!H12)</f>
        <v>0</v>
      </c>
      <c r="I12" s="49">
        <f>AVERAGE('02.08 Kyebando-Mulago'!I12,'29.07 Kyebando-Mulago'!I12,'30.07 -Kyebando-Mulago'!I12,'31.07 Kyebando-Mulago'!I12,'01.08 Kyebando-Mulago-24h'!I12,'03.08 Kyebando-Mulago-24h'!I12,'04.08 Kyebando-Mulago'!I12)</f>
        <v>2</v>
      </c>
      <c r="J12" s="49">
        <f>AVERAGE('02.08 Kyebando-Mulago'!J12,'29.07 Kyebando-Mulago'!J12,'30.07 -Kyebando-Mulago'!J12,'31.07 Kyebando-Mulago'!J12,'01.08 Kyebando-Mulago-24h'!J12,'03.08 Kyebando-Mulago-24h'!J12,'04.08 Kyebando-Mulago'!J12)</f>
        <v>0.42857142857142855</v>
      </c>
      <c r="K12" s="49">
        <f>AVERAGE('02.08 Kyebando-Mulago'!K12,'29.07 Kyebando-Mulago'!K12,'30.07 -Kyebando-Mulago'!K12,'31.07 Kyebando-Mulago'!K12,'01.08 Kyebando-Mulago-24h'!K12,'03.08 Kyebando-Mulago-24h'!K12,'04.08 Kyebando-Mulago'!K12)</f>
        <v>0</v>
      </c>
      <c r="L12" s="49">
        <f>AVERAGE('02.08 Kyebando-Mulago'!L12,'29.07 Kyebando-Mulago'!L12,'30.07 -Kyebando-Mulago'!L12,'31.07 Kyebando-Mulago'!L12,'01.08 Kyebando-Mulago-24h'!L12,'03.08 Kyebando-Mulago-24h'!L12,'04.08 Kyebando-Mulago'!L12)</f>
        <v>0</v>
      </c>
      <c r="M12" s="49">
        <f>AVERAGE('02.08 Kyebando-Mulago'!M12,'29.07 Kyebando-Mulago'!M12,'30.07 -Kyebando-Mulago'!M12,'31.07 Kyebando-Mulago'!M12,'01.08 Kyebando-Mulago-24h'!M12,'03.08 Kyebando-Mulago-24h'!M12,'04.08 Kyebando-Mulago'!M12)</f>
        <v>155.85714285714286</v>
      </c>
      <c r="N12" s="49">
        <f>AVERAGE('02.08 Kyebando-Mulago'!N12,'29.07 Kyebando-Mulago'!N12,'30.07 -Kyebando-Mulago'!N12,'31.07 Kyebando-Mulago'!N12,'01.08 Kyebando-Mulago-24h'!N12,'03.08 Kyebando-Mulago-24h'!N12,'04.08 Kyebando-Mulago'!N12)</f>
        <v>0</v>
      </c>
      <c r="O12" s="15">
        <f t="shared" si="0"/>
        <v>220.71428571428569</v>
      </c>
      <c r="P12" s="15">
        <f t="shared" si="1"/>
        <v>376.57142857142856</v>
      </c>
      <c r="R12" s="1" t="s">
        <v>8</v>
      </c>
      <c r="S12" s="17">
        <f t="shared" ref="S12:AF12" si="4">SUM(C18:C21)</f>
        <v>325</v>
      </c>
      <c r="T12" s="17">
        <f t="shared" si="4"/>
        <v>61.142857142857139</v>
      </c>
      <c r="U12" s="17">
        <f t="shared" si="4"/>
        <v>39.285714285714285</v>
      </c>
      <c r="V12" s="17">
        <f t="shared" si="4"/>
        <v>93</v>
      </c>
      <c r="W12" s="17">
        <f t="shared" si="4"/>
        <v>1.5714285714285714</v>
      </c>
      <c r="X12" s="17">
        <f t="shared" si="4"/>
        <v>0</v>
      </c>
      <c r="Y12" s="17">
        <f t="shared" si="4"/>
        <v>14</v>
      </c>
      <c r="Z12" s="17">
        <f t="shared" si="4"/>
        <v>1.857142857142857</v>
      </c>
      <c r="AA12" s="17">
        <f t="shared" si="4"/>
        <v>0.14285714285714285</v>
      </c>
      <c r="AB12" s="17">
        <f t="shared" si="4"/>
        <v>0</v>
      </c>
      <c r="AC12" s="17">
        <f t="shared" si="4"/>
        <v>517.57142857142867</v>
      </c>
      <c r="AD12" s="17">
        <f t="shared" si="4"/>
        <v>0</v>
      </c>
      <c r="AE12" s="31">
        <f t="shared" si="4"/>
        <v>536</v>
      </c>
      <c r="AF12" s="31">
        <f t="shared" si="4"/>
        <v>1053.5714285714287</v>
      </c>
    </row>
    <row r="13" spans="2:32" ht="23.1" customHeight="1" x14ac:dyDescent="0.25">
      <c r="B13" s="23" t="s">
        <v>40</v>
      </c>
      <c r="C13" s="49">
        <f>AVERAGE('02.08 Kyebando-Mulago'!C13,'29.07 Kyebando-Mulago'!C13,'30.07 -Kyebando-Mulago'!C13,'31.07 Kyebando-Mulago'!C13,'01.08 Kyebando-Mulago-24h'!C13,'03.08 Kyebando-Mulago-24h'!C13,'04.08 Kyebando-Mulago'!C13)</f>
        <v>101.57142857142857</v>
      </c>
      <c r="D13" s="49">
        <f>AVERAGE('02.08 Kyebando-Mulago'!D13,'29.07 Kyebando-Mulago'!D13,'30.07 -Kyebando-Mulago'!D13,'31.07 Kyebando-Mulago'!D13,'01.08 Kyebando-Mulago-24h'!D13,'03.08 Kyebando-Mulago-24h'!D13,'04.08 Kyebando-Mulago'!D13)</f>
        <v>16.428571428571427</v>
      </c>
      <c r="E13" s="49">
        <f>AVERAGE('02.08 Kyebando-Mulago'!E13,'29.07 Kyebando-Mulago'!E13,'30.07 -Kyebando-Mulago'!E13,'31.07 Kyebando-Mulago'!E13,'01.08 Kyebando-Mulago-24h'!E13,'03.08 Kyebando-Mulago-24h'!E13,'04.08 Kyebando-Mulago'!E13)</f>
        <v>8.4285714285714288</v>
      </c>
      <c r="F13" s="49">
        <f>AVERAGE('02.08 Kyebando-Mulago'!F13,'29.07 Kyebando-Mulago'!F13,'30.07 -Kyebando-Mulago'!F13,'31.07 Kyebando-Mulago'!F13,'01.08 Kyebando-Mulago-24h'!F13,'03.08 Kyebando-Mulago-24h'!F13,'04.08 Kyebando-Mulago'!F13)</f>
        <v>33.714285714285715</v>
      </c>
      <c r="G13" s="49">
        <f>AVERAGE('02.08 Kyebando-Mulago'!G13,'29.07 Kyebando-Mulago'!G13,'30.07 -Kyebando-Mulago'!G13,'31.07 Kyebando-Mulago'!G13,'01.08 Kyebando-Mulago-24h'!G13,'03.08 Kyebando-Mulago-24h'!G13,'04.08 Kyebando-Mulago'!G13)</f>
        <v>0.2857142857142857</v>
      </c>
      <c r="H13" s="49">
        <f>AVERAGE('02.08 Kyebando-Mulago'!H13,'29.07 Kyebando-Mulago'!H13,'30.07 -Kyebando-Mulago'!H13,'31.07 Kyebando-Mulago'!H13,'01.08 Kyebando-Mulago-24h'!H13,'03.08 Kyebando-Mulago-24h'!H13,'04.08 Kyebando-Mulago'!H13)</f>
        <v>0</v>
      </c>
      <c r="I13" s="49">
        <f>AVERAGE('02.08 Kyebando-Mulago'!I13,'29.07 Kyebando-Mulago'!I13,'30.07 -Kyebando-Mulago'!I13,'31.07 Kyebando-Mulago'!I13,'01.08 Kyebando-Mulago-24h'!I13,'03.08 Kyebando-Mulago-24h'!I13,'04.08 Kyebando-Mulago'!I13)</f>
        <v>3</v>
      </c>
      <c r="J13" s="49">
        <f>AVERAGE('02.08 Kyebando-Mulago'!J13,'29.07 Kyebando-Mulago'!J13,'30.07 -Kyebando-Mulago'!J13,'31.07 Kyebando-Mulago'!J13,'01.08 Kyebando-Mulago-24h'!J13,'03.08 Kyebando-Mulago-24h'!J13,'04.08 Kyebando-Mulago'!J13)</f>
        <v>0.5714285714285714</v>
      </c>
      <c r="K13" s="49">
        <f>AVERAGE('02.08 Kyebando-Mulago'!K13,'29.07 Kyebando-Mulago'!K13,'30.07 -Kyebando-Mulago'!K13,'31.07 Kyebando-Mulago'!K13,'01.08 Kyebando-Mulago-24h'!K13,'03.08 Kyebando-Mulago-24h'!K13,'04.08 Kyebando-Mulago'!K13)</f>
        <v>0</v>
      </c>
      <c r="L13" s="49">
        <f>AVERAGE('02.08 Kyebando-Mulago'!L13,'29.07 Kyebando-Mulago'!L13,'30.07 -Kyebando-Mulago'!L13,'31.07 Kyebando-Mulago'!L13,'01.08 Kyebando-Mulago-24h'!L13,'03.08 Kyebando-Mulago-24h'!L13,'04.08 Kyebando-Mulago'!L13)</f>
        <v>0</v>
      </c>
      <c r="M13" s="49">
        <f>AVERAGE('02.08 Kyebando-Mulago'!M13,'29.07 Kyebando-Mulago'!M13,'30.07 -Kyebando-Mulago'!M13,'31.07 Kyebando-Mulago'!M13,'01.08 Kyebando-Mulago-24h'!M13,'03.08 Kyebando-Mulago-24h'!M13,'04.08 Kyebando-Mulago'!M13)</f>
        <v>135.14285714285714</v>
      </c>
      <c r="N13" s="49">
        <f>AVERAGE('02.08 Kyebando-Mulago'!N13,'29.07 Kyebando-Mulago'!N13,'30.07 -Kyebando-Mulago'!N13,'31.07 Kyebando-Mulago'!N13,'01.08 Kyebando-Mulago-24h'!N13,'03.08 Kyebando-Mulago-24h'!N13,'04.08 Kyebando-Mulago'!N13)</f>
        <v>0</v>
      </c>
      <c r="O13" s="15">
        <f t="shared" si="0"/>
        <v>164</v>
      </c>
      <c r="P13" s="15">
        <f t="shared" si="1"/>
        <v>299.14285714285711</v>
      </c>
      <c r="R13" s="1" t="s">
        <v>9</v>
      </c>
      <c r="S13" s="17">
        <f t="shared" ref="S13:AF13" si="5">SUM(C22:C25)</f>
        <v>312.57142857142861</v>
      </c>
      <c r="T13" s="17">
        <f t="shared" si="5"/>
        <v>59</v>
      </c>
      <c r="U13" s="17">
        <f t="shared" si="5"/>
        <v>34.857142857142861</v>
      </c>
      <c r="V13" s="17">
        <f t="shared" si="5"/>
        <v>57.714285714285708</v>
      </c>
      <c r="W13" s="17">
        <f t="shared" si="5"/>
        <v>0.8571428571428571</v>
      </c>
      <c r="X13" s="17">
        <f t="shared" si="5"/>
        <v>0.42857142857142855</v>
      </c>
      <c r="Y13" s="17">
        <f t="shared" si="5"/>
        <v>16.571428571428573</v>
      </c>
      <c r="Z13" s="17">
        <f t="shared" si="5"/>
        <v>1.8571428571428572</v>
      </c>
      <c r="AA13" s="17">
        <f t="shared" si="5"/>
        <v>0</v>
      </c>
      <c r="AB13" s="17">
        <f t="shared" si="5"/>
        <v>0</v>
      </c>
      <c r="AC13" s="17">
        <f t="shared" si="5"/>
        <v>407.42857142857139</v>
      </c>
      <c r="AD13" s="17">
        <f t="shared" si="5"/>
        <v>0</v>
      </c>
      <c r="AE13" s="31">
        <f t="shared" si="5"/>
        <v>483.85714285714289</v>
      </c>
      <c r="AF13" s="31">
        <f t="shared" si="5"/>
        <v>891.28571428571433</v>
      </c>
    </row>
    <row r="14" spans="2:32" ht="23.1" customHeight="1" x14ac:dyDescent="0.25">
      <c r="B14" s="23" t="s">
        <v>41</v>
      </c>
      <c r="C14" s="49">
        <f>AVERAGE('02.08 Kyebando-Mulago'!C14,'29.07 Kyebando-Mulago'!C14,'30.07 -Kyebando-Mulago'!C14,'31.07 Kyebando-Mulago'!C14,'01.08 Kyebando-Mulago-24h'!C14,'03.08 Kyebando-Mulago-24h'!C14,'04.08 Kyebando-Mulago'!C14)</f>
        <v>106.57142857142857</v>
      </c>
      <c r="D14" s="49">
        <f>AVERAGE('02.08 Kyebando-Mulago'!D14,'29.07 Kyebando-Mulago'!D14,'30.07 -Kyebando-Mulago'!D14,'31.07 Kyebando-Mulago'!D14,'01.08 Kyebando-Mulago-24h'!D14,'03.08 Kyebando-Mulago-24h'!D14,'04.08 Kyebando-Mulago'!D14)</f>
        <v>15.571428571428571</v>
      </c>
      <c r="E14" s="49">
        <f>AVERAGE('02.08 Kyebando-Mulago'!E14,'29.07 Kyebando-Mulago'!E14,'30.07 -Kyebando-Mulago'!E14,'31.07 Kyebando-Mulago'!E14,'01.08 Kyebando-Mulago-24h'!E14,'03.08 Kyebando-Mulago-24h'!E14,'04.08 Kyebando-Mulago'!E14)</f>
        <v>10.285714285714286</v>
      </c>
      <c r="F14" s="49">
        <f>AVERAGE('02.08 Kyebando-Mulago'!F14,'29.07 Kyebando-Mulago'!F14,'30.07 -Kyebando-Mulago'!F14,'31.07 Kyebando-Mulago'!F14,'01.08 Kyebando-Mulago-24h'!F14,'03.08 Kyebando-Mulago-24h'!F14,'04.08 Kyebando-Mulago'!F14)</f>
        <v>41.142857142857146</v>
      </c>
      <c r="G14" s="49">
        <f>AVERAGE('02.08 Kyebando-Mulago'!G14,'29.07 Kyebando-Mulago'!G14,'30.07 -Kyebando-Mulago'!G14,'31.07 Kyebando-Mulago'!G14,'01.08 Kyebando-Mulago-24h'!G14,'03.08 Kyebando-Mulago-24h'!G14,'04.08 Kyebando-Mulago'!G14)</f>
        <v>0.2857142857142857</v>
      </c>
      <c r="H14" s="49">
        <f>AVERAGE('02.08 Kyebando-Mulago'!H14,'29.07 Kyebando-Mulago'!H14,'30.07 -Kyebando-Mulago'!H14,'31.07 Kyebando-Mulago'!H14,'01.08 Kyebando-Mulago-24h'!H14,'03.08 Kyebando-Mulago-24h'!H14,'04.08 Kyebando-Mulago'!H14)</f>
        <v>0</v>
      </c>
      <c r="I14" s="49">
        <f>AVERAGE('02.08 Kyebando-Mulago'!I14,'29.07 Kyebando-Mulago'!I14,'30.07 -Kyebando-Mulago'!I14,'31.07 Kyebando-Mulago'!I14,'01.08 Kyebando-Mulago-24h'!I14,'03.08 Kyebando-Mulago-24h'!I14,'04.08 Kyebando-Mulago'!I14)</f>
        <v>4.2857142857142856</v>
      </c>
      <c r="J14" s="49">
        <f>AVERAGE('02.08 Kyebando-Mulago'!J14,'29.07 Kyebando-Mulago'!J14,'30.07 -Kyebando-Mulago'!J14,'31.07 Kyebando-Mulago'!J14,'01.08 Kyebando-Mulago-24h'!J14,'03.08 Kyebando-Mulago-24h'!J14,'04.08 Kyebando-Mulago'!J14)</f>
        <v>0.2857142857142857</v>
      </c>
      <c r="K14" s="49">
        <f>AVERAGE('02.08 Kyebando-Mulago'!K14,'29.07 Kyebando-Mulago'!K14,'30.07 -Kyebando-Mulago'!K14,'31.07 Kyebando-Mulago'!K14,'01.08 Kyebando-Mulago-24h'!K14,'03.08 Kyebando-Mulago-24h'!K14,'04.08 Kyebando-Mulago'!K14)</f>
        <v>0</v>
      </c>
      <c r="L14" s="49">
        <f>AVERAGE('02.08 Kyebando-Mulago'!L14,'29.07 Kyebando-Mulago'!L14,'30.07 -Kyebando-Mulago'!L14,'31.07 Kyebando-Mulago'!L14,'01.08 Kyebando-Mulago-24h'!L14,'03.08 Kyebando-Mulago-24h'!L14,'04.08 Kyebando-Mulago'!L14)</f>
        <v>0</v>
      </c>
      <c r="M14" s="49">
        <f>AVERAGE('02.08 Kyebando-Mulago'!M14,'29.07 Kyebando-Mulago'!M14,'30.07 -Kyebando-Mulago'!M14,'31.07 Kyebando-Mulago'!M14,'01.08 Kyebando-Mulago-24h'!M14,'03.08 Kyebando-Mulago-24h'!M14,'04.08 Kyebando-Mulago'!M14)</f>
        <v>150.85714285714286</v>
      </c>
      <c r="N14" s="49">
        <f>AVERAGE('02.08 Kyebando-Mulago'!N14,'29.07 Kyebando-Mulago'!N14,'30.07 -Kyebando-Mulago'!N14,'31.07 Kyebando-Mulago'!N14,'01.08 Kyebando-Mulago-24h'!N14,'03.08 Kyebando-Mulago-24h'!N14,'04.08 Kyebando-Mulago'!N14)</f>
        <v>0</v>
      </c>
      <c r="O14" s="15">
        <f t="shared" si="0"/>
        <v>178.42857142857139</v>
      </c>
      <c r="P14" s="15">
        <f t="shared" si="1"/>
        <v>329.28571428571422</v>
      </c>
      <c r="R14" s="1" t="s">
        <v>10</v>
      </c>
      <c r="S14" s="17">
        <f t="shared" ref="S14:AF14" si="6">SUM(C26:C29)</f>
        <v>239.42857142857144</v>
      </c>
      <c r="T14" s="17">
        <f t="shared" si="6"/>
        <v>54.571428571428569</v>
      </c>
      <c r="U14" s="17">
        <f t="shared" si="6"/>
        <v>28.428571428571427</v>
      </c>
      <c r="V14" s="17">
        <f t="shared" si="6"/>
        <v>44.285714285714285</v>
      </c>
      <c r="W14" s="17">
        <f t="shared" si="6"/>
        <v>0</v>
      </c>
      <c r="X14" s="17">
        <f t="shared" si="6"/>
        <v>0.2857142857142857</v>
      </c>
      <c r="Y14" s="17">
        <f t="shared" si="6"/>
        <v>14.571428571428571</v>
      </c>
      <c r="Z14" s="17">
        <f t="shared" si="6"/>
        <v>2.4285714285714284</v>
      </c>
      <c r="AA14" s="17">
        <f t="shared" si="6"/>
        <v>0</v>
      </c>
      <c r="AB14" s="17">
        <f t="shared" si="6"/>
        <v>0</v>
      </c>
      <c r="AC14" s="17">
        <f t="shared" si="6"/>
        <v>365.42857142857144</v>
      </c>
      <c r="AD14" s="17">
        <f t="shared" si="6"/>
        <v>0</v>
      </c>
      <c r="AE14" s="31">
        <f t="shared" si="6"/>
        <v>383.99999999999994</v>
      </c>
      <c r="AF14" s="31">
        <f t="shared" si="6"/>
        <v>749.42857142857133</v>
      </c>
    </row>
    <row r="15" spans="2:32" ht="23.1" customHeight="1" x14ac:dyDescent="0.25">
      <c r="B15" s="23" t="s">
        <v>42</v>
      </c>
      <c r="C15" s="49">
        <f>AVERAGE('02.08 Kyebando-Mulago'!C15,'29.07 Kyebando-Mulago'!C15,'30.07 -Kyebando-Mulago'!C15,'31.07 Kyebando-Mulago'!C15,'01.08 Kyebando-Mulago-24h'!C15,'03.08 Kyebando-Mulago-24h'!C15,'04.08 Kyebando-Mulago'!C15)</f>
        <v>107.85714285714286</v>
      </c>
      <c r="D15" s="49">
        <f>AVERAGE('02.08 Kyebando-Mulago'!D15,'29.07 Kyebando-Mulago'!D15,'30.07 -Kyebando-Mulago'!D15,'31.07 Kyebando-Mulago'!D15,'01.08 Kyebando-Mulago-24h'!D15,'03.08 Kyebando-Mulago-24h'!D15,'04.08 Kyebando-Mulago'!D15)</f>
        <v>13.428571428571429</v>
      </c>
      <c r="E15" s="49">
        <f>AVERAGE('02.08 Kyebando-Mulago'!E15,'29.07 Kyebando-Mulago'!E15,'30.07 -Kyebando-Mulago'!E15,'31.07 Kyebando-Mulago'!E15,'01.08 Kyebando-Mulago-24h'!E15,'03.08 Kyebando-Mulago-24h'!E15,'04.08 Kyebando-Mulago'!E15)</f>
        <v>11</v>
      </c>
      <c r="F15" s="49">
        <f>AVERAGE('02.08 Kyebando-Mulago'!F15,'29.07 Kyebando-Mulago'!F15,'30.07 -Kyebando-Mulago'!F15,'31.07 Kyebando-Mulago'!F15,'01.08 Kyebando-Mulago-24h'!F15,'03.08 Kyebando-Mulago-24h'!F15,'04.08 Kyebando-Mulago'!F15)</f>
        <v>40.428571428571431</v>
      </c>
      <c r="G15" s="49">
        <f>AVERAGE('02.08 Kyebando-Mulago'!G15,'29.07 Kyebando-Mulago'!G15,'30.07 -Kyebando-Mulago'!G15,'31.07 Kyebando-Mulago'!G15,'01.08 Kyebando-Mulago-24h'!G15,'03.08 Kyebando-Mulago-24h'!G15,'04.08 Kyebando-Mulago'!G15)</f>
        <v>0</v>
      </c>
      <c r="H15" s="49">
        <f>AVERAGE('02.08 Kyebando-Mulago'!H15,'29.07 Kyebando-Mulago'!H15,'30.07 -Kyebando-Mulago'!H15,'31.07 Kyebando-Mulago'!H15,'01.08 Kyebando-Mulago-24h'!H15,'03.08 Kyebando-Mulago-24h'!H15,'04.08 Kyebando-Mulago'!H15)</f>
        <v>0</v>
      </c>
      <c r="I15" s="49">
        <f>AVERAGE('02.08 Kyebando-Mulago'!I15,'29.07 Kyebando-Mulago'!I15,'30.07 -Kyebando-Mulago'!I15,'31.07 Kyebando-Mulago'!I15,'01.08 Kyebando-Mulago-24h'!I15,'03.08 Kyebando-Mulago-24h'!I15,'04.08 Kyebando-Mulago'!I15)</f>
        <v>2.5714285714285716</v>
      </c>
      <c r="J15" s="49">
        <f>AVERAGE('02.08 Kyebando-Mulago'!J15,'29.07 Kyebando-Mulago'!J15,'30.07 -Kyebando-Mulago'!J15,'31.07 Kyebando-Mulago'!J15,'01.08 Kyebando-Mulago-24h'!J15,'03.08 Kyebando-Mulago-24h'!J15,'04.08 Kyebando-Mulago'!J15)</f>
        <v>0.42857142857142855</v>
      </c>
      <c r="K15" s="49">
        <f>AVERAGE('02.08 Kyebando-Mulago'!K15,'29.07 Kyebando-Mulago'!K15,'30.07 -Kyebando-Mulago'!K15,'31.07 Kyebando-Mulago'!K15,'01.08 Kyebando-Mulago-24h'!K15,'03.08 Kyebando-Mulago-24h'!K15,'04.08 Kyebando-Mulago'!K15)</f>
        <v>0</v>
      </c>
      <c r="L15" s="49">
        <f>AVERAGE('02.08 Kyebando-Mulago'!L15,'29.07 Kyebando-Mulago'!L15,'30.07 -Kyebando-Mulago'!L15,'31.07 Kyebando-Mulago'!L15,'01.08 Kyebando-Mulago-24h'!L15,'03.08 Kyebando-Mulago-24h'!L15,'04.08 Kyebando-Mulago'!L15)</f>
        <v>0</v>
      </c>
      <c r="M15" s="49">
        <f>AVERAGE('02.08 Kyebando-Mulago'!M15,'29.07 Kyebando-Mulago'!M15,'30.07 -Kyebando-Mulago'!M15,'31.07 Kyebando-Mulago'!M15,'01.08 Kyebando-Mulago-24h'!M15,'03.08 Kyebando-Mulago-24h'!M15,'04.08 Kyebando-Mulago'!M15)</f>
        <v>176.71428571428572</v>
      </c>
      <c r="N15" s="49">
        <f>AVERAGE('02.08 Kyebando-Mulago'!N15,'29.07 Kyebando-Mulago'!N15,'30.07 -Kyebando-Mulago'!N15,'31.07 Kyebando-Mulago'!N15,'01.08 Kyebando-Mulago-24h'!N15,'03.08 Kyebando-Mulago-24h'!N15,'04.08 Kyebando-Mulago'!N15)</f>
        <v>0</v>
      </c>
      <c r="O15" s="15">
        <f t="shared" si="0"/>
        <v>175.71428571428572</v>
      </c>
      <c r="P15" s="15">
        <f t="shared" si="1"/>
        <v>352.42857142857144</v>
      </c>
      <c r="R15" s="1" t="s">
        <v>11</v>
      </c>
      <c r="S15" s="17">
        <f t="shared" ref="S15:AF15" si="7">SUM(C30:C33)</f>
        <v>206.28571428571428</v>
      </c>
      <c r="T15" s="17">
        <f t="shared" si="7"/>
        <v>41.714285714285715</v>
      </c>
      <c r="U15" s="17">
        <f t="shared" si="7"/>
        <v>25</v>
      </c>
      <c r="V15" s="17">
        <f t="shared" si="7"/>
        <v>43.571428571428569</v>
      </c>
      <c r="W15" s="17">
        <f t="shared" si="7"/>
        <v>0.42857142857142855</v>
      </c>
      <c r="X15" s="17">
        <f t="shared" si="7"/>
        <v>0.14285714285714285</v>
      </c>
      <c r="Y15" s="17">
        <f t="shared" si="7"/>
        <v>16.571428571428569</v>
      </c>
      <c r="Z15" s="17">
        <f t="shared" si="7"/>
        <v>3.4285714285714288</v>
      </c>
      <c r="AA15" s="17">
        <f t="shared" si="7"/>
        <v>0</v>
      </c>
      <c r="AB15" s="17">
        <f t="shared" si="7"/>
        <v>0</v>
      </c>
      <c r="AC15" s="17">
        <f t="shared" si="7"/>
        <v>326</v>
      </c>
      <c r="AD15" s="17">
        <f t="shared" si="7"/>
        <v>0.14285714285714285</v>
      </c>
      <c r="AE15" s="31">
        <f t="shared" si="7"/>
        <v>337.28571428571428</v>
      </c>
      <c r="AF15" s="31">
        <f t="shared" si="7"/>
        <v>663.28571428571422</v>
      </c>
    </row>
    <row r="16" spans="2:32" ht="23.1" customHeight="1" x14ac:dyDescent="0.25">
      <c r="B16" s="23" t="s">
        <v>43</v>
      </c>
      <c r="C16" s="49">
        <f>AVERAGE('02.08 Kyebando-Mulago'!C16,'29.07 Kyebando-Mulago'!C16,'30.07 -Kyebando-Mulago'!C16,'31.07 Kyebando-Mulago'!C16,'01.08 Kyebando-Mulago-24h'!C16,'03.08 Kyebando-Mulago-24h'!C16,'04.08 Kyebando-Mulago'!C16)</f>
        <v>121.57142857142857</v>
      </c>
      <c r="D16" s="49">
        <f>AVERAGE('02.08 Kyebando-Mulago'!D16,'29.07 Kyebando-Mulago'!D16,'30.07 -Kyebando-Mulago'!D16,'31.07 Kyebando-Mulago'!D16,'01.08 Kyebando-Mulago-24h'!D16,'03.08 Kyebando-Mulago-24h'!D16,'04.08 Kyebando-Mulago'!D16)</f>
        <v>11.142857142857142</v>
      </c>
      <c r="E16" s="49">
        <f>AVERAGE('02.08 Kyebando-Mulago'!E16,'29.07 Kyebando-Mulago'!E16,'30.07 -Kyebando-Mulago'!E16,'31.07 Kyebando-Mulago'!E16,'01.08 Kyebando-Mulago-24h'!E16,'03.08 Kyebando-Mulago-24h'!E16,'04.08 Kyebando-Mulago'!E16)</f>
        <v>9.8571428571428577</v>
      </c>
      <c r="F16" s="49">
        <f>AVERAGE('02.08 Kyebando-Mulago'!F16,'29.07 Kyebando-Mulago'!F16,'30.07 -Kyebando-Mulago'!F16,'31.07 Kyebando-Mulago'!F16,'01.08 Kyebando-Mulago-24h'!F16,'03.08 Kyebando-Mulago-24h'!F16,'04.08 Kyebando-Mulago'!F16)</f>
        <v>39</v>
      </c>
      <c r="G16" s="49">
        <f>AVERAGE('02.08 Kyebando-Mulago'!G16,'29.07 Kyebando-Mulago'!G16,'30.07 -Kyebando-Mulago'!G16,'31.07 Kyebando-Mulago'!G16,'01.08 Kyebando-Mulago-24h'!G16,'03.08 Kyebando-Mulago-24h'!G16,'04.08 Kyebando-Mulago'!G16)</f>
        <v>0.14285714285714285</v>
      </c>
      <c r="H16" s="49">
        <f>AVERAGE('02.08 Kyebando-Mulago'!H16,'29.07 Kyebando-Mulago'!H16,'30.07 -Kyebando-Mulago'!H16,'31.07 Kyebando-Mulago'!H16,'01.08 Kyebando-Mulago-24h'!H16,'03.08 Kyebando-Mulago-24h'!H16,'04.08 Kyebando-Mulago'!H16)</f>
        <v>0.5714285714285714</v>
      </c>
      <c r="I16" s="49">
        <f>AVERAGE('02.08 Kyebando-Mulago'!I16,'29.07 Kyebando-Mulago'!I16,'30.07 -Kyebando-Mulago'!I16,'31.07 Kyebando-Mulago'!I16,'01.08 Kyebando-Mulago-24h'!I16,'03.08 Kyebando-Mulago-24h'!I16,'04.08 Kyebando-Mulago'!I16)</f>
        <v>4.7142857142857144</v>
      </c>
      <c r="J16" s="49">
        <f>AVERAGE('02.08 Kyebando-Mulago'!J16,'29.07 Kyebando-Mulago'!J16,'30.07 -Kyebando-Mulago'!J16,'31.07 Kyebando-Mulago'!J16,'01.08 Kyebando-Mulago-24h'!J16,'03.08 Kyebando-Mulago-24h'!J16,'04.08 Kyebando-Mulago'!J16)</f>
        <v>0.5714285714285714</v>
      </c>
      <c r="K16" s="49">
        <f>AVERAGE('02.08 Kyebando-Mulago'!K16,'29.07 Kyebando-Mulago'!K16,'30.07 -Kyebando-Mulago'!K16,'31.07 Kyebando-Mulago'!K16,'01.08 Kyebando-Mulago-24h'!K16,'03.08 Kyebando-Mulago-24h'!K16,'04.08 Kyebando-Mulago'!K16)</f>
        <v>0</v>
      </c>
      <c r="L16" s="49">
        <f>AVERAGE('02.08 Kyebando-Mulago'!L16,'29.07 Kyebando-Mulago'!L16,'30.07 -Kyebando-Mulago'!L16,'31.07 Kyebando-Mulago'!L16,'01.08 Kyebando-Mulago-24h'!L16,'03.08 Kyebando-Mulago-24h'!L16,'04.08 Kyebando-Mulago'!L16)</f>
        <v>0</v>
      </c>
      <c r="M16" s="49">
        <f>AVERAGE('02.08 Kyebando-Mulago'!M16,'29.07 Kyebando-Mulago'!M16,'30.07 -Kyebando-Mulago'!M16,'31.07 Kyebando-Mulago'!M16,'01.08 Kyebando-Mulago-24h'!M16,'03.08 Kyebando-Mulago-24h'!M16,'04.08 Kyebando-Mulago'!M16)</f>
        <v>171.42857142857142</v>
      </c>
      <c r="N16" s="49">
        <f>AVERAGE('02.08 Kyebando-Mulago'!N16,'29.07 Kyebando-Mulago'!N16,'30.07 -Kyebando-Mulago'!N16,'31.07 Kyebando-Mulago'!N16,'01.08 Kyebando-Mulago-24h'!N16,'03.08 Kyebando-Mulago-24h'!N16,'04.08 Kyebando-Mulago'!N16)</f>
        <v>0</v>
      </c>
      <c r="O16" s="15">
        <f t="shared" si="0"/>
        <v>187.57142857142861</v>
      </c>
      <c r="P16" s="15">
        <f t="shared" si="1"/>
        <v>359</v>
      </c>
      <c r="R16" s="1" t="s">
        <v>12</v>
      </c>
      <c r="S16" s="17">
        <f t="shared" ref="S16:AF16" si="8">SUM(C34:C37)</f>
        <v>185.85714285714286</v>
      </c>
      <c r="T16" s="17">
        <f t="shared" si="8"/>
        <v>34.714285714285715</v>
      </c>
      <c r="U16" s="17">
        <f t="shared" si="8"/>
        <v>24.142857142857146</v>
      </c>
      <c r="V16" s="17">
        <f t="shared" si="8"/>
        <v>37</v>
      </c>
      <c r="W16" s="17">
        <f t="shared" si="8"/>
        <v>0.2857142857142857</v>
      </c>
      <c r="X16" s="17">
        <f t="shared" si="8"/>
        <v>0</v>
      </c>
      <c r="Y16" s="17">
        <f t="shared" si="8"/>
        <v>15.142857142857142</v>
      </c>
      <c r="Z16" s="17">
        <f t="shared" si="8"/>
        <v>3</v>
      </c>
      <c r="AA16" s="17">
        <f t="shared" si="8"/>
        <v>0.14285714285714285</v>
      </c>
      <c r="AB16" s="17">
        <f t="shared" si="8"/>
        <v>0</v>
      </c>
      <c r="AC16" s="17">
        <f t="shared" si="8"/>
        <v>325.28571428571433</v>
      </c>
      <c r="AD16" s="17">
        <f t="shared" si="8"/>
        <v>0</v>
      </c>
      <c r="AE16" s="31">
        <f t="shared" si="8"/>
        <v>300.28571428571428</v>
      </c>
      <c r="AF16" s="31">
        <f t="shared" si="8"/>
        <v>625.57142857142856</v>
      </c>
    </row>
    <row r="17" spans="2:32" ht="23.1" customHeight="1" x14ac:dyDescent="0.25">
      <c r="B17" s="23" t="s">
        <v>44</v>
      </c>
      <c r="C17" s="49">
        <f>AVERAGE('02.08 Kyebando-Mulago'!C17,'29.07 Kyebando-Mulago'!C17,'30.07 -Kyebando-Mulago'!C17,'31.07 Kyebando-Mulago'!C17,'01.08 Kyebando-Mulago-24h'!C17,'03.08 Kyebando-Mulago-24h'!C17,'04.08 Kyebando-Mulago'!C17)</f>
        <v>90</v>
      </c>
      <c r="D17" s="49">
        <f>AVERAGE('02.08 Kyebando-Mulago'!D17,'29.07 Kyebando-Mulago'!D17,'30.07 -Kyebando-Mulago'!D17,'31.07 Kyebando-Mulago'!D17,'01.08 Kyebando-Mulago-24h'!D17,'03.08 Kyebando-Mulago-24h'!D17,'04.08 Kyebando-Mulago'!D17)</f>
        <v>15.142857142857142</v>
      </c>
      <c r="E17" s="49">
        <f>AVERAGE('02.08 Kyebando-Mulago'!E17,'29.07 Kyebando-Mulago'!E17,'30.07 -Kyebando-Mulago'!E17,'31.07 Kyebando-Mulago'!E17,'01.08 Kyebando-Mulago-24h'!E17,'03.08 Kyebando-Mulago-24h'!E17,'04.08 Kyebando-Mulago'!E17)</f>
        <v>9.7142857142857135</v>
      </c>
      <c r="F17" s="49">
        <f>AVERAGE('02.08 Kyebando-Mulago'!F17,'29.07 Kyebando-Mulago'!F17,'30.07 -Kyebando-Mulago'!F17,'31.07 Kyebando-Mulago'!F17,'01.08 Kyebando-Mulago-24h'!F17,'03.08 Kyebando-Mulago-24h'!F17,'04.08 Kyebando-Mulago'!F17)</f>
        <v>25.285714285714285</v>
      </c>
      <c r="G17" s="49">
        <f>AVERAGE('02.08 Kyebando-Mulago'!G17,'29.07 Kyebando-Mulago'!G17,'30.07 -Kyebando-Mulago'!G17,'31.07 Kyebando-Mulago'!G17,'01.08 Kyebando-Mulago-24h'!G17,'03.08 Kyebando-Mulago-24h'!G17,'04.08 Kyebando-Mulago'!G17)</f>
        <v>0.2857142857142857</v>
      </c>
      <c r="H17" s="49">
        <f>AVERAGE('02.08 Kyebando-Mulago'!H17,'29.07 Kyebando-Mulago'!H17,'30.07 -Kyebando-Mulago'!H17,'31.07 Kyebando-Mulago'!H17,'01.08 Kyebando-Mulago-24h'!H17,'03.08 Kyebando-Mulago-24h'!H17,'04.08 Kyebando-Mulago'!H17)</f>
        <v>0</v>
      </c>
      <c r="I17" s="49">
        <f>AVERAGE('02.08 Kyebando-Mulago'!I17,'29.07 Kyebando-Mulago'!I17,'30.07 -Kyebando-Mulago'!I17,'31.07 Kyebando-Mulago'!I17,'01.08 Kyebando-Mulago-24h'!I17,'03.08 Kyebando-Mulago-24h'!I17,'04.08 Kyebando-Mulago'!I17)</f>
        <v>3</v>
      </c>
      <c r="J17" s="49">
        <f>AVERAGE('02.08 Kyebando-Mulago'!J17,'29.07 Kyebando-Mulago'!J17,'30.07 -Kyebando-Mulago'!J17,'31.07 Kyebando-Mulago'!J17,'01.08 Kyebando-Mulago-24h'!J17,'03.08 Kyebando-Mulago-24h'!J17,'04.08 Kyebando-Mulago'!J17)</f>
        <v>2</v>
      </c>
      <c r="K17" s="49">
        <f>AVERAGE('02.08 Kyebando-Mulago'!K17,'29.07 Kyebando-Mulago'!K17,'30.07 -Kyebando-Mulago'!K17,'31.07 Kyebando-Mulago'!K17,'01.08 Kyebando-Mulago-24h'!K17,'03.08 Kyebando-Mulago-24h'!K17,'04.08 Kyebando-Mulago'!K17)</f>
        <v>0</v>
      </c>
      <c r="L17" s="49">
        <f>AVERAGE('02.08 Kyebando-Mulago'!L17,'29.07 Kyebando-Mulago'!L17,'30.07 -Kyebando-Mulago'!L17,'31.07 Kyebando-Mulago'!L17,'01.08 Kyebando-Mulago-24h'!L17,'03.08 Kyebando-Mulago-24h'!L17,'04.08 Kyebando-Mulago'!L17)</f>
        <v>0</v>
      </c>
      <c r="M17" s="49">
        <f>AVERAGE('02.08 Kyebando-Mulago'!M17,'29.07 Kyebando-Mulago'!M17,'30.07 -Kyebando-Mulago'!M17,'31.07 Kyebando-Mulago'!M17,'01.08 Kyebando-Mulago-24h'!M17,'03.08 Kyebando-Mulago-24h'!M17,'04.08 Kyebando-Mulago'!M17)</f>
        <v>148.28571428571428</v>
      </c>
      <c r="N17" s="49">
        <f>AVERAGE('02.08 Kyebando-Mulago'!N17,'29.07 Kyebando-Mulago'!N17,'30.07 -Kyebando-Mulago'!N17,'31.07 Kyebando-Mulago'!N17,'01.08 Kyebando-Mulago-24h'!N17,'03.08 Kyebando-Mulago-24h'!N17,'04.08 Kyebando-Mulago'!N17)</f>
        <v>0</v>
      </c>
      <c r="O17" s="15">
        <f t="shared" si="0"/>
        <v>145.42857142857142</v>
      </c>
      <c r="P17" s="15">
        <f t="shared" si="1"/>
        <v>293.71428571428567</v>
      </c>
      <c r="R17" s="1" t="s">
        <v>13</v>
      </c>
      <c r="S17" s="17">
        <f t="shared" ref="S17:AF17" si="9">SUM(C38:C41)</f>
        <v>181.71428571428572</v>
      </c>
      <c r="T17" s="17">
        <f t="shared" si="9"/>
        <v>30.999999999999996</v>
      </c>
      <c r="U17" s="17">
        <f t="shared" si="9"/>
        <v>23.857142857142854</v>
      </c>
      <c r="V17" s="17">
        <f t="shared" si="9"/>
        <v>30.714285714285715</v>
      </c>
      <c r="W17" s="17">
        <f t="shared" si="9"/>
        <v>0.2857142857142857</v>
      </c>
      <c r="X17" s="17">
        <f t="shared" si="9"/>
        <v>0</v>
      </c>
      <c r="Y17" s="17">
        <f t="shared" si="9"/>
        <v>12.142857142857142</v>
      </c>
      <c r="Z17" s="17">
        <f t="shared" si="9"/>
        <v>2.714285714285714</v>
      </c>
      <c r="AA17" s="17">
        <f t="shared" si="9"/>
        <v>0</v>
      </c>
      <c r="AB17" s="17">
        <f t="shared" si="9"/>
        <v>0</v>
      </c>
      <c r="AC17" s="17">
        <f t="shared" si="9"/>
        <v>338.42857142857144</v>
      </c>
      <c r="AD17" s="17">
        <f t="shared" si="9"/>
        <v>0</v>
      </c>
      <c r="AE17" s="31">
        <f t="shared" si="9"/>
        <v>282.42857142857144</v>
      </c>
      <c r="AF17" s="31">
        <f t="shared" si="9"/>
        <v>620.85714285714278</v>
      </c>
    </row>
    <row r="18" spans="2:32" ht="23.1" customHeight="1" x14ac:dyDescent="0.25">
      <c r="B18" s="23" t="s">
        <v>45</v>
      </c>
      <c r="C18" s="49">
        <f>AVERAGE('02.08 Kyebando-Mulago'!C18,'29.07 Kyebando-Mulago'!C18,'30.07 -Kyebando-Mulago'!C18,'31.07 Kyebando-Mulago'!C18,'01.08 Kyebando-Mulago-24h'!C18,'03.08 Kyebando-Mulago-24h'!C18,'04.08 Kyebando-Mulago'!C18)</f>
        <v>87.428571428571431</v>
      </c>
      <c r="D18" s="49">
        <f>AVERAGE('02.08 Kyebando-Mulago'!D18,'29.07 Kyebando-Mulago'!D18,'30.07 -Kyebando-Mulago'!D18,'31.07 Kyebando-Mulago'!D18,'01.08 Kyebando-Mulago-24h'!D18,'03.08 Kyebando-Mulago-24h'!D18,'04.08 Kyebando-Mulago'!D18)</f>
        <v>15.714285714285714</v>
      </c>
      <c r="E18" s="49">
        <f>AVERAGE('02.08 Kyebando-Mulago'!E18,'29.07 Kyebando-Mulago'!E18,'30.07 -Kyebando-Mulago'!E18,'31.07 Kyebando-Mulago'!E18,'01.08 Kyebando-Mulago-24h'!E18,'03.08 Kyebando-Mulago-24h'!E18,'04.08 Kyebando-Mulago'!E18)</f>
        <v>11</v>
      </c>
      <c r="F18" s="49">
        <f>AVERAGE('02.08 Kyebando-Mulago'!F18,'29.07 Kyebando-Mulago'!F18,'30.07 -Kyebando-Mulago'!F18,'31.07 Kyebando-Mulago'!F18,'01.08 Kyebando-Mulago-24h'!F18,'03.08 Kyebando-Mulago-24h'!F18,'04.08 Kyebando-Mulago'!F18)</f>
        <v>28.285714285714285</v>
      </c>
      <c r="G18" s="49">
        <f>AVERAGE('02.08 Kyebando-Mulago'!G18,'29.07 Kyebando-Mulago'!G18,'30.07 -Kyebando-Mulago'!G18,'31.07 Kyebando-Mulago'!G18,'01.08 Kyebando-Mulago-24h'!G18,'03.08 Kyebando-Mulago-24h'!G18,'04.08 Kyebando-Mulago'!G18)</f>
        <v>0.7142857142857143</v>
      </c>
      <c r="H18" s="49">
        <f>AVERAGE('02.08 Kyebando-Mulago'!H18,'29.07 Kyebando-Mulago'!H18,'30.07 -Kyebando-Mulago'!H18,'31.07 Kyebando-Mulago'!H18,'01.08 Kyebando-Mulago-24h'!H18,'03.08 Kyebando-Mulago-24h'!H18,'04.08 Kyebando-Mulago'!H18)</f>
        <v>0</v>
      </c>
      <c r="I18" s="49">
        <f>AVERAGE('02.08 Kyebando-Mulago'!I18,'29.07 Kyebando-Mulago'!I18,'30.07 -Kyebando-Mulago'!I18,'31.07 Kyebando-Mulago'!I18,'01.08 Kyebando-Mulago-24h'!I18,'03.08 Kyebando-Mulago-24h'!I18,'04.08 Kyebando-Mulago'!I18)</f>
        <v>3.4285714285714284</v>
      </c>
      <c r="J18" s="49">
        <f>AVERAGE('02.08 Kyebando-Mulago'!J18,'29.07 Kyebando-Mulago'!J18,'30.07 -Kyebando-Mulago'!J18,'31.07 Kyebando-Mulago'!J18,'01.08 Kyebando-Mulago-24h'!J18,'03.08 Kyebando-Mulago-24h'!J18,'04.08 Kyebando-Mulago'!J18)</f>
        <v>0.7142857142857143</v>
      </c>
      <c r="K18" s="49">
        <f>AVERAGE('02.08 Kyebando-Mulago'!K18,'29.07 Kyebando-Mulago'!K18,'30.07 -Kyebando-Mulago'!K18,'31.07 Kyebando-Mulago'!K18,'01.08 Kyebando-Mulago-24h'!K18,'03.08 Kyebando-Mulago-24h'!K18,'04.08 Kyebando-Mulago'!K18)</f>
        <v>0</v>
      </c>
      <c r="L18" s="49">
        <f>AVERAGE('02.08 Kyebando-Mulago'!L18,'29.07 Kyebando-Mulago'!L18,'30.07 -Kyebando-Mulago'!L18,'31.07 Kyebando-Mulago'!L18,'01.08 Kyebando-Mulago-24h'!L18,'03.08 Kyebando-Mulago-24h'!L18,'04.08 Kyebando-Mulago'!L18)</f>
        <v>0</v>
      </c>
      <c r="M18" s="49">
        <f>AVERAGE('02.08 Kyebando-Mulago'!M18,'29.07 Kyebando-Mulago'!M18,'30.07 -Kyebando-Mulago'!M18,'31.07 Kyebando-Mulago'!M18,'01.08 Kyebando-Mulago-24h'!M18,'03.08 Kyebando-Mulago-24h'!M18,'04.08 Kyebando-Mulago'!M18)</f>
        <v>135.71428571428572</v>
      </c>
      <c r="N18" s="49">
        <f>AVERAGE('02.08 Kyebando-Mulago'!N18,'29.07 Kyebando-Mulago'!N18,'30.07 -Kyebando-Mulago'!N18,'31.07 Kyebando-Mulago'!N18,'01.08 Kyebando-Mulago-24h'!N18,'03.08 Kyebando-Mulago-24h'!N18,'04.08 Kyebando-Mulago'!N18)</f>
        <v>0</v>
      </c>
      <c r="O18" s="15">
        <f t="shared" si="0"/>
        <v>147.28571428571428</v>
      </c>
      <c r="P18" s="15">
        <f t="shared" si="1"/>
        <v>283</v>
      </c>
      <c r="R18" s="1" t="s">
        <v>14</v>
      </c>
      <c r="S18" s="17">
        <f t="shared" ref="S18:AF18" si="10">SUM(C42:C45)</f>
        <v>172.42857142857142</v>
      </c>
      <c r="T18" s="17">
        <f t="shared" si="10"/>
        <v>31</v>
      </c>
      <c r="U18" s="17">
        <f t="shared" si="10"/>
        <v>24.714285714285712</v>
      </c>
      <c r="V18" s="17">
        <f t="shared" si="10"/>
        <v>36.142857142857139</v>
      </c>
      <c r="W18" s="17">
        <f t="shared" si="10"/>
        <v>1</v>
      </c>
      <c r="X18" s="17">
        <f t="shared" si="10"/>
        <v>0.14285714285714285</v>
      </c>
      <c r="Y18" s="17">
        <f t="shared" si="10"/>
        <v>13.571428571428573</v>
      </c>
      <c r="Z18" s="17">
        <f t="shared" si="10"/>
        <v>1.5714285714285712</v>
      </c>
      <c r="AA18" s="17">
        <f t="shared" si="10"/>
        <v>0</v>
      </c>
      <c r="AB18" s="17">
        <f t="shared" si="10"/>
        <v>0</v>
      </c>
      <c r="AC18" s="17">
        <f t="shared" si="10"/>
        <v>322.57142857142856</v>
      </c>
      <c r="AD18" s="17">
        <f t="shared" si="10"/>
        <v>0</v>
      </c>
      <c r="AE18" s="31">
        <f t="shared" si="10"/>
        <v>280.57142857142856</v>
      </c>
      <c r="AF18" s="31">
        <f t="shared" si="10"/>
        <v>603.14285714285711</v>
      </c>
    </row>
    <row r="19" spans="2:32" ht="23.1" customHeight="1" x14ac:dyDescent="0.25">
      <c r="B19" s="23" t="s">
        <v>46</v>
      </c>
      <c r="C19" s="49">
        <f>AVERAGE('02.08 Kyebando-Mulago'!C19,'29.07 Kyebando-Mulago'!C19,'30.07 -Kyebando-Mulago'!C19,'31.07 Kyebando-Mulago'!C19,'01.08 Kyebando-Mulago-24h'!C19,'03.08 Kyebando-Mulago-24h'!C19,'04.08 Kyebando-Mulago'!C19)</f>
        <v>76.142857142857139</v>
      </c>
      <c r="D19" s="49">
        <f>AVERAGE('02.08 Kyebando-Mulago'!D19,'29.07 Kyebando-Mulago'!D19,'30.07 -Kyebando-Mulago'!D19,'31.07 Kyebando-Mulago'!D19,'01.08 Kyebando-Mulago-24h'!D19,'03.08 Kyebando-Mulago-24h'!D19,'04.08 Kyebando-Mulago'!D19)</f>
        <v>16.285714285714285</v>
      </c>
      <c r="E19" s="49">
        <f>AVERAGE('02.08 Kyebando-Mulago'!E19,'29.07 Kyebando-Mulago'!E19,'30.07 -Kyebando-Mulago'!E19,'31.07 Kyebando-Mulago'!E19,'01.08 Kyebando-Mulago-24h'!E19,'03.08 Kyebando-Mulago-24h'!E19,'04.08 Kyebando-Mulago'!E19)</f>
        <v>9</v>
      </c>
      <c r="F19" s="49">
        <f>AVERAGE('02.08 Kyebando-Mulago'!F19,'29.07 Kyebando-Mulago'!F19,'30.07 -Kyebando-Mulago'!F19,'31.07 Kyebando-Mulago'!F19,'01.08 Kyebando-Mulago-24h'!F19,'03.08 Kyebando-Mulago-24h'!F19,'04.08 Kyebando-Mulago'!F19)</f>
        <v>22</v>
      </c>
      <c r="G19" s="49">
        <f>AVERAGE('02.08 Kyebando-Mulago'!G19,'29.07 Kyebando-Mulago'!G19,'30.07 -Kyebando-Mulago'!G19,'31.07 Kyebando-Mulago'!G19,'01.08 Kyebando-Mulago-24h'!G19,'03.08 Kyebando-Mulago-24h'!G19,'04.08 Kyebando-Mulago'!G19)</f>
        <v>0</v>
      </c>
      <c r="H19" s="49">
        <f>AVERAGE('02.08 Kyebando-Mulago'!H19,'29.07 Kyebando-Mulago'!H19,'30.07 -Kyebando-Mulago'!H19,'31.07 Kyebando-Mulago'!H19,'01.08 Kyebando-Mulago-24h'!H19,'03.08 Kyebando-Mulago-24h'!H19,'04.08 Kyebando-Mulago'!H19)</f>
        <v>0</v>
      </c>
      <c r="I19" s="49">
        <f>AVERAGE('02.08 Kyebando-Mulago'!I19,'29.07 Kyebando-Mulago'!I19,'30.07 -Kyebando-Mulago'!I19,'31.07 Kyebando-Mulago'!I19,'01.08 Kyebando-Mulago-24h'!I19,'03.08 Kyebando-Mulago-24h'!I19,'04.08 Kyebando-Mulago'!I19)</f>
        <v>4.5714285714285712</v>
      </c>
      <c r="J19" s="49">
        <f>AVERAGE('02.08 Kyebando-Mulago'!J19,'29.07 Kyebando-Mulago'!J19,'30.07 -Kyebando-Mulago'!J19,'31.07 Kyebando-Mulago'!J19,'01.08 Kyebando-Mulago-24h'!J19,'03.08 Kyebando-Mulago-24h'!J19,'04.08 Kyebando-Mulago'!J19)</f>
        <v>0.42857142857142855</v>
      </c>
      <c r="K19" s="49">
        <f>AVERAGE('02.08 Kyebando-Mulago'!K19,'29.07 Kyebando-Mulago'!K19,'30.07 -Kyebando-Mulago'!K19,'31.07 Kyebando-Mulago'!K19,'01.08 Kyebando-Mulago-24h'!K19,'03.08 Kyebando-Mulago-24h'!K19,'04.08 Kyebando-Mulago'!K19)</f>
        <v>0</v>
      </c>
      <c r="L19" s="49">
        <f>AVERAGE('02.08 Kyebando-Mulago'!L19,'29.07 Kyebando-Mulago'!L19,'30.07 -Kyebando-Mulago'!L19,'31.07 Kyebando-Mulago'!L19,'01.08 Kyebando-Mulago-24h'!L19,'03.08 Kyebando-Mulago-24h'!L19,'04.08 Kyebando-Mulago'!L19)</f>
        <v>0</v>
      </c>
      <c r="M19" s="49">
        <f>AVERAGE('02.08 Kyebando-Mulago'!M19,'29.07 Kyebando-Mulago'!M19,'30.07 -Kyebando-Mulago'!M19,'31.07 Kyebando-Mulago'!M19,'01.08 Kyebando-Mulago-24h'!M19,'03.08 Kyebando-Mulago-24h'!M19,'04.08 Kyebando-Mulago'!M19)</f>
        <v>129.57142857142858</v>
      </c>
      <c r="N19" s="49">
        <f>AVERAGE('02.08 Kyebando-Mulago'!N19,'29.07 Kyebando-Mulago'!N19,'30.07 -Kyebando-Mulago'!N19,'31.07 Kyebando-Mulago'!N19,'01.08 Kyebando-Mulago-24h'!N19,'03.08 Kyebando-Mulago-24h'!N19,'04.08 Kyebando-Mulago'!N19)</f>
        <v>0</v>
      </c>
      <c r="O19" s="15">
        <f t="shared" si="0"/>
        <v>128.42857142857142</v>
      </c>
      <c r="P19" s="15">
        <f t="shared" si="1"/>
        <v>258</v>
      </c>
      <c r="R19" s="1" t="s">
        <v>15</v>
      </c>
      <c r="S19" s="17">
        <f t="shared" ref="S19:AF19" si="11">SUM(C46:C49)</f>
        <v>188</v>
      </c>
      <c r="T19" s="17">
        <f t="shared" si="11"/>
        <v>35.285714285714285</v>
      </c>
      <c r="U19" s="17">
        <f t="shared" si="11"/>
        <v>22.857142857142861</v>
      </c>
      <c r="V19" s="17">
        <f t="shared" si="11"/>
        <v>39.142857142857146</v>
      </c>
      <c r="W19" s="17">
        <f t="shared" si="11"/>
        <v>0.85714285714285698</v>
      </c>
      <c r="X19" s="17">
        <f t="shared" si="11"/>
        <v>0.14285714285714285</v>
      </c>
      <c r="Y19" s="17">
        <f t="shared" si="11"/>
        <v>10.714285714285714</v>
      </c>
      <c r="Z19" s="17">
        <f t="shared" si="11"/>
        <v>2.4285714285714284</v>
      </c>
      <c r="AA19" s="17">
        <f t="shared" si="11"/>
        <v>0</v>
      </c>
      <c r="AB19" s="17">
        <f t="shared" si="11"/>
        <v>0</v>
      </c>
      <c r="AC19" s="17">
        <f t="shared" si="11"/>
        <v>370</v>
      </c>
      <c r="AD19" s="17">
        <f t="shared" si="11"/>
        <v>0</v>
      </c>
      <c r="AE19" s="31">
        <f t="shared" si="11"/>
        <v>299.42857142857144</v>
      </c>
      <c r="AF19" s="31">
        <f t="shared" si="11"/>
        <v>669.42857142857133</v>
      </c>
    </row>
    <row r="20" spans="2:32" ht="23.1" customHeight="1" x14ac:dyDescent="0.25">
      <c r="B20" s="23" t="s">
        <v>47</v>
      </c>
      <c r="C20" s="49">
        <f>AVERAGE('02.08 Kyebando-Mulago'!C20,'29.07 Kyebando-Mulago'!C20,'30.07 -Kyebando-Mulago'!C20,'31.07 Kyebando-Mulago'!C20,'01.08 Kyebando-Mulago-24h'!C20,'03.08 Kyebando-Mulago-24h'!C20,'04.08 Kyebando-Mulago'!C20)</f>
        <v>82.571428571428569</v>
      </c>
      <c r="D20" s="49">
        <f>AVERAGE('02.08 Kyebando-Mulago'!D20,'29.07 Kyebando-Mulago'!D20,'30.07 -Kyebando-Mulago'!D20,'31.07 Kyebando-Mulago'!D20,'01.08 Kyebando-Mulago-24h'!D20,'03.08 Kyebando-Mulago-24h'!D20,'04.08 Kyebando-Mulago'!D20)</f>
        <v>16.571428571428573</v>
      </c>
      <c r="E20" s="49">
        <f>AVERAGE('02.08 Kyebando-Mulago'!E20,'29.07 Kyebando-Mulago'!E20,'30.07 -Kyebando-Mulago'!E20,'31.07 Kyebando-Mulago'!E20,'01.08 Kyebando-Mulago-24h'!E20,'03.08 Kyebando-Mulago-24h'!E20,'04.08 Kyebando-Mulago'!E20)</f>
        <v>9</v>
      </c>
      <c r="F20" s="49">
        <f>AVERAGE('02.08 Kyebando-Mulago'!F20,'29.07 Kyebando-Mulago'!F20,'30.07 -Kyebando-Mulago'!F20,'31.07 Kyebando-Mulago'!F20,'01.08 Kyebando-Mulago-24h'!F20,'03.08 Kyebando-Mulago-24h'!F20,'04.08 Kyebando-Mulago'!F20)</f>
        <v>25.285714285714285</v>
      </c>
      <c r="G20" s="49">
        <f>AVERAGE('02.08 Kyebando-Mulago'!G20,'29.07 Kyebando-Mulago'!G20,'30.07 -Kyebando-Mulago'!G20,'31.07 Kyebando-Mulago'!G20,'01.08 Kyebando-Mulago-24h'!G20,'03.08 Kyebando-Mulago-24h'!G20,'04.08 Kyebando-Mulago'!G20)</f>
        <v>0.7142857142857143</v>
      </c>
      <c r="H20" s="49">
        <f>AVERAGE('02.08 Kyebando-Mulago'!H20,'29.07 Kyebando-Mulago'!H20,'30.07 -Kyebando-Mulago'!H20,'31.07 Kyebando-Mulago'!H20,'01.08 Kyebando-Mulago-24h'!H20,'03.08 Kyebando-Mulago-24h'!H20,'04.08 Kyebando-Mulago'!H20)</f>
        <v>0</v>
      </c>
      <c r="I20" s="49">
        <f>AVERAGE('02.08 Kyebando-Mulago'!I20,'29.07 Kyebando-Mulago'!I20,'30.07 -Kyebando-Mulago'!I20,'31.07 Kyebando-Mulago'!I20,'01.08 Kyebando-Mulago-24h'!I20,'03.08 Kyebando-Mulago-24h'!I20,'04.08 Kyebando-Mulago'!I20)</f>
        <v>3.5714285714285716</v>
      </c>
      <c r="J20" s="49">
        <f>AVERAGE('02.08 Kyebando-Mulago'!J20,'29.07 Kyebando-Mulago'!J20,'30.07 -Kyebando-Mulago'!J20,'31.07 Kyebando-Mulago'!J20,'01.08 Kyebando-Mulago-24h'!J20,'03.08 Kyebando-Mulago-24h'!J20,'04.08 Kyebando-Mulago'!J20)</f>
        <v>0.5714285714285714</v>
      </c>
      <c r="K20" s="49">
        <f>AVERAGE('02.08 Kyebando-Mulago'!K20,'29.07 Kyebando-Mulago'!K20,'30.07 -Kyebando-Mulago'!K20,'31.07 Kyebando-Mulago'!K20,'01.08 Kyebando-Mulago-24h'!K20,'03.08 Kyebando-Mulago-24h'!K20,'04.08 Kyebando-Mulago'!K20)</f>
        <v>0.14285714285714285</v>
      </c>
      <c r="L20" s="49">
        <f>AVERAGE('02.08 Kyebando-Mulago'!L20,'29.07 Kyebando-Mulago'!L20,'30.07 -Kyebando-Mulago'!L20,'31.07 Kyebando-Mulago'!L20,'01.08 Kyebando-Mulago-24h'!L20,'03.08 Kyebando-Mulago-24h'!L20,'04.08 Kyebando-Mulago'!L20)</f>
        <v>0</v>
      </c>
      <c r="M20" s="49">
        <f>AVERAGE('02.08 Kyebando-Mulago'!M20,'29.07 Kyebando-Mulago'!M20,'30.07 -Kyebando-Mulago'!M20,'31.07 Kyebando-Mulago'!M20,'01.08 Kyebando-Mulago-24h'!M20,'03.08 Kyebando-Mulago-24h'!M20,'04.08 Kyebando-Mulago'!M20)</f>
        <v>129.42857142857142</v>
      </c>
      <c r="N20" s="49">
        <f>AVERAGE('02.08 Kyebando-Mulago'!N20,'29.07 Kyebando-Mulago'!N20,'30.07 -Kyebando-Mulago'!N20,'31.07 Kyebando-Mulago'!N20,'01.08 Kyebando-Mulago-24h'!N20,'03.08 Kyebando-Mulago-24h'!N20,'04.08 Kyebando-Mulago'!N20)</f>
        <v>0</v>
      </c>
      <c r="O20" s="15">
        <f t="shared" si="0"/>
        <v>138.42857142857144</v>
      </c>
      <c r="P20" s="15">
        <f t="shared" si="1"/>
        <v>267.85714285714289</v>
      </c>
      <c r="R20" s="1" t="s">
        <v>16</v>
      </c>
      <c r="S20" s="17">
        <f t="shared" ref="S20:AF20" si="12">SUM(C50:C53)</f>
        <v>178.85714285714286</v>
      </c>
      <c r="T20" s="17">
        <f t="shared" si="12"/>
        <v>37.714285714285715</v>
      </c>
      <c r="U20" s="17">
        <f t="shared" si="12"/>
        <v>26.857142857142858</v>
      </c>
      <c r="V20" s="17">
        <f t="shared" si="12"/>
        <v>37.571428571428569</v>
      </c>
      <c r="W20" s="17">
        <f t="shared" si="12"/>
        <v>1.5714285714285714</v>
      </c>
      <c r="X20" s="17">
        <f t="shared" si="12"/>
        <v>0</v>
      </c>
      <c r="Y20" s="17">
        <f t="shared" si="12"/>
        <v>13.428571428571427</v>
      </c>
      <c r="Z20" s="17">
        <f t="shared" si="12"/>
        <v>2.4285714285714284</v>
      </c>
      <c r="AA20" s="17">
        <f t="shared" si="12"/>
        <v>0.5714285714285714</v>
      </c>
      <c r="AB20" s="17">
        <f t="shared" si="12"/>
        <v>0</v>
      </c>
      <c r="AC20" s="17">
        <f t="shared" si="12"/>
        <v>421.14285714285711</v>
      </c>
      <c r="AD20" s="17">
        <f t="shared" si="12"/>
        <v>0</v>
      </c>
      <c r="AE20" s="31">
        <f t="shared" si="12"/>
        <v>299</v>
      </c>
      <c r="AF20" s="31">
        <f t="shared" si="12"/>
        <v>720.14285714285722</v>
      </c>
    </row>
    <row r="21" spans="2:32" ht="23.1" customHeight="1" x14ac:dyDescent="0.25">
      <c r="B21" s="23" t="s">
        <v>48</v>
      </c>
      <c r="C21" s="49">
        <f>AVERAGE('02.08 Kyebando-Mulago'!C21,'29.07 Kyebando-Mulago'!C21,'30.07 -Kyebando-Mulago'!C21,'31.07 Kyebando-Mulago'!C21,'01.08 Kyebando-Mulago-24h'!C21,'03.08 Kyebando-Mulago-24h'!C21,'04.08 Kyebando-Mulago'!C21)</f>
        <v>78.857142857142861</v>
      </c>
      <c r="D21" s="49">
        <f>AVERAGE('02.08 Kyebando-Mulago'!D21,'29.07 Kyebando-Mulago'!D21,'30.07 -Kyebando-Mulago'!D21,'31.07 Kyebando-Mulago'!D21,'01.08 Kyebando-Mulago-24h'!D21,'03.08 Kyebando-Mulago-24h'!D21,'04.08 Kyebando-Mulago'!D21)</f>
        <v>12.571428571428571</v>
      </c>
      <c r="E21" s="49">
        <f>AVERAGE('02.08 Kyebando-Mulago'!E21,'29.07 Kyebando-Mulago'!E21,'30.07 -Kyebando-Mulago'!E21,'31.07 Kyebando-Mulago'!E21,'01.08 Kyebando-Mulago-24h'!E21,'03.08 Kyebando-Mulago-24h'!E21,'04.08 Kyebando-Mulago'!E21)</f>
        <v>10.285714285714286</v>
      </c>
      <c r="F21" s="49">
        <f>AVERAGE('02.08 Kyebando-Mulago'!F21,'29.07 Kyebando-Mulago'!F21,'30.07 -Kyebando-Mulago'!F21,'31.07 Kyebando-Mulago'!F21,'01.08 Kyebando-Mulago-24h'!F21,'03.08 Kyebando-Mulago-24h'!F21,'04.08 Kyebando-Mulago'!F21)</f>
        <v>17.428571428571427</v>
      </c>
      <c r="G21" s="49">
        <f>AVERAGE('02.08 Kyebando-Mulago'!G21,'29.07 Kyebando-Mulago'!G21,'30.07 -Kyebando-Mulago'!G21,'31.07 Kyebando-Mulago'!G21,'01.08 Kyebando-Mulago-24h'!G21,'03.08 Kyebando-Mulago-24h'!G21,'04.08 Kyebando-Mulago'!G21)</f>
        <v>0.14285714285714285</v>
      </c>
      <c r="H21" s="49">
        <f>AVERAGE('02.08 Kyebando-Mulago'!H21,'29.07 Kyebando-Mulago'!H21,'30.07 -Kyebando-Mulago'!H21,'31.07 Kyebando-Mulago'!H21,'01.08 Kyebando-Mulago-24h'!H21,'03.08 Kyebando-Mulago-24h'!H21,'04.08 Kyebando-Mulago'!H21)</f>
        <v>0</v>
      </c>
      <c r="I21" s="49">
        <f>AVERAGE('02.08 Kyebando-Mulago'!I21,'29.07 Kyebando-Mulago'!I21,'30.07 -Kyebando-Mulago'!I21,'31.07 Kyebando-Mulago'!I21,'01.08 Kyebando-Mulago-24h'!I21,'03.08 Kyebando-Mulago-24h'!I21,'04.08 Kyebando-Mulago'!I21)</f>
        <v>2.4285714285714284</v>
      </c>
      <c r="J21" s="49">
        <f>AVERAGE('02.08 Kyebando-Mulago'!J21,'29.07 Kyebando-Mulago'!J21,'30.07 -Kyebando-Mulago'!J21,'31.07 Kyebando-Mulago'!J21,'01.08 Kyebando-Mulago-24h'!J21,'03.08 Kyebando-Mulago-24h'!J21,'04.08 Kyebando-Mulago'!J21)</f>
        <v>0.14285714285714285</v>
      </c>
      <c r="K21" s="49">
        <f>AVERAGE('02.08 Kyebando-Mulago'!K21,'29.07 Kyebando-Mulago'!K21,'30.07 -Kyebando-Mulago'!K21,'31.07 Kyebando-Mulago'!K21,'01.08 Kyebando-Mulago-24h'!K21,'03.08 Kyebando-Mulago-24h'!K21,'04.08 Kyebando-Mulago'!K21)</f>
        <v>0</v>
      </c>
      <c r="L21" s="49">
        <f>AVERAGE('02.08 Kyebando-Mulago'!L21,'29.07 Kyebando-Mulago'!L21,'30.07 -Kyebando-Mulago'!L21,'31.07 Kyebando-Mulago'!L21,'01.08 Kyebando-Mulago-24h'!L21,'03.08 Kyebando-Mulago-24h'!L21,'04.08 Kyebando-Mulago'!L21)</f>
        <v>0</v>
      </c>
      <c r="M21" s="49">
        <f>AVERAGE('02.08 Kyebando-Mulago'!M21,'29.07 Kyebando-Mulago'!M21,'30.07 -Kyebando-Mulago'!M21,'31.07 Kyebando-Mulago'!M21,'01.08 Kyebando-Mulago-24h'!M21,'03.08 Kyebando-Mulago-24h'!M21,'04.08 Kyebando-Mulago'!M21)</f>
        <v>122.85714285714286</v>
      </c>
      <c r="N21" s="49">
        <f>AVERAGE('02.08 Kyebando-Mulago'!N21,'29.07 Kyebando-Mulago'!N21,'30.07 -Kyebando-Mulago'!N21,'31.07 Kyebando-Mulago'!N21,'01.08 Kyebando-Mulago-24h'!N21,'03.08 Kyebando-Mulago-24h'!N21,'04.08 Kyebando-Mulago'!N21)</f>
        <v>0</v>
      </c>
      <c r="O21" s="15">
        <f t="shared" si="0"/>
        <v>121.85714285714286</v>
      </c>
      <c r="P21" s="15">
        <f t="shared" si="1"/>
        <v>244.71428571428572</v>
      </c>
      <c r="R21" s="36" t="s">
        <v>20</v>
      </c>
      <c r="S21" s="34">
        <f t="shared" ref="S21:AF21" si="13">SUM(C54:C57)</f>
        <v>154</v>
      </c>
      <c r="T21" s="17">
        <f t="shared" si="13"/>
        <v>30.428571428571427</v>
      </c>
      <c r="U21" s="17">
        <f t="shared" si="13"/>
        <v>18.428571428571431</v>
      </c>
      <c r="V21" s="17">
        <f t="shared" si="13"/>
        <v>32.428571428571431</v>
      </c>
      <c r="W21" s="17">
        <f t="shared" si="13"/>
        <v>0.8571428571428571</v>
      </c>
      <c r="X21" s="17">
        <f t="shared" si="13"/>
        <v>0.2857142857142857</v>
      </c>
      <c r="Y21" s="17">
        <f t="shared" si="13"/>
        <v>10</v>
      </c>
      <c r="Z21" s="17">
        <f t="shared" si="13"/>
        <v>2.7142857142857144</v>
      </c>
      <c r="AA21" s="17">
        <f t="shared" si="13"/>
        <v>0</v>
      </c>
      <c r="AB21" s="17">
        <f t="shared" si="13"/>
        <v>0</v>
      </c>
      <c r="AC21" s="17">
        <f t="shared" si="13"/>
        <v>384.28571428571428</v>
      </c>
      <c r="AD21" s="17">
        <f t="shared" si="13"/>
        <v>0</v>
      </c>
      <c r="AE21" s="31">
        <f t="shared" si="13"/>
        <v>249.14285714285717</v>
      </c>
      <c r="AF21" s="31">
        <f t="shared" si="13"/>
        <v>633.42857142857144</v>
      </c>
    </row>
    <row r="22" spans="2:32" ht="23.1" customHeight="1" x14ac:dyDescent="0.25">
      <c r="B22" s="23" t="s">
        <v>49</v>
      </c>
      <c r="C22" s="49">
        <f>AVERAGE('02.08 Kyebando-Mulago'!C22,'29.07 Kyebando-Mulago'!C22,'30.07 -Kyebando-Mulago'!C22,'31.07 Kyebando-Mulago'!C22,'01.08 Kyebando-Mulago-24h'!C22,'03.08 Kyebando-Mulago-24h'!C22,'04.08 Kyebando-Mulago'!C22)</f>
        <v>77.571428571428569</v>
      </c>
      <c r="D22" s="49">
        <f>AVERAGE('02.08 Kyebando-Mulago'!D22,'29.07 Kyebando-Mulago'!D22,'30.07 -Kyebando-Mulago'!D22,'31.07 Kyebando-Mulago'!D22,'01.08 Kyebando-Mulago-24h'!D22,'03.08 Kyebando-Mulago-24h'!D22,'04.08 Kyebando-Mulago'!D22)</f>
        <v>18.142857142857142</v>
      </c>
      <c r="E22" s="49">
        <f>AVERAGE('02.08 Kyebando-Mulago'!E22,'29.07 Kyebando-Mulago'!E22,'30.07 -Kyebando-Mulago'!E22,'31.07 Kyebando-Mulago'!E22,'01.08 Kyebando-Mulago-24h'!E22,'03.08 Kyebando-Mulago-24h'!E22,'04.08 Kyebando-Mulago'!E22)</f>
        <v>8.4285714285714288</v>
      </c>
      <c r="F22" s="49">
        <f>AVERAGE('02.08 Kyebando-Mulago'!F22,'29.07 Kyebando-Mulago'!F22,'30.07 -Kyebando-Mulago'!F22,'31.07 Kyebando-Mulago'!F22,'01.08 Kyebando-Mulago-24h'!F22,'03.08 Kyebando-Mulago-24h'!F22,'04.08 Kyebando-Mulago'!F22)</f>
        <v>17.857142857142858</v>
      </c>
      <c r="G22" s="49">
        <f>AVERAGE('02.08 Kyebando-Mulago'!G22,'29.07 Kyebando-Mulago'!G22,'30.07 -Kyebando-Mulago'!G22,'31.07 Kyebando-Mulago'!G22,'01.08 Kyebando-Mulago-24h'!G22,'03.08 Kyebando-Mulago-24h'!G22,'04.08 Kyebando-Mulago'!G22)</f>
        <v>0.2857142857142857</v>
      </c>
      <c r="H22" s="49">
        <f>AVERAGE('02.08 Kyebando-Mulago'!H22,'29.07 Kyebando-Mulago'!H22,'30.07 -Kyebando-Mulago'!H22,'31.07 Kyebando-Mulago'!H22,'01.08 Kyebando-Mulago-24h'!H22,'03.08 Kyebando-Mulago-24h'!H22,'04.08 Kyebando-Mulago'!H22)</f>
        <v>0.14285714285714285</v>
      </c>
      <c r="I22" s="49">
        <f>AVERAGE('02.08 Kyebando-Mulago'!I22,'29.07 Kyebando-Mulago'!I22,'30.07 -Kyebando-Mulago'!I22,'31.07 Kyebando-Mulago'!I22,'01.08 Kyebando-Mulago-24h'!I22,'03.08 Kyebando-Mulago-24h'!I22,'04.08 Kyebando-Mulago'!I22)</f>
        <v>3</v>
      </c>
      <c r="J22" s="49">
        <f>AVERAGE('02.08 Kyebando-Mulago'!J22,'29.07 Kyebando-Mulago'!J22,'30.07 -Kyebando-Mulago'!J22,'31.07 Kyebando-Mulago'!J22,'01.08 Kyebando-Mulago-24h'!J22,'03.08 Kyebando-Mulago-24h'!J22,'04.08 Kyebando-Mulago'!J22)</f>
        <v>0.42857142857142855</v>
      </c>
      <c r="K22" s="49">
        <f>AVERAGE('02.08 Kyebando-Mulago'!K22,'29.07 Kyebando-Mulago'!K22,'30.07 -Kyebando-Mulago'!K22,'31.07 Kyebando-Mulago'!K22,'01.08 Kyebando-Mulago-24h'!K22,'03.08 Kyebando-Mulago-24h'!K22,'04.08 Kyebando-Mulago'!K22)</f>
        <v>0</v>
      </c>
      <c r="L22" s="49">
        <f>AVERAGE('02.08 Kyebando-Mulago'!L22,'29.07 Kyebando-Mulago'!L22,'30.07 -Kyebando-Mulago'!L22,'31.07 Kyebando-Mulago'!L22,'01.08 Kyebando-Mulago-24h'!L22,'03.08 Kyebando-Mulago-24h'!L22,'04.08 Kyebando-Mulago'!L22)</f>
        <v>0</v>
      </c>
      <c r="M22" s="49">
        <f>AVERAGE('02.08 Kyebando-Mulago'!M22,'29.07 Kyebando-Mulago'!M22,'30.07 -Kyebando-Mulago'!M22,'31.07 Kyebando-Mulago'!M22,'01.08 Kyebando-Mulago-24h'!M22,'03.08 Kyebando-Mulago-24h'!M22,'04.08 Kyebando-Mulago'!M22)</f>
        <v>112.28571428571429</v>
      </c>
      <c r="N22" s="49">
        <f>AVERAGE('02.08 Kyebando-Mulago'!N22,'29.07 Kyebando-Mulago'!N22,'30.07 -Kyebando-Mulago'!N22,'31.07 Kyebando-Mulago'!N22,'01.08 Kyebando-Mulago-24h'!N22,'03.08 Kyebando-Mulago-24h'!N22,'04.08 Kyebando-Mulago'!N22)</f>
        <v>0</v>
      </c>
      <c r="O22" s="15">
        <f t="shared" si="0"/>
        <v>125.85714285714286</v>
      </c>
      <c r="P22" s="15">
        <f t="shared" si="1"/>
        <v>238.14285714285717</v>
      </c>
      <c r="R22" s="1" t="s">
        <v>146</v>
      </c>
      <c r="S22" s="34">
        <f>SUM(C58:C61)</f>
        <v>217.5</v>
      </c>
      <c r="T22" s="34">
        <f t="shared" ref="T22:AF22" si="14">SUM(D58:D61)</f>
        <v>16</v>
      </c>
      <c r="U22" s="34">
        <f t="shared" si="14"/>
        <v>28.5</v>
      </c>
      <c r="V22" s="34">
        <f t="shared" si="14"/>
        <v>51.5</v>
      </c>
      <c r="W22" s="34">
        <f t="shared" si="14"/>
        <v>1</v>
      </c>
      <c r="X22" s="34">
        <f t="shared" si="14"/>
        <v>2</v>
      </c>
      <c r="Y22" s="34">
        <f t="shared" si="14"/>
        <v>6</v>
      </c>
      <c r="Z22" s="34">
        <f t="shared" si="14"/>
        <v>4.5</v>
      </c>
      <c r="AA22" s="34">
        <f t="shared" si="14"/>
        <v>0.5</v>
      </c>
      <c r="AB22" s="34">
        <f t="shared" si="14"/>
        <v>0</v>
      </c>
      <c r="AC22" s="34">
        <f t="shared" si="14"/>
        <v>441</v>
      </c>
      <c r="AD22" s="34">
        <f t="shared" si="14"/>
        <v>0</v>
      </c>
      <c r="AE22" s="31">
        <f t="shared" si="14"/>
        <v>327.5</v>
      </c>
      <c r="AF22" s="31">
        <f t="shared" si="14"/>
        <v>768.5</v>
      </c>
    </row>
    <row r="23" spans="2:32" ht="23.1" customHeight="1" x14ac:dyDescent="0.25">
      <c r="B23" s="23" t="s">
        <v>50</v>
      </c>
      <c r="C23" s="49">
        <f>AVERAGE('02.08 Kyebando-Mulago'!C23,'29.07 Kyebando-Mulago'!C23,'30.07 -Kyebando-Mulago'!C23,'31.07 Kyebando-Mulago'!C23,'01.08 Kyebando-Mulago-24h'!C23,'03.08 Kyebando-Mulago-24h'!C23,'04.08 Kyebando-Mulago'!C23)</f>
        <v>78.142857142857139</v>
      </c>
      <c r="D23" s="49">
        <f>AVERAGE('02.08 Kyebando-Mulago'!D23,'29.07 Kyebando-Mulago'!D23,'30.07 -Kyebando-Mulago'!D23,'31.07 Kyebando-Mulago'!D23,'01.08 Kyebando-Mulago-24h'!D23,'03.08 Kyebando-Mulago-24h'!D23,'04.08 Kyebando-Mulago'!D23)</f>
        <v>13.428571428571429</v>
      </c>
      <c r="E23" s="49">
        <f>AVERAGE('02.08 Kyebando-Mulago'!E23,'29.07 Kyebando-Mulago'!E23,'30.07 -Kyebando-Mulago'!E23,'31.07 Kyebando-Mulago'!E23,'01.08 Kyebando-Mulago-24h'!E23,'03.08 Kyebando-Mulago-24h'!E23,'04.08 Kyebando-Mulago'!E23)</f>
        <v>8.5714285714285712</v>
      </c>
      <c r="F23" s="49">
        <f>AVERAGE('02.08 Kyebando-Mulago'!F23,'29.07 Kyebando-Mulago'!F23,'30.07 -Kyebando-Mulago'!F23,'31.07 Kyebando-Mulago'!F23,'01.08 Kyebando-Mulago-24h'!F23,'03.08 Kyebando-Mulago-24h'!F23,'04.08 Kyebando-Mulago'!F23)</f>
        <v>10.428571428571429</v>
      </c>
      <c r="G23" s="49">
        <f>AVERAGE('02.08 Kyebando-Mulago'!G23,'29.07 Kyebando-Mulago'!G23,'30.07 -Kyebando-Mulago'!G23,'31.07 Kyebando-Mulago'!G23,'01.08 Kyebando-Mulago-24h'!G23,'03.08 Kyebando-Mulago-24h'!G23,'04.08 Kyebando-Mulago'!G23)</f>
        <v>0.14285714285714285</v>
      </c>
      <c r="H23" s="49">
        <f>AVERAGE('02.08 Kyebando-Mulago'!H23,'29.07 Kyebando-Mulago'!H23,'30.07 -Kyebando-Mulago'!H23,'31.07 Kyebando-Mulago'!H23,'01.08 Kyebando-Mulago-24h'!H23,'03.08 Kyebando-Mulago-24h'!H23,'04.08 Kyebando-Mulago'!H23)</f>
        <v>0.2857142857142857</v>
      </c>
      <c r="I23" s="49">
        <f>AVERAGE('02.08 Kyebando-Mulago'!I23,'29.07 Kyebando-Mulago'!I23,'30.07 -Kyebando-Mulago'!I23,'31.07 Kyebando-Mulago'!I23,'01.08 Kyebando-Mulago-24h'!I23,'03.08 Kyebando-Mulago-24h'!I23,'04.08 Kyebando-Mulago'!I23)</f>
        <v>3.5714285714285716</v>
      </c>
      <c r="J23" s="49">
        <f>AVERAGE('02.08 Kyebando-Mulago'!J23,'29.07 Kyebando-Mulago'!J23,'30.07 -Kyebando-Mulago'!J23,'31.07 Kyebando-Mulago'!J23,'01.08 Kyebando-Mulago-24h'!J23,'03.08 Kyebando-Mulago-24h'!J23,'04.08 Kyebando-Mulago'!J23)</f>
        <v>0.42857142857142855</v>
      </c>
      <c r="K23" s="49">
        <f>AVERAGE('02.08 Kyebando-Mulago'!K23,'29.07 Kyebando-Mulago'!K23,'30.07 -Kyebando-Mulago'!K23,'31.07 Kyebando-Mulago'!K23,'01.08 Kyebando-Mulago-24h'!K23,'03.08 Kyebando-Mulago-24h'!K23,'04.08 Kyebando-Mulago'!K23)</f>
        <v>0</v>
      </c>
      <c r="L23" s="49">
        <f>AVERAGE('02.08 Kyebando-Mulago'!L23,'29.07 Kyebando-Mulago'!L23,'30.07 -Kyebando-Mulago'!L23,'31.07 Kyebando-Mulago'!L23,'01.08 Kyebando-Mulago-24h'!L23,'03.08 Kyebando-Mulago-24h'!L23,'04.08 Kyebando-Mulago'!L23)</f>
        <v>0</v>
      </c>
      <c r="M23" s="49">
        <f>AVERAGE('02.08 Kyebando-Mulago'!M23,'29.07 Kyebando-Mulago'!M23,'30.07 -Kyebando-Mulago'!M23,'31.07 Kyebando-Mulago'!M23,'01.08 Kyebando-Mulago-24h'!M23,'03.08 Kyebando-Mulago-24h'!M23,'04.08 Kyebando-Mulago'!M23)</f>
        <v>98.714285714285708</v>
      </c>
      <c r="N23" s="49">
        <f>AVERAGE('02.08 Kyebando-Mulago'!N23,'29.07 Kyebando-Mulago'!N23,'30.07 -Kyebando-Mulago'!N23,'31.07 Kyebando-Mulago'!N23,'01.08 Kyebando-Mulago-24h'!N23,'03.08 Kyebando-Mulago-24h'!N23,'04.08 Kyebando-Mulago'!N23)</f>
        <v>0</v>
      </c>
      <c r="O23" s="15">
        <f t="shared" si="0"/>
        <v>115</v>
      </c>
      <c r="P23" s="15">
        <f t="shared" si="1"/>
        <v>213.71428571428572</v>
      </c>
      <c r="R23" s="1" t="s">
        <v>147</v>
      </c>
      <c r="S23" s="34">
        <f>SUM(C62:C65)</f>
        <v>193.5</v>
      </c>
      <c r="T23" s="34">
        <f t="shared" ref="T23:AF23" si="15">SUM(D62:D65)</f>
        <v>14.5</v>
      </c>
      <c r="U23" s="34">
        <f t="shared" si="15"/>
        <v>34.5</v>
      </c>
      <c r="V23" s="34">
        <f t="shared" si="15"/>
        <v>44.5</v>
      </c>
      <c r="W23" s="34">
        <f t="shared" si="15"/>
        <v>0.5</v>
      </c>
      <c r="X23" s="34">
        <f t="shared" si="15"/>
        <v>0.5</v>
      </c>
      <c r="Y23" s="34">
        <f t="shared" si="15"/>
        <v>8.5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399</v>
      </c>
      <c r="AD23" s="34">
        <f t="shared" si="15"/>
        <v>0</v>
      </c>
      <c r="AE23" s="31">
        <f t="shared" si="15"/>
        <v>297.5</v>
      </c>
      <c r="AF23" s="31">
        <f t="shared" si="15"/>
        <v>696.5</v>
      </c>
    </row>
    <row r="24" spans="2:32" ht="23.1" customHeight="1" x14ac:dyDescent="0.25">
      <c r="B24" s="23" t="s">
        <v>51</v>
      </c>
      <c r="C24" s="49">
        <f>AVERAGE('02.08 Kyebando-Mulago'!C24,'29.07 Kyebando-Mulago'!C24,'30.07 -Kyebando-Mulago'!C24,'31.07 Kyebando-Mulago'!C24,'01.08 Kyebando-Mulago-24h'!C24,'03.08 Kyebando-Mulago-24h'!C24,'04.08 Kyebando-Mulago'!C24)</f>
        <v>82.428571428571431</v>
      </c>
      <c r="D24" s="49">
        <f>AVERAGE('02.08 Kyebando-Mulago'!D24,'29.07 Kyebando-Mulago'!D24,'30.07 -Kyebando-Mulago'!D24,'31.07 Kyebando-Mulago'!D24,'01.08 Kyebando-Mulago-24h'!D24,'03.08 Kyebando-Mulago-24h'!D24,'04.08 Kyebando-Mulago'!D24)</f>
        <v>13.857142857142858</v>
      </c>
      <c r="E24" s="49">
        <f>AVERAGE('02.08 Kyebando-Mulago'!E24,'29.07 Kyebando-Mulago'!E24,'30.07 -Kyebando-Mulago'!E24,'31.07 Kyebando-Mulago'!E24,'01.08 Kyebando-Mulago-24h'!E24,'03.08 Kyebando-Mulago-24h'!E24,'04.08 Kyebando-Mulago'!E24)</f>
        <v>9</v>
      </c>
      <c r="F24" s="49">
        <f>AVERAGE('02.08 Kyebando-Mulago'!F24,'29.07 Kyebando-Mulago'!F24,'30.07 -Kyebando-Mulago'!F24,'31.07 Kyebando-Mulago'!F24,'01.08 Kyebando-Mulago-24h'!F24,'03.08 Kyebando-Mulago-24h'!F24,'04.08 Kyebando-Mulago'!F24)</f>
        <v>16.285714285714285</v>
      </c>
      <c r="G24" s="49">
        <f>AVERAGE('02.08 Kyebando-Mulago'!G24,'29.07 Kyebando-Mulago'!G24,'30.07 -Kyebando-Mulago'!G24,'31.07 Kyebando-Mulago'!G24,'01.08 Kyebando-Mulago-24h'!G24,'03.08 Kyebando-Mulago-24h'!G24,'04.08 Kyebando-Mulago'!G24)</f>
        <v>0.14285714285714285</v>
      </c>
      <c r="H24" s="49">
        <f>AVERAGE('02.08 Kyebando-Mulago'!H24,'29.07 Kyebando-Mulago'!H24,'30.07 -Kyebando-Mulago'!H24,'31.07 Kyebando-Mulago'!H24,'01.08 Kyebando-Mulago-24h'!H24,'03.08 Kyebando-Mulago-24h'!H24,'04.08 Kyebando-Mulago'!H24)</f>
        <v>0</v>
      </c>
      <c r="I24" s="49">
        <f>AVERAGE('02.08 Kyebando-Mulago'!I24,'29.07 Kyebando-Mulago'!I24,'30.07 -Kyebando-Mulago'!I24,'31.07 Kyebando-Mulago'!I24,'01.08 Kyebando-Mulago-24h'!I24,'03.08 Kyebando-Mulago-24h'!I24,'04.08 Kyebando-Mulago'!I24)</f>
        <v>6.1428571428571432</v>
      </c>
      <c r="J24" s="49">
        <f>AVERAGE('02.08 Kyebando-Mulago'!J24,'29.07 Kyebando-Mulago'!J24,'30.07 -Kyebando-Mulago'!J24,'31.07 Kyebando-Mulago'!J24,'01.08 Kyebando-Mulago-24h'!J24,'03.08 Kyebando-Mulago-24h'!J24,'04.08 Kyebando-Mulago'!J24)</f>
        <v>1</v>
      </c>
      <c r="K24" s="49">
        <f>AVERAGE('02.08 Kyebando-Mulago'!K24,'29.07 Kyebando-Mulago'!K24,'30.07 -Kyebando-Mulago'!K24,'31.07 Kyebando-Mulago'!K24,'01.08 Kyebando-Mulago-24h'!K24,'03.08 Kyebando-Mulago-24h'!K24,'04.08 Kyebando-Mulago'!K24)</f>
        <v>0</v>
      </c>
      <c r="L24" s="49">
        <f>AVERAGE('02.08 Kyebando-Mulago'!L24,'29.07 Kyebando-Mulago'!L24,'30.07 -Kyebando-Mulago'!L24,'31.07 Kyebando-Mulago'!L24,'01.08 Kyebando-Mulago-24h'!L24,'03.08 Kyebando-Mulago-24h'!L24,'04.08 Kyebando-Mulago'!L24)</f>
        <v>0</v>
      </c>
      <c r="M24" s="49">
        <f>AVERAGE('02.08 Kyebando-Mulago'!M24,'29.07 Kyebando-Mulago'!M24,'30.07 -Kyebando-Mulago'!M24,'31.07 Kyebando-Mulago'!M24,'01.08 Kyebando-Mulago-24h'!M24,'03.08 Kyebando-Mulago-24h'!M24,'04.08 Kyebando-Mulago'!M24)</f>
        <v>108.14285714285714</v>
      </c>
      <c r="N24" s="49">
        <f>AVERAGE('02.08 Kyebando-Mulago'!N24,'29.07 Kyebando-Mulago'!N24,'30.07 -Kyebando-Mulago'!N24,'31.07 Kyebando-Mulago'!N24,'01.08 Kyebando-Mulago-24h'!N24,'03.08 Kyebando-Mulago-24h'!N24,'04.08 Kyebando-Mulago'!N24)</f>
        <v>0</v>
      </c>
      <c r="O24" s="15">
        <f t="shared" si="0"/>
        <v>128.85714285714286</v>
      </c>
      <c r="P24" s="15">
        <f t="shared" si="1"/>
        <v>237</v>
      </c>
      <c r="R24" s="1" t="s">
        <v>148</v>
      </c>
      <c r="S24" s="34">
        <f>SUM(C66:C69)</f>
        <v>162</v>
      </c>
      <c r="T24" s="34">
        <f t="shared" ref="T24:AF24" si="16">SUM(D66:D69)</f>
        <v>12</v>
      </c>
      <c r="U24" s="34">
        <f t="shared" si="16"/>
        <v>32.5</v>
      </c>
      <c r="V24" s="34">
        <f t="shared" si="16"/>
        <v>22</v>
      </c>
      <c r="W24" s="34">
        <f t="shared" si="16"/>
        <v>0</v>
      </c>
      <c r="X24" s="34">
        <f t="shared" si="16"/>
        <v>0</v>
      </c>
      <c r="Y24" s="34">
        <f t="shared" si="16"/>
        <v>5.5</v>
      </c>
      <c r="Z24" s="34">
        <f t="shared" si="16"/>
        <v>2</v>
      </c>
      <c r="AA24" s="34">
        <f t="shared" si="16"/>
        <v>0.5</v>
      </c>
      <c r="AB24" s="34">
        <f t="shared" si="16"/>
        <v>0</v>
      </c>
      <c r="AC24" s="34">
        <f t="shared" si="16"/>
        <v>347.5</v>
      </c>
      <c r="AD24" s="34">
        <f t="shared" si="16"/>
        <v>0</v>
      </c>
      <c r="AE24" s="31">
        <f t="shared" si="16"/>
        <v>236.5</v>
      </c>
      <c r="AF24" s="31">
        <f t="shared" si="16"/>
        <v>584</v>
      </c>
    </row>
    <row r="25" spans="2:32" ht="23.1" customHeight="1" x14ac:dyDescent="0.25">
      <c r="B25" s="23" t="s">
        <v>52</v>
      </c>
      <c r="C25" s="49">
        <f>AVERAGE('02.08 Kyebando-Mulago'!C25,'29.07 Kyebando-Mulago'!C25,'30.07 -Kyebando-Mulago'!C25,'31.07 Kyebando-Mulago'!C25,'01.08 Kyebando-Mulago-24h'!C25,'03.08 Kyebando-Mulago-24h'!C25,'04.08 Kyebando-Mulago'!C25)</f>
        <v>74.428571428571431</v>
      </c>
      <c r="D25" s="49">
        <f>AVERAGE('02.08 Kyebando-Mulago'!D25,'29.07 Kyebando-Mulago'!D25,'30.07 -Kyebando-Mulago'!D25,'31.07 Kyebando-Mulago'!D25,'01.08 Kyebando-Mulago-24h'!D25,'03.08 Kyebando-Mulago-24h'!D25,'04.08 Kyebando-Mulago'!D25)</f>
        <v>13.571428571428571</v>
      </c>
      <c r="E25" s="49">
        <f>AVERAGE('02.08 Kyebando-Mulago'!E25,'29.07 Kyebando-Mulago'!E25,'30.07 -Kyebando-Mulago'!E25,'31.07 Kyebando-Mulago'!E25,'01.08 Kyebando-Mulago-24h'!E25,'03.08 Kyebando-Mulago-24h'!E25,'04.08 Kyebando-Mulago'!E25)</f>
        <v>8.8571428571428577</v>
      </c>
      <c r="F25" s="49">
        <f>AVERAGE('02.08 Kyebando-Mulago'!F25,'29.07 Kyebando-Mulago'!F25,'30.07 -Kyebando-Mulago'!F25,'31.07 Kyebando-Mulago'!F25,'01.08 Kyebando-Mulago-24h'!F25,'03.08 Kyebando-Mulago-24h'!F25,'04.08 Kyebando-Mulago'!F25)</f>
        <v>13.142857142857142</v>
      </c>
      <c r="G25" s="49">
        <f>AVERAGE('02.08 Kyebando-Mulago'!G25,'29.07 Kyebando-Mulago'!G25,'30.07 -Kyebando-Mulago'!G25,'31.07 Kyebando-Mulago'!G25,'01.08 Kyebando-Mulago-24h'!G25,'03.08 Kyebando-Mulago-24h'!G25,'04.08 Kyebando-Mulago'!G25)</f>
        <v>0.2857142857142857</v>
      </c>
      <c r="H25" s="49">
        <f>AVERAGE('02.08 Kyebando-Mulago'!H25,'29.07 Kyebando-Mulago'!H25,'30.07 -Kyebando-Mulago'!H25,'31.07 Kyebando-Mulago'!H25,'01.08 Kyebando-Mulago-24h'!H25,'03.08 Kyebando-Mulago-24h'!H25,'04.08 Kyebando-Mulago'!H25)</f>
        <v>0</v>
      </c>
      <c r="I25" s="49">
        <f>AVERAGE('02.08 Kyebando-Mulago'!I25,'29.07 Kyebando-Mulago'!I25,'30.07 -Kyebando-Mulago'!I25,'31.07 Kyebando-Mulago'!I25,'01.08 Kyebando-Mulago-24h'!I25,'03.08 Kyebando-Mulago-24h'!I25,'04.08 Kyebando-Mulago'!I25)</f>
        <v>3.8571428571428572</v>
      </c>
      <c r="J25" s="49">
        <f>AVERAGE('02.08 Kyebando-Mulago'!J25,'29.07 Kyebando-Mulago'!J25,'30.07 -Kyebando-Mulago'!J25,'31.07 Kyebando-Mulago'!J25,'01.08 Kyebando-Mulago-24h'!J25,'03.08 Kyebando-Mulago-24h'!J25,'04.08 Kyebando-Mulago'!J25)</f>
        <v>0</v>
      </c>
      <c r="K25" s="49">
        <f>AVERAGE('02.08 Kyebando-Mulago'!K25,'29.07 Kyebando-Mulago'!K25,'30.07 -Kyebando-Mulago'!K25,'31.07 Kyebando-Mulago'!K25,'01.08 Kyebando-Mulago-24h'!K25,'03.08 Kyebando-Mulago-24h'!K25,'04.08 Kyebando-Mulago'!K25)</f>
        <v>0</v>
      </c>
      <c r="L25" s="49">
        <f>AVERAGE('02.08 Kyebando-Mulago'!L25,'29.07 Kyebando-Mulago'!L25,'30.07 -Kyebando-Mulago'!L25,'31.07 Kyebando-Mulago'!L25,'01.08 Kyebando-Mulago-24h'!L25,'03.08 Kyebando-Mulago-24h'!L25,'04.08 Kyebando-Mulago'!L25)</f>
        <v>0</v>
      </c>
      <c r="M25" s="49">
        <f>AVERAGE('02.08 Kyebando-Mulago'!M25,'29.07 Kyebando-Mulago'!M25,'30.07 -Kyebando-Mulago'!M25,'31.07 Kyebando-Mulago'!M25,'01.08 Kyebando-Mulago-24h'!M25,'03.08 Kyebando-Mulago-24h'!M25,'04.08 Kyebando-Mulago'!M25)</f>
        <v>88.285714285714292</v>
      </c>
      <c r="N25" s="49">
        <f>AVERAGE('02.08 Kyebando-Mulago'!N25,'29.07 Kyebando-Mulago'!N25,'30.07 -Kyebando-Mulago'!N25,'31.07 Kyebando-Mulago'!N25,'01.08 Kyebando-Mulago-24h'!N25,'03.08 Kyebando-Mulago-24h'!N25,'04.08 Kyebando-Mulago'!N25)</f>
        <v>0</v>
      </c>
      <c r="O25" s="15">
        <f t="shared" si="0"/>
        <v>114.14285714285715</v>
      </c>
      <c r="P25" s="15">
        <f t="shared" si="1"/>
        <v>202.42857142857144</v>
      </c>
      <c r="R25" s="1" t="s">
        <v>149</v>
      </c>
      <c r="S25" s="34">
        <f>SUM(C70:C73)</f>
        <v>99.5</v>
      </c>
      <c r="T25" s="34">
        <f t="shared" ref="T25:AF25" si="17">SUM(D70:D73)</f>
        <v>7</v>
      </c>
      <c r="U25" s="34">
        <f t="shared" si="17"/>
        <v>15</v>
      </c>
      <c r="V25" s="34">
        <f t="shared" si="17"/>
        <v>9</v>
      </c>
      <c r="W25" s="34">
        <f t="shared" si="17"/>
        <v>0</v>
      </c>
      <c r="X25" s="34">
        <f t="shared" si="17"/>
        <v>0</v>
      </c>
      <c r="Y25" s="34">
        <f t="shared" si="17"/>
        <v>2.5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223</v>
      </c>
      <c r="AD25" s="34">
        <f t="shared" si="17"/>
        <v>0</v>
      </c>
      <c r="AE25" s="31">
        <f t="shared" si="17"/>
        <v>133</v>
      </c>
      <c r="AF25" s="31">
        <f t="shared" si="17"/>
        <v>356</v>
      </c>
    </row>
    <row r="26" spans="2:32" ht="23.1" customHeight="1" x14ac:dyDescent="0.25">
      <c r="B26" s="23" t="s">
        <v>53</v>
      </c>
      <c r="C26" s="49">
        <f>AVERAGE('02.08 Kyebando-Mulago'!C26,'29.07 Kyebando-Mulago'!C26,'30.07 -Kyebando-Mulago'!C26,'31.07 Kyebando-Mulago'!C26,'01.08 Kyebando-Mulago-24h'!C26,'03.08 Kyebando-Mulago-24h'!C26,'04.08 Kyebando-Mulago'!C26)</f>
        <v>69.285714285714292</v>
      </c>
      <c r="D26" s="49">
        <f>AVERAGE('02.08 Kyebando-Mulago'!D26,'29.07 Kyebando-Mulago'!D26,'30.07 -Kyebando-Mulago'!D26,'31.07 Kyebando-Mulago'!D26,'01.08 Kyebando-Mulago-24h'!D26,'03.08 Kyebando-Mulago-24h'!D26,'04.08 Kyebando-Mulago'!D26)</f>
        <v>18.285714285714285</v>
      </c>
      <c r="E26" s="49">
        <f>AVERAGE('02.08 Kyebando-Mulago'!E26,'29.07 Kyebando-Mulago'!E26,'30.07 -Kyebando-Mulago'!E26,'31.07 Kyebando-Mulago'!E26,'01.08 Kyebando-Mulago-24h'!E26,'03.08 Kyebando-Mulago-24h'!E26,'04.08 Kyebando-Mulago'!E26)</f>
        <v>7.2857142857142856</v>
      </c>
      <c r="F26" s="49">
        <f>AVERAGE('02.08 Kyebando-Mulago'!F26,'29.07 Kyebando-Mulago'!F26,'30.07 -Kyebando-Mulago'!F26,'31.07 Kyebando-Mulago'!F26,'01.08 Kyebando-Mulago-24h'!F26,'03.08 Kyebando-Mulago-24h'!F26,'04.08 Kyebando-Mulago'!F26)</f>
        <v>10.714285714285714</v>
      </c>
      <c r="G26" s="49">
        <f>AVERAGE('02.08 Kyebando-Mulago'!G26,'29.07 Kyebando-Mulago'!G26,'30.07 -Kyebando-Mulago'!G26,'31.07 Kyebando-Mulago'!G26,'01.08 Kyebando-Mulago-24h'!G26,'03.08 Kyebando-Mulago-24h'!G26,'04.08 Kyebando-Mulago'!G26)</f>
        <v>0</v>
      </c>
      <c r="H26" s="49">
        <f>AVERAGE('02.08 Kyebando-Mulago'!H26,'29.07 Kyebando-Mulago'!H26,'30.07 -Kyebando-Mulago'!H26,'31.07 Kyebando-Mulago'!H26,'01.08 Kyebando-Mulago-24h'!H26,'03.08 Kyebando-Mulago-24h'!H26,'04.08 Kyebando-Mulago'!H26)</f>
        <v>0.14285714285714285</v>
      </c>
      <c r="I26" s="49">
        <f>AVERAGE('02.08 Kyebando-Mulago'!I26,'29.07 Kyebando-Mulago'!I26,'30.07 -Kyebando-Mulago'!I26,'31.07 Kyebando-Mulago'!I26,'01.08 Kyebando-Mulago-24h'!I26,'03.08 Kyebando-Mulago-24h'!I26,'04.08 Kyebando-Mulago'!I26)</f>
        <v>3.7142857142857144</v>
      </c>
      <c r="J26" s="49">
        <f>AVERAGE('02.08 Kyebando-Mulago'!J26,'29.07 Kyebando-Mulago'!J26,'30.07 -Kyebando-Mulago'!J26,'31.07 Kyebando-Mulago'!J26,'01.08 Kyebando-Mulago-24h'!J26,'03.08 Kyebando-Mulago-24h'!J26,'04.08 Kyebando-Mulago'!J26)</f>
        <v>0.5714285714285714</v>
      </c>
      <c r="K26" s="49">
        <f>AVERAGE('02.08 Kyebando-Mulago'!K26,'29.07 Kyebando-Mulago'!K26,'30.07 -Kyebando-Mulago'!K26,'31.07 Kyebando-Mulago'!K26,'01.08 Kyebando-Mulago-24h'!K26,'03.08 Kyebando-Mulago-24h'!K26,'04.08 Kyebando-Mulago'!K26)</f>
        <v>0</v>
      </c>
      <c r="L26" s="49">
        <f>AVERAGE('02.08 Kyebando-Mulago'!L26,'29.07 Kyebando-Mulago'!L26,'30.07 -Kyebando-Mulago'!L26,'31.07 Kyebando-Mulago'!L26,'01.08 Kyebando-Mulago-24h'!L26,'03.08 Kyebando-Mulago-24h'!L26,'04.08 Kyebando-Mulago'!L26)</f>
        <v>0</v>
      </c>
      <c r="M26" s="49">
        <f>AVERAGE('02.08 Kyebando-Mulago'!M26,'29.07 Kyebando-Mulago'!M26,'30.07 -Kyebando-Mulago'!M26,'31.07 Kyebando-Mulago'!M26,'01.08 Kyebando-Mulago-24h'!M26,'03.08 Kyebando-Mulago-24h'!M26,'04.08 Kyebando-Mulago'!M26)</f>
        <v>95.857142857142861</v>
      </c>
      <c r="N26" s="49">
        <f>AVERAGE('02.08 Kyebando-Mulago'!N26,'29.07 Kyebando-Mulago'!N26,'30.07 -Kyebando-Mulago'!N26,'31.07 Kyebando-Mulago'!N26,'01.08 Kyebando-Mulago-24h'!N26,'03.08 Kyebando-Mulago-24h'!N26,'04.08 Kyebando-Mulago'!N26)</f>
        <v>0</v>
      </c>
      <c r="O26" s="15">
        <f t="shared" si="0"/>
        <v>110</v>
      </c>
      <c r="P26" s="15">
        <f t="shared" si="1"/>
        <v>205.85714285714286</v>
      </c>
      <c r="R26" s="1" t="s">
        <v>150</v>
      </c>
      <c r="S26" s="34">
        <f>SUM(C74:C77)</f>
        <v>59.5</v>
      </c>
      <c r="T26" s="34">
        <f t="shared" ref="T26:AF26" si="18">SUM(D74:D77)</f>
        <v>3.5</v>
      </c>
      <c r="U26" s="34">
        <f t="shared" si="18"/>
        <v>11</v>
      </c>
      <c r="V26" s="34">
        <f t="shared" si="18"/>
        <v>6</v>
      </c>
      <c r="W26" s="34">
        <f t="shared" si="18"/>
        <v>0</v>
      </c>
      <c r="X26" s="34">
        <f t="shared" si="18"/>
        <v>0</v>
      </c>
      <c r="Y26" s="34">
        <f t="shared" si="18"/>
        <v>1.5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141.5</v>
      </c>
      <c r="AD26" s="34">
        <f t="shared" si="18"/>
        <v>0</v>
      </c>
      <c r="AE26" s="31">
        <f t="shared" si="18"/>
        <v>81.5</v>
      </c>
      <c r="AF26" s="31">
        <f t="shared" si="18"/>
        <v>223</v>
      </c>
    </row>
    <row r="27" spans="2:32" ht="23.1" customHeight="1" x14ac:dyDescent="0.25">
      <c r="B27" s="23" t="s">
        <v>54</v>
      </c>
      <c r="C27" s="49">
        <f>AVERAGE('02.08 Kyebando-Mulago'!C27,'29.07 Kyebando-Mulago'!C27,'30.07 -Kyebando-Mulago'!C27,'31.07 Kyebando-Mulago'!C27,'01.08 Kyebando-Mulago-24h'!C27,'03.08 Kyebando-Mulago-24h'!C27,'04.08 Kyebando-Mulago'!C27)</f>
        <v>61.285714285714285</v>
      </c>
      <c r="D27" s="49">
        <f>AVERAGE('02.08 Kyebando-Mulago'!D27,'29.07 Kyebando-Mulago'!D27,'30.07 -Kyebando-Mulago'!D27,'31.07 Kyebando-Mulago'!D27,'01.08 Kyebando-Mulago-24h'!D27,'03.08 Kyebando-Mulago-24h'!D27,'04.08 Kyebando-Mulago'!D27)</f>
        <v>13</v>
      </c>
      <c r="E27" s="49">
        <f>AVERAGE('02.08 Kyebando-Mulago'!E27,'29.07 Kyebando-Mulago'!E27,'30.07 -Kyebando-Mulago'!E27,'31.07 Kyebando-Mulago'!E27,'01.08 Kyebando-Mulago-24h'!E27,'03.08 Kyebando-Mulago-24h'!E27,'04.08 Kyebando-Mulago'!E27)</f>
        <v>7</v>
      </c>
      <c r="F27" s="49">
        <f>AVERAGE('02.08 Kyebando-Mulago'!F27,'29.07 Kyebando-Mulago'!F27,'30.07 -Kyebando-Mulago'!F27,'31.07 Kyebando-Mulago'!F27,'01.08 Kyebando-Mulago-24h'!F27,'03.08 Kyebando-Mulago-24h'!F27,'04.08 Kyebando-Mulago'!F27)</f>
        <v>12.428571428571429</v>
      </c>
      <c r="G27" s="49">
        <f>AVERAGE('02.08 Kyebando-Mulago'!G27,'29.07 Kyebando-Mulago'!G27,'30.07 -Kyebando-Mulago'!G27,'31.07 Kyebando-Mulago'!G27,'01.08 Kyebando-Mulago-24h'!G27,'03.08 Kyebando-Mulago-24h'!G27,'04.08 Kyebando-Mulago'!G27)</f>
        <v>0</v>
      </c>
      <c r="H27" s="49">
        <f>AVERAGE('02.08 Kyebando-Mulago'!H27,'29.07 Kyebando-Mulago'!H27,'30.07 -Kyebando-Mulago'!H27,'31.07 Kyebando-Mulago'!H27,'01.08 Kyebando-Mulago-24h'!H27,'03.08 Kyebando-Mulago-24h'!H27,'04.08 Kyebando-Mulago'!H27)</f>
        <v>0.14285714285714285</v>
      </c>
      <c r="I27" s="49">
        <f>AVERAGE('02.08 Kyebando-Mulago'!I27,'29.07 Kyebando-Mulago'!I27,'30.07 -Kyebando-Mulago'!I27,'31.07 Kyebando-Mulago'!I27,'01.08 Kyebando-Mulago-24h'!I27,'03.08 Kyebando-Mulago-24h'!I27,'04.08 Kyebando-Mulago'!I27)</f>
        <v>3.8571428571428572</v>
      </c>
      <c r="J27" s="49">
        <f>AVERAGE('02.08 Kyebando-Mulago'!J27,'29.07 Kyebando-Mulago'!J27,'30.07 -Kyebando-Mulago'!J27,'31.07 Kyebando-Mulago'!J27,'01.08 Kyebando-Mulago-24h'!J27,'03.08 Kyebando-Mulago-24h'!J27,'04.08 Kyebando-Mulago'!J27)</f>
        <v>0.8571428571428571</v>
      </c>
      <c r="K27" s="49">
        <f>AVERAGE('02.08 Kyebando-Mulago'!K27,'29.07 Kyebando-Mulago'!K27,'30.07 -Kyebando-Mulago'!K27,'31.07 Kyebando-Mulago'!K27,'01.08 Kyebando-Mulago-24h'!K27,'03.08 Kyebando-Mulago-24h'!K27,'04.08 Kyebando-Mulago'!K27)</f>
        <v>0</v>
      </c>
      <c r="L27" s="49">
        <f>AVERAGE('02.08 Kyebando-Mulago'!L27,'29.07 Kyebando-Mulago'!L27,'30.07 -Kyebando-Mulago'!L27,'31.07 Kyebando-Mulago'!L27,'01.08 Kyebando-Mulago-24h'!L27,'03.08 Kyebando-Mulago-24h'!L27,'04.08 Kyebando-Mulago'!L27)</f>
        <v>0</v>
      </c>
      <c r="M27" s="49">
        <f>AVERAGE('02.08 Kyebando-Mulago'!M27,'29.07 Kyebando-Mulago'!M27,'30.07 -Kyebando-Mulago'!M27,'31.07 Kyebando-Mulago'!M27,'01.08 Kyebando-Mulago-24h'!M27,'03.08 Kyebando-Mulago-24h'!M27,'04.08 Kyebando-Mulago'!M27)</f>
        <v>95.571428571428569</v>
      </c>
      <c r="N27" s="49">
        <f>AVERAGE('02.08 Kyebando-Mulago'!N27,'29.07 Kyebando-Mulago'!N27,'30.07 -Kyebando-Mulago'!N27,'31.07 Kyebando-Mulago'!N27,'01.08 Kyebando-Mulago-24h'!N27,'03.08 Kyebando-Mulago-24h'!N27,'04.08 Kyebando-Mulago'!N27)</f>
        <v>0</v>
      </c>
      <c r="O27" s="15">
        <f t="shared" si="0"/>
        <v>98.571428571428569</v>
      </c>
      <c r="P27" s="15">
        <f t="shared" si="1"/>
        <v>194.14285714285714</v>
      </c>
      <c r="R27" s="1" t="s">
        <v>151</v>
      </c>
      <c r="S27" s="34">
        <f>SUM(C78:C81)</f>
        <v>46</v>
      </c>
      <c r="T27" s="34">
        <f t="shared" ref="T27:AF27" si="19">SUM(D78:D81)</f>
        <v>3</v>
      </c>
      <c r="U27" s="34">
        <f t="shared" si="19"/>
        <v>4.5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79</v>
      </c>
      <c r="AD27" s="34">
        <f t="shared" si="19"/>
        <v>0</v>
      </c>
      <c r="AE27" s="31">
        <f t="shared" si="19"/>
        <v>54</v>
      </c>
      <c r="AF27" s="31">
        <f t="shared" si="19"/>
        <v>133</v>
      </c>
    </row>
    <row r="28" spans="2:32" ht="23.1" customHeight="1" x14ac:dyDescent="0.25">
      <c r="B28" s="23" t="s">
        <v>55</v>
      </c>
      <c r="C28" s="49">
        <f>AVERAGE('02.08 Kyebando-Mulago'!C28,'29.07 Kyebando-Mulago'!C28,'30.07 -Kyebando-Mulago'!C28,'31.07 Kyebando-Mulago'!C28,'01.08 Kyebando-Mulago-24h'!C28,'03.08 Kyebando-Mulago-24h'!C28,'04.08 Kyebando-Mulago'!C28)</f>
        <v>55.142857142857146</v>
      </c>
      <c r="D28" s="49">
        <f>AVERAGE('02.08 Kyebando-Mulago'!D28,'29.07 Kyebando-Mulago'!D28,'30.07 -Kyebando-Mulago'!D28,'31.07 Kyebando-Mulago'!D28,'01.08 Kyebando-Mulago-24h'!D28,'03.08 Kyebando-Mulago-24h'!D28,'04.08 Kyebando-Mulago'!D28)</f>
        <v>13</v>
      </c>
      <c r="E28" s="49">
        <f>AVERAGE('02.08 Kyebando-Mulago'!E28,'29.07 Kyebando-Mulago'!E28,'30.07 -Kyebando-Mulago'!E28,'31.07 Kyebando-Mulago'!E28,'01.08 Kyebando-Mulago-24h'!E28,'03.08 Kyebando-Mulago-24h'!E28,'04.08 Kyebando-Mulago'!E28)</f>
        <v>8.2857142857142865</v>
      </c>
      <c r="F28" s="49">
        <f>AVERAGE('02.08 Kyebando-Mulago'!F28,'29.07 Kyebando-Mulago'!F28,'30.07 -Kyebando-Mulago'!F28,'31.07 Kyebando-Mulago'!F28,'01.08 Kyebando-Mulago-24h'!F28,'03.08 Kyebando-Mulago-24h'!F28,'04.08 Kyebando-Mulago'!F28)</f>
        <v>12.142857142857142</v>
      </c>
      <c r="G28" s="49">
        <f>AVERAGE('02.08 Kyebando-Mulago'!G28,'29.07 Kyebando-Mulago'!G28,'30.07 -Kyebando-Mulago'!G28,'31.07 Kyebando-Mulago'!G28,'01.08 Kyebando-Mulago-24h'!G28,'03.08 Kyebando-Mulago-24h'!G28,'04.08 Kyebando-Mulago'!G28)</f>
        <v>0</v>
      </c>
      <c r="H28" s="49">
        <f>AVERAGE('02.08 Kyebando-Mulago'!H28,'29.07 Kyebando-Mulago'!H28,'30.07 -Kyebando-Mulago'!H28,'31.07 Kyebando-Mulago'!H28,'01.08 Kyebando-Mulago-24h'!H28,'03.08 Kyebando-Mulago-24h'!H28,'04.08 Kyebando-Mulago'!H28)</f>
        <v>0</v>
      </c>
      <c r="I28" s="49">
        <f>AVERAGE('02.08 Kyebando-Mulago'!I28,'29.07 Kyebando-Mulago'!I28,'30.07 -Kyebando-Mulago'!I28,'31.07 Kyebando-Mulago'!I28,'01.08 Kyebando-Mulago-24h'!I28,'03.08 Kyebando-Mulago-24h'!I28,'04.08 Kyebando-Mulago'!I28)</f>
        <v>3.8571428571428572</v>
      </c>
      <c r="J28" s="49">
        <f>AVERAGE('02.08 Kyebando-Mulago'!J28,'29.07 Kyebando-Mulago'!J28,'30.07 -Kyebando-Mulago'!J28,'31.07 Kyebando-Mulago'!J28,'01.08 Kyebando-Mulago-24h'!J28,'03.08 Kyebando-Mulago-24h'!J28,'04.08 Kyebando-Mulago'!J28)</f>
        <v>0.7142857142857143</v>
      </c>
      <c r="K28" s="49">
        <f>AVERAGE('02.08 Kyebando-Mulago'!K28,'29.07 Kyebando-Mulago'!K28,'30.07 -Kyebando-Mulago'!K28,'31.07 Kyebando-Mulago'!K28,'01.08 Kyebando-Mulago-24h'!K28,'03.08 Kyebando-Mulago-24h'!K28,'04.08 Kyebando-Mulago'!K28)</f>
        <v>0</v>
      </c>
      <c r="L28" s="49">
        <f>AVERAGE('02.08 Kyebando-Mulago'!L28,'29.07 Kyebando-Mulago'!L28,'30.07 -Kyebando-Mulago'!L28,'31.07 Kyebando-Mulago'!L28,'01.08 Kyebando-Mulago-24h'!L28,'03.08 Kyebando-Mulago-24h'!L28,'04.08 Kyebando-Mulago'!L28)</f>
        <v>0</v>
      </c>
      <c r="M28" s="49">
        <f>AVERAGE('02.08 Kyebando-Mulago'!M28,'29.07 Kyebando-Mulago'!M28,'30.07 -Kyebando-Mulago'!M28,'31.07 Kyebando-Mulago'!M28,'01.08 Kyebando-Mulago-24h'!M28,'03.08 Kyebando-Mulago-24h'!M28,'04.08 Kyebando-Mulago'!M28)</f>
        <v>88.142857142857139</v>
      </c>
      <c r="N28" s="49">
        <f>AVERAGE('02.08 Kyebando-Mulago'!N28,'29.07 Kyebando-Mulago'!N28,'30.07 -Kyebando-Mulago'!N28,'31.07 Kyebando-Mulago'!N28,'01.08 Kyebando-Mulago-24h'!N28,'03.08 Kyebando-Mulago-24h'!N28,'04.08 Kyebando-Mulago'!N28)</f>
        <v>0</v>
      </c>
      <c r="O28" s="15">
        <f t="shared" si="0"/>
        <v>93.142857142857139</v>
      </c>
      <c r="P28" s="15">
        <f t="shared" si="1"/>
        <v>181.28571428571428</v>
      </c>
      <c r="R28" s="1" t="s">
        <v>152</v>
      </c>
      <c r="S28" s="34">
        <f>SUM(C82:C85)</f>
        <v>35.5</v>
      </c>
      <c r="T28" s="34">
        <f t="shared" ref="T28:AF28" si="20">SUM(D82:D85)</f>
        <v>1</v>
      </c>
      <c r="U28" s="34">
        <f t="shared" si="20"/>
        <v>1.5</v>
      </c>
      <c r="V28" s="34">
        <f t="shared" si="20"/>
        <v>0</v>
      </c>
      <c r="W28" s="34">
        <f t="shared" si="20"/>
        <v>0</v>
      </c>
      <c r="X28" s="34">
        <f t="shared" si="20"/>
        <v>0.5</v>
      </c>
      <c r="Y28" s="34">
        <f t="shared" si="20"/>
        <v>3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48.5</v>
      </c>
      <c r="AD28" s="34">
        <f t="shared" si="20"/>
        <v>0</v>
      </c>
      <c r="AE28" s="31">
        <f t="shared" si="20"/>
        <v>41.5</v>
      </c>
      <c r="AF28" s="31">
        <f t="shared" si="20"/>
        <v>90</v>
      </c>
    </row>
    <row r="29" spans="2:32" ht="23.1" customHeight="1" x14ac:dyDescent="0.25">
      <c r="B29" s="23" t="s">
        <v>56</v>
      </c>
      <c r="C29" s="49">
        <f>AVERAGE('02.08 Kyebando-Mulago'!C29,'29.07 Kyebando-Mulago'!C29,'30.07 -Kyebando-Mulago'!C29,'31.07 Kyebando-Mulago'!C29,'01.08 Kyebando-Mulago-24h'!C29,'03.08 Kyebando-Mulago-24h'!C29,'04.08 Kyebando-Mulago'!C29)</f>
        <v>53.714285714285715</v>
      </c>
      <c r="D29" s="49">
        <f>AVERAGE('02.08 Kyebando-Mulago'!D29,'29.07 Kyebando-Mulago'!D29,'30.07 -Kyebando-Mulago'!D29,'31.07 Kyebando-Mulago'!D29,'01.08 Kyebando-Mulago-24h'!D29,'03.08 Kyebando-Mulago-24h'!D29,'04.08 Kyebando-Mulago'!D29)</f>
        <v>10.285714285714286</v>
      </c>
      <c r="E29" s="49">
        <f>AVERAGE('02.08 Kyebando-Mulago'!E29,'29.07 Kyebando-Mulago'!E29,'30.07 -Kyebando-Mulago'!E29,'31.07 Kyebando-Mulago'!E29,'01.08 Kyebando-Mulago-24h'!E29,'03.08 Kyebando-Mulago-24h'!E29,'04.08 Kyebando-Mulago'!E29)</f>
        <v>5.8571428571428568</v>
      </c>
      <c r="F29" s="49">
        <f>AVERAGE('02.08 Kyebando-Mulago'!F29,'29.07 Kyebando-Mulago'!F29,'30.07 -Kyebando-Mulago'!F29,'31.07 Kyebando-Mulago'!F29,'01.08 Kyebando-Mulago-24h'!F29,'03.08 Kyebando-Mulago-24h'!F29,'04.08 Kyebando-Mulago'!F29)</f>
        <v>9</v>
      </c>
      <c r="G29" s="49">
        <f>AVERAGE('02.08 Kyebando-Mulago'!G29,'29.07 Kyebando-Mulago'!G29,'30.07 -Kyebando-Mulago'!G29,'31.07 Kyebando-Mulago'!G29,'01.08 Kyebando-Mulago-24h'!G29,'03.08 Kyebando-Mulago-24h'!G29,'04.08 Kyebando-Mulago'!G29)</f>
        <v>0</v>
      </c>
      <c r="H29" s="49">
        <f>AVERAGE('02.08 Kyebando-Mulago'!H29,'29.07 Kyebando-Mulago'!H29,'30.07 -Kyebando-Mulago'!H29,'31.07 Kyebando-Mulago'!H29,'01.08 Kyebando-Mulago-24h'!H29,'03.08 Kyebando-Mulago-24h'!H29,'04.08 Kyebando-Mulago'!H29)</f>
        <v>0</v>
      </c>
      <c r="I29" s="49">
        <f>AVERAGE('02.08 Kyebando-Mulago'!I29,'29.07 Kyebando-Mulago'!I29,'30.07 -Kyebando-Mulago'!I29,'31.07 Kyebando-Mulago'!I29,'01.08 Kyebando-Mulago-24h'!I29,'03.08 Kyebando-Mulago-24h'!I29,'04.08 Kyebando-Mulago'!I29)</f>
        <v>3.1428571428571428</v>
      </c>
      <c r="J29" s="49">
        <f>AVERAGE('02.08 Kyebando-Mulago'!J29,'29.07 Kyebando-Mulago'!J29,'30.07 -Kyebando-Mulago'!J29,'31.07 Kyebando-Mulago'!J29,'01.08 Kyebando-Mulago-24h'!J29,'03.08 Kyebando-Mulago-24h'!J29,'04.08 Kyebando-Mulago'!J29)</f>
        <v>0.2857142857142857</v>
      </c>
      <c r="K29" s="49">
        <f>AVERAGE('02.08 Kyebando-Mulago'!K29,'29.07 Kyebando-Mulago'!K29,'30.07 -Kyebando-Mulago'!K29,'31.07 Kyebando-Mulago'!K29,'01.08 Kyebando-Mulago-24h'!K29,'03.08 Kyebando-Mulago-24h'!K29,'04.08 Kyebando-Mulago'!K29)</f>
        <v>0</v>
      </c>
      <c r="L29" s="49">
        <f>AVERAGE('02.08 Kyebando-Mulago'!L29,'29.07 Kyebando-Mulago'!L29,'30.07 -Kyebando-Mulago'!L29,'31.07 Kyebando-Mulago'!L29,'01.08 Kyebando-Mulago-24h'!L29,'03.08 Kyebando-Mulago-24h'!L29,'04.08 Kyebando-Mulago'!L29)</f>
        <v>0</v>
      </c>
      <c r="M29" s="49">
        <f>AVERAGE('02.08 Kyebando-Mulago'!M29,'29.07 Kyebando-Mulago'!M29,'30.07 -Kyebando-Mulago'!M29,'31.07 Kyebando-Mulago'!M29,'01.08 Kyebando-Mulago-24h'!M29,'03.08 Kyebando-Mulago-24h'!M29,'04.08 Kyebando-Mulago'!M29)</f>
        <v>85.857142857142861</v>
      </c>
      <c r="N29" s="49">
        <f>AVERAGE('02.08 Kyebando-Mulago'!N29,'29.07 Kyebando-Mulago'!N29,'30.07 -Kyebando-Mulago'!N29,'31.07 Kyebando-Mulago'!N29,'01.08 Kyebando-Mulago-24h'!N29,'03.08 Kyebando-Mulago-24h'!N29,'04.08 Kyebando-Mulago'!N29)</f>
        <v>0</v>
      </c>
      <c r="O29" s="15">
        <f t="shared" si="0"/>
        <v>82.285714285714292</v>
      </c>
      <c r="P29" s="15">
        <f t="shared" si="1"/>
        <v>168.14285714285717</v>
      </c>
      <c r="R29" s="1" t="s">
        <v>153</v>
      </c>
      <c r="S29" s="34">
        <f>SUM(C86:C89)</f>
        <v>26</v>
      </c>
      <c r="T29" s="34">
        <f t="shared" ref="T29:AF29" si="21">SUM(D86:D89)</f>
        <v>0.5</v>
      </c>
      <c r="U29" s="34">
        <f t="shared" si="21"/>
        <v>3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39.5</v>
      </c>
      <c r="AD29" s="34">
        <f t="shared" si="21"/>
        <v>0</v>
      </c>
      <c r="AE29" s="31">
        <f t="shared" si="21"/>
        <v>30.5</v>
      </c>
      <c r="AF29" s="31">
        <f t="shared" si="21"/>
        <v>70</v>
      </c>
    </row>
    <row r="30" spans="2:32" ht="23.1" customHeight="1" x14ac:dyDescent="0.25">
      <c r="B30" s="23" t="s">
        <v>57</v>
      </c>
      <c r="C30" s="49">
        <f>AVERAGE('02.08 Kyebando-Mulago'!C30,'29.07 Kyebando-Mulago'!C30,'30.07 -Kyebando-Mulago'!C30,'31.07 Kyebando-Mulago'!C30,'01.08 Kyebando-Mulago-24h'!C30,'03.08 Kyebando-Mulago-24h'!C30,'04.08 Kyebando-Mulago'!C30)</f>
        <v>53.714285714285715</v>
      </c>
      <c r="D30" s="49">
        <f>AVERAGE('02.08 Kyebando-Mulago'!D30,'29.07 Kyebando-Mulago'!D30,'30.07 -Kyebando-Mulago'!D30,'31.07 Kyebando-Mulago'!D30,'01.08 Kyebando-Mulago-24h'!D30,'03.08 Kyebando-Mulago-24h'!D30,'04.08 Kyebando-Mulago'!D30)</f>
        <v>13.571428571428571</v>
      </c>
      <c r="E30" s="49">
        <f>AVERAGE('02.08 Kyebando-Mulago'!E30,'29.07 Kyebando-Mulago'!E30,'30.07 -Kyebando-Mulago'!E30,'31.07 Kyebando-Mulago'!E30,'01.08 Kyebando-Mulago-24h'!E30,'03.08 Kyebando-Mulago-24h'!E30,'04.08 Kyebando-Mulago'!E30)</f>
        <v>8.1428571428571423</v>
      </c>
      <c r="F30" s="49">
        <f>AVERAGE('02.08 Kyebando-Mulago'!F30,'29.07 Kyebando-Mulago'!F30,'30.07 -Kyebando-Mulago'!F30,'31.07 Kyebando-Mulago'!F30,'01.08 Kyebando-Mulago-24h'!F30,'03.08 Kyebando-Mulago-24h'!F30,'04.08 Kyebando-Mulago'!F30)</f>
        <v>13.142857142857142</v>
      </c>
      <c r="G30" s="49">
        <f>AVERAGE('02.08 Kyebando-Mulago'!G30,'29.07 Kyebando-Mulago'!G30,'30.07 -Kyebando-Mulago'!G30,'31.07 Kyebando-Mulago'!G30,'01.08 Kyebando-Mulago-24h'!G30,'03.08 Kyebando-Mulago-24h'!G30,'04.08 Kyebando-Mulago'!G30)</f>
        <v>0.14285714285714285</v>
      </c>
      <c r="H30" s="49">
        <f>AVERAGE('02.08 Kyebando-Mulago'!H30,'29.07 Kyebando-Mulago'!H30,'30.07 -Kyebando-Mulago'!H30,'31.07 Kyebando-Mulago'!H30,'01.08 Kyebando-Mulago-24h'!H30,'03.08 Kyebando-Mulago-24h'!H30,'04.08 Kyebando-Mulago'!H30)</f>
        <v>0</v>
      </c>
      <c r="I30" s="49">
        <f>AVERAGE('02.08 Kyebando-Mulago'!I30,'29.07 Kyebando-Mulago'!I30,'30.07 -Kyebando-Mulago'!I30,'31.07 Kyebando-Mulago'!I30,'01.08 Kyebando-Mulago-24h'!I30,'03.08 Kyebando-Mulago-24h'!I30,'04.08 Kyebando-Mulago'!I30)</f>
        <v>4.5714285714285712</v>
      </c>
      <c r="J30" s="49">
        <f>AVERAGE('02.08 Kyebando-Mulago'!J30,'29.07 Kyebando-Mulago'!J30,'30.07 -Kyebando-Mulago'!J30,'31.07 Kyebando-Mulago'!J30,'01.08 Kyebando-Mulago-24h'!J30,'03.08 Kyebando-Mulago-24h'!J30,'04.08 Kyebando-Mulago'!J30)</f>
        <v>1.2857142857142858</v>
      </c>
      <c r="K30" s="49">
        <f>AVERAGE('02.08 Kyebando-Mulago'!K30,'29.07 Kyebando-Mulago'!K30,'30.07 -Kyebando-Mulago'!K30,'31.07 Kyebando-Mulago'!K30,'01.08 Kyebando-Mulago-24h'!K30,'03.08 Kyebando-Mulago-24h'!K30,'04.08 Kyebando-Mulago'!K30)</f>
        <v>0</v>
      </c>
      <c r="L30" s="49">
        <f>AVERAGE('02.08 Kyebando-Mulago'!L30,'29.07 Kyebando-Mulago'!L30,'30.07 -Kyebando-Mulago'!L30,'31.07 Kyebando-Mulago'!L30,'01.08 Kyebando-Mulago-24h'!L30,'03.08 Kyebando-Mulago-24h'!L30,'04.08 Kyebando-Mulago'!L30)</f>
        <v>0</v>
      </c>
      <c r="M30" s="49">
        <f>AVERAGE('02.08 Kyebando-Mulago'!M30,'29.07 Kyebando-Mulago'!M30,'30.07 -Kyebando-Mulago'!M30,'31.07 Kyebando-Mulago'!M30,'01.08 Kyebando-Mulago-24h'!M30,'03.08 Kyebando-Mulago-24h'!M30,'04.08 Kyebando-Mulago'!M30)</f>
        <v>82.714285714285708</v>
      </c>
      <c r="N30" s="49">
        <f>AVERAGE('02.08 Kyebando-Mulago'!N30,'29.07 Kyebando-Mulago'!N30,'30.07 -Kyebando-Mulago'!N30,'31.07 Kyebando-Mulago'!N30,'01.08 Kyebando-Mulago-24h'!N30,'03.08 Kyebando-Mulago-24h'!N30,'04.08 Kyebando-Mulago'!N30)</f>
        <v>0</v>
      </c>
      <c r="O30" s="15">
        <f t="shared" si="0"/>
        <v>94.571428571428569</v>
      </c>
      <c r="P30" s="15">
        <f t="shared" si="1"/>
        <v>177.28571428571428</v>
      </c>
      <c r="R30" s="1" t="s">
        <v>154</v>
      </c>
      <c r="S30" s="34">
        <f>SUM(C90:C93)</f>
        <v>8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23</v>
      </c>
      <c r="AD30" s="34">
        <f t="shared" si="22"/>
        <v>0</v>
      </c>
      <c r="AE30" s="31">
        <f t="shared" si="22"/>
        <v>8</v>
      </c>
      <c r="AF30" s="31">
        <f t="shared" si="22"/>
        <v>31</v>
      </c>
    </row>
    <row r="31" spans="2:32" ht="23.1" customHeight="1" x14ac:dyDescent="0.25">
      <c r="B31" s="24" t="s">
        <v>58</v>
      </c>
      <c r="C31" s="49">
        <f>AVERAGE('02.08 Kyebando-Mulago'!C31,'29.07 Kyebando-Mulago'!C31,'30.07 -Kyebando-Mulago'!C31,'31.07 Kyebando-Mulago'!C31,'01.08 Kyebando-Mulago-24h'!C31,'03.08 Kyebando-Mulago-24h'!C31,'04.08 Kyebando-Mulago'!C31)</f>
        <v>51.142857142857146</v>
      </c>
      <c r="D31" s="49">
        <f>AVERAGE('02.08 Kyebando-Mulago'!D31,'29.07 Kyebando-Mulago'!D31,'30.07 -Kyebando-Mulago'!D31,'31.07 Kyebando-Mulago'!D31,'01.08 Kyebando-Mulago-24h'!D31,'03.08 Kyebando-Mulago-24h'!D31,'04.08 Kyebando-Mulago'!D31)</f>
        <v>10.428571428571429</v>
      </c>
      <c r="E31" s="49">
        <f>AVERAGE('02.08 Kyebando-Mulago'!E31,'29.07 Kyebando-Mulago'!E31,'30.07 -Kyebando-Mulago'!E31,'31.07 Kyebando-Mulago'!E31,'01.08 Kyebando-Mulago-24h'!E31,'03.08 Kyebando-Mulago-24h'!E31,'04.08 Kyebando-Mulago'!E31)</f>
        <v>6.1428571428571432</v>
      </c>
      <c r="F31" s="49">
        <f>AVERAGE('02.08 Kyebando-Mulago'!F31,'29.07 Kyebando-Mulago'!F31,'30.07 -Kyebando-Mulago'!F31,'31.07 Kyebando-Mulago'!F31,'01.08 Kyebando-Mulago-24h'!F31,'03.08 Kyebando-Mulago-24h'!F31,'04.08 Kyebando-Mulago'!F31)</f>
        <v>11.714285714285714</v>
      </c>
      <c r="G31" s="49">
        <f>AVERAGE('02.08 Kyebando-Mulago'!G31,'29.07 Kyebando-Mulago'!G31,'30.07 -Kyebando-Mulago'!G31,'31.07 Kyebando-Mulago'!G31,'01.08 Kyebando-Mulago-24h'!G31,'03.08 Kyebando-Mulago-24h'!G31,'04.08 Kyebando-Mulago'!G31)</f>
        <v>0.14285714285714285</v>
      </c>
      <c r="H31" s="49">
        <f>AVERAGE('02.08 Kyebando-Mulago'!H31,'29.07 Kyebando-Mulago'!H31,'30.07 -Kyebando-Mulago'!H31,'31.07 Kyebando-Mulago'!H31,'01.08 Kyebando-Mulago-24h'!H31,'03.08 Kyebando-Mulago-24h'!H31,'04.08 Kyebando-Mulago'!H31)</f>
        <v>0</v>
      </c>
      <c r="I31" s="49">
        <f>AVERAGE('02.08 Kyebando-Mulago'!I31,'29.07 Kyebando-Mulago'!I31,'30.07 -Kyebando-Mulago'!I31,'31.07 Kyebando-Mulago'!I31,'01.08 Kyebando-Mulago-24h'!I31,'03.08 Kyebando-Mulago-24h'!I31,'04.08 Kyebando-Mulago'!I31)</f>
        <v>3.4285714285714284</v>
      </c>
      <c r="J31" s="49">
        <f>AVERAGE('02.08 Kyebando-Mulago'!J31,'29.07 Kyebando-Mulago'!J31,'30.07 -Kyebando-Mulago'!J31,'31.07 Kyebando-Mulago'!J31,'01.08 Kyebando-Mulago-24h'!J31,'03.08 Kyebando-Mulago-24h'!J31,'04.08 Kyebando-Mulago'!J31)</f>
        <v>0.14285714285714285</v>
      </c>
      <c r="K31" s="49">
        <f>AVERAGE('02.08 Kyebando-Mulago'!K31,'29.07 Kyebando-Mulago'!K31,'30.07 -Kyebando-Mulago'!K31,'31.07 Kyebando-Mulago'!K31,'01.08 Kyebando-Mulago-24h'!K31,'03.08 Kyebando-Mulago-24h'!K31,'04.08 Kyebando-Mulago'!K31)</f>
        <v>0</v>
      </c>
      <c r="L31" s="49">
        <f>AVERAGE('02.08 Kyebando-Mulago'!L31,'29.07 Kyebando-Mulago'!L31,'30.07 -Kyebando-Mulago'!L31,'31.07 Kyebando-Mulago'!L31,'01.08 Kyebando-Mulago-24h'!L31,'03.08 Kyebando-Mulago-24h'!L31,'04.08 Kyebando-Mulago'!L31)</f>
        <v>0</v>
      </c>
      <c r="M31" s="49">
        <f>AVERAGE('02.08 Kyebando-Mulago'!M31,'29.07 Kyebando-Mulago'!M31,'30.07 -Kyebando-Mulago'!M31,'31.07 Kyebando-Mulago'!M31,'01.08 Kyebando-Mulago-24h'!M31,'03.08 Kyebando-Mulago-24h'!M31,'04.08 Kyebando-Mulago'!M31)</f>
        <v>71.571428571428569</v>
      </c>
      <c r="N31" s="49">
        <f>AVERAGE('02.08 Kyebando-Mulago'!N31,'29.07 Kyebando-Mulago'!N31,'30.07 -Kyebando-Mulago'!N31,'31.07 Kyebando-Mulago'!N31,'01.08 Kyebando-Mulago-24h'!N31,'03.08 Kyebando-Mulago-24h'!N31,'04.08 Kyebando-Mulago'!N31)</f>
        <v>0</v>
      </c>
      <c r="O31" s="15">
        <f t="shared" si="0"/>
        <v>83.142857142857139</v>
      </c>
      <c r="P31" s="15">
        <f t="shared" si="1"/>
        <v>154.71428571428572</v>
      </c>
      <c r="R31" s="1" t="s">
        <v>155</v>
      </c>
      <c r="S31" s="34">
        <f>SUM(C94:C97)</f>
        <v>11.5</v>
      </c>
      <c r="T31" s="34">
        <f t="shared" ref="T31:AF31" si="23">SUM(D94:D97)</f>
        <v>0.5</v>
      </c>
      <c r="U31" s="34">
        <f t="shared" si="23"/>
        <v>1.5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0.5</v>
      </c>
      <c r="AB31" s="34">
        <f t="shared" si="23"/>
        <v>0</v>
      </c>
      <c r="AC31" s="34">
        <f t="shared" si="23"/>
        <v>25.5</v>
      </c>
      <c r="AD31" s="34">
        <f t="shared" si="23"/>
        <v>0</v>
      </c>
      <c r="AE31" s="31">
        <f t="shared" si="23"/>
        <v>15.5</v>
      </c>
      <c r="AF31" s="31">
        <f t="shared" si="23"/>
        <v>41</v>
      </c>
    </row>
    <row r="32" spans="2:32" ht="23.1" customHeight="1" x14ac:dyDescent="0.25">
      <c r="B32" s="24" t="s">
        <v>59</v>
      </c>
      <c r="C32" s="49">
        <f>AVERAGE('02.08 Kyebando-Mulago'!C32,'29.07 Kyebando-Mulago'!C32,'30.07 -Kyebando-Mulago'!C32,'31.07 Kyebando-Mulago'!C32,'01.08 Kyebando-Mulago-24h'!C32,'03.08 Kyebando-Mulago-24h'!C32,'04.08 Kyebando-Mulago'!C32)</f>
        <v>49.142857142857146</v>
      </c>
      <c r="D32" s="49">
        <f>AVERAGE('02.08 Kyebando-Mulago'!D32,'29.07 Kyebando-Mulago'!D32,'30.07 -Kyebando-Mulago'!D32,'31.07 Kyebando-Mulago'!D32,'01.08 Kyebando-Mulago-24h'!D32,'03.08 Kyebando-Mulago-24h'!D32,'04.08 Kyebando-Mulago'!D32)</f>
        <v>8.2857142857142865</v>
      </c>
      <c r="E32" s="49">
        <f>AVERAGE('02.08 Kyebando-Mulago'!E32,'29.07 Kyebando-Mulago'!E32,'30.07 -Kyebando-Mulago'!E32,'31.07 Kyebando-Mulago'!E32,'01.08 Kyebando-Mulago-24h'!E32,'03.08 Kyebando-Mulago-24h'!E32,'04.08 Kyebando-Mulago'!E32)</f>
        <v>6</v>
      </c>
      <c r="F32" s="49">
        <f>AVERAGE('02.08 Kyebando-Mulago'!F32,'29.07 Kyebando-Mulago'!F32,'30.07 -Kyebando-Mulago'!F32,'31.07 Kyebando-Mulago'!F32,'01.08 Kyebando-Mulago-24h'!F32,'03.08 Kyebando-Mulago-24h'!F32,'04.08 Kyebando-Mulago'!F32)</f>
        <v>9.5714285714285712</v>
      </c>
      <c r="G32" s="49">
        <f>AVERAGE('02.08 Kyebando-Mulago'!G32,'29.07 Kyebando-Mulago'!G32,'30.07 -Kyebando-Mulago'!G32,'31.07 Kyebando-Mulago'!G32,'01.08 Kyebando-Mulago-24h'!G32,'03.08 Kyebando-Mulago-24h'!G32,'04.08 Kyebando-Mulago'!G32)</f>
        <v>0.14285714285714285</v>
      </c>
      <c r="H32" s="49">
        <f>AVERAGE('02.08 Kyebando-Mulago'!H32,'29.07 Kyebando-Mulago'!H32,'30.07 -Kyebando-Mulago'!H32,'31.07 Kyebando-Mulago'!H32,'01.08 Kyebando-Mulago-24h'!H32,'03.08 Kyebando-Mulago-24h'!H32,'04.08 Kyebando-Mulago'!H32)</f>
        <v>0</v>
      </c>
      <c r="I32" s="49">
        <f>AVERAGE('02.08 Kyebando-Mulago'!I32,'29.07 Kyebando-Mulago'!I32,'30.07 -Kyebando-Mulago'!I32,'31.07 Kyebando-Mulago'!I32,'01.08 Kyebando-Mulago-24h'!I32,'03.08 Kyebando-Mulago-24h'!I32,'04.08 Kyebando-Mulago'!I32)</f>
        <v>4.5714285714285712</v>
      </c>
      <c r="J32" s="49">
        <f>AVERAGE('02.08 Kyebando-Mulago'!J32,'29.07 Kyebando-Mulago'!J32,'30.07 -Kyebando-Mulago'!J32,'31.07 Kyebando-Mulago'!J32,'01.08 Kyebando-Mulago-24h'!J32,'03.08 Kyebando-Mulago-24h'!J32,'04.08 Kyebando-Mulago'!J32)</f>
        <v>1</v>
      </c>
      <c r="K32" s="49">
        <f>AVERAGE('02.08 Kyebando-Mulago'!K32,'29.07 Kyebando-Mulago'!K32,'30.07 -Kyebando-Mulago'!K32,'31.07 Kyebando-Mulago'!K32,'01.08 Kyebando-Mulago-24h'!K32,'03.08 Kyebando-Mulago-24h'!K32,'04.08 Kyebando-Mulago'!K32)</f>
        <v>0</v>
      </c>
      <c r="L32" s="49">
        <f>AVERAGE('02.08 Kyebando-Mulago'!L32,'29.07 Kyebando-Mulago'!L32,'30.07 -Kyebando-Mulago'!L32,'31.07 Kyebando-Mulago'!L32,'01.08 Kyebando-Mulago-24h'!L32,'03.08 Kyebando-Mulago-24h'!L32,'04.08 Kyebando-Mulago'!L32)</f>
        <v>0</v>
      </c>
      <c r="M32" s="49">
        <f>AVERAGE('02.08 Kyebando-Mulago'!M32,'29.07 Kyebando-Mulago'!M32,'30.07 -Kyebando-Mulago'!M32,'31.07 Kyebando-Mulago'!M32,'01.08 Kyebando-Mulago-24h'!M32,'03.08 Kyebando-Mulago-24h'!M32,'04.08 Kyebando-Mulago'!M32)</f>
        <v>82.142857142857139</v>
      </c>
      <c r="N32" s="49">
        <f>AVERAGE('02.08 Kyebando-Mulago'!N32,'29.07 Kyebando-Mulago'!N32,'30.07 -Kyebando-Mulago'!N32,'31.07 Kyebando-Mulago'!N32,'01.08 Kyebando-Mulago-24h'!N32,'03.08 Kyebando-Mulago-24h'!N32,'04.08 Kyebando-Mulago'!N32)</f>
        <v>0</v>
      </c>
      <c r="O32" s="15">
        <f t="shared" si="0"/>
        <v>78.714285714285708</v>
      </c>
      <c r="P32" s="15">
        <f t="shared" si="1"/>
        <v>160.85714285714283</v>
      </c>
      <c r="R32" s="1" t="s">
        <v>156</v>
      </c>
      <c r="S32" s="34">
        <f>SUM(C98:C101)</f>
        <v>38</v>
      </c>
      <c r="T32" s="34">
        <f t="shared" ref="T32:AF32" si="24">SUM(D98:D101)</f>
        <v>1.5</v>
      </c>
      <c r="U32" s="34">
        <f t="shared" si="24"/>
        <v>7.5</v>
      </c>
      <c r="V32" s="34">
        <f t="shared" si="24"/>
        <v>16</v>
      </c>
      <c r="W32" s="34">
        <f t="shared" si="24"/>
        <v>0</v>
      </c>
      <c r="X32" s="34">
        <f t="shared" si="24"/>
        <v>0</v>
      </c>
      <c r="Y32" s="34">
        <f t="shared" si="24"/>
        <v>0.5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80</v>
      </c>
      <c r="AD32" s="34">
        <f t="shared" si="24"/>
        <v>0</v>
      </c>
      <c r="AE32" s="31">
        <f t="shared" si="24"/>
        <v>64</v>
      </c>
      <c r="AF32" s="31">
        <f t="shared" si="24"/>
        <v>144</v>
      </c>
    </row>
    <row r="33" spans="2:32" ht="23.1" customHeight="1" x14ac:dyDescent="0.25">
      <c r="B33" s="23" t="s">
        <v>60</v>
      </c>
      <c r="C33" s="49">
        <f>AVERAGE('02.08 Kyebando-Mulago'!C33,'29.07 Kyebando-Mulago'!C33,'30.07 -Kyebando-Mulago'!C33,'31.07 Kyebando-Mulago'!C33,'01.08 Kyebando-Mulago-24h'!C33,'03.08 Kyebando-Mulago-24h'!C33,'04.08 Kyebando-Mulago'!C33)</f>
        <v>52.285714285714285</v>
      </c>
      <c r="D33" s="49">
        <f>AVERAGE('02.08 Kyebando-Mulago'!D33,'29.07 Kyebando-Mulago'!D33,'30.07 -Kyebando-Mulago'!D33,'31.07 Kyebando-Mulago'!D33,'01.08 Kyebando-Mulago-24h'!D33,'03.08 Kyebando-Mulago-24h'!D33,'04.08 Kyebando-Mulago'!D33)</f>
        <v>9.4285714285714288</v>
      </c>
      <c r="E33" s="49">
        <f>AVERAGE('02.08 Kyebando-Mulago'!E33,'29.07 Kyebando-Mulago'!E33,'30.07 -Kyebando-Mulago'!E33,'31.07 Kyebando-Mulago'!E33,'01.08 Kyebando-Mulago-24h'!E33,'03.08 Kyebando-Mulago-24h'!E33,'04.08 Kyebando-Mulago'!E33)</f>
        <v>4.7142857142857144</v>
      </c>
      <c r="F33" s="49">
        <f>AVERAGE('02.08 Kyebando-Mulago'!F33,'29.07 Kyebando-Mulago'!F33,'30.07 -Kyebando-Mulago'!F33,'31.07 Kyebando-Mulago'!F33,'01.08 Kyebando-Mulago-24h'!F33,'03.08 Kyebando-Mulago-24h'!F33,'04.08 Kyebando-Mulago'!F33)</f>
        <v>9.1428571428571423</v>
      </c>
      <c r="G33" s="49">
        <f>AVERAGE('02.08 Kyebando-Mulago'!G33,'29.07 Kyebando-Mulago'!G33,'30.07 -Kyebando-Mulago'!G33,'31.07 Kyebando-Mulago'!G33,'01.08 Kyebando-Mulago-24h'!G33,'03.08 Kyebando-Mulago-24h'!G33,'04.08 Kyebando-Mulago'!G33)</f>
        <v>0</v>
      </c>
      <c r="H33" s="49">
        <f>AVERAGE('02.08 Kyebando-Mulago'!H33,'29.07 Kyebando-Mulago'!H33,'30.07 -Kyebando-Mulago'!H33,'31.07 Kyebando-Mulago'!H33,'01.08 Kyebando-Mulago-24h'!H33,'03.08 Kyebando-Mulago-24h'!H33,'04.08 Kyebando-Mulago'!H33)</f>
        <v>0.14285714285714285</v>
      </c>
      <c r="I33" s="49">
        <f>AVERAGE('02.08 Kyebando-Mulago'!I33,'29.07 Kyebando-Mulago'!I33,'30.07 -Kyebando-Mulago'!I33,'31.07 Kyebando-Mulago'!I33,'01.08 Kyebando-Mulago-24h'!I33,'03.08 Kyebando-Mulago-24h'!I33,'04.08 Kyebando-Mulago'!I33)</f>
        <v>4</v>
      </c>
      <c r="J33" s="49">
        <f>AVERAGE('02.08 Kyebando-Mulago'!J33,'29.07 Kyebando-Mulago'!J33,'30.07 -Kyebando-Mulago'!J33,'31.07 Kyebando-Mulago'!J33,'01.08 Kyebando-Mulago-24h'!J33,'03.08 Kyebando-Mulago-24h'!J33,'04.08 Kyebando-Mulago'!J33)</f>
        <v>1</v>
      </c>
      <c r="K33" s="49">
        <f>AVERAGE('02.08 Kyebando-Mulago'!K33,'29.07 Kyebando-Mulago'!K33,'30.07 -Kyebando-Mulago'!K33,'31.07 Kyebando-Mulago'!K33,'01.08 Kyebando-Mulago-24h'!K33,'03.08 Kyebando-Mulago-24h'!K33,'04.08 Kyebando-Mulago'!K33)</f>
        <v>0</v>
      </c>
      <c r="L33" s="49">
        <f>AVERAGE('02.08 Kyebando-Mulago'!L33,'29.07 Kyebando-Mulago'!L33,'30.07 -Kyebando-Mulago'!L33,'31.07 Kyebando-Mulago'!L33,'01.08 Kyebando-Mulago-24h'!L33,'03.08 Kyebando-Mulago-24h'!L33,'04.08 Kyebando-Mulago'!L33)</f>
        <v>0</v>
      </c>
      <c r="M33" s="49">
        <f>AVERAGE('02.08 Kyebando-Mulago'!M33,'29.07 Kyebando-Mulago'!M33,'30.07 -Kyebando-Mulago'!M33,'31.07 Kyebando-Mulago'!M33,'01.08 Kyebando-Mulago-24h'!M33,'03.08 Kyebando-Mulago-24h'!M33,'04.08 Kyebando-Mulago'!M33)</f>
        <v>89.571428571428569</v>
      </c>
      <c r="N33" s="49">
        <f>AVERAGE('02.08 Kyebando-Mulago'!N33,'29.07 Kyebando-Mulago'!N33,'30.07 -Kyebando-Mulago'!N33,'31.07 Kyebando-Mulago'!N33,'01.08 Kyebando-Mulago-24h'!N33,'03.08 Kyebando-Mulago-24h'!N33,'04.08 Kyebando-Mulago'!N33)</f>
        <v>0.14285714285714285</v>
      </c>
      <c r="O33" s="15">
        <f t="shared" si="0"/>
        <v>80.857142857142847</v>
      </c>
      <c r="P33" s="15">
        <f t="shared" si="1"/>
        <v>170.42857142857142</v>
      </c>
      <c r="R33" s="1" t="s">
        <v>157</v>
      </c>
      <c r="S33" s="34">
        <f>SUM(C102:C105)</f>
        <v>418.5</v>
      </c>
      <c r="T33" s="34">
        <f t="shared" ref="T33:AF33" si="25">SUM(D102:D105)</f>
        <v>18.5</v>
      </c>
      <c r="U33" s="34">
        <f t="shared" si="25"/>
        <v>27.5</v>
      </c>
      <c r="V33" s="34">
        <f t="shared" si="25"/>
        <v>75</v>
      </c>
      <c r="W33" s="34">
        <f t="shared" si="25"/>
        <v>0.5</v>
      </c>
      <c r="X33" s="34">
        <f t="shared" si="25"/>
        <v>0</v>
      </c>
      <c r="Y33" s="34">
        <f t="shared" si="25"/>
        <v>7.5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135.5</v>
      </c>
      <c r="AD33" s="34">
        <f t="shared" si="25"/>
        <v>0</v>
      </c>
      <c r="AE33" s="31">
        <f t="shared" si="25"/>
        <v>548.5</v>
      </c>
      <c r="AF33" s="31">
        <f t="shared" si="25"/>
        <v>684</v>
      </c>
    </row>
    <row r="34" spans="2:32" ht="23.1" customHeight="1" x14ac:dyDescent="0.25">
      <c r="B34" s="24" t="s">
        <v>61</v>
      </c>
      <c r="C34" s="49">
        <f>AVERAGE('02.08 Kyebando-Mulago'!C34,'29.07 Kyebando-Mulago'!C34,'30.07 -Kyebando-Mulago'!C34,'31.07 Kyebando-Mulago'!C34,'01.08 Kyebando-Mulago-24h'!C34,'03.08 Kyebando-Mulago-24h'!C34,'04.08 Kyebando-Mulago'!C34)</f>
        <v>49.714285714285715</v>
      </c>
      <c r="D34" s="49">
        <f>AVERAGE('02.08 Kyebando-Mulago'!D34,'29.07 Kyebando-Mulago'!D34,'30.07 -Kyebando-Mulago'!D34,'31.07 Kyebando-Mulago'!D34,'01.08 Kyebando-Mulago-24h'!D34,'03.08 Kyebando-Mulago-24h'!D34,'04.08 Kyebando-Mulago'!D34)</f>
        <v>9.5714285714285712</v>
      </c>
      <c r="E34" s="49">
        <f>AVERAGE('02.08 Kyebando-Mulago'!E34,'29.07 Kyebando-Mulago'!E34,'30.07 -Kyebando-Mulago'!E34,'31.07 Kyebando-Mulago'!E34,'01.08 Kyebando-Mulago-24h'!E34,'03.08 Kyebando-Mulago-24h'!E34,'04.08 Kyebando-Mulago'!E34)</f>
        <v>7.8571428571428568</v>
      </c>
      <c r="F34" s="49">
        <f>AVERAGE('02.08 Kyebando-Mulago'!F34,'29.07 Kyebando-Mulago'!F34,'30.07 -Kyebando-Mulago'!F34,'31.07 Kyebando-Mulago'!F34,'01.08 Kyebando-Mulago-24h'!F34,'03.08 Kyebando-Mulago-24h'!F34,'04.08 Kyebando-Mulago'!F34)</f>
        <v>8.5714285714285712</v>
      </c>
      <c r="G34" s="49">
        <f>AVERAGE('02.08 Kyebando-Mulago'!G34,'29.07 Kyebando-Mulago'!G34,'30.07 -Kyebando-Mulago'!G34,'31.07 Kyebando-Mulago'!G34,'01.08 Kyebando-Mulago-24h'!G34,'03.08 Kyebando-Mulago-24h'!G34,'04.08 Kyebando-Mulago'!G34)</f>
        <v>0.14285714285714285</v>
      </c>
      <c r="H34" s="49">
        <f>AVERAGE('02.08 Kyebando-Mulago'!H34,'29.07 Kyebando-Mulago'!H34,'30.07 -Kyebando-Mulago'!H34,'31.07 Kyebando-Mulago'!H34,'01.08 Kyebando-Mulago-24h'!H34,'03.08 Kyebando-Mulago-24h'!H34,'04.08 Kyebando-Mulago'!H34)</f>
        <v>0</v>
      </c>
      <c r="I34" s="49">
        <f>AVERAGE('02.08 Kyebando-Mulago'!I34,'29.07 Kyebando-Mulago'!I34,'30.07 -Kyebando-Mulago'!I34,'31.07 Kyebando-Mulago'!I34,'01.08 Kyebando-Mulago-24h'!I34,'03.08 Kyebando-Mulago-24h'!I34,'04.08 Kyebando-Mulago'!I34)</f>
        <v>4.1428571428571432</v>
      </c>
      <c r="J34" s="49">
        <f>AVERAGE('02.08 Kyebando-Mulago'!J34,'29.07 Kyebando-Mulago'!J34,'30.07 -Kyebando-Mulago'!J34,'31.07 Kyebando-Mulago'!J34,'01.08 Kyebando-Mulago-24h'!J34,'03.08 Kyebando-Mulago-24h'!J34,'04.08 Kyebando-Mulago'!J34)</f>
        <v>1.2857142857142858</v>
      </c>
      <c r="K34" s="49">
        <f>AVERAGE('02.08 Kyebando-Mulago'!K34,'29.07 Kyebando-Mulago'!K34,'30.07 -Kyebando-Mulago'!K34,'31.07 Kyebando-Mulago'!K34,'01.08 Kyebando-Mulago-24h'!K34,'03.08 Kyebando-Mulago-24h'!K34,'04.08 Kyebando-Mulago'!K34)</f>
        <v>0</v>
      </c>
      <c r="L34" s="49">
        <f>AVERAGE('02.08 Kyebando-Mulago'!L34,'29.07 Kyebando-Mulago'!L34,'30.07 -Kyebando-Mulago'!L34,'31.07 Kyebando-Mulago'!L34,'01.08 Kyebando-Mulago-24h'!L34,'03.08 Kyebando-Mulago-24h'!L34,'04.08 Kyebando-Mulago'!L34)</f>
        <v>0</v>
      </c>
      <c r="M34" s="49">
        <f>AVERAGE('02.08 Kyebando-Mulago'!M34,'29.07 Kyebando-Mulago'!M34,'30.07 -Kyebando-Mulago'!M34,'31.07 Kyebando-Mulago'!M34,'01.08 Kyebando-Mulago-24h'!M34,'03.08 Kyebando-Mulago-24h'!M34,'04.08 Kyebando-Mulago'!M34)</f>
        <v>80.428571428571431</v>
      </c>
      <c r="N34" s="49">
        <f>AVERAGE('02.08 Kyebando-Mulago'!N34,'29.07 Kyebando-Mulago'!N34,'30.07 -Kyebando-Mulago'!N34,'31.07 Kyebando-Mulago'!N34,'01.08 Kyebando-Mulago-24h'!N34,'03.08 Kyebando-Mulago-24h'!N34,'04.08 Kyebando-Mulago'!N34)</f>
        <v>0</v>
      </c>
      <c r="O34" s="15">
        <f t="shared" si="0"/>
        <v>81.285714285714278</v>
      </c>
      <c r="P34" s="15">
        <f t="shared" si="1"/>
        <v>161.71428571428572</v>
      </c>
      <c r="R34" s="38" t="s">
        <v>90</v>
      </c>
      <c r="S34" s="39">
        <f t="shared" ref="S34:AF34" si="26">MAX(S10:S12)</f>
        <v>504.28571428571422</v>
      </c>
      <c r="T34" s="39">
        <f t="shared" si="26"/>
        <v>66</v>
      </c>
      <c r="U34" s="39">
        <f t="shared" si="26"/>
        <v>40.857142857142854</v>
      </c>
      <c r="V34" s="39">
        <f t="shared" si="26"/>
        <v>157</v>
      </c>
      <c r="W34" s="39">
        <f t="shared" si="26"/>
        <v>1.5714285714285714</v>
      </c>
      <c r="X34" s="39">
        <f t="shared" si="26"/>
        <v>0.5714285714285714</v>
      </c>
      <c r="Y34" s="39">
        <f t="shared" si="26"/>
        <v>14.571428571428573</v>
      </c>
      <c r="Z34" s="39">
        <f t="shared" si="26"/>
        <v>3.2857142857142856</v>
      </c>
      <c r="AA34" s="39">
        <f t="shared" si="26"/>
        <v>0.14285714285714285</v>
      </c>
      <c r="AB34" s="39">
        <f t="shared" si="26"/>
        <v>0</v>
      </c>
      <c r="AC34" s="39">
        <f t="shared" si="26"/>
        <v>647.28571428571422</v>
      </c>
      <c r="AD34" s="39">
        <f t="shared" si="26"/>
        <v>0</v>
      </c>
      <c r="AE34" s="40">
        <f t="shared" si="26"/>
        <v>780</v>
      </c>
      <c r="AF34" s="40">
        <f t="shared" si="26"/>
        <v>1334.4285714285716</v>
      </c>
    </row>
    <row r="35" spans="2:32" ht="23.1" customHeight="1" x14ac:dyDescent="0.25">
      <c r="B35" s="24" t="s">
        <v>62</v>
      </c>
      <c r="C35" s="49">
        <f>AVERAGE('02.08 Kyebando-Mulago'!C35,'29.07 Kyebando-Mulago'!C35,'30.07 -Kyebando-Mulago'!C35,'31.07 Kyebando-Mulago'!C35,'01.08 Kyebando-Mulago-24h'!C35,'03.08 Kyebando-Mulago-24h'!C35,'04.08 Kyebando-Mulago'!C35)</f>
        <v>45.428571428571431</v>
      </c>
      <c r="D35" s="49">
        <f>AVERAGE('02.08 Kyebando-Mulago'!D35,'29.07 Kyebando-Mulago'!D35,'30.07 -Kyebando-Mulago'!D35,'31.07 Kyebando-Mulago'!D35,'01.08 Kyebando-Mulago-24h'!D35,'03.08 Kyebando-Mulago-24h'!D35,'04.08 Kyebando-Mulago'!D35)</f>
        <v>8.4285714285714288</v>
      </c>
      <c r="E35" s="49">
        <f>AVERAGE('02.08 Kyebando-Mulago'!E35,'29.07 Kyebando-Mulago'!E35,'30.07 -Kyebando-Mulago'!E35,'31.07 Kyebando-Mulago'!E35,'01.08 Kyebando-Mulago-24h'!E35,'03.08 Kyebando-Mulago-24h'!E35,'04.08 Kyebando-Mulago'!E35)</f>
        <v>6</v>
      </c>
      <c r="F35" s="49">
        <f>AVERAGE('02.08 Kyebando-Mulago'!F35,'29.07 Kyebando-Mulago'!F35,'30.07 -Kyebando-Mulago'!F35,'31.07 Kyebando-Mulago'!F35,'01.08 Kyebando-Mulago-24h'!F35,'03.08 Kyebando-Mulago-24h'!F35,'04.08 Kyebando-Mulago'!F35)</f>
        <v>8.7142857142857135</v>
      </c>
      <c r="G35" s="49">
        <f>AVERAGE('02.08 Kyebando-Mulago'!G35,'29.07 Kyebando-Mulago'!G35,'30.07 -Kyebando-Mulago'!G35,'31.07 Kyebando-Mulago'!G35,'01.08 Kyebando-Mulago-24h'!G35,'03.08 Kyebando-Mulago-24h'!G35,'04.08 Kyebando-Mulago'!G35)</f>
        <v>0</v>
      </c>
      <c r="H35" s="49">
        <f>AVERAGE('02.08 Kyebando-Mulago'!H35,'29.07 Kyebando-Mulago'!H35,'30.07 -Kyebando-Mulago'!H35,'31.07 Kyebando-Mulago'!H35,'01.08 Kyebando-Mulago-24h'!H35,'03.08 Kyebando-Mulago-24h'!H35,'04.08 Kyebando-Mulago'!H35)</f>
        <v>0</v>
      </c>
      <c r="I35" s="49">
        <f>AVERAGE('02.08 Kyebando-Mulago'!I35,'29.07 Kyebando-Mulago'!I35,'30.07 -Kyebando-Mulago'!I35,'31.07 Kyebando-Mulago'!I35,'01.08 Kyebando-Mulago-24h'!I35,'03.08 Kyebando-Mulago-24h'!I35,'04.08 Kyebando-Mulago'!I35)</f>
        <v>3</v>
      </c>
      <c r="J35" s="49">
        <f>AVERAGE('02.08 Kyebando-Mulago'!J35,'29.07 Kyebando-Mulago'!J35,'30.07 -Kyebando-Mulago'!J35,'31.07 Kyebando-Mulago'!J35,'01.08 Kyebando-Mulago-24h'!J35,'03.08 Kyebando-Mulago-24h'!J35,'04.08 Kyebando-Mulago'!J35)</f>
        <v>0.2857142857142857</v>
      </c>
      <c r="K35" s="49">
        <f>AVERAGE('02.08 Kyebando-Mulago'!K35,'29.07 Kyebando-Mulago'!K35,'30.07 -Kyebando-Mulago'!K35,'31.07 Kyebando-Mulago'!K35,'01.08 Kyebando-Mulago-24h'!K35,'03.08 Kyebando-Mulago-24h'!K35,'04.08 Kyebando-Mulago'!K35)</f>
        <v>0</v>
      </c>
      <c r="L35" s="49">
        <f>AVERAGE('02.08 Kyebando-Mulago'!L35,'29.07 Kyebando-Mulago'!L35,'30.07 -Kyebando-Mulago'!L35,'31.07 Kyebando-Mulago'!L35,'01.08 Kyebando-Mulago-24h'!L35,'03.08 Kyebando-Mulago-24h'!L35,'04.08 Kyebando-Mulago'!L35)</f>
        <v>0</v>
      </c>
      <c r="M35" s="49">
        <f>AVERAGE('02.08 Kyebando-Mulago'!M35,'29.07 Kyebando-Mulago'!M35,'30.07 -Kyebando-Mulago'!M35,'31.07 Kyebando-Mulago'!M35,'01.08 Kyebando-Mulago-24h'!M35,'03.08 Kyebando-Mulago-24h'!M35,'04.08 Kyebando-Mulago'!M35)</f>
        <v>77</v>
      </c>
      <c r="N35" s="49">
        <f>AVERAGE('02.08 Kyebando-Mulago'!N35,'29.07 Kyebando-Mulago'!N35,'30.07 -Kyebando-Mulago'!N35,'31.07 Kyebando-Mulago'!N35,'01.08 Kyebando-Mulago-24h'!N35,'03.08 Kyebando-Mulago-24h'!N35,'04.08 Kyebando-Mulago'!N35)</f>
        <v>0</v>
      </c>
      <c r="O35" s="15">
        <f t="shared" si="0"/>
        <v>71.857142857142861</v>
      </c>
      <c r="P35" s="15">
        <f t="shared" si="1"/>
        <v>148.85714285714286</v>
      </c>
      <c r="R35" s="38" t="s">
        <v>91</v>
      </c>
      <c r="S35" s="39">
        <f t="shared" ref="S35:AF35" si="27">MAX(S13:S18)</f>
        <v>312.57142857142861</v>
      </c>
      <c r="T35" s="39">
        <f t="shared" si="27"/>
        <v>59</v>
      </c>
      <c r="U35" s="39">
        <f t="shared" si="27"/>
        <v>34.857142857142861</v>
      </c>
      <c r="V35" s="39">
        <f t="shared" si="27"/>
        <v>57.714285714285708</v>
      </c>
      <c r="W35" s="39">
        <f t="shared" si="27"/>
        <v>1</v>
      </c>
      <c r="X35" s="39">
        <f t="shared" si="27"/>
        <v>0.42857142857142855</v>
      </c>
      <c r="Y35" s="39">
        <f t="shared" si="27"/>
        <v>16.571428571428573</v>
      </c>
      <c r="Z35" s="39">
        <f t="shared" si="27"/>
        <v>3.4285714285714288</v>
      </c>
      <c r="AA35" s="39">
        <f t="shared" si="27"/>
        <v>0.14285714285714285</v>
      </c>
      <c r="AB35" s="39">
        <f t="shared" si="27"/>
        <v>0</v>
      </c>
      <c r="AC35" s="39">
        <f t="shared" si="27"/>
        <v>407.42857142857139</v>
      </c>
      <c r="AD35" s="39">
        <f t="shared" si="27"/>
        <v>0.14285714285714285</v>
      </c>
      <c r="AE35" s="40">
        <f t="shared" si="27"/>
        <v>483.85714285714289</v>
      </c>
      <c r="AF35" s="40">
        <f t="shared" si="27"/>
        <v>891.28571428571433</v>
      </c>
    </row>
    <row r="36" spans="2:32" ht="23.1" customHeight="1" x14ac:dyDescent="0.25">
      <c r="B36" s="24" t="s">
        <v>63</v>
      </c>
      <c r="C36" s="49">
        <f>AVERAGE('02.08 Kyebando-Mulago'!C36,'29.07 Kyebando-Mulago'!C36,'30.07 -Kyebando-Mulago'!C36,'31.07 Kyebando-Mulago'!C36,'01.08 Kyebando-Mulago-24h'!C36,'03.08 Kyebando-Mulago-24h'!C36,'04.08 Kyebando-Mulago'!C36)</f>
        <v>44</v>
      </c>
      <c r="D36" s="49">
        <f>AVERAGE('02.08 Kyebando-Mulago'!D36,'29.07 Kyebando-Mulago'!D36,'30.07 -Kyebando-Mulago'!D36,'31.07 Kyebando-Mulago'!D36,'01.08 Kyebando-Mulago-24h'!D36,'03.08 Kyebando-Mulago-24h'!D36,'04.08 Kyebando-Mulago'!D36)</f>
        <v>9</v>
      </c>
      <c r="E36" s="49">
        <f>AVERAGE('02.08 Kyebando-Mulago'!E36,'29.07 Kyebando-Mulago'!E36,'30.07 -Kyebando-Mulago'!E36,'31.07 Kyebando-Mulago'!E36,'01.08 Kyebando-Mulago-24h'!E36,'03.08 Kyebando-Mulago-24h'!E36,'04.08 Kyebando-Mulago'!E36)</f>
        <v>5.7142857142857144</v>
      </c>
      <c r="F36" s="49">
        <f>AVERAGE('02.08 Kyebando-Mulago'!F36,'29.07 Kyebando-Mulago'!F36,'30.07 -Kyebando-Mulago'!F36,'31.07 Kyebando-Mulago'!F36,'01.08 Kyebando-Mulago-24h'!F36,'03.08 Kyebando-Mulago-24h'!F36,'04.08 Kyebando-Mulago'!F36)</f>
        <v>9.2857142857142865</v>
      </c>
      <c r="G36" s="49">
        <f>AVERAGE('02.08 Kyebando-Mulago'!G36,'29.07 Kyebando-Mulago'!G36,'30.07 -Kyebando-Mulago'!G36,'31.07 Kyebando-Mulago'!G36,'01.08 Kyebando-Mulago-24h'!G36,'03.08 Kyebando-Mulago-24h'!G36,'04.08 Kyebando-Mulago'!G36)</f>
        <v>0</v>
      </c>
      <c r="H36" s="49">
        <f>AVERAGE('02.08 Kyebando-Mulago'!H36,'29.07 Kyebando-Mulago'!H36,'30.07 -Kyebando-Mulago'!H36,'31.07 Kyebando-Mulago'!H36,'01.08 Kyebando-Mulago-24h'!H36,'03.08 Kyebando-Mulago-24h'!H36,'04.08 Kyebando-Mulago'!H36)</f>
        <v>0</v>
      </c>
      <c r="I36" s="49">
        <f>AVERAGE('02.08 Kyebando-Mulago'!I36,'29.07 Kyebando-Mulago'!I36,'30.07 -Kyebando-Mulago'!I36,'31.07 Kyebando-Mulago'!I36,'01.08 Kyebando-Mulago-24h'!I36,'03.08 Kyebando-Mulago-24h'!I36,'04.08 Kyebando-Mulago'!I36)</f>
        <v>5</v>
      </c>
      <c r="J36" s="49">
        <f>AVERAGE('02.08 Kyebando-Mulago'!J36,'29.07 Kyebando-Mulago'!J36,'30.07 -Kyebando-Mulago'!J36,'31.07 Kyebando-Mulago'!J36,'01.08 Kyebando-Mulago-24h'!J36,'03.08 Kyebando-Mulago-24h'!J36,'04.08 Kyebando-Mulago'!J36)</f>
        <v>1</v>
      </c>
      <c r="K36" s="49">
        <f>AVERAGE('02.08 Kyebando-Mulago'!K36,'29.07 Kyebando-Mulago'!K36,'30.07 -Kyebando-Mulago'!K36,'31.07 Kyebando-Mulago'!K36,'01.08 Kyebando-Mulago-24h'!K36,'03.08 Kyebando-Mulago-24h'!K36,'04.08 Kyebando-Mulago'!K36)</f>
        <v>0.14285714285714285</v>
      </c>
      <c r="L36" s="49">
        <f>AVERAGE('02.08 Kyebando-Mulago'!L36,'29.07 Kyebando-Mulago'!L36,'30.07 -Kyebando-Mulago'!L36,'31.07 Kyebando-Mulago'!L36,'01.08 Kyebando-Mulago-24h'!L36,'03.08 Kyebando-Mulago-24h'!L36,'04.08 Kyebando-Mulago'!L36)</f>
        <v>0</v>
      </c>
      <c r="M36" s="49">
        <f>AVERAGE('02.08 Kyebando-Mulago'!M36,'29.07 Kyebando-Mulago'!M36,'30.07 -Kyebando-Mulago'!M36,'31.07 Kyebando-Mulago'!M36,'01.08 Kyebando-Mulago-24h'!M36,'03.08 Kyebando-Mulago-24h'!M36,'04.08 Kyebando-Mulago'!M36)</f>
        <v>89.428571428571431</v>
      </c>
      <c r="N36" s="49">
        <f>AVERAGE('02.08 Kyebando-Mulago'!N36,'29.07 Kyebando-Mulago'!N36,'30.07 -Kyebando-Mulago'!N36,'31.07 Kyebando-Mulago'!N36,'01.08 Kyebando-Mulago-24h'!N36,'03.08 Kyebando-Mulago-24h'!N36,'04.08 Kyebando-Mulago'!N36)</f>
        <v>0</v>
      </c>
      <c r="O36" s="15">
        <f t="shared" si="0"/>
        <v>74.142857142857139</v>
      </c>
      <c r="P36" s="15">
        <f t="shared" si="1"/>
        <v>163.57142857142856</v>
      </c>
      <c r="R36" s="38" t="s">
        <v>92</v>
      </c>
      <c r="S36" s="39">
        <f t="shared" ref="S36:AF36" si="28">MAX(S19:S21)</f>
        <v>188</v>
      </c>
      <c r="T36" s="39">
        <f t="shared" si="28"/>
        <v>37.714285714285715</v>
      </c>
      <c r="U36" s="39">
        <f t="shared" si="28"/>
        <v>26.857142857142858</v>
      </c>
      <c r="V36" s="39">
        <f t="shared" si="28"/>
        <v>39.142857142857146</v>
      </c>
      <c r="W36" s="39">
        <f t="shared" si="28"/>
        <v>1.5714285714285714</v>
      </c>
      <c r="X36" s="39">
        <f t="shared" si="28"/>
        <v>0.2857142857142857</v>
      </c>
      <c r="Y36" s="39">
        <f t="shared" si="28"/>
        <v>13.428571428571427</v>
      </c>
      <c r="Z36" s="39">
        <f t="shared" si="28"/>
        <v>2.7142857142857144</v>
      </c>
      <c r="AA36" s="39">
        <f t="shared" si="28"/>
        <v>0.5714285714285714</v>
      </c>
      <c r="AB36" s="39">
        <f t="shared" si="28"/>
        <v>0</v>
      </c>
      <c r="AC36" s="39">
        <f t="shared" si="28"/>
        <v>421.14285714285711</v>
      </c>
      <c r="AD36" s="39">
        <f t="shared" si="28"/>
        <v>0</v>
      </c>
      <c r="AE36" s="40">
        <f t="shared" si="28"/>
        <v>299.42857142857144</v>
      </c>
      <c r="AF36" s="40">
        <f t="shared" si="28"/>
        <v>720.14285714285722</v>
      </c>
    </row>
    <row r="37" spans="2:32" ht="23.1" customHeight="1" x14ac:dyDescent="0.25">
      <c r="B37" s="23" t="s">
        <v>64</v>
      </c>
      <c r="C37" s="49">
        <f>AVERAGE('02.08 Kyebando-Mulago'!C37,'29.07 Kyebando-Mulago'!C37,'30.07 -Kyebando-Mulago'!C37,'31.07 Kyebando-Mulago'!C37,'01.08 Kyebando-Mulago-24h'!C37,'03.08 Kyebando-Mulago-24h'!C37,'04.08 Kyebando-Mulago'!C37)</f>
        <v>46.714285714285715</v>
      </c>
      <c r="D37" s="49">
        <f>AVERAGE('02.08 Kyebando-Mulago'!D37,'29.07 Kyebando-Mulago'!D37,'30.07 -Kyebando-Mulago'!D37,'31.07 Kyebando-Mulago'!D37,'01.08 Kyebando-Mulago-24h'!D37,'03.08 Kyebando-Mulago-24h'!D37,'04.08 Kyebando-Mulago'!D37)</f>
        <v>7.7142857142857144</v>
      </c>
      <c r="E37" s="49">
        <f>AVERAGE('02.08 Kyebando-Mulago'!E37,'29.07 Kyebando-Mulago'!E37,'30.07 -Kyebando-Mulago'!E37,'31.07 Kyebando-Mulago'!E37,'01.08 Kyebando-Mulago-24h'!E37,'03.08 Kyebando-Mulago-24h'!E37,'04.08 Kyebando-Mulago'!E37)</f>
        <v>4.5714285714285712</v>
      </c>
      <c r="F37" s="49">
        <f>AVERAGE('02.08 Kyebando-Mulago'!F37,'29.07 Kyebando-Mulago'!F37,'30.07 -Kyebando-Mulago'!F37,'31.07 Kyebando-Mulago'!F37,'01.08 Kyebando-Mulago-24h'!F37,'03.08 Kyebando-Mulago-24h'!F37,'04.08 Kyebando-Mulago'!F37)</f>
        <v>10.428571428571429</v>
      </c>
      <c r="G37" s="49">
        <f>AVERAGE('02.08 Kyebando-Mulago'!G37,'29.07 Kyebando-Mulago'!G37,'30.07 -Kyebando-Mulago'!G37,'31.07 Kyebando-Mulago'!G37,'01.08 Kyebando-Mulago-24h'!G37,'03.08 Kyebando-Mulago-24h'!G37,'04.08 Kyebando-Mulago'!G37)</f>
        <v>0.14285714285714285</v>
      </c>
      <c r="H37" s="49">
        <f>AVERAGE('02.08 Kyebando-Mulago'!H37,'29.07 Kyebando-Mulago'!H37,'30.07 -Kyebando-Mulago'!H37,'31.07 Kyebando-Mulago'!H37,'01.08 Kyebando-Mulago-24h'!H37,'03.08 Kyebando-Mulago-24h'!H37,'04.08 Kyebando-Mulago'!H37)</f>
        <v>0</v>
      </c>
      <c r="I37" s="49">
        <f>AVERAGE('02.08 Kyebando-Mulago'!I37,'29.07 Kyebando-Mulago'!I37,'30.07 -Kyebando-Mulago'!I37,'31.07 Kyebando-Mulago'!I37,'01.08 Kyebando-Mulago-24h'!I37,'03.08 Kyebando-Mulago-24h'!I37,'04.08 Kyebando-Mulago'!I37)</f>
        <v>3</v>
      </c>
      <c r="J37" s="49">
        <f>AVERAGE('02.08 Kyebando-Mulago'!J37,'29.07 Kyebando-Mulago'!J37,'30.07 -Kyebando-Mulago'!J37,'31.07 Kyebando-Mulago'!J37,'01.08 Kyebando-Mulago-24h'!J37,'03.08 Kyebando-Mulago-24h'!J37,'04.08 Kyebando-Mulago'!J37)</f>
        <v>0.42857142857142855</v>
      </c>
      <c r="K37" s="49">
        <f>AVERAGE('02.08 Kyebando-Mulago'!K37,'29.07 Kyebando-Mulago'!K37,'30.07 -Kyebando-Mulago'!K37,'31.07 Kyebando-Mulago'!K37,'01.08 Kyebando-Mulago-24h'!K37,'03.08 Kyebando-Mulago-24h'!K37,'04.08 Kyebando-Mulago'!K37)</f>
        <v>0</v>
      </c>
      <c r="L37" s="49">
        <f>AVERAGE('02.08 Kyebando-Mulago'!L37,'29.07 Kyebando-Mulago'!L37,'30.07 -Kyebando-Mulago'!L37,'31.07 Kyebando-Mulago'!L37,'01.08 Kyebando-Mulago-24h'!L37,'03.08 Kyebando-Mulago-24h'!L37,'04.08 Kyebando-Mulago'!L37)</f>
        <v>0</v>
      </c>
      <c r="M37" s="49">
        <f>AVERAGE('02.08 Kyebando-Mulago'!M37,'29.07 Kyebando-Mulago'!M37,'30.07 -Kyebando-Mulago'!M37,'31.07 Kyebando-Mulago'!M37,'01.08 Kyebando-Mulago-24h'!M37,'03.08 Kyebando-Mulago-24h'!M37,'04.08 Kyebando-Mulago'!M37)</f>
        <v>78.428571428571431</v>
      </c>
      <c r="N37" s="49">
        <f>AVERAGE('02.08 Kyebando-Mulago'!N37,'29.07 Kyebando-Mulago'!N37,'30.07 -Kyebando-Mulago'!N37,'31.07 Kyebando-Mulago'!N37,'01.08 Kyebando-Mulago-24h'!N37,'03.08 Kyebando-Mulago-24h'!N37,'04.08 Kyebando-Mulago'!N37)</f>
        <v>0</v>
      </c>
      <c r="O37" s="15">
        <f t="shared" si="0"/>
        <v>73</v>
      </c>
      <c r="P37" s="15">
        <f t="shared" si="1"/>
        <v>151.42857142857144</v>
      </c>
      <c r="R37" s="37" t="s">
        <v>85</v>
      </c>
      <c r="S37" s="35">
        <f t="shared" ref="S37:AF37" si="29">SUM(S10:S12)</f>
        <v>1255.2857142857142</v>
      </c>
      <c r="T37" s="16">
        <f t="shared" si="29"/>
        <v>182.42857142857142</v>
      </c>
      <c r="U37" s="16">
        <f t="shared" si="29"/>
        <v>119.28571428571428</v>
      </c>
      <c r="V37" s="16">
        <f t="shared" si="29"/>
        <v>395.85714285714289</v>
      </c>
      <c r="W37" s="16">
        <f t="shared" si="29"/>
        <v>3.2857142857142856</v>
      </c>
      <c r="X37" s="16">
        <f t="shared" si="29"/>
        <v>0.5714285714285714</v>
      </c>
      <c r="Y37" s="16">
        <f t="shared" si="29"/>
        <v>39.857142857142861</v>
      </c>
      <c r="Z37" s="16">
        <f t="shared" si="29"/>
        <v>6.4285714285714279</v>
      </c>
      <c r="AA37" s="16">
        <f t="shared" si="29"/>
        <v>0.14285714285714285</v>
      </c>
      <c r="AB37" s="16">
        <f t="shared" si="29"/>
        <v>0</v>
      </c>
      <c r="AC37" s="16">
        <f t="shared" si="29"/>
        <v>1626</v>
      </c>
      <c r="AD37" s="16">
        <f t="shared" si="29"/>
        <v>0</v>
      </c>
      <c r="AE37" s="32">
        <f t="shared" si="29"/>
        <v>2003.1428571428573</v>
      </c>
      <c r="AF37" s="32">
        <f t="shared" si="29"/>
        <v>3629.1428571428569</v>
      </c>
    </row>
    <row r="38" spans="2:32" ht="23.1" customHeight="1" x14ac:dyDescent="0.25">
      <c r="B38" s="24" t="s">
        <v>65</v>
      </c>
      <c r="C38" s="49">
        <f>AVERAGE('02.08 Kyebando-Mulago'!C38,'29.07 Kyebando-Mulago'!C38,'30.07 -Kyebando-Mulago'!C38,'31.07 Kyebando-Mulago'!C38,'01.08 Kyebando-Mulago-24h'!C38,'03.08 Kyebando-Mulago-24h'!C38,'04.08 Kyebando-Mulago'!C38)</f>
        <v>43.428571428571431</v>
      </c>
      <c r="D38" s="49">
        <f>AVERAGE('02.08 Kyebando-Mulago'!D38,'29.07 Kyebando-Mulago'!D38,'30.07 -Kyebando-Mulago'!D38,'31.07 Kyebando-Mulago'!D38,'01.08 Kyebando-Mulago-24h'!D38,'03.08 Kyebando-Mulago-24h'!D38,'04.08 Kyebando-Mulago'!D38)</f>
        <v>9.2857142857142865</v>
      </c>
      <c r="E38" s="49">
        <f>AVERAGE('02.08 Kyebando-Mulago'!E38,'29.07 Kyebando-Mulago'!E38,'30.07 -Kyebando-Mulago'!E38,'31.07 Kyebando-Mulago'!E38,'01.08 Kyebando-Mulago-24h'!E38,'03.08 Kyebando-Mulago-24h'!E38,'04.08 Kyebando-Mulago'!E38)</f>
        <v>5</v>
      </c>
      <c r="F38" s="49">
        <f>AVERAGE('02.08 Kyebando-Mulago'!F38,'29.07 Kyebando-Mulago'!F38,'30.07 -Kyebando-Mulago'!F38,'31.07 Kyebando-Mulago'!F38,'01.08 Kyebando-Mulago-24h'!F38,'03.08 Kyebando-Mulago-24h'!F38,'04.08 Kyebando-Mulago'!F38)</f>
        <v>6.8571428571428568</v>
      </c>
      <c r="G38" s="49">
        <f>AVERAGE('02.08 Kyebando-Mulago'!G38,'29.07 Kyebando-Mulago'!G38,'30.07 -Kyebando-Mulago'!G38,'31.07 Kyebando-Mulago'!G38,'01.08 Kyebando-Mulago-24h'!G38,'03.08 Kyebando-Mulago-24h'!G38,'04.08 Kyebando-Mulago'!G38)</f>
        <v>0.14285714285714285</v>
      </c>
      <c r="H38" s="49">
        <f>AVERAGE('02.08 Kyebando-Mulago'!H38,'29.07 Kyebando-Mulago'!H38,'30.07 -Kyebando-Mulago'!H38,'31.07 Kyebando-Mulago'!H38,'01.08 Kyebando-Mulago-24h'!H38,'03.08 Kyebando-Mulago-24h'!H38,'04.08 Kyebando-Mulago'!H38)</f>
        <v>0</v>
      </c>
      <c r="I38" s="49">
        <f>AVERAGE('02.08 Kyebando-Mulago'!I38,'29.07 Kyebando-Mulago'!I38,'30.07 -Kyebando-Mulago'!I38,'31.07 Kyebando-Mulago'!I38,'01.08 Kyebando-Mulago-24h'!I38,'03.08 Kyebando-Mulago-24h'!I38,'04.08 Kyebando-Mulago'!I38)</f>
        <v>3.4285714285714284</v>
      </c>
      <c r="J38" s="49">
        <f>AVERAGE('02.08 Kyebando-Mulago'!J38,'29.07 Kyebando-Mulago'!J38,'30.07 -Kyebando-Mulago'!J38,'31.07 Kyebando-Mulago'!J38,'01.08 Kyebando-Mulago-24h'!J38,'03.08 Kyebando-Mulago-24h'!J38,'04.08 Kyebando-Mulago'!J38)</f>
        <v>0.8571428571428571</v>
      </c>
      <c r="K38" s="49">
        <f>AVERAGE('02.08 Kyebando-Mulago'!K38,'29.07 Kyebando-Mulago'!K38,'30.07 -Kyebando-Mulago'!K38,'31.07 Kyebando-Mulago'!K38,'01.08 Kyebando-Mulago-24h'!K38,'03.08 Kyebando-Mulago-24h'!K38,'04.08 Kyebando-Mulago'!K38)</f>
        <v>0</v>
      </c>
      <c r="L38" s="49">
        <f>AVERAGE('02.08 Kyebando-Mulago'!L38,'29.07 Kyebando-Mulago'!L38,'30.07 -Kyebando-Mulago'!L38,'31.07 Kyebando-Mulago'!L38,'01.08 Kyebando-Mulago-24h'!L38,'03.08 Kyebando-Mulago-24h'!L38,'04.08 Kyebando-Mulago'!L38)</f>
        <v>0</v>
      </c>
      <c r="M38" s="49">
        <f>AVERAGE('02.08 Kyebando-Mulago'!M38,'29.07 Kyebando-Mulago'!M38,'30.07 -Kyebando-Mulago'!M38,'31.07 Kyebando-Mulago'!M38,'01.08 Kyebando-Mulago-24h'!M38,'03.08 Kyebando-Mulago-24h'!M38,'04.08 Kyebando-Mulago'!M38)</f>
        <v>85.285714285714292</v>
      </c>
      <c r="N38" s="49">
        <f>AVERAGE('02.08 Kyebando-Mulago'!N38,'29.07 Kyebando-Mulago'!N38,'30.07 -Kyebando-Mulago'!N38,'31.07 Kyebando-Mulago'!N38,'01.08 Kyebando-Mulago-24h'!N38,'03.08 Kyebando-Mulago-24h'!N38,'04.08 Kyebando-Mulago'!N38)</f>
        <v>0</v>
      </c>
      <c r="O38" s="15">
        <f t="shared" si="0"/>
        <v>69</v>
      </c>
      <c r="P38" s="15">
        <f t="shared" si="1"/>
        <v>154.28571428571428</v>
      </c>
      <c r="R38" s="28" t="s">
        <v>86</v>
      </c>
      <c r="S38" s="16">
        <f t="shared" ref="S38:AF38" si="30">SUM(S13:S18)</f>
        <v>1298.2857142857142</v>
      </c>
      <c r="T38" s="16">
        <f t="shared" si="30"/>
        <v>252</v>
      </c>
      <c r="U38" s="16">
        <f t="shared" si="30"/>
        <v>161.00000000000003</v>
      </c>
      <c r="V38" s="16">
        <f t="shared" si="30"/>
        <v>249.42857142857142</v>
      </c>
      <c r="W38" s="16">
        <f t="shared" si="30"/>
        <v>2.8571428571428568</v>
      </c>
      <c r="X38" s="16">
        <f t="shared" si="30"/>
        <v>0.99999999999999978</v>
      </c>
      <c r="Y38" s="16">
        <f t="shared" si="30"/>
        <v>88.571428571428569</v>
      </c>
      <c r="Z38" s="16">
        <f t="shared" si="30"/>
        <v>15</v>
      </c>
      <c r="AA38" s="16">
        <f t="shared" si="30"/>
        <v>0.14285714285714285</v>
      </c>
      <c r="AB38" s="16">
        <f t="shared" si="30"/>
        <v>0</v>
      </c>
      <c r="AC38" s="16">
        <f t="shared" si="30"/>
        <v>2085.1428571428573</v>
      </c>
      <c r="AD38" s="16">
        <f t="shared" si="30"/>
        <v>0.14285714285714285</v>
      </c>
      <c r="AE38" s="32">
        <f t="shared" si="30"/>
        <v>2068.4285714285711</v>
      </c>
      <c r="AF38" s="32">
        <f t="shared" si="30"/>
        <v>4153.5714285714284</v>
      </c>
    </row>
    <row r="39" spans="2:32" ht="23.1" customHeight="1" x14ac:dyDescent="0.25">
      <c r="B39" s="24" t="s">
        <v>66</v>
      </c>
      <c r="C39" s="49">
        <f>AVERAGE('02.08 Kyebando-Mulago'!C39,'29.07 Kyebando-Mulago'!C39,'30.07 -Kyebando-Mulago'!C39,'31.07 Kyebando-Mulago'!C39,'01.08 Kyebando-Mulago-24h'!C39,'03.08 Kyebando-Mulago-24h'!C39,'04.08 Kyebando-Mulago'!C39)</f>
        <v>46.142857142857146</v>
      </c>
      <c r="D39" s="49">
        <f>AVERAGE('02.08 Kyebando-Mulago'!D39,'29.07 Kyebando-Mulago'!D39,'30.07 -Kyebando-Mulago'!D39,'31.07 Kyebando-Mulago'!D39,'01.08 Kyebando-Mulago-24h'!D39,'03.08 Kyebando-Mulago-24h'!D39,'04.08 Kyebando-Mulago'!D39)</f>
        <v>7</v>
      </c>
      <c r="E39" s="49">
        <f>AVERAGE('02.08 Kyebando-Mulago'!E39,'29.07 Kyebando-Mulago'!E39,'30.07 -Kyebando-Mulago'!E39,'31.07 Kyebando-Mulago'!E39,'01.08 Kyebando-Mulago-24h'!E39,'03.08 Kyebando-Mulago-24h'!E39,'04.08 Kyebando-Mulago'!E39)</f>
        <v>4.5714285714285712</v>
      </c>
      <c r="F39" s="49">
        <f>AVERAGE('02.08 Kyebando-Mulago'!F39,'29.07 Kyebando-Mulago'!F39,'30.07 -Kyebando-Mulago'!F39,'31.07 Kyebando-Mulago'!F39,'01.08 Kyebando-Mulago-24h'!F39,'03.08 Kyebando-Mulago-24h'!F39,'04.08 Kyebando-Mulago'!F39)</f>
        <v>8</v>
      </c>
      <c r="G39" s="49">
        <f>AVERAGE('02.08 Kyebando-Mulago'!G39,'29.07 Kyebando-Mulago'!G39,'30.07 -Kyebando-Mulago'!G39,'31.07 Kyebando-Mulago'!G39,'01.08 Kyebando-Mulago-24h'!G39,'03.08 Kyebando-Mulago-24h'!G39,'04.08 Kyebando-Mulago'!G39)</f>
        <v>0</v>
      </c>
      <c r="H39" s="49">
        <f>AVERAGE('02.08 Kyebando-Mulago'!H39,'29.07 Kyebando-Mulago'!H39,'30.07 -Kyebando-Mulago'!H39,'31.07 Kyebando-Mulago'!H39,'01.08 Kyebando-Mulago-24h'!H39,'03.08 Kyebando-Mulago-24h'!H39,'04.08 Kyebando-Mulago'!H39)</f>
        <v>0</v>
      </c>
      <c r="I39" s="49">
        <f>AVERAGE('02.08 Kyebando-Mulago'!I39,'29.07 Kyebando-Mulago'!I39,'30.07 -Kyebando-Mulago'!I39,'31.07 Kyebando-Mulago'!I39,'01.08 Kyebando-Mulago-24h'!I39,'03.08 Kyebando-Mulago-24h'!I39,'04.08 Kyebando-Mulago'!I39)</f>
        <v>2.5714285714285716</v>
      </c>
      <c r="J39" s="49">
        <f>AVERAGE('02.08 Kyebando-Mulago'!J39,'29.07 Kyebando-Mulago'!J39,'30.07 -Kyebando-Mulago'!J39,'31.07 Kyebando-Mulago'!J39,'01.08 Kyebando-Mulago-24h'!J39,'03.08 Kyebando-Mulago-24h'!J39,'04.08 Kyebando-Mulago'!J39)</f>
        <v>0.5714285714285714</v>
      </c>
      <c r="K39" s="49">
        <f>AVERAGE('02.08 Kyebando-Mulago'!K39,'29.07 Kyebando-Mulago'!K39,'30.07 -Kyebando-Mulago'!K39,'31.07 Kyebando-Mulago'!K39,'01.08 Kyebando-Mulago-24h'!K39,'03.08 Kyebando-Mulago-24h'!K39,'04.08 Kyebando-Mulago'!K39)</f>
        <v>0</v>
      </c>
      <c r="L39" s="49">
        <f>AVERAGE('02.08 Kyebando-Mulago'!L39,'29.07 Kyebando-Mulago'!L39,'30.07 -Kyebando-Mulago'!L39,'31.07 Kyebando-Mulago'!L39,'01.08 Kyebando-Mulago-24h'!L39,'03.08 Kyebando-Mulago-24h'!L39,'04.08 Kyebando-Mulago'!L39)</f>
        <v>0</v>
      </c>
      <c r="M39" s="49">
        <f>AVERAGE('02.08 Kyebando-Mulago'!M39,'29.07 Kyebando-Mulago'!M39,'30.07 -Kyebando-Mulago'!M39,'31.07 Kyebando-Mulago'!M39,'01.08 Kyebando-Mulago-24h'!M39,'03.08 Kyebando-Mulago-24h'!M39,'04.08 Kyebando-Mulago'!M39)</f>
        <v>80.714285714285708</v>
      </c>
      <c r="N39" s="49">
        <f>AVERAGE('02.08 Kyebando-Mulago'!N39,'29.07 Kyebando-Mulago'!N39,'30.07 -Kyebando-Mulago'!N39,'31.07 Kyebando-Mulago'!N39,'01.08 Kyebando-Mulago-24h'!N39,'03.08 Kyebando-Mulago-24h'!N39,'04.08 Kyebando-Mulago'!N39)</f>
        <v>0</v>
      </c>
      <c r="O39" s="15">
        <f t="shared" si="0"/>
        <v>68.857142857142861</v>
      </c>
      <c r="P39" s="15">
        <f t="shared" si="1"/>
        <v>149.57142857142856</v>
      </c>
      <c r="R39" s="29" t="s">
        <v>87</v>
      </c>
      <c r="S39" s="16">
        <f t="shared" ref="S39:AF39" si="31">SUM(S19:S21)</f>
        <v>520.85714285714289</v>
      </c>
      <c r="T39" s="16">
        <f t="shared" si="31"/>
        <v>103.42857142857143</v>
      </c>
      <c r="U39" s="16">
        <f t="shared" si="31"/>
        <v>68.142857142857153</v>
      </c>
      <c r="V39" s="16">
        <f t="shared" si="31"/>
        <v>109.14285714285715</v>
      </c>
      <c r="W39" s="16">
        <f t="shared" si="31"/>
        <v>3.2857142857142856</v>
      </c>
      <c r="X39" s="16">
        <f t="shared" si="31"/>
        <v>0.42857142857142855</v>
      </c>
      <c r="Y39" s="16">
        <f t="shared" si="31"/>
        <v>34.142857142857139</v>
      </c>
      <c r="Z39" s="16">
        <f t="shared" si="31"/>
        <v>7.5714285714285712</v>
      </c>
      <c r="AA39" s="16">
        <f t="shared" si="31"/>
        <v>0.5714285714285714</v>
      </c>
      <c r="AB39" s="16">
        <f t="shared" si="31"/>
        <v>0</v>
      </c>
      <c r="AC39" s="16">
        <f t="shared" si="31"/>
        <v>1175.4285714285713</v>
      </c>
      <c r="AD39" s="16">
        <f t="shared" si="31"/>
        <v>0</v>
      </c>
      <c r="AE39" s="32">
        <f t="shared" si="31"/>
        <v>847.57142857142867</v>
      </c>
      <c r="AF39" s="32">
        <f t="shared" si="31"/>
        <v>2023</v>
      </c>
    </row>
    <row r="40" spans="2:32" ht="23.1" customHeight="1" x14ac:dyDescent="0.25">
      <c r="B40" s="24" t="s">
        <v>67</v>
      </c>
      <c r="C40" s="49">
        <f>AVERAGE('02.08 Kyebando-Mulago'!C40,'29.07 Kyebando-Mulago'!C40,'30.07 -Kyebando-Mulago'!C40,'31.07 Kyebando-Mulago'!C40,'01.08 Kyebando-Mulago-24h'!C40,'03.08 Kyebando-Mulago-24h'!C40,'04.08 Kyebando-Mulago'!C40)</f>
        <v>52.142857142857146</v>
      </c>
      <c r="D40" s="49">
        <f>AVERAGE('02.08 Kyebando-Mulago'!D40,'29.07 Kyebando-Mulago'!D40,'30.07 -Kyebando-Mulago'!D40,'31.07 Kyebando-Mulago'!D40,'01.08 Kyebando-Mulago-24h'!D40,'03.08 Kyebando-Mulago-24h'!D40,'04.08 Kyebando-Mulago'!D40)</f>
        <v>7.5714285714285712</v>
      </c>
      <c r="E40" s="49">
        <f>AVERAGE('02.08 Kyebando-Mulago'!E40,'29.07 Kyebando-Mulago'!E40,'30.07 -Kyebando-Mulago'!E40,'31.07 Kyebando-Mulago'!E40,'01.08 Kyebando-Mulago-24h'!E40,'03.08 Kyebando-Mulago-24h'!E40,'04.08 Kyebando-Mulago'!E40)</f>
        <v>6.7142857142857144</v>
      </c>
      <c r="F40" s="49">
        <f>AVERAGE('02.08 Kyebando-Mulago'!F40,'29.07 Kyebando-Mulago'!F40,'30.07 -Kyebando-Mulago'!F40,'31.07 Kyebando-Mulago'!F40,'01.08 Kyebando-Mulago-24h'!F40,'03.08 Kyebando-Mulago-24h'!F40,'04.08 Kyebando-Mulago'!F40)</f>
        <v>7.8571428571428568</v>
      </c>
      <c r="G40" s="49">
        <f>AVERAGE('02.08 Kyebando-Mulago'!G40,'29.07 Kyebando-Mulago'!G40,'30.07 -Kyebando-Mulago'!G40,'31.07 Kyebando-Mulago'!G40,'01.08 Kyebando-Mulago-24h'!G40,'03.08 Kyebando-Mulago-24h'!G40,'04.08 Kyebando-Mulago'!G40)</f>
        <v>0</v>
      </c>
      <c r="H40" s="49">
        <f>AVERAGE('02.08 Kyebando-Mulago'!H40,'29.07 Kyebando-Mulago'!H40,'30.07 -Kyebando-Mulago'!H40,'31.07 Kyebando-Mulago'!H40,'01.08 Kyebando-Mulago-24h'!H40,'03.08 Kyebando-Mulago-24h'!H40,'04.08 Kyebando-Mulago'!H40)</f>
        <v>0</v>
      </c>
      <c r="I40" s="49">
        <f>AVERAGE('02.08 Kyebando-Mulago'!I40,'29.07 Kyebando-Mulago'!I40,'30.07 -Kyebando-Mulago'!I40,'31.07 Kyebando-Mulago'!I40,'01.08 Kyebando-Mulago-24h'!I40,'03.08 Kyebando-Mulago-24h'!I40,'04.08 Kyebando-Mulago'!I40)</f>
        <v>3</v>
      </c>
      <c r="J40" s="49">
        <f>AVERAGE('02.08 Kyebando-Mulago'!J40,'29.07 Kyebando-Mulago'!J40,'30.07 -Kyebando-Mulago'!J40,'31.07 Kyebando-Mulago'!J40,'01.08 Kyebando-Mulago-24h'!J40,'03.08 Kyebando-Mulago-24h'!J40,'04.08 Kyebando-Mulago'!J40)</f>
        <v>0.8571428571428571</v>
      </c>
      <c r="K40" s="49">
        <f>AVERAGE('02.08 Kyebando-Mulago'!K40,'29.07 Kyebando-Mulago'!K40,'30.07 -Kyebando-Mulago'!K40,'31.07 Kyebando-Mulago'!K40,'01.08 Kyebando-Mulago-24h'!K40,'03.08 Kyebando-Mulago-24h'!K40,'04.08 Kyebando-Mulago'!K40)</f>
        <v>0</v>
      </c>
      <c r="L40" s="49">
        <f>AVERAGE('02.08 Kyebando-Mulago'!L40,'29.07 Kyebando-Mulago'!L40,'30.07 -Kyebando-Mulago'!L40,'31.07 Kyebando-Mulago'!L40,'01.08 Kyebando-Mulago-24h'!L40,'03.08 Kyebando-Mulago-24h'!L40,'04.08 Kyebando-Mulago'!L40)</f>
        <v>0</v>
      </c>
      <c r="M40" s="49">
        <f>AVERAGE('02.08 Kyebando-Mulago'!M40,'29.07 Kyebando-Mulago'!M40,'30.07 -Kyebando-Mulago'!M40,'31.07 Kyebando-Mulago'!M40,'01.08 Kyebando-Mulago-24h'!M40,'03.08 Kyebando-Mulago-24h'!M40,'04.08 Kyebando-Mulago'!M40)</f>
        <v>90.714285714285708</v>
      </c>
      <c r="N40" s="49">
        <f>AVERAGE('02.08 Kyebando-Mulago'!N40,'29.07 Kyebando-Mulago'!N40,'30.07 -Kyebando-Mulago'!N40,'31.07 Kyebando-Mulago'!N40,'01.08 Kyebando-Mulago-24h'!N40,'03.08 Kyebando-Mulago-24h'!N40,'04.08 Kyebando-Mulago'!N40)</f>
        <v>0</v>
      </c>
      <c r="O40" s="15">
        <f t="shared" si="0"/>
        <v>78.142857142857153</v>
      </c>
      <c r="P40" s="15">
        <f t="shared" si="1"/>
        <v>168.85714285714286</v>
      </c>
      <c r="R40" s="5" t="s">
        <v>17</v>
      </c>
      <c r="S40" s="16">
        <f t="shared" ref="S40:AF40" si="32">SUM(S10:S21)</f>
        <v>3074.4285714285711</v>
      </c>
      <c r="T40" s="16">
        <f t="shared" si="32"/>
        <v>537.85714285714289</v>
      </c>
      <c r="U40" s="16">
        <f t="shared" si="32"/>
        <v>348.42857142857139</v>
      </c>
      <c r="V40" s="16">
        <f t="shared" si="32"/>
        <v>754.42857142857133</v>
      </c>
      <c r="W40" s="16">
        <f t="shared" si="32"/>
        <v>9.4285714285714288</v>
      </c>
      <c r="X40" s="16">
        <f t="shared" si="32"/>
        <v>1.9999999999999996</v>
      </c>
      <c r="Y40" s="16">
        <f t="shared" si="32"/>
        <v>162.57142857142856</v>
      </c>
      <c r="Z40" s="16">
        <f t="shared" si="32"/>
        <v>29</v>
      </c>
      <c r="AA40" s="16">
        <f t="shared" si="32"/>
        <v>0.8571428571428571</v>
      </c>
      <c r="AB40" s="16">
        <f t="shared" si="32"/>
        <v>0</v>
      </c>
      <c r="AC40" s="16">
        <f t="shared" si="32"/>
        <v>4886.5714285714284</v>
      </c>
      <c r="AD40" s="16">
        <f t="shared" si="32"/>
        <v>0.14285714285714285</v>
      </c>
      <c r="AE40" s="32">
        <f t="shared" si="32"/>
        <v>4919.1428571428569</v>
      </c>
      <c r="AF40" s="32">
        <f t="shared" si="32"/>
        <v>9805.7142857142844</v>
      </c>
    </row>
    <row r="41" spans="2:32" ht="23.1" customHeight="1" x14ac:dyDescent="0.25">
      <c r="B41" s="23" t="s">
        <v>68</v>
      </c>
      <c r="C41" s="49">
        <f>AVERAGE('02.08 Kyebando-Mulago'!C41,'29.07 Kyebando-Mulago'!C41,'30.07 -Kyebando-Mulago'!C41,'31.07 Kyebando-Mulago'!C41,'01.08 Kyebando-Mulago-24h'!C41,'03.08 Kyebando-Mulago-24h'!C41,'04.08 Kyebando-Mulago'!C41)</f>
        <v>40</v>
      </c>
      <c r="D41" s="49">
        <f>AVERAGE('02.08 Kyebando-Mulago'!D41,'29.07 Kyebando-Mulago'!D41,'30.07 -Kyebando-Mulago'!D41,'31.07 Kyebando-Mulago'!D41,'01.08 Kyebando-Mulago-24h'!D41,'03.08 Kyebando-Mulago-24h'!D41,'04.08 Kyebando-Mulago'!D41)</f>
        <v>7.1428571428571432</v>
      </c>
      <c r="E41" s="49">
        <f>AVERAGE('02.08 Kyebando-Mulago'!E41,'29.07 Kyebando-Mulago'!E41,'30.07 -Kyebando-Mulago'!E41,'31.07 Kyebando-Mulago'!E41,'01.08 Kyebando-Mulago-24h'!E41,'03.08 Kyebando-Mulago-24h'!E41,'04.08 Kyebando-Mulago'!E41)</f>
        <v>7.5714285714285712</v>
      </c>
      <c r="F41" s="49">
        <f>AVERAGE('02.08 Kyebando-Mulago'!F41,'29.07 Kyebando-Mulago'!F41,'30.07 -Kyebando-Mulago'!F41,'31.07 Kyebando-Mulago'!F41,'01.08 Kyebando-Mulago-24h'!F41,'03.08 Kyebando-Mulago-24h'!F41,'04.08 Kyebando-Mulago'!F41)</f>
        <v>8</v>
      </c>
      <c r="G41" s="49">
        <f>AVERAGE('02.08 Kyebando-Mulago'!G41,'29.07 Kyebando-Mulago'!G41,'30.07 -Kyebando-Mulago'!G41,'31.07 Kyebando-Mulago'!G41,'01.08 Kyebando-Mulago-24h'!G41,'03.08 Kyebando-Mulago-24h'!G41,'04.08 Kyebando-Mulago'!G41)</f>
        <v>0.14285714285714285</v>
      </c>
      <c r="H41" s="49">
        <f>AVERAGE('02.08 Kyebando-Mulago'!H41,'29.07 Kyebando-Mulago'!H41,'30.07 -Kyebando-Mulago'!H41,'31.07 Kyebando-Mulago'!H41,'01.08 Kyebando-Mulago-24h'!H41,'03.08 Kyebando-Mulago-24h'!H41,'04.08 Kyebando-Mulago'!H41)</f>
        <v>0</v>
      </c>
      <c r="I41" s="49">
        <f>AVERAGE('02.08 Kyebando-Mulago'!I41,'29.07 Kyebando-Mulago'!I41,'30.07 -Kyebando-Mulago'!I41,'31.07 Kyebando-Mulago'!I41,'01.08 Kyebando-Mulago-24h'!I41,'03.08 Kyebando-Mulago-24h'!I41,'04.08 Kyebando-Mulago'!I41)</f>
        <v>3.1428571428571428</v>
      </c>
      <c r="J41" s="49">
        <f>AVERAGE('02.08 Kyebando-Mulago'!J41,'29.07 Kyebando-Mulago'!J41,'30.07 -Kyebando-Mulago'!J41,'31.07 Kyebando-Mulago'!J41,'01.08 Kyebando-Mulago-24h'!J41,'03.08 Kyebando-Mulago-24h'!J41,'04.08 Kyebando-Mulago'!J41)</f>
        <v>0.42857142857142855</v>
      </c>
      <c r="K41" s="49">
        <f>AVERAGE('02.08 Kyebando-Mulago'!K41,'29.07 Kyebando-Mulago'!K41,'30.07 -Kyebando-Mulago'!K41,'31.07 Kyebando-Mulago'!K41,'01.08 Kyebando-Mulago-24h'!K41,'03.08 Kyebando-Mulago-24h'!K41,'04.08 Kyebando-Mulago'!K41)</f>
        <v>0</v>
      </c>
      <c r="L41" s="49">
        <f>AVERAGE('02.08 Kyebando-Mulago'!L41,'29.07 Kyebando-Mulago'!L41,'30.07 -Kyebando-Mulago'!L41,'31.07 Kyebando-Mulago'!L41,'01.08 Kyebando-Mulago-24h'!L41,'03.08 Kyebando-Mulago-24h'!L41,'04.08 Kyebando-Mulago'!L41)</f>
        <v>0</v>
      </c>
      <c r="M41" s="49">
        <f>AVERAGE('02.08 Kyebando-Mulago'!M41,'29.07 Kyebando-Mulago'!M41,'30.07 -Kyebando-Mulago'!M41,'31.07 Kyebando-Mulago'!M41,'01.08 Kyebando-Mulago-24h'!M41,'03.08 Kyebando-Mulago-24h'!M41,'04.08 Kyebando-Mulago'!M41)</f>
        <v>81.714285714285708</v>
      </c>
      <c r="N41" s="49">
        <f>AVERAGE('02.08 Kyebando-Mulago'!N41,'29.07 Kyebando-Mulago'!N41,'30.07 -Kyebando-Mulago'!N41,'31.07 Kyebando-Mulago'!N41,'01.08 Kyebando-Mulago-24h'!N41,'03.08 Kyebando-Mulago-24h'!N41,'04.08 Kyebando-Mulago'!N41)</f>
        <v>0</v>
      </c>
      <c r="O41" s="15">
        <f t="shared" si="0"/>
        <v>66.428571428571431</v>
      </c>
      <c r="P41" s="15">
        <f t="shared" si="1"/>
        <v>148.14285714285714</v>
      </c>
      <c r="R41" s="5" t="s">
        <v>185</v>
      </c>
      <c r="S41" s="51">
        <f>SUM(S10:S33)</f>
        <v>4389.9285714285706</v>
      </c>
      <c r="T41" s="51">
        <f t="shared" ref="T41:AD41" si="33">SUM(T10:T33)</f>
        <v>615.85714285714289</v>
      </c>
      <c r="U41" s="51">
        <f t="shared" si="33"/>
        <v>515.42857142857133</v>
      </c>
      <c r="V41" s="51">
        <f t="shared" si="33"/>
        <v>979.92857142857133</v>
      </c>
      <c r="W41" s="51">
        <f t="shared" si="33"/>
        <v>11.428571428571429</v>
      </c>
      <c r="X41" s="51">
        <f t="shared" si="33"/>
        <v>5</v>
      </c>
      <c r="Y41" s="51">
        <f t="shared" si="33"/>
        <v>199.07142857142856</v>
      </c>
      <c r="Z41" s="51">
        <f t="shared" si="33"/>
        <v>38</v>
      </c>
      <c r="AA41" s="51">
        <f t="shared" si="33"/>
        <v>2.3571428571428572</v>
      </c>
      <c r="AB41" s="51">
        <f t="shared" si="33"/>
        <v>0</v>
      </c>
      <c r="AC41" s="51">
        <f t="shared" si="33"/>
        <v>6869.5714285714284</v>
      </c>
      <c r="AD41" s="51">
        <f t="shared" si="33"/>
        <v>0.14285714285714285</v>
      </c>
      <c r="AE41" s="52">
        <f>SUM(AE10:AE33)</f>
        <v>6757.1428571428569</v>
      </c>
      <c r="AF41" s="52">
        <f>SUM(AF10:AF33)</f>
        <v>13626.714285714284</v>
      </c>
    </row>
    <row r="42" spans="2:32" ht="23.1" customHeight="1" x14ac:dyDescent="0.25">
      <c r="B42" s="24" t="s">
        <v>69</v>
      </c>
      <c r="C42" s="49">
        <f>AVERAGE('02.08 Kyebando-Mulago'!C42,'29.07 Kyebando-Mulago'!C42,'30.07 -Kyebando-Mulago'!C42,'31.07 Kyebando-Mulago'!C42,'01.08 Kyebando-Mulago-24h'!C42,'03.08 Kyebando-Mulago-24h'!C42,'04.08 Kyebando-Mulago'!C42)</f>
        <v>38.285714285714285</v>
      </c>
      <c r="D42" s="49">
        <f>AVERAGE('02.08 Kyebando-Mulago'!D42,'29.07 Kyebando-Mulago'!D42,'30.07 -Kyebando-Mulago'!D42,'31.07 Kyebando-Mulago'!D42,'01.08 Kyebando-Mulago-24h'!D42,'03.08 Kyebando-Mulago-24h'!D42,'04.08 Kyebando-Mulago'!D42)</f>
        <v>10.571428571428571</v>
      </c>
      <c r="E42" s="49">
        <f>AVERAGE('02.08 Kyebando-Mulago'!E42,'29.07 Kyebando-Mulago'!E42,'30.07 -Kyebando-Mulago'!E42,'31.07 Kyebando-Mulago'!E42,'01.08 Kyebando-Mulago-24h'!E42,'03.08 Kyebando-Mulago-24h'!E42,'04.08 Kyebando-Mulago'!E42)</f>
        <v>6.8571428571428568</v>
      </c>
      <c r="F42" s="49">
        <f>AVERAGE('02.08 Kyebando-Mulago'!F42,'29.07 Kyebando-Mulago'!F42,'30.07 -Kyebando-Mulago'!F42,'31.07 Kyebando-Mulago'!F42,'01.08 Kyebando-Mulago-24h'!F42,'03.08 Kyebando-Mulago-24h'!F42,'04.08 Kyebando-Mulago'!F42)</f>
        <v>10.142857142857142</v>
      </c>
      <c r="G42" s="49">
        <f>AVERAGE('02.08 Kyebando-Mulago'!G42,'29.07 Kyebando-Mulago'!G42,'30.07 -Kyebando-Mulago'!G42,'31.07 Kyebando-Mulago'!G42,'01.08 Kyebando-Mulago-24h'!G42,'03.08 Kyebando-Mulago-24h'!G42,'04.08 Kyebando-Mulago'!G42)</f>
        <v>0.42857142857142855</v>
      </c>
      <c r="H42" s="49">
        <f>AVERAGE('02.08 Kyebando-Mulago'!H42,'29.07 Kyebando-Mulago'!H42,'30.07 -Kyebando-Mulago'!H42,'31.07 Kyebando-Mulago'!H42,'01.08 Kyebando-Mulago-24h'!H42,'03.08 Kyebando-Mulago-24h'!H42,'04.08 Kyebando-Mulago'!H42)</f>
        <v>0</v>
      </c>
      <c r="I42" s="49">
        <f>AVERAGE('02.08 Kyebando-Mulago'!I42,'29.07 Kyebando-Mulago'!I42,'30.07 -Kyebando-Mulago'!I42,'31.07 Kyebando-Mulago'!I42,'01.08 Kyebando-Mulago-24h'!I42,'03.08 Kyebando-Mulago-24h'!I42,'04.08 Kyebando-Mulago'!I42)</f>
        <v>2.4285714285714284</v>
      </c>
      <c r="J42" s="49">
        <f>AVERAGE('02.08 Kyebando-Mulago'!J42,'29.07 Kyebando-Mulago'!J42,'30.07 -Kyebando-Mulago'!J42,'31.07 Kyebando-Mulago'!J42,'01.08 Kyebando-Mulago-24h'!J42,'03.08 Kyebando-Mulago-24h'!J42,'04.08 Kyebando-Mulago'!J42)</f>
        <v>0.2857142857142857</v>
      </c>
      <c r="K42" s="49">
        <f>AVERAGE('02.08 Kyebando-Mulago'!K42,'29.07 Kyebando-Mulago'!K42,'30.07 -Kyebando-Mulago'!K42,'31.07 Kyebando-Mulago'!K42,'01.08 Kyebando-Mulago-24h'!K42,'03.08 Kyebando-Mulago-24h'!K42,'04.08 Kyebando-Mulago'!K42)</f>
        <v>0</v>
      </c>
      <c r="L42" s="49">
        <f>AVERAGE('02.08 Kyebando-Mulago'!L42,'29.07 Kyebando-Mulago'!L42,'30.07 -Kyebando-Mulago'!L42,'31.07 Kyebando-Mulago'!L42,'01.08 Kyebando-Mulago-24h'!L42,'03.08 Kyebando-Mulago-24h'!L42,'04.08 Kyebando-Mulago'!L42)</f>
        <v>0</v>
      </c>
      <c r="M42" s="49">
        <f>AVERAGE('02.08 Kyebando-Mulago'!M42,'29.07 Kyebando-Mulago'!M42,'30.07 -Kyebando-Mulago'!M42,'31.07 Kyebando-Mulago'!M42,'01.08 Kyebando-Mulago-24h'!M42,'03.08 Kyebando-Mulago-24h'!M42,'04.08 Kyebando-Mulago'!M42)</f>
        <v>74</v>
      </c>
      <c r="N42" s="49">
        <f>AVERAGE('02.08 Kyebando-Mulago'!N42,'29.07 Kyebando-Mulago'!N42,'30.07 -Kyebando-Mulago'!N42,'31.07 Kyebando-Mulago'!N42,'01.08 Kyebando-Mulago-24h'!N42,'03.08 Kyebando-Mulago-24h'!N42,'04.08 Kyebando-Mulago'!N42)</f>
        <v>0</v>
      </c>
      <c r="O42" s="15">
        <f t="shared" si="0"/>
        <v>69</v>
      </c>
      <c r="P42" s="15">
        <f t="shared" si="1"/>
        <v>143</v>
      </c>
      <c r="R42" s="5" t="s">
        <v>160</v>
      </c>
      <c r="S42" s="48">
        <f>S41/S40</f>
        <v>1.4278843919892197</v>
      </c>
      <c r="T42" s="48">
        <f t="shared" ref="T42:AF42" si="34">T41/T40</f>
        <v>1.145019920318725</v>
      </c>
      <c r="U42" s="48">
        <f t="shared" si="34"/>
        <v>1.4792947929479294</v>
      </c>
      <c r="V42" s="48">
        <f t="shared" si="34"/>
        <v>1.2989017231584927</v>
      </c>
      <c r="W42" s="48">
        <f t="shared" si="34"/>
        <v>1.2121212121212122</v>
      </c>
      <c r="X42" s="48">
        <f t="shared" si="34"/>
        <v>2.5000000000000004</v>
      </c>
      <c r="Y42" s="48">
        <f t="shared" si="34"/>
        <v>1.2245166959578209</v>
      </c>
      <c r="Z42" s="48">
        <f t="shared" si="34"/>
        <v>1.3103448275862069</v>
      </c>
      <c r="AA42" s="48">
        <f t="shared" si="34"/>
        <v>2.7500000000000004</v>
      </c>
      <c r="AB42" s="48" t="e">
        <f t="shared" si="34"/>
        <v>#DIV/0!</v>
      </c>
      <c r="AC42" s="48">
        <f t="shared" si="34"/>
        <v>1.4058059989475531</v>
      </c>
      <c r="AD42" s="48">
        <f t="shared" si="34"/>
        <v>1</v>
      </c>
      <c r="AE42" s="53">
        <f t="shared" si="34"/>
        <v>1.3736423302549805</v>
      </c>
      <c r="AF42" s="53">
        <f t="shared" si="34"/>
        <v>1.389670745920746</v>
      </c>
    </row>
    <row r="43" spans="2:32" ht="23.1" customHeight="1" x14ac:dyDescent="0.25">
      <c r="B43" s="23" t="s">
        <v>70</v>
      </c>
      <c r="C43" s="49">
        <f>AVERAGE('02.08 Kyebando-Mulago'!C43,'29.07 Kyebando-Mulago'!C43,'30.07 -Kyebando-Mulago'!C43,'31.07 Kyebando-Mulago'!C43,'01.08 Kyebando-Mulago-24h'!C43,'03.08 Kyebando-Mulago-24h'!C43,'04.08 Kyebando-Mulago'!C43)</f>
        <v>39</v>
      </c>
      <c r="D43" s="49">
        <f>AVERAGE('02.08 Kyebando-Mulago'!D43,'29.07 Kyebando-Mulago'!D43,'30.07 -Kyebando-Mulago'!D43,'31.07 Kyebando-Mulago'!D43,'01.08 Kyebando-Mulago-24h'!D43,'03.08 Kyebando-Mulago-24h'!D43,'04.08 Kyebando-Mulago'!D43)</f>
        <v>5.5714285714285712</v>
      </c>
      <c r="E43" s="49">
        <f>AVERAGE('02.08 Kyebando-Mulago'!E43,'29.07 Kyebando-Mulago'!E43,'30.07 -Kyebando-Mulago'!E43,'31.07 Kyebando-Mulago'!E43,'01.08 Kyebando-Mulago-24h'!E43,'03.08 Kyebando-Mulago-24h'!E43,'04.08 Kyebando-Mulago'!E43)</f>
        <v>5</v>
      </c>
      <c r="F43" s="49">
        <f>AVERAGE('02.08 Kyebando-Mulago'!F43,'29.07 Kyebando-Mulago'!F43,'30.07 -Kyebando-Mulago'!F43,'31.07 Kyebando-Mulago'!F43,'01.08 Kyebando-Mulago-24h'!F43,'03.08 Kyebando-Mulago-24h'!F43,'04.08 Kyebando-Mulago'!F43)</f>
        <v>6.8571428571428568</v>
      </c>
      <c r="G43" s="49">
        <f>AVERAGE('02.08 Kyebando-Mulago'!G43,'29.07 Kyebando-Mulago'!G43,'30.07 -Kyebando-Mulago'!G43,'31.07 Kyebando-Mulago'!G43,'01.08 Kyebando-Mulago-24h'!G43,'03.08 Kyebando-Mulago-24h'!G43,'04.08 Kyebando-Mulago'!G43)</f>
        <v>0.42857142857142855</v>
      </c>
      <c r="H43" s="49">
        <f>AVERAGE('02.08 Kyebando-Mulago'!H43,'29.07 Kyebando-Mulago'!H43,'30.07 -Kyebando-Mulago'!H43,'31.07 Kyebando-Mulago'!H43,'01.08 Kyebando-Mulago-24h'!H43,'03.08 Kyebando-Mulago-24h'!H43,'04.08 Kyebando-Mulago'!H43)</f>
        <v>0</v>
      </c>
      <c r="I43" s="49">
        <f>AVERAGE('02.08 Kyebando-Mulago'!I43,'29.07 Kyebando-Mulago'!I43,'30.07 -Kyebando-Mulago'!I43,'31.07 Kyebando-Mulago'!I43,'01.08 Kyebando-Mulago-24h'!I43,'03.08 Kyebando-Mulago-24h'!I43,'04.08 Kyebando-Mulago'!I43)</f>
        <v>3</v>
      </c>
      <c r="J43" s="49">
        <f>AVERAGE('02.08 Kyebando-Mulago'!J43,'29.07 Kyebando-Mulago'!J43,'30.07 -Kyebando-Mulago'!J43,'31.07 Kyebando-Mulago'!J43,'01.08 Kyebando-Mulago-24h'!J43,'03.08 Kyebando-Mulago-24h'!J43,'04.08 Kyebando-Mulago'!J43)</f>
        <v>0.2857142857142857</v>
      </c>
      <c r="K43" s="49">
        <f>AVERAGE('02.08 Kyebando-Mulago'!K43,'29.07 Kyebando-Mulago'!K43,'30.07 -Kyebando-Mulago'!K43,'31.07 Kyebando-Mulago'!K43,'01.08 Kyebando-Mulago-24h'!K43,'03.08 Kyebando-Mulago-24h'!K43,'04.08 Kyebando-Mulago'!K43)</f>
        <v>0</v>
      </c>
      <c r="L43" s="49">
        <f>AVERAGE('02.08 Kyebando-Mulago'!L43,'29.07 Kyebando-Mulago'!L43,'30.07 -Kyebando-Mulago'!L43,'31.07 Kyebando-Mulago'!L43,'01.08 Kyebando-Mulago-24h'!L43,'03.08 Kyebando-Mulago-24h'!L43,'04.08 Kyebando-Mulago'!L43)</f>
        <v>0</v>
      </c>
      <c r="M43" s="49">
        <f>AVERAGE('02.08 Kyebando-Mulago'!M43,'29.07 Kyebando-Mulago'!M43,'30.07 -Kyebando-Mulago'!M43,'31.07 Kyebando-Mulago'!M43,'01.08 Kyebando-Mulago-24h'!M43,'03.08 Kyebando-Mulago-24h'!M43,'04.08 Kyebando-Mulago'!M43)</f>
        <v>83.428571428571431</v>
      </c>
      <c r="N43" s="49">
        <f>AVERAGE('02.08 Kyebando-Mulago'!N43,'29.07 Kyebando-Mulago'!N43,'30.07 -Kyebando-Mulago'!N43,'31.07 Kyebando-Mulago'!N43,'01.08 Kyebando-Mulago-24h'!N43,'03.08 Kyebando-Mulago-24h'!N43,'04.08 Kyebando-Mulago'!N43)</f>
        <v>0</v>
      </c>
      <c r="O43" s="15">
        <f t="shared" si="0"/>
        <v>60.142857142857139</v>
      </c>
      <c r="P43" s="15">
        <f t="shared" si="1"/>
        <v>143.57142857142856</v>
      </c>
    </row>
    <row r="44" spans="2:32" ht="23.1" customHeight="1" x14ac:dyDescent="0.25">
      <c r="B44" s="25" t="s">
        <v>71</v>
      </c>
      <c r="C44" s="49">
        <f>AVERAGE('02.08 Kyebando-Mulago'!C44,'29.07 Kyebando-Mulago'!C44,'30.07 -Kyebando-Mulago'!C44,'31.07 Kyebando-Mulago'!C44,'01.08 Kyebando-Mulago-24h'!C44,'03.08 Kyebando-Mulago-24h'!C44,'04.08 Kyebando-Mulago'!C44)</f>
        <v>46.857142857142854</v>
      </c>
      <c r="D44" s="49">
        <f>AVERAGE('02.08 Kyebando-Mulago'!D44,'29.07 Kyebando-Mulago'!D44,'30.07 -Kyebando-Mulago'!D44,'31.07 Kyebando-Mulago'!D44,'01.08 Kyebando-Mulago-24h'!D44,'03.08 Kyebando-Mulago-24h'!D44,'04.08 Kyebando-Mulago'!D44)</f>
        <v>7</v>
      </c>
      <c r="E44" s="49">
        <f>AVERAGE('02.08 Kyebando-Mulago'!E44,'29.07 Kyebando-Mulago'!E44,'30.07 -Kyebando-Mulago'!E44,'31.07 Kyebando-Mulago'!E44,'01.08 Kyebando-Mulago-24h'!E44,'03.08 Kyebando-Mulago-24h'!E44,'04.08 Kyebando-Mulago'!E44)</f>
        <v>8.7142857142857135</v>
      </c>
      <c r="F44" s="49">
        <f>AVERAGE('02.08 Kyebando-Mulago'!F44,'29.07 Kyebando-Mulago'!F44,'30.07 -Kyebando-Mulago'!F44,'31.07 Kyebando-Mulago'!F44,'01.08 Kyebando-Mulago-24h'!F44,'03.08 Kyebando-Mulago-24h'!F44,'04.08 Kyebando-Mulago'!F44)</f>
        <v>10.571428571428571</v>
      </c>
      <c r="G44" s="49">
        <f>AVERAGE('02.08 Kyebando-Mulago'!G44,'29.07 Kyebando-Mulago'!G44,'30.07 -Kyebando-Mulago'!G44,'31.07 Kyebando-Mulago'!G44,'01.08 Kyebando-Mulago-24h'!G44,'03.08 Kyebando-Mulago-24h'!G44,'04.08 Kyebando-Mulago'!G44)</f>
        <v>0.14285714285714285</v>
      </c>
      <c r="H44" s="49">
        <f>AVERAGE('02.08 Kyebando-Mulago'!H44,'29.07 Kyebando-Mulago'!H44,'30.07 -Kyebando-Mulago'!H44,'31.07 Kyebando-Mulago'!H44,'01.08 Kyebando-Mulago-24h'!H44,'03.08 Kyebando-Mulago-24h'!H44,'04.08 Kyebando-Mulago'!H44)</f>
        <v>0</v>
      </c>
      <c r="I44" s="49">
        <f>AVERAGE('02.08 Kyebando-Mulago'!I44,'29.07 Kyebando-Mulago'!I44,'30.07 -Kyebando-Mulago'!I44,'31.07 Kyebando-Mulago'!I44,'01.08 Kyebando-Mulago-24h'!I44,'03.08 Kyebando-Mulago-24h'!I44,'04.08 Kyebando-Mulago'!I44)</f>
        <v>4.1428571428571432</v>
      </c>
      <c r="J44" s="49">
        <f>AVERAGE('02.08 Kyebando-Mulago'!J44,'29.07 Kyebando-Mulago'!J44,'30.07 -Kyebando-Mulago'!J44,'31.07 Kyebando-Mulago'!J44,'01.08 Kyebando-Mulago-24h'!J44,'03.08 Kyebando-Mulago-24h'!J44,'04.08 Kyebando-Mulago'!J44)</f>
        <v>0.7142857142857143</v>
      </c>
      <c r="K44" s="49">
        <f>AVERAGE('02.08 Kyebando-Mulago'!K44,'29.07 Kyebando-Mulago'!K44,'30.07 -Kyebando-Mulago'!K44,'31.07 Kyebando-Mulago'!K44,'01.08 Kyebando-Mulago-24h'!K44,'03.08 Kyebando-Mulago-24h'!K44,'04.08 Kyebando-Mulago'!K44)</f>
        <v>0</v>
      </c>
      <c r="L44" s="49">
        <f>AVERAGE('02.08 Kyebando-Mulago'!L44,'29.07 Kyebando-Mulago'!L44,'30.07 -Kyebando-Mulago'!L44,'31.07 Kyebando-Mulago'!L44,'01.08 Kyebando-Mulago-24h'!L44,'03.08 Kyebando-Mulago-24h'!L44,'04.08 Kyebando-Mulago'!L44)</f>
        <v>0</v>
      </c>
      <c r="M44" s="49">
        <f>AVERAGE('02.08 Kyebando-Mulago'!M44,'29.07 Kyebando-Mulago'!M44,'30.07 -Kyebando-Mulago'!M44,'31.07 Kyebando-Mulago'!M44,'01.08 Kyebando-Mulago-24h'!M44,'03.08 Kyebando-Mulago-24h'!M44,'04.08 Kyebando-Mulago'!M44)</f>
        <v>86</v>
      </c>
      <c r="N44" s="49">
        <f>AVERAGE('02.08 Kyebando-Mulago'!N44,'29.07 Kyebando-Mulago'!N44,'30.07 -Kyebando-Mulago'!N44,'31.07 Kyebando-Mulago'!N44,'01.08 Kyebando-Mulago-24h'!N44,'03.08 Kyebando-Mulago-24h'!N44,'04.08 Kyebando-Mulago'!N44)</f>
        <v>0</v>
      </c>
      <c r="O44" s="15">
        <f t="shared" si="0"/>
        <v>78.142857142857125</v>
      </c>
      <c r="P44" s="15">
        <f t="shared" si="1"/>
        <v>164.14285714285711</v>
      </c>
    </row>
    <row r="45" spans="2:32" ht="23.1" customHeight="1" x14ac:dyDescent="0.25">
      <c r="B45" s="23" t="s">
        <v>72</v>
      </c>
      <c r="C45" s="49">
        <f>AVERAGE('02.08 Kyebando-Mulago'!C45,'29.07 Kyebando-Mulago'!C45,'30.07 -Kyebando-Mulago'!C45,'31.07 Kyebando-Mulago'!C45,'01.08 Kyebando-Mulago-24h'!C45,'03.08 Kyebando-Mulago-24h'!C45,'04.08 Kyebando-Mulago'!C45)</f>
        <v>48.285714285714285</v>
      </c>
      <c r="D45" s="49">
        <f>AVERAGE('02.08 Kyebando-Mulago'!D45,'29.07 Kyebando-Mulago'!D45,'30.07 -Kyebando-Mulago'!D45,'31.07 Kyebando-Mulago'!D45,'01.08 Kyebando-Mulago-24h'!D45,'03.08 Kyebando-Mulago-24h'!D45,'04.08 Kyebando-Mulago'!D45)</f>
        <v>7.8571428571428568</v>
      </c>
      <c r="E45" s="49">
        <f>AVERAGE('02.08 Kyebando-Mulago'!E45,'29.07 Kyebando-Mulago'!E45,'30.07 -Kyebando-Mulago'!E45,'31.07 Kyebando-Mulago'!E45,'01.08 Kyebando-Mulago-24h'!E45,'03.08 Kyebando-Mulago-24h'!E45,'04.08 Kyebando-Mulago'!E45)</f>
        <v>4.1428571428571432</v>
      </c>
      <c r="F45" s="49">
        <f>AVERAGE('02.08 Kyebando-Mulago'!F45,'29.07 Kyebando-Mulago'!F45,'30.07 -Kyebando-Mulago'!F45,'31.07 Kyebando-Mulago'!F45,'01.08 Kyebando-Mulago-24h'!F45,'03.08 Kyebando-Mulago-24h'!F45,'04.08 Kyebando-Mulago'!F45)</f>
        <v>8.5714285714285712</v>
      </c>
      <c r="G45" s="49">
        <f>AVERAGE('02.08 Kyebando-Mulago'!G45,'29.07 Kyebando-Mulago'!G45,'30.07 -Kyebando-Mulago'!G45,'31.07 Kyebando-Mulago'!G45,'01.08 Kyebando-Mulago-24h'!G45,'03.08 Kyebando-Mulago-24h'!G45,'04.08 Kyebando-Mulago'!G45)</f>
        <v>0</v>
      </c>
      <c r="H45" s="49">
        <f>AVERAGE('02.08 Kyebando-Mulago'!H45,'29.07 Kyebando-Mulago'!H45,'30.07 -Kyebando-Mulago'!H45,'31.07 Kyebando-Mulago'!H45,'01.08 Kyebando-Mulago-24h'!H45,'03.08 Kyebando-Mulago-24h'!H45,'04.08 Kyebando-Mulago'!H45)</f>
        <v>0.14285714285714285</v>
      </c>
      <c r="I45" s="49">
        <f>AVERAGE('02.08 Kyebando-Mulago'!I45,'29.07 Kyebando-Mulago'!I45,'30.07 -Kyebando-Mulago'!I45,'31.07 Kyebando-Mulago'!I45,'01.08 Kyebando-Mulago-24h'!I45,'03.08 Kyebando-Mulago-24h'!I45,'04.08 Kyebando-Mulago'!I45)</f>
        <v>4</v>
      </c>
      <c r="J45" s="49">
        <f>AVERAGE('02.08 Kyebando-Mulago'!J45,'29.07 Kyebando-Mulago'!J45,'30.07 -Kyebando-Mulago'!J45,'31.07 Kyebando-Mulago'!J45,'01.08 Kyebando-Mulago-24h'!J45,'03.08 Kyebando-Mulago-24h'!J45,'04.08 Kyebando-Mulago'!J45)</f>
        <v>0.2857142857142857</v>
      </c>
      <c r="K45" s="49">
        <f>AVERAGE('02.08 Kyebando-Mulago'!K45,'29.07 Kyebando-Mulago'!K45,'30.07 -Kyebando-Mulago'!K45,'31.07 Kyebando-Mulago'!K45,'01.08 Kyebando-Mulago-24h'!K45,'03.08 Kyebando-Mulago-24h'!K45,'04.08 Kyebando-Mulago'!K45)</f>
        <v>0</v>
      </c>
      <c r="L45" s="49">
        <f>AVERAGE('02.08 Kyebando-Mulago'!L45,'29.07 Kyebando-Mulago'!L45,'30.07 -Kyebando-Mulago'!L45,'31.07 Kyebando-Mulago'!L45,'01.08 Kyebando-Mulago-24h'!L45,'03.08 Kyebando-Mulago-24h'!L45,'04.08 Kyebando-Mulago'!L45)</f>
        <v>0</v>
      </c>
      <c r="M45" s="49">
        <f>AVERAGE('02.08 Kyebando-Mulago'!M45,'29.07 Kyebando-Mulago'!M45,'30.07 -Kyebando-Mulago'!M45,'31.07 Kyebando-Mulago'!M45,'01.08 Kyebando-Mulago-24h'!M45,'03.08 Kyebando-Mulago-24h'!M45,'04.08 Kyebando-Mulago'!M45)</f>
        <v>79.142857142857139</v>
      </c>
      <c r="N45" s="49">
        <f>AVERAGE('02.08 Kyebando-Mulago'!N45,'29.07 Kyebando-Mulago'!N45,'30.07 -Kyebando-Mulago'!N45,'31.07 Kyebando-Mulago'!N45,'01.08 Kyebando-Mulago-24h'!N45,'03.08 Kyebando-Mulago-24h'!N45,'04.08 Kyebando-Mulago'!N45)</f>
        <v>0</v>
      </c>
      <c r="O45" s="15">
        <f t="shared" si="0"/>
        <v>73.285714285714292</v>
      </c>
      <c r="P45" s="15">
        <f t="shared" si="1"/>
        <v>152.42857142857144</v>
      </c>
    </row>
    <row r="46" spans="2:32" ht="23.1" customHeight="1" x14ac:dyDescent="0.25">
      <c r="B46" s="24" t="s">
        <v>73</v>
      </c>
      <c r="C46" s="49">
        <f>AVERAGE('02.08 Kyebando-Mulago'!C46,'29.07 Kyebando-Mulago'!C46,'30.07 -Kyebando-Mulago'!C46,'31.07 Kyebando-Mulago'!C46,'01.08 Kyebando-Mulago-24h'!C46,'03.08 Kyebando-Mulago-24h'!C46,'04.08 Kyebando-Mulago'!C46)</f>
        <v>44.714285714285715</v>
      </c>
      <c r="D46" s="49">
        <f>AVERAGE('02.08 Kyebando-Mulago'!D46,'29.07 Kyebando-Mulago'!D46,'30.07 -Kyebando-Mulago'!D46,'31.07 Kyebando-Mulago'!D46,'01.08 Kyebando-Mulago-24h'!D46,'03.08 Kyebando-Mulago-24h'!D46,'04.08 Kyebando-Mulago'!D46)</f>
        <v>8.1428571428571423</v>
      </c>
      <c r="E46" s="49">
        <f>AVERAGE('02.08 Kyebando-Mulago'!E46,'29.07 Kyebando-Mulago'!E46,'30.07 -Kyebando-Mulago'!E46,'31.07 Kyebando-Mulago'!E46,'01.08 Kyebando-Mulago-24h'!E46,'03.08 Kyebando-Mulago-24h'!E46,'04.08 Kyebando-Mulago'!E46)</f>
        <v>5.1428571428571432</v>
      </c>
      <c r="F46" s="49">
        <f>AVERAGE('02.08 Kyebando-Mulago'!F46,'29.07 Kyebando-Mulago'!F46,'30.07 -Kyebando-Mulago'!F46,'31.07 Kyebando-Mulago'!F46,'01.08 Kyebando-Mulago-24h'!F46,'03.08 Kyebando-Mulago-24h'!F46,'04.08 Kyebando-Mulago'!F46)</f>
        <v>10.285714285714286</v>
      </c>
      <c r="G46" s="49">
        <f>AVERAGE('02.08 Kyebando-Mulago'!G46,'29.07 Kyebando-Mulago'!G46,'30.07 -Kyebando-Mulago'!G46,'31.07 Kyebando-Mulago'!G46,'01.08 Kyebando-Mulago-24h'!G46,'03.08 Kyebando-Mulago-24h'!G46,'04.08 Kyebando-Mulago'!G46)</f>
        <v>0.14285714285714285</v>
      </c>
      <c r="H46" s="49">
        <f>AVERAGE('02.08 Kyebando-Mulago'!H46,'29.07 Kyebando-Mulago'!H46,'30.07 -Kyebando-Mulago'!H46,'31.07 Kyebando-Mulago'!H46,'01.08 Kyebando-Mulago-24h'!H46,'03.08 Kyebando-Mulago-24h'!H46,'04.08 Kyebando-Mulago'!H46)</f>
        <v>0.14285714285714285</v>
      </c>
      <c r="I46" s="49">
        <f>AVERAGE('02.08 Kyebando-Mulago'!I46,'29.07 Kyebando-Mulago'!I46,'30.07 -Kyebando-Mulago'!I46,'31.07 Kyebando-Mulago'!I46,'01.08 Kyebando-Mulago-24h'!I46,'03.08 Kyebando-Mulago-24h'!I46,'04.08 Kyebando-Mulago'!I46)</f>
        <v>3.7142857142857144</v>
      </c>
      <c r="J46" s="49">
        <f>AVERAGE('02.08 Kyebando-Mulago'!J46,'29.07 Kyebando-Mulago'!J46,'30.07 -Kyebando-Mulago'!J46,'31.07 Kyebando-Mulago'!J46,'01.08 Kyebando-Mulago-24h'!J46,'03.08 Kyebando-Mulago-24h'!J46,'04.08 Kyebando-Mulago'!J46)</f>
        <v>0.8571428571428571</v>
      </c>
      <c r="K46" s="49">
        <f>AVERAGE('02.08 Kyebando-Mulago'!K46,'29.07 Kyebando-Mulago'!K46,'30.07 -Kyebando-Mulago'!K46,'31.07 Kyebando-Mulago'!K46,'01.08 Kyebando-Mulago-24h'!K46,'03.08 Kyebando-Mulago-24h'!K46,'04.08 Kyebando-Mulago'!K46)</f>
        <v>0</v>
      </c>
      <c r="L46" s="49">
        <f>AVERAGE('02.08 Kyebando-Mulago'!L46,'29.07 Kyebando-Mulago'!L46,'30.07 -Kyebando-Mulago'!L46,'31.07 Kyebando-Mulago'!L46,'01.08 Kyebando-Mulago-24h'!L46,'03.08 Kyebando-Mulago-24h'!L46,'04.08 Kyebando-Mulago'!L46)</f>
        <v>0</v>
      </c>
      <c r="M46" s="49">
        <f>AVERAGE('02.08 Kyebando-Mulago'!M46,'29.07 Kyebando-Mulago'!M46,'30.07 -Kyebando-Mulago'!M46,'31.07 Kyebando-Mulago'!M46,'01.08 Kyebando-Mulago-24h'!M46,'03.08 Kyebando-Mulago-24h'!M46,'04.08 Kyebando-Mulago'!M46)</f>
        <v>93.428571428571431</v>
      </c>
      <c r="N46" s="49">
        <f>AVERAGE('02.08 Kyebando-Mulago'!N46,'29.07 Kyebando-Mulago'!N46,'30.07 -Kyebando-Mulago'!N46,'31.07 Kyebando-Mulago'!N46,'01.08 Kyebando-Mulago-24h'!N46,'03.08 Kyebando-Mulago-24h'!N46,'04.08 Kyebando-Mulago'!N46)</f>
        <v>0</v>
      </c>
      <c r="O46" s="15">
        <f t="shared" si="0"/>
        <v>73.142857142857139</v>
      </c>
      <c r="P46" s="15">
        <f t="shared" si="1"/>
        <v>166.57142857142856</v>
      </c>
      <c r="R46" s="8"/>
      <c r="T46"/>
    </row>
    <row r="47" spans="2:32" ht="23.1" customHeight="1" x14ac:dyDescent="0.25">
      <c r="B47" s="24" t="s">
        <v>74</v>
      </c>
      <c r="C47" s="49">
        <f>AVERAGE('02.08 Kyebando-Mulago'!C47,'29.07 Kyebando-Mulago'!C47,'30.07 -Kyebando-Mulago'!C47,'31.07 Kyebando-Mulago'!C47,'01.08 Kyebando-Mulago-24h'!C47,'03.08 Kyebando-Mulago-24h'!C47,'04.08 Kyebando-Mulago'!C47)</f>
        <v>46.428571428571431</v>
      </c>
      <c r="D47" s="49">
        <f>AVERAGE('02.08 Kyebando-Mulago'!D47,'29.07 Kyebando-Mulago'!D47,'30.07 -Kyebando-Mulago'!D47,'31.07 Kyebando-Mulago'!D47,'01.08 Kyebando-Mulago-24h'!D47,'03.08 Kyebando-Mulago-24h'!D47,'04.08 Kyebando-Mulago'!D47)</f>
        <v>8.1428571428571423</v>
      </c>
      <c r="E47" s="49">
        <f>AVERAGE('02.08 Kyebando-Mulago'!E47,'29.07 Kyebando-Mulago'!E47,'30.07 -Kyebando-Mulago'!E47,'31.07 Kyebando-Mulago'!E47,'01.08 Kyebando-Mulago-24h'!E47,'03.08 Kyebando-Mulago-24h'!E47,'04.08 Kyebando-Mulago'!E47)</f>
        <v>6.4285714285714288</v>
      </c>
      <c r="F47" s="49">
        <f>AVERAGE('02.08 Kyebando-Mulago'!F47,'29.07 Kyebando-Mulago'!F47,'30.07 -Kyebando-Mulago'!F47,'31.07 Kyebando-Mulago'!F47,'01.08 Kyebando-Mulago-24h'!F47,'03.08 Kyebando-Mulago-24h'!F47,'04.08 Kyebando-Mulago'!F47)</f>
        <v>10.571428571428571</v>
      </c>
      <c r="G47" s="49">
        <f>AVERAGE('02.08 Kyebando-Mulago'!G47,'29.07 Kyebando-Mulago'!G47,'30.07 -Kyebando-Mulago'!G47,'31.07 Kyebando-Mulago'!G47,'01.08 Kyebando-Mulago-24h'!G47,'03.08 Kyebando-Mulago-24h'!G47,'04.08 Kyebando-Mulago'!G47)</f>
        <v>0.14285714285714285</v>
      </c>
      <c r="H47" s="49">
        <f>AVERAGE('02.08 Kyebando-Mulago'!H47,'29.07 Kyebando-Mulago'!H47,'30.07 -Kyebando-Mulago'!H47,'31.07 Kyebando-Mulago'!H47,'01.08 Kyebando-Mulago-24h'!H47,'03.08 Kyebando-Mulago-24h'!H47,'04.08 Kyebando-Mulago'!H47)</f>
        <v>0</v>
      </c>
      <c r="I47" s="49">
        <f>AVERAGE('02.08 Kyebando-Mulago'!I47,'29.07 Kyebando-Mulago'!I47,'30.07 -Kyebando-Mulago'!I47,'31.07 Kyebando-Mulago'!I47,'01.08 Kyebando-Mulago-24h'!I47,'03.08 Kyebando-Mulago-24h'!I47,'04.08 Kyebando-Mulago'!I47)</f>
        <v>1.8571428571428572</v>
      </c>
      <c r="J47" s="49">
        <f>AVERAGE('02.08 Kyebando-Mulago'!J47,'29.07 Kyebando-Mulago'!J47,'30.07 -Kyebando-Mulago'!J47,'31.07 Kyebando-Mulago'!J47,'01.08 Kyebando-Mulago-24h'!J47,'03.08 Kyebando-Mulago-24h'!J47,'04.08 Kyebando-Mulago'!J47)</f>
        <v>0.2857142857142857</v>
      </c>
      <c r="K47" s="49">
        <f>AVERAGE('02.08 Kyebando-Mulago'!K47,'29.07 Kyebando-Mulago'!K47,'30.07 -Kyebando-Mulago'!K47,'31.07 Kyebando-Mulago'!K47,'01.08 Kyebando-Mulago-24h'!K47,'03.08 Kyebando-Mulago-24h'!K47,'04.08 Kyebando-Mulago'!K47)</f>
        <v>0</v>
      </c>
      <c r="L47" s="49">
        <f>AVERAGE('02.08 Kyebando-Mulago'!L47,'29.07 Kyebando-Mulago'!L47,'30.07 -Kyebando-Mulago'!L47,'31.07 Kyebando-Mulago'!L47,'01.08 Kyebando-Mulago-24h'!L47,'03.08 Kyebando-Mulago-24h'!L47,'04.08 Kyebando-Mulago'!L47)</f>
        <v>0</v>
      </c>
      <c r="M47" s="49">
        <f>AVERAGE('02.08 Kyebando-Mulago'!M47,'29.07 Kyebando-Mulago'!M47,'30.07 -Kyebando-Mulago'!M47,'31.07 Kyebando-Mulago'!M47,'01.08 Kyebando-Mulago-24h'!M47,'03.08 Kyebando-Mulago-24h'!M47,'04.08 Kyebando-Mulago'!M47)</f>
        <v>83.428571428571431</v>
      </c>
      <c r="N47" s="49">
        <f>AVERAGE('02.08 Kyebando-Mulago'!N47,'29.07 Kyebando-Mulago'!N47,'30.07 -Kyebando-Mulago'!N47,'31.07 Kyebando-Mulago'!N47,'01.08 Kyebando-Mulago-24h'!N47,'03.08 Kyebando-Mulago-24h'!N47,'04.08 Kyebando-Mulago'!N47)</f>
        <v>0</v>
      </c>
      <c r="O47" s="15">
        <f t="shared" si="0"/>
        <v>73.857142857142861</v>
      </c>
      <c r="P47" s="15">
        <f t="shared" si="1"/>
        <v>157.28571428571428</v>
      </c>
    </row>
    <row r="48" spans="2:32" ht="23.1" customHeight="1" x14ac:dyDescent="0.25">
      <c r="B48" s="24" t="s">
        <v>75</v>
      </c>
      <c r="C48" s="49">
        <f>AVERAGE('02.08 Kyebando-Mulago'!C48,'29.07 Kyebando-Mulago'!C48,'30.07 -Kyebando-Mulago'!C48,'31.07 Kyebando-Mulago'!C48,'01.08 Kyebando-Mulago-24h'!C48,'03.08 Kyebando-Mulago-24h'!C48,'04.08 Kyebando-Mulago'!C48)</f>
        <v>49</v>
      </c>
      <c r="D48" s="49">
        <f>AVERAGE('02.08 Kyebando-Mulago'!D48,'29.07 Kyebando-Mulago'!D48,'30.07 -Kyebando-Mulago'!D48,'31.07 Kyebando-Mulago'!D48,'01.08 Kyebando-Mulago-24h'!D48,'03.08 Kyebando-Mulago-24h'!D48,'04.08 Kyebando-Mulago'!D48)</f>
        <v>10.857142857142858</v>
      </c>
      <c r="E48" s="49">
        <f>AVERAGE('02.08 Kyebando-Mulago'!E48,'29.07 Kyebando-Mulago'!E48,'30.07 -Kyebando-Mulago'!E48,'31.07 Kyebando-Mulago'!E48,'01.08 Kyebando-Mulago-24h'!E48,'03.08 Kyebando-Mulago-24h'!E48,'04.08 Kyebando-Mulago'!E48)</f>
        <v>5.8571428571428568</v>
      </c>
      <c r="F48" s="49">
        <f>AVERAGE('02.08 Kyebando-Mulago'!F48,'29.07 Kyebando-Mulago'!F48,'30.07 -Kyebando-Mulago'!F48,'31.07 Kyebando-Mulago'!F48,'01.08 Kyebando-Mulago-24h'!F48,'03.08 Kyebando-Mulago-24h'!F48,'04.08 Kyebando-Mulago'!F48)</f>
        <v>9.5714285714285712</v>
      </c>
      <c r="G48" s="49">
        <f>AVERAGE('02.08 Kyebando-Mulago'!G48,'29.07 Kyebando-Mulago'!G48,'30.07 -Kyebando-Mulago'!G48,'31.07 Kyebando-Mulago'!G48,'01.08 Kyebando-Mulago-24h'!G48,'03.08 Kyebando-Mulago-24h'!G48,'04.08 Kyebando-Mulago'!G48)</f>
        <v>0.42857142857142855</v>
      </c>
      <c r="H48" s="49">
        <f>AVERAGE('02.08 Kyebando-Mulago'!H48,'29.07 Kyebando-Mulago'!H48,'30.07 -Kyebando-Mulago'!H48,'31.07 Kyebando-Mulago'!H48,'01.08 Kyebando-Mulago-24h'!H48,'03.08 Kyebando-Mulago-24h'!H48,'04.08 Kyebando-Mulago'!H48)</f>
        <v>0</v>
      </c>
      <c r="I48" s="49">
        <f>AVERAGE('02.08 Kyebando-Mulago'!I48,'29.07 Kyebando-Mulago'!I48,'30.07 -Kyebando-Mulago'!I48,'31.07 Kyebando-Mulago'!I48,'01.08 Kyebando-Mulago-24h'!I48,'03.08 Kyebando-Mulago-24h'!I48,'04.08 Kyebando-Mulago'!I48)</f>
        <v>3.1428571428571428</v>
      </c>
      <c r="J48" s="49">
        <f>AVERAGE('02.08 Kyebando-Mulago'!J48,'29.07 Kyebando-Mulago'!J48,'30.07 -Kyebando-Mulago'!J48,'31.07 Kyebando-Mulago'!J48,'01.08 Kyebando-Mulago-24h'!J48,'03.08 Kyebando-Mulago-24h'!J48,'04.08 Kyebando-Mulago'!J48)</f>
        <v>0.2857142857142857</v>
      </c>
      <c r="K48" s="49">
        <f>AVERAGE('02.08 Kyebando-Mulago'!K48,'29.07 Kyebando-Mulago'!K48,'30.07 -Kyebando-Mulago'!K48,'31.07 Kyebando-Mulago'!K48,'01.08 Kyebando-Mulago-24h'!K48,'03.08 Kyebando-Mulago-24h'!K48,'04.08 Kyebando-Mulago'!K48)</f>
        <v>0</v>
      </c>
      <c r="L48" s="49">
        <f>AVERAGE('02.08 Kyebando-Mulago'!L48,'29.07 Kyebando-Mulago'!L48,'30.07 -Kyebando-Mulago'!L48,'31.07 Kyebando-Mulago'!L48,'01.08 Kyebando-Mulago-24h'!L48,'03.08 Kyebando-Mulago-24h'!L48,'04.08 Kyebando-Mulago'!L48)</f>
        <v>0</v>
      </c>
      <c r="M48" s="49">
        <f>AVERAGE('02.08 Kyebando-Mulago'!M48,'29.07 Kyebando-Mulago'!M48,'30.07 -Kyebando-Mulago'!M48,'31.07 Kyebando-Mulago'!M48,'01.08 Kyebando-Mulago-24h'!M48,'03.08 Kyebando-Mulago-24h'!M48,'04.08 Kyebando-Mulago'!M48)</f>
        <v>104.71428571428571</v>
      </c>
      <c r="N48" s="49">
        <f>AVERAGE('02.08 Kyebando-Mulago'!N48,'29.07 Kyebando-Mulago'!N48,'30.07 -Kyebando-Mulago'!N48,'31.07 Kyebando-Mulago'!N48,'01.08 Kyebando-Mulago-24h'!N48,'03.08 Kyebando-Mulago-24h'!N48,'04.08 Kyebando-Mulago'!N48)</f>
        <v>0</v>
      </c>
      <c r="O48" s="15">
        <f t="shared" si="0"/>
        <v>79.142857142857153</v>
      </c>
      <c r="P48" s="15">
        <f t="shared" si="1"/>
        <v>183.85714285714286</v>
      </c>
    </row>
    <row r="49" spans="2:20" ht="23.1" customHeight="1" x14ac:dyDescent="0.25">
      <c r="B49" s="23" t="s">
        <v>76</v>
      </c>
      <c r="C49" s="49">
        <f>AVERAGE('02.08 Kyebando-Mulago'!C49,'29.07 Kyebando-Mulago'!C49,'30.07 -Kyebando-Mulago'!C49,'31.07 Kyebando-Mulago'!C49,'01.08 Kyebando-Mulago-24h'!C49,'03.08 Kyebando-Mulago-24h'!C49,'04.08 Kyebando-Mulago'!C49)</f>
        <v>47.857142857142854</v>
      </c>
      <c r="D49" s="49">
        <f>AVERAGE('02.08 Kyebando-Mulago'!D49,'29.07 Kyebando-Mulago'!D49,'30.07 -Kyebando-Mulago'!D49,'31.07 Kyebando-Mulago'!D49,'01.08 Kyebando-Mulago-24h'!D49,'03.08 Kyebando-Mulago-24h'!D49,'04.08 Kyebando-Mulago'!D49)</f>
        <v>8.1428571428571423</v>
      </c>
      <c r="E49" s="49">
        <f>AVERAGE('02.08 Kyebando-Mulago'!E49,'29.07 Kyebando-Mulago'!E49,'30.07 -Kyebando-Mulago'!E49,'31.07 Kyebando-Mulago'!E49,'01.08 Kyebando-Mulago-24h'!E49,'03.08 Kyebando-Mulago-24h'!E49,'04.08 Kyebando-Mulago'!E49)</f>
        <v>5.4285714285714288</v>
      </c>
      <c r="F49" s="49">
        <f>AVERAGE('02.08 Kyebando-Mulago'!F49,'29.07 Kyebando-Mulago'!F49,'30.07 -Kyebando-Mulago'!F49,'31.07 Kyebando-Mulago'!F49,'01.08 Kyebando-Mulago-24h'!F49,'03.08 Kyebando-Mulago-24h'!F49,'04.08 Kyebando-Mulago'!F49)</f>
        <v>8.7142857142857135</v>
      </c>
      <c r="G49" s="49">
        <f>AVERAGE('02.08 Kyebando-Mulago'!G49,'29.07 Kyebando-Mulago'!G49,'30.07 -Kyebando-Mulago'!G49,'31.07 Kyebando-Mulago'!G49,'01.08 Kyebando-Mulago-24h'!G49,'03.08 Kyebando-Mulago-24h'!G49,'04.08 Kyebando-Mulago'!G49)</f>
        <v>0.14285714285714285</v>
      </c>
      <c r="H49" s="49">
        <f>AVERAGE('02.08 Kyebando-Mulago'!H49,'29.07 Kyebando-Mulago'!H49,'30.07 -Kyebando-Mulago'!H49,'31.07 Kyebando-Mulago'!H49,'01.08 Kyebando-Mulago-24h'!H49,'03.08 Kyebando-Mulago-24h'!H49,'04.08 Kyebando-Mulago'!H49)</f>
        <v>0</v>
      </c>
      <c r="I49" s="49">
        <f>AVERAGE('02.08 Kyebando-Mulago'!I49,'29.07 Kyebando-Mulago'!I49,'30.07 -Kyebando-Mulago'!I49,'31.07 Kyebando-Mulago'!I49,'01.08 Kyebando-Mulago-24h'!I49,'03.08 Kyebando-Mulago-24h'!I49,'04.08 Kyebando-Mulago'!I49)</f>
        <v>2</v>
      </c>
      <c r="J49" s="49">
        <f>AVERAGE('02.08 Kyebando-Mulago'!J49,'29.07 Kyebando-Mulago'!J49,'30.07 -Kyebando-Mulago'!J49,'31.07 Kyebando-Mulago'!J49,'01.08 Kyebando-Mulago-24h'!J49,'03.08 Kyebando-Mulago-24h'!J49,'04.08 Kyebando-Mulago'!J49)</f>
        <v>1</v>
      </c>
      <c r="K49" s="49">
        <f>AVERAGE('02.08 Kyebando-Mulago'!K49,'29.07 Kyebando-Mulago'!K49,'30.07 -Kyebando-Mulago'!K49,'31.07 Kyebando-Mulago'!K49,'01.08 Kyebando-Mulago-24h'!K49,'03.08 Kyebando-Mulago-24h'!K49,'04.08 Kyebando-Mulago'!K49)</f>
        <v>0</v>
      </c>
      <c r="L49" s="49">
        <f>AVERAGE('02.08 Kyebando-Mulago'!L49,'29.07 Kyebando-Mulago'!L49,'30.07 -Kyebando-Mulago'!L49,'31.07 Kyebando-Mulago'!L49,'01.08 Kyebando-Mulago-24h'!L49,'03.08 Kyebando-Mulago-24h'!L49,'04.08 Kyebando-Mulago'!L49)</f>
        <v>0</v>
      </c>
      <c r="M49" s="49">
        <f>AVERAGE('02.08 Kyebando-Mulago'!M49,'29.07 Kyebando-Mulago'!M49,'30.07 -Kyebando-Mulago'!M49,'31.07 Kyebando-Mulago'!M49,'01.08 Kyebando-Mulago-24h'!M49,'03.08 Kyebando-Mulago-24h'!M49,'04.08 Kyebando-Mulago'!M49)</f>
        <v>88.428571428571431</v>
      </c>
      <c r="N49" s="49">
        <f>AVERAGE('02.08 Kyebando-Mulago'!N49,'29.07 Kyebando-Mulago'!N49,'30.07 -Kyebando-Mulago'!N49,'31.07 Kyebando-Mulago'!N49,'01.08 Kyebando-Mulago-24h'!N49,'03.08 Kyebando-Mulago-24h'!N49,'04.08 Kyebando-Mulago'!N49)</f>
        <v>0</v>
      </c>
      <c r="O49" s="15">
        <f t="shared" si="0"/>
        <v>73.285714285714278</v>
      </c>
      <c r="P49" s="15">
        <f t="shared" si="1"/>
        <v>161.71428571428572</v>
      </c>
    </row>
    <row r="50" spans="2:20" ht="23.1" customHeight="1" x14ac:dyDescent="0.25">
      <c r="B50" s="24" t="s">
        <v>77</v>
      </c>
      <c r="C50" s="49">
        <f>AVERAGE('02.08 Kyebando-Mulago'!C50,'29.07 Kyebando-Mulago'!C50,'30.07 -Kyebando-Mulago'!C50,'31.07 Kyebando-Mulago'!C50,'01.08 Kyebando-Mulago-24h'!C50,'03.08 Kyebando-Mulago-24h'!C50,'04.08 Kyebando-Mulago'!C50)</f>
        <v>39.142857142857146</v>
      </c>
      <c r="D50" s="49">
        <f>AVERAGE('02.08 Kyebando-Mulago'!D50,'29.07 Kyebando-Mulago'!D50,'30.07 -Kyebando-Mulago'!D50,'31.07 Kyebando-Mulago'!D50,'01.08 Kyebando-Mulago-24h'!D50,'03.08 Kyebando-Mulago-24h'!D50,'04.08 Kyebando-Mulago'!D50)</f>
        <v>10.857142857142858</v>
      </c>
      <c r="E50" s="49">
        <f>AVERAGE('02.08 Kyebando-Mulago'!E50,'29.07 Kyebando-Mulago'!E50,'30.07 -Kyebando-Mulago'!E50,'31.07 Kyebando-Mulago'!E50,'01.08 Kyebando-Mulago-24h'!E50,'03.08 Kyebando-Mulago-24h'!E50,'04.08 Kyebando-Mulago'!E50)</f>
        <v>5.7142857142857144</v>
      </c>
      <c r="F50" s="49">
        <f>AVERAGE('02.08 Kyebando-Mulago'!F50,'29.07 Kyebando-Mulago'!F50,'30.07 -Kyebando-Mulago'!F50,'31.07 Kyebando-Mulago'!F50,'01.08 Kyebando-Mulago-24h'!F50,'03.08 Kyebando-Mulago-24h'!F50,'04.08 Kyebando-Mulago'!F50)</f>
        <v>9.8571428571428577</v>
      </c>
      <c r="G50" s="49">
        <f>AVERAGE('02.08 Kyebando-Mulago'!G50,'29.07 Kyebando-Mulago'!G50,'30.07 -Kyebando-Mulago'!G50,'31.07 Kyebando-Mulago'!G50,'01.08 Kyebando-Mulago-24h'!G50,'03.08 Kyebando-Mulago-24h'!G50,'04.08 Kyebando-Mulago'!G50)</f>
        <v>0</v>
      </c>
      <c r="H50" s="49">
        <f>AVERAGE('02.08 Kyebando-Mulago'!H50,'29.07 Kyebando-Mulago'!H50,'30.07 -Kyebando-Mulago'!H50,'31.07 Kyebando-Mulago'!H50,'01.08 Kyebando-Mulago-24h'!H50,'03.08 Kyebando-Mulago-24h'!H50,'04.08 Kyebando-Mulago'!H50)</f>
        <v>0</v>
      </c>
      <c r="I50" s="49">
        <f>AVERAGE('02.08 Kyebando-Mulago'!I50,'29.07 Kyebando-Mulago'!I50,'30.07 -Kyebando-Mulago'!I50,'31.07 Kyebando-Mulago'!I50,'01.08 Kyebando-Mulago-24h'!I50,'03.08 Kyebando-Mulago-24h'!I50,'04.08 Kyebando-Mulago'!I50)</f>
        <v>3.7142857142857144</v>
      </c>
      <c r="J50" s="49">
        <f>AVERAGE('02.08 Kyebando-Mulago'!J50,'29.07 Kyebando-Mulago'!J50,'30.07 -Kyebando-Mulago'!J50,'31.07 Kyebando-Mulago'!J50,'01.08 Kyebando-Mulago-24h'!J50,'03.08 Kyebando-Mulago-24h'!J50,'04.08 Kyebando-Mulago'!J50)</f>
        <v>0.42857142857142855</v>
      </c>
      <c r="K50" s="49">
        <f>AVERAGE('02.08 Kyebando-Mulago'!K50,'29.07 Kyebando-Mulago'!K50,'30.07 -Kyebando-Mulago'!K50,'31.07 Kyebando-Mulago'!K50,'01.08 Kyebando-Mulago-24h'!K50,'03.08 Kyebando-Mulago-24h'!K50,'04.08 Kyebando-Mulago'!K50)</f>
        <v>0</v>
      </c>
      <c r="L50" s="49">
        <f>AVERAGE('02.08 Kyebando-Mulago'!L50,'29.07 Kyebando-Mulago'!L50,'30.07 -Kyebando-Mulago'!L50,'31.07 Kyebando-Mulago'!L50,'01.08 Kyebando-Mulago-24h'!L50,'03.08 Kyebando-Mulago-24h'!L50,'04.08 Kyebando-Mulago'!L50)</f>
        <v>0</v>
      </c>
      <c r="M50" s="49">
        <f>AVERAGE('02.08 Kyebando-Mulago'!M50,'29.07 Kyebando-Mulago'!M50,'30.07 -Kyebando-Mulago'!M50,'31.07 Kyebando-Mulago'!M50,'01.08 Kyebando-Mulago-24h'!M50,'03.08 Kyebando-Mulago-24h'!M50,'04.08 Kyebando-Mulago'!M50)</f>
        <v>90.571428571428569</v>
      </c>
      <c r="N50" s="49">
        <f>AVERAGE('02.08 Kyebando-Mulago'!N50,'29.07 Kyebando-Mulago'!N50,'30.07 -Kyebando-Mulago'!N50,'31.07 Kyebando-Mulago'!N50,'01.08 Kyebando-Mulago-24h'!N50,'03.08 Kyebando-Mulago-24h'!N50,'04.08 Kyebando-Mulago'!N50)</f>
        <v>0</v>
      </c>
      <c r="O50" s="15">
        <f t="shared" si="0"/>
        <v>69.714285714285708</v>
      </c>
      <c r="P50" s="15">
        <f t="shared" si="1"/>
        <v>160.28571428571428</v>
      </c>
    </row>
    <row r="51" spans="2:20" ht="23.1" customHeight="1" x14ac:dyDescent="0.25">
      <c r="B51" s="24" t="s">
        <v>78</v>
      </c>
      <c r="C51" s="49">
        <f>AVERAGE('02.08 Kyebando-Mulago'!C51,'29.07 Kyebando-Mulago'!C51,'30.07 -Kyebando-Mulago'!C51,'31.07 Kyebando-Mulago'!C51,'01.08 Kyebando-Mulago-24h'!C51,'03.08 Kyebando-Mulago-24h'!C51,'04.08 Kyebando-Mulago'!C51)</f>
        <v>41.428571428571431</v>
      </c>
      <c r="D51" s="49">
        <f>AVERAGE('02.08 Kyebando-Mulago'!D51,'29.07 Kyebando-Mulago'!D51,'30.07 -Kyebando-Mulago'!D51,'31.07 Kyebando-Mulago'!D51,'01.08 Kyebando-Mulago-24h'!D51,'03.08 Kyebando-Mulago-24h'!D51,'04.08 Kyebando-Mulago'!D51)</f>
        <v>8.1428571428571423</v>
      </c>
      <c r="E51" s="49">
        <f>AVERAGE('02.08 Kyebando-Mulago'!E51,'29.07 Kyebando-Mulago'!E51,'30.07 -Kyebando-Mulago'!E51,'31.07 Kyebando-Mulago'!E51,'01.08 Kyebando-Mulago-24h'!E51,'03.08 Kyebando-Mulago-24h'!E51,'04.08 Kyebando-Mulago'!E51)</f>
        <v>6.1428571428571432</v>
      </c>
      <c r="F51" s="49">
        <f>AVERAGE('02.08 Kyebando-Mulago'!F51,'29.07 Kyebando-Mulago'!F51,'30.07 -Kyebando-Mulago'!F51,'31.07 Kyebando-Mulago'!F51,'01.08 Kyebando-Mulago-24h'!F51,'03.08 Kyebando-Mulago-24h'!F51,'04.08 Kyebando-Mulago'!F51)</f>
        <v>9.4285714285714288</v>
      </c>
      <c r="G51" s="49">
        <f>AVERAGE('02.08 Kyebando-Mulago'!G51,'29.07 Kyebando-Mulago'!G51,'30.07 -Kyebando-Mulago'!G51,'31.07 Kyebando-Mulago'!G51,'01.08 Kyebando-Mulago-24h'!G51,'03.08 Kyebando-Mulago-24h'!G51,'04.08 Kyebando-Mulago'!G51)</f>
        <v>0.14285714285714285</v>
      </c>
      <c r="H51" s="49">
        <f>AVERAGE('02.08 Kyebando-Mulago'!H51,'29.07 Kyebando-Mulago'!H51,'30.07 -Kyebando-Mulago'!H51,'31.07 Kyebando-Mulago'!H51,'01.08 Kyebando-Mulago-24h'!H51,'03.08 Kyebando-Mulago-24h'!H51,'04.08 Kyebando-Mulago'!H51)</f>
        <v>0</v>
      </c>
      <c r="I51" s="49">
        <f>AVERAGE('02.08 Kyebando-Mulago'!I51,'29.07 Kyebando-Mulago'!I51,'30.07 -Kyebando-Mulago'!I51,'31.07 Kyebando-Mulago'!I51,'01.08 Kyebando-Mulago-24h'!I51,'03.08 Kyebando-Mulago-24h'!I51,'04.08 Kyebando-Mulago'!I51)</f>
        <v>2.1428571428571428</v>
      </c>
      <c r="J51" s="49">
        <f>AVERAGE('02.08 Kyebando-Mulago'!J51,'29.07 Kyebando-Mulago'!J51,'30.07 -Kyebando-Mulago'!J51,'31.07 Kyebando-Mulago'!J51,'01.08 Kyebando-Mulago-24h'!J51,'03.08 Kyebando-Mulago-24h'!J51,'04.08 Kyebando-Mulago'!J51)</f>
        <v>0.2857142857142857</v>
      </c>
      <c r="K51" s="49">
        <f>AVERAGE('02.08 Kyebando-Mulago'!K51,'29.07 Kyebando-Mulago'!K51,'30.07 -Kyebando-Mulago'!K51,'31.07 Kyebando-Mulago'!K51,'01.08 Kyebando-Mulago-24h'!K51,'03.08 Kyebando-Mulago-24h'!K51,'04.08 Kyebando-Mulago'!K51)</f>
        <v>0.2857142857142857</v>
      </c>
      <c r="L51" s="49">
        <f>AVERAGE('02.08 Kyebando-Mulago'!L51,'29.07 Kyebando-Mulago'!L51,'30.07 -Kyebando-Mulago'!L51,'31.07 Kyebando-Mulago'!L51,'01.08 Kyebando-Mulago-24h'!L51,'03.08 Kyebando-Mulago-24h'!L51,'04.08 Kyebando-Mulago'!L51)</f>
        <v>0</v>
      </c>
      <c r="M51" s="49">
        <f>AVERAGE('02.08 Kyebando-Mulago'!M51,'29.07 Kyebando-Mulago'!M51,'30.07 -Kyebando-Mulago'!M51,'31.07 Kyebando-Mulago'!M51,'01.08 Kyebando-Mulago-24h'!M51,'03.08 Kyebando-Mulago-24h'!M51,'04.08 Kyebando-Mulago'!M51)</f>
        <v>98.285714285714292</v>
      </c>
      <c r="N51" s="49">
        <f>AVERAGE('02.08 Kyebando-Mulago'!N51,'29.07 Kyebando-Mulago'!N51,'30.07 -Kyebando-Mulago'!N51,'31.07 Kyebando-Mulago'!N51,'01.08 Kyebando-Mulago-24h'!N51,'03.08 Kyebando-Mulago-24h'!N51,'04.08 Kyebando-Mulago'!N51)</f>
        <v>0</v>
      </c>
      <c r="O51" s="15">
        <f t="shared" si="0"/>
        <v>68</v>
      </c>
      <c r="P51" s="15">
        <f t="shared" si="1"/>
        <v>166.28571428571428</v>
      </c>
    </row>
    <row r="52" spans="2:20" ht="23.1" customHeight="1" x14ac:dyDescent="0.25">
      <c r="B52" s="24" t="s">
        <v>79</v>
      </c>
      <c r="C52" s="49">
        <f>AVERAGE('02.08 Kyebando-Mulago'!C52,'29.07 Kyebando-Mulago'!C52,'30.07 -Kyebando-Mulago'!C52,'31.07 Kyebando-Mulago'!C52,'01.08 Kyebando-Mulago-24h'!C52,'03.08 Kyebando-Mulago-24h'!C52,'04.08 Kyebando-Mulago'!C52)</f>
        <v>50.428571428571431</v>
      </c>
      <c r="D52" s="49">
        <f>AVERAGE('02.08 Kyebando-Mulago'!D52,'29.07 Kyebando-Mulago'!D52,'30.07 -Kyebando-Mulago'!D52,'31.07 Kyebando-Mulago'!D52,'01.08 Kyebando-Mulago-24h'!D52,'03.08 Kyebando-Mulago-24h'!D52,'04.08 Kyebando-Mulago'!D52)</f>
        <v>10.142857142857142</v>
      </c>
      <c r="E52" s="49">
        <f>AVERAGE('02.08 Kyebando-Mulago'!E52,'29.07 Kyebando-Mulago'!E52,'30.07 -Kyebando-Mulago'!E52,'31.07 Kyebando-Mulago'!E52,'01.08 Kyebando-Mulago-24h'!E52,'03.08 Kyebando-Mulago-24h'!E52,'04.08 Kyebando-Mulago'!E52)</f>
        <v>8.8571428571428577</v>
      </c>
      <c r="F52" s="49">
        <f>AVERAGE('02.08 Kyebando-Mulago'!F52,'29.07 Kyebando-Mulago'!F52,'30.07 -Kyebando-Mulago'!F52,'31.07 Kyebando-Mulago'!F52,'01.08 Kyebando-Mulago-24h'!F52,'03.08 Kyebando-Mulago-24h'!F52,'04.08 Kyebando-Mulago'!F52)</f>
        <v>10.571428571428571</v>
      </c>
      <c r="G52" s="49">
        <f>AVERAGE('02.08 Kyebando-Mulago'!G52,'29.07 Kyebando-Mulago'!G52,'30.07 -Kyebando-Mulago'!G52,'31.07 Kyebando-Mulago'!G52,'01.08 Kyebando-Mulago-24h'!G52,'03.08 Kyebando-Mulago-24h'!G52,'04.08 Kyebando-Mulago'!G52)</f>
        <v>1</v>
      </c>
      <c r="H52" s="49">
        <f>AVERAGE('02.08 Kyebando-Mulago'!H52,'29.07 Kyebando-Mulago'!H52,'30.07 -Kyebando-Mulago'!H52,'31.07 Kyebando-Mulago'!H52,'01.08 Kyebando-Mulago-24h'!H52,'03.08 Kyebando-Mulago-24h'!H52,'04.08 Kyebando-Mulago'!H52)</f>
        <v>0</v>
      </c>
      <c r="I52" s="49">
        <f>AVERAGE('02.08 Kyebando-Mulago'!I52,'29.07 Kyebando-Mulago'!I52,'30.07 -Kyebando-Mulago'!I52,'31.07 Kyebando-Mulago'!I52,'01.08 Kyebando-Mulago-24h'!I52,'03.08 Kyebando-Mulago-24h'!I52,'04.08 Kyebando-Mulago'!I52)</f>
        <v>3.2857142857142856</v>
      </c>
      <c r="J52" s="49">
        <f>AVERAGE('02.08 Kyebando-Mulago'!J52,'29.07 Kyebando-Mulago'!J52,'30.07 -Kyebando-Mulago'!J52,'31.07 Kyebando-Mulago'!J52,'01.08 Kyebando-Mulago-24h'!J52,'03.08 Kyebando-Mulago-24h'!J52,'04.08 Kyebando-Mulago'!J52)</f>
        <v>1.2857142857142858</v>
      </c>
      <c r="K52" s="49">
        <f>AVERAGE('02.08 Kyebando-Mulago'!K52,'29.07 Kyebando-Mulago'!K52,'30.07 -Kyebando-Mulago'!K52,'31.07 Kyebando-Mulago'!K52,'01.08 Kyebando-Mulago-24h'!K52,'03.08 Kyebando-Mulago-24h'!K52,'04.08 Kyebando-Mulago'!K52)</f>
        <v>0.14285714285714285</v>
      </c>
      <c r="L52" s="49">
        <f>AVERAGE('02.08 Kyebando-Mulago'!L52,'29.07 Kyebando-Mulago'!L52,'30.07 -Kyebando-Mulago'!L52,'31.07 Kyebando-Mulago'!L52,'01.08 Kyebando-Mulago-24h'!L52,'03.08 Kyebando-Mulago-24h'!L52,'04.08 Kyebando-Mulago'!L52)</f>
        <v>0</v>
      </c>
      <c r="M52" s="49">
        <f>AVERAGE('02.08 Kyebando-Mulago'!M52,'29.07 Kyebando-Mulago'!M52,'30.07 -Kyebando-Mulago'!M52,'31.07 Kyebando-Mulago'!M52,'01.08 Kyebando-Mulago-24h'!M52,'03.08 Kyebando-Mulago-24h'!M52,'04.08 Kyebando-Mulago'!M52)</f>
        <v>125.42857142857143</v>
      </c>
      <c r="N52" s="49">
        <f>AVERAGE('02.08 Kyebando-Mulago'!N52,'29.07 Kyebando-Mulago'!N52,'30.07 -Kyebando-Mulago'!N52,'31.07 Kyebando-Mulago'!N52,'01.08 Kyebando-Mulago-24h'!N52,'03.08 Kyebando-Mulago-24h'!N52,'04.08 Kyebando-Mulago'!N52)</f>
        <v>0</v>
      </c>
      <c r="O52" s="15">
        <f t="shared" si="0"/>
        <v>85.714285714285722</v>
      </c>
      <c r="P52" s="15">
        <f t="shared" si="1"/>
        <v>211.14285714285717</v>
      </c>
    </row>
    <row r="53" spans="2:20" ht="23.1" customHeight="1" x14ac:dyDescent="0.25">
      <c r="B53" s="23" t="s">
        <v>80</v>
      </c>
      <c r="C53" s="49">
        <f>AVERAGE('02.08 Kyebando-Mulago'!C53,'29.07 Kyebando-Mulago'!C53,'30.07 -Kyebando-Mulago'!C53,'31.07 Kyebando-Mulago'!C53,'01.08 Kyebando-Mulago-24h'!C53,'03.08 Kyebando-Mulago-24h'!C53,'04.08 Kyebando-Mulago'!C53)</f>
        <v>47.857142857142854</v>
      </c>
      <c r="D53" s="49">
        <f>AVERAGE('02.08 Kyebando-Mulago'!D53,'29.07 Kyebando-Mulago'!D53,'30.07 -Kyebando-Mulago'!D53,'31.07 Kyebando-Mulago'!D53,'01.08 Kyebando-Mulago-24h'!D53,'03.08 Kyebando-Mulago-24h'!D53,'04.08 Kyebando-Mulago'!D53)</f>
        <v>8.5714285714285712</v>
      </c>
      <c r="E53" s="49">
        <f>AVERAGE('02.08 Kyebando-Mulago'!E53,'29.07 Kyebando-Mulago'!E53,'30.07 -Kyebando-Mulago'!E53,'31.07 Kyebando-Mulago'!E53,'01.08 Kyebando-Mulago-24h'!E53,'03.08 Kyebando-Mulago-24h'!E53,'04.08 Kyebando-Mulago'!E53)</f>
        <v>6.1428571428571432</v>
      </c>
      <c r="F53" s="49">
        <f>AVERAGE('02.08 Kyebando-Mulago'!F53,'29.07 Kyebando-Mulago'!F53,'30.07 -Kyebando-Mulago'!F53,'31.07 Kyebando-Mulago'!F53,'01.08 Kyebando-Mulago-24h'!F53,'03.08 Kyebando-Mulago-24h'!F53,'04.08 Kyebando-Mulago'!F53)</f>
        <v>7.7142857142857144</v>
      </c>
      <c r="G53" s="49">
        <f>AVERAGE('02.08 Kyebando-Mulago'!G53,'29.07 Kyebando-Mulago'!G53,'30.07 -Kyebando-Mulago'!G53,'31.07 Kyebando-Mulago'!G53,'01.08 Kyebando-Mulago-24h'!G53,'03.08 Kyebando-Mulago-24h'!G53,'04.08 Kyebando-Mulago'!G53)</f>
        <v>0.42857142857142855</v>
      </c>
      <c r="H53" s="49">
        <f>AVERAGE('02.08 Kyebando-Mulago'!H53,'29.07 Kyebando-Mulago'!H53,'30.07 -Kyebando-Mulago'!H53,'31.07 Kyebando-Mulago'!H53,'01.08 Kyebando-Mulago-24h'!H53,'03.08 Kyebando-Mulago-24h'!H53,'04.08 Kyebando-Mulago'!H53)</f>
        <v>0</v>
      </c>
      <c r="I53" s="49">
        <f>AVERAGE('02.08 Kyebando-Mulago'!I53,'29.07 Kyebando-Mulago'!I53,'30.07 -Kyebando-Mulago'!I53,'31.07 Kyebando-Mulago'!I53,'01.08 Kyebando-Mulago-24h'!I53,'03.08 Kyebando-Mulago-24h'!I53,'04.08 Kyebando-Mulago'!I53)</f>
        <v>4.2857142857142856</v>
      </c>
      <c r="J53" s="49">
        <f>AVERAGE('02.08 Kyebando-Mulago'!J53,'29.07 Kyebando-Mulago'!J53,'30.07 -Kyebando-Mulago'!J53,'31.07 Kyebando-Mulago'!J53,'01.08 Kyebando-Mulago-24h'!J53,'03.08 Kyebando-Mulago-24h'!J53,'04.08 Kyebando-Mulago'!J53)</f>
        <v>0.42857142857142855</v>
      </c>
      <c r="K53" s="49">
        <f>AVERAGE('02.08 Kyebando-Mulago'!K53,'29.07 Kyebando-Mulago'!K53,'30.07 -Kyebando-Mulago'!K53,'31.07 Kyebando-Mulago'!K53,'01.08 Kyebando-Mulago-24h'!K53,'03.08 Kyebando-Mulago-24h'!K53,'04.08 Kyebando-Mulago'!K53)</f>
        <v>0.14285714285714285</v>
      </c>
      <c r="L53" s="49">
        <f>AVERAGE('02.08 Kyebando-Mulago'!L53,'29.07 Kyebando-Mulago'!L53,'30.07 -Kyebando-Mulago'!L53,'31.07 Kyebando-Mulago'!L53,'01.08 Kyebando-Mulago-24h'!L53,'03.08 Kyebando-Mulago-24h'!L53,'04.08 Kyebando-Mulago'!L53)</f>
        <v>0</v>
      </c>
      <c r="M53" s="49">
        <f>AVERAGE('02.08 Kyebando-Mulago'!M53,'29.07 Kyebando-Mulago'!M53,'30.07 -Kyebando-Mulago'!M53,'31.07 Kyebando-Mulago'!M53,'01.08 Kyebando-Mulago-24h'!M53,'03.08 Kyebando-Mulago-24h'!M53,'04.08 Kyebando-Mulago'!M53)</f>
        <v>106.85714285714286</v>
      </c>
      <c r="N53" s="49">
        <f>AVERAGE('02.08 Kyebando-Mulago'!N53,'29.07 Kyebando-Mulago'!N53,'30.07 -Kyebando-Mulago'!N53,'31.07 Kyebando-Mulago'!N53,'01.08 Kyebando-Mulago-24h'!N53,'03.08 Kyebando-Mulago-24h'!N53,'04.08 Kyebando-Mulago'!N53)</f>
        <v>0</v>
      </c>
      <c r="O53" s="15">
        <f t="shared" si="0"/>
        <v>75.571428571428569</v>
      </c>
      <c r="P53" s="15">
        <f t="shared" si="1"/>
        <v>182.42857142857144</v>
      </c>
    </row>
    <row r="54" spans="2:20" ht="23.1" customHeight="1" x14ac:dyDescent="0.25">
      <c r="B54" s="23" t="s">
        <v>81</v>
      </c>
      <c r="C54" s="49">
        <f>AVERAGE('02.08 Kyebando-Mulago'!C54,'29.07 Kyebando-Mulago'!C54,'30.07 -Kyebando-Mulago'!C54,'31.07 Kyebando-Mulago'!C54,'01.08 Kyebando-Mulago-24h'!C54,'03.08 Kyebando-Mulago-24h'!C54,'04.08 Kyebando-Mulago'!C54)</f>
        <v>41.428571428571431</v>
      </c>
      <c r="D54" s="49">
        <f>AVERAGE('02.08 Kyebando-Mulago'!D54,'29.07 Kyebando-Mulago'!D54,'30.07 -Kyebando-Mulago'!D54,'31.07 Kyebando-Mulago'!D54,'01.08 Kyebando-Mulago-24h'!D54,'03.08 Kyebando-Mulago-24h'!D54,'04.08 Kyebando-Mulago'!D54)</f>
        <v>9.4285714285714288</v>
      </c>
      <c r="E54" s="49">
        <f>AVERAGE('02.08 Kyebando-Mulago'!E54,'29.07 Kyebando-Mulago'!E54,'30.07 -Kyebando-Mulago'!E54,'31.07 Kyebando-Mulago'!E54,'01.08 Kyebando-Mulago-24h'!E54,'03.08 Kyebando-Mulago-24h'!E54,'04.08 Kyebando-Mulago'!E54)</f>
        <v>4.1428571428571432</v>
      </c>
      <c r="F54" s="49">
        <f>AVERAGE('02.08 Kyebando-Mulago'!F54,'29.07 Kyebando-Mulago'!F54,'30.07 -Kyebando-Mulago'!F54,'31.07 Kyebando-Mulago'!F54,'01.08 Kyebando-Mulago-24h'!F54,'03.08 Kyebando-Mulago-24h'!F54,'04.08 Kyebando-Mulago'!F54)</f>
        <v>8.1428571428571423</v>
      </c>
      <c r="G54" s="49">
        <f>AVERAGE('02.08 Kyebando-Mulago'!G54,'29.07 Kyebando-Mulago'!G54,'30.07 -Kyebando-Mulago'!G54,'31.07 Kyebando-Mulago'!G54,'01.08 Kyebando-Mulago-24h'!G54,'03.08 Kyebando-Mulago-24h'!G54,'04.08 Kyebando-Mulago'!G54)</f>
        <v>0.2857142857142857</v>
      </c>
      <c r="H54" s="49">
        <f>AVERAGE('02.08 Kyebando-Mulago'!H54,'29.07 Kyebando-Mulago'!H54,'30.07 -Kyebando-Mulago'!H54,'31.07 Kyebando-Mulago'!H54,'01.08 Kyebando-Mulago-24h'!H54,'03.08 Kyebando-Mulago-24h'!H54,'04.08 Kyebando-Mulago'!H54)</f>
        <v>0.14285714285714285</v>
      </c>
      <c r="I54" s="49">
        <f>AVERAGE('02.08 Kyebando-Mulago'!I54,'29.07 Kyebando-Mulago'!I54,'30.07 -Kyebando-Mulago'!I54,'31.07 Kyebando-Mulago'!I54,'01.08 Kyebando-Mulago-24h'!I54,'03.08 Kyebando-Mulago-24h'!I54,'04.08 Kyebando-Mulago'!I54)</f>
        <v>1.8571428571428572</v>
      </c>
      <c r="J54" s="49">
        <f>AVERAGE('02.08 Kyebando-Mulago'!J54,'29.07 Kyebando-Mulago'!J54,'30.07 -Kyebando-Mulago'!J54,'31.07 Kyebando-Mulago'!J54,'01.08 Kyebando-Mulago-24h'!J54,'03.08 Kyebando-Mulago-24h'!J54,'04.08 Kyebando-Mulago'!J54)</f>
        <v>1.1428571428571428</v>
      </c>
      <c r="K54" s="49">
        <f>AVERAGE('02.08 Kyebando-Mulago'!K54,'29.07 Kyebando-Mulago'!K54,'30.07 -Kyebando-Mulago'!K54,'31.07 Kyebando-Mulago'!K54,'01.08 Kyebando-Mulago-24h'!K54,'03.08 Kyebando-Mulago-24h'!K54,'04.08 Kyebando-Mulago'!K54)</f>
        <v>0</v>
      </c>
      <c r="L54" s="49">
        <f>AVERAGE('02.08 Kyebando-Mulago'!L54,'29.07 Kyebando-Mulago'!L54,'30.07 -Kyebando-Mulago'!L54,'31.07 Kyebando-Mulago'!L54,'01.08 Kyebando-Mulago-24h'!L54,'03.08 Kyebando-Mulago-24h'!L54,'04.08 Kyebando-Mulago'!L54)</f>
        <v>0</v>
      </c>
      <c r="M54" s="49">
        <f>AVERAGE('02.08 Kyebando-Mulago'!M54,'29.07 Kyebando-Mulago'!M54,'30.07 -Kyebando-Mulago'!M54,'31.07 Kyebando-Mulago'!M54,'01.08 Kyebando-Mulago-24h'!M54,'03.08 Kyebando-Mulago-24h'!M54,'04.08 Kyebando-Mulago'!M54)</f>
        <v>107</v>
      </c>
      <c r="N54" s="49">
        <f>AVERAGE('02.08 Kyebando-Mulago'!N54,'29.07 Kyebando-Mulago'!N54,'30.07 -Kyebando-Mulago'!N54,'31.07 Kyebando-Mulago'!N54,'01.08 Kyebando-Mulago-24h'!N54,'03.08 Kyebando-Mulago-24h'!N54,'04.08 Kyebando-Mulago'!N54)</f>
        <v>0</v>
      </c>
      <c r="O54" s="15">
        <f t="shared" si="0"/>
        <v>66.571428571428584</v>
      </c>
      <c r="P54" s="15">
        <f t="shared" si="1"/>
        <v>173.57142857142858</v>
      </c>
      <c r="R54" s="8"/>
      <c r="T54"/>
    </row>
    <row r="55" spans="2:20" ht="23.1" customHeight="1" x14ac:dyDescent="0.25">
      <c r="B55" s="23" t="s">
        <v>82</v>
      </c>
      <c r="C55" s="49">
        <f>AVERAGE('02.08 Kyebando-Mulago'!C55,'29.07 Kyebando-Mulago'!C55,'30.07 -Kyebando-Mulago'!C55,'31.07 Kyebando-Mulago'!C55,'01.08 Kyebando-Mulago-24h'!C55,'03.08 Kyebando-Mulago-24h'!C55,'04.08 Kyebando-Mulago'!C55)</f>
        <v>40.428571428571431</v>
      </c>
      <c r="D55" s="49">
        <f>AVERAGE('02.08 Kyebando-Mulago'!D55,'29.07 Kyebando-Mulago'!D55,'30.07 -Kyebando-Mulago'!D55,'31.07 Kyebando-Mulago'!D55,'01.08 Kyebando-Mulago-24h'!D55,'03.08 Kyebando-Mulago-24h'!D55,'04.08 Kyebando-Mulago'!D55)</f>
        <v>6</v>
      </c>
      <c r="E55" s="49">
        <f>AVERAGE('02.08 Kyebando-Mulago'!E55,'29.07 Kyebando-Mulago'!E55,'30.07 -Kyebando-Mulago'!E55,'31.07 Kyebando-Mulago'!E55,'01.08 Kyebando-Mulago-24h'!E55,'03.08 Kyebando-Mulago-24h'!E55,'04.08 Kyebando-Mulago'!E55)</f>
        <v>4.4285714285714288</v>
      </c>
      <c r="F55" s="49">
        <f>AVERAGE('02.08 Kyebando-Mulago'!F55,'29.07 Kyebando-Mulago'!F55,'30.07 -Kyebando-Mulago'!F55,'31.07 Kyebando-Mulago'!F55,'01.08 Kyebando-Mulago-24h'!F55,'03.08 Kyebando-Mulago-24h'!F55,'04.08 Kyebando-Mulago'!F55)</f>
        <v>8</v>
      </c>
      <c r="G55" s="49">
        <f>AVERAGE('02.08 Kyebando-Mulago'!G55,'29.07 Kyebando-Mulago'!G55,'30.07 -Kyebando-Mulago'!G55,'31.07 Kyebando-Mulago'!G55,'01.08 Kyebando-Mulago-24h'!G55,'03.08 Kyebando-Mulago-24h'!G55,'04.08 Kyebando-Mulago'!G55)</f>
        <v>0</v>
      </c>
      <c r="H55" s="49">
        <f>AVERAGE('02.08 Kyebando-Mulago'!H55,'29.07 Kyebando-Mulago'!H55,'30.07 -Kyebando-Mulago'!H55,'31.07 Kyebando-Mulago'!H55,'01.08 Kyebando-Mulago-24h'!H55,'03.08 Kyebando-Mulago-24h'!H55,'04.08 Kyebando-Mulago'!H55)</f>
        <v>0.14285714285714285</v>
      </c>
      <c r="I55" s="49">
        <f>AVERAGE('02.08 Kyebando-Mulago'!I55,'29.07 Kyebando-Mulago'!I55,'30.07 -Kyebando-Mulago'!I55,'31.07 Kyebando-Mulago'!I55,'01.08 Kyebando-Mulago-24h'!I55,'03.08 Kyebando-Mulago-24h'!I55,'04.08 Kyebando-Mulago'!I55)</f>
        <v>2.4285714285714284</v>
      </c>
      <c r="J55" s="49">
        <f>AVERAGE('02.08 Kyebando-Mulago'!J55,'29.07 Kyebando-Mulago'!J55,'30.07 -Kyebando-Mulago'!J55,'31.07 Kyebando-Mulago'!J55,'01.08 Kyebando-Mulago-24h'!J55,'03.08 Kyebando-Mulago-24h'!J55,'04.08 Kyebando-Mulago'!J55)</f>
        <v>0.5714285714285714</v>
      </c>
      <c r="K55" s="49">
        <f>AVERAGE('02.08 Kyebando-Mulago'!K55,'29.07 Kyebando-Mulago'!K55,'30.07 -Kyebando-Mulago'!K55,'31.07 Kyebando-Mulago'!K55,'01.08 Kyebando-Mulago-24h'!K55,'03.08 Kyebando-Mulago-24h'!K55,'04.08 Kyebando-Mulago'!K55)</f>
        <v>0</v>
      </c>
      <c r="L55" s="49">
        <f>AVERAGE('02.08 Kyebando-Mulago'!L55,'29.07 Kyebando-Mulago'!L55,'30.07 -Kyebando-Mulago'!L55,'31.07 Kyebando-Mulago'!L55,'01.08 Kyebando-Mulago-24h'!L55,'03.08 Kyebando-Mulago-24h'!L55,'04.08 Kyebando-Mulago'!L55)</f>
        <v>0</v>
      </c>
      <c r="M55" s="49">
        <f>AVERAGE('02.08 Kyebando-Mulago'!M55,'29.07 Kyebando-Mulago'!M55,'30.07 -Kyebando-Mulago'!M55,'31.07 Kyebando-Mulago'!M55,'01.08 Kyebando-Mulago-24h'!M55,'03.08 Kyebando-Mulago-24h'!M55,'04.08 Kyebando-Mulago'!M55)</f>
        <v>89.857142857142861</v>
      </c>
      <c r="N55" s="49">
        <f>AVERAGE('02.08 Kyebando-Mulago'!N55,'29.07 Kyebando-Mulago'!N55,'30.07 -Kyebando-Mulago'!N55,'31.07 Kyebando-Mulago'!N55,'01.08 Kyebando-Mulago-24h'!N55,'03.08 Kyebando-Mulago-24h'!N55,'04.08 Kyebando-Mulago'!N55)</f>
        <v>0</v>
      </c>
      <c r="O55" s="15">
        <f t="shared" si="0"/>
        <v>62.000000000000007</v>
      </c>
      <c r="P55" s="15">
        <f t="shared" si="1"/>
        <v>151.85714285714286</v>
      </c>
      <c r="R55" s="8"/>
      <c r="T55"/>
    </row>
    <row r="56" spans="2:20" ht="23.1" customHeight="1" x14ac:dyDescent="0.25">
      <c r="B56" s="23" t="s">
        <v>83</v>
      </c>
      <c r="C56" s="49">
        <f>AVERAGE('02.08 Kyebando-Mulago'!C56,'29.07 Kyebando-Mulago'!C56,'30.07 -Kyebando-Mulago'!C56,'31.07 Kyebando-Mulago'!C56,'01.08 Kyebando-Mulago-24h'!C56,'03.08 Kyebando-Mulago-24h'!C56,'04.08 Kyebando-Mulago'!C56)</f>
        <v>41.857142857142854</v>
      </c>
      <c r="D56" s="49">
        <f>AVERAGE('02.08 Kyebando-Mulago'!D56,'29.07 Kyebando-Mulago'!D56,'30.07 -Kyebando-Mulago'!D56,'31.07 Kyebando-Mulago'!D56,'01.08 Kyebando-Mulago-24h'!D56,'03.08 Kyebando-Mulago-24h'!D56,'04.08 Kyebando-Mulago'!D56)</f>
        <v>8.8571428571428577</v>
      </c>
      <c r="E56" s="49">
        <f>AVERAGE('02.08 Kyebando-Mulago'!E56,'29.07 Kyebando-Mulago'!E56,'30.07 -Kyebando-Mulago'!E56,'31.07 Kyebando-Mulago'!E56,'01.08 Kyebando-Mulago-24h'!E56,'03.08 Kyebando-Mulago-24h'!E56,'04.08 Kyebando-Mulago'!E56)</f>
        <v>4.8571428571428568</v>
      </c>
      <c r="F56" s="49">
        <f>AVERAGE('02.08 Kyebando-Mulago'!F56,'29.07 Kyebando-Mulago'!F56,'30.07 -Kyebando-Mulago'!F56,'31.07 Kyebando-Mulago'!F56,'01.08 Kyebando-Mulago-24h'!F56,'03.08 Kyebando-Mulago-24h'!F56,'04.08 Kyebando-Mulago'!F56)</f>
        <v>8.1428571428571423</v>
      </c>
      <c r="G56" s="49">
        <f>AVERAGE('02.08 Kyebando-Mulago'!G56,'29.07 Kyebando-Mulago'!G56,'30.07 -Kyebando-Mulago'!G56,'31.07 Kyebando-Mulago'!G56,'01.08 Kyebando-Mulago-24h'!G56,'03.08 Kyebando-Mulago-24h'!G56,'04.08 Kyebando-Mulago'!G56)</f>
        <v>0.14285714285714285</v>
      </c>
      <c r="H56" s="49">
        <f>AVERAGE('02.08 Kyebando-Mulago'!H56,'29.07 Kyebando-Mulago'!H56,'30.07 -Kyebando-Mulago'!H56,'31.07 Kyebando-Mulago'!H56,'01.08 Kyebando-Mulago-24h'!H56,'03.08 Kyebando-Mulago-24h'!H56,'04.08 Kyebando-Mulago'!H56)</f>
        <v>0</v>
      </c>
      <c r="I56" s="49">
        <f>AVERAGE('02.08 Kyebando-Mulago'!I56,'29.07 Kyebando-Mulago'!I56,'30.07 -Kyebando-Mulago'!I56,'31.07 Kyebando-Mulago'!I56,'01.08 Kyebando-Mulago-24h'!I56,'03.08 Kyebando-Mulago-24h'!I56,'04.08 Kyebando-Mulago'!I56)</f>
        <v>3.2857142857142856</v>
      </c>
      <c r="J56" s="49">
        <f>AVERAGE('02.08 Kyebando-Mulago'!J56,'29.07 Kyebando-Mulago'!J56,'30.07 -Kyebando-Mulago'!J56,'31.07 Kyebando-Mulago'!J56,'01.08 Kyebando-Mulago-24h'!J56,'03.08 Kyebando-Mulago-24h'!J56,'04.08 Kyebando-Mulago'!J56)</f>
        <v>0.42857142857142855</v>
      </c>
      <c r="K56" s="49">
        <f>AVERAGE('02.08 Kyebando-Mulago'!K56,'29.07 Kyebando-Mulago'!K56,'30.07 -Kyebando-Mulago'!K56,'31.07 Kyebando-Mulago'!K56,'01.08 Kyebando-Mulago-24h'!K56,'03.08 Kyebando-Mulago-24h'!K56,'04.08 Kyebando-Mulago'!K56)</f>
        <v>0</v>
      </c>
      <c r="L56" s="49">
        <f>AVERAGE('02.08 Kyebando-Mulago'!L56,'29.07 Kyebando-Mulago'!L56,'30.07 -Kyebando-Mulago'!L56,'31.07 Kyebando-Mulago'!L56,'01.08 Kyebando-Mulago-24h'!L56,'03.08 Kyebando-Mulago-24h'!L56,'04.08 Kyebando-Mulago'!L56)</f>
        <v>0</v>
      </c>
      <c r="M56" s="49">
        <f>AVERAGE('02.08 Kyebando-Mulago'!M56,'29.07 Kyebando-Mulago'!M56,'30.07 -Kyebando-Mulago'!M56,'31.07 Kyebando-Mulago'!M56,'01.08 Kyebando-Mulago-24h'!M56,'03.08 Kyebando-Mulago-24h'!M56,'04.08 Kyebando-Mulago'!M56)</f>
        <v>84.857142857142861</v>
      </c>
      <c r="N56" s="49">
        <f>AVERAGE('02.08 Kyebando-Mulago'!N56,'29.07 Kyebando-Mulago'!N56,'30.07 -Kyebando-Mulago'!N56,'31.07 Kyebando-Mulago'!N56,'01.08 Kyebando-Mulago-24h'!N56,'03.08 Kyebando-Mulago-24h'!N56,'04.08 Kyebando-Mulago'!N56)</f>
        <v>0</v>
      </c>
      <c r="O56" s="15">
        <f t="shared" si="0"/>
        <v>67.571428571428569</v>
      </c>
      <c r="P56" s="15">
        <f t="shared" si="1"/>
        <v>152.42857142857144</v>
      </c>
      <c r="R56" s="8"/>
      <c r="T56"/>
    </row>
    <row r="57" spans="2:20" ht="23.1" customHeight="1" x14ac:dyDescent="0.25">
      <c r="B57" s="23" t="s">
        <v>84</v>
      </c>
      <c r="C57" s="49">
        <f>AVERAGE('02.08 Kyebando-Mulago'!C57,'29.07 Kyebando-Mulago'!C57,'30.07 -Kyebando-Mulago'!C57,'31.07 Kyebando-Mulago'!C57,'01.08 Kyebando-Mulago-24h'!C57,'03.08 Kyebando-Mulago-24h'!C57,'04.08 Kyebando-Mulago'!C57)</f>
        <v>30.285714285714285</v>
      </c>
      <c r="D57" s="49">
        <f>AVERAGE('02.08 Kyebando-Mulago'!D57,'29.07 Kyebando-Mulago'!D57,'30.07 -Kyebando-Mulago'!D57,'31.07 Kyebando-Mulago'!D57,'01.08 Kyebando-Mulago-24h'!D57,'03.08 Kyebando-Mulago-24h'!D57,'04.08 Kyebando-Mulago'!D57)</f>
        <v>6.1428571428571432</v>
      </c>
      <c r="E57" s="49">
        <f>AVERAGE('02.08 Kyebando-Mulago'!E57,'29.07 Kyebando-Mulago'!E57,'30.07 -Kyebando-Mulago'!E57,'31.07 Kyebando-Mulago'!E57,'01.08 Kyebando-Mulago-24h'!E57,'03.08 Kyebando-Mulago-24h'!E57,'04.08 Kyebando-Mulago'!E57)</f>
        <v>5</v>
      </c>
      <c r="F57" s="49">
        <f>AVERAGE('02.08 Kyebando-Mulago'!F57,'29.07 Kyebando-Mulago'!F57,'30.07 -Kyebando-Mulago'!F57,'31.07 Kyebando-Mulago'!F57,'01.08 Kyebando-Mulago-24h'!F57,'03.08 Kyebando-Mulago-24h'!F57,'04.08 Kyebando-Mulago'!F57)</f>
        <v>8.1428571428571423</v>
      </c>
      <c r="G57" s="49">
        <f>AVERAGE('02.08 Kyebando-Mulago'!G57,'29.07 Kyebando-Mulago'!G57,'30.07 -Kyebando-Mulago'!G57,'31.07 Kyebando-Mulago'!G57,'01.08 Kyebando-Mulago-24h'!G57,'03.08 Kyebando-Mulago-24h'!G57,'04.08 Kyebando-Mulago'!G57)</f>
        <v>0.42857142857142855</v>
      </c>
      <c r="H57" s="49">
        <f>AVERAGE('02.08 Kyebando-Mulago'!H57,'29.07 Kyebando-Mulago'!H57,'30.07 -Kyebando-Mulago'!H57,'31.07 Kyebando-Mulago'!H57,'01.08 Kyebando-Mulago-24h'!H57,'03.08 Kyebando-Mulago-24h'!H57,'04.08 Kyebando-Mulago'!H57)</f>
        <v>0</v>
      </c>
      <c r="I57" s="49">
        <f>AVERAGE('02.08 Kyebando-Mulago'!I57,'29.07 Kyebando-Mulago'!I57,'30.07 -Kyebando-Mulago'!I57,'31.07 Kyebando-Mulago'!I57,'01.08 Kyebando-Mulago-24h'!I57,'03.08 Kyebando-Mulago-24h'!I57,'04.08 Kyebando-Mulago'!I57)</f>
        <v>2.4285714285714284</v>
      </c>
      <c r="J57" s="49">
        <f>AVERAGE('02.08 Kyebando-Mulago'!J57,'29.07 Kyebando-Mulago'!J57,'30.07 -Kyebando-Mulago'!J57,'31.07 Kyebando-Mulago'!J57,'01.08 Kyebando-Mulago-24h'!J57,'03.08 Kyebando-Mulago-24h'!J57,'04.08 Kyebando-Mulago'!J57)</f>
        <v>0.5714285714285714</v>
      </c>
      <c r="K57" s="49">
        <f>AVERAGE('02.08 Kyebando-Mulago'!K57,'29.07 Kyebando-Mulago'!K57,'30.07 -Kyebando-Mulago'!K57,'31.07 Kyebando-Mulago'!K57,'01.08 Kyebando-Mulago-24h'!K57,'03.08 Kyebando-Mulago-24h'!K57,'04.08 Kyebando-Mulago'!K57)</f>
        <v>0</v>
      </c>
      <c r="L57" s="49">
        <f>AVERAGE('02.08 Kyebando-Mulago'!L57,'29.07 Kyebando-Mulago'!L57,'30.07 -Kyebando-Mulago'!L57,'31.07 Kyebando-Mulago'!L57,'01.08 Kyebando-Mulago-24h'!L57,'03.08 Kyebando-Mulago-24h'!L57,'04.08 Kyebando-Mulago'!L57)</f>
        <v>0</v>
      </c>
      <c r="M57" s="49">
        <f>AVERAGE('02.08 Kyebando-Mulago'!M57,'29.07 Kyebando-Mulago'!M57,'30.07 -Kyebando-Mulago'!M57,'31.07 Kyebando-Mulago'!M57,'01.08 Kyebando-Mulago-24h'!M57,'03.08 Kyebando-Mulago-24h'!M57,'04.08 Kyebando-Mulago'!M57)</f>
        <v>102.57142857142857</v>
      </c>
      <c r="N57" s="49">
        <f>AVERAGE('02.08 Kyebando-Mulago'!N57,'29.07 Kyebando-Mulago'!N57,'30.07 -Kyebando-Mulago'!N57,'31.07 Kyebando-Mulago'!N57,'01.08 Kyebando-Mulago-24h'!N57,'03.08 Kyebando-Mulago-24h'!N57,'04.08 Kyebando-Mulago'!N57)</f>
        <v>0</v>
      </c>
      <c r="O57" s="15">
        <f t="shared" si="0"/>
        <v>53</v>
      </c>
      <c r="P57" s="15">
        <f t="shared" si="1"/>
        <v>155.57142857142856</v>
      </c>
      <c r="R57" s="8"/>
      <c r="T57"/>
    </row>
    <row r="58" spans="2:20" ht="23.1" customHeight="1" x14ac:dyDescent="0.25">
      <c r="B58" s="23" t="s">
        <v>99</v>
      </c>
      <c r="C58" s="49">
        <f>AVERAGE('01.08 Kyebando-Mulago-24h'!C58,'03.08 Kyebando-Mulago-24h'!C58)</f>
        <v>69</v>
      </c>
      <c r="D58" s="49">
        <f>AVERAGE('01.08 Kyebando-Mulago-24h'!D58,'03.08 Kyebando-Mulago-24h'!D58)</f>
        <v>4</v>
      </c>
      <c r="E58" s="49">
        <f>AVERAGE('01.08 Kyebando-Mulago-24h'!E58,'03.08 Kyebando-Mulago-24h'!E58)</f>
        <v>4</v>
      </c>
      <c r="F58" s="49">
        <f>AVERAGE('01.08 Kyebando-Mulago-24h'!F58,'03.08 Kyebando-Mulago-24h'!F58)</f>
        <v>12.5</v>
      </c>
      <c r="G58" s="49">
        <f>AVERAGE('01.08 Kyebando-Mulago-24h'!G58,'03.08 Kyebando-Mulago-24h'!G58)</f>
        <v>0</v>
      </c>
      <c r="H58" s="49">
        <f>AVERAGE('01.08 Kyebando-Mulago-24h'!H58,'03.08 Kyebando-Mulago-24h'!H58)</f>
        <v>0.5</v>
      </c>
      <c r="I58" s="49">
        <f>AVERAGE('01.08 Kyebando-Mulago-24h'!I58,'03.08 Kyebando-Mulago-24h'!I58)</f>
        <v>0.5</v>
      </c>
      <c r="J58" s="49">
        <f>AVERAGE('01.08 Kyebando-Mulago-24h'!J58,'03.08 Kyebando-Mulago-24h'!J58)</f>
        <v>1</v>
      </c>
      <c r="K58" s="49">
        <f>AVERAGE('01.08 Kyebando-Mulago-24h'!K58,'03.08 Kyebando-Mulago-24h'!K58)</f>
        <v>0</v>
      </c>
      <c r="L58" s="49">
        <f>AVERAGE('01.08 Kyebando-Mulago-24h'!L58,'03.08 Kyebando-Mulago-24h'!L58)</f>
        <v>0</v>
      </c>
      <c r="M58" s="49">
        <f>AVERAGE('01.08 Kyebando-Mulago-24h'!M58,'03.08 Kyebando-Mulago-24h'!M58)</f>
        <v>138.5</v>
      </c>
      <c r="N58" s="49">
        <f>AVERAGE('01.08 Kyebando-Mulago-24h'!N58,'03.08 Kyebando-Mulago-24h'!N58)</f>
        <v>0</v>
      </c>
      <c r="O58" s="15">
        <f t="shared" si="0"/>
        <v>91.5</v>
      </c>
      <c r="P58" s="15">
        <f t="shared" si="1"/>
        <v>230</v>
      </c>
      <c r="R58" s="8"/>
      <c r="T58"/>
    </row>
    <row r="59" spans="2:20" ht="23.1" customHeight="1" x14ac:dyDescent="0.25">
      <c r="B59" s="23" t="s">
        <v>100</v>
      </c>
      <c r="C59" s="49">
        <f>AVERAGE('01.08 Kyebando-Mulago-24h'!C59,'03.08 Kyebando-Mulago-24h'!C59)</f>
        <v>41.5</v>
      </c>
      <c r="D59" s="49">
        <f>AVERAGE('01.08 Kyebando-Mulago-24h'!D59,'03.08 Kyebando-Mulago-24h'!D59)</f>
        <v>6.5</v>
      </c>
      <c r="E59" s="49">
        <f>AVERAGE('01.08 Kyebando-Mulago-24h'!E59,'03.08 Kyebando-Mulago-24h'!E59)</f>
        <v>4.5</v>
      </c>
      <c r="F59" s="49">
        <f>AVERAGE('01.08 Kyebando-Mulago-24h'!F59,'03.08 Kyebando-Mulago-24h'!F59)</f>
        <v>11.5</v>
      </c>
      <c r="G59" s="49">
        <f>AVERAGE('01.08 Kyebando-Mulago-24h'!G59,'03.08 Kyebando-Mulago-24h'!G59)</f>
        <v>1</v>
      </c>
      <c r="H59" s="49">
        <f>AVERAGE('01.08 Kyebando-Mulago-24h'!H59,'03.08 Kyebando-Mulago-24h'!H59)</f>
        <v>0.5</v>
      </c>
      <c r="I59" s="49">
        <f>AVERAGE('01.08 Kyebando-Mulago-24h'!I59,'03.08 Kyebando-Mulago-24h'!I59)</f>
        <v>0.5</v>
      </c>
      <c r="J59" s="49">
        <f>AVERAGE('01.08 Kyebando-Mulago-24h'!J59,'03.08 Kyebando-Mulago-24h'!J59)</f>
        <v>1</v>
      </c>
      <c r="K59" s="49">
        <f>AVERAGE('01.08 Kyebando-Mulago-24h'!K59,'03.08 Kyebando-Mulago-24h'!K59)</f>
        <v>0</v>
      </c>
      <c r="L59" s="49">
        <f>AVERAGE('01.08 Kyebando-Mulago-24h'!L59,'03.08 Kyebando-Mulago-24h'!L59)</f>
        <v>0</v>
      </c>
      <c r="M59" s="49">
        <f>AVERAGE('01.08 Kyebando-Mulago-24h'!M59,'03.08 Kyebando-Mulago-24h'!M59)</f>
        <v>70</v>
      </c>
      <c r="N59" s="49">
        <f>AVERAGE('01.08 Kyebando-Mulago-24h'!N59,'03.08 Kyebando-Mulago-24h'!N59)</f>
        <v>0</v>
      </c>
      <c r="O59" s="15">
        <f t="shared" si="0"/>
        <v>67</v>
      </c>
      <c r="P59" s="15">
        <f t="shared" si="1"/>
        <v>137</v>
      </c>
      <c r="R59" s="8"/>
      <c r="T59"/>
    </row>
    <row r="60" spans="2:20" ht="23.1" customHeight="1" x14ac:dyDescent="0.25">
      <c r="B60" s="23" t="s">
        <v>101</v>
      </c>
      <c r="C60" s="49">
        <f>AVERAGE('01.08 Kyebando-Mulago-24h'!C60,'03.08 Kyebando-Mulago-24h'!C60)</f>
        <v>59</v>
      </c>
      <c r="D60" s="49">
        <f>AVERAGE('01.08 Kyebando-Mulago-24h'!D60,'03.08 Kyebando-Mulago-24h'!D60)</f>
        <v>3.5</v>
      </c>
      <c r="E60" s="49">
        <f>AVERAGE('01.08 Kyebando-Mulago-24h'!E60,'03.08 Kyebando-Mulago-24h'!E60)</f>
        <v>13</v>
      </c>
      <c r="F60" s="49">
        <f>AVERAGE('01.08 Kyebando-Mulago-24h'!F60,'03.08 Kyebando-Mulago-24h'!F60)</f>
        <v>15</v>
      </c>
      <c r="G60" s="49">
        <f>AVERAGE('01.08 Kyebando-Mulago-24h'!G60,'03.08 Kyebando-Mulago-24h'!G60)</f>
        <v>0</v>
      </c>
      <c r="H60" s="49">
        <f>AVERAGE('01.08 Kyebando-Mulago-24h'!H60,'03.08 Kyebando-Mulago-24h'!H60)</f>
        <v>0.5</v>
      </c>
      <c r="I60" s="49">
        <f>AVERAGE('01.08 Kyebando-Mulago-24h'!I60,'03.08 Kyebando-Mulago-24h'!I60)</f>
        <v>0.5</v>
      </c>
      <c r="J60" s="49">
        <f>AVERAGE('01.08 Kyebando-Mulago-24h'!J60,'03.08 Kyebando-Mulago-24h'!J60)</f>
        <v>1</v>
      </c>
      <c r="K60" s="49">
        <f>AVERAGE('01.08 Kyebando-Mulago-24h'!K60,'03.08 Kyebando-Mulago-24h'!K60)</f>
        <v>0</v>
      </c>
      <c r="L60" s="49">
        <f>AVERAGE('01.08 Kyebando-Mulago-24h'!L60,'03.08 Kyebando-Mulago-24h'!L60)</f>
        <v>0</v>
      </c>
      <c r="M60" s="49">
        <f>AVERAGE('01.08 Kyebando-Mulago-24h'!M60,'03.08 Kyebando-Mulago-24h'!M60)</f>
        <v>115</v>
      </c>
      <c r="N60" s="49">
        <f>AVERAGE('01.08 Kyebando-Mulago-24h'!N60,'03.08 Kyebando-Mulago-24h'!N60)</f>
        <v>0</v>
      </c>
      <c r="O60" s="15">
        <f t="shared" si="0"/>
        <v>92.5</v>
      </c>
      <c r="P60" s="15">
        <f t="shared" si="1"/>
        <v>207.5</v>
      </c>
      <c r="R60" s="8"/>
      <c r="T60"/>
    </row>
    <row r="61" spans="2:20" ht="23.1" customHeight="1" x14ac:dyDescent="0.25">
      <c r="B61" s="23" t="s">
        <v>102</v>
      </c>
      <c r="C61" s="49">
        <f>AVERAGE('01.08 Kyebando-Mulago-24h'!C61,'03.08 Kyebando-Mulago-24h'!C61)</f>
        <v>48</v>
      </c>
      <c r="D61" s="49">
        <f>AVERAGE('01.08 Kyebando-Mulago-24h'!D61,'03.08 Kyebando-Mulago-24h'!D61)</f>
        <v>2</v>
      </c>
      <c r="E61" s="49">
        <f>AVERAGE('01.08 Kyebando-Mulago-24h'!E61,'03.08 Kyebando-Mulago-24h'!E61)</f>
        <v>7</v>
      </c>
      <c r="F61" s="49">
        <f>AVERAGE('01.08 Kyebando-Mulago-24h'!F61,'03.08 Kyebando-Mulago-24h'!F61)</f>
        <v>12.5</v>
      </c>
      <c r="G61" s="49">
        <f>AVERAGE('01.08 Kyebando-Mulago-24h'!G61,'03.08 Kyebando-Mulago-24h'!G61)</f>
        <v>0</v>
      </c>
      <c r="H61" s="49">
        <f>AVERAGE('01.08 Kyebando-Mulago-24h'!H61,'03.08 Kyebando-Mulago-24h'!H61)</f>
        <v>0.5</v>
      </c>
      <c r="I61" s="49">
        <f>AVERAGE('01.08 Kyebando-Mulago-24h'!I61,'03.08 Kyebando-Mulago-24h'!I61)</f>
        <v>4.5</v>
      </c>
      <c r="J61" s="49">
        <f>AVERAGE('01.08 Kyebando-Mulago-24h'!J61,'03.08 Kyebando-Mulago-24h'!J61)</f>
        <v>1.5</v>
      </c>
      <c r="K61" s="49">
        <f>AVERAGE('01.08 Kyebando-Mulago-24h'!K61,'03.08 Kyebando-Mulago-24h'!K61)</f>
        <v>0.5</v>
      </c>
      <c r="L61" s="49">
        <f>AVERAGE('01.08 Kyebando-Mulago-24h'!L61,'03.08 Kyebando-Mulago-24h'!L61)</f>
        <v>0</v>
      </c>
      <c r="M61" s="49">
        <f>AVERAGE('01.08 Kyebando-Mulago-24h'!M61,'03.08 Kyebando-Mulago-24h'!M61)</f>
        <v>117.5</v>
      </c>
      <c r="N61" s="49">
        <f>AVERAGE('01.08 Kyebando-Mulago-24h'!N61,'03.08 Kyebando-Mulago-24h'!N61)</f>
        <v>0</v>
      </c>
      <c r="O61" s="15">
        <f t="shared" si="0"/>
        <v>76.5</v>
      </c>
      <c r="P61" s="15">
        <f t="shared" si="1"/>
        <v>194</v>
      </c>
      <c r="R61" s="8"/>
      <c r="T61"/>
    </row>
    <row r="62" spans="2:20" ht="23.1" customHeight="1" x14ac:dyDescent="0.25">
      <c r="B62" s="23" t="s">
        <v>107</v>
      </c>
      <c r="C62" s="49">
        <f>AVERAGE('01.08 Kyebando-Mulago-24h'!C62,'03.08 Kyebando-Mulago-24h'!C62)</f>
        <v>73</v>
      </c>
      <c r="D62" s="49">
        <f>AVERAGE('01.08 Kyebando-Mulago-24h'!D62,'03.08 Kyebando-Mulago-24h'!D62)</f>
        <v>5.5</v>
      </c>
      <c r="E62" s="49">
        <f>AVERAGE('01.08 Kyebando-Mulago-24h'!E62,'03.08 Kyebando-Mulago-24h'!E62)</f>
        <v>9.5</v>
      </c>
      <c r="F62" s="49">
        <f>AVERAGE('01.08 Kyebando-Mulago-24h'!F62,'03.08 Kyebando-Mulago-24h'!F62)</f>
        <v>14</v>
      </c>
      <c r="G62" s="49">
        <f>AVERAGE('01.08 Kyebando-Mulago-24h'!G62,'03.08 Kyebando-Mulago-24h'!G62)</f>
        <v>0.5</v>
      </c>
      <c r="H62" s="49">
        <f>AVERAGE('01.08 Kyebando-Mulago-24h'!H62,'03.08 Kyebando-Mulago-24h'!H62)</f>
        <v>0</v>
      </c>
      <c r="I62" s="49">
        <f>AVERAGE('01.08 Kyebando-Mulago-24h'!I62,'03.08 Kyebando-Mulago-24h'!I62)</f>
        <v>2.5</v>
      </c>
      <c r="J62" s="49">
        <f>AVERAGE('01.08 Kyebando-Mulago-24h'!J62,'03.08 Kyebando-Mulago-24h'!J62)</f>
        <v>0.5</v>
      </c>
      <c r="K62" s="49">
        <f>AVERAGE('01.08 Kyebando-Mulago-24h'!K62,'03.08 Kyebando-Mulago-24h'!K62)</f>
        <v>0</v>
      </c>
      <c r="L62" s="49">
        <f>AVERAGE('01.08 Kyebando-Mulago-24h'!L62,'03.08 Kyebando-Mulago-24h'!L62)</f>
        <v>0</v>
      </c>
      <c r="M62" s="49">
        <f>AVERAGE('01.08 Kyebando-Mulago-24h'!M62,'03.08 Kyebando-Mulago-24h'!M62)</f>
        <v>120</v>
      </c>
      <c r="N62" s="49">
        <f>AVERAGE('01.08 Kyebando-Mulago-24h'!N62,'03.08 Kyebando-Mulago-24h'!N62)</f>
        <v>0</v>
      </c>
      <c r="O62" s="15">
        <f t="shared" si="0"/>
        <v>105.5</v>
      </c>
      <c r="P62" s="15">
        <f t="shared" si="1"/>
        <v>225.5</v>
      </c>
      <c r="R62" s="8"/>
      <c r="T62"/>
    </row>
    <row r="63" spans="2:20" ht="23.1" customHeight="1" x14ac:dyDescent="0.25">
      <c r="B63" s="23" t="s">
        <v>108</v>
      </c>
      <c r="C63" s="49">
        <f>AVERAGE('01.08 Kyebando-Mulago-24h'!C63,'03.08 Kyebando-Mulago-24h'!C63)</f>
        <v>39</v>
      </c>
      <c r="D63" s="49">
        <f>AVERAGE('01.08 Kyebando-Mulago-24h'!D63,'03.08 Kyebando-Mulago-24h'!D63)</f>
        <v>2</v>
      </c>
      <c r="E63" s="49">
        <f>AVERAGE('01.08 Kyebando-Mulago-24h'!E63,'03.08 Kyebando-Mulago-24h'!E63)</f>
        <v>8</v>
      </c>
      <c r="F63" s="49">
        <f>AVERAGE('01.08 Kyebando-Mulago-24h'!F63,'03.08 Kyebando-Mulago-24h'!F63)</f>
        <v>11.5</v>
      </c>
      <c r="G63" s="49">
        <f>AVERAGE('01.08 Kyebando-Mulago-24h'!G63,'03.08 Kyebando-Mulago-24h'!G63)</f>
        <v>0</v>
      </c>
      <c r="H63" s="49">
        <f>AVERAGE('01.08 Kyebando-Mulago-24h'!H63,'03.08 Kyebando-Mulago-24h'!H63)</f>
        <v>0.5</v>
      </c>
      <c r="I63" s="49">
        <f>AVERAGE('01.08 Kyebando-Mulago-24h'!I63,'03.08 Kyebando-Mulago-24h'!I63)</f>
        <v>2.5</v>
      </c>
      <c r="J63" s="49">
        <f>AVERAGE('01.08 Kyebando-Mulago-24h'!J63,'03.08 Kyebando-Mulago-24h'!J63)</f>
        <v>0</v>
      </c>
      <c r="K63" s="49">
        <f>AVERAGE('01.08 Kyebando-Mulago-24h'!K63,'03.08 Kyebando-Mulago-24h'!K63)</f>
        <v>0</v>
      </c>
      <c r="L63" s="49">
        <f>AVERAGE('01.08 Kyebando-Mulago-24h'!L63,'03.08 Kyebando-Mulago-24h'!L63)</f>
        <v>0</v>
      </c>
      <c r="M63" s="49">
        <f>AVERAGE('01.08 Kyebando-Mulago-24h'!M63,'03.08 Kyebando-Mulago-24h'!M63)</f>
        <v>99.5</v>
      </c>
      <c r="N63" s="49">
        <f>AVERAGE('01.08 Kyebando-Mulago-24h'!N63,'03.08 Kyebando-Mulago-24h'!N63)</f>
        <v>0</v>
      </c>
      <c r="O63" s="15">
        <f t="shared" si="0"/>
        <v>63.5</v>
      </c>
      <c r="P63" s="15">
        <f t="shared" si="1"/>
        <v>163</v>
      </c>
      <c r="R63" s="8"/>
      <c r="T63"/>
    </row>
    <row r="64" spans="2:20" ht="23.1" customHeight="1" x14ac:dyDescent="0.25">
      <c r="B64" s="23" t="s">
        <v>109</v>
      </c>
      <c r="C64" s="49">
        <f>AVERAGE('01.08 Kyebando-Mulago-24h'!C64,'03.08 Kyebando-Mulago-24h'!C64)</f>
        <v>46</v>
      </c>
      <c r="D64" s="49">
        <f>AVERAGE('01.08 Kyebando-Mulago-24h'!D64,'03.08 Kyebando-Mulago-24h'!D64)</f>
        <v>5.5</v>
      </c>
      <c r="E64" s="49">
        <f>AVERAGE('01.08 Kyebando-Mulago-24h'!E64,'03.08 Kyebando-Mulago-24h'!E64)</f>
        <v>10.5</v>
      </c>
      <c r="F64" s="49">
        <f>AVERAGE('01.08 Kyebando-Mulago-24h'!F64,'03.08 Kyebando-Mulago-24h'!F64)</f>
        <v>11.5</v>
      </c>
      <c r="G64" s="49">
        <f>AVERAGE('01.08 Kyebando-Mulago-24h'!G64,'03.08 Kyebando-Mulago-24h'!G64)</f>
        <v>0</v>
      </c>
      <c r="H64" s="49">
        <f>AVERAGE('01.08 Kyebando-Mulago-24h'!H64,'03.08 Kyebando-Mulago-24h'!H64)</f>
        <v>0</v>
      </c>
      <c r="I64" s="49">
        <f>AVERAGE('01.08 Kyebando-Mulago-24h'!I64,'03.08 Kyebando-Mulago-24h'!I64)</f>
        <v>2.5</v>
      </c>
      <c r="J64" s="49">
        <f>AVERAGE('01.08 Kyebando-Mulago-24h'!J64,'03.08 Kyebando-Mulago-24h'!J64)</f>
        <v>0.5</v>
      </c>
      <c r="K64" s="49">
        <f>AVERAGE('01.08 Kyebando-Mulago-24h'!K64,'03.08 Kyebando-Mulago-24h'!K64)</f>
        <v>0</v>
      </c>
      <c r="L64" s="49">
        <f>AVERAGE('01.08 Kyebando-Mulago-24h'!L64,'03.08 Kyebando-Mulago-24h'!L64)</f>
        <v>0</v>
      </c>
      <c r="M64" s="49">
        <f>AVERAGE('01.08 Kyebando-Mulago-24h'!M64,'03.08 Kyebando-Mulago-24h'!M64)</f>
        <v>109.5</v>
      </c>
      <c r="N64" s="49">
        <f>AVERAGE('01.08 Kyebando-Mulago-24h'!N64,'03.08 Kyebando-Mulago-24h'!N64)</f>
        <v>0</v>
      </c>
      <c r="O64" s="15">
        <f t="shared" si="0"/>
        <v>76.5</v>
      </c>
      <c r="P64" s="15">
        <f t="shared" si="1"/>
        <v>186</v>
      </c>
      <c r="R64" s="8"/>
      <c r="T64"/>
    </row>
    <row r="65" spans="2:20" ht="23.1" customHeight="1" x14ac:dyDescent="0.25">
      <c r="B65" s="23" t="s">
        <v>158</v>
      </c>
      <c r="C65" s="49">
        <f>AVERAGE('01.08 Kyebando-Mulago-24h'!C65,'03.08 Kyebando-Mulago-24h'!C65)</f>
        <v>35.5</v>
      </c>
      <c r="D65" s="49">
        <f>AVERAGE('01.08 Kyebando-Mulago-24h'!D65,'03.08 Kyebando-Mulago-24h'!D65)</f>
        <v>1.5</v>
      </c>
      <c r="E65" s="49">
        <f>AVERAGE('01.08 Kyebando-Mulago-24h'!E65,'03.08 Kyebando-Mulago-24h'!E65)</f>
        <v>6.5</v>
      </c>
      <c r="F65" s="49">
        <f>AVERAGE('01.08 Kyebando-Mulago-24h'!F65,'03.08 Kyebando-Mulago-24h'!F65)</f>
        <v>7.5</v>
      </c>
      <c r="G65" s="49">
        <f>AVERAGE('01.08 Kyebando-Mulago-24h'!G65,'03.08 Kyebando-Mulago-24h'!G65)</f>
        <v>0</v>
      </c>
      <c r="H65" s="49">
        <f>AVERAGE('01.08 Kyebando-Mulago-24h'!H65,'03.08 Kyebando-Mulago-24h'!H65)</f>
        <v>0</v>
      </c>
      <c r="I65" s="49">
        <f>AVERAGE('01.08 Kyebando-Mulago-24h'!I65,'03.08 Kyebando-Mulago-24h'!I65)</f>
        <v>1</v>
      </c>
      <c r="J65" s="49">
        <f>AVERAGE('01.08 Kyebando-Mulago-24h'!J65,'03.08 Kyebando-Mulago-24h'!J65)</f>
        <v>0</v>
      </c>
      <c r="K65" s="49">
        <f>AVERAGE('01.08 Kyebando-Mulago-24h'!K65,'03.08 Kyebando-Mulago-24h'!K65)</f>
        <v>0</v>
      </c>
      <c r="L65" s="49">
        <f>AVERAGE('01.08 Kyebando-Mulago-24h'!L65,'03.08 Kyebando-Mulago-24h'!L65)</f>
        <v>0</v>
      </c>
      <c r="M65" s="49">
        <f>AVERAGE('01.08 Kyebando-Mulago-24h'!M65,'03.08 Kyebando-Mulago-24h'!M65)</f>
        <v>70</v>
      </c>
      <c r="N65" s="49">
        <f>AVERAGE('01.08 Kyebando-Mulago-24h'!N65,'03.08 Kyebando-Mulago-24h'!N65)</f>
        <v>0</v>
      </c>
      <c r="O65" s="15">
        <f t="shared" si="0"/>
        <v>52</v>
      </c>
      <c r="P65" s="15">
        <f t="shared" si="1"/>
        <v>122</v>
      </c>
      <c r="R65" s="8"/>
      <c r="T65"/>
    </row>
    <row r="66" spans="2:20" ht="23.1" customHeight="1" x14ac:dyDescent="0.25">
      <c r="B66" s="23" t="s">
        <v>103</v>
      </c>
      <c r="C66" s="49">
        <f>AVERAGE('01.08 Kyebando-Mulago-24h'!C66,'03.08 Kyebando-Mulago-24h'!C66)</f>
        <v>43</v>
      </c>
      <c r="D66" s="49">
        <f>AVERAGE('01.08 Kyebando-Mulago-24h'!D66,'03.08 Kyebando-Mulago-24h'!D66)</f>
        <v>3.5</v>
      </c>
      <c r="E66" s="49">
        <f>AVERAGE('01.08 Kyebando-Mulago-24h'!E66,'03.08 Kyebando-Mulago-24h'!E66)</f>
        <v>8.5</v>
      </c>
      <c r="F66" s="49">
        <f>AVERAGE('01.08 Kyebando-Mulago-24h'!F66,'03.08 Kyebando-Mulago-24h'!F66)</f>
        <v>5.5</v>
      </c>
      <c r="G66" s="49">
        <f>AVERAGE('01.08 Kyebando-Mulago-24h'!G66,'03.08 Kyebando-Mulago-24h'!G66)</f>
        <v>0</v>
      </c>
      <c r="H66" s="49">
        <f>AVERAGE('01.08 Kyebando-Mulago-24h'!H66,'03.08 Kyebando-Mulago-24h'!H66)</f>
        <v>0</v>
      </c>
      <c r="I66" s="49">
        <f>AVERAGE('01.08 Kyebando-Mulago-24h'!I66,'03.08 Kyebando-Mulago-24h'!I66)</f>
        <v>3</v>
      </c>
      <c r="J66" s="49">
        <f>AVERAGE('01.08 Kyebando-Mulago-24h'!J66,'03.08 Kyebando-Mulago-24h'!J66)</f>
        <v>0</v>
      </c>
      <c r="K66" s="49">
        <f>AVERAGE('01.08 Kyebando-Mulago-24h'!K66,'03.08 Kyebando-Mulago-24h'!K66)</f>
        <v>0</v>
      </c>
      <c r="L66" s="49">
        <f>AVERAGE('01.08 Kyebando-Mulago-24h'!L66,'03.08 Kyebando-Mulago-24h'!L66)</f>
        <v>0</v>
      </c>
      <c r="M66" s="49">
        <f>AVERAGE('01.08 Kyebando-Mulago-24h'!M66,'03.08 Kyebando-Mulago-24h'!M66)</f>
        <v>93</v>
      </c>
      <c r="N66" s="49">
        <f>AVERAGE('01.08 Kyebando-Mulago-24h'!N66,'03.08 Kyebando-Mulago-24h'!N66)</f>
        <v>0</v>
      </c>
      <c r="O66" s="15">
        <f t="shared" si="0"/>
        <v>63.5</v>
      </c>
      <c r="P66" s="15">
        <f t="shared" si="1"/>
        <v>156.5</v>
      </c>
      <c r="R66" s="8"/>
      <c r="T66"/>
    </row>
    <row r="67" spans="2:20" ht="23.1" customHeight="1" x14ac:dyDescent="0.25">
      <c r="B67" s="23" t="s">
        <v>104</v>
      </c>
      <c r="C67" s="49">
        <f>AVERAGE('01.08 Kyebando-Mulago-24h'!C67,'03.08 Kyebando-Mulago-24h'!C67)</f>
        <v>37.5</v>
      </c>
      <c r="D67" s="49">
        <f>AVERAGE('01.08 Kyebando-Mulago-24h'!D67,'03.08 Kyebando-Mulago-24h'!D67)</f>
        <v>3.5</v>
      </c>
      <c r="E67" s="49">
        <f>AVERAGE('01.08 Kyebando-Mulago-24h'!E67,'03.08 Kyebando-Mulago-24h'!E67)</f>
        <v>6</v>
      </c>
      <c r="F67" s="49">
        <f>AVERAGE('01.08 Kyebando-Mulago-24h'!F67,'03.08 Kyebando-Mulago-24h'!F67)</f>
        <v>6.5</v>
      </c>
      <c r="G67" s="49">
        <f>AVERAGE('01.08 Kyebando-Mulago-24h'!G67,'03.08 Kyebando-Mulago-24h'!G67)</f>
        <v>0</v>
      </c>
      <c r="H67" s="49">
        <f>AVERAGE('01.08 Kyebando-Mulago-24h'!H67,'03.08 Kyebando-Mulago-24h'!H67)</f>
        <v>0</v>
      </c>
      <c r="I67" s="49">
        <f>AVERAGE('01.08 Kyebando-Mulago-24h'!I67,'03.08 Kyebando-Mulago-24h'!I67)</f>
        <v>0.5</v>
      </c>
      <c r="J67" s="49">
        <f>AVERAGE('01.08 Kyebando-Mulago-24h'!J67,'03.08 Kyebando-Mulago-24h'!J67)</f>
        <v>1</v>
      </c>
      <c r="K67" s="49">
        <f>AVERAGE('01.08 Kyebando-Mulago-24h'!K67,'03.08 Kyebando-Mulago-24h'!K67)</f>
        <v>0</v>
      </c>
      <c r="L67" s="49">
        <f>AVERAGE('01.08 Kyebando-Mulago-24h'!L67,'03.08 Kyebando-Mulago-24h'!L67)</f>
        <v>0</v>
      </c>
      <c r="M67" s="49">
        <f>AVERAGE('01.08 Kyebando-Mulago-24h'!M67,'03.08 Kyebando-Mulago-24h'!M67)</f>
        <v>80</v>
      </c>
      <c r="N67" s="49">
        <f>AVERAGE('01.08 Kyebando-Mulago-24h'!N67,'03.08 Kyebando-Mulago-24h'!N67)</f>
        <v>0</v>
      </c>
      <c r="O67" s="15">
        <f t="shared" si="0"/>
        <v>55</v>
      </c>
      <c r="P67" s="15">
        <f t="shared" si="1"/>
        <v>135</v>
      </c>
      <c r="R67" s="8"/>
      <c r="T67"/>
    </row>
    <row r="68" spans="2:20" ht="23.1" customHeight="1" x14ac:dyDescent="0.25">
      <c r="B68" s="23" t="s">
        <v>105</v>
      </c>
      <c r="C68" s="49">
        <f>AVERAGE('01.08 Kyebando-Mulago-24h'!C68,'03.08 Kyebando-Mulago-24h'!C68)</f>
        <v>46.5</v>
      </c>
      <c r="D68" s="49">
        <f>AVERAGE('01.08 Kyebando-Mulago-24h'!D68,'03.08 Kyebando-Mulago-24h'!D68)</f>
        <v>3</v>
      </c>
      <c r="E68" s="49">
        <f>AVERAGE('01.08 Kyebando-Mulago-24h'!E68,'03.08 Kyebando-Mulago-24h'!E68)</f>
        <v>10.5</v>
      </c>
      <c r="F68" s="49">
        <f>AVERAGE('01.08 Kyebando-Mulago-24h'!F68,'03.08 Kyebando-Mulago-24h'!F68)</f>
        <v>6.5</v>
      </c>
      <c r="G68" s="49">
        <f>AVERAGE('01.08 Kyebando-Mulago-24h'!G68,'03.08 Kyebando-Mulago-24h'!G68)</f>
        <v>0</v>
      </c>
      <c r="H68" s="49">
        <f>AVERAGE('01.08 Kyebando-Mulago-24h'!H68,'03.08 Kyebando-Mulago-24h'!H68)</f>
        <v>0</v>
      </c>
      <c r="I68" s="49">
        <f>AVERAGE('01.08 Kyebando-Mulago-24h'!I68,'03.08 Kyebando-Mulago-24h'!I68)</f>
        <v>1</v>
      </c>
      <c r="J68" s="49">
        <f>AVERAGE('01.08 Kyebando-Mulago-24h'!J68,'03.08 Kyebando-Mulago-24h'!J68)</f>
        <v>0.5</v>
      </c>
      <c r="K68" s="49">
        <f>AVERAGE('01.08 Kyebando-Mulago-24h'!K68,'03.08 Kyebando-Mulago-24h'!K68)</f>
        <v>0.5</v>
      </c>
      <c r="L68" s="49">
        <f>AVERAGE('01.08 Kyebando-Mulago-24h'!L68,'03.08 Kyebando-Mulago-24h'!L68)</f>
        <v>0</v>
      </c>
      <c r="M68" s="49">
        <f>AVERAGE('01.08 Kyebando-Mulago-24h'!M68,'03.08 Kyebando-Mulago-24h'!M68)</f>
        <v>90.5</v>
      </c>
      <c r="N68" s="49">
        <f>AVERAGE('01.08 Kyebando-Mulago-24h'!N68,'03.08 Kyebando-Mulago-24h'!N68)</f>
        <v>0</v>
      </c>
      <c r="O68" s="15">
        <f t="shared" si="0"/>
        <v>68.5</v>
      </c>
      <c r="P68" s="15">
        <f t="shared" si="1"/>
        <v>159</v>
      </c>
      <c r="R68" s="8"/>
      <c r="T68"/>
    </row>
    <row r="69" spans="2:20" ht="23.1" customHeight="1" x14ac:dyDescent="0.25">
      <c r="B69" s="23" t="s">
        <v>106</v>
      </c>
      <c r="C69" s="49">
        <f>AVERAGE('01.08 Kyebando-Mulago-24h'!C69,'03.08 Kyebando-Mulago-24h'!C69)</f>
        <v>35</v>
      </c>
      <c r="D69" s="49">
        <f>AVERAGE('01.08 Kyebando-Mulago-24h'!D69,'03.08 Kyebando-Mulago-24h'!D69)</f>
        <v>2</v>
      </c>
      <c r="E69" s="49">
        <f>AVERAGE('01.08 Kyebando-Mulago-24h'!E69,'03.08 Kyebando-Mulago-24h'!E69)</f>
        <v>7.5</v>
      </c>
      <c r="F69" s="49">
        <f>AVERAGE('01.08 Kyebando-Mulago-24h'!F69,'03.08 Kyebando-Mulago-24h'!F69)</f>
        <v>3.5</v>
      </c>
      <c r="G69" s="49">
        <f>AVERAGE('01.08 Kyebando-Mulago-24h'!G69,'03.08 Kyebando-Mulago-24h'!G69)</f>
        <v>0</v>
      </c>
      <c r="H69" s="49">
        <f>AVERAGE('01.08 Kyebando-Mulago-24h'!H69,'03.08 Kyebando-Mulago-24h'!H69)</f>
        <v>0</v>
      </c>
      <c r="I69" s="49">
        <f>AVERAGE('01.08 Kyebando-Mulago-24h'!I69,'03.08 Kyebando-Mulago-24h'!I69)</f>
        <v>1</v>
      </c>
      <c r="J69" s="49">
        <f>AVERAGE('01.08 Kyebando-Mulago-24h'!J69,'03.08 Kyebando-Mulago-24h'!J69)</f>
        <v>0.5</v>
      </c>
      <c r="K69" s="49">
        <f>AVERAGE('01.08 Kyebando-Mulago-24h'!K69,'03.08 Kyebando-Mulago-24h'!K69)</f>
        <v>0</v>
      </c>
      <c r="L69" s="49">
        <f>AVERAGE('01.08 Kyebando-Mulago-24h'!L69,'03.08 Kyebando-Mulago-24h'!L69)</f>
        <v>0</v>
      </c>
      <c r="M69" s="49">
        <f>AVERAGE('01.08 Kyebando-Mulago-24h'!M69,'03.08 Kyebando-Mulago-24h'!M69)</f>
        <v>84</v>
      </c>
      <c r="N69" s="49">
        <f>AVERAGE('01.08 Kyebando-Mulago-24h'!N69,'03.08 Kyebando-Mulago-24h'!N69)</f>
        <v>0</v>
      </c>
      <c r="O69" s="15">
        <f t="shared" si="0"/>
        <v>49.5</v>
      </c>
      <c r="P69" s="15">
        <f t="shared" si="1"/>
        <v>133.5</v>
      </c>
      <c r="R69" s="8"/>
      <c r="T69"/>
    </row>
    <row r="70" spans="2:20" ht="23.1" customHeight="1" x14ac:dyDescent="0.25">
      <c r="B70" s="23" t="s">
        <v>110</v>
      </c>
      <c r="C70" s="49">
        <f>AVERAGE('01.08 Kyebando-Mulago-24h'!C70,'03.08 Kyebando-Mulago-24h'!C70)</f>
        <v>24.5</v>
      </c>
      <c r="D70" s="49">
        <f>AVERAGE('01.08 Kyebando-Mulago-24h'!D70,'03.08 Kyebando-Mulago-24h'!D70)</f>
        <v>1.5</v>
      </c>
      <c r="E70" s="49">
        <f>AVERAGE('01.08 Kyebando-Mulago-24h'!E70,'03.08 Kyebando-Mulago-24h'!E70)</f>
        <v>5</v>
      </c>
      <c r="F70" s="49">
        <f>AVERAGE('01.08 Kyebando-Mulago-24h'!F70,'03.08 Kyebando-Mulago-24h'!F70)</f>
        <v>2.5</v>
      </c>
      <c r="G70" s="49">
        <f>AVERAGE('01.08 Kyebando-Mulago-24h'!G70,'03.08 Kyebando-Mulago-24h'!G70)</f>
        <v>0</v>
      </c>
      <c r="H70" s="49">
        <f>AVERAGE('01.08 Kyebando-Mulago-24h'!H70,'03.08 Kyebando-Mulago-24h'!H70)</f>
        <v>0</v>
      </c>
      <c r="I70" s="49">
        <f>AVERAGE('01.08 Kyebando-Mulago-24h'!I70,'03.08 Kyebando-Mulago-24h'!I70)</f>
        <v>1.5</v>
      </c>
      <c r="J70" s="49">
        <f>AVERAGE('01.08 Kyebando-Mulago-24h'!J70,'03.08 Kyebando-Mulago-24h'!J70)</f>
        <v>0</v>
      </c>
      <c r="K70" s="49">
        <f>AVERAGE('01.08 Kyebando-Mulago-24h'!K70,'03.08 Kyebando-Mulago-24h'!K70)</f>
        <v>0</v>
      </c>
      <c r="L70" s="49">
        <f>AVERAGE('01.08 Kyebando-Mulago-24h'!L70,'03.08 Kyebando-Mulago-24h'!L70)</f>
        <v>0</v>
      </c>
      <c r="M70" s="49">
        <f>AVERAGE('01.08 Kyebando-Mulago-24h'!M70,'03.08 Kyebando-Mulago-24h'!M70)</f>
        <v>73</v>
      </c>
      <c r="N70" s="49">
        <f>AVERAGE('01.08 Kyebando-Mulago-24h'!N70,'03.08 Kyebando-Mulago-24h'!N70)</f>
        <v>0</v>
      </c>
      <c r="O70" s="15">
        <f t="shared" si="0"/>
        <v>35</v>
      </c>
      <c r="P70" s="15">
        <f t="shared" si="1"/>
        <v>108</v>
      </c>
      <c r="R70" s="8"/>
      <c r="T70"/>
    </row>
    <row r="71" spans="2:20" ht="23.1" customHeight="1" x14ac:dyDescent="0.25">
      <c r="B71" s="23" t="s">
        <v>111</v>
      </c>
      <c r="C71" s="49">
        <f>AVERAGE('01.08 Kyebando-Mulago-24h'!C71,'03.08 Kyebando-Mulago-24h'!C71)</f>
        <v>29.5</v>
      </c>
      <c r="D71" s="49">
        <f>AVERAGE('01.08 Kyebando-Mulago-24h'!D71,'03.08 Kyebando-Mulago-24h'!D71)</f>
        <v>2</v>
      </c>
      <c r="E71" s="49">
        <f>AVERAGE('01.08 Kyebando-Mulago-24h'!E71,'03.08 Kyebando-Mulago-24h'!E71)</f>
        <v>3.5</v>
      </c>
      <c r="F71" s="49">
        <f>AVERAGE('01.08 Kyebando-Mulago-24h'!F71,'03.08 Kyebando-Mulago-24h'!F71)</f>
        <v>2.5</v>
      </c>
      <c r="G71" s="49">
        <f>AVERAGE('01.08 Kyebando-Mulago-24h'!G71,'03.08 Kyebando-Mulago-24h'!G71)</f>
        <v>0</v>
      </c>
      <c r="H71" s="49">
        <f>AVERAGE('01.08 Kyebando-Mulago-24h'!H71,'03.08 Kyebando-Mulago-24h'!H71)</f>
        <v>0</v>
      </c>
      <c r="I71" s="49">
        <f>AVERAGE('01.08 Kyebando-Mulago-24h'!I71,'03.08 Kyebando-Mulago-24h'!I71)</f>
        <v>0.5</v>
      </c>
      <c r="J71" s="49">
        <f>AVERAGE('01.08 Kyebando-Mulago-24h'!J71,'03.08 Kyebando-Mulago-24h'!J71)</f>
        <v>0</v>
      </c>
      <c r="K71" s="49">
        <f>AVERAGE('01.08 Kyebando-Mulago-24h'!K71,'03.08 Kyebando-Mulago-24h'!K71)</f>
        <v>0</v>
      </c>
      <c r="L71" s="49">
        <f>AVERAGE('01.08 Kyebando-Mulago-24h'!L71,'03.08 Kyebando-Mulago-24h'!L71)</f>
        <v>0</v>
      </c>
      <c r="M71" s="49">
        <f>AVERAGE('01.08 Kyebando-Mulago-24h'!M71,'03.08 Kyebando-Mulago-24h'!M71)</f>
        <v>64</v>
      </c>
      <c r="N71" s="49">
        <f>AVERAGE('01.08 Kyebando-Mulago-24h'!N71,'03.08 Kyebando-Mulago-24h'!N71)</f>
        <v>0</v>
      </c>
      <c r="O71" s="15">
        <f t="shared" si="0"/>
        <v>38</v>
      </c>
      <c r="P71" s="15">
        <f t="shared" si="1"/>
        <v>102</v>
      </c>
      <c r="R71" s="8"/>
      <c r="T71"/>
    </row>
    <row r="72" spans="2:20" ht="23.1" customHeight="1" x14ac:dyDescent="0.25">
      <c r="B72" s="23" t="s">
        <v>112</v>
      </c>
      <c r="C72" s="49">
        <f>AVERAGE('01.08 Kyebando-Mulago-24h'!C72,'03.08 Kyebando-Mulago-24h'!C72)</f>
        <v>21.5</v>
      </c>
      <c r="D72" s="49">
        <f>AVERAGE('01.08 Kyebando-Mulago-24h'!D72,'03.08 Kyebando-Mulago-24h'!D72)</f>
        <v>1.5</v>
      </c>
      <c r="E72" s="49">
        <f>AVERAGE('01.08 Kyebando-Mulago-24h'!E72,'03.08 Kyebando-Mulago-24h'!E72)</f>
        <v>4.5</v>
      </c>
      <c r="F72" s="49">
        <f>AVERAGE('01.08 Kyebando-Mulago-24h'!F72,'03.08 Kyebando-Mulago-24h'!F72)</f>
        <v>1.5</v>
      </c>
      <c r="G72" s="49">
        <f>AVERAGE('01.08 Kyebando-Mulago-24h'!G72,'03.08 Kyebando-Mulago-24h'!G72)</f>
        <v>0</v>
      </c>
      <c r="H72" s="49">
        <f>AVERAGE('01.08 Kyebando-Mulago-24h'!H72,'03.08 Kyebando-Mulago-24h'!H72)</f>
        <v>0</v>
      </c>
      <c r="I72" s="49">
        <f>AVERAGE('01.08 Kyebando-Mulago-24h'!I72,'03.08 Kyebando-Mulago-24h'!I72)</f>
        <v>0.5</v>
      </c>
      <c r="J72" s="49">
        <f>AVERAGE('01.08 Kyebando-Mulago-24h'!J72,'03.08 Kyebando-Mulago-24h'!J72)</f>
        <v>0</v>
      </c>
      <c r="K72" s="49">
        <f>AVERAGE('01.08 Kyebando-Mulago-24h'!K72,'03.08 Kyebando-Mulago-24h'!K72)</f>
        <v>0</v>
      </c>
      <c r="L72" s="49">
        <f>AVERAGE('01.08 Kyebando-Mulago-24h'!L72,'03.08 Kyebando-Mulago-24h'!L72)</f>
        <v>0</v>
      </c>
      <c r="M72" s="49">
        <f>AVERAGE('01.08 Kyebando-Mulago-24h'!M72,'03.08 Kyebando-Mulago-24h'!M72)</f>
        <v>42.5</v>
      </c>
      <c r="N72" s="49">
        <f>AVERAGE('01.08 Kyebando-Mulago-24h'!N72,'03.08 Kyebando-Mulago-24h'!N72)</f>
        <v>0</v>
      </c>
      <c r="O72" s="15">
        <f t="shared" si="0"/>
        <v>29.5</v>
      </c>
      <c r="P72" s="15">
        <f t="shared" si="1"/>
        <v>72</v>
      </c>
      <c r="R72" s="8"/>
      <c r="T72"/>
    </row>
    <row r="73" spans="2:20" ht="23.1" customHeight="1" x14ac:dyDescent="0.25">
      <c r="B73" s="23" t="s">
        <v>113</v>
      </c>
      <c r="C73" s="49">
        <f>AVERAGE('01.08 Kyebando-Mulago-24h'!C73,'03.08 Kyebando-Mulago-24h'!C73)</f>
        <v>24</v>
      </c>
      <c r="D73" s="49">
        <f>AVERAGE('01.08 Kyebando-Mulago-24h'!D73,'03.08 Kyebando-Mulago-24h'!D73)</f>
        <v>2</v>
      </c>
      <c r="E73" s="49">
        <f>AVERAGE('01.08 Kyebando-Mulago-24h'!E73,'03.08 Kyebando-Mulago-24h'!E73)</f>
        <v>2</v>
      </c>
      <c r="F73" s="49">
        <f>AVERAGE('01.08 Kyebando-Mulago-24h'!F73,'03.08 Kyebando-Mulago-24h'!F73)</f>
        <v>2.5</v>
      </c>
      <c r="G73" s="49">
        <f>AVERAGE('01.08 Kyebando-Mulago-24h'!G73,'03.08 Kyebando-Mulago-24h'!G73)</f>
        <v>0</v>
      </c>
      <c r="H73" s="49">
        <f>AVERAGE('01.08 Kyebando-Mulago-24h'!H73,'03.08 Kyebando-Mulago-24h'!H73)</f>
        <v>0</v>
      </c>
      <c r="I73" s="49">
        <f>AVERAGE('01.08 Kyebando-Mulago-24h'!I73,'03.08 Kyebando-Mulago-24h'!I73)</f>
        <v>0</v>
      </c>
      <c r="J73" s="49">
        <f>AVERAGE('01.08 Kyebando-Mulago-24h'!J73,'03.08 Kyebando-Mulago-24h'!J73)</f>
        <v>0</v>
      </c>
      <c r="K73" s="49">
        <f>AVERAGE('01.08 Kyebando-Mulago-24h'!K73,'03.08 Kyebando-Mulago-24h'!K73)</f>
        <v>0</v>
      </c>
      <c r="L73" s="49">
        <f>AVERAGE('01.08 Kyebando-Mulago-24h'!L73,'03.08 Kyebando-Mulago-24h'!L73)</f>
        <v>0</v>
      </c>
      <c r="M73" s="49">
        <f>AVERAGE('01.08 Kyebando-Mulago-24h'!M73,'03.08 Kyebando-Mulago-24h'!M73)</f>
        <v>43.5</v>
      </c>
      <c r="N73" s="49">
        <f>AVERAGE('01.08 Kyebando-Mulago-24h'!N73,'03.08 Kyebando-Mulago-24h'!N73)</f>
        <v>0</v>
      </c>
      <c r="O73" s="15">
        <f t="shared" si="0"/>
        <v>30.5</v>
      </c>
      <c r="P73" s="15">
        <f t="shared" si="1"/>
        <v>74</v>
      </c>
      <c r="R73" s="8"/>
      <c r="T73"/>
    </row>
    <row r="74" spans="2:20" ht="23.1" customHeight="1" x14ac:dyDescent="0.25">
      <c r="B74" s="23" t="s">
        <v>114</v>
      </c>
      <c r="C74" s="49">
        <f>AVERAGE('01.08 Kyebando-Mulago-24h'!C74,'03.08 Kyebando-Mulago-24h'!C74)</f>
        <v>20</v>
      </c>
      <c r="D74" s="49">
        <f>AVERAGE('01.08 Kyebando-Mulago-24h'!D74,'03.08 Kyebando-Mulago-24h'!D74)</f>
        <v>1</v>
      </c>
      <c r="E74" s="49">
        <f>AVERAGE('01.08 Kyebando-Mulago-24h'!E74,'03.08 Kyebando-Mulago-24h'!E74)</f>
        <v>3.5</v>
      </c>
      <c r="F74" s="49">
        <f>AVERAGE('01.08 Kyebando-Mulago-24h'!F74,'03.08 Kyebando-Mulago-24h'!F74)</f>
        <v>3.5</v>
      </c>
      <c r="G74" s="49">
        <f>AVERAGE('01.08 Kyebando-Mulago-24h'!G74,'03.08 Kyebando-Mulago-24h'!G74)</f>
        <v>0</v>
      </c>
      <c r="H74" s="49">
        <f>AVERAGE('01.08 Kyebando-Mulago-24h'!H74,'03.08 Kyebando-Mulago-24h'!H74)</f>
        <v>0</v>
      </c>
      <c r="I74" s="49">
        <f>AVERAGE('01.08 Kyebando-Mulago-24h'!I74,'03.08 Kyebando-Mulago-24h'!I74)</f>
        <v>0.5</v>
      </c>
      <c r="J74" s="49">
        <f>AVERAGE('01.08 Kyebando-Mulago-24h'!J74,'03.08 Kyebando-Mulago-24h'!J74)</f>
        <v>0</v>
      </c>
      <c r="K74" s="49">
        <f>AVERAGE('01.08 Kyebando-Mulago-24h'!K74,'03.08 Kyebando-Mulago-24h'!K74)</f>
        <v>0</v>
      </c>
      <c r="L74" s="49">
        <f>AVERAGE('01.08 Kyebando-Mulago-24h'!L74,'03.08 Kyebando-Mulago-24h'!L74)</f>
        <v>0</v>
      </c>
      <c r="M74" s="49">
        <f>AVERAGE('01.08 Kyebando-Mulago-24h'!M74,'03.08 Kyebando-Mulago-24h'!M74)</f>
        <v>37</v>
      </c>
      <c r="N74" s="49">
        <f>AVERAGE('01.08 Kyebando-Mulago-24h'!N74,'03.08 Kyebando-Mulago-24h'!N74)</f>
        <v>0</v>
      </c>
      <c r="O74" s="15">
        <f t="shared" ref="O74:O105" si="35">SUM(C74:L74,N74)</f>
        <v>28.5</v>
      </c>
      <c r="P74" s="15">
        <f t="shared" ref="P74:P105" si="36">SUM(C74:N74)</f>
        <v>65.5</v>
      </c>
      <c r="R74" s="8"/>
      <c r="T74"/>
    </row>
    <row r="75" spans="2:20" ht="23.1" customHeight="1" x14ac:dyDescent="0.25">
      <c r="B75" s="23" t="s">
        <v>115</v>
      </c>
      <c r="C75" s="49">
        <f>AVERAGE('01.08 Kyebando-Mulago-24h'!C75,'03.08 Kyebando-Mulago-24h'!C75)</f>
        <v>15.5</v>
      </c>
      <c r="D75" s="49">
        <f>AVERAGE('01.08 Kyebando-Mulago-24h'!D75,'03.08 Kyebando-Mulago-24h'!D75)</f>
        <v>1</v>
      </c>
      <c r="E75" s="49">
        <f>AVERAGE('01.08 Kyebando-Mulago-24h'!E75,'03.08 Kyebando-Mulago-24h'!E75)</f>
        <v>2.5</v>
      </c>
      <c r="F75" s="49">
        <f>AVERAGE('01.08 Kyebando-Mulago-24h'!F75,'03.08 Kyebando-Mulago-24h'!F75)</f>
        <v>0.5</v>
      </c>
      <c r="G75" s="49">
        <f>AVERAGE('01.08 Kyebando-Mulago-24h'!G75,'03.08 Kyebando-Mulago-24h'!G75)</f>
        <v>0</v>
      </c>
      <c r="H75" s="49">
        <f>AVERAGE('01.08 Kyebando-Mulago-24h'!H75,'03.08 Kyebando-Mulago-24h'!H75)</f>
        <v>0</v>
      </c>
      <c r="I75" s="49">
        <f>AVERAGE('01.08 Kyebando-Mulago-24h'!I75,'03.08 Kyebando-Mulago-24h'!I75)</f>
        <v>0</v>
      </c>
      <c r="J75" s="49">
        <f>AVERAGE('01.08 Kyebando-Mulago-24h'!J75,'03.08 Kyebando-Mulago-24h'!J75)</f>
        <v>0</v>
      </c>
      <c r="K75" s="49">
        <f>AVERAGE('01.08 Kyebando-Mulago-24h'!K75,'03.08 Kyebando-Mulago-24h'!K75)</f>
        <v>0</v>
      </c>
      <c r="L75" s="49">
        <f>AVERAGE('01.08 Kyebando-Mulago-24h'!L75,'03.08 Kyebando-Mulago-24h'!L75)</f>
        <v>0</v>
      </c>
      <c r="M75" s="49">
        <f>AVERAGE('01.08 Kyebando-Mulago-24h'!M75,'03.08 Kyebando-Mulago-24h'!M75)</f>
        <v>35</v>
      </c>
      <c r="N75" s="49">
        <f>AVERAGE('01.08 Kyebando-Mulago-24h'!N75,'03.08 Kyebando-Mulago-24h'!N75)</f>
        <v>0</v>
      </c>
      <c r="O75" s="15">
        <f t="shared" si="35"/>
        <v>19.5</v>
      </c>
      <c r="P75" s="15">
        <f t="shared" si="36"/>
        <v>54.5</v>
      </c>
      <c r="R75" s="8"/>
      <c r="T75"/>
    </row>
    <row r="76" spans="2:20" ht="23.1" customHeight="1" x14ac:dyDescent="0.25">
      <c r="B76" s="23" t="s">
        <v>116</v>
      </c>
      <c r="C76" s="49">
        <f>AVERAGE('01.08 Kyebando-Mulago-24h'!C76,'03.08 Kyebando-Mulago-24h'!C76)</f>
        <v>16.5</v>
      </c>
      <c r="D76" s="49">
        <f>AVERAGE('01.08 Kyebando-Mulago-24h'!D76,'03.08 Kyebando-Mulago-24h'!D76)</f>
        <v>1</v>
      </c>
      <c r="E76" s="49">
        <f>AVERAGE('01.08 Kyebando-Mulago-24h'!E76,'03.08 Kyebando-Mulago-24h'!E76)</f>
        <v>3.5</v>
      </c>
      <c r="F76" s="49">
        <f>AVERAGE('01.08 Kyebando-Mulago-24h'!F76,'03.08 Kyebando-Mulago-24h'!F76)</f>
        <v>1.5</v>
      </c>
      <c r="G76" s="49">
        <f>AVERAGE('01.08 Kyebando-Mulago-24h'!G76,'03.08 Kyebando-Mulago-24h'!G76)</f>
        <v>0</v>
      </c>
      <c r="H76" s="49">
        <f>AVERAGE('01.08 Kyebando-Mulago-24h'!H76,'03.08 Kyebando-Mulago-24h'!H76)</f>
        <v>0</v>
      </c>
      <c r="I76" s="49">
        <f>AVERAGE('01.08 Kyebando-Mulago-24h'!I76,'03.08 Kyebando-Mulago-24h'!I76)</f>
        <v>0.5</v>
      </c>
      <c r="J76" s="49">
        <f>AVERAGE('01.08 Kyebando-Mulago-24h'!J76,'03.08 Kyebando-Mulago-24h'!J76)</f>
        <v>0</v>
      </c>
      <c r="K76" s="49">
        <f>AVERAGE('01.08 Kyebando-Mulago-24h'!K76,'03.08 Kyebando-Mulago-24h'!K76)</f>
        <v>0</v>
      </c>
      <c r="L76" s="49">
        <f>AVERAGE('01.08 Kyebando-Mulago-24h'!L76,'03.08 Kyebando-Mulago-24h'!L76)</f>
        <v>0</v>
      </c>
      <c r="M76" s="49">
        <f>AVERAGE('01.08 Kyebando-Mulago-24h'!M76,'03.08 Kyebando-Mulago-24h'!M76)</f>
        <v>43.5</v>
      </c>
      <c r="N76" s="49">
        <f>AVERAGE('01.08 Kyebando-Mulago-24h'!N76,'03.08 Kyebando-Mulago-24h'!N76)</f>
        <v>0</v>
      </c>
      <c r="O76" s="15">
        <f t="shared" si="35"/>
        <v>23</v>
      </c>
      <c r="P76" s="15">
        <f t="shared" si="36"/>
        <v>66.5</v>
      </c>
      <c r="R76" s="8"/>
      <c r="T76"/>
    </row>
    <row r="77" spans="2:20" ht="23.1" customHeight="1" x14ac:dyDescent="0.25">
      <c r="B77" s="23" t="s">
        <v>117</v>
      </c>
      <c r="C77" s="49">
        <f>AVERAGE('01.08 Kyebando-Mulago-24h'!C77,'03.08 Kyebando-Mulago-24h'!C77)</f>
        <v>7.5</v>
      </c>
      <c r="D77" s="49">
        <f>AVERAGE('01.08 Kyebando-Mulago-24h'!D77,'03.08 Kyebando-Mulago-24h'!D77)</f>
        <v>0.5</v>
      </c>
      <c r="E77" s="49">
        <f>AVERAGE('01.08 Kyebando-Mulago-24h'!E77,'03.08 Kyebando-Mulago-24h'!E77)</f>
        <v>1.5</v>
      </c>
      <c r="F77" s="49">
        <f>AVERAGE('01.08 Kyebando-Mulago-24h'!F77,'03.08 Kyebando-Mulago-24h'!F77)</f>
        <v>0.5</v>
      </c>
      <c r="G77" s="49">
        <f>AVERAGE('01.08 Kyebando-Mulago-24h'!G77,'03.08 Kyebando-Mulago-24h'!G77)</f>
        <v>0</v>
      </c>
      <c r="H77" s="49">
        <f>AVERAGE('01.08 Kyebando-Mulago-24h'!H77,'03.08 Kyebando-Mulago-24h'!H77)</f>
        <v>0</v>
      </c>
      <c r="I77" s="49">
        <f>AVERAGE('01.08 Kyebando-Mulago-24h'!I77,'03.08 Kyebando-Mulago-24h'!I77)</f>
        <v>0.5</v>
      </c>
      <c r="J77" s="49">
        <f>AVERAGE('01.08 Kyebando-Mulago-24h'!J77,'03.08 Kyebando-Mulago-24h'!J77)</f>
        <v>0</v>
      </c>
      <c r="K77" s="49">
        <f>AVERAGE('01.08 Kyebando-Mulago-24h'!K77,'03.08 Kyebando-Mulago-24h'!K77)</f>
        <v>0</v>
      </c>
      <c r="L77" s="49">
        <f>AVERAGE('01.08 Kyebando-Mulago-24h'!L77,'03.08 Kyebando-Mulago-24h'!L77)</f>
        <v>0</v>
      </c>
      <c r="M77" s="49">
        <f>AVERAGE('01.08 Kyebando-Mulago-24h'!M77,'03.08 Kyebando-Mulago-24h'!M77)</f>
        <v>26</v>
      </c>
      <c r="N77" s="49">
        <f>AVERAGE('01.08 Kyebando-Mulago-24h'!N77,'03.08 Kyebando-Mulago-24h'!N77)</f>
        <v>0</v>
      </c>
      <c r="O77" s="15">
        <f t="shared" si="35"/>
        <v>10.5</v>
      </c>
      <c r="P77" s="15">
        <f t="shared" si="36"/>
        <v>36.5</v>
      </c>
      <c r="R77" s="8"/>
      <c r="T77"/>
    </row>
    <row r="78" spans="2:20" ht="23.1" customHeight="1" x14ac:dyDescent="0.25">
      <c r="B78" s="24" t="s">
        <v>118</v>
      </c>
      <c r="C78" s="49">
        <f>AVERAGE('01.08 Kyebando-Mulago-24h'!C78,'03.08 Kyebando-Mulago-24h'!C78)</f>
        <v>10</v>
      </c>
      <c r="D78" s="49">
        <f>AVERAGE('01.08 Kyebando-Mulago-24h'!D78,'03.08 Kyebando-Mulago-24h'!D78)</f>
        <v>1.5</v>
      </c>
      <c r="E78" s="49">
        <f>AVERAGE('01.08 Kyebando-Mulago-24h'!E78,'03.08 Kyebando-Mulago-24h'!E78)</f>
        <v>0.5</v>
      </c>
      <c r="F78" s="49">
        <f>AVERAGE('01.08 Kyebando-Mulago-24h'!F78,'03.08 Kyebando-Mulago-24h'!F78)</f>
        <v>0</v>
      </c>
      <c r="G78" s="49">
        <f>AVERAGE('01.08 Kyebando-Mulago-24h'!G78,'03.08 Kyebando-Mulago-24h'!G78)</f>
        <v>0</v>
      </c>
      <c r="H78" s="49">
        <f>AVERAGE('01.08 Kyebando-Mulago-24h'!H78,'03.08 Kyebando-Mulago-24h'!H78)</f>
        <v>0</v>
      </c>
      <c r="I78" s="49">
        <f>AVERAGE('01.08 Kyebando-Mulago-24h'!I78,'03.08 Kyebando-Mulago-24h'!I78)</f>
        <v>0</v>
      </c>
      <c r="J78" s="49">
        <f>AVERAGE('01.08 Kyebando-Mulago-24h'!J78,'03.08 Kyebando-Mulago-24h'!J78)</f>
        <v>0</v>
      </c>
      <c r="K78" s="49">
        <f>AVERAGE('01.08 Kyebando-Mulago-24h'!K78,'03.08 Kyebando-Mulago-24h'!K78)</f>
        <v>0</v>
      </c>
      <c r="L78" s="49">
        <f>AVERAGE('01.08 Kyebando-Mulago-24h'!L78,'03.08 Kyebando-Mulago-24h'!L78)</f>
        <v>0</v>
      </c>
      <c r="M78" s="49">
        <f>AVERAGE('01.08 Kyebando-Mulago-24h'!M78,'03.08 Kyebando-Mulago-24h'!M78)</f>
        <v>24.5</v>
      </c>
      <c r="N78" s="49">
        <f>AVERAGE('01.08 Kyebando-Mulago-24h'!N78,'03.08 Kyebando-Mulago-24h'!N78)</f>
        <v>0</v>
      </c>
      <c r="O78" s="15">
        <f t="shared" si="35"/>
        <v>12</v>
      </c>
      <c r="P78" s="15">
        <f t="shared" si="36"/>
        <v>36.5</v>
      </c>
      <c r="R78" s="8"/>
      <c r="T78"/>
    </row>
    <row r="79" spans="2:20" ht="23.1" customHeight="1" x14ac:dyDescent="0.25">
      <c r="B79" s="23" t="s">
        <v>119</v>
      </c>
      <c r="C79" s="49">
        <f>AVERAGE('01.08 Kyebando-Mulago-24h'!C79,'03.08 Kyebando-Mulago-24h'!C79)</f>
        <v>13</v>
      </c>
      <c r="D79" s="49">
        <f>AVERAGE('01.08 Kyebando-Mulago-24h'!D79,'03.08 Kyebando-Mulago-24h'!D79)</f>
        <v>1</v>
      </c>
      <c r="E79" s="49">
        <f>AVERAGE('01.08 Kyebando-Mulago-24h'!E79,'03.08 Kyebando-Mulago-24h'!E79)</f>
        <v>1.5</v>
      </c>
      <c r="F79" s="49">
        <f>AVERAGE('01.08 Kyebando-Mulago-24h'!F79,'03.08 Kyebando-Mulago-24h'!F79)</f>
        <v>0</v>
      </c>
      <c r="G79" s="49">
        <f>AVERAGE('01.08 Kyebando-Mulago-24h'!G79,'03.08 Kyebando-Mulago-24h'!G79)</f>
        <v>0</v>
      </c>
      <c r="H79" s="49">
        <f>AVERAGE('01.08 Kyebando-Mulago-24h'!H79,'03.08 Kyebando-Mulago-24h'!H79)</f>
        <v>0</v>
      </c>
      <c r="I79" s="49">
        <f>AVERAGE('01.08 Kyebando-Mulago-24h'!I79,'03.08 Kyebando-Mulago-24h'!I79)</f>
        <v>0</v>
      </c>
      <c r="J79" s="49">
        <f>AVERAGE('01.08 Kyebando-Mulago-24h'!J79,'03.08 Kyebando-Mulago-24h'!J79)</f>
        <v>0</v>
      </c>
      <c r="K79" s="49">
        <f>AVERAGE('01.08 Kyebando-Mulago-24h'!K79,'03.08 Kyebando-Mulago-24h'!K79)</f>
        <v>0</v>
      </c>
      <c r="L79" s="49">
        <f>AVERAGE('01.08 Kyebando-Mulago-24h'!L79,'03.08 Kyebando-Mulago-24h'!L79)</f>
        <v>0</v>
      </c>
      <c r="M79" s="49">
        <f>AVERAGE('01.08 Kyebando-Mulago-24h'!M79,'03.08 Kyebando-Mulago-24h'!M79)</f>
        <v>19</v>
      </c>
      <c r="N79" s="49">
        <f>AVERAGE('01.08 Kyebando-Mulago-24h'!N79,'03.08 Kyebando-Mulago-24h'!N79)</f>
        <v>0</v>
      </c>
      <c r="O79" s="15">
        <f t="shared" si="35"/>
        <v>15.5</v>
      </c>
      <c r="P79" s="15">
        <f t="shared" si="36"/>
        <v>34.5</v>
      </c>
      <c r="R79" s="8"/>
      <c r="T79"/>
    </row>
    <row r="80" spans="2:20" ht="23.1" customHeight="1" x14ac:dyDescent="0.25">
      <c r="B80" s="25" t="s">
        <v>120</v>
      </c>
      <c r="C80" s="49">
        <f>AVERAGE('01.08 Kyebando-Mulago-24h'!C80,'03.08 Kyebando-Mulago-24h'!C80)</f>
        <v>10.5</v>
      </c>
      <c r="D80" s="49">
        <f>AVERAGE('01.08 Kyebando-Mulago-24h'!D80,'03.08 Kyebando-Mulago-24h'!D80)</f>
        <v>0.5</v>
      </c>
      <c r="E80" s="49">
        <f>AVERAGE('01.08 Kyebando-Mulago-24h'!E80,'03.08 Kyebando-Mulago-24h'!E80)</f>
        <v>2.5</v>
      </c>
      <c r="F80" s="49">
        <f>AVERAGE('01.08 Kyebando-Mulago-24h'!F80,'03.08 Kyebando-Mulago-24h'!F80)</f>
        <v>0</v>
      </c>
      <c r="G80" s="49">
        <f>AVERAGE('01.08 Kyebando-Mulago-24h'!G80,'03.08 Kyebando-Mulago-24h'!G80)</f>
        <v>0</v>
      </c>
      <c r="H80" s="49">
        <f>AVERAGE('01.08 Kyebando-Mulago-24h'!H80,'03.08 Kyebando-Mulago-24h'!H80)</f>
        <v>0</v>
      </c>
      <c r="I80" s="49">
        <f>AVERAGE('01.08 Kyebando-Mulago-24h'!I80,'03.08 Kyebando-Mulago-24h'!I80)</f>
        <v>0.5</v>
      </c>
      <c r="J80" s="49">
        <f>AVERAGE('01.08 Kyebando-Mulago-24h'!J80,'03.08 Kyebando-Mulago-24h'!J80)</f>
        <v>0</v>
      </c>
      <c r="K80" s="49">
        <f>AVERAGE('01.08 Kyebando-Mulago-24h'!K80,'03.08 Kyebando-Mulago-24h'!K80)</f>
        <v>0</v>
      </c>
      <c r="L80" s="49">
        <f>AVERAGE('01.08 Kyebando-Mulago-24h'!L80,'03.08 Kyebando-Mulago-24h'!L80)</f>
        <v>0</v>
      </c>
      <c r="M80" s="49">
        <f>AVERAGE('01.08 Kyebando-Mulago-24h'!M80,'03.08 Kyebando-Mulago-24h'!M80)</f>
        <v>17.5</v>
      </c>
      <c r="N80" s="49">
        <f>AVERAGE('01.08 Kyebando-Mulago-24h'!N80,'03.08 Kyebando-Mulago-24h'!N80)</f>
        <v>0</v>
      </c>
      <c r="O80" s="15">
        <f t="shared" si="35"/>
        <v>14</v>
      </c>
      <c r="P80" s="15">
        <f t="shared" si="36"/>
        <v>31.5</v>
      </c>
      <c r="R80" s="8"/>
      <c r="T80"/>
    </row>
    <row r="81" spans="2:20" ht="23.1" customHeight="1" x14ac:dyDescent="0.25">
      <c r="B81" s="23" t="s">
        <v>121</v>
      </c>
      <c r="C81" s="49">
        <f>AVERAGE('01.08 Kyebando-Mulago-24h'!C81,'03.08 Kyebando-Mulago-24h'!C81)</f>
        <v>12.5</v>
      </c>
      <c r="D81" s="49">
        <f>AVERAGE('01.08 Kyebando-Mulago-24h'!D81,'03.08 Kyebando-Mulago-24h'!D81)</f>
        <v>0</v>
      </c>
      <c r="E81" s="49">
        <f>AVERAGE('01.08 Kyebando-Mulago-24h'!E81,'03.08 Kyebando-Mulago-24h'!E81)</f>
        <v>0</v>
      </c>
      <c r="F81" s="49">
        <f>AVERAGE('01.08 Kyebando-Mulago-24h'!F81,'03.08 Kyebando-Mulago-24h'!F81)</f>
        <v>0</v>
      </c>
      <c r="G81" s="49">
        <f>AVERAGE('01.08 Kyebando-Mulago-24h'!G81,'03.08 Kyebando-Mulago-24h'!G81)</f>
        <v>0</v>
      </c>
      <c r="H81" s="49">
        <f>AVERAGE('01.08 Kyebando-Mulago-24h'!H81,'03.08 Kyebando-Mulago-24h'!H81)</f>
        <v>0</v>
      </c>
      <c r="I81" s="49">
        <f>AVERAGE('01.08 Kyebando-Mulago-24h'!I81,'03.08 Kyebando-Mulago-24h'!I81)</f>
        <v>0</v>
      </c>
      <c r="J81" s="49">
        <f>AVERAGE('01.08 Kyebando-Mulago-24h'!J81,'03.08 Kyebando-Mulago-24h'!J81)</f>
        <v>0</v>
      </c>
      <c r="K81" s="49">
        <f>AVERAGE('01.08 Kyebando-Mulago-24h'!K81,'03.08 Kyebando-Mulago-24h'!K81)</f>
        <v>0</v>
      </c>
      <c r="L81" s="49">
        <f>AVERAGE('01.08 Kyebando-Mulago-24h'!L81,'03.08 Kyebando-Mulago-24h'!L81)</f>
        <v>0</v>
      </c>
      <c r="M81" s="49">
        <f>AVERAGE('01.08 Kyebando-Mulago-24h'!M81,'03.08 Kyebando-Mulago-24h'!M81)</f>
        <v>18</v>
      </c>
      <c r="N81" s="49">
        <f>AVERAGE('01.08 Kyebando-Mulago-24h'!N81,'03.08 Kyebando-Mulago-24h'!N81)</f>
        <v>0</v>
      </c>
      <c r="O81" s="15">
        <f t="shared" si="35"/>
        <v>12.5</v>
      </c>
      <c r="P81" s="15">
        <f t="shared" si="36"/>
        <v>30.5</v>
      </c>
      <c r="R81" s="8"/>
      <c r="T81"/>
    </row>
    <row r="82" spans="2:20" ht="23.1" customHeight="1" x14ac:dyDescent="0.25">
      <c r="B82" s="24" t="s">
        <v>122</v>
      </c>
      <c r="C82" s="49">
        <f>AVERAGE('01.08 Kyebando-Mulago-24h'!C82,'03.08 Kyebando-Mulago-24h'!C82)</f>
        <v>10.5</v>
      </c>
      <c r="D82" s="49">
        <f>AVERAGE('01.08 Kyebando-Mulago-24h'!D82,'03.08 Kyebando-Mulago-24h'!D82)</f>
        <v>0</v>
      </c>
      <c r="E82" s="49">
        <f>AVERAGE('01.08 Kyebando-Mulago-24h'!E82,'03.08 Kyebando-Mulago-24h'!E82)</f>
        <v>0.5</v>
      </c>
      <c r="F82" s="49">
        <f>AVERAGE('01.08 Kyebando-Mulago-24h'!F82,'03.08 Kyebando-Mulago-24h'!F82)</f>
        <v>0</v>
      </c>
      <c r="G82" s="49">
        <f>AVERAGE('01.08 Kyebando-Mulago-24h'!G82,'03.08 Kyebando-Mulago-24h'!G82)</f>
        <v>0</v>
      </c>
      <c r="H82" s="49">
        <f>AVERAGE('01.08 Kyebando-Mulago-24h'!H82,'03.08 Kyebando-Mulago-24h'!H82)</f>
        <v>0</v>
      </c>
      <c r="I82" s="49">
        <f>AVERAGE('01.08 Kyebando-Mulago-24h'!I82,'03.08 Kyebando-Mulago-24h'!I82)</f>
        <v>0.5</v>
      </c>
      <c r="J82" s="49">
        <f>AVERAGE('01.08 Kyebando-Mulago-24h'!J82,'03.08 Kyebando-Mulago-24h'!J82)</f>
        <v>0</v>
      </c>
      <c r="K82" s="49">
        <f>AVERAGE('01.08 Kyebando-Mulago-24h'!K82,'03.08 Kyebando-Mulago-24h'!K82)</f>
        <v>0</v>
      </c>
      <c r="L82" s="49">
        <f>AVERAGE('01.08 Kyebando-Mulago-24h'!L82,'03.08 Kyebando-Mulago-24h'!L82)</f>
        <v>0</v>
      </c>
      <c r="M82" s="49">
        <f>AVERAGE('01.08 Kyebando-Mulago-24h'!M82,'03.08 Kyebando-Mulago-24h'!M82)</f>
        <v>14</v>
      </c>
      <c r="N82" s="49">
        <f>AVERAGE('01.08 Kyebando-Mulago-24h'!N82,'03.08 Kyebando-Mulago-24h'!N82)</f>
        <v>0</v>
      </c>
      <c r="O82" s="15">
        <f t="shared" si="35"/>
        <v>11.5</v>
      </c>
      <c r="P82" s="15">
        <f t="shared" si="36"/>
        <v>25.5</v>
      </c>
      <c r="R82" s="8"/>
      <c r="T82"/>
    </row>
    <row r="83" spans="2:20" ht="23.1" customHeight="1" x14ac:dyDescent="0.25">
      <c r="B83" s="23" t="s">
        <v>123</v>
      </c>
      <c r="C83" s="49">
        <f>AVERAGE('01.08 Kyebando-Mulago-24h'!C83,'03.08 Kyebando-Mulago-24h'!C83)</f>
        <v>7.5</v>
      </c>
      <c r="D83" s="49">
        <f>AVERAGE('01.08 Kyebando-Mulago-24h'!D83,'03.08 Kyebando-Mulago-24h'!D83)</f>
        <v>0</v>
      </c>
      <c r="E83" s="49">
        <f>AVERAGE('01.08 Kyebando-Mulago-24h'!E83,'03.08 Kyebando-Mulago-24h'!E83)</f>
        <v>0.5</v>
      </c>
      <c r="F83" s="49">
        <f>AVERAGE('01.08 Kyebando-Mulago-24h'!F83,'03.08 Kyebando-Mulago-24h'!F83)</f>
        <v>0</v>
      </c>
      <c r="G83" s="49">
        <f>AVERAGE('01.08 Kyebando-Mulago-24h'!G83,'03.08 Kyebando-Mulago-24h'!G83)</f>
        <v>0</v>
      </c>
      <c r="H83" s="49">
        <f>AVERAGE('01.08 Kyebando-Mulago-24h'!H83,'03.08 Kyebando-Mulago-24h'!H83)</f>
        <v>0</v>
      </c>
      <c r="I83" s="49">
        <f>AVERAGE('01.08 Kyebando-Mulago-24h'!I83,'03.08 Kyebando-Mulago-24h'!I83)</f>
        <v>0</v>
      </c>
      <c r="J83" s="49">
        <f>AVERAGE('01.08 Kyebando-Mulago-24h'!J83,'03.08 Kyebando-Mulago-24h'!J83)</f>
        <v>0</v>
      </c>
      <c r="K83" s="49">
        <f>AVERAGE('01.08 Kyebando-Mulago-24h'!K83,'03.08 Kyebando-Mulago-24h'!K83)</f>
        <v>0</v>
      </c>
      <c r="L83" s="49">
        <f>AVERAGE('01.08 Kyebando-Mulago-24h'!L83,'03.08 Kyebando-Mulago-24h'!L83)</f>
        <v>0</v>
      </c>
      <c r="M83" s="49">
        <f>AVERAGE('01.08 Kyebando-Mulago-24h'!M83,'03.08 Kyebando-Mulago-24h'!M83)</f>
        <v>13</v>
      </c>
      <c r="N83" s="49">
        <f>AVERAGE('01.08 Kyebando-Mulago-24h'!N83,'03.08 Kyebando-Mulago-24h'!N83)</f>
        <v>0</v>
      </c>
      <c r="O83" s="15">
        <f t="shared" si="35"/>
        <v>8</v>
      </c>
      <c r="P83" s="15">
        <f t="shared" si="36"/>
        <v>21</v>
      </c>
      <c r="R83" s="8"/>
      <c r="T83"/>
    </row>
    <row r="84" spans="2:20" ht="23.1" customHeight="1" x14ac:dyDescent="0.25">
      <c r="B84" s="25" t="s">
        <v>124</v>
      </c>
      <c r="C84" s="49">
        <f>AVERAGE('01.08 Kyebando-Mulago-24h'!C84,'03.08 Kyebando-Mulago-24h'!C84)</f>
        <v>9</v>
      </c>
      <c r="D84" s="49">
        <f>AVERAGE('01.08 Kyebando-Mulago-24h'!D84,'03.08 Kyebando-Mulago-24h'!D84)</f>
        <v>1</v>
      </c>
      <c r="E84" s="49">
        <f>AVERAGE('01.08 Kyebando-Mulago-24h'!E84,'03.08 Kyebando-Mulago-24h'!E84)</f>
        <v>0.5</v>
      </c>
      <c r="F84" s="49">
        <f>AVERAGE('01.08 Kyebando-Mulago-24h'!F84,'03.08 Kyebando-Mulago-24h'!F84)</f>
        <v>0</v>
      </c>
      <c r="G84" s="49">
        <f>AVERAGE('01.08 Kyebando-Mulago-24h'!G84,'03.08 Kyebando-Mulago-24h'!G84)</f>
        <v>0</v>
      </c>
      <c r="H84" s="49">
        <f>AVERAGE('01.08 Kyebando-Mulago-24h'!H84,'03.08 Kyebando-Mulago-24h'!H84)</f>
        <v>0.5</v>
      </c>
      <c r="I84" s="49">
        <f>AVERAGE('01.08 Kyebando-Mulago-24h'!I84,'03.08 Kyebando-Mulago-24h'!I84)</f>
        <v>1.5</v>
      </c>
      <c r="J84" s="49">
        <f>AVERAGE('01.08 Kyebando-Mulago-24h'!J84,'03.08 Kyebando-Mulago-24h'!J84)</f>
        <v>0</v>
      </c>
      <c r="K84" s="49">
        <f>AVERAGE('01.08 Kyebando-Mulago-24h'!K84,'03.08 Kyebando-Mulago-24h'!K84)</f>
        <v>0</v>
      </c>
      <c r="L84" s="49">
        <f>AVERAGE('01.08 Kyebando-Mulago-24h'!L84,'03.08 Kyebando-Mulago-24h'!L84)</f>
        <v>0</v>
      </c>
      <c r="M84" s="49">
        <f>AVERAGE('01.08 Kyebando-Mulago-24h'!M84,'03.08 Kyebando-Mulago-24h'!M84)</f>
        <v>11</v>
      </c>
      <c r="N84" s="49">
        <f>AVERAGE('01.08 Kyebando-Mulago-24h'!N84,'03.08 Kyebando-Mulago-24h'!N84)</f>
        <v>0</v>
      </c>
      <c r="O84" s="15">
        <f t="shared" si="35"/>
        <v>12.5</v>
      </c>
      <c r="P84" s="15">
        <f t="shared" si="36"/>
        <v>23.5</v>
      </c>
      <c r="R84" s="8"/>
      <c r="T84"/>
    </row>
    <row r="85" spans="2:20" ht="23.1" customHeight="1" x14ac:dyDescent="0.25">
      <c r="B85" s="23" t="s">
        <v>125</v>
      </c>
      <c r="C85" s="49">
        <f>AVERAGE('01.08 Kyebando-Mulago-24h'!C85,'03.08 Kyebando-Mulago-24h'!C85)</f>
        <v>8.5</v>
      </c>
      <c r="D85" s="49">
        <f>AVERAGE('01.08 Kyebando-Mulago-24h'!D85,'03.08 Kyebando-Mulago-24h'!D85)</f>
        <v>0</v>
      </c>
      <c r="E85" s="49">
        <f>AVERAGE('01.08 Kyebando-Mulago-24h'!E85,'03.08 Kyebando-Mulago-24h'!E85)</f>
        <v>0</v>
      </c>
      <c r="F85" s="49">
        <f>AVERAGE('01.08 Kyebando-Mulago-24h'!F85,'03.08 Kyebando-Mulago-24h'!F85)</f>
        <v>0</v>
      </c>
      <c r="G85" s="49">
        <f>AVERAGE('01.08 Kyebando-Mulago-24h'!G85,'03.08 Kyebando-Mulago-24h'!G85)</f>
        <v>0</v>
      </c>
      <c r="H85" s="49">
        <f>AVERAGE('01.08 Kyebando-Mulago-24h'!H85,'03.08 Kyebando-Mulago-24h'!H85)</f>
        <v>0</v>
      </c>
      <c r="I85" s="49">
        <f>AVERAGE('01.08 Kyebando-Mulago-24h'!I85,'03.08 Kyebando-Mulago-24h'!I85)</f>
        <v>1</v>
      </c>
      <c r="J85" s="49">
        <f>AVERAGE('01.08 Kyebando-Mulago-24h'!J85,'03.08 Kyebando-Mulago-24h'!J85)</f>
        <v>0</v>
      </c>
      <c r="K85" s="49">
        <f>AVERAGE('01.08 Kyebando-Mulago-24h'!K85,'03.08 Kyebando-Mulago-24h'!K85)</f>
        <v>0</v>
      </c>
      <c r="L85" s="49">
        <f>AVERAGE('01.08 Kyebando-Mulago-24h'!L85,'03.08 Kyebando-Mulago-24h'!L85)</f>
        <v>0</v>
      </c>
      <c r="M85" s="49">
        <f>AVERAGE('01.08 Kyebando-Mulago-24h'!M85,'03.08 Kyebando-Mulago-24h'!M85)</f>
        <v>10.5</v>
      </c>
      <c r="N85" s="49">
        <f>AVERAGE('01.08 Kyebando-Mulago-24h'!N85,'03.08 Kyebando-Mulago-24h'!N85)</f>
        <v>0</v>
      </c>
      <c r="O85" s="15">
        <f t="shared" si="35"/>
        <v>9.5</v>
      </c>
      <c r="P85" s="15">
        <f t="shared" si="36"/>
        <v>20</v>
      </c>
      <c r="R85" s="8"/>
      <c r="T85"/>
    </row>
    <row r="86" spans="2:20" ht="23.1" customHeight="1" x14ac:dyDescent="0.25">
      <c r="B86" s="24" t="s">
        <v>126</v>
      </c>
      <c r="C86" s="49">
        <f>AVERAGE('01.08 Kyebando-Mulago-24h'!C86,'03.08 Kyebando-Mulago-24h'!C86)</f>
        <v>7</v>
      </c>
      <c r="D86" s="49">
        <f>AVERAGE('01.08 Kyebando-Mulago-24h'!D86,'03.08 Kyebando-Mulago-24h'!D86)</f>
        <v>0</v>
      </c>
      <c r="E86" s="49">
        <f>AVERAGE('01.08 Kyebando-Mulago-24h'!E86,'03.08 Kyebando-Mulago-24h'!E86)</f>
        <v>0.5</v>
      </c>
      <c r="F86" s="49">
        <f>AVERAGE('01.08 Kyebando-Mulago-24h'!F86,'03.08 Kyebando-Mulago-24h'!F86)</f>
        <v>0</v>
      </c>
      <c r="G86" s="49">
        <f>AVERAGE('01.08 Kyebando-Mulago-24h'!G86,'03.08 Kyebando-Mulago-24h'!G86)</f>
        <v>0</v>
      </c>
      <c r="H86" s="49">
        <f>AVERAGE('01.08 Kyebando-Mulago-24h'!H86,'03.08 Kyebando-Mulago-24h'!H86)</f>
        <v>0</v>
      </c>
      <c r="I86" s="49">
        <f>AVERAGE('01.08 Kyebando-Mulago-24h'!I86,'03.08 Kyebando-Mulago-24h'!I86)</f>
        <v>0</v>
      </c>
      <c r="J86" s="49">
        <f>AVERAGE('01.08 Kyebando-Mulago-24h'!J86,'03.08 Kyebando-Mulago-24h'!J86)</f>
        <v>0</v>
      </c>
      <c r="K86" s="49">
        <f>AVERAGE('01.08 Kyebando-Mulago-24h'!K86,'03.08 Kyebando-Mulago-24h'!K86)</f>
        <v>0</v>
      </c>
      <c r="L86" s="49">
        <f>AVERAGE('01.08 Kyebando-Mulago-24h'!L86,'03.08 Kyebando-Mulago-24h'!L86)</f>
        <v>0</v>
      </c>
      <c r="M86" s="49">
        <f>AVERAGE('01.08 Kyebando-Mulago-24h'!M86,'03.08 Kyebando-Mulago-24h'!M86)</f>
        <v>14</v>
      </c>
      <c r="N86" s="49">
        <f>AVERAGE('01.08 Kyebando-Mulago-24h'!N86,'03.08 Kyebando-Mulago-24h'!N86)</f>
        <v>0</v>
      </c>
      <c r="O86" s="15">
        <f t="shared" si="35"/>
        <v>7.5</v>
      </c>
      <c r="P86" s="15">
        <f t="shared" si="36"/>
        <v>21.5</v>
      </c>
      <c r="R86" s="8"/>
      <c r="T86"/>
    </row>
    <row r="87" spans="2:20" ht="23.1" customHeight="1" x14ac:dyDescent="0.25">
      <c r="B87" s="23" t="s">
        <v>127</v>
      </c>
      <c r="C87" s="49">
        <f>AVERAGE('01.08 Kyebando-Mulago-24h'!C87,'03.08 Kyebando-Mulago-24h'!C87)</f>
        <v>10</v>
      </c>
      <c r="D87" s="49">
        <f>AVERAGE('01.08 Kyebando-Mulago-24h'!D87,'03.08 Kyebando-Mulago-24h'!D87)</f>
        <v>0</v>
      </c>
      <c r="E87" s="49">
        <f>AVERAGE('01.08 Kyebando-Mulago-24h'!E87,'03.08 Kyebando-Mulago-24h'!E87)</f>
        <v>0</v>
      </c>
      <c r="F87" s="49">
        <f>AVERAGE('01.08 Kyebando-Mulago-24h'!F87,'03.08 Kyebando-Mulago-24h'!F87)</f>
        <v>0</v>
      </c>
      <c r="G87" s="49">
        <f>AVERAGE('01.08 Kyebando-Mulago-24h'!G87,'03.08 Kyebando-Mulago-24h'!G87)</f>
        <v>0</v>
      </c>
      <c r="H87" s="49">
        <f>AVERAGE('01.08 Kyebando-Mulago-24h'!H87,'03.08 Kyebando-Mulago-24h'!H87)</f>
        <v>0</v>
      </c>
      <c r="I87" s="49">
        <f>AVERAGE('01.08 Kyebando-Mulago-24h'!I87,'03.08 Kyebando-Mulago-24h'!I87)</f>
        <v>0</v>
      </c>
      <c r="J87" s="49">
        <f>AVERAGE('01.08 Kyebando-Mulago-24h'!J87,'03.08 Kyebando-Mulago-24h'!J87)</f>
        <v>0</v>
      </c>
      <c r="K87" s="49">
        <f>AVERAGE('01.08 Kyebando-Mulago-24h'!K87,'03.08 Kyebando-Mulago-24h'!K87)</f>
        <v>0</v>
      </c>
      <c r="L87" s="49">
        <f>AVERAGE('01.08 Kyebando-Mulago-24h'!L87,'03.08 Kyebando-Mulago-24h'!L87)</f>
        <v>0</v>
      </c>
      <c r="M87" s="49">
        <f>AVERAGE('01.08 Kyebando-Mulago-24h'!M87,'03.08 Kyebando-Mulago-24h'!M87)</f>
        <v>9</v>
      </c>
      <c r="N87" s="49">
        <f>AVERAGE('01.08 Kyebando-Mulago-24h'!N87,'03.08 Kyebando-Mulago-24h'!N87)</f>
        <v>0</v>
      </c>
      <c r="O87" s="15">
        <f t="shared" si="35"/>
        <v>10</v>
      </c>
      <c r="P87" s="15">
        <f t="shared" si="36"/>
        <v>19</v>
      </c>
      <c r="R87" s="8"/>
      <c r="T87"/>
    </row>
    <row r="88" spans="2:20" ht="23.1" customHeight="1" x14ac:dyDescent="0.25">
      <c r="B88" s="25" t="s">
        <v>128</v>
      </c>
      <c r="C88" s="49">
        <f>AVERAGE('01.08 Kyebando-Mulago-24h'!C88,'03.08 Kyebando-Mulago-24h'!C88)</f>
        <v>4</v>
      </c>
      <c r="D88" s="49">
        <f>AVERAGE('01.08 Kyebando-Mulago-24h'!D88,'03.08 Kyebando-Mulago-24h'!D88)</f>
        <v>0.5</v>
      </c>
      <c r="E88" s="49">
        <f>AVERAGE('01.08 Kyebando-Mulago-24h'!E88,'03.08 Kyebando-Mulago-24h'!E88)</f>
        <v>1.5</v>
      </c>
      <c r="F88" s="49">
        <f>AVERAGE('01.08 Kyebando-Mulago-24h'!F88,'03.08 Kyebando-Mulago-24h'!F88)</f>
        <v>0.5</v>
      </c>
      <c r="G88" s="49">
        <f>AVERAGE('01.08 Kyebando-Mulago-24h'!G88,'03.08 Kyebando-Mulago-24h'!G88)</f>
        <v>0</v>
      </c>
      <c r="H88" s="49">
        <f>AVERAGE('01.08 Kyebando-Mulago-24h'!H88,'03.08 Kyebando-Mulago-24h'!H88)</f>
        <v>0</v>
      </c>
      <c r="I88" s="49">
        <f>AVERAGE('01.08 Kyebando-Mulago-24h'!I88,'03.08 Kyebando-Mulago-24h'!I88)</f>
        <v>0</v>
      </c>
      <c r="J88" s="49">
        <f>AVERAGE('01.08 Kyebando-Mulago-24h'!J88,'03.08 Kyebando-Mulago-24h'!J88)</f>
        <v>0</v>
      </c>
      <c r="K88" s="49">
        <f>AVERAGE('01.08 Kyebando-Mulago-24h'!K88,'03.08 Kyebando-Mulago-24h'!K88)</f>
        <v>0</v>
      </c>
      <c r="L88" s="49">
        <f>AVERAGE('01.08 Kyebando-Mulago-24h'!L88,'03.08 Kyebando-Mulago-24h'!L88)</f>
        <v>0</v>
      </c>
      <c r="M88" s="49">
        <f>AVERAGE('01.08 Kyebando-Mulago-24h'!M88,'03.08 Kyebando-Mulago-24h'!M88)</f>
        <v>10.5</v>
      </c>
      <c r="N88" s="49">
        <f>AVERAGE('01.08 Kyebando-Mulago-24h'!N88,'03.08 Kyebando-Mulago-24h'!N88)</f>
        <v>0</v>
      </c>
      <c r="O88" s="15">
        <f t="shared" si="35"/>
        <v>6.5</v>
      </c>
      <c r="P88" s="15">
        <f t="shared" si="36"/>
        <v>17</v>
      </c>
      <c r="R88" s="8"/>
      <c r="T88"/>
    </row>
    <row r="89" spans="2:20" ht="23.1" customHeight="1" x14ac:dyDescent="0.25">
      <c r="B89" s="23" t="s">
        <v>129</v>
      </c>
      <c r="C89" s="49">
        <f>AVERAGE('01.08 Kyebando-Mulago-24h'!C89,'03.08 Kyebando-Mulago-24h'!C89)</f>
        <v>5</v>
      </c>
      <c r="D89" s="49">
        <f>AVERAGE('01.08 Kyebando-Mulago-24h'!D89,'03.08 Kyebando-Mulago-24h'!D89)</f>
        <v>0</v>
      </c>
      <c r="E89" s="49">
        <f>AVERAGE('01.08 Kyebando-Mulago-24h'!E89,'03.08 Kyebando-Mulago-24h'!E89)</f>
        <v>1</v>
      </c>
      <c r="F89" s="49">
        <f>AVERAGE('01.08 Kyebando-Mulago-24h'!F89,'03.08 Kyebando-Mulago-24h'!F89)</f>
        <v>0.5</v>
      </c>
      <c r="G89" s="49">
        <f>AVERAGE('01.08 Kyebando-Mulago-24h'!G89,'03.08 Kyebando-Mulago-24h'!G89)</f>
        <v>0</v>
      </c>
      <c r="H89" s="49">
        <f>AVERAGE('01.08 Kyebando-Mulago-24h'!H89,'03.08 Kyebando-Mulago-24h'!H89)</f>
        <v>0</v>
      </c>
      <c r="I89" s="49">
        <f>AVERAGE('01.08 Kyebando-Mulago-24h'!I89,'03.08 Kyebando-Mulago-24h'!I89)</f>
        <v>0</v>
      </c>
      <c r="J89" s="49">
        <f>AVERAGE('01.08 Kyebando-Mulago-24h'!J89,'03.08 Kyebando-Mulago-24h'!J89)</f>
        <v>0</v>
      </c>
      <c r="K89" s="49">
        <f>AVERAGE('01.08 Kyebando-Mulago-24h'!K89,'03.08 Kyebando-Mulago-24h'!K89)</f>
        <v>0</v>
      </c>
      <c r="L89" s="49">
        <f>AVERAGE('01.08 Kyebando-Mulago-24h'!L89,'03.08 Kyebando-Mulago-24h'!L89)</f>
        <v>0</v>
      </c>
      <c r="M89" s="49">
        <f>AVERAGE('01.08 Kyebando-Mulago-24h'!M89,'03.08 Kyebando-Mulago-24h'!M89)</f>
        <v>6</v>
      </c>
      <c r="N89" s="49">
        <f>AVERAGE('01.08 Kyebando-Mulago-24h'!N89,'03.08 Kyebando-Mulago-24h'!N89)</f>
        <v>0</v>
      </c>
      <c r="O89" s="15">
        <f t="shared" si="35"/>
        <v>6.5</v>
      </c>
      <c r="P89" s="15">
        <f t="shared" si="36"/>
        <v>12.5</v>
      </c>
      <c r="R89" s="8"/>
      <c r="T89"/>
    </row>
    <row r="90" spans="2:20" ht="23.1" customHeight="1" x14ac:dyDescent="0.25">
      <c r="B90" s="24" t="s">
        <v>130</v>
      </c>
      <c r="C90" s="49">
        <f>AVERAGE('01.08 Kyebando-Mulago-24h'!C90,'03.08 Kyebando-Mulago-24h'!C90)</f>
        <v>2.5</v>
      </c>
      <c r="D90" s="49">
        <f>AVERAGE('01.08 Kyebando-Mulago-24h'!D90,'03.08 Kyebando-Mulago-24h'!D90)</f>
        <v>0</v>
      </c>
      <c r="E90" s="49">
        <f>AVERAGE('01.08 Kyebando-Mulago-24h'!E90,'03.08 Kyebando-Mulago-24h'!E90)</f>
        <v>0</v>
      </c>
      <c r="F90" s="49">
        <f>AVERAGE('01.08 Kyebando-Mulago-24h'!F90,'03.08 Kyebando-Mulago-24h'!F90)</f>
        <v>0</v>
      </c>
      <c r="G90" s="49">
        <f>AVERAGE('01.08 Kyebando-Mulago-24h'!G90,'03.08 Kyebando-Mulago-24h'!G90)</f>
        <v>0</v>
      </c>
      <c r="H90" s="49">
        <f>AVERAGE('01.08 Kyebando-Mulago-24h'!H90,'03.08 Kyebando-Mulago-24h'!H90)</f>
        <v>0</v>
      </c>
      <c r="I90" s="49">
        <f>AVERAGE('01.08 Kyebando-Mulago-24h'!I90,'03.08 Kyebando-Mulago-24h'!I90)</f>
        <v>0</v>
      </c>
      <c r="J90" s="49">
        <f>AVERAGE('01.08 Kyebando-Mulago-24h'!J90,'03.08 Kyebando-Mulago-24h'!J90)</f>
        <v>0</v>
      </c>
      <c r="K90" s="49">
        <f>AVERAGE('01.08 Kyebando-Mulago-24h'!K90,'03.08 Kyebando-Mulago-24h'!K90)</f>
        <v>0</v>
      </c>
      <c r="L90" s="49">
        <f>AVERAGE('01.08 Kyebando-Mulago-24h'!L90,'03.08 Kyebando-Mulago-24h'!L90)</f>
        <v>0</v>
      </c>
      <c r="M90" s="49">
        <f>AVERAGE('01.08 Kyebando-Mulago-24h'!M90,'03.08 Kyebando-Mulago-24h'!M90)</f>
        <v>4</v>
      </c>
      <c r="N90" s="49">
        <f>AVERAGE('01.08 Kyebando-Mulago-24h'!N90,'03.08 Kyebando-Mulago-24h'!N90)</f>
        <v>0</v>
      </c>
      <c r="O90" s="15">
        <f t="shared" si="35"/>
        <v>2.5</v>
      </c>
      <c r="P90" s="15">
        <f t="shared" si="36"/>
        <v>6.5</v>
      </c>
      <c r="R90" s="8"/>
      <c r="T90"/>
    </row>
    <row r="91" spans="2:20" ht="23.1" customHeight="1" x14ac:dyDescent="0.25">
      <c r="B91" s="23" t="s">
        <v>131</v>
      </c>
      <c r="C91" s="49">
        <f>AVERAGE('01.08 Kyebando-Mulago-24h'!C91,'03.08 Kyebando-Mulago-24h'!C91)</f>
        <v>2</v>
      </c>
      <c r="D91" s="49">
        <f>AVERAGE('01.08 Kyebando-Mulago-24h'!D91,'03.08 Kyebando-Mulago-24h'!D91)</f>
        <v>0</v>
      </c>
      <c r="E91" s="49">
        <f>AVERAGE('01.08 Kyebando-Mulago-24h'!E91,'03.08 Kyebando-Mulago-24h'!E91)</f>
        <v>0</v>
      </c>
      <c r="F91" s="49">
        <f>AVERAGE('01.08 Kyebando-Mulago-24h'!F91,'03.08 Kyebando-Mulago-24h'!F91)</f>
        <v>0</v>
      </c>
      <c r="G91" s="49">
        <f>AVERAGE('01.08 Kyebando-Mulago-24h'!G91,'03.08 Kyebando-Mulago-24h'!G91)</f>
        <v>0</v>
      </c>
      <c r="H91" s="49">
        <f>AVERAGE('01.08 Kyebando-Mulago-24h'!H91,'03.08 Kyebando-Mulago-24h'!H91)</f>
        <v>0</v>
      </c>
      <c r="I91" s="49">
        <f>AVERAGE('01.08 Kyebando-Mulago-24h'!I91,'03.08 Kyebando-Mulago-24h'!I91)</f>
        <v>0</v>
      </c>
      <c r="J91" s="49">
        <f>AVERAGE('01.08 Kyebando-Mulago-24h'!J91,'03.08 Kyebando-Mulago-24h'!J91)</f>
        <v>0</v>
      </c>
      <c r="K91" s="49">
        <f>AVERAGE('01.08 Kyebando-Mulago-24h'!K91,'03.08 Kyebando-Mulago-24h'!K91)</f>
        <v>0</v>
      </c>
      <c r="L91" s="49">
        <f>AVERAGE('01.08 Kyebando-Mulago-24h'!L91,'03.08 Kyebando-Mulago-24h'!L91)</f>
        <v>0</v>
      </c>
      <c r="M91" s="49">
        <f>AVERAGE('01.08 Kyebando-Mulago-24h'!M91,'03.08 Kyebando-Mulago-24h'!M91)</f>
        <v>4.5</v>
      </c>
      <c r="N91" s="49">
        <f>AVERAGE('01.08 Kyebando-Mulago-24h'!N91,'03.08 Kyebando-Mulago-24h'!N91)</f>
        <v>0</v>
      </c>
      <c r="O91" s="15">
        <f t="shared" si="35"/>
        <v>2</v>
      </c>
      <c r="P91" s="15">
        <f t="shared" si="36"/>
        <v>6.5</v>
      </c>
      <c r="R91" s="8"/>
      <c r="T91"/>
    </row>
    <row r="92" spans="2:20" ht="23.1" customHeight="1" x14ac:dyDescent="0.25">
      <c r="B92" s="25" t="s">
        <v>132</v>
      </c>
      <c r="C92" s="49">
        <f>AVERAGE('01.08 Kyebando-Mulago-24h'!C92,'03.08 Kyebando-Mulago-24h'!C92)</f>
        <v>1</v>
      </c>
      <c r="D92" s="49">
        <f>AVERAGE('01.08 Kyebando-Mulago-24h'!D92,'03.08 Kyebando-Mulago-24h'!D92)</f>
        <v>0</v>
      </c>
      <c r="E92" s="49">
        <f>AVERAGE('01.08 Kyebando-Mulago-24h'!E92,'03.08 Kyebando-Mulago-24h'!E92)</f>
        <v>0</v>
      </c>
      <c r="F92" s="49">
        <f>AVERAGE('01.08 Kyebando-Mulago-24h'!F92,'03.08 Kyebando-Mulago-24h'!F92)</f>
        <v>0</v>
      </c>
      <c r="G92" s="49">
        <f>AVERAGE('01.08 Kyebando-Mulago-24h'!G92,'03.08 Kyebando-Mulago-24h'!G92)</f>
        <v>0</v>
      </c>
      <c r="H92" s="49">
        <f>AVERAGE('01.08 Kyebando-Mulago-24h'!H92,'03.08 Kyebando-Mulago-24h'!H92)</f>
        <v>0</v>
      </c>
      <c r="I92" s="49">
        <f>AVERAGE('01.08 Kyebando-Mulago-24h'!I92,'03.08 Kyebando-Mulago-24h'!I92)</f>
        <v>0</v>
      </c>
      <c r="J92" s="49">
        <f>AVERAGE('01.08 Kyebando-Mulago-24h'!J92,'03.08 Kyebando-Mulago-24h'!J92)</f>
        <v>0</v>
      </c>
      <c r="K92" s="49">
        <f>AVERAGE('01.08 Kyebando-Mulago-24h'!K92,'03.08 Kyebando-Mulago-24h'!K92)</f>
        <v>0</v>
      </c>
      <c r="L92" s="49">
        <f>AVERAGE('01.08 Kyebando-Mulago-24h'!L92,'03.08 Kyebando-Mulago-24h'!L92)</f>
        <v>0</v>
      </c>
      <c r="M92" s="49">
        <f>AVERAGE('01.08 Kyebando-Mulago-24h'!M92,'03.08 Kyebando-Mulago-24h'!M92)</f>
        <v>7.5</v>
      </c>
      <c r="N92" s="49">
        <f>AVERAGE('01.08 Kyebando-Mulago-24h'!N92,'03.08 Kyebando-Mulago-24h'!N92)</f>
        <v>0</v>
      </c>
      <c r="O92" s="15">
        <f t="shared" si="35"/>
        <v>1</v>
      </c>
      <c r="P92" s="15">
        <f t="shared" si="36"/>
        <v>8.5</v>
      </c>
      <c r="R92" s="8"/>
      <c r="T92"/>
    </row>
    <row r="93" spans="2:20" ht="23.1" customHeight="1" x14ac:dyDescent="0.25">
      <c r="B93" s="23" t="s">
        <v>133</v>
      </c>
      <c r="C93" s="49">
        <f>AVERAGE('01.08 Kyebando-Mulago-24h'!C93,'03.08 Kyebando-Mulago-24h'!C93)</f>
        <v>2.5</v>
      </c>
      <c r="D93" s="49">
        <f>AVERAGE('01.08 Kyebando-Mulago-24h'!D93,'03.08 Kyebando-Mulago-24h'!D93)</f>
        <v>0</v>
      </c>
      <c r="E93" s="49">
        <f>AVERAGE('01.08 Kyebando-Mulago-24h'!E93,'03.08 Kyebando-Mulago-24h'!E93)</f>
        <v>0</v>
      </c>
      <c r="F93" s="49">
        <f>AVERAGE('01.08 Kyebando-Mulago-24h'!F93,'03.08 Kyebando-Mulago-24h'!F93)</f>
        <v>0</v>
      </c>
      <c r="G93" s="49">
        <f>AVERAGE('01.08 Kyebando-Mulago-24h'!G93,'03.08 Kyebando-Mulago-24h'!G93)</f>
        <v>0</v>
      </c>
      <c r="H93" s="49">
        <f>AVERAGE('01.08 Kyebando-Mulago-24h'!H93,'03.08 Kyebando-Mulago-24h'!H93)</f>
        <v>0</v>
      </c>
      <c r="I93" s="49">
        <f>AVERAGE('01.08 Kyebando-Mulago-24h'!I93,'03.08 Kyebando-Mulago-24h'!I93)</f>
        <v>0</v>
      </c>
      <c r="J93" s="49">
        <f>AVERAGE('01.08 Kyebando-Mulago-24h'!J93,'03.08 Kyebando-Mulago-24h'!J93)</f>
        <v>0</v>
      </c>
      <c r="K93" s="49">
        <f>AVERAGE('01.08 Kyebando-Mulago-24h'!K93,'03.08 Kyebando-Mulago-24h'!K93)</f>
        <v>0</v>
      </c>
      <c r="L93" s="49">
        <f>AVERAGE('01.08 Kyebando-Mulago-24h'!L93,'03.08 Kyebando-Mulago-24h'!L93)</f>
        <v>0</v>
      </c>
      <c r="M93" s="49">
        <f>AVERAGE('01.08 Kyebando-Mulago-24h'!M93,'03.08 Kyebando-Mulago-24h'!M93)</f>
        <v>7</v>
      </c>
      <c r="N93" s="49">
        <f>AVERAGE('01.08 Kyebando-Mulago-24h'!N93,'03.08 Kyebando-Mulago-24h'!N93)</f>
        <v>0</v>
      </c>
      <c r="O93" s="15">
        <f t="shared" si="35"/>
        <v>2.5</v>
      </c>
      <c r="P93" s="15">
        <f t="shared" si="36"/>
        <v>9.5</v>
      </c>
      <c r="R93" s="8"/>
      <c r="T93"/>
    </row>
    <row r="94" spans="2:20" ht="23.1" customHeight="1" x14ac:dyDescent="0.25">
      <c r="B94" s="24" t="s">
        <v>134</v>
      </c>
      <c r="C94" s="49">
        <f>AVERAGE('01.08 Kyebando-Mulago-24h'!C94,'03.08 Kyebando-Mulago-24h'!C94)</f>
        <v>3.5</v>
      </c>
      <c r="D94" s="49">
        <f>AVERAGE('01.08 Kyebando-Mulago-24h'!D94,'03.08 Kyebando-Mulago-24h'!D94)</f>
        <v>0</v>
      </c>
      <c r="E94" s="49">
        <f>AVERAGE('01.08 Kyebando-Mulago-24h'!E94,'03.08 Kyebando-Mulago-24h'!E94)</f>
        <v>0</v>
      </c>
      <c r="F94" s="49">
        <f>AVERAGE('01.08 Kyebando-Mulago-24h'!F94,'03.08 Kyebando-Mulago-24h'!F94)</f>
        <v>0</v>
      </c>
      <c r="G94" s="49">
        <f>AVERAGE('01.08 Kyebando-Mulago-24h'!G94,'03.08 Kyebando-Mulago-24h'!G94)</f>
        <v>0</v>
      </c>
      <c r="H94" s="49">
        <f>AVERAGE('01.08 Kyebando-Mulago-24h'!H94,'03.08 Kyebando-Mulago-24h'!H94)</f>
        <v>0</v>
      </c>
      <c r="I94" s="49">
        <f>AVERAGE('01.08 Kyebando-Mulago-24h'!I94,'03.08 Kyebando-Mulago-24h'!I94)</f>
        <v>0</v>
      </c>
      <c r="J94" s="49">
        <f>AVERAGE('01.08 Kyebando-Mulago-24h'!J94,'03.08 Kyebando-Mulago-24h'!J94)</f>
        <v>0</v>
      </c>
      <c r="K94" s="49">
        <f>AVERAGE('01.08 Kyebando-Mulago-24h'!K94,'03.08 Kyebando-Mulago-24h'!K94)</f>
        <v>0.5</v>
      </c>
      <c r="L94" s="49">
        <f>AVERAGE('01.08 Kyebando-Mulago-24h'!L94,'03.08 Kyebando-Mulago-24h'!L94)</f>
        <v>0</v>
      </c>
      <c r="M94" s="49">
        <f>AVERAGE('01.08 Kyebando-Mulago-24h'!M94,'03.08 Kyebando-Mulago-24h'!M94)</f>
        <v>4</v>
      </c>
      <c r="N94" s="49">
        <f>AVERAGE('01.08 Kyebando-Mulago-24h'!N94,'03.08 Kyebando-Mulago-24h'!N94)</f>
        <v>0</v>
      </c>
      <c r="O94" s="15">
        <f t="shared" si="35"/>
        <v>4</v>
      </c>
      <c r="P94" s="15">
        <f t="shared" si="36"/>
        <v>8</v>
      </c>
      <c r="R94" s="8"/>
      <c r="T94"/>
    </row>
    <row r="95" spans="2:20" ht="23.1" customHeight="1" x14ac:dyDescent="0.25">
      <c r="B95" s="23" t="s">
        <v>135</v>
      </c>
      <c r="C95" s="49">
        <f>AVERAGE('01.08 Kyebando-Mulago-24h'!C95,'03.08 Kyebando-Mulago-24h'!C95)</f>
        <v>3</v>
      </c>
      <c r="D95" s="49">
        <f>AVERAGE('01.08 Kyebando-Mulago-24h'!D95,'03.08 Kyebando-Mulago-24h'!D95)</f>
        <v>0</v>
      </c>
      <c r="E95" s="49">
        <f>AVERAGE('01.08 Kyebando-Mulago-24h'!E95,'03.08 Kyebando-Mulago-24h'!E95)</f>
        <v>1</v>
      </c>
      <c r="F95" s="49">
        <f>AVERAGE('01.08 Kyebando-Mulago-24h'!F95,'03.08 Kyebando-Mulago-24h'!F95)</f>
        <v>0</v>
      </c>
      <c r="G95" s="49">
        <f>AVERAGE('01.08 Kyebando-Mulago-24h'!G95,'03.08 Kyebando-Mulago-24h'!G95)</f>
        <v>0</v>
      </c>
      <c r="H95" s="49">
        <f>AVERAGE('01.08 Kyebando-Mulago-24h'!H95,'03.08 Kyebando-Mulago-24h'!H95)</f>
        <v>0</v>
      </c>
      <c r="I95" s="49">
        <f>AVERAGE('01.08 Kyebando-Mulago-24h'!I95,'03.08 Kyebando-Mulago-24h'!I95)</f>
        <v>0</v>
      </c>
      <c r="J95" s="49">
        <f>AVERAGE('01.08 Kyebando-Mulago-24h'!J95,'03.08 Kyebando-Mulago-24h'!J95)</f>
        <v>0</v>
      </c>
      <c r="K95" s="49">
        <f>AVERAGE('01.08 Kyebando-Mulago-24h'!K95,'03.08 Kyebando-Mulago-24h'!K95)</f>
        <v>0</v>
      </c>
      <c r="L95" s="49">
        <f>AVERAGE('01.08 Kyebando-Mulago-24h'!L95,'03.08 Kyebando-Mulago-24h'!L95)</f>
        <v>0</v>
      </c>
      <c r="M95" s="49">
        <f>AVERAGE('01.08 Kyebando-Mulago-24h'!M95,'03.08 Kyebando-Mulago-24h'!M95)</f>
        <v>7</v>
      </c>
      <c r="N95" s="49">
        <f>AVERAGE('01.08 Kyebando-Mulago-24h'!N95,'03.08 Kyebando-Mulago-24h'!N95)</f>
        <v>0</v>
      </c>
      <c r="O95" s="15">
        <f t="shared" si="35"/>
        <v>4</v>
      </c>
      <c r="P95" s="15">
        <f t="shared" si="36"/>
        <v>11</v>
      </c>
      <c r="R95" s="8"/>
      <c r="T95"/>
    </row>
    <row r="96" spans="2:20" ht="23.1" customHeight="1" x14ac:dyDescent="0.25">
      <c r="B96" s="25" t="s">
        <v>136</v>
      </c>
      <c r="C96" s="49">
        <f>AVERAGE('01.08 Kyebando-Mulago-24h'!C96,'03.08 Kyebando-Mulago-24h'!C96)</f>
        <v>2.5</v>
      </c>
      <c r="D96" s="49">
        <f>AVERAGE('01.08 Kyebando-Mulago-24h'!D96,'03.08 Kyebando-Mulago-24h'!D96)</f>
        <v>0</v>
      </c>
      <c r="E96" s="49">
        <f>AVERAGE('01.08 Kyebando-Mulago-24h'!E96,'03.08 Kyebando-Mulago-24h'!E96)</f>
        <v>0</v>
      </c>
      <c r="F96" s="49">
        <f>AVERAGE('01.08 Kyebando-Mulago-24h'!F96,'03.08 Kyebando-Mulago-24h'!F96)</f>
        <v>0</v>
      </c>
      <c r="G96" s="49">
        <f>AVERAGE('01.08 Kyebando-Mulago-24h'!G96,'03.08 Kyebando-Mulago-24h'!G96)</f>
        <v>0</v>
      </c>
      <c r="H96" s="49">
        <f>AVERAGE('01.08 Kyebando-Mulago-24h'!H96,'03.08 Kyebando-Mulago-24h'!H96)</f>
        <v>0</v>
      </c>
      <c r="I96" s="49">
        <f>AVERAGE('01.08 Kyebando-Mulago-24h'!I96,'03.08 Kyebando-Mulago-24h'!I96)</f>
        <v>1</v>
      </c>
      <c r="J96" s="49">
        <f>AVERAGE('01.08 Kyebando-Mulago-24h'!J96,'03.08 Kyebando-Mulago-24h'!J96)</f>
        <v>0</v>
      </c>
      <c r="K96" s="49">
        <f>AVERAGE('01.08 Kyebando-Mulago-24h'!K96,'03.08 Kyebando-Mulago-24h'!K96)</f>
        <v>0</v>
      </c>
      <c r="L96" s="49">
        <f>AVERAGE('01.08 Kyebando-Mulago-24h'!L96,'03.08 Kyebando-Mulago-24h'!L96)</f>
        <v>0</v>
      </c>
      <c r="M96" s="49">
        <f>AVERAGE('01.08 Kyebando-Mulago-24h'!M96,'03.08 Kyebando-Mulago-24h'!M96)</f>
        <v>8.5</v>
      </c>
      <c r="N96" s="49">
        <f>AVERAGE('01.08 Kyebando-Mulago-24h'!N96,'03.08 Kyebando-Mulago-24h'!N96)</f>
        <v>0</v>
      </c>
      <c r="O96" s="15">
        <f t="shared" si="35"/>
        <v>3.5</v>
      </c>
      <c r="P96" s="15">
        <f t="shared" si="36"/>
        <v>12</v>
      </c>
      <c r="R96" s="8"/>
      <c r="T96"/>
    </row>
    <row r="97" spans="2:20" ht="23.1" customHeight="1" x14ac:dyDescent="0.25">
      <c r="B97" s="23" t="s">
        <v>137</v>
      </c>
      <c r="C97" s="49">
        <f>AVERAGE('01.08 Kyebando-Mulago-24h'!C97,'03.08 Kyebando-Mulago-24h'!C97)</f>
        <v>2.5</v>
      </c>
      <c r="D97" s="49">
        <f>AVERAGE('01.08 Kyebando-Mulago-24h'!D97,'03.08 Kyebando-Mulago-24h'!D97)</f>
        <v>0.5</v>
      </c>
      <c r="E97" s="49">
        <f>AVERAGE('01.08 Kyebando-Mulago-24h'!E97,'03.08 Kyebando-Mulago-24h'!E97)</f>
        <v>0.5</v>
      </c>
      <c r="F97" s="49">
        <f>AVERAGE('01.08 Kyebando-Mulago-24h'!F97,'03.08 Kyebando-Mulago-24h'!F97)</f>
        <v>0.5</v>
      </c>
      <c r="G97" s="49">
        <f>AVERAGE('01.08 Kyebando-Mulago-24h'!G97,'03.08 Kyebando-Mulago-24h'!G97)</f>
        <v>0</v>
      </c>
      <c r="H97" s="49">
        <f>AVERAGE('01.08 Kyebando-Mulago-24h'!H97,'03.08 Kyebando-Mulago-24h'!H97)</f>
        <v>0</v>
      </c>
      <c r="I97" s="49">
        <f>AVERAGE('01.08 Kyebando-Mulago-24h'!I97,'03.08 Kyebando-Mulago-24h'!I97)</f>
        <v>0</v>
      </c>
      <c r="J97" s="49">
        <f>AVERAGE('01.08 Kyebando-Mulago-24h'!J97,'03.08 Kyebando-Mulago-24h'!J97)</f>
        <v>0</v>
      </c>
      <c r="K97" s="49">
        <f>AVERAGE('01.08 Kyebando-Mulago-24h'!K97,'03.08 Kyebando-Mulago-24h'!K97)</f>
        <v>0</v>
      </c>
      <c r="L97" s="49">
        <f>AVERAGE('01.08 Kyebando-Mulago-24h'!L97,'03.08 Kyebando-Mulago-24h'!L97)</f>
        <v>0</v>
      </c>
      <c r="M97" s="49">
        <f>AVERAGE('01.08 Kyebando-Mulago-24h'!M97,'03.08 Kyebando-Mulago-24h'!M97)</f>
        <v>6</v>
      </c>
      <c r="N97" s="49">
        <f>AVERAGE('01.08 Kyebando-Mulago-24h'!N97,'03.08 Kyebando-Mulago-24h'!N97)</f>
        <v>0</v>
      </c>
      <c r="O97" s="15">
        <f t="shared" si="35"/>
        <v>4</v>
      </c>
      <c r="P97" s="15">
        <f t="shared" si="36"/>
        <v>10</v>
      </c>
      <c r="R97" s="8"/>
      <c r="T97"/>
    </row>
    <row r="98" spans="2:20" ht="23.1" customHeight="1" x14ac:dyDescent="0.25">
      <c r="B98" s="24" t="s">
        <v>138</v>
      </c>
      <c r="C98" s="49">
        <f>AVERAGE('01.08 Kyebando-Mulago-24h'!C98,'03.08 Kyebando-Mulago-24h'!C98)</f>
        <v>4.5</v>
      </c>
      <c r="D98" s="49">
        <f>AVERAGE('01.08 Kyebando-Mulago-24h'!D98,'03.08 Kyebando-Mulago-24h'!D98)</f>
        <v>0</v>
      </c>
      <c r="E98" s="49">
        <f>AVERAGE('01.08 Kyebando-Mulago-24h'!E98,'03.08 Kyebando-Mulago-24h'!E98)</f>
        <v>0.5</v>
      </c>
      <c r="F98" s="49">
        <f>AVERAGE('01.08 Kyebando-Mulago-24h'!F98,'03.08 Kyebando-Mulago-24h'!F98)</f>
        <v>2.5</v>
      </c>
      <c r="G98" s="49">
        <f>AVERAGE('01.08 Kyebando-Mulago-24h'!G98,'03.08 Kyebando-Mulago-24h'!G98)</f>
        <v>0</v>
      </c>
      <c r="H98" s="49">
        <f>AVERAGE('01.08 Kyebando-Mulago-24h'!H98,'03.08 Kyebando-Mulago-24h'!H98)</f>
        <v>0</v>
      </c>
      <c r="I98" s="49">
        <f>AVERAGE('01.08 Kyebando-Mulago-24h'!I98,'03.08 Kyebando-Mulago-24h'!I98)</f>
        <v>0</v>
      </c>
      <c r="J98" s="49">
        <f>AVERAGE('01.08 Kyebando-Mulago-24h'!J98,'03.08 Kyebando-Mulago-24h'!J98)</f>
        <v>0</v>
      </c>
      <c r="K98" s="49">
        <f>AVERAGE('01.08 Kyebando-Mulago-24h'!K98,'03.08 Kyebando-Mulago-24h'!K98)</f>
        <v>0</v>
      </c>
      <c r="L98" s="49">
        <f>AVERAGE('01.08 Kyebando-Mulago-24h'!L98,'03.08 Kyebando-Mulago-24h'!L98)</f>
        <v>0</v>
      </c>
      <c r="M98" s="49">
        <f>AVERAGE('01.08 Kyebando-Mulago-24h'!M98,'03.08 Kyebando-Mulago-24h'!M98)</f>
        <v>16.5</v>
      </c>
      <c r="N98" s="49">
        <f>AVERAGE('01.08 Kyebando-Mulago-24h'!N98,'03.08 Kyebando-Mulago-24h'!N98)</f>
        <v>0</v>
      </c>
      <c r="O98" s="15">
        <f t="shared" si="35"/>
        <v>7.5</v>
      </c>
      <c r="P98" s="15">
        <f t="shared" si="36"/>
        <v>24</v>
      </c>
      <c r="R98" s="8"/>
      <c r="T98"/>
    </row>
    <row r="99" spans="2:20" ht="23.1" customHeight="1" x14ac:dyDescent="0.25">
      <c r="B99" s="23" t="s">
        <v>139</v>
      </c>
      <c r="C99" s="49">
        <f>AVERAGE('01.08 Kyebando-Mulago-24h'!C99,'03.08 Kyebando-Mulago-24h'!C99)</f>
        <v>4</v>
      </c>
      <c r="D99" s="49">
        <f>AVERAGE('01.08 Kyebando-Mulago-24h'!D99,'03.08 Kyebando-Mulago-24h'!D99)</f>
        <v>0.5</v>
      </c>
      <c r="E99" s="49">
        <f>AVERAGE('01.08 Kyebando-Mulago-24h'!E99,'03.08 Kyebando-Mulago-24h'!E99)</f>
        <v>0</v>
      </c>
      <c r="F99" s="49">
        <f>AVERAGE('01.08 Kyebando-Mulago-24h'!F99,'03.08 Kyebando-Mulago-24h'!F99)</f>
        <v>3</v>
      </c>
      <c r="G99" s="49">
        <f>AVERAGE('01.08 Kyebando-Mulago-24h'!G99,'03.08 Kyebando-Mulago-24h'!G99)</f>
        <v>0</v>
      </c>
      <c r="H99" s="49">
        <f>AVERAGE('01.08 Kyebando-Mulago-24h'!H99,'03.08 Kyebando-Mulago-24h'!H99)</f>
        <v>0</v>
      </c>
      <c r="I99" s="49">
        <f>AVERAGE('01.08 Kyebando-Mulago-24h'!I99,'03.08 Kyebando-Mulago-24h'!I99)</f>
        <v>0.5</v>
      </c>
      <c r="J99" s="49">
        <f>AVERAGE('01.08 Kyebando-Mulago-24h'!J99,'03.08 Kyebando-Mulago-24h'!J99)</f>
        <v>0</v>
      </c>
      <c r="K99" s="49">
        <f>AVERAGE('01.08 Kyebando-Mulago-24h'!K99,'03.08 Kyebando-Mulago-24h'!K99)</f>
        <v>0</v>
      </c>
      <c r="L99" s="49">
        <f>AVERAGE('01.08 Kyebando-Mulago-24h'!L99,'03.08 Kyebando-Mulago-24h'!L99)</f>
        <v>0</v>
      </c>
      <c r="M99" s="49">
        <f>AVERAGE('01.08 Kyebando-Mulago-24h'!M99,'03.08 Kyebando-Mulago-24h'!M99)</f>
        <v>16.5</v>
      </c>
      <c r="N99" s="49">
        <f>AVERAGE('01.08 Kyebando-Mulago-24h'!N99,'03.08 Kyebando-Mulago-24h'!N99)</f>
        <v>0</v>
      </c>
      <c r="O99" s="15">
        <f t="shared" si="35"/>
        <v>8</v>
      </c>
      <c r="P99" s="15">
        <f t="shared" si="36"/>
        <v>24.5</v>
      </c>
      <c r="R99" s="8"/>
      <c r="T99"/>
    </row>
    <row r="100" spans="2:20" ht="23.1" customHeight="1" x14ac:dyDescent="0.25">
      <c r="B100" s="25" t="s">
        <v>140</v>
      </c>
      <c r="C100" s="49">
        <f>AVERAGE('01.08 Kyebando-Mulago-24h'!C100,'03.08 Kyebando-Mulago-24h'!C100)</f>
        <v>5</v>
      </c>
      <c r="D100" s="49">
        <f>AVERAGE('01.08 Kyebando-Mulago-24h'!D100,'03.08 Kyebando-Mulago-24h'!D100)</f>
        <v>0</v>
      </c>
      <c r="E100" s="49">
        <f>AVERAGE('01.08 Kyebando-Mulago-24h'!E100,'03.08 Kyebando-Mulago-24h'!E100)</f>
        <v>1.5</v>
      </c>
      <c r="F100" s="49">
        <f>AVERAGE('01.08 Kyebando-Mulago-24h'!F100,'03.08 Kyebando-Mulago-24h'!F100)</f>
        <v>3</v>
      </c>
      <c r="G100" s="49">
        <f>AVERAGE('01.08 Kyebando-Mulago-24h'!G100,'03.08 Kyebando-Mulago-24h'!G100)</f>
        <v>0</v>
      </c>
      <c r="H100" s="49">
        <f>AVERAGE('01.08 Kyebando-Mulago-24h'!H100,'03.08 Kyebando-Mulago-24h'!H100)</f>
        <v>0</v>
      </c>
      <c r="I100" s="49">
        <f>AVERAGE('01.08 Kyebando-Mulago-24h'!I100,'03.08 Kyebando-Mulago-24h'!I100)</f>
        <v>0</v>
      </c>
      <c r="J100" s="49">
        <f>AVERAGE('01.08 Kyebando-Mulago-24h'!J100,'03.08 Kyebando-Mulago-24h'!J100)</f>
        <v>0</v>
      </c>
      <c r="K100" s="49">
        <f>AVERAGE('01.08 Kyebando-Mulago-24h'!K100,'03.08 Kyebando-Mulago-24h'!K100)</f>
        <v>0</v>
      </c>
      <c r="L100" s="49">
        <f>AVERAGE('01.08 Kyebando-Mulago-24h'!L100,'03.08 Kyebando-Mulago-24h'!L100)</f>
        <v>0</v>
      </c>
      <c r="M100" s="49">
        <f>AVERAGE('01.08 Kyebando-Mulago-24h'!M100,'03.08 Kyebando-Mulago-24h'!M100)</f>
        <v>20</v>
      </c>
      <c r="N100" s="49">
        <f>AVERAGE('01.08 Kyebando-Mulago-24h'!N100,'03.08 Kyebando-Mulago-24h'!N100)</f>
        <v>0</v>
      </c>
      <c r="O100" s="15">
        <f t="shared" si="35"/>
        <v>9.5</v>
      </c>
      <c r="P100" s="15">
        <f t="shared" si="36"/>
        <v>29.5</v>
      </c>
      <c r="R100" s="8"/>
      <c r="T100"/>
    </row>
    <row r="101" spans="2:20" ht="23.1" customHeight="1" x14ac:dyDescent="0.25">
      <c r="B101" s="23" t="s">
        <v>141</v>
      </c>
      <c r="C101" s="49">
        <f>AVERAGE('01.08 Kyebando-Mulago-24h'!C101,'03.08 Kyebando-Mulago-24h'!C101)</f>
        <v>24.5</v>
      </c>
      <c r="D101" s="49">
        <f>AVERAGE('01.08 Kyebando-Mulago-24h'!D101,'03.08 Kyebando-Mulago-24h'!D101)</f>
        <v>1</v>
      </c>
      <c r="E101" s="49">
        <f>AVERAGE('01.08 Kyebando-Mulago-24h'!E101,'03.08 Kyebando-Mulago-24h'!E101)</f>
        <v>5.5</v>
      </c>
      <c r="F101" s="49">
        <f>AVERAGE('01.08 Kyebando-Mulago-24h'!F101,'03.08 Kyebando-Mulago-24h'!F101)</f>
        <v>7.5</v>
      </c>
      <c r="G101" s="49">
        <f>AVERAGE('01.08 Kyebando-Mulago-24h'!G101,'03.08 Kyebando-Mulago-24h'!G101)</f>
        <v>0</v>
      </c>
      <c r="H101" s="49">
        <f>AVERAGE('01.08 Kyebando-Mulago-24h'!H101,'03.08 Kyebando-Mulago-24h'!H101)</f>
        <v>0</v>
      </c>
      <c r="I101" s="49">
        <f>AVERAGE('01.08 Kyebando-Mulago-24h'!I101,'03.08 Kyebando-Mulago-24h'!I101)</f>
        <v>0</v>
      </c>
      <c r="J101" s="49">
        <f>AVERAGE('01.08 Kyebando-Mulago-24h'!J101,'03.08 Kyebando-Mulago-24h'!J101)</f>
        <v>0.5</v>
      </c>
      <c r="K101" s="49">
        <f>AVERAGE('01.08 Kyebando-Mulago-24h'!K101,'03.08 Kyebando-Mulago-24h'!K101)</f>
        <v>0</v>
      </c>
      <c r="L101" s="49">
        <f>AVERAGE('01.08 Kyebando-Mulago-24h'!L101,'03.08 Kyebando-Mulago-24h'!L101)</f>
        <v>0</v>
      </c>
      <c r="M101" s="49">
        <f>AVERAGE('01.08 Kyebando-Mulago-24h'!M101,'03.08 Kyebando-Mulago-24h'!M101)</f>
        <v>27</v>
      </c>
      <c r="N101" s="49">
        <f>AVERAGE('01.08 Kyebando-Mulago-24h'!N101,'03.08 Kyebando-Mulago-24h'!N101)</f>
        <v>0</v>
      </c>
      <c r="O101" s="15">
        <f t="shared" si="35"/>
        <v>39</v>
      </c>
      <c r="P101" s="15">
        <f t="shared" si="36"/>
        <v>66</v>
      </c>
      <c r="R101" s="8"/>
      <c r="T101"/>
    </row>
    <row r="102" spans="2:20" ht="23.1" customHeight="1" x14ac:dyDescent="0.25">
      <c r="B102" s="24" t="s">
        <v>142</v>
      </c>
      <c r="C102" s="49">
        <f>AVERAGE('01.08 Kyebando-Mulago-24h'!C102,'03.08 Kyebando-Mulago-24h'!C102)</f>
        <v>51.5</v>
      </c>
      <c r="D102" s="49">
        <f>AVERAGE('01.08 Kyebando-Mulago-24h'!D102,'03.08 Kyebando-Mulago-24h'!D102)</f>
        <v>3</v>
      </c>
      <c r="E102" s="49">
        <f>AVERAGE('01.08 Kyebando-Mulago-24h'!E102,'03.08 Kyebando-Mulago-24h'!E102)</f>
        <v>3</v>
      </c>
      <c r="F102" s="49">
        <f>AVERAGE('01.08 Kyebando-Mulago-24h'!F102,'03.08 Kyebando-Mulago-24h'!F102)</f>
        <v>9.5</v>
      </c>
      <c r="G102" s="49">
        <f>AVERAGE('01.08 Kyebando-Mulago-24h'!G102,'03.08 Kyebando-Mulago-24h'!G102)</f>
        <v>0.5</v>
      </c>
      <c r="H102" s="49">
        <f>AVERAGE('01.08 Kyebando-Mulago-24h'!H102,'03.08 Kyebando-Mulago-24h'!H102)</f>
        <v>0</v>
      </c>
      <c r="I102" s="49">
        <f>AVERAGE('01.08 Kyebando-Mulago-24h'!I102,'03.08 Kyebando-Mulago-24h'!I102)</f>
        <v>1.5</v>
      </c>
      <c r="J102" s="49">
        <f>AVERAGE('01.08 Kyebando-Mulago-24h'!J102,'03.08 Kyebando-Mulago-24h'!J102)</f>
        <v>0.5</v>
      </c>
      <c r="K102" s="49">
        <f>AVERAGE('01.08 Kyebando-Mulago-24h'!K102,'03.08 Kyebando-Mulago-24h'!K102)</f>
        <v>0</v>
      </c>
      <c r="L102" s="49">
        <f>AVERAGE('01.08 Kyebando-Mulago-24h'!L102,'03.08 Kyebando-Mulago-24h'!L102)</f>
        <v>0</v>
      </c>
      <c r="M102" s="49">
        <f>AVERAGE('01.08 Kyebando-Mulago-24h'!M102,'03.08 Kyebando-Mulago-24h'!M102)</f>
        <v>24.5</v>
      </c>
      <c r="N102" s="49">
        <f>AVERAGE('01.08 Kyebando-Mulago-24h'!N102,'03.08 Kyebando-Mulago-24h'!N102)</f>
        <v>0</v>
      </c>
      <c r="O102" s="15">
        <f t="shared" si="35"/>
        <v>69.5</v>
      </c>
      <c r="P102" s="15">
        <f t="shared" si="36"/>
        <v>94</v>
      </c>
      <c r="R102" s="8"/>
      <c r="T102"/>
    </row>
    <row r="103" spans="2:20" ht="23.1" customHeight="1" x14ac:dyDescent="0.25">
      <c r="B103" s="23" t="s">
        <v>143</v>
      </c>
      <c r="C103" s="49">
        <f>AVERAGE('01.08 Kyebando-Mulago-24h'!C103,'03.08 Kyebando-Mulago-24h'!C103)</f>
        <v>103</v>
      </c>
      <c r="D103" s="49">
        <f>AVERAGE('01.08 Kyebando-Mulago-24h'!D103,'03.08 Kyebando-Mulago-24h'!D103)</f>
        <v>9</v>
      </c>
      <c r="E103" s="49">
        <f>AVERAGE('01.08 Kyebando-Mulago-24h'!E103,'03.08 Kyebando-Mulago-24h'!E103)</f>
        <v>9.5</v>
      </c>
      <c r="F103" s="49">
        <f>AVERAGE('01.08 Kyebando-Mulago-24h'!F103,'03.08 Kyebando-Mulago-24h'!F103)</f>
        <v>15</v>
      </c>
      <c r="G103" s="49">
        <f>AVERAGE('01.08 Kyebando-Mulago-24h'!G103,'03.08 Kyebando-Mulago-24h'!G103)</f>
        <v>0</v>
      </c>
      <c r="H103" s="49">
        <f>AVERAGE('01.08 Kyebando-Mulago-24h'!H103,'03.08 Kyebando-Mulago-24h'!H103)</f>
        <v>0</v>
      </c>
      <c r="I103" s="49">
        <f>AVERAGE('01.08 Kyebando-Mulago-24h'!I103,'03.08 Kyebando-Mulago-24h'!I103)</f>
        <v>3</v>
      </c>
      <c r="J103" s="49">
        <f>AVERAGE('01.08 Kyebando-Mulago-24h'!J103,'03.08 Kyebando-Mulago-24h'!J103)</f>
        <v>0.5</v>
      </c>
      <c r="K103" s="49">
        <f>AVERAGE('01.08 Kyebando-Mulago-24h'!K103,'03.08 Kyebando-Mulago-24h'!K103)</f>
        <v>0</v>
      </c>
      <c r="L103" s="49">
        <f>AVERAGE('01.08 Kyebando-Mulago-24h'!L103,'03.08 Kyebando-Mulago-24h'!L103)</f>
        <v>0</v>
      </c>
      <c r="M103" s="49">
        <f>AVERAGE('01.08 Kyebando-Mulago-24h'!M103,'03.08 Kyebando-Mulago-24h'!M103)</f>
        <v>30.5</v>
      </c>
      <c r="N103" s="49">
        <f>AVERAGE('01.08 Kyebando-Mulago-24h'!N103,'03.08 Kyebando-Mulago-24h'!N103)</f>
        <v>0</v>
      </c>
      <c r="O103" s="15">
        <f t="shared" si="35"/>
        <v>140</v>
      </c>
      <c r="P103" s="15">
        <f t="shared" si="36"/>
        <v>170.5</v>
      </c>
      <c r="R103" s="8"/>
      <c r="T103"/>
    </row>
    <row r="104" spans="2:20" ht="23.1" customHeight="1" x14ac:dyDescent="0.25">
      <c r="B104" s="25" t="s">
        <v>144</v>
      </c>
      <c r="C104" s="49">
        <f>AVERAGE('01.08 Kyebando-Mulago-24h'!C104,'03.08 Kyebando-Mulago-24h'!C104)</f>
        <v>136</v>
      </c>
      <c r="D104" s="49">
        <f>AVERAGE('01.08 Kyebando-Mulago-24h'!D104,'03.08 Kyebando-Mulago-24h'!D104)</f>
        <v>2.5</v>
      </c>
      <c r="E104" s="49">
        <f>AVERAGE('01.08 Kyebando-Mulago-24h'!E104,'03.08 Kyebando-Mulago-24h'!E104)</f>
        <v>6</v>
      </c>
      <c r="F104" s="49">
        <f>AVERAGE('01.08 Kyebando-Mulago-24h'!F104,'03.08 Kyebando-Mulago-24h'!F104)</f>
        <v>16</v>
      </c>
      <c r="G104" s="49">
        <f>AVERAGE('01.08 Kyebando-Mulago-24h'!G104,'03.08 Kyebando-Mulago-24h'!G104)</f>
        <v>0</v>
      </c>
      <c r="H104" s="49">
        <f>AVERAGE('01.08 Kyebando-Mulago-24h'!H104,'03.08 Kyebando-Mulago-24h'!H104)</f>
        <v>0</v>
      </c>
      <c r="I104" s="49">
        <f>AVERAGE('01.08 Kyebando-Mulago-24h'!I104,'03.08 Kyebando-Mulago-24h'!I104)</f>
        <v>2.5</v>
      </c>
      <c r="J104" s="49">
        <f>AVERAGE('01.08 Kyebando-Mulago-24h'!J104,'03.08 Kyebando-Mulago-24h'!J104)</f>
        <v>0</v>
      </c>
      <c r="K104" s="49">
        <f>AVERAGE('01.08 Kyebando-Mulago-24h'!K104,'03.08 Kyebando-Mulago-24h'!K104)</f>
        <v>0</v>
      </c>
      <c r="L104" s="49">
        <f>AVERAGE('01.08 Kyebando-Mulago-24h'!L104,'03.08 Kyebando-Mulago-24h'!L104)</f>
        <v>0</v>
      </c>
      <c r="M104" s="49">
        <f>AVERAGE('01.08 Kyebando-Mulago-24h'!M104,'03.08 Kyebando-Mulago-24h'!M104)</f>
        <v>42</v>
      </c>
      <c r="N104" s="49">
        <f>AVERAGE('01.08 Kyebando-Mulago-24h'!N104,'03.08 Kyebando-Mulago-24h'!N104)</f>
        <v>0</v>
      </c>
      <c r="O104" s="15">
        <f t="shared" si="35"/>
        <v>163</v>
      </c>
      <c r="P104" s="15">
        <f t="shared" si="36"/>
        <v>205</v>
      </c>
      <c r="R104" s="8"/>
      <c r="T104"/>
    </row>
    <row r="105" spans="2:20" ht="23.1" customHeight="1" x14ac:dyDescent="0.25">
      <c r="B105" s="23" t="s">
        <v>145</v>
      </c>
      <c r="C105" s="49">
        <f>AVERAGE('01.08 Kyebando-Mulago-24h'!C105,'03.08 Kyebando-Mulago-24h'!C105)</f>
        <v>128</v>
      </c>
      <c r="D105" s="49">
        <f>AVERAGE('01.08 Kyebando-Mulago-24h'!D105,'03.08 Kyebando-Mulago-24h'!D105)</f>
        <v>4</v>
      </c>
      <c r="E105" s="49">
        <f>AVERAGE('01.08 Kyebando-Mulago-24h'!E105,'03.08 Kyebando-Mulago-24h'!E105)</f>
        <v>9</v>
      </c>
      <c r="F105" s="49">
        <f>AVERAGE('01.08 Kyebando-Mulago-24h'!F105,'03.08 Kyebando-Mulago-24h'!F105)</f>
        <v>34.5</v>
      </c>
      <c r="G105" s="49">
        <f>AVERAGE('01.08 Kyebando-Mulago-24h'!G105,'03.08 Kyebando-Mulago-24h'!G105)</f>
        <v>0</v>
      </c>
      <c r="H105" s="49">
        <f>AVERAGE('01.08 Kyebando-Mulago-24h'!H105,'03.08 Kyebando-Mulago-24h'!H105)</f>
        <v>0</v>
      </c>
      <c r="I105" s="49">
        <f>AVERAGE('01.08 Kyebando-Mulago-24h'!I105,'03.08 Kyebando-Mulago-24h'!I105)</f>
        <v>0.5</v>
      </c>
      <c r="J105" s="49">
        <f>AVERAGE('01.08 Kyebando-Mulago-24h'!J105,'03.08 Kyebando-Mulago-24h'!J105)</f>
        <v>0</v>
      </c>
      <c r="K105" s="49">
        <f>AVERAGE('01.08 Kyebando-Mulago-24h'!K105,'03.08 Kyebando-Mulago-24h'!K105)</f>
        <v>0</v>
      </c>
      <c r="L105" s="49">
        <f>AVERAGE('01.08 Kyebando-Mulago-24h'!L105,'03.08 Kyebando-Mulago-24h'!L105)</f>
        <v>0</v>
      </c>
      <c r="M105" s="49">
        <f>AVERAGE('01.08 Kyebando-Mulago-24h'!M105,'03.08 Kyebando-Mulago-24h'!M105)</f>
        <v>38.5</v>
      </c>
      <c r="N105" s="49">
        <f>AVERAGE('01.08 Kyebando-Mulago-24h'!N105,'03.08 Kyebando-Mulago-24h'!N105)</f>
        <v>0</v>
      </c>
      <c r="O105" s="15">
        <f t="shared" si="35"/>
        <v>176</v>
      </c>
      <c r="P105" s="15">
        <f t="shared" si="36"/>
        <v>214.5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3074.428571428572</v>
      </c>
      <c r="D106" s="16">
        <f t="shared" si="37"/>
        <v>537.85714285714289</v>
      </c>
      <c r="E106" s="16">
        <f t="shared" si="37"/>
        <v>348.42857142857162</v>
      </c>
      <c r="F106" s="16">
        <f t="shared" si="37"/>
        <v>754.42857142857133</v>
      </c>
      <c r="G106" s="16">
        <f t="shared" si="37"/>
        <v>9.4285714285714342</v>
      </c>
      <c r="H106" s="16">
        <f t="shared" si="37"/>
        <v>1.9999999999999996</v>
      </c>
      <c r="I106" s="16">
        <f t="shared" si="37"/>
        <v>162.5714285714285</v>
      </c>
      <c r="J106" s="16">
        <f t="shared" si="37"/>
        <v>28.999999999999993</v>
      </c>
      <c r="K106" s="16">
        <f t="shared" si="37"/>
        <v>0.85714285714285698</v>
      </c>
      <c r="L106" s="16">
        <f t="shared" si="37"/>
        <v>0</v>
      </c>
      <c r="M106" s="16">
        <f t="shared" si="37"/>
        <v>4886.5714285714312</v>
      </c>
      <c r="N106" s="16">
        <f t="shared" si="37"/>
        <v>0.14285714285714285</v>
      </c>
      <c r="O106" s="16">
        <f t="shared" si="37"/>
        <v>4919.1428571428569</v>
      </c>
      <c r="P106" s="16">
        <f t="shared" si="37"/>
        <v>9805.7142857142862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0.31353438228438235</v>
      </c>
      <c r="D107" s="43">
        <f t="shared" si="38"/>
        <v>5.48513986013986E-2</v>
      </c>
      <c r="E107" s="43">
        <f t="shared" si="38"/>
        <v>3.5533216783216803E-2</v>
      </c>
      <c r="F107" s="43">
        <f t="shared" si="38"/>
        <v>7.6937645687645675E-2</v>
      </c>
      <c r="G107" s="43">
        <f t="shared" si="38"/>
        <v>9.6153846153846203E-4</v>
      </c>
      <c r="H107" s="43">
        <f t="shared" si="38"/>
        <v>2.0396270396270391E-4</v>
      </c>
      <c r="I107" s="43">
        <f t="shared" si="38"/>
        <v>1.657925407925407E-2</v>
      </c>
      <c r="J107" s="43">
        <f t="shared" si="38"/>
        <v>2.9574592074592065E-3</v>
      </c>
      <c r="K107" s="43">
        <f t="shared" si="38"/>
        <v>8.7412587412587385E-5</v>
      </c>
      <c r="L107" s="43">
        <f t="shared" si="38"/>
        <v>0</v>
      </c>
      <c r="M107" s="43">
        <f t="shared" si="38"/>
        <v>0.49833916083916108</v>
      </c>
      <c r="N107" s="43">
        <f t="shared" si="38"/>
        <v>1.4568764568764567E-5</v>
      </c>
      <c r="R107" s="8"/>
      <c r="T107"/>
    </row>
    <row r="108" spans="2:20" ht="23.1" customHeight="1" x14ac:dyDescent="0.25">
      <c r="B108" s="42" t="s">
        <v>94</v>
      </c>
      <c r="C108" s="44">
        <f t="shared" ref="C108:L108" si="39">C106/$O$106</f>
        <v>0.62499273973398406</v>
      </c>
      <c r="D108" s="44">
        <f t="shared" si="39"/>
        <v>0.10933960620317129</v>
      </c>
      <c r="E108" s="44">
        <f t="shared" si="39"/>
        <v>7.0831155253528524E-2</v>
      </c>
      <c r="F108" s="44">
        <f t="shared" si="39"/>
        <v>0.15336585932508565</v>
      </c>
      <c r="G108" s="44">
        <f t="shared" si="39"/>
        <v>1.9167102282627649E-3</v>
      </c>
      <c r="H108" s="44">
        <f t="shared" si="39"/>
        <v>4.0657489690422248E-4</v>
      </c>
      <c r="I108" s="44">
        <f t="shared" si="39"/>
        <v>3.3048730905500368E-2</v>
      </c>
      <c r="J108" s="44">
        <f t="shared" si="39"/>
        <v>5.8953360051112258E-3</v>
      </c>
      <c r="K108" s="44">
        <f t="shared" si="39"/>
        <v>1.7424638438752392E-4</v>
      </c>
      <c r="L108" s="44">
        <f t="shared" si="39"/>
        <v>0</v>
      </c>
      <c r="M108" s="44"/>
      <c r="N108" s="44">
        <f>N106/$O$106</f>
        <v>2.9041064064587326E-5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E86" zoomScale="60" workbookViewId="0">
      <selection activeCell="W78" sqref="W7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'04.08 Mulago-Kyebando'!C3:G3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55" t="str">
        <f>'04.08 Mulago-Kyebando'!G5:H5</f>
        <v>Kisingiri Street</v>
      </c>
      <c r="H5" s="56"/>
      <c r="I5" s="14"/>
      <c r="J5" s="2" t="s">
        <v>5</v>
      </c>
      <c r="K5" s="55" t="str">
        <f>'04.08 Mulago-Kyebando'!K5:L5</f>
        <v>Frank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'04.08 Mulago-Kyebando'!D6:E6</f>
        <v>Mulago</v>
      </c>
      <c r="E6" s="56"/>
      <c r="F6" s="2" t="s">
        <v>2</v>
      </c>
      <c r="G6" s="55" t="str">
        <f>'04.08 Mulago-Kyebando'!G6:H6</f>
        <v>Kyebando</v>
      </c>
      <c r="H6" s="56"/>
      <c r="J6" s="2" t="s">
        <v>21</v>
      </c>
      <c r="K6" s="55" t="str">
        <f>'04.08 Mulago-Kyebando'!K6:L6</f>
        <v>Steven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AVERAGE('02.08 Mulago-Kyebando'!C10,'29.07 Mulago-Kyebando'!C10,'30.07 Mulago-Kyebando'!C10,'31.07 Mulago-Kyebando'!C10,'01.08 Mulago-Kyebando-24h'!C10,'03.08 Mulago-Kyebando-24h'!C10,'04.08 Mulago-Kyebando'!C10)</f>
        <v>19.428571428571427</v>
      </c>
      <c r="D10" s="49">
        <f>AVERAGE('02.08 Mulago-Kyebando'!D10,'29.07 Mulago-Kyebando'!D10,'30.07 Mulago-Kyebando'!D10,'31.07 Mulago-Kyebando'!D10,'01.08 Mulago-Kyebando-24h'!D10,'03.08 Mulago-Kyebando-24h'!D10,'04.08 Mulago-Kyebando'!D10)</f>
        <v>4</v>
      </c>
      <c r="E10" s="49">
        <f>AVERAGE('02.08 Mulago-Kyebando'!E10,'29.07 Mulago-Kyebando'!E10,'30.07 Mulago-Kyebando'!E10,'31.07 Mulago-Kyebando'!E10,'01.08 Mulago-Kyebando-24h'!E10,'03.08 Mulago-Kyebando-24h'!E10,'04.08 Mulago-Kyebando'!E10)</f>
        <v>3.7142857142857144</v>
      </c>
      <c r="F10" s="49">
        <f>AVERAGE('02.08 Mulago-Kyebando'!F10,'29.07 Mulago-Kyebando'!F10,'30.07 Mulago-Kyebando'!F10,'31.07 Mulago-Kyebando'!F10,'01.08 Mulago-Kyebando-24h'!F10,'03.08 Mulago-Kyebando-24h'!F10,'04.08 Mulago-Kyebando'!F10)</f>
        <v>9.5714285714285712</v>
      </c>
      <c r="G10" s="49">
        <f>AVERAGE('02.08 Mulago-Kyebando'!G10,'29.07 Mulago-Kyebando'!G10,'30.07 Mulago-Kyebando'!G10,'31.07 Mulago-Kyebando'!G10,'01.08 Mulago-Kyebando-24h'!G10,'03.08 Mulago-Kyebando-24h'!G10,'04.08 Mulago-Kyebando'!G10)</f>
        <v>1</v>
      </c>
      <c r="H10" s="49">
        <f>AVERAGE('02.08 Mulago-Kyebando'!H10,'29.07 Mulago-Kyebando'!H10,'30.07 Mulago-Kyebando'!H10,'31.07 Mulago-Kyebando'!H10,'01.08 Mulago-Kyebando-24h'!H10,'03.08 Mulago-Kyebando-24h'!H10,'04.08 Mulago-Kyebando'!H10)</f>
        <v>0</v>
      </c>
      <c r="I10" s="49">
        <f>AVERAGE('02.08 Mulago-Kyebando'!I10,'29.07 Mulago-Kyebando'!I10,'30.07 Mulago-Kyebando'!I10,'31.07 Mulago-Kyebando'!I10,'01.08 Mulago-Kyebando-24h'!I10,'03.08 Mulago-Kyebando-24h'!I10,'04.08 Mulago-Kyebando'!I10)</f>
        <v>2</v>
      </c>
      <c r="J10" s="49">
        <f>AVERAGE('02.08 Mulago-Kyebando'!J10,'29.07 Mulago-Kyebando'!J10,'30.07 Mulago-Kyebando'!J10,'31.07 Mulago-Kyebando'!J10,'01.08 Mulago-Kyebando-24h'!J10,'03.08 Mulago-Kyebando-24h'!J10,'04.08 Mulago-Kyebando'!J10)</f>
        <v>0</v>
      </c>
      <c r="K10" s="49">
        <f>AVERAGE('02.08 Mulago-Kyebando'!K10,'29.07 Mulago-Kyebando'!K10,'30.07 Mulago-Kyebando'!K10,'31.07 Mulago-Kyebando'!K10,'01.08 Mulago-Kyebando-24h'!K10,'03.08 Mulago-Kyebando-24h'!K10,'04.08 Mulago-Kyebando'!K10)</f>
        <v>0</v>
      </c>
      <c r="L10" s="49">
        <f>AVERAGE('02.08 Mulago-Kyebando'!L10,'29.07 Mulago-Kyebando'!L10,'30.07 Mulago-Kyebando'!L10,'31.07 Mulago-Kyebando'!L10,'01.08 Mulago-Kyebando-24h'!L10,'03.08 Mulago-Kyebando-24h'!L10,'04.08 Mulago-Kyebando'!L10)</f>
        <v>0</v>
      </c>
      <c r="M10" s="49">
        <f>AVERAGE('02.08 Mulago-Kyebando'!M10,'29.07 Mulago-Kyebando'!M10,'30.07 Mulago-Kyebando'!M10,'31.07 Mulago-Kyebando'!M10,'01.08 Mulago-Kyebando-24h'!M10,'03.08 Mulago-Kyebando-24h'!M10,'04.08 Mulago-Kyebando'!M10)</f>
        <v>88.571428571428569</v>
      </c>
      <c r="N10" s="49">
        <f>AVERAGE('02.08 Mulago-Kyebando'!N10,'29.07 Mulago-Kyebando'!N10,'30.07 Mulago-Kyebando'!N10,'31.07 Mulago-Kyebando'!N10,'01.08 Mulago-Kyebando-24h'!N10,'03.08 Mulago-Kyebando-24h'!N10,'04.08 Mulago-Kyebando'!N10)</f>
        <v>0</v>
      </c>
      <c r="O10" s="15">
        <f t="shared" ref="O10:O73" si="0">SUM(C10:L10,N10)</f>
        <v>39.714285714285715</v>
      </c>
      <c r="P10" s="15">
        <f t="shared" ref="P10:P73" si="1">SUM(C10:N10)</f>
        <v>128.28571428571428</v>
      </c>
      <c r="R10" s="1" t="s">
        <v>6</v>
      </c>
      <c r="S10" s="17">
        <f t="shared" ref="S10:AF10" si="2">SUM(C10:C13)</f>
        <v>73.428571428571416</v>
      </c>
      <c r="T10" s="17">
        <f t="shared" si="2"/>
        <v>10.714285714285714</v>
      </c>
      <c r="U10" s="17">
        <f t="shared" si="2"/>
        <v>10.428571428571429</v>
      </c>
      <c r="V10" s="17">
        <f t="shared" si="2"/>
        <v>35.571428571428569</v>
      </c>
      <c r="W10" s="17">
        <f t="shared" si="2"/>
        <v>2.2857142857142856</v>
      </c>
      <c r="X10" s="17">
        <f t="shared" si="2"/>
        <v>0</v>
      </c>
      <c r="Y10" s="17">
        <f t="shared" si="2"/>
        <v>5.5714285714285712</v>
      </c>
      <c r="Z10" s="17">
        <f t="shared" si="2"/>
        <v>0.42857142857142855</v>
      </c>
      <c r="AA10" s="17">
        <f t="shared" si="2"/>
        <v>0</v>
      </c>
      <c r="AB10" s="17">
        <f t="shared" si="2"/>
        <v>0</v>
      </c>
      <c r="AC10" s="17">
        <f t="shared" si="2"/>
        <v>410</v>
      </c>
      <c r="AD10" s="17">
        <f t="shared" si="2"/>
        <v>0</v>
      </c>
      <c r="AE10" s="31">
        <f t="shared" si="2"/>
        <v>138.42857142857144</v>
      </c>
      <c r="AF10" s="31">
        <f t="shared" si="2"/>
        <v>548.42857142857144</v>
      </c>
    </row>
    <row r="11" spans="2:32" s="6" customFormat="1" ht="23.1" customHeight="1" x14ac:dyDescent="0.25">
      <c r="B11" s="23" t="s">
        <v>38</v>
      </c>
      <c r="C11" s="49">
        <f>AVERAGE('02.08 Mulago-Kyebando'!C11,'29.07 Mulago-Kyebando'!C11,'30.07 Mulago-Kyebando'!C11,'31.07 Mulago-Kyebando'!C11,'01.08 Mulago-Kyebando-24h'!C11,'03.08 Mulago-Kyebando-24h'!C11,'04.08 Mulago-Kyebando'!C11)</f>
        <v>16.857142857142858</v>
      </c>
      <c r="D11" s="49">
        <f>AVERAGE('02.08 Mulago-Kyebando'!D11,'29.07 Mulago-Kyebando'!D11,'30.07 Mulago-Kyebando'!D11,'31.07 Mulago-Kyebando'!D11,'01.08 Mulago-Kyebando-24h'!D11,'03.08 Mulago-Kyebando-24h'!D11,'04.08 Mulago-Kyebando'!D11)</f>
        <v>3.2857142857142856</v>
      </c>
      <c r="E11" s="49">
        <f>AVERAGE('02.08 Mulago-Kyebando'!E11,'29.07 Mulago-Kyebando'!E11,'30.07 Mulago-Kyebando'!E11,'31.07 Mulago-Kyebando'!E11,'01.08 Mulago-Kyebando-24h'!E11,'03.08 Mulago-Kyebando-24h'!E11,'04.08 Mulago-Kyebando'!E11)</f>
        <v>2.7142857142857144</v>
      </c>
      <c r="F11" s="49">
        <f>AVERAGE('02.08 Mulago-Kyebando'!F11,'29.07 Mulago-Kyebando'!F11,'30.07 Mulago-Kyebando'!F11,'31.07 Mulago-Kyebando'!F11,'01.08 Mulago-Kyebando-24h'!F11,'03.08 Mulago-Kyebando-24h'!F11,'04.08 Mulago-Kyebando'!F11)</f>
        <v>10.714285714285714</v>
      </c>
      <c r="G11" s="49">
        <f>AVERAGE('02.08 Mulago-Kyebando'!G11,'29.07 Mulago-Kyebando'!G11,'30.07 Mulago-Kyebando'!G11,'31.07 Mulago-Kyebando'!G11,'01.08 Mulago-Kyebando-24h'!G11,'03.08 Mulago-Kyebando-24h'!G11,'04.08 Mulago-Kyebando'!G11)</f>
        <v>0.42857142857142855</v>
      </c>
      <c r="H11" s="49">
        <f>AVERAGE('02.08 Mulago-Kyebando'!H11,'29.07 Mulago-Kyebando'!H11,'30.07 Mulago-Kyebando'!H11,'31.07 Mulago-Kyebando'!H11,'01.08 Mulago-Kyebando-24h'!H11,'03.08 Mulago-Kyebando-24h'!H11,'04.08 Mulago-Kyebando'!H11)</f>
        <v>0</v>
      </c>
      <c r="I11" s="49">
        <f>AVERAGE('02.08 Mulago-Kyebando'!I11,'29.07 Mulago-Kyebando'!I11,'30.07 Mulago-Kyebando'!I11,'31.07 Mulago-Kyebando'!I11,'01.08 Mulago-Kyebando-24h'!I11,'03.08 Mulago-Kyebando-24h'!I11,'04.08 Mulago-Kyebando'!I11)</f>
        <v>1.4285714285714286</v>
      </c>
      <c r="J11" s="49">
        <f>AVERAGE('02.08 Mulago-Kyebando'!J11,'29.07 Mulago-Kyebando'!J11,'30.07 Mulago-Kyebando'!J11,'31.07 Mulago-Kyebando'!J11,'01.08 Mulago-Kyebando-24h'!J11,'03.08 Mulago-Kyebando-24h'!J11,'04.08 Mulago-Kyebando'!J11)</f>
        <v>0.14285714285714285</v>
      </c>
      <c r="K11" s="49">
        <f>AVERAGE('02.08 Mulago-Kyebando'!K11,'29.07 Mulago-Kyebando'!K11,'30.07 Mulago-Kyebando'!K11,'31.07 Mulago-Kyebando'!K11,'01.08 Mulago-Kyebando-24h'!K11,'03.08 Mulago-Kyebando-24h'!K11,'04.08 Mulago-Kyebando'!K11)</f>
        <v>0</v>
      </c>
      <c r="L11" s="49">
        <f>AVERAGE('02.08 Mulago-Kyebando'!L11,'29.07 Mulago-Kyebando'!L11,'30.07 Mulago-Kyebando'!L11,'31.07 Mulago-Kyebando'!L11,'01.08 Mulago-Kyebando-24h'!L11,'03.08 Mulago-Kyebando-24h'!L11,'04.08 Mulago-Kyebando'!L11)</f>
        <v>0</v>
      </c>
      <c r="M11" s="49">
        <f>AVERAGE('02.08 Mulago-Kyebando'!M11,'29.07 Mulago-Kyebando'!M11,'30.07 Mulago-Kyebando'!M11,'31.07 Mulago-Kyebando'!M11,'01.08 Mulago-Kyebando-24h'!M11,'03.08 Mulago-Kyebando-24h'!M11,'04.08 Mulago-Kyebando'!M11)</f>
        <v>93.571428571428569</v>
      </c>
      <c r="N11" s="49">
        <f>AVERAGE('02.08 Mulago-Kyebando'!N11,'29.07 Mulago-Kyebando'!N11,'30.07 Mulago-Kyebando'!N11,'31.07 Mulago-Kyebando'!N11,'01.08 Mulago-Kyebando-24h'!N11,'03.08 Mulago-Kyebando-24h'!N11,'04.08 Mulago-Kyebando'!N11)</f>
        <v>0</v>
      </c>
      <c r="O11" s="15">
        <f t="shared" si="0"/>
        <v>35.571428571428577</v>
      </c>
      <c r="P11" s="15">
        <f t="shared" si="1"/>
        <v>129.14285714285714</v>
      </c>
      <c r="R11" s="1" t="s">
        <v>7</v>
      </c>
      <c r="S11" s="17">
        <f t="shared" ref="S11:AF11" si="3">SUM(C14:C17)</f>
        <v>97.142857142857139</v>
      </c>
      <c r="T11" s="17">
        <f t="shared" si="3"/>
        <v>13.714285714285715</v>
      </c>
      <c r="U11" s="17">
        <f t="shared" si="3"/>
        <v>13.714285714285715</v>
      </c>
      <c r="V11" s="17">
        <f t="shared" si="3"/>
        <v>39.428571428571431</v>
      </c>
      <c r="W11" s="17">
        <f t="shared" si="3"/>
        <v>1.2857142857142856</v>
      </c>
      <c r="X11" s="17">
        <f t="shared" si="3"/>
        <v>0</v>
      </c>
      <c r="Y11" s="17">
        <f t="shared" si="3"/>
        <v>6.2857142857142856</v>
      </c>
      <c r="Z11" s="17">
        <f t="shared" si="3"/>
        <v>2.2857142857142856</v>
      </c>
      <c r="AA11" s="17">
        <f t="shared" si="3"/>
        <v>0.85714285714285698</v>
      </c>
      <c r="AB11" s="17">
        <f t="shared" si="3"/>
        <v>0</v>
      </c>
      <c r="AC11" s="17">
        <f t="shared" si="3"/>
        <v>671.28571428571433</v>
      </c>
      <c r="AD11" s="17">
        <f t="shared" si="3"/>
        <v>0</v>
      </c>
      <c r="AE11" s="31">
        <f t="shared" si="3"/>
        <v>174.71428571428572</v>
      </c>
      <c r="AF11" s="31">
        <f t="shared" si="3"/>
        <v>846</v>
      </c>
    </row>
    <row r="12" spans="2:32" ht="23.1" customHeight="1" x14ac:dyDescent="0.25">
      <c r="B12" s="23" t="s">
        <v>39</v>
      </c>
      <c r="C12" s="49">
        <f>AVERAGE('02.08 Mulago-Kyebando'!C12,'29.07 Mulago-Kyebando'!C12,'30.07 Mulago-Kyebando'!C12,'31.07 Mulago-Kyebando'!C12,'01.08 Mulago-Kyebando-24h'!C12,'03.08 Mulago-Kyebando-24h'!C12,'04.08 Mulago-Kyebando'!C12)</f>
        <v>20.857142857142858</v>
      </c>
      <c r="D12" s="49">
        <f>AVERAGE('02.08 Mulago-Kyebando'!D12,'29.07 Mulago-Kyebando'!D12,'30.07 Mulago-Kyebando'!D12,'31.07 Mulago-Kyebando'!D12,'01.08 Mulago-Kyebando-24h'!D12,'03.08 Mulago-Kyebando-24h'!D12,'04.08 Mulago-Kyebando'!D12)</f>
        <v>1.7142857142857142</v>
      </c>
      <c r="E12" s="49">
        <f>AVERAGE('02.08 Mulago-Kyebando'!E12,'29.07 Mulago-Kyebando'!E12,'30.07 Mulago-Kyebando'!E12,'31.07 Mulago-Kyebando'!E12,'01.08 Mulago-Kyebando-24h'!E12,'03.08 Mulago-Kyebando-24h'!E12,'04.08 Mulago-Kyebando'!E12)</f>
        <v>2.8571428571428572</v>
      </c>
      <c r="F12" s="49">
        <f>AVERAGE('02.08 Mulago-Kyebando'!F12,'29.07 Mulago-Kyebando'!F12,'30.07 Mulago-Kyebando'!F12,'31.07 Mulago-Kyebando'!F12,'01.08 Mulago-Kyebando-24h'!F12,'03.08 Mulago-Kyebando-24h'!F12,'04.08 Mulago-Kyebando'!F12)</f>
        <v>9.7142857142857135</v>
      </c>
      <c r="G12" s="49">
        <f>AVERAGE('02.08 Mulago-Kyebando'!G12,'29.07 Mulago-Kyebando'!G12,'30.07 Mulago-Kyebando'!G12,'31.07 Mulago-Kyebando'!G12,'01.08 Mulago-Kyebando-24h'!G12,'03.08 Mulago-Kyebando-24h'!G12,'04.08 Mulago-Kyebando'!G12)</f>
        <v>0.5714285714285714</v>
      </c>
      <c r="H12" s="49">
        <f>AVERAGE('02.08 Mulago-Kyebando'!H12,'29.07 Mulago-Kyebando'!H12,'30.07 Mulago-Kyebando'!H12,'31.07 Mulago-Kyebando'!H12,'01.08 Mulago-Kyebando-24h'!H12,'03.08 Mulago-Kyebando-24h'!H12,'04.08 Mulago-Kyebando'!H12)</f>
        <v>0</v>
      </c>
      <c r="I12" s="49">
        <f>AVERAGE('02.08 Mulago-Kyebando'!I12,'29.07 Mulago-Kyebando'!I12,'30.07 Mulago-Kyebando'!I12,'31.07 Mulago-Kyebando'!I12,'01.08 Mulago-Kyebando-24h'!I12,'03.08 Mulago-Kyebando-24h'!I12,'04.08 Mulago-Kyebando'!I12)</f>
        <v>1.2857142857142858</v>
      </c>
      <c r="J12" s="49">
        <f>AVERAGE('02.08 Mulago-Kyebando'!J12,'29.07 Mulago-Kyebando'!J12,'30.07 Mulago-Kyebando'!J12,'31.07 Mulago-Kyebando'!J12,'01.08 Mulago-Kyebando-24h'!J12,'03.08 Mulago-Kyebando-24h'!J12,'04.08 Mulago-Kyebando'!J12)</f>
        <v>0</v>
      </c>
      <c r="K12" s="49">
        <f>AVERAGE('02.08 Mulago-Kyebando'!K12,'29.07 Mulago-Kyebando'!K12,'30.07 Mulago-Kyebando'!K12,'31.07 Mulago-Kyebando'!K12,'01.08 Mulago-Kyebando-24h'!K12,'03.08 Mulago-Kyebando-24h'!K12,'04.08 Mulago-Kyebando'!K12)</f>
        <v>0</v>
      </c>
      <c r="L12" s="49">
        <f>AVERAGE('02.08 Mulago-Kyebando'!L12,'29.07 Mulago-Kyebando'!L12,'30.07 Mulago-Kyebando'!L12,'31.07 Mulago-Kyebando'!L12,'01.08 Mulago-Kyebando-24h'!L12,'03.08 Mulago-Kyebando-24h'!L12,'04.08 Mulago-Kyebando'!L12)</f>
        <v>0</v>
      </c>
      <c r="M12" s="49">
        <f>AVERAGE('02.08 Mulago-Kyebando'!M12,'29.07 Mulago-Kyebando'!M12,'30.07 Mulago-Kyebando'!M12,'31.07 Mulago-Kyebando'!M12,'01.08 Mulago-Kyebando-24h'!M12,'03.08 Mulago-Kyebando-24h'!M12,'04.08 Mulago-Kyebando'!M12)</f>
        <v>129.71428571428572</v>
      </c>
      <c r="N12" s="49">
        <f>AVERAGE('02.08 Mulago-Kyebando'!N12,'29.07 Mulago-Kyebando'!N12,'30.07 Mulago-Kyebando'!N12,'31.07 Mulago-Kyebando'!N12,'01.08 Mulago-Kyebando-24h'!N12,'03.08 Mulago-Kyebando-24h'!N12,'04.08 Mulago-Kyebando'!N12)</f>
        <v>0</v>
      </c>
      <c r="O12" s="15">
        <f t="shared" si="0"/>
        <v>37</v>
      </c>
      <c r="P12" s="15">
        <f t="shared" si="1"/>
        <v>166.71428571428572</v>
      </c>
      <c r="R12" s="1" t="s">
        <v>8</v>
      </c>
      <c r="S12" s="17">
        <f t="shared" ref="S12:AF12" si="4">SUM(C18:C21)</f>
        <v>116</v>
      </c>
      <c r="T12" s="17">
        <f t="shared" si="4"/>
        <v>17.285714285714285</v>
      </c>
      <c r="U12" s="17">
        <f t="shared" si="4"/>
        <v>22.857142857142858</v>
      </c>
      <c r="V12" s="17">
        <f t="shared" si="4"/>
        <v>56.428571428571431</v>
      </c>
      <c r="W12" s="17">
        <f t="shared" si="4"/>
        <v>0.8571428571428571</v>
      </c>
      <c r="X12" s="17">
        <f t="shared" si="4"/>
        <v>0</v>
      </c>
      <c r="Y12" s="17">
        <f t="shared" si="4"/>
        <v>15.142857142857144</v>
      </c>
      <c r="Z12" s="17">
        <f t="shared" si="4"/>
        <v>2.7142857142857144</v>
      </c>
      <c r="AA12" s="17">
        <f t="shared" si="4"/>
        <v>0.42857142857142855</v>
      </c>
      <c r="AB12" s="17">
        <f t="shared" si="4"/>
        <v>0</v>
      </c>
      <c r="AC12" s="17">
        <f t="shared" si="4"/>
        <v>672.85714285714278</v>
      </c>
      <c r="AD12" s="17">
        <f t="shared" si="4"/>
        <v>0</v>
      </c>
      <c r="AE12" s="31">
        <f t="shared" si="4"/>
        <v>231.71428571428569</v>
      </c>
      <c r="AF12" s="31">
        <f t="shared" si="4"/>
        <v>904.57142857142856</v>
      </c>
    </row>
    <row r="13" spans="2:32" ht="23.1" customHeight="1" x14ac:dyDescent="0.25">
      <c r="B13" s="23" t="s">
        <v>40</v>
      </c>
      <c r="C13" s="49">
        <f>AVERAGE('02.08 Mulago-Kyebando'!C13,'29.07 Mulago-Kyebando'!C13,'30.07 Mulago-Kyebando'!C13,'31.07 Mulago-Kyebando'!C13,'01.08 Mulago-Kyebando-24h'!C13,'03.08 Mulago-Kyebando-24h'!C13,'04.08 Mulago-Kyebando'!C13)</f>
        <v>16.285714285714285</v>
      </c>
      <c r="D13" s="49">
        <f>AVERAGE('02.08 Mulago-Kyebando'!D13,'29.07 Mulago-Kyebando'!D13,'30.07 Mulago-Kyebando'!D13,'31.07 Mulago-Kyebando'!D13,'01.08 Mulago-Kyebando-24h'!D13,'03.08 Mulago-Kyebando-24h'!D13,'04.08 Mulago-Kyebando'!D13)</f>
        <v>1.7142857142857142</v>
      </c>
      <c r="E13" s="49">
        <f>AVERAGE('02.08 Mulago-Kyebando'!E13,'29.07 Mulago-Kyebando'!E13,'30.07 Mulago-Kyebando'!E13,'31.07 Mulago-Kyebando'!E13,'01.08 Mulago-Kyebando-24h'!E13,'03.08 Mulago-Kyebando-24h'!E13,'04.08 Mulago-Kyebando'!E13)</f>
        <v>1.1428571428571428</v>
      </c>
      <c r="F13" s="49">
        <f>AVERAGE('02.08 Mulago-Kyebando'!F13,'29.07 Mulago-Kyebando'!F13,'30.07 Mulago-Kyebando'!F13,'31.07 Mulago-Kyebando'!F13,'01.08 Mulago-Kyebando-24h'!F13,'03.08 Mulago-Kyebando-24h'!F13,'04.08 Mulago-Kyebando'!F13)</f>
        <v>5.5714285714285712</v>
      </c>
      <c r="G13" s="49">
        <f>AVERAGE('02.08 Mulago-Kyebando'!G13,'29.07 Mulago-Kyebando'!G13,'30.07 Mulago-Kyebando'!G13,'31.07 Mulago-Kyebando'!G13,'01.08 Mulago-Kyebando-24h'!G13,'03.08 Mulago-Kyebando-24h'!G13,'04.08 Mulago-Kyebando'!G13)</f>
        <v>0.2857142857142857</v>
      </c>
      <c r="H13" s="49">
        <f>AVERAGE('02.08 Mulago-Kyebando'!H13,'29.07 Mulago-Kyebando'!H13,'30.07 Mulago-Kyebando'!H13,'31.07 Mulago-Kyebando'!H13,'01.08 Mulago-Kyebando-24h'!H13,'03.08 Mulago-Kyebando-24h'!H13,'04.08 Mulago-Kyebando'!H13)</f>
        <v>0</v>
      </c>
      <c r="I13" s="49">
        <f>AVERAGE('02.08 Mulago-Kyebando'!I13,'29.07 Mulago-Kyebando'!I13,'30.07 Mulago-Kyebando'!I13,'31.07 Mulago-Kyebando'!I13,'01.08 Mulago-Kyebando-24h'!I13,'03.08 Mulago-Kyebando-24h'!I13,'04.08 Mulago-Kyebando'!I13)</f>
        <v>0.8571428571428571</v>
      </c>
      <c r="J13" s="49">
        <f>AVERAGE('02.08 Mulago-Kyebando'!J13,'29.07 Mulago-Kyebando'!J13,'30.07 Mulago-Kyebando'!J13,'31.07 Mulago-Kyebando'!J13,'01.08 Mulago-Kyebando-24h'!J13,'03.08 Mulago-Kyebando-24h'!J13,'04.08 Mulago-Kyebando'!J13)</f>
        <v>0.2857142857142857</v>
      </c>
      <c r="K13" s="49">
        <f>AVERAGE('02.08 Mulago-Kyebando'!K13,'29.07 Mulago-Kyebando'!K13,'30.07 Mulago-Kyebando'!K13,'31.07 Mulago-Kyebando'!K13,'01.08 Mulago-Kyebando-24h'!K13,'03.08 Mulago-Kyebando-24h'!K13,'04.08 Mulago-Kyebando'!K13)</f>
        <v>0</v>
      </c>
      <c r="L13" s="49">
        <f>AVERAGE('02.08 Mulago-Kyebando'!L13,'29.07 Mulago-Kyebando'!L13,'30.07 Mulago-Kyebando'!L13,'31.07 Mulago-Kyebando'!L13,'01.08 Mulago-Kyebando-24h'!L13,'03.08 Mulago-Kyebando-24h'!L13,'04.08 Mulago-Kyebando'!L13)</f>
        <v>0</v>
      </c>
      <c r="M13" s="49">
        <f>AVERAGE('02.08 Mulago-Kyebando'!M13,'29.07 Mulago-Kyebando'!M13,'30.07 Mulago-Kyebando'!M13,'31.07 Mulago-Kyebando'!M13,'01.08 Mulago-Kyebando-24h'!M13,'03.08 Mulago-Kyebando-24h'!M13,'04.08 Mulago-Kyebando'!M13)</f>
        <v>98.142857142857139</v>
      </c>
      <c r="N13" s="49">
        <f>AVERAGE('02.08 Mulago-Kyebando'!N13,'29.07 Mulago-Kyebando'!N13,'30.07 Mulago-Kyebando'!N13,'31.07 Mulago-Kyebando'!N13,'01.08 Mulago-Kyebando-24h'!N13,'03.08 Mulago-Kyebando-24h'!N13,'04.08 Mulago-Kyebando'!N13)</f>
        <v>0</v>
      </c>
      <c r="O13" s="15">
        <f t="shared" si="0"/>
        <v>26.142857142857142</v>
      </c>
      <c r="P13" s="15">
        <f t="shared" si="1"/>
        <v>124.28571428571428</v>
      </c>
      <c r="R13" s="1" t="s">
        <v>9</v>
      </c>
      <c r="S13" s="17">
        <f t="shared" ref="S13:AF13" si="5">SUM(C22:C25)</f>
        <v>142.42857142857142</v>
      </c>
      <c r="T13" s="17">
        <f t="shared" si="5"/>
        <v>26.571428571428577</v>
      </c>
      <c r="U13" s="17">
        <f t="shared" si="5"/>
        <v>32</v>
      </c>
      <c r="V13" s="17">
        <f t="shared" si="5"/>
        <v>63.285714285714278</v>
      </c>
      <c r="W13" s="17">
        <f t="shared" si="5"/>
        <v>1.5714285714285714</v>
      </c>
      <c r="X13" s="17">
        <f t="shared" si="5"/>
        <v>0</v>
      </c>
      <c r="Y13" s="17">
        <f t="shared" si="5"/>
        <v>19.142857142857142</v>
      </c>
      <c r="Z13" s="17">
        <f t="shared" si="5"/>
        <v>2.5714285714285712</v>
      </c>
      <c r="AA13" s="17">
        <f t="shared" si="5"/>
        <v>0.42857142857142855</v>
      </c>
      <c r="AB13" s="17">
        <f t="shared" si="5"/>
        <v>0</v>
      </c>
      <c r="AC13" s="17">
        <f t="shared" si="5"/>
        <v>555</v>
      </c>
      <c r="AD13" s="17">
        <f t="shared" si="5"/>
        <v>0</v>
      </c>
      <c r="AE13" s="31">
        <f t="shared" si="5"/>
        <v>288</v>
      </c>
      <c r="AF13" s="31">
        <f t="shared" si="5"/>
        <v>843</v>
      </c>
    </row>
    <row r="14" spans="2:32" ht="23.1" customHeight="1" x14ac:dyDescent="0.25">
      <c r="B14" s="23" t="s">
        <v>41</v>
      </c>
      <c r="C14" s="49">
        <f>AVERAGE('02.08 Mulago-Kyebando'!C14,'29.07 Mulago-Kyebando'!C14,'30.07 Mulago-Kyebando'!C14,'31.07 Mulago-Kyebando'!C14,'01.08 Mulago-Kyebando-24h'!C14,'03.08 Mulago-Kyebando-24h'!C14,'04.08 Mulago-Kyebando'!C14)</f>
        <v>24.428571428571427</v>
      </c>
      <c r="D14" s="49">
        <f>AVERAGE('02.08 Mulago-Kyebando'!D14,'29.07 Mulago-Kyebando'!D14,'30.07 Mulago-Kyebando'!D14,'31.07 Mulago-Kyebando'!D14,'01.08 Mulago-Kyebando-24h'!D14,'03.08 Mulago-Kyebando-24h'!D14,'04.08 Mulago-Kyebando'!D14)</f>
        <v>3.5714285714285716</v>
      </c>
      <c r="E14" s="49">
        <f>AVERAGE('02.08 Mulago-Kyebando'!E14,'29.07 Mulago-Kyebando'!E14,'30.07 Mulago-Kyebando'!E14,'31.07 Mulago-Kyebando'!E14,'01.08 Mulago-Kyebando-24h'!E14,'03.08 Mulago-Kyebando-24h'!E14,'04.08 Mulago-Kyebando'!E14)</f>
        <v>2.4285714285714284</v>
      </c>
      <c r="F14" s="49">
        <f>AVERAGE('02.08 Mulago-Kyebando'!F14,'29.07 Mulago-Kyebando'!F14,'30.07 Mulago-Kyebando'!F14,'31.07 Mulago-Kyebando'!F14,'01.08 Mulago-Kyebando-24h'!F14,'03.08 Mulago-Kyebando-24h'!F14,'04.08 Mulago-Kyebando'!F14)</f>
        <v>6.5714285714285712</v>
      </c>
      <c r="G14" s="49">
        <f>AVERAGE('02.08 Mulago-Kyebando'!G14,'29.07 Mulago-Kyebando'!G14,'30.07 Mulago-Kyebando'!G14,'31.07 Mulago-Kyebando'!G14,'01.08 Mulago-Kyebando-24h'!G14,'03.08 Mulago-Kyebando-24h'!G14,'04.08 Mulago-Kyebando'!G14)</f>
        <v>0.42857142857142855</v>
      </c>
      <c r="H14" s="49">
        <f>AVERAGE('02.08 Mulago-Kyebando'!H14,'29.07 Mulago-Kyebando'!H14,'30.07 Mulago-Kyebando'!H14,'31.07 Mulago-Kyebando'!H14,'01.08 Mulago-Kyebando-24h'!H14,'03.08 Mulago-Kyebando-24h'!H14,'04.08 Mulago-Kyebando'!H14)</f>
        <v>0</v>
      </c>
      <c r="I14" s="49">
        <f>AVERAGE('02.08 Mulago-Kyebando'!I14,'29.07 Mulago-Kyebando'!I14,'30.07 Mulago-Kyebando'!I14,'31.07 Mulago-Kyebando'!I14,'01.08 Mulago-Kyebando-24h'!I14,'03.08 Mulago-Kyebando-24h'!I14,'04.08 Mulago-Kyebando'!I14)</f>
        <v>1.1428571428571428</v>
      </c>
      <c r="J14" s="49">
        <f>AVERAGE('02.08 Mulago-Kyebando'!J14,'29.07 Mulago-Kyebando'!J14,'30.07 Mulago-Kyebando'!J14,'31.07 Mulago-Kyebando'!J14,'01.08 Mulago-Kyebando-24h'!J14,'03.08 Mulago-Kyebando-24h'!J14,'04.08 Mulago-Kyebando'!J14)</f>
        <v>0.5714285714285714</v>
      </c>
      <c r="K14" s="49">
        <f>AVERAGE('02.08 Mulago-Kyebando'!K14,'29.07 Mulago-Kyebando'!K14,'30.07 Mulago-Kyebando'!K14,'31.07 Mulago-Kyebando'!K14,'01.08 Mulago-Kyebando-24h'!K14,'03.08 Mulago-Kyebando-24h'!K14,'04.08 Mulago-Kyebando'!K14)</f>
        <v>0.14285714285714285</v>
      </c>
      <c r="L14" s="49">
        <f>AVERAGE('02.08 Mulago-Kyebando'!L14,'29.07 Mulago-Kyebando'!L14,'30.07 Mulago-Kyebando'!L14,'31.07 Mulago-Kyebando'!L14,'01.08 Mulago-Kyebando-24h'!L14,'03.08 Mulago-Kyebando-24h'!L14,'04.08 Mulago-Kyebando'!L14)</f>
        <v>0</v>
      </c>
      <c r="M14" s="49">
        <f>AVERAGE('02.08 Mulago-Kyebando'!M14,'29.07 Mulago-Kyebando'!M14,'30.07 Mulago-Kyebando'!M14,'31.07 Mulago-Kyebando'!M14,'01.08 Mulago-Kyebando-24h'!M14,'03.08 Mulago-Kyebando-24h'!M14,'04.08 Mulago-Kyebando'!M14)</f>
        <v>131.42857142857142</v>
      </c>
      <c r="N14" s="49">
        <f>AVERAGE('02.08 Mulago-Kyebando'!N14,'29.07 Mulago-Kyebando'!N14,'30.07 Mulago-Kyebando'!N14,'31.07 Mulago-Kyebando'!N14,'01.08 Mulago-Kyebando-24h'!N14,'03.08 Mulago-Kyebando-24h'!N14,'04.08 Mulago-Kyebando'!N14)</f>
        <v>0</v>
      </c>
      <c r="O14" s="15">
        <f t="shared" si="0"/>
        <v>39.285714285714292</v>
      </c>
      <c r="P14" s="15">
        <f t="shared" si="1"/>
        <v>170.71428571428572</v>
      </c>
      <c r="R14" s="1" t="s">
        <v>10</v>
      </c>
      <c r="S14" s="17">
        <f t="shared" ref="S14:AF14" si="6">SUM(C26:C29)</f>
        <v>165.14285714285714</v>
      </c>
      <c r="T14" s="17">
        <f t="shared" si="6"/>
        <v>30.285714285714292</v>
      </c>
      <c r="U14" s="17">
        <f t="shared" si="6"/>
        <v>35.142857142857146</v>
      </c>
      <c r="V14" s="17">
        <f t="shared" si="6"/>
        <v>54.571428571428569</v>
      </c>
      <c r="W14" s="17">
        <f t="shared" si="6"/>
        <v>1</v>
      </c>
      <c r="X14" s="17">
        <f t="shared" si="6"/>
        <v>0</v>
      </c>
      <c r="Y14" s="17">
        <f t="shared" si="6"/>
        <v>20.285714285714288</v>
      </c>
      <c r="Z14" s="17">
        <f t="shared" si="6"/>
        <v>4.2857142857142856</v>
      </c>
      <c r="AA14" s="17">
        <f t="shared" si="6"/>
        <v>0.14285714285714285</v>
      </c>
      <c r="AB14" s="17">
        <f t="shared" si="6"/>
        <v>0</v>
      </c>
      <c r="AC14" s="17">
        <f t="shared" si="6"/>
        <v>471.83333333333331</v>
      </c>
      <c r="AD14" s="17">
        <f t="shared" si="6"/>
        <v>0</v>
      </c>
      <c r="AE14" s="31">
        <f t="shared" si="6"/>
        <v>310.85714285714283</v>
      </c>
      <c r="AF14" s="31">
        <f t="shared" si="6"/>
        <v>782.69047619047615</v>
      </c>
    </row>
    <row r="15" spans="2:32" ht="23.1" customHeight="1" x14ac:dyDescent="0.25">
      <c r="B15" s="23" t="s">
        <v>42</v>
      </c>
      <c r="C15" s="49">
        <f>AVERAGE('02.08 Mulago-Kyebando'!C15,'29.07 Mulago-Kyebando'!C15,'30.07 Mulago-Kyebando'!C15,'31.07 Mulago-Kyebando'!C15,'01.08 Mulago-Kyebando-24h'!C15,'03.08 Mulago-Kyebando-24h'!C15,'04.08 Mulago-Kyebando'!C15)</f>
        <v>27.285714285714285</v>
      </c>
      <c r="D15" s="49">
        <f>AVERAGE('02.08 Mulago-Kyebando'!D15,'29.07 Mulago-Kyebando'!D15,'30.07 Mulago-Kyebando'!D15,'31.07 Mulago-Kyebando'!D15,'01.08 Mulago-Kyebando-24h'!D15,'03.08 Mulago-Kyebando-24h'!D15,'04.08 Mulago-Kyebando'!D15)</f>
        <v>3.2857142857142856</v>
      </c>
      <c r="E15" s="49">
        <f>AVERAGE('02.08 Mulago-Kyebando'!E15,'29.07 Mulago-Kyebando'!E15,'30.07 Mulago-Kyebando'!E15,'31.07 Mulago-Kyebando'!E15,'01.08 Mulago-Kyebando-24h'!E15,'03.08 Mulago-Kyebando-24h'!E15,'04.08 Mulago-Kyebando'!E15)</f>
        <v>3.7142857142857144</v>
      </c>
      <c r="F15" s="49">
        <f>AVERAGE('02.08 Mulago-Kyebando'!F15,'29.07 Mulago-Kyebando'!F15,'30.07 Mulago-Kyebando'!F15,'31.07 Mulago-Kyebando'!F15,'01.08 Mulago-Kyebando-24h'!F15,'03.08 Mulago-Kyebando-24h'!F15,'04.08 Mulago-Kyebando'!F15)</f>
        <v>13.714285714285714</v>
      </c>
      <c r="G15" s="49">
        <f>AVERAGE('02.08 Mulago-Kyebando'!G15,'29.07 Mulago-Kyebando'!G15,'30.07 Mulago-Kyebando'!G15,'31.07 Mulago-Kyebando'!G15,'01.08 Mulago-Kyebando-24h'!G15,'03.08 Mulago-Kyebando-24h'!G15,'04.08 Mulago-Kyebando'!G15)</f>
        <v>0.2857142857142857</v>
      </c>
      <c r="H15" s="49">
        <f>AVERAGE('02.08 Mulago-Kyebando'!H15,'29.07 Mulago-Kyebando'!H15,'30.07 Mulago-Kyebando'!H15,'31.07 Mulago-Kyebando'!H15,'01.08 Mulago-Kyebando-24h'!H15,'03.08 Mulago-Kyebando-24h'!H15,'04.08 Mulago-Kyebando'!H15)</f>
        <v>0</v>
      </c>
      <c r="I15" s="49">
        <f>AVERAGE('02.08 Mulago-Kyebando'!I15,'29.07 Mulago-Kyebando'!I15,'30.07 Mulago-Kyebando'!I15,'31.07 Mulago-Kyebando'!I15,'01.08 Mulago-Kyebando-24h'!I15,'03.08 Mulago-Kyebando-24h'!I15,'04.08 Mulago-Kyebando'!I15)</f>
        <v>2</v>
      </c>
      <c r="J15" s="49">
        <f>AVERAGE('02.08 Mulago-Kyebando'!J15,'29.07 Mulago-Kyebando'!J15,'30.07 Mulago-Kyebando'!J15,'31.07 Mulago-Kyebando'!J15,'01.08 Mulago-Kyebando-24h'!J15,'03.08 Mulago-Kyebando-24h'!J15,'04.08 Mulago-Kyebando'!J15)</f>
        <v>0.5714285714285714</v>
      </c>
      <c r="K15" s="49">
        <f>AVERAGE('02.08 Mulago-Kyebando'!K15,'29.07 Mulago-Kyebando'!K15,'30.07 Mulago-Kyebando'!K15,'31.07 Mulago-Kyebando'!K15,'01.08 Mulago-Kyebando-24h'!K15,'03.08 Mulago-Kyebando-24h'!K15,'04.08 Mulago-Kyebando'!K15)</f>
        <v>0.14285714285714285</v>
      </c>
      <c r="L15" s="49">
        <f>AVERAGE('02.08 Mulago-Kyebando'!L15,'29.07 Mulago-Kyebando'!L15,'30.07 Mulago-Kyebando'!L15,'31.07 Mulago-Kyebando'!L15,'01.08 Mulago-Kyebando-24h'!L15,'03.08 Mulago-Kyebando-24h'!L15,'04.08 Mulago-Kyebando'!L15)</f>
        <v>0</v>
      </c>
      <c r="M15" s="49">
        <f>AVERAGE('02.08 Mulago-Kyebando'!M15,'29.07 Mulago-Kyebando'!M15,'30.07 Mulago-Kyebando'!M15,'31.07 Mulago-Kyebando'!M15,'01.08 Mulago-Kyebando-24h'!M15,'03.08 Mulago-Kyebando-24h'!M15,'04.08 Mulago-Kyebando'!M15)</f>
        <v>181.42857142857142</v>
      </c>
      <c r="N15" s="49">
        <f>AVERAGE('02.08 Mulago-Kyebando'!N15,'29.07 Mulago-Kyebando'!N15,'30.07 Mulago-Kyebando'!N15,'31.07 Mulago-Kyebando'!N15,'01.08 Mulago-Kyebando-24h'!N15,'03.08 Mulago-Kyebando-24h'!N15,'04.08 Mulago-Kyebando'!N15)</f>
        <v>0</v>
      </c>
      <c r="O15" s="15">
        <f t="shared" si="0"/>
        <v>51</v>
      </c>
      <c r="P15" s="15">
        <f t="shared" si="1"/>
        <v>232.42857142857142</v>
      </c>
      <c r="R15" s="1" t="s">
        <v>11</v>
      </c>
      <c r="S15" s="17">
        <f t="shared" ref="S15:AF15" si="7">SUM(C30:C33)</f>
        <v>173.14285714285714</v>
      </c>
      <c r="T15" s="17">
        <f t="shared" si="7"/>
        <v>26.714285714285715</v>
      </c>
      <c r="U15" s="17">
        <f t="shared" si="7"/>
        <v>31.571428571428577</v>
      </c>
      <c r="V15" s="17">
        <f t="shared" si="7"/>
        <v>48.428571428571431</v>
      </c>
      <c r="W15" s="17">
        <f t="shared" si="7"/>
        <v>1.4285714285714284</v>
      </c>
      <c r="X15" s="17">
        <f t="shared" si="7"/>
        <v>0.14285714285714285</v>
      </c>
      <c r="Y15" s="17">
        <f t="shared" si="7"/>
        <v>19.285714285714285</v>
      </c>
      <c r="Z15" s="17">
        <f t="shared" si="7"/>
        <v>5.1428571428571432</v>
      </c>
      <c r="AA15" s="17">
        <f t="shared" si="7"/>
        <v>0.2857142857142857</v>
      </c>
      <c r="AB15" s="17">
        <f t="shared" si="7"/>
        <v>0</v>
      </c>
      <c r="AC15" s="17">
        <f t="shared" si="7"/>
        <v>401</v>
      </c>
      <c r="AD15" s="17">
        <f t="shared" si="7"/>
        <v>0</v>
      </c>
      <c r="AE15" s="31">
        <f t="shared" si="7"/>
        <v>306.14285714285717</v>
      </c>
      <c r="AF15" s="31">
        <f t="shared" si="7"/>
        <v>707.14285714285711</v>
      </c>
    </row>
    <row r="16" spans="2:32" ht="23.1" customHeight="1" x14ac:dyDescent="0.25">
      <c r="B16" s="23" t="s">
        <v>43</v>
      </c>
      <c r="C16" s="49">
        <f>AVERAGE('02.08 Mulago-Kyebando'!C16,'29.07 Mulago-Kyebando'!C16,'30.07 Mulago-Kyebando'!C16,'31.07 Mulago-Kyebando'!C16,'01.08 Mulago-Kyebando-24h'!C16,'03.08 Mulago-Kyebando-24h'!C16,'04.08 Mulago-Kyebando'!C16)</f>
        <v>21.714285714285715</v>
      </c>
      <c r="D16" s="49">
        <f>AVERAGE('02.08 Mulago-Kyebando'!D16,'29.07 Mulago-Kyebando'!D16,'30.07 Mulago-Kyebando'!D16,'31.07 Mulago-Kyebando'!D16,'01.08 Mulago-Kyebando-24h'!D16,'03.08 Mulago-Kyebando-24h'!D16,'04.08 Mulago-Kyebando'!D16)</f>
        <v>3.4285714285714284</v>
      </c>
      <c r="E16" s="49">
        <f>AVERAGE('02.08 Mulago-Kyebando'!E16,'29.07 Mulago-Kyebando'!E16,'30.07 Mulago-Kyebando'!E16,'31.07 Mulago-Kyebando'!E16,'01.08 Mulago-Kyebando-24h'!E16,'03.08 Mulago-Kyebando-24h'!E16,'04.08 Mulago-Kyebando'!E16)</f>
        <v>3.8571428571428572</v>
      </c>
      <c r="F16" s="49">
        <f>AVERAGE('02.08 Mulago-Kyebando'!F16,'29.07 Mulago-Kyebando'!F16,'30.07 Mulago-Kyebando'!F16,'31.07 Mulago-Kyebando'!F16,'01.08 Mulago-Kyebando-24h'!F16,'03.08 Mulago-Kyebando-24h'!F16,'04.08 Mulago-Kyebando'!F16)</f>
        <v>9.7142857142857135</v>
      </c>
      <c r="G16" s="49">
        <f>AVERAGE('02.08 Mulago-Kyebando'!G16,'29.07 Mulago-Kyebando'!G16,'30.07 Mulago-Kyebando'!G16,'31.07 Mulago-Kyebando'!G16,'01.08 Mulago-Kyebando-24h'!G16,'03.08 Mulago-Kyebando-24h'!G16,'04.08 Mulago-Kyebando'!G16)</f>
        <v>0.14285714285714285</v>
      </c>
      <c r="H16" s="49">
        <f>AVERAGE('02.08 Mulago-Kyebando'!H16,'29.07 Mulago-Kyebando'!H16,'30.07 Mulago-Kyebando'!H16,'31.07 Mulago-Kyebando'!H16,'01.08 Mulago-Kyebando-24h'!H16,'03.08 Mulago-Kyebando-24h'!H16,'04.08 Mulago-Kyebando'!H16)</f>
        <v>0</v>
      </c>
      <c r="I16" s="49">
        <f>AVERAGE('02.08 Mulago-Kyebando'!I16,'29.07 Mulago-Kyebando'!I16,'30.07 Mulago-Kyebando'!I16,'31.07 Mulago-Kyebando'!I16,'01.08 Mulago-Kyebando-24h'!I16,'03.08 Mulago-Kyebando-24h'!I16,'04.08 Mulago-Kyebando'!I16)</f>
        <v>1.4285714285714286</v>
      </c>
      <c r="J16" s="49">
        <f>AVERAGE('02.08 Mulago-Kyebando'!J16,'29.07 Mulago-Kyebando'!J16,'30.07 Mulago-Kyebando'!J16,'31.07 Mulago-Kyebando'!J16,'01.08 Mulago-Kyebando-24h'!J16,'03.08 Mulago-Kyebando-24h'!J16,'04.08 Mulago-Kyebando'!J16)</f>
        <v>0.7142857142857143</v>
      </c>
      <c r="K16" s="49">
        <f>AVERAGE('02.08 Mulago-Kyebando'!K16,'29.07 Mulago-Kyebando'!K16,'30.07 Mulago-Kyebando'!K16,'31.07 Mulago-Kyebando'!K16,'01.08 Mulago-Kyebando-24h'!K16,'03.08 Mulago-Kyebando-24h'!K16,'04.08 Mulago-Kyebando'!K16)</f>
        <v>0.42857142857142855</v>
      </c>
      <c r="L16" s="49">
        <f>AVERAGE('02.08 Mulago-Kyebando'!L16,'29.07 Mulago-Kyebando'!L16,'30.07 Mulago-Kyebando'!L16,'31.07 Mulago-Kyebando'!L16,'01.08 Mulago-Kyebando-24h'!L16,'03.08 Mulago-Kyebando-24h'!L16,'04.08 Mulago-Kyebando'!L16)</f>
        <v>0</v>
      </c>
      <c r="M16" s="49">
        <f>AVERAGE('02.08 Mulago-Kyebando'!M16,'29.07 Mulago-Kyebando'!M16,'30.07 Mulago-Kyebando'!M16,'31.07 Mulago-Kyebando'!M16,'01.08 Mulago-Kyebando-24h'!M16,'03.08 Mulago-Kyebando-24h'!M16,'04.08 Mulago-Kyebando'!M16)</f>
        <v>187.57142857142858</v>
      </c>
      <c r="N16" s="49">
        <f>AVERAGE('02.08 Mulago-Kyebando'!N16,'29.07 Mulago-Kyebando'!N16,'30.07 Mulago-Kyebando'!N16,'31.07 Mulago-Kyebando'!N16,'01.08 Mulago-Kyebando-24h'!N16,'03.08 Mulago-Kyebando-24h'!N16,'04.08 Mulago-Kyebando'!N16)</f>
        <v>0</v>
      </c>
      <c r="O16" s="15">
        <f t="shared" si="0"/>
        <v>41.428571428571438</v>
      </c>
      <c r="P16" s="15">
        <f t="shared" si="1"/>
        <v>229.00000000000003</v>
      </c>
      <c r="R16" s="1" t="s">
        <v>12</v>
      </c>
      <c r="S16" s="17">
        <f t="shared" ref="S16:AF16" si="8">SUM(C34:C37)</f>
        <v>222.42857142857144</v>
      </c>
      <c r="T16" s="17">
        <f t="shared" si="8"/>
        <v>32.142857142857146</v>
      </c>
      <c r="U16" s="17">
        <f t="shared" si="8"/>
        <v>34</v>
      </c>
      <c r="V16" s="17">
        <f t="shared" si="8"/>
        <v>50</v>
      </c>
      <c r="W16" s="17">
        <f t="shared" si="8"/>
        <v>1.5714285714285714</v>
      </c>
      <c r="X16" s="17">
        <f t="shared" si="8"/>
        <v>0.14285714285714285</v>
      </c>
      <c r="Y16" s="17">
        <f t="shared" si="8"/>
        <v>21.571428571428569</v>
      </c>
      <c r="Z16" s="17">
        <f t="shared" si="8"/>
        <v>2.714285714285714</v>
      </c>
      <c r="AA16" s="17">
        <f t="shared" si="8"/>
        <v>0.14285714285714285</v>
      </c>
      <c r="AB16" s="17">
        <f t="shared" si="8"/>
        <v>0</v>
      </c>
      <c r="AC16" s="17">
        <f t="shared" si="8"/>
        <v>391.14285714285711</v>
      </c>
      <c r="AD16" s="17">
        <f t="shared" si="8"/>
        <v>0</v>
      </c>
      <c r="AE16" s="31">
        <f t="shared" si="8"/>
        <v>364.71428571428572</v>
      </c>
      <c r="AF16" s="31">
        <f t="shared" si="8"/>
        <v>755.85714285714289</v>
      </c>
    </row>
    <row r="17" spans="2:32" ht="23.1" customHeight="1" x14ac:dyDescent="0.25">
      <c r="B17" s="23" t="s">
        <v>44</v>
      </c>
      <c r="C17" s="49">
        <f>AVERAGE('02.08 Mulago-Kyebando'!C17,'29.07 Mulago-Kyebando'!C17,'30.07 Mulago-Kyebando'!C17,'31.07 Mulago-Kyebando'!C17,'01.08 Mulago-Kyebando-24h'!C17,'03.08 Mulago-Kyebando-24h'!C17,'04.08 Mulago-Kyebando'!C17)</f>
        <v>23.714285714285715</v>
      </c>
      <c r="D17" s="49">
        <f>AVERAGE('02.08 Mulago-Kyebando'!D17,'29.07 Mulago-Kyebando'!D17,'30.07 Mulago-Kyebando'!D17,'31.07 Mulago-Kyebando'!D17,'01.08 Mulago-Kyebando-24h'!D17,'03.08 Mulago-Kyebando-24h'!D17,'04.08 Mulago-Kyebando'!D17)</f>
        <v>3.4285714285714284</v>
      </c>
      <c r="E17" s="49">
        <f>AVERAGE('02.08 Mulago-Kyebando'!E17,'29.07 Mulago-Kyebando'!E17,'30.07 Mulago-Kyebando'!E17,'31.07 Mulago-Kyebando'!E17,'01.08 Mulago-Kyebando-24h'!E17,'03.08 Mulago-Kyebando-24h'!E17,'04.08 Mulago-Kyebando'!E17)</f>
        <v>3.7142857142857144</v>
      </c>
      <c r="F17" s="49">
        <f>AVERAGE('02.08 Mulago-Kyebando'!F17,'29.07 Mulago-Kyebando'!F17,'30.07 Mulago-Kyebando'!F17,'31.07 Mulago-Kyebando'!F17,'01.08 Mulago-Kyebando-24h'!F17,'03.08 Mulago-Kyebando-24h'!F17,'04.08 Mulago-Kyebando'!F17)</f>
        <v>9.4285714285714288</v>
      </c>
      <c r="G17" s="49">
        <f>AVERAGE('02.08 Mulago-Kyebando'!G17,'29.07 Mulago-Kyebando'!G17,'30.07 Mulago-Kyebando'!G17,'31.07 Mulago-Kyebando'!G17,'01.08 Mulago-Kyebando-24h'!G17,'03.08 Mulago-Kyebando-24h'!G17,'04.08 Mulago-Kyebando'!G17)</f>
        <v>0.42857142857142855</v>
      </c>
      <c r="H17" s="49">
        <f>AVERAGE('02.08 Mulago-Kyebando'!H17,'29.07 Mulago-Kyebando'!H17,'30.07 Mulago-Kyebando'!H17,'31.07 Mulago-Kyebando'!H17,'01.08 Mulago-Kyebando-24h'!H17,'03.08 Mulago-Kyebando-24h'!H17,'04.08 Mulago-Kyebando'!H17)</f>
        <v>0</v>
      </c>
      <c r="I17" s="49">
        <f>AVERAGE('02.08 Mulago-Kyebando'!I17,'29.07 Mulago-Kyebando'!I17,'30.07 Mulago-Kyebando'!I17,'31.07 Mulago-Kyebando'!I17,'01.08 Mulago-Kyebando-24h'!I17,'03.08 Mulago-Kyebando-24h'!I17,'04.08 Mulago-Kyebando'!I17)</f>
        <v>1.7142857142857142</v>
      </c>
      <c r="J17" s="49">
        <f>AVERAGE('02.08 Mulago-Kyebando'!J17,'29.07 Mulago-Kyebando'!J17,'30.07 Mulago-Kyebando'!J17,'31.07 Mulago-Kyebando'!J17,'01.08 Mulago-Kyebando-24h'!J17,'03.08 Mulago-Kyebando-24h'!J17,'04.08 Mulago-Kyebando'!J17)</f>
        <v>0.42857142857142855</v>
      </c>
      <c r="K17" s="49">
        <f>AVERAGE('02.08 Mulago-Kyebando'!K17,'29.07 Mulago-Kyebando'!K17,'30.07 Mulago-Kyebando'!K17,'31.07 Mulago-Kyebando'!K17,'01.08 Mulago-Kyebando-24h'!K17,'03.08 Mulago-Kyebando-24h'!K17,'04.08 Mulago-Kyebando'!K17)</f>
        <v>0.14285714285714285</v>
      </c>
      <c r="L17" s="49">
        <f>AVERAGE('02.08 Mulago-Kyebando'!L17,'29.07 Mulago-Kyebando'!L17,'30.07 Mulago-Kyebando'!L17,'31.07 Mulago-Kyebando'!L17,'01.08 Mulago-Kyebando-24h'!L17,'03.08 Mulago-Kyebando-24h'!L17,'04.08 Mulago-Kyebando'!L17)</f>
        <v>0</v>
      </c>
      <c r="M17" s="49">
        <f>AVERAGE('02.08 Mulago-Kyebando'!M17,'29.07 Mulago-Kyebando'!M17,'30.07 Mulago-Kyebando'!M17,'31.07 Mulago-Kyebando'!M17,'01.08 Mulago-Kyebando-24h'!M17,'03.08 Mulago-Kyebando-24h'!M17,'04.08 Mulago-Kyebando'!M17)</f>
        <v>170.85714285714286</v>
      </c>
      <c r="N17" s="49">
        <f>AVERAGE('02.08 Mulago-Kyebando'!N17,'29.07 Mulago-Kyebando'!N17,'30.07 Mulago-Kyebando'!N17,'31.07 Mulago-Kyebando'!N17,'01.08 Mulago-Kyebando-24h'!N17,'03.08 Mulago-Kyebando-24h'!N17,'04.08 Mulago-Kyebando'!N17)</f>
        <v>0</v>
      </c>
      <c r="O17" s="15">
        <f t="shared" si="0"/>
        <v>43.000000000000007</v>
      </c>
      <c r="P17" s="15">
        <f t="shared" si="1"/>
        <v>213.85714285714286</v>
      </c>
      <c r="R17" s="1" t="s">
        <v>13</v>
      </c>
      <c r="S17" s="17">
        <f t="shared" ref="S17:AF17" si="9">SUM(C38:C41)</f>
        <v>226</v>
      </c>
      <c r="T17" s="17">
        <f t="shared" si="9"/>
        <v>54.714285714285715</v>
      </c>
      <c r="U17" s="17">
        <f t="shared" si="9"/>
        <v>28.571428571428573</v>
      </c>
      <c r="V17" s="17">
        <f t="shared" si="9"/>
        <v>43</v>
      </c>
      <c r="W17" s="17">
        <f t="shared" si="9"/>
        <v>1.1428571428571428</v>
      </c>
      <c r="X17" s="17">
        <f t="shared" si="9"/>
        <v>0.2857142857142857</v>
      </c>
      <c r="Y17" s="17">
        <f t="shared" si="9"/>
        <v>19.714285714285715</v>
      </c>
      <c r="Z17" s="17">
        <f t="shared" si="9"/>
        <v>3.8571428571428572</v>
      </c>
      <c r="AA17" s="17">
        <f t="shared" si="9"/>
        <v>0.71428571428571419</v>
      </c>
      <c r="AB17" s="17">
        <f t="shared" si="9"/>
        <v>0</v>
      </c>
      <c r="AC17" s="17">
        <f t="shared" si="9"/>
        <v>404.71428571428567</v>
      </c>
      <c r="AD17" s="17">
        <f t="shared" si="9"/>
        <v>0</v>
      </c>
      <c r="AE17" s="31">
        <f t="shared" si="9"/>
        <v>378</v>
      </c>
      <c r="AF17" s="31">
        <f t="shared" si="9"/>
        <v>782.71428571428567</v>
      </c>
    </row>
    <row r="18" spans="2:32" ht="23.1" customHeight="1" x14ac:dyDescent="0.25">
      <c r="B18" s="23" t="s">
        <v>45</v>
      </c>
      <c r="C18" s="49">
        <f>AVERAGE('02.08 Mulago-Kyebando'!C18,'29.07 Mulago-Kyebando'!C18,'30.07 Mulago-Kyebando'!C18,'31.07 Mulago-Kyebando'!C18,'01.08 Mulago-Kyebando-24h'!C18,'03.08 Mulago-Kyebando-24h'!C18,'04.08 Mulago-Kyebando'!C18)</f>
        <v>21.428571428571427</v>
      </c>
      <c r="D18" s="49">
        <f>AVERAGE('02.08 Mulago-Kyebando'!D18,'29.07 Mulago-Kyebando'!D18,'30.07 Mulago-Kyebando'!D18,'31.07 Mulago-Kyebando'!D18,'01.08 Mulago-Kyebando-24h'!D18,'03.08 Mulago-Kyebando-24h'!D18,'04.08 Mulago-Kyebando'!D18)</f>
        <v>3.7142857142857144</v>
      </c>
      <c r="E18" s="49">
        <f>AVERAGE('02.08 Mulago-Kyebando'!E18,'29.07 Mulago-Kyebando'!E18,'30.07 Mulago-Kyebando'!E18,'31.07 Mulago-Kyebando'!E18,'01.08 Mulago-Kyebando-24h'!E18,'03.08 Mulago-Kyebando-24h'!E18,'04.08 Mulago-Kyebando'!E18)</f>
        <v>3.1428571428571428</v>
      </c>
      <c r="F18" s="49">
        <f>AVERAGE('02.08 Mulago-Kyebando'!F18,'29.07 Mulago-Kyebando'!F18,'30.07 Mulago-Kyebando'!F18,'31.07 Mulago-Kyebando'!F18,'01.08 Mulago-Kyebando-24h'!F18,'03.08 Mulago-Kyebando-24h'!F18,'04.08 Mulago-Kyebando'!F18)</f>
        <v>12.285714285714286</v>
      </c>
      <c r="G18" s="49">
        <f>AVERAGE('02.08 Mulago-Kyebando'!G18,'29.07 Mulago-Kyebando'!G18,'30.07 Mulago-Kyebando'!G18,'31.07 Mulago-Kyebando'!G18,'01.08 Mulago-Kyebando-24h'!G18,'03.08 Mulago-Kyebando-24h'!G18,'04.08 Mulago-Kyebando'!G18)</f>
        <v>0.14285714285714285</v>
      </c>
      <c r="H18" s="49">
        <f>AVERAGE('02.08 Mulago-Kyebando'!H18,'29.07 Mulago-Kyebando'!H18,'30.07 Mulago-Kyebando'!H18,'31.07 Mulago-Kyebando'!H18,'01.08 Mulago-Kyebando-24h'!H18,'03.08 Mulago-Kyebando-24h'!H18,'04.08 Mulago-Kyebando'!H18)</f>
        <v>0</v>
      </c>
      <c r="I18" s="49">
        <f>AVERAGE('02.08 Mulago-Kyebando'!I18,'29.07 Mulago-Kyebando'!I18,'30.07 Mulago-Kyebando'!I18,'31.07 Mulago-Kyebando'!I18,'01.08 Mulago-Kyebando-24h'!I18,'03.08 Mulago-Kyebando-24h'!I18,'04.08 Mulago-Kyebando'!I18)</f>
        <v>2.5714285714285716</v>
      </c>
      <c r="J18" s="49">
        <f>AVERAGE('02.08 Mulago-Kyebando'!J18,'29.07 Mulago-Kyebando'!J18,'30.07 Mulago-Kyebando'!J18,'31.07 Mulago-Kyebando'!J18,'01.08 Mulago-Kyebando-24h'!J18,'03.08 Mulago-Kyebando-24h'!J18,'04.08 Mulago-Kyebando'!J18)</f>
        <v>0.2857142857142857</v>
      </c>
      <c r="K18" s="49">
        <f>AVERAGE('02.08 Mulago-Kyebando'!K18,'29.07 Mulago-Kyebando'!K18,'30.07 Mulago-Kyebando'!K18,'31.07 Mulago-Kyebando'!K18,'01.08 Mulago-Kyebando-24h'!K18,'03.08 Mulago-Kyebando-24h'!K18,'04.08 Mulago-Kyebando'!K18)</f>
        <v>0</v>
      </c>
      <c r="L18" s="49">
        <f>AVERAGE('02.08 Mulago-Kyebando'!L18,'29.07 Mulago-Kyebando'!L18,'30.07 Mulago-Kyebando'!L18,'31.07 Mulago-Kyebando'!L18,'01.08 Mulago-Kyebando-24h'!L18,'03.08 Mulago-Kyebando-24h'!L18,'04.08 Mulago-Kyebando'!L18)</f>
        <v>0</v>
      </c>
      <c r="M18" s="49">
        <f>AVERAGE('02.08 Mulago-Kyebando'!M18,'29.07 Mulago-Kyebando'!M18,'30.07 Mulago-Kyebando'!M18,'31.07 Mulago-Kyebando'!M18,'01.08 Mulago-Kyebando-24h'!M18,'03.08 Mulago-Kyebando-24h'!M18,'04.08 Mulago-Kyebando'!M18)</f>
        <v>178</v>
      </c>
      <c r="N18" s="49">
        <f>AVERAGE('02.08 Mulago-Kyebando'!N18,'29.07 Mulago-Kyebando'!N18,'30.07 Mulago-Kyebando'!N18,'31.07 Mulago-Kyebando'!N18,'01.08 Mulago-Kyebando-24h'!N18,'03.08 Mulago-Kyebando-24h'!N18,'04.08 Mulago-Kyebando'!N18)</f>
        <v>0</v>
      </c>
      <c r="O18" s="15">
        <f t="shared" si="0"/>
        <v>43.571428571428569</v>
      </c>
      <c r="P18" s="15">
        <f t="shared" si="1"/>
        <v>221.57142857142856</v>
      </c>
      <c r="R18" s="1" t="s">
        <v>14</v>
      </c>
      <c r="S18" s="17">
        <f t="shared" ref="S18:AF18" si="10">SUM(C42:C45)</f>
        <v>265.57142857142856</v>
      </c>
      <c r="T18" s="17">
        <f t="shared" si="10"/>
        <v>44.714285714285715</v>
      </c>
      <c r="U18" s="17">
        <f t="shared" si="10"/>
        <v>43.571428571428569</v>
      </c>
      <c r="V18" s="17">
        <f t="shared" si="10"/>
        <v>45.285714285714285</v>
      </c>
      <c r="W18" s="17">
        <f t="shared" si="10"/>
        <v>0.5714285714285714</v>
      </c>
      <c r="X18" s="17">
        <f t="shared" si="10"/>
        <v>0.2857142857142857</v>
      </c>
      <c r="Y18" s="17">
        <f t="shared" si="10"/>
        <v>23.285714285714285</v>
      </c>
      <c r="Z18" s="17">
        <f t="shared" si="10"/>
        <v>3.5714285714285716</v>
      </c>
      <c r="AA18" s="17">
        <f t="shared" si="10"/>
        <v>0.5714285714285714</v>
      </c>
      <c r="AB18" s="17">
        <f t="shared" si="10"/>
        <v>0</v>
      </c>
      <c r="AC18" s="17">
        <f t="shared" si="10"/>
        <v>436.71428571428567</v>
      </c>
      <c r="AD18" s="17">
        <f t="shared" si="10"/>
        <v>0</v>
      </c>
      <c r="AE18" s="31">
        <f t="shared" si="10"/>
        <v>427.42857142857139</v>
      </c>
      <c r="AF18" s="31">
        <f t="shared" si="10"/>
        <v>864.14285714285711</v>
      </c>
    </row>
    <row r="19" spans="2:32" ht="23.1" customHeight="1" x14ac:dyDescent="0.25">
      <c r="B19" s="23" t="s">
        <v>46</v>
      </c>
      <c r="C19" s="49">
        <f>AVERAGE('02.08 Mulago-Kyebando'!C19,'29.07 Mulago-Kyebando'!C19,'30.07 Mulago-Kyebando'!C19,'31.07 Mulago-Kyebando'!C19,'01.08 Mulago-Kyebando-24h'!C19,'03.08 Mulago-Kyebando-24h'!C19,'04.08 Mulago-Kyebando'!C19)</f>
        <v>28.571428571428573</v>
      </c>
      <c r="D19" s="49">
        <f>AVERAGE('02.08 Mulago-Kyebando'!D19,'29.07 Mulago-Kyebando'!D19,'30.07 Mulago-Kyebando'!D19,'31.07 Mulago-Kyebando'!D19,'01.08 Mulago-Kyebando-24h'!D19,'03.08 Mulago-Kyebando-24h'!D19,'04.08 Mulago-Kyebando'!D19)</f>
        <v>3</v>
      </c>
      <c r="E19" s="49">
        <f>AVERAGE('02.08 Mulago-Kyebando'!E19,'29.07 Mulago-Kyebando'!E19,'30.07 Mulago-Kyebando'!E19,'31.07 Mulago-Kyebando'!E19,'01.08 Mulago-Kyebando-24h'!E19,'03.08 Mulago-Kyebando-24h'!E19,'04.08 Mulago-Kyebando'!E19)</f>
        <v>5</v>
      </c>
      <c r="F19" s="49">
        <f>AVERAGE('02.08 Mulago-Kyebando'!F19,'29.07 Mulago-Kyebando'!F19,'30.07 Mulago-Kyebando'!F19,'31.07 Mulago-Kyebando'!F19,'01.08 Mulago-Kyebando-24h'!F19,'03.08 Mulago-Kyebando-24h'!F19,'04.08 Mulago-Kyebando'!F19)</f>
        <v>13.285714285714286</v>
      </c>
      <c r="G19" s="49">
        <f>AVERAGE('02.08 Mulago-Kyebando'!G19,'29.07 Mulago-Kyebando'!G19,'30.07 Mulago-Kyebando'!G19,'31.07 Mulago-Kyebando'!G19,'01.08 Mulago-Kyebando-24h'!G19,'03.08 Mulago-Kyebando-24h'!G19,'04.08 Mulago-Kyebando'!G19)</f>
        <v>0.2857142857142857</v>
      </c>
      <c r="H19" s="49">
        <f>AVERAGE('02.08 Mulago-Kyebando'!H19,'29.07 Mulago-Kyebando'!H19,'30.07 Mulago-Kyebando'!H19,'31.07 Mulago-Kyebando'!H19,'01.08 Mulago-Kyebando-24h'!H19,'03.08 Mulago-Kyebando-24h'!H19,'04.08 Mulago-Kyebando'!H19)</f>
        <v>0</v>
      </c>
      <c r="I19" s="49">
        <f>AVERAGE('02.08 Mulago-Kyebando'!I19,'29.07 Mulago-Kyebando'!I19,'30.07 Mulago-Kyebando'!I19,'31.07 Mulago-Kyebando'!I19,'01.08 Mulago-Kyebando-24h'!I19,'03.08 Mulago-Kyebando-24h'!I19,'04.08 Mulago-Kyebando'!I19)</f>
        <v>4.2857142857142856</v>
      </c>
      <c r="J19" s="49">
        <f>AVERAGE('02.08 Mulago-Kyebando'!J19,'29.07 Mulago-Kyebando'!J19,'30.07 Mulago-Kyebando'!J19,'31.07 Mulago-Kyebando'!J19,'01.08 Mulago-Kyebando-24h'!J19,'03.08 Mulago-Kyebando-24h'!J19,'04.08 Mulago-Kyebando'!J19)</f>
        <v>0.8571428571428571</v>
      </c>
      <c r="K19" s="49">
        <f>AVERAGE('02.08 Mulago-Kyebando'!K19,'29.07 Mulago-Kyebando'!K19,'30.07 Mulago-Kyebando'!K19,'31.07 Mulago-Kyebando'!K19,'01.08 Mulago-Kyebando-24h'!K19,'03.08 Mulago-Kyebando-24h'!K19,'04.08 Mulago-Kyebando'!K19)</f>
        <v>0.2857142857142857</v>
      </c>
      <c r="L19" s="49">
        <f>AVERAGE('02.08 Mulago-Kyebando'!L19,'29.07 Mulago-Kyebando'!L19,'30.07 Mulago-Kyebando'!L19,'31.07 Mulago-Kyebando'!L19,'01.08 Mulago-Kyebando-24h'!L19,'03.08 Mulago-Kyebando-24h'!L19,'04.08 Mulago-Kyebando'!L19)</f>
        <v>0</v>
      </c>
      <c r="M19" s="49">
        <f>AVERAGE('02.08 Mulago-Kyebando'!M19,'29.07 Mulago-Kyebando'!M19,'30.07 Mulago-Kyebando'!M19,'31.07 Mulago-Kyebando'!M19,'01.08 Mulago-Kyebando-24h'!M19,'03.08 Mulago-Kyebando-24h'!M19,'04.08 Mulago-Kyebando'!M19)</f>
        <v>182</v>
      </c>
      <c r="N19" s="49">
        <f>AVERAGE('02.08 Mulago-Kyebando'!N19,'29.07 Mulago-Kyebando'!N19,'30.07 Mulago-Kyebando'!N19,'31.07 Mulago-Kyebando'!N19,'01.08 Mulago-Kyebando-24h'!N19,'03.08 Mulago-Kyebando-24h'!N19,'04.08 Mulago-Kyebando'!N19)</f>
        <v>0</v>
      </c>
      <c r="O19" s="15">
        <f t="shared" si="0"/>
        <v>55.571428571428562</v>
      </c>
      <c r="P19" s="15">
        <f t="shared" si="1"/>
        <v>237.57142857142856</v>
      </c>
      <c r="R19" s="1" t="s">
        <v>15</v>
      </c>
      <c r="S19" s="17">
        <f t="shared" ref="S19:AF19" si="11">SUM(C46:C49)</f>
        <v>369.85714285714283</v>
      </c>
      <c r="T19" s="17">
        <f t="shared" si="11"/>
        <v>51.428571428571423</v>
      </c>
      <c r="U19" s="17">
        <f t="shared" si="11"/>
        <v>45.857142857142854</v>
      </c>
      <c r="V19" s="17">
        <f t="shared" si="11"/>
        <v>56</v>
      </c>
      <c r="W19" s="17">
        <f t="shared" si="11"/>
        <v>1.9999999999999998</v>
      </c>
      <c r="X19" s="17">
        <f t="shared" si="11"/>
        <v>0</v>
      </c>
      <c r="Y19" s="17">
        <f t="shared" si="11"/>
        <v>15.428571428571429</v>
      </c>
      <c r="Z19" s="17">
        <f t="shared" si="11"/>
        <v>4.4285714285714288</v>
      </c>
      <c r="AA19" s="17">
        <f t="shared" si="11"/>
        <v>0.42857142857142855</v>
      </c>
      <c r="AB19" s="17">
        <f t="shared" si="11"/>
        <v>0</v>
      </c>
      <c r="AC19" s="17">
        <f t="shared" si="11"/>
        <v>426.57142857142856</v>
      </c>
      <c r="AD19" s="17">
        <f t="shared" si="11"/>
        <v>0</v>
      </c>
      <c r="AE19" s="31">
        <f t="shared" si="11"/>
        <v>545.42857142857144</v>
      </c>
      <c r="AF19" s="31">
        <f t="shared" si="11"/>
        <v>972</v>
      </c>
    </row>
    <row r="20" spans="2:32" ht="23.1" customHeight="1" x14ac:dyDescent="0.25">
      <c r="B20" s="23" t="s">
        <v>47</v>
      </c>
      <c r="C20" s="49">
        <f>AVERAGE('02.08 Mulago-Kyebando'!C20,'29.07 Mulago-Kyebando'!C20,'30.07 Mulago-Kyebando'!C20,'31.07 Mulago-Kyebando'!C20,'01.08 Mulago-Kyebando-24h'!C20,'03.08 Mulago-Kyebando-24h'!C20,'04.08 Mulago-Kyebando'!C20)</f>
        <v>36</v>
      </c>
      <c r="D20" s="49">
        <f>AVERAGE('02.08 Mulago-Kyebando'!D20,'29.07 Mulago-Kyebando'!D20,'30.07 Mulago-Kyebando'!D20,'31.07 Mulago-Kyebando'!D20,'01.08 Mulago-Kyebando-24h'!D20,'03.08 Mulago-Kyebando-24h'!D20,'04.08 Mulago-Kyebando'!D20)</f>
        <v>6</v>
      </c>
      <c r="E20" s="49">
        <f>AVERAGE('02.08 Mulago-Kyebando'!E20,'29.07 Mulago-Kyebando'!E20,'30.07 Mulago-Kyebando'!E20,'31.07 Mulago-Kyebando'!E20,'01.08 Mulago-Kyebando-24h'!E20,'03.08 Mulago-Kyebando-24h'!E20,'04.08 Mulago-Kyebando'!E20)</f>
        <v>7.5714285714285712</v>
      </c>
      <c r="F20" s="49">
        <f>AVERAGE('02.08 Mulago-Kyebando'!F20,'29.07 Mulago-Kyebando'!F20,'30.07 Mulago-Kyebando'!F20,'31.07 Mulago-Kyebando'!F20,'01.08 Mulago-Kyebando-24h'!F20,'03.08 Mulago-Kyebando-24h'!F20,'04.08 Mulago-Kyebando'!F20)</f>
        <v>18</v>
      </c>
      <c r="G20" s="49">
        <f>AVERAGE('02.08 Mulago-Kyebando'!G20,'29.07 Mulago-Kyebando'!G20,'30.07 Mulago-Kyebando'!G20,'31.07 Mulago-Kyebando'!G20,'01.08 Mulago-Kyebando-24h'!G20,'03.08 Mulago-Kyebando-24h'!G20,'04.08 Mulago-Kyebando'!G20)</f>
        <v>0.42857142857142855</v>
      </c>
      <c r="H20" s="49">
        <f>AVERAGE('02.08 Mulago-Kyebando'!H20,'29.07 Mulago-Kyebando'!H20,'30.07 Mulago-Kyebando'!H20,'31.07 Mulago-Kyebando'!H20,'01.08 Mulago-Kyebando-24h'!H20,'03.08 Mulago-Kyebando-24h'!H20,'04.08 Mulago-Kyebando'!H20)</f>
        <v>0</v>
      </c>
      <c r="I20" s="49">
        <f>AVERAGE('02.08 Mulago-Kyebando'!I20,'29.07 Mulago-Kyebando'!I20,'30.07 Mulago-Kyebando'!I20,'31.07 Mulago-Kyebando'!I20,'01.08 Mulago-Kyebando-24h'!I20,'03.08 Mulago-Kyebando-24h'!I20,'04.08 Mulago-Kyebando'!I20)</f>
        <v>4.7142857142857144</v>
      </c>
      <c r="J20" s="49">
        <f>AVERAGE('02.08 Mulago-Kyebando'!J20,'29.07 Mulago-Kyebando'!J20,'30.07 Mulago-Kyebando'!J20,'31.07 Mulago-Kyebando'!J20,'01.08 Mulago-Kyebando-24h'!J20,'03.08 Mulago-Kyebando-24h'!J20,'04.08 Mulago-Kyebando'!J20)</f>
        <v>1</v>
      </c>
      <c r="K20" s="49">
        <f>AVERAGE('02.08 Mulago-Kyebando'!K20,'29.07 Mulago-Kyebando'!K20,'30.07 Mulago-Kyebando'!K20,'31.07 Mulago-Kyebando'!K20,'01.08 Mulago-Kyebando-24h'!K20,'03.08 Mulago-Kyebando-24h'!K20,'04.08 Mulago-Kyebando'!K20)</f>
        <v>0</v>
      </c>
      <c r="L20" s="49">
        <f>AVERAGE('02.08 Mulago-Kyebando'!L20,'29.07 Mulago-Kyebando'!L20,'30.07 Mulago-Kyebando'!L20,'31.07 Mulago-Kyebando'!L20,'01.08 Mulago-Kyebando-24h'!L20,'03.08 Mulago-Kyebando-24h'!L20,'04.08 Mulago-Kyebando'!L20)</f>
        <v>0</v>
      </c>
      <c r="M20" s="49">
        <f>AVERAGE('02.08 Mulago-Kyebando'!M20,'29.07 Mulago-Kyebando'!M20,'30.07 Mulago-Kyebando'!M20,'31.07 Mulago-Kyebando'!M20,'01.08 Mulago-Kyebando-24h'!M20,'03.08 Mulago-Kyebando-24h'!M20,'04.08 Mulago-Kyebando'!M20)</f>
        <v>179.28571428571428</v>
      </c>
      <c r="N20" s="49">
        <f>AVERAGE('02.08 Mulago-Kyebando'!N20,'29.07 Mulago-Kyebando'!N20,'30.07 Mulago-Kyebando'!N20,'31.07 Mulago-Kyebando'!N20,'01.08 Mulago-Kyebando-24h'!N20,'03.08 Mulago-Kyebando-24h'!N20,'04.08 Mulago-Kyebando'!N20)</f>
        <v>0</v>
      </c>
      <c r="O20" s="15">
        <f t="shared" si="0"/>
        <v>73.714285714285708</v>
      </c>
      <c r="P20" s="15">
        <f t="shared" si="1"/>
        <v>253</v>
      </c>
      <c r="R20" s="1" t="s">
        <v>16</v>
      </c>
      <c r="S20" s="17">
        <f t="shared" ref="S20:AF20" si="12">SUM(C50:C53)</f>
        <v>493.71428571428578</v>
      </c>
      <c r="T20" s="17">
        <f t="shared" si="12"/>
        <v>63.285714285714285</v>
      </c>
      <c r="U20" s="17">
        <f t="shared" si="12"/>
        <v>42.857142857142854</v>
      </c>
      <c r="V20" s="17">
        <f t="shared" si="12"/>
        <v>64.571428571428569</v>
      </c>
      <c r="W20" s="17">
        <f t="shared" si="12"/>
        <v>2.1428571428571428</v>
      </c>
      <c r="X20" s="17">
        <f t="shared" si="12"/>
        <v>0.5714285714285714</v>
      </c>
      <c r="Y20" s="17">
        <f t="shared" si="12"/>
        <v>16.714285714285715</v>
      </c>
      <c r="Z20" s="17">
        <f t="shared" si="12"/>
        <v>3.4285714285714279</v>
      </c>
      <c r="AA20" s="17">
        <f t="shared" si="12"/>
        <v>0.5714285714285714</v>
      </c>
      <c r="AB20" s="17">
        <f t="shared" si="12"/>
        <v>0</v>
      </c>
      <c r="AC20" s="17">
        <f t="shared" si="12"/>
        <v>446.57142857142856</v>
      </c>
      <c r="AD20" s="17">
        <f t="shared" si="12"/>
        <v>0</v>
      </c>
      <c r="AE20" s="31">
        <f t="shared" si="12"/>
        <v>687.85714285714278</v>
      </c>
      <c r="AF20" s="31">
        <f t="shared" si="12"/>
        <v>1134.4285714285713</v>
      </c>
    </row>
    <row r="21" spans="2:32" ht="23.1" customHeight="1" x14ac:dyDescent="0.25">
      <c r="B21" s="23" t="s">
        <v>48</v>
      </c>
      <c r="C21" s="49">
        <f>AVERAGE('02.08 Mulago-Kyebando'!C21,'29.07 Mulago-Kyebando'!C21,'30.07 Mulago-Kyebando'!C21,'31.07 Mulago-Kyebando'!C21,'01.08 Mulago-Kyebando-24h'!C21,'03.08 Mulago-Kyebando-24h'!C21,'04.08 Mulago-Kyebando'!C21)</f>
        <v>30</v>
      </c>
      <c r="D21" s="49">
        <f>AVERAGE('02.08 Mulago-Kyebando'!D21,'29.07 Mulago-Kyebando'!D21,'30.07 Mulago-Kyebando'!D21,'31.07 Mulago-Kyebando'!D21,'01.08 Mulago-Kyebando-24h'!D21,'03.08 Mulago-Kyebando-24h'!D21,'04.08 Mulago-Kyebando'!D21)</f>
        <v>4.5714285714285712</v>
      </c>
      <c r="E21" s="49">
        <f>AVERAGE('02.08 Mulago-Kyebando'!E21,'29.07 Mulago-Kyebando'!E21,'30.07 Mulago-Kyebando'!E21,'31.07 Mulago-Kyebando'!E21,'01.08 Mulago-Kyebando-24h'!E21,'03.08 Mulago-Kyebando-24h'!E21,'04.08 Mulago-Kyebando'!E21)</f>
        <v>7.1428571428571432</v>
      </c>
      <c r="F21" s="49">
        <f>AVERAGE('02.08 Mulago-Kyebando'!F21,'29.07 Mulago-Kyebando'!F21,'30.07 Mulago-Kyebando'!F21,'31.07 Mulago-Kyebando'!F21,'01.08 Mulago-Kyebando-24h'!F21,'03.08 Mulago-Kyebando-24h'!F21,'04.08 Mulago-Kyebando'!F21)</f>
        <v>12.857142857142858</v>
      </c>
      <c r="G21" s="49">
        <f>AVERAGE('02.08 Mulago-Kyebando'!G21,'29.07 Mulago-Kyebando'!G21,'30.07 Mulago-Kyebando'!G21,'31.07 Mulago-Kyebando'!G21,'01.08 Mulago-Kyebando-24h'!G21,'03.08 Mulago-Kyebando-24h'!G21,'04.08 Mulago-Kyebando'!G21)</f>
        <v>0</v>
      </c>
      <c r="H21" s="49">
        <f>AVERAGE('02.08 Mulago-Kyebando'!H21,'29.07 Mulago-Kyebando'!H21,'30.07 Mulago-Kyebando'!H21,'31.07 Mulago-Kyebando'!H21,'01.08 Mulago-Kyebando-24h'!H21,'03.08 Mulago-Kyebando-24h'!H21,'04.08 Mulago-Kyebando'!H21)</f>
        <v>0</v>
      </c>
      <c r="I21" s="49">
        <f>AVERAGE('02.08 Mulago-Kyebando'!I21,'29.07 Mulago-Kyebando'!I21,'30.07 Mulago-Kyebando'!I21,'31.07 Mulago-Kyebando'!I21,'01.08 Mulago-Kyebando-24h'!I21,'03.08 Mulago-Kyebando-24h'!I21,'04.08 Mulago-Kyebando'!I21)</f>
        <v>3.5714285714285716</v>
      </c>
      <c r="J21" s="49">
        <f>AVERAGE('02.08 Mulago-Kyebando'!J21,'29.07 Mulago-Kyebando'!J21,'30.07 Mulago-Kyebando'!J21,'31.07 Mulago-Kyebando'!J21,'01.08 Mulago-Kyebando-24h'!J21,'03.08 Mulago-Kyebando-24h'!J21,'04.08 Mulago-Kyebando'!J21)</f>
        <v>0.5714285714285714</v>
      </c>
      <c r="K21" s="49">
        <f>AVERAGE('02.08 Mulago-Kyebando'!K21,'29.07 Mulago-Kyebando'!K21,'30.07 Mulago-Kyebando'!K21,'31.07 Mulago-Kyebando'!K21,'01.08 Mulago-Kyebando-24h'!K21,'03.08 Mulago-Kyebando-24h'!K21,'04.08 Mulago-Kyebando'!K21)</f>
        <v>0.14285714285714285</v>
      </c>
      <c r="L21" s="49">
        <f>AVERAGE('02.08 Mulago-Kyebando'!L21,'29.07 Mulago-Kyebando'!L21,'30.07 Mulago-Kyebando'!L21,'31.07 Mulago-Kyebando'!L21,'01.08 Mulago-Kyebando-24h'!L21,'03.08 Mulago-Kyebando-24h'!L21,'04.08 Mulago-Kyebando'!L21)</f>
        <v>0</v>
      </c>
      <c r="M21" s="49">
        <f>AVERAGE('02.08 Mulago-Kyebando'!M21,'29.07 Mulago-Kyebando'!M21,'30.07 Mulago-Kyebando'!M21,'31.07 Mulago-Kyebando'!M21,'01.08 Mulago-Kyebando-24h'!M21,'03.08 Mulago-Kyebando-24h'!M21,'04.08 Mulago-Kyebando'!M21)</f>
        <v>133.57142857142858</v>
      </c>
      <c r="N21" s="49">
        <f>AVERAGE('02.08 Mulago-Kyebando'!N21,'29.07 Mulago-Kyebando'!N21,'30.07 Mulago-Kyebando'!N21,'31.07 Mulago-Kyebando'!N21,'01.08 Mulago-Kyebando-24h'!N21,'03.08 Mulago-Kyebando-24h'!N21,'04.08 Mulago-Kyebando'!N21)</f>
        <v>0</v>
      </c>
      <c r="O21" s="15">
        <f t="shared" si="0"/>
        <v>58.857142857142854</v>
      </c>
      <c r="P21" s="15">
        <f t="shared" si="1"/>
        <v>192.42857142857144</v>
      </c>
      <c r="R21" s="36" t="s">
        <v>20</v>
      </c>
      <c r="S21" s="34">
        <f t="shared" ref="S21:AF21" si="13">SUM(C54:C57)</f>
        <v>407.42857142857144</v>
      </c>
      <c r="T21" s="17">
        <f t="shared" si="13"/>
        <v>48.857142857142854</v>
      </c>
      <c r="U21" s="17">
        <f t="shared" si="13"/>
        <v>31.142857142857139</v>
      </c>
      <c r="V21" s="17">
        <f t="shared" si="13"/>
        <v>78.571428571428569</v>
      </c>
      <c r="W21" s="17">
        <f t="shared" si="13"/>
        <v>2.2857142857142856</v>
      </c>
      <c r="X21" s="17">
        <f t="shared" si="13"/>
        <v>0.42857142857142855</v>
      </c>
      <c r="Y21" s="17">
        <f t="shared" si="13"/>
        <v>14.428571428571429</v>
      </c>
      <c r="Z21" s="17">
        <f t="shared" si="13"/>
        <v>2.4285714285714284</v>
      </c>
      <c r="AA21" s="17">
        <f t="shared" si="13"/>
        <v>0.42857142857142855</v>
      </c>
      <c r="AB21" s="17">
        <f t="shared" si="13"/>
        <v>0</v>
      </c>
      <c r="AC21" s="17">
        <f t="shared" si="13"/>
        <v>455</v>
      </c>
      <c r="AD21" s="17">
        <f t="shared" si="13"/>
        <v>0</v>
      </c>
      <c r="AE21" s="31">
        <f t="shared" si="13"/>
        <v>586</v>
      </c>
      <c r="AF21" s="31">
        <f t="shared" si="13"/>
        <v>1041</v>
      </c>
    </row>
    <row r="22" spans="2:32" ht="23.1" customHeight="1" x14ac:dyDescent="0.25">
      <c r="B22" s="23" t="s">
        <v>49</v>
      </c>
      <c r="C22" s="49">
        <f>AVERAGE('02.08 Mulago-Kyebando'!C22,'29.07 Mulago-Kyebando'!C22,'30.07 Mulago-Kyebando'!C22,'31.07 Mulago-Kyebando'!C22,'01.08 Mulago-Kyebando-24h'!C22,'03.08 Mulago-Kyebando-24h'!C22,'04.08 Mulago-Kyebando'!C22)</f>
        <v>32.857142857142854</v>
      </c>
      <c r="D22" s="49">
        <f>AVERAGE('02.08 Mulago-Kyebando'!D22,'29.07 Mulago-Kyebando'!D22,'30.07 Mulago-Kyebando'!D22,'31.07 Mulago-Kyebando'!D22,'01.08 Mulago-Kyebando-24h'!D22,'03.08 Mulago-Kyebando-24h'!D22,'04.08 Mulago-Kyebando'!D22)</f>
        <v>5.5714285714285712</v>
      </c>
      <c r="E22" s="49">
        <f>AVERAGE('02.08 Mulago-Kyebando'!E22,'29.07 Mulago-Kyebando'!E22,'30.07 Mulago-Kyebando'!E22,'31.07 Mulago-Kyebando'!E22,'01.08 Mulago-Kyebando-24h'!E22,'03.08 Mulago-Kyebando-24h'!E22,'04.08 Mulago-Kyebando'!E22)</f>
        <v>6.7142857142857144</v>
      </c>
      <c r="F22" s="49">
        <f>AVERAGE('02.08 Mulago-Kyebando'!F22,'29.07 Mulago-Kyebando'!F22,'30.07 Mulago-Kyebando'!F22,'31.07 Mulago-Kyebando'!F22,'01.08 Mulago-Kyebando-24h'!F22,'03.08 Mulago-Kyebando-24h'!F22,'04.08 Mulago-Kyebando'!F22)</f>
        <v>16.285714285714285</v>
      </c>
      <c r="G22" s="49">
        <f>AVERAGE('02.08 Mulago-Kyebando'!G22,'29.07 Mulago-Kyebando'!G22,'30.07 Mulago-Kyebando'!G22,'31.07 Mulago-Kyebando'!G22,'01.08 Mulago-Kyebando-24h'!G22,'03.08 Mulago-Kyebando-24h'!G22,'04.08 Mulago-Kyebando'!G22)</f>
        <v>0.14285714285714285</v>
      </c>
      <c r="H22" s="49">
        <f>AVERAGE('02.08 Mulago-Kyebando'!H22,'29.07 Mulago-Kyebando'!H22,'30.07 Mulago-Kyebando'!H22,'31.07 Mulago-Kyebando'!H22,'01.08 Mulago-Kyebando-24h'!H22,'03.08 Mulago-Kyebando-24h'!H22,'04.08 Mulago-Kyebando'!H22)</f>
        <v>0</v>
      </c>
      <c r="I22" s="49">
        <f>AVERAGE('02.08 Mulago-Kyebando'!I22,'29.07 Mulago-Kyebando'!I22,'30.07 Mulago-Kyebando'!I22,'31.07 Mulago-Kyebando'!I22,'01.08 Mulago-Kyebando-24h'!I22,'03.08 Mulago-Kyebando-24h'!I22,'04.08 Mulago-Kyebando'!I22)</f>
        <v>5</v>
      </c>
      <c r="J22" s="49">
        <f>AVERAGE('02.08 Mulago-Kyebando'!J22,'29.07 Mulago-Kyebando'!J22,'30.07 Mulago-Kyebando'!J22,'31.07 Mulago-Kyebando'!J22,'01.08 Mulago-Kyebando-24h'!J22,'03.08 Mulago-Kyebando-24h'!J22,'04.08 Mulago-Kyebando'!J22)</f>
        <v>0.7142857142857143</v>
      </c>
      <c r="K22" s="49">
        <f>AVERAGE('02.08 Mulago-Kyebando'!K22,'29.07 Mulago-Kyebando'!K22,'30.07 Mulago-Kyebando'!K22,'31.07 Mulago-Kyebando'!K22,'01.08 Mulago-Kyebando-24h'!K22,'03.08 Mulago-Kyebando-24h'!K22,'04.08 Mulago-Kyebando'!K22)</f>
        <v>0.14285714285714285</v>
      </c>
      <c r="L22" s="49">
        <f>AVERAGE('02.08 Mulago-Kyebando'!L22,'29.07 Mulago-Kyebando'!L22,'30.07 Mulago-Kyebando'!L22,'31.07 Mulago-Kyebando'!L22,'01.08 Mulago-Kyebando-24h'!L22,'03.08 Mulago-Kyebando-24h'!L22,'04.08 Mulago-Kyebando'!L22)</f>
        <v>0</v>
      </c>
      <c r="M22" s="49">
        <f>AVERAGE('02.08 Mulago-Kyebando'!M22,'29.07 Mulago-Kyebando'!M22,'30.07 Mulago-Kyebando'!M22,'31.07 Mulago-Kyebando'!M22,'01.08 Mulago-Kyebando-24h'!M22,'03.08 Mulago-Kyebando-24h'!M22,'04.08 Mulago-Kyebando'!M22)</f>
        <v>148.85714285714286</v>
      </c>
      <c r="N22" s="49">
        <f>AVERAGE('02.08 Mulago-Kyebando'!N22,'29.07 Mulago-Kyebando'!N22,'30.07 Mulago-Kyebando'!N22,'31.07 Mulago-Kyebando'!N22,'01.08 Mulago-Kyebando-24h'!N22,'03.08 Mulago-Kyebando-24h'!N22,'04.08 Mulago-Kyebando'!N22)</f>
        <v>0</v>
      </c>
      <c r="O22" s="15">
        <f t="shared" si="0"/>
        <v>67.428571428571416</v>
      </c>
      <c r="P22" s="15">
        <f t="shared" si="1"/>
        <v>216.28571428571428</v>
      </c>
      <c r="R22" s="1" t="s">
        <v>146</v>
      </c>
      <c r="S22" s="34">
        <f>SUM(C58:C61)</f>
        <v>450.5</v>
      </c>
      <c r="T22" s="34">
        <f t="shared" ref="T22:AF22" si="14">SUM(D58:D61)</f>
        <v>45</v>
      </c>
      <c r="U22" s="34">
        <f t="shared" si="14"/>
        <v>50.5</v>
      </c>
      <c r="V22" s="34">
        <f t="shared" si="14"/>
        <v>149</v>
      </c>
      <c r="W22" s="34">
        <f t="shared" si="14"/>
        <v>2.5</v>
      </c>
      <c r="X22" s="34">
        <f t="shared" si="14"/>
        <v>1.5</v>
      </c>
      <c r="Y22" s="34">
        <f t="shared" si="14"/>
        <v>22</v>
      </c>
      <c r="Z22" s="34">
        <f t="shared" si="14"/>
        <v>3.5</v>
      </c>
      <c r="AA22" s="34">
        <f t="shared" si="14"/>
        <v>1</v>
      </c>
      <c r="AB22" s="34">
        <f t="shared" si="14"/>
        <v>0</v>
      </c>
      <c r="AC22" s="34">
        <f t="shared" si="14"/>
        <v>625.5</v>
      </c>
      <c r="AD22" s="34">
        <f t="shared" si="14"/>
        <v>0</v>
      </c>
      <c r="AE22" s="31">
        <f t="shared" si="14"/>
        <v>725.5</v>
      </c>
      <c r="AF22" s="31">
        <f t="shared" si="14"/>
        <v>1351</v>
      </c>
    </row>
    <row r="23" spans="2:32" ht="23.1" customHeight="1" x14ac:dyDescent="0.25">
      <c r="B23" s="23" t="s">
        <v>50</v>
      </c>
      <c r="C23" s="49">
        <f>AVERAGE('02.08 Mulago-Kyebando'!C23,'29.07 Mulago-Kyebando'!C23,'30.07 Mulago-Kyebando'!C23,'31.07 Mulago-Kyebando'!C23,'01.08 Mulago-Kyebando-24h'!C23,'03.08 Mulago-Kyebando-24h'!C23,'04.08 Mulago-Kyebando'!C23)</f>
        <v>38.428571428571431</v>
      </c>
      <c r="D23" s="49">
        <f>AVERAGE('02.08 Mulago-Kyebando'!D23,'29.07 Mulago-Kyebando'!D23,'30.07 Mulago-Kyebando'!D23,'31.07 Mulago-Kyebando'!D23,'01.08 Mulago-Kyebando-24h'!D23,'03.08 Mulago-Kyebando-24h'!D23,'04.08 Mulago-Kyebando'!D23)</f>
        <v>7.1428571428571432</v>
      </c>
      <c r="E23" s="49">
        <f>AVERAGE('02.08 Mulago-Kyebando'!E23,'29.07 Mulago-Kyebando'!E23,'30.07 Mulago-Kyebando'!E23,'31.07 Mulago-Kyebando'!E23,'01.08 Mulago-Kyebando-24h'!E23,'03.08 Mulago-Kyebando-24h'!E23,'04.08 Mulago-Kyebando'!E23)</f>
        <v>9.8571428571428577</v>
      </c>
      <c r="F23" s="49">
        <f>AVERAGE('02.08 Mulago-Kyebando'!F23,'29.07 Mulago-Kyebando'!F23,'30.07 Mulago-Kyebando'!F23,'31.07 Mulago-Kyebando'!F23,'01.08 Mulago-Kyebando-24h'!F23,'03.08 Mulago-Kyebando-24h'!F23,'04.08 Mulago-Kyebando'!F23)</f>
        <v>16.428571428571427</v>
      </c>
      <c r="G23" s="49">
        <f>AVERAGE('02.08 Mulago-Kyebando'!G23,'29.07 Mulago-Kyebando'!G23,'30.07 Mulago-Kyebando'!G23,'31.07 Mulago-Kyebando'!G23,'01.08 Mulago-Kyebando-24h'!G23,'03.08 Mulago-Kyebando-24h'!G23,'04.08 Mulago-Kyebando'!G23)</f>
        <v>0.5714285714285714</v>
      </c>
      <c r="H23" s="49">
        <f>AVERAGE('02.08 Mulago-Kyebando'!H23,'29.07 Mulago-Kyebando'!H23,'30.07 Mulago-Kyebando'!H23,'31.07 Mulago-Kyebando'!H23,'01.08 Mulago-Kyebando-24h'!H23,'03.08 Mulago-Kyebando-24h'!H23,'04.08 Mulago-Kyebando'!H23)</f>
        <v>0</v>
      </c>
      <c r="I23" s="49">
        <f>AVERAGE('02.08 Mulago-Kyebando'!I23,'29.07 Mulago-Kyebando'!I23,'30.07 Mulago-Kyebando'!I23,'31.07 Mulago-Kyebando'!I23,'01.08 Mulago-Kyebando-24h'!I23,'03.08 Mulago-Kyebando-24h'!I23,'04.08 Mulago-Kyebando'!I23)</f>
        <v>4.8571428571428568</v>
      </c>
      <c r="J23" s="49">
        <f>AVERAGE('02.08 Mulago-Kyebando'!J23,'29.07 Mulago-Kyebando'!J23,'30.07 Mulago-Kyebando'!J23,'31.07 Mulago-Kyebando'!J23,'01.08 Mulago-Kyebando-24h'!J23,'03.08 Mulago-Kyebando-24h'!J23,'04.08 Mulago-Kyebando'!J23)</f>
        <v>0.2857142857142857</v>
      </c>
      <c r="K23" s="49">
        <f>AVERAGE('02.08 Mulago-Kyebando'!K23,'29.07 Mulago-Kyebando'!K23,'30.07 Mulago-Kyebando'!K23,'31.07 Mulago-Kyebando'!K23,'01.08 Mulago-Kyebando-24h'!K23,'03.08 Mulago-Kyebando-24h'!K23,'04.08 Mulago-Kyebando'!K23)</f>
        <v>0.14285714285714285</v>
      </c>
      <c r="L23" s="49">
        <f>AVERAGE('02.08 Mulago-Kyebando'!L23,'29.07 Mulago-Kyebando'!L23,'30.07 Mulago-Kyebando'!L23,'31.07 Mulago-Kyebando'!L23,'01.08 Mulago-Kyebando-24h'!L23,'03.08 Mulago-Kyebando-24h'!L23,'04.08 Mulago-Kyebando'!L23)</f>
        <v>0</v>
      </c>
      <c r="M23" s="49">
        <f>AVERAGE('02.08 Mulago-Kyebando'!M23,'29.07 Mulago-Kyebando'!M23,'30.07 Mulago-Kyebando'!M23,'31.07 Mulago-Kyebando'!M23,'01.08 Mulago-Kyebando-24h'!M23,'03.08 Mulago-Kyebando-24h'!M23,'04.08 Mulago-Kyebando'!M23)</f>
        <v>141.71428571428572</v>
      </c>
      <c r="N23" s="49">
        <f>AVERAGE('02.08 Mulago-Kyebando'!N23,'29.07 Mulago-Kyebando'!N23,'30.07 Mulago-Kyebando'!N23,'31.07 Mulago-Kyebando'!N23,'01.08 Mulago-Kyebando-24h'!N23,'03.08 Mulago-Kyebando-24h'!N23,'04.08 Mulago-Kyebando'!N23)</f>
        <v>0</v>
      </c>
      <c r="O23" s="15">
        <f t="shared" si="0"/>
        <v>77.714285714285722</v>
      </c>
      <c r="P23" s="15">
        <f t="shared" si="1"/>
        <v>219.42857142857144</v>
      </c>
      <c r="R23" s="1" t="s">
        <v>147</v>
      </c>
      <c r="S23" s="34">
        <f>SUM(C62:C65)</f>
        <v>494.5</v>
      </c>
      <c r="T23" s="34">
        <f t="shared" ref="T23:AF23" si="15">SUM(D62:D65)</f>
        <v>41</v>
      </c>
      <c r="U23" s="34">
        <f t="shared" si="15"/>
        <v>36.5</v>
      </c>
      <c r="V23" s="34">
        <f t="shared" si="15"/>
        <v>192</v>
      </c>
      <c r="W23" s="34">
        <f t="shared" si="15"/>
        <v>5</v>
      </c>
      <c r="X23" s="34">
        <f t="shared" si="15"/>
        <v>3</v>
      </c>
      <c r="Y23" s="34">
        <f t="shared" si="15"/>
        <v>25.5</v>
      </c>
      <c r="Z23" s="34">
        <f t="shared" si="15"/>
        <v>1.5</v>
      </c>
      <c r="AA23" s="34">
        <f t="shared" si="15"/>
        <v>0</v>
      </c>
      <c r="AB23" s="34">
        <f t="shared" si="15"/>
        <v>0</v>
      </c>
      <c r="AC23" s="34">
        <f t="shared" si="15"/>
        <v>642.5</v>
      </c>
      <c r="AD23" s="34">
        <f t="shared" si="15"/>
        <v>0</v>
      </c>
      <c r="AE23" s="31">
        <f t="shared" si="15"/>
        <v>799</v>
      </c>
      <c r="AF23" s="31">
        <f t="shared" si="15"/>
        <v>1441.5</v>
      </c>
    </row>
    <row r="24" spans="2:32" ht="23.1" customHeight="1" x14ac:dyDescent="0.25">
      <c r="B24" s="23" t="s">
        <v>51</v>
      </c>
      <c r="C24" s="49">
        <f>AVERAGE('02.08 Mulago-Kyebando'!C24,'29.07 Mulago-Kyebando'!C24,'30.07 Mulago-Kyebando'!C24,'31.07 Mulago-Kyebando'!C24,'01.08 Mulago-Kyebando-24h'!C24,'03.08 Mulago-Kyebando-24h'!C24,'04.08 Mulago-Kyebando'!C24)</f>
        <v>31.142857142857142</v>
      </c>
      <c r="D24" s="49">
        <f>AVERAGE('02.08 Mulago-Kyebando'!D24,'29.07 Mulago-Kyebando'!D24,'30.07 Mulago-Kyebando'!D24,'31.07 Mulago-Kyebando'!D24,'01.08 Mulago-Kyebando-24h'!D24,'03.08 Mulago-Kyebando-24h'!D24,'04.08 Mulago-Kyebando'!D24)</f>
        <v>8.4285714285714288</v>
      </c>
      <c r="E24" s="49">
        <f>AVERAGE('02.08 Mulago-Kyebando'!E24,'29.07 Mulago-Kyebando'!E24,'30.07 Mulago-Kyebando'!E24,'31.07 Mulago-Kyebando'!E24,'01.08 Mulago-Kyebando-24h'!E24,'03.08 Mulago-Kyebando-24h'!E24,'04.08 Mulago-Kyebando'!E24)</f>
        <v>7.8571428571428568</v>
      </c>
      <c r="F24" s="49">
        <f>AVERAGE('02.08 Mulago-Kyebando'!F24,'29.07 Mulago-Kyebando'!F24,'30.07 Mulago-Kyebando'!F24,'31.07 Mulago-Kyebando'!F24,'01.08 Mulago-Kyebando-24h'!F24,'03.08 Mulago-Kyebando-24h'!F24,'04.08 Mulago-Kyebando'!F24)</f>
        <v>15.428571428571429</v>
      </c>
      <c r="G24" s="49">
        <f>AVERAGE('02.08 Mulago-Kyebando'!G24,'29.07 Mulago-Kyebando'!G24,'30.07 Mulago-Kyebando'!G24,'31.07 Mulago-Kyebando'!G24,'01.08 Mulago-Kyebando-24h'!G24,'03.08 Mulago-Kyebando-24h'!G24,'04.08 Mulago-Kyebando'!G24)</f>
        <v>0.42857142857142855</v>
      </c>
      <c r="H24" s="49">
        <f>AVERAGE('02.08 Mulago-Kyebando'!H24,'29.07 Mulago-Kyebando'!H24,'30.07 Mulago-Kyebando'!H24,'31.07 Mulago-Kyebando'!H24,'01.08 Mulago-Kyebando-24h'!H24,'03.08 Mulago-Kyebando-24h'!H24,'04.08 Mulago-Kyebando'!H24)</f>
        <v>0</v>
      </c>
      <c r="I24" s="49">
        <f>AVERAGE('02.08 Mulago-Kyebando'!I24,'29.07 Mulago-Kyebando'!I24,'30.07 Mulago-Kyebando'!I24,'31.07 Mulago-Kyebando'!I24,'01.08 Mulago-Kyebando-24h'!I24,'03.08 Mulago-Kyebando-24h'!I24,'04.08 Mulago-Kyebando'!I24)</f>
        <v>5.1428571428571432</v>
      </c>
      <c r="J24" s="49">
        <f>AVERAGE('02.08 Mulago-Kyebando'!J24,'29.07 Mulago-Kyebando'!J24,'30.07 Mulago-Kyebando'!J24,'31.07 Mulago-Kyebando'!J24,'01.08 Mulago-Kyebando-24h'!J24,'03.08 Mulago-Kyebando-24h'!J24,'04.08 Mulago-Kyebando'!J24)</f>
        <v>1</v>
      </c>
      <c r="K24" s="49">
        <f>AVERAGE('02.08 Mulago-Kyebando'!K24,'29.07 Mulago-Kyebando'!K24,'30.07 Mulago-Kyebando'!K24,'31.07 Mulago-Kyebando'!K24,'01.08 Mulago-Kyebando-24h'!K24,'03.08 Mulago-Kyebando-24h'!K24,'04.08 Mulago-Kyebando'!K24)</f>
        <v>0.14285714285714285</v>
      </c>
      <c r="L24" s="49">
        <f>AVERAGE('02.08 Mulago-Kyebando'!L24,'29.07 Mulago-Kyebando'!L24,'30.07 Mulago-Kyebando'!L24,'31.07 Mulago-Kyebando'!L24,'01.08 Mulago-Kyebando-24h'!L24,'03.08 Mulago-Kyebando-24h'!L24,'04.08 Mulago-Kyebando'!L24)</f>
        <v>0</v>
      </c>
      <c r="M24" s="49">
        <f>AVERAGE('02.08 Mulago-Kyebando'!M24,'29.07 Mulago-Kyebando'!M24,'30.07 Mulago-Kyebando'!M24,'31.07 Mulago-Kyebando'!M24,'01.08 Mulago-Kyebando-24h'!M24,'03.08 Mulago-Kyebando-24h'!M24,'04.08 Mulago-Kyebando'!M24)</f>
        <v>148</v>
      </c>
      <c r="N24" s="49">
        <f>AVERAGE('02.08 Mulago-Kyebando'!N24,'29.07 Mulago-Kyebando'!N24,'30.07 Mulago-Kyebando'!N24,'31.07 Mulago-Kyebando'!N24,'01.08 Mulago-Kyebando-24h'!N24,'03.08 Mulago-Kyebando-24h'!N24,'04.08 Mulago-Kyebando'!N24)</f>
        <v>0</v>
      </c>
      <c r="O24" s="15">
        <f t="shared" si="0"/>
        <v>69.571428571428569</v>
      </c>
      <c r="P24" s="15">
        <f t="shared" si="1"/>
        <v>217.57142857142856</v>
      </c>
      <c r="R24" s="1" t="s">
        <v>148</v>
      </c>
      <c r="S24" s="34">
        <f>SUM(C66:C69)</f>
        <v>401.5</v>
      </c>
      <c r="T24" s="34">
        <f t="shared" ref="T24:AF24" si="16">SUM(D66:D69)</f>
        <v>42</v>
      </c>
      <c r="U24" s="34">
        <f t="shared" si="16"/>
        <v>29.5</v>
      </c>
      <c r="V24" s="34">
        <f t="shared" si="16"/>
        <v>132</v>
      </c>
      <c r="W24" s="34">
        <f t="shared" si="16"/>
        <v>4</v>
      </c>
      <c r="X24" s="34">
        <f t="shared" si="16"/>
        <v>1.5</v>
      </c>
      <c r="Y24" s="34">
        <f t="shared" si="16"/>
        <v>14</v>
      </c>
      <c r="Z24" s="34">
        <f t="shared" si="16"/>
        <v>0.5</v>
      </c>
      <c r="AA24" s="34">
        <f t="shared" si="16"/>
        <v>0</v>
      </c>
      <c r="AB24" s="34">
        <f t="shared" si="16"/>
        <v>0</v>
      </c>
      <c r="AC24" s="34">
        <f t="shared" si="16"/>
        <v>477</v>
      </c>
      <c r="AD24" s="34">
        <f t="shared" si="16"/>
        <v>0</v>
      </c>
      <c r="AE24" s="31">
        <f t="shared" si="16"/>
        <v>625</v>
      </c>
      <c r="AF24" s="31">
        <f t="shared" si="16"/>
        <v>1102</v>
      </c>
    </row>
    <row r="25" spans="2:32" ht="23.1" customHeight="1" x14ac:dyDescent="0.25">
      <c r="B25" s="23" t="s">
        <v>52</v>
      </c>
      <c r="C25" s="49">
        <f>AVERAGE('02.08 Mulago-Kyebando'!C25,'29.07 Mulago-Kyebando'!C25,'30.07 Mulago-Kyebando'!C25,'31.07 Mulago-Kyebando'!C25,'01.08 Mulago-Kyebando-24h'!C25,'03.08 Mulago-Kyebando-24h'!C25,'04.08 Mulago-Kyebando'!C25)</f>
        <v>40</v>
      </c>
      <c r="D25" s="49">
        <f>AVERAGE('02.08 Mulago-Kyebando'!D25,'29.07 Mulago-Kyebando'!D25,'30.07 Mulago-Kyebando'!D25,'31.07 Mulago-Kyebando'!D25,'01.08 Mulago-Kyebando-24h'!D25,'03.08 Mulago-Kyebando-24h'!D25,'04.08 Mulago-Kyebando'!D25)</f>
        <v>5.4285714285714288</v>
      </c>
      <c r="E25" s="49">
        <f>AVERAGE('02.08 Mulago-Kyebando'!E25,'29.07 Mulago-Kyebando'!E25,'30.07 Mulago-Kyebando'!E25,'31.07 Mulago-Kyebando'!E25,'01.08 Mulago-Kyebando-24h'!E25,'03.08 Mulago-Kyebando-24h'!E25,'04.08 Mulago-Kyebando'!E25)</f>
        <v>7.5714285714285712</v>
      </c>
      <c r="F25" s="49">
        <f>AVERAGE('02.08 Mulago-Kyebando'!F25,'29.07 Mulago-Kyebando'!F25,'30.07 Mulago-Kyebando'!F25,'31.07 Mulago-Kyebando'!F25,'01.08 Mulago-Kyebando-24h'!F25,'03.08 Mulago-Kyebando-24h'!F25,'04.08 Mulago-Kyebando'!F25)</f>
        <v>15.142857142857142</v>
      </c>
      <c r="G25" s="49">
        <f>AVERAGE('02.08 Mulago-Kyebando'!G25,'29.07 Mulago-Kyebando'!G25,'30.07 Mulago-Kyebando'!G25,'31.07 Mulago-Kyebando'!G25,'01.08 Mulago-Kyebando-24h'!G25,'03.08 Mulago-Kyebando-24h'!G25,'04.08 Mulago-Kyebando'!G25)</f>
        <v>0.42857142857142855</v>
      </c>
      <c r="H25" s="49">
        <f>AVERAGE('02.08 Mulago-Kyebando'!H25,'29.07 Mulago-Kyebando'!H25,'30.07 Mulago-Kyebando'!H25,'31.07 Mulago-Kyebando'!H25,'01.08 Mulago-Kyebando-24h'!H25,'03.08 Mulago-Kyebando-24h'!H25,'04.08 Mulago-Kyebando'!H25)</f>
        <v>0</v>
      </c>
      <c r="I25" s="49">
        <f>AVERAGE('02.08 Mulago-Kyebando'!I25,'29.07 Mulago-Kyebando'!I25,'30.07 Mulago-Kyebando'!I25,'31.07 Mulago-Kyebando'!I25,'01.08 Mulago-Kyebando-24h'!I25,'03.08 Mulago-Kyebando-24h'!I25,'04.08 Mulago-Kyebando'!I25)</f>
        <v>4.1428571428571432</v>
      </c>
      <c r="J25" s="49">
        <f>AVERAGE('02.08 Mulago-Kyebando'!J25,'29.07 Mulago-Kyebando'!J25,'30.07 Mulago-Kyebando'!J25,'31.07 Mulago-Kyebando'!J25,'01.08 Mulago-Kyebando-24h'!J25,'03.08 Mulago-Kyebando-24h'!J25,'04.08 Mulago-Kyebando'!J25)</f>
        <v>0.5714285714285714</v>
      </c>
      <c r="K25" s="49">
        <f>AVERAGE('02.08 Mulago-Kyebando'!K25,'29.07 Mulago-Kyebando'!K25,'30.07 Mulago-Kyebando'!K25,'31.07 Mulago-Kyebando'!K25,'01.08 Mulago-Kyebando-24h'!K25,'03.08 Mulago-Kyebando-24h'!K25,'04.08 Mulago-Kyebando'!K25)</f>
        <v>0</v>
      </c>
      <c r="L25" s="49">
        <f>AVERAGE('02.08 Mulago-Kyebando'!L25,'29.07 Mulago-Kyebando'!L25,'30.07 Mulago-Kyebando'!L25,'31.07 Mulago-Kyebando'!L25,'01.08 Mulago-Kyebando-24h'!L25,'03.08 Mulago-Kyebando-24h'!L25,'04.08 Mulago-Kyebando'!L25)</f>
        <v>0</v>
      </c>
      <c r="M25" s="49">
        <f>AVERAGE('02.08 Mulago-Kyebando'!M25,'29.07 Mulago-Kyebando'!M25,'30.07 Mulago-Kyebando'!M25,'31.07 Mulago-Kyebando'!M25,'01.08 Mulago-Kyebando-24h'!M25,'03.08 Mulago-Kyebando-24h'!M25,'04.08 Mulago-Kyebando'!M25)</f>
        <v>116.42857142857143</v>
      </c>
      <c r="N25" s="49">
        <f>AVERAGE('02.08 Mulago-Kyebando'!N25,'29.07 Mulago-Kyebando'!N25,'30.07 Mulago-Kyebando'!N25,'31.07 Mulago-Kyebando'!N25,'01.08 Mulago-Kyebando-24h'!N25,'03.08 Mulago-Kyebando-24h'!N25,'04.08 Mulago-Kyebando'!N25)</f>
        <v>0</v>
      </c>
      <c r="O25" s="15">
        <f t="shared" si="0"/>
        <v>73.285714285714278</v>
      </c>
      <c r="P25" s="15">
        <f t="shared" si="1"/>
        <v>189.71428571428572</v>
      </c>
      <c r="R25" s="1" t="s">
        <v>149</v>
      </c>
      <c r="S25" s="34">
        <f>SUM(C70:C73)</f>
        <v>265</v>
      </c>
      <c r="T25" s="34">
        <f t="shared" ref="T25:AF25" si="17">SUM(D70:D73)</f>
        <v>25</v>
      </c>
      <c r="U25" s="34">
        <f t="shared" si="17"/>
        <v>18.5</v>
      </c>
      <c r="V25" s="34">
        <f t="shared" si="17"/>
        <v>45</v>
      </c>
      <c r="W25" s="34">
        <f t="shared" si="17"/>
        <v>0.5</v>
      </c>
      <c r="X25" s="34">
        <f t="shared" si="17"/>
        <v>0</v>
      </c>
      <c r="Y25" s="34">
        <f t="shared" si="17"/>
        <v>4.5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376.5</v>
      </c>
      <c r="AD25" s="34">
        <f t="shared" si="17"/>
        <v>0</v>
      </c>
      <c r="AE25" s="31">
        <f t="shared" si="17"/>
        <v>358.5</v>
      </c>
      <c r="AF25" s="31">
        <f t="shared" si="17"/>
        <v>735</v>
      </c>
    </row>
    <row r="26" spans="2:32" ht="23.1" customHeight="1" x14ac:dyDescent="0.25">
      <c r="B26" s="23" t="s">
        <v>53</v>
      </c>
      <c r="C26" s="49">
        <f>AVERAGE('02.08 Mulago-Kyebando'!C26,'29.07 Mulago-Kyebando'!C26,'30.07 Mulago-Kyebando'!C26,'31.07 Mulago-Kyebando'!C26,'01.08 Mulago-Kyebando-24h'!C26,'03.08 Mulago-Kyebando-24h'!C26,'04.08 Mulago-Kyebando'!C26)</f>
        <v>42</v>
      </c>
      <c r="D26" s="49">
        <f>AVERAGE('02.08 Mulago-Kyebando'!D26,'29.07 Mulago-Kyebando'!D26,'30.07 Mulago-Kyebando'!D26,'31.07 Mulago-Kyebando'!D26,'01.08 Mulago-Kyebando-24h'!D26,'03.08 Mulago-Kyebando-24h'!D26,'04.08 Mulago-Kyebando'!D26)</f>
        <v>8.4285714285714288</v>
      </c>
      <c r="E26" s="49">
        <f>AVERAGE('02.08 Mulago-Kyebando'!E26,'29.07 Mulago-Kyebando'!E26,'30.07 Mulago-Kyebando'!E26,'31.07 Mulago-Kyebando'!E26,'01.08 Mulago-Kyebando-24h'!E26,'03.08 Mulago-Kyebando-24h'!E26,'04.08 Mulago-Kyebando'!E26)</f>
        <v>9.5714285714285712</v>
      </c>
      <c r="F26" s="49">
        <f>AVERAGE('02.08 Mulago-Kyebando'!F26,'29.07 Mulago-Kyebando'!F26,'30.07 Mulago-Kyebando'!F26,'31.07 Mulago-Kyebando'!F26,'01.08 Mulago-Kyebando-24h'!F26,'03.08 Mulago-Kyebando-24h'!F26,'04.08 Mulago-Kyebando'!F26)</f>
        <v>16.142857142857142</v>
      </c>
      <c r="G26" s="49">
        <f>AVERAGE('02.08 Mulago-Kyebando'!G26,'29.07 Mulago-Kyebando'!G26,'30.07 Mulago-Kyebando'!G26,'31.07 Mulago-Kyebando'!G26,'01.08 Mulago-Kyebando-24h'!G26,'03.08 Mulago-Kyebando-24h'!G26,'04.08 Mulago-Kyebando'!G26)</f>
        <v>0.2857142857142857</v>
      </c>
      <c r="H26" s="49">
        <f>AVERAGE('02.08 Mulago-Kyebando'!H26,'29.07 Mulago-Kyebando'!H26,'30.07 Mulago-Kyebando'!H26,'31.07 Mulago-Kyebando'!H26,'01.08 Mulago-Kyebando-24h'!H26,'03.08 Mulago-Kyebando-24h'!H26,'04.08 Mulago-Kyebando'!H26)</f>
        <v>0</v>
      </c>
      <c r="I26" s="49">
        <f>AVERAGE('02.08 Mulago-Kyebando'!I26,'29.07 Mulago-Kyebando'!I26,'30.07 Mulago-Kyebando'!I26,'31.07 Mulago-Kyebando'!I26,'01.08 Mulago-Kyebando-24h'!I26,'03.08 Mulago-Kyebando-24h'!I26,'04.08 Mulago-Kyebando'!I26)</f>
        <v>7.4285714285714288</v>
      </c>
      <c r="J26" s="49">
        <f>AVERAGE('02.08 Mulago-Kyebando'!J26,'29.07 Mulago-Kyebando'!J26,'30.07 Mulago-Kyebando'!J26,'31.07 Mulago-Kyebando'!J26,'01.08 Mulago-Kyebando-24h'!J26,'03.08 Mulago-Kyebando-24h'!J26,'04.08 Mulago-Kyebando'!J26)</f>
        <v>1</v>
      </c>
      <c r="K26" s="49">
        <f>AVERAGE('02.08 Mulago-Kyebando'!K26,'29.07 Mulago-Kyebando'!K26,'30.07 Mulago-Kyebando'!K26,'31.07 Mulago-Kyebando'!K26,'01.08 Mulago-Kyebando-24h'!K26,'03.08 Mulago-Kyebando-24h'!K26,'04.08 Mulago-Kyebando'!K26)</f>
        <v>0.14285714285714285</v>
      </c>
      <c r="L26" s="49">
        <f>AVERAGE('02.08 Mulago-Kyebando'!L26,'29.07 Mulago-Kyebando'!L26,'30.07 Mulago-Kyebando'!L26,'31.07 Mulago-Kyebando'!L26,'01.08 Mulago-Kyebando-24h'!L26,'03.08 Mulago-Kyebando-24h'!L26,'04.08 Mulago-Kyebando'!L26)</f>
        <v>0</v>
      </c>
      <c r="M26" s="49">
        <f>AVERAGE('02.08 Mulago-Kyebando'!M26,'29.07 Mulago-Kyebando'!M26,'30.07 Mulago-Kyebando'!M26,'31.07 Mulago-Kyebando'!M26,'01.08 Mulago-Kyebando-24h'!M26,'03.08 Mulago-Kyebando-24h'!M26,'04.08 Mulago-Kyebando'!M26)</f>
        <v>137</v>
      </c>
      <c r="N26" s="49">
        <f>AVERAGE('02.08 Mulago-Kyebando'!N26,'29.07 Mulago-Kyebando'!N26,'30.07 Mulago-Kyebando'!N26,'31.07 Mulago-Kyebando'!N26,'01.08 Mulago-Kyebando-24h'!N26,'03.08 Mulago-Kyebando-24h'!N26,'04.08 Mulago-Kyebando'!N26)</f>
        <v>0</v>
      </c>
      <c r="O26" s="15">
        <f t="shared" si="0"/>
        <v>85</v>
      </c>
      <c r="P26" s="15">
        <f t="shared" si="1"/>
        <v>222</v>
      </c>
      <c r="R26" s="1" t="s">
        <v>150</v>
      </c>
      <c r="S26" s="34">
        <f>SUM(C74:C77)</f>
        <v>163.5</v>
      </c>
      <c r="T26" s="34">
        <f t="shared" ref="T26:AF26" si="18">SUM(D74:D77)</f>
        <v>13.5</v>
      </c>
      <c r="U26" s="34">
        <f t="shared" si="18"/>
        <v>8.5</v>
      </c>
      <c r="V26" s="34">
        <f t="shared" si="18"/>
        <v>11.5</v>
      </c>
      <c r="W26" s="34">
        <f t="shared" si="18"/>
        <v>0</v>
      </c>
      <c r="X26" s="34">
        <f t="shared" si="18"/>
        <v>0</v>
      </c>
      <c r="Y26" s="34">
        <f t="shared" si="18"/>
        <v>4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241.5</v>
      </c>
      <c r="AD26" s="34">
        <f t="shared" si="18"/>
        <v>0</v>
      </c>
      <c r="AE26" s="31">
        <f t="shared" si="18"/>
        <v>202</v>
      </c>
      <c r="AF26" s="31">
        <f t="shared" si="18"/>
        <v>443.5</v>
      </c>
    </row>
    <row r="27" spans="2:32" ht="23.1" customHeight="1" x14ac:dyDescent="0.25">
      <c r="B27" s="23" t="s">
        <v>54</v>
      </c>
      <c r="C27" s="49">
        <f>AVERAGE('02.08 Mulago-Kyebando'!C27,'29.07 Mulago-Kyebando'!C27,'30.07 Mulago-Kyebando'!C27,'31.07 Mulago-Kyebando'!C27,'01.08 Mulago-Kyebando-24h'!C27,'03.08 Mulago-Kyebando-24h'!C27,'04.08 Mulago-Kyebando'!C27)</f>
        <v>38.428571428571431</v>
      </c>
      <c r="D27" s="49">
        <f>AVERAGE('02.08 Mulago-Kyebando'!D27,'29.07 Mulago-Kyebando'!D27,'30.07 Mulago-Kyebando'!D27,'31.07 Mulago-Kyebando'!D27,'01.08 Mulago-Kyebando-24h'!D27,'03.08 Mulago-Kyebando-24h'!D27,'04.08 Mulago-Kyebando'!D27)</f>
        <v>8</v>
      </c>
      <c r="E27" s="49">
        <f>AVERAGE('02.08 Mulago-Kyebando'!E27,'29.07 Mulago-Kyebando'!E27,'30.07 Mulago-Kyebando'!E27,'31.07 Mulago-Kyebando'!E27,'01.08 Mulago-Kyebando-24h'!E27,'03.08 Mulago-Kyebando-24h'!E27,'04.08 Mulago-Kyebando'!E27)</f>
        <v>8.4285714285714288</v>
      </c>
      <c r="F27" s="49">
        <f>AVERAGE('02.08 Mulago-Kyebando'!F27,'29.07 Mulago-Kyebando'!F27,'30.07 Mulago-Kyebando'!F27,'31.07 Mulago-Kyebando'!F27,'01.08 Mulago-Kyebando-24h'!F27,'03.08 Mulago-Kyebando-24h'!F27,'04.08 Mulago-Kyebando'!F27)</f>
        <v>13.571428571428571</v>
      </c>
      <c r="G27" s="49">
        <f>AVERAGE('02.08 Mulago-Kyebando'!G27,'29.07 Mulago-Kyebando'!G27,'30.07 Mulago-Kyebando'!G27,'31.07 Mulago-Kyebando'!G27,'01.08 Mulago-Kyebando-24h'!G27,'03.08 Mulago-Kyebando-24h'!G27,'04.08 Mulago-Kyebando'!G27)</f>
        <v>0.5714285714285714</v>
      </c>
      <c r="H27" s="49">
        <f>AVERAGE('02.08 Mulago-Kyebando'!H27,'29.07 Mulago-Kyebando'!H27,'30.07 Mulago-Kyebando'!H27,'31.07 Mulago-Kyebando'!H27,'01.08 Mulago-Kyebando-24h'!H27,'03.08 Mulago-Kyebando-24h'!H27,'04.08 Mulago-Kyebando'!H27)</f>
        <v>0</v>
      </c>
      <c r="I27" s="49">
        <f>AVERAGE('02.08 Mulago-Kyebando'!I27,'29.07 Mulago-Kyebando'!I27,'30.07 Mulago-Kyebando'!I27,'31.07 Mulago-Kyebando'!I27,'01.08 Mulago-Kyebando-24h'!I27,'03.08 Mulago-Kyebando-24h'!I27,'04.08 Mulago-Kyebando'!I27)</f>
        <v>5.1428571428571432</v>
      </c>
      <c r="J27" s="49">
        <f>AVERAGE('02.08 Mulago-Kyebando'!J27,'29.07 Mulago-Kyebando'!J27,'30.07 Mulago-Kyebando'!J27,'31.07 Mulago-Kyebando'!J27,'01.08 Mulago-Kyebando-24h'!J27,'03.08 Mulago-Kyebando-24h'!J27,'04.08 Mulago-Kyebando'!J27)</f>
        <v>1.1428571428571428</v>
      </c>
      <c r="K27" s="49">
        <f>AVERAGE('02.08 Mulago-Kyebando'!K27,'29.07 Mulago-Kyebando'!K27,'30.07 Mulago-Kyebando'!K27,'31.07 Mulago-Kyebando'!K27,'01.08 Mulago-Kyebando-24h'!K27,'03.08 Mulago-Kyebando-24h'!K27,'04.08 Mulago-Kyebando'!K27)</f>
        <v>0</v>
      </c>
      <c r="L27" s="49">
        <f>AVERAGE('02.08 Mulago-Kyebando'!L27,'29.07 Mulago-Kyebando'!L27,'30.07 Mulago-Kyebando'!L27,'31.07 Mulago-Kyebando'!L27,'01.08 Mulago-Kyebando-24h'!L27,'03.08 Mulago-Kyebando-24h'!L27,'04.08 Mulago-Kyebando'!L27)</f>
        <v>0</v>
      </c>
      <c r="M27" s="49">
        <f>AVERAGE('02.08 Mulago-Kyebando'!M27,'29.07 Mulago-Kyebando'!M27,'30.07 Mulago-Kyebando'!M27,'31.07 Mulago-Kyebando'!M27,'01.08 Mulago-Kyebando-24h'!M27,'03.08 Mulago-Kyebando-24h'!M27,'04.08 Mulago-Kyebando'!M27)</f>
        <v>106.83333333333333</v>
      </c>
      <c r="N27" s="49">
        <f>AVERAGE('02.08 Mulago-Kyebando'!N27,'29.07 Mulago-Kyebando'!N27,'30.07 Mulago-Kyebando'!N27,'31.07 Mulago-Kyebando'!N27,'01.08 Mulago-Kyebando-24h'!N27,'03.08 Mulago-Kyebando-24h'!N27,'04.08 Mulago-Kyebando'!N27)</f>
        <v>0</v>
      </c>
      <c r="O27" s="15">
        <f t="shared" si="0"/>
        <v>75.285714285714278</v>
      </c>
      <c r="P27" s="15">
        <f t="shared" si="1"/>
        <v>182.11904761904759</v>
      </c>
      <c r="R27" s="1" t="s">
        <v>151</v>
      </c>
      <c r="S27" s="34">
        <f>SUM(C78:C81)</f>
        <v>88.5</v>
      </c>
      <c r="T27" s="34">
        <f t="shared" ref="T27:AF27" si="19">SUM(D78:D81)</f>
        <v>5</v>
      </c>
      <c r="U27" s="34">
        <f t="shared" si="19"/>
        <v>2.5</v>
      </c>
      <c r="V27" s="34">
        <f t="shared" si="19"/>
        <v>7.5</v>
      </c>
      <c r="W27" s="34">
        <f t="shared" si="19"/>
        <v>0</v>
      </c>
      <c r="X27" s="34">
        <f t="shared" si="19"/>
        <v>0</v>
      </c>
      <c r="Y27" s="34">
        <f t="shared" si="19"/>
        <v>1.5</v>
      </c>
      <c r="Z27" s="34">
        <f t="shared" si="19"/>
        <v>0</v>
      </c>
      <c r="AA27" s="34">
        <f t="shared" si="19"/>
        <v>0.5</v>
      </c>
      <c r="AB27" s="34">
        <f t="shared" si="19"/>
        <v>0</v>
      </c>
      <c r="AC27" s="34">
        <f t="shared" si="19"/>
        <v>119</v>
      </c>
      <c r="AD27" s="34">
        <f t="shared" si="19"/>
        <v>0</v>
      </c>
      <c r="AE27" s="31">
        <f t="shared" si="19"/>
        <v>105.5</v>
      </c>
      <c r="AF27" s="31">
        <f t="shared" si="19"/>
        <v>224.5</v>
      </c>
    </row>
    <row r="28" spans="2:32" ht="23.1" customHeight="1" x14ac:dyDescent="0.25">
      <c r="B28" s="23" t="s">
        <v>55</v>
      </c>
      <c r="C28" s="49">
        <f>AVERAGE('02.08 Mulago-Kyebando'!C28,'29.07 Mulago-Kyebando'!C28,'30.07 Mulago-Kyebando'!C28,'31.07 Mulago-Kyebando'!C28,'01.08 Mulago-Kyebando-24h'!C28,'03.08 Mulago-Kyebando-24h'!C28,'04.08 Mulago-Kyebando'!C28)</f>
        <v>38.428571428571431</v>
      </c>
      <c r="D28" s="49">
        <f>AVERAGE('02.08 Mulago-Kyebando'!D28,'29.07 Mulago-Kyebando'!D28,'30.07 Mulago-Kyebando'!D28,'31.07 Mulago-Kyebando'!D28,'01.08 Mulago-Kyebando-24h'!D28,'03.08 Mulago-Kyebando-24h'!D28,'04.08 Mulago-Kyebando'!D28)</f>
        <v>6.4285714285714288</v>
      </c>
      <c r="E28" s="49">
        <f>AVERAGE('02.08 Mulago-Kyebando'!E28,'29.07 Mulago-Kyebando'!E28,'30.07 Mulago-Kyebando'!E28,'31.07 Mulago-Kyebando'!E28,'01.08 Mulago-Kyebando-24h'!E28,'03.08 Mulago-Kyebando-24h'!E28,'04.08 Mulago-Kyebando'!E28)</f>
        <v>7.4285714285714288</v>
      </c>
      <c r="F28" s="49">
        <f>AVERAGE('02.08 Mulago-Kyebando'!F28,'29.07 Mulago-Kyebando'!F28,'30.07 Mulago-Kyebando'!F28,'31.07 Mulago-Kyebando'!F28,'01.08 Mulago-Kyebando-24h'!F28,'03.08 Mulago-Kyebando-24h'!F28,'04.08 Mulago-Kyebando'!F28)</f>
        <v>13</v>
      </c>
      <c r="G28" s="49">
        <f>AVERAGE('02.08 Mulago-Kyebando'!G28,'29.07 Mulago-Kyebando'!G28,'30.07 Mulago-Kyebando'!G28,'31.07 Mulago-Kyebando'!G28,'01.08 Mulago-Kyebando-24h'!G28,'03.08 Mulago-Kyebando-24h'!G28,'04.08 Mulago-Kyebando'!G28)</f>
        <v>0.14285714285714285</v>
      </c>
      <c r="H28" s="49">
        <f>AVERAGE('02.08 Mulago-Kyebando'!H28,'29.07 Mulago-Kyebando'!H28,'30.07 Mulago-Kyebando'!H28,'31.07 Mulago-Kyebando'!H28,'01.08 Mulago-Kyebando-24h'!H28,'03.08 Mulago-Kyebando-24h'!H28,'04.08 Mulago-Kyebando'!H28)</f>
        <v>0</v>
      </c>
      <c r="I28" s="49">
        <f>AVERAGE('02.08 Mulago-Kyebando'!I28,'29.07 Mulago-Kyebando'!I28,'30.07 Mulago-Kyebando'!I28,'31.07 Mulago-Kyebando'!I28,'01.08 Mulago-Kyebando-24h'!I28,'03.08 Mulago-Kyebando-24h'!I28,'04.08 Mulago-Kyebando'!I28)</f>
        <v>4.1428571428571432</v>
      </c>
      <c r="J28" s="49">
        <f>AVERAGE('02.08 Mulago-Kyebando'!J28,'29.07 Mulago-Kyebando'!J28,'30.07 Mulago-Kyebando'!J28,'31.07 Mulago-Kyebando'!J28,'01.08 Mulago-Kyebando-24h'!J28,'03.08 Mulago-Kyebando-24h'!J28,'04.08 Mulago-Kyebando'!J28)</f>
        <v>0.7142857142857143</v>
      </c>
      <c r="K28" s="49">
        <f>AVERAGE('02.08 Mulago-Kyebando'!K28,'29.07 Mulago-Kyebando'!K28,'30.07 Mulago-Kyebando'!K28,'31.07 Mulago-Kyebando'!K28,'01.08 Mulago-Kyebando-24h'!K28,'03.08 Mulago-Kyebando-24h'!K28,'04.08 Mulago-Kyebando'!K28)</f>
        <v>0</v>
      </c>
      <c r="L28" s="49">
        <f>AVERAGE('02.08 Mulago-Kyebando'!L28,'29.07 Mulago-Kyebando'!L28,'30.07 Mulago-Kyebando'!L28,'31.07 Mulago-Kyebando'!L28,'01.08 Mulago-Kyebando-24h'!L28,'03.08 Mulago-Kyebando-24h'!L28,'04.08 Mulago-Kyebando'!L28)</f>
        <v>0</v>
      </c>
      <c r="M28" s="49">
        <f>AVERAGE('02.08 Mulago-Kyebando'!M28,'29.07 Mulago-Kyebando'!M28,'30.07 Mulago-Kyebando'!M28,'31.07 Mulago-Kyebando'!M28,'01.08 Mulago-Kyebando-24h'!M28,'03.08 Mulago-Kyebando-24h'!M28,'04.08 Mulago-Kyebando'!M28)</f>
        <v>115.28571428571429</v>
      </c>
      <c r="N28" s="49">
        <f>AVERAGE('02.08 Mulago-Kyebando'!N28,'29.07 Mulago-Kyebando'!N28,'30.07 Mulago-Kyebando'!N28,'31.07 Mulago-Kyebando'!N28,'01.08 Mulago-Kyebando-24h'!N28,'03.08 Mulago-Kyebando-24h'!N28,'04.08 Mulago-Kyebando'!N28)</f>
        <v>0</v>
      </c>
      <c r="O28" s="15">
        <f t="shared" si="0"/>
        <v>70.285714285714278</v>
      </c>
      <c r="P28" s="15">
        <f t="shared" si="1"/>
        <v>185.57142857142856</v>
      </c>
      <c r="R28" s="1" t="s">
        <v>152</v>
      </c>
      <c r="S28" s="34">
        <f>SUM(C82:C85)</f>
        <v>67.5</v>
      </c>
      <c r="T28" s="34">
        <f t="shared" ref="T28:AF28" si="20">SUM(D82:D85)</f>
        <v>2.5</v>
      </c>
      <c r="U28" s="34">
        <f t="shared" si="20"/>
        <v>5.5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3.5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74</v>
      </c>
      <c r="AD28" s="34">
        <f t="shared" si="20"/>
        <v>0</v>
      </c>
      <c r="AE28" s="31">
        <f t="shared" si="20"/>
        <v>80.5</v>
      </c>
      <c r="AF28" s="31">
        <f t="shared" si="20"/>
        <v>154.5</v>
      </c>
    </row>
    <row r="29" spans="2:32" ht="23.1" customHeight="1" x14ac:dyDescent="0.25">
      <c r="B29" s="23" t="s">
        <v>56</v>
      </c>
      <c r="C29" s="49">
        <f>AVERAGE('02.08 Mulago-Kyebando'!C29,'29.07 Mulago-Kyebando'!C29,'30.07 Mulago-Kyebando'!C29,'31.07 Mulago-Kyebando'!C29,'01.08 Mulago-Kyebando-24h'!C29,'03.08 Mulago-Kyebando-24h'!C29,'04.08 Mulago-Kyebando'!C29)</f>
        <v>46.285714285714285</v>
      </c>
      <c r="D29" s="49">
        <f>AVERAGE('02.08 Mulago-Kyebando'!D29,'29.07 Mulago-Kyebando'!D29,'30.07 Mulago-Kyebando'!D29,'31.07 Mulago-Kyebando'!D29,'01.08 Mulago-Kyebando-24h'!D29,'03.08 Mulago-Kyebando-24h'!D29,'04.08 Mulago-Kyebando'!D29)</f>
        <v>7.4285714285714288</v>
      </c>
      <c r="E29" s="49">
        <f>AVERAGE('02.08 Mulago-Kyebando'!E29,'29.07 Mulago-Kyebando'!E29,'30.07 Mulago-Kyebando'!E29,'31.07 Mulago-Kyebando'!E29,'01.08 Mulago-Kyebando-24h'!E29,'03.08 Mulago-Kyebando-24h'!E29,'04.08 Mulago-Kyebando'!E29)</f>
        <v>9.7142857142857135</v>
      </c>
      <c r="F29" s="49">
        <f>AVERAGE('02.08 Mulago-Kyebando'!F29,'29.07 Mulago-Kyebando'!F29,'30.07 Mulago-Kyebando'!F29,'31.07 Mulago-Kyebando'!F29,'01.08 Mulago-Kyebando-24h'!F29,'03.08 Mulago-Kyebando-24h'!F29,'04.08 Mulago-Kyebando'!F29)</f>
        <v>11.857142857142858</v>
      </c>
      <c r="G29" s="49">
        <f>AVERAGE('02.08 Mulago-Kyebando'!G29,'29.07 Mulago-Kyebando'!G29,'30.07 Mulago-Kyebando'!G29,'31.07 Mulago-Kyebando'!G29,'01.08 Mulago-Kyebando-24h'!G29,'03.08 Mulago-Kyebando-24h'!G29,'04.08 Mulago-Kyebando'!G29)</f>
        <v>0</v>
      </c>
      <c r="H29" s="49">
        <f>AVERAGE('02.08 Mulago-Kyebando'!H29,'29.07 Mulago-Kyebando'!H29,'30.07 Mulago-Kyebando'!H29,'31.07 Mulago-Kyebando'!H29,'01.08 Mulago-Kyebando-24h'!H29,'03.08 Mulago-Kyebando-24h'!H29,'04.08 Mulago-Kyebando'!H29)</f>
        <v>0</v>
      </c>
      <c r="I29" s="49">
        <f>AVERAGE('02.08 Mulago-Kyebando'!I29,'29.07 Mulago-Kyebando'!I29,'30.07 Mulago-Kyebando'!I29,'31.07 Mulago-Kyebando'!I29,'01.08 Mulago-Kyebando-24h'!I29,'03.08 Mulago-Kyebando-24h'!I29,'04.08 Mulago-Kyebando'!I29)</f>
        <v>3.5714285714285716</v>
      </c>
      <c r="J29" s="49">
        <f>AVERAGE('02.08 Mulago-Kyebando'!J29,'29.07 Mulago-Kyebando'!J29,'30.07 Mulago-Kyebando'!J29,'31.07 Mulago-Kyebando'!J29,'01.08 Mulago-Kyebando-24h'!J29,'03.08 Mulago-Kyebando-24h'!J29,'04.08 Mulago-Kyebando'!J29)</f>
        <v>1.4285714285714286</v>
      </c>
      <c r="K29" s="49">
        <f>AVERAGE('02.08 Mulago-Kyebando'!K29,'29.07 Mulago-Kyebando'!K29,'30.07 Mulago-Kyebando'!K29,'31.07 Mulago-Kyebando'!K29,'01.08 Mulago-Kyebando-24h'!K29,'03.08 Mulago-Kyebando-24h'!K29,'04.08 Mulago-Kyebando'!K29)</f>
        <v>0</v>
      </c>
      <c r="L29" s="49">
        <f>AVERAGE('02.08 Mulago-Kyebando'!L29,'29.07 Mulago-Kyebando'!L29,'30.07 Mulago-Kyebando'!L29,'31.07 Mulago-Kyebando'!L29,'01.08 Mulago-Kyebando-24h'!L29,'03.08 Mulago-Kyebando-24h'!L29,'04.08 Mulago-Kyebando'!L29)</f>
        <v>0</v>
      </c>
      <c r="M29" s="49">
        <f>AVERAGE('02.08 Mulago-Kyebando'!M29,'29.07 Mulago-Kyebando'!M29,'30.07 Mulago-Kyebando'!M29,'31.07 Mulago-Kyebando'!M29,'01.08 Mulago-Kyebando-24h'!M29,'03.08 Mulago-Kyebando-24h'!M29,'04.08 Mulago-Kyebando'!M29)</f>
        <v>112.71428571428571</v>
      </c>
      <c r="N29" s="49">
        <f>AVERAGE('02.08 Mulago-Kyebando'!N29,'29.07 Mulago-Kyebando'!N29,'30.07 Mulago-Kyebando'!N29,'31.07 Mulago-Kyebando'!N29,'01.08 Mulago-Kyebando-24h'!N29,'03.08 Mulago-Kyebando-24h'!N29,'04.08 Mulago-Kyebando'!N29)</f>
        <v>0</v>
      </c>
      <c r="O29" s="15">
        <f t="shared" si="0"/>
        <v>80.285714285714292</v>
      </c>
      <c r="P29" s="15">
        <f t="shared" si="1"/>
        <v>193</v>
      </c>
      <c r="R29" s="1" t="s">
        <v>153</v>
      </c>
      <c r="S29" s="34">
        <f>SUM(C86:C89)</f>
        <v>45.5</v>
      </c>
      <c r="T29" s="34">
        <f t="shared" ref="T29:AF29" si="21">SUM(D86:D89)</f>
        <v>2.5</v>
      </c>
      <c r="U29" s="34">
        <f t="shared" si="21"/>
        <v>5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0.5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61.5</v>
      </c>
      <c r="AD29" s="34">
        <f t="shared" si="21"/>
        <v>0</v>
      </c>
      <c r="AE29" s="31">
        <f t="shared" si="21"/>
        <v>54</v>
      </c>
      <c r="AF29" s="31">
        <f t="shared" si="21"/>
        <v>115.5</v>
      </c>
    </row>
    <row r="30" spans="2:32" ht="23.1" customHeight="1" x14ac:dyDescent="0.25">
      <c r="B30" s="23" t="s">
        <v>57</v>
      </c>
      <c r="C30" s="49">
        <f>AVERAGE('02.08 Mulago-Kyebando'!C30,'29.07 Mulago-Kyebando'!C30,'30.07 Mulago-Kyebando'!C30,'31.07 Mulago-Kyebando'!C30,'01.08 Mulago-Kyebando-24h'!C30,'03.08 Mulago-Kyebando-24h'!C30,'04.08 Mulago-Kyebando'!C30)</f>
        <v>41</v>
      </c>
      <c r="D30" s="49">
        <f>AVERAGE('02.08 Mulago-Kyebando'!D30,'29.07 Mulago-Kyebando'!D30,'30.07 Mulago-Kyebando'!D30,'31.07 Mulago-Kyebando'!D30,'01.08 Mulago-Kyebando-24h'!D30,'03.08 Mulago-Kyebando-24h'!D30,'04.08 Mulago-Kyebando'!D30)</f>
        <v>6.5714285714285712</v>
      </c>
      <c r="E30" s="49">
        <f>AVERAGE('02.08 Mulago-Kyebando'!E30,'29.07 Mulago-Kyebando'!E30,'30.07 Mulago-Kyebando'!E30,'31.07 Mulago-Kyebando'!E30,'01.08 Mulago-Kyebando-24h'!E30,'03.08 Mulago-Kyebando-24h'!E30,'04.08 Mulago-Kyebando'!E30)</f>
        <v>6.4285714285714288</v>
      </c>
      <c r="F30" s="49">
        <f>AVERAGE('02.08 Mulago-Kyebando'!F30,'29.07 Mulago-Kyebando'!F30,'30.07 Mulago-Kyebando'!F30,'31.07 Mulago-Kyebando'!F30,'01.08 Mulago-Kyebando-24h'!F30,'03.08 Mulago-Kyebando-24h'!F30,'04.08 Mulago-Kyebando'!F30)</f>
        <v>14.142857142857142</v>
      </c>
      <c r="G30" s="49">
        <f>AVERAGE('02.08 Mulago-Kyebando'!G30,'29.07 Mulago-Kyebando'!G30,'30.07 Mulago-Kyebando'!G30,'31.07 Mulago-Kyebando'!G30,'01.08 Mulago-Kyebando-24h'!G30,'03.08 Mulago-Kyebando-24h'!G30,'04.08 Mulago-Kyebando'!G30)</f>
        <v>0.42857142857142855</v>
      </c>
      <c r="H30" s="49">
        <f>AVERAGE('02.08 Mulago-Kyebando'!H30,'29.07 Mulago-Kyebando'!H30,'30.07 Mulago-Kyebando'!H30,'31.07 Mulago-Kyebando'!H30,'01.08 Mulago-Kyebando-24h'!H30,'03.08 Mulago-Kyebando-24h'!H30,'04.08 Mulago-Kyebando'!H30)</f>
        <v>0</v>
      </c>
      <c r="I30" s="49">
        <f>AVERAGE('02.08 Mulago-Kyebando'!I30,'29.07 Mulago-Kyebando'!I30,'30.07 Mulago-Kyebando'!I30,'31.07 Mulago-Kyebando'!I30,'01.08 Mulago-Kyebando-24h'!I30,'03.08 Mulago-Kyebando-24h'!I30,'04.08 Mulago-Kyebando'!I30)</f>
        <v>6.4285714285714288</v>
      </c>
      <c r="J30" s="49">
        <f>AVERAGE('02.08 Mulago-Kyebando'!J30,'29.07 Mulago-Kyebando'!J30,'30.07 Mulago-Kyebando'!J30,'31.07 Mulago-Kyebando'!J30,'01.08 Mulago-Kyebando-24h'!J30,'03.08 Mulago-Kyebando-24h'!J30,'04.08 Mulago-Kyebando'!J30)</f>
        <v>0.8571428571428571</v>
      </c>
      <c r="K30" s="49">
        <f>AVERAGE('02.08 Mulago-Kyebando'!K30,'29.07 Mulago-Kyebando'!K30,'30.07 Mulago-Kyebando'!K30,'31.07 Mulago-Kyebando'!K30,'01.08 Mulago-Kyebando-24h'!K30,'03.08 Mulago-Kyebando-24h'!K30,'04.08 Mulago-Kyebando'!K30)</f>
        <v>0</v>
      </c>
      <c r="L30" s="49">
        <f>AVERAGE('02.08 Mulago-Kyebando'!L30,'29.07 Mulago-Kyebando'!L30,'30.07 Mulago-Kyebando'!L30,'31.07 Mulago-Kyebando'!L30,'01.08 Mulago-Kyebando-24h'!L30,'03.08 Mulago-Kyebando-24h'!L30,'04.08 Mulago-Kyebando'!L30)</f>
        <v>0</v>
      </c>
      <c r="M30" s="49">
        <f>AVERAGE('02.08 Mulago-Kyebando'!M30,'29.07 Mulago-Kyebando'!M30,'30.07 Mulago-Kyebando'!M30,'31.07 Mulago-Kyebando'!M30,'01.08 Mulago-Kyebando-24h'!M30,'03.08 Mulago-Kyebando-24h'!M30,'04.08 Mulago-Kyebando'!M30)</f>
        <v>104.28571428571429</v>
      </c>
      <c r="N30" s="49">
        <f>AVERAGE('02.08 Mulago-Kyebando'!N30,'29.07 Mulago-Kyebando'!N30,'30.07 Mulago-Kyebando'!N30,'31.07 Mulago-Kyebando'!N30,'01.08 Mulago-Kyebando-24h'!N30,'03.08 Mulago-Kyebando-24h'!N30,'04.08 Mulago-Kyebando'!N30)</f>
        <v>0</v>
      </c>
      <c r="O30" s="15">
        <f t="shared" si="0"/>
        <v>75.857142857142861</v>
      </c>
      <c r="P30" s="15">
        <f t="shared" si="1"/>
        <v>180.14285714285717</v>
      </c>
      <c r="R30" s="1" t="s">
        <v>154</v>
      </c>
      <c r="S30" s="34">
        <f>SUM(C90:C93)</f>
        <v>28</v>
      </c>
      <c r="T30" s="34">
        <f t="shared" ref="T30:AF30" si="22">SUM(D90:D93)</f>
        <v>3</v>
      </c>
      <c r="U30" s="34">
        <f t="shared" si="22"/>
        <v>2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 t="shared" si="22"/>
        <v>0.5</v>
      </c>
      <c r="AA30" s="34">
        <f t="shared" si="22"/>
        <v>0.5</v>
      </c>
      <c r="AB30" s="34">
        <f t="shared" si="22"/>
        <v>0</v>
      </c>
      <c r="AC30" s="34">
        <f t="shared" si="22"/>
        <v>43.5</v>
      </c>
      <c r="AD30" s="34">
        <f t="shared" si="22"/>
        <v>0</v>
      </c>
      <c r="AE30" s="31">
        <f t="shared" si="22"/>
        <v>34.5</v>
      </c>
      <c r="AF30" s="31">
        <f t="shared" si="22"/>
        <v>78</v>
      </c>
    </row>
    <row r="31" spans="2:32" ht="23.1" customHeight="1" x14ac:dyDescent="0.25">
      <c r="B31" s="24" t="s">
        <v>58</v>
      </c>
      <c r="C31" s="49">
        <f>AVERAGE('02.08 Mulago-Kyebando'!C31,'29.07 Mulago-Kyebando'!C31,'30.07 Mulago-Kyebando'!C31,'31.07 Mulago-Kyebando'!C31,'01.08 Mulago-Kyebando-24h'!C31,'03.08 Mulago-Kyebando-24h'!C31,'04.08 Mulago-Kyebando'!C31)</f>
        <v>41.857142857142854</v>
      </c>
      <c r="D31" s="49">
        <f>AVERAGE('02.08 Mulago-Kyebando'!D31,'29.07 Mulago-Kyebando'!D31,'30.07 Mulago-Kyebando'!D31,'31.07 Mulago-Kyebando'!D31,'01.08 Mulago-Kyebando-24h'!D31,'03.08 Mulago-Kyebando-24h'!D31,'04.08 Mulago-Kyebando'!D31)</f>
        <v>6</v>
      </c>
      <c r="E31" s="49">
        <f>AVERAGE('02.08 Mulago-Kyebando'!E31,'29.07 Mulago-Kyebando'!E31,'30.07 Mulago-Kyebando'!E31,'31.07 Mulago-Kyebando'!E31,'01.08 Mulago-Kyebando-24h'!E31,'03.08 Mulago-Kyebando-24h'!E31,'04.08 Mulago-Kyebando'!E31)</f>
        <v>9.2857142857142865</v>
      </c>
      <c r="F31" s="49">
        <f>AVERAGE('02.08 Mulago-Kyebando'!F31,'29.07 Mulago-Kyebando'!F31,'30.07 Mulago-Kyebando'!F31,'31.07 Mulago-Kyebando'!F31,'01.08 Mulago-Kyebando-24h'!F31,'03.08 Mulago-Kyebando-24h'!F31,'04.08 Mulago-Kyebando'!F31)</f>
        <v>11.285714285714286</v>
      </c>
      <c r="G31" s="49">
        <f>AVERAGE('02.08 Mulago-Kyebando'!G31,'29.07 Mulago-Kyebando'!G31,'30.07 Mulago-Kyebando'!G31,'31.07 Mulago-Kyebando'!G31,'01.08 Mulago-Kyebando-24h'!G31,'03.08 Mulago-Kyebando-24h'!G31,'04.08 Mulago-Kyebando'!G31)</f>
        <v>0.14285714285714285</v>
      </c>
      <c r="H31" s="49">
        <f>AVERAGE('02.08 Mulago-Kyebando'!H31,'29.07 Mulago-Kyebando'!H31,'30.07 Mulago-Kyebando'!H31,'31.07 Mulago-Kyebando'!H31,'01.08 Mulago-Kyebando-24h'!H31,'03.08 Mulago-Kyebando-24h'!H31,'04.08 Mulago-Kyebando'!H31)</f>
        <v>0</v>
      </c>
      <c r="I31" s="49">
        <f>AVERAGE('02.08 Mulago-Kyebando'!I31,'29.07 Mulago-Kyebando'!I31,'30.07 Mulago-Kyebando'!I31,'31.07 Mulago-Kyebando'!I31,'01.08 Mulago-Kyebando-24h'!I31,'03.08 Mulago-Kyebando-24h'!I31,'04.08 Mulago-Kyebando'!I31)</f>
        <v>4.5714285714285712</v>
      </c>
      <c r="J31" s="49">
        <f>AVERAGE('02.08 Mulago-Kyebando'!J31,'29.07 Mulago-Kyebando'!J31,'30.07 Mulago-Kyebando'!J31,'31.07 Mulago-Kyebando'!J31,'01.08 Mulago-Kyebando-24h'!J31,'03.08 Mulago-Kyebando-24h'!J31,'04.08 Mulago-Kyebando'!J31)</f>
        <v>1.1428571428571428</v>
      </c>
      <c r="K31" s="49">
        <f>AVERAGE('02.08 Mulago-Kyebando'!K31,'29.07 Mulago-Kyebando'!K31,'30.07 Mulago-Kyebando'!K31,'31.07 Mulago-Kyebando'!K31,'01.08 Mulago-Kyebando-24h'!K31,'03.08 Mulago-Kyebando-24h'!K31,'04.08 Mulago-Kyebando'!K31)</f>
        <v>0.2857142857142857</v>
      </c>
      <c r="L31" s="49">
        <f>AVERAGE('02.08 Mulago-Kyebando'!L31,'29.07 Mulago-Kyebando'!L31,'30.07 Mulago-Kyebando'!L31,'31.07 Mulago-Kyebando'!L31,'01.08 Mulago-Kyebando-24h'!L31,'03.08 Mulago-Kyebando-24h'!L31,'04.08 Mulago-Kyebando'!L31)</f>
        <v>0</v>
      </c>
      <c r="M31" s="49">
        <f>AVERAGE('02.08 Mulago-Kyebando'!M31,'29.07 Mulago-Kyebando'!M31,'30.07 Mulago-Kyebando'!M31,'31.07 Mulago-Kyebando'!M31,'01.08 Mulago-Kyebando-24h'!M31,'03.08 Mulago-Kyebando-24h'!M31,'04.08 Mulago-Kyebando'!M31)</f>
        <v>91.428571428571431</v>
      </c>
      <c r="N31" s="49">
        <f>AVERAGE('02.08 Mulago-Kyebando'!N31,'29.07 Mulago-Kyebando'!N31,'30.07 Mulago-Kyebando'!N31,'31.07 Mulago-Kyebando'!N31,'01.08 Mulago-Kyebando-24h'!N31,'03.08 Mulago-Kyebando-24h'!N31,'04.08 Mulago-Kyebando'!N31)</f>
        <v>0</v>
      </c>
      <c r="O31" s="15">
        <f t="shared" si="0"/>
        <v>74.571428571428569</v>
      </c>
      <c r="P31" s="15">
        <f t="shared" si="1"/>
        <v>166</v>
      </c>
      <c r="R31" s="1" t="s">
        <v>155</v>
      </c>
      <c r="S31" s="34">
        <f>SUM(C94:C97)</f>
        <v>23</v>
      </c>
      <c r="T31" s="34">
        <f t="shared" ref="T31:AF31" si="23">SUM(D94:D97)</f>
        <v>2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0.5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31</v>
      </c>
      <c r="AD31" s="34">
        <f t="shared" si="23"/>
        <v>0</v>
      </c>
      <c r="AE31" s="31">
        <f t="shared" si="23"/>
        <v>26</v>
      </c>
      <c r="AF31" s="31">
        <f t="shared" si="23"/>
        <v>57</v>
      </c>
    </row>
    <row r="32" spans="2:32" ht="23.1" customHeight="1" x14ac:dyDescent="0.25">
      <c r="B32" s="24" t="s">
        <v>59</v>
      </c>
      <c r="C32" s="49">
        <f>AVERAGE('02.08 Mulago-Kyebando'!C32,'29.07 Mulago-Kyebando'!C32,'30.07 Mulago-Kyebando'!C32,'31.07 Mulago-Kyebando'!C32,'01.08 Mulago-Kyebando-24h'!C32,'03.08 Mulago-Kyebando-24h'!C32,'04.08 Mulago-Kyebando'!C32)</f>
        <v>43.571428571428569</v>
      </c>
      <c r="D32" s="49">
        <f>AVERAGE('02.08 Mulago-Kyebando'!D32,'29.07 Mulago-Kyebando'!D32,'30.07 Mulago-Kyebando'!D32,'31.07 Mulago-Kyebando'!D32,'01.08 Mulago-Kyebando-24h'!D32,'03.08 Mulago-Kyebando-24h'!D32,'04.08 Mulago-Kyebando'!D32)</f>
        <v>8.5714285714285712</v>
      </c>
      <c r="E32" s="49">
        <f>AVERAGE('02.08 Mulago-Kyebando'!E32,'29.07 Mulago-Kyebando'!E32,'30.07 Mulago-Kyebando'!E32,'31.07 Mulago-Kyebando'!E32,'01.08 Mulago-Kyebando-24h'!E32,'03.08 Mulago-Kyebando-24h'!E32,'04.08 Mulago-Kyebando'!E32)</f>
        <v>7.4285714285714288</v>
      </c>
      <c r="F32" s="49">
        <f>AVERAGE('02.08 Mulago-Kyebando'!F32,'29.07 Mulago-Kyebando'!F32,'30.07 Mulago-Kyebando'!F32,'31.07 Mulago-Kyebando'!F32,'01.08 Mulago-Kyebando-24h'!F32,'03.08 Mulago-Kyebando-24h'!F32,'04.08 Mulago-Kyebando'!F32)</f>
        <v>11.571428571428571</v>
      </c>
      <c r="G32" s="49">
        <f>AVERAGE('02.08 Mulago-Kyebando'!G32,'29.07 Mulago-Kyebando'!G32,'30.07 Mulago-Kyebando'!G32,'31.07 Mulago-Kyebando'!G32,'01.08 Mulago-Kyebando-24h'!G32,'03.08 Mulago-Kyebando-24h'!G32,'04.08 Mulago-Kyebando'!G32)</f>
        <v>0.14285714285714285</v>
      </c>
      <c r="H32" s="49">
        <f>AVERAGE('02.08 Mulago-Kyebando'!H32,'29.07 Mulago-Kyebando'!H32,'30.07 Mulago-Kyebando'!H32,'31.07 Mulago-Kyebando'!H32,'01.08 Mulago-Kyebando-24h'!H32,'03.08 Mulago-Kyebando-24h'!H32,'04.08 Mulago-Kyebando'!H32)</f>
        <v>0</v>
      </c>
      <c r="I32" s="49">
        <f>AVERAGE('02.08 Mulago-Kyebando'!I32,'29.07 Mulago-Kyebando'!I32,'30.07 Mulago-Kyebando'!I32,'31.07 Mulago-Kyebando'!I32,'01.08 Mulago-Kyebando-24h'!I32,'03.08 Mulago-Kyebando-24h'!I32,'04.08 Mulago-Kyebando'!I32)</f>
        <v>4</v>
      </c>
      <c r="J32" s="49">
        <f>AVERAGE('02.08 Mulago-Kyebando'!J32,'29.07 Mulago-Kyebando'!J32,'30.07 Mulago-Kyebando'!J32,'31.07 Mulago-Kyebando'!J32,'01.08 Mulago-Kyebando-24h'!J32,'03.08 Mulago-Kyebando-24h'!J32,'04.08 Mulago-Kyebando'!J32)</f>
        <v>1.7142857142857142</v>
      </c>
      <c r="K32" s="49">
        <f>AVERAGE('02.08 Mulago-Kyebando'!K32,'29.07 Mulago-Kyebando'!K32,'30.07 Mulago-Kyebando'!K32,'31.07 Mulago-Kyebando'!K32,'01.08 Mulago-Kyebando-24h'!K32,'03.08 Mulago-Kyebando-24h'!K32,'04.08 Mulago-Kyebando'!K32)</f>
        <v>0</v>
      </c>
      <c r="L32" s="49">
        <f>AVERAGE('02.08 Mulago-Kyebando'!L32,'29.07 Mulago-Kyebando'!L32,'30.07 Mulago-Kyebando'!L32,'31.07 Mulago-Kyebando'!L32,'01.08 Mulago-Kyebando-24h'!L32,'03.08 Mulago-Kyebando-24h'!L32,'04.08 Mulago-Kyebando'!L32)</f>
        <v>0</v>
      </c>
      <c r="M32" s="49">
        <f>AVERAGE('02.08 Mulago-Kyebando'!M32,'29.07 Mulago-Kyebando'!M32,'30.07 Mulago-Kyebando'!M32,'31.07 Mulago-Kyebando'!M32,'01.08 Mulago-Kyebando-24h'!M32,'03.08 Mulago-Kyebando-24h'!M32,'04.08 Mulago-Kyebando'!M32)</f>
        <v>108</v>
      </c>
      <c r="N32" s="49">
        <f>AVERAGE('02.08 Mulago-Kyebando'!N32,'29.07 Mulago-Kyebando'!N32,'30.07 Mulago-Kyebando'!N32,'31.07 Mulago-Kyebando'!N32,'01.08 Mulago-Kyebando-24h'!N32,'03.08 Mulago-Kyebando-24h'!N32,'04.08 Mulago-Kyebando'!N32)</f>
        <v>0</v>
      </c>
      <c r="O32" s="15">
        <f t="shared" si="0"/>
        <v>76.999999999999986</v>
      </c>
      <c r="P32" s="15">
        <f t="shared" si="1"/>
        <v>185</v>
      </c>
      <c r="R32" s="1" t="s">
        <v>156</v>
      </c>
      <c r="S32" s="34">
        <f>SUM(C98:C101)</f>
        <v>36.5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2.5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58</v>
      </c>
      <c r="AD32" s="34">
        <f t="shared" si="24"/>
        <v>0</v>
      </c>
      <c r="AE32" s="31">
        <f t="shared" si="24"/>
        <v>41</v>
      </c>
      <c r="AF32" s="31">
        <f t="shared" si="24"/>
        <v>99</v>
      </c>
    </row>
    <row r="33" spans="2:32" ht="23.1" customHeight="1" x14ac:dyDescent="0.25">
      <c r="B33" s="23" t="s">
        <v>60</v>
      </c>
      <c r="C33" s="49">
        <f>AVERAGE('02.08 Mulago-Kyebando'!C33,'29.07 Mulago-Kyebando'!C33,'30.07 Mulago-Kyebando'!C33,'31.07 Mulago-Kyebando'!C33,'01.08 Mulago-Kyebando-24h'!C33,'03.08 Mulago-Kyebando-24h'!C33,'04.08 Mulago-Kyebando'!C33)</f>
        <v>46.714285714285715</v>
      </c>
      <c r="D33" s="49">
        <f>AVERAGE('02.08 Mulago-Kyebando'!D33,'29.07 Mulago-Kyebando'!D33,'30.07 Mulago-Kyebando'!D33,'31.07 Mulago-Kyebando'!D33,'01.08 Mulago-Kyebando-24h'!D33,'03.08 Mulago-Kyebando-24h'!D33,'04.08 Mulago-Kyebando'!D33)</f>
        <v>5.5714285714285712</v>
      </c>
      <c r="E33" s="49">
        <f>AVERAGE('02.08 Mulago-Kyebando'!E33,'29.07 Mulago-Kyebando'!E33,'30.07 Mulago-Kyebando'!E33,'31.07 Mulago-Kyebando'!E33,'01.08 Mulago-Kyebando-24h'!E33,'03.08 Mulago-Kyebando-24h'!E33,'04.08 Mulago-Kyebando'!E33)</f>
        <v>8.4285714285714288</v>
      </c>
      <c r="F33" s="49">
        <f>AVERAGE('02.08 Mulago-Kyebando'!F33,'29.07 Mulago-Kyebando'!F33,'30.07 Mulago-Kyebando'!F33,'31.07 Mulago-Kyebando'!F33,'01.08 Mulago-Kyebando-24h'!F33,'03.08 Mulago-Kyebando-24h'!F33,'04.08 Mulago-Kyebando'!F33)</f>
        <v>11.428571428571429</v>
      </c>
      <c r="G33" s="49">
        <f>AVERAGE('02.08 Mulago-Kyebando'!G33,'29.07 Mulago-Kyebando'!G33,'30.07 Mulago-Kyebando'!G33,'31.07 Mulago-Kyebando'!G33,'01.08 Mulago-Kyebando-24h'!G33,'03.08 Mulago-Kyebando-24h'!G33,'04.08 Mulago-Kyebando'!G33)</f>
        <v>0.7142857142857143</v>
      </c>
      <c r="H33" s="49">
        <f>AVERAGE('02.08 Mulago-Kyebando'!H33,'29.07 Mulago-Kyebando'!H33,'30.07 Mulago-Kyebando'!H33,'31.07 Mulago-Kyebando'!H33,'01.08 Mulago-Kyebando-24h'!H33,'03.08 Mulago-Kyebando-24h'!H33,'04.08 Mulago-Kyebando'!H33)</f>
        <v>0.14285714285714285</v>
      </c>
      <c r="I33" s="49">
        <f>AVERAGE('02.08 Mulago-Kyebando'!I33,'29.07 Mulago-Kyebando'!I33,'30.07 Mulago-Kyebando'!I33,'31.07 Mulago-Kyebando'!I33,'01.08 Mulago-Kyebando-24h'!I33,'03.08 Mulago-Kyebando-24h'!I33,'04.08 Mulago-Kyebando'!I33)</f>
        <v>4.2857142857142856</v>
      </c>
      <c r="J33" s="49">
        <f>AVERAGE('02.08 Mulago-Kyebando'!J33,'29.07 Mulago-Kyebando'!J33,'30.07 Mulago-Kyebando'!J33,'31.07 Mulago-Kyebando'!J33,'01.08 Mulago-Kyebando-24h'!J33,'03.08 Mulago-Kyebando-24h'!J33,'04.08 Mulago-Kyebando'!J33)</f>
        <v>1.4285714285714286</v>
      </c>
      <c r="K33" s="49">
        <f>AVERAGE('02.08 Mulago-Kyebando'!K33,'29.07 Mulago-Kyebando'!K33,'30.07 Mulago-Kyebando'!K33,'31.07 Mulago-Kyebando'!K33,'01.08 Mulago-Kyebando-24h'!K33,'03.08 Mulago-Kyebando-24h'!K33,'04.08 Mulago-Kyebando'!K33)</f>
        <v>0</v>
      </c>
      <c r="L33" s="49">
        <f>AVERAGE('02.08 Mulago-Kyebando'!L33,'29.07 Mulago-Kyebando'!L33,'30.07 Mulago-Kyebando'!L33,'31.07 Mulago-Kyebando'!L33,'01.08 Mulago-Kyebando-24h'!L33,'03.08 Mulago-Kyebando-24h'!L33,'04.08 Mulago-Kyebando'!L33)</f>
        <v>0</v>
      </c>
      <c r="M33" s="49">
        <f>AVERAGE('02.08 Mulago-Kyebando'!M33,'29.07 Mulago-Kyebando'!M33,'30.07 Mulago-Kyebando'!M33,'31.07 Mulago-Kyebando'!M33,'01.08 Mulago-Kyebando-24h'!M33,'03.08 Mulago-Kyebando-24h'!M33,'04.08 Mulago-Kyebando'!M33)</f>
        <v>97.285714285714292</v>
      </c>
      <c r="N33" s="49">
        <f>AVERAGE('02.08 Mulago-Kyebando'!N33,'29.07 Mulago-Kyebando'!N33,'30.07 Mulago-Kyebando'!N33,'31.07 Mulago-Kyebando'!N33,'01.08 Mulago-Kyebando-24h'!N33,'03.08 Mulago-Kyebando-24h'!N33,'04.08 Mulago-Kyebando'!N33)</f>
        <v>0</v>
      </c>
      <c r="O33" s="15">
        <f t="shared" si="0"/>
        <v>78.714285714285708</v>
      </c>
      <c r="P33" s="15">
        <f t="shared" si="1"/>
        <v>176</v>
      </c>
      <c r="R33" s="1" t="s">
        <v>157</v>
      </c>
      <c r="S33" s="34">
        <f>SUM(C102:C105)</f>
        <v>49.5</v>
      </c>
      <c r="T33" s="34">
        <f t="shared" ref="T33:AF33" si="25">SUM(D102:D105)</f>
        <v>5</v>
      </c>
      <c r="U33" s="34">
        <f t="shared" si="25"/>
        <v>3</v>
      </c>
      <c r="V33" s="34">
        <f t="shared" si="25"/>
        <v>9.5</v>
      </c>
      <c r="W33" s="34">
        <f t="shared" si="25"/>
        <v>1</v>
      </c>
      <c r="X33" s="34">
        <f t="shared" si="25"/>
        <v>0</v>
      </c>
      <c r="Y33" s="34">
        <f t="shared" si="25"/>
        <v>4.5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146</v>
      </c>
      <c r="AD33" s="34">
        <f t="shared" si="25"/>
        <v>0</v>
      </c>
      <c r="AE33" s="31">
        <f t="shared" si="25"/>
        <v>73</v>
      </c>
      <c r="AF33" s="31">
        <f t="shared" si="25"/>
        <v>219</v>
      </c>
    </row>
    <row r="34" spans="2:32" ht="23.1" customHeight="1" x14ac:dyDescent="0.25">
      <c r="B34" s="24" t="s">
        <v>61</v>
      </c>
      <c r="C34" s="49">
        <f>AVERAGE('02.08 Mulago-Kyebando'!C34,'29.07 Mulago-Kyebando'!C34,'30.07 Mulago-Kyebando'!C34,'31.07 Mulago-Kyebando'!C34,'01.08 Mulago-Kyebando-24h'!C34,'03.08 Mulago-Kyebando-24h'!C34,'04.08 Mulago-Kyebando'!C34)</f>
        <v>58.428571428571431</v>
      </c>
      <c r="D34" s="49">
        <f>AVERAGE('02.08 Mulago-Kyebando'!D34,'29.07 Mulago-Kyebando'!D34,'30.07 Mulago-Kyebando'!D34,'31.07 Mulago-Kyebando'!D34,'01.08 Mulago-Kyebando-24h'!D34,'03.08 Mulago-Kyebando-24h'!D34,'04.08 Mulago-Kyebando'!D34)</f>
        <v>8.1428571428571423</v>
      </c>
      <c r="E34" s="49">
        <f>AVERAGE('02.08 Mulago-Kyebando'!E34,'29.07 Mulago-Kyebando'!E34,'30.07 Mulago-Kyebando'!E34,'31.07 Mulago-Kyebando'!E34,'01.08 Mulago-Kyebando-24h'!E34,'03.08 Mulago-Kyebando-24h'!E34,'04.08 Mulago-Kyebando'!E34)</f>
        <v>8.2857142857142865</v>
      </c>
      <c r="F34" s="49">
        <f>AVERAGE('02.08 Mulago-Kyebando'!F34,'29.07 Mulago-Kyebando'!F34,'30.07 Mulago-Kyebando'!F34,'31.07 Mulago-Kyebando'!F34,'01.08 Mulago-Kyebando-24h'!F34,'03.08 Mulago-Kyebando-24h'!F34,'04.08 Mulago-Kyebando'!F34)</f>
        <v>17.428571428571427</v>
      </c>
      <c r="G34" s="49">
        <f>AVERAGE('02.08 Mulago-Kyebando'!G34,'29.07 Mulago-Kyebando'!G34,'30.07 Mulago-Kyebando'!G34,'31.07 Mulago-Kyebando'!G34,'01.08 Mulago-Kyebando-24h'!G34,'03.08 Mulago-Kyebando-24h'!G34,'04.08 Mulago-Kyebando'!G34)</f>
        <v>1.2857142857142858</v>
      </c>
      <c r="H34" s="49">
        <f>AVERAGE('02.08 Mulago-Kyebando'!H34,'29.07 Mulago-Kyebando'!H34,'30.07 Mulago-Kyebando'!H34,'31.07 Mulago-Kyebando'!H34,'01.08 Mulago-Kyebando-24h'!H34,'03.08 Mulago-Kyebando-24h'!H34,'04.08 Mulago-Kyebando'!H34)</f>
        <v>0</v>
      </c>
      <c r="I34" s="49">
        <f>AVERAGE('02.08 Mulago-Kyebando'!I34,'29.07 Mulago-Kyebando'!I34,'30.07 Mulago-Kyebando'!I34,'31.07 Mulago-Kyebando'!I34,'01.08 Mulago-Kyebando-24h'!I34,'03.08 Mulago-Kyebando-24h'!I34,'04.08 Mulago-Kyebando'!I34)</f>
        <v>6.5714285714285712</v>
      </c>
      <c r="J34" s="49">
        <f>AVERAGE('02.08 Mulago-Kyebando'!J34,'29.07 Mulago-Kyebando'!J34,'30.07 Mulago-Kyebando'!J34,'31.07 Mulago-Kyebando'!J34,'01.08 Mulago-Kyebando-24h'!J34,'03.08 Mulago-Kyebando-24h'!J34,'04.08 Mulago-Kyebando'!J34)</f>
        <v>1</v>
      </c>
      <c r="K34" s="49">
        <f>AVERAGE('02.08 Mulago-Kyebando'!K34,'29.07 Mulago-Kyebando'!K34,'30.07 Mulago-Kyebando'!K34,'31.07 Mulago-Kyebando'!K34,'01.08 Mulago-Kyebando-24h'!K34,'03.08 Mulago-Kyebando-24h'!K34,'04.08 Mulago-Kyebando'!K34)</f>
        <v>0.14285714285714285</v>
      </c>
      <c r="L34" s="49">
        <f>AVERAGE('02.08 Mulago-Kyebando'!L34,'29.07 Mulago-Kyebando'!L34,'30.07 Mulago-Kyebando'!L34,'31.07 Mulago-Kyebando'!L34,'01.08 Mulago-Kyebando-24h'!L34,'03.08 Mulago-Kyebando-24h'!L34,'04.08 Mulago-Kyebando'!L34)</f>
        <v>0</v>
      </c>
      <c r="M34" s="49">
        <f>AVERAGE('02.08 Mulago-Kyebando'!M34,'29.07 Mulago-Kyebando'!M34,'30.07 Mulago-Kyebando'!M34,'31.07 Mulago-Kyebando'!M34,'01.08 Mulago-Kyebando-24h'!M34,'03.08 Mulago-Kyebando-24h'!M34,'04.08 Mulago-Kyebando'!M34)</f>
        <v>94</v>
      </c>
      <c r="N34" s="49">
        <f>AVERAGE('02.08 Mulago-Kyebando'!N34,'29.07 Mulago-Kyebando'!N34,'30.07 Mulago-Kyebando'!N34,'31.07 Mulago-Kyebando'!N34,'01.08 Mulago-Kyebando-24h'!N34,'03.08 Mulago-Kyebando-24h'!N34,'04.08 Mulago-Kyebando'!N34)</f>
        <v>0</v>
      </c>
      <c r="O34" s="15">
        <f t="shared" si="0"/>
        <v>101.28571428571429</v>
      </c>
      <c r="P34" s="15">
        <f t="shared" si="1"/>
        <v>195.28571428571428</v>
      </c>
      <c r="R34" s="38" t="s">
        <v>90</v>
      </c>
      <c r="S34" s="39">
        <f t="shared" ref="S34:AF34" si="26">MAX(S10:S12)</f>
        <v>116</v>
      </c>
      <c r="T34" s="39">
        <f t="shared" si="26"/>
        <v>17.285714285714285</v>
      </c>
      <c r="U34" s="39">
        <f t="shared" si="26"/>
        <v>22.857142857142858</v>
      </c>
      <c r="V34" s="39">
        <f t="shared" si="26"/>
        <v>56.428571428571431</v>
      </c>
      <c r="W34" s="39">
        <f t="shared" si="26"/>
        <v>2.2857142857142856</v>
      </c>
      <c r="X34" s="39">
        <f t="shared" si="26"/>
        <v>0</v>
      </c>
      <c r="Y34" s="39">
        <f t="shared" si="26"/>
        <v>15.142857142857144</v>
      </c>
      <c r="Z34" s="39">
        <f t="shared" si="26"/>
        <v>2.7142857142857144</v>
      </c>
      <c r="AA34" s="39">
        <f t="shared" si="26"/>
        <v>0.85714285714285698</v>
      </c>
      <c r="AB34" s="39">
        <f t="shared" si="26"/>
        <v>0</v>
      </c>
      <c r="AC34" s="39">
        <f t="shared" si="26"/>
        <v>672.85714285714278</v>
      </c>
      <c r="AD34" s="39">
        <f t="shared" si="26"/>
        <v>0</v>
      </c>
      <c r="AE34" s="40">
        <f t="shared" si="26"/>
        <v>231.71428571428569</v>
      </c>
      <c r="AF34" s="40">
        <f t="shared" si="26"/>
        <v>904.57142857142856</v>
      </c>
    </row>
    <row r="35" spans="2:32" ht="23.1" customHeight="1" x14ac:dyDescent="0.25">
      <c r="B35" s="24" t="s">
        <v>62</v>
      </c>
      <c r="C35" s="49">
        <f>AVERAGE('02.08 Mulago-Kyebando'!C35,'29.07 Mulago-Kyebando'!C35,'30.07 Mulago-Kyebando'!C35,'31.07 Mulago-Kyebando'!C35,'01.08 Mulago-Kyebando-24h'!C35,'03.08 Mulago-Kyebando-24h'!C35,'04.08 Mulago-Kyebando'!C35)</f>
        <v>57.142857142857146</v>
      </c>
      <c r="D35" s="49">
        <f>AVERAGE('02.08 Mulago-Kyebando'!D35,'29.07 Mulago-Kyebando'!D35,'30.07 Mulago-Kyebando'!D35,'31.07 Mulago-Kyebando'!D35,'01.08 Mulago-Kyebando-24h'!D35,'03.08 Mulago-Kyebando-24h'!D35,'04.08 Mulago-Kyebando'!D35)</f>
        <v>8</v>
      </c>
      <c r="E35" s="49">
        <f>AVERAGE('02.08 Mulago-Kyebando'!E35,'29.07 Mulago-Kyebando'!E35,'30.07 Mulago-Kyebando'!E35,'31.07 Mulago-Kyebando'!E35,'01.08 Mulago-Kyebando-24h'!E35,'03.08 Mulago-Kyebando-24h'!E35,'04.08 Mulago-Kyebando'!E35)</f>
        <v>7.8571428571428568</v>
      </c>
      <c r="F35" s="49">
        <f>AVERAGE('02.08 Mulago-Kyebando'!F35,'29.07 Mulago-Kyebando'!F35,'30.07 Mulago-Kyebando'!F35,'31.07 Mulago-Kyebando'!F35,'01.08 Mulago-Kyebando-24h'!F35,'03.08 Mulago-Kyebando-24h'!F35,'04.08 Mulago-Kyebando'!F35)</f>
        <v>11.857142857142858</v>
      </c>
      <c r="G35" s="49">
        <f>AVERAGE('02.08 Mulago-Kyebando'!G35,'29.07 Mulago-Kyebando'!G35,'30.07 Mulago-Kyebando'!G35,'31.07 Mulago-Kyebando'!G35,'01.08 Mulago-Kyebando-24h'!G35,'03.08 Mulago-Kyebando-24h'!G35,'04.08 Mulago-Kyebando'!G35)</f>
        <v>0.14285714285714285</v>
      </c>
      <c r="H35" s="49">
        <f>AVERAGE('02.08 Mulago-Kyebando'!H35,'29.07 Mulago-Kyebando'!H35,'30.07 Mulago-Kyebando'!H35,'31.07 Mulago-Kyebando'!H35,'01.08 Mulago-Kyebando-24h'!H35,'03.08 Mulago-Kyebando-24h'!H35,'04.08 Mulago-Kyebando'!H35)</f>
        <v>0.14285714285714285</v>
      </c>
      <c r="I35" s="49">
        <f>AVERAGE('02.08 Mulago-Kyebando'!I35,'29.07 Mulago-Kyebando'!I35,'30.07 Mulago-Kyebando'!I35,'31.07 Mulago-Kyebando'!I35,'01.08 Mulago-Kyebando-24h'!I35,'03.08 Mulago-Kyebando-24h'!I35,'04.08 Mulago-Kyebando'!I35)</f>
        <v>4.8571428571428568</v>
      </c>
      <c r="J35" s="49">
        <f>AVERAGE('02.08 Mulago-Kyebando'!J35,'29.07 Mulago-Kyebando'!J35,'30.07 Mulago-Kyebando'!J35,'31.07 Mulago-Kyebando'!J35,'01.08 Mulago-Kyebando-24h'!J35,'03.08 Mulago-Kyebando-24h'!J35,'04.08 Mulago-Kyebando'!J35)</f>
        <v>0.5714285714285714</v>
      </c>
      <c r="K35" s="49">
        <f>AVERAGE('02.08 Mulago-Kyebando'!K35,'29.07 Mulago-Kyebando'!K35,'30.07 Mulago-Kyebando'!K35,'31.07 Mulago-Kyebando'!K35,'01.08 Mulago-Kyebando-24h'!K35,'03.08 Mulago-Kyebando-24h'!K35,'04.08 Mulago-Kyebando'!K35)</f>
        <v>0</v>
      </c>
      <c r="L35" s="49">
        <f>AVERAGE('02.08 Mulago-Kyebando'!L35,'29.07 Mulago-Kyebando'!L35,'30.07 Mulago-Kyebando'!L35,'31.07 Mulago-Kyebando'!L35,'01.08 Mulago-Kyebando-24h'!L35,'03.08 Mulago-Kyebando-24h'!L35,'04.08 Mulago-Kyebando'!L35)</f>
        <v>0</v>
      </c>
      <c r="M35" s="49">
        <f>AVERAGE('02.08 Mulago-Kyebando'!M35,'29.07 Mulago-Kyebando'!M35,'30.07 Mulago-Kyebando'!M35,'31.07 Mulago-Kyebando'!M35,'01.08 Mulago-Kyebando-24h'!M35,'03.08 Mulago-Kyebando-24h'!M35,'04.08 Mulago-Kyebando'!M35)</f>
        <v>118.85714285714286</v>
      </c>
      <c r="N35" s="49">
        <f>AVERAGE('02.08 Mulago-Kyebando'!N35,'29.07 Mulago-Kyebando'!N35,'30.07 Mulago-Kyebando'!N35,'31.07 Mulago-Kyebando'!N35,'01.08 Mulago-Kyebando-24h'!N35,'03.08 Mulago-Kyebando-24h'!N35,'04.08 Mulago-Kyebando'!N35)</f>
        <v>0</v>
      </c>
      <c r="O35" s="15">
        <f t="shared" si="0"/>
        <v>90.571428571428569</v>
      </c>
      <c r="P35" s="15">
        <f t="shared" si="1"/>
        <v>209.42857142857144</v>
      </c>
      <c r="R35" s="38" t="s">
        <v>91</v>
      </c>
      <c r="S35" s="39">
        <f t="shared" ref="S35:AF35" si="27">MAX(S13:S18)</f>
        <v>265.57142857142856</v>
      </c>
      <c r="T35" s="39">
        <f t="shared" si="27"/>
        <v>54.714285714285715</v>
      </c>
      <c r="U35" s="39">
        <f t="shared" si="27"/>
        <v>43.571428571428569</v>
      </c>
      <c r="V35" s="39">
        <f t="shared" si="27"/>
        <v>63.285714285714278</v>
      </c>
      <c r="W35" s="39">
        <f t="shared" si="27"/>
        <v>1.5714285714285714</v>
      </c>
      <c r="X35" s="39">
        <f t="shared" si="27"/>
        <v>0.2857142857142857</v>
      </c>
      <c r="Y35" s="39">
        <f t="shared" si="27"/>
        <v>23.285714285714285</v>
      </c>
      <c r="Z35" s="39">
        <f t="shared" si="27"/>
        <v>5.1428571428571432</v>
      </c>
      <c r="AA35" s="39">
        <f t="shared" si="27"/>
        <v>0.71428571428571419</v>
      </c>
      <c r="AB35" s="39">
        <f t="shared" si="27"/>
        <v>0</v>
      </c>
      <c r="AC35" s="39">
        <f t="shared" si="27"/>
        <v>555</v>
      </c>
      <c r="AD35" s="39">
        <f t="shared" si="27"/>
        <v>0</v>
      </c>
      <c r="AE35" s="40">
        <f t="shared" si="27"/>
        <v>427.42857142857139</v>
      </c>
      <c r="AF35" s="40">
        <f t="shared" si="27"/>
        <v>864.14285714285711</v>
      </c>
    </row>
    <row r="36" spans="2:32" ht="23.1" customHeight="1" x14ac:dyDescent="0.25">
      <c r="B36" s="24" t="s">
        <v>63</v>
      </c>
      <c r="C36" s="49">
        <f>AVERAGE('02.08 Mulago-Kyebando'!C36,'29.07 Mulago-Kyebando'!C36,'30.07 Mulago-Kyebando'!C36,'31.07 Mulago-Kyebando'!C36,'01.08 Mulago-Kyebando-24h'!C36,'03.08 Mulago-Kyebando-24h'!C36,'04.08 Mulago-Kyebando'!C36)</f>
        <v>56.714285714285715</v>
      </c>
      <c r="D36" s="49">
        <f>AVERAGE('02.08 Mulago-Kyebando'!D36,'29.07 Mulago-Kyebando'!D36,'30.07 Mulago-Kyebando'!D36,'31.07 Mulago-Kyebando'!D36,'01.08 Mulago-Kyebando-24h'!D36,'03.08 Mulago-Kyebando-24h'!D36,'04.08 Mulago-Kyebando'!D36)</f>
        <v>6.5714285714285712</v>
      </c>
      <c r="E36" s="49">
        <f>AVERAGE('02.08 Mulago-Kyebando'!E36,'29.07 Mulago-Kyebando'!E36,'30.07 Mulago-Kyebando'!E36,'31.07 Mulago-Kyebando'!E36,'01.08 Mulago-Kyebando-24h'!E36,'03.08 Mulago-Kyebando-24h'!E36,'04.08 Mulago-Kyebando'!E36)</f>
        <v>9.7142857142857135</v>
      </c>
      <c r="F36" s="49">
        <f>AVERAGE('02.08 Mulago-Kyebando'!F36,'29.07 Mulago-Kyebando'!F36,'30.07 Mulago-Kyebando'!F36,'31.07 Mulago-Kyebando'!F36,'01.08 Mulago-Kyebando-24h'!F36,'03.08 Mulago-Kyebando-24h'!F36,'04.08 Mulago-Kyebando'!F36)</f>
        <v>11.714285714285714</v>
      </c>
      <c r="G36" s="49">
        <f>AVERAGE('02.08 Mulago-Kyebando'!G36,'29.07 Mulago-Kyebando'!G36,'30.07 Mulago-Kyebando'!G36,'31.07 Mulago-Kyebando'!G36,'01.08 Mulago-Kyebando-24h'!G36,'03.08 Mulago-Kyebando-24h'!G36,'04.08 Mulago-Kyebando'!G36)</f>
        <v>0.14285714285714285</v>
      </c>
      <c r="H36" s="49">
        <f>AVERAGE('02.08 Mulago-Kyebando'!H36,'29.07 Mulago-Kyebando'!H36,'30.07 Mulago-Kyebando'!H36,'31.07 Mulago-Kyebando'!H36,'01.08 Mulago-Kyebando-24h'!H36,'03.08 Mulago-Kyebando-24h'!H36,'04.08 Mulago-Kyebando'!H36)</f>
        <v>0</v>
      </c>
      <c r="I36" s="49">
        <f>AVERAGE('02.08 Mulago-Kyebando'!I36,'29.07 Mulago-Kyebando'!I36,'30.07 Mulago-Kyebando'!I36,'31.07 Mulago-Kyebando'!I36,'01.08 Mulago-Kyebando-24h'!I36,'03.08 Mulago-Kyebando-24h'!I36,'04.08 Mulago-Kyebando'!I36)</f>
        <v>6.1428571428571432</v>
      </c>
      <c r="J36" s="49">
        <f>AVERAGE('02.08 Mulago-Kyebando'!J36,'29.07 Mulago-Kyebando'!J36,'30.07 Mulago-Kyebando'!J36,'31.07 Mulago-Kyebando'!J36,'01.08 Mulago-Kyebando-24h'!J36,'03.08 Mulago-Kyebando-24h'!J36,'04.08 Mulago-Kyebando'!J36)</f>
        <v>0.8571428571428571</v>
      </c>
      <c r="K36" s="49">
        <f>AVERAGE('02.08 Mulago-Kyebando'!K36,'29.07 Mulago-Kyebando'!K36,'30.07 Mulago-Kyebando'!K36,'31.07 Mulago-Kyebando'!K36,'01.08 Mulago-Kyebando-24h'!K36,'03.08 Mulago-Kyebando-24h'!K36,'04.08 Mulago-Kyebando'!K36)</f>
        <v>0</v>
      </c>
      <c r="L36" s="49">
        <f>AVERAGE('02.08 Mulago-Kyebando'!L36,'29.07 Mulago-Kyebando'!L36,'30.07 Mulago-Kyebando'!L36,'31.07 Mulago-Kyebando'!L36,'01.08 Mulago-Kyebando-24h'!L36,'03.08 Mulago-Kyebando-24h'!L36,'04.08 Mulago-Kyebando'!L36)</f>
        <v>0</v>
      </c>
      <c r="M36" s="49">
        <f>AVERAGE('02.08 Mulago-Kyebando'!M36,'29.07 Mulago-Kyebando'!M36,'30.07 Mulago-Kyebando'!M36,'31.07 Mulago-Kyebando'!M36,'01.08 Mulago-Kyebando-24h'!M36,'03.08 Mulago-Kyebando-24h'!M36,'04.08 Mulago-Kyebando'!M36)</f>
        <v>101.14285714285714</v>
      </c>
      <c r="N36" s="49">
        <f>AVERAGE('02.08 Mulago-Kyebando'!N36,'29.07 Mulago-Kyebando'!N36,'30.07 Mulago-Kyebando'!N36,'31.07 Mulago-Kyebando'!N36,'01.08 Mulago-Kyebando-24h'!N36,'03.08 Mulago-Kyebando-24h'!N36,'04.08 Mulago-Kyebando'!N36)</f>
        <v>0</v>
      </c>
      <c r="O36" s="15">
        <f t="shared" si="0"/>
        <v>91.857142857142847</v>
      </c>
      <c r="P36" s="15">
        <f t="shared" si="1"/>
        <v>193</v>
      </c>
      <c r="R36" s="38" t="s">
        <v>92</v>
      </c>
      <c r="S36" s="39">
        <f t="shared" ref="S36:AF36" si="28">MAX(S19:S21)</f>
        <v>493.71428571428578</v>
      </c>
      <c r="T36" s="39">
        <f t="shared" si="28"/>
        <v>63.285714285714285</v>
      </c>
      <c r="U36" s="39">
        <f t="shared" si="28"/>
        <v>45.857142857142854</v>
      </c>
      <c r="V36" s="39">
        <f t="shared" si="28"/>
        <v>78.571428571428569</v>
      </c>
      <c r="W36" s="39">
        <f t="shared" si="28"/>
        <v>2.2857142857142856</v>
      </c>
      <c r="X36" s="39">
        <f t="shared" si="28"/>
        <v>0.5714285714285714</v>
      </c>
      <c r="Y36" s="39">
        <f t="shared" si="28"/>
        <v>16.714285714285715</v>
      </c>
      <c r="Z36" s="39">
        <f t="shared" si="28"/>
        <v>4.4285714285714288</v>
      </c>
      <c r="AA36" s="39">
        <f t="shared" si="28"/>
        <v>0.5714285714285714</v>
      </c>
      <c r="AB36" s="39">
        <f t="shared" si="28"/>
        <v>0</v>
      </c>
      <c r="AC36" s="39">
        <f t="shared" si="28"/>
        <v>455</v>
      </c>
      <c r="AD36" s="39">
        <f t="shared" si="28"/>
        <v>0</v>
      </c>
      <c r="AE36" s="40">
        <f t="shared" si="28"/>
        <v>687.85714285714278</v>
      </c>
      <c r="AF36" s="40">
        <f t="shared" si="28"/>
        <v>1134.4285714285713</v>
      </c>
    </row>
    <row r="37" spans="2:32" ht="23.1" customHeight="1" x14ac:dyDescent="0.25">
      <c r="B37" s="23" t="s">
        <v>64</v>
      </c>
      <c r="C37" s="49">
        <f>AVERAGE('02.08 Mulago-Kyebando'!C37,'29.07 Mulago-Kyebando'!C37,'30.07 Mulago-Kyebando'!C37,'31.07 Mulago-Kyebando'!C37,'01.08 Mulago-Kyebando-24h'!C37,'03.08 Mulago-Kyebando-24h'!C37,'04.08 Mulago-Kyebando'!C37)</f>
        <v>50.142857142857146</v>
      </c>
      <c r="D37" s="49">
        <f>AVERAGE('02.08 Mulago-Kyebando'!D37,'29.07 Mulago-Kyebando'!D37,'30.07 Mulago-Kyebando'!D37,'31.07 Mulago-Kyebando'!D37,'01.08 Mulago-Kyebando-24h'!D37,'03.08 Mulago-Kyebando-24h'!D37,'04.08 Mulago-Kyebando'!D37)</f>
        <v>9.4285714285714288</v>
      </c>
      <c r="E37" s="49">
        <f>AVERAGE('02.08 Mulago-Kyebando'!E37,'29.07 Mulago-Kyebando'!E37,'30.07 Mulago-Kyebando'!E37,'31.07 Mulago-Kyebando'!E37,'01.08 Mulago-Kyebando-24h'!E37,'03.08 Mulago-Kyebando-24h'!E37,'04.08 Mulago-Kyebando'!E37)</f>
        <v>8.1428571428571423</v>
      </c>
      <c r="F37" s="49">
        <f>AVERAGE('02.08 Mulago-Kyebando'!F37,'29.07 Mulago-Kyebando'!F37,'30.07 Mulago-Kyebando'!F37,'31.07 Mulago-Kyebando'!F37,'01.08 Mulago-Kyebando-24h'!F37,'03.08 Mulago-Kyebando-24h'!F37,'04.08 Mulago-Kyebando'!F37)</f>
        <v>9</v>
      </c>
      <c r="G37" s="49">
        <f>AVERAGE('02.08 Mulago-Kyebando'!G37,'29.07 Mulago-Kyebando'!G37,'30.07 Mulago-Kyebando'!G37,'31.07 Mulago-Kyebando'!G37,'01.08 Mulago-Kyebando-24h'!G37,'03.08 Mulago-Kyebando-24h'!G37,'04.08 Mulago-Kyebando'!G37)</f>
        <v>0</v>
      </c>
      <c r="H37" s="49">
        <f>AVERAGE('02.08 Mulago-Kyebando'!H37,'29.07 Mulago-Kyebando'!H37,'30.07 Mulago-Kyebando'!H37,'31.07 Mulago-Kyebando'!H37,'01.08 Mulago-Kyebando-24h'!H37,'03.08 Mulago-Kyebando-24h'!H37,'04.08 Mulago-Kyebando'!H37)</f>
        <v>0</v>
      </c>
      <c r="I37" s="49">
        <f>AVERAGE('02.08 Mulago-Kyebando'!I37,'29.07 Mulago-Kyebando'!I37,'30.07 Mulago-Kyebando'!I37,'31.07 Mulago-Kyebando'!I37,'01.08 Mulago-Kyebando-24h'!I37,'03.08 Mulago-Kyebando-24h'!I37,'04.08 Mulago-Kyebando'!I37)</f>
        <v>4</v>
      </c>
      <c r="J37" s="49">
        <f>AVERAGE('02.08 Mulago-Kyebando'!J37,'29.07 Mulago-Kyebando'!J37,'30.07 Mulago-Kyebando'!J37,'31.07 Mulago-Kyebando'!J37,'01.08 Mulago-Kyebando-24h'!J37,'03.08 Mulago-Kyebando-24h'!J37,'04.08 Mulago-Kyebando'!J37)</f>
        <v>0.2857142857142857</v>
      </c>
      <c r="K37" s="49">
        <f>AVERAGE('02.08 Mulago-Kyebando'!K37,'29.07 Mulago-Kyebando'!K37,'30.07 Mulago-Kyebando'!K37,'31.07 Mulago-Kyebando'!K37,'01.08 Mulago-Kyebando-24h'!K37,'03.08 Mulago-Kyebando-24h'!K37,'04.08 Mulago-Kyebando'!K37)</f>
        <v>0</v>
      </c>
      <c r="L37" s="49">
        <f>AVERAGE('02.08 Mulago-Kyebando'!L37,'29.07 Mulago-Kyebando'!L37,'30.07 Mulago-Kyebando'!L37,'31.07 Mulago-Kyebando'!L37,'01.08 Mulago-Kyebando-24h'!L37,'03.08 Mulago-Kyebando-24h'!L37,'04.08 Mulago-Kyebando'!L37)</f>
        <v>0</v>
      </c>
      <c r="M37" s="49">
        <f>AVERAGE('02.08 Mulago-Kyebando'!M37,'29.07 Mulago-Kyebando'!M37,'30.07 Mulago-Kyebando'!M37,'31.07 Mulago-Kyebando'!M37,'01.08 Mulago-Kyebando-24h'!M37,'03.08 Mulago-Kyebando-24h'!M37,'04.08 Mulago-Kyebando'!M37)</f>
        <v>77.142857142857139</v>
      </c>
      <c r="N37" s="49">
        <f>AVERAGE('02.08 Mulago-Kyebando'!N37,'29.07 Mulago-Kyebando'!N37,'30.07 Mulago-Kyebando'!N37,'31.07 Mulago-Kyebando'!N37,'01.08 Mulago-Kyebando-24h'!N37,'03.08 Mulago-Kyebando-24h'!N37,'04.08 Mulago-Kyebando'!N37)</f>
        <v>0</v>
      </c>
      <c r="O37" s="15">
        <f t="shared" si="0"/>
        <v>81.000000000000014</v>
      </c>
      <c r="P37" s="15">
        <f t="shared" si="1"/>
        <v>158.14285714285717</v>
      </c>
      <c r="R37" s="37" t="s">
        <v>85</v>
      </c>
      <c r="S37" s="35">
        <f t="shared" ref="S37:AF37" si="29">SUM(S10:S12)</f>
        <v>286.57142857142856</v>
      </c>
      <c r="T37" s="16">
        <f t="shared" si="29"/>
        <v>41.714285714285715</v>
      </c>
      <c r="U37" s="16">
        <f t="shared" si="29"/>
        <v>47</v>
      </c>
      <c r="V37" s="16">
        <f t="shared" si="29"/>
        <v>131.42857142857144</v>
      </c>
      <c r="W37" s="16">
        <f t="shared" si="29"/>
        <v>4.4285714285714279</v>
      </c>
      <c r="X37" s="16">
        <f t="shared" si="29"/>
        <v>0</v>
      </c>
      <c r="Y37" s="16">
        <f t="shared" si="29"/>
        <v>27</v>
      </c>
      <c r="Z37" s="16">
        <f t="shared" si="29"/>
        <v>5.4285714285714288</v>
      </c>
      <c r="AA37" s="16">
        <f t="shared" si="29"/>
        <v>1.2857142857142856</v>
      </c>
      <c r="AB37" s="16">
        <f t="shared" si="29"/>
        <v>0</v>
      </c>
      <c r="AC37" s="16">
        <f t="shared" si="29"/>
        <v>1754.1428571428569</v>
      </c>
      <c r="AD37" s="16">
        <f t="shared" si="29"/>
        <v>0</v>
      </c>
      <c r="AE37" s="32">
        <f t="shared" si="29"/>
        <v>544.85714285714289</v>
      </c>
      <c r="AF37" s="32">
        <f t="shared" si="29"/>
        <v>2299</v>
      </c>
    </row>
    <row r="38" spans="2:32" ht="23.1" customHeight="1" x14ac:dyDescent="0.25">
      <c r="B38" s="24" t="s">
        <v>65</v>
      </c>
      <c r="C38" s="49">
        <f>AVERAGE('02.08 Mulago-Kyebando'!C38,'29.07 Mulago-Kyebando'!C38,'30.07 Mulago-Kyebando'!C38,'31.07 Mulago-Kyebando'!C38,'01.08 Mulago-Kyebando-24h'!C38,'03.08 Mulago-Kyebando-24h'!C38,'04.08 Mulago-Kyebando'!C38)</f>
        <v>59.142857142857146</v>
      </c>
      <c r="D38" s="49">
        <f>AVERAGE('02.08 Mulago-Kyebando'!D38,'29.07 Mulago-Kyebando'!D38,'30.07 Mulago-Kyebando'!D38,'31.07 Mulago-Kyebando'!D38,'01.08 Mulago-Kyebando-24h'!D38,'03.08 Mulago-Kyebando-24h'!D38,'04.08 Mulago-Kyebando'!D38)</f>
        <v>8.8571428571428577</v>
      </c>
      <c r="E38" s="49">
        <f>AVERAGE('02.08 Mulago-Kyebando'!E38,'29.07 Mulago-Kyebando'!E38,'30.07 Mulago-Kyebando'!E38,'31.07 Mulago-Kyebando'!E38,'01.08 Mulago-Kyebando-24h'!E38,'03.08 Mulago-Kyebando-24h'!E38,'04.08 Mulago-Kyebando'!E38)</f>
        <v>8.5714285714285712</v>
      </c>
      <c r="F38" s="49">
        <f>AVERAGE('02.08 Mulago-Kyebando'!F38,'29.07 Mulago-Kyebando'!F38,'30.07 Mulago-Kyebando'!F38,'31.07 Mulago-Kyebando'!F38,'01.08 Mulago-Kyebando-24h'!F38,'03.08 Mulago-Kyebando-24h'!F38,'04.08 Mulago-Kyebando'!F38)</f>
        <v>13.571428571428571</v>
      </c>
      <c r="G38" s="49">
        <f>AVERAGE('02.08 Mulago-Kyebando'!G38,'29.07 Mulago-Kyebando'!G38,'30.07 Mulago-Kyebando'!G38,'31.07 Mulago-Kyebando'!G38,'01.08 Mulago-Kyebando-24h'!G38,'03.08 Mulago-Kyebando-24h'!G38,'04.08 Mulago-Kyebando'!G38)</f>
        <v>0.5714285714285714</v>
      </c>
      <c r="H38" s="49">
        <f>AVERAGE('02.08 Mulago-Kyebando'!H38,'29.07 Mulago-Kyebando'!H38,'30.07 Mulago-Kyebando'!H38,'31.07 Mulago-Kyebando'!H38,'01.08 Mulago-Kyebando-24h'!H38,'03.08 Mulago-Kyebando-24h'!H38,'04.08 Mulago-Kyebando'!H38)</f>
        <v>0</v>
      </c>
      <c r="I38" s="49">
        <f>AVERAGE('02.08 Mulago-Kyebando'!I38,'29.07 Mulago-Kyebando'!I38,'30.07 Mulago-Kyebando'!I38,'31.07 Mulago-Kyebando'!I38,'01.08 Mulago-Kyebando-24h'!I38,'03.08 Mulago-Kyebando-24h'!I38,'04.08 Mulago-Kyebando'!I38)</f>
        <v>4.2857142857142856</v>
      </c>
      <c r="J38" s="49">
        <f>AVERAGE('02.08 Mulago-Kyebando'!J38,'29.07 Mulago-Kyebando'!J38,'30.07 Mulago-Kyebando'!J38,'31.07 Mulago-Kyebando'!J38,'01.08 Mulago-Kyebando-24h'!J38,'03.08 Mulago-Kyebando-24h'!J38,'04.08 Mulago-Kyebando'!J38)</f>
        <v>1.2857142857142858</v>
      </c>
      <c r="K38" s="49">
        <f>AVERAGE('02.08 Mulago-Kyebando'!K38,'29.07 Mulago-Kyebando'!K38,'30.07 Mulago-Kyebando'!K38,'31.07 Mulago-Kyebando'!K38,'01.08 Mulago-Kyebando-24h'!K38,'03.08 Mulago-Kyebando-24h'!K38,'04.08 Mulago-Kyebando'!K38)</f>
        <v>0.14285714285714285</v>
      </c>
      <c r="L38" s="49">
        <f>AVERAGE('02.08 Mulago-Kyebando'!L38,'29.07 Mulago-Kyebando'!L38,'30.07 Mulago-Kyebando'!L38,'31.07 Mulago-Kyebando'!L38,'01.08 Mulago-Kyebando-24h'!L38,'03.08 Mulago-Kyebando-24h'!L38,'04.08 Mulago-Kyebando'!L38)</f>
        <v>0</v>
      </c>
      <c r="M38" s="49">
        <f>AVERAGE('02.08 Mulago-Kyebando'!M38,'29.07 Mulago-Kyebando'!M38,'30.07 Mulago-Kyebando'!M38,'31.07 Mulago-Kyebando'!M38,'01.08 Mulago-Kyebando-24h'!M38,'03.08 Mulago-Kyebando-24h'!M38,'04.08 Mulago-Kyebando'!M38)</f>
        <v>114.14285714285714</v>
      </c>
      <c r="N38" s="49">
        <f>AVERAGE('02.08 Mulago-Kyebando'!N38,'29.07 Mulago-Kyebando'!N38,'30.07 Mulago-Kyebando'!N38,'31.07 Mulago-Kyebando'!N38,'01.08 Mulago-Kyebando-24h'!N38,'03.08 Mulago-Kyebando-24h'!N38,'04.08 Mulago-Kyebando'!N38)</f>
        <v>0</v>
      </c>
      <c r="O38" s="15">
        <f t="shared" si="0"/>
        <v>96.428571428571431</v>
      </c>
      <c r="P38" s="15">
        <f t="shared" si="1"/>
        <v>210.57142857142856</v>
      </c>
      <c r="R38" s="28" t="s">
        <v>86</v>
      </c>
      <c r="S38" s="16">
        <f t="shared" ref="S38:AF38" si="30">SUM(S13:S18)</f>
        <v>1194.7142857142858</v>
      </c>
      <c r="T38" s="16">
        <f t="shared" si="30"/>
        <v>215.14285714285717</v>
      </c>
      <c r="U38" s="16">
        <f t="shared" si="30"/>
        <v>204.85714285714289</v>
      </c>
      <c r="V38" s="16">
        <f t="shared" si="30"/>
        <v>304.57142857142856</v>
      </c>
      <c r="W38" s="16">
        <f t="shared" si="30"/>
        <v>7.2857142857142847</v>
      </c>
      <c r="X38" s="16">
        <f t="shared" si="30"/>
        <v>0.8571428571428571</v>
      </c>
      <c r="Y38" s="16">
        <f t="shared" si="30"/>
        <v>123.28571428571428</v>
      </c>
      <c r="Z38" s="16">
        <f t="shared" si="30"/>
        <v>22.142857142857142</v>
      </c>
      <c r="AA38" s="16">
        <f t="shared" si="30"/>
        <v>2.2857142857142856</v>
      </c>
      <c r="AB38" s="16">
        <f t="shared" si="30"/>
        <v>0</v>
      </c>
      <c r="AC38" s="16">
        <f t="shared" si="30"/>
        <v>2660.4047619047619</v>
      </c>
      <c r="AD38" s="16">
        <f t="shared" si="30"/>
        <v>0</v>
      </c>
      <c r="AE38" s="32">
        <f t="shared" si="30"/>
        <v>2075.1428571428573</v>
      </c>
      <c r="AF38" s="32">
        <f t="shared" si="30"/>
        <v>4735.5476190476193</v>
      </c>
    </row>
    <row r="39" spans="2:32" ht="23.1" customHeight="1" x14ac:dyDescent="0.25">
      <c r="B39" s="24" t="s">
        <v>66</v>
      </c>
      <c r="C39" s="49">
        <f>AVERAGE('02.08 Mulago-Kyebando'!C39,'29.07 Mulago-Kyebando'!C39,'30.07 Mulago-Kyebando'!C39,'31.07 Mulago-Kyebando'!C39,'01.08 Mulago-Kyebando-24h'!C39,'03.08 Mulago-Kyebando-24h'!C39,'04.08 Mulago-Kyebando'!C39)</f>
        <v>56.714285714285715</v>
      </c>
      <c r="D39" s="49">
        <f>AVERAGE('02.08 Mulago-Kyebando'!D39,'29.07 Mulago-Kyebando'!D39,'30.07 Mulago-Kyebando'!D39,'31.07 Mulago-Kyebando'!D39,'01.08 Mulago-Kyebando-24h'!D39,'03.08 Mulago-Kyebando-24h'!D39,'04.08 Mulago-Kyebando'!D39)</f>
        <v>6.7142857142857144</v>
      </c>
      <c r="E39" s="49">
        <f>AVERAGE('02.08 Mulago-Kyebando'!E39,'29.07 Mulago-Kyebando'!E39,'30.07 Mulago-Kyebando'!E39,'31.07 Mulago-Kyebando'!E39,'01.08 Mulago-Kyebando-24h'!E39,'03.08 Mulago-Kyebando-24h'!E39,'04.08 Mulago-Kyebando'!E39)</f>
        <v>7.2857142857142856</v>
      </c>
      <c r="F39" s="49">
        <f>AVERAGE('02.08 Mulago-Kyebando'!F39,'29.07 Mulago-Kyebando'!F39,'30.07 Mulago-Kyebando'!F39,'31.07 Mulago-Kyebando'!F39,'01.08 Mulago-Kyebando-24h'!F39,'03.08 Mulago-Kyebando-24h'!F39,'04.08 Mulago-Kyebando'!F39)</f>
        <v>11.142857142857142</v>
      </c>
      <c r="G39" s="49">
        <f>AVERAGE('02.08 Mulago-Kyebando'!G39,'29.07 Mulago-Kyebando'!G39,'30.07 Mulago-Kyebando'!G39,'31.07 Mulago-Kyebando'!G39,'01.08 Mulago-Kyebando-24h'!G39,'03.08 Mulago-Kyebando-24h'!G39,'04.08 Mulago-Kyebando'!G39)</f>
        <v>0.42857142857142855</v>
      </c>
      <c r="H39" s="49">
        <f>AVERAGE('02.08 Mulago-Kyebando'!H39,'29.07 Mulago-Kyebando'!H39,'30.07 Mulago-Kyebando'!H39,'31.07 Mulago-Kyebando'!H39,'01.08 Mulago-Kyebando-24h'!H39,'03.08 Mulago-Kyebando-24h'!H39,'04.08 Mulago-Kyebando'!H39)</f>
        <v>0.14285714285714285</v>
      </c>
      <c r="I39" s="49">
        <f>AVERAGE('02.08 Mulago-Kyebando'!I39,'29.07 Mulago-Kyebando'!I39,'30.07 Mulago-Kyebando'!I39,'31.07 Mulago-Kyebando'!I39,'01.08 Mulago-Kyebando-24h'!I39,'03.08 Mulago-Kyebando-24h'!I39,'04.08 Mulago-Kyebando'!I39)</f>
        <v>4.4285714285714288</v>
      </c>
      <c r="J39" s="49">
        <f>AVERAGE('02.08 Mulago-Kyebando'!J39,'29.07 Mulago-Kyebando'!J39,'30.07 Mulago-Kyebando'!J39,'31.07 Mulago-Kyebando'!J39,'01.08 Mulago-Kyebando-24h'!J39,'03.08 Mulago-Kyebando-24h'!J39,'04.08 Mulago-Kyebando'!J39)</f>
        <v>0.5714285714285714</v>
      </c>
      <c r="K39" s="49">
        <f>AVERAGE('02.08 Mulago-Kyebando'!K39,'29.07 Mulago-Kyebando'!K39,'30.07 Mulago-Kyebando'!K39,'31.07 Mulago-Kyebando'!K39,'01.08 Mulago-Kyebando-24h'!K39,'03.08 Mulago-Kyebando-24h'!K39,'04.08 Mulago-Kyebando'!K39)</f>
        <v>0.2857142857142857</v>
      </c>
      <c r="L39" s="49">
        <f>AVERAGE('02.08 Mulago-Kyebando'!L39,'29.07 Mulago-Kyebando'!L39,'30.07 Mulago-Kyebando'!L39,'31.07 Mulago-Kyebando'!L39,'01.08 Mulago-Kyebando-24h'!L39,'03.08 Mulago-Kyebando-24h'!L39,'04.08 Mulago-Kyebando'!L39)</f>
        <v>0</v>
      </c>
      <c r="M39" s="49">
        <f>AVERAGE('02.08 Mulago-Kyebando'!M39,'29.07 Mulago-Kyebando'!M39,'30.07 Mulago-Kyebando'!M39,'31.07 Mulago-Kyebando'!M39,'01.08 Mulago-Kyebando-24h'!M39,'03.08 Mulago-Kyebando-24h'!M39,'04.08 Mulago-Kyebando'!M39)</f>
        <v>103</v>
      </c>
      <c r="N39" s="49">
        <f>AVERAGE('02.08 Mulago-Kyebando'!N39,'29.07 Mulago-Kyebando'!N39,'30.07 Mulago-Kyebando'!N39,'31.07 Mulago-Kyebando'!N39,'01.08 Mulago-Kyebando-24h'!N39,'03.08 Mulago-Kyebando-24h'!N39,'04.08 Mulago-Kyebando'!N39)</f>
        <v>0</v>
      </c>
      <c r="O39" s="15">
        <f t="shared" si="0"/>
        <v>87.714285714285722</v>
      </c>
      <c r="P39" s="15">
        <f t="shared" si="1"/>
        <v>190.71428571428572</v>
      </c>
      <c r="R39" s="29" t="s">
        <v>87</v>
      </c>
      <c r="S39" s="16">
        <f t="shared" ref="S39:AF39" si="31">SUM(S19:S21)</f>
        <v>1271</v>
      </c>
      <c r="T39" s="16">
        <f t="shared" si="31"/>
        <v>163.57142857142856</v>
      </c>
      <c r="U39" s="16">
        <f t="shared" si="31"/>
        <v>119.85714285714285</v>
      </c>
      <c r="V39" s="16">
        <f t="shared" si="31"/>
        <v>199.14285714285714</v>
      </c>
      <c r="W39" s="16">
        <f t="shared" si="31"/>
        <v>6.4285714285714279</v>
      </c>
      <c r="X39" s="16">
        <f t="shared" si="31"/>
        <v>1</v>
      </c>
      <c r="Y39" s="16">
        <f t="shared" si="31"/>
        <v>46.571428571428577</v>
      </c>
      <c r="Z39" s="16">
        <f t="shared" si="31"/>
        <v>10.285714285714285</v>
      </c>
      <c r="AA39" s="16">
        <f t="shared" si="31"/>
        <v>1.4285714285714286</v>
      </c>
      <c r="AB39" s="16">
        <f t="shared" si="31"/>
        <v>0</v>
      </c>
      <c r="AC39" s="16">
        <f t="shared" si="31"/>
        <v>1328.1428571428571</v>
      </c>
      <c r="AD39" s="16">
        <f t="shared" si="31"/>
        <v>0</v>
      </c>
      <c r="AE39" s="32">
        <f t="shared" si="31"/>
        <v>1819.2857142857142</v>
      </c>
      <c r="AF39" s="32">
        <f t="shared" si="31"/>
        <v>3147.4285714285716</v>
      </c>
    </row>
    <row r="40" spans="2:32" ht="23.1" customHeight="1" x14ac:dyDescent="0.25">
      <c r="B40" s="24" t="s">
        <v>67</v>
      </c>
      <c r="C40" s="49">
        <f>AVERAGE('02.08 Mulago-Kyebando'!C40,'29.07 Mulago-Kyebando'!C40,'30.07 Mulago-Kyebando'!C40,'31.07 Mulago-Kyebando'!C40,'01.08 Mulago-Kyebando-24h'!C40,'03.08 Mulago-Kyebando-24h'!C40,'04.08 Mulago-Kyebando'!C40)</f>
        <v>63.428571428571431</v>
      </c>
      <c r="D40" s="49">
        <f>AVERAGE('02.08 Mulago-Kyebando'!D40,'29.07 Mulago-Kyebando'!D40,'30.07 Mulago-Kyebando'!D40,'31.07 Mulago-Kyebando'!D40,'01.08 Mulago-Kyebando-24h'!D40,'03.08 Mulago-Kyebando-24h'!D40,'04.08 Mulago-Kyebando'!D40)</f>
        <v>33</v>
      </c>
      <c r="E40" s="49">
        <f>AVERAGE('02.08 Mulago-Kyebando'!E40,'29.07 Mulago-Kyebando'!E40,'30.07 Mulago-Kyebando'!E40,'31.07 Mulago-Kyebando'!E40,'01.08 Mulago-Kyebando-24h'!E40,'03.08 Mulago-Kyebando-24h'!E40,'04.08 Mulago-Kyebando'!E40)</f>
        <v>7.5714285714285712</v>
      </c>
      <c r="F40" s="49">
        <f>AVERAGE('02.08 Mulago-Kyebando'!F40,'29.07 Mulago-Kyebando'!F40,'30.07 Mulago-Kyebando'!F40,'31.07 Mulago-Kyebando'!F40,'01.08 Mulago-Kyebando-24h'!F40,'03.08 Mulago-Kyebando-24h'!F40,'04.08 Mulago-Kyebando'!F40)</f>
        <v>9.5714285714285712</v>
      </c>
      <c r="G40" s="49">
        <f>AVERAGE('02.08 Mulago-Kyebando'!G40,'29.07 Mulago-Kyebando'!G40,'30.07 Mulago-Kyebando'!G40,'31.07 Mulago-Kyebando'!G40,'01.08 Mulago-Kyebando-24h'!G40,'03.08 Mulago-Kyebando-24h'!G40,'04.08 Mulago-Kyebando'!G40)</f>
        <v>0.14285714285714285</v>
      </c>
      <c r="H40" s="49">
        <f>AVERAGE('02.08 Mulago-Kyebando'!H40,'29.07 Mulago-Kyebando'!H40,'30.07 Mulago-Kyebando'!H40,'31.07 Mulago-Kyebando'!H40,'01.08 Mulago-Kyebando-24h'!H40,'03.08 Mulago-Kyebando-24h'!H40,'04.08 Mulago-Kyebando'!H40)</f>
        <v>0.14285714285714285</v>
      </c>
      <c r="I40" s="49">
        <f>AVERAGE('02.08 Mulago-Kyebando'!I40,'29.07 Mulago-Kyebando'!I40,'30.07 Mulago-Kyebando'!I40,'31.07 Mulago-Kyebando'!I40,'01.08 Mulago-Kyebando-24h'!I40,'03.08 Mulago-Kyebando-24h'!I40,'04.08 Mulago-Kyebando'!I40)</f>
        <v>6</v>
      </c>
      <c r="J40" s="49">
        <f>AVERAGE('02.08 Mulago-Kyebando'!J40,'29.07 Mulago-Kyebando'!J40,'30.07 Mulago-Kyebando'!J40,'31.07 Mulago-Kyebando'!J40,'01.08 Mulago-Kyebando-24h'!J40,'03.08 Mulago-Kyebando-24h'!J40,'04.08 Mulago-Kyebando'!J40)</f>
        <v>1.5714285714285714</v>
      </c>
      <c r="K40" s="49">
        <f>AVERAGE('02.08 Mulago-Kyebando'!K40,'29.07 Mulago-Kyebando'!K40,'30.07 Mulago-Kyebando'!K40,'31.07 Mulago-Kyebando'!K40,'01.08 Mulago-Kyebando-24h'!K40,'03.08 Mulago-Kyebando-24h'!K40,'04.08 Mulago-Kyebando'!K40)</f>
        <v>0.14285714285714285</v>
      </c>
      <c r="L40" s="49">
        <f>AVERAGE('02.08 Mulago-Kyebando'!L40,'29.07 Mulago-Kyebando'!L40,'30.07 Mulago-Kyebando'!L40,'31.07 Mulago-Kyebando'!L40,'01.08 Mulago-Kyebando-24h'!L40,'03.08 Mulago-Kyebando-24h'!L40,'04.08 Mulago-Kyebando'!L40)</f>
        <v>0</v>
      </c>
      <c r="M40" s="49">
        <f>AVERAGE('02.08 Mulago-Kyebando'!M40,'29.07 Mulago-Kyebando'!M40,'30.07 Mulago-Kyebando'!M40,'31.07 Mulago-Kyebando'!M40,'01.08 Mulago-Kyebando-24h'!M40,'03.08 Mulago-Kyebando-24h'!M40,'04.08 Mulago-Kyebando'!M40)</f>
        <v>100.42857142857143</v>
      </c>
      <c r="N40" s="49">
        <f>AVERAGE('02.08 Mulago-Kyebando'!N40,'29.07 Mulago-Kyebando'!N40,'30.07 Mulago-Kyebando'!N40,'31.07 Mulago-Kyebando'!N40,'01.08 Mulago-Kyebando-24h'!N40,'03.08 Mulago-Kyebando-24h'!N40,'04.08 Mulago-Kyebando'!N40)</f>
        <v>0</v>
      </c>
      <c r="O40" s="15">
        <f t="shared" si="0"/>
        <v>121.57142857142856</v>
      </c>
      <c r="P40" s="15">
        <f t="shared" si="1"/>
        <v>222</v>
      </c>
      <c r="R40" s="5" t="s">
        <v>17</v>
      </c>
      <c r="S40" s="16">
        <f t="shared" ref="S40:AF40" si="32">SUM(S10:S21)</f>
        <v>2752.2857142857147</v>
      </c>
      <c r="T40" s="16">
        <f t="shared" si="32"/>
        <v>420.42857142857144</v>
      </c>
      <c r="U40" s="16">
        <f t="shared" si="32"/>
        <v>371.71428571428567</v>
      </c>
      <c r="V40" s="16">
        <f t="shared" si="32"/>
        <v>635.14285714285711</v>
      </c>
      <c r="W40" s="16">
        <f t="shared" si="32"/>
        <v>18.142857142857139</v>
      </c>
      <c r="X40" s="16">
        <f t="shared" si="32"/>
        <v>1.857142857142857</v>
      </c>
      <c r="Y40" s="16">
        <f t="shared" si="32"/>
        <v>196.85714285714283</v>
      </c>
      <c r="Z40" s="16">
        <f t="shared" si="32"/>
        <v>37.857142857142861</v>
      </c>
      <c r="AA40" s="16">
        <f t="shared" si="32"/>
        <v>5</v>
      </c>
      <c r="AB40" s="16">
        <f t="shared" si="32"/>
        <v>0</v>
      </c>
      <c r="AC40" s="16">
        <f t="shared" si="32"/>
        <v>5742.6904761904761</v>
      </c>
      <c r="AD40" s="16">
        <f t="shared" si="32"/>
        <v>0</v>
      </c>
      <c r="AE40" s="32">
        <f t="shared" si="32"/>
        <v>4439.2857142857138</v>
      </c>
      <c r="AF40" s="32">
        <f t="shared" si="32"/>
        <v>10181.976190476189</v>
      </c>
    </row>
    <row r="41" spans="2:32" ht="23.1" customHeight="1" x14ac:dyDescent="0.25">
      <c r="B41" s="23" t="s">
        <v>68</v>
      </c>
      <c r="C41" s="49">
        <f>AVERAGE('02.08 Mulago-Kyebando'!C41,'29.07 Mulago-Kyebando'!C41,'30.07 Mulago-Kyebando'!C41,'31.07 Mulago-Kyebando'!C41,'01.08 Mulago-Kyebando-24h'!C41,'03.08 Mulago-Kyebando-24h'!C41,'04.08 Mulago-Kyebando'!C41)</f>
        <v>46.714285714285715</v>
      </c>
      <c r="D41" s="49">
        <f>AVERAGE('02.08 Mulago-Kyebando'!D41,'29.07 Mulago-Kyebando'!D41,'30.07 Mulago-Kyebando'!D41,'31.07 Mulago-Kyebando'!D41,'01.08 Mulago-Kyebando-24h'!D41,'03.08 Mulago-Kyebando-24h'!D41,'04.08 Mulago-Kyebando'!D41)</f>
        <v>6.1428571428571432</v>
      </c>
      <c r="E41" s="49">
        <f>AVERAGE('02.08 Mulago-Kyebando'!E41,'29.07 Mulago-Kyebando'!E41,'30.07 Mulago-Kyebando'!E41,'31.07 Mulago-Kyebando'!E41,'01.08 Mulago-Kyebando-24h'!E41,'03.08 Mulago-Kyebando-24h'!E41,'04.08 Mulago-Kyebando'!E41)</f>
        <v>5.1428571428571432</v>
      </c>
      <c r="F41" s="49">
        <f>AVERAGE('02.08 Mulago-Kyebando'!F41,'29.07 Mulago-Kyebando'!F41,'30.07 Mulago-Kyebando'!F41,'31.07 Mulago-Kyebando'!F41,'01.08 Mulago-Kyebando-24h'!F41,'03.08 Mulago-Kyebando-24h'!F41,'04.08 Mulago-Kyebando'!F41)</f>
        <v>8.7142857142857135</v>
      </c>
      <c r="G41" s="49">
        <f>AVERAGE('02.08 Mulago-Kyebando'!G41,'29.07 Mulago-Kyebando'!G41,'30.07 Mulago-Kyebando'!G41,'31.07 Mulago-Kyebando'!G41,'01.08 Mulago-Kyebando-24h'!G41,'03.08 Mulago-Kyebando-24h'!G41,'04.08 Mulago-Kyebando'!G41)</f>
        <v>0</v>
      </c>
      <c r="H41" s="49">
        <f>AVERAGE('02.08 Mulago-Kyebando'!H41,'29.07 Mulago-Kyebando'!H41,'30.07 Mulago-Kyebando'!H41,'31.07 Mulago-Kyebando'!H41,'01.08 Mulago-Kyebando-24h'!H41,'03.08 Mulago-Kyebando-24h'!H41,'04.08 Mulago-Kyebando'!H41)</f>
        <v>0</v>
      </c>
      <c r="I41" s="49">
        <f>AVERAGE('02.08 Mulago-Kyebando'!I41,'29.07 Mulago-Kyebando'!I41,'30.07 Mulago-Kyebando'!I41,'31.07 Mulago-Kyebando'!I41,'01.08 Mulago-Kyebando-24h'!I41,'03.08 Mulago-Kyebando-24h'!I41,'04.08 Mulago-Kyebando'!I41)</f>
        <v>5</v>
      </c>
      <c r="J41" s="49">
        <f>AVERAGE('02.08 Mulago-Kyebando'!J41,'29.07 Mulago-Kyebando'!J41,'30.07 Mulago-Kyebando'!J41,'31.07 Mulago-Kyebando'!J41,'01.08 Mulago-Kyebando-24h'!J41,'03.08 Mulago-Kyebando-24h'!J41,'04.08 Mulago-Kyebando'!J41)</f>
        <v>0.42857142857142855</v>
      </c>
      <c r="K41" s="49">
        <f>AVERAGE('02.08 Mulago-Kyebando'!K41,'29.07 Mulago-Kyebando'!K41,'30.07 Mulago-Kyebando'!K41,'31.07 Mulago-Kyebando'!K41,'01.08 Mulago-Kyebando-24h'!K41,'03.08 Mulago-Kyebando-24h'!K41,'04.08 Mulago-Kyebando'!K41)</f>
        <v>0.14285714285714285</v>
      </c>
      <c r="L41" s="49">
        <f>AVERAGE('02.08 Mulago-Kyebando'!L41,'29.07 Mulago-Kyebando'!L41,'30.07 Mulago-Kyebando'!L41,'31.07 Mulago-Kyebando'!L41,'01.08 Mulago-Kyebando-24h'!L41,'03.08 Mulago-Kyebando-24h'!L41,'04.08 Mulago-Kyebando'!L41)</f>
        <v>0</v>
      </c>
      <c r="M41" s="49">
        <f>AVERAGE('02.08 Mulago-Kyebando'!M41,'29.07 Mulago-Kyebando'!M41,'30.07 Mulago-Kyebando'!M41,'31.07 Mulago-Kyebando'!M41,'01.08 Mulago-Kyebando-24h'!M41,'03.08 Mulago-Kyebando-24h'!M41,'04.08 Mulago-Kyebando'!M41)</f>
        <v>87.142857142857139</v>
      </c>
      <c r="N41" s="49">
        <f>AVERAGE('02.08 Mulago-Kyebando'!N41,'29.07 Mulago-Kyebando'!N41,'30.07 Mulago-Kyebando'!N41,'31.07 Mulago-Kyebando'!N41,'01.08 Mulago-Kyebando-24h'!N41,'03.08 Mulago-Kyebando-24h'!N41,'04.08 Mulago-Kyebando'!N41)</f>
        <v>0</v>
      </c>
      <c r="O41" s="15">
        <f t="shared" si="0"/>
        <v>72.285714285714292</v>
      </c>
      <c r="P41" s="15">
        <f t="shared" si="1"/>
        <v>159.42857142857144</v>
      </c>
      <c r="R41" s="5" t="s">
        <v>185</v>
      </c>
      <c r="S41" s="51">
        <f>SUM(S10:S33)</f>
        <v>4865.7857142857147</v>
      </c>
      <c r="T41" s="51">
        <f t="shared" ref="T41:AD41" si="33">SUM(T10:T33)</f>
        <v>606.92857142857144</v>
      </c>
      <c r="U41" s="51">
        <f t="shared" si="33"/>
        <v>533.21428571428567</v>
      </c>
      <c r="V41" s="51">
        <f t="shared" si="33"/>
        <v>1186.1428571428571</v>
      </c>
      <c r="W41" s="51">
        <f t="shared" si="33"/>
        <v>31.142857142857139</v>
      </c>
      <c r="X41" s="51">
        <f t="shared" si="33"/>
        <v>7.8571428571428568</v>
      </c>
      <c r="Y41" s="51">
        <f t="shared" si="33"/>
        <v>278.85714285714283</v>
      </c>
      <c r="Z41" s="51">
        <f t="shared" si="33"/>
        <v>46.857142857142861</v>
      </c>
      <c r="AA41" s="51">
        <f t="shared" si="33"/>
        <v>7</v>
      </c>
      <c r="AB41" s="51">
        <f t="shared" si="33"/>
        <v>0</v>
      </c>
      <c r="AC41" s="51">
        <f t="shared" si="33"/>
        <v>8638.6904761904771</v>
      </c>
      <c r="AD41" s="51">
        <f t="shared" si="33"/>
        <v>0</v>
      </c>
      <c r="AE41" s="52">
        <f>SUM(AE10:AE33)</f>
        <v>7563.7857142857138</v>
      </c>
      <c r="AF41" s="52">
        <f>SUM(AF10:AF33)</f>
        <v>16202.476190476189</v>
      </c>
    </row>
    <row r="42" spans="2:32" ht="23.1" customHeight="1" x14ac:dyDescent="0.25">
      <c r="B42" s="24" t="s">
        <v>69</v>
      </c>
      <c r="C42" s="49">
        <f>AVERAGE('02.08 Mulago-Kyebando'!C42,'29.07 Mulago-Kyebando'!C42,'30.07 Mulago-Kyebando'!C42,'31.07 Mulago-Kyebando'!C42,'01.08 Mulago-Kyebando-24h'!C42,'03.08 Mulago-Kyebando-24h'!C42,'04.08 Mulago-Kyebando'!C42)</f>
        <v>69.428571428571431</v>
      </c>
      <c r="D42" s="49">
        <f>AVERAGE('02.08 Mulago-Kyebando'!D42,'29.07 Mulago-Kyebando'!D42,'30.07 Mulago-Kyebando'!D42,'31.07 Mulago-Kyebando'!D42,'01.08 Mulago-Kyebando-24h'!D42,'03.08 Mulago-Kyebando-24h'!D42,'04.08 Mulago-Kyebando'!D42)</f>
        <v>11.285714285714286</v>
      </c>
      <c r="E42" s="49">
        <f>AVERAGE('02.08 Mulago-Kyebando'!E42,'29.07 Mulago-Kyebando'!E42,'30.07 Mulago-Kyebando'!E42,'31.07 Mulago-Kyebando'!E42,'01.08 Mulago-Kyebando-24h'!E42,'03.08 Mulago-Kyebando-24h'!E42,'04.08 Mulago-Kyebando'!E42)</f>
        <v>11</v>
      </c>
      <c r="F42" s="49">
        <f>AVERAGE('02.08 Mulago-Kyebando'!F42,'29.07 Mulago-Kyebando'!F42,'30.07 Mulago-Kyebando'!F42,'31.07 Mulago-Kyebando'!F42,'01.08 Mulago-Kyebando-24h'!F42,'03.08 Mulago-Kyebando-24h'!F42,'04.08 Mulago-Kyebando'!F42)</f>
        <v>10.857142857142858</v>
      </c>
      <c r="G42" s="49">
        <f>AVERAGE('02.08 Mulago-Kyebando'!G42,'29.07 Mulago-Kyebando'!G42,'30.07 Mulago-Kyebando'!G42,'31.07 Mulago-Kyebando'!G42,'01.08 Mulago-Kyebando-24h'!G42,'03.08 Mulago-Kyebando-24h'!G42,'04.08 Mulago-Kyebando'!G42)</f>
        <v>0.2857142857142857</v>
      </c>
      <c r="H42" s="49">
        <f>AVERAGE('02.08 Mulago-Kyebando'!H42,'29.07 Mulago-Kyebando'!H42,'30.07 Mulago-Kyebando'!H42,'31.07 Mulago-Kyebando'!H42,'01.08 Mulago-Kyebando-24h'!H42,'03.08 Mulago-Kyebando-24h'!H42,'04.08 Mulago-Kyebando'!H42)</f>
        <v>0.14285714285714285</v>
      </c>
      <c r="I42" s="49">
        <f>AVERAGE('02.08 Mulago-Kyebando'!I42,'29.07 Mulago-Kyebando'!I42,'30.07 Mulago-Kyebando'!I42,'31.07 Mulago-Kyebando'!I42,'01.08 Mulago-Kyebando-24h'!I42,'03.08 Mulago-Kyebando-24h'!I42,'04.08 Mulago-Kyebando'!I42)</f>
        <v>5.4285714285714288</v>
      </c>
      <c r="J42" s="49">
        <f>AVERAGE('02.08 Mulago-Kyebando'!J42,'29.07 Mulago-Kyebando'!J42,'30.07 Mulago-Kyebando'!J42,'31.07 Mulago-Kyebando'!J42,'01.08 Mulago-Kyebando-24h'!J42,'03.08 Mulago-Kyebando-24h'!J42,'04.08 Mulago-Kyebando'!J42)</f>
        <v>0.2857142857142857</v>
      </c>
      <c r="K42" s="49">
        <f>AVERAGE('02.08 Mulago-Kyebando'!K42,'29.07 Mulago-Kyebando'!K42,'30.07 Mulago-Kyebando'!K42,'31.07 Mulago-Kyebando'!K42,'01.08 Mulago-Kyebando-24h'!K42,'03.08 Mulago-Kyebando-24h'!K42,'04.08 Mulago-Kyebando'!K42)</f>
        <v>0</v>
      </c>
      <c r="L42" s="49">
        <f>AVERAGE('02.08 Mulago-Kyebando'!L42,'29.07 Mulago-Kyebando'!L42,'30.07 Mulago-Kyebando'!L42,'31.07 Mulago-Kyebando'!L42,'01.08 Mulago-Kyebando-24h'!L42,'03.08 Mulago-Kyebando-24h'!L42,'04.08 Mulago-Kyebando'!L42)</f>
        <v>0</v>
      </c>
      <c r="M42" s="49">
        <f>AVERAGE('02.08 Mulago-Kyebando'!M42,'29.07 Mulago-Kyebando'!M42,'30.07 Mulago-Kyebando'!M42,'31.07 Mulago-Kyebando'!M42,'01.08 Mulago-Kyebando-24h'!M42,'03.08 Mulago-Kyebando-24h'!M42,'04.08 Mulago-Kyebando'!M42)</f>
        <v>109.14285714285714</v>
      </c>
      <c r="N42" s="49">
        <f>AVERAGE('02.08 Mulago-Kyebando'!N42,'29.07 Mulago-Kyebando'!N42,'30.07 Mulago-Kyebando'!N42,'31.07 Mulago-Kyebando'!N42,'01.08 Mulago-Kyebando-24h'!N42,'03.08 Mulago-Kyebando-24h'!N42,'04.08 Mulago-Kyebando'!N42)</f>
        <v>0</v>
      </c>
      <c r="O42" s="15">
        <f t="shared" si="0"/>
        <v>108.71428571428574</v>
      </c>
      <c r="P42" s="15">
        <f t="shared" si="1"/>
        <v>217.85714285714289</v>
      </c>
      <c r="R42" s="5" t="s">
        <v>160</v>
      </c>
      <c r="S42" s="48">
        <f>S41/S40</f>
        <v>1.7679071940205542</v>
      </c>
      <c r="T42" s="48">
        <f t="shared" ref="T42:AF42" si="34">T41/T40</f>
        <v>1.4435949711179068</v>
      </c>
      <c r="U42" s="48">
        <f t="shared" si="34"/>
        <v>1.4344734819369716</v>
      </c>
      <c r="V42" s="48">
        <f t="shared" si="34"/>
        <v>1.8675213675213675</v>
      </c>
      <c r="W42" s="48">
        <f t="shared" si="34"/>
        <v>1.7165354330708662</v>
      </c>
      <c r="X42" s="48">
        <f t="shared" si="34"/>
        <v>4.2307692307692308</v>
      </c>
      <c r="Y42" s="48">
        <f t="shared" si="34"/>
        <v>1.416545718432511</v>
      </c>
      <c r="Z42" s="48">
        <f t="shared" si="34"/>
        <v>1.2377358490566037</v>
      </c>
      <c r="AA42" s="48">
        <f t="shared" si="34"/>
        <v>1.4</v>
      </c>
      <c r="AB42" s="48" t="e">
        <f t="shared" si="34"/>
        <v>#DIV/0!</v>
      </c>
      <c r="AC42" s="48">
        <f t="shared" si="34"/>
        <v>1.5042932423411959</v>
      </c>
      <c r="AD42" s="48" t="e">
        <f t="shared" si="34"/>
        <v>#DIV/0!</v>
      </c>
      <c r="AE42" s="53">
        <f t="shared" si="34"/>
        <v>1.703829444891392</v>
      </c>
      <c r="AF42" s="53">
        <f t="shared" si="34"/>
        <v>1.5912899310873792</v>
      </c>
    </row>
    <row r="43" spans="2:32" ht="23.1" customHeight="1" x14ac:dyDescent="0.25">
      <c r="B43" s="23" t="s">
        <v>70</v>
      </c>
      <c r="C43" s="49">
        <f>AVERAGE('02.08 Mulago-Kyebando'!C43,'29.07 Mulago-Kyebando'!C43,'30.07 Mulago-Kyebando'!C43,'31.07 Mulago-Kyebando'!C43,'01.08 Mulago-Kyebando-24h'!C43,'03.08 Mulago-Kyebando-24h'!C43,'04.08 Mulago-Kyebando'!C43)</f>
        <v>58.857142857142854</v>
      </c>
      <c r="D43" s="49">
        <f>AVERAGE('02.08 Mulago-Kyebando'!D43,'29.07 Mulago-Kyebando'!D43,'30.07 Mulago-Kyebando'!D43,'31.07 Mulago-Kyebando'!D43,'01.08 Mulago-Kyebando-24h'!D43,'03.08 Mulago-Kyebando-24h'!D43,'04.08 Mulago-Kyebando'!D43)</f>
        <v>9.8571428571428577</v>
      </c>
      <c r="E43" s="49">
        <f>AVERAGE('02.08 Mulago-Kyebando'!E43,'29.07 Mulago-Kyebando'!E43,'30.07 Mulago-Kyebando'!E43,'31.07 Mulago-Kyebando'!E43,'01.08 Mulago-Kyebando-24h'!E43,'03.08 Mulago-Kyebando-24h'!E43,'04.08 Mulago-Kyebando'!E43)</f>
        <v>10.142857142857142</v>
      </c>
      <c r="F43" s="49">
        <f>AVERAGE('02.08 Mulago-Kyebando'!F43,'29.07 Mulago-Kyebando'!F43,'30.07 Mulago-Kyebando'!F43,'31.07 Mulago-Kyebando'!F43,'01.08 Mulago-Kyebando-24h'!F43,'03.08 Mulago-Kyebando-24h'!F43,'04.08 Mulago-Kyebando'!F43)</f>
        <v>11.714285714285714</v>
      </c>
      <c r="G43" s="49">
        <f>AVERAGE('02.08 Mulago-Kyebando'!G43,'29.07 Mulago-Kyebando'!G43,'30.07 Mulago-Kyebando'!G43,'31.07 Mulago-Kyebando'!G43,'01.08 Mulago-Kyebando-24h'!G43,'03.08 Mulago-Kyebando-24h'!G43,'04.08 Mulago-Kyebando'!G43)</f>
        <v>0.14285714285714285</v>
      </c>
      <c r="H43" s="49">
        <f>AVERAGE('02.08 Mulago-Kyebando'!H43,'29.07 Mulago-Kyebando'!H43,'30.07 Mulago-Kyebando'!H43,'31.07 Mulago-Kyebando'!H43,'01.08 Mulago-Kyebando-24h'!H43,'03.08 Mulago-Kyebando-24h'!H43,'04.08 Mulago-Kyebando'!H43)</f>
        <v>0.14285714285714285</v>
      </c>
      <c r="I43" s="49">
        <f>AVERAGE('02.08 Mulago-Kyebando'!I43,'29.07 Mulago-Kyebando'!I43,'30.07 Mulago-Kyebando'!I43,'31.07 Mulago-Kyebando'!I43,'01.08 Mulago-Kyebando-24h'!I43,'03.08 Mulago-Kyebando-24h'!I43,'04.08 Mulago-Kyebando'!I43)</f>
        <v>5.1428571428571432</v>
      </c>
      <c r="J43" s="49">
        <f>AVERAGE('02.08 Mulago-Kyebando'!J43,'29.07 Mulago-Kyebando'!J43,'30.07 Mulago-Kyebando'!J43,'31.07 Mulago-Kyebando'!J43,'01.08 Mulago-Kyebando-24h'!J43,'03.08 Mulago-Kyebando-24h'!J43,'04.08 Mulago-Kyebando'!J43)</f>
        <v>1.4285714285714286</v>
      </c>
      <c r="K43" s="49">
        <f>AVERAGE('02.08 Mulago-Kyebando'!K43,'29.07 Mulago-Kyebando'!K43,'30.07 Mulago-Kyebando'!K43,'31.07 Mulago-Kyebando'!K43,'01.08 Mulago-Kyebando-24h'!K43,'03.08 Mulago-Kyebando-24h'!K43,'04.08 Mulago-Kyebando'!K43)</f>
        <v>0.14285714285714285</v>
      </c>
      <c r="L43" s="49">
        <f>AVERAGE('02.08 Mulago-Kyebando'!L43,'29.07 Mulago-Kyebando'!L43,'30.07 Mulago-Kyebando'!L43,'31.07 Mulago-Kyebando'!L43,'01.08 Mulago-Kyebando-24h'!L43,'03.08 Mulago-Kyebando-24h'!L43,'04.08 Mulago-Kyebando'!L43)</f>
        <v>0</v>
      </c>
      <c r="M43" s="49">
        <f>AVERAGE('02.08 Mulago-Kyebando'!M43,'29.07 Mulago-Kyebando'!M43,'30.07 Mulago-Kyebando'!M43,'31.07 Mulago-Kyebando'!M43,'01.08 Mulago-Kyebando-24h'!M43,'03.08 Mulago-Kyebando-24h'!M43,'04.08 Mulago-Kyebando'!M43)</f>
        <v>101.85714285714286</v>
      </c>
      <c r="N43" s="49">
        <f>AVERAGE('02.08 Mulago-Kyebando'!N43,'29.07 Mulago-Kyebando'!N43,'30.07 Mulago-Kyebando'!N43,'31.07 Mulago-Kyebando'!N43,'01.08 Mulago-Kyebando-24h'!N43,'03.08 Mulago-Kyebando-24h'!N43,'04.08 Mulago-Kyebando'!N43)</f>
        <v>0</v>
      </c>
      <c r="O43" s="15">
        <f t="shared" si="0"/>
        <v>97.571428571428541</v>
      </c>
      <c r="P43" s="15">
        <f t="shared" si="1"/>
        <v>199.42857142857139</v>
      </c>
    </row>
    <row r="44" spans="2:32" ht="23.1" customHeight="1" x14ac:dyDescent="0.25">
      <c r="B44" s="25" t="s">
        <v>71</v>
      </c>
      <c r="C44" s="49">
        <f>AVERAGE('02.08 Mulago-Kyebando'!C44,'29.07 Mulago-Kyebando'!C44,'30.07 Mulago-Kyebando'!C44,'31.07 Mulago-Kyebando'!C44,'01.08 Mulago-Kyebando-24h'!C44,'03.08 Mulago-Kyebando-24h'!C44,'04.08 Mulago-Kyebando'!C44)</f>
        <v>68.142857142857139</v>
      </c>
      <c r="D44" s="49">
        <f>AVERAGE('02.08 Mulago-Kyebando'!D44,'29.07 Mulago-Kyebando'!D44,'30.07 Mulago-Kyebando'!D44,'31.07 Mulago-Kyebando'!D44,'01.08 Mulago-Kyebando-24h'!D44,'03.08 Mulago-Kyebando-24h'!D44,'04.08 Mulago-Kyebando'!D44)</f>
        <v>13.285714285714286</v>
      </c>
      <c r="E44" s="49">
        <f>AVERAGE('02.08 Mulago-Kyebando'!E44,'29.07 Mulago-Kyebando'!E44,'30.07 Mulago-Kyebando'!E44,'31.07 Mulago-Kyebando'!E44,'01.08 Mulago-Kyebando-24h'!E44,'03.08 Mulago-Kyebando-24h'!E44,'04.08 Mulago-Kyebando'!E44)</f>
        <v>10.285714285714286</v>
      </c>
      <c r="F44" s="49">
        <f>AVERAGE('02.08 Mulago-Kyebando'!F44,'29.07 Mulago-Kyebando'!F44,'30.07 Mulago-Kyebando'!F44,'31.07 Mulago-Kyebando'!F44,'01.08 Mulago-Kyebando-24h'!F44,'03.08 Mulago-Kyebando-24h'!F44,'04.08 Mulago-Kyebando'!F44)</f>
        <v>12.714285714285714</v>
      </c>
      <c r="G44" s="49">
        <f>AVERAGE('02.08 Mulago-Kyebando'!G44,'29.07 Mulago-Kyebando'!G44,'30.07 Mulago-Kyebando'!G44,'31.07 Mulago-Kyebando'!G44,'01.08 Mulago-Kyebando-24h'!G44,'03.08 Mulago-Kyebando-24h'!G44,'04.08 Mulago-Kyebando'!G44)</f>
        <v>0</v>
      </c>
      <c r="H44" s="49">
        <f>AVERAGE('02.08 Mulago-Kyebando'!H44,'29.07 Mulago-Kyebando'!H44,'30.07 Mulago-Kyebando'!H44,'31.07 Mulago-Kyebando'!H44,'01.08 Mulago-Kyebando-24h'!H44,'03.08 Mulago-Kyebando-24h'!H44,'04.08 Mulago-Kyebando'!H44)</f>
        <v>0</v>
      </c>
      <c r="I44" s="49">
        <f>AVERAGE('02.08 Mulago-Kyebando'!I44,'29.07 Mulago-Kyebando'!I44,'30.07 Mulago-Kyebando'!I44,'31.07 Mulago-Kyebando'!I44,'01.08 Mulago-Kyebando-24h'!I44,'03.08 Mulago-Kyebando-24h'!I44,'04.08 Mulago-Kyebando'!I44)</f>
        <v>5.1428571428571432</v>
      </c>
      <c r="J44" s="49">
        <f>AVERAGE('02.08 Mulago-Kyebando'!J44,'29.07 Mulago-Kyebando'!J44,'30.07 Mulago-Kyebando'!J44,'31.07 Mulago-Kyebando'!J44,'01.08 Mulago-Kyebando-24h'!J44,'03.08 Mulago-Kyebando-24h'!J44,'04.08 Mulago-Kyebando'!J44)</f>
        <v>0.8571428571428571</v>
      </c>
      <c r="K44" s="49">
        <f>AVERAGE('02.08 Mulago-Kyebando'!K44,'29.07 Mulago-Kyebando'!K44,'30.07 Mulago-Kyebando'!K44,'31.07 Mulago-Kyebando'!K44,'01.08 Mulago-Kyebando-24h'!K44,'03.08 Mulago-Kyebando-24h'!K44,'04.08 Mulago-Kyebando'!K44)</f>
        <v>0.14285714285714285</v>
      </c>
      <c r="L44" s="49">
        <f>AVERAGE('02.08 Mulago-Kyebando'!L44,'29.07 Mulago-Kyebando'!L44,'30.07 Mulago-Kyebando'!L44,'31.07 Mulago-Kyebando'!L44,'01.08 Mulago-Kyebando-24h'!L44,'03.08 Mulago-Kyebando-24h'!L44,'04.08 Mulago-Kyebando'!L44)</f>
        <v>0</v>
      </c>
      <c r="M44" s="49">
        <f>AVERAGE('02.08 Mulago-Kyebando'!M44,'29.07 Mulago-Kyebando'!M44,'30.07 Mulago-Kyebando'!M44,'31.07 Mulago-Kyebando'!M44,'01.08 Mulago-Kyebando-24h'!M44,'03.08 Mulago-Kyebando-24h'!M44,'04.08 Mulago-Kyebando'!M44)</f>
        <v>121.57142857142857</v>
      </c>
      <c r="N44" s="49">
        <f>AVERAGE('02.08 Mulago-Kyebando'!N44,'29.07 Mulago-Kyebando'!N44,'30.07 Mulago-Kyebando'!N44,'31.07 Mulago-Kyebando'!N44,'01.08 Mulago-Kyebando-24h'!N44,'03.08 Mulago-Kyebando-24h'!N44,'04.08 Mulago-Kyebando'!N44)</f>
        <v>0</v>
      </c>
      <c r="O44" s="15">
        <f t="shared" si="0"/>
        <v>110.57142857142857</v>
      </c>
      <c r="P44" s="15">
        <f t="shared" si="1"/>
        <v>232.14285714285714</v>
      </c>
    </row>
    <row r="45" spans="2:32" ht="23.1" customHeight="1" x14ac:dyDescent="0.25">
      <c r="B45" s="23" t="s">
        <v>72</v>
      </c>
      <c r="C45" s="49">
        <f>AVERAGE('02.08 Mulago-Kyebando'!C45,'29.07 Mulago-Kyebando'!C45,'30.07 Mulago-Kyebando'!C45,'31.07 Mulago-Kyebando'!C45,'01.08 Mulago-Kyebando-24h'!C45,'03.08 Mulago-Kyebando-24h'!C45,'04.08 Mulago-Kyebando'!C45)</f>
        <v>69.142857142857139</v>
      </c>
      <c r="D45" s="49">
        <f>AVERAGE('02.08 Mulago-Kyebando'!D45,'29.07 Mulago-Kyebando'!D45,'30.07 Mulago-Kyebando'!D45,'31.07 Mulago-Kyebando'!D45,'01.08 Mulago-Kyebando-24h'!D45,'03.08 Mulago-Kyebando-24h'!D45,'04.08 Mulago-Kyebando'!D45)</f>
        <v>10.285714285714286</v>
      </c>
      <c r="E45" s="49">
        <f>AVERAGE('02.08 Mulago-Kyebando'!E45,'29.07 Mulago-Kyebando'!E45,'30.07 Mulago-Kyebando'!E45,'31.07 Mulago-Kyebando'!E45,'01.08 Mulago-Kyebando-24h'!E45,'03.08 Mulago-Kyebando-24h'!E45,'04.08 Mulago-Kyebando'!E45)</f>
        <v>12.142857142857142</v>
      </c>
      <c r="F45" s="49">
        <f>AVERAGE('02.08 Mulago-Kyebando'!F45,'29.07 Mulago-Kyebando'!F45,'30.07 Mulago-Kyebando'!F45,'31.07 Mulago-Kyebando'!F45,'01.08 Mulago-Kyebando-24h'!F45,'03.08 Mulago-Kyebando-24h'!F45,'04.08 Mulago-Kyebando'!F45)</f>
        <v>10</v>
      </c>
      <c r="G45" s="49">
        <f>AVERAGE('02.08 Mulago-Kyebando'!G45,'29.07 Mulago-Kyebando'!G45,'30.07 Mulago-Kyebando'!G45,'31.07 Mulago-Kyebando'!G45,'01.08 Mulago-Kyebando-24h'!G45,'03.08 Mulago-Kyebando-24h'!G45,'04.08 Mulago-Kyebando'!G45)</f>
        <v>0.14285714285714285</v>
      </c>
      <c r="H45" s="49">
        <f>AVERAGE('02.08 Mulago-Kyebando'!H45,'29.07 Mulago-Kyebando'!H45,'30.07 Mulago-Kyebando'!H45,'31.07 Mulago-Kyebando'!H45,'01.08 Mulago-Kyebando-24h'!H45,'03.08 Mulago-Kyebando-24h'!H45,'04.08 Mulago-Kyebando'!H45)</f>
        <v>0</v>
      </c>
      <c r="I45" s="49">
        <f>AVERAGE('02.08 Mulago-Kyebando'!I45,'29.07 Mulago-Kyebando'!I45,'30.07 Mulago-Kyebando'!I45,'31.07 Mulago-Kyebando'!I45,'01.08 Mulago-Kyebando-24h'!I45,'03.08 Mulago-Kyebando-24h'!I45,'04.08 Mulago-Kyebando'!I45)</f>
        <v>7.5714285714285712</v>
      </c>
      <c r="J45" s="49">
        <f>AVERAGE('02.08 Mulago-Kyebando'!J45,'29.07 Mulago-Kyebando'!J45,'30.07 Mulago-Kyebando'!J45,'31.07 Mulago-Kyebando'!J45,'01.08 Mulago-Kyebando-24h'!J45,'03.08 Mulago-Kyebando-24h'!J45,'04.08 Mulago-Kyebando'!J45)</f>
        <v>1</v>
      </c>
      <c r="K45" s="49">
        <f>AVERAGE('02.08 Mulago-Kyebando'!K45,'29.07 Mulago-Kyebando'!K45,'30.07 Mulago-Kyebando'!K45,'31.07 Mulago-Kyebando'!K45,'01.08 Mulago-Kyebando-24h'!K45,'03.08 Mulago-Kyebando-24h'!K45,'04.08 Mulago-Kyebando'!K45)</f>
        <v>0.2857142857142857</v>
      </c>
      <c r="L45" s="49">
        <f>AVERAGE('02.08 Mulago-Kyebando'!L45,'29.07 Mulago-Kyebando'!L45,'30.07 Mulago-Kyebando'!L45,'31.07 Mulago-Kyebando'!L45,'01.08 Mulago-Kyebando-24h'!L45,'03.08 Mulago-Kyebando-24h'!L45,'04.08 Mulago-Kyebando'!L45)</f>
        <v>0</v>
      </c>
      <c r="M45" s="49">
        <f>AVERAGE('02.08 Mulago-Kyebando'!M45,'29.07 Mulago-Kyebando'!M45,'30.07 Mulago-Kyebando'!M45,'31.07 Mulago-Kyebando'!M45,'01.08 Mulago-Kyebando-24h'!M45,'03.08 Mulago-Kyebando-24h'!M45,'04.08 Mulago-Kyebando'!M45)</f>
        <v>104.14285714285714</v>
      </c>
      <c r="N45" s="49">
        <f>AVERAGE('02.08 Mulago-Kyebando'!N45,'29.07 Mulago-Kyebando'!N45,'30.07 Mulago-Kyebando'!N45,'31.07 Mulago-Kyebando'!N45,'01.08 Mulago-Kyebando-24h'!N45,'03.08 Mulago-Kyebando-24h'!N45,'04.08 Mulago-Kyebando'!N45)</f>
        <v>0</v>
      </c>
      <c r="O45" s="15">
        <f t="shared" si="0"/>
        <v>110.57142857142857</v>
      </c>
      <c r="P45" s="15">
        <f t="shared" si="1"/>
        <v>214.71428571428572</v>
      </c>
    </row>
    <row r="46" spans="2:32" ht="23.1" customHeight="1" x14ac:dyDescent="0.25">
      <c r="B46" s="24" t="s">
        <v>73</v>
      </c>
      <c r="C46" s="49">
        <f>AVERAGE('02.08 Mulago-Kyebando'!C46,'29.07 Mulago-Kyebando'!C46,'30.07 Mulago-Kyebando'!C46,'31.07 Mulago-Kyebando'!C46,'01.08 Mulago-Kyebando-24h'!C46,'03.08 Mulago-Kyebando-24h'!C46,'04.08 Mulago-Kyebando'!C46)</f>
        <v>81.571428571428569</v>
      </c>
      <c r="D46" s="49">
        <f>AVERAGE('02.08 Mulago-Kyebando'!D46,'29.07 Mulago-Kyebando'!D46,'30.07 Mulago-Kyebando'!D46,'31.07 Mulago-Kyebando'!D46,'01.08 Mulago-Kyebando-24h'!D46,'03.08 Mulago-Kyebando-24h'!D46,'04.08 Mulago-Kyebando'!D46)</f>
        <v>12.142857142857142</v>
      </c>
      <c r="E46" s="49">
        <f>AVERAGE('02.08 Mulago-Kyebando'!E46,'29.07 Mulago-Kyebando'!E46,'30.07 Mulago-Kyebando'!E46,'31.07 Mulago-Kyebando'!E46,'01.08 Mulago-Kyebando-24h'!E46,'03.08 Mulago-Kyebando-24h'!E46,'04.08 Mulago-Kyebando'!E46)</f>
        <v>12.428571428571429</v>
      </c>
      <c r="F46" s="49">
        <f>AVERAGE('02.08 Mulago-Kyebando'!F46,'29.07 Mulago-Kyebando'!F46,'30.07 Mulago-Kyebando'!F46,'31.07 Mulago-Kyebando'!F46,'01.08 Mulago-Kyebando-24h'!F46,'03.08 Mulago-Kyebando-24h'!F46,'04.08 Mulago-Kyebando'!F46)</f>
        <v>15.714285714285714</v>
      </c>
      <c r="G46" s="49">
        <f>AVERAGE('02.08 Mulago-Kyebando'!G46,'29.07 Mulago-Kyebando'!G46,'30.07 Mulago-Kyebando'!G46,'31.07 Mulago-Kyebando'!G46,'01.08 Mulago-Kyebando-24h'!G46,'03.08 Mulago-Kyebando-24h'!G46,'04.08 Mulago-Kyebando'!G46)</f>
        <v>0.42857142857142855</v>
      </c>
      <c r="H46" s="49">
        <f>AVERAGE('02.08 Mulago-Kyebando'!H46,'29.07 Mulago-Kyebando'!H46,'30.07 Mulago-Kyebando'!H46,'31.07 Mulago-Kyebando'!H46,'01.08 Mulago-Kyebando-24h'!H46,'03.08 Mulago-Kyebando-24h'!H46,'04.08 Mulago-Kyebando'!H46)</f>
        <v>0</v>
      </c>
      <c r="I46" s="49">
        <f>AVERAGE('02.08 Mulago-Kyebando'!I46,'29.07 Mulago-Kyebando'!I46,'30.07 Mulago-Kyebando'!I46,'31.07 Mulago-Kyebando'!I46,'01.08 Mulago-Kyebando-24h'!I46,'03.08 Mulago-Kyebando-24h'!I46,'04.08 Mulago-Kyebando'!I46)</f>
        <v>4.2857142857142856</v>
      </c>
      <c r="J46" s="49">
        <f>AVERAGE('02.08 Mulago-Kyebando'!J46,'29.07 Mulago-Kyebando'!J46,'30.07 Mulago-Kyebando'!J46,'31.07 Mulago-Kyebando'!J46,'01.08 Mulago-Kyebando-24h'!J46,'03.08 Mulago-Kyebando-24h'!J46,'04.08 Mulago-Kyebando'!J46)</f>
        <v>1.5714285714285714</v>
      </c>
      <c r="K46" s="49">
        <f>AVERAGE('02.08 Mulago-Kyebando'!K46,'29.07 Mulago-Kyebando'!K46,'30.07 Mulago-Kyebando'!K46,'31.07 Mulago-Kyebando'!K46,'01.08 Mulago-Kyebando-24h'!K46,'03.08 Mulago-Kyebando-24h'!K46,'04.08 Mulago-Kyebando'!K46)</f>
        <v>0</v>
      </c>
      <c r="L46" s="49">
        <f>AVERAGE('02.08 Mulago-Kyebando'!L46,'29.07 Mulago-Kyebando'!L46,'30.07 Mulago-Kyebando'!L46,'31.07 Mulago-Kyebando'!L46,'01.08 Mulago-Kyebando-24h'!L46,'03.08 Mulago-Kyebando-24h'!L46,'04.08 Mulago-Kyebando'!L46)</f>
        <v>0</v>
      </c>
      <c r="M46" s="49">
        <f>AVERAGE('02.08 Mulago-Kyebando'!M46,'29.07 Mulago-Kyebando'!M46,'30.07 Mulago-Kyebando'!M46,'31.07 Mulago-Kyebando'!M46,'01.08 Mulago-Kyebando-24h'!M46,'03.08 Mulago-Kyebando-24h'!M46,'04.08 Mulago-Kyebando'!M46)</f>
        <v>113.42857142857143</v>
      </c>
      <c r="N46" s="49">
        <f>AVERAGE('02.08 Mulago-Kyebando'!N46,'29.07 Mulago-Kyebando'!N46,'30.07 Mulago-Kyebando'!N46,'31.07 Mulago-Kyebando'!N46,'01.08 Mulago-Kyebando-24h'!N46,'03.08 Mulago-Kyebando-24h'!N46,'04.08 Mulago-Kyebando'!N46)</f>
        <v>0</v>
      </c>
      <c r="O46" s="15">
        <f t="shared" si="0"/>
        <v>128.14285714285714</v>
      </c>
      <c r="P46" s="15">
        <f t="shared" si="1"/>
        <v>241.57142857142856</v>
      </c>
      <c r="R46" s="8"/>
      <c r="T46"/>
    </row>
    <row r="47" spans="2:32" ht="23.1" customHeight="1" x14ac:dyDescent="0.25">
      <c r="B47" s="24" t="s">
        <v>74</v>
      </c>
      <c r="C47" s="49">
        <f>AVERAGE('02.08 Mulago-Kyebando'!C47,'29.07 Mulago-Kyebando'!C47,'30.07 Mulago-Kyebando'!C47,'31.07 Mulago-Kyebando'!C47,'01.08 Mulago-Kyebando-24h'!C47,'03.08 Mulago-Kyebando-24h'!C47,'04.08 Mulago-Kyebando'!C47)</f>
        <v>86.571428571428569</v>
      </c>
      <c r="D47" s="49">
        <f>AVERAGE('02.08 Mulago-Kyebando'!D47,'29.07 Mulago-Kyebando'!D47,'30.07 Mulago-Kyebando'!D47,'31.07 Mulago-Kyebando'!D47,'01.08 Mulago-Kyebando-24h'!D47,'03.08 Mulago-Kyebando-24h'!D47,'04.08 Mulago-Kyebando'!D47)</f>
        <v>15</v>
      </c>
      <c r="E47" s="49">
        <f>AVERAGE('02.08 Mulago-Kyebando'!E47,'29.07 Mulago-Kyebando'!E47,'30.07 Mulago-Kyebando'!E47,'31.07 Mulago-Kyebando'!E47,'01.08 Mulago-Kyebando-24h'!E47,'03.08 Mulago-Kyebando-24h'!E47,'04.08 Mulago-Kyebando'!E47)</f>
        <v>9.4285714285714288</v>
      </c>
      <c r="F47" s="49">
        <f>AVERAGE('02.08 Mulago-Kyebando'!F47,'29.07 Mulago-Kyebando'!F47,'30.07 Mulago-Kyebando'!F47,'31.07 Mulago-Kyebando'!F47,'01.08 Mulago-Kyebando-24h'!F47,'03.08 Mulago-Kyebando-24h'!F47,'04.08 Mulago-Kyebando'!F47)</f>
        <v>13.714285714285714</v>
      </c>
      <c r="G47" s="49">
        <f>AVERAGE('02.08 Mulago-Kyebando'!G47,'29.07 Mulago-Kyebando'!G47,'30.07 Mulago-Kyebando'!G47,'31.07 Mulago-Kyebando'!G47,'01.08 Mulago-Kyebando-24h'!G47,'03.08 Mulago-Kyebando-24h'!G47,'04.08 Mulago-Kyebando'!G47)</f>
        <v>0.2857142857142857</v>
      </c>
      <c r="H47" s="49">
        <f>AVERAGE('02.08 Mulago-Kyebando'!H47,'29.07 Mulago-Kyebando'!H47,'30.07 Mulago-Kyebando'!H47,'31.07 Mulago-Kyebando'!H47,'01.08 Mulago-Kyebando-24h'!H47,'03.08 Mulago-Kyebando-24h'!H47,'04.08 Mulago-Kyebando'!H47)</f>
        <v>0</v>
      </c>
      <c r="I47" s="49">
        <f>AVERAGE('02.08 Mulago-Kyebando'!I47,'29.07 Mulago-Kyebando'!I47,'30.07 Mulago-Kyebando'!I47,'31.07 Mulago-Kyebando'!I47,'01.08 Mulago-Kyebando-24h'!I47,'03.08 Mulago-Kyebando-24h'!I47,'04.08 Mulago-Kyebando'!I47)</f>
        <v>4.4285714285714288</v>
      </c>
      <c r="J47" s="49">
        <f>AVERAGE('02.08 Mulago-Kyebando'!J47,'29.07 Mulago-Kyebando'!J47,'30.07 Mulago-Kyebando'!J47,'31.07 Mulago-Kyebando'!J47,'01.08 Mulago-Kyebando-24h'!J47,'03.08 Mulago-Kyebando-24h'!J47,'04.08 Mulago-Kyebando'!J47)</f>
        <v>0.5714285714285714</v>
      </c>
      <c r="K47" s="49">
        <f>AVERAGE('02.08 Mulago-Kyebando'!K47,'29.07 Mulago-Kyebando'!K47,'30.07 Mulago-Kyebando'!K47,'31.07 Mulago-Kyebando'!K47,'01.08 Mulago-Kyebando-24h'!K47,'03.08 Mulago-Kyebando-24h'!K47,'04.08 Mulago-Kyebando'!K47)</f>
        <v>0.42857142857142855</v>
      </c>
      <c r="L47" s="49">
        <f>AVERAGE('02.08 Mulago-Kyebando'!L47,'29.07 Mulago-Kyebando'!L47,'30.07 Mulago-Kyebando'!L47,'31.07 Mulago-Kyebando'!L47,'01.08 Mulago-Kyebando-24h'!L47,'03.08 Mulago-Kyebando-24h'!L47,'04.08 Mulago-Kyebando'!L47)</f>
        <v>0</v>
      </c>
      <c r="M47" s="49">
        <f>AVERAGE('02.08 Mulago-Kyebando'!M47,'29.07 Mulago-Kyebando'!M47,'30.07 Mulago-Kyebando'!M47,'31.07 Mulago-Kyebando'!M47,'01.08 Mulago-Kyebando-24h'!M47,'03.08 Mulago-Kyebando-24h'!M47,'04.08 Mulago-Kyebando'!M47)</f>
        <v>106.71428571428571</v>
      </c>
      <c r="N47" s="49">
        <f>AVERAGE('02.08 Mulago-Kyebando'!N47,'29.07 Mulago-Kyebando'!N47,'30.07 Mulago-Kyebando'!N47,'31.07 Mulago-Kyebando'!N47,'01.08 Mulago-Kyebando-24h'!N47,'03.08 Mulago-Kyebando-24h'!N47,'04.08 Mulago-Kyebando'!N47)</f>
        <v>0</v>
      </c>
      <c r="O47" s="15">
        <f t="shared" si="0"/>
        <v>130.42857142857142</v>
      </c>
      <c r="P47" s="15">
        <f t="shared" si="1"/>
        <v>237.14285714285711</v>
      </c>
      <c r="R47" s="8"/>
      <c r="T47"/>
    </row>
    <row r="48" spans="2:32" ht="23.1" customHeight="1" x14ac:dyDescent="0.25">
      <c r="B48" s="24" t="s">
        <v>75</v>
      </c>
      <c r="C48" s="49">
        <f>AVERAGE('02.08 Mulago-Kyebando'!C48,'29.07 Mulago-Kyebando'!C48,'30.07 Mulago-Kyebando'!C48,'31.07 Mulago-Kyebando'!C48,'01.08 Mulago-Kyebando-24h'!C48,'03.08 Mulago-Kyebando-24h'!C48,'04.08 Mulago-Kyebando'!C48)</f>
        <v>108.42857142857143</v>
      </c>
      <c r="D48" s="49">
        <f>AVERAGE('02.08 Mulago-Kyebando'!D48,'29.07 Mulago-Kyebando'!D48,'30.07 Mulago-Kyebando'!D48,'31.07 Mulago-Kyebando'!D48,'01.08 Mulago-Kyebando-24h'!D48,'03.08 Mulago-Kyebando-24h'!D48,'04.08 Mulago-Kyebando'!D48)</f>
        <v>10.714285714285714</v>
      </c>
      <c r="E48" s="49">
        <f>AVERAGE('02.08 Mulago-Kyebando'!E48,'29.07 Mulago-Kyebando'!E48,'30.07 Mulago-Kyebando'!E48,'31.07 Mulago-Kyebando'!E48,'01.08 Mulago-Kyebando-24h'!E48,'03.08 Mulago-Kyebando-24h'!E48,'04.08 Mulago-Kyebando'!E48)</f>
        <v>11.714285714285714</v>
      </c>
      <c r="F48" s="49">
        <f>AVERAGE('02.08 Mulago-Kyebando'!F48,'29.07 Mulago-Kyebando'!F48,'30.07 Mulago-Kyebando'!F48,'31.07 Mulago-Kyebando'!F48,'01.08 Mulago-Kyebando-24h'!F48,'03.08 Mulago-Kyebando-24h'!F48,'04.08 Mulago-Kyebando'!F48)</f>
        <v>15.285714285714286</v>
      </c>
      <c r="G48" s="49">
        <f>AVERAGE('02.08 Mulago-Kyebando'!G48,'29.07 Mulago-Kyebando'!G48,'30.07 Mulago-Kyebando'!G48,'31.07 Mulago-Kyebando'!G48,'01.08 Mulago-Kyebando-24h'!G48,'03.08 Mulago-Kyebando-24h'!G48,'04.08 Mulago-Kyebando'!G48)</f>
        <v>0.8571428571428571</v>
      </c>
      <c r="H48" s="49">
        <f>AVERAGE('02.08 Mulago-Kyebando'!H48,'29.07 Mulago-Kyebando'!H48,'30.07 Mulago-Kyebando'!H48,'31.07 Mulago-Kyebando'!H48,'01.08 Mulago-Kyebando-24h'!H48,'03.08 Mulago-Kyebando-24h'!H48,'04.08 Mulago-Kyebando'!H48)</f>
        <v>0</v>
      </c>
      <c r="I48" s="49">
        <f>AVERAGE('02.08 Mulago-Kyebando'!I48,'29.07 Mulago-Kyebando'!I48,'30.07 Mulago-Kyebando'!I48,'31.07 Mulago-Kyebando'!I48,'01.08 Mulago-Kyebando-24h'!I48,'03.08 Mulago-Kyebando-24h'!I48,'04.08 Mulago-Kyebando'!I48)</f>
        <v>4.1428571428571432</v>
      </c>
      <c r="J48" s="49">
        <f>AVERAGE('02.08 Mulago-Kyebando'!J48,'29.07 Mulago-Kyebando'!J48,'30.07 Mulago-Kyebando'!J48,'31.07 Mulago-Kyebando'!J48,'01.08 Mulago-Kyebando-24h'!J48,'03.08 Mulago-Kyebando-24h'!J48,'04.08 Mulago-Kyebando'!J48)</f>
        <v>0.8571428571428571</v>
      </c>
      <c r="K48" s="49">
        <f>AVERAGE('02.08 Mulago-Kyebando'!K48,'29.07 Mulago-Kyebando'!K48,'30.07 Mulago-Kyebando'!K48,'31.07 Mulago-Kyebando'!K48,'01.08 Mulago-Kyebando-24h'!K48,'03.08 Mulago-Kyebando-24h'!K48,'04.08 Mulago-Kyebando'!K48)</f>
        <v>0</v>
      </c>
      <c r="L48" s="49">
        <f>AVERAGE('02.08 Mulago-Kyebando'!L48,'29.07 Mulago-Kyebando'!L48,'30.07 Mulago-Kyebando'!L48,'31.07 Mulago-Kyebando'!L48,'01.08 Mulago-Kyebando-24h'!L48,'03.08 Mulago-Kyebando-24h'!L48,'04.08 Mulago-Kyebando'!L48)</f>
        <v>0</v>
      </c>
      <c r="M48" s="49">
        <f>AVERAGE('02.08 Mulago-Kyebando'!M48,'29.07 Mulago-Kyebando'!M48,'30.07 Mulago-Kyebando'!M48,'31.07 Mulago-Kyebando'!M48,'01.08 Mulago-Kyebando-24h'!M48,'03.08 Mulago-Kyebando-24h'!M48,'04.08 Mulago-Kyebando'!M48)</f>
        <v>111.28571428571429</v>
      </c>
      <c r="N48" s="49">
        <f>AVERAGE('02.08 Mulago-Kyebando'!N48,'29.07 Mulago-Kyebando'!N48,'30.07 Mulago-Kyebando'!N48,'31.07 Mulago-Kyebando'!N48,'01.08 Mulago-Kyebando-24h'!N48,'03.08 Mulago-Kyebando-24h'!N48,'04.08 Mulago-Kyebando'!N48)</f>
        <v>0</v>
      </c>
      <c r="O48" s="15">
        <f t="shared" si="0"/>
        <v>152</v>
      </c>
      <c r="P48" s="15">
        <f t="shared" si="1"/>
        <v>263.28571428571428</v>
      </c>
    </row>
    <row r="49" spans="2:20" ht="23.1" customHeight="1" x14ac:dyDescent="0.25">
      <c r="B49" s="23" t="s">
        <v>76</v>
      </c>
      <c r="C49" s="49">
        <f>AVERAGE('02.08 Mulago-Kyebando'!C49,'29.07 Mulago-Kyebando'!C49,'30.07 Mulago-Kyebando'!C49,'31.07 Mulago-Kyebando'!C49,'01.08 Mulago-Kyebando-24h'!C49,'03.08 Mulago-Kyebando-24h'!C49,'04.08 Mulago-Kyebando'!C49)</f>
        <v>93.285714285714292</v>
      </c>
      <c r="D49" s="49">
        <f>AVERAGE('02.08 Mulago-Kyebando'!D49,'29.07 Mulago-Kyebando'!D49,'30.07 Mulago-Kyebando'!D49,'31.07 Mulago-Kyebando'!D49,'01.08 Mulago-Kyebando-24h'!D49,'03.08 Mulago-Kyebando-24h'!D49,'04.08 Mulago-Kyebando'!D49)</f>
        <v>13.571428571428571</v>
      </c>
      <c r="E49" s="49">
        <f>AVERAGE('02.08 Mulago-Kyebando'!E49,'29.07 Mulago-Kyebando'!E49,'30.07 Mulago-Kyebando'!E49,'31.07 Mulago-Kyebando'!E49,'01.08 Mulago-Kyebando-24h'!E49,'03.08 Mulago-Kyebando-24h'!E49,'04.08 Mulago-Kyebando'!E49)</f>
        <v>12.285714285714286</v>
      </c>
      <c r="F49" s="49">
        <f>AVERAGE('02.08 Mulago-Kyebando'!F49,'29.07 Mulago-Kyebando'!F49,'30.07 Mulago-Kyebando'!F49,'31.07 Mulago-Kyebando'!F49,'01.08 Mulago-Kyebando-24h'!F49,'03.08 Mulago-Kyebando-24h'!F49,'04.08 Mulago-Kyebando'!F49)</f>
        <v>11.285714285714286</v>
      </c>
      <c r="G49" s="49">
        <f>AVERAGE('02.08 Mulago-Kyebando'!G49,'29.07 Mulago-Kyebando'!G49,'30.07 Mulago-Kyebando'!G49,'31.07 Mulago-Kyebando'!G49,'01.08 Mulago-Kyebando-24h'!G49,'03.08 Mulago-Kyebando-24h'!G49,'04.08 Mulago-Kyebando'!G49)</f>
        <v>0.42857142857142855</v>
      </c>
      <c r="H49" s="49">
        <f>AVERAGE('02.08 Mulago-Kyebando'!H49,'29.07 Mulago-Kyebando'!H49,'30.07 Mulago-Kyebando'!H49,'31.07 Mulago-Kyebando'!H49,'01.08 Mulago-Kyebando-24h'!H49,'03.08 Mulago-Kyebando-24h'!H49,'04.08 Mulago-Kyebando'!H49)</f>
        <v>0</v>
      </c>
      <c r="I49" s="49">
        <f>AVERAGE('02.08 Mulago-Kyebando'!I49,'29.07 Mulago-Kyebando'!I49,'30.07 Mulago-Kyebando'!I49,'31.07 Mulago-Kyebando'!I49,'01.08 Mulago-Kyebando-24h'!I49,'03.08 Mulago-Kyebando-24h'!I49,'04.08 Mulago-Kyebando'!I49)</f>
        <v>2.5714285714285716</v>
      </c>
      <c r="J49" s="49">
        <f>AVERAGE('02.08 Mulago-Kyebando'!J49,'29.07 Mulago-Kyebando'!J49,'30.07 Mulago-Kyebando'!J49,'31.07 Mulago-Kyebando'!J49,'01.08 Mulago-Kyebando-24h'!J49,'03.08 Mulago-Kyebando-24h'!J49,'04.08 Mulago-Kyebando'!J49)</f>
        <v>1.4285714285714286</v>
      </c>
      <c r="K49" s="49">
        <f>AVERAGE('02.08 Mulago-Kyebando'!K49,'29.07 Mulago-Kyebando'!K49,'30.07 Mulago-Kyebando'!K49,'31.07 Mulago-Kyebando'!K49,'01.08 Mulago-Kyebando-24h'!K49,'03.08 Mulago-Kyebando-24h'!K49,'04.08 Mulago-Kyebando'!K49)</f>
        <v>0</v>
      </c>
      <c r="L49" s="49">
        <f>AVERAGE('02.08 Mulago-Kyebando'!L49,'29.07 Mulago-Kyebando'!L49,'30.07 Mulago-Kyebando'!L49,'31.07 Mulago-Kyebando'!L49,'01.08 Mulago-Kyebando-24h'!L49,'03.08 Mulago-Kyebando-24h'!L49,'04.08 Mulago-Kyebando'!L49)</f>
        <v>0</v>
      </c>
      <c r="M49" s="49">
        <f>AVERAGE('02.08 Mulago-Kyebando'!M49,'29.07 Mulago-Kyebando'!M49,'30.07 Mulago-Kyebando'!M49,'31.07 Mulago-Kyebando'!M49,'01.08 Mulago-Kyebando-24h'!M49,'03.08 Mulago-Kyebando-24h'!M49,'04.08 Mulago-Kyebando'!M49)</f>
        <v>95.142857142857139</v>
      </c>
      <c r="N49" s="49">
        <f>AVERAGE('02.08 Mulago-Kyebando'!N49,'29.07 Mulago-Kyebando'!N49,'30.07 Mulago-Kyebando'!N49,'31.07 Mulago-Kyebando'!N49,'01.08 Mulago-Kyebando-24h'!N49,'03.08 Mulago-Kyebando-24h'!N49,'04.08 Mulago-Kyebando'!N49)</f>
        <v>0</v>
      </c>
      <c r="O49" s="15">
        <f t="shared" si="0"/>
        <v>134.85714285714286</v>
      </c>
      <c r="P49" s="15">
        <f t="shared" si="1"/>
        <v>230</v>
      </c>
    </row>
    <row r="50" spans="2:20" ht="23.1" customHeight="1" x14ac:dyDescent="0.25">
      <c r="B50" s="24" t="s">
        <v>77</v>
      </c>
      <c r="C50" s="49">
        <f>AVERAGE('02.08 Mulago-Kyebando'!C50,'29.07 Mulago-Kyebando'!C50,'30.07 Mulago-Kyebando'!C50,'31.07 Mulago-Kyebando'!C50,'01.08 Mulago-Kyebando-24h'!C50,'03.08 Mulago-Kyebando-24h'!C50,'04.08 Mulago-Kyebando'!C50)</f>
        <v>123.14285714285714</v>
      </c>
      <c r="D50" s="49">
        <f>AVERAGE('02.08 Mulago-Kyebando'!D50,'29.07 Mulago-Kyebando'!D50,'30.07 Mulago-Kyebando'!D50,'31.07 Mulago-Kyebando'!D50,'01.08 Mulago-Kyebando-24h'!D50,'03.08 Mulago-Kyebando-24h'!D50,'04.08 Mulago-Kyebando'!D50)</f>
        <v>17</v>
      </c>
      <c r="E50" s="49">
        <f>AVERAGE('02.08 Mulago-Kyebando'!E50,'29.07 Mulago-Kyebando'!E50,'30.07 Mulago-Kyebando'!E50,'31.07 Mulago-Kyebando'!E50,'01.08 Mulago-Kyebando-24h'!E50,'03.08 Mulago-Kyebando-24h'!E50,'04.08 Mulago-Kyebando'!E50)</f>
        <v>11.428571428571429</v>
      </c>
      <c r="F50" s="49">
        <f>AVERAGE('02.08 Mulago-Kyebando'!F50,'29.07 Mulago-Kyebando'!F50,'30.07 Mulago-Kyebando'!F50,'31.07 Mulago-Kyebando'!F50,'01.08 Mulago-Kyebando-24h'!F50,'03.08 Mulago-Kyebando-24h'!F50,'04.08 Mulago-Kyebando'!F50)</f>
        <v>18.428571428571427</v>
      </c>
      <c r="G50" s="49">
        <f>AVERAGE('02.08 Mulago-Kyebando'!G50,'29.07 Mulago-Kyebando'!G50,'30.07 Mulago-Kyebando'!G50,'31.07 Mulago-Kyebando'!G50,'01.08 Mulago-Kyebando-24h'!G50,'03.08 Mulago-Kyebando-24h'!G50,'04.08 Mulago-Kyebando'!G50)</f>
        <v>0.8571428571428571</v>
      </c>
      <c r="H50" s="49">
        <f>AVERAGE('02.08 Mulago-Kyebando'!H50,'29.07 Mulago-Kyebando'!H50,'30.07 Mulago-Kyebando'!H50,'31.07 Mulago-Kyebando'!H50,'01.08 Mulago-Kyebando-24h'!H50,'03.08 Mulago-Kyebando-24h'!H50,'04.08 Mulago-Kyebando'!H50)</f>
        <v>0</v>
      </c>
      <c r="I50" s="49">
        <f>AVERAGE('02.08 Mulago-Kyebando'!I50,'29.07 Mulago-Kyebando'!I50,'30.07 Mulago-Kyebando'!I50,'31.07 Mulago-Kyebando'!I50,'01.08 Mulago-Kyebando-24h'!I50,'03.08 Mulago-Kyebando-24h'!I50,'04.08 Mulago-Kyebando'!I50)</f>
        <v>4.2857142857142856</v>
      </c>
      <c r="J50" s="49">
        <f>AVERAGE('02.08 Mulago-Kyebando'!J50,'29.07 Mulago-Kyebando'!J50,'30.07 Mulago-Kyebando'!J50,'31.07 Mulago-Kyebando'!J50,'01.08 Mulago-Kyebando-24h'!J50,'03.08 Mulago-Kyebando-24h'!J50,'04.08 Mulago-Kyebando'!J50)</f>
        <v>1</v>
      </c>
      <c r="K50" s="49">
        <f>AVERAGE('02.08 Mulago-Kyebando'!K50,'29.07 Mulago-Kyebando'!K50,'30.07 Mulago-Kyebando'!K50,'31.07 Mulago-Kyebando'!K50,'01.08 Mulago-Kyebando-24h'!K50,'03.08 Mulago-Kyebando-24h'!K50,'04.08 Mulago-Kyebando'!K50)</f>
        <v>0</v>
      </c>
      <c r="L50" s="49">
        <f>AVERAGE('02.08 Mulago-Kyebando'!L50,'29.07 Mulago-Kyebando'!L50,'30.07 Mulago-Kyebando'!L50,'31.07 Mulago-Kyebando'!L50,'01.08 Mulago-Kyebando-24h'!L50,'03.08 Mulago-Kyebando-24h'!L50,'04.08 Mulago-Kyebando'!L50)</f>
        <v>0</v>
      </c>
      <c r="M50" s="49">
        <f>AVERAGE('02.08 Mulago-Kyebando'!M50,'29.07 Mulago-Kyebando'!M50,'30.07 Mulago-Kyebando'!M50,'31.07 Mulago-Kyebando'!M50,'01.08 Mulago-Kyebando-24h'!M50,'03.08 Mulago-Kyebando-24h'!M50,'04.08 Mulago-Kyebando'!M50)</f>
        <v>105</v>
      </c>
      <c r="N50" s="49">
        <f>AVERAGE('02.08 Mulago-Kyebando'!N50,'29.07 Mulago-Kyebando'!N50,'30.07 Mulago-Kyebando'!N50,'31.07 Mulago-Kyebando'!N50,'01.08 Mulago-Kyebando-24h'!N50,'03.08 Mulago-Kyebando-24h'!N50,'04.08 Mulago-Kyebando'!N50)</f>
        <v>0</v>
      </c>
      <c r="O50" s="15">
        <f t="shared" si="0"/>
        <v>176.14285714285711</v>
      </c>
      <c r="P50" s="15">
        <f t="shared" si="1"/>
        <v>281.14285714285711</v>
      </c>
    </row>
    <row r="51" spans="2:20" ht="23.1" customHeight="1" x14ac:dyDescent="0.25">
      <c r="B51" s="24" t="s">
        <v>78</v>
      </c>
      <c r="C51" s="49">
        <f>AVERAGE('02.08 Mulago-Kyebando'!C51,'29.07 Mulago-Kyebando'!C51,'30.07 Mulago-Kyebando'!C51,'31.07 Mulago-Kyebando'!C51,'01.08 Mulago-Kyebando-24h'!C51,'03.08 Mulago-Kyebando-24h'!C51,'04.08 Mulago-Kyebando'!C51)</f>
        <v>127.28571428571429</v>
      </c>
      <c r="D51" s="49">
        <f>AVERAGE('02.08 Mulago-Kyebando'!D51,'29.07 Mulago-Kyebando'!D51,'30.07 Mulago-Kyebando'!D51,'31.07 Mulago-Kyebando'!D51,'01.08 Mulago-Kyebando-24h'!D51,'03.08 Mulago-Kyebando-24h'!D51,'04.08 Mulago-Kyebando'!D51)</f>
        <v>15.571428571428571</v>
      </c>
      <c r="E51" s="49">
        <f>AVERAGE('02.08 Mulago-Kyebando'!E51,'29.07 Mulago-Kyebando'!E51,'30.07 Mulago-Kyebando'!E51,'31.07 Mulago-Kyebando'!E51,'01.08 Mulago-Kyebando-24h'!E51,'03.08 Mulago-Kyebando-24h'!E51,'04.08 Mulago-Kyebando'!E51)</f>
        <v>10.428571428571429</v>
      </c>
      <c r="F51" s="49">
        <f>AVERAGE('02.08 Mulago-Kyebando'!F51,'29.07 Mulago-Kyebando'!F51,'30.07 Mulago-Kyebando'!F51,'31.07 Mulago-Kyebando'!F51,'01.08 Mulago-Kyebando-24h'!F51,'03.08 Mulago-Kyebando-24h'!F51,'04.08 Mulago-Kyebando'!F51)</f>
        <v>17.714285714285715</v>
      </c>
      <c r="G51" s="49">
        <f>AVERAGE('02.08 Mulago-Kyebando'!G51,'29.07 Mulago-Kyebando'!G51,'30.07 Mulago-Kyebando'!G51,'31.07 Mulago-Kyebando'!G51,'01.08 Mulago-Kyebando-24h'!G51,'03.08 Mulago-Kyebando-24h'!G51,'04.08 Mulago-Kyebando'!G51)</f>
        <v>0.5714285714285714</v>
      </c>
      <c r="H51" s="49">
        <f>AVERAGE('02.08 Mulago-Kyebando'!H51,'29.07 Mulago-Kyebando'!H51,'30.07 Mulago-Kyebando'!H51,'31.07 Mulago-Kyebando'!H51,'01.08 Mulago-Kyebando-24h'!H51,'03.08 Mulago-Kyebando-24h'!H51,'04.08 Mulago-Kyebando'!H51)</f>
        <v>0.14285714285714285</v>
      </c>
      <c r="I51" s="49">
        <f>AVERAGE('02.08 Mulago-Kyebando'!I51,'29.07 Mulago-Kyebando'!I51,'30.07 Mulago-Kyebando'!I51,'31.07 Mulago-Kyebando'!I51,'01.08 Mulago-Kyebando-24h'!I51,'03.08 Mulago-Kyebando-24h'!I51,'04.08 Mulago-Kyebando'!I51)</f>
        <v>4.8571428571428568</v>
      </c>
      <c r="J51" s="49">
        <f>AVERAGE('02.08 Mulago-Kyebando'!J51,'29.07 Mulago-Kyebando'!J51,'30.07 Mulago-Kyebando'!J51,'31.07 Mulago-Kyebando'!J51,'01.08 Mulago-Kyebando-24h'!J51,'03.08 Mulago-Kyebando-24h'!J51,'04.08 Mulago-Kyebando'!J51)</f>
        <v>0.2857142857142857</v>
      </c>
      <c r="K51" s="49">
        <f>AVERAGE('02.08 Mulago-Kyebando'!K51,'29.07 Mulago-Kyebando'!K51,'30.07 Mulago-Kyebando'!K51,'31.07 Mulago-Kyebando'!K51,'01.08 Mulago-Kyebando-24h'!K51,'03.08 Mulago-Kyebando-24h'!K51,'04.08 Mulago-Kyebando'!K51)</f>
        <v>0.42857142857142855</v>
      </c>
      <c r="L51" s="49">
        <f>AVERAGE('02.08 Mulago-Kyebando'!L51,'29.07 Mulago-Kyebando'!L51,'30.07 Mulago-Kyebando'!L51,'31.07 Mulago-Kyebando'!L51,'01.08 Mulago-Kyebando-24h'!L51,'03.08 Mulago-Kyebando-24h'!L51,'04.08 Mulago-Kyebando'!L51)</f>
        <v>0</v>
      </c>
      <c r="M51" s="49">
        <f>AVERAGE('02.08 Mulago-Kyebando'!M51,'29.07 Mulago-Kyebando'!M51,'30.07 Mulago-Kyebando'!M51,'31.07 Mulago-Kyebando'!M51,'01.08 Mulago-Kyebando-24h'!M51,'03.08 Mulago-Kyebando-24h'!M51,'04.08 Mulago-Kyebando'!M51)</f>
        <v>113.57142857142857</v>
      </c>
      <c r="N51" s="49">
        <f>AVERAGE('02.08 Mulago-Kyebando'!N51,'29.07 Mulago-Kyebando'!N51,'30.07 Mulago-Kyebando'!N51,'31.07 Mulago-Kyebando'!N51,'01.08 Mulago-Kyebando-24h'!N51,'03.08 Mulago-Kyebando-24h'!N51,'04.08 Mulago-Kyebando'!N51)</f>
        <v>0</v>
      </c>
      <c r="O51" s="15">
        <f t="shared" si="0"/>
        <v>177.28571428571428</v>
      </c>
      <c r="P51" s="15">
        <f t="shared" si="1"/>
        <v>290.85714285714283</v>
      </c>
    </row>
    <row r="52" spans="2:20" ht="23.1" customHeight="1" x14ac:dyDescent="0.25">
      <c r="B52" s="24" t="s">
        <v>79</v>
      </c>
      <c r="C52" s="49">
        <f>AVERAGE('02.08 Mulago-Kyebando'!C52,'29.07 Mulago-Kyebando'!C52,'30.07 Mulago-Kyebando'!C52,'31.07 Mulago-Kyebando'!C52,'01.08 Mulago-Kyebando-24h'!C52,'03.08 Mulago-Kyebando-24h'!C52,'04.08 Mulago-Kyebando'!C52)</f>
        <v>134.42857142857142</v>
      </c>
      <c r="D52" s="49">
        <f>AVERAGE('02.08 Mulago-Kyebando'!D52,'29.07 Mulago-Kyebando'!D52,'30.07 Mulago-Kyebando'!D52,'31.07 Mulago-Kyebando'!D52,'01.08 Mulago-Kyebando-24h'!D52,'03.08 Mulago-Kyebando-24h'!D52,'04.08 Mulago-Kyebando'!D52)</f>
        <v>19.285714285714285</v>
      </c>
      <c r="E52" s="49">
        <f>AVERAGE('02.08 Mulago-Kyebando'!E52,'29.07 Mulago-Kyebando'!E52,'30.07 Mulago-Kyebando'!E52,'31.07 Mulago-Kyebando'!E52,'01.08 Mulago-Kyebando-24h'!E52,'03.08 Mulago-Kyebando-24h'!E52,'04.08 Mulago-Kyebando'!E52)</f>
        <v>11.428571428571429</v>
      </c>
      <c r="F52" s="49">
        <f>AVERAGE('02.08 Mulago-Kyebando'!F52,'29.07 Mulago-Kyebando'!F52,'30.07 Mulago-Kyebando'!F52,'31.07 Mulago-Kyebando'!F52,'01.08 Mulago-Kyebando-24h'!F52,'03.08 Mulago-Kyebando-24h'!F52,'04.08 Mulago-Kyebando'!F52)</f>
        <v>18</v>
      </c>
      <c r="G52" s="49">
        <f>AVERAGE('02.08 Mulago-Kyebando'!G52,'29.07 Mulago-Kyebando'!G52,'30.07 Mulago-Kyebando'!G52,'31.07 Mulago-Kyebando'!G52,'01.08 Mulago-Kyebando-24h'!G52,'03.08 Mulago-Kyebando-24h'!G52,'04.08 Mulago-Kyebando'!G52)</f>
        <v>0.42857142857142855</v>
      </c>
      <c r="H52" s="49">
        <f>AVERAGE('02.08 Mulago-Kyebando'!H52,'29.07 Mulago-Kyebando'!H52,'30.07 Mulago-Kyebando'!H52,'31.07 Mulago-Kyebando'!H52,'01.08 Mulago-Kyebando-24h'!H52,'03.08 Mulago-Kyebando-24h'!H52,'04.08 Mulago-Kyebando'!H52)</f>
        <v>0.2857142857142857</v>
      </c>
      <c r="I52" s="49">
        <f>AVERAGE('02.08 Mulago-Kyebando'!I52,'29.07 Mulago-Kyebando'!I52,'30.07 Mulago-Kyebando'!I52,'31.07 Mulago-Kyebando'!I52,'01.08 Mulago-Kyebando-24h'!I52,'03.08 Mulago-Kyebando-24h'!I52,'04.08 Mulago-Kyebando'!I52)</f>
        <v>5</v>
      </c>
      <c r="J52" s="49">
        <f>AVERAGE('02.08 Mulago-Kyebando'!J52,'29.07 Mulago-Kyebando'!J52,'30.07 Mulago-Kyebando'!J52,'31.07 Mulago-Kyebando'!J52,'01.08 Mulago-Kyebando-24h'!J52,'03.08 Mulago-Kyebando-24h'!J52,'04.08 Mulago-Kyebando'!J52)</f>
        <v>1.5714285714285714</v>
      </c>
      <c r="K52" s="49">
        <f>AVERAGE('02.08 Mulago-Kyebando'!K52,'29.07 Mulago-Kyebando'!K52,'30.07 Mulago-Kyebando'!K52,'31.07 Mulago-Kyebando'!K52,'01.08 Mulago-Kyebando-24h'!K52,'03.08 Mulago-Kyebando-24h'!K52,'04.08 Mulago-Kyebando'!K52)</f>
        <v>0</v>
      </c>
      <c r="L52" s="49">
        <f>AVERAGE('02.08 Mulago-Kyebando'!L52,'29.07 Mulago-Kyebando'!L52,'30.07 Mulago-Kyebando'!L52,'31.07 Mulago-Kyebando'!L52,'01.08 Mulago-Kyebando-24h'!L52,'03.08 Mulago-Kyebando-24h'!L52,'04.08 Mulago-Kyebando'!L52)</f>
        <v>0</v>
      </c>
      <c r="M52" s="49">
        <f>AVERAGE('02.08 Mulago-Kyebando'!M52,'29.07 Mulago-Kyebando'!M52,'30.07 Mulago-Kyebando'!M52,'31.07 Mulago-Kyebando'!M52,'01.08 Mulago-Kyebando-24h'!M52,'03.08 Mulago-Kyebando-24h'!M52,'04.08 Mulago-Kyebando'!M52)</f>
        <v>123.14285714285714</v>
      </c>
      <c r="N52" s="49">
        <f>AVERAGE('02.08 Mulago-Kyebando'!N52,'29.07 Mulago-Kyebando'!N52,'30.07 Mulago-Kyebando'!N52,'31.07 Mulago-Kyebando'!N52,'01.08 Mulago-Kyebando-24h'!N52,'03.08 Mulago-Kyebando-24h'!N52,'04.08 Mulago-Kyebando'!N52)</f>
        <v>0</v>
      </c>
      <c r="O52" s="15">
        <f t="shared" si="0"/>
        <v>190.42857142857139</v>
      </c>
      <c r="P52" s="15">
        <f t="shared" si="1"/>
        <v>313.57142857142856</v>
      </c>
    </row>
    <row r="53" spans="2:20" ht="23.1" customHeight="1" x14ac:dyDescent="0.25">
      <c r="B53" s="23" t="s">
        <v>80</v>
      </c>
      <c r="C53" s="49">
        <f>AVERAGE('02.08 Mulago-Kyebando'!C53,'29.07 Mulago-Kyebando'!C53,'30.07 Mulago-Kyebando'!C53,'31.07 Mulago-Kyebando'!C53,'01.08 Mulago-Kyebando-24h'!C53,'03.08 Mulago-Kyebando-24h'!C53,'04.08 Mulago-Kyebando'!C53)</f>
        <v>108.85714285714286</v>
      </c>
      <c r="D53" s="49">
        <f>AVERAGE('02.08 Mulago-Kyebando'!D53,'29.07 Mulago-Kyebando'!D53,'30.07 Mulago-Kyebando'!D53,'31.07 Mulago-Kyebando'!D53,'01.08 Mulago-Kyebando-24h'!D53,'03.08 Mulago-Kyebando-24h'!D53,'04.08 Mulago-Kyebando'!D53)</f>
        <v>11.428571428571429</v>
      </c>
      <c r="E53" s="49">
        <f>AVERAGE('02.08 Mulago-Kyebando'!E53,'29.07 Mulago-Kyebando'!E53,'30.07 Mulago-Kyebando'!E53,'31.07 Mulago-Kyebando'!E53,'01.08 Mulago-Kyebando-24h'!E53,'03.08 Mulago-Kyebando-24h'!E53,'04.08 Mulago-Kyebando'!E53)</f>
        <v>9.5714285714285712</v>
      </c>
      <c r="F53" s="49">
        <f>AVERAGE('02.08 Mulago-Kyebando'!F53,'29.07 Mulago-Kyebando'!F53,'30.07 Mulago-Kyebando'!F53,'31.07 Mulago-Kyebando'!F53,'01.08 Mulago-Kyebando-24h'!F53,'03.08 Mulago-Kyebando-24h'!F53,'04.08 Mulago-Kyebando'!F53)</f>
        <v>10.428571428571429</v>
      </c>
      <c r="G53" s="49">
        <f>AVERAGE('02.08 Mulago-Kyebando'!G53,'29.07 Mulago-Kyebando'!G53,'30.07 Mulago-Kyebando'!G53,'31.07 Mulago-Kyebando'!G53,'01.08 Mulago-Kyebando-24h'!G53,'03.08 Mulago-Kyebando-24h'!G53,'04.08 Mulago-Kyebando'!G53)</f>
        <v>0.2857142857142857</v>
      </c>
      <c r="H53" s="49">
        <f>AVERAGE('02.08 Mulago-Kyebando'!H53,'29.07 Mulago-Kyebando'!H53,'30.07 Mulago-Kyebando'!H53,'31.07 Mulago-Kyebando'!H53,'01.08 Mulago-Kyebando-24h'!H53,'03.08 Mulago-Kyebando-24h'!H53,'04.08 Mulago-Kyebando'!H53)</f>
        <v>0.14285714285714285</v>
      </c>
      <c r="I53" s="49">
        <f>AVERAGE('02.08 Mulago-Kyebando'!I53,'29.07 Mulago-Kyebando'!I53,'30.07 Mulago-Kyebando'!I53,'31.07 Mulago-Kyebando'!I53,'01.08 Mulago-Kyebando-24h'!I53,'03.08 Mulago-Kyebando-24h'!I53,'04.08 Mulago-Kyebando'!I53)</f>
        <v>2.5714285714285716</v>
      </c>
      <c r="J53" s="49">
        <f>AVERAGE('02.08 Mulago-Kyebando'!J53,'29.07 Mulago-Kyebando'!J53,'30.07 Mulago-Kyebando'!J53,'31.07 Mulago-Kyebando'!J53,'01.08 Mulago-Kyebando-24h'!J53,'03.08 Mulago-Kyebando-24h'!J53,'04.08 Mulago-Kyebando'!J53)</f>
        <v>0.5714285714285714</v>
      </c>
      <c r="K53" s="49">
        <f>AVERAGE('02.08 Mulago-Kyebando'!K53,'29.07 Mulago-Kyebando'!K53,'30.07 Mulago-Kyebando'!K53,'31.07 Mulago-Kyebando'!K53,'01.08 Mulago-Kyebando-24h'!K53,'03.08 Mulago-Kyebando-24h'!K53,'04.08 Mulago-Kyebando'!K53)</f>
        <v>0.14285714285714285</v>
      </c>
      <c r="L53" s="49">
        <f>AVERAGE('02.08 Mulago-Kyebando'!L53,'29.07 Mulago-Kyebando'!L53,'30.07 Mulago-Kyebando'!L53,'31.07 Mulago-Kyebando'!L53,'01.08 Mulago-Kyebando-24h'!L53,'03.08 Mulago-Kyebando-24h'!L53,'04.08 Mulago-Kyebando'!L53)</f>
        <v>0</v>
      </c>
      <c r="M53" s="49">
        <f>AVERAGE('02.08 Mulago-Kyebando'!M53,'29.07 Mulago-Kyebando'!M53,'30.07 Mulago-Kyebando'!M53,'31.07 Mulago-Kyebando'!M53,'01.08 Mulago-Kyebando-24h'!M53,'03.08 Mulago-Kyebando-24h'!M53,'04.08 Mulago-Kyebando'!M53)</f>
        <v>104.85714285714286</v>
      </c>
      <c r="N53" s="49">
        <f>AVERAGE('02.08 Mulago-Kyebando'!N53,'29.07 Mulago-Kyebando'!N53,'30.07 Mulago-Kyebando'!N53,'31.07 Mulago-Kyebando'!N53,'01.08 Mulago-Kyebando-24h'!N53,'03.08 Mulago-Kyebando-24h'!N53,'04.08 Mulago-Kyebando'!N53)</f>
        <v>0</v>
      </c>
      <c r="O53" s="15">
        <f t="shared" si="0"/>
        <v>144</v>
      </c>
      <c r="P53" s="15">
        <f t="shared" si="1"/>
        <v>248.85714285714286</v>
      </c>
    </row>
    <row r="54" spans="2:20" ht="23.1" customHeight="1" x14ac:dyDescent="0.25">
      <c r="B54" s="23" t="s">
        <v>81</v>
      </c>
      <c r="C54" s="49">
        <f>AVERAGE('02.08 Mulago-Kyebando'!C54,'29.07 Mulago-Kyebando'!C54,'30.07 Mulago-Kyebando'!C54,'31.07 Mulago-Kyebando'!C54,'01.08 Mulago-Kyebando-24h'!C54,'03.08 Mulago-Kyebando-24h'!C54,'04.08 Mulago-Kyebando'!C54)</f>
        <v>108.85714285714286</v>
      </c>
      <c r="D54" s="49">
        <f>AVERAGE('02.08 Mulago-Kyebando'!D54,'29.07 Mulago-Kyebando'!D54,'30.07 Mulago-Kyebando'!D54,'31.07 Mulago-Kyebando'!D54,'01.08 Mulago-Kyebando-24h'!D54,'03.08 Mulago-Kyebando-24h'!D54,'04.08 Mulago-Kyebando'!D54)</f>
        <v>15.285714285714286</v>
      </c>
      <c r="E54" s="49">
        <f>AVERAGE('02.08 Mulago-Kyebando'!E54,'29.07 Mulago-Kyebando'!E54,'30.07 Mulago-Kyebando'!E54,'31.07 Mulago-Kyebando'!E54,'01.08 Mulago-Kyebando-24h'!E54,'03.08 Mulago-Kyebando-24h'!E54,'04.08 Mulago-Kyebando'!E54)</f>
        <v>11.428571428571429</v>
      </c>
      <c r="F54" s="49">
        <f>AVERAGE('02.08 Mulago-Kyebando'!F54,'29.07 Mulago-Kyebando'!F54,'30.07 Mulago-Kyebando'!F54,'31.07 Mulago-Kyebando'!F54,'01.08 Mulago-Kyebando-24h'!F54,'03.08 Mulago-Kyebando-24h'!F54,'04.08 Mulago-Kyebando'!F54)</f>
        <v>19.714285714285715</v>
      </c>
      <c r="G54" s="49">
        <f>AVERAGE('02.08 Mulago-Kyebando'!G54,'29.07 Mulago-Kyebando'!G54,'30.07 Mulago-Kyebando'!G54,'31.07 Mulago-Kyebando'!G54,'01.08 Mulago-Kyebando-24h'!G54,'03.08 Mulago-Kyebando-24h'!G54,'04.08 Mulago-Kyebando'!G54)</f>
        <v>0.8571428571428571</v>
      </c>
      <c r="H54" s="49">
        <f>AVERAGE('02.08 Mulago-Kyebando'!H54,'29.07 Mulago-Kyebando'!H54,'30.07 Mulago-Kyebando'!H54,'31.07 Mulago-Kyebando'!H54,'01.08 Mulago-Kyebando-24h'!H54,'03.08 Mulago-Kyebando-24h'!H54,'04.08 Mulago-Kyebando'!H54)</f>
        <v>0</v>
      </c>
      <c r="I54" s="49">
        <f>AVERAGE('02.08 Mulago-Kyebando'!I54,'29.07 Mulago-Kyebando'!I54,'30.07 Mulago-Kyebando'!I54,'31.07 Mulago-Kyebando'!I54,'01.08 Mulago-Kyebando-24h'!I54,'03.08 Mulago-Kyebando-24h'!I54,'04.08 Mulago-Kyebando'!I54)</f>
        <v>4.2857142857142856</v>
      </c>
      <c r="J54" s="49">
        <f>AVERAGE('02.08 Mulago-Kyebando'!J54,'29.07 Mulago-Kyebando'!J54,'30.07 Mulago-Kyebando'!J54,'31.07 Mulago-Kyebando'!J54,'01.08 Mulago-Kyebando-24h'!J54,'03.08 Mulago-Kyebando-24h'!J54,'04.08 Mulago-Kyebando'!J54)</f>
        <v>1.4285714285714286</v>
      </c>
      <c r="K54" s="49">
        <f>AVERAGE('02.08 Mulago-Kyebando'!K54,'29.07 Mulago-Kyebando'!K54,'30.07 Mulago-Kyebando'!K54,'31.07 Mulago-Kyebando'!K54,'01.08 Mulago-Kyebando-24h'!K54,'03.08 Mulago-Kyebando-24h'!K54,'04.08 Mulago-Kyebando'!K54)</f>
        <v>0</v>
      </c>
      <c r="L54" s="49">
        <f>AVERAGE('02.08 Mulago-Kyebando'!L54,'29.07 Mulago-Kyebando'!L54,'30.07 Mulago-Kyebando'!L54,'31.07 Mulago-Kyebando'!L54,'01.08 Mulago-Kyebando-24h'!L54,'03.08 Mulago-Kyebando-24h'!L54,'04.08 Mulago-Kyebando'!L54)</f>
        <v>0</v>
      </c>
      <c r="M54" s="49">
        <f>AVERAGE('02.08 Mulago-Kyebando'!M54,'29.07 Mulago-Kyebando'!M54,'30.07 Mulago-Kyebando'!M54,'31.07 Mulago-Kyebando'!M54,'01.08 Mulago-Kyebando-24h'!M54,'03.08 Mulago-Kyebando-24h'!M54,'04.08 Mulago-Kyebando'!M54)</f>
        <v>118.14285714285714</v>
      </c>
      <c r="N54" s="49">
        <f>AVERAGE('02.08 Mulago-Kyebando'!N54,'29.07 Mulago-Kyebando'!N54,'30.07 Mulago-Kyebando'!N54,'31.07 Mulago-Kyebando'!N54,'01.08 Mulago-Kyebando-24h'!N54,'03.08 Mulago-Kyebando-24h'!N54,'04.08 Mulago-Kyebando'!N54)</f>
        <v>0</v>
      </c>
      <c r="O54" s="15">
        <f t="shared" si="0"/>
        <v>161.85714285714286</v>
      </c>
      <c r="P54" s="15">
        <f t="shared" si="1"/>
        <v>280</v>
      </c>
    </row>
    <row r="55" spans="2:20" ht="23.1" customHeight="1" x14ac:dyDescent="0.25">
      <c r="B55" s="23" t="s">
        <v>82</v>
      </c>
      <c r="C55" s="49">
        <f>AVERAGE('02.08 Mulago-Kyebando'!C55,'29.07 Mulago-Kyebando'!C55,'30.07 Mulago-Kyebando'!C55,'31.07 Mulago-Kyebando'!C55,'01.08 Mulago-Kyebando-24h'!C55,'03.08 Mulago-Kyebando-24h'!C55,'04.08 Mulago-Kyebando'!C55)</f>
        <v>111.28571428571429</v>
      </c>
      <c r="D55" s="49">
        <f>AVERAGE('02.08 Mulago-Kyebando'!D55,'29.07 Mulago-Kyebando'!D55,'30.07 Mulago-Kyebando'!D55,'31.07 Mulago-Kyebando'!D55,'01.08 Mulago-Kyebando-24h'!D55,'03.08 Mulago-Kyebando-24h'!D55,'04.08 Mulago-Kyebando'!D55)</f>
        <v>10</v>
      </c>
      <c r="E55" s="49">
        <f>AVERAGE('02.08 Mulago-Kyebando'!E55,'29.07 Mulago-Kyebando'!E55,'30.07 Mulago-Kyebando'!E55,'31.07 Mulago-Kyebando'!E55,'01.08 Mulago-Kyebando-24h'!E55,'03.08 Mulago-Kyebando-24h'!E55,'04.08 Mulago-Kyebando'!E55)</f>
        <v>7.5714285714285712</v>
      </c>
      <c r="F55" s="49">
        <f>AVERAGE('02.08 Mulago-Kyebando'!F55,'29.07 Mulago-Kyebando'!F55,'30.07 Mulago-Kyebando'!F55,'31.07 Mulago-Kyebando'!F55,'01.08 Mulago-Kyebando-24h'!F55,'03.08 Mulago-Kyebando-24h'!F55,'04.08 Mulago-Kyebando'!F55)</f>
        <v>18.428571428571427</v>
      </c>
      <c r="G55" s="49">
        <f>AVERAGE('02.08 Mulago-Kyebando'!G55,'29.07 Mulago-Kyebando'!G55,'30.07 Mulago-Kyebando'!G55,'31.07 Mulago-Kyebando'!G55,'01.08 Mulago-Kyebando-24h'!G55,'03.08 Mulago-Kyebando-24h'!G55,'04.08 Mulago-Kyebando'!G55)</f>
        <v>0.2857142857142857</v>
      </c>
      <c r="H55" s="49">
        <f>AVERAGE('02.08 Mulago-Kyebando'!H55,'29.07 Mulago-Kyebando'!H55,'30.07 Mulago-Kyebando'!H55,'31.07 Mulago-Kyebando'!H55,'01.08 Mulago-Kyebando-24h'!H55,'03.08 Mulago-Kyebando-24h'!H55,'04.08 Mulago-Kyebando'!H55)</f>
        <v>0.14285714285714285</v>
      </c>
      <c r="I55" s="49">
        <f>AVERAGE('02.08 Mulago-Kyebando'!I55,'29.07 Mulago-Kyebando'!I55,'30.07 Mulago-Kyebando'!I55,'31.07 Mulago-Kyebando'!I55,'01.08 Mulago-Kyebando-24h'!I55,'03.08 Mulago-Kyebando-24h'!I55,'04.08 Mulago-Kyebando'!I55)</f>
        <v>3.7142857142857144</v>
      </c>
      <c r="J55" s="49">
        <f>AVERAGE('02.08 Mulago-Kyebando'!J55,'29.07 Mulago-Kyebando'!J55,'30.07 Mulago-Kyebando'!J55,'31.07 Mulago-Kyebando'!J55,'01.08 Mulago-Kyebando-24h'!J55,'03.08 Mulago-Kyebando-24h'!J55,'04.08 Mulago-Kyebando'!J55)</f>
        <v>0.14285714285714285</v>
      </c>
      <c r="K55" s="49">
        <f>AVERAGE('02.08 Mulago-Kyebando'!K55,'29.07 Mulago-Kyebando'!K55,'30.07 Mulago-Kyebando'!K55,'31.07 Mulago-Kyebando'!K55,'01.08 Mulago-Kyebando-24h'!K55,'03.08 Mulago-Kyebando-24h'!K55,'04.08 Mulago-Kyebando'!K55)</f>
        <v>0.2857142857142857</v>
      </c>
      <c r="L55" s="49">
        <f>AVERAGE('02.08 Mulago-Kyebando'!L55,'29.07 Mulago-Kyebando'!L55,'30.07 Mulago-Kyebando'!L55,'31.07 Mulago-Kyebando'!L55,'01.08 Mulago-Kyebando-24h'!L55,'03.08 Mulago-Kyebando-24h'!L55,'04.08 Mulago-Kyebando'!L55)</f>
        <v>0</v>
      </c>
      <c r="M55" s="49">
        <f>AVERAGE('02.08 Mulago-Kyebando'!M55,'29.07 Mulago-Kyebando'!M55,'30.07 Mulago-Kyebando'!M55,'31.07 Mulago-Kyebando'!M55,'01.08 Mulago-Kyebando-24h'!M55,'03.08 Mulago-Kyebando-24h'!M55,'04.08 Mulago-Kyebando'!M55)</f>
        <v>117.71428571428571</v>
      </c>
      <c r="N55" s="49">
        <f>AVERAGE('02.08 Mulago-Kyebando'!N55,'29.07 Mulago-Kyebando'!N55,'30.07 Mulago-Kyebando'!N55,'31.07 Mulago-Kyebando'!N55,'01.08 Mulago-Kyebando-24h'!N55,'03.08 Mulago-Kyebando-24h'!N55,'04.08 Mulago-Kyebando'!N55)</f>
        <v>0</v>
      </c>
      <c r="O55" s="15">
        <f t="shared" si="0"/>
        <v>151.85714285714283</v>
      </c>
      <c r="P55" s="15">
        <f t="shared" si="1"/>
        <v>269.57142857142856</v>
      </c>
      <c r="R55" s="8"/>
      <c r="T55"/>
    </row>
    <row r="56" spans="2:20" ht="23.1" customHeight="1" x14ac:dyDescent="0.25">
      <c r="B56" s="23" t="s">
        <v>83</v>
      </c>
      <c r="C56" s="49">
        <f>AVERAGE('02.08 Mulago-Kyebando'!C56,'29.07 Mulago-Kyebando'!C56,'30.07 Mulago-Kyebando'!C56,'31.07 Mulago-Kyebando'!C56,'01.08 Mulago-Kyebando-24h'!C56,'03.08 Mulago-Kyebando-24h'!C56,'04.08 Mulago-Kyebando'!C56)</f>
        <v>98.428571428571431</v>
      </c>
      <c r="D56" s="49">
        <f>AVERAGE('02.08 Mulago-Kyebando'!D56,'29.07 Mulago-Kyebando'!D56,'30.07 Mulago-Kyebando'!D56,'31.07 Mulago-Kyebando'!D56,'01.08 Mulago-Kyebando-24h'!D56,'03.08 Mulago-Kyebando-24h'!D56,'04.08 Mulago-Kyebando'!D56)</f>
        <v>12.571428571428571</v>
      </c>
      <c r="E56" s="49">
        <f>AVERAGE('02.08 Mulago-Kyebando'!E56,'29.07 Mulago-Kyebando'!E56,'30.07 Mulago-Kyebando'!E56,'31.07 Mulago-Kyebando'!E56,'01.08 Mulago-Kyebando-24h'!E56,'03.08 Mulago-Kyebando-24h'!E56,'04.08 Mulago-Kyebando'!E56)</f>
        <v>6.5714285714285712</v>
      </c>
      <c r="F56" s="49">
        <f>AVERAGE('02.08 Mulago-Kyebando'!F56,'29.07 Mulago-Kyebando'!F56,'30.07 Mulago-Kyebando'!F56,'31.07 Mulago-Kyebando'!F56,'01.08 Mulago-Kyebando-24h'!F56,'03.08 Mulago-Kyebando-24h'!F56,'04.08 Mulago-Kyebando'!F56)</f>
        <v>20.428571428571427</v>
      </c>
      <c r="G56" s="49">
        <f>AVERAGE('02.08 Mulago-Kyebando'!G56,'29.07 Mulago-Kyebando'!G56,'30.07 Mulago-Kyebando'!G56,'31.07 Mulago-Kyebando'!G56,'01.08 Mulago-Kyebando-24h'!G56,'03.08 Mulago-Kyebando-24h'!G56,'04.08 Mulago-Kyebando'!G56)</f>
        <v>0.5714285714285714</v>
      </c>
      <c r="H56" s="49">
        <f>AVERAGE('02.08 Mulago-Kyebando'!H56,'29.07 Mulago-Kyebando'!H56,'30.07 Mulago-Kyebando'!H56,'31.07 Mulago-Kyebando'!H56,'01.08 Mulago-Kyebando-24h'!H56,'03.08 Mulago-Kyebando-24h'!H56,'04.08 Mulago-Kyebando'!H56)</f>
        <v>0.14285714285714285</v>
      </c>
      <c r="I56" s="49">
        <f>AVERAGE('02.08 Mulago-Kyebando'!I56,'29.07 Mulago-Kyebando'!I56,'30.07 Mulago-Kyebando'!I56,'31.07 Mulago-Kyebando'!I56,'01.08 Mulago-Kyebando-24h'!I56,'03.08 Mulago-Kyebando-24h'!I56,'04.08 Mulago-Kyebando'!I56)</f>
        <v>3.4285714285714284</v>
      </c>
      <c r="J56" s="49">
        <f>AVERAGE('02.08 Mulago-Kyebando'!J56,'29.07 Mulago-Kyebando'!J56,'30.07 Mulago-Kyebando'!J56,'31.07 Mulago-Kyebando'!J56,'01.08 Mulago-Kyebando-24h'!J56,'03.08 Mulago-Kyebando-24h'!J56,'04.08 Mulago-Kyebando'!J56)</f>
        <v>0.7142857142857143</v>
      </c>
      <c r="K56" s="49">
        <f>AVERAGE('02.08 Mulago-Kyebando'!K56,'29.07 Mulago-Kyebando'!K56,'30.07 Mulago-Kyebando'!K56,'31.07 Mulago-Kyebando'!K56,'01.08 Mulago-Kyebando-24h'!K56,'03.08 Mulago-Kyebando-24h'!K56,'04.08 Mulago-Kyebando'!K56)</f>
        <v>0.14285714285714285</v>
      </c>
      <c r="L56" s="49">
        <f>AVERAGE('02.08 Mulago-Kyebando'!L56,'29.07 Mulago-Kyebando'!L56,'30.07 Mulago-Kyebando'!L56,'31.07 Mulago-Kyebando'!L56,'01.08 Mulago-Kyebando-24h'!L56,'03.08 Mulago-Kyebando-24h'!L56,'04.08 Mulago-Kyebando'!L56)</f>
        <v>0</v>
      </c>
      <c r="M56" s="49">
        <f>AVERAGE('02.08 Mulago-Kyebando'!M56,'29.07 Mulago-Kyebando'!M56,'30.07 Mulago-Kyebando'!M56,'31.07 Mulago-Kyebando'!M56,'01.08 Mulago-Kyebando-24h'!M56,'03.08 Mulago-Kyebando-24h'!M56,'04.08 Mulago-Kyebando'!M56)</f>
        <v>116</v>
      </c>
      <c r="N56" s="49">
        <f>AVERAGE('02.08 Mulago-Kyebando'!N56,'29.07 Mulago-Kyebando'!N56,'30.07 Mulago-Kyebando'!N56,'31.07 Mulago-Kyebando'!N56,'01.08 Mulago-Kyebando-24h'!N56,'03.08 Mulago-Kyebando-24h'!N56,'04.08 Mulago-Kyebando'!N56)</f>
        <v>0</v>
      </c>
      <c r="O56" s="15">
        <f t="shared" si="0"/>
        <v>143</v>
      </c>
      <c r="P56" s="15">
        <f t="shared" si="1"/>
        <v>259</v>
      </c>
      <c r="R56" s="8"/>
      <c r="T56"/>
    </row>
    <row r="57" spans="2:20" ht="23.1" customHeight="1" x14ac:dyDescent="0.25">
      <c r="B57" s="23" t="s">
        <v>84</v>
      </c>
      <c r="C57" s="49">
        <f>AVERAGE('02.08 Mulago-Kyebando'!C57,'29.07 Mulago-Kyebando'!C57,'30.07 Mulago-Kyebando'!C57,'31.07 Mulago-Kyebando'!C57,'01.08 Mulago-Kyebando-24h'!C57,'03.08 Mulago-Kyebando-24h'!C57,'04.08 Mulago-Kyebando'!C57)</f>
        <v>88.857142857142861</v>
      </c>
      <c r="D57" s="49">
        <f>AVERAGE('02.08 Mulago-Kyebando'!D57,'29.07 Mulago-Kyebando'!D57,'30.07 Mulago-Kyebando'!D57,'31.07 Mulago-Kyebando'!D57,'01.08 Mulago-Kyebando-24h'!D57,'03.08 Mulago-Kyebando-24h'!D57,'04.08 Mulago-Kyebando'!D57)</f>
        <v>11</v>
      </c>
      <c r="E57" s="49">
        <f>AVERAGE('02.08 Mulago-Kyebando'!E57,'29.07 Mulago-Kyebando'!E57,'30.07 Mulago-Kyebando'!E57,'31.07 Mulago-Kyebando'!E57,'01.08 Mulago-Kyebando-24h'!E57,'03.08 Mulago-Kyebando-24h'!E57,'04.08 Mulago-Kyebando'!E57)</f>
        <v>5.5714285714285712</v>
      </c>
      <c r="F57" s="49">
        <f>AVERAGE('02.08 Mulago-Kyebando'!F57,'29.07 Mulago-Kyebando'!F57,'30.07 Mulago-Kyebando'!F57,'31.07 Mulago-Kyebando'!F57,'01.08 Mulago-Kyebando-24h'!F57,'03.08 Mulago-Kyebando-24h'!F57,'04.08 Mulago-Kyebando'!F57)</f>
        <v>20</v>
      </c>
      <c r="G57" s="49">
        <f>AVERAGE('02.08 Mulago-Kyebando'!G57,'29.07 Mulago-Kyebando'!G57,'30.07 Mulago-Kyebando'!G57,'31.07 Mulago-Kyebando'!G57,'01.08 Mulago-Kyebando-24h'!G57,'03.08 Mulago-Kyebando-24h'!G57,'04.08 Mulago-Kyebando'!G57)</f>
        <v>0.5714285714285714</v>
      </c>
      <c r="H57" s="49">
        <f>AVERAGE('02.08 Mulago-Kyebando'!H57,'29.07 Mulago-Kyebando'!H57,'30.07 Mulago-Kyebando'!H57,'31.07 Mulago-Kyebando'!H57,'01.08 Mulago-Kyebando-24h'!H57,'03.08 Mulago-Kyebando-24h'!H57,'04.08 Mulago-Kyebando'!H57)</f>
        <v>0.14285714285714285</v>
      </c>
      <c r="I57" s="49">
        <f>AVERAGE('02.08 Mulago-Kyebando'!I57,'29.07 Mulago-Kyebando'!I57,'30.07 Mulago-Kyebando'!I57,'31.07 Mulago-Kyebando'!I57,'01.08 Mulago-Kyebando-24h'!I57,'03.08 Mulago-Kyebando-24h'!I57,'04.08 Mulago-Kyebando'!I57)</f>
        <v>3</v>
      </c>
      <c r="J57" s="49">
        <f>AVERAGE('02.08 Mulago-Kyebando'!J57,'29.07 Mulago-Kyebando'!J57,'30.07 Mulago-Kyebando'!J57,'31.07 Mulago-Kyebando'!J57,'01.08 Mulago-Kyebando-24h'!J57,'03.08 Mulago-Kyebando-24h'!J57,'04.08 Mulago-Kyebando'!J57)</f>
        <v>0.14285714285714285</v>
      </c>
      <c r="K57" s="49">
        <f>AVERAGE('02.08 Mulago-Kyebando'!K57,'29.07 Mulago-Kyebando'!K57,'30.07 Mulago-Kyebando'!K57,'31.07 Mulago-Kyebando'!K57,'01.08 Mulago-Kyebando-24h'!K57,'03.08 Mulago-Kyebando-24h'!K57,'04.08 Mulago-Kyebando'!K57)</f>
        <v>0</v>
      </c>
      <c r="L57" s="49">
        <f>AVERAGE('02.08 Mulago-Kyebando'!L57,'29.07 Mulago-Kyebando'!L57,'30.07 Mulago-Kyebando'!L57,'31.07 Mulago-Kyebando'!L57,'01.08 Mulago-Kyebando-24h'!L57,'03.08 Mulago-Kyebando-24h'!L57,'04.08 Mulago-Kyebando'!L57)</f>
        <v>0</v>
      </c>
      <c r="M57" s="49">
        <f>AVERAGE('02.08 Mulago-Kyebando'!M57,'29.07 Mulago-Kyebando'!M57,'30.07 Mulago-Kyebando'!M57,'31.07 Mulago-Kyebando'!M57,'01.08 Mulago-Kyebando-24h'!M57,'03.08 Mulago-Kyebando-24h'!M57,'04.08 Mulago-Kyebando'!M57)</f>
        <v>103.14285714285714</v>
      </c>
      <c r="N57" s="49">
        <f>AVERAGE('02.08 Mulago-Kyebando'!N57,'29.07 Mulago-Kyebando'!N57,'30.07 Mulago-Kyebando'!N57,'31.07 Mulago-Kyebando'!N57,'01.08 Mulago-Kyebando-24h'!N57,'03.08 Mulago-Kyebando-24h'!N57,'04.08 Mulago-Kyebando'!N57)</f>
        <v>0</v>
      </c>
      <c r="O57" s="15">
        <f t="shared" si="0"/>
        <v>129.28571428571428</v>
      </c>
      <c r="P57" s="15">
        <f t="shared" si="1"/>
        <v>232.42857142857142</v>
      </c>
      <c r="R57" s="8"/>
      <c r="T57"/>
    </row>
    <row r="58" spans="2:20" ht="23.1" customHeight="1" x14ac:dyDescent="0.25">
      <c r="B58" s="23" t="s">
        <v>99</v>
      </c>
      <c r="C58" s="49">
        <f>AVERAGE('01.08 Mulago-Kyebando-24h'!C58,'03.08 Mulago-Kyebando-24h'!C58)</f>
        <v>94.5</v>
      </c>
      <c r="D58" s="49">
        <f>AVERAGE('01.08 Mulago-Kyebando-24h'!D58,'03.08 Mulago-Kyebando-24h'!D58)</f>
        <v>7.5</v>
      </c>
      <c r="E58" s="49">
        <f>AVERAGE('01.08 Mulago-Kyebando-24h'!E58,'03.08 Mulago-Kyebando-24h'!E58)</f>
        <v>11.5</v>
      </c>
      <c r="F58" s="49">
        <f>AVERAGE('01.08 Mulago-Kyebando-24h'!F58,'03.08 Mulago-Kyebando-24h'!F58)</f>
        <v>21</v>
      </c>
      <c r="G58" s="49">
        <f>AVERAGE('01.08 Mulago-Kyebando-24h'!G58,'03.08 Mulago-Kyebando-24h'!G58)</f>
        <v>1</v>
      </c>
      <c r="H58" s="49">
        <f>AVERAGE('01.08 Mulago-Kyebando-24h'!H58,'03.08 Mulago-Kyebando-24h'!H58)</f>
        <v>0</v>
      </c>
      <c r="I58" s="49">
        <f>AVERAGE('01.08 Mulago-Kyebando-24h'!I58,'03.08 Mulago-Kyebando-24h'!I58)</f>
        <v>6.5</v>
      </c>
      <c r="J58" s="49">
        <f>AVERAGE('01.08 Mulago-Kyebando-24h'!J58,'03.08 Mulago-Kyebando-24h'!J58)</f>
        <v>0</v>
      </c>
      <c r="K58" s="49">
        <f>AVERAGE('01.08 Mulago-Kyebando-24h'!K58,'03.08 Mulago-Kyebando-24h'!K58)</f>
        <v>0.5</v>
      </c>
      <c r="L58" s="49">
        <f>AVERAGE('01.08 Mulago-Kyebando-24h'!L58,'03.08 Mulago-Kyebando-24h'!L58)</f>
        <v>0</v>
      </c>
      <c r="M58" s="49">
        <f>AVERAGE('01.08 Mulago-Kyebando-24h'!M58,'03.08 Mulago-Kyebando-24h'!M58)</f>
        <v>100.5</v>
      </c>
      <c r="N58" s="49">
        <f>AVERAGE('01.08 Mulago-Kyebando-24h'!N58,'03.08 Mulago-Kyebando-24h'!N58)</f>
        <v>0</v>
      </c>
      <c r="O58" s="15">
        <f t="shared" si="0"/>
        <v>142.5</v>
      </c>
      <c r="P58" s="15">
        <f t="shared" si="1"/>
        <v>243</v>
      </c>
      <c r="R58" s="8"/>
      <c r="T58"/>
    </row>
    <row r="59" spans="2:20" ht="23.1" customHeight="1" x14ac:dyDescent="0.25">
      <c r="B59" s="23" t="s">
        <v>100</v>
      </c>
      <c r="C59" s="49">
        <f>AVERAGE('01.08 Mulago-Kyebando-24h'!C59,'03.08 Mulago-Kyebando-24h'!C59)</f>
        <v>139</v>
      </c>
      <c r="D59" s="49">
        <f>AVERAGE('01.08 Mulago-Kyebando-24h'!D59,'03.08 Mulago-Kyebando-24h'!D59)</f>
        <v>13</v>
      </c>
      <c r="E59" s="49">
        <f>AVERAGE('01.08 Mulago-Kyebando-24h'!E59,'03.08 Mulago-Kyebando-24h'!E59)</f>
        <v>10.5</v>
      </c>
      <c r="F59" s="49">
        <f>AVERAGE('01.08 Mulago-Kyebando-24h'!F59,'03.08 Mulago-Kyebando-24h'!F59)</f>
        <v>38</v>
      </c>
      <c r="G59" s="49">
        <f>AVERAGE('01.08 Mulago-Kyebando-24h'!G59,'03.08 Mulago-Kyebando-24h'!G59)</f>
        <v>0</v>
      </c>
      <c r="H59" s="49">
        <f>AVERAGE('01.08 Mulago-Kyebando-24h'!H59,'03.08 Mulago-Kyebando-24h'!H59)</f>
        <v>0.5</v>
      </c>
      <c r="I59" s="49">
        <f>AVERAGE('01.08 Mulago-Kyebando-24h'!I59,'03.08 Mulago-Kyebando-24h'!I59)</f>
        <v>5.5</v>
      </c>
      <c r="J59" s="49">
        <f>AVERAGE('01.08 Mulago-Kyebando-24h'!J59,'03.08 Mulago-Kyebando-24h'!J59)</f>
        <v>1</v>
      </c>
      <c r="K59" s="49">
        <f>AVERAGE('01.08 Mulago-Kyebando-24h'!K59,'03.08 Mulago-Kyebando-24h'!K59)</f>
        <v>0</v>
      </c>
      <c r="L59" s="49">
        <f>AVERAGE('01.08 Mulago-Kyebando-24h'!L59,'03.08 Mulago-Kyebando-24h'!L59)</f>
        <v>0</v>
      </c>
      <c r="M59" s="49">
        <f>AVERAGE('01.08 Mulago-Kyebando-24h'!M59,'03.08 Mulago-Kyebando-24h'!M59)</f>
        <v>159</v>
      </c>
      <c r="N59" s="49">
        <f>AVERAGE('01.08 Mulago-Kyebando-24h'!N59,'03.08 Mulago-Kyebando-24h'!N59)</f>
        <v>0</v>
      </c>
      <c r="O59" s="15">
        <f t="shared" si="0"/>
        <v>207.5</v>
      </c>
      <c r="P59" s="15">
        <f t="shared" si="1"/>
        <v>366.5</v>
      </c>
      <c r="R59" s="8"/>
      <c r="T59"/>
    </row>
    <row r="60" spans="2:20" ht="23.1" customHeight="1" x14ac:dyDescent="0.25">
      <c r="B60" s="23" t="s">
        <v>101</v>
      </c>
      <c r="C60" s="49">
        <f>AVERAGE('01.08 Mulago-Kyebando-24h'!C60,'03.08 Mulago-Kyebando-24h'!C60)</f>
        <v>112</v>
      </c>
      <c r="D60" s="49">
        <f>AVERAGE('01.08 Mulago-Kyebando-24h'!D60,'03.08 Mulago-Kyebando-24h'!D60)</f>
        <v>10.5</v>
      </c>
      <c r="E60" s="49">
        <f>AVERAGE('01.08 Mulago-Kyebando-24h'!E60,'03.08 Mulago-Kyebando-24h'!E60)</f>
        <v>14.5</v>
      </c>
      <c r="F60" s="49">
        <f>AVERAGE('01.08 Mulago-Kyebando-24h'!F60,'03.08 Mulago-Kyebando-24h'!F60)</f>
        <v>42.5</v>
      </c>
      <c r="G60" s="49">
        <f>AVERAGE('01.08 Mulago-Kyebando-24h'!G60,'03.08 Mulago-Kyebando-24h'!G60)</f>
        <v>0.5</v>
      </c>
      <c r="H60" s="49">
        <f>AVERAGE('01.08 Mulago-Kyebando-24h'!H60,'03.08 Mulago-Kyebando-24h'!H60)</f>
        <v>1</v>
      </c>
      <c r="I60" s="49">
        <f>AVERAGE('01.08 Mulago-Kyebando-24h'!I60,'03.08 Mulago-Kyebando-24h'!I60)</f>
        <v>6.5</v>
      </c>
      <c r="J60" s="49">
        <f>AVERAGE('01.08 Mulago-Kyebando-24h'!J60,'03.08 Mulago-Kyebando-24h'!J60)</f>
        <v>1.5</v>
      </c>
      <c r="K60" s="49">
        <f>AVERAGE('01.08 Mulago-Kyebando-24h'!K60,'03.08 Mulago-Kyebando-24h'!K60)</f>
        <v>0</v>
      </c>
      <c r="L60" s="49">
        <f>AVERAGE('01.08 Mulago-Kyebando-24h'!L60,'03.08 Mulago-Kyebando-24h'!L60)</f>
        <v>0</v>
      </c>
      <c r="M60" s="49">
        <f>AVERAGE('01.08 Mulago-Kyebando-24h'!M60,'03.08 Mulago-Kyebando-24h'!M60)</f>
        <v>200.5</v>
      </c>
      <c r="N60" s="49">
        <f>AVERAGE('01.08 Mulago-Kyebando-24h'!N60,'03.08 Mulago-Kyebando-24h'!N60)</f>
        <v>0</v>
      </c>
      <c r="O60" s="15">
        <f t="shared" si="0"/>
        <v>189</v>
      </c>
      <c r="P60" s="15">
        <f t="shared" si="1"/>
        <v>389.5</v>
      </c>
      <c r="R60" s="8"/>
      <c r="T60"/>
    </row>
    <row r="61" spans="2:20" ht="23.1" customHeight="1" x14ac:dyDescent="0.25">
      <c r="B61" s="23" t="s">
        <v>102</v>
      </c>
      <c r="C61" s="49">
        <f>AVERAGE('01.08 Mulago-Kyebando-24h'!C61,'03.08 Mulago-Kyebando-24h'!C61)</f>
        <v>105</v>
      </c>
      <c r="D61" s="49">
        <f>AVERAGE('01.08 Mulago-Kyebando-24h'!D61,'03.08 Mulago-Kyebando-24h'!D61)</f>
        <v>14</v>
      </c>
      <c r="E61" s="49">
        <f>AVERAGE('01.08 Mulago-Kyebando-24h'!E61,'03.08 Mulago-Kyebando-24h'!E61)</f>
        <v>14</v>
      </c>
      <c r="F61" s="49">
        <f>AVERAGE('01.08 Mulago-Kyebando-24h'!F61,'03.08 Mulago-Kyebando-24h'!F61)</f>
        <v>47.5</v>
      </c>
      <c r="G61" s="49">
        <f>AVERAGE('01.08 Mulago-Kyebando-24h'!G61,'03.08 Mulago-Kyebando-24h'!G61)</f>
        <v>1</v>
      </c>
      <c r="H61" s="49">
        <f>AVERAGE('01.08 Mulago-Kyebando-24h'!H61,'03.08 Mulago-Kyebando-24h'!H61)</f>
        <v>0</v>
      </c>
      <c r="I61" s="49">
        <f>AVERAGE('01.08 Mulago-Kyebando-24h'!I61,'03.08 Mulago-Kyebando-24h'!I61)</f>
        <v>3.5</v>
      </c>
      <c r="J61" s="49">
        <f>AVERAGE('01.08 Mulago-Kyebando-24h'!J61,'03.08 Mulago-Kyebando-24h'!J61)</f>
        <v>1</v>
      </c>
      <c r="K61" s="49">
        <f>AVERAGE('01.08 Mulago-Kyebando-24h'!K61,'03.08 Mulago-Kyebando-24h'!K61)</f>
        <v>0.5</v>
      </c>
      <c r="L61" s="49">
        <f>AVERAGE('01.08 Mulago-Kyebando-24h'!L61,'03.08 Mulago-Kyebando-24h'!L61)</f>
        <v>0</v>
      </c>
      <c r="M61" s="49">
        <f>AVERAGE('01.08 Mulago-Kyebando-24h'!M61,'03.08 Mulago-Kyebando-24h'!M61)</f>
        <v>165.5</v>
      </c>
      <c r="N61" s="49">
        <f>AVERAGE('01.08 Mulago-Kyebando-24h'!N61,'03.08 Mulago-Kyebando-24h'!N61)</f>
        <v>0</v>
      </c>
      <c r="O61" s="15">
        <f t="shared" si="0"/>
        <v>186.5</v>
      </c>
      <c r="P61" s="15">
        <f t="shared" si="1"/>
        <v>352</v>
      </c>
      <c r="R61" s="8"/>
      <c r="T61"/>
    </row>
    <row r="62" spans="2:20" ht="23.1" customHeight="1" x14ac:dyDescent="0.25">
      <c r="B62" s="23" t="s">
        <v>107</v>
      </c>
      <c r="C62" s="49">
        <f>AVERAGE('01.08 Mulago-Kyebando-24h'!C62,'03.08 Mulago-Kyebando-24h'!C62)</f>
        <v>160</v>
      </c>
      <c r="D62" s="49">
        <f>AVERAGE('01.08 Mulago-Kyebando-24h'!D62,'03.08 Mulago-Kyebando-24h'!D62)</f>
        <v>11.5</v>
      </c>
      <c r="E62" s="49">
        <f>AVERAGE('01.08 Mulago-Kyebando-24h'!E62,'03.08 Mulago-Kyebando-24h'!E62)</f>
        <v>10</v>
      </c>
      <c r="F62" s="49">
        <f>AVERAGE('01.08 Mulago-Kyebando-24h'!F62,'03.08 Mulago-Kyebando-24h'!F62)</f>
        <v>52.5</v>
      </c>
      <c r="G62" s="49">
        <f>AVERAGE('01.08 Mulago-Kyebando-24h'!G62,'03.08 Mulago-Kyebando-24h'!G62)</f>
        <v>1</v>
      </c>
      <c r="H62" s="49">
        <f>AVERAGE('01.08 Mulago-Kyebando-24h'!H62,'03.08 Mulago-Kyebando-24h'!H62)</f>
        <v>0</v>
      </c>
      <c r="I62" s="49">
        <f>AVERAGE('01.08 Mulago-Kyebando-24h'!I62,'03.08 Mulago-Kyebando-24h'!I62)</f>
        <v>7</v>
      </c>
      <c r="J62" s="49">
        <f>AVERAGE('01.08 Mulago-Kyebando-24h'!J62,'03.08 Mulago-Kyebando-24h'!J62)</f>
        <v>0.5</v>
      </c>
      <c r="K62" s="49">
        <f>AVERAGE('01.08 Mulago-Kyebando-24h'!K62,'03.08 Mulago-Kyebando-24h'!K62)</f>
        <v>0</v>
      </c>
      <c r="L62" s="49">
        <f>AVERAGE('01.08 Mulago-Kyebando-24h'!L62,'03.08 Mulago-Kyebando-24h'!L62)</f>
        <v>0</v>
      </c>
      <c r="M62" s="49">
        <f>AVERAGE('01.08 Mulago-Kyebando-24h'!M62,'03.08 Mulago-Kyebando-24h'!M62)</f>
        <v>181</v>
      </c>
      <c r="N62" s="49">
        <f>AVERAGE('01.08 Mulago-Kyebando-24h'!N62,'03.08 Mulago-Kyebando-24h'!N62)</f>
        <v>0</v>
      </c>
      <c r="O62" s="15">
        <f t="shared" si="0"/>
        <v>242.5</v>
      </c>
      <c r="P62" s="15">
        <f t="shared" si="1"/>
        <v>423.5</v>
      </c>
      <c r="R62" s="8"/>
      <c r="T62"/>
    </row>
    <row r="63" spans="2:20" ht="23.1" customHeight="1" x14ac:dyDescent="0.25">
      <c r="B63" s="23" t="s">
        <v>108</v>
      </c>
      <c r="C63" s="49">
        <f>AVERAGE('01.08 Mulago-Kyebando-24h'!C63,'03.08 Mulago-Kyebando-24h'!C63)</f>
        <v>118</v>
      </c>
      <c r="D63" s="49">
        <f>AVERAGE('01.08 Mulago-Kyebando-24h'!D63,'03.08 Mulago-Kyebando-24h'!D63)</f>
        <v>12.5</v>
      </c>
      <c r="E63" s="49">
        <f>AVERAGE('01.08 Mulago-Kyebando-24h'!E63,'03.08 Mulago-Kyebando-24h'!E63)</f>
        <v>11</v>
      </c>
      <c r="F63" s="49">
        <f>AVERAGE('01.08 Mulago-Kyebando-24h'!F63,'03.08 Mulago-Kyebando-24h'!F63)</f>
        <v>45</v>
      </c>
      <c r="G63" s="49">
        <f>AVERAGE('01.08 Mulago-Kyebando-24h'!G63,'03.08 Mulago-Kyebando-24h'!G63)</f>
        <v>1</v>
      </c>
      <c r="H63" s="49">
        <f>AVERAGE('01.08 Mulago-Kyebando-24h'!H63,'03.08 Mulago-Kyebando-24h'!H63)</f>
        <v>0.5</v>
      </c>
      <c r="I63" s="49">
        <f>AVERAGE('01.08 Mulago-Kyebando-24h'!I63,'03.08 Mulago-Kyebando-24h'!I63)</f>
        <v>9.5</v>
      </c>
      <c r="J63" s="49">
        <f>AVERAGE('01.08 Mulago-Kyebando-24h'!J63,'03.08 Mulago-Kyebando-24h'!J63)</f>
        <v>0.5</v>
      </c>
      <c r="K63" s="49">
        <f>AVERAGE('01.08 Mulago-Kyebando-24h'!K63,'03.08 Mulago-Kyebando-24h'!K63)</f>
        <v>0</v>
      </c>
      <c r="L63" s="49">
        <f>AVERAGE('01.08 Mulago-Kyebando-24h'!L63,'03.08 Mulago-Kyebando-24h'!L63)</f>
        <v>0</v>
      </c>
      <c r="M63" s="49">
        <f>AVERAGE('01.08 Mulago-Kyebando-24h'!M63,'03.08 Mulago-Kyebando-24h'!M63)</f>
        <v>160</v>
      </c>
      <c r="N63" s="49">
        <f>AVERAGE('01.08 Mulago-Kyebando-24h'!N63,'03.08 Mulago-Kyebando-24h'!N63)</f>
        <v>0</v>
      </c>
      <c r="O63" s="15">
        <f t="shared" si="0"/>
        <v>198</v>
      </c>
      <c r="P63" s="15">
        <f t="shared" si="1"/>
        <v>358</v>
      </c>
      <c r="R63" s="8"/>
      <c r="T63"/>
    </row>
    <row r="64" spans="2:20" ht="23.1" customHeight="1" x14ac:dyDescent="0.25">
      <c r="B64" s="23" t="s">
        <v>109</v>
      </c>
      <c r="C64" s="49">
        <f>AVERAGE('01.08 Mulago-Kyebando-24h'!C64,'03.08 Mulago-Kyebando-24h'!C64)</f>
        <v>92.5</v>
      </c>
      <c r="D64" s="49">
        <f>AVERAGE('01.08 Mulago-Kyebando-24h'!D64,'03.08 Mulago-Kyebando-24h'!D64)</f>
        <v>9.5</v>
      </c>
      <c r="E64" s="49">
        <f>AVERAGE('01.08 Mulago-Kyebando-24h'!E64,'03.08 Mulago-Kyebando-24h'!E64)</f>
        <v>7.5</v>
      </c>
      <c r="F64" s="49">
        <f>AVERAGE('01.08 Mulago-Kyebando-24h'!F64,'03.08 Mulago-Kyebando-24h'!F64)</f>
        <v>54.5</v>
      </c>
      <c r="G64" s="49">
        <f>AVERAGE('01.08 Mulago-Kyebando-24h'!G64,'03.08 Mulago-Kyebando-24h'!G64)</f>
        <v>1</v>
      </c>
      <c r="H64" s="49">
        <f>AVERAGE('01.08 Mulago-Kyebando-24h'!H64,'03.08 Mulago-Kyebando-24h'!H64)</f>
        <v>2.5</v>
      </c>
      <c r="I64" s="49">
        <f>AVERAGE('01.08 Mulago-Kyebando-24h'!I64,'03.08 Mulago-Kyebando-24h'!I64)</f>
        <v>3</v>
      </c>
      <c r="J64" s="49">
        <f>AVERAGE('01.08 Mulago-Kyebando-24h'!J64,'03.08 Mulago-Kyebando-24h'!J64)</f>
        <v>0.5</v>
      </c>
      <c r="K64" s="49">
        <f>AVERAGE('01.08 Mulago-Kyebando-24h'!K64,'03.08 Mulago-Kyebando-24h'!K64)</f>
        <v>0</v>
      </c>
      <c r="L64" s="49">
        <f>AVERAGE('01.08 Mulago-Kyebando-24h'!L64,'03.08 Mulago-Kyebando-24h'!L64)</f>
        <v>0</v>
      </c>
      <c r="M64" s="49">
        <f>AVERAGE('01.08 Mulago-Kyebando-24h'!M64,'03.08 Mulago-Kyebando-24h'!M64)</f>
        <v>158</v>
      </c>
      <c r="N64" s="49">
        <f>AVERAGE('01.08 Mulago-Kyebando-24h'!N64,'03.08 Mulago-Kyebando-24h'!N64)</f>
        <v>0</v>
      </c>
      <c r="O64" s="15">
        <f t="shared" si="0"/>
        <v>171</v>
      </c>
      <c r="P64" s="15">
        <f t="shared" si="1"/>
        <v>329</v>
      </c>
      <c r="R64" s="8"/>
      <c r="T64"/>
    </row>
    <row r="65" spans="2:20" ht="23.1" customHeight="1" x14ac:dyDescent="0.25">
      <c r="B65" s="23" t="s">
        <v>158</v>
      </c>
      <c r="C65" s="49">
        <f>AVERAGE('01.08 Mulago-Kyebando-24h'!C65,'03.08 Mulago-Kyebando-24h'!C65)</f>
        <v>124</v>
      </c>
      <c r="D65" s="49">
        <f>AVERAGE('01.08 Mulago-Kyebando-24h'!D65,'03.08 Mulago-Kyebando-24h'!D65)</f>
        <v>7.5</v>
      </c>
      <c r="E65" s="49">
        <f>AVERAGE('01.08 Mulago-Kyebando-24h'!E65,'03.08 Mulago-Kyebando-24h'!E65)</f>
        <v>8</v>
      </c>
      <c r="F65" s="49">
        <f>AVERAGE('01.08 Mulago-Kyebando-24h'!F65,'03.08 Mulago-Kyebando-24h'!F65)</f>
        <v>40</v>
      </c>
      <c r="G65" s="49">
        <f>AVERAGE('01.08 Mulago-Kyebando-24h'!G65,'03.08 Mulago-Kyebando-24h'!G65)</f>
        <v>2</v>
      </c>
      <c r="H65" s="49">
        <f>AVERAGE('01.08 Mulago-Kyebando-24h'!H65,'03.08 Mulago-Kyebando-24h'!H65)</f>
        <v>0</v>
      </c>
      <c r="I65" s="49">
        <f>AVERAGE('01.08 Mulago-Kyebando-24h'!I65,'03.08 Mulago-Kyebando-24h'!I65)</f>
        <v>6</v>
      </c>
      <c r="J65" s="49">
        <f>AVERAGE('01.08 Mulago-Kyebando-24h'!J65,'03.08 Mulago-Kyebando-24h'!J65)</f>
        <v>0</v>
      </c>
      <c r="K65" s="49">
        <f>AVERAGE('01.08 Mulago-Kyebando-24h'!K65,'03.08 Mulago-Kyebando-24h'!K65)</f>
        <v>0</v>
      </c>
      <c r="L65" s="49">
        <f>AVERAGE('01.08 Mulago-Kyebando-24h'!L65,'03.08 Mulago-Kyebando-24h'!L65)</f>
        <v>0</v>
      </c>
      <c r="M65" s="49">
        <f>AVERAGE('01.08 Mulago-Kyebando-24h'!M65,'03.08 Mulago-Kyebando-24h'!M65)</f>
        <v>143.5</v>
      </c>
      <c r="N65" s="49">
        <f>AVERAGE('01.08 Mulago-Kyebando-24h'!N65,'03.08 Mulago-Kyebando-24h'!N65)</f>
        <v>0</v>
      </c>
      <c r="O65" s="15">
        <f t="shared" si="0"/>
        <v>187.5</v>
      </c>
      <c r="P65" s="15">
        <f t="shared" si="1"/>
        <v>331</v>
      </c>
      <c r="R65" s="8"/>
      <c r="T65"/>
    </row>
    <row r="66" spans="2:20" ht="23.1" customHeight="1" x14ac:dyDescent="0.25">
      <c r="B66" s="23" t="s">
        <v>103</v>
      </c>
      <c r="C66" s="49">
        <f>AVERAGE('01.08 Mulago-Kyebando-24h'!C66,'03.08 Mulago-Kyebando-24h'!C66)</f>
        <v>108</v>
      </c>
      <c r="D66" s="49">
        <f>AVERAGE('01.08 Mulago-Kyebando-24h'!D66,'03.08 Mulago-Kyebando-24h'!D66)</f>
        <v>7</v>
      </c>
      <c r="E66" s="49">
        <f>AVERAGE('01.08 Mulago-Kyebando-24h'!E66,'03.08 Mulago-Kyebando-24h'!E66)</f>
        <v>4.5</v>
      </c>
      <c r="F66" s="49">
        <f>AVERAGE('01.08 Mulago-Kyebando-24h'!F66,'03.08 Mulago-Kyebando-24h'!F66)</f>
        <v>39.5</v>
      </c>
      <c r="G66" s="49">
        <f>AVERAGE('01.08 Mulago-Kyebando-24h'!G66,'03.08 Mulago-Kyebando-24h'!G66)</f>
        <v>1.5</v>
      </c>
      <c r="H66" s="49">
        <f>AVERAGE('01.08 Mulago-Kyebando-24h'!H66,'03.08 Mulago-Kyebando-24h'!H66)</f>
        <v>0</v>
      </c>
      <c r="I66" s="49">
        <f>AVERAGE('01.08 Mulago-Kyebando-24h'!I66,'03.08 Mulago-Kyebando-24h'!I66)</f>
        <v>2.5</v>
      </c>
      <c r="J66" s="49">
        <f>AVERAGE('01.08 Mulago-Kyebando-24h'!J66,'03.08 Mulago-Kyebando-24h'!J66)</f>
        <v>0.5</v>
      </c>
      <c r="K66" s="49">
        <f>AVERAGE('01.08 Mulago-Kyebando-24h'!K66,'03.08 Mulago-Kyebando-24h'!K66)</f>
        <v>0</v>
      </c>
      <c r="L66" s="49">
        <f>AVERAGE('01.08 Mulago-Kyebando-24h'!L66,'03.08 Mulago-Kyebando-24h'!L66)</f>
        <v>0</v>
      </c>
      <c r="M66" s="49">
        <f>AVERAGE('01.08 Mulago-Kyebando-24h'!M66,'03.08 Mulago-Kyebando-24h'!M66)</f>
        <v>128.5</v>
      </c>
      <c r="N66" s="49">
        <f>AVERAGE('01.08 Mulago-Kyebando-24h'!N66,'03.08 Mulago-Kyebando-24h'!N66)</f>
        <v>0</v>
      </c>
      <c r="O66" s="15">
        <f t="shared" si="0"/>
        <v>163.5</v>
      </c>
      <c r="P66" s="15">
        <f t="shared" si="1"/>
        <v>292</v>
      </c>
      <c r="R66" s="8"/>
      <c r="T66"/>
    </row>
    <row r="67" spans="2:20" ht="23.1" customHeight="1" x14ac:dyDescent="0.25">
      <c r="B67" s="23" t="s">
        <v>104</v>
      </c>
      <c r="C67" s="49">
        <f>AVERAGE('01.08 Mulago-Kyebando-24h'!C67,'03.08 Mulago-Kyebando-24h'!C67)</f>
        <v>104</v>
      </c>
      <c r="D67" s="49">
        <f>AVERAGE('01.08 Mulago-Kyebando-24h'!D67,'03.08 Mulago-Kyebando-24h'!D67)</f>
        <v>12</v>
      </c>
      <c r="E67" s="49">
        <f>AVERAGE('01.08 Mulago-Kyebando-24h'!E67,'03.08 Mulago-Kyebando-24h'!E67)</f>
        <v>9.5</v>
      </c>
      <c r="F67" s="49">
        <f>AVERAGE('01.08 Mulago-Kyebando-24h'!F67,'03.08 Mulago-Kyebando-24h'!F67)</f>
        <v>31</v>
      </c>
      <c r="G67" s="49">
        <f>AVERAGE('01.08 Mulago-Kyebando-24h'!G67,'03.08 Mulago-Kyebando-24h'!G67)</f>
        <v>2</v>
      </c>
      <c r="H67" s="49">
        <f>AVERAGE('01.08 Mulago-Kyebando-24h'!H67,'03.08 Mulago-Kyebando-24h'!H67)</f>
        <v>0.5</v>
      </c>
      <c r="I67" s="49">
        <f>AVERAGE('01.08 Mulago-Kyebando-24h'!I67,'03.08 Mulago-Kyebando-24h'!I67)</f>
        <v>4</v>
      </c>
      <c r="J67" s="49">
        <f>AVERAGE('01.08 Mulago-Kyebando-24h'!J67,'03.08 Mulago-Kyebando-24h'!J67)</f>
        <v>0</v>
      </c>
      <c r="K67" s="49">
        <f>AVERAGE('01.08 Mulago-Kyebando-24h'!K67,'03.08 Mulago-Kyebando-24h'!K67)</f>
        <v>0</v>
      </c>
      <c r="L67" s="49">
        <f>AVERAGE('01.08 Mulago-Kyebando-24h'!L67,'03.08 Mulago-Kyebando-24h'!L67)</f>
        <v>0</v>
      </c>
      <c r="M67" s="49">
        <f>AVERAGE('01.08 Mulago-Kyebando-24h'!M67,'03.08 Mulago-Kyebando-24h'!M67)</f>
        <v>122.5</v>
      </c>
      <c r="N67" s="49">
        <f>AVERAGE('01.08 Mulago-Kyebando-24h'!N67,'03.08 Mulago-Kyebando-24h'!N67)</f>
        <v>0</v>
      </c>
      <c r="O67" s="15">
        <f t="shared" si="0"/>
        <v>163</v>
      </c>
      <c r="P67" s="15">
        <f t="shared" si="1"/>
        <v>285.5</v>
      </c>
      <c r="R67" s="8"/>
      <c r="T67"/>
    </row>
    <row r="68" spans="2:20" ht="23.1" customHeight="1" x14ac:dyDescent="0.25">
      <c r="B68" s="23" t="s">
        <v>105</v>
      </c>
      <c r="C68" s="49">
        <f>AVERAGE('01.08 Mulago-Kyebando-24h'!C68,'03.08 Mulago-Kyebando-24h'!C68)</f>
        <v>100</v>
      </c>
      <c r="D68" s="49">
        <f>AVERAGE('01.08 Mulago-Kyebando-24h'!D68,'03.08 Mulago-Kyebando-24h'!D68)</f>
        <v>14</v>
      </c>
      <c r="E68" s="49">
        <f>AVERAGE('01.08 Mulago-Kyebando-24h'!E68,'03.08 Mulago-Kyebando-24h'!E68)</f>
        <v>9.5</v>
      </c>
      <c r="F68" s="49">
        <f>AVERAGE('01.08 Mulago-Kyebando-24h'!F68,'03.08 Mulago-Kyebando-24h'!F68)</f>
        <v>38.5</v>
      </c>
      <c r="G68" s="49">
        <f>AVERAGE('01.08 Mulago-Kyebando-24h'!G68,'03.08 Mulago-Kyebando-24h'!G68)</f>
        <v>0.5</v>
      </c>
      <c r="H68" s="49">
        <f>AVERAGE('01.08 Mulago-Kyebando-24h'!H68,'03.08 Mulago-Kyebando-24h'!H68)</f>
        <v>1</v>
      </c>
      <c r="I68" s="49">
        <f>AVERAGE('01.08 Mulago-Kyebando-24h'!I68,'03.08 Mulago-Kyebando-24h'!I68)</f>
        <v>6.5</v>
      </c>
      <c r="J68" s="49">
        <f>AVERAGE('01.08 Mulago-Kyebando-24h'!J68,'03.08 Mulago-Kyebando-24h'!J68)</f>
        <v>0</v>
      </c>
      <c r="K68" s="49">
        <f>AVERAGE('01.08 Mulago-Kyebando-24h'!K68,'03.08 Mulago-Kyebando-24h'!K68)</f>
        <v>0</v>
      </c>
      <c r="L68" s="49">
        <f>AVERAGE('01.08 Mulago-Kyebando-24h'!L68,'03.08 Mulago-Kyebando-24h'!L68)</f>
        <v>0</v>
      </c>
      <c r="M68" s="49">
        <f>AVERAGE('01.08 Mulago-Kyebando-24h'!M68,'03.08 Mulago-Kyebando-24h'!M68)</f>
        <v>120.5</v>
      </c>
      <c r="N68" s="49">
        <f>AVERAGE('01.08 Mulago-Kyebando-24h'!N68,'03.08 Mulago-Kyebando-24h'!N68)</f>
        <v>0</v>
      </c>
      <c r="O68" s="15">
        <f t="shared" si="0"/>
        <v>170</v>
      </c>
      <c r="P68" s="15">
        <f t="shared" si="1"/>
        <v>290.5</v>
      </c>
      <c r="R68" s="8"/>
      <c r="T68"/>
    </row>
    <row r="69" spans="2:20" ht="23.1" customHeight="1" x14ac:dyDescent="0.25">
      <c r="B69" s="23" t="s">
        <v>106</v>
      </c>
      <c r="C69" s="49">
        <f>AVERAGE('01.08 Mulago-Kyebando-24h'!C69,'03.08 Mulago-Kyebando-24h'!C69)</f>
        <v>89.5</v>
      </c>
      <c r="D69" s="49">
        <f>AVERAGE('01.08 Mulago-Kyebando-24h'!D69,'03.08 Mulago-Kyebando-24h'!D69)</f>
        <v>9</v>
      </c>
      <c r="E69" s="49">
        <f>AVERAGE('01.08 Mulago-Kyebando-24h'!E69,'03.08 Mulago-Kyebando-24h'!E69)</f>
        <v>6</v>
      </c>
      <c r="F69" s="49">
        <f>AVERAGE('01.08 Mulago-Kyebando-24h'!F69,'03.08 Mulago-Kyebando-24h'!F69)</f>
        <v>23</v>
      </c>
      <c r="G69" s="49">
        <f>AVERAGE('01.08 Mulago-Kyebando-24h'!G69,'03.08 Mulago-Kyebando-24h'!G69)</f>
        <v>0</v>
      </c>
      <c r="H69" s="49">
        <f>AVERAGE('01.08 Mulago-Kyebando-24h'!H69,'03.08 Mulago-Kyebando-24h'!H69)</f>
        <v>0</v>
      </c>
      <c r="I69" s="49">
        <f>AVERAGE('01.08 Mulago-Kyebando-24h'!I69,'03.08 Mulago-Kyebando-24h'!I69)</f>
        <v>1</v>
      </c>
      <c r="J69" s="49">
        <f>AVERAGE('01.08 Mulago-Kyebando-24h'!J69,'03.08 Mulago-Kyebando-24h'!J69)</f>
        <v>0</v>
      </c>
      <c r="K69" s="49">
        <f>AVERAGE('01.08 Mulago-Kyebando-24h'!K69,'03.08 Mulago-Kyebando-24h'!K69)</f>
        <v>0</v>
      </c>
      <c r="L69" s="49">
        <f>AVERAGE('01.08 Mulago-Kyebando-24h'!L69,'03.08 Mulago-Kyebando-24h'!L69)</f>
        <v>0</v>
      </c>
      <c r="M69" s="49">
        <f>AVERAGE('01.08 Mulago-Kyebando-24h'!M69,'03.08 Mulago-Kyebando-24h'!M69)</f>
        <v>105.5</v>
      </c>
      <c r="N69" s="49">
        <f>AVERAGE('01.08 Mulago-Kyebando-24h'!N69,'03.08 Mulago-Kyebando-24h'!N69)</f>
        <v>0</v>
      </c>
      <c r="O69" s="15">
        <f t="shared" si="0"/>
        <v>128.5</v>
      </c>
      <c r="P69" s="15">
        <f t="shared" si="1"/>
        <v>234</v>
      </c>
      <c r="R69" s="8"/>
      <c r="T69"/>
    </row>
    <row r="70" spans="2:20" ht="23.1" customHeight="1" x14ac:dyDescent="0.25">
      <c r="B70" s="23" t="s">
        <v>110</v>
      </c>
      <c r="C70" s="49">
        <f>AVERAGE('01.08 Mulago-Kyebando-24h'!C70,'03.08 Mulago-Kyebando-24h'!C70)</f>
        <v>88</v>
      </c>
      <c r="D70" s="49">
        <f>AVERAGE('01.08 Mulago-Kyebando-24h'!D70,'03.08 Mulago-Kyebando-24h'!D70)</f>
        <v>7.5</v>
      </c>
      <c r="E70" s="49">
        <f>AVERAGE('01.08 Mulago-Kyebando-24h'!E70,'03.08 Mulago-Kyebando-24h'!E70)</f>
        <v>9</v>
      </c>
      <c r="F70" s="49">
        <f>AVERAGE('01.08 Mulago-Kyebando-24h'!F70,'03.08 Mulago-Kyebando-24h'!F70)</f>
        <v>17.5</v>
      </c>
      <c r="G70" s="49">
        <f>AVERAGE('01.08 Mulago-Kyebando-24h'!G70,'03.08 Mulago-Kyebando-24h'!G70)</f>
        <v>0.5</v>
      </c>
      <c r="H70" s="49">
        <f>AVERAGE('01.08 Mulago-Kyebando-24h'!H70,'03.08 Mulago-Kyebando-24h'!H70)</f>
        <v>0</v>
      </c>
      <c r="I70" s="49">
        <f>AVERAGE('01.08 Mulago-Kyebando-24h'!I70,'03.08 Mulago-Kyebando-24h'!I70)</f>
        <v>0</v>
      </c>
      <c r="J70" s="49">
        <f>AVERAGE('01.08 Mulago-Kyebando-24h'!J70,'03.08 Mulago-Kyebando-24h'!J70)</f>
        <v>0</v>
      </c>
      <c r="K70" s="49">
        <f>AVERAGE('01.08 Mulago-Kyebando-24h'!K70,'03.08 Mulago-Kyebando-24h'!K70)</f>
        <v>0</v>
      </c>
      <c r="L70" s="49">
        <f>AVERAGE('01.08 Mulago-Kyebando-24h'!L70,'03.08 Mulago-Kyebando-24h'!L70)</f>
        <v>0</v>
      </c>
      <c r="M70" s="49">
        <f>AVERAGE('01.08 Mulago-Kyebando-24h'!M70,'03.08 Mulago-Kyebando-24h'!M70)</f>
        <v>111.5</v>
      </c>
      <c r="N70" s="49">
        <f>AVERAGE('01.08 Mulago-Kyebando-24h'!N70,'03.08 Mulago-Kyebando-24h'!N70)</f>
        <v>0</v>
      </c>
      <c r="O70" s="15">
        <f t="shared" si="0"/>
        <v>122.5</v>
      </c>
      <c r="P70" s="15">
        <f t="shared" si="1"/>
        <v>234</v>
      </c>
      <c r="R70" s="8"/>
      <c r="T70"/>
    </row>
    <row r="71" spans="2:20" ht="23.1" customHeight="1" x14ac:dyDescent="0.25">
      <c r="B71" s="23" t="s">
        <v>111</v>
      </c>
      <c r="C71" s="49">
        <f>AVERAGE('01.08 Mulago-Kyebando-24h'!C71,'03.08 Mulago-Kyebando-24h'!C71)</f>
        <v>76.5</v>
      </c>
      <c r="D71" s="49">
        <f>AVERAGE('01.08 Mulago-Kyebando-24h'!D71,'03.08 Mulago-Kyebando-24h'!D71)</f>
        <v>8</v>
      </c>
      <c r="E71" s="49">
        <f>AVERAGE('01.08 Mulago-Kyebando-24h'!E71,'03.08 Mulago-Kyebando-24h'!E71)</f>
        <v>3</v>
      </c>
      <c r="F71" s="49">
        <f>AVERAGE('01.08 Mulago-Kyebando-24h'!F71,'03.08 Mulago-Kyebando-24h'!F71)</f>
        <v>10</v>
      </c>
      <c r="G71" s="49">
        <f>AVERAGE('01.08 Mulago-Kyebando-24h'!G71,'03.08 Mulago-Kyebando-24h'!G71)</f>
        <v>0</v>
      </c>
      <c r="H71" s="49">
        <f>AVERAGE('01.08 Mulago-Kyebando-24h'!H71,'03.08 Mulago-Kyebando-24h'!H71)</f>
        <v>0</v>
      </c>
      <c r="I71" s="49">
        <f>AVERAGE('01.08 Mulago-Kyebando-24h'!I71,'03.08 Mulago-Kyebando-24h'!I71)</f>
        <v>2.5</v>
      </c>
      <c r="J71" s="49">
        <f>AVERAGE('01.08 Mulago-Kyebando-24h'!J71,'03.08 Mulago-Kyebando-24h'!J71)</f>
        <v>0</v>
      </c>
      <c r="K71" s="49">
        <f>AVERAGE('01.08 Mulago-Kyebando-24h'!K71,'03.08 Mulago-Kyebando-24h'!K71)</f>
        <v>0</v>
      </c>
      <c r="L71" s="49">
        <f>AVERAGE('01.08 Mulago-Kyebando-24h'!L71,'03.08 Mulago-Kyebando-24h'!L71)</f>
        <v>0</v>
      </c>
      <c r="M71" s="49">
        <f>AVERAGE('01.08 Mulago-Kyebando-24h'!M71,'03.08 Mulago-Kyebando-24h'!M71)</f>
        <v>106.5</v>
      </c>
      <c r="N71" s="49">
        <f>AVERAGE('01.08 Mulago-Kyebando-24h'!N71,'03.08 Mulago-Kyebando-24h'!N71)</f>
        <v>0</v>
      </c>
      <c r="O71" s="15">
        <f t="shared" si="0"/>
        <v>100</v>
      </c>
      <c r="P71" s="15">
        <f t="shared" si="1"/>
        <v>206.5</v>
      </c>
      <c r="R71" s="8"/>
      <c r="T71"/>
    </row>
    <row r="72" spans="2:20" ht="23.1" customHeight="1" x14ac:dyDescent="0.25">
      <c r="B72" s="23" t="s">
        <v>112</v>
      </c>
      <c r="C72" s="49">
        <f>AVERAGE('01.08 Mulago-Kyebando-24h'!C72,'03.08 Mulago-Kyebando-24h'!C72)</f>
        <v>62.5</v>
      </c>
      <c r="D72" s="49">
        <f>AVERAGE('01.08 Mulago-Kyebando-24h'!D72,'03.08 Mulago-Kyebando-24h'!D72)</f>
        <v>3.5</v>
      </c>
      <c r="E72" s="49">
        <f>AVERAGE('01.08 Mulago-Kyebando-24h'!E72,'03.08 Mulago-Kyebando-24h'!E72)</f>
        <v>5</v>
      </c>
      <c r="F72" s="49">
        <f>AVERAGE('01.08 Mulago-Kyebando-24h'!F72,'03.08 Mulago-Kyebando-24h'!F72)</f>
        <v>11</v>
      </c>
      <c r="G72" s="49">
        <f>AVERAGE('01.08 Mulago-Kyebando-24h'!G72,'03.08 Mulago-Kyebando-24h'!G72)</f>
        <v>0</v>
      </c>
      <c r="H72" s="49">
        <f>AVERAGE('01.08 Mulago-Kyebando-24h'!H72,'03.08 Mulago-Kyebando-24h'!H72)</f>
        <v>0</v>
      </c>
      <c r="I72" s="49">
        <f>AVERAGE('01.08 Mulago-Kyebando-24h'!I72,'03.08 Mulago-Kyebando-24h'!I72)</f>
        <v>1</v>
      </c>
      <c r="J72" s="49">
        <f>AVERAGE('01.08 Mulago-Kyebando-24h'!J72,'03.08 Mulago-Kyebando-24h'!J72)</f>
        <v>0</v>
      </c>
      <c r="K72" s="49">
        <f>AVERAGE('01.08 Mulago-Kyebando-24h'!K72,'03.08 Mulago-Kyebando-24h'!K72)</f>
        <v>0</v>
      </c>
      <c r="L72" s="49">
        <f>AVERAGE('01.08 Mulago-Kyebando-24h'!L72,'03.08 Mulago-Kyebando-24h'!L72)</f>
        <v>0</v>
      </c>
      <c r="M72" s="49">
        <f>AVERAGE('01.08 Mulago-Kyebando-24h'!M72,'03.08 Mulago-Kyebando-24h'!M72)</f>
        <v>93</v>
      </c>
      <c r="N72" s="49">
        <f>AVERAGE('01.08 Mulago-Kyebando-24h'!N72,'03.08 Mulago-Kyebando-24h'!N72)</f>
        <v>0</v>
      </c>
      <c r="O72" s="15">
        <f t="shared" si="0"/>
        <v>83</v>
      </c>
      <c r="P72" s="15">
        <f t="shared" si="1"/>
        <v>176</v>
      </c>
      <c r="R72" s="8"/>
      <c r="T72"/>
    </row>
    <row r="73" spans="2:20" ht="23.1" customHeight="1" x14ac:dyDescent="0.25">
      <c r="B73" s="23" t="s">
        <v>113</v>
      </c>
      <c r="C73" s="49">
        <f>AVERAGE('01.08 Mulago-Kyebando-24h'!C73,'03.08 Mulago-Kyebando-24h'!C73)</f>
        <v>38</v>
      </c>
      <c r="D73" s="49">
        <f>AVERAGE('01.08 Mulago-Kyebando-24h'!D73,'03.08 Mulago-Kyebando-24h'!D73)</f>
        <v>6</v>
      </c>
      <c r="E73" s="49">
        <f>AVERAGE('01.08 Mulago-Kyebando-24h'!E73,'03.08 Mulago-Kyebando-24h'!E73)</f>
        <v>1.5</v>
      </c>
      <c r="F73" s="49">
        <f>AVERAGE('01.08 Mulago-Kyebando-24h'!F73,'03.08 Mulago-Kyebando-24h'!F73)</f>
        <v>6.5</v>
      </c>
      <c r="G73" s="49">
        <f>AVERAGE('01.08 Mulago-Kyebando-24h'!G73,'03.08 Mulago-Kyebando-24h'!G73)</f>
        <v>0</v>
      </c>
      <c r="H73" s="49">
        <f>AVERAGE('01.08 Mulago-Kyebando-24h'!H73,'03.08 Mulago-Kyebando-24h'!H73)</f>
        <v>0</v>
      </c>
      <c r="I73" s="49">
        <f>AVERAGE('01.08 Mulago-Kyebando-24h'!I73,'03.08 Mulago-Kyebando-24h'!I73)</f>
        <v>1</v>
      </c>
      <c r="J73" s="49">
        <f>AVERAGE('01.08 Mulago-Kyebando-24h'!J73,'03.08 Mulago-Kyebando-24h'!J73)</f>
        <v>0</v>
      </c>
      <c r="K73" s="49">
        <f>AVERAGE('01.08 Mulago-Kyebando-24h'!K73,'03.08 Mulago-Kyebando-24h'!K73)</f>
        <v>0</v>
      </c>
      <c r="L73" s="49">
        <f>AVERAGE('01.08 Mulago-Kyebando-24h'!L73,'03.08 Mulago-Kyebando-24h'!L73)</f>
        <v>0</v>
      </c>
      <c r="M73" s="49">
        <f>AVERAGE('01.08 Mulago-Kyebando-24h'!M73,'03.08 Mulago-Kyebando-24h'!M73)</f>
        <v>65.5</v>
      </c>
      <c r="N73" s="49">
        <f>AVERAGE('01.08 Mulago-Kyebando-24h'!N73,'03.08 Mulago-Kyebando-24h'!N73)</f>
        <v>0</v>
      </c>
      <c r="O73" s="15">
        <f t="shared" si="0"/>
        <v>53</v>
      </c>
      <c r="P73" s="15">
        <f t="shared" si="1"/>
        <v>118.5</v>
      </c>
      <c r="R73" s="8"/>
      <c r="T73"/>
    </row>
    <row r="74" spans="2:20" ht="23.1" customHeight="1" x14ac:dyDescent="0.25">
      <c r="B74" s="23" t="s">
        <v>114</v>
      </c>
      <c r="C74" s="49">
        <f>AVERAGE('01.08 Mulago-Kyebando-24h'!C74,'03.08 Mulago-Kyebando-24h'!C74)</f>
        <v>40.5</v>
      </c>
      <c r="D74" s="49">
        <f>AVERAGE('01.08 Mulago-Kyebando-24h'!D74,'03.08 Mulago-Kyebando-24h'!D74)</f>
        <v>6.5</v>
      </c>
      <c r="E74" s="49">
        <f>AVERAGE('01.08 Mulago-Kyebando-24h'!E74,'03.08 Mulago-Kyebando-24h'!E74)</f>
        <v>1.5</v>
      </c>
      <c r="F74" s="49">
        <f>AVERAGE('01.08 Mulago-Kyebando-24h'!F74,'03.08 Mulago-Kyebando-24h'!F74)</f>
        <v>2.5</v>
      </c>
      <c r="G74" s="49">
        <f>AVERAGE('01.08 Mulago-Kyebando-24h'!G74,'03.08 Mulago-Kyebando-24h'!G74)</f>
        <v>0</v>
      </c>
      <c r="H74" s="49">
        <f>AVERAGE('01.08 Mulago-Kyebando-24h'!H74,'03.08 Mulago-Kyebando-24h'!H74)</f>
        <v>0</v>
      </c>
      <c r="I74" s="49">
        <f>AVERAGE('01.08 Mulago-Kyebando-24h'!I74,'03.08 Mulago-Kyebando-24h'!I74)</f>
        <v>1.5</v>
      </c>
      <c r="J74" s="49">
        <f>AVERAGE('01.08 Mulago-Kyebando-24h'!J74,'03.08 Mulago-Kyebando-24h'!J74)</f>
        <v>0</v>
      </c>
      <c r="K74" s="49">
        <f>AVERAGE('01.08 Mulago-Kyebando-24h'!K74,'03.08 Mulago-Kyebando-24h'!K74)</f>
        <v>0</v>
      </c>
      <c r="L74" s="49">
        <f>AVERAGE('01.08 Mulago-Kyebando-24h'!L74,'03.08 Mulago-Kyebando-24h'!L74)</f>
        <v>0</v>
      </c>
      <c r="M74" s="49">
        <f>AVERAGE('01.08 Mulago-Kyebando-24h'!M74,'03.08 Mulago-Kyebando-24h'!M74)</f>
        <v>78</v>
      </c>
      <c r="N74" s="49">
        <f>AVERAGE('01.08 Mulago-Kyebando-24h'!N74,'03.08 Mulago-Kyebando-24h'!N74)</f>
        <v>0</v>
      </c>
      <c r="O74" s="15">
        <f t="shared" ref="O74:O105" si="35">SUM(C74:L74,N74)</f>
        <v>52.5</v>
      </c>
      <c r="P74" s="15">
        <f t="shared" ref="P74:P105" si="36">SUM(C74:N74)</f>
        <v>130.5</v>
      </c>
      <c r="R74" s="8"/>
      <c r="T74"/>
    </row>
    <row r="75" spans="2:20" ht="23.1" customHeight="1" x14ac:dyDescent="0.25">
      <c r="B75" s="23" t="s">
        <v>115</v>
      </c>
      <c r="C75" s="49">
        <f>AVERAGE('01.08 Mulago-Kyebando-24h'!C75,'03.08 Mulago-Kyebando-24h'!C75)</f>
        <v>47.5</v>
      </c>
      <c r="D75" s="49">
        <f>AVERAGE('01.08 Mulago-Kyebando-24h'!D75,'03.08 Mulago-Kyebando-24h'!D75)</f>
        <v>2.5</v>
      </c>
      <c r="E75" s="49">
        <f>AVERAGE('01.08 Mulago-Kyebando-24h'!E75,'03.08 Mulago-Kyebando-24h'!E75)</f>
        <v>5</v>
      </c>
      <c r="F75" s="49">
        <f>AVERAGE('01.08 Mulago-Kyebando-24h'!F75,'03.08 Mulago-Kyebando-24h'!F75)</f>
        <v>3.5</v>
      </c>
      <c r="G75" s="49">
        <f>AVERAGE('01.08 Mulago-Kyebando-24h'!G75,'03.08 Mulago-Kyebando-24h'!G75)</f>
        <v>0</v>
      </c>
      <c r="H75" s="49">
        <f>AVERAGE('01.08 Mulago-Kyebando-24h'!H75,'03.08 Mulago-Kyebando-24h'!H75)</f>
        <v>0</v>
      </c>
      <c r="I75" s="49">
        <f>AVERAGE('01.08 Mulago-Kyebando-24h'!I75,'03.08 Mulago-Kyebando-24h'!I75)</f>
        <v>0</v>
      </c>
      <c r="J75" s="49">
        <f>AVERAGE('01.08 Mulago-Kyebando-24h'!J75,'03.08 Mulago-Kyebando-24h'!J75)</f>
        <v>0</v>
      </c>
      <c r="K75" s="49">
        <f>AVERAGE('01.08 Mulago-Kyebando-24h'!K75,'03.08 Mulago-Kyebando-24h'!K75)</f>
        <v>0</v>
      </c>
      <c r="L75" s="49">
        <f>AVERAGE('01.08 Mulago-Kyebando-24h'!L75,'03.08 Mulago-Kyebando-24h'!L75)</f>
        <v>0</v>
      </c>
      <c r="M75" s="49">
        <f>AVERAGE('01.08 Mulago-Kyebando-24h'!M75,'03.08 Mulago-Kyebando-24h'!M75)</f>
        <v>68</v>
      </c>
      <c r="N75" s="49">
        <f>AVERAGE('01.08 Mulago-Kyebando-24h'!N75,'03.08 Mulago-Kyebando-24h'!N75)</f>
        <v>0</v>
      </c>
      <c r="O75" s="15">
        <f t="shared" si="35"/>
        <v>58.5</v>
      </c>
      <c r="P75" s="15">
        <f t="shared" si="36"/>
        <v>126.5</v>
      </c>
      <c r="R75" s="8"/>
      <c r="T75"/>
    </row>
    <row r="76" spans="2:20" ht="23.1" customHeight="1" x14ac:dyDescent="0.25">
      <c r="B76" s="23" t="s">
        <v>116</v>
      </c>
      <c r="C76" s="49">
        <f>AVERAGE('01.08 Mulago-Kyebando-24h'!C76,'03.08 Mulago-Kyebando-24h'!C76)</f>
        <v>39.5</v>
      </c>
      <c r="D76" s="49">
        <f>AVERAGE('01.08 Mulago-Kyebando-24h'!D76,'03.08 Mulago-Kyebando-24h'!D76)</f>
        <v>1.5</v>
      </c>
      <c r="E76" s="49">
        <f>AVERAGE('01.08 Mulago-Kyebando-24h'!E76,'03.08 Mulago-Kyebando-24h'!E76)</f>
        <v>0.5</v>
      </c>
      <c r="F76" s="49">
        <f>AVERAGE('01.08 Mulago-Kyebando-24h'!F76,'03.08 Mulago-Kyebando-24h'!F76)</f>
        <v>2.5</v>
      </c>
      <c r="G76" s="49">
        <f>AVERAGE('01.08 Mulago-Kyebando-24h'!G76,'03.08 Mulago-Kyebando-24h'!G76)</f>
        <v>0</v>
      </c>
      <c r="H76" s="49">
        <f>AVERAGE('01.08 Mulago-Kyebando-24h'!H76,'03.08 Mulago-Kyebando-24h'!H76)</f>
        <v>0</v>
      </c>
      <c r="I76" s="49">
        <f>AVERAGE('01.08 Mulago-Kyebando-24h'!I76,'03.08 Mulago-Kyebando-24h'!I76)</f>
        <v>1</v>
      </c>
      <c r="J76" s="49">
        <f>AVERAGE('01.08 Mulago-Kyebando-24h'!J76,'03.08 Mulago-Kyebando-24h'!J76)</f>
        <v>1</v>
      </c>
      <c r="K76" s="49">
        <f>AVERAGE('01.08 Mulago-Kyebando-24h'!K76,'03.08 Mulago-Kyebando-24h'!K76)</f>
        <v>0</v>
      </c>
      <c r="L76" s="49">
        <f>AVERAGE('01.08 Mulago-Kyebando-24h'!L76,'03.08 Mulago-Kyebando-24h'!L76)</f>
        <v>0</v>
      </c>
      <c r="M76" s="49">
        <f>AVERAGE('01.08 Mulago-Kyebando-24h'!M76,'03.08 Mulago-Kyebando-24h'!M76)</f>
        <v>55.5</v>
      </c>
      <c r="N76" s="49">
        <f>AVERAGE('01.08 Mulago-Kyebando-24h'!N76,'03.08 Mulago-Kyebando-24h'!N76)</f>
        <v>0</v>
      </c>
      <c r="O76" s="15">
        <f t="shared" si="35"/>
        <v>46</v>
      </c>
      <c r="P76" s="15">
        <f t="shared" si="36"/>
        <v>101.5</v>
      </c>
      <c r="R76" s="8"/>
      <c r="T76"/>
    </row>
    <row r="77" spans="2:20" ht="23.1" customHeight="1" x14ac:dyDescent="0.25">
      <c r="B77" s="23" t="s">
        <v>117</v>
      </c>
      <c r="C77" s="49">
        <f>AVERAGE('01.08 Mulago-Kyebando-24h'!C77,'03.08 Mulago-Kyebando-24h'!C77)</f>
        <v>36</v>
      </c>
      <c r="D77" s="49">
        <f>AVERAGE('01.08 Mulago-Kyebando-24h'!D77,'03.08 Mulago-Kyebando-24h'!D77)</f>
        <v>3</v>
      </c>
      <c r="E77" s="49">
        <f>AVERAGE('01.08 Mulago-Kyebando-24h'!E77,'03.08 Mulago-Kyebando-24h'!E77)</f>
        <v>1.5</v>
      </c>
      <c r="F77" s="49">
        <f>AVERAGE('01.08 Mulago-Kyebando-24h'!F77,'03.08 Mulago-Kyebando-24h'!F77)</f>
        <v>3</v>
      </c>
      <c r="G77" s="49">
        <f>AVERAGE('01.08 Mulago-Kyebando-24h'!G77,'03.08 Mulago-Kyebando-24h'!G77)</f>
        <v>0</v>
      </c>
      <c r="H77" s="49">
        <f>AVERAGE('01.08 Mulago-Kyebando-24h'!H77,'03.08 Mulago-Kyebando-24h'!H77)</f>
        <v>0</v>
      </c>
      <c r="I77" s="49">
        <f>AVERAGE('01.08 Mulago-Kyebando-24h'!I77,'03.08 Mulago-Kyebando-24h'!I77)</f>
        <v>1.5</v>
      </c>
      <c r="J77" s="49">
        <f>AVERAGE('01.08 Mulago-Kyebando-24h'!J77,'03.08 Mulago-Kyebando-24h'!J77)</f>
        <v>0</v>
      </c>
      <c r="K77" s="49">
        <f>AVERAGE('01.08 Mulago-Kyebando-24h'!K77,'03.08 Mulago-Kyebando-24h'!K77)</f>
        <v>0</v>
      </c>
      <c r="L77" s="49">
        <f>AVERAGE('01.08 Mulago-Kyebando-24h'!L77,'03.08 Mulago-Kyebando-24h'!L77)</f>
        <v>0</v>
      </c>
      <c r="M77" s="49">
        <f>AVERAGE('01.08 Mulago-Kyebando-24h'!M77,'03.08 Mulago-Kyebando-24h'!M77)</f>
        <v>40</v>
      </c>
      <c r="N77" s="49">
        <f>AVERAGE('01.08 Mulago-Kyebando-24h'!N77,'03.08 Mulago-Kyebando-24h'!N77)</f>
        <v>0</v>
      </c>
      <c r="O77" s="15">
        <f t="shared" si="35"/>
        <v>45</v>
      </c>
      <c r="P77" s="15">
        <f t="shared" si="36"/>
        <v>85</v>
      </c>
      <c r="R77" s="8"/>
      <c r="T77"/>
    </row>
    <row r="78" spans="2:20" ht="23.1" customHeight="1" x14ac:dyDescent="0.25">
      <c r="B78" s="24" t="s">
        <v>118</v>
      </c>
      <c r="C78" s="49">
        <f>AVERAGE('01.08 Mulago-Kyebando-24h'!C78,'03.08 Mulago-Kyebando-24h'!C78)</f>
        <v>21.5</v>
      </c>
      <c r="D78" s="49">
        <f>AVERAGE('01.08 Mulago-Kyebando-24h'!D78,'03.08 Mulago-Kyebando-24h'!D78)</f>
        <v>0</v>
      </c>
      <c r="E78" s="49">
        <f>AVERAGE('01.08 Mulago-Kyebando-24h'!E78,'03.08 Mulago-Kyebando-24h'!E78)</f>
        <v>0</v>
      </c>
      <c r="F78" s="49">
        <f>AVERAGE('01.08 Mulago-Kyebando-24h'!F78,'03.08 Mulago-Kyebando-24h'!F78)</f>
        <v>2.5</v>
      </c>
      <c r="G78" s="49">
        <f>AVERAGE('01.08 Mulago-Kyebando-24h'!G78,'03.08 Mulago-Kyebando-24h'!G78)</f>
        <v>0</v>
      </c>
      <c r="H78" s="49">
        <f>AVERAGE('01.08 Mulago-Kyebando-24h'!H78,'03.08 Mulago-Kyebando-24h'!H78)</f>
        <v>0</v>
      </c>
      <c r="I78" s="49">
        <f>AVERAGE('01.08 Mulago-Kyebando-24h'!I78,'03.08 Mulago-Kyebando-24h'!I78)</f>
        <v>1</v>
      </c>
      <c r="J78" s="49">
        <f>AVERAGE('01.08 Mulago-Kyebando-24h'!J78,'03.08 Mulago-Kyebando-24h'!J78)</f>
        <v>0</v>
      </c>
      <c r="K78" s="49">
        <f>AVERAGE('01.08 Mulago-Kyebando-24h'!K78,'03.08 Mulago-Kyebando-24h'!K78)</f>
        <v>0</v>
      </c>
      <c r="L78" s="49">
        <f>AVERAGE('01.08 Mulago-Kyebando-24h'!L78,'03.08 Mulago-Kyebando-24h'!L78)</f>
        <v>0</v>
      </c>
      <c r="M78" s="49">
        <f>AVERAGE('01.08 Mulago-Kyebando-24h'!M78,'03.08 Mulago-Kyebando-24h'!M78)</f>
        <v>37.5</v>
      </c>
      <c r="N78" s="49">
        <f>AVERAGE('01.08 Mulago-Kyebando-24h'!N78,'03.08 Mulago-Kyebando-24h'!N78)</f>
        <v>0</v>
      </c>
      <c r="O78" s="15">
        <f t="shared" si="35"/>
        <v>25</v>
      </c>
      <c r="P78" s="15">
        <f t="shared" si="36"/>
        <v>62.5</v>
      </c>
      <c r="R78" s="8"/>
      <c r="T78"/>
    </row>
    <row r="79" spans="2:20" ht="23.1" customHeight="1" x14ac:dyDescent="0.25">
      <c r="B79" s="23" t="s">
        <v>119</v>
      </c>
      <c r="C79" s="49">
        <f>AVERAGE('01.08 Mulago-Kyebando-24h'!C79,'03.08 Mulago-Kyebando-24h'!C79)</f>
        <v>19.5</v>
      </c>
      <c r="D79" s="49">
        <f>AVERAGE('01.08 Mulago-Kyebando-24h'!D79,'03.08 Mulago-Kyebando-24h'!D79)</f>
        <v>2</v>
      </c>
      <c r="E79" s="49">
        <f>AVERAGE('01.08 Mulago-Kyebando-24h'!E79,'03.08 Mulago-Kyebando-24h'!E79)</f>
        <v>1</v>
      </c>
      <c r="F79" s="49">
        <f>AVERAGE('01.08 Mulago-Kyebando-24h'!F79,'03.08 Mulago-Kyebando-24h'!F79)</f>
        <v>3.5</v>
      </c>
      <c r="G79" s="49">
        <f>AVERAGE('01.08 Mulago-Kyebando-24h'!G79,'03.08 Mulago-Kyebando-24h'!G79)</f>
        <v>0</v>
      </c>
      <c r="H79" s="49">
        <f>AVERAGE('01.08 Mulago-Kyebando-24h'!H79,'03.08 Mulago-Kyebando-24h'!H79)</f>
        <v>0</v>
      </c>
      <c r="I79" s="49">
        <f>AVERAGE('01.08 Mulago-Kyebando-24h'!I79,'03.08 Mulago-Kyebando-24h'!I79)</f>
        <v>0.5</v>
      </c>
      <c r="J79" s="49">
        <f>AVERAGE('01.08 Mulago-Kyebando-24h'!J79,'03.08 Mulago-Kyebando-24h'!J79)</f>
        <v>0</v>
      </c>
      <c r="K79" s="49">
        <f>AVERAGE('01.08 Mulago-Kyebando-24h'!K79,'03.08 Mulago-Kyebando-24h'!K79)</f>
        <v>0.5</v>
      </c>
      <c r="L79" s="49">
        <f>AVERAGE('01.08 Mulago-Kyebando-24h'!L79,'03.08 Mulago-Kyebando-24h'!L79)</f>
        <v>0</v>
      </c>
      <c r="M79" s="49">
        <f>AVERAGE('01.08 Mulago-Kyebando-24h'!M79,'03.08 Mulago-Kyebando-24h'!M79)</f>
        <v>31</v>
      </c>
      <c r="N79" s="49">
        <f>AVERAGE('01.08 Mulago-Kyebando-24h'!N79,'03.08 Mulago-Kyebando-24h'!N79)</f>
        <v>0</v>
      </c>
      <c r="O79" s="15">
        <f t="shared" si="35"/>
        <v>27</v>
      </c>
      <c r="P79" s="15">
        <f t="shared" si="36"/>
        <v>58</v>
      </c>
      <c r="R79" s="8"/>
      <c r="T79"/>
    </row>
    <row r="80" spans="2:20" ht="23.1" customHeight="1" x14ac:dyDescent="0.25">
      <c r="B80" s="25" t="s">
        <v>120</v>
      </c>
      <c r="C80" s="49">
        <f>AVERAGE('01.08 Mulago-Kyebando-24h'!C80,'03.08 Mulago-Kyebando-24h'!C80)</f>
        <v>24.5</v>
      </c>
      <c r="D80" s="49">
        <f>AVERAGE('01.08 Mulago-Kyebando-24h'!D80,'03.08 Mulago-Kyebando-24h'!D80)</f>
        <v>2</v>
      </c>
      <c r="E80" s="49">
        <f>AVERAGE('01.08 Mulago-Kyebando-24h'!E80,'03.08 Mulago-Kyebando-24h'!E80)</f>
        <v>1</v>
      </c>
      <c r="F80" s="49">
        <f>AVERAGE('01.08 Mulago-Kyebando-24h'!F80,'03.08 Mulago-Kyebando-24h'!F80)</f>
        <v>1</v>
      </c>
      <c r="G80" s="49">
        <f>AVERAGE('01.08 Mulago-Kyebando-24h'!G80,'03.08 Mulago-Kyebando-24h'!G80)</f>
        <v>0</v>
      </c>
      <c r="H80" s="49">
        <f>AVERAGE('01.08 Mulago-Kyebando-24h'!H80,'03.08 Mulago-Kyebando-24h'!H80)</f>
        <v>0</v>
      </c>
      <c r="I80" s="49">
        <f>AVERAGE('01.08 Mulago-Kyebando-24h'!I80,'03.08 Mulago-Kyebando-24h'!I80)</f>
        <v>0</v>
      </c>
      <c r="J80" s="49">
        <f>AVERAGE('01.08 Mulago-Kyebando-24h'!J80,'03.08 Mulago-Kyebando-24h'!J80)</f>
        <v>0</v>
      </c>
      <c r="K80" s="49">
        <f>AVERAGE('01.08 Mulago-Kyebando-24h'!K80,'03.08 Mulago-Kyebando-24h'!K80)</f>
        <v>0</v>
      </c>
      <c r="L80" s="49">
        <f>AVERAGE('01.08 Mulago-Kyebando-24h'!L80,'03.08 Mulago-Kyebando-24h'!L80)</f>
        <v>0</v>
      </c>
      <c r="M80" s="49">
        <f>AVERAGE('01.08 Mulago-Kyebando-24h'!M80,'03.08 Mulago-Kyebando-24h'!M80)</f>
        <v>30</v>
      </c>
      <c r="N80" s="49">
        <f>AVERAGE('01.08 Mulago-Kyebando-24h'!N80,'03.08 Mulago-Kyebando-24h'!N80)</f>
        <v>0</v>
      </c>
      <c r="O80" s="15">
        <f t="shared" si="35"/>
        <v>28.5</v>
      </c>
      <c r="P80" s="15">
        <f t="shared" si="36"/>
        <v>58.5</v>
      </c>
      <c r="R80" s="8"/>
      <c r="T80"/>
    </row>
    <row r="81" spans="2:20" ht="23.1" customHeight="1" x14ac:dyDescent="0.25">
      <c r="B81" s="23" t="s">
        <v>121</v>
      </c>
      <c r="C81" s="49">
        <f>AVERAGE('01.08 Mulago-Kyebando-24h'!C81,'03.08 Mulago-Kyebando-24h'!C81)</f>
        <v>23</v>
      </c>
      <c r="D81" s="49">
        <f>AVERAGE('01.08 Mulago-Kyebando-24h'!D81,'03.08 Mulago-Kyebando-24h'!D81)</f>
        <v>1</v>
      </c>
      <c r="E81" s="49">
        <f>AVERAGE('01.08 Mulago-Kyebando-24h'!E81,'03.08 Mulago-Kyebando-24h'!E81)</f>
        <v>0.5</v>
      </c>
      <c r="F81" s="49">
        <f>AVERAGE('01.08 Mulago-Kyebando-24h'!F81,'03.08 Mulago-Kyebando-24h'!F81)</f>
        <v>0.5</v>
      </c>
      <c r="G81" s="49">
        <f>AVERAGE('01.08 Mulago-Kyebando-24h'!G81,'03.08 Mulago-Kyebando-24h'!G81)</f>
        <v>0</v>
      </c>
      <c r="H81" s="49">
        <f>AVERAGE('01.08 Mulago-Kyebando-24h'!H81,'03.08 Mulago-Kyebando-24h'!H81)</f>
        <v>0</v>
      </c>
      <c r="I81" s="49">
        <f>AVERAGE('01.08 Mulago-Kyebando-24h'!I81,'03.08 Mulago-Kyebando-24h'!I81)</f>
        <v>0</v>
      </c>
      <c r="J81" s="49">
        <f>AVERAGE('01.08 Mulago-Kyebando-24h'!J81,'03.08 Mulago-Kyebando-24h'!J81)</f>
        <v>0</v>
      </c>
      <c r="K81" s="49">
        <f>AVERAGE('01.08 Mulago-Kyebando-24h'!K81,'03.08 Mulago-Kyebando-24h'!K81)</f>
        <v>0</v>
      </c>
      <c r="L81" s="49">
        <f>AVERAGE('01.08 Mulago-Kyebando-24h'!L81,'03.08 Mulago-Kyebando-24h'!L81)</f>
        <v>0</v>
      </c>
      <c r="M81" s="49">
        <f>AVERAGE('01.08 Mulago-Kyebando-24h'!M81,'03.08 Mulago-Kyebando-24h'!M81)</f>
        <v>20.5</v>
      </c>
      <c r="N81" s="49">
        <f>AVERAGE('01.08 Mulago-Kyebando-24h'!N81,'03.08 Mulago-Kyebando-24h'!N81)</f>
        <v>0</v>
      </c>
      <c r="O81" s="15">
        <f t="shared" si="35"/>
        <v>25</v>
      </c>
      <c r="P81" s="15">
        <f t="shared" si="36"/>
        <v>45.5</v>
      </c>
      <c r="R81" s="8"/>
      <c r="T81"/>
    </row>
    <row r="82" spans="2:20" ht="23.1" customHeight="1" x14ac:dyDescent="0.25">
      <c r="B82" s="24" t="s">
        <v>122</v>
      </c>
      <c r="C82" s="49">
        <f>AVERAGE('01.08 Mulago-Kyebando-24h'!C82,'03.08 Mulago-Kyebando-24h'!C82)</f>
        <v>17</v>
      </c>
      <c r="D82" s="49">
        <f>AVERAGE('01.08 Mulago-Kyebando-24h'!D82,'03.08 Mulago-Kyebando-24h'!D82)</f>
        <v>0.5</v>
      </c>
      <c r="E82" s="49">
        <f>AVERAGE('01.08 Mulago-Kyebando-24h'!E82,'03.08 Mulago-Kyebando-24h'!E82)</f>
        <v>1.5</v>
      </c>
      <c r="F82" s="49">
        <f>AVERAGE('01.08 Mulago-Kyebando-24h'!F82,'03.08 Mulago-Kyebando-24h'!F82)</f>
        <v>0.5</v>
      </c>
      <c r="G82" s="49">
        <f>AVERAGE('01.08 Mulago-Kyebando-24h'!G82,'03.08 Mulago-Kyebando-24h'!G82)</f>
        <v>0</v>
      </c>
      <c r="H82" s="49">
        <f>AVERAGE('01.08 Mulago-Kyebando-24h'!H82,'03.08 Mulago-Kyebando-24h'!H82)</f>
        <v>0</v>
      </c>
      <c r="I82" s="49">
        <f>AVERAGE('01.08 Mulago-Kyebando-24h'!I82,'03.08 Mulago-Kyebando-24h'!I82)</f>
        <v>1.5</v>
      </c>
      <c r="J82" s="49">
        <f>AVERAGE('01.08 Mulago-Kyebando-24h'!J82,'03.08 Mulago-Kyebando-24h'!J82)</f>
        <v>0</v>
      </c>
      <c r="K82" s="49">
        <f>AVERAGE('01.08 Mulago-Kyebando-24h'!K82,'03.08 Mulago-Kyebando-24h'!K82)</f>
        <v>0</v>
      </c>
      <c r="L82" s="49">
        <f>AVERAGE('01.08 Mulago-Kyebando-24h'!L82,'03.08 Mulago-Kyebando-24h'!L82)</f>
        <v>0</v>
      </c>
      <c r="M82" s="49">
        <f>AVERAGE('01.08 Mulago-Kyebando-24h'!M82,'03.08 Mulago-Kyebando-24h'!M82)</f>
        <v>17.5</v>
      </c>
      <c r="N82" s="49">
        <f>AVERAGE('01.08 Mulago-Kyebando-24h'!N82,'03.08 Mulago-Kyebando-24h'!N82)</f>
        <v>0</v>
      </c>
      <c r="O82" s="15">
        <f t="shared" si="35"/>
        <v>21</v>
      </c>
      <c r="P82" s="15">
        <f t="shared" si="36"/>
        <v>38.5</v>
      </c>
      <c r="R82" s="8"/>
      <c r="T82"/>
    </row>
    <row r="83" spans="2:20" ht="23.1" customHeight="1" x14ac:dyDescent="0.25">
      <c r="B83" s="23" t="s">
        <v>123</v>
      </c>
      <c r="C83" s="49">
        <f>AVERAGE('01.08 Mulago-Kyebando-24h'!C83,'03.08 Mulago-Kyebando-24h'!C83)</f>
        <v>17</v>
      </c>
      <c r="D83" s="49">
        <f>AVERAGE('01.08 Mulago-Kyebando-24h'!D83,'03.08 Mulago-Kyebando-24h'!D83)</f>
        <v>1.5</v>
      </c>
      <c r="E83" s="49">
        <f>AVERAGE('01.08 Mulago-Kyebando-24h'!E83,'03.08 Mulago-Kyebando-24h'!E83)</f>
        <v>1.5</v>
      </c>
      <c r="F83" s="49">
        <f>AVERAGE('01.08 Mulago-Kyebando-24h'!F83,'03.08 Mulago-Kyebando-24h'!F83)</f>
        <v>1</v>
      </c>
      <c r="G83" s="49">
        <f>AVERAGE('01.08 Mulago-Kyebando-24h'!G83,'03.08 Mulago-Kyebando-24h'!G83)</f>
        <v>0</v>
      </c>
      <c r="H83" s="49">
        <f>AVERAGE('01.08 Mulago-Kyebando-24h'!H83,'03.08 Mulago-Kyebando-24h'!H83)</f>
        <v>0</v>
      </c>
      <c r="I83" s="49">
        <f>AVERAGE('01.08 Mulago-Kyebando-24h'!I83,'03.08 Mulago-Kyebando-24h'!I83)</f>
        <v>1</v>
      </c>
      <c r="J83" s="49">
        <f>AVERAGE('01.08 Mulago-Kyebando-24h'!J83,'03.08 Mulago-Kyebando-24h'!J83)</f>
        <v>0</v>
      </c>
      <c r="K83" s="49">
        <f>AVERAGE('01.08 Mulago-Kyebando-24h'!K83,'03.08 Mulago-Kyebando-24h'!K83)</f>
        <v>0</v>
      </c>
      <c r="L83" s="49">
        <f>AVERAGE('01.08 Mulago-Kyebando-24h'!L83,'03.08 Mulago-Kyebando-24h'!L83)</f>
        <v>0</v>
      </c>
      <c r="M83" s="49">
        <f>AVERAGE('01.08 Mulago-Kyebando-24h'!M83,'03.08 Mulago-Kyebando-24h'!M83)</f>
        <v>13.5</v>
      </c>
      <c r="N83" s="49">
        <f>AVERAGE('01.08 Mulago-Kyebando-24h'!N83,'03.08 Mulago-Kyebando-24h'!N83)</f>
        <v>0</v>
      </c>
      <c r="O83" s="15">
        <f t="shared" si="35"/>
        <v>22</v>
      </c>
      <c r="P83" s="15">
        <f t="shared" si="36"/>
        <v>35.5</v>
      </c>
      <c r="R83" s="8"/>
      <c r="T83"/>
    </row>
    <row r="84" spans="2:20" ht="23.1" customHeight="1" x14ac:dyDescent="0.25">
      <c r="B84" s="25" t="s">
        <v>124</v>
      </c>
      <c r="C84" s="49">
        <f>AVERAGE('01.08 Mulago-Kyebando-24h'!C84,'03.08 Mulago-Kyebando-24h'!C84)</f>
        <v>15</v>
      </c>
      <c r="D84" s="49">
        <f>AVERAGE('01.08 Mulago-Kyebando-24h'!D84,'03.08 Mulago-Kyebando-24h'!D84)</f>
        <v>0</v>
      </c>
      <c r="E84" s="49">
        <f>AVERAGE('01.08 Mulago-Kyebando-24h'!E84,'03.08 Mulago-Kyebando-24h'!E84)</f>
        <v>0.5</v>
      </c>
      <c r="F84" s="49">
        <f>AVERAGE('01.08 Mulago-Kyebando-24h'!F84,'03.08 Mulago-Kyebando-24h'!F84)</f>
        <v>0</v>
      </c>
      <c r="G84" s="49">
        <f>AVERAGE('01.08 Mulago-Kyebando-24h'!G84,'03.08 Mulago-Kyebando-24h'!G84)</f>
        <v>0</v>
      </c>
      <c r="H84" s="49">
        <f>AVERAGE('01.08 Mulago-Kyebando-24h'!H84,'03.08 Mulago-Kyebando-24h'!H84)</f>
        <v>0</v>
      </c>
      <c r="I84" s="49">
        <f>AVERAGE('01.08 Mulago-Kyebando-24h'!I84,'03.08 Mulago-Kyebando-24h'!I84)</f>
        <v>0.5</v>
      </c>
      <c r="J84" s="49">
        <f>AVERAGE('01.08 Mulago-Kyebando-24h'!J84,'03.08 Mulago-Kyebando-24h'!J84)</f>
        <v>0</v>
      </c>
      <c r="K84" s="49">
        <f>AVERAGE('01.08 Mulago-Kyebando-24h'!K84,'03.08 Mulago-Kyebando-24h'!K84)</f>
        <v>0</v>
      </c>
      <c r="L84" s="49">
        <f>AVERAGE('01.08 Mulago-Kyebando-24h'!L84,'03.08 Mulago-Kyebando-24h'!L84)</f>
        <v>0</v>
      </c>
      <c r="M84" s="49">
        <f>AVERAGE('01.08 Mulago-Kyebando-24h'!M84,'03.08 Mulago-Kyebando-24h'!M84)</f>
        <v>20.5</v>
      </c>
      <c r="N84" s="49">
        <f>AVERAGE('01.08 Mulago-Kyebando-24h'!N84,'03.08 Mulago-Kyebando-24h'!N84)</f>
        <v>0</v>
      </c>
      <c r="O84" s="15">
        <f t="shared" si="35"/>
        <v>16</v>
      </c>
      <c r="P84" s="15">
        <f t="shared" si="36"/>
        <v>36.5</v>
      </c>
      <c r="R84" s="8"/>
      <c r="T84"/>
    </row>
    <row r="85" spans="2:20" ht="23.1" customHeight="1" x14ac:dyDescent="0.25">
      <c r="B85" s="23" t="s">
        <v>125</v>
      </c>
      <c r="C85" s="49">
        <f>AVERAGE('01.08 Mulago-Kyebando-24h'!C85,'03.08 Mulago-Kyebando-24h'!C85)</f>
        <v>18.5</v>
      </c>
      <c r="D85" s="49">
        <f>AVERAGE('01.08 Mulago-Kyebando-24h'!D85,'03.08 Mulago-Kyebando-24h'!D85)</f>
        <v>0.5</v>
      </c>
      <c r="E85" s="49">
        <f>AVERAGE('01.08 Mulago-Kyebando-24h'!E85,'03.08 Mulago-Kyebando-24h'!E85)</f>
        <v>2</v>
      </c>
      <c r="F85" s="49">
        <f>AVERAGE('01.08 Mulago-Kyebando-24h'!F85,'03.08 Mulago-Kyebando-24h'!F85)</f>
        <v>0</v>
      </c>
      <c r="G85" s="49">
        <f>AVERAGE('01.08 Mulago-Kyebando-24h'!G85,'03.08 Mulago-Kyebando-24h'!G85)</f>
        <v>0</v>
      </c>
      <c r="H85" s="49">
        <f>AVERAGE('01.08 Mulago-Kyebando-24h'!H85,'03.08 Mulago-Kyebando-24h'!H85)</f>
        <v>0</v>
      </c>
      <c r="I85" s="49">
        <f>AVERAGE('01.08 Mulago-Kyebando-24h'!I85,'03.08 Mulago-Kyebando-24h'!I85)</f>
        <v>0.5</v>
      </c>
      <c r="J85" s="49">
        <f>AVERAGE('01.08 Mulago-Kyebando-24h'!J85,'03.08 Mulago-Kyebando-24h'!J85)</f>
        <v>0</v>
      </c>
      <c r="K85" s="49">
        <f>AVERAGE('01.08 Mulago-Kyebando-24h'!K85,'03.08 Mulago-Kyebando-24h'!K85)</f>
        <v>0</v>
      </c>
      <c r="L85" s="49">
        <f>AVERAGE('01.08 Mulago-Kyebando-24h'!L85,'03.08 Mulago-Kyebando-24h'!L85)</f>
        <v>0</v>
      </c>
      <c r="M85" s="49">
        <f>AVERAGE('01.08 Mulago-Kyebando-24h'!M85,'03.08 Mulago-Kyebando-24h'!M85)</f>
        <v>22.5</v>
      </c>
      <c r="N85" s="49">
        <f>AVERAGE('01.08 Mulago-Kyebando-24h'!N85,'03.08 Mulago-Kyebando-24h'!N85)</f>
        <v>0</v>
      </c>
      <c r="O85" s="15">
        <f t="shared" si="35"/>
        <v>21.5</v>
      </c>
      <c r="P85" s="15">
        <f t="shared" si="36"/>
        <v>44</v>
      </c>
      <c r="R85" s="8"/>
      <c r="T85"/>
    </row>
    <row r="86" spans="2:20" ht="23.1" customHeight="1" x14ac:dyDescent="0.25">
      <c r="B86" s="24" t="s">
        <v>126</v>
      </c>
      <c r="C86" s="49">
        <f>AVERAGE('01.08 Mulago-Kyebando-24h'!C86,'03.08 Mulago-Kyebando-24h'!C86)</f>
        <v>12</v>
      </c>
      <c r="D86" s="49">
        <f>AVERAGE('01.08 Mulago-Kyebando-24h'!D86,'03.08 Mulago-Kyebando-24h'!D86)</f>
        <v>1</v>
      </c>
      <c r="E86" s="49">
        <f>AVERAGE('01.08 Mulago-Kyebando-24h'!E86,'03.08 Mulago-Kyebando-24h'!E86)</f>
        <v>1</v>
      </c>
      <c r="F86" s="49">
        <f>AVERAGE('01.08 Mulago-Kyebando-24h'!F86,'03.08 Mulago-Kyebando-24h'!F86)</f>
        <v>0</v>
      </c>
      <c r="G86" s="49">
        <f>AVERAGE('01.08 Mulago-Kyebando-24h'!G86,'03.08 Mulago-Kyebando-24h'!G86)</f>
        <v>0</v>
      </c>
      <c r="H86" s="49">
        <f>AVERAGE('01.08 Mulago-Kyebando-24h'!H86,'03.08 Mulago-Kyebando-24h'!H86)</f>
        <v>0</v>
      </c>
      <c r="I86" s="49">
        <f>AVERAGE('01.08 Mulago-Kyebando-24h'!I86,'03.08 Mulago-Kyebando-24h'!I86)</f>
        <v>0.5</v>
      </c>
      <c r="J86" s="49">
        <f>AVERAGE('01.08 Mulago-Kyebando-24h'!J86,'03.08 Mulago-Kyebando-24h'!J86)</f>
        <v>0</v>
      </c>
      <c r="K86" s="49">
        <f>AVERAGE('01.08 Mulago-Kyebando-24h'!K86,'03.08 Mulago-Kyebando-24h'!K86)</f>
        <v>0</v>
      </c>
      <c r="L86" s="49">
        <f>AVERAGE('01.08 Mulago-Kyebando-24h'!L86,'03.08 Mulago-Kyebando-24h'!L86)</f>
        <v>0</v>
      </c>
      <c r="M86" s="49">
        <f>AVERAGE('01.08 Mulago-Kyebando-24h'!M86,'03.08 Mulago-Kyebando-24h'!M86)</f>
        <v>16.5</v>
      </c>
      <c r="N86" s="49">
        <f>AVERAGE('01.08 Mulago-Kyebando-24h'!N86,'03.08 Mulago-Kyebando-24h'!N86)</f>
        <v>0</v>
      </c>
      <c r="O86" s="15">
        <f t="shared" si="35"/>
        <v>14.5</v>
      </c>
      <c r="P86" s="15">
        <f t="shared" si="36"/>
        <v>31</v>
      </c>
      <c r="R86" s="8"/>
      <c r="T86"/>
    </row>
    <row r="87" spans="2:20" ht="23.1" customHeight="1" x14ac:dyDescent="0.25">
      <c r="B87" s="23" t="s">
        <v>127</v>
      </c>
      <c r="C87" s="49">
        <f>AVERAGE('01.08 Mulago-Kyebando-24h'!C87,'03.08 Mulago-Kyebando-24h'!C87)</f>
        <v>12</v>
      </c>
      <c r="D87" s="49">
        <f>AVERAGE('01.08 Mulago-Kyebando-24h'!D87,'03.08 Mulago-Kyebando-24h'!D87)</f>
        <v>0.5</v>
      </c>
      <c r="E87" s="49">
        <f>AVERAGE('01.08 Mulago-Kyebando-24h'!E87,'03.08 Mulago-Kyebando-24h'!E87)</f>
        <v>0.5</v>
      </c>
      <c r="F87" s="49">
        <f>AVERAGE('01.08 Mulago-Kyebando-24h'!F87,'03.08 Mulago-Kyebando-24h'!F87)</f>
        <v>0</v>
      </c>
      <c r="G87" s="49">
        <f>AVERAGE('01.08 Mulago-Kyebando-24h'!G87,'03.08 Mulago-Kyebando-24h'!G87)</f>
        <v>0</v>
      </c>
      <c r="H87" s="49">
        <f>AVERAGE('01.08 Mulago-Kyebando-24h'!H87,'03.08 Mulago-Kyebando-24h'!H87)</f>
        <v>0</v>
      </c>
      <c r="I87" s="49">
        <f>AVERAGE('01.08 Mulago-Kyebando-24h'!I87,'03.08 Mulago-Kyebando-24h'!I87)</f>
        <v>0</v>
      </c>
      <c r="J87" s="49">
        <f>AVERAGE('01.08 Mulago-Kyebando-24h'!J87,'03.08 Mulago-Kyebando-24h'!J87)</f>
        <v>0</v>
      </c>
      <c r="K87" s="49">
        <f>AVERAGE('01.08 Mulago-Kyebando-24h'!K87,'03.08 Mulago-Kyebando-24h'!K87)</f>
        <v>0</v>
      </c>
      <c r="L87" s="49">
        <f>AVERAGE('01.08 Mulago-Kyebando-24h'!L87,'03.08 Mulago-Kyebando-24h'!L87)</f>
        <v>0</v>
      </c>
      <c r="M87" s="49">
        <f>AVERAGE('01.08 Mulago-Kyebando-24h'!M87,'03.08 Mulago-Kyebando-24h'!M87)</f>
        <v>18.5</v>
      </c>
      <c r="N87" s="49">
        <f>AVERAGE('01.08 Mulago-Kyebando-24h'!N87,'03.08 Mulago-Kyebando-24h'!N87)</f>
        <v>0</v>
      </c>
      <c r="O87" s="15">
        <f t="shared" si="35"/>
        <v>13</v>
      </c>
      <c r="P87" s="15">
        <f t="shared" si="36"/>
        <v>31.5</v>
      </c>
      <c r="R87" s="8"/>
      <c r="T87"/>
    </row>
    <row r="88" spans="2:20" ht="23.1" customHeight="1" x14ac:dyDescent="0.25">
      <c r="B88" s="25" t="s">
        <v>128</v>
      </c>
      <c r="C88" s="49">
        <f>AVERAGE('01.08 Mulago-Kyebando-24h'!C88,'03.08 Mulago-Kyebando-24h'!C88)</f>
        <v>8.5</v>
      </c>
      <c r="D88" s="49">
        <f>AVERAGE('01.08 Mulago-Kyebando-24h'!D88,'03.08 Mulago-Kyebando-24h'!D88)</f>
        <v>0</v>
      </c>
      <c r="E88" s="49">
        <f>AVERAGE('01.08 Mulago-Kyebando-24h'!E88,'03.08 Mulago-Kyebando-24h'!E88)</f>
        <v>2</v>
      </c>
      <c r="F88" s="49">
        <f>AVERAGE('01.08 Mulago-Kyebando-24h'!F88,'03.08 Mulago-Kyebando-24h'!F88)</f>
        <v>0.5</v>
      </c>
      <c r="G88" s="49">
        <f>AVERAGE('01.08 Mulago-Kyebando-24h'!G88,'03.08 Mulago-Kyebando-24h'!G88)</f>
        <v>0</v>
      </c>
      <c r="H88" s="49">
        <f>AVERAGE('01.08 Mulago-Kyebando-24h'!H88,'03.08 Mulago-Kyebando-24h'!H88)</f>
        <v>0</v>
      </c>
      <c r="I88" s="49">
        <f>AVERAGE('01.08 Mulago-Kyebando-24h'!I88,'03.08 Mulago-Kyebando-24h'!I88)</f>
        <v>0</v>
      </c>
      <c r="J88" s="49">
        <f>AVERAGE('01.08 Mulago-Kyebando-24h'!J88,'03.08 Mulago-Kyebando-24h'!J88)</f>
        <v>0</v>
      </c>
      <c r="K88" s="49">
        <f>AVERAGE('01.08 Mulago-Kyebando-24h'!K88,'03.08 Mulago-Kyebando-24h'!K88)</f>
        <v>0</v>
      </c>
      <c r="L88" s="49">
        <f>AVERAGE('01.08 Mulago-Kyebando-24h'!L88,'03.08 Mulago-Kyebando-24h'!L88)</f>
        <v>0</v>
      </c>
      <c r="M88" s="49">
        <f>AVERAGE('01.08 Mulago-Kyebando-24h'!M88,'03.08 Mulago-Kyebando-24h'!M88)</f>
        <v>9</v>
      </c>
      <c r="N88" s="49">
        <f>AVERAGE('01.08 Mulago-Kyebando-24h'!N88,'03.08 Mulago-Kyebando-24h'!N88)</f>
        <v>0</v>
      </c>
      <c r="O88" s="15">
        <f t="shared" si="35"/>
        <v>11</v>
      </c>
      <c r="P88" s="15">
        <f t="shared" si="36"/>
        <v>20</v>
      </c>
      <c r="R88" s="8"/>
      <c r="T88"/>
    </row>
    <row r="89" spans="2:20" ht="23.1" customHeight="1" x14ac:dyDescent="0.25">
      <c r="B89" s="23" t="s">
        <v>129</v>
      </c>
      <c r="C89" s="49">
        <f>AVERAGE('01.08 Mulago-Kyebando-24h'!C89,'03.08 Mulago-Kyebando-24h'!C89)</f>
        <v>13</v>
      </c>
      <c r="D89" s="49">
        <f>AVERAGE('01.08 Mulago-Kyebando-24h'!D89,'03.08 Mulago-Kyebando-24h'!D89)</f>
        <v>1</v>
      </c>
      <c r="E89" s="49">
        <f>AVERAGE('01.08 Mulago-Kyebando-24h'!E89,'03.08 Mulago-Kyebando-24h'!E89)</f>
        <v>1.5</v>
      </c>
      <c r="F89" s="49">
        <f>AVERAGE('01.08 Mulago-Kyebando-24h'!F89,'03.08 Mulago-Kyebando-24h'!F89)</f>
        <v>0</v>
      </c>
      <c r="G89" s="49">
        <f>AVERAGE('01.08 Mulago-Kyebando-24h'!G89,'03.08 Mulago-Kyebando-24h'!G89)</f>
        <v>0</v>
      </c>
      <c r="H89" s="49">
        <f>AVERAGE('01.08 Mulago-Kyebando-24h'!H89,'03.08 Mulago-Kyebando-24h'!H89)</f>
        <v>0</v>
      </c>
      <c r="I89" s="49">
        <f>AVERAGE('01.08 Mulago-Kyebando-24h'!I89,'03.08 Mulago-Kyebando-24h'!I89)</f>
        <v>0</v>
      </c>
      <c r="J89" s="49">
        <f>AVERAGE('01.08 Mulago-Kyebando-24h'!J89,'03.08 Mulago-Kyebando-24h'!J89)</f>
        <v>0</v>
      </c>
      <c r="K89" s="49">
        <f>AVERAGE('01.08 Mulago-Kyebando-24h'!K89,'03.08 Mulago-Kyebando-24h'!K89)</f>
        <v>0</v>
      </c>
      <c r="L89" s="49">
        <f>AVERAGE('01.08 Mulago-Kyebando-24h'!L89,'03.08 Mulago-Kyebando-24h'!L89)</f>
        <v>0</v>
      </c>
      <c r="M89" s="49">
        <f>AVERAGE('01.08 Mulago-Kyebando-24h'!M89,'03.08 Mulago-Kyebando-24h'!M89)</f>
        <v>17.5</v>
      </c>
      <c r="N89" s="49">
        <f>AVERAGE('01.08 Mulago-Kyebando-24h'!N89,'03.08 Mulago-Kyebando-24h'!N89)</f>
        <v>0</v>
      </c>
      <c r="O89" s="15">
        <f t="shared" si="35"/>
        <v>15.5</v>
      </c>
      <c r="P89" s="15">
        <f t="shared" si="36"/>
        <v>33</v>
      </c>
      <c r="R89" s="8"/>
      <c r="T89"/>
    </row>
    <row r="90" spans="2:20" ht="23.1" customHeight="1" x14ac:dyDescent="0.25">
      <c r="B90" s="24" t="s">
        <v>130</v>
      </c>
      <c r="C90" s="49">
        <f>AVERAGE('01.08 Mulago-Kyebando-24h'!C90,'03.08 Mulago-Kyebando-24h'!C90)</f>
        <v>4.5</v>
      </c>
      <c r="D90" s="49">
        <f>AVERAGE('01.08 Mulago-Kyebando-24h'!D90,'03.08 Mulago-Kyebando-24h'!D90)</f>
        <v>0.5</v>
      </c>
      <c r="E90" s="49">
        <f>AVERAGE('01.08 Mulago-Kyebando-24h'!E90,'03.08 Mulago-Kyebando-24h'!E90)</f>
        <v>0</v>
      </c>
      <c r="F90" s="49">
        <f>AVERAGE('01.08 Mulago-Kyebando-24h'!F90,'03.08 Mulago-Kyebando-24h'!F90)</f>
        <v>0</v>
      </c>
      <c r="G90" s="49">
        <f>AVERAGE('01.08 Mulago-Kyebando-24h'!G90,'03.08 Mulago-Kyebando-24h'!G90)</f>
        <v>0</v>
      </c>
      <c r="H90" s="49">
        <f>AVERAGE('01.08 Mulago-Kyebando-24h'!H90,'03.08 Mulago-Kyebando-24h'!H90)</f>
        <v>0</v>
      </c>
      <c r="I90" s="49">
        <f>AVERAGE('01.08 Mulago-Kyebando-24h'!I90,'03.08 Mulago-Kyebando-24h'!I90)</f>
        <v>0</v>
      </c>
      <c r="J90" s="49">
        <f>AVERAGE('01.08 Mulago-Kyebando-24h'!J90,'03.08 Mulago-Kyebando-24h'!J90)</f>
        <v>0</v>
      </c>
      <c r="K90" s="49">
        <f>AVERAGE('01.08 Mulago-Kyebando-24h'!K90,'03.08 Mulago-Kyebando-24h'!K90)</f>
        <v>0</v>
      </c>
      <c r="L90" s="49">
        <f>AVERAGE('01.08 Mulago-Kyebando-24h'!L90,'03.08 Mulago-Kyebando-24h'!L90)</f>
        <v>0</v>
      </c>
      <c r="M90" s="49">
        <f>AVERAGE('01.08 Mulago-Kyebando-24h'!M90,'03.08 Mulago-Kyebando-24h'!M90)</f>
        <v>8</v>
      </c>
      <c r="N90" s="49">
        <f>AVERAGE('01.08 Mulago-Kyebando-24h'!N90,'03.08 Mulago-Kyebando-24h'!N90)</f>
        <v>0</v>
      </c>
      <c r="O90" s="15">
        <f t="shared" si="35"/>
        <v>5</v>
      </c>
      <c r="P90" s="15">
        <f t="shared" si="36"/>
        <v>13</v>
      </c>
      <c r="R90" s="8"/>
      <c r="T90"/>
    </row>
    <row r="91" spans="2:20" ht="23.1" customHeight="1" x14ac:dyDescent="0.25">
      <c r="B91" s="23" t="s">
        <v>131</v>
      </c>
      <c r="C91" s="49">
        <f>AVERAGE('01.08 Mulago-Kyebando-24h'!C91,'03.08 Mulago-Kyebando-24h'!C91)</f>
        <v>8</v>
      </c>
      <c r="D91" s="49">
        <f>AVERAGE('01.08 Mulago-Kyebando-24h'!D91,'03.08 Mulago-Kyebando-24h'!D91)</f>
        <v>1</v>
      </c>
      <c r="E91" s="49">
        <f>AVERAGE('01.08 Mulago-Kyebando-24h'!E91,'03.08 Mulago-Kyebando-24h'!E91)</f>
        <v>0</v>
      </c>
      <c r="F91" s="49">
        <f>AVERAGE('01.08 Mulago-Kyebando-24h'!F91,'03.08 Mulago-Kyebando-24h'!F91)</f>
        <v>0</v>
      </c>
      <c r="G91" s="49">
        <f>AVERAGE('01.08 Mulago-Kyebando-24h'!G91,'03.08 Mulago-Kyebando-24h'!G91)</f>
        <v>0</v>
      </c>
      <c r="H91" s="49">
        <f>AVERAGE('01.08 Mulago-Kyebando-24h'!H91,'03.08 Mulago-Kyebando-24h'!H91)</f>
        <v>0</v>
      </c>
      <c r="I91" s="49">
        <f>AVERAGE('01.08 Mulago-Kyebando-24h'!I91,'03.08 Mulago-Kyebando-24h'!I91)</f>
        <v>0.5</v>
      </c>
      <c r="J91" s="49">
        <f>AVERAGE('01.08 Mulago-Kyebando-24h'!J91,'03.08 Mulago-Kyebando-24h'!J91)</f>
        <v>0</v>
      </c>
      <c r="K91" s="49">
        <f>AVERAGE('01.08 Mulago-Kyebando-24h'!K91,'03.08 Mulago-Kyebando-24h'!K91)</f>
        <v>0</v>
      </c>
      <c r="L91" s="49">
        <f>AVERAGE('01.08 Mulago-Kyebando-24h'!L91,'03.08 Mulago-Kyebando-24h'!L91)</f>
        <v>0</v>
      </c>
      <c r="M91" s="49">
        <f>AVERAGE('01.08 Mulago-Kyebando-24h'!M91,'03.08 Mulago-Kyebando-24h'!M91)</f>
        <v>9</v>
      </c>
      <c r="N91" s="49">
        <f>AVERAGE('01.08 Mulago-Kyebando-24h'!N91,'03.08 Mulago-Kyebando-24h'!N91)</f>
        <v>0</v>
      </c>
      <c r="O91" s="15">
        <f t="shared" si="35"/>
        <v>9.5</v>
      </c>
      <c r="P91" s="15">
        <f t="shared" si="36"/>
        <v>18.5</v>
      </c>
      <c r="R91" s="8"/>
      <c r="T91"/>
    </row>
    <row r="92" spans="2:20" ht="23.1" customHeight="1" x14ac:dyDescent="0.25">
      <c r="B92" s="25" t="s">
        <v>132</v>
      </c>
      <c r="C92" s="49">
        <f>AVERAGE('01.08 Mulago-Kyebando-24h'!C92,'03.08 Mulago-Kyebando-24h'!C92)</f>
        <v>8</v>
      </c>
      <c r="D92" s="49">
        <f>AVERAGE('01.08 Mulago-Kyebando-24h'!D92,'03.08 Mulago-Kyebando-24h'!D92)</f>
        <v>0.5</v>
      </c>
      <c r="E92" s="49">
        <f>AVERAGE('01.08 Mulago-Kyebando-24h'!E92,'03.08 Mulago-Kyebando-24h'!E92)</f>
        <v>0.5</v>
      </c>
      <c r="F92" s="49">
        <f>AVERAGE('01.08 Mulago-Kyebando-24h'!F92,'03.08 Mulago-Kyebando-24h'!F92)</f>
        <v>0</v>
      </c>
      <c r="G92" s="49">
        <f>AVERAGE('01.08 Mulago-Kyebando-24h'!G92,'03.08 Mulago-Kyebando-24h'!G92)</f>
        <v>0</v>
      </c>
      <c r="H92" s="49">
        <f>AVERAGE('01.08 Mulago-Kyebando-24h'!H92,'03.08 Mulago-Kyebando-24h'!H92)</f>
        <v>0</v>
      </c>
      <c r="I92" s="49">
        <f>AVERAGE('01.08 Mulago-Kyebando-24h'!I92,'03.08 Mulago-Kyebando-24h'!I92)</f>
        <v>0</v>
      </c>
      <c r="J92" s="49">
        <f>AVERAGE('01.08 Mulago-Kyebando-24h'!J92,'03.08 Mulago-Kyebando-24h'!J92)</f>
        <v>0.5</v>
      </c>
      <c r="K92" s="49">
        <f>AVERAGE('01.08 Mulago-Kyebando-24h'!K92,'03.08 Mulago-Kyebando-24h'!K92)</f>
        <v>0</v>
      </c>
      <c r="L92" s="49">
        <f>AVERAGE('01.08 Mulago-Kyebando-24h'!L92,'03.08 Mulago-Kyebando-24h'!L92)</f>
        <v>0</v>
      </c>
      <c r="M92" s="49">
        <f>AVERAGE('01.08 Mulago-Kyebando-24h'!M92,'03.08 Mulago-Kyebando-24h'!M92)</f>
        <v>20</v>
      </c>
      <c r="N92" s="49">
        <f>AVERAGE('01.08 Mulago-Kyebando-24h'!N92,'03.08 Mulago-Kyebando-24h'!N92)</f>
        <v>0</v>
      </c>
      <c r="O92" s="15">
        <f t="shared" si="35"/>
        <v>9.5</v>
      </c>
      <c r="P92" s="15">
        <f t="shared" si="36"/>
        <v>29.5</v>
      </c>
      <c r="R92" s="8"/>
      <c r="T92"/>
    </row>
    <row r="93" spans="2:20" ht="23.1" customHeight="1" x14ac:dyDescent="0.25">
      <c r="B93" s="23" t="s">
        <v>133</v>
      </c>
      <c r="C93" s="49">
        <f>AVERAGE('01.08 Mulago-Kyebando-24h'!C93,'03.08 Mulago-Kyebando-24h'!C93)</f>
        <v>7.5</v>
      </c>
      <c r="D93" s="49">
        <f>AVERAGE('01.08 Mulago-Kyebando-24h'!D93,'03.08 Mulago-Kyebando-24h'!D93)</f>
        <v>1</v>
      </c>
      <c r="E93" s="49">
        <f>AVERAGE('01.08 Mulago-Kyebando-24h'!E93,'03.08 Mulago-Kyebando-24h'!E93)</f>
        <v>1.5</v>
      </c>
      <c r="F93" s="49">
        <f>AVERAGE('01.08 Mulago-Kyebando-24h'!F93,'03.08 Mulago-Kyebando-24h'!F93)</f>
        <v>0</v>
      </c>
      <c r="G93" s="49">
        <f>AVERAGE('01.08 Mulago-Kyebando-24h'!G93,'03.08 Mulago-Kyebando-24h'!G93)</f>
        <v>0</v>
      </c>
      <c r="H93" s="49">
        <f>AVERAGE('01.08 Mulago-Kyebando-24h'!H93,'03.08 Mulago-Kyebando-24h'!H93)</f>
        <v>0</v>
      </c>
      <c r="I93" s="49">
        <f>AVERAGE('01.08 Mulago-Kyebando-24h'!I93,'03.08 Mulago-Kyebando-24h'!I93)</f>
        <v>0</v>
      </c>
      <c r="J93" s="49">
        <f>AVERAGE('01.08 Mulago-Kyebando-24h'!J93,'03.08 Mulago-Kyebando-24h'!J93)</f>
        <v>0</v>
      </c>
      <c r="K93" s="49">
        <f>AVERAGE('01.08 Mulago-Kyebando-24h'!K93,'03.08 Mulago-Kyebando-24h'!K93)</f>
        <v>0.5</v>
      </c>
      <c r="L93" s="49">
        <f>AVERAGE('01.08 Mulago-Kyebando-24h'!L93,'03.08 Mulago-Kyebando-24h'!L93)</f>
        <v>0</v>
      </c>
      <c r="M93" s="49">
        <f>AVERAGE('01.08 Mulago-Kyebando-24h'!M93,'03.08 Mulago-Kyebando-24h'!M93)</f>
        <v>6.5</v>
      </c>
      <c r="N93" s="49">
        <f>AVERAGE('01.08 Mulago-Kyebando-24h'!N93,'03.08 Mulago-Kyebando-24h'!N93)</f>
        <v>0</v>
      </c>
      <c r="O93" s="15">
        <f t="shared" si="35"/>
        <v>10.5</v>
      </c>
      <c r="P93" s="15">
        <f t="shared" si="36"/>
        <v>17</v>
      </c>
      <c r="R93" s="8"/>
      <c r="T93"/>
    </row>
    <row r="94" spans="2:20" ht="23.1" customHeight="1" x14ac:dyDescent="0.25">
      <c r="B94" s="24" t="s">
        <v>134</v>
      </c>
      <c r="C94" s="49">
        <f>AVERAGE('01.08 Mulago-Kyebando-24h'!C94,'03.08 Mulago-Kyebando-24h'!C94)</f>
        <v>5</v>
      </c>
      <c r="D94" s="49">
        <f>AVERAGE('01.08 Mulago-Kyebando-24h'!D94,'03.08 Mulago-Kyebando-24h'!D94)</f>
        <v>0.5</v>
      </c>
      <c r="E94" s="49">
        <f>AVERAGE('01.08 Mulago-Kyebando-24h'!E94,'03.08 Mulago-Kyebando-24h'!E94)</f>
        <v>0</v>
      </c>
      <c r="F94" s="49">
        <f>AVERAGE('01.08 Mulago-Kyebando-24h'!F94,'03.08 Mulago-Kyebando-24h'!F94)</f>
        <v>0</v>
      </c>
      <c r="G94" s="49">
        <f>AVERAGE('01.08 Mulago-Kyebando-24h'!G94,'03.08 Mulago-Kyebando-24h'!G94)</f>
        <v>0</v>
      </c>
      <c r="H94" s="49">
        <f>AVERAGE('01.08 Mulago-Kyebando-24h'!H94,'03.08 Mulago-Kyebando-24h'!H94)</f>
        <v>0</v>
      </c>
      <c r="I94" s="49">
        <f>AVERAGE('01.08 Mulago-Kyebando-24h'!I94,'03.08 Mulago-Kyebando-24h'!I94)</f>
        <v>0</v>
      </c>
      <c r="J94" s="49">
        <f>AVERAGE('01.08 Mulago-Kyebando-24h'!J94,'03.08 Mulago-Kyebando-24h'!J94)</f>
        <v>0</v>
      </c>
      <c r="K94" s="49">
        <f>AVERAGE('01.08 Mulago-Kyebando-24h'!K94,'03.08 Mulago-Kyebando-24h'!K94)</f>
        <v>0</v>
      </c>
      <c r="L94" s="49">
        <f>AVERAGE('01.08 Mulago-Kyebando-24h'!L94,'03.08 Mulago-Kyebando-24h'!L94)</f>
        <v>0</v>
      </c>
      <c r="M94" s="49">
        <f>AVERAGE('01.08 Mulago-Kyebando-24h'!M94,'03.08 Mulago-Kyebando-24h'!M94)</f>
        <v>6.5</v>
      </c>
      <c r="N94" s="49">
        <f>AVERAGE('01.08 Mulago-Kyebando-24h'!N94,'03.08 Mulago-Kyebando-24h'!N94)</f>
        <v>0</v>
      </c>
      <c r="O94" s="15">
        <f t="shared" si="35"/>
        <v>5.5</v>
      </c>
      <c r="P94" s="15">
        <f t="shared" si="36"/>
        <v>12</v>
      </c>
      <c r="R94" s="8"/>
      <c r="T94"/>
    </row>
    <row r="95" spans="2:20" ht="23.1" customHeight="1" x14ac:dyDescent="0.25">
      <c r="B95" s="23" t="s">
        <v>135</v>
      </c>
      <c r="C95" s="49">
        <f>AVERAGE('01.08 Mulago-Kyebando-24h'!C95,'03.08 Mulago-Kyebando-24h'!C95)</f>
        <v>9.5</v>
      </c>
      <c r="D95" s="49">
        <f>AVERAGE('01.08 Mulago-Kyebando-24h'!D95,'03.08 Mulago-Kyebando-24h'!D95)</f>
        <v>0.5</v>
      </c>
      <c r="E95" s="49">
        <f>AVERAGE('01.08 Mulago-Kyebando-24h'!E95,'03.08 Mulago-Kyebando-24h'!E95)</f>
        <v>0</v>
      </c>
      <c r="F95" s="49">
        <f>AVERAGE('01.08 Mulago-Kyebando-24h'!F95,'03.08 Mulago-Kyebando-24h'!F95)</f>
        <v>0</v>
      </c>
      <c r="G95" s="49">
        <f>AVERAGE('01.08 Mulago-Kyebando-24h'!G95,'03.08 Mulago-Kyebando-24h'!G95)</f>
        <v>0</v>
      </c>
      <c r="H95" s="49">
        <f>AVERAGE('01.08 Mulago-Kyebando-24h'!H95,'03.08 Mulago-Kyebando-24h'!H95)</f>
        <v>0</v>
      </c>
      <c r="I95" s="49">
        <f>AVERAGE('01.08 Mulago-Kyebando-24h'!I95,'03.08 Mulago-Kyebando-24h'!I95)</f>
        <v>0</v>
      </c>
      <c r="J95" s="49">
        <f>AVERAGE('01.08 Mulago-Kyebando-24h'!J95,'03.08 Mulago-Kyebando-24h'!J95)</f>
        <v>0</v>
      </c>
      <c r="K95" s="49">
        <f>AVERAGE('01.08 Mulago-Kyebando-24h'!K95,'03.08 Mulago-Kyebando-24h'!K95)</f>
        <v>0</v>
      </c>
      <c r="L95" s="49">
        <f>AVERAGE('01.08 Mulago-Kyebando-24h'!L95,'03.08 Mulago-Kyebando-24h'!L95)</f>
        <v>0</v>
      </c>
      <c r="M95" s="49">
        <f>AVERAGE('01.08 Mulago-Kyebando-24h'!M95,'03.08 Mulago-Kyebando-24h'!M95)</f>
        <v>8</v>
      </c>
      <c r="N95" s="49">
        <f>AVERAGE('01.08 Mulago-Kyebando-24h'!N95,'03.08 Mulago-Kyebando-24h'!N95)</f>
        <v>0</v>
      </c>
      <c r="O95" s="15">
        <f t="shared" si="35"/>
        <v>10</v>
      </c>
      <c r="P95" s="15">
        <f t="shared" si="36"/>
        <v>18</v>
      </c>
      <c r="R95" s="8"/>
      <c r="T95"/>
    </row>
    <row r="96" spans="2:20" ht="23.1" customHeight="1" x14ac:dyDescent="0.25">
      <c r="B96" s="25" t="s">
        <v>136</v>
      </c>
      <c r="C96" s="49">
        <f>AVERAGE('01.08 Mulago-Kyebando-24h'!C96,'03.08 Mulago-Kyebando-24h'!C96)</f>
        <v>5</v>
      </c>
      <c r="D96" s="49">
        <f>AVERAGE('01.08 Mulago-Kyebando-24h'!D96,'03.08 Mulago-Kyebando-24h'!D96)</f>
        <v>1</v>
      </c>
      <c r="E96" s="49">
        <f>AVERAGE('01.08 Mulago-Kyebando-24h'!E96,'03.08 Mulago-Kyebando-24h'!E96)</f>
        <v>0</v>
      </c>
      <c r="F96" s="49">
        <f>AVERAGE('01.08 Mulago-Kyebando-24h'!F96,'03.08 Mulago-Kyebando-24h'!F96)</f>
        <v>0</v>
      </c>
      <c r="G96" s="49">
        <f>AVERAGE('01.08 Mulago-Kyebando-24h'!G96,'03.08 Mulago-Kyebando-24h'!G96)</f>
        <v>0</v>
      </c>
      <c r="H96" s="49">
        <f>AVERAGE('01.08 Mulago-Kyebando-24h'!H96,'03.08 Mulago-Kyebando-24h'!H96)</f>
        <v>0</v>
      </c>
      <c r="I96" s="49">
        <f>AVERAGE('01.08 Mulago-Kyebando-24h'!I96,'03.08 Mulago-Kyebando-24h'!I96)</f>
        <v>0</v>
      </c>
      <c r="J96" s="49">
        <f>AVERAGE('01.08 Mulago-Kyebando-24h'!J96,'03.08 Mulago-Kyebando-24h'!J96)</f>
        <v>0.5</v>
      </c>
      <c r="K96" s="49">
        <f>AVERAGE('01.08 Mulago-Kyebando-24h'!K96,'03.08 Mulago-Kyebando-24h'!K96)</f>
        <v>0</v>
      </c>
      <c r="L96" s="49">
        <f>AVERAGE('01.08 Mulago-Kyebando-24h'!L96,'03.08 Mulago-Kyebando-24h'!L96)</f>
        <v>0</v>
      </c>
      <c r="M96" s="49">
        <f>AVERAGE('01.08 Mulago-Kyebando-24h'!M96,'03.08 Mulago-Kyebando-24h'!M96)</f>
        <v>9</v>
      </c>
      <c r="N96" s="49">
        <f>AVERAGE('01.08 Mulago-Kyebando-24h'!N96,'03.08 Mulago-Kyebando-24h'!N96)</f>
        <v>0</v>
      </c>
      <c r="O96" s="15">
        <f t="shared" si="35"/>
        <v>6.5</v>
      </c>
      <c r="P96" s="15">
        <f t="shared" si="36"/>
        <v>15.5</v>
      </c>
      <c r="R96" s="8"/>
      <c r="T96"/>
    </row>
    <row r="97" spans="2:20" ht="23.1" customHeight="1" x14ac:dyDescent="0.25">
      <c r="B97" s="23" t="s">
        <v>137</v>
      </c>
      <c r="C97" s="49">
        <f>AVERAGE('01.08 Mulago-Kyebando-24h'!C97,'03.08 Mulago-Kyebando-24h'!C97)</f>
        <v>3.5</v>
      </c>
      <c r="D97" s="49">
        <f>AVERAGE('01.08 Mulago-Kyebando-24h'!D97,'03.08 Mulago-Kyebando-24h'!D97)</f>
        <v>0</v>
      </c>
      <c r="E97" s="49">
        <f>AVERAGE('01.08 Mulago-Kyebando-24h'!E97,'03.08 Mulago-Kyebando-24h'!E97)</f>
        <v>0</v>
      </c>
      <c r="F97" s="49">
        <f>AVERAGE('01.08 Mulago-Kyebando-24h'!F97,'03.08 Mulago-Kyebando-24h'!F97)</f>
        <v>0</v>
      </c>
      <c r="G97" s="49">
        <f>AVERAGE('01.08 Mulago-Kyebando-24h'!G97,'03.08 Mulago-Kyebando-24h'!G97)</f>
        <v>0</v>
      </c>
      <c r="H97" s="49">
        <f>AVERAGE('01.08 Mulago-Kyebando-24h'!H97,'03.08 Mulago-Kyebando-24h'!H97)</f>
        <v>0</v>
      </c>
      <c r="I97" s="49">
        <f>AVERAGE('01.08 Mulago-Kyebando-24h'!I97,'03.08 Mulago-Kyebando-24h'!I97)</f>
        <v>0.5</v>
      </c>
      <c r="J97" s="49">
        <f>AVERAGE('01.08 Mulago-Kyebando-24h'!J97,'03.08 Mulago-Kyebando-24h'!J97)</f>
        <v>0</v>
      </c>
      <c r="K97" s="49">
        <f>AVERAGE('01.08 Mulago-Kyebando-24h'!K97,'03.08 Mulago-Kyebando-24h'!K97)</f>
        <v>0</v>
      </c>
      <c r="L97" s="49">
        <f>AVERAGE('01.08 Mulago-Kyebando-24h'!L97,'03.08 Mulago-Kyebando-24h'!L97)</f>
        <v>0</v>
      </c>
      <c r="M97" s="49">
        <f>AVERAGE('01.08 Mulago-Kyebando-24h'!M97,'03.08 Mulago-Kyebando-24h'!M97)</f>
        <v>7.5</v>
      </c>
      <c r="N97" s="49">
        <f>AVERAGE('01.08 Mulago-Kyebando-24h'!N97,'03.08 Mulago-Kyebando-24h'!N97)</f>
        <v>0</v>
      </c>
      <c r="O97" s="15">
        <f t="shared" si="35"/>
        <v>4</v>
      </c>
      <c r="P97" s="15">
        <f t="shared" si="36"/>
        <v>11.5</v>
      </c>
      <c r="R97" s="8"/>
      <c r="T97"/>
    </row>
    <row r="98" spans="2:20" ht="23.1" customHeight="1" x14ac:dyDescent="0.25">
      <c r="B98" s="24" t="s">
        <v>138</v>
      </c>
      <c r="C98" s="49">
        <f>AVERAGE('01.08 Mulago-Kyebando-24h'!C98,'03.08 Mulago-Kyebando-24h'!C98)</f>
        <v>8.5</v>
      </c>
      <c r="D98" s="49">
        <f>AVERAGE('01.08 Mulago-Kyebando-24h'!D98,'03.08 Mulago-Kyebando-24h'!D98)</f>
        <v>0</v>
      </c>
      <c r="E98" s="49">
        <f>AVERAGE('01.08 Mulago-Kyebando-24h'!E98,'03.08 Mulago-Kyebando-24h'!E98)</f>
        <v>0</v>
      </c>
      <c r="F98" s="49">
        <f>AVERAGE('01.08 Mulago-Kyebando-24h'!F98,'03.08 Mulago-Kyebando-24h'!F98)</f>
        <v>0</v>
      </c>
      <c r="G98" s="49">
        <f>AVERAGE('01.08 Mulago-Kyebando-24h'!G98,'03.08 Mulago-Kyebando-24h'!G98)</f>
        <v>0</v>
      </c>
      <c r="H98" s="49">
        <f>AVERAGE('01.08 Mulago-Kyebando-24h'!H98,'03.08 Mulago-Kyebando-24h'!H98)</f>
        <v>0</v>
      </c>
      <c r="I98" s="49">
        <f>AVERAGE('01.08 Mulago-Kyebando-24h'!I98,'03.08 Mulago-Kyebando-24h'!I98)</f>
        <v>0</v>
      </c>
      <c r="J98" s="49">
        <f>AVERAGE('01.08 Mulago-Kyebando-24h'!J98,'03.08 Mulago-Kyebando-24h'!J98)</f>
        <v>0</v>
      </c>
      <c r="K98" s="49">
        <f>AVERAGE('01.08 Mulago-Kyebando-24h'!K98,'03.08 Mulago-Kyebando-24h'!K98)</f>
        <v>0</v>
      </c>
      <c r="L98" s="49">
        <f>AVERAGE('01.08 Mulago-Kyebando-24h'!L98,'03.08 Mulago-Kyebando-24h'!L98)</f>
        <v>0</v>
      </c>
      <c r="M98" s="49">
        <f>AVERAGE('01.08 Mulago-Kyebando-24h'!M98,'03.08 Mulago-Kyebando-24h'!M98)</f>
        <v>14</v>
      </c>
      <c r="N98" s="49">
        <f>AVERAGE('01.08 Mulago-Kyebando-24h'!N98,'03.08 Mulago-Kyebando-24h'!N98)</f>
        <v>0</v>
      </c>
      <c r="O98" s="15">
        <f t="shared" si="35"/>
        <v>8.5</v>
      </c>
      <c r="P98" s="15">
        <f t="shared" si="36"/>
        <v>22.5</v>
      </c>
      <c r="R98" s="8"/>
      <c r="T98"/>
    </row>
    <row r="99" spans="2:20" ht="23.1" customHeight="1" x14ac:dyDescent="0.25">
      <c r="B99" s="23" t="s">
        <v>139</v>
      </c>
      <c r="C99" s="49">
        <f>AVERAGE('01.08 Mulago-Kyebando-24h'!C99,'03.08 Mulago-Kyebando-24h'!C99)</f>
        <v>15</v>
      </c>
      <c r="D99" s="49">
        <f>AVERAGE('01.08 Mulago-Kyebando-24h'!D99,'03.08 Mulago-Kyebando-24h'!D99)</f>
        <v>0</v>
      </c>
      <c r="E99" s="49">
        <f>AVERAGE('01.08 Mulago-Kyebando-24h'!E99,'03.08 Mulago-Kyebando-24h'!E99)</f>
        <v>0</v>
      </c>
      <c r="F99" s="49">
        <f>AVERAGE('01.08 Mulago-Kyebando-24h'!F99,'03.08 Mulago-Kyebando-24h'!F99)</f>
        <v>0.5</v>
      </c>
      <c r="G99" s="49">
        <f>AVERAGE('01.08 Mulago-Kyebando-24h'!G99,'03.08 Mulago-Kyebando-24h'!G99)</f>
        <v>0</v>
      </c>
      <c r="H99" s="49">
        <f>AVERAGE('01.08 Mulago-Kyebando-24h'!H99,'03.08 Mulago-Kyebando-24h'!H99)</f>
        <v>0</v>
      </c>
      <c r="I99" s="49">
        <f>AVERAGE('01.08 Mulago-Kyebando-24h'!I99,'03.08 Mulago-Kyebando-24h'!I99)</f>
        <v>0</v>
      </c>
      <c r="J99" s="49">
        <f>AVERAGE('01.08 Mulago-Kyebando-24h'!J99,'03.08 Mulago-Kyebando-24h'!J99)</f>
        <v>0</v>
      </c>
      <c r="K99" s="49">
        <f>AVERAGE('01.08 Mulago-Kyebando-24h'!K99,'03.08 Mulago-Kyebando-24h'!K99)</f>
        <v>0</v>
      </c>
      <c r="L99" s="49">
        <f>AVERAGE('01.08 Mulago-Kyebando-24h'!L99,'03.08 Mulago-Kyebando-24h'!L99)</f>
        <v>0</v>
      </c>
      <c r="M99" s="49">
        <f>AVERAGE('01.08 Mulago-Kyebando-24h'!M99,'03.08 Mulago-Kyebando-24h'!M99)</f>
        <v>21</v>
      </c>
      <c r="N99" s="49">
        <f>AVERAGE('01.08 Mulago-Kyebando-24h'!N99,'03.08 Mulago-Kyebando-24h'!N99)</f>
        <v>0</v>
      </c>
      <c r="O99" s="15">
        <f t="shared" si="35"/>
        <v>15.5</v>
      </c>
      <c r="P99" s="15">
        <f t="shared" si="36"/>
        <v>36.5</v>
      </c>
      <c r="R99" s="8"/>
      <c r="T99"/>
    </row>
    <row r="100" spans="2:20" ht="23.1" customHeight="1" x14ac:dyDescent="0.25">
      <c r="B100" s="25" t="s">
        <v>140</v>
      </c>
      <c r="C100" s="49">
        <f>AVERAGE('01.08 Mulago-Kyebando-24h'!C100,'03.08 Mulago-Kyebando-24h'!C100)</f>
        <v>9</v>
      </c>
      <c r="D100" s="49">
        <f>AVERAGE('01.08 Mulago-Kyebando-24h'!D100,'03.08 Mulago-Kyebando-24h'!D100)</f>
        <v>0</v>
      </c>
      <c r="E100" s="49">
        <f>AVERAGE('01.08 Mulago-Kyebando-24h'!E100,'03.08 Mulago-Kyebando-24h'!E100)</f>
        <v>0</v>
      </c>
      <c r="F100" s="49">
        <f>AVERAGE('01.08 Mulago-Kyebando-24h'!F100,'03.08 Mulago-Kyebando-24h'!F100)</f>
        <v>1.5</v>
      </c>
      <c r="G100" s="49">
        <f>AVERAGE('01.08 Mulago-Kyebando-24h'!G100,'03.08 Mulago-Kyebando-24h'!G100)</f>
        <v>0</v>
      </c>
      <c r="H100" s="49">
        <f>AVERAGE('01.08 Mulago-Kyebando-24h'!H100,'03.08 Mulago-Kyebando-24h'!H100)</f>
        <v>0</v>
      </c>
      <c r="I100" s="49">
        <f>AVERAGE('01.08 Mulago-Kyebando-24h'!I100,'03.08 Mulago-Kyebando-24h'!I100)</f>
        <v>1</v>
      </c>
      <c r="J100" s="49">
        <f>AVERAGE('01.08 Mulago-Kyebando-24h'!J100,'03.08 Mulago-Kyebando-24h'!J100)</f>
        <v>0.5</v>
      </c>
      <c r="K100" s="49">
        <f>AVERAGE('01.08 Mulago-Kyebando-24h'!K100,'03.08 Mulago-Kyebando-24h'!K100)</f>
        <v>0</v>
      </c>
      <c r="L100" s="49">
        <f>AVERAGE('01.08 Mulago-Kyebando-24h'!L100,'03.08 Mulago-Kyebando-24h'!L100)</f>
        <v>0</v>
      </c>
      <c r="M100" s="49">
        <f>AVERAGE('01.08 Mulago-Kyebando-24h'!M100,'03.08 Mulago-Kyebando-24h'!M100)</f>
        <v>15.5</v>
      </c>
      <c r="N100" s="49">
        <f>AVERAGE('01.08 Mulago-Kyebando-24h'!N100,'03.08 Mulago-Kyebando-24h'!N100)</f>
        <v>0</v>
      </c>
      <c r="O100" s="15">
        <f t="shared" si="35"/>
        <v>12</v>
      </c>
      <c r="P100" s="15">
        <f t="shared" si="36"/>
        <v>27.5</v>
      </c>
      <c r="R100" s="8"/>
      <c r="T100"/>
    </row>
    <row r="101" spans="2:20" ht="23.1" customHeight="1" x14ac:dyDescent="0.25">
      <c r="B101" s="23" t="s">
        <v>141</v>
      </c>
      <c r="C101" s="49">
        <f>AVERAGE('01.08 Mulago-Kyebando-24h'!C101,'03.08 Mulago-Kyebando-24h'!C101)</f>
        <v>4</v>
      </c>
      <c r="D101" s="49">
        <f>AVERAGE('01.08 Mulago-Kyebando-24h'!D101,'03.08 Mulago-Kyebando-24h'!D101)</f>
        <v>0</v>
      </c>
      <c r="E101" s="49">
        <f>AVERAGE('01.08 Mulago-Kyebando-24h'!E101,'03.08 Mulago-Kyebando-24h'!E101)</f>
        <v>0</v>
      </c>
      <c r="F101" s="49">
        <f>AVERAGE('01.08 Mulago-Kyebando-24h'!F101,'03.08 Mulago-Kyebando-24h'!F101)</f>
        <v>0.5</v>
      </c>
      <c r="G101" s="49">
        <f>AVERAGE('01.08 Mulago-Kyebando-24h'!G101,'03.08 Mulago-Kyebando-24h'!G101)</f>
        <v>0</v>
      </c>
      <c r="H101" s="49">
        <f>AVERAGE('01.08 Mulago-Kyebando-24h'!H101,'03.08 Mulago-Kyebando-24h'!H101)</f>
        <v>0</v>
      </c>
      <c r="I101" s="49">
        <f>AVERAGE('01.08 Mulago-Kyebando-24h'!I101,'03.08 Mulago-Kyebando-24h'!I101)</f>
        <v>0</v>
      </c>
      <c r="J101" s="49">
        <f>AVERAGE('01.08 Mulago-Kyebando-24h'!J101,'03.08 Mulago-Kyebando-24h'!J101)</f>
        <v>0.5</v>
      </c>
      <c r="K101" s="49">
        <f>AVERAGE('01.08 Mulago-Kyebando-24h'!K101,'03.08 Mulago-Kyebando-24h'!K101)</f>
        <v>0</v>
      </c>
      <c r="L101" s="49">
        <f>AVERAGE('01.08 Mulago-Kyebando-24h'!L101,'03.08 Mulago-Kyebando-24h'!L101)</f>
        <v>0</v>
      </c>
      <c r="M101" s="49">
        <f>AVERAGE('01.08 Mulago-Kyebando-24h'!M101,'03.08 Mulago-Kyebando-24h'!M101)</f>
        <v>7.5</v>
      </c>
      <c r="N101" s="49">
        <f>AVERAGE('01.08 Mulago-Kyebando-24h'!N101,'03.08 Mulago-Kyebando-24h'!N101)</f>
        <v>0</v>
      </c>
      <c r="O101" s="15">
        <f t="shared" si="35"/>
        <v>5</v>
      </c>
      <c r="P101" s="15">
        <f t="shared" si="36"/>
        <v>12.5</v>
      </c>
      <c r="R101" s="8"/>
      <c r="T101"/>
    </row>
    <row r="102" spans="2:20" ht="23.1" customHeight="1" x14ac:dyDescent="0.25">
      <c r="B102" s="24" t="s">
        <v>142</v>
      </c>
      <c r="C102" s="49">
        <f>AVERAGE('01.08 Mulago-Kyebando-24h'!C102,'03.08 Mulago-Kyebando-24h'!C102)</f>
        <v>8</v>
      </c>
      <c r="D102" s="49">
        <f>AVERAGE('01.08 Mulago-Kyebando-24h'!D102,'03.08 Mulago-Kyebando-24h'!D102)</f>
        <v>0</v>
      </c>
      <c r="E102" s="49">
        <f>AVERAGE('01.08 Mulago-Kyebando-24h'!E102,'03.08 Mulago-Kyebando-24h'!E102)</f>
        <v>0</v>
      </c>
      <c r="F102" s="49">
        <f>AVERAGE('01.08 Mulago-Kyebando-24h'!F102,'03.08 Mulago-Kyebando-24h'!F102)</f>
        <v>1.5</v>
      </c>
      <c r="G102" s="49">
        <f>AVERAGE('01.08 Mulago-Kyebando-24h'!G102,'03.08 Mulago-Kyebando-24h'!G102)</f>
        <v>0.5</v>
      </c>
      <c r="H102" s="49">
        <f>AVERAGE('01.08 Mulago-Kyebando-24h'!H102,'03.08 Mulago-Kyebando-24h'!H102)</f>
        <v>0</v>
      </c>
      <c r="I102" s="49">
        <f>AVERAGE('01.08 Mulago-Kyebando-24h'!I102,'03.08 Mulago-Kyebando-24h'!I102)</f>
        <v>1.5</v>
      </c>
      <c r="J102" s="49">
        <f>AVERAGE('01.08 Mulago-Kyebando-24h'!J102,'03.08 Mulago-Kyebando-24h'!J102)</f>
        <v>0</v>
      </c>
      <c r="K102" s="49">
        <f>AVERAGE('01.08 Mulago-Kyebando-24h'!K102,'03.08 Mulago-Kyebando-24h'!K102)</f>
        <v>0</v>
      </c>
      <c r="L102" s="49">
        <f>AVERAGE('01.08 Mulago-Kyebando-24h'!L102,'03.08 Mulago-Kyebando-24h'!L102)</f>
        <v>0</v>
      </c>
      <c r="M102" s="49">
        <f>AVERAGE('01.08 Mulago-Kyebando-24h'!M102,'03.08 Mulago-Kyebando-24h'!M102)</f>
        <v>16.5</v>
      </c>
      <c r="N102" s="49">
        <f>AVERAGE('01.08 Mulago-Kyebando-24h'!N102,'03.08 Mulago-Kyebando-24h'!N102)</f>
        <v>0</v>
      </c>
      <c r="O102" s="15">
        <f t="shared" si="35"/>
        <v>11.5</v>
      </c>
      <c r="P102" s="15">
        <f t="shared" si="36"/>
        <v>28</v>
      </c>
      <c r="R102" s="8"/>
      <c r="T102"/>
    </row>
    <row r="103" spans="2:20" ht="23.1" customHeight="1" x14ac:dyDescent="0.25">
      <c r="B103" s="23" t="s">
        <v>143</v>
      </c>
      <c r="C103" s="49">
        <f>AVERAGE('01.08 Mulago-Kyebando-24h'!C103,'03.08 Mulago-Kyebando-24h'!C103)</f>
        <v>10.5</v>
      </c>
      <c r="D103" s="49">
        <f>AVERAGE('01.08 Mulago-Kyebando-24h'!D103,'03.08 Mulago-Kyebando-24h'!D103)</f>
        <v>1</v>
      </c>
      <c r="E103" s="49">
        <f>AVERAGE('01.08 Mulago-Kyebando-24h'!E103,'03.08 Mulago-Kyebando-24h'!E103)</f>
        <v>0</v>
      </c>
      <c r="F103" s="49">
        <f>AVERAGE('01.08 Mulago-Kyebando-24h'!F103,'03.08 Mulago-Kyebando-24h'!F103)</f>
        <v>2</v>
      </c>
      <c r="G103" s="49">
        <f>AVERAGE('01.08 Mulago-Kyebando-24h'!G103,'03.08 Mulago-Kyebando-24h'!G103)</f>
        <v>0</v>
      </c>
      <c r="H103" s="49">
        <f>AVERAGE('01.08 Mulago-Kyebando-24h'!H103,'03.08 Mulago-Kyebando-24h'!H103)</f>
        <v>0</v>
      </c>
      <c r="I103" s="49">
        <f>AVERAGE('01.08 Mulago-Kyebando-24h'!I103,'03.08 Mulago-Kyebando-24h'!I103)</f>
        <v>2</v>
      </c>
      <c r="J103" s="49">
        <f>AVERAGE('01.08 Mulago-Kyebando-24h'!J103,'03.08 Mulago-Kyebando-24h'!J103)</f>
        <v>0</v>
      </c>
      <c r="K103" s="49">
        <f>AVERAGE('01.08 Mulago-Kyebando-24h'!K103,'03.08 Mulago-Kyebando-24h'!K103)</f>
        <v>0</v>
      </c>
      <c r="L103" s="49">
        <f>AVERAGE('01.08 Mulago-Kyebando-24h'!L103,'03.08 Mulago-Kyebando-24h'!L103)</f>
        <v>0</v>
      </c>
      <c r="M103" s="49">
        <f>AVERAGE('01.08 Mulago-Kyebando-24h'!M103,'03.08 Mulago-Kyebando-24h'!M103)</f>
        <v>24</v>
      </c>
      <c r="N103" s="49">
        <f>AVERAGE('01.08 Mulago-Kyebando-24h'!N103,'03.08 Mulago-Kyebando-24h'!N103)</f>
        <v>0</v>
      </c>
      <c r="O103" s="15">
        <f t="shared" si="35"/>
        <v>15.5</v>
      </c>
      <c r="P103" s="15">
        <f t="shared" si="36"/>
        <v>39.5</v>
      </c>
      <c r="R103" s="8"/>
      <c r="T103"/>
    </row>
    <row r="104" spans="2:20" ht="23.1" customHeight="1" x14ac:dyDescent="0.25">
      <c r="B104" s="25" t="s">
        <v>144</v>
      </c>
      <c r="C104" s="49">
        <f>AVERAGE('01.08 Mulago-Kyebando-24h'!C104,'03.08 Mulago-Kyebando-24h'!C104)</f>
        <v>10</v>
      </c>
      <c r="D104" s="49">
        <f>AVERAGE('01.08 Mulago-Kyebando-24h'!D104,'03.08 Mulago-Kyebando-24h'!D104)</f>
        <v>2</v>
      </c>
      <c r="E104" s="49">
        <f>AVERAGE('01.08 Mulago-Kyebando-24h'!E104,'03.08 Mulago-Kyebando-24h'!E104)</f>
        <v>1.5</v>
      </c>
      <c r="F104" s="49">
        <f>AVERAGE('01.08 Mulago-Kyebando-24h'!F104,'03.08 Mulago-Kyebando-24h'!F104)</f>
        <v>3</v>
      </c>
      <c r="G104" s="49">
        <f>AVERAGE('01.08 Mulago-Kyebando-24h'!G104,'03.08 Mulago-Kyebando-24h'!G104)</f>
        <v>0.5</v>
      </c>
      <c r="H104" s="49">
        <f>AVERAGE('01.08 Mulago-Kyebando-24h'!H104,'03.08 Mulago-Kyebando-24h'!H104)</f>
        <v>0</v>
      </c>
      <c r="I104" s="49">
        <f>AVERAGE('01.08 Mulago-Kyebando-24h'!I104,'03.08 Mulago-Kyebando-24h'!I104)</f>
        <v>0</v>
      </c>
      <c r="J104" s="49">
        <f>AVERAGE('01.08 Mulago-Kyebando-24h'!J104,'03.08 Mulago-Kyebando-24h'!J104)</f>
        <v>0.5</v>
      </c>
      <c r="K104" s="49">
        <f>AVERAGE('01.08 Mulago-Kyebando-24h'!K104,'03.08 Mulago-Kyebando-24h'!K104)</f>
        <v>0</v>
      </c>
      <c r="L104" s="49">
        <f>AVERAGE('01.08 Mulago-Kyebando-24h'!L104,'03.08 Mulago-Kyebando-24h'!L104)</f>
        <v>0</v>
      </c>
      <c r="M104" s="49">
        <f>AVERAGE('01.08 Mulago-Kyebando-24h'!M104,'03.08 Mulago-Kyebando-24h'!M104)</f>
        <v>40.5</v>
      </c>
      <c r="N104" s="49">
        <f>AVERAGE('01.08 Mulago-Kyebando-24h'!N104,'03.08 Mulago-Kyebando-24h'!N104)</f>
        <v>0</v>
      </c>
      <c r="O104" s="15">
        <f t="shared" si="35"/>
        <v>17.5</v>
      </c>
      <c r="P104" s="15">
        <f t="shared" si="36"/>
        <v>58</v>
      </c>
      <c r="R104" s="8"/>
      <c r="T104"/>
    </row>
    <row r="105" spans="2:20" ht="23.1" customHeight="1" x14ac:dyDescent="0.25">
      <c r="B105" s="23" t="s">
        <v>145</v>
      </c>
      <c r="C105" s="49">
        <f>AVERAGE('01.08 Mulago-Kyebando-24h'!C105,'03.08 Mulago-Kyebando-24h'!C105)</f>
        <v>21</v>
      </c>
      <c r="D105" s="49">
        <f>AVERAGE('01.08 Mulago-Kyebando-24h'!D105,'03.08 Mulago-Kyebando-24h'!D105)</f>
        <v>2</v>
      </c>
      <c r="E105" s="49">
        <f>AVERAGE('01.08 Mulago-Kyebando-24h'!E105,'03.08 Mulago-Kyebando-24h'!E105)</f>
        <v>1.5</v>
      </c>
      <c r="F105" s="49">
        <f>AVERAGE('01.08 Mulago-Kyebando-24h'!F105,'03.08 Mulago-Kyebando-24h'!F105)</f>
        <v>3</v>
      </c>
      <c r="G105" s="49">
        <f>AVERAGE('01.08 Mulago-Kyebando-24h'!G105,'03.08 Mulago-Kyebando-24h'!G105)</f>
        <v>0</v>
      </c>
      <c r="H105" s="49">
        <f>AVERAGE('01.08 Mulago-Kyebando-24h'!H105,'03.08 Mulago-Kyebando-24h'!H105)</f>
        <v>0</v>
      </c>
      <c r="I105" s="49">
        <f>AVERAGE('01.08 Mulago-Kyebando-24h'!I105,'03.08 Mulago-Kyebando-24h'!I105)</f>
        <v>1</v>
      </c>
      <c r="J105" s="49">
        <f>AVERAGE('01.08 Mulago-Kyebando-24h'!J105,'03.08 Mulago-Kyebando-24h'!J105)</f>
        <v>0</v>
      </c>
      <c r="K105" s="49">
        <f>AVERAGE('01.08 Mulago-Kyebando-24h'!K105,'03.08 Mulago-Kyebando-24h'!K105)</f>
        <v>0</v>
      </c>
      <c r="L105" s="49">
        <f>AVERAGE('01.08 Mulago-Kyebando-24h'!L105,'03.08 Mulago-Kyebando-24h'!L105)</f>
        <v>0</v>
      </c>
      <c r="M105" s="49">
        <f>AVERAGE('01.08 Mulago-Kyebando-24h'!M105,'03.08 Mulago-Kyebando-24h'!M105)</f>
        <v>65</v>
      </c>
      <c r="N105" s="49">
        <f>AVERAGE('01.08 Mulago-Kyebando-24h'!N105,'03.08 Mulago-Kyebando-24h'!N105)</f>
        <v>0</v>
      </c>
      <c r="O105" s="15">
        <f t="shared" si="35"/>
        <v>28.5</v>
      </c>
      <c r="P105" s="15">
        <f t="shared" si="36"/>
        <v>93.5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2752.2857142857138</v>
      </c>
      <c r="D106" s="16">
        <f t="shared" si="37"/>
        <v>420.42857142857139</v>
      </c>
      <c r="E106" s="16">
        <f t="shared" si="37"/>
        <v>371.71428571428572</v>
      </c>
      <c r="F106" s="16">
        <f t="shared" si="37"/>
        <v>635.14285714285711</v>
      </c>
      <c r="G106" s="16">
        <f t="shared" si="37"/>
        <v>18.142857142857146</v>
      </c>
      <c r="H106" s="16">
        <f t="shared" si="37"/>
        <v>1.8571428571428568</v>
      </c>
      <c r="I106" s="16">
        <f t="shared" si="37"/>
        <v>196.85714285714286</v>
      </c>
      <c r="J106" s="16">
        <f t="shared" si="37"/>
        <v>37.857142857142861</v>
      </c>
      <c r="K106" s="16">
        <f t="shared" si="37"/>
        <v>4.9999999999999991</v>
      </c>
      <c r="L106" s="16">
        <f t="shared" si="37"/>
        <v>0</v>
      </c>
      <c r="M106" s="16">
        <f t="shared" si="37"/>
        <v>5742.6904761904761</v>
      </c>
      <c r="N106" s="16">
        <f t="shared" si="37"/>
        <v>0</v>
      </c>
      <c r="O106" s="16">
        <f t="shared" si="37"/>
        <v>4439.2857142857147</v>
      </c>
      <c r="P106" s="16">
        <f t="shared" si="37"/>
        <v>10181.976190476191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0.27030958065489197</v>
      </c>
      <c r="D107" s="43">
        <f t="shared" si="38"/>
        <v>4.1291451046784347E-2</v>
      </c>
      <c r="E107" s="43">
        <f t="shared" si="38"/>
        <v>3.6507086518427753E-2</v>
      </c>
      <c r="F107" s="43">
        <f t="shared" si="38"/>
        <v>6.2379133997282774E-2</v>
      </c>
      <c r="G107" s="43">
        <f t="shared" si="38"/>
        <v>1.781860102936328E-3</v>
      </c>
      <c r="H107" s="43">
        <f t="shared" si="38"/>
        <v>1.8239512864702564E-4</v>
      </c>
      <c r="I107" s="43">
        <f t="shared" si="38"/>
        <v>1.9333883636584722E-2</v>
      </c>
      <c r="J107" s="43">
        <f t="shared" si="38"/>
        <v>3.7180545454970622E-3</v>
      </c>
      <c r="K107" s="43">
        <f t="shared" si="38"/>
        <v>4.9106380789583825E-4</v>
      </c>
      <c r="L107" s="43">
        <f t="shared" si="38"/>
        <v>0</v>
      </c>
      <c r="M107" s="43">
        <f t="shared" si="38"/>
        <v>0.56400549056105209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 t="shared" ref="C108:L108" si="39">C106/$O$106</f>
        <v>0.61998390989541419</v>
      </c>
      <c r="D108" s="44">
        <f t="shared" si="39"/>
        <v>9.4706355591311325E-2</v>
      </c>
      <c r="E108" s="44">
        <f t="shared" si="39"/>
        <v>8.3732904263877708E-2</v>
      </c>
      <c r="F108" s="44">
        <f t="shared" si="39"/>
        <v>0.14307320997586481</v>
      </c>
      <c r="G108" s="44">
        <f t="shared" si="39"/>
        <v>4.0868865647626712E-3</v>
      </c>
      <c r="H108" s="44">
        <f t="shared" si="39"/>
        <v>4.1834271922767485E-4</v>
      </c>
      <c r="I108" s="44">
        <f t="shared" si="39"/>
        <v>4.4344328238133543E-2</v>
      </c>
      <c r="J108" s="44">
        <f t="shared" si="39"/>
        <v>8.5277554304102974E-3</v>
      </c>
      <c r="K108" s="44">
        <f t="shared" si="39"/>
        <v>1.1263073209975862E-3</v>
      </c>
      <c r="L108" s="44">
        <f t="shared" si="39"/>
        <v>0</v>
      </c>
      <c r="M108" s="44"/>
      <c r="N108" s="44">
        <f>N106/$O$106</f>
        <v>0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E50" zoomScale="60" workbookViewId="0">
      <selection activeCell="AC58" sqref="A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1" width="10.7109375" customWidth="1"/>
    <col min="32" max="32" width="11.85546875" bestFit="1" customWidth="1"/>
    <col min="33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'04.08 Mulago-Kyebando'!C3:G3</f>
        <v>MCC - C1 - STN28 - KISINGIRI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55" t="str">
        <f>'Avg Week Mulago-Kyebando'!G5:H5</f>
        <v>Kisingiri Street</v>
      </c>
      <c r="H5" s="56"/>
      <c r="I5" s="14"/>
      <c r="J5" s="2" t="s">
        <v>5</v>
      </c>
      <c r="K5" s="55" t="str">
        <f>'Avg Week Mulago-Kyebando'!K5:L5</f>
        <v>Frank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55" t="str">
        <f>'Avg Week Mulago-Kyebando'!K6:L6</f>
        <v>Steven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Kyebando-Mulago'!C10+'Avg Week Mulago-Kyebando'!C10</f>
        <v>151</v>
      </c>
      <c r="D10" s="49">
        <f>'Avg Week Kyebando-Mulago'!D10+'Avg Week Mulago-Kyebando'!D10</f>
        <v>23.142857142857142</v>
      </c>
      <c r="E10" s="49">
        <f>'Avg Week Kyebando-Mulago'!E10+'Avg Week Mulago-Kyebando'!E10</f>
        <v>14.857142857142858</v>
      </c>
      <c r="F10" s="49">
        <f>'Avg Week Kyebando-Mulago'!F10+'Avg Week Mulago-Kyebando'!F10</f>
        <v>50.142857142857139</v>
      </c>
      <c r="G10" s="49">
        <f>'Avg Week Kyebando-Mulago'!G10+'Avg Week Mulago-Kyebando'!G10</f>
        <v>1.1428571428571428</v>
      </c>
      <c r="H10" s="49">
        <f>'Avg Week Kyebando-Mulago'!H10+'Avg Week Mulago-Kyebando'!H10</f>
        <v>0</v>
      </c>
      <c r="I10" s="49">
        <f>'Avg Week Kyebando-Mulago'!I10+'Avg Week Mulago-Kyebando'!I10</f>
        <v>5.2857142857142856</v>
      </c>
      <c r="J10" s="49">
        <f>'Avg Week Kyebando-Mulago'!J10+'Avg Week Mulago-Kyebando'!J10</f>
        <v>0.14285714285714285</v>
      </c>
      <c r="K10" s="49">
        <f>'Avg Week Kyebando-Mulago'!K10+'Avg Week Mulago-Kyebando'!K10</f>
        <v>0</v>
      </c>
      <c r="L10" s="49">
        <f>'Avg Week Kyebando-Mulago'!L10+'Avg Week Mulago-Kyebando'!L10</f>
        <v>0</v>
      </c>
      <c r="M10" s="49">
        <f>'Avg Week Kyebando-Mulago'!M10+'Avg Week Mulago-Kyebando'!M10</f>
        <v>165.42857142857144</v>
      </c>
      <c r="N10" s="49">
        <f>'Avg Week Kyebando-Mulago'!N10+'Avg Week Mulago-Kyebando'!N10</f>
        <v>0</v>
      </c>
      <c r="O10" s="15">
        <f t="shared" ref="O10:O73" si="0">SUM(C10:L10,N10)</f>
        <v>245.71428571428569</v>
      </c>
      <c r="P10" s="15">
        <f t="shared" ref="P10:P73" si="1">SUM(C10:N10)</f>
        <v>411.14285714285711</v>
      </c>
      <c r="R10" s="1" t="s">
        <v>6</v>
      </c>
      <c r="S10" s="17">
        <f t="shared" ref="S10:AF10" si="2">SUM(C10:C13)</f>
        <v>577.71428571428578</v>
      </c>
      <c r="T10" s="17">
        <f t="shared" si="2"/>
        <v>76.714285714285708</v>
      </c>
      <c r="U10" s="17">
        <f t="shared" si="2"/>
        <v>49.571428571428569</v>
      </c>
      <c r="V10" s="17">
        <f t="shared" si="2"/>
        <v>192.57142857142856</v>
      </c>
      <c r="W10" s="17">
        <f t="shared" si="2"/>
        <v>3.2857142857142856</v>
      </c>
      <c r="X10" s="17">
        <f t="shared" si="2"/>
        <v>0</v>
      </c>
      <c r="Y10" s="17">
        <f t="shared" si="2"/>
        <v>16.857142857142858</v>
      </c>
      <c r="Z10" s="17">
        <f t="shared" si="2"/>
        <v>1.7142857142857142</v>
      </c>
      <c r="AA10" s="17">
        <f t="shared" si="2"/>
        <v>0</v>
      </c>
      <c r="AB10" s="17">
        <f t="shared" si="2"/>
        <v>0</v>
      </c>
      <c r="AC10" s="17">
        <f t="shared" si="2"/>
        <v>871.14285714285711</v>
      </c>
      <c r="AD10" s="17">
        <f t="shared" si="2"/>
        <v>0</v>
      </c>
      <c r="AE10" s="31">
        <f t="shared" si="2"/>
        <v>918.42857142857133</v>
      </c>
      <c r="AF10" s="31">
        <f t="shared" si="2"/>
        <v>1789.5714285714284</v>
      </c>
    </row>
    <row r="11" spans="2:32" s="6" customFormat="1" ht="23.1" customHeight="1" x14ac:dyDescent="0.25">
      <c r="B11" s="23" t="s">
        <v>38</v>
      </c>
      <c r="C11" s="49">
        <f>'Avg Week Kyebando-Mulago'!C11+'Avg Week Mulago-Kyebando'!C11</f>
        <v>142.85714285714286</v>
      </c>
      <c r="D11" s="49">
        <f>'Avg Week Kyebando-Mulago'!D11+'Avg Week Mulago-Kyebando'!D11</f>
        <v>16.857142857142858</v>
      </c>
      <c r="E11" s="49">
        <f>'Avg Week Kyebando-Mulago'!E11+'Avg Week Mulago-Kyebando'!E11</f>
        <v>11</v>
      </c>
      <c r="F11" s="49">
        <f>'Avg Week Kyebando-Mulago'!F11+'Avg Week Mulago-Kyebando'!F11</f>
        <v>48.571428571428569</v>
      </c>
      <c r="G11" s="49">
        <f>'Avg Week Kyebando-Mulago'!G11+'Avg Week Mulago-Kyebando'!G11</f>
        <v>0.8571428571428571</v>
      </c>
      <c r="H11" s="49">
        <f>'Avg Week Kyebando-Mulago'!H11+'Avg Week Mulago-Kyebando'!H11</f>
        <v>0</v>
      </c>
      <c r="I11" s="49">
        <f>'Avg Week Kyebando-Mulago'!I11+'Avg Week Mulago-Kyebando'!I11</f>
        <v>4.4285714285714288</v>
      </c>
      <c r="J11" s="49">
        <f>'Avg Week Kyebando-Mulago'!J11+'Avg Week Mulago-Kyebando'!J11</f>
        <v>0.2857142857142857</v>
      </c>
      <c r="K11" s="49">
        <f>'Avg Week Kyebando-Mulago'!K11+'Avg Week Mulago-Kyebando'!K11</f>
        <v>0</v>
      </c>
      <c r="L11" s="49">
        <f>'Avg Week Kyebando-Mulago'!L11+'Avg Week Mulago-Kyebando'!L11</f>
        <v>0</v>
      </c>
      <c r="M11" s="49">
        <f>'Avg Week Kyebando-Mulago'!M11+'Avg Week Mulago-Kyebando'!M11</f>
        <v>186.85714285714286</v>
      </c>
      <c r="N11" s="49">
        <f>'Avg Week Kyebando-Mulago'!N11+'Avg Week Mulago-Kyebando'!N11</f>
        <v>0</v>
      </c>
      <c r="O11" s="15">
        <f t="shared" si="0"/>
        <v>224.85714285714283</v>
      </c>
      <c r="P11" s="15">
        <f t="shared" si="1"/>
        <v>411.71428571428567</v>
      </c>
      <c r="R11" s="1" t="s">
        <v>7</v>
      </c>
      <c r="S11" s="17">
        <f t="shared" ref="S11:AF11" si="3">SUM(C14:C17)</f>
        <v>523.14285714285711</v>
      </c>
      <c r="T11" s="17">
        <f t="shared" si="3"/>
        <v>69</v>
      </c>
      <c r="U11" s="17">
        <f t="shared" si="3"/>
        <v>54.571428571428569</v>
      </c>
      <c r="V11" s="17">
        <f t="shared" si="3"/>
        <v>185.28571428571431</v>
      </c>
      <c r="W11" s="17">
        <f t="shared" si="3"/>
        <v>1.9999999999999998</v>
      </c>
      <c r="X11" s="17">
        <f t="shared" si="3"/>
        <v>0.5714285714285714</v>
      </c>
      <c r="Y11" s="17">
        <f t="shared" si="3"/>
        <v>20.857142857142858</v>
      </c>
      <c r="Z11" s="17">
        <f t="shared" si="3"/>
        <v>5.5714285714285712</v>
      </c>
      <c r="AA11" s="17">
        <f t="shared" si="3"/>
        <v>0.85714285714285698</v>
      </c>
      <c r="AB11" s="17">
        <f t="shared" si="3"/>
        <v>0</v>
      </c>
      <c r="AC11" s="17">
        <f t="shared" si="3"/>
        <v>1318.5714285714284</v>
      </c>
      <c r="AD11" s="17">
        <f t="shared" si="3"/>
        <v>0</v>
      </c>
      <c r="AE11" s="31">
        <f t="shared" si="3"/>
        <v>861.85714285714289</v>
      </c>
      <c r="AF11" s="31">
        <f t="shared" si="3"/>
        <v>2180.4285714285716</v>
      </c>
    </row>
    <row r="12" spans="2:32" ht="23.1" customHeight="1" x14ac:dyDescent="0.25">
      <c r="B12" s="23" t="s">
        <v>39</v>
      </c>
      <c r="C12" s="49">
        <f>'Avg Week Kyebando-Mulago'!C12+'Avg Week Mulago-Kyebando'!C12</f>
        <v>166</v>
      </c>
      <c r="D12" s="49">
        <f>'Avg Week Kyebando-Mulago'!D12+'Avg Week Mulago-Kyebando'!D12</f>
        <v>18.571428571428573</v>
      </c>
      <c r="E12" s="49">
        <f>'Avg Week Kyebando-Mulago'!E12+'Avg Week Mulago-Kyebando'!E12</f>
        <v>14.142857142857144</v>
      </c>
      <c r="F12" s="49">
        <f>'Avg Week Kyebando-Mulago'!F12+'Avg Week Mulago-Kyebando'!F12</f>
        <v>54.571428571428569</v>
      </c>
      <c r="G12" s="49">
        <f>'Avg Week Kyebando-Mulago'!G12+'Avg Week Mulago-Kyebando'!G12</f>
        <v>0.71428571428571419</v>
      </c>
      <c r="H12" s="49">
        <f>'Avg Week Kyebando-Mulago'!H12+'Avg Week Mulago-Kyebando'!H12</f>
        <v>0</v>
      </c>
      <c r="I12" s="49">
        <f>'Avg Week Kyebando-Mulago'!I12+'Avg Week Mulago-Kyebando'!I12</f>
        <v>3.2857142857142856</v>
      </c>
      <c r="J12" s="49">
        <f>'Avg Week Kyebando-Mulago'!J12+'Avg Week Mulago-Kyebando'!J12</f>
        <v>0.42857142857142855</v>
      </c>
      <c r="K12" s="49">
        <f>'Avg Week Kyebando-Mulago'!K12+'Avg Week Mulago-Kyebando'!K12</f>
        <v>0</v>
      </c>
      <c r="L12" s="49">
        <f>'Avg Week Kyebando-Mulago'!L12+'Avg Week Mulago-Kyebando'!L12</f>
        <v>0</v>
      </c>
      <c r="M12" s="49">
        <f>'Avg Week Kyebando-Mulago'!M12+'Avg Week Mulago-Kyebando'!M12</f>
        <v>285.57142857142856</v>
      </c>
      <c r="N12" s="49">
        <f>'Avg Week Kyebando-Mulago'!N12+'Avg Week Mulago-Kyebando'!N12</f>
        <v>0</v>
      </c>
      <c r="O12" s="15">
        <f t="shared" si="0"/>
        <v>257.71428571428572</v>
      </c>
      <c r="P12" s="15">
        <f t="shared" si="1"/>
        <v>543.28571428571422</v>
      </c>
      <c r="R12" s="1" t="s">
        <v>8</v>
      </c>
      <c r="S12" s="17">
        <f t="shared" ref="S12:AF12" si="4">SUM(C18:C21)</f>
        <v>441</v>
      </c>
      <c r="T12" s="17">
        <f t="shared" si="4"/>
        <v>78.428571428571416</v>
      </c>
      <c r="U12" s="17">
        <f t="shared" si="4"/>
        <v>62.142857142857139</v>
      </c>
      <c r="V12" s="17">
        <f t="shared" si="4"/>
        <v>149.42857142857142</v>
      </c>
      <c r="W12" s="17">
        <f t="shared" si="4"/>
        <v>2.4285714285714284</v>
      </c>
      <c r="X12" s="17">
        <f t="shared" si="4"/>
        <v>0</v>
      </c>
      <c r="Y12" s="17">
        <f t="shared" si="4"/>
        <v>29.142857142857146</v>
      </c>
      <c r="Z12" s="17">
        <f t="shared" si="4"/>
        <v>4.5714285714285712</v>
      </c>
      <c r="AA12" s="17">
        <f t="shared" si="4"/>
        <v>0.5714285714285714</v>
      </c>
      <c r="AB12" s="17">
        <f t="shared" si="4"/>
        <v>0</v>
      </c>
      <c r="AC12" s="17">
        <f t="shared" si="4"/>
        <v>1190.4285714285713</v>
      </c>
      <c r="AD12" s="17">
        <f t="shared" si="4"/>
        <v>0</v>
      </c>
      <c r="AE12" s="31">
        <f t="shared" si="4"/>
        <v>767.71428571428578</v>
      </c>
      <c r="AF12" s="31">
        <f t="shared" si="4"/>
        <v>1958.1428571428571</v>
      </c>
    </row>
    <row r="13" spans="2:32" ht="23.1" customHeight="1" x14ac:dyDescent="0.25">
      <c r="B13" s="23" t="s">
        <v>40</v>
      </c>
      <c r="C13" s="49">
        <f>'Avg Week Kyebando-Mulago'!C13+'Avg Week Mulago-Kyebando'!C13</f>
        <v>117.85714285714286</v>
      </c>
      <c r="D13" s="49">
        <f>'Avg Week Kyebando-Mulago'!D13+'Avg Week Mulago-Kyebando'!D13</f>
        <v>18.142857142857142</v>
      </c>
      <c r="E13" s="49">
        <f>'Avg Week Kyebando-Mulago'!E13+'Avg Week Mulago-Kyebando'!E13</f>
        <v>9.5714285714285712</v>
      </c>
      <c r="F13" s="49">
        <f>'Avg Week Kyebando-Mulago'!F13+'Avg Week Mulago-Kyebando'!F13</f>
        <v>39.285714285714285</v>
      </c>
      <c r="G13" s="49">
        <f>'Avg Week Kyebando-Mulago'!G13+'Avg Week Mulago-Kyebando'!G13</f>
        <v>0.5714285714285714</v>
      </c>
      <c r="H13" s="49">
        <f>'Avg Week Kyebando-Mulago'!H13+'Avg Week Mulago-Kyebando'!H13</f>
        <v>0</v>
      </c>
      <c r="I13" s="49">
        <f>'Avg Week Kyebando-Mulago'!I13+'Avg Week Mulago-Kyebando'!I13</f>
        <v>3.8571428571428572</v>
      </c>
      <c r="J13" s="49">
        <f>'Avg Week Kyebando-Mulago'!J13+'Avg Week Mulago-Kyebando'!J13</f>
        <v>0.8571428571428571</v>
      </c>
      <c r="K13" s="49">
        <f>'Avg Week Kyebando-Mulago'!K13+'Avg Week Mulago-Kyebando'!K13</f>
        <v>0</v>
      </c>
      <c r="L13" s="49">
        <f>'Avg Week Kyebando-Mulago'!L13+'Avg Week Mulago-Kyebando'!L13</f>
        <v>0</v>
      </c>
      <c r="M13" s="49">
        <f>'Avg Week Kyebando-Mulago'!M13+'Avg Week Mulago-Kyebando'!M13</f>
        <v>233.28571428571428</v>
      </c>
      <c r="N13" s="49">
        <f>'Avg Week Kyebando-Mulago'!N13+'Avg Week Mulago-Kyebando'!N13</f>
        <v>0</v>
      </c>
      <c r="O13" s="15">
        <f t="shared" si="0"/>
        <v>190.14285714285717</v>
      </c>
      <c r="P13" s="15">
        <f t="shared" si="1"/>
        <v>423.42857142857144</v>
      </c>
      <c r="R13" s="1" t="s">
        <v>9</v>
      </c>
      <c r="S13" s="17">
        <f t="shared" ref="S13:AF13" si="5">SUM(C22:C25)</f>
        <v>455</v>
      </c>
      <c r="T13" s="17">
        <f t="shared" si="5"/>
        <v>85.571428571428584</v>
      </c>
      <c r="U13" s="17">
        <f t="shared" si="5"/>
        <v>66.857142857142861</v>
      </c>
      <c r="V13" s="17">
        <f t="shared" si="5"/>
        <v>121</v>
      </c>
      <c r="W13" s="17">
        <f t="shared" si="5"/>
        <v>2.4285714285714284</v>
      </c>
      <c r="X13" s="17">
        <f t="shared" si="5"/>
        <v>0.42857142857142855</v>
      </c>
      <c r="Y13" s="17">
        <f t="shared" si="5"/>
        <v>35.714285714285715</v>
      </c>
      <c r="Z13" s="17">
        <f t="shared" si="5"/>
        <v>4.4285714285714279</v>
      </c>
      <c r="AA13" s="17">
        <f t="shared" si="5"/>
        <v>0.42857142857142855</v>
      </c>
      <c r="AB13" s="17">
        <f t="shared" si="5"/>
        <v>0</v>
      </c>
      <c r="AC13" s="17">
        <f t="shared" si="5"/>
        <v>962.42857142857156</v>
      </c>
      <c r="AD13" s="17">
        <f t="shared" si="5"/>
        <v>0</v>
      </c>
      <c r="AE13" s="31">
        <f t="shared" si="5"/>
        <v>771.85714285714278</v>
      </c>
      <c r="AF13" s="31">
        <f t="shared" si="5"/>
        <v>1734.2857142857142</v>
      </c>
    </row>
    <row r="14" spans="2:32" ht="23.1" customHeight="1" x14ac:dyDescent="0.25">
      <c r="B14" s="23" t="s">
        <v>41</v>
      </c>
      <c r="C14" s="49">
        <f>'Avg Week Kyebando-Mulago'!C14+'Avg Week Mulago-Kyebando'!C14</f>
        <v>131</v>
      </c>
      <c r="D14" s="49">
        <f>'Avg Week Kyebando-Mulago'!D14+'Avg Week Mulago-Kyebando'!D14</f>
        <v>19.142857142857142</v>
      </c>
      <c r="E14" s="49">
        <f>'Avg Week Kyebando-Mulago'!E14+'Avg Week Mulago-Kyebando'!E14</f>
        <v>12.714285714285715</v>
      </c>
      <c r="F14" s="49">
        <f>'Avg Week Kyebando-Mulago'!F14+'Avg Week Mulago-Kyebando'!F14</f>
        <v>47.714285714285715</v>
      </c>
      <c r="G14" s="49">
        <f>'Avg Week Kyebando-Mulago'!G14+'Avg Week Mulago-Kyebando'!G14</f>
        <v>0.71428571428571419</v>
      </c>
      <c r="H14" s="49">
        <f>'Avg Week Kyebando-Mulago'!H14+'Avg Week Mulago-Kyebando'!H14</f>
        <v>0</v>
      </c>
      <c r="I14" s="49">
        <f>'Avg Week Kyebando-Mulago'!I14+'Avg Week Mulago-Kyebando'!I14</f>
        <v>5.4285714285714288</v>
      </c>
      <c r="J14" s="49">
        <f>'Avg Week Kyebando-Mulago'!J14+'Avg Week Mulago-Kyebando'!J14</f>
        <v>0.8571428571428571</v>
      </c>
      <c r="K14" s="49">
        <f>'Avg Week Kyebando-Mulago'!K14+'Avg Week Mulago-Kyebando'!K14</f>
        <v>0.14285714285714285</v>
      </c>
      <c r="L14" s="49">
        <f>'Avg Week Kyebando-Mulago'!L14+'Avg Week Mulago-Kyebando'!L14</f>
        <v>0</v>
      </c>
      <c r="M14" s="49">
        <f>'Avg Week Kyebando-Mulago'!M14+'Avg Week Mulago-Kyebando'!M14</f>
        <v>282.28571428571428</v>
      </c>
      <c r="N14" s="49">
        <f>'Avg Week Kyebando-Mulago'!N14+'Avg Week Mulago-Kyebando'!N14</f>
        <v>0</v>
      </c>
      <c r="O14" s="15">
        <f t="shared" si="0"/>
        <v>217.71428571428572</v>
      </c>
      <c r="P14" s="15">
        <f t="shared" si="1"/>
        <v>500</v>
      </c>
      <c r="R14" s="1" t="s">
        <v>10</v>
      </c>
      <c r="S14" s="17">
        <f t="shared" ref="S14:AF14" si="6">SUM(C26:C29)</f>
        <v>404.57142857142856</v>
      </c>
      <c r="T14" s="17">
        <f t="shared" si="6"/>
        <v>84.857142857142861</v>
      </c>
      <c r="U14" s="17">
        <f t="shared" si="6"/>
        <v>63.571428571428569</v>
      </c>
      <c r="V14" s="17">
        <f t="shared" si="6"/>
        <v>98.857142857142861</v>
      </c>
      <c r="W14" s="17">
        <f t="shared" si="6"/>
        <v>1</v>
      </c>
      <c r="X14" s="17">
        <f t="shared" si="6"/>
        <v>0.2857142857142857</v>
      </c>
      <c r="Y14" s="17">
        <f t="shared" si="6"/>
        <v>34.857142857142854</v>
      </c>
      <c r="Z14" s="17">
        <f t="shared" si="6"/>
        <v>6.7142857142857144</v>
      </c>
      <c r="AA14" s="17">
        <f t="shared" si="6"/>
        <v>0.14285714285714285</v>
      </c>
      <c r="AB14" s="17">
        <f t="shared" si="6"/>
        <v>0</v>
      </c>
      <c r="AC14" s="17">
        <f t="shared" si="6"/>
        <v>837.2619047619047</v>
      </c>
      <c r="AD14" s="17">
        <f t="shared" si="6"/>
        <v>0</v>
      </c>
      <c r="AE14" s="31">
        <f t="shared" si="6"/>
        <v>694.85714285714289</v>
      </c>
      <c r="AF14" s="31">
        <f t="shared" si="6"/>
        <v>1532.1190476190477</v>
      </c>
    </row>
    <row r="15" spans="2:32" ht="23.1" customHeight="1" x14ac:dyDescent="0.25">
      <c r="B15" s="23" t="s">
        <v>42</v>
      </c>
      <c r="C15" s="49">
        <f>'Avg Week Kyebando-Mulago'!C15+'Avg Week Mulago-Kyebando'!C15</f>
        <v>135.14285714285714</v>
      </c>
      <c r="D15" s="49">
        <f>'Avg Week Kyebando-Mulago'!D15+'Avg Week Mulago-Kyebando'!D15</f>
        <v>16.714285714285715</v>
      </c>
      <c r="E15" s="49">
        <f>'Avg Week Kyebando-Mulago'!E15+'Avg Week Mulago-Kyebando'!E15</f>
        <v>14.714285714285715</v>
      </c>
      <c r="F15" s="49">
        <f>'Avg Week Kyebando-Mulago'!F15+'Avg Week Mulago-Kyebando'!F15</f>
        <v>54.142857142857146</v>
      </c>
      <c r="G15" s="49">
        <f>'Avg Week Kyebando-Mulago'!G15+'Avg Week Mulago-Kyebando'!G15</f>
        <v>0.2857142857142857</v>
      </c>
      <c r="H15" s="49">
        <f>'Avg Week Kyebando-Mulago'!H15+'Avg Week Mulago-Kyebando'!H15</f>
        <v>0</v>
      </c>
      <c r="I15" s="49">
        <f>'Avg Week Kyebando-Mulago'!I15+'Avg Week Mulago-Kyebando'!I15</f>
        <v>4.5714285714285712</v>
      </c>
      <c r="J15" s="49">
        <f>'Avg Week Kyebando-Mulago'!J15+'Avg Week Mulago-Kyebando'!J15</f>
        <v>1</v>
      </c>
      <c r="K15" s="49">
        <f>'Avg Week Kyebando-Mulago'!K15+'Avg Week Mulago-Kyebando'!K15</f>
        <v>0.14285714285714285</v>
      </c>
      <c r="L15" s="49">
        <f>'Avg Week Kyebando-Mulago'!L15+'Avg Week Mulago-Kyebando'!L15</f>
        <v>0</v>
      </c>
      <c r="M15" s="49">
        <f>'Avg Week Kyebando-Mulago'!M15+'Avg Week Mulago-Kyebando'!M15</f>
        <v>358.14285714285711</v>
      </c>
      <c r="N15" s="49">
        <f>'Avg Week Kyebando-Mulago'!N15+'Avg Week Mulago-Kyebando'!N15</f>
        <v>0</v>
      </c>
      <c r="O15" s="15">
        <f t="shared" si="0"/>
        <v>226.71428571428572</v>
      </c>
      <c r="P15" s="15">
        <f t="shared" si="1"/>
        <v>584.85714285714289</v>
      </c>
      <c r="R15" s="1" t="s">
        <v>11</v>
      </c>
      <c r="S15" s="17">
        <f t="shared" ref="S15:AF15" si="7">SUM(C30:C33)</f>
        <v>379.42857142857144</v>
      </c>
      <c r="T15" s="17">
        <f t="shared" si="7"/>
        <v>68.428571428571431</v>
      </c>
      <c r="U15" s="17">
        <f t="shared" si="7"/>
        <v>56.571428571428569</v>
      </c>
      <c r="V15" s="17">
        <f t="shared" si="7"/>
        <v>92</v>
      </c>
      <c r="W15" s="17">
        <f t="shared" si="7"/>
        <v>1.8571428571428572</v>
      </c>
      <c r="X15" s="17">
        <f t="shared" si="7"/>
        <v>0.2857142857142857</v>
      </c>
      <c r="Y15" s="17">
        <f t="shared" si="7"/>
        <v>35.857142857142854</v>
      </c>
      <c r="Z15" s="17">
        <f t="shared" si="7"/>
        <v>8.5714285714285712</v>
      </c>
      <c r="AA15" s="17">
        <f t="shared" si="7"/>
        <v>0.2857142857142857</v>
      </c>
      <c r="AB15" s="17">
        <f t="shared" si="7"/>
        <v>0</v>
      </c>
      <c r="AC15" s="17">
        <f t="shared" si="7"/>
        <v>727</v>
      </c>
      <c r="AD15" s="17">
        <f t="shared" si="7"/>
        <v>0.14285714285714285</v>
      </c>
      <c r="AE15" s="31">
        <f t="shared" si="7"/>
        <v>643.42857142857144</v>
      </c>
      <c r="AF15" s="31">
        <f t="shared" si="7"/>
        <v>1370.4285714285716</v>
      </c>
    </row>
    <row r="16" spans="2:32" ht="23.1" customHeight="1" x14ac:dyDescent="0.25">
      <c r="B16" s="23" t="s">
        <v>43</v>
      </c>
      <c r="C16" s="49">
        <f>'Avg Week Kyebando-Mulago'!C16+'Avg Week Mulago-Kyebando'!C16</f>
        <v>143.28571428571428</v>
      </c>
      <c r="D16" s="49">
        <f>'Avg Week Kyebando-Mulago'!D16+'Avg Week Mulago-Kyebando'!D16</f>
        <v>14.571428571428571</v>
      </c>
      <c r="E16" s="49">
        <f>'Avg Week Kyebando-Mulago'!E16+'Avg Week Mulago-Kyebando'!E16</f>
        <v>13.714285714285715</v>
      </c>
      <c r="F16" s="49">
        <f>'Avg Week Kyebando-Mulago'!F16+'Avg Week Mulago-Kyebando'!F16</f>
        <v>48.714285714285715</v>
      </c>
      <c r="G16" s="49">
        <f>'Avg Week Kyebando-Mulago'!G16+'Avg Week Mulago-Kyebando'!G16</f>
        <v>0.2857142857142857</v>
      </c>
      <c r="H16" s="49">
        <f>'Avg Week Kyebando-Mulago'!H16+'Avg Week Mulago-Kyebando'!H16</f>
        <v>0.5714285714285714</v>
      </c>
      <c r="I16" s="49">
        <f>'Avg Week Kyebando-Mulago'!I16+'Avg Week Mulago-Kyebando'!I16</f>
        <v>6.1428571428571432</v>
      </c>
      <c r="J16" s="49">
        <f>'Avg Week Kyebando-Mulago'!J16+'Avg Week Mulago-Kyebando'!J16</f>
        <v>1.2857142857142856</v>
      </c>
      <c r="K16" s="49">
        <f>'Avg Week Kyebando-Mulago'!K16+'Avg Week Mulago-Kyebando'!K16</f>
        <v>0.42857142857142855</v>
      </c>
      <c r="L16" s="49">
        <f>'Avg Week Kyebando-Mulago'!L16+'Avg Week Mulago-Kyebando'!L16</f>
        <v>0</v>
      </c>
      <c r="M16" s="49">
        <f>'Avg Week Kyebando-Mulago'!M16+'Avg Week Mulago-Kyebando'!M16</f>
        <v>359</v>
      </c>
      <c r="N16" s="49">
        <f>'Avg Week Kyebando-Mulago'!N16+'Avg Week Mulago-Kyebando'!N16</f>
        <v>0</v>
      </c>
      <c r="O16" s="15">
        <f t="shared" si="0"/>
        <v>229</v>
      </c>
      <c r="P16" s="15">
        <f t="shared" si="1"/>
        <v>588</v>
      </c>
      <c r="R16" s="1" t="s">
        <v>12</v>
      </c>
      <c r="S16" s="17">
        <f t="shared" ref="S16:AF16" si="8">SUM(C34:C37)</f>
        <v>408.28571428571433</v>
      </c>
      <c r="T16" s="17">
        <f t="shared" si="8"/>
        <v>66.857142857142861</v>
      </c>
      <c r="U16" s="17">
        <f t="shared" si="8"/>
        <v>58.142857142857146</v>
      </c>
      <c r="V16" s="17">
        <f t="shared" si="8"/>
        <v>87</v>
      </c>
      <c r="W16" s="17">
        <f t="shared" si="8"/>
        <v>1.857142857142857</v>
      </c>
      <c r="X16" s="17">
        <f t="shared" si="8"/>
        <v>0.14285714285714285</v>
      </c>
      <c r="Y16" s="17">
        <f t="shared" si="8"/>
        <v>36.714285714285715</v>
      </c>
      <c r="Z16" s="17">
        <f t="shared" si="8"/>
        <v>5.7142857142857144</v>
      </c>
      <c r="AA16" s="17">
        <f t="shared" si="8"/>
        <v>0.2857142857142857</v>
      </c>
      <c r="AB16" s="17">
        <f t="shared" si="8"/>
        <v>0</v>
      </c>
      <c r="AC16" s="17">
        <f t="shared" si="8"/>
        <v>716.42857142857144</v>
      </c>
      <c r="AD16" s="17">
        <f t="shared" si="8"/>
        <v>0</v>
      </c>
      <c r="AE16" s="31">
        <f t="shared" si="8"/>
        <v>665</v>
      </c>
      <c r="AF16" s="31">
        <f t="shared" si="8"/>
        <v>1381.4285714285716</v>
      </c>
    </row>
    <row r="17" spans="2:32" ht="23.1" customHeight="1" x14ac:dyDescent="0.25">
      <c r="B17" s="23" t="s">
        <v>44</v>
      </c>
      <c r="C17" s="49">
        <f>'Avg Week Kyebando-Mulago'!C17+'Avg Week Mulago-Kyebando'!C17</f>
        <v>113.71428571428572</v>
      </c>
      <c r="D17" s="49">
        <f>'Avg Week Kyebando-Mulago'!D17+'Avg Week Mulago-Kyebando'!D17</f>
        <v>18.571428571428569</v>
      </c>
      <c r="E17" s="49">
        <f>'Avg Week Kyebando-Mulago'!E17+'Avg Week Mulago-Kyebando'!E17</f>
        <v>13.428571428571427</v>
      </c>
      <c r="F17" s="49">
        <f>'Avg Week Kyebando-Mulago'!F17+'Avg Week Mulago-Kyebando'!F17</f>
        <v>34.714285714285715</v>
      </c>
      <c r="G17" s="49">
        <f>'Avg Week Kyebando-Mulago'!G17+'Avg Week Mulago-Kyebando'!G17</f>
        <v>0.71428571428571419</v>
      </c>
      <c r="H17" s="49">
        <f>'Avg Week Kyebando-Mulago'!H17+'Avg Week Mulago-Kyebando'!H17</f>
        <v>0</v>
      </c>
      <c r="I17" s="49">
        <f>'Avg Week Kyebando-Mulago'!I17+'Avg Week Mulago-Kyebando'!I17</f>
        <v>4.7142857142857144</v>
      </c>
      <c r="J17" s="49">
        <f>'Avg Week Kyebando-Mulago'!J17+'Avg Week Mulago-Kyebando'!J17</f>
        <v>2.4285714285714284</v>
      </c>
      <c r="K17" s="49">
        <f>'Avg Week Kyebando-Mulago'!K17+'Avg Week Mulago-Kyebando'!K17</f>
        <v>0.14285714285714285</v>
      </c>
      <c r="L17" s="49">
        <f>'Avg Week Kyebando-Mulago'!L17+'Avg Week Mulago-Kyebando'!L17</f>
        <v>0</v>
      </c>
      <c r="M17" s="49">
        <f>'Avg Week Kyebando-Mulago'!M17+'Avg Week Mulago-Kyebando'!M17</f>
        <v>319.14285714285711</v>
      </c>
      <c r="N17" s="49">
        <f>'Avg Week Kyebando-Mulago'!N17+'Avg Week Mulago-Kyebando'!N17</f>
        <v>0</v>
      </c>
      <c r="O17" s="15">
        <f t="shared" si="0"/>
        <v>188.42857142857142</v>
      </c>
      <c r="P17" s="15">
        <f t="shared" si="1"/>
        <v>507.57142857142856</v>
      </c>
      <c r="R17" s="1" t="s">
        <v>13</v>
      </c>
      <c r="S17" s="17">
        <f t="shared" ref="S17:AF17" si="9">SUM(C38:C41)</f>
        <v>407.71428571428572</v>
      </c>
      <c r="T17" s="17">
        <f t="shared" si="9"/>
        <v>85.714285714285722</v>
      </c>
      <c r="U17" s="17">
        <f t="shared" si="9"/>
        <v>52.428571428571431</v>
      </c>
      <c r="V17" s="17">
        <f t="shared" si="9"/>
        <v>73.714285714285722</v>
      </c>
      <c r="W17" s="17">
        <f t="shared" si="9"/>
        <v>1.4285714285714284</v>
      </c>
      <c r="X17" s="17">
        <f t="shared" si="9"/>
        <v>0.2857142857142857</v>
      </c>
      <c r="Y17" s="17">
        <f t="shared" si="9"/>
        <v>31.857142857142858</v>
      </c>
      <c r="Z17" s="17">
        <f t="shared" si="9"/>
        <v>6.5714285714285703</v>
      </c>
      <c r="AA17" s="17">
        <f t="shared" si="9"/>
        <v>0.71428571428571419</v>
      </c>
      <c r="AB17" s="17">
        <f t="shared" si="9"/>
        <v>0</v>
      </c>
      <c r="AC17" s="17">
        <f t="shared" si="9"/>
        <v>743.14285714285711</v>
      </c>
      <c r="AD17" s="17">
        <f t="shared" si="9"/>
        <v>0</v>
      </c>
      <c r="AE17" s="31">
        <f t="shared" si="9"/>
        <v>660.42857142857133</v>
      </c>
      <c r="AF17" s="31">
        <f t="shared" si="9"/>
        <v>1403.5714285714284</v>
      </c>
    </row>
    <row r="18" spans="2:32" ht="23.1" customHeight="1" x14ac:dyDescent="0.25">
      <c r="B18" s="23" t="s">
        <v>45</v>
      </c>
      <c r="C18" s="49">
        <f>'Avg Week Kyebando-Mulago'!C18+'Avg Week Mulago-Kyebando'!C18</f>
        <v>108.85714285714286</v>
      </c>
      <c r="D18" s="49">
        <f>'Avg Week Kyebando-Mulago'!D18+'Avg Week Mulago-Kyebando'!D18</f>
        <v>19.428571428571427</v>
      </c>
      <c r="E18" s="49">
        <f>'Avg Week Kyebando-Mulago'!E18+'Avg Week Mulago-Kyebando'!E18</f>
        <v>14.142857142857142</v>
      </c>
      <c r="F18" s="49">
        <f>'Avg Week Kyebando-Mulago'!F18+'Avg Week Mulago-Kyebando'!F18</f>
        <v>40.571428571428569</v>
      </c>
      <c r="G18" s="49">
        <f>'Avg Week Kyebando-Mulago'!G18+'Avg Week Mulago-Kyebando'!G18</f>
        <v>0.85714285714285721</v>
      </c>
      <c r="H18" s="49">
        <f>'Avg Week Kyebando-Mulago'!H18+'Avg Week Mulago-Kyebando'!H18</f>
        <v>0</v>
      </c>
      <c r="I18" s="49">
        <f>'Avg Week Kyebando-Mulago'!I18+'Avg Week Mulago-Kyebando'!I18</f>
        <v>6</v>
      </c>
      <c r="J18" s="49">
        <f>'Avg Week Kyebando-Mulago'!J18+'Avg Week Mulago-Kyebando'!J18</f>
        <v>1</v>
      </c>
      <c r="K18" s="49">
        <f>'Avg Week Kyebando-Mulago'!K18+'Avg Week Mulago-Kyebando'!K18</f>
        <v>0</v>
      </c>
      <c r="L18" s="49">
        <f>'Avg Week Kyebando-Mulago'!L18+'Avg Week Mulago-Kyebando'!L18</f>
        <v>0</v>
      </c>
      <c r="M18" s="49">
        <f>'Avg Week Kyebando-Mulago'!M18+'Avg Week Mulago-Kyebando'!M18</f>
        <v>313.71428571428572</v>
      </c>
      <c r="N18" s="49">
        <f>'Avg Week Kyebando-Mulago'!N18+'Avg Week Mulago-Kyebando'!N18</f>
        <v>0</v>
      </c>
      <c r="O18" s="15">
        <f t="shared" si="0"/>
        <v>190.85714285714286</v>
      </c>
      <c r="P18" s="15">
        <f t="shared" si="1"/>
        <v>504.57142857142856</v>
      </c>
      <c r="R18" s="1" t="s">
        <v>14</v>
      </c>
      <c r="S18" s="17">
        <f t="shared" ref="S18:AF18" si="10">SUM(C42:C45)</f>
        <v>438</v>
      </c>
      <c r="T18" s="17">
        <f t="shared" si="10"/>
        <v>75.714285714285708</v>
      </c>
      <c r="U18" s="17">
        <f t="shared" si="10"/>
        <v>68.285714285714278</v>
      </c>
      <c r="V18" s="17">
        <f t="shared" si="10"/>
        <v>81.428571428571416</v>
      </c>
      <c r="W18" s="17">
        <f t="shared" si="10"/>
        <v>1.5714285714285712</v>
      </c>
      <c r="X18" s="17">
        <f t="shared" si="10"/>
        <v>0.42857142857142855</v>
      </c>
      <c r="Y18" s="17">
        <f t="shared" si="10"/>
        <v>36.857142857142854</v>
      </c>
      <c r="Z18" s="17">
        <f t="shared" si="10"/>
        <v>5.1428571428571423</v>
      </c>
      <c r="AA18" s="17">
        <f t="shared" si="10"/>
        <v>0.5714285714285714</v>
      </c>
      <c r="AB18" s="17">
        <f t="shared" si="10"/>
        <v>0</v>
      </c>
      <c r="AC18" s="17">
        <f t="shared" si="10"/>
        <v>759.28571428571422</v>
      </c>
      <c r="AD18" s="17">
        <f t="shared" si="10"/>
        <v>0</v>
      </c>
      <c r="AE18" s="31">
        <f t="shared" si="10"/>
        <v>707.99999999999989</v>
      </c>
      <c r="AF18" s="31">
        <f t="shared" si="10"/>
        <v>1467.2857142857142</v>
      </c>
    </row>
    <row r="19" spans="2:32" ht="23.1" customHeight="1" x14ac:dyDescent="0.25">
      <c r="B19" s="23" t="s">
        <v>46</v>
      </c>
      <c r="C19" s="49">
        <f>'Avg Week Kyebando-Mulago'!C19+'Avg Week Mulago-Kyebando'!C19</f>
        <v>104.71428571428571</v>
      </c>
      <c r="D19" s="49">
        <f>'Avg Week Kyebando-Mulago'!D19+'Avg Week Mulago-Kyebando'!D19</f>
        <v>19.285714285714285</v>
      </c>
      <c r="E19" s="49">
        <f>'Avg Week Kyebando-Mulago'!E19+'Avg Week Mulago-Kyebando'!E19</f>
        <v>14</v>
      </c>
      <c r="F19" s="49">
        <f>'Avg Week Kyebando-Mulago'!F19+'Avg Week Mulago-Kyebando'!F19</f>
        <v>35.285714285714285</v>
      </c>
      <c r="G19" s="49">
        <f>'Avg Week Kyebando-Mulago'!G19+'Avg Week Mulago-Kyebando'!G19</f>
        <v>0.2857142857142857</v>
      </c>
      <c r="H19" s="49">
        <f>'Avg Week Kyebando-Mulago'!H19+'Avg Week Mulago-Kyebando'!H19</f>
        <v>0</v>
      </c>
      <c r="I19" s="49">
        <f>'Avg Week Kyebando-Mulago'!I19+'Avg Week Mulago-Kyebando'!I19</f>
        <v>8.8571428571428577</v>
      </c>
      <c r="J19" s="49">
        <f>'Avg Week Kyebando-Mulago'!J19+'Avg Week Mulago-Kyebando'!J19</f>
        <v>1.2857142857142856</v>
      </c>
      <c r="K19" s="49">
        <f>'Avg Week Kyebando-Mulago'!K19+'Avg Week Mulago-Kyebando'!K19</f>
        <v>0.2857142857142857</v>
      </c>
      <c r="L19" s="49">
        <f>'Avg Week Kyebando-Mulago'!L19+'Avg Week Mulago-Kyebando'!L19</f>
        <v>0</v>
      </c>
      <c r="M19" s="49">
        <f>'Avg Week Kyebando-Mulago'!M19+'Avg Week Mulago-Kyebando'!M19</f>
        <v>311.57142857142856</v>
      </c>
      <c r="N19" s="49">
        <f>'Avg Week Kyebando-Mulago'!N19+'Avg Week Mulago-Kyebando'!N19</f>
        <v>0</v>
      </c>
      <c r="O19" s="15">
        <f t="shared" si="0"/>
        <v>183.99999999999997</v>
      </c>
      <c r="P19" s="15">
        <f t="shared" si="1"/>
        <v>495.57142857142856</v>
      </c>
      <c r="R19" s="1" t="s">
        <v>15</v>
      </c>
      <c r="S19" s="17">
        <f t="shared" ref="S19:AF19" si="11">SUM(C46:C49)</f>
        <v>557.85714285714289</v>
      </c>
      <c r="T19" s="17">
        <f t="shared" si="11"/>
        <v>86.714285714285722</v>
      </c>
      <c r="U19" s="17">
        <f t="shared" si="11"/>
        <v>68.714285714285722</v>
      </c>
      <c r="V19" s="17">
        <f t="shared" si="11"/>
        <v>95.142857142857139</v>
      </c>
      <c r="W19" s="17">
        <f t="shared" si="11"/>
        <v>2.8571428571428568</v>
      </c>
      <c r="X19" s="17">
        <f t="shared" si="11"/>
        <v>0.14285714285714285</v>
      </c>
      <c r="Y19" s="17">
        <f t="shared" si="11"/>
        <v>26.142857142857146</v>
      </c>
      <c r="Z19" s="17">
        <f t="shared" si="11"/>
        <v>6.8571428571428577</v>
      </c>
      <c r="AA19" s="17">
        <f t="shared" si="11"/>
        <v>0.42857142857142855</v>
      </c>
      <c r="AB19" s="17">
        <f t="shared" si="11"/>
        <v>0</v>
      </c>
      <c r="AC19" s="17">
        <f t="shared" si="11"/>
        <v>796.57142857142856</v>
      </c>
      <c r="AD19" s="17">
        <f t="shared" si="11"/>
        <v>0</v>
      </c>
      <c r="AE19" s="31">
        <f t="shared" si="11"/>
        <v>844.85714285714289</v>
      </c>
      <c r="AF19" s="31">
        <f t="shared" si="11"/>
        <v>1641.4285714285713</v>
      </c>
    </row>
    <row r="20" spans="2:32" ht="23.1" customHeight="1" x14ac:dyDescent="0.25">
      <c r="B20" s="23" t="s">
        <v>47</v>
      </c>
      <c r="C20" s="49">
        <f>'Avg Week Kyebando-Mulago'!C20+'Avg Week Mulago-Kyebando'!C20</f>
        <v>118.57142857142857</v>
      </c>
      <c r="D20" s="49">
        <f>'Avg Week Kyebando-Mulago'!D20+'Avg Week Mulago-Kyebando'!D20</f>
        <v>22.571428571428573</v>
      </c>
      <c r="E20" s="49">
        <f>'Avg Week Kyebando-Mulago'!E20+'Avg Week Mulago-Kyebando'!E20</f>
        <v>16.571428571428569</v>
      </c>
      <c r="F20" s="49">
        <f>'Avg Week Kyebando-Mulago'!F20+'Avg Week Mulago-Kyebando'!F20</f>
        <v>43.285714285714285</v>
      </c>
      <c r="G20" s="49">
        <f>'Avg Week Kyebando-Mulago'!G20+'Avg Week Mulago-Kyebando'!G20</f>
        <v>1.1428571428571428</v>
      </c>
      <c r="H20" s="49">
        <f>'Avg Week Kyebando-Mulago'!H20+'Avg Week Mulago-Kyebando'!H20</f>
        <v>0</v>
      </c>
      <c r="I20" s="49">
        <f>'Avg Week Kyebando-Mulago'!I20+'Avg Week Mulago-Kyebando'!I20</f>
        <v>8.2857142857142865</v>
      </c>
      <c r="J20" s="49">
        <f>'Avg Week Kyebando-Mulago'!J20+'Avg Week Mulago-Kyebando'!J20</f>
        <v>1.5714285714285714</v>
      </c>
      <c r="K20" s="49">
        <f>'Avg Week Kyebando-Mulago'!K20+'Avg Week Mulago-Kyebando'!K20</f>
        <v>0.14285714285714285</v>
      </c>
      <c r="L20" s="49">
        <f>'Avg Week Kyebando-Mulago'!L20+'Avg Week Mulago-Kyebando'!L20</f>
        <v>0</v>
      </c>
      <c r="M20" s="49">
        <f>'Avg Week Kyebando-Mulago'!M20+'Avg Week Mulago-Kyebando'!M20</f>
        <v>308.71428571428567</v>
      </c>
      <c r="N20" s="49">
        <f>'Avg Week Kyebando-Mulago'!N20+'Avg Week Mulago-Kyebando'!N20</f>
        <v>0</v>
      </c>
      <c r="O20" s="15">
        <f t="shared" si="0"/>
        <v>212.14285714285714</v>
      </c>
      <c r="P20" s="15">
        <f t="shared" si="1"/>
        <v>520.85714285714278</v>
      </c>
      <c r="R20" s="1" t="s">
        <v>16</v>
      </c>
      <c r="S20" s="17">
        <f t="shared" ref="S20:AF20" si="12">SUM(C50:C53)</f>
        <v>672.57142857142867</v>
      </c>
      <c r="T20" s="17">
        <f t="shared" si="12"/>
        <v>101</v>
      </c>
      <c r="U20" s="17">
        <f t="shared" si="12"/>
        <v>69.714285714285722</v>
      </c>
      <c r="V20" s="17">
        <f t="shared" si="12"/>
        <v>102.14285714285714</v>
      </c>
      <c r="W20" s="17">
        <f t="shared" si="12"/>
        <v>3.7142857142857144</v>
      </c>
      <c r="X20" s="17">
        <f t="shared" si="12"/>
        <v>0.5714285714285714</v>
      </c>
      <c r="Y20" s="17">
        <f t="shared" si="12"/>
        <v>30.142857142857142</v>
      </c>
      <c r="Z20" s="17">
        <f t="shared" si="12"/>
        <v>5.8571428571428577</v>
      </c>
      <c r="AA20" s="17">
        <f t="shared" si="12"/>
        <v>1.1428571428571428</v>
      </c>
      <c r="AB20" s="17">
        <f t="shared" si="12"/>
        <v>0</v>
      </c>
      <c r="AC20" s="17">
        <f t="shared" si="12"/>
        <v>867.71428571428578</v>
      </c>
      <c r="AD20" s="17">
        <f t="shared" si="12"/>
        <v>0</v>
      </c>
      <c r="AE20" s="31">
        <f t="shared" si="12"/>
        <v>986.85714285714278</v>
      </c>
      <c r="AF20" s="31">
        <f t="shared" si="12"/>
        <v>1854.5714285714284</v>
      </c>
    </row>
    <row r="21" spans="2:32" ht="23.1" customHeight="1" x14ac:dyDescent="0.25">
      <c r="B21" s="23" t="s">
        <v>48</v>
      </c>
      <c r="C21" s="49">
        <f>'Avg Week Kyebando-Mulago'!C21+'Avg Week Mulago-Kyebando'!C21</f>
        <v>108.85714285714286</v>
      </c>
      <c r="D21" s="49">
        <f>'Avg Week Kyebando-Mulago'!D21+'Avg Week Mulago-Kyebando'!D21</f>
        <v>17.142857142857142</v>
      </c>
      <c r="E21" s="49">
        <f>'Avg Week Kyebando-Mulago'!E21+'Avg Week Mulago-Kyebando'!E21</f>
        <v>17.428571428571431</v>
      </c>
      <c r="F21" s="49">
        <f>'Avg Week Kyebando-Mulago'!F21+'Avg Week Mulago-Kyebando'!F21</f>
        <v>30.285714285714285</v>
      </c>
      <c r="G21" s="49">
        <f>'Avg Week Kyebando-Mulago'!G21+'Avg Week Mulago-Kyebando'!G21</f>
        <v>0.14285714285714285</v>
      </c>
      <c r="H21" s="49">
        <f>'Avg Week Kyebando-Mulago'!H21+'Avg Week Mulago-Kyebando'!H21</f>
        <v>0</v>
      </c>
      <c r="I21" s="49">
        <f>'Avg Week Kyebando-Mulago'!I21+'Avg Week Mulago-Kyebando'!I21</f>
        <v>6</v>
      </c>
      <c r="J21" s="49">
        <f>'Avg Week Kyebando-Mulago'!J21+'Avg Week Mulago-Kyebando'!J21</f>
        <v>0.71428571428571419</v>
      </c>
      <c r="K21" s="49">
        <f>'Avg Week Kyebando-Mulago'!K21+'Avg Week Mulago-Kyebando'!K21</f>
        <v>0.14285714285714285</v>
      </c>
      <c r="L21" s="49">
        <f>'Avg Week Kyebando-Mulago'!L21+'Avg Week Mulago-Kyebando'!L21</f>
        <v>0</v>
      </c>
      <c r="M21" s="49">
        <f>'Avg Week Kyebando-Mulago'!M21+'Avg Week Mulago-Kyebando'!M21</f>
        <v>256.42857142857144</v>
      </c>
      <c r="N21" s="49">
        <f>'Avg Week Kyebando-Mulago'!N21+'Avg Week Mulago-Kyebando'!N21</f>
        <v>0</v>
      </c>
      <c r="O21" s="15">
        <f t="shared" si="0"/>
        <v>180.71428571428572</v>
      </c>
      <c r="P21" s="15">
        <f t="shared" si="1"/>
        <v>437.14285714285717</v>
      </c>
      <c r="R21" s="36" t="s">
        <v>20</v>
      </c>
      <c r="S21" s="34">
        <f t="shared" ref="S21:AF21" si="13">SUM(C54:C57)</f>
        <v>561.42857142857144</v>
      </c>
      <c r="T21" s="17">
        <f t="shared" si="13"/>
        <v>79.285714285714292</v>
      </c>
      <c r="U21" s="17">
        <f t="shared" si="13"/>
        <v>49.571428571428569</v>
      </c>
      <c r="V21" s="17">
        <f t="shared" si="13"/>
        <v>111</v>
      </c>
      <c r="W21" s="17">
        <f t="shared" si="13"/>
        <v>3.1428571428571423</v>
      </c>
      <c r="X21" s="17">
        <f t="shared" si="13"/>
        <v>0.71428571428571419</v>
      </c>
      <c r="Y21" s="17">
        <f t="shared" si="13"/>
        <v>24.428571428571431</v>
      </c>
      <c r="Z21" s="17">
        <f t="shared" si="13"/>
        <v>5.1428571428571432</v>
      </c>
      <c r="AA21" s="17">
        <f t="shared" si="13"/>
        <v>0.42857142857142855</v>
      </c>
      <c r="AB21" s="17">
        <f t="shared" si="13"/>
        <v>0</v>
      </c>
      <c r="AC21" s="17">
        <f t="shared" si="13"/>
        <v>839.28571428571422</v>
      </c>
      <c r="AD21" s="17">
        <f t="shared" si="13"/>
        <v>0</v>
      </c>
      <c r="AE21" s="31">
        <f t="shared" si="13"/>
        <v>835.14285714285711</v>
      </c>
      <c r="AF21" s="31">
        <f t="shared" si="13"/>
        <v>1674.4285714285716</v>
      </c>
    </row>
    <row r="22" spans="2:32" ht="23.1" customHeight="1" x14ac:dyDescent="0.25">
      <c r="B22" s="23" t="s">
        <v>49</v>
      </c>
      <c r="C22" s="49">
        <f>'Avg Week Kyebando-Mulago'!C22+'Avg Week Mulago-Kyebando'!C22</f>
        <v>110.42857142857142</v>
      </c>
      <c r="D22" s="49">
        <f>'Avg Week Kyebando-Mulago'!D22+'Avg Week Mulago-Kyebando'!D22</f>
        <v>23.714285714285715</v>
      </c>
      <c r="E22" s="49">
        <f>'Avg Week Kyebando-Mulago'!E22+'Avg Week Mulago-Kyebando'!E22</f>
        <v>15.142857142857142</v>
      </c>
      <c r="F22" s="49">
        <f>'Avg Week Kyebando-Mulago'!F22+'Avg Week Mulago-Kyebando'!F22</f>
        <v>34.142857142857139</v>
      </c>
      <c r="G22" s="49">
        <f>'Avg Week Kyebando-Mulago'!G22+'Avg Week Mulago-Kyebando'!G22</f>
        <v>0.42857142857142855</v>
      </c>
      <c r="H22" s="49">
        <f>'Avg Week Kyebando-Mulago'!H22+'Avg Week Mulago-Kyebando'!H22</f>
        <v>0.14285714285714285</v>
      </c>
      <c r="I22" s="49">
        <f>'Avg Week Kyebando-Mulago'!I22+'Avg Week Mulago-Kyebando'!I22</f>
        <v>8</v>
      </c>
      <c r="J22" s="49">
        <f>'Avg Week Kyebando-Mulago'!J22+'Avg Week Mulago-Kyebando'!J22</f>
        <v>1.1428571428571428</v>
      </c>
      <c r="K22" s="49">
        <f>'Avg Week Kyebando-Mulago'!K22+'Avg Week Mulago-Kyebando'!K22</f>
        <v>0.14285714285714285</v>
      </c>
      <c r="L22" s="49">
        <f>'Avg Week Kyebando-Mulago'!L22+'Avg Week Mulago-Kyebando'!L22</f>
        <v>0</v>
      </c>
      <c r="M22" s="49">
        <f>'Avg Week Kyebando-Mulago'!M22+'Avg Week Mulago-Kyebando'!M22</f>
        <v>261.14285714285717</v>
      </c>
      <c r="N22" s="49">
        <f>'Avg Week Kyebando-Mulago'!N22+'Avg Week Mulago-Kyebando'!N22</f>
        <v>0</v>
      </c>
      <c r="O22" s="15">
        <f t="shared" si="0"/>
        <v>193.28571428571425</v>
      </c>
      <c r="P22" s="15">
        <f t="shared" si="1"/>
        <v>454.42857142857144</v>
      </c>
      <c r="R22" s="1" t="s">
        <v>146</v>
      </c>
      <c r="S22" s="34">
        <f>SUM(C58:C61)</f>
        <v>668</v>
      </c>
      <c r="T22" s="34">
        <f t="shared" ref="T22:AF22" si="14">SUM(D58:D61)</f>
        <v>61</v>
      </c>
      <c r="U22" s="34">
        <f t="shared" si="14"/>
        <v>79</v>
      </c>
      <c r="V22" s="34">
        <f t="shared" si="14"/>
        <v>200.5</v>
      </c>
      <c r="W22" s="34">
        <f t="shared" si="14"/>
        <v>3.5</v>
      </c>
      <c r="X22" s="34">
        <f t="shared" si="14"/>
        <v>3.5</v>
      </c>
      <c r="Y22" s="34">
        <f t="shared" si="14"/>
        <v>28</v>
      </c>
      <c r="Z22" s="34">
        <f t="shared" si="14"/>
        <v>8</v>
      </c>
      <c r="AA22" s="34">
        <f t="shared" si="14"/>
        <v>1.5</v>
      </c>
      <c r="AB22" s="34">
        <f t="shared" si="14"/>
        <v>0</v>
      </c>
      <c r="AC22" s="34">
        <f t="shared" si="14"/>
        <v>1066.5</v>
      </c>
      <c r="AD22" s="34">
        <f t="shared" si="14"/>
        <v>0</v>
      </c>
      <c r="AE22" s="31">
        <f t="shared" si="14"/>
        <v>1053</v>
      </c>
      <c r="AF22" s="31">
        <f t="shared" si="14"/>
        <v>2119.5</v>
      </c>
    </row>
    <row r="23" spans="2:32" ht="23.1" customHeight="1" x14ac:dyDescent="0.25">
      <c r="B23" s="23" t="s">
        <v>50</v>
      </c>
      <c r="C23" s="49">
        <f>'Avg Week Kyebando-Mulago'!C23+'Avg Week Mulago-Kyebando'!C23</f>
        <v>116.57142857142857</v>
      </c>
      <c r="D23" s="49">
        <f>'Avg Week Kyebando-Mulago'!D23+'Avg Week Mulago-Kyebando'!D23</f>
        <v>20.571428571428573</v>
      </c>
      <c r="E23" s="49">
        <f>'Avg Week Kyebando-Mulago'!E23+'Avg Week Mulago-Kyebando'!E23</f>
        <v>18.428571428571431</v>
      </c>
      <c r="F23" s="49">
        <f>'Avg Week Kyebando-Mulago'!F23+'Avg Week Mulago-Kyebando'!F23</f>
        <v>26.857142857142854</v>
      </c>
      <c r="G23" s="49">
        <f>'Avg Week Kyebando-Mulago'!G23+'Avg Week Mulago-Kyebando'!G23</f>
        <v>0.71428571428571419</v>
      </c>
      <c r="H23" s="49">
        <f>'Avg Week Kyebando-Mulago'!H23+'Avg Week Mulago-Kyebando'!H23</f>
        <v>0.2857142857142857</v>
      </c>
      <c r="I23" s="49">
        <f>'Avg Week Kyebando-Mulago'!I23+'Avg Week Mulago-Kyebando'!I23</f>
        <v>8.4285714285714288</v>
      </c>
      <c r="J23" s="49">
        <f>'Avg Week Kyebando-Mulago'!J23+'Avg Week Mulago-Kyebando'!J23</f>
        <v>0.71428571428571419</v>
      </c>
      <c r="K23" s="49">
        <f>'Avg Week Kyebando-Mulago'!K23+'Avg Week Mulago-Kyebando'!K23</f>
        <v>0.14285714285714285</v>
      </c>
      <c r="L23" s="49">
        <f>'Avg Week Kyebando-Mulago'!L23+'Avg Week Mulago-Kyebando'!L23</f>
        <v>0</v>
      </c>
      <c r="M23" s="49">
        <f>'Avg Week Kyebando-Mulago'!M23+'Avg Week Mulago-Kyebando'!M23</f>
        <v>240.42857142857144</v>
      </c>
      <c r="N23" s="49">
        <f>'Avg Week Kyebando-Mulago'!N23+'Avg Week Mulago-Kyebando'!N23</f>
        <v>0</v>
      </c>
      <c r="O23" s="15">
        <f t="shared" si="0"/>
        <v>192.71428571428569</v>
      </c>
      <c r="P23" s="15">
        <f t="shared" si="1"/>
        <v>433.14285714285711</v>
      </c>
      <c r="R23" s="1" t="s">
        <v>147</v>
      </c>
      <c r="S23" s="34">
        <f>SUM(C62:C65)</f>
        <v>688</v>
      </c>
      <c r="T23" s="34">
        <f t="shared" ref="T23:AF23" si="15">SUM(D62:D65)</f>
        <v>55.5</v>
      </c>
      <c r="U23" s="34">
        <f t="shared" si="15"/>
        <v>71</v>
      </c>
      <c r="V23" s="34">
        <f t="shared" si="15"/>
        <v>236.5</v>
      </c>
      <c r="W23" s="34">
        <f t="shared" si="15"/>
        <v>5.5</v>
      </c>
      <c r="X23" s="34">
        <f t="shared" si="15"/>
        <v>3.5</v>
      </c>
      <c r="Y23" s="34">
        <f t="shared" si="15"/>
        <v>34</v>
      </c>
      <c r="Z23" s="34">
        <f t="shared" si="15"/>
        <v>2.5</v>
      </c>
      <c r="AA23" s="34">
        <f t="shared" si="15"/>
        <v>0</v>
      </c>
      <c r="AB23" s="34">
        <f t="shared" si="15"/>
        <v>0</v>
      </c>
      <c r="AC23" s="34">
        <f t="shared" si="15"/>
        <v>1041.5</v>
      </c>
      <c r="AD23" s="34">
        <f t="shared" si="15"/>
        <v>0</v>
      </c>
      <c r="AE23" s="31">
        <f t="shared" si="15"/>
        <v>1096.5</v>
      </c>
      <c r="AF23" s="31">
        <f t="shared" si="15"/>
        <v>2138</v>
      </c>
    </row>
    <row r="24" spans="2:32" ht="23.1" customHeight="1" x14ac:dyDescent="0.25">
      <c r="B24" s="23" t="s">
        <v>51</v>
      </c>
      <c r="C24" s="49">
        <f>'Avg Week Kyebando-Mulago'!C24+'Avg Week Mulago-Kyebando'!C24</f>
        <v>113.57142857142857</v>
      </c>
      <c r="D24" s="49">
        <f>'Avg Week Kyebando-Mulago'!D24+'Avg Week Mulago-Kyebando'!D24</f>
        <v>22.285714285714285</v>
      </c>
      <c r="E24" s="49">
        <f>'Avg Week Kyebando-Mulago'!E24+'Avg Week Mulago-Kyebando'!E24</f>
        <v>16.857142857142858</v>
      </c>
      <c r="F24" s="49">
        <f>'Avg Week Kyebando-Mulago'!F24+'Avg Week Mulago-Kyebando'!F24</f>
        <v>31.714285714285715</v>
      </c>
      <c r="G24" s="49">
        <f>'Avg Week Kyebando-Mulago'!G24+'Avg Week Mulago-Kyebando'!G24</f>
        <v>0.5714285714285714</v>
      </c>
      <c r="H24" s="49">
        <f>'Avg Week Kyebando-Mulago'!H24+'Avg Week Mulago-Kyebando'!H24</f>
        <v>0</v>
      </c>
      <c r="I24" s="49">
        <f>'Avg Week Kyebando-Mulago'!I24+'Avg Week Mulago-Kyebando'!I24</f>
        <v>11.285714285714286</v>
      </c>
      <c r="J24" s="49">
        <f>'Avg Week Kyebando-Mulago'!J24+'Avg Week Mulago-Kyebando'!J24</f>
        <v>2</v>
      </c>
      <c r="K24" s="49">
        <f>'Avg Week Kyebando-Mulago'!K24+'Avg Week Mulago-Kyebando'!K24</f>
        <v>0.14285714285714285</v>
      </c>
      <c r="L24" s="49">
        <f>'Avg Week Kyebando-Mulago'!L24+'Avg Week Mulago-Kyebando'!L24</f>
        <v>0</v>
      </c>
      <c r="M24" s="49">
        <f>'Avg Week Kyebando-Mulago'!M24+'Avg Week Mulago-Kyebando'!M24</f>
        <v>256.14285714285711</v>
      </c>
      <c r="N24" s="49">
        <f>'Avg Week Kyebando-Mulago'!N24+'Avg Week Mulago-Kyebando'!N24</f>
        <v>0</v>
      </c>
      <c r="O24" s="15">
        <f t="shared" si="0"/>
        <v>198.42857142857144</v>
      </c>
      <c r="P24" s="15">
        <f t="shared" si="1"/>
        <v>454.57142857142856</v>
      </c>
      <c r="R24" s="1" t="s">
        <v>148</v>
      </c>
      <c r="S24" s="34">
        <f>SUM(C66:C69)</f>
        <v>563.5</v>
      </c>
      <c r="T24" s="34">
        <f t="shared" ref="T24:AF24" si="16">SUM(D66:D69)</f>
        <v>54</v>
      </c>
      <c r="U24" s="34">
        <f t="shared" si="16"/>
        <v>62</v>
      </c>
      <c r="V24" s="34">
        <f t="shared" si="16"/>
        <v>154</v>
      </c>
      <c r="W24" s="34">
        <f t="shared" si="16"/>
        <v>4</v>
      </c>
      <c r="X24" s="34">
        <f t="shared" si="16"/>
        <v>1.5</v>
      </c>
      <c r="Y24" s="34">
        <f t="shared" si="16"/>
        <v>19.5</v>
      </c>
      <c r="Z24" s="34">
        <f t="shared" si="16"/>
        <v>2.5</v>
      </c>
      <c r="AA24" s="34">
        <f t="shared" si="16"/>
        <v>0.5</v>
      </c>
      <c r="AB24" s="34">
        <f t="shared" si="16"/>
        <v>0</v>
      </c>
      <c r="AC24" s="34">
        <f t="shared" si="16"/>
        <v>824.5</v>
      </c>
      <c r="AD24" s="34">
        <f t="shared" si="16"/>
        <v>0</v>
      </c>
      <c r="AE24" s="31">
        <f t="shared" si="16"/>
        <v>861.5</v>
      </c>
      <c r="AF24" s="31">
        <f t="shared" si="16"/>
        <v>1686</v>
      </c>
    </row>
    <row r="25" spans="2:32" ht="23.1" customHeight="1" x14ac:dyDescent="0.25">
      <c r="B25" s="23" t="s">
        <v>52</v>
      </c>
      <c r="C25" s="49">
        <f>'Avg Week Kyebando-Mulago'!C25+'Avg Week Mulago-Kyebando'!C25</f>
        <v>114.42857142857143</v>
      </c>
      <c r="D25" s="49">
        <f>'Avg Week Kyebando-Mulago'!D25+'Avg Week Mulago-Kyebando'!D25</f>
        <v>19</v>
      </c>
      <c r="E25" s="49">
        <f>'Avg Week Kyebando-Mulago'!E25+'Avg Week Mulago-Kyebando'!E25</f>
        <v>16.428571428571431</v>
      </c>
      <c r="F25" s="49">
        <f>'Avg Week Kyebando-Mulago'!F25+'Avg Week Mulago-Kyebando'!F25</f>
        <v>28.285714285714285</v>
      </c>
      <c r="G25" s="49">
        <f>'Avg Week Kyebando-Mulago'!G25+'Avg Week Mulago-Kyebando'!G25</f>
        <v>0.71428571428571419</v>
      </c>
      <c r="H25" s="49">
        <f>'Avg Week Kyebando-Mulago'!H25+'Avg Week Mulago-Kyebando'!H25</f>
        <v>0</v>
      </c>
      <c r="I25" s="49">
        <f>'Avg Week Kyebando-Mulago'!I25+'Avg Week Mulago-Kyebando'!I25</f>
        <v>8</v>
      </c>
      <c r="J25" s="49">
        <f>'Avg Week Kyebando-Mulago'!J25+'Avg Week Mulago-Kyebando'!J25</f>
        <v>0.5714285714285714</v>
      </c>
      <c r="K25" s="49">
        <f>'Avg Week Kyebando-Mulago'!K25+'Avg Week Mulago-Kyebando'!K25</f>
        <v>0</v>
      </c>
      <c r="L25" s="49">
        <f>'Avg Week Kyebando-Mulago'!L25+'Avg Week Mulago-Kyebando'!L25</f>
        <v>0</v>
      </c>
      <c r="M25" s="49">
        <f>'Avg Week Kyebando-Mulago'!M25+'Avg Week Mulago-Kyebando'!M25</f>
        <v>204.71428571428572</v>
      </c>
      <c r="N25" s="49">
        <f>'Avg Week Kyebando-Mulago'!N25+'Avg Week Mulago-Kyebando'!N25</f>
        <v>0</v>
      </c>
      <c r="O25" s="15">
        <f t="shared" si="0"/>
        <v>187.42857142857147</v>
      </c>
      <c r="P25" s="15">
        <f t="shared" si="1"/>
        <v>392.14285714285722</v>
      </c>
      <c r="R25" s="1" t="s">
        <v>149</v>
      </c>
      <c r="S25" s="34">
        <f>SUM(C70:C73)</f>
        <v>364.5</v>
      </c>
      <c r="T25" s="34">
        <f t="shared" ref="T25:AF25" si="17">SUM(D70:D73)</f>
        <v>32</v>
      </c>
      <c r="U25" s="34">
        <f t="shared" si="17"/>
        <v>33.5</v>
      </c>
      <c r="V25" s="34">
        <f t="shared" si="17"/>
        <v>54</v>
      </c>
      <c r="W25" s="34">
        <f t="shared" si="17"/>
        <v>0.5</v>
      </c>
      <c r="X25" s="34">
        <f t="shared" si="17"/>
        <v>0</v>
      </c>
      <c r="Y25" s="34">
        <f t="shared" si="17"/>
        <v>7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599.5</v>
      </c>
      <c r="AD25" s="34">
        <f t="shared" si="17"/>
        <v>0</v>
      </c>
      <c r="AE25" s="31">
        <f t="shared" si="17"/>
        <v>491.5</v>
      </c>
      <c r="AF25" s="31">
        <f t="shared" si="17"/>
        <v>1091</v>
      </c>
    </row>
    <row r="26" spans="2:32" ht="23.1" customHeight="1" x14ac:dyDescent="0.25">
      <c r="B26" s="23" t="s">
        <v>53</v>
      </c>
      <c r="C26" s="49">
        <f>'Avg Week Kyebando-Mulago'!C26+'Avg Week Mulago-Kyebando'!C26</f>
        <v>111.28571428571429</v>
      </c>
      <c r="D26" s="49">
        <f>'Avg Week Kyebando-Mulago'!D26+'Avg Week Mulago-Kyebando'!D26</f>
        <v>26.714285714285715</v>
      </c>
      <c r="E26" s="49">
        <f>'Avg Week Kyebando-Mulago'!E26+'Avg Week Mulago-Kyebando'!E26</f>
        <v>16.857142857142858</v>
      </c>
      <c r="F26" s="49">
        <f>'Avg Week Kyebando-Mulago'!F26+'Avg Week Mulago-Kyebando'!F26</f>
        <v>26.857142857142854</v>
      </c>
      <c r="G26" s="49">
        <f>'Avg Week Kyebando-Mulago'!G26+'Avg Week Mulago-Kyebando'!G26</f>
        <v>0.2857142857142857</v>
      </c>
      <c r="H26" s="49">
        <f>'Avg Week Kyebando-Mulago'!H26+'Avg Week Mulago-Kyebando'!H26</f>
        <v>0.14285714285714285</v>
      </c>
      <c r="I26" s="49">
        <f>'Avg Week Kyebando-Mulago'!I26+'Avg Week Mulago-Kyebando'!I26</f>
        <v>11.142857142857142</v>
      </c>
      <c r="J26" s="49">
        <f>'Avg Week Kyebando-Mulago'!J26+'Avg Week Mulago-Kyebando'!J26</f>
        <v>1.5714285714285714</v>
      </c>
      <c r="K26" s="49">
        <f>'Avg Week Kyebando-Mulago'!K26+'Avg Week Mulago-Kyebando'!K26</f>
        <v>0.14285714285714285</v>
      </c>
      <c r="L26" s="49">
        <f>'Avg Week Kyebando-Mulago'!L26+'Avg Week Mulago-Kyebando'!L26</f>
        <v>0</v>
      </c>
      <c r="M26" s="49">
        <f>'Avg Week Kyebando-Mulago'!M26+'Avg Week Mulago-Kyebando'!M26</f>
        <v>232.85714285714286</v>
      </c>
      <c r="N26" s="49">
        <f>'Avg Week Kyebando-Mulago'!N26+'Avg Week Mulago-Kyebando'!N26</f>
        <v>0</v>
      </c>
      <c r="O26" s="15">
        <f t="shared" si="0"/>
        <v>195</v>
      </c>
      <c r="P26" s="15">
        <f t="shared" si="1"/>
        <v>427.85714285714289</v>
      </c>
      <c r="R26" s="1" t="s">
        <v>150</v>
      </c>
      <c r="S26" s="34">
        <f>SUM(C74:C77)</f>
        <v>223</v>
      </c>
      <c r="T26" s="34">
        <f t="shared" ref="T26:AF26" si="18">SUM(D74:D77)</f>
        <v>17</v>
      </c>
      <c r="U26" s="34">
        <f t="shared" si="18"/>
        <v>19.5</v>
      </c>
      <c r="V26" s="34">
        <f t="shared" si="18"/>
        <v>17.5</v>
      </c>
      <c r="W26" s="34">
        <f t="shared" si="18"/>
        <v>0</v>
      </c>
      <c r="X26" s="34">
        <f t="shared" si="18"/>
        <v>0</v>
      </c>
      <c r="Y26" s="34">
        <f t="shared" si="18"/>
        <v>5.5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383</v>
      </c>
      <c r="AD26" s="34">
        <f t="shared" si="18"/>
        <v>0</v>
      </c>
      <c r="AE26" s="31">
        <f t="shared" si="18"/>
        <v>283.5</v>
      </c>
      <c r="AF26" s="31">
        <f t="shared" si="18"/>
        <v>666.5</v>
      </c>
    </row>
    <row r="27" spans="2:32" ht="23.1" customHeight="1" x14ac:dyDescent="0.25">
      <c r="B27" s="23" t="s">
        <v>54</v>
      </c>
      <c r="C27" s="49">
        <f>'Avg Week Kyebando-Mulago'!C27+'Avg Week Mulago-Kyebando'!C27</f>
        <v>99.714285714285722</v>
      </c>
      <c r="D27" s="49">
        <f>'Avg Week Kyebando-Mulago'!D27+'Avg Week Mulago-Kyebando'!D27</f>
        <v>21</v>
      </c>
      <c r="E27" s="49">
        <f>'Avg Week Kyebando-Mulago'!E27+'Avg Week Mulago-Kyebando'!E27</f>
        <v>15.428571428571429</v>
      </c>
      <c r="F27" s="49">
        <f>'Avg Week Kyebando-Mulago'!F27+'Avg Week Mulago-Kyebando'!F27</f>
        <v>26</v>
      </c>
      <c r="G27" s="49">
        <f>'Avg Week Kyebando-Mulago'!G27+'Avg Week Mulago-Kyebando'!G27</f>
        <v>0.5714285714285714</v>
      </c>
      <c r="H27" s="49">
        <f>'Avg Week Kyebando-Mulago'!H27+'Avg Week Mulago-Kyebando'!H27</f>
        <v>0.14285714285714285</v>
      </c>
      <c r="I27" s="49">
        <f>'Avg Week Kyebando-Mulago'!I27+'Avg Week Mulago-Kyebando'!I27</f>
        <v>9</v>
      </c>
      <c r="J27" s="49">
        <f>'Avg Week Kyebando-Mulago'!J27+'Avg Week Mulago-Kyebando'!J27</f>
        <v>2</v>
      </c>
      <c r="K27" s="49">
        <f>'Avg Week Kyebando-Mulago'!K27+'Avg Week Mulago-Kyebando'!K27</f>
        <v>0</v>
      </c>
      <c r="L27" s="49">
        <f>'Avg Week Kyebando-Mulago'!L27+'Avg Week Mulago-Kyebando'!L27</f>
        <v>0</v>
      </c>
      <c r="M27" s="49">
        <f>'Avg Week Kyebando-Mulago'!M27+'Avg Week Mulago-Kyebando'!M27</f>
        <v>202.4047619047619</v>
      </c>
      <c r="N27" s="49">
        <f>'Avg Week Kyebando-Mulago'!N27+'Avg Week Mulago-Kyebando'!N27</f>
        <v>0</v>
      </c>
      <c r="O27" s="15">
        <f t="shared" si="0"/>
        <v>173.85714285714286</v>
      </c>
      <c r="P27" s="15">
        <f t="shared" si="1"/>
        <v>376.26190476190476</v>
      </c>
      <c r="R27" s="1" t="s">
        <v>151</v>
      </c>
      <c r="S27" s="34">
        <f>SUM(C78:C81)</f>
        <v>134.5</v>
      </c>
      <c r="T27" s="34">
        <f t="shared" ref="T27:AF27" si="19">SUM(D78:D81)</f>
        <v>8</v>
      </c>
      <c r="U27" s="34">
        <f t="shared" si="19"/>
        <v>7</v>
      </c>
      <c r="V27" s="34">
        <f t="shared" si="19"/>
        <v>7.5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0.5</v>
      </c>
      <c r="AB27" s="34">
        <f t="shared" si="19"/>
        <v>0</v>
      </c>
      <c r="AC27" s="34">
        <f t="shared" si="19"/>
        <v>198</v>
      </c>
      <c r="AD27" s="34">
        <f t="shared" si="19"/>
        <v>0</v>
      </c>
      <c r="AE27" s="31">
        <f t="shared" si="19"/>
        <v>159.5</v>
      </c>
      <c r="AF27" s="31">
        <f t="shared" si="19"/>
        <v>357.5</v>
      </c>
    </row>
    <row r="28" spans="2:32" ht="23.1" customHeight="1" x14ac:dyDescent="0.25">
      <c r="B28" s="23" t="s">
        <v>55</v>
      </c>
      <c r="C28" s="49">
        <f>'Avg Week Kyebando-Mulago'!C28+'Avg Week Mulago-Kyebando'!C28</f>
        <v>93.571428571428584</v>
      </c>
      <c r="D28" s="49">
        <f>'Avg Week Kyebando-Mulago'!D28+'Avg Week Mulago-Kyebando'!D28</f>
        <v>19.428571428571431</v>
      </c>
      <c r="E28" s="49">
        <f>'Avg Week Kyebando-Mulago'!E28+'Avg Week Mulago-Kyebando'!E28</f>
        <v>15.714285714285715</v>
      </c>
      <c r="F28" s="49">
        <f>'Avg Week Kyebando-Mulago'!F28+'Avg Week Mulago-Kyebando'!F28</f>
        <v>25.142857142857142</v>
      </c>
      <c r="G28" s="49">
        <f>'Avg Week Kyebando-Mulago'!G28+'Avg Week Mulago-Kyebando'!G28</f>
        <v>0.14285714285714285</v>
      </c>
      <c r="H28" s="49">
        <f>'Avg Week Kyebando-Mulago'!H28+'Avg Week Mulago-Kyebando'!H28</f>
        <v>0</v>
      </c>
      <c r="I28" s="49">
        <f>'Avg Week Kyebando-Mulago'!I28+'Avg Week Mulago-Kyebando'!I28</f>
        <v>8</v>
      </c>
      <c r="J28" s="49">
        <f>'Avg Week Kyebando-Mulago'!J28+'Avg Week Mulago-Kyebando'!J28</f>
        <v>1.4285714285714286</v>
      </c>
      <c r="K28" s="49">
        <f>'Avg Week Kyebando-Mulago'!K28+'Avg Week Mulago-Kyebando'!K28</f>
        <v>0</v>
      </c>
      <c r="L28" s="49">
        <f>'Avg Week Kyebando-Mulago'!L28+'Avg Week Mulago-Kyebando'!L28</f>
        <v>0</v>
      </c>
      <c r="M28" s="49">
        <f>'Avg Week Kyebando-Mulago'!M28+'Avg Week Mulago-Kyebando'!M28</f>
        <v>203.42857142857144</v>
      </c>
      <c r="N28" s="49">
        <f>'Avg Week Kyebando-Mulago'!N28+'Avg Week Mulago-Kyebando'!N28</f>
        <v>0</v>
      </c>
      <c r="O28" s="15">
        <f t="shared" si="0"/>
        <v>163.42857142857142</v>
      </c>
      <c r="P28" s="15">
        <f t="shared" si="1"/>
        <v>366.85714285714289</v>
      </c>
      <c r="R28" s="1" t="s">
        <v>152</v>
      </c>
      <c r="S28" s="34">
        <f>SUM(C82:C85)</f>
        <v>103</v>
      </c>
      <c r="T28" s="34">
        <f t="shared" ref="T28:AF28" si="20">SUM(D82:D85)</f>
        <v>3.5</v>
      </c>
      <c r="U28" s="34">
        <f t="shared" si="20"/>
        <v>7</v>
      </c>
      <c r="V28" s="34">
        <f t="shared" si="20"/>
        <v>1.5</v>
      </c>
      <c r="W28" s="34">
        <f t="shared" si="20"/>
        <v>0</v>
      </c>
      <c r="X28" s="34">
        <f t="shared" si="20"/>
        <v>0.5</v>
      </c>
      <c r="Y28" s="34">
        <f t="shared" si="20"/>
        <v>6.5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122.5</v>
      </c>
      <c r="AD28" s="34">
        <f t="shared" si="20"/>
        <v>0</v>
      </c>
      <c r="AE28" s="31">
        <f t="shared" si="20"/>
        <v>122</v>
      </c>
      <c r="AF28" s="31">
        <f t="shared" si="20"/>
        <v>244.5</v>
      </c>
    </row>
    <row r="29" spans="2:32" ht="23.1" customHeight="1" x14ac:dyDescent="0.25">
      <c r="B29" s="23" t="s">
        <v>56</v>
      </c>
      <c r="C29" s="49">
        <f>'Avg Week Kyebando-Mulago'!C29+'Avg Week Mulago-Kyebando'!C29</f>
        <v>100</v>
      </c>
      <c r="D29" s="49">
        <f>'Avg Week Kyebando-Mulago'!D29+'Avg Week Mulago-Kyebando'!D29</f>
        <v>17.714285714285715</v>
      </c>
      <c r="E29" s="49">
        <f>'Avg Week Kyebando-Mulago'!E29+'Avg Week Mulago-Kyebando'!E29</f>
        <v>15.571428571428569</v>
      </c>
      <c r="F29" s="49">
        <f>'Avg Week Kyebando-Mulago'!F29+'Avg Week Mulago-Kyebando'!F29</f>
        <v>20.857142857142858</v>
      </c>
      <c r="G29" s="49">
        <f>'Avg Week Kyebando-Mulago'!G29+'Avg Week Mulago-Kyebando'!G29</f>
        <v>0</v>
      </c>
      <c r="H29" s="49">
        <f>'Avg Week Kyebando-Mulago'!H29+'Avg Week Mulago-Kyebando'!H29</f>
        <v>0</v>
      </c>
      <c r="I29" s="49">
        <f>'Avg Week Kyebando-Mulago'!I29+'Avg Week Mulago-Kyebando'!I29</f>
        <v>6.7142857142857144</v>
      </c>
      <c r="J29" s="49">
        <f>'Avg Week Kyebando-Mulago'!J29+'Avg Week Mulago-Kyebando'!J29</f>
        <v>1.7142857142857144</v>
      </c>
      <c r="K29" s="49">
        <f>'Avg Week Kyebando-Mulago'!K29+'Avg Week Mulago-Kyebando'!K29</f>
        <v>0</v>
      </c>
      <c r="L29" s="49">
        <f>'Avg Week Kyebando-Mulago'!L29+'Avg Week Mulago-Kyebando'!L29</f>
        <v>0</v>
      </c>
      <c r="M29" s="49">
        <f>'Avg Week Kyebando-Mulago'!M29+'Avg Week Mulago-Kyebando'!M29</f>
        <v>198.57142857142856</v>
      </c>
      <c r="N29" s="49">
        <f>'Avg Week Kyebando-Mulago'!N29+'Avg Week Mulago-Kyebando'!N29</f>
        <v>0</v>
      </c>
      <c r="O29" s="15">
        <f t="shared" si="0"/>
        <v>162.57142857142858</v>
      </c>
      <c r="P29" s="15">
        <f t="shared" si="1"/>
        <v>361.14285714285711</v>
      </c>
      <c r="R29" s="1" t="s">
        <v>153</v>
      </c>
      <c r="S29" s="34">
        <f>SUM(C86:C89)</f>
        <v>71.5</v>
      </c>
      <c r="T29" s="34">
        <f t="shared" ref="T29:AF29" si="21">SUM(D86:D89)</f>
        <v>3</v>
      </c>
      <c r="U29" s="34">
        <f t="shared" si="21"/>
        <v>8</v>
      </c>
      <c r="V29" s="34">
        <f t="shared" si="21"/>
        <v>1.5</v>
      </c>
      <c r="W29" s="34">
        <f t="shared" si="21"/>
        <v>0</v>
      </c>
      <c r="X29" s="34">
        <f t="shared" si="21"/>
        <v>0</v>
      </c>
      <c r="Y29" s="34">
        <f t="shared" si="21"/>
        <v>0.5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101</v>
      </c>
      <c r="AD29" s="34">
        <f t="shared" si="21"/>
        <v>0</v>
      </c>
      <c r="AE29" s="31">
        <f t="shared" si="21"/>
        <v>84.5</v>
      </c>
      <c r="AF29" s="31">
        <f t="shared" si="21"/>
        <v>185.5</v>
      </c>
    </row>
    <row r="30" spans="2:32" ht="23.1" customHeight="1" x14ac:dyDescent="0.25">
      <c r="B30" s="23" t="s">
        <v>57</v>
      </c>
      <c r="C30" s="49">
        <f>'Avg Week Kyebando-Mulago'!C30+'Avg Week Mulago-Kyebando'!C30</f>
        <v>94.714285714285722</v>
      </c>
      <c r="D30" s="49">
        <f>'Avg Week Kyebando-Mulago'!D30+'Avg Week Mulago-Kyebando'!D30</f>
        <v>20.142857142857142</v>
      </c>
      <c r="E30" s="49">
        <f>'Avg Week Kyebando-Mulago'!E30+'Avg Week Mulago-Kyebando'!E30</f>
        <v>14.571428571428571</v>
      </c>
      <c r="F30" s="49">
        <f>'Avg Week Kyebando-Mulago'!F30+'Avg Week Mulago-Kyebando'!F30</f>
        <v>27.285714285714285</v>
      </c>
      <c r="G30" s="49">
        <f>'Avg Week Kyebando-Mulago'!G30+'Avg Week Mulago-Kyebando'!G30</f>
        <v>0.5714285714285714</v>
      </c>
      <c r="H30" s="49">
        <f>'Avg Week Kyebando-Mulago'!H30+'Avg Week Mulago-Kyebando'!H30</f>
        <v>0</v>
      </c>
      <c r="I30" s="49">
        <f>'Avg Week Kyebando-Mulago'!I30+'Avg Week Mulago-Kyebando'!I30</f>
        <v>11</v>
      </c>
      <c r="J30" s="49">
        <f>'Avg Week Kyebando-Mulago'!J30+'Avg Week Mulago-Kyebando'!J30</f>
        <v>2.1428571428571428</v>
      </c>
      <c r="K30" s="49">
        <f>'Avg Week Kyebando-Mulago'!K30+'Avg Week Mulago-Kyebando'!K30</f>
        <v>0</v>
      </c>
      <c r="L30" s="49">
        <f>'Avg Week Kyebando-Mulago'!L30+'Avg Week Mulago-Kyebando'!L30</f>
        <v>0</v>
      </c>
      <c r="M30" s="49">
        <f>'Avg Week Kyebando-Mulago'!M30+'Avg Week Mulago-Kyebando'!M30</f>
        <v>187</v>
      </c>
      <c r="N30" s="49">
        <f>'Avg Week Kyebando-Mulago'!N30+'Avg Week Mulago-Kyebando'!N30</f>
        <v>0</v>
      </c>
      <c r="O30" s="15">
        <f t="shared" si="0"/>
        <v>170.42857142857144</v>
      </c>
      <c r="P30" s="15">
        <f t="shared" si="1"/>
        <v>357.42857142857144</v>
      </c>
      <c r="R30" s="1" t="s">
        <v>154</v>
      </c>
      <c r="S30" s="34">
        <f>SUM(C90:C93)</f>
        <v>36</v>
      </c>
      <c r="T30" s="34">
        <f t="shared" ref="T30:AF30" si="22">SUM(D90:D93)</f>
        <v>3</v>
      </c>
      <c r="U30" s="34">
        <f t="shared" si="22"/>
        <v>2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 t="shared" si="22"/>
        <v>0.5</v>
      </c>
      <c r="AA30" s="34">
        <f t="shared" si="22"/>
        <v>0.5</v>
      </c>
      <c r="AB30" s="34">
        <f t="shared" si="22"/>
        <v>0</v>
      </c>
      <c r="AC30" s="34">
        <f t="shared" si="22"/>
        <v>66.5</v>
      </c>
      <c r="AD30" s="34">
        <f t="shared" si="22"/>
        <v>0</v>
      </c>
      <c r="AE30" s="31">
        <f t="shared" si="22"/>
        <v>42.5</v>
      </c>
      <c r="AF30" s="31">
        <f t="shared" si="22"/>
        <v>109</v>
      </c>
    </row>
    <row r="31" spans="2:32" ht="23.1" customHeight="1" x14ac:dyDescent="0.25">
      <c r="B31" s="24" t="s">
        <v>58</v>
      </c>
      <c r="C31" s="49">
        <f>'Avg Week Kyebando-Mulago'!C31+'Avg Week Mulago-Kyebando'!C31</f>
        <v>93</v>
      </c>
      <c r="D31" s="49">
        <f>'Avg Week Kyebando-Mulago'!D31+'Avg Week Mulago-Kyebando'!D31</f>
        <v>16.428571428571431</v>
      </c>
      <c r="E31" s="49">
        <f>'Avg Week Kyebando-Mulago'!E31+'Avg Week Mulago-Kyebando'!E31</f>
        <v>15.428571428571431</v>
      </c>
      <c r="F31" s="49">
        <f>'Avg Week Kyebando-Mulago'!F31+'Avg Week Mulago-Kyebando'!F31</f>
        <v>23</v>
      </c>
      <c r="G31" s="49">
        <f>'Avg Week Kyebando-Mulago'!G31+'Avg Week Mulago-Kyebando'!G31</f>
        <v>0.2857142857142857</v>
      </c>
      <c r="H31" s="49">
        <f>'Avg Week Kyebando-Mulago'!H31+'Avg Week Mulago-Kyebando'!H31</f>
        <v>0</v>
      </c>
      <c r="I31" s="49">
        <f>'Avg Week Kyebando-Mulago'!I31+'Avg Week Mulago-Kyebando'!I31</f>
        <v>8</v>
      </c>
      <c r="J31" s="49">
        <f>'Avg Week Kyebando-Mulago'!J31+'Avg Week Mulago-Kyebando'!J31</f>
        <v>1.2857142857142856</v>
      </c>
      <c r="K31" s="49">
        <f>'Avg Week Kyebando-Mulago'!K31+'Avg Week Mulago-Kyebando'!K31</f>
        <v>0.2857142857142857</v>
      </c>
      <c r="L31" s="49">
        <f>'Avg Week Kyebando-Mulago'!L31+'Avg Week Mulago-Kyebando'!L31</f>
        <v>0</v>
      </c>
      <c r="M31" s="49">
        <f>'Avg Week Kyebando-Mulago'!M31+'Avg Week Mulago-Kyebando'!M31</f>
        <v>163</v>
      </c>
      <c r="N31" s="49">
        <f>'Avg Week Kyebando-Mulago'!N31+'Avg Week Mulago-Kyebando'!N31</f>
        <v>0</v>
      </c>
      <c r="O31" s="15">
        <f t="shared" si="0"/>
        <v>157.71428571428569</v>
      </c>
      <c r="P31" s="15">
        <f t="shared" si="1"/>
        <v>320.71428571428567</v>
      </c>
      <c r="R31" s="1" t="s">
        <v>155</v>
      </c>
      <c r="S31" s="34">
        <f>SUM(C94:C97)</f>
        <v>34.5</v>
      </c>
      <c r="T31" s="34">
        <f t="shared" ref="T31:AF31" si="23">SUM(D94:D97)</f>
        <v>2.5</v>
      </c>
      <c r="U31" s="34">
        <f t="shared" si="23"/>
        <v>1.5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1.5</v>
      </c>
      <c r="Z31" s="34">
        <f t="shared" si="23"/>
        <v>0.5</v>
      </c>
      <c r="AA31" s="34">
        <f t="shared" si="23"/>
        <v>0.5</v>
      </c>
      <c r="AB31" s="34">
        <f t="shared" si="23"/>
        <v>0</v>
      </c>
      <c r="AC31" s="34">
        <f t="shared" si="23"/>
        <v>56.5</v>
      </c>
      <c r="AD31" s="34">
        <f t="shared" si="23"/>
        <v>0</v>
      </c>
      <c r="AE31" s="31">
        <f t="shared" si="23"/>
        <v>41.5</v>
      </c>
      <c r="AF31" s="31">
        <f t="shared" si="23"/>
        <v>98</v>
      </c>
    </row>
    <row r="32" spans="2:32" ht="23.1" customHeight="1" x14ac:dyDescent="0.25">
      <c r="B32" s="24" t="s">
        <v>59</v>
      </c>
      <c r="C32" s="49">
        <f>'Avg Week Kyebando-Mulago'!C32+'Avg Week Mulago-Kyebando'!C32</f>
        <v>92.714285714285722</v>
      </c>
      <c r="D32" s="49">
        <f>'Avg Week Kyebando-Mulago'!D32+'Avg Week Mulago-Kyebando'!D32</f>
        <v>16.857142857142858</v>
      </c>
      <c r="E32" s="49">
        <f>'Avg Week Kyebando-Mulago'!E32+'Avg Week Mulago-Kyebando'!E32</f>
        <v>13.428571428571429</v>
      </c>
      <c r="F32" s="49">
        <f>'Avg Week Kyebando-Mulago'!F32+'Avg Week Mulago-Kyebando'!F32</f>
        <v>21.142857142857142</v>
      </c>
      <c r="G32" s="49">
        <f>'Avg Week Kyebando-Mulago'!G32+'Avg Week Mulago-Kyebando'!G32</f>
        <v>0.2857142857142857</v>
      </c>
      <c r="H32" s="49">
        <f>'Avg Week Kyebando-Mulago'!H32+'Avg Week Mulago-Kyebando'!H32</f>
        <v>0</v>
      </c>
      <c r="I32" s="49">
        <f>'Avg Week Kyebando-Mulago'!I32+'Avg Week Mulago-Kyebando'!I32</f>
        <v>8.5714285714285712</v>
      </c>
      <c r="J32" s="49">
        <f>'Avg Week Kyebando-Mulago'!J32+'Avg Week Mulago-Kyebando'!J32</f>
        <v>2.7142857142857144</v>
      </c>
      <c r="K32" s="49">
        <f>'Avg Week Kyebando-Mulago'!K32+'Avg Week Mulago-Kyebando'!K32</f>
        <v>0</v>
      </c>
      <c r="L32" s="49">
        <f>'Avg Week Kyebando-Mulago'!L32+'Avg Week Mulago-Kyebando'!L32</f>
        <v>0</v>
      </c>
      <c r="M32" s="49">
        <f>'Avg Week Kyebando-Mulago'!M32+'Avg Week Mulago-Kyebando'!M32</f>
        <v>190.14285714285714</v>
      </c>
      <c r="N32" s="49">
        <f>'Avg Week Kyebando-Mulago'!N32+'Avg Week Mulago-Kyebando'!N32</f>
        <v>0</v>
      </c>
      <c r="O32" s="15">
        <f t="shared" si="0"/>
        <v>155.71428571428575</v>
      </c>
      <c r="P32" s="15">
        <f t="shared" si="1"/>
        <v>345.85714285714289</v>
      </c>
      <c r="R32" s="1" t="s">
        <v>156</v>
      </c>
      <c r="S32" s="34">
        <f>SUM(C98:C101)</f>
        <v>74.5</v>
      </c>
      <c r="T32" s="34">
        <f t="shared" ref="T32:AF32" si="24">SUM(D98:D101)</f>
        <v>1.5</v>
      </c>
      <c r="U32" s="34">
        <f t="shared" si="24"/>
        <v>7.5</v>
      </c>
      <c r="V32" s="34">
        <f t="shared" si="24"/>
        <v>18.5</v>
      </c>
      <c r="W32" s="34">
        <f t="shared" si="24"/>
        <v>0</v>
      </c>
      <c r="X32" s="34">
        <f t="shared" si="24"/>
        <v>0</v>
      </c>
      <c r="Y32" s="34">
        <f t="shared" si="24"/>
        <v>1.5</v>
      </c>
      <c r="Z32" s="34">
        <f t="shared" si="24"/>
        <v>1.5</v>
      </c>
      <c r="AA32" s="34">
        <f t="shared" si="24"/>
        <v>0</v>
      </c>
      <c r="AB32" s="34">
        <f t="shared" si="24"/>
        <v>0</v>
      </c>
      <c r="AC32" s="34">
        <f t="shared" si="24"/>
        <v>138</v>
      </c>
      <c r="AD32" s="34">
        <f t="shared" si="24"/>
        <v>0</v>
      </c>
      <c r="AE32" s="31">
        <f t="shared" si="24"/>
        <v>105</v>
      </c>
      <c r="AF32" s="31">
        <f t="shared" si="24"/>
        <v>243</v>
      </c>
    </row>
    <row r="33" spans="2:32" ht="23.1" customHeight="1" x14ac:dyDescent="0.25">
      <c r="B33" s="23" t="s">
        <v>60</v>
      </c>
      <c r="C33" s="49">
        <f>'Avg Week Kyebando-Mulago'!C33+'Avg Week Mulago-Kyebando'!C33</f>
        <v>99</v>
      </c>
      <c r="D33" s="49">
        <f>'Avg Week Kyebando-Mulago'!D33+'Avg Week Mulago-Kyebando'!D33</f>
        <v>15</v>
      </c>
      <c r="E33" s="49">
        <f>'Avg Week Kyebando-Mulago'!E33+'Avg Week Mulago-Kyebando'!E33</f>
        <v>13.142857142857142</v>
      </c>
      <c r="F33" s="49">
        <f>'Avg Week Kyebando-Mulago'!F33+'Avg Week Mulago-Kyebando'!F33</f>
        <v>20.571428571428569</v>
      </c>
      <c r="G33" s="49">
        <f>'Avg Week Kyebando-Mulago'!G33+'Avg Week Mulago-Kyebando'!G33</f>
        <v>0.7142857142857143</v>
      </c>
      <c r="H33" s="49">
        <f>'Avg Week Kyebando-Mulago'!H33+'Avg Week Mulago-Kyebando'!H33</f>
        <v>0.2857142857142857</v>
      </c>
      <c r="I33" s="49">
        <f>'Avg Week Kyebando-Mulago'!I33+'Avg Week Mulago-Kyebando'!I33</f>
        <v>8.2857142857142847</v>
      </c>
      <c r="J33" s="49">
        <f>'Avg Week Kyebando-Mulago'!J33+'Avg Week Mulago-Kyebando'!J33</f>
        <v>2.4285714285714288</v>
      </c>
      <c r="K33" s="49">
        <f>'Avg Week Kyebando-Mulago'!K33+'Avg Week Mulago-Kyebando'!K33</f>
        <v>0</v>
      </c>
      <c r="L33" s="49">
        <f>'Avg Week Kyebando-Mulago'!L33+'Avg Week Mulago-Kyebando'!L33</f>
        <v>0</v>
      </c>
      <c r="M33" s="49">
        <f>'Avg Week Kyebando-Mulago'!M33+'Avg Week Mulago-Kyebando'!M33</f>
        <v>186.85714285714286</v>
      </c>
      <c r="N33" s="49">
        <f>'Avg Week Kyebando-Mulago'!N33+'Avg Week Mulago-Kyebando'!N33</f>
        <v>0.14285714285714285</v>
      </c>
      <c r="O33" s="15">
        <f t="shared" si="0"/>
        <v>159.57142857142856</v>
      </c>
      <c r="P33" s="15">
        <f t="shared" si="1"/>
        <v>346.42857142857144</v>
      </c>
      <c r="R33" s="1" t="s">
        <v>157</v>
      </c>
      <c r="S33" s="34">
        <f>SUM(C102:C105)</f>
        <v>468</v>
      </c>
      <c r="T33" s="34">
        <f t="shared" ref="T33:AF33" si="25">SUM(D102:D105)</f>
        <v>23.5</v>
      </c>
      <c r="U33" s="34">
        <f t="shared" si="25"/>
        <v>30.5</v>
      </c>
      <c r="V33" s="34">
        <f t="shared" si="25"/>
        <v>84.5</v>
      </c>
      <c r="W33" s="34">
        <f t="shared" si="25"/>
        <v>1.5</v>
      </c>
      <c r="X33" s="34">
        <f t="shared" si="25"/>
        <v>0</v>
      </c>
      <c r="Y33" s="34">
        <f t="shared" si="25"/>
        <v>12</v>
      </c>
      <c r="Z33" s="34">
        <f t="shared" si="25"/>
        <v>1.5</v>
      </c>
      <c r="AA33" s="34">
        <f t="shared" si="25"/>
        <v>0</v>
      </c>
      <c r="AB33" s="34">
        <f t="shared" si="25"/>
        <v>0</v>
      </c>
      <c r="AC33" s="34">
        <f t="shared" si="25"/>
        <v>281.5</v>
      </c>
      <c r="AD33" s="34">
        <f t="shared" si="25"/>
        <v>0</v>
      </c>
      <c r="AE33" s="31">
        <f t="shared" si="25"/>
        <v>621.5</v>
      </c>
      <c r="AF33" s="31">
        <f t="shared" si="25"/>
        <v>903</v>
      </c>
    </row>
    <row r="34" spans="2:32" ht="23.1" customHeight="1" x14ac:dyDescent="0.25">
      <c r="B34" s="24" t="s">
        <v>61</v>
      </c>
      <c r="C34" s="49">
        <f>'Avg Week Kyebando-Mulago'!C34+'Avg Week Mulago-Kyebando'!C34</f>
        <v>108.14285714285714</v>
      </c>
      <c r="D34" s="49">
        <f>'Avg Week Kyebando-Mulago'!D34+'Avg Week Mulago-Kyebando'!D34</f>
        <v>17.714285714285715</v>
      </c>
      <c r="E34" s="49">
        <f>'Avg Week Kyebando-Mulago'!E34+'Avg Week Mulago-Kyebando'!E34</f>
        <v>16.142857142857142</v>
      </c>
      <c r="F34" s="49">
        <f>'Avg Week Kyebando-Mulago'!F34+'Avg Week Mulago-Kyebando'!F34</f>
        <v>26</v>
      </c>
      <c r="G34" s="49">
        <f>'Avg Week Kyebando-Mulago'!G34+'Avg Week Mulago-Kyebando'!G34</f>
        <v>1.4285714285714286</v>
      </c>
      <c r="H34" s="49">
        <f>'Avg Week Kyebando-Mulago'!H34+'Avg Week Mulago-Kyebando'!H34</f>
        <v>0</v>
      </c>
      <c r="I34" s="49">
        <f>'Avg Week Kyebando-Mulago'!I34+'Avg Week Mulago-Kyebando'!I34</f>
        <v>10.714285714285715</v>
      </c>
      <c r="J34" s="49">
        <f>'Avg Week Kyebando-Mulago'!J34+'Avg Week Mulago-Kyebando'!J34</f>
        <v>2.2857142857142856</v>
      </c>
      <c r="K34" s="49">
        <f>'Avg Week Kyebando-Mulago'!K34+'Avg Week Mulago-Kyebando'!K34</f>
        <v>0.14285714285714285</v>
      </c>
      <c r="L34" s="49">
        <f>'Avg Week Kyebando-Mulago'!L34+'Avg Week Mulago-Kyebando'!L34</f>
        <v>0</v>
      </c>
      <c r="M34" s="49">
        <f>'Avg Week Kyebando-Mulago'!M34+'Avg Week Mulago-Kyebando'!M34</f>
        <v>174.42857142857144</v>
      </c>
      <c r="N34" s="49">
        <f>'Avg Week Kyebando-Mulago'!N34+'Avg Week Mulago-Kyebando'!N34</f>
        <v>0</v>
      </c>
      <c r="O34" s="15">
        <f t="shared" si="0"/>
        <v>182.57142857142856</v>
      </c>
      <c r="P34" s="15">
        <f t="shared" si="1"/>
        <v>357</v>
      </c>
      <c r="R34" s="38" t="s">
        <v>90</v>
      </c>
      <c r="S34" s="39">
        <f t="shared" ref="S34:AF34" si="26">MAX(S10:S12)</f>
        <v>577.71428571428578</v>
      </c>
      <c r="T34" s="39">
        <f t="shared" si="26"/>
        <v>78.428571428571416</v>
      </c>
      <c r="U34" s="39">
        <f t="shared" si="26"/>
        <v>62.142857142857139</v>
      </c>
      <c r="V34" s="39">
        <f t="shared" si="26"/>
        <v>192.57142857142856</v>
      </c>
      <c r="W34" s="39">
        <f t="shared" si="26"/>
        <v>3.2857142857142856</v>
      </c>
      <c r="X34" s="39">
        <f t="shared" si="26"/>
        <v>0.5714285714285714</v>
      </c>
      <c r="Y34" s="39">
        <f t="shared" si="26"/>
        <v>29.142857142857146</v>
      </c>
      <c r="Z34" s="39">
        <f t="shared" si="26"/>
        <v>5.5714285714285712</v>
      </c>
      <c r="AA34" s="39">
        <f t="shared" si="26"/>
        <v>0.85714285714285698</v>
      </c>
      <c r="AB34" s="39">
        <f t="shared" si="26"/>
        <v>0</v>
      </c>
      <c r="AC34" s="39">
        <f t="shared" si="26"/>
        <v>1318.5714285714284</v>
      </c>
      <c r="AD34" s="39">
        <f t="shared" si="26"/>
        <v>0</v>
      </c>
      <c r="AE34" s="40">
        <f t="shared" si="26"/>
        <v>918.42857142857133</v>
      </c>
      <c r="AF34" s="40">
        <f t="shared" si="26"/>
        <v>2180.4285714285716</v>
      </c>
    </row>
    <row r="35" spans="2:32" ht="23.1" customHeight="1" x14ac:dyDescent="0.25">
      <c r="B35" s="24" t="s">
        <v>62</v>
      </c>
      <c r="C35" s="49">
        <f>'Avg Week Kyebando-Mulago'!C35+'Avg Week Mulago-Kyebando'!C35</f>
        <v>102.57142857142858</v>
      </c>
      <c r="D35" s="49">
        <f>'Avg Week Kyebando-Mulago'!D35+'Avg Week Mulago-Kyebando'!D35</f>
        <v>16.428571428571431</v>
      </c>
      <c r="E35" s="49">
        <f>'Avg Week Kyebando-Mulago'!E35+'Avg Week Mulago-Kyebando'!E35</f>
        <v>13.857142857142858</v>
      </c>
      <c r="F35" s="49">
        <f>'Avg Week Kyebando-Mulago'!F35+'Avg Week Mulago-Kyebando'!F35</f>
        <v>20.571428571428569</v>
      </c>
      <c r="G35" s="49">
        <f>'Avg Week Kyebando-Mulago'!G35+'Avg Week Mulago-Kyebando'!G35</f>
        <v>0.14285714285714285</v>
      </c>
      <c r="H35" s="49">
        <f>'Avg Week Kyebando-Mulago'!H35+'Avg Week Mulago-Kyebando'!H35</f>
        <v>0.14285714285714285</v>
      </c>
      <c r="I35" s="49">
        <f>'Avg Week Kyebando-Mulago'!I35+'Avg Week Mulago-Kyebando'!I35</f>
        <v>7.8571428571428568</v>
      </c>
      <c r="J35" s="49">
        <f>'Avg Week Kyebando-Mulago'!J35+'Avg Week Mulago-Kyebando'!J35</f>
        <v>0.8571428571428571</v>
      </c>
      <c r="K35" s="49">
        <f>'Avg Week Kyebando-Mulago'!K35+'Avg Week Mulago-Kyebando'!K35</f>
        <v>0</v>
      </c>
      <c r="L35" s="49">
        <f>'Avg Week Kyebando-Mulago'!L35+'Avg Week Mulago-Kyebando'!L35</f>
        <v>0</v>
      </c>
      <c r="M35" s="49">
        <f>'Avg Week Kyebando-Mulago'!M35+'Avg Week Mulago-Kyebando'!M35</f>
        <v>195.85714285714286</v>
      </c>
      <c r="N35" s="49">
        <f>'Avg Week Kyebando-Mulago'!N35+'Avg Week Mulago-Kyebando'!N35</f>
        <v>0</v>
      </c>
      <c r="O35" s="15">
        <f t="shared" si="0"/>
        <v>162.42857142857144</v>
      </c>
      <c r="P35" s="15">
        <f t="shared" si="1"/>
        <v>358.28571428571433</v>
      </c>
      <c r="R35" s="38" t="s">
        <v>91</v>
      </c>
      <c r="S35" s="39">
        <f t="shared" ref="S35:AF35" si="27">MAX(S13:S18)</f>
        <v>455</v>
      </c>
      <c r="T35" s="39">
        <f t="shared" si="27"/>
        <v>85.714285714285722</v>
      </c>
      <c r="U35" s="39">
        <f t="shared" si="27"/>
        <v>68.285714285714278</v>
      </c>
      <c r="V35" s="39">
        <f t="shared" si="27"/>
        <v>121</v>
      </c>
      <c r="W35" s="39">
        <f t="shared" si="27"/>
        <v>2.4285714285714284</v>
      </c>
      <c r="X35" s="39">
        <f t="shared" si="27"/>
        <v>0.42857142857142855</v>
      </c>
      <c r="Y35" s="39">
        <f t="shared" si="27"/>
        <v>36.857142857142854</v>
      </c>
      <c r="Z35" s="39">
        <f t="shared" si="27"/>
        <v>8.5714285714285712</v>
      </c>
      <c r="AA35" s="39">
        <f t="shared" si="27"/>
        <v>0.71428571428571419</v>
      </c>
      <c r="AB35" s="39">
        <f t="shared" si="27"/>
        <v>0</v>
      </c>
      <c r="AC35" s="39">
        <f t="shared" si="27"/>
        <v>962.42857142857156</v>
      </c>
      <c r="AD35" s="39">
        <f t="shared" si="27"/>
        <v>0.14285714285714285</v>
      </c>
      <c r="AE35" s="40">
        <f t="shared" si="27"/>
        <v>771.85714285714278</v>
      </c>
      <c r="AF35" s="40">
        <f t="shared" si="27"/>
        <v>1734.2857142857142</v>
      </c>
    </row>
    <row r="36" spans="2:32" ht="23.1" customHeight="1" x14ac:dyDescent="0.25">
      <c r="B36" s="24" t="s">
        <v>63</v>
      </c>
      <c r="C36" s="49">
        <f>'Avg Week Kyebando-Mulago'!C36+'Avg Week Mulago-Kyebando'!C36</f>
        <v>100.71428571428572</v>
      </c>
      <c r="D36" s="49">
        <f>'Avg Week Kyebando-Mulago'!D36+'Avg Week Mulago-Kyebando'!D36</f>
        <v>15.571428571428571</v>
      </c>
      <c r="E36" s="49">
        <f>'Avg Week Kyebando-Mulago'!E36+'Avg Week Mulago-Kyebando'!E36</f>
        <v>15.428571428571427</v>
      </c>
      <c r="F36" s="49">
        <f>'Avg Week Kyebando-Mulago'!F36+'Avg Week Mulago-Kyebando'!F36</f>
        <v>21</v>
      </c>
      <c r="G36" s="49">
        <f>'Avg Week Kyebando-Mulago'!G36+'Avg Week Mulago-Kyebando'!G36</f>
        <v>0.14285714285714285</v>
      </c>
      <c r="H36" s="49">
        <f>'Avg Week Kyebando-Mulago'!H36+'Avg Week Mulago-Kyebando'!H36</f>
        <v>0</v>
      </c>
      <c r="I36" s="49">
        <f>'Avg Week Kyebando-Mulago'!I36+'Avg Week Mulago-Kyebando'!I36</f>
        <v>11.142857142857142</v>
      </c>
      <c r="J36" s="49">
        <f>'Avg Week Kyebando-Mulago'!J36+'Avg Week Mulago-Kyebando'!J36</f>
        <v>1.8571428571428572</v>
      </c>
      <c r="K36" s="49">
        <f>'Avg Week Kyebando-Mulago'!K36+'Avg Week Mulago-Kyebando'!K36</f>
        <v>0.14285714285714285</v>
      </c>
      <c r="L36" s="49">
        <f>'Avg Week Kyebando-Mulago'!L36+'Avg Week Mulago-Kyebando'!L36</f>
        <v>0</v>
      </c>
      <c r="M36" s="49">
        <f>'Avg Week Kyebando-Mulago'!M36+'Avg Week Mulago-Kyebando'!M36</f>
        <v>190.57142857142856</v>
      </c>
      <c r="N36" s="49">
        <f>'Avg Week Kyebando-Mulago'!N36+'Avg Week Mulago-Kyebando'!N36</f>
        <v>0</v>
      </c>
      <c r="O36" s="15">
        <f t="shared" si="0"/>
        <v>166</v>
      </c>
      <c r="P36" s="15">
        <f t="shared" si="1"/>
        <v>356.57142857142856</v>
      </c>
      <c r="R36" s="38" t="s">
        <v>92</v>
      </c>
      <c r="S36" s="39">
        <f t="shared" ref="S36:AF36" si="28">MAX(S19:S21)</f>
        <v>672.57142857142867</v>
      </c>
      <c r="T36" s="39">
        <f t="shared" si="28"/>
        <v>101</v>
      </c>
      <c r="U36" s="39">
        <f t="shared" si="28"/>
        <v>69.714285714285722</v>
      </c>
      <c r="V36" s="39">
        <f t="shared" si="28"/>
        <v>111</v>
      </c>
      <c r="W36" s="39">
        <f t="shared" si="28"/>
        <v>3.7142857142857144</v>
      </c>
      <c r="X36" s="39">
        <f t="shared" si="28"/>
        <v>0.71428571428571419</v>
      </c>
      <c r="Y36" s="39">
        <f t="shared" si="28"/>
        <v>30.142857142857142</v>
      </c>
      <c r="Z36" s="39">
        <f t="shared" si="28"/>
        <v>6.8571428571428577</v>
      </c>
      <c r="AA36" s="39">
        <f t="shared" si="28"/>
        <v>1.1428571428571428</v>
      </c>
      <c r="AB36" s="39">
        <f t="shared" si="28"/>
        <v>0</v>
      </c>
      <c r="AC36" s="39">
        <f t="shared" si="28"/>
        <v>867.71428571428578</v>
      </c>
      <c r="AD36" s="39">
        <f t="shared" si="28"/>
        <v>0</v>
      </c>
      <c r="AE36" s="40">
        <f t="shared" si="28"/>
        <v>986.85714285714278</v>
      </c>
      <c r="AF36" s="40">
        <f t="shared" si="28"/>
        <v>1854.5714285714284</v>
      </c>
    </row>
    <row r="37" spans="2:32" ht="23.1" customHeight="1" x14ac:dyDescent="0.25">
      <c r="B37" s="23" t="s">
        <v>64</v>
      </c>
      <c r="C37" s="49">
        <f>'Avg Week Kyebando-Mulago'!C37+'Avg Week Mulago-Kyebando'!C37</f>
        <v>96.857142857142861</v>
      </c>
      <c r="D37" s="49">
        <f>'Avg Week Kyebando-Mulago'!D37+'Avg Week Mulago-Kyebando'!D37</f>
        <v>17.142857142857142</v>
      </c>
      <c r="E37" s="49">
        <f>'Avg Week Kyebando-Mulago'!E37+'Avg Week Mulago-Kyebando'!E37</f>
        <v>12.714285714285714</v>
      </c>
      <c r="F37" s="49">
        <f>'Avg Week Kyebando-Mulago'!F37+'Avg Week Mulago-Kyebando'!F37</f>
        <v>19.428571428571431</v>
      </c>
      <c r="G37" s="49">
        <f>'Avg Week Kyebando-Mulago'!G37+'Avg Week Mulago-Kyebando'!G37</f>
        <v>0.14285714285714285</v>
      </c>
      <c r="H37" s="49">
        <f>'Avg Week Kyebando-Mulago'!H37+'Avg Week Mulago-Kyebando'!H37</f>
        <v>0</v>
      </c>
      <c r="I37" s="49">
        <f>'Avg Week Kyebando-Mulago'!I37+'Avg Week Mulago-Kyebando'!I37</f>
        <v>7</v>
      </c>
      <c r="J37" s="49">
        <f>'Avg Week Kyebando-Mulago'!J37+'Avg Week Mulago-Kyebando'!J37</f>
        <v>0.71428571428571419</v>
      </c>
      <c r="K37" s="49">
        <f>'Avg Week Kyebando-Mulago'!K37+'Avg Week Mulago-Kyebando'!K37</f>
        <v>0</v>
      </c>
      <c r="L37" s="49">
        <f>'Avg Week Kyebando-Mulago'!L37+'Avg Week Mulago-Kyebando'!L37</f>
        <v>0</v>
      </c>
      <c r="M37" s="49">
        <f>'Avg Week Kyebando-Mulago'!M37+'Avg Week Mulago-Kyebando'!M37</f>
        <v>155.57142857142856</v>
      </c>
      <c r="N37" s="49">
        <f>'Avg Week Kyebando-Mulago'!N37+'Avg Week Mulago-Kyebando'!N37</f>
        <v>0</v>
      </c>
      <c r="O37" s="15">
        <f t="shared" si="0"/>
        <v>154</v>
      </c>
      <c r="P37" s="15">
        <f t="shared" si="1"/>
        <v>309.57142857142856</v>
      </c>
      <c r="R37" s="37" t="s">
        <v>85</v>
      </c>
      <c r="S37" s="35">
        <f t="shared" ref="S37:AF37" si="29">SUM(S10:S12)</f>
        <v>1541.8571428571429</v>
      </c>
      <c r="T37" s="16">
        <f t="shared" si="29"/>
        <v>224.14285714285714</v>
      </c>
      <c r="U37" s="16">
        <f t="shared" si="29"/>
        <v>166.28571428571428</v>
      </c>
      <c r="V37" s="16">
        <f t="shared" si="29"/>
        <v>527.28571428571433</v>
      </c>
      <c r="W37" s="16">
        <f t="shared" si="29"/>
        <v>7.7142857142857135</v>
      </c>
      <c r="X37" s="16">
        <f t="shared" si="29"/>
        <v>0.5714285714285714</v>
      </c>
      <c r="Y37" s="16">
        <f t="shared" si="29"/>
        <v>66.857142857142861</v>
      </c>
      <c r="Z37" s="16">
        <f t="shared" si="29"/>
        <v>11.857142857142858</v>
      </c>
      <c r="AA37" s="16">
        <f t="shared" si="29"/>
        <v>1.4285714285714284</v>
      </c>
      <c r="AB37" s="16">
        <f t="shared" si="29"/>
        <v>0</v>
      </c>
      <c r="AC37" s="16">
        <f t="shared" si="29"/>
        <v>3380.1428571428569</v>
      </c>
      <c r="AD37" s="16">
        <f t="shared" si="29"/>
        <v>0</v>
      </c>
      <c r="AE37" s="32">
        <f t="shared" si="29"/>
        <v>2548</v>
      </c>
      <c r="AF37" s="32">
        <f t="shared" si="29"/>
        <v>5928.1428571428569</v>
      </c>
    </row>
    <row r="38" spans="2:32" ht="23.1" customHeight="1" x14ac:dyDescent="0.25">
      <c r="B38" s="24" t="s">
        <v>65</v>
      </c>
      <c r="C38" s="49">
        <f>'Avg Week Kyebando-Mulago'!C38+'Avg Week Mulago-Kyebando'!C38</f>
        <v>102.57142857142858</v>
      </c>
      <c r="D38" s="49">
        <f>'Avg Week Kyebando-Mulago'!D38+'Avg Week Mulago-Kyebando'!D38</f>
        <v>18.142857142857146</v>
      </c>
      <c r="E38" s="49">
        <f>'Avg Week Kyebando-Mulago'!E38+'Avg Week Mulago-Kyebando'!E38</f>
        <v>13.571428571428571</v>
      </c>
      <c r="F38" s="49">
        <f>'Avg Week Kyebando-Mulago'!F38+'Avg Week Mulago-Kyebando'!F38</f>
        <v>20.428571428571427</v>
      </c>
      <c r="G38" s="49">
        <f>'Avg Week Kyebando-Mulago'!G38+'Avg Week Mulago-Kyebando'!G38</f>
        <v>0.71428571428571419</v>
      </c>
      <c r="H38" s="49">
        <f>'Avg Week Kyebando-Mulago'!H38+'Avg Week Mulago-Kyebando'!H38</f>
        <v>0</v>
      </c>
      <c r="I38" s="49">
        <f>'Avg Week Kyebando-Mulago'!I38+'Avg Week Mulago-Kyebando'!I38</f>
        <v>7.7142857142857135</v>
      </c>
      <c r="J38" s="49">
        <f>'Avg Week Kyebando-Mulago'!J38+'Avg Week Mulago-Kyebando'!J38</f>
        <v>2.1428571428571428</v>
      </c>
      <c r="K38" s="49">
        <f>'Avg Week Kyebando-Mulago'!K38+'Avg Week Mulago-Kyebando'!K38</f>
        <v>0.14285714285714285</v>
      </c>
      <c r="L38" s="49">
        <f>'Avg Week Kyebando-Mulago'!L38+'Avg Week Mulago-Kyebando'!L38</f>
        <v>0</v>
      </c>
      <c r="M38" s="49">
        <f>'Avg Week Kyebando-Mulago'!M38+'Avg Week Mulago-Kyebando'!M38</f>
        <v>199.42857142857144</v>
      </c>
      <c r="N38" s="49">
        <f>'Avg Week Kyebando-Mulago'!N38+'Avg Week Mulago-Kyebando'!N38</f>
        <v>0</v>
      </c>
      <c r="O38" s="15">
        <f t="shared" si="0"/>
        <v>165.42857142857144</v>
      </c>
      <c r="P38" s="15">
        <f t="shared" si="1"/>
        <v>364.85714285714289</v>
      </c>
      <c r="R38" s="28" t="s">
        <v>86</v>
      </c>
      <c r="S38" s="16">
        <f t="shared" ref="S38:AF38" si="30">SUM(S13:S18)</f>
        <v>2493</v>
      </c>
      <c r="T38" s="16">
        <f t="shared" si="30"/>
        <v>467.14285714285722</v>
      </c>
      <c r="U38" s="16">
        <f t="shared" si="30"/>
        <v>365.85714285714283</v>
      </c>
      <c r="V38" s="16">
        <f t="shared" si="30"/>
        <v>554</v>
      </c>
      <c r="W38" s="16">
        <f t="shared" si="30"/>
        <v>10.142857142857142</v>
      </c>
      <c r="X38" s="16">
        <f t="shared" si="30"/>
        <v>1.857142857142857</v>
      </c>
      <c r="Y38" s="16">
        <f t="shared" si="30"/>
        <v>211.85714285714286</v>
      </c>
      <c r="Z38" s="16">
        <f t="shared" si="30"/>
        <v>37.142857142857139</v>
      </c>
      <c r="AA38" s="16">
        <f t="shared" si="30"/>
        <v>2.4285714285714284</v>
      </c>
      <c r="AB38" s="16">
        <f t="shared" si="30"/>
        <v>0</v>
      </c>
      <c r="AC38" s="16">
        <f t="shared" si="30"/>
        <v>4745.5476190476184</v>
      </c>
      <c r="AD38" s="16">
        <f t="shared" si="30"/>
        <v>0.14285714285714285</v>
      </c>
      <c r="AE38" s="32">
        <f t="shared" si="30"/>
        <v>4143.5714285714284</v>
      </c>
      <c r="AF38" s="32">
        <f t="shared" si="30"/>
        <v>8889.1190476190477</v>
      </c>
    </row>
    <row r="39" spans="2:32" ht="23.1" customHeight="1" x14ac:dyDescent="0.25">
      <c r="B39" s="24" t="s">
        <v>66</v>
      </c>
      <c r="C39" s="49">
        <f>'Avg Week Kyebando-Mulago'!C39+'Avg Week Mulago-Kyebando'!C39</f>
        <v>102.85714285714286</v>
      </c>
      <c r="D39" s="49">
        <f>'Avg Week Kyebando-Mulago'!D39+'Avg Week Mulago-Kyebando'!D39</f>
        <v>13.714285714285715</v>
      </c>
      <c r="E39" s="49">
        <f>'Avg Week Kyebando-Mulago'!E39+'Avg Week Mulago-Kyebando'!E39</f>
        <v>11.857142857142858</v>
      </c>
      <c r="F39" s="49">
        <f>'Avg Week Kyebando-Mulago'!F39+'Avg Week Mulago-Kyebando'!F39</f>
        <v>19.142857142857142</v>
      </c>
      <c r="G39" s="49">
        <f>'Avg Week Kyebando-Mulago'!G39+'Avg Week Mulago-Kyebando'!G39</f>
        <v>0.42857142857142855</v>
      </c>
      <c r="H39" s="49">
        <f>'Avg Week Kyebando-Mulago'!H39+'Avg Week Mulago-Kyebando'!H39</f>
        <v>0.14285714285714285</v>
      </c>
      <c r="I39" s="49">
        <f>'Avg Week Kyebando-Mulago'!I39+'Avg Week Mulago-Kyebando'!I39</f>
        <v>7</v>
      </c>
      <c r="J39" s="49">
        <f>'Avg Week Kyebando-Mulago'!J39+'Avg Week Mulago-Kyebando'!J39</f>
        <v>1.1428571428571428</v>
      </c>
      <c r="K39" s="49">
        <f>'Avg Week Kyebando-Mulago'!K39+'Avg Week Mulago-Kyebando'!K39</f>
        <v>0.2857142857142857</v>
      </c>
      <c r="L39" s="49">
        <f>'Avg Week Kyebando-Mulago'!L39+'Avg Week Mulago-Kyebando'!L39</f>
        <v>0</v>
      </c>
      <c r="M39" s="49">
        <f>'Avg Week Kyebando-Mulago'!M39+'Avg Week Mulago-Kyebando'!M39</f>
        <v>183.71428571428572</v>
      </c>
      <c r="N39" s="49">
        <f>'Avg Week Kyebando-Mulago'!N39+'Avg Week Mulago-Kyebando'!N39</f>
        <v>0</v>
      </c>
      <c r="O39" s="15">
        <f t="shared" si="0"/>
        <v>156.57142857142856</v>
      </c>
      <c r="P39" s="15">
        <f t="shared" si="1"/>
        <v>340.28571428571428</v>
      </c>
      <c r="R39" s="29" t="s">
        <v>87</v>
      </c>
      <c r="S39" s="16">
        <f t="shared" ref="S39:AF39" si="31">SUM(S19:S21)</f>
        <v>1791.8571428571431</v>
      </c>
      <c r="T39" s="16">
        <f t="shared" si="31"/>
        <v>267</v>
      </c>
      <c r="U39" s="16">
        <f t="shared" si="31"/>
        <v>188</v>
      </c>
      <c r="V39" s="16">
        <f t="shared" si="31"/>
        <v>308.28571428571428</v>
      </c>
      <c r="W39" s="16">
        <f t="shared" si="31"/>
        <v>9.7142857142857135</v>
      </c>
      <c r="X39" s="16">
        <f t="shared" si="31"/>
        <v>1.4285714285714284</v>
      </c>
      <c r="Y39" s="16">
        <f t="shared" si="31"/>
        <v>80.714285714285722</v>
      </c>
      <c r="Z39" s="16">
        <f t="shared" si="31"/>
        <v>17.857142857142858</v>
      </c>
      <c r="AA39" s="16">
        <f t="shared" si="31"/>
        <v>2</v>
      </c>
      <c r="AB39" s="16">
        <f t="shared" si="31"/>
        <v>0</v>
      </c>
      <c r="AC39" s="16">
        <f t="shared" si="31"/>
        <v>2503.5714285714284</v>
      </c>
      <c r="AD39" s="16">
        <f t="shared" si="31"/>
        <v>0</v>
      </c>
      <c r="AE39" s="32">
        <f t="shared" si="31"/>
        <v>2666.8571428571431</v>
      </c>
      <c r="AF39" s="32">
        <f t="shared" si="31"/>
        <v>5170.4285714285716</v>
      </c>
    </row>
    <row r="40" spans="2:32" ht="23.1" customHeight="1" x14ac:dyDescent="0.25">
      <c r="B40" s="24" t="s">
        <v>67</v>
      </c>
      <c r="C40" s="49">
        <f>'Avg Week Kyebando-Mulago'!C40+'Avg Week Mulago-Kyebando'!C40</f>
        <v>115.57142857142858</v>
      </c>
      <c r="D40" s="49">
        <f>'Avg Week Kyebando-Mulago'!D40+'Avg Week Mulago-Kyebando'!D40</f>
        <v>40.571428571428569</v>
      </c>
      <c r="E40" s="49">
        <f>'Avg Week Kyebando-Mulago'!E40+'Avg Week Mulago-Kyebando'!E40</f>
        <v>14.285714285714285</v>
      </c>
      <c r="F40" s="49">
        <f>'Avg Week Kyebando-Mulago'!F40+'Avg Week Mulago-Kyebando'!F40</f>
        <v>17.428571428571427</v>
      </c>
      <c r="G40" s="49">
        <f>'Avg Week Kyebando-Mulago'!G40+'Avg Week Mulago-Kyebando'!G40</f>
        <v>0.14285714285714285</v>
      </c>
      <c r="H40" s="49">
        <f>'Avg Week Kyebando-Mulago'!H40+'Avg Week Mulago-Kyebando'!H40</f>
        <v>0.14285714285714285</v>
      </c>
      <c r="I40" s="49">
        <f>'Avg Week Kyebando-Mulago'!I40+'Avg Week Mulago-Kyebando'!I40</f>
        <v>9</v>
      </c>
      <c r="J40" s="49">
        <f>'Avg Week Kyebando-Mulago'!J40+'Avg Week Mulago-Kyebando'!J40</f>
        <v>2.4285714285714284</v>
      </c>
      <c r="K40" s="49">
        <f>'Avg Week Kyebando-Mulago'!K40+'Avg Week Mulago-Kyebando'!K40</f>
        <v>0.14285714285714285</v>
      </c>
      <c r="L40" s="49">
        <f>'Avg Week Kyebando-Mulago'!L40+'Avg Week Mulago-Kyebando'!L40</f>
        <v>0</v>
      </c>
      <c r="M40" s="49">
        <f>'Avg Week Kyebando-Mulago'!M40+'Avg Week Mulago-Kyebando'!M40</f>
        <v>191.14285714285714</v>
      </c>
      <c r="N40" s="49">
        <f>'Avg Week Kyebando-Mulago'!N40+'Avg Week Mulago-Kyebando'!N40</f>
        <v>0</v>
      </c>
      <c r="O40" s="15">
        <f t="shared" si="0"/>
        <v>199.71428571428569</v>
      </c>
      <c r="P40" s="15">
        <f t="shared" si="1"/>
        <v>390.85714285714283</v>
      </c>
      <c r="R40" s="5" t="s">
        <v>17</v>
      </c>
      <c r="S40" s="16">
        <f t="shared" ref="S40:AF40" si="32">SUM(S10:S21)</f>
        <v>5826.7142857142862</v>
      </c>
      <c r="T40" s="16">
        <f t="shared" si="32"/>
        <v>958.28571428571433</v>
      </c>
      <c r="U40" s="16">
        <f t="shared" si="32"/>
        <v>720.14285714285722</v>
      </c>
      <c r="V40" s="16">
        <f t="shared" si="32"/>
        <v>1389.5714285714284</v>
      </c>
      <c r="W40" s="16">
        <f t="shared" si="32"/>
        <v>27.571428571428569</v>
      </c>
      <c r="X40" s="16">
        <f t="shared" si="32"/>
        <v>3.8571428571428568</v>
      </c>
      <c r="Y40" s="16">
        <f t="shared" si="32"/>
        <v>359.4285714285715</v>
      </c>
      <c r="Z40" s="16">
        <f t="shared" si="32"/>
        <v>66.857142857142861</v>
      </c>
      <c r="AA40" s="16">
        <f t="shared" si="32"/>
        <v>5.8571428571428577</v>
      </c>
      <c r="AB40" s="16">
        <f t="shared" si="32"/>
        <v>0</v>
      </c>
      <c r="AC40" s="16">
        <f t="shared" si="32"/>
        <v>10629.261904761905</v>
      </c>
      <c r="AD40" s="16">
        <f t="shared" si="32"/>
        <v>0.14285714285714285</v>
      </c>
      <c r="AE40" s="32">
        <f t="shared" si="32"/>
        <v>9358.4285714285706</v>
      </c>
      <c r="AF40" s="32">
        <f t="shared" si="32"/>
        <v>19987.690476190477</v>
      </c>
    </row>
    <row r="41" spans="2:32" ht="23.1" customHeight="1" x14ac:dyDescent="0.25">
      <c r="B41" s="23" t="s">
        <v>68</v>
      </c>
      <c r="C41" s="49">
        <f>'Avg Week Kyebando-Mulago'!C41+'Avg Week Mulago-Kyebando'!C41</f>
        <v>86.714285714285722</v>
      </c>
      <c r="D41" s="49">
        <f>'Avg Week Kyebando-Mulago'!D41+'Avg Week Mulago-Kyebando'!D41</f>
        <v>13.285714285714286</v>
      </c>
      <c r="E41" s="49">
        <f>'Avg Week Kyebando-Mulago'!E41+'Avg Week Mulago-Kyebando'!E41</f>
        <v>12.714285714285715</v>
      </c>
      <c r="F41" s="49">
        <f>'Avg Week Kyebando-Mulago'!F41+'Avg Week Mulago-Kyebando'!F41</f>
        <v>16.714285714285715</v>
      </c>
      <c r="G41" s="49">
        <f>'Avg Week Kyebando-Mulago'!G41+'Avg Week Mulago-Kyebando'!G41</f>
        <v>0.14285714285714285</v>
      </c>
      <c r="H41" s="49">
        <f>'Avg Week Kyebando-Mulago'!H41+'Avg Week Mulago-Kyebando'!H41</f>
        <v>0</v>
      </c>
      <c r="I41" s="49">
        <f>'Avg Week Kyebando-Mulago'!I41+'Avg Week Mulago-Kyebando'!I41</f>
        <v>8.1428571428571423</v>
      </c>
      <c r="J41" s="49">
        <f>'Avg Week Kyebando-Mulago'!J41+'Avg Week Mulago-Kyebando'!J41</f>
        <v>0.8571428571428571</v>
      </c>
      <c r="K41" s="49">
        <f>'Avg Week Kyebando-Mulago'!K41+'Avg Week Mulago-Kyebando'!K41</f>
        <v>0.14285714285714285</v>
      </c>
      <c r="L41" s="49">
        <f>'Avg Week Kyebando-Mulago'!L41+'Avg Week Mulago-Kyebando'!L41</f>
        <v>0</v>
      </c>
      <c r="M41" s="49">
        <f>'Avg Week Kyebando-Mulago'!M41+'Avg Week Mulago-Kyebando'!M41</f>
        <v>168.85714285714283</v>
      </c>
      <c r="N41" s="49">
        <f>'Avg Week Kyebando-Mulago'!N41+'Avg Week Mulago-Kyebando'!N41</f>
        <v>0</v>
      </c>
      <c r="O41" s="15">
        <f t="shared" si="0"/>
        <v>138.71428571428572</v>
      </c>
      <c r="P41" s="15">
        <f t="shared" si="1"/>
        <v>307.57142857142856</v>
      </c>
      <c r="R41" s="5" t="s">
        <v>185</v>
      </c>
      <c r="S41" s="51">
        <f>SUM(S10:S33)</f>
        <v>9255.7142857142862</v>
      </c>
      <c r="T41" s="51">
        <f t="shared" ref="T41:AD41" si="33">SUM(T10:T33)</f>
        <v>1222.7857142857142</v>
      </c>
      <c r="U41" s="51">
        <f t="shared" si="33"/>
        <v>1048.6428571428573</v>
      </c>
      <c r="V41" s="51">
        <f t="shared" si="33"/>
        <v>2166.0714285714284</v>
      </c>
      <c r="W41" s="51">
        <f t="shared" si="33"/>
        <v>42.571428571428569</v>
      </c>
      <c r="X41" s="51">
        <f t="shared" si="33"/>
        <v>12.857142857142858</v>
      </c>
      <c r="Y41" s="51">
        <f t="shared" si="33"/>
        <v>477.9285714285715</v>
      </c>
      <c r="Z41" s="51">
        <f t="shared" si="33"/>
        <v>84.857142857142861</v>
      </c>
      <c r="AA41" s="51">
        <f t="shared" si="33"/>
        <v>9.3571428571428577</v>
      </c>
      <c r="AB41" s="51">
        <f t="shared" si="33"/>
        <v>0</v>
      </c>
      <c r="AC41" s="51">
        <f t="shared" si="33"/>
        <v>15508.261904761905</v>
      </c>
      <c r="AD41" s="51">
        <f t="shared" si="33"/>
        <v>0.14285714285714285</v>
      </c>
      <c r="AE41" s="52">
        <f>SUM(AE10:AE33)</f>
        <v>14320.928571428571</v>
      </c>
      <c r="AF41" s="52">
        <f>SUM(AF10:AF33)</f>
        <v>29829.190476190477</v>
      </c>
    </row>
    <row r="42" spans="2:32" ht="23.1" customHeight="1" x14ac:dyDescent="0.25">
      <c r="B42" s="24" t="s">
        <v>69</v>
      </c>
      <c r="C42" s="49">
        <f>'Avg Week Kyebando-Mulago'!C42+'Avg Week Mulago-Kyebando'!C42</f>
        <v>107.71428571428572</v>
      </c>
      <c r="D42" s="49">
        <f>'Avg Week Kyebando-Mulago'!D42+'Avg Week Mulago-Kyebando'!D42</f>
        <v>21.857142857142858</v>
      </c>
      <c r="E42" s="49">
        <f>'Avg Week Kyebando-Mulago'!E42+'Avg Week Mulago-Kyebando'!E42</f>
        <v>17.857142857142858</v>
      </c>
      <c r="F42" s="49">
        <f>'Avg Week Kyebando-Mulago'!F42+'Avg Week Mulago-Kyebando'!F42</f>
        <v>21</v>
      </c>
      <c r="G42" s="49">
        <f>'Avg Week Kyebando-Mulago'!G42+'Avg Week Mulago-Kyebando'!G42</f>
        <v>0.71428571428571419</v>
      </c>
      <c r="H42" s="49">
        <f>'Avg Week Kyebando-Mulago'!H42+'Avg Week Mulago-Kyebando'!H42</f>
        <v>0.14285714285714285</v>
      </c>
      <c r="I42" s="49">
        <f>'Avg Week Kyebando-Mulago'!I42+'Avg Week Mulago-Kyebando'!I42</f>
        <v>7.8571428571428577</v>
      </c>
      <c r="J42" s="49">
        <f>'Avg Week Kyebando-Mulago'!J42+'Avg Week Mulago-Kyebando'!J42</f>
        <v>0.5714285714285714</v>
      </c>
      <c r="K42" s="49">
        <f>'Avg Week Kyebando-Mulago'!K42+'Avg Week Mulago-Kyebando'!K42</f>
        <v>0</v>
      </c>
      <c r="L42" s="49">
        <f>'Avg Week Kyebando-Mulago'!L42+'Avg Week Mulago-Kyebando'!L42</f>
        <v>0</v>
      </c>
      <c r="M42" s="49">
        <f>'Avg Week Kyebando-Mulago'!M42+'Avg Week Mulago-Kyebando'!M42</f>
        <v>183.14285714285714</v>
      </c>
      <c r="N42" s="49">
        <f>'Avg Week Kyebando-Mulago'!N42+'Avg Week Mulago-Kyebando'!N42</f>
        <v>0</v>
      </c>
      <c r="O42" s="15">
        <f t="shared" si="0"/>
        <v>177.71428571428575</v>
      </c>
      <c r="P42" s="15">
        <f t="shared" si="1"/>
        <v>360.85714285714289</v>
      </c>
      <c r="R42" s="5" t="s">
        <v>160</v>
      </c>
      <c r="S42" s="48">
        <f>S41/S40</f>
        <v>1.5884963346164218</v>
      </c>
      <c r="T42" s="48">
        <f t="shared" ref="T42:AF42" si="34">T41/T40</f>
        <v>1.2760137149672033</v>
      </c>
      <c r="U42" s="48">
        <f t="shared" si="34"/>
        <v>1.4561594921642533</v>
      </c>
      <c r="V42" s="48">
        <f t="shared" si="34"/>
        <v>1.5588053870669272</v>
      </c>
      <c r="W42" s="48">
        <f t="shared" si="34"/>
        <v>1.544041450777202</v>
      </c>
      <c r="X42" s="48">
        <f t="shared" si="34"/>
        <v>3.3333333333333339</v>
      </c>
      <c r="Y42" s="48">
        <f t="shared" si="34"/>
        <v>1.3296899841017487</v>
      </c>
      <c r="Z42" s="48">
        <f t="shared" si="34"/>
        <v>1.2692307692307692</v>
      </c>
      <c r="AA42" s="48">
        <f t="shared" si="34"/>
        <v>1.597560975609756</v>
      </c>
      <c r="AB42" s="48" t="e">
        <f t="shared" si="34"/>
        <v>#DIV/0!</v>
      </c>
      <c r="AC42" s="48">
        <f t="shared" si="34"/>
        <v>1.4590158793447559</v>
      </c>
      <c r="AD42" s="48">
        <f t="shared" si="34"/>
        <v>1</v>
      </c>
      <c r="AE42" s="53">
        <f t="shared" si="34"/>
        <v>1.5302706498343739</v>
      </c>
      <c r="AF42" s="53">
        <f t="shared" si="34"/>
        <v>1.49237804696462</v>
      </c>
    </row>
    <row r="43" spans="2:32" ht="23.1" customHeight="1" x14ac:dyDescent="0.25">
      <c r="B43" s="23" t="s">
        <v>70</v>
      </c>
      <c r="C43" s="49">
        <f>'Avg Week Kyebando-Mulago'!C43+'Avg Week Mulago-Kyebando'!C43</f>
        <v>97.857142857142861</v>
      </c>
      <c r="D43" s="49">
        <f>'Avg Week Kyebando-Mulago'!D43+'Avg Week Mulago-Kyebando'!D43</f>
        <v>15.428571428571429</v>
      </c>
      <c r="E43" s="49">
        <f>'Avg Week Kyebando-Mulago'!E43+'Avg Week Mulago-Kyebando'!E43</f>
        <v>15.142857142857142</v>
      </c>
      <c r="F43" s="49">
        <f>'Avg Week Kyebando-Mulago'!F43+'Avg Week Mulago-Kyebando'!F43</f>
        <v>18.571428571428569</v>
      </c>
      <c r="G43" s="49">
        <f>'Avg Week Kyebando-Mulago'!G43+'Avg Week Mulago-Kyebando'!G43</f>
        <v>0.5714285714285714</v>
      </c>
      <c r="H43" s="49">
        <f>'Avg Week Kyebando-Mulago'!H43+'Avg Week Mulago-Kyebando'!H43</f>
        <v>0.14285714285714285</v>
      </c>
      <c r="I43" s="49">
        <f>'Avg Week Kyebando-Mulago'!I43+'Avg Week Mulago-Kyebando'!I43</f>
        <v>8.1428571428571423</v>
      </c>
      <c r="J43" s="49">
        <f>'Avg Week Kyebando-Mulago'!J43+'Avg Week Mulago-Kyebando'!J43</f>
        <v>1.7142857142857144</v>
      </c>
      <c r="K43" s="49">
        <f>'Avg Week Kyebando-Mulago'!K43+'Avg Week Mulago-Kyebando'!K43</f>
        <v>0.14285714285714285</v>
      </c>
      <c r="L43" s="49">
        <f>'Avg Week Kyebando-Mulago'!L43+'Avg Week Mulago-Kyebando'!L43</f>
        <v>0</v>
      </c>
      <c r="M43" s="49">
        <f>'Avg Week Kyebando-Mulago'!M43+'Avg Week Mulago-Kyebando'!M43</f>
        <v>185.28571428571428</v>
      </c>
      <c r="N43" s="49">
        <f>'Avg Week Kyebando-Mulago'!N43+'Avg Week Mulago-Kyebando'!N43</f>
        <v>0</v>
      </c>
      <c r="O43" s="15">
        <f t="shared" si="0"/>
        <v>157.71428571428572</v>
      </c>
      <c r="P43" s="15">
        <f t="shared" si="1"/>
        <v>343</v>
      </c>
    </row>
    <row r="44" spans="2:32" ht="23.1" customHeight="1" x14ac:dyDescent="0.25">
      <c r="B44" s="25" t="s">
        <v>71</v>
      </c>
      <c r="C44" s="49">
        <f>'Avg Week Kyebando-Mulago'!C44+'Avg Week Mulago-Kyebando'!C44</f>
        <v>115</v>
      </c>
      <c r="D44" s="49">
        <f>'Avg Week Kyebando-Mulago'!D44+'Avg Week Mulago-Kyebando'!D44</f>
        <v>20.285714285714285</v>
      </c>
      <c r="E44" s="49">
        <f>'Avg Week Kyebando-Mulago'!E44+'Avg Week Mulago-Kyebando'!E44</f>
        <v>19</v>
      </c>
      <c r="F44" s="49">
        <f>'Avg Week Kyebando-Mulago'!F44+'Avg Week Mulago-Kyebando'!F44</f>
        <v>23.285714285714285</v>
      </c>
      <c r="G44" s="49">
        <f>'Avg Week Kyebando-Mulago'!G44+'Avg Week Mulago-Kyebando'!G44</f>
        <v>0.14285714285714285</v>
      </c>
      <c r="H44" s="49">
        <f>'Avg Week Kyebando-Mulago'!H44+'Avg Week Mulago-Kyebando'!H44</f>
        <v>0</v>
      </c>
      <c r="I44" s="49">
        <f>'Avg Week Kyebando-Mulago'!I44+'Avg Week Mulago-Kyebando'!I44</f>
        <v>9.2857142857142865</v>
      </c>
      <c r="J44" s="49">
        <f>'Avg Week Kyebando-Mulago'!J44+'Avg Week Mulago-Kyebando'!J44</f>
        <v>1.5714285714285714</v>
      </c>
      <c r="K44" s="49">
        <f>'Avg Week Kyebando-Mulago'!K44+'Avg Week Mulago-Kyebando'!K44</f>
        <v>0.14285714285714285</v>
      </c>
      <c r="L44" s="49">
        <f>'Avg Week Kyebando-Mulago'!L44+'Avg Week Mulago-Kyebando'!L44</f>
        <v>0</v>
      </c>
      <c r="M44" s="49">
        <f>'Avg Week Kyebando-Mulago'!M44+'Avg Week Mulago-Kyebando'!M44</f>
        <v>207.57142857142856</v>
      </c>
      <c r="N44" s="49">
        <f>'Avg Week Kyebando-Mulago'!N44+'Avg Week Mulago-Kyebando'!N44</f>
        <v>0</v>
      </c>
      <c r="O44" s="15">
        <f t="shared" si="0"/>
        <v>188.71428571428569</v>
      </c>
      <c r="P44" s="15">
        <f t="shared" si="1"/>
        <v>396.28571428571422</v>
      </c>
    </row>
    <row r="45" spans="2:32" ht="23.1" customHeight="1" x14ac:dyDescent="0.25">
      <c r="B45" s="23" t="s">
        <v>72</v>
      </c>
      <c r="C45" s="49">
        <f>'Avg Week Kyebando-Mulago'!C45+'Avg Week Mulago-Kyebando'!C45</f>
        <v>117.42857142857142</v>
      </c>
      <c r="D45" s="49">
        <f>'Avg Week Kyebando-Mulago'!D45+'Avg Week Mulago-Kyebando'!D45</f>
        <v>18.142857142857142</v>
      </c>
      <c r="E45" s="49">
        <f>'Avg Week Kyebando-Mulago'!E45+'Avg Week Mulago-Kyebando'!E45</f>
        <v>16.285714285714285</v>
      </c>
      <c r="F45" s="49">
        <f>'Avg Week Kyebando-Mulago'!F45+'Avg Week Mulago-Kyebando'!F45</f>
        <v>18.571428571428569</v>
      </c>
      <c r="G45" s="49">
        <f>'Avg Week Kyebando-Mulago'!G45+'Avg Week Mulago-Kyebando'!G45</f>
        <v>0.14285714285714285</v>
      </c>
      <c r="H45" s="49">
        <f>'Avg Week Kyebando-Mulago'!H45+'Avg Week Mulago-Kyebando'!H45</f>
        <v>0.14285714285714285</v>
      </c>
      <c r="I45" s="49">
        <f>'Avg Week Kyebando-Mulago'!I45+'Avg Week Mulago-Kyebando'!I45</f>
        <v>11.571428571428571</v>
      </c>
      <c r="J45" s="49">
        <f>'Avg Week Kyebando-Mulago'!J45+'Avg Week Mulago-Kyebando'!J45</f>
        <v>1.2857142857142856</v>
      </c>
      <c r="K45" s="49">
        <f>'Avg Week Kyebando-Mulago'!K45+'Avg Week Mulago-Kyebando'!K45</f>
        <v>0.2857142857142857</v>
      </c>
      <c r="L45" s="49">
        <f>'Avg Week Kyebando-Mulago'!L45+'Avg Week Mulago-Kyebando'!L45</f>
        <v>0</v>
      </c>
      <c r="M45" s="49">
        <f>'Avg Week Kyebando-Mulago'!M45+'Avg Week Mulago-Kyebando'!M45</f>
        <v>183.28571428571428</v>
      </c>
      <c r="N45" s="49">
        <f>'Avg Week Kyebando-Mulago'!N45+'Avg Week Mulago-Kyebando'!N45</f>
        <v>0</v>
      </c>
      <c r="O45" s="15">
        <f t="shared" si="0"/>
        <v>183.8571428571428</v>
      </c>
      <c r="P45" s="15">
        <f t="shared" si="1"/>
        <v>367.14285714285711</v>
      </c>
    </row>
    <row r="46" spans="2:32" ht="23.1" customHeight="1" x14ac:dyDescent="0.25">
      <c r="B46" s="24" t="s">
        <v>73</v>
      </c>
      <c r="C46" s="49">
        <f>'Avg Week Kyebando-Mulago'!C46+'Avg Week Mulago-Kyebando'!C46</f>
        <v>126.28571428571428</v>
      </c>
      <c r="D46" s="49">
        <f>'Avg Week Kyebando-Mulago'!D46+'Avg Week Mulago-Kyebando'!D46</f>
        <v>20.285714285714285</v>
      </c>
      <c r="E46" s="49">
        <f>'Avg Week Kyebando-Mulago'!E46+'Avg Week Mulago-Kyebando'!E46</f>
        <v>17.571428571428573</v>
      </c>
      <c r="F46" s="49">
        <f>'Avg Week Kyebando-Mulago'!F46+'Avg Week Mulago-Kyebando'!F46</f>
        <v>26</v>
      </c>
      <c r="G46" s="49">
        <f>'Avg Week Kyebando-Mulago'!G46+'Avg Week Mulago-Kyebando'!G46</f>
        <v>0.5714285714285714</v>
      </c>
      <c r="H46" s="49">
        <f>'Avg Week Kyebando-Mulago'!H46+'Avg Week Mulago-Kyebando'!H46</f>
        <v>0.14285714285714285</v>
      </c>
      <c r="I46" s="49">
        <f>'Avg Week Kyebando-Mulago'!I46+'Avg Week Mulago-Kyebando'!I46</f>
        <v>8</v>
      </c>
      <c r="J46" s="49">
        <f>'Avg Week Kyebando-Mulago'!J46+'Avg Week Mulago-Kyebando'!J46</f>
        <v>2.4285714285714284</v>
      </c>
      <c r="K46" s="49">
        <f>'Avg Week Kyebando-Mulago'!K46+'Avg Week Mulago-Kyebando'!K46</f>
        <v>0</v>
      </c>
      <c r="L46" s="49">
        <f>'Avg Week Kyebando-Mulago'!L46+'Avg Week Mulago-Kyebando'!L46</f>
        <v>0</v>
      </c>
      <c r="M46" s="49">
        <f>'Avg Week Kyebando-Mulago'!M46+'Avg Week Mulago-Kyebando'!M46</f>
        <v>206.85714285714286</v>
      </c>
      <c r="N46" s="49">
        <f>'Avg Week Kyebando-Mulago'!N46+'Avg Week Mulago-Kyebando'!N46</f>
        <v>0</v>
      </c>
      <c r="O46" s="15">
        <f t="shared" si="0"/>
        <v>201.28571428571428</v>
      </c>
      <c r="P46" s="15">
        <f t="shared" si="1"/>
        <v>408.14285714285711</v>
      </c>
      <c r="R46" s="8"/>
      <c r="T46"/>
    </row>
    <row r="47" spans="2:32" ht="23.1" customHeight="1" x14ac:dyDescent="0.25">
      <c r="B47" s="24" t="s">
        <v>74</v>
      </c>
      <c r="C47" s="49">
        <f>'Avg Week Kyebando-Mulago'!C47+'Avg Week Mulago-Kyebando'!C47</f>
        <v>133</v>
      </c>
      <c r="D47" s="49">
        <f>'Avg Week Kyebando-Mulago'!D47+'Avg Week Mulago-Kyebando'!D47</f>
        <v>23.142857142857142</v>
      </c>
      <c r="E47" s="49">
        <f>'Avg Week Kyebando-Mulago'!E47+'Avg Week Mulago-Kyebando'!E47</f>
        <v>15.857142857142858</v>
      </c>
      <c r="F47" s="49">
        <f>'Avg Week Kyebando-Mulago'!F47+'Avg Week Mulago-Kyebando'!F47</f>
        <v>24.285714285714285</v>
      </c>
      <c r="G47" s="49">
        <f>'Avg Week Kyebando-Mulago'!G47+'Avg Week Mulago-Kyebando'!G47</f>
        <v>0.42857142857142855</v>
      </c>
      <c r="H47" s="49">
        <f>'Avg Week Kyebando-Mulago'!H47+'Avg Week Mulago-Kyebando'!H47</f>
        <v>0</v>
      </c>
      <c r="I47" s="49">
        <f>'Avg Week Kyebando-Mulago'!I47+'Avg Week Mulago-Kyebando'!I47</f>
        <v>6.2857142857142865</v>
      </c>
      <c r="J47" s="49">
        <f>'Avg Week Kyebando-Mulago'!J47+'Avg Week Mulago-Kyebando'!J47</f>
        <v>0.8571428571428571</v>
      </c>
      <c r="K47" s="49">
        <f>'Avg Week Kyebando-Mulago'!K47+'Avg Week Mulago-Kyebando'!K47</f>
        <v>0.42857142857142855</v>
      </c>
      <c r="L47" s="49">
        <f>'Avg Week Kyebando-Mulago'!L47+'Avg Week Mulago-Kyebando'!L47</f>
        <v>0</v>
      </c>
      <c r="M47" s="49">
        <f>'Avg Week Kyebando-Mulago'!M47+'Avg Week Mulago-Kyebando'!M47</f>
        <v>190.14285714285714</v>
      </c>
      <c r="N47" s="49">
        <f>'Avg Week Kyebando-Mulago'!N47+'Avg Week Mulago-Kyebando'!N47</f>
        <v>0</v>
      </c>
      <c r="O47" s="15">
        <f t="shared" si="0"/>
        <v>204.28571428571425</v>
      </c>
      <c r="P47" s="15">
        <f t="shared" si="1"/>
        <v>394.42857142857139</v>
      </c>
      <c r="R47" s="8"/>
      <c r="T47"/>
    </row>
    <row r="48" spans="2:32" ht="23.1" customHeight="1" x14ac:dyDescent="0.25">
      <c r="B48" s="24" t="s">
        <v>75</v>
      </c>
      <c r="C48" s="49">
        <f>'Avg Week Kyebando-Mulago'!C48+'Avg Week Mulago-Kyebando'!C48</f>
        <v>157.42857142857144</v>
      </c>
      <c r="D48" s="49">
        <f>'Avg Week Kyebando-Mulago'!D48+'Avg Week Mulago-Kyebando'!D48</f>
        <v>21.571428571428569</v>
      </c>
      <c r="E48" s="49">
        <f>'Avg Week Kyebando-Mulago'!E48+'Avg Week Mulago-Kyebando'!E48</f>
        <v>17.571428571428569</v>
      </c>
      <c r="F48" s="49">
        <f>'Avg Week Kyebando-Mulago'!F48+'Avg Week Mulago-Kyebando'!F48</f>
        <v>24.857142857142858</v>
      </c>
      <c r="G48" s="49">
        <f>'Avg Week Kyebando-Mulago'!G48+'Avg Week Mulago-Kyebando'!G48</f>
        <v>1.2857142857142856</v>
      </c>
      <c r="H48" s="49">
        <f>'Avg Week Kyebando-Mulago'!H48+'Avg Week Mulago-Kyebando'!H48</f>
        <v>0</v>
      </c>
      <c r="I48" s="49">
        <f>'Avg Week Kyebando-Mulago'!I48+'Avg Week Mulago-Kyebando'!I48</f>
        <v>7.2857142857142865</v>
      </c>
      <c r="J48" s="49">
        <f>'Avg Week Kyebando-Mulago'!J48+'Avg Week Mulago-Kyebando'!J48</f>
        <v>1.1428571428571428</v>
      </c>
      <c r="K48" s="49">
        <f>'Avg Week Kyebando-Mulago'!K48+'Avg Week Mulago-Kyebando'!K48</f>
        <v>0</v>
      </c>
      <c r="L48" s="49">
        <f>'Avg Week Kyebando-Mulago'!L48+'Avg Week Mulago-Kyebando'!L48</f>
        <v>0</v>
      </c>
      <c r="M48" s="49">
        <f>'Avg Week Kyebando-Mulago'!M48+'Avg Week Mulago-Kyebando'!M48</f>
        <v>216</v>
      </c>
      <c r="N48" s="49">
        <f>'Avg Week Kyebando-Mulago'!N48+'Avg Week Mulago-Kyebando'!N48</f>
        <v>0</v>
      </c>
      <c r="O48" s="15">
        <f t="shared" si="0"/>
        <v>231.14285714285711</v>
      </c>
      <c r="P48" s="15">
        <f t="shared" si="1"/>
        <v>447.14285714285711</v>
      </c>
    </row>
    <row r="49" spans="2:20" ht="23.1" customHeight="1" x14ac:dyDescent="0.25">
      <c r="B49" s="23" t="s">
        <v>76</v>
      </c>
      <c r="C49" s="49">
        <f>'Avg Week Kyebando-Mulago'!C49+'Avg Week Mulago-Kyebando'!C49</f>
        <v>141.14285714285714</v>
      </c>
      <c r="D49" s="49">
        <f>'Avg Week Kyebando-Mulago'!D49+'Avg Week Mulago-Kyebando'!D49</f>
        <v>21.714285714285715</v>
      </c>
      <c r="E49" s="49">
        <f>'Avg Week Kyebando-Mulago'!E49+'Avg Week Mulago-Kyebando'!E49</f>
        <v>17.714285714285715</v>
      </c>
      <c r="F49" s="49">
        <f>'Avg Week Kyebando-Mulago'!F49+'Avg Week Mulago-Kyebando'!F49</f>
        <v>20</v>
      </c>
      <c r="G49" s="49">
        <f>'Avg Week Kyebando-Mulago'!G49+'Avg Week Mulago-Kyebando'!G49</f>
        <v>0.5714285714285714</v>
      </c>
      <c r="H49" s="49">
        <f>'Avg Week Kyebando-Mulago'!H49+'Avg Week Mulago-Kyebando'!H49</f>
        <v>0</v>
      </c>
      <c r="I49" s="49">
        <f>'Avg Week Kyebando-Mulago'!I49+'Avg Week Mulago-Kyebando'!I49</f>
        <v>4.5714285714285712</v>
      </c>
      <c r="J49" s="49">
        <f>'Avg Week Kyebando-Mulago'!J49+'Avg Week Mulago-Kyebando'!J49</f>
        <v>2.4285714285714288</v>
      </c>
      <c r="K49" s="49">
        <f>'Avg Week Kyebando-Mulago'!K49+'Avg Week Mulago-Kyebando'!K49</f>
        <v>0</v>
      </c>
      <c r="L49" s="49">
        <f>'Avg Week Kyebando-Mulago'!L49+'Avg Week Mulago-Kyebando'!L49</f>
        <v>0</v>
      </c>
      <c r="M49" s="49">
        <f>'Avg Week Kyebando-Mulago'!M49+'Avg Week Mulago-Kyebando'!M49</f>
        <v>183.57142857142856</v>
      </c>
      <c r="N49" s="49">
        <f>'Avg Week Kyebando-Mulago'!N49+'Avg Week Mulago-Kyebando'!N49</f>
        <v>0</v>
      </c>
      <c r="O49" s="15">
        <f t="shared" si="0"/>
        <v>208.14285714285717</v>
      </c>
      <c r="P49" s="15">
        <f t="shared" si="1"/>
        <v>391.71428571428572</v>
      </c>
    </row>
    <row r="50" spans="2:20" ht="23.1" customHeight="1" x14ac:dyDescent="0.25">
      <c r="B50" s="24" t="s">
        <v>77</v>
      </c>
      <c r="C50" s="49">
        <f>'Avg Week Kyebando-Mulago'!C50+'Avg Week Mulago-Kyebando'!C50</f>
        <v>162.28571428571428</v>
      </c>
      <c r="D50" s="49">
        <f>'Avg Week Kyebando-Mulago'!D50+'Avg Week Mulago-Kyebando'!D50</f>
        <v>27.857142857142858</v>
      </c>
      <c r="E50" s="49">
        <f>'Avg Week Kyebando-Mulago'!E50+'Avg Week Mulago-Kyebando'!E50</f>
        <v>17.142857142857142</v>
      </c>
      <c r="F50" s="49">
        <f>'Avg Week Kyebando-Mulago'!F50+'Avg Week Mulago-Kyebando'!F50</f>
        <v>28.285714285714285</v>
      </c>
      <c r="G50" s="49">
        <f>'Avg Week Kyebando-Mulago'!G50+'Avg Week Mulago-Kyebando'!G50</f>
        <v>0.8571428571428571</v>
      </c>
      <c r="H50" s="49">
        <f>'Avg Week Kyebando-Mulago'!H50+'Avg Week Mulago-Kyebando'!H50</f>
        <v>0</v>
      </c>
      <c r="I50" s="49">
        <f>'Avg Week Kyebando-Mulago'!I50+'Avg Week Mulago-Kyebando'!I50</f>
        <v>8</v>
      </c>
      <c r="J50" s="49">
        <f>'Avg Week Kyebando-Mulago'!J50+'Avg Week Mulago-Kyebando'!J50</f>
        <v>1.4285714285714286</v>
      </c>
      <c r="K50" s="49">
        <f>'Avg Week Kyebando-Mulago'!K50+'Avg Week Mulago-Kyebando'!K50</f>
        <v>0</v>
      </c>
      <c r="L50" s="49">
        <f>'Avg Week Kyebando-Mulago'!L50+'Avg Week Mulago-Kyebando'!L50</f>
        <v>0</v>
      </c>
      <c r="M50" s="49">
        <f>'Avg Week Kyebando-Mulago'!M50+'Avg Week Mulago-Kyebando'!M50</f>
        <v>195.57142857142856</v>
      </c>
      <c r="N50" s="49">
        <f>'Avg Week Kyebando-Mulago'!N50+'Avg Week Mulago-Kyebando'!N50</f>
        <v>0</v>
      </c>
      <c r="O50" s="15">
        <f t="shared" si="0"/>
        <v>245.85714285714283</v>
      </c>
      <c r="P50" s="15">
        <f t="shared" si="1"/>
        <v>441.42857142857139</v>
      </c>
    </row>
    <row r="51" spans="2:20" ht="23.1" customHeight="1" x14ac:dyDescent="0.25">
      <c r="B51" s="24" t="s">
        <v>78</v>
      </c>
      <c r="C51" s="49">
        <f>'Avg Week Kyebando-Mulago'!C51+'Avg Week Mulago-Kyebando'!C51</f>
        <v>168.71428571428572</v>
      </c>
      <c r="D51" s="49">
        <f>'Avg Week Kyebando-Mulago'!D51+'Avg Week Mulago-Kyebando'!D51</f>
        <v>23.714285714285715</v>
      </c>
      <c r="E51" s="49">
        <f>'Avg Week Kyebando-Mulago'!E51+'Avg Week Mulago-Kyebando'!E51</f>
        <v>16.571428571428573</v>
      </c>
      <c r="F51" s="49">
        <f>'Avg Week Kyebando-Mulago'!F51+'Avg Week Mulago-Kyebando'!F51</f>
        <v>27.142857142857146</v>
      </c>
      <c r="G51" s="49">
        <f>'Avg Week Kyebando-Mulago'!G51+'Avg Week Mulago-Kyebando'!G51</f>
        <v>0.71428571428571419</v>
      </c>
      <c r="H51" s="49">
        <f>'Avg Week Kyebando-Mulago'!H51+'Avg Week Mulago-Kyebando'!H51</f>
        <v>0.14285714285714285</v>
      </c>
      <c r="I51" s="49">
        <f>'Avg Week Kyebando-Mulago'!I51+'Avg Week Mulago-Kyebando'!I51</f>
        <v>7</v>
      </c>
      <c r="J51" s="49">
        <f>'Avg Week Kyebando-Mulago'!J51+'Avg Week Mulago-Kyebando'!J51</f>
        <v>0.5714285714285714</v>
      </c>
      <c r="K51" s="49">
        <f>'Avg Week Kyebando-Mulago'!K51+'Avg Week Mulago-Kyebando'!K51</f>
        <v>0.71428571428571419</v>
      </c>
      <c r="L51" s="49">
        <f>'Avg Week Kyebando-Mulago'!L51+'Avg Week Mulago-Kyebando'!L51</f>
        <v>0</v>
      </c>
      <c r="M51" s="49">
        <f>'Avg Week Kyebando-Mulago'!M51+'Avg Week Mulago-Kyebando'!M51</f>
        <v>211.85714285714286</v>
      </c>
      <c r="N51" s="49">
        <f>'Avg Week Kyebando-Mulago'!N51+'Avg Week Mulago-Kyebando'!N51</f>
        <v>0</v>
      </c>
      <c r="O51" s="15">
        <f t="shared" si="0"/>
        <v>245.28571428571433</v>
      </c>
      <c r="P51" s="15">
        <f t="shared" si="1"/>
        <v>457.14285714285722</v>
      </c>
    </row>
    <row r="52" spans="2:20" ht="23.1" customHeight="1" x14ac:dyDescent="0.25">
      <c r="B52" s="24" t="s">
        <v>79</v>
      </c>
      <c r="C52" s="49">
        <f>'Avg Week Kyebando-Mulago'!C52+'Avg Week Mulago-Kyebando'!C52</f>
        <v>184.85714285714283</v>
      </c>
      <c r="D52" s="49">
        <f>'Avg Week Kyebando-Mulago'!D52+'Avg Week Mulago-Kyebando'!D52</f>
        <v>29.428571428571427</v>
      </c>
      <c r="E52" s="49">
        <f>'Avg Week Kyebando-Mulago'!E52+'Avg Week Mulago-Kyebando'!E52</f>
        <v>20.285714285714285</v>
      </c>
      <c r="F52" s="49">
        <f>'Avg Week Kyebando-Mulago'!F52+'Avg Week Mulago-Kyebando'!F52</f>
        <v>28.571428571428569</v>
      </c>
      <c r="G52" s="49">
        <f>'Avg Week Kyebando-Mulago'!G52+'Avg Week Mulago-Kyebando'!G52</f>
        <v>1.4285714285714286</v>
      </c>
      <c r="H52" s="49">
        <f>'Avg Week Kyebando-Mulago'!H52+'Avg Week Mulago-Kyebando'!H52</f>
        <v>0.2857142857142857</v>
      </c>
      <c r="I52" s="49">
        <f>'Avg Week Kyebando-Mulago'!I52+'Avg Week Mulago-Kyebando'!I52</f>
        <v>8.2857142857142847</v>
      </c>
      <c r="J52" s="49">
        <f>'Avg Week Kyebando-Mulago'!J52+'Avg Week Mulago-Kyebando'!J52</f>
        <v>2.8571428571428572</v>
      </c>
      <c r="K52" s="49">
        <f>'Avg Week Kyebando-Mulago'!K52+'Avg Week Mulago-Kyebando'!K52</f>
        <v>0.14285714285714285</v>
      </c>
      <c r="L52" s="49">
        <f>'Avg Week Kyebando-Mulago'!L52+'Avg Week Mulago-Kyebando'!L52</f>
        <v>0</v>
      </c>
      <c r="M52" s="49">
        <f>'Avg Week Kyebando-Mulago'!M52+'Avg Week Mulago-Kyebando'!M52</f>
        <v>248.57142857142856</v>
      </c>
      <c r="N52" s="49">
        <f>'Avg Week Kyebando-Mulago'!N52+'Avg Week Mulago-Kyebando'!N52</f>
        <v>0</v>
      </c>
      <c r="O52" s="15">
        <f t="shared" si="0"/>
        <v>276.14285714285711</v>
      </c>
      <c r="P52" s="15">
        <f t="shared" si="1"/>
        <v>524.71428571428567</v>
      </c>
    </row>
    <row r="53" spans="2:20" ht="23.1" customHeight="1" x14ac:dyDescent="0.25">
      <c r="B53" s="23" t="s">
        <v>80</v>
      </c>
      <c r="C53" s="49">
        <f>'Avg Week Kyebando-Mulago'!C53+'Avg Week Mulago-Kyebando'!C53</f>
        <v>156.71428571428572</v>
      </c>
      <c r="D53" s="49">
        <f>'Avg Week Kyebando-Mulago'!D53+'Avg Week Mulago-Kyebando'!D53</f>
        <v>20</v>
      </c>
      <c r="E53" s="49">
        <f>'Avg Week Kyebando-Mulago'!E53+'Avg Week Mulago-Kyebando'!E53</f>
        <v>15.714285714285715</v>
      </c>
      <c r="F53" s="49">
        <f>'Avg Week Kyebando-Mulago'!F53+'Avg Week Mulago-Kyebando'!F53</f>
        <v>18.142857142857142</v>
      </c>
      <c r="G53" s="49">
        <f>'Avg Week Kyebando-Mulago'!G53+'Avg Week Mulago-Kyebando'!G53</f>
        <v>0.71428571428571419</v>
      </c>
      <c r="H53" s="49">
        <f>'Avg Week Kyebando-Mulago'!H53+'Avg Week Mulago-Kyebando'!H53</f>
        <v>0.14285714285714285</v>
      </c>
      <c r="I53" s="49">
        <f>'Avg Week Kyebando-Mulago'!I53+'Avg Week Mulago-Kyebando'!I53</f>
        <v>6.8571428571428577</v>
      </c>
      <c r="J53" s="49">
        <f>'Avg Week Kyebando-Mulago'!J53+'Avg Week Mulago-Kyebando'!J53</f>
        <v>1</v>
      </c>
      <c r="K53" s="49">
        <f>'Avg Week Kyebando-Mulago'!K53+'Avg Week Mulago-Kyebando'!K53</f>
        <v>0.2857142857142857</v>
      </c>
      <c r="L53" s="49">
        <f>'Avg Week Kyebando-Mulago'!L53+'Avg Week Mulago-Kyebando'!L53</f>
        <v>0</v>
      </c>
      <c r="M53" s="49">
        <f>'Avg Week Kyebando-Mulago'!M53+'Avg Week Mulago-Kyebando'!M53</f>
        <v>211.71428571428572</v>
      </c>
      <c r="N53" s="49">
        <f>'Avg Week Kyebando-Mulago'!N53+'Avg Week Mulago-Kyebando'!N53</f>
        <v>0</v>
      </c>
      <c r="O53" s="15">
        <f t="shared" si="0"/>
        <v>219.57142857142858</v>
      </c>
      <c r="P53" s="15">
        <f t="shared" si="1"/>
        <v>431.28571428571433</v>
      </c>
    </row>
    <row r="54" spans="2:20" ht="23.1" customHeight="1" x14ac:dyDescent="0.25">
      <c r="B54" s="23" t="s">
        <v>81</v>
      </c>
      <c r="C54" s="49">
        <f>'Avg Week Kyebando-Mulago'!C54+'Avg Week Mulago-Kyebando'!C54</f>
        <v>150.28571428571428</v>
      </c>
      <c r="D54" s="49">
        <f>'Avg Week Kyebando-Mulago'!D54+'Avg Week Mulago-Kyebando'!D54</f>
        <v>24.714285714285715</v>
      </c>
      <c r="E54" s="49">
        <f>'Avg Week Kyebando-Mulago'!E54+'Avg Week Mulago-Kyebando'!E54</f>
        <v>15.571428571428573</v>
      </c>
      <c r="F54" s="49">
        <f>'Avg Week Kyebando-Mulago'!F54+'Avg Week Mulago-Kyebando'!F54</f>
        <v>27.857142857142858</v>
      </c>
      <c r="G54" s="49">
        <f>'Avg Week Kyebando-Mulago'!G54+'Avg Week Mulago-Kyebando'!G54</f>
        <v>1.1428571428571428</v>
      </c>
      <c r="H54" s="49">
        <f>'Avg Week Kyebando-Mulago'!H54+'Avg Week Mulago-Kyebando'!H54</f>
        <v>0.14285714285714285</v>
      </c>
      <c r="I54" s="49">
        <f>'Avg Week Kyebando-Mulago'!I54+'Avg Week Mulago-Kyebando'!I54</f>
        <v>6.1428571428571423</v>
      </c>
      <c r="J54" s="49">
        <f>'Avg Week Kyebando-Mulago'!J54+'Avg Week Mulago-Kyebando'!J54</f>
        <v>2.5714285714285712</v>
      </c>
      <c r="K54" s="49">
        <f>'Avg Week Kyebando-Mulago'!K54+'Avg Week Mulago-Kyebando'!K54</f>
        <v>0</v>
      </c>
      <c r="L54" s="49">
        <f>'Avg Week Kyebando-Mulago'!L54+'Avg Week Mulago-Kyebando'!L54</f>
        <v>0</v>
      </c>
      <c r="M54" s="49">
        <f>'Avg Week Kyebando-Mulago'!M54+'Avg Week Mulago-Kyebando'!M54</f>
        <v>225.14285714285714</v>
      </c>
      <c r="N54" s="49">
        <f>'Avg Week Kyebando-Mulago'!N54+'Avg Week Mulago-Kyebando'!N54</f>
        <v>0</v>
      </c>
      <c r="O54" s="15">
        <f t="shared" si="0"/>
        <v>228.42857142857144</v>
      </c>
      <c r="P54" s="15">
        <f t="shared" si="1"/>
        <v>453.57142857142856</v>
      </c>
    </row>
    <row r="55" spans="2:20" ht="23.1" customHeight="1" x14ac:dyDescent="0.25">
      <c r="B55" s="23" t="s">
        <v>82</v>
      </c>
      <c r="C55" s="49">
        <f>'Avg Week Kyebando-Mulago'!C55+'Avg Week Mulago-Kyebando'!C55</f>
        <v>151.71428571428572</v>
      </c>
      <c r="D55" s="49">
        <f>'Avg Week Kyebando-Mulago'!D55+'Avg Week Mulago-Kyebando'!D55</f>
        <v>16</v>
      </c>
      <c r="E55" s="49">
        <f>'Avg Week Kyebando-Mulago'!E55+'Avg Week Mulago-Kyebando'!E55</f>
        <v>12</v>
      </c>
      <c r="F55" s="49">
        <f>'Avg Week Kyebando-Mulago'!F55+'Avg Week Mulago-Kyebando'!F55</f>
        <v>26.428571428571427</v>
      </c>
      <c r="G55" s="49">
        <f>'Avg Week Kyebando-Mulago'!G55+'Avg Week Mulago-Kyebando'!G55</f>
        <v>0.2857142857142857</v>
      </c>
      <c r="H55" s="49">
        <f>'Avg Week Kyebando-Mulago'!H55+'Avg Week Mulago-Kyebando'!H55</f>
        <v>0.2857142857142857</v>
      </c>
      <c r="I55" s="49">
        <f>'Avg Week Kyebando-Mulago'!I55+'Avg Week Mulago-Kyebando'!I55</f>
        <v>6.1428571428571423</v>
      </c>
      <c r="J55" s="49">
        <f>'Avg Week Kyebando-Mulago'!J55+'Avg Week Mulago-Kyebando'!J55</f>
        <v>0.71428571428571419</v>
      </c>
      <c r="K55" s="49">
        <f>'Avg Week Kyebando-Mulago'!K55+'Avg Week Mulago-Kyebando'!K55</f>
        <v>0.2857142857142857</v>
      </c>
      <c r="L55" s="49">
        <f>'Avg Week Kyebando-Mulago'!L55+'Avg Week Mulago-Kyebando'!L55</f>
        <v>0</v>
      </c>
      <c r="M55" s="49">
        <f>'Avg Week Kyebando-Mulago'!M55+'Avg Week Mulago-Kyebando'!M55</f>
        <v>207.57142857142856</v>
      </c>
      <c r="N55" s="49">
        <f>'Avg Week Kyebando-Mulago'!N55+'Avg Week Mulago-Kyebando'!N55</f>
        <v>0</v>
      </c>
      <c r="O55" s="15">
        <f t="shared" si="0"/>
        <v>213.85714285714283</v>
      </c>
      <c r="P55" s="15">
        <f t="shared" si="1"/>
        <v>421.42857142857139</v>
      </c>
      <c r="R55" s="8"/>
      <c r="T55"/>
    </row>
    <row r="56" spans="2:20" ht="23.1" customHeight="1" x14ac:dyDescent="0.25">
      <c r="B56" s="23" t="s">
        <v>83</v>
      </c>
      <c r="C56" s="49">
        <f>'Avg Week Kyebando-Mulago'!C56+'Avg Week Mulago-Kyebando'!C56</f>
        <v>140.28571428571428</v>
      </c>
      <c r="D56" s="49">
        <f>'Avg Week Kyebando-Mulago'!D56+'Avg Week Mulago-Kyebando'!D56</f>
        <v>21.428571428571431</v>
      </c>
      <c r="E56" s="49">
        <f>'Avg Week Kyebando-Mulago'!E56+'Avg Week Mulago-Kyebando'!E56</f>
        <v>11.428571428571427</v>
      </c>
      <c r="F56" s="49">
        <f>'Avg Week Kyebando-Mulago'!F56+'Avg Week Mulago-Kyebando'!F56</f>
        <v>28.571428571428569</v>
      </c>
      <c r="G56" s="49">
        <f>'Avg Week Kyebando-Mulago'!G56+'Avg Week Mulago-Kyebando'!G56</f>
        <v>0.71428571428571419</v>
      </c>
      <c r="H56" s="49">
        <f>'Avg Week Kyebando-Mulago'!H56+'Avg Week Mulago-Kyebando'!H56</f>
        <v>0.14285714285714285</v>
      </c>
      <c r="I56" s="49">
        <f>'Avg Week Kyebando-Mulago'!I56+'Avg Week Mulago-Kyebando'!I56</f>
        <v>6.7142857142857135</v>
      </c>
      <c r="J56" s="49">
        <f>'Avg Week Kyebando-Mulago'!J56+'Avg Week Mulago-Kyebando'!J56</f>
        <v>1.1428571428571428</v>
      </c>
      <c r="K56" s="49">
        <f>'Avg Week Kyebando-Mulago'!K56+'Avg Week Mulago-Kyebando'!K56</f>
        <v>0.14285714285714285</v>
      </c>
      <c r="L56" s="49">
        <f>'Avg Week Kyebando-Mulago'!L56+'Avg Week Mulago-Kyebando'!L56</f>
        <v>0</v>
      </c>
      <c r="M56" s="49">
        <f>'Avg Week Kyebando-Mulago'!M56+'Avg Week Mulago-Kyebando'!M56</f>
        <v>200.85714285714286</v>
      </c>
      <c r="N56" s="49">
        <f>'Avg Week Kyebando-Mulago'!N56+'Avg Week Mulago-Kyebando'!N56</f>
        <v>0</v>
      </c>
      <c r="O56" s="15">
        <f t="shared" si="0"/>
        <v>210.57142857142858</v>
      </c>
      <c r="P56" s="15">
        <f t="shared" si="1"/>
        <v>411.42857142857144</v>
      </c>
      <c r="R56" s="8"/>
      <c r="T56"/>
    </row>
    <row r="57" spans="2:20" ht="23.1" customHeight="1" x14ac:dyDescent="0.25">
      <c r="B57" s="23" t="s">
        <v>84</v>
      </c>
      <c r="C57" s="49">
        <f>'Avg Week Kyebando-Mulago'!C57+'Avg Week Mulago-Kyebando'!C57</f>
        <v>119.14285714285714</v>
      </c>
      <c r="D57" s="49">
        <f>'Avg Week Kyebando-Mulago'!D57+'Avg Week Mulago-Kyebando'!D57</f>
        <v>17.142857142857142</v>
      </c>
      <c r="E57" s="49">
        <f>'Avg Week Kyebando-Mulago'!E57+'Avg Week Mulago-Kyebando'!E57</f>
        <v>10.571428571428571</v>
      </c>
      <c r="F57" s="49">
        <f>'Avg Week Kyebando-Mulago'!F57+'Avg Week Mulago-Kyebando'!F57</f>
        <v>28.142857142857142</v>
      </c>
      <c r="G57" s="49">
        <f>'Avg Week Kyebando-Mulago'!G57+'Avg Week Mulago-Kyebando'!G57</f>
        <v>1</v>
      </c>
      <c r="H57" s="49">
        <f>'Avg Week Kyebando-Mulago'!H57+'Avg Week Mulago-Kyebando'!H57</f>
        <v>0.14285714285714285</v>
      </c>
      <c r="I57" s="49">
        <f>'Avg Week Kyebando-Mulago'!I57+'Avg Week Mulago-Kyebando'!I57</f>
        <v>5.4285714285714288</v>
      </c>
      <c r="J57" s="49">
        <f>'Avg Week Kyebando-Mulago'!J57+'Avg Week Mulago-Kyebando'!J57</f>
        <v>0.71428571428571419</v>
      </c>
      <c r="K57" s="49">
        <f>'Avg Week Kyebando-Mulago'!K57+'Avg Week Mulago-Kyebando'!K57</f>
        <v>0</v>
      </c>
      <c r="L57" s="49">
        <f>'Avg Week Kyebando-Mulago'!L57+'Avg Week Mulago-Kyebando'!L57</f>
        <v>0</v>
      </c>
      <c r="M57" s="49">
        <f>'Avg Week Kyebando-Mulago'!M57+'Avg Week Mulago-Kyebando'!M57</f>
        <v>205.71428571428572</v>
      </c>
      <c r="N57" s="49">
        <f>'Avg Week Kyebando-Mulago'!N57+'Avg Week Mulago-Kyebando'!N57</f>
        <v>0</v>
      </c>
      <c r="O57" s="15">
        <f t="shared" si="0"/>
        <v>182.28571428571428</v>
      </c>
      <c r="P57" s="15">
        <f t="shared" si="1"/>
        <v>388</v>
      </c>
      <c r="R57" s="8"/>
      <c r="T57"/>
    </row>
    <row r="58" spans="2:20" ht="23.1" customHeight="1" x14ac:dyDescent="0.25">
      <c r="B58" s="23" t="s">
        <v>99</v>
      </c>
      <c r="C58" s="49">
        <f>'Avg Week Kyebando-Mulago'!C58+'Avg Week Mulago-Kyebando'!C58</f>
        <v>163.5</v>
      </c>
      <c r="D58" s="49">
        <f>'Avg Week Kyebando-Mulago'!D58+'Avg Week Mulago-Kyebando'!D58</f>
        <v>11.5</v>
      </c>
      <c r="E58" s="49">
        <f>'Avg Week Kyebando-Mulago'!E58+'Avg Week Mulago-Kyebando'!E58</f>
        <v>15.5</v>
      </c>
      <c r="F58" s="49">
        <f>'Avg Week Kyebando-Mulago'!F58+'Avg Week Mulago-Kyebando'!F58</f>
        <v>33.5</v>
      </c>
      <c r="G58" s="49">
        <f>'Avg Week Kyebando-Mulago'!G58+'Avg Week Mulago-Kyebando'!G58</f>
        <v>1</v>
      </c>
      <c r="H58" s="49">
        <f>'Avg Week Kyebando-Mulago'!H58+'Avg Week Mulago-Kyebando'!H58</f>
        <v>0.5</v>
      </c>
      <c r="I58" s="49">
        <f>'Avg Week Kyebando-Mulago'!I58+'Avg Week Mulago-Kyebando'!I58</f>
        <v>7</v>
      </c>
      <c r="J58" s="49">
        <f>'Avg Week Kyebando-Mulago'!J58+'Avg Week Mulago-Kyebando'!J58</f>
        <v>1</v>
      </c>
      <c r="K58" s="49">
        <f>'Avg Week Kyebando-Mulago'!K58+'Avg Week Mulago-Kyebando'!K58</f>
        <v>0.5</v>
      </c>
      <c r="L58" s="49">
        <f>'Avg Week Kyebando-Mulago'!L58+'Avg Week Mulago-Kyebando'!L58</f>
        <v>0</v>
      </c>
      <c r="M58" s="49">
        <f>'Avg Week Kyebando-Mulago'!M58+'Avg Week Mulago-Kyebando'!M58</f>
        <v>239</v>
      </c>
      <c r="N58" s="49">
        <f>'Avg Week Kyebando-Mulago'!N58+'Avg Week Mulago-Kyebando'!N58</f>
        <v>0</v>
      </c>
      <c r="O58" s="15">
        <f t="shared" si="0"/>
        <v>234</v>
      </c>
      <c r="P58" s="15">
        <f t="shared" si="1"/>
        <v>473</v>
      </c>
      <c r="R58" s="8"/>
      <c r="T58"/>
    </row>
    <row r="59" spans="2:20" ht="23.1" customHeight="1" x14ac:dyDescent="0.25">
      <c r="B59" s="23" t="s">
        <v>100</v>
      </c>
      <c r="C59" s="49">
        <f>'Avg Week Kyebando-Mulago'!C59+'Avg Week Mulago-Kyebando'!C59</f>
        <v>180.5</v>
      </c>
      <c r="D59" s="49">
        <f>'Avg Week Kyebando-Mulago'!D59+'Avg Week Mulago-Kyebando'!D59</f>
        <v>19.5</v>
      </c>
      <c r="E59" s="49">
        <f>'Avg Week Kyebando-Mulago'!E59+'Avg Week Mulago-Kyebando'!E59</f>
        <v>15</v>
      </c>
      <c r="F59" s="49">
        <f>'Avg Week Kyebando-Mulago'!F59+'Avg Week Mulago-Kyebando'!F59</f>
        <v>49.5</v>
      </c>
      <c r="G59" s="49">
        <f>'Avg Week Kyebando-Mulago'!G59+'Avg Week Mulago-Kyebando'!G59</f>
        <v>1</v>
      </c>
      <c r="H59" s="49">
        <f>'Avg Week Kyebando-Mulago'!H59+'Avg Week Mulago-Kyebando'!H59</f>
        <v>1</v>
      </c>
      <c r="I59" s="49">
        <f>'Avg Week Kyebando-Mulago'!I59+'Avg Week Mulago-Kyebando'!I59</f>
        <v>6</v>
      </c>
      <c r="J59" s="49">
        <f>'Avg Week Kyebando-Mulago'!J59+'Avg Week Mulago-Kyebando'!J59</f>
        <v>2</v>
      </c>
      <c r="K59" s="49">
        <f>'Avg Week Kyebando-Mulago'!K59+'Avg Week Mulago-Kyebando'!K59</f>
        <v>0</v>
      </c>
      <c r="L59" s="49">
        <f>'Avg Week Kyebando-Mulago'!L59+'Avg Week Mulago-Kyebando'!L59</f>
        <v>0</v>
      </c>
      <c r="M59" s="49">
        <f>'Avg Week Kyebando-Mulago'!M59+'Avg Week Mulago-Kyebando'!M59</f>
        <v>229</v>
      </c>
      <c r="N59" s="49">
        <f>'Avg Week Kyebando-Mulago'!N59+'Avg Week Mulago-Kyebando'!N59</f>
        <v>0</v>
      </c>
      <c r="O59" s="15">
        <f t="shared" si="0"/>
        <v>274.5</v>
      </c>
      <c r="P59" s="15">
        <f t="shared" si="1"/>
        <v>503.5</v>
      </c>
      <c r="R59" s="8"/>
      <c r="T59"/>
    </row>
    <row r="60" spans="2:20" ht="23.1" customHeight="1" x14ac:dyDescent="0.25">
      <c r="B60" s="23" t="s">
        <v>101</v>
      </c>
      <c r="C60" s="49">
        <f>'Avg Week Kyebando-Mulago'!C60+'Avg Week Mulago-Kyebando'!C60</f>
        <v>171</v>
      </c>
      <c r="D60" s="49">
        <f>'Avg Week Kyebando-Mulago'!D60+'Avg Week Mulago-Kyebando'!D60</f>
        <v>14</v>
      </c>
      <c r="E60" s="49">
        <f>'Avg Week Kyebando-Mulago'!E60+'Avg Week Mulago-Kyebando'!E60</f>
        <v>27.5</v>
      </c>
      <c r="F60" s="49">
        <f>'Avg Week Kyebando-Mulago'!F60+'Avg Week Mulago-Kyebando'!F60</f>
        <v>57.5</v>
      </c>
      <c r="G60" s="49">
        <f>'Avg Week Kyebando-Mulago'!G60+'Avg Week Mulago-Kyebando'!G60</f>
        <v>0.5</v>
      </c>
      <c r="H60" s="49">
        <f>'Avg Week Kyebando-Mulago'!H60+'Avg Week Mulago-Kyebando'!H60</f>
        <v>1.5</v>
      </c>
      <c r="I60" s="49">
        <f>'Avg Week Kyebando-Mulago'!I60+'Avg Week Mulago-Kyebando'!I60</f>
        <v>7</v>
      </c>
      <c r="J60" s="49">
        <f>'Avg Week Kyebando-Mulago'!J60+'Avg Week Mulago-Kyebando'!J60</f>
        <v>2.5</v>
      </c>
      <c r="K60" s="49">
        <f>'Avg Week Kyebando-Mulago'!K60+'Avg Week Mulago-Kyebando'!K60</f>
        <v>0</v>
      </c>
      <c r="L60" s="49">
        <f>'Avg Week Kyebando-Mulago'!L60+'Avg Week Mulago-Kyebando'!L60</f>
        <v>0</v>
      </c>
      <c r="M60" s="49">
        <f>'Avg Week Kyebando-Mulago'!M60+'Avg Week Mulago-Kyebando'!M60</f>
        <v>315.5</v>
      </c>
      <c r="N60" s="49">
        <f>'Avg Week Kyebando-Mulago'!N60+'Avg Week Mulago-Kyebando'!N60</f>
        <v>0</v>
      </c>
      <c r="O60" s="15">
        <f t="shared" si="0"/>
        <v>281.5</v>
      </c>
      <c r="P60" s="15">
        <f t="shared" si="1"/>
        <v>597</v>
      </c>
      <c r="R60" s="8"/>
      <c r="T60"/>
    </row>
    <row r="61" spans="2:20" ht="23.1" customHeight="1" x14ac:dyDescent="0.25">
      <c r="B61" s="23" t="s">
        <v>102</v>
      </c>
      <c r="C61" s="49">
        <f>'Avg Week Kyebando-Mulago'!C61+'Avg Week Mulago-Kyebando'!C61</f>
        <v>153</v>
      </c>
      <c r="D61" s="49">
        <f>'Avg Week Kyebando-Mulago'!D61+'Avg Week Mulago-Kyebando'!D61</f>
        <v>16</v>
      </c>
      <c r="E61" s="49">
        <f>'Avg Week Kyebando-Mulago'!E61+'Avg Week Mulago-Kyebando'!E61</f>
        <v>21</v>
      </c>
      <c r="F61" s="49">
        <f>'Avg Week Kyebando-Mulago'!F61+'Avg Week Mulago-Kyebando'!F61</f>
        <v>60</v>
      </c>
      <c r="G61" s="49">
        <f>'Avg Week Kyebando-Mulago'!G61+'Avg Week Mulago-Kyebando'!G61</f>
        <v>1</v>
      </c>
      <c r="H61" s="49">
        <f>'Avg Week Kyebando-Mulago'!H61+'Avg Week Mulago-Kyebando'!H61</f>
        <v>0.5</v>
      </c>
      <c r="I61" s="49">
        <f>'Avg Week Kyebando-Mulago'!I61+'Avg Week Mulago-Kyebando'!I61</f>
        <v>8</v>
      </c>
      <c r="J61" s="49">
        <f>'Avg Week Kyebando-Mulago'!J61+'Avg Week Mulago-Kyebando'!J61</f>
        <v>2.5</v>
      </c>
      <c r="K61" s="49">
        <f>'Avg Week Kyebando-Mulago'!K61+'Avg Week Mulago-Kyebando'!K61</f>
        <v>1</v>
      </c>
      <c r="L61" s="49">
        <f>'Avg Week Kyebando-Mulago'!L61+'Avg Week Mulago-Kyebando'!L61</f>
        <v>0</v>
      </c>
      <c r="M61" s="49">
        <f>'Avg Week Kyebando-Mulago'!M61+'Avg Week Mulago-Kyebando'!M61</f>
        <v>283</v>
      </c>
      <c r="N61" s="49">
        <f>'Avg Week Kyebando-Mulago'!N61+'Avg Week Mulago-Kyebando'!N61</f>
        <v>0</v>
      </c>
      <c r="O61" s="15">
        <f t="shared" si="0"/>
        <v>263</v>
      </c>
      <c r="P61" s="15">
        <f t="shared" si="1"/>
        <v>546</v>
      </c>
      <c r="R61" s="8"/>
      <c r="T61"/>
    </row>
    <row r="62" spans="2:20" ht="23.1" customHeight="1" x14ac:dyDescent="0.25">
      <c r="B62" s="23" t="s">
        <v>107</v>
      </c>
      <c r="C62" s="49">
        <f>'Avg Week Kyebando-Mulago'!C62+'Avg Week Mulago-Kyebando'!C62</f>
        <v>233</v>
      </c>
      <c r="D62" s="49">
        <f>'Avg Week Kyebando-Mulago'!D62+'Avg Week Mulago-Kyebando'!D62</f>
        <v>17</v>
      </c>
      <c r="E62" s="49">
        <f>'Avg Week Kyebando-Mulago'!E62+'Avg Week Mulago-Kyebando'!E62</f>
        <v>19.5</v>
      </c>
      <c r="F62" s="49">
        <f>'Avg Week Kyebando-Mulago'!F62+'Avg Week Mulago-Kyebando'!F62</f>
        <v>66.5</v>
      </c>
      <c r="G62" s="49">
        <f>'Avg Week Kyebando-Mulago'!G62+'Avg Week Mulago-Kyebando'!G62</f>
        <v>1.5</v>
      </c>
      <c r="H62" s="49">
        <f>'Avg Week Kyebando-Mulago'!H62+'Avg Week Mulago-Kyebando'!H62</f>
        <v>0</v>
      </c>
      <c r="I62" s="49">
        <f>'Avg Week Kyebando-Mulago'!I62+'Avg Week Mulago-Kyebando'!I62</f>
        <v>9.5</v>
      </c>
      <c r="J62" s="49">
        <f>'Avg Week Kyebando-Mulago'!J62+'Avg Week Mulago-Kyebando'!J62</f>
        <v>1</v>
      </c>
      <c r="K62" s="49">
        <f>'Avg Week Kyebando-Mulago'!K62+'Avg Week Mulago-Kyebando'!K62</f>
        <v>0</v>
      </c>
      <c r="L62" s="49">
        <f>'Avg Week Kyebando-Mulago'!L62+'Avg Week Mulago-Kyebando'!L62</f>
        <v>0</v>
      </c>
      <c r="M62" s="49">
        <f>'Avg Week Kyebando-Mulago'!M62+'Avg Week Mulago-Kyebando'!M62</f>
        <v>301</v>
      </c>
      <c r="N62" s="49">
        <f>'Avg Week Kyebando-Mulago'!N62+'Avg Week Mulago-Kyebando'!N62</f>
        <v>0</v>
      </c>
      <c r="O62" s="15">
        <f t="shared" si="0"/>
        <v>348</v>
      </c>
      <c r="P62" s="15">
        <f t="shared" si="1"/>
        <v>649</v>
      </c>
      <c r="R62" s="8"/>
      <c r="T62"/>
    </row>
    <row r="63" spans="2:20" ht="23.1" customHeight="1" x14ac:dyDescent="0.25">
      <c r="B63" s="23" t="s">
        <v>108</v>
      </c>
      <c r="C63" s="49">
        <f>'Avg Week Kyebando-Mulago'!C63+'Avg Week Mulago-Kyebando'!C63</f>
        <v>157</v>
      </c>
      <c r="D63" s="49">
        <f>'Avg Week Kyebando-Mulago'!D63+'Avg Week Mulago-Kyebando'!D63</f>
        <v>14.5</v>
      </c>
      <c r="E63" s="49">
        <f>'Avg Week Kyebando-Mulago'!E63+'Avg Week Mulago-Kyebando'!E63</f>
        <v>19</v>
      </c>
      <c r="F63" s="49">
        <f>'Avg Week Kyebando-Mulago'!F63+'Avg Week Mulago-Kyebando'!F63</f>
        <v>56.5</v>
      </c>
      <c r="G63" s="49">
        <f>'Avg Week Kyebando-Mulago'!G63+'Avg Week Mulago-Kyebando'!G63</f>
        <v>1</v>
      </c>
      <c r="H63" s="49">
        <f>'Avg Week Kyebando-Mulago'!H63+'Avg Week Mulago-Kyebando'!H63</f>
        <v>1</v>
      </c>
      <c r="I63" s="49">
        <f>'Avg Week Kyebando-Mulago'!I63+'Avg Week Mulago-Kyebando'!I63</f>
        <v>12</v>
      </c>
      <c r="J63" s="49">
        <f>'Avg Week Kyebando-Mulago'!J63+'Avg Week Mulago-Kyebando'!J63</f>
        <v>0.5</v>
      </c>
      <c r="K63" s="49">
        <f>'Avg Week Kyebando-Mulago'!K63+'Avg Week Mulago-Kyebando'!K63</f>
        <v>0</v>
      </c>
      <c r="L63" s="49">
        <f>'Avg Week Kyebando-Mulago'!L63+'Avg Week Mulago-Kyebando'!L63</f>
        <v>0</v>
      </c>
      <c r="M63" s="49">
        <f>'Avg Week Kyebando-Mulago'!M63+'Avg Week Mulago-Kyebando'!M63</f>
        <v>259.5</v>
      </c>
      <c r="N63" s="49">
        <f>'Avg Week Kyebando-Mulago'!N63+'Avg Week Mulago-Kyebando'!N63</f>
        <v>0</v>
      </c>
      <c r="O63" s="15">
        <f t="shared" si="0"/>
        <v>261.5</v>
      </c>
      <c r="P63" s="15">
        <f t="shared" si="1"/>
        <v>521</v>
      </c>
      <c r="R63" s="8"/>
      <c r="T63"/>
    </row>
    <row r="64" spans="2:20" ht="23.1" customHeight="1" x14ac:dyDescent="0.25">
      <c r="B64" s="23" t="s">
        <v>109</v>
      </c>
      <c r="C64" s="49">
        <f>'Avg Week Kyebando-Mulago'!C64+'Avg Week Mulago-Kyebando'!C64</f>
        <v>138.5</v>
      </c>
      <c r="D64" s="49">
        <f>'Avg Week Kyebando-Mulago'!D64+'Avg Week Mulago-Kyebando'!D64</f>
        <v>15</v>
      </c>
      <c r="E64" s="49">
        <f>'Avg Week Kyebando-Mulago'!E64+'Avg Week Mulago-Kyebando'!E64</f>
        <v>18</v>
      </c>
      <c r="F64" s="49">
        <f>'Avg Week Kyebando-Mulago'!F64+'Avg Week Mulago-Kyebando'!F64</f>
        <v>66</v>
      </c>
      <c r="G64" s="49">
        <f>'Avg Week Kyebando-Mulago'!G64+'Avg Week Mulago-Kyebando'!G64</f>
        <v>1</v>
      </c>
      <c r="H64" s="49">
        <f>'Avg Week Kyebando-Mulago'!H64+'Avg Week Mulago-Kyebando'!H64</f>
        <v>2.5</v>
      </c>
      <c r="I64" s="49">
        <f>'Avg Week Kyebando-Mulago'!I64+'Avg Week Mulago-Kyebando'!I64</f>
        <v>5.5</v>
      </c>
      <c r="J64" s="49">
        <f>'Avg Week Kyebando-Mulago'!J64+'Avg Week Mulago-Kyebando'!J64</f>
        <v>1</v>
      </c>
      <c r="K64" s="49">
        <f>'Avg Week Kyebando-Mulago'!K64+'Avg Week Mulago-Kyebando'!K64</f>
        <v>0</v>
      </c>
      <c r="L64" s="49">
        <f>'Avg Week Kyebando-Mulago'!L64+'Avg Week Mulago-Kyebando'!L64</f>
        <v>0</v>
      </c>
      <c r="M64" s="49">
        <f>'Avg Week Kyebando-Mulago'!M64+'Avg Week Mulago-Kyebando'!M64</f>
        <v>267.5</v>
      </c>
      <c r="N64" s="49">
        <f>'Avg Week Kyebando-Mulago'!N64+'Avg Week Mulago-Kyebando'!N64</f>
        <v>0</v>
      </c>
      <c r="O64" s="15">
        <f t="shared" si="0"/>
        <v>247.5</v>
      </c>
      <c r="P64" s="15">
        <f t="shared" si="1"/>
        <v>515</v>
      </c>
      <c r="R64" s="8"/>
      <c r="T64"/>
    </row>
    <row r="65" spans="2:20" ht="23.1" customHeight="1" x14ac:dyDescent="0.25">
      <c r="B65" s="23" t="s">
        <v>158</v>
      </c>
      <c r="C65" s="49">
        <f>'Avg Week Kyebando-Mulago'!C65+'Avg Week Mulago-Kyebando'!C65</f>
        <v>159.5</v>
      </c>
      <c r="D65" s="49">
        <f>'Avg Week Kyebando-Mulago'!D65+'Avg Week Mulago-Kyebando'!D65</f>
        <v>9</v>
      </c>
      <c r="E65" s="49">
        <f>'Avg Week Kyebando-Mulago'!E65+'Avg Week Mulago-Kyebando'!E65</f>
        <v>14.5</v>
      </c>
      <c r="F65" s="49">
        <f>'Avg Week Kyebando-Mulago'!F65+'Avg Week Mulago-Kyebando'!F65</f>
        <v>47.5</v>
      </c>
      <c r="G65" s="49">
        <f>'Avg Week Kyebando-Mulago'!G65+'Avg Week Mulago-Kyebando'!G65</f>
        <v>2</v>
      </c>
      <c r="H65" s="49">
        <f>'Avg Week Kyebando-Mulago'!H65+'Avg Week Mulago-Kyebando'!H65</f>
        <v>0</v>
      </c>
      <c r="I65" s="49">
        <f>'Avg Week Kyebando-Mulago'!I65+'Avg Week Mulago-Kyebando'!I65</f>
        <v>7</v>
      </c>
      <c r="J65" s="49">
        <f>'Avg Week Kyebando-Mulago'!J65+'Avg Week Mulago-Kyebando'!J65</f>
        <v>0</v>
      </c>
      <c r="K65" s="49">
        <f>'Avg Week Kyebando-Mulago'!K65+'Avg Week Mulago-Kyebando'!K65</f>
        <v>0</v>
      </c>
      <c r="L65" s="49">
        <f>'Avg Week Kyebando-Mulago'!L65+'Avg Week Mulago-Kyebando'!L65</f>
        <v>0</v>
      </c>
      <c r="M65" s="49">
        <f>'Avg Week Kyebando-Mulago'!M65+'Avg Week Mulago-Kyebando'!M65</f>
        <v>213.5</v>
      </c>
      <c r="N65" s="49">
        <f>'Avg Week Kyebando-Mulago'!N65+'Avg Week Mulago-Kyebando'!N65</f>
        <v>0</v>
      </c>
      <c r="O65" s="15">
        <f t="shared" si="0"/>
        <v>239.5</v>
      </c>
      <c r="P65" s="15">
        <f t="shared" si="1"/>
        <v>453</v>
      </c>
      <c r="R65" s="8"/>
      <c r="T65"/>
    </row>
    <row r="66" spans="2:20" ht="23.1" customHeight="1" x14ac:dyDescent="0.25">
      <c r="B66" s="23" t="s">
        <v>103</v>
      </c>
      <c r="C66" s="49">
        <f>'Avg Week Kyebando-Mulago'!C66+'Avg Week Mulago-Kyebando'!C66</f>
        <v>151</v>
      </c>
      <c r="D66" s="49">
        <f>'Avg Week Kyebando-Mulago'!D66+'Avg Week Mulago-Kyebando'!D66</f>
        <v>10.5</v>
      </c>
      <c r="E66" s="49">
        <f>'Avg Week Kyebando-Mulago'!E66+'Avg Week Mulago-Kyebando'!E66</f>
        <v>13</v>
      </c>
      <c r="F66" s="49">
        <f>'Avg Week Kyebando-Mulago'!F66+'Avg Week Mulago-Kyebando'!F66</f>
        <v>45</v>
      </c>
      <c r="G66" s="49">
        <f>'Avg Week Kyebando-Mulago'!G66+'Avg Week Mulago-Kyebando'!G66</f>
        <v>1.5</v>
      </c>
      <c r="H66" s="49">
        <f>'Avg Week Kyebando-Mulago'!H66+'Avg Week Mulago-Kyebando'!H66</f>
        <v>0</v>
      </c>
      <c r="I66" s="49">
        <f>'Avg Week Kyebando-Mulago'!I66+'Avg Week Mulago-Kyebando'!I66</f>
        <v>5.5</v>
      </c>
      <c r="J66" s="49">
        <f>'Avg Week Kyebando-Mulago'!J66+'Avg Week Mulago-Kyebando'!J66</f>
        <v>0.5</v>
      </c>
      <c r="K66" s="49">
        <f>'Avg Week Kyebando-Mulago'!K66+'Avg Week Mulago-Kyebando'!K66</f>
        <v>0</v>
      </c>
      <c r="L66" s="49">
        <f>'Avg Week Kyebando-Mulago'!L66+'Avg Week Mulago-Kyebando'!L66</f>
        <v>0</v>
      </c>
      <c r="M66" s="49">
        <f>'Avg Week Kyebando-Mulago'!M66+'Avg Week Mulago-Kyebando'!M66</f>
        <v>221.5</v>
      </c>
      <c r="N66" s="49">
        <f>'Avg Week Kyebando-Mulago'!N66+'Avg Week Mulago-Kyebando'!N66</f>
        <v>0</v>
      </c>
      <c r="O66" s="15">
        <f t="shared" si="0"/>
        <v>227</v>
      </c>
      <c r="P66" s="15">
        <f t="shared" si="1"/>
        <v>448.5</v>
      </c>
      <c r="R66" s="8"/>
      <c r="T66"/>
    </row>
    <row r="67" spans="2:20" ht="23.1" customHeight="1" x14ac:dyDescent="0.25">
      <c r="B67" s="23" t="s">
        <v>104</v>
      </c>
      <c r="C67" s="49">
        <f>'Avg Week Kyebando-Mulago'!C67+'Avg Week Mulago-Kyebando'!C67</f>
        <v>141.5</v>
      </c>
      <c r="D67" s="49">
        <f>'Avg Week Kyebando-Mulago'!D67+'Avg Week Mulago-Kyebando'!D67</f>
        <v>15.5</v>
      </c>
      <c r="E67" s="49">
        <f>'Avg Week Kyebando-Mulago'!E67+'Avg Week Mulago-Kyebando'!E67</f>
        <v>15.5</v>
      </c>
      <c r="F67" s="49">
        <f>'Avg Week Kyebando-Mulago'!F67+'Avg Week Mulago-Kyebando'!F67</f>
        <v>37.5</v>
      </c>
      <c r="G67" s="49">
        <f>'Avg Week Kyebando-Mulago'!G67+'Avg Week Mulago-Kyebando'!G67</f>
        <v>2</v>
      </c>
      <c r="H67" s="49">
        <f>'Avg Week Kyebando-Mulago'!H67+'Avg Week Mulago-Kyebando'!H67</f>
        <v>0.5</v>
      </c>
      <c r="I67" s="49">
        <f>'Avg Week Kyebando-Mulago'!I67+'Avg Week Mulago-Kyebando'!I67</f>
        <v>4.5</v>
      </c>
      <c r="J67" s="49">
        <f>'Avg Week Kyebando-Mulago'!J67+'Avg Week Mulago-Kyebando'!J67</f>
        <v>1</v>
      </c>
      <c r="K67" s="49">
        <f>'Avg Week Kyebando-Mulago'!K67+'Avg Week Mulago-Kyebando'!K67</f>
        <v>0</v>
      </c>
      <c r="L67" s="49">
        <f>'Avg Week Kyebando-Mulago'!L67+'Avg Week Mulago-Kyebando'!L67</f>
        <v>0</v>
      </c>
      <c r="M67" s="49">
        <f>'Avg Week Kyebando-Mulago'!M67+'Avg Week Mulago-Kyebando'!M67</f>
        <v>202.5</v>
      </c>
      <c r="N67" s="49">
        <f>'Avg Week Kyebando-Mulago'!N67+'Avg Week Mulago-Kyebando'!N67</f>
        <v>0</v>
      </c>
      <c r="O67" s="15">
        <f t="shared" si="0"/>
        <v>218</v>
      </c>
      <c r="P67" s="15">
        <f t="shared" si="1"/>
        <v>420.5</v>
      </c>
      <c r="R67" s="8"/>
      <c r="T67"/>
    </row>
    <row r="68" spans="2:20" ht="23.1" customHeight="1" x14ac:dyDescent="0.25">
      <c r="B68" s="23" t="s">
        <v>105</v>
      </c>
      <c r="C68" s="49">
        <f>'Avg Week Kyebando-Mulago'!C68+'Avg Week Mulago-Kyebando'!C68</f>
        <v>146.5</v>
      </c>
      <c r="D68" s="49">
        <f>'Avg Week Kyebando-Mulago'!D68+'Avg Week Mulago-Kyebando'!D68</f>
        <v>17</v>
      </c>
      <c r="E68" s="49">
        <f>'Avg Week Kyebando-Mulago'!E68+'Avg Week Mulago-Kyebando'!E68</f>
        <v>20</v>
      </c>
      <c r="F68" s="49">
        <f>'Avg Week Kyebando-Mulago'!F68+'Avg Week Mulago-Kyebando'!F68</f>
        <v>45</v>
      </c>
      <c r="G68" s="49">
        <f>'Avg Week Kyebando-Mulago'!G68+'Avg Week Mulago-Kyebando'!G68</f>
        <v>0.5</v>
      </c>
      <c r="H68" s="49">
        <f>'Avg Week Kyebando-Mulago'!H68+'Avg Week Mulago-Kyebando'!H68</f>
        <v>1</v>
      </c>
      <c r="I68" s="49">
        <f>'Avg Week Kyebando-Mulago'!I68+'Avg Week Mulago-Kyebando'!I68</f>
        <v>7.5</v>
      </c>
      <c r="J68" s="49">
        <f>'Avg Week Kyebando-Mulago'!J68+'Avg Week Mulago-Kyebando'!J68</f>
        <v>0.5</v>
      </c>
      <c r="K68" s="49">
        <f>'Avg Week Kyebando-Mulago'!K68+'Avg Week Mulago-Kyebando'!K68</f>
        <v>0.5</v>
      </c>
      <c r="L68" s="49">
        <f>'Avg Week Kyebando-Mulago'!L68+'Avg Week Mulago-Kyebando'!L68</f>
        <v>0</v>
      </c>
      <c r="M68" s="49">
        <f>'Avg Week Kyebando-Mulago'!M68+'Avg Week Mulago-Kyebando'!M68</f>
        <v>211</v>
      </c>
      <c r="N68" s="49">
        <f>'Avg Week Kyebando-Mulago'!N68+'Avg Week Mulago-Kyebando'!N68</f>
        <v>0</v>
      </c>
      <c r="O68" s="15">
        <f t="shared" si="0"/>
        <v>238.5</v>
      </c>
      <c r="P68" s="15">
        <f t="shared" si="1"/>
        <v>449.5</v>
      </c>
      <c r="R68" s="8"/>
      <c r="T68"/>
    </row>
    <row r="69" spans="2:20" ht="23.1" customHeight="1" x14ac:dyDescent="0.25">
      <c r="B69" s="23" t="s">
        <v>106</v>
      </c>
      <c r="C69" s="49">
        <f>'Avg Week Kyebando-Mulago'!C69+'Avg Week Mulago-Kyebando'!C69</f>
        <v>124.5</v>
      </c>
      <c r="D69" s="49">
        <f>'Avg Week Kyebando-Mulago'!D69+'Avg Week Mulago-Kyebando'!D69</f>
        <v>11</v>
      </c>
      <c r="E69" s="49">
        <f>'Avg Week Kyebando-Mulago'!E69+'Avg Week Mulago-Kyebando'!E69</f>
        <v>13.5</v>
      </c>
      <c r="F69" s="49">
        <f>'Avg Week Kyebando-Mulago'!F69+'Avg Week Mulago-Kyebando'!F69</f>
        <v>26.5</v>
      </c>
      <c r="G69" s="49">
        <f>'Avg Week Kyebando-Mulago'!G69+'Avg Week Mulago-Kyebando'!G69</f>
        <v>0</v>
      </c>
      <c r="H69" s="49">
        <f>'Avg Week Kyebando-Mulago'!H69+'Avg Week Mulago-Kyebando'!H69</f>
        <v>0</v>
      </c>
      <c r="I69" s="49">
        <f>'Avg Week Kyebando-Mulago'!I69+'Avg Week Mulago-Kyebando'!I69</f>
        <v>2</v>
      </c>
      <c r="J69" s="49">
        <f>'Avg Week Kyebando-Mulago'!J69+'Avg Week Mulago-Kyebando'!J69</f>
        <v>0.5</v>
      </c>
      <c r="K69" s="49">
        <f>'Avg Week Kyebando-Mulago'!K69+'Avg Week Mulago-Kyebando'!K69</f>
        <v>0</v>
      </c>
      <c r="L69" s="49">
        <f>'Avg Week Kyebando-Mulago'!L69+'Avg Week Mulago-Kyebando'!L69</f>
        <v>0</v>
      </c>
      <c r="M69" s="49">
        <f>'Avg Week Kyebando-Mulago'!M69+'Avg Week Mulago-Kyebando'!M69</f>
        <v>189.5</v>
      </c>
      <c r="N69" s="49">
        <f>'Avg Week Kyebando-Mulago'!N69+'Avg Week Mulago-Kyebando'!N69</f>
        <v>0</v>
      </c>
      <c r="O69" s="15">
        <f t="shared" si="0"/>
        <v>178</v>
      </c>
      <c r="P69" s="15">
        <f t="shared" si="1"/>
        <v>367.5</v>
      </c>
      <c r="R69" s="8"/>
      <c r="T69"/>
    </row>
    <row r="70" spans="2:20" ht="23.1" customHeight="1" x14ac:dyDescent="0.25">
      <c r="B70" s="23" t="s">
        <v>110</v>
      </c>
      <c r="C70" s="49">
        <f>'Avg Week Kyebando-Mulago'!C70+'Avg Week Mulago-Kyebando'!C70</f>
        <v>112.5</v>
      </c>
      <c r="D70" s="49">
        <f>'Avg Week Kyebando-Mulago'!D70+'Avg Week Mulago-Kyebando'!D70</f>
        <v>9</v>
      </c>
      <c r="E70" s="49">
        <f>'Avg Week Kyebando-Mulago'!E70+'Avg Week Mulago-Kyebando'!E70</f>
        <v>14</v>
      </c>
      <c r="F70" s="49">
        <f>'Avg Week Kyebando-Mulago'!F70+'Avg Week Mulago-Kyebando'!F70</f>
        <v>20</v>
      </c>
      <c r="G70" s="49">
        <f>'Avg Week Kyebando-Mulago'!G70+'Avg Week Mulago-Kyebando'!G70</f>
        <v>0.5</v>
      </c>
      <c r="H70" s="49">
        <f>'Avg Week Kyebando-Mulago'!H70+'Avg Week Mulago-Kyebando'!H70</f>
        <v>0</v>
      </c>
      <c r="I70" s="49">
        <f>'Avg Week Kyebando-Mulago'!I70+'Avg Week Mulago-Kyebando'!I70</f>
        <v>1.5</v>
      </c>
      <c r="J70" s="49">
        <f>'Avg Week Kyebando-Mulago'!J70+'Avg Week Mulago-Kyebando'!J70</f>
        <v>0</v>
      </c>
      <c r="K70" s="49">
        <f>'Avg Week Kyebando-Mulago'!K70+'Avg Week Mulago-Kyebando'!K70</f>
        <v>0</v>
      </c>
      <c r="L70" s="49">
        <f>'Avg Week Kyebando-Mulago'!L70+'Avg Week Mulago-Kyebando'!L70</f>
        <v>0</v>
      </c>
      <c r="M70" s="49">
        <f>'Avg Week Kyebando-Mulago'!M70+'Avg Week Mulago-Kyebando'!M70</f>
        <v>184.5</v>
      </c>
      <c r="N70" s="49">
        <f>'Avg Week Kyebando-Mulago'!N70+'Avg Week Mulago-Kyebando'!N70</f>
        <v>0</v>
      </c>
      <c r="O70" s="15">
        <f t="shared" si="0"/>
        <v>157.5</v>
      </c>
      <c r="P70" s="15">
        <f t="shared" si="1"/>
        <v>342</v>
      </c>
      <c r="R70" s="8"/>
      <c r="T70"/>
    </row>
    <row r="71" spans="2:20" ht="23.1" customHeight="1" x14ac:dyDescent="0.25">
      <c r="B71" s="23" t="s">
        <v>111</v>
      </c>
      <c r="C71" s="49">
        <f>'Avg Week Kyebando-Mulago'!C71+'Avg Week Mulago-Kyebando'!C71</f>
        <v>106</v>
      </c>
      <c r="D71" s="49">
        <f>'Avg Week Kyebando-Mulago'!D71+'Avg Week Mulago-Kyebando'!D71</f>
        <v>10</v>
      </c>
      <c r="E71" s="49">
        <f>'Avg Week Kyebando-Mulago'!E71+'Avg Week Mulago-Kyebando'!E71</f>
        <v>6.5</v>
      </c>
      <c r="F71" s="49">
        <f>'Avg Week Kyebando-Mulago'!F71+'Avg Week Mulago-Kyebando'!F71</f>
        <v>12.5</v>
      </c>
      <c r="G71" s="49">
        <f>'Avg Week Kyebando-Mulago'!G71+'Avg Week Mulago-Kyebando'!G71</f>
        <v>0</v>
      </c>
      <c r="H71" s="49">
        <f>'Avg Week Kyebando-Mulago'!H71+'Avg Week Mulago-Kyebando'!H71</f>
        <v>0</v>
      </c>
      <c r="I71" s="49">
        <f>'Avg Week Kyebando-Mulago'!I71+'Avg Week Mulago-Kyebando'!I71</f>
        <v>3</v>
      </c>
      <c r="J71" s="49">
        <f>'Avg Week Kyebando-Mulago'!J71+'Avg Week Mulago-Kyebando'!J71</f>
        <v>0</v>
      </c>
      <c r="K71" s="49">
        <f>'Avg Week Kyebando-Mulago'!K71+'Avg Week Mulago-Kyebando'!K71</f>
        <v>0</v>
      </c>
      <c r="L71" s="49">
        <f>'Avg Week Kyebando-Mulago'!L71+'Avg Week Mulago-Kyebando'!L71</f>
        <v>0</v>
      </c>
      <c r="M71" s="49">
        <f>'Avg Week Kyebando-Mulago'!M71+'Avg Week Mulago-Kyebando'!M71</f>
        <v>170.5</v>
      </c>
      <c r="N71" s="49">
        <f>'Avg Week Kyebando-Mulago'!N71+'Avg Week Mulago-Kyebando'!N71</f>
        <v>0</v>
      </c>
      <c r="O71" s="15">
        <f t="shared" si="0"/>
        <v>138</v>
      </c>
      <c r="P71" s="15">
        <f t="shared" si="1"/>
        <v>308.5</v>
      </c>
      <c r="R71" s="8"/>
      <c r="T71"/>
    </row>
    <row r="72" spans="2:20" ht="23.1" customHeight="1" x14ac:dyDescent="0.25">
      <c r="B72" s="23" t="s">
        <v>112</v>
      </c>
      <c r="C72" s="49">
        <f>'Avg Week Kyebando-Mulago'!C72+'Avg Week Mulago-Kyebando'!C72</f>
        <v>84</v>
      </c>
      <c r="D72" s="49">
        <f>'Avg Week Kyebando-Mulago'!D72+'Avg Week Mulago-Kyebando'!D72</f>
        <v>5</v>
      </c>
      <c r="E72" s="49">
        <f>'Avg Week Kyebando-Mulago'!E72+'Avg Week Mulago-Kyebando'!E72</f>
        <v>9.5</v>
      </c>
      <c r="F72" s="49">
        <f>'Avg Week Kyebando-Mulago'!F72+'Avg Week Mulago-Kyebando'!F72</f>
        <v>12.5</v>
      </c>
      <c r="G72" s="49">
        <f>'Avg Week Kyebando-Mulago'!G72+'Avg Week Mulago-Kyebando'!G72</f>
        <v>0</v>
      </c>
      <c r="H72" s="49">
        <f>'Avg Week Kyebando-Mulago'!H72+'Avg Week Mulago-Kyebando'!H72</f>
        <v>0</v>
      </c>
      <c r="I72" s="49">
        <f>'Avg Week Kyebando-Mulago'!I72+'Avg Week Mulago-Kyebando'!I72</f>
        <v>1.5</v>
      </c>
      <c r="J72" s="49">
        <f>'Avg Week Kyebando-Mulago'!J72+'Avg Week Mulago-Kyebando'!J72</f>
        <v>0</v>
      </c>
      <c r="K72" s="49">
        <f>'Avg Week Kyebando-Mulago'!K72+'Avg Week Mulago-Kyebando'!K72</f>
        <v>0</v>
      </c>
      <c r="L72" s="49">
        <f>'Avg Week Kyebando-Mulago'!L72+'Avg Week Mulago-Kyebando'!L72</f>
        <v>0</v>
      </c>
      <c r="M72" s="49">
        <f>'Avg Week Kyebando-Mulago'!M72+'Avg Week Mulago-Kyebando'!M72</f>
        <v>135.5</v>
      </c>
      <c r="N72" s="49">
        <f>'Avg Week Kyebando-Mulago'!N72+'Avg Week Mulago-Kyebando'!N72</f>
        <v>0</v>
      </c>
      <c r="O72" s="15">
        <f t="shared" si="0"/>
        <v>112.5</v>
      </c>
      <c r="P72" s="15">
        <f t="shared" si="1"/>
        <v>248</v>
      </c>
      <c r="R72" s="8"/>
      <c r="T72"/>
    </row>
    <row r="73" spans="2:20" ht="23.1" customHeight="1" x14ac:dyDescent="0.25">
      <c r="B73" s="23" t="s">
        <v>113</v>
      </c>
      <c r="C73" s="49">
        <f>'Avg Week Kyebando-Mulago'!C73+'Avg Week Mulago-Kyebando'!C73</f>
        <v>62</v>
      </c>
      <c r="D73" s="49">
        <f>'Avg Week Kyebando-Mulago'!D73+'Avg Week Mulago-Kyebando'!D73</f>
        <v>8</v>
      </c>
      <c r="E73" s="49">
        <f>'Avg Week Kyebando-Mulago'!E73+'Avg Week Mulago-Kyebando'!E73</f>
        <v>3.5</v>
      </c>
      <c r="F73" s="49">
        <f>'Avg Week Kyebando-Mulago'!F73+'Avg Week Mulago-Kyebando'!F73</f>
        <v>9</v>
      </c>
      <c r="G73" s="49">
        <f>'Avg Week Kyebando-Mulago'!G73+'Avg Week Mulago-Kyebando'!G73</f>
        <v>0</v>
      </c>
      <c r="H73" s="49">
        <f>'Avg Week Kyebando-Mulago'!H73+'Avg Week Mulago-Kyebando'!H73</f>
        <v>0</v>
      </c>
      <c r="I73" s="49">
        <f>'Avg Week Kyebando-Mulago'!I73+'Avg Week Mulago-Kyebando'!I73</f>
        <v>1</v>
      </c>
      <c r="J73" s="49">
        <f>'Avg Week Kyebando-Mulago'!J73+'Avg Week Mulago-Kyebando'!J73</f>
        <v>0</v>
      </c>
      <c r="K73" s="49">
        <f>'Avg Week Kyebando-Mulago'!K73+'Avg Week Mulago-Kyebando'!K73</f>
        <v>0</v>
      </c>
      <c r="L73" s="49">
        <f>'Avg Week Kyebando-Mulago'!L73+'Avg Week Mulago-Kyebando'!L73</f>
        <v>0</v>
      </c>
      <c r="M73" s="49">
        <f>'Avg Week Kyebando-Mulago'!M73+'Avg Week Mulago-Kyebando'!M73</f>
        <v>109</v>
      </c>
      <c r="N73" s="49">
        <f>'Avg Week Kyebando-Mulago'!N73+'Avg Week Mulago-Kyebando'!N73</f>
        <v>0</v>
      </c>
      <c r="O73" s="15">
        <f t="shared" si="0"/>
        <v>83.5</v>
      </c>
      <c r="P73" s="15">
        <f t="shared" si="1"/>
        <v>192.5</v>
      </c>
      <c r="R73" s="8"/>
      <c r="T73"/>
    </row>
    <row r="74" spans="2:20" ht="23.1" customHeight="1" x14ac:dyDescent="0.25">
      <c r="B74" s="23" t="s">
        <v>114</v>
      </c>
      <c r="C74" s="49">
        <f>'Avg Week Kyebando-Mulago'!C74+'Avg Week Mulago-Kyebando'!C74</f>
        <v>60.5</v>
      </c>
      <c r="D74" s="49">
        <f>'Avg Week Kyebando-Mulago'!D74+'Avg Week Mulago-Kyebando'!D74</f>
        <v>7.5</v>
      </c>
      <c r="E74" s="49">
        <f>'Avg Week Kyebando-Mulago'!E74+'Avg Week Mulago-Kyebando'!E74</f>
        <v>5</v>
      </c>
      <c r="F74" s="49">
        <f>'Avg Week Kyebando-Mulago'!F74+'Avg Week Mulago-Kyebando'!F74</f>
        <v>6</v>
      </c>
      <c r="G74" s="49">
        <f>'Avg Week Kyebando-Mulago'!G74+'Avg Week Mulago-Kyebando'!G74</f>
        <v>0</v>
      </c>
      <c r="H74" s="49">
        <f>'Avg Week Kyebando-Mulago'!H74+'Avg Week Mulago-Kyebando'!H74</f>
        <v>0</v>
      </c>
      <c r="I74" s="49">
        <f>'Avg Week Kyebando-Mulago'!I74+'Avg Week Mulago-Kyebando'!I74</f>
        <v>2</v>
      </c>
      <c r="J74" s="49">
        <f>'Avg Week Kyebando-Mulago'!J74+'Avg Week Mulago-Kyebando'!J74</f>
        <v>0</v>
      </c>
      <c r="K74" s="49">
        <f>'Avg Week Kyebando-Mulago'!K74+'Avg Week Mulago-Kyebando'!K74</f>
        <v>0</v>
      </c>
      <c r="L74" s="49">
        <f>'Avg Week Kyebando-Mulago'!L74+'Avg Week Mulago-Kyebando'!L74</f>
        <v>0</v>
      </c>
      <c r="M74" s="49">
        <f>'Avg Week Kyebando-Mulago'!M74+'Avg Week Mulago-Kyebando'!M74</f>
        <v>115</v>
      </c>
      <c r="N74" s="49">
        <f>'Avg Week Kyebando-Mulago'!N74+'Avg Week Mulago-Kyebando'!N74</f>
        <v>0</v>
      </c>
      <c r="O74" s="15">
        <f t="shared" ref="O74:O105" si="35">SUM(C74:L74,N74)</f>
        <v>81</v>
      </c>
      <c r="P74" s="15">
        <f t="shared" ref="P74:P105" si="36">SUM(C74:N74)</f>
        <v>196</v>
      </c>
      <c r="R74" s="8"/>
      <c r="T74"/>
    </row>
    <row r="75" spans="2:20" ht="23.1" customHeight="1" x14ac:dyDescent="0.25">
      <c r="B75" s="23" t="s">
        <v>115</v>
      </c>
      <c r="C75" s="49">
        <f>'Avg Week Kyebando-Mulago'!C75+'Avg Week Mulago-Kyebando'!C75</f>
        <v>63</v>
      </c>
      <c r="D75" s="49">
        <f>'Avg Week Kyebando-Mulago'!D75+'Avg Week Mulago-Kyebando'!D75</f>
        <v>3.5</v>
      </c>
      <c r="E75" s="49">
        <f>'Avg Week Kyebando-Mulago'!E75+'Avg Week Mulago-Kyebando'!E75</f>
        <v>7.5</v>
      </c>
      <c r="F75" s="49">
        <f>'Avg Week Kyebando-Mulago'!F75+'Avg Week Mulago-Kyebando'!F75</f>
        <v>4</v>
      </c>
      <c r="G75" s="49">
        <f>'Avg Week Kyebando-Mulago'!G75+'Avg Week Mulago-Kyebando'!G75</f>
        <v>0</v>
      </c>
      <c r="H75" s="49">
        <f>'Avg Week Kyebando-Mulago'!H75+'Avg Week Mulago-Kyebando'!H75</f>
        <v>0</v>
      </c>
      <c r="I75" s="49">
        <f>'Avg Week Kyebando-Mulago'!I75+'Avg Week Mulago-Kyebando'!I75</f>
        <v>0</v>
      </c>
      <c r="J75" s="49">
        <f>'Avg Week Kyebando-Mulago'!J75+'Avg Week Mulago-Kyebando'!J75</f>
        <v>0</v>
      </c>
      <c r="K75" s="49">
        <f>'Avg Week Kyebando-Mulago'!K75+'Avg Week Mulago-Kyebando'!K75</f>
        <v>0</v>
      </c>
      <c r="L75" s="49">
        <f>'Avg Week Kyebando-Mulago'!L75+'Avg Week Mulago-Kyebando'!L75</f>
        <v>0</v>
      </c>
      <c r="M75" s="49">
        <f>'Avg Week Kyebando-Mulago'!M75+'Avg Week Mulago-Kyebando'!M75</f>
        <v>103</v>
      </c>
      <c r="N75" s="49">
        <f>'Avg Week Kyebando-Mulago'!N75+'Avg Week Mulago-Kyebando'!N75</f>
        <v>0</v>
      </c>
      <c r="O75" s="15">
        <f t="shared" si="35"/>
        <v>78</v>
      </c>
      <c r="P75" s="15">
        <f t="shared" si="36"/>
        <v>181</v>
      </c>
      <c r="R75" s="8"/>
      <c r="T75"/>
    </row>
    <row r="76" spans="2:20" ht="23.1" customHeight="1" x14ac:dyDescent="0.25">
      <c r="B76" s="23" t="s">
        <v>116</v>
      </c>
      <c r="C76" s="49">
        <f>'Avg Week Kyebando-Mulago'!C76+'Avg Week Mulago-Kyebando'!C76</f>
        <v>56</v>
      </c>
      <c r="D76" s="49">
        <f>'Avg Week Kyebando-Mulago'!D76+'Avg Week Mulago-Kyebando'!D76</f>
        <v>2.5</v>
      </c>
      <c r="E76" s="49">
        <f>'Avg Week Kyebando-Mulago'!E76+'Avg Week Mulago-Kyebando'!E76</f>
        <v>4</v>
      </c>
      <c r="F76" s="49">
        <f>'Avg Week Kyebando-Mulago'!F76+'Avg Week Mulago-Kyebando'!F76</f>
        <v>4</v>
      </c>
      <c r="G76" s="49">
        <f>'Avg Week Kyebando-Mulago'!G76+'Avg Week Mulago-Kyebando'!G76</f>
        <v>0</v>
      </c>
      <c r="H76" s="49">
        <f>'Avg Week Kyebando-Mulago'!H76+'Avg Week Mulago-Kyebando'!H76</f>
        <v>0</v>
      </c>
      <c r="I76" s="49">
        <f>'Avg Week Kyebando-Mulago'!I76+'Avg Week Mulago-Kyebando'!I76</f>
        <v>1.5</v>
      </c>
      <c r="J76" s="49">
        <f>'Avg Week Kyebando-Mulago'!J76+'Avg Week Mulago-Kyebando'!J76</f>
        <v>1</v>
      </c>
      <c r="K76" s="49">
        <f>'Avg Week Kyebando-Mulago'!K76+'Avg Week Mulago-Kyebando'!K76</f>
        <v>0</v>
      </c>
      <c r="L76" s="49">
        <f>'Avg Week Kyebando-Mulago'!L76+'Avg Week Mulago-Kyebando'!L76</f>
        <v>0</v>
      </c>
      <c r="M76" s="49">
        <f>'Avg Week Kyebando-Mulago'!M76+'Avg Week Mulago-Kyebando'!M76</f>
        <v>99</v>
      </c>
      <c r="N76" s="49">
        <f>'Avg Week Kyebando-Mulago'!N76+'Avg Week Mulago-Kyebando'!N76</f>
        <v>0</v>
      </c>
      <c r="O76" s="15">
        <f t="shared" si="35"/>
        <v>69</v>
      </c>
      <c r="P76" s="15">
        <f t="shared" si="36"/>
        <v>168</v>
      </c>
      <c r="R76" s="8"/>
      <c r="T76"/>
    </row>
    <row r="77" spans="2:20" ht="23.1" customHeight="1" x14ac:dyDescent="0.25">
      <c r="B77" s="23" t="s">
        <v>117</v>
      </c>
      <c r="C77" s="49">
        <f>'Avg Week Kyebando-Mulago'!C77+'Avg Week Mulago-Kyebando'!C77</f>
        <v>43.5</v>
      </c>
      <c r="D77" s="49">
        <f>'Avg Week Kyebando-Mulago'!D77+'Avg Week Mulago-Kyebando'!D77</f>
        <v>3.5</v>
      </c>
      <c r="E77" s="49">
        <f>'Avg Week Kyebando-Mulago'!E77+'Avg Week Mulago-Kyebando'!E77</f>
        <v>3</v>
      </c>
      <c r="F77" s="49">
        <f>'Avg Week Kyebando-Mulago'!F77+'Avg Week Mulago-Kyebando'!F77</f>
        <v>3.5</v>
      </c>
      <c r="G77" s="49">
        <f>'Avg Week Kyebando-Mulago'!G77+'Avg Week Mulago-Kyebando'!G77</f>
        <v>0</v>
      </c>
      <c r="H77" s="49">
        <f>'Avg Week Kyebando-Mulago'!H77+'Avg Week Mulago-Kyebando'!H77</f>
        <v>0</v>
      </c>
      <c r="I77" s="49">
        <f>'Avg Week Kyebando-Mulago'!I77+'Avg Week Mulago-Kyebando'!I77</f>
        <v>2</v>
      </c>
      <c r="J77" s="49">
        <f>'Avg Week Kyebando-Mulago'!J77+'Avg Week Mulago-Kyebando'!J77</f>
        <v>0</v>
      </c>
      <c r="K77" s="49">
        <f>'Avg Week Kyebando-Mulago'!K77+'Avg Week Mulago-Kyebando'!K77</f>
        <v>0</v>
      </c>
      <c r="L77" s="49">
        <f>'Avg Week Kyebando-Mulago'!L77+'Avg Week Mulago-Kyebando'!L77</f>
        <v>0</v>
      </c>
      <c r="M77" s="49">
        <f>'Avg Week Kyebando-Mulago'!M77+'Avg Week Mulago-Kyebando'!M77</f>
        <v>66</v>
      </c>
      <c r="N77" s="49">
        <f>'Avg Week Kyebando-Mulago'!N77+'Avg Week Mulago-Kyebando'!N77</f>
        <v>0</v>
      </c>
      <c r="O77" s="15">
        <f t="shared" si="35"/>
        <v>55.5</v>
      </c>
      <c r="P77" s="15">
        <f t="shared" si="36"/>
        <v>121.5</v>
      </c>
      <c r="R77" s="8"/>
      <c r="T77"/>
    </row>
    <row r="78" spans="2:20" ht="23.1" customHeight="1" x14ac:dyDescent="0.25">
      <c r="B78" s="24" t="s">
        <v>118</v>
      </c>
      <c r="C78" s="49">
        <f>'Avg Week Kyebando-Mulago'!C78+'Avg Week Mulago-Kyebando'!C78</f>
        <v>31.5</v>
      </c>
      <c r="D78" s="49">
        <f>'Avg Week Kyebando-Mulago'!D78+'Avg Week Mulago-Kyebando'!D78</f>
        <v>1.5</v>
      </c>
      <c r="E78" s="49">
        <f>'Avg Week Kyebando-Mulago'!E78+'Avg Week Mulago-Kyebando'!E78</f>
        <v>0.5</v>
      </c>
      <c r="F78" s="49">
        <f>'Avg Week Kyebando-Mulago'!F78+'Avg Week Mulago-Kyebando'!F78</f>
        <v>2.5</v>
      </c>
      <c r="G78" s="49">
        <f>'Avg Week Kyebando-Mulago'!G78+'Avg Week Mulago-Kyebando'!G78</f>
        <v>0</v>
      </c>
      <c r="H78" s="49">
        <f>'Avg Week Kyebando-Mulago'!H78+'Avg Week Mulago-Kyebando'!H78</f>
        <v>0</v>
      </c>
      <c r="I78" s="49">
        <f>'Avg Week Kyebando-Mulago'!I78+'Avg Week Mulago-Kyebando'!I78</f>
        <v>1</v>
      </c>
      <c r="J78" s="49">
        <f>'Avg Week Kyebando-Mulago'!J78+'Avg Week Mulago-Kyebando'!J78</f>
        <v>0</v>
      </c>
      <c r="K78" s="49">
        <f>'Avg Week Kyebando-Mulago'!K78+'Avg Week Mulago-Kyebando'!K78</f>
        <v>0</v>
      </c>
      <c r="L78" s="49">
        <f>'Avg Week Kyebando-Mulago'!L78+'Avg Week Mulago-Kyebando'!L78</f>
        <v>0</v>
      </c>
      <c r="M78" s="49">
        <f>'Avg Week Kyebando-Mulago'!M78+'Avg Week Mulago-Kyebando'!M78</f>
        <v>62</v>
      </c>
      <c r="N78" s="49">
        <f>'Avg Week Kyebando-Mulago'!N78+'Avg Week Mulago-Kyebando'!N78</f>
        <v>0</v>
      </c>
      <c r="O78" s="15">
        <f t="shared" si="35"/>
        <v>37</v>
      </c>
      <c r="P78" s="15">
        <f t="shared" si="36"/>
        <v>99</v>
      </c>
      <c r="R78" s="8"/>
      <c r="T78"/>
    </row>
    <row r="79" spans="2:20" ht="23.1" customHeight="1" x14ac:dyDescent="0.25">
      <c r="B79" s="23" t="s">
        <v>119</v>
      </c>
      <c r="C79" s="49">
        <f>'Avg Week Kyebando-Mulago'!C79+'Avg Week Mulago-Kyebando'!C79</f>
        <v>32.5</v>
      </c>
      <c r="D79" s="49">
        <f>'Avg Week Kyebando-Mulago'!D79+'Avg Week Mulago-Kyebando'!D79</f>
        <v>3</v>
      </c>
      <c r="E79" s="49">
        <f>'Avg Week Kyebando-Mulago'!E79+'Avg Week Mulago-Kyebando'!E79</f>
        <v>2.5</v>
      </c>
      <c r="F79" s="49">
        <f>'Avg Week Kyebando-Mulago'!F79+'Avg Week Mulago-Kyebando'!F79</f>
        <v>3.5</v>
      </c>
      <c r="G79" s="49">
        <f>'Avg Week Kyebando-Mulago'!G79+'Avg Week Mulago-Kyebando'!G79</f>
        <v>0</v>
      </c>
      <c r="H79" s="49">
        <f>'Avg Week Kyebando-Mulago'!H79+'Avg Week Mulago-Kyebando'!H79</f>
        <v>0</v>
      </c>
      <c r="I79" s="49">
        <f>'Avg Week Kyebando-Mulago'!I79+'Avg Week Mulago-Kyebando'!I79</f>
        <v>0.5</v>
      </c>
      <c r="J79" s="49">
        <f>'Avg Week Kyebando-Mulago'!J79+'Avg Week Mulago-Kyebando'!J79</f>
        <v>0</v>
      </c>
      <c r="K79" s="49">
        <f>'Avg Week Kyebando-Mulago'!K79+'Avg Week Mulago-Kyebando'!K79</f>
        <v>0.5</v>
      </c>
      <c r="L79" s="49">
        <f>'Avg Week Kyebando-Mulago'!L79+'Avg Week Mulago-Kyebando'!L79</f>
        <v>0</v>
      </c>
      <c r="M79" s="49">
        <f>'Avg Week Kyebando-Mulago'!M79+'Avg Week Mulago-Kyebando'!M79</f>
        <v>50</v>
      </c>
      <c r="N79" s="49">
        <f>'Avg Week Kyebando-Mulago'!N79+'Avg Week Mulago-Kyebando'!N79</f>
        <v>0</v>
      </c>
      <c r="O79" s="15">
        <f t="shared" si="35"/>
        <v>42.5</v>
      </c>
      <c r="P79" s="15">
        <f t="shared" si="36"/>
        <v>92.5</v>
      </c>
      <c r="R79" s="8"/>
      <c r="T79"/>
    </row>
    <row r="80" spans="2:20" ht="23.1" customHeight="1" x14ac:dyDescent="0.25">
      <c r="B80" s="25" t="s">
        <v>120</v>
      </c>
      <c r="C80" s="49">
        <f>'Avg Week Kyebando-Mulago'!C80+'Avg Week Mulago-Kyebando'!C80</f>
        <v>35</v>
      </c>
      <c r="D80" s="49">
        <f>'Avg Week Kyebando-Mulago'!D80+'Avg Week Mulago-Kyebando'!D80</f>
        <v>2.5</v>
      </c>
      <c r="E80" s="49">
        <f>'Avg Week Kyebando-Mulago'!E80+'Avg Week Mulago-Kyebando'!E80</f>
        <v>3.5</v>
      </c>
      <c r="F80" s="49">
        <f>'Avg Week Kyebando-Mulago'!F80+'Avg Week Mulago-Kyebando'!F80</f>
        <v>1</v>
      </c>
      <c r="G80" s="49">
        <f>'Avg Week Kyebando-Mulago'!G80+'Avg Week Mulago-Kyebando'!G80</f>
        <v>0</v>
      </c>
      <c r="H80" s="49">
        <f>'Avg Week Kyebando-Mulago'!H80+'Avg Week Mulago-Kyebando'!H80</f>
        <v>0</v>
      </c>
      <c r="I80" s="49">
        <f>'Avg Week Kyebando-Mulago'!I80+'Avg Week Mulago-Kyebando'!I80</f>
        <v>0.5</v>
      </c>
      <c r="J80" s="49">
        <f>'Avg Week Kyebando-Mulago'!J80+'Avg Week Mulago-Kyebando'!J80</f>
        <v>0</v>
      </c>
      <c r="K80" s="49">
        <f>'Avg Week Kyebando-Mulago'!K80+'Avg Week Mulago-Kyebando'!K80</f>
        <v>0</v>
      </c>
      <c r="L80" s="49">
        <f>'Avg Week Kyebando-Mulago'!L80+'Avg Week Mulago-Kyebando'!L80</f>
        <v>0</v>
      </c>
      <c r="M80" s="49">
        <f>'Avg Week Kyebando-Mulago'!M80+'Avg Week Mulago-Kyebando'!M80</f>
        <v>47.5</v>
      </c>
      <c r="N80" s="49">
        <f>'Avg Week Kyebando-Mulago'!N80+'Avg Week Mulago-Kyebando'!N80</f>
        <v>0</v>
      </c>
      <c r="O80" s="15">
        <f t="shared" si="35"/>
        <v>42.5</v>
      </c>
      <c r="P80" s="15">
        <f t="shared" si="36"/>
        <v>90</v>
      </c>
      <c r="R80" s="8"/>
      <c r="T80"/>
    </row>
    <row r="81" spans="2:20" ht="23.1" customHeight="1" x14ac:dyDescent="0.25">
      <c r="B81" s="23" t="s">
        <v>121</v>
      </c>
      <c r="C81" s="49">
        <f>'Avg Week Kyebando-Mulago'!C81+'Avg Week Mulago-Kyebando'!C81</f>
        <v>35.5</v>
      </c>
      <c r="D81" s="49">
        <f>'Avg Week Kyebando-Mulago'!D81+'Avg Week Mulago-Kyebando'!D81</f>
        <v>1</v>
      </c>
      <c r="E81" s="49">
        <f>'Avg Week Kyebando-Mulago'!E81+'Avg Week Mulago-Kyebando'!E81</f>
        <v>0.5</v>
      </c>
      <c r="F81" s="49">
        <f>'Avg Week Kyebando-Mulago'!F81+'Avg Week Mulago-Kyebando'!F81</f>
        <v>0.5</v>
      </c>
      <c r="G81" s="49">
        <f>'Avg Week Kyebando-Mulago'!G81+'Avg Week Mulago-Kyebando'!G81</f>
        <v>0</v>
      </c>
      <c r="H81" s="49">
        <f>'Avg Week Kyebando-Mulago'!H81+'Avg Week Mulago-Kyebando'!H81</f>
        <v>0</v>
      </c>
      <c r="I81" s="49">
        <f>'Avg Week Kyebando-Mulago'!I81+'Avg Week Mulago-Kyebando'!I81</f>
        <v>0</v>
      </c>
      <c r="J81" s="49">
        <f>'Avg Week Kyebando-Mulago'!J81+'Avg Week Mulago-Kyebando'!J81</f>
        <v>0</v>
      </c>
      <c r="K81" s="49">
        <f>'Avg Week Kyebando-Mulago'!K81+'Avg Week Mulago-Kyebando'!K81</f>
        <v>0</v>
      </c>
      <c r="L81" s="49">
        <f>'Avg Week Kyebando-Mulago'!L81+'Avg Week Mulago-Kyebando'!L81</f>
        <v>0</v>
      </c>
      <c r="M81" s="49">
        <f>'Avg Week Kyebando-Mulago'!M81+'Avg Week Mulago-Kyebando'!M81</f>
        <v>38.5</v>
      </c>
      <c r="N81" s="49">
        <f>'Avg Week Kyebando-Mulago'!N81+'Avg Week Mulago-Kyebando'!N81</f>
        <v>0</v>
      </c>
      <c r="O81" s="15">
        <f t="shared" si="35"/>
        <v>37.5</v>
      </c>
      <c r="P81" s="15">
        <f t="shared" si="36"/>
        <v>76</v>
      </c>
      <c r="R81" s="8"/>
      <c r="T81"/>
    </row>
    <row r="82" spans="2:20" ht="23.1" customHeight="1" x14ac:dyDescent="0.25">
      <c r="B82" s="24" t="s">
        <v>122</v>
      </c>
      <c r="C82" s="49">
        <f>'Avg Week Kyebando-Mulago'!C82+'Avg Week Mulago-Kyebando'!C82</f>
        <v>27.5</v>
      </c>
      <c r="D82" s="49">
        <f>'Avg Week Kyebando-Mulago'!D82+'Avg Week Mulago-Kyebando'!D82</f>
        <v>0.5</v>
      </c>
      <c r="E82" s="49">
        <f>'Avg Week Kyebando-Mulago'!E82+'Avg Week Mulago-Kyebando'!E82</f>
        <v>2</v>
      </c>
      <c r="F82" s="49">
        <f>'Avg Week Kyebando-Mulago'!F82+'Avg Week Mulago-Kyebando'!F82</f>
        <v>0.5</v>
      </c>
      <c r="G82" s="49">
        <f>'Avg Week Kyebando-Mulago'!G82+'Avg Week Mulago-Kyebando'!G82</f>
        <v>0</v>
      </c>
      <c r="H82" s="49">
        <f>'Avg Week Kyebando-Mulago'!H82+'Avg Week Mulago-Kyebando'!H82</f>
        <v>0</v>
      </c>
      <c r="I82" s="49">
        <f>'Avg Week Kyebando-Mulago'!I82+'Avg Week Mulago-Kyebando'!I82</f>
        <v>2</v>
      </c>
      <c r="J82" s="49">
        <f>'Avg Week Kyebando-Mulago'!J82+'Avg Week Mulago-Kyebando'!J82</f>
        <v>0</v>
      </c>
      <c r="K82" s="49">
        <f>'Avg Week Kyebando-Mulago'!K82+'Avg Week Mulago-Kyebando'!K82</f>
        <v>0</v>
      </c>
      <c r="L82" s="49">
        <f>'Avg Week Kyebando-Mulago'!L82+'Avg Week Mulago-Kyebando'!L82</f>
        <v>0</v>
      </c>
      <c r="M82" s="49">
        <f>'Avg Week Kyebando-Mulago'!M82+'Avg Week Mulago-Kyebando'!M82</f>
        <v>31.5</v>
      </c>
      <c r="N82" s="49">
        <f>'Avg Week Kyebando-Mulago'!N82+'Avg Week Mulago-Kyebando'!N82</f>
        <v>0</v>
      </c>
      <c r="O82" s="15">
        <f t="shared" si="35"/>
        <v>32.5</v>
      </c>
      <c r="P82" s="15">
        <f t="shared" si="36"/>
        <v>64</v>
      </c>
      <c r="R82" s="8"/>
      <c r="T82"/>
    </row>
    <row r="83" spans="2:20" ht="23.1" customHeight="1" x14ac:dyDescent="0.25">
      <c r="B83" s="23" t="s">
        <v>123</v>
      </c>
      <c r="C83" s="49">
        <f>'Avg Week Kyebando-Mulago'!C83+'Avg Week Mulago-Kyebando'!C83</f>
        <v>24.5</v>
      </c>
      <c r="D83" s="49">
        <f>'Avg Week Kyebando-Mulago'!D83+'Avg Week Mulago-Kyebando'!D83</f>
        <v>1.5</v>
      </c>
      <c r="E83" s="49">
        <f>'Avg Week Kyebando-Mulago'!E83+'Avg Week Mulago-Kyebando'!E83</f>
        <v>2</v>
      </c>
      <c r="F83" s="49">
        <f>'Avg Week Kyebando-Mulago'!F83+'Avg Week Mulago-Kyebando'!F83</f>
        <v>1</v>
      </c>
      <c r="G83" s="49">
        <f>'Avg Week Kyebando-Mulago'!G83+'Avg Week Mulago-Kyebando'!G83</f>
        <v>0</v>
      </c>
      <c r="H83" s="49">
        <f>'Avg Week Kyebando-Mulago'!H83+'Avg Week Mulago-Kyebando'!H83</f>
        <v>0</v>
      </c>
      <c r="I83" s="49">
        <f>'Avg Week Kyebando-Mulago'!I83+'Avg Week Mulago-Kyebando'!I83</f>
        <v>1</v>
      </c>
      <c r="J83" s="49">
        <f>'Avg Week Kyebando-Mulago'!J83+'Avg Week Mulago-Kyebando'!J83</f>
        <v>0</v>
      </c>
      <c r="K83" s="49">
        <f>'Avg Week Kyebando-Mulago'!K83+'Avg Week Mulago-Kyebando'!K83</f>
        <v>0</v>
      </c>
      <c r="L83" s="49">
        <f>'Avg Week Kyebando-Mulago'!L83+'Avg Week Mulago-Kyebando'!L83</f>
        <v>0</v>
      </c>
      <c r="M83" s="49">
        <f>'Avg Week Kyebando-Mulago'!M83+'Avg Week Mulago-Kyebando'!M83</f>
        <v>26.5</v>
      </c>
      <c r="N83" s="49">
        <f>'Avg Week Kyebando-Mulago'!N83+'Avg Week Mulago-Kyebando'!N83</f>
        <v>0</v>
      </c>
      <c r="O83" s="15">
        <f t="shared" si="35"/>
        <v>30</v>
      </c>
      <c r="P83" s="15">
        <f t="shared" si="36"/>
        <v>56.5</v>
      </c>
      <c r="R83" s="8"/>
      <c r="T83"/>
    </row>
    <row r="84" spans="2:20" ht="23.1" customHeight="1" x14ac:dyDescent="0.25">
      <c r="B84" s="25" t="s">
        <v>124</v>
      </c>
      <c r="C84" s="49">
        <f>'Avg Week Kyebando-Mulago'!C84+'Avg Week Mulago-Kyebando'!C84</f>
        <v>24</v>
      </c>
      <c r="D84" s="49">
        <f>'Avg Week Kyebando-Mulago'!D84+'Avg Week Mulago-Kyebando'!D84</f>
        <v>1</v>
      </c>
      <c r="E84" s="49">
        <f>'Avg Week Kyebando-Mulago'!E84+'Avg Week Mulago-Kyebando'!E84</f>
        <v>1</v>
      </c>
      <c r="F84" s="49">
        <f>'Avg Week Kyebando-Mulago'!F84+'Avg Week Mulago-Kyebando'!F84</f>
        <v>0</v>
      </c>
      <c r="G84" s="49">
        <f>'Avg Week Kyebando-Mulago'!G84+'Avg Week Mulago-Kyebando'!G84</f>
        <v>0</v>
      </c>
      <c r="H84" s="49">
        <f>'Avg Week Kyebando-Mulago'!H84+'Avg Week Mulago-Kyebando'!H84</f>
        <v>0.5</v>
      </c>
      <c r="I84" s="49">
        <f>'Avg Week Kyebando-Mulago'!I84+'Avg Week Mulago-Kyebando'!I84</f>
        <v>2</v>
      </c>
      <c r="J84" s="49">
        <f>'Avg Week Kyebando-Mulago'!J84+'Avg Week Mulago-Kyebando'!J84</f>
        <v>0</v>
      </c>
      <c r="K84" s="49">
        <f>'Avg Week Kyebando-Mulago'!K84+'Avg Week Mulago-Kyebando'!K84</f>
        <v>0</v>
      </c>
      <c r="L84" s="49">
        <f>'Avg Week Kyebando-Mulago'!L84+'Avg Week Mulago-Kyebando'!L84</f>
        <v>0</v>
      </c>
      <c r="M84" s="49">
        <f>'Avg Week Kyebando-Mulago'!M84+'Avg Week Mulago-Kyebando'!M84</f>
        <v>31.5</v>
      </c>
      <c r="N84" s="49">
        <f>'Avg Week Kyebando-Mulago'!N84+'Avg Week Mulago-Kyebando'!N84</f>
        <v>0</v>
      </c>
      <c r="O84" s="15">
        <f t="shared" si="35"/>
        <v>28.5</v>
      </c>
      <c r="P84" s="15">
        <f t="shared" si="36"/>
        <v>60</v>
      </c>
      <c r="R84" s="8"/>
      <c r="T84"/>
    </row>
    <row r="85" spans="2:20" ht="23.1" customHeight="1" x14ac:dyDescent="0.25">
      <c r="B85" s="23" t="s">
        <v>125</v>
      </c>
      <c r="C85" s="49">
        <f>'Avg Week Kyebando-Mulago'!C85+'Avg Week Mulago-Kyebando'!C85</f>
        <v>27</v>
      </c>
      <c r="D85" s="49">
        <f>'Avg Week Kyebando-Mulago'!D85+'Avg Week Mulago-Kyebando'!D85</f>
        <v>0.5</v>
      </c>
      <c r="E85" s="49">
        <f>'Avg Week Kyebando-Mulago'!E85+'Avg Week Mulago-Kyebando'!E85</f>
        <v>2</v>
      </c>
      <c r="F85" s="49">
        <f>'Avg Week Kyebando-Mulago'!F85+'Avg Week Mulago-Kyebando'!F85</f>
        <v>0</v>
      </c>
      <c r="G85" s="49">
        <f>'Avg Week Kyebando-Mulago'!G85+'Avg Week Mulago-Kyebando'!G85</f>
        <v>0</v>
      </c>
      <c r="H85" s="49">
        <f>'Avg Week Kyebando-Mulago'!H85+'Avg Week Mulago-Kyebando'!H85</f>
        <v>0</v>
      </c>
      <c r="I85" s="49">
        <f>'Avg Week Kyebando-Mulago'!I85+'Avg Week Mulago-Kyebando'!I85</f>
        <v>1.5</v>
      </c>
      <c r="J85" s="49">
        <f>'Avg Week Kyebando-Mulago'!J85+'Avg Week Mulago-Kyebando'!J85</f>
        <v>0</v>
      </c>
      <c r="K85" s="49">
        <f>'Avg Week Kyebando-Mulago'!K85+'Avg Week Mulago-Kyebando'!K85</f>
        <v>0</v>
      </c>
      <c r="L85" s="49">
        <f>'Avg Week Kyebando-Mulago'!L85+'Avg Week Mulago-Kyebando'!L85</f>
        <v>0</v>
      </c>
      <c r="M85" s="49">
        <f>'Avg Week Kyebando-Mulago'!M85+'Avg Week Mulago-Kyebando'!M85</f>
        <v>33</v>
      </c>
      <c r="N85" s="49">
        <f>'Avg Week Kyebando-Mulago'!N85+'Avg Week Mulago-Kyebando'!N85</f>
        <v>0</v>
      </c>
      <c r="O85" s="15">
        <f t="shared" si="35"/>
        <v>31</v>
      </c>
      <c r="P85" s="15">
        <f t="shared" si="36"/>
        <v>64</v>
      </c>
      <c r="R85" s="8"/>
      <c r="T85"/>
    </row>
    <row r="86" spans="2:20" ht="23.1" customHeight="1" x14ac:dyDescent="0.25">
      <c r="B86" s="24" t="s">
        <v>126</v>
      </c>
      <c r="C86" s="49">
        <f>'Avg Week Kyebando-Mulago'!C86+'Avg Week Mulago-Kyebando'!C86</f>
        <v>19</v>
      </c>
      <c r="D86" s="49">
        <f>'Avg Week Kyebando-Mulago'!D86+'Avg Week Mulago-Kyebando'!D86</f>
        <v>1</v>
      </c>
      <c r="E86" s="49">
        <f>'Avg Week Kyebando-Mulago'!E86+'Avg Week Mulago-Kyebando'!E86</f>
        <v>1.5</v>
      </c>
      <c r="F86" s="49">
        <f>'Avg Week Kyebando-Mulago'!F86+'Avg Week Mulago-Kyebando'!F86</f>
        <v>0</v>
      </c>
      <c r="G86" s="49">
        <f>'Avg Week Kyebando-Mulago'!G86+'Avg Week Mulago-Kyebando'!G86</f>
        <v>0</v>
      </c>
      <c r="H86" s="49">
        <f>'Avg Week Kyebando-Mulago'!H86+'Avg Week Mulago-Kyebando'!H86</f>
        <v>0</v>
      </c>
      <c r="I86" s="49">
        <f>'Avg Week Kyebando-Mulago'!I86+'Avg Week Mulago-Kyebando'!I86</f>
        <v>0.5</v>
      </c>
      <c r="J86" s="49">
        <f>'Avg Week Kyebando-Mulago'!J86+'Avg Week Mulago-Kyebando'!J86</f>
        <v>0</v>
      </c>
      <c r="K86" s="49">
        <f>'Avg Week Kyebando-Mulago'!K86+'Avg Week Mulago-Kyebando'!K86</f>
        <v>0</v>
      </c>
      <c r="L86" s="49">
        <f>'Avg Week Kyebando-Mulago'!L86+'Avg Week Mulago-Kyebando'!L86</f>
        <v>0</v>
      </c>
      <c r="M86" s="49">
        <f>'Avg Week Kyebando-Mulago'!M86+'Avg Week Mulago-Kyebando'!M86</f>
        <v>30.5</v>
      </c>
      <c r="N86" s="49">
        <f>'Avg Week Kyebando-Mulago'!N86+'Avg Week Mulago-Kyebando'!N86</f>
        <v>0</v>
      </c>
      <c r="O86" s="15">
        <f t="shared" si="35"/>
        <v>22</v>
      </c>
      <c r="P86" s="15">
        <f t="shared" si="36"/>
        <v>52.5</v>
      </c>
      <c r="R86" s="8"/>
      <c r="T86"/>
    </row>
    <row r="87" spans="2:20" ht="23.1" customHeight="1" x14ac:dyDescent="0.25">
      <c r="B87" s="23" t="s">
        <v>127</v>
      </c>
      <c r="C87" s="49">
        <f>'Avg Week Kyebando-Mulago'!C87+'Avg Week Mulago-Kyebando'!C87</f>
        <v>22</v>
      </c>
      <c r="D87" s="49">
        <f>'Avg Week Kyebando-Mulago'!D87+'Avg Week Mulago-Kyebando'!D87</f>
        <v>0.5</v>
      </c>
      <c r="E87" s="49">
        <f>'Avg Week Kyebando-Mulago'!E87+'Avg Week Mulago-Kyebando'!E87</f>
        <v>0.5</v>
      </c>
      <c r="F87" s="49">
        <f>'Avg Week Kyebando-Mulago'!F87+'Avg Week Mulago-Kyebando'!F87</f>
        <v>0</v>
      </c>
      <c r="G87" s="49">
        <f>'Avg Week Kyebando-Mulago'!G87+'Avg Week Mulago-Kyebando'!G87</f>
        <v>0</v>
      </c>
      <c r="H87" s="49">
        <f>'Avg Week Kyebando-Mulago'!H87+'Avg Week Mulago-Kyebando'!H87</f>
        <v>0</v>
      </c>
      <c r="I87" s="49">
        <f>'Avg Week Kyebando-Mulago'!I87+'Avg Week Mulago-Kyebando'!I87</f>
        <v>0</v>
      </c>
      <c r="J87" s="49">
        <f>'Avg Week Kyebando-Mulago'!J87+'Avg Week Mulago-Kyebando'!J87</f>
        <v>0</v>
      </c>
      <c r="K87" s="49">
        <f>'Avg Week Kyebando-Mulago'!K87+'Avg Week Mulago-Kyebando'!K87</f>
        <v>0</v>
      </c>
      <c r="L87" s="49">
        <f>'Avg Week Kyebando-Mulago'!L87+'Avg Week Mulago-Kyebando'!L87</f>
        <v>0</v>
      </c>
      <c r="M87" s="49">
        <f>'Avg Week Kyebando-Mulago'!M87+'Avg Week Mulago-Kyebando'!M87</f>
        <v>27.5</v>
      </c>
      <c r="N87" s="49">
        <f>'Avg Week Kyebando-Mulago'!N87+'Avg Week Mulago-Kyebando'!N87</f>
        <v>0</v>
      </c>
      <c r="O87" s="15">
        <f t="shared" si="35"/>
        <v>23</v>
      </c>
      <c r="P87" s="15">
        <f t="shared" si="36"/>
        <v>50.5</v>
      </c>
      <c r="R87" s="8"/>
      <c r="T87"/>
    </row>
    <row r="88" spans="2:20" ht="23.1" customHeight="1" x14ac:dyDescent="0.25">
      <c r="B88" s="25" t="s">
        <v>128</v>
      </c>
      <c r="C88" s="49">
        <f>'Avg Week Kyebando-Mulago'!C88+'Avg Week Mulago-Kyebando'!C88</f>
        <v>12.5</v>
      </c>
      <c r="D88" s="49">
        <f>'Avg Week Kyebando-Mulago'!D88+'Avg Week Mulago-Kyebando'!D88</f>
        <v>0.5</v>
      </c>
      <c r="E88" s="49">
        <f>'Avg Week Kyebando-Mulago'!E88+'Avg Week Mulago-Kyebando'!E88</f>
        <v>3.5</v>
      </c>
      <c r="F88" s="49">
        <f>'Avg Week Kyebando-Mulago'!F88+'Avg Week Mulago-Kyebando'!F88</f>
        <v>1</v>
      </c>
      <c r="G88" s="49">
        <f>'Avg Week Kyebando-Mulago'!G88+'Avg Week Mulago-Kyebando'!G88</f>
        <v>0</v>
      </c>
      <c r="H88" s="49">
        <f>'Avg Week Kyebando-Mulago'!H88+'Avg Week Mulago-Kyebando'!H88</f>
        <v>0</v>
      </c>
      <c r="I88" s="49">
        <f>'Avg Week Kyebando-Mulago'!I88+'Avg Week Mulago-Kyebando'!I88</f>
        <v>0</v>
      </c>
      <c r="J88" s="49">
        <f>'Avg Week Kyebando-Mulago'!J88+'Avg Week Mulago-Kyebando'!J88</f>
        <v>0</v>
      </c>
      <c r="K88" s="49">
        <f>'Avg Week Kyebando-Mulago'!K88+'Avg Week Mulago-Kyebando'!K88</f>
        <v>0</v>
      </c>
      <c r="L88" s="49">
        <f>'Avg Week Kyebando-Mulago'!L88+'Avg Week Mulago-Kyebando'!L88</f>
        <v>0</v>
      </c>
      <c r="M88" s="49">
        <f>'Avg Week Kyebando-Mulago'!M88+'Avg Week Mulago-Kyebando'!M88</f>
        <v>19.5</v>
      </c>
      <c r="N88" s="49">
        <f>'Avg Week Kyebando-Mulago'!N88+'Avg Week Mulago-Kyebando'!N88</f>
        <v>0</v>
      </c>
      <c r="O88" s="15">
        <f t="shared" si="35"/>
        <v>17.5</v>
      </c>
      <c r="P88" s="15">
        <f t="shared" si="36"/>
        <v>37</v>
      </c>
      <c r="R88" s="8"/>
      <c r="T88"/>
    </row>
    <row r="89" spans="2:20" ht="23.1" customHeight="1" x14ac:dyDescent="0.25">
      <c r="B89" s="23" t="s">
        <v>129</v>
      </c>
      <c r="C89" s="49">
        <f>'Avg Week Kyebando-Mulago'!C89+'Avg Week Mulago-Kyebando'!C89</f>
        <v>18</v>
      </c>
      <c r="D89" s="49">
        <f>'Avg Week Kyebando-Mulago'!D89+'Avg Week Mulago-Kyebando'!D89</f>
        <v>1</v>
      </c>
      <c r="E89" s="49">
        <f>'Avg Week Kyebando-Mulago'!E89+'Avg Week Mulago-Kyebando'!E89</f>
        <v>2.5</v>
      </c>
      <c r="F89" s="49">
        <f>'Avg Week Kyebando-Mulago'!F89+'Avg Week Mulago-Kyebando'!F89</f>
        <v>0.5</v>
      </c>
      <c r="G89" s="49">
        <f>'Avg Week Kyebando-Mulago'!G89+'Avg Week Mulago-Kyebando'!G89</f>
        <v>0</v>
      </c>
      <c r="H89" s="49">
        <f>'Avg Week Kyebando-Mulago'!H89+'Avg Week Mulago-Kyebando'!H89</f>
        <v>0</v>
      </c>
      <c r="I89" s="49">
        <f>'Avg Week Kyebando-Mulago'!I89+'Avg Week Mulago-Kyebando'!I89</f>
        <v>0</v>
      </c>
      <c r="J89" s="49">
        <f>'Avg Week Kyebando-Mulago'!J89+'Avg Week Mulago-Kyebando'!J89</f>
        <v>0</v>
      </c>
      <c r="K89" s="49">
        <f>'Avg Week Kyebando-Mulago'!K89+'Avg Week Mulago-Kyebando'!K89</f>
        <v>0</v>
      </c>
      <c r="L89" s="49">
        <f>'Avg Week Kyebando-Mulago'!L89+'Avg Week Mulago-Kyebando'!L89</f>
        <v>0</v>
      </c>
      <c r="M89" s="49">
        <f>'Avg Week Kyebando-Mulago'!M89+'Avg Week Mulago-Kyebando'!M89</f>
        <v>23.5</v>
      </c>
      <c r="N89" s="49">
        <f>'Avg Week Kyebando-Mulago'!N89+'Avg Week Mulago-Kyebando'!N89</f>
        <v>0</v>
      </c>
      <c r="O89" s="15">
        <f t="shared" si="35"/>
        <v>22</v>
      </c>
      <c r="P89" s="15">
        <f t="shared" si="36"/>
        <v>45.5</v>
      </c>
      <c r="R89" s="8"/>
      <c r="T89"/>
    </row>
    <row r="90" spans="2:20" ht="23.1" customHeight="1" x14ac:dyDescent="0.25">
      <c r="B90" s="24" t="s">
        <v>130</v>
      </c>
      <c r="C90" s="49">
        <f>'Avg Week Kyebando-Mulago'!C90+'Avg Week Mulago-Kyebando'!C90</f>
        <v>7</v>
      </c>
      <c r="D90" s="49">
        <f>'Avg Week Kyebando-Mulago'!D90+'Avg Week Mulago-Kyebando'!D90</f>
        <v>0.5</v>
      </c>
      <c r="E90" s="49">
        <f>'Avg Week Kyebando-Mulago'!E90+'Avg Week Mulago-Kyebando'!E90</f>
        <v>0</v>
      </c>
      <c r="F90" s="49">
        <f>'Avg Week Kyebando-Mulago'!F90+'Avg Week Mulago-Kyebando'!F90</f>
        <v>0</v>
      </c>
      <c r="G90" s="49">
        <f>'Avg Week Kyebando-Mulago'!G90+'Avg Week Mulago-Kyebando'!G90</f>
        <v>0</v>
      </c>
      <c r="H90" s="49">
        <f>'Avg Week Kyebando-Mulago'!H90+'Avg Week Mulago-Kyebando'!H90</f>
        <v>0</v>
      </c>
      <c r="I90" s="49">
        <f>'Avg Week Kyebando-Mulago'!I90+'Avg Week Mulago-Kyebando'!I90</f>
        <v>0</v>
      </c>
      <c r="J90" s="49">
        <f>'Avg Week Kyebando-Mulago'!J90+'Avg Week Mulago-Kyebando'!J90</f>
        <v>0</v>
      </c>
      <c r="K90" s="49">
        <f>'Avg Week Kyebando-Mulago'!K90+'Avg Week Mulago-Kyebando'!K90</f>
        <v>0</v>
      </c>
      <c r="L90" s="49">
        <f>'Avg Week Kyebando-Mulago'!L90+'Avg Week Mulago-Kyebando'!L90</f>
        <v>0</v>
      </c>
      <c r="M90" s="49">
        <f>'Avg Week Kyebando-Mulago'!M90+'Avg Week Mulago-Kyebando'!M90</f>
        <v>12</v>
      </c>
      <c r="N90" s="49">
        <f>'Avg Week Kyebando-Mulago'!N90+'Avg Week Mulago-Kyebando'!N90</f>
        <v>0</v>
      </c>
      <c r="O90" s="15">
        <f t="shared" si="35"/>
        <v>7.5</v>
      </c>
      <c r="P90" s="15">
        <f t="shared" si="36"/>
        <v>19.5</v>
      </c>
      <c r="R90" s="8"/>
      <c r="T90"/>
    </row>
    <row r="91" spans="2:20" ht="23.1" customHeight="1" x14ac:dyDescent="0.25">
      <c r="B91" s="23" t="s">
        <v>131</v>
      </c>
      <c r="C91" s="49">
        <f>'Avg Week Kyebando-Mulago'!C91+'Avg Week Mulago-Kyebando'!C91</f>
        <v>10</v>
      </c>
      <c r="D91" s="49">
        <f>'Avg Week Kyebando-Mulago'!D91+'Avg Week Mulago-Kyebando'!D91</f>
        <v>1</v>
      </c>
      <c r="E91" s="49">
        <f>'Avg Week Kyebando-Mulago'!E91+'Avg Week Mulago-Kyebando'!E91</f>
        <v>0</v>
      </c>
      <c r="F91" s="49">
        <f>'Avg Week Kyebando-Mulago'!F91+'Avg Week Mulago-Kyebando'!F91</f>
        <v>0</v>
      </c>
      <c r="G91" s="49">
        <f>'Avg Week Kyebando-Mulago'!G91+'Avg Week Mulago-Kyebando'!G91</f>
        <v>0</v>
      </c>
      <c r="H91" s="49">
        <f>'Avg Week Kyebando-Mulago'!H91+'Avg Week Mulago-Kyebando'!H91</f>
        <v>0</v>
      </c>
      <c r="I91" s="49">
        <f>'Avg Week Kyebando-Mulago'!I91+'Avg Week Mulago-Kyebando'!I91</f>
        <v>0.5</v>
      </c>
      <c r="J91" s="49">
        <f>'Avg Week Kyebando-Mulago'!J91+'Avg Week Mulago-Kyebando'!J91</f>
        <v>0</v>
      </c>
      <c r="K91" s="49">
        <f>'Avg Week Kyebando-Mulago'!K91+'Avg Week Mulago-Kyebando'!K91</f>
        <v>0</v>
      </c>
      <c r="L91" s="49">
        <f>'Avg Week Kyebando-Mulago'!L91+'Avg Week Mulago-Kyebando'!L91</f>
        <v>0</v>
      </c>
      <c r="M91" s="49">
        <f>'Avg Week Kyebando-Mulago'!M91+'Avg Week Mulago-Kyebando'!M91</f>
        <v>13.5</v>
      </c>
      <c r="N91" s="49">
        <f>'Avg Week Kyebando-Mulago'!N91+'Avg Week Mulago-Kyebando'!N91</f>
        <v>0</v>
      </c>
      <c r="O91" s="15">
        <f t="shared" si="35"/>
        <v>11.5</v>
      </c>
      <c r="P91" s="15">
        <f t="shared" si="36"/>
        <v>25</v>
      </c>
      <c r="R91" s="8"/>
      <c r="T91"/>
    </row>
    <row r="92" spans="2:20" ht="23.1" customHeight="1" x14ac:dyDescent="0.25">
      <c r="B92" s="25" t="s">
        <v>132</v>
      </c>
      <c r="C92" s="49">
        <f>'Avg Week Kyebando-Mulago'!C92+'Avg Week Mulago-Kyebando'!C92</f>
        <v>9</v>
      </c>
      <c r="D92" s="49">
        <f>'Avg Week Kyebando-Mulago'!D92+'Avg Week Mulago-Kyebando'!D92</f>
        <v>0.5</v>
      </c>
      <c r="E92" s="49">
        <f>'Avg Week Kyebando-Mulago'!E92+'Avg Week Mulago-Kyebando'!E92</f>
        <v>0.5</v>
      </c>
      <c r="F92" s="49">
        <f>'Avg Week Kyebando-Mulago'!F92+'Avg Week Mulago-Kyebando'!F92</f>
        <v>0</v>
      </c>
      <c r="G92" s="49">
        <f>'Avg Week Kyebando-Mulago'!G92+'Avg Week Mulago-Kyebando'!G92</f>
        <v>0</v>
      </c>
      <c r="H92" s="49">
        <f>'Avg Week Kyebando-Mulago'!H92+'Avg Week Mulago-Kyebando'!H92</f>
        <v>0</v>
      </c>
      <c r="I92" s="49">
        <f>'Avg Week Kyebando-Mulago'!I92+'Avg Week Mulago-Kyebando'!I92</f>
        <v>0</v>
      </c>
      <c r="J92" s="49">
        <f>'Avg Week Kyebando-Mulago'!J92+'Avg Week Mulago-Kyebando'!J92</f>
        <v>0.5</v>
      </c>
      <c r="K92" s="49">
        <f>'Avg Week Kyebando-Mulago'!K92+'Avg Week Mulago-Kyebando'!K92</f>
        <v>0</v>
      </c>
      <c r="L92" s="49">
        <f>'Avg Week Kyebando-Mulago'!L92+'Avg Week Mulago-Kyebando'!L92</f>
        <v>0</v>
      </c>
      <c r="M92" s="49">
        <f>'Avg Week Kyebando-Mulago'!M92+'Avg Week Mulago-Kyebando'!M92</f>
        <v>27.5</v>
      </c>
      <c r="N92" s="49">
        <f>'Avg Week Kyebando-Mulago'!N92+'Avg Week Mulago-Kyebando'!N92</f>
        <v>0</v>
      </c>
      <c r="O92" s="15">
        <f t="shared" si="35"/>
        <v>10.5</v>
      </c>
      <c r="P92" s="15">
        <f t="shared" si="36"/>
        <v>38</v>
      </c>
      <c r="R92" s="8"/>
      <c r="T92"/>
    </row>
    <row r="93" spans="2:20" ht="23.1" customHeight="1" x14ac:dyDescent="0.25">
      <c r="B93" s="23" t="s">
        <v>133</v>
      </c>
      <c r="C93" s="49">
        <f>'Avg Week Kyebando-Mulago'!C93+'Avg Week Mulago-Kyebando'!C93</f>
        <v>10</v>
      </c>
      <c r="D93" s="49">
        <f>'Avg Week Kyebando-Mulago'!D93+'Avg Week Mulago-Kyebando'!D93</f>
        <v>1</v>
      </c>
      <c r="E93" s="49">
        <f>'Avg Week Kyebando-Mulago'!E93+'Avg Week Mulago-Kyebando'!E93</f>
        <v>1.5</v>
      </c>
      <c r="F93" s="49">
        <f>'Avg Week Kyebando-Mulago'!F93+'Avg Week Mulago-Kyebando'!F93</f>
        <v>0</v>
      </c>
      <c r="G93" s="49">
        <f>'Avg Week Kyebando-Mulago'!G93+'Avg Week Mulago-Kyebando'!G93</f>
        <v>0</v>
      </c>
      <c r="H93" s="49">
        <f>'Avg Week Kyebando-Mulago'!H93+'Avg Week Mulago-Kyebando'!H93</f>
        <v>0</v>
      </c>
      <c r="I93" s="49">
        <f>'Avg Week Kyebando-Mulago'!I93+'Avg Week Mulago-Kyebando'!I93</f>
        <v>0</v>
      </c>
      <c r="J93" s="49">
        <f>'Avg Week Kyebando-Mulago'!J93+'Avg Week Mulago-Kyebando'!J93</f>
        <v>0</v>
      </c>
      <c r="K93" s="49">
        <f>'Avg Week Kyebando-Mulago'!K93+'Avg Week Mulago-Kyebando'!K93</f>
        <v>0.5</v>
      </c>
      <c r="L93" s="49">
        <f>'Avg Week Kyebando-Mulago'!L93+'Avg Week Mulago-Kyebando'!L93</f>
        <v>0</v>
      </c>
      <c r="M93" s="49">
        <f>'Avg Week Kyebando-Mulago'!M93+'Avg Week Mulago-Kyebando'!M93</f>
        <v>13.5</v>
      </c>
      <c r="N93" s="49">
        <f>'Avg Week Kyebando-Mulago'!N93+'Avg Week Mulago-Kyebando'!N93</f>
        <v>0</v>
      </c>
      <c r="O93" s="15">
        <f t="shared" si="35"/>
        <v>13</v>
      </c>
      <c r="P93" s="15">
        <f t="shared" si="36"/>
        <v>26.5</v>
      </c>
      <c r="R93" s="8"/>
      <c r="T93"/>
    </row>
    <row r="94" spans="2:20" ht="23.1" customHeight="1" x14ac:dyDescent="0.25">
      <c r="B94" s="24" t="s">
        <v>134</v>
      </c>
      <c r="C94" s="49">
        <f>'Avg Week Kyebando-Mulago'!C94+'Avg Week Mulago-Kyebando'!C94</f>
        <v>8.5</v>
      </c>
      <c r="D94" s="49">
        <f>'Avg Week Kyebando-Mulago'!D94+'Avg Week Mulago-Kyebando'!D94</f>
        <v>0.5</v>
      </c>
      <c r="E94" s="49">
        <f>'Avg Week Kyebando-Mulago'!E94+'Avg Week Mulago-Kyebando'!E94</f>
        <v>0</v>
      </c>
      <c r="F94" s="49">
        <f>'Avg Week Kyebando-Mulago'!F94+'Avg Week Mulago-Kyebando'!F94</f>
        <v>0</v>
      </c>
      <c r="G94" s="49">
        <f>'Avg Week Kyebando-Mulago'!G94+'Avg Week Mulago-Kyebando'!G94</f>
        <v>0</v>
      </c>
      <c r="H94" s="49">
        <f>'Avg Week Kyebando-Mulago'!H94+'Avg Week Mulago-Kyebando'!H94</f>
        <v>0</v>
      </c>
      <c r="I94" s="49">
        <f>'Avg Week Kyebando-Mulago'!I94+'Avg Week Mulago-Kyebando'!I94</f>
        <v>0</v>
      </c>
      <c r="J94" s="49">
        <f>'Avg Week Kyebando-Mulago'!J94+'Avg Week Mulago-Kyebando'!J94</f>
        <v>0</v>
      </c>
      <c r="K94" s="49">
        <f>'Avg Week Kyebando-Mulago'!K94+'Avg Week Mulago-Kyebando'!K94</f>
        <v>0.5</v>
      </c>
      <c r="L94" s="49">
        <f>'Avg Week Kyebando-Mulago'!L94+'Avg Week Mulago-Kyebando'!L94</f>
        <v>0</v>
      </c>
      <c r="M94" s="49">
        <f>'Avg Week Kyebando-Mulago'!M94+'Avg Week Mulago-Kyebando'!M94</f>
        <v>10.5</v>
      </c>
      <c r="N94" s="49">
        <f>'Avg Week Kyebando-Mulago'!N94+'Avg Week Mulago-Kyebando'!N94</f>
        <v>0</v>
      </c>
      <c r="O94" s="15">
        <f t="shared" si="35"/>
        <v>9.5</v>
      </c>
      <c r="P94" s="15">
        <f t="shared" si="36"/>
        <v>20</v>
      </c>
      <c r="R94" s="8"/>
      <c r="T94"/>
    </row>
    <row r="95" spans="2:20" ht="23.1" customHeight="1" x14ac:dyDescent="0.25">
      <c r="B95" s="23" t="s">
        <v>135</v>
      </c>
      <c r="C95" s="49">
        <f>'Avg Week Kyebando-Mulago'!C95+'Avg Week Mulago-Kyebando'!C95</f>
        <v>12.5</v>
      </c>
      <c r="D95" s="49">
        <f>'Avg Week Kyebando-Mulago'!D95+'Avg Week Mulago-Kyebando'!D95</f>
        <v>0.5</v>
      </c>
      <c r="E95" s="49">
        <f>'Avg Week Kyebando-Mulago'!E95+'Avg Week Mulago-Kyebando'!E95</f>
        <v>1</v>
      </c>
      <c r="F95" s="49">
        <f>'Avg Week Kyebando-Mulago'!F95+'Avg Week Mulago-Kyebando'!F95</f>
        <v>0</v>
      </c>
      <c r="G95" s="49">
        <f>'Avg Week Kyebando-Mulago'!G95+'Avg Week Mulago-Kyebando'!G95</f>
        <v>0</v>
      </c>
      <c r="H95" s="49">
        <f>'Avg Week Kyebando-Mulago'!H95+'Avg Week Mulago-Kyebando'!H95</f>
        <v>0</v>
      </c>
      <c r="I95" s="49">
        <f>'Avg Week Kyebando-Mulago'!I95+'Avg Week Mulago-Kyebando'!I95</f>
        <v>0</v>
      </c>
      <c r="J95" s="49">
        <f>'Avg Week Kyebando-Mulago'!J95+'Avg Week Mulago-Kyebando'!J95</f>
        <v>0</v>
      </c>
      <c r="K95" s="49">
        <f>'Avg Week Kyebando-Mulago'!K95+'Avg Week Mulago-Kyebando'!K95</f>
        <v>0</v>
      </c>
      <c r="L95" s="49">
        <f>'Avg Week Kyebando-Mulago'!L95+'Avg Week Mulago-Kyebando'!L95</f>
        <v>0</v>
      </c>
      <c r="M95" s="49">
        <f>'Avg Week Kyebando-Mulago'!M95+'Avg Week Mulago-Kyebando'!M95</f>
        <v>15</v>
      </c>
      <c r="N95" s="49">
        <f>'Avg Week Kyebando-Mulago'!N95+'Avg Week Mulago-Kyebando'!N95</f>
        <v>0</v>
      </c>
      <c r="O95" s="15">
        <f t="shared" si="35"/>
        <v>14</v>
      </c>
      <c r="P95" s="15">
        <f t="shared" si="36"/>
        <v>29</v>
      </c>
      <c r="R95" s="8"/>
      <c r="T95"/>
    </row>
    <row r="96" spans="2:20" ht="23.1" customHeight="1" x14ac:dyDescent="0.25">
      <c r="B96" s="25" t="s">
        <v>136</v>
      </c>
      <c r="C96" s="49">
        <f>'Avg Week Kyebando-Mulago'!C96+'Avg Week Mulago-Kyebando'!C96</f>
        <v>7.5</v>
      </c>
      <c r="D96" s="49">
        <f>'Avg Week Kyebando-Mulago'!D96+'Avg Week Mulago-Kyebando'!D96</f>
        <v>1</v>
      </c>
      <c r="E96" s="49">
        <f>'Avg Week Kyebando-Mulago'!E96+'Avg Week Mulago-Kyebando'!E96</f>
        <v>0</v>
      </c>
      <c r="F96" s="49">
        <f>'Avg Week Kyebando-Mulago'!F96+'Avg Week Mulago-Kyebando'!F96</f>
        <v>0</v>
      </c>
      <c r="G96" s="49">
        <f>'Avg Week Kyebando-Mulago'!G96+'Avg Week Mulago-Kyebando'!G96</f>
        <v>0</v>
      </c>
      <c r="H96" s="49">
        <f>'Avg Week Kyebando-Mulago'!H96+'Avg Week Mulago-Kyebando'!H96</f>
        <v>0</v>
      </c>
      <c r="I96" s="49">
        <f>'Avg Week Kyebando-Mulago'!I96+'Avg Week Mulago-Kyebando'!I96</f>
        <v>1</v>
      </c>
      <c r="J96" s="49">
        <f>'Avg Week Kyebando-Mulago'!J96+'Avg Week Mulago-Kyebando'!J96</f>
        <v>0.5</v>
      </c>
      <c r="K96" s="49">
        <f>'Avg Week Kyebando-Mulago'!K96+'Avg Week Mulago-Kyebando'!K96</f>
        <v>0</v>
      </c>
      <c r="L96" s="49">
        <f>'Avg Week Kyebando-Mulago'!L96+'Avg Week Mulago-Kyebando'!L96</f>
        <v>0</v>
      </c>
      <c r="M96" s="49">
        <f>'Avg Week Kyebando-Mulago'!M96+'Avg Week Mulago-Kyebando'!M96</f>
        <v>17.5</v>
      </c>
      <c r="N96" s="49">
        <f>'Avg Week Kyebando-Mulago'!N96+'Avg Week Mulago-Kyebando'!N96</f>
        <v>0</v>
      </c>
      <c r="O96" s="15">
        <f t="shared" si="35"/>
        <v>10</v>
      </c>
      <c r="P96" s="15">
        <f t="shared" si="36"/>
        <v>27.5</v>
      </c>
      <c r="R96" s="8"/>
      <c r="T96"/>
    </row>
    <row r="97" spans="2:20" ht="23.1" customHeight="1" x14ac:dyDescent="0.25">
      <c r="B97" s="23" t="s">
        <v>137</v>
      </c>
      <c r="C97" s="49">
        <f>'Avg Week Kyebando-Mulago'!C97+'Avg Week Mulago-Kyebando'!C97</f>
        <v>6</v>
      </c>
      <c r="D97" s="49">
        <f>'Avg Week Kyebando-Mulago'!D97+'Avg Week Mulago-Kyebando'!D97</f>
        <v>0.5</v>
      </c>
      <c r="E97" s="49">
        <f>'Avg Week Kyebando-Mulago'!E97+'Avg Week Mulago-Kyebando'!E97</f>
        <v>0.5</v>
      </c>
      <c r="F97" s="49">
        <f>'Avg Week Kyebando-Mulago'!F97+'Avg Week Mulago-Kyebando'!F97</f>
        <v>0.5</v>
      </c>
      <c r="G97" s="49">
        <f>'Avg Week Kyebando-Mulago'!G97+'Avg Week Mulago-Kyebando'!G97</f>
        <v>0</v>
      </c>
      <c r="H97" s="49">
        <f>'Avg Week Kyebando-Mulago'!H97+'Avg Week Mulago-Kyebando'!H97</f>
        <v>0</v>
      </c>
      <c r="I97" s="49">
        <f>'Avg Week Kyebando-Mulago'!I97+'Avg Week Mulago-Kyebando'!I97</f>
        <v>0.5</v>
      </c>
      <c r="J97" s="49">
        <f>'Avg Week Kyebando-Mulago'!J97+'Avg Week Mulago-Kyebando'!J97</f>
        <v>0</v>
      </c>
      <c r="K97" s="49">
        <f>'Avg Week Kyebando-Mulago'!K97+'Avg Week Mulago-Kyebando'!K97</f>
        <v>0</v>
      </c>
      <c r="L97" s="49">
        <f>'Avg Week Kyebando-Mulago'!L97+'Avg Week Mulago-Kyebando'!L97</f>
        <v>0</v>
      </c>
      <c r="M97" s="49">
        <f>'Avg Week Kyebando-Mulago'!M97+'Avg Week Mulago-Kyebando'!M97</f>
        <v>13.5</v>
      </c>
      <c r="N97" s="49">
        <f>'Avg Week Kyebando-Mulago'!N97+'Avg Week Mulago-Kyebando'!N97</f>
        <v>0</v>
      </c>
      <c r="O97" s="15">
        <f t="shared" si="35"/>
        <v>8</v>
      </c>
      <c r="P97" s="15">
        <f t="shared" si="36"/>
        <v>21.5</v>
      </c>
      <c r="R97" s="8"/>
      <c r="T97"/>
    </row>
    <row r="98" spans="2:20" ht="23.1" customHeight="1" x14ac:dyDescent="0.25">
      <c r="B98" s="24" t="s">
        <v>138</v>
      </c>
      <c r="C98" s="49">
        <f>'Avg Week Kyebando-Mulago'!C98+'Avg Week Mulago-Kyebando'!C98</f>
        <v>13</v>
      </c>
      <c r="D98" s="49">
        <f>'Avg Week Kyebando-Mulago'!D98+'Avg Week Mulago-Kyebando'!D98</f>
        <v>0</v>
      </c>
      <c r="E98" s="49">
        <f>'Avg Week Kyebando-Mulago'!E98+'Avg Week Mulago-Kyebando'!E98</f>
        <v>0.5</v>
      </c>
      <c r="F98" s="49">
        <f>'Avg Week Kyebando-Mulago'!F98+'Avg Week Mulago-Kyebando'!F98</f>
        <v>2.5</v>
      </c>
      <c r="G98" s="49">
        <f>'Avg Week Kyebando-Mulago'!G98+'Avg Week Mulago-Kyebando'!G98</f>
        <v>0</v>
      </c>
      <c r="H98" s="49">
        <f>'Avg Week Kyebando-Mulago'!H98+'Avg Week Mulago-Kyebando'!H98</f>
        <v>0</v>
      </c>
      <c r="I98" s="49">
        <f>'Avg Week Kyebando-Mulago'!I98+'Avg Week Mulago-Kyebando'!I98</f>
        <v>0</v>
      </c>
      <c r="J98" s="49">
        <f>'Avg Week Kyebando-Mulago'!J98+'Avg Week Mulago-Kyebando'!J98</f>
        <v>0</v>
      </c>
      <c r="K98" s="49">
        <f>'Avg Week Kyebando-Mulago'!K98+'Avg Week Mulago-Kyebando'!K98</f>
        <v>0</v>
      </c>
      <c r="L98" s="49">
        <f>'Avg Week Kyebando-Mulago'!L98+'Avg Week Mulago-Kyebando'!L98</f>
        <v>0</v>
      </c>
      <c r="M98" s="49">
        <f>'Avg Week Kyebando-Mulago'!M98+'Avg Week Mulago-Kyebando'!M98</f>
        <v>30.5</v>
      </c>
      <c r="N98" s="49">
        <f>'Avg Week Kyebando-Mulago'!N98+'Avg Week Mulago-Kyebando'!N98</f>
        <v>0</v>
      </c>
      <c r="O98" s="15">
        <f t="shared" si="35"/>
        <v>16</v>
      </c>
      <c r="P98" s="15">
        <f t="shared" si="36"/>
        <v>46.5</v>
      </c>
      <c r="R98" s="8"/>
      <c r="T98"/>
    </row>
    <row r="99" spans="2:20" ht="23.1" customHeight="1" x14ac:dyDescent="0.25">
      <c r="B99" s="23" t="s">
        <v>139</v>
      </c>
      <c r="C99" s="49">
        <f>'Avg Week Kyebando-Mulago'!C99+'Avg Week Mulago-Kyebando'!C99</f>
        <v>19</v>
      </c>
      <c r="D99" s="49">
        <f>'Avg Week Kyebando-Mulago'!D99+'Avg Week Mulago-Kyebando'!D99</f>
        <v>0.5</v>
      </c>
      <c r="E99" s="49">
        <f>'Avg Week Kyebando-Mulago'!E99+'Avg Week Mulago-Kyebando'!E99</f>
        <v>0</v>
      </c>
      <c r="F99" s="49">
        <f>'Avg Week Kyebando-Mulago'!F99+'Avg Week Mulago-Kyebando'!F99</f>
        <v>3.5</v>
      </c>
      <c r="G99" s="49">
        <f>'Avg Week Kyebando-Mulago'!G99+'Avg Week Mulago-Kyebando'!G99</f>
        <v>0</v>
      </c>
      <c r="H99" s="49">
        <f>'Avg Week Kyebando-Mulago'!H99+'Avg Week Mulago-Kyebando'!H99</f>
        <v>0</v>
      </c>
      <c r="I99" s="49">
        <f>'Avg Week Kyebando-Mulago'!I99+'Avg Week Mulago-Kyebando'!I99</f>
        <v>0.5</v>
      </c>
      <c r="J99" s="49">
        <f>'Avg Week Kyebando-Mulago'!J99+'Avg Week Mulago-Kyebando'!J99</f>
        <v>0</v>
      </c>
      <c r="K99" s="49">
        <f>'Avg Week Kyebando-Mulago'!K99+'Avg Week Mulago-Kyebando'!K99</f>
        <v>0</v>
      </c>
      <c r="L99" s="49">
        <f>'Avg Week Kyebando-Mulago'!L99+'Avg Week Mulago-Kyebando'!L99</f>
        <v>0</v>
      </c>
      <c r="M99" s="49">
        <f>'Avg Week Kyebando-Mulago'!M99+'Avg Week Mulago-Kyebando'!M99</f>
        <v>37.5</v>
      </c>
      <c r="N99" s="49">
        <f>'Avg Week Kyebando-Mulago'!N99+'Avg Week Mulago-Kyebando'!N99</f>
        <v>0</v>
      </c>
      <c r="O99" s="15">
        <f t="shared" si="35"/>
        <v>23.5</v>
      </c>
      <c r="P99" s="15">
        <f t="shared" si="36"/>
        <v>61</v>
      </c>
      <c r="R99" s="8"/>
      <c r="T99"/>
    </row>
    <row r="100" spans="2:20" ht="23.1" customHeight="1" x14ac:dyDescent="0.25">
      <c r="B100" s="25" t="s">
        <v>140</v>
      </c>
      <c r="C100" s="49">
        <f>'Avg Week Kyebando-Mulago'!C100+'Avg Week Mulago-Kyebando'!C100</f>
        <v>14</v>
      </c>
      <c r="D100" s="49">
        <f>'Avg Week Kyebando-Mulago'!D100+'Avg Week Mulago-Kyebando'!D100</f>
        <v>0</v>
      </c>
      <c r="E100" s="49">
        <f>'Avg Week Kyebando-Mulago'!E100+'Avg Week Mulago-Kyebando'!E100</f>
        <v>1.5</v>
      </c>
      <c r="F100" s="49">
        <f>'Avg Week Kyebando-Mulago'!F100+'Avg Week Mulago-Kyebando'!F100</f>
        <v>4.5</v>
      </c>
      <c r="G100" s="49">
        <f>'Avg Week Kyebando-Mulago'!G100+'Avg Week Mulago-Kyebando'!G100</f>
        <v>0</v>
      </c>
      <c r="H100" s="49">
        <f>'Avg Week Kyebando-Mulago'!H100+'Avg Week Mulago-Kyebando'!H100</f>
        <v>0</v>
      </c>
      <c r="I100" s="49">
        <f>'Avg Week Kyebando-Mulago'!I100+'Avg Week Mulago-Kyebando'!I100</f>
        <v>1</v>
      </c>
      <c r="J100" s="49">
        <f>'Avg Week Kyebando-Mulago'!J100+'Avg Week Mulago-Kyebando'!J100</f>
        <v>0.5</v>
      </c>
      <c r="K100" s="49">
        <f>'Avg Week Kyebando-Mulago'!K100+'Avg Week Mulago-Kyebando'!K100</f>
        <v>0</v>
      </c>
      <c r="L100" s="49">
        <f>'Avg Week Kyebando-Mulago'!L100+'Avg Week Mulago-Kyebando'!L100</f>
        <v>0</v>
      </c>
      <c r="M100" s="49">
        <f>'Avg Week Kyebando-Mulago'!M100+'Avg Week Mulago-Kyebando'!M100</f>
        <v>35.5</v>
      </c>
      <c r="N100" s="49">
        <f>'Avg Week Kyebando-Mulago'!N100+'Avg Week Mulago-Kyebando'!N100</f>
        <v>0</v>
      </c>
      <c r="O100" s="15">
        <f t="shared" si="35"/>
        <v>21.5</v>
      </c>
      <c r="P100" s="15">
        <f t="shared" si="36"/>
        <v>57</v>
      </c>
      <c r="R100" s="8"/>
      <c r="T100"/>
    </row>
    <row r="101" spans="2:20" ht="23.1" customHeight="1" x14ac:dyDescent="0.25">
      <c r="B101" s="23" t="s">
        <v>141</v>
      </c>
      <c r="C101" s="49">
        <f>'Avg Week Kyebando-Mulago'!C101+'Avg Week Mulago-Kyebando'!C101</f>
        <v>28.5</v>
      </c>
      <c r="D101" s="49">
        <f>'Avg Week Kyebando-Mulago'!D101+'Avg Week Mulago-Kyebando'!D101</f>
        <v>1</v>
      </c>
      <c r="E101" s="49">
        <f>'Avg Week Kyebando-Mulago'!E101+'Avg Week Mulago-Kyebando'!E101</f>
        <v>5.5</v>
      </c>
      <c r="F101" s="49">
        <f>'Avg Week Kyebando-Mulago'!F101+'Avg Week Mulago-Kyebando'!F101</f>
        <v>8</v>
      </c>
      <c r="G101" s="49">
        <f>'Avg Week Kyebando-Mulago'!G101+'Avg Week Mulago-Kyebando'!G101</f>
        <v>0</v>
      </c>
      <c r="H101" s="49">
        <f>'Avg Week Kyebando-Mulago'!H101+'Avg Week Mulago-Kyebando'!H101</f>
        <v>0</v>
      </c>
      <c r="I101" s="49">
        <f>'Avg Week Kyebando-Mulago'!I101+'Avg Week Mulago-Kyebando'!I101</f>
        <v>0</v>
      </c>
      <c r="J101" s="49">
        <f>'Avg Week Kyebando-Mulago'!J101+'Avg Week Mulago-Kyebando'!J101</f>
        <v>1</v>
      </c>
      <c r="K101" s="49">
        <f>'Avg Week Kyebando-Mulago'!K101+'Avg Week Mulago-Kyebando'!K101</f>
        <v>0</v>
      </c>
      <c r="L101" s="49">
        <f>'Avg Week Kyebando-Mulago'!L101+'Avg Week Mulago-Kyebando'!L101</f>
        <v>0</v>
      </c>
      <c r="M101" s="49">
        <f>'Avg Week Kyebando-Mulago'!M101+'Avg Week Mulago-Kyebando'!M101</f>
        <v>34.5</v>
      </c>
      <c r="N101" s="49">
        <f>'Avg Week Kyebando-Mulago'!N101+'Avg Week Mulago-Kyebando'!N101</f>
        <v>0</v>
      </c>
      <c r="O101" s="15">
        <f t="shared" si="35"/>
        <v>44</v>
      </c>
      <c r="P101" s="15">
        <f t="shared" si="36"/>
        <v>78.5</v>
      </c>
      <c r="R101" s="8"/>
      <c r="T101"/>
    </row>
    <row r="102" spans="2:20" ht="23.1" customHeight="1" x14ac:dyDescent="0.25">
      <c r="B102" s="24" t="s">
        <v>142</v>
      </c>
      <c r="C102" s="49">
        <f>'Avg Week Kyebando-Mulago'!C102+'Avg Week Mulago-Kyebando'!C102</f>
        <v>59.5</v>
      </c>
      <c r="D102" s="49">
        <f>'Avg Week Kyebando-Mulago'!D102+'Avg Week Mulago-Kyebando'!D102</f>
        <v>3</v>
      </c>
      <c r="E102" s="49">
        <f>'Avg Week Kyebando-Mulago'!E102+'Avg Week Mulago-Kyebando'!E102</f>
        <v>3</v>
      </c>
      <c r="F102" s="49">
        <f>'Avg Week Kyebando-Mulago'!F102+'Avg Week Mulago-Kyebando'!F102</f>
        <v>11</v>
      </c>
      <c r="G102" s="49">
        <f>'Avg Week Kyebando-Mulago'!G102+'Avg Week Mulago-Kyebando'!G102</f>
        <v>1</v>
      </c>
      <c r="H102" s="49">
        <f>'Avg Week Kyebando-Mulago'!H102+'Avg Week Mulago-Kyebando'!H102</f>
        <v>0</v>
      </c>
      <c r="I102" s="49">
        <f>'Avg Week Kyebando-Mulago'!I102+'Avg Week Mulago-Kyebando'!I102</f>
        <v>3</v>
      </c>
      <c r="J102" s="49">
        <f>'Avg Week Kyebando-Mulago'!J102+'Avg Week Mulago-Kyebando'!J102</f>
        <v>0.5</v>
      </c>
      <c r="K102" s="49">
        <f>'Avg Week Kyebando-Mulago'!K102+'Avg Week Mulago-Kyebando'!K102</f>
        <v>0</v>
      </c>
      <c r="L102" s="49">
        <f>'Avg Week Kyebando-Mulago'!L102+'Avg Week Mulago-Kyebando'!L102</f>
        <v>0</v>
      </c>
      <c r="M102" s="49">
        <f>'Avg Week Kyebando-Mulago'!M102+'Avg Week Mulago-Kyebando'!M102</f>
        <v>41</v>
      </c>
      <c r="N102" s="49">
        <f>'Avg Week Kyebando-Mulago'!N102+'Avg Week Mulago-Kyebando'!N102</f>
        <v>0</v>
      </c>
      <c r="O102" s="15">
        <f t="shared" si="35"/>
        <v>81</v>
      </c>
      <c r="P102" s="15">
        <f t="shared" si="36"/>
        <v>122</v>
      </c>
      <c r="R102" s="8"/>
      <c r="T102"/>
    </row>
    <row r="103" spans="2:20" ht="23.1" customHeight="1" x14ac:dyDescent="0.25">
      <c r="B103" s="23" t="s">
        <v>143</v>
      </c>
      <c r="C103" s="49">
        <f>'Avg Week Kyebando-Mulago'!C103+'Avg Week Mulago-Kyebando'!C103</f>
        <v>113.5</v>
      </c>
      <c r="D103" s="49">
        <f>'Avg Week Kyebando-Mulago'!D103+'Avg Week Mulago-Kyebando'!D103</f>
        <v>10</v>
      </c>
      <c r="E103" s="49">
        <f>'Avg Week Kyebando-Mulago'!E103+'Avg Week Mulago-Kyebando'!E103</f>
        <v>9.5</v>
      </c>
      <c r="F103" s="49">
        <f>'Avg Week Kyebando-Mulago'!F103+'Avg Week Mulago-Kyebando'!F103</f>
        <v>17</v>
      </c>
      <c r="G103" s="49">
        <f>'Avg Week Kyebando-Mulago'!G103+'Avg Week Mulago-Kyebando'!G103</f>
        <v>0</v>
      </c>
      <c r="H103" s="49">
        <f>'Avg Week Kyebando-Mulago'!H103+'Avg Week Mulago-Kyebando'!H103</f>
        <v>0</v>
      </c>
      <c r="I103" s="49">
        <f>'Avg Week Kyebando-Mulago'!I103+'Avg Week Mulago-Kyebando'!I103</f>
        <v>5</v>
      </c>
      <c r="J103" s="49">
        <f>'Avg Week Kyebando-Mulago'!J103+'Avg Week Mulago-Kyebando'!J103</f>
        <v>0.5</v>
      </c>
      <c r="K103" s="49">
        <f>'Avg Week Kyebando-Mulago'!K103+'Avg Week Mulago-Kyebando'!K103</f>
        <v>0</v>
      </c>
      <c r="L103" s="49">
        <f>'Avg Week Kyebando-Mulago'!L103+'Avg Week Mulago-Kyebando'!L103</f>
        <v>0</v>
      </c>
      <c r="M103" s="49">
        <f>'Avg Week Kyebando-Mulago'!M103+'Avg Week Mulago-Kyebando'!M103</f>
        <v>54.5</v>
      </c>
      <c r="N103" s="49">
        <f>'Avg Week Kyebando-Mulago'!N103+'Avg Week Mulago-Kyebando'!N103</f>
        <v>0</v>
      </c>
      <c r="O103" s="15">
        <f t="shared" si="35"/>
        <v>155.5</v>
      </c>
      <c r="P103" s="15">
        <f t="shared" si="36"/>
        <v>210</v>
      </c>
      <c r="R103" s="8"/>
      <c r="T103"/>
    </row>
    <row r="104" spans="2:20" ht="23.1" customHeight="1" x14ac:dyDescent="0.25">
      <c r="B104" s="25" t="s">
        <v>144</v>
      </c>
      <c r="C104" s="49">
        <f>'Avg Week Kyebando-Mulago'!C104+'Avg Week Mulago-Kyebando'!C104</f>
        <v>146</v>
      </c>
      <c r="D104" s="49">
        <f>'Avg Week Kyebando-Mulago'!D104+'Avg Week Mulago-Kyebando'!D104</f>
        <v>4.5</v>
      </c>
      <c r="E104" s="49">
        <f>'Avg Week Kyebando-Mulago'!E104+'Avg Week Mulago-Kyebando'!E104</f>
        <v>7.5</v>
      </c>
      <c r="F104" s="49">
        <f>'Avg Week Kyebando-Mulago'!F104+'Avg Week Mulago-Kyebando'!F104</f>
        <v>19</v>
      </c>
      <c r="G104" s="49">
        <f>'Avg Week Kyebando-Mulago'!G104+'Avg Week Mulago-Kyebando'!G104</f>
        <v>0.5</v>
      </c>
      <c r="H104" s="49">
        <f>'Avg Week Kyebando-Mulago'!H104+'Avg Week Mulago-Kyebando'!H104</f>
        <v>0</v>
      </c>
      <c r="I104" s="49">
        <f>'Avg Week Kyebando-Mulago'!I104+'Avg Week Mulago-Kyebando'!I104</f>
        <v>2.5</v>
      </c>
      <c r="J104" s="49">
        <f>'Avg Week Kyebando-Mulago'!J104+'Avg Week Mulago-Kyebando'!J104</f>
        <v>0.5</v>
      </c>
      <c r="K104" s="49">
        <f>'Avg Week Kyebando-Mulago'!K104+'Avg Week Mulago-Kyebando'!K104</f>
        <v>0</v>
      </c>
      <c r="L104" s="49">
        <f>'Avg Week Kyebando-Mulago'!L104+'Avg Week Mulago-Kyebando'!L104</f>
        <v>0</v>
      </c>
      <c r="M104" s="49">
        <f>'Avg Week Kyebando-Mulago'!M104+'Avg Week Mulago-Kyebando'!M104</f>
        <v>82.5</v>
      </c>
      <c r="N104" s="49">
        <f>'Avg Week Kyebando-Mulago'!N104+'Avg Week Mulago-Kyebando'!N104</f>
        <v>0</v>
      </c>
      <c r="O104" s="15">
        <f t="shared" si="35"/>
        <v>180.5</v>
      </c>
      <c r="P104" s="15">
        <f t="shared" si="36"/>
        <v>263</v>
      </c>
      <c r="R104" s="8"/>
      <c r="T104"/>
    </row>
    <row r="105" spans="2:20" ht="23.1" customHeight="1" x14ac:dyDescent="0.25">
      <c r="B105" s="23" t="s">
        <v>145</v>
      </c>
      <c r="C105" s="49">
        <f>'Avg Week Kyebando-Mulago'!C105+'Avg Week Mulago-Kyebando'!C105</f>
        <v>149</v>
      </c>
      <c r="D105" s="49">
        <f>'Avg Week Kyebando-Mulago'!D105+'Avg Week Mulago-Kyebando'!D105</f>
        <v>6</v>
      </c>
      <c r="E105" s="49">
        <f>'Avg Week Kyebando-Mulago'!E105+'Avg Week Mulago-Kyebando'!E105</f>
        <v>10.5</v>
      </c>
      <c r="F105" s="49">
        <f>'Avg Week Kyebando-Mulago'!F105+'Avg Week Mulago-Kyebando'!F105</f>
        <v>37.5</v>
      </c>
      <c r="G105" s="49">
        <f>'Avg Week Kyebando-Mulago'!G105+'Avg Week Mulago-Kyebando'!G105</f>
        <v>0</v>
      </c>
      <c r="H105" s="49">
        <f>'Avg Week Kyebando-Mulago'!H105+'Avg Week Mulago-Kyebando'!H105</f>
        <v>0</v>
      </c>
      <c r="I105" s="49">
        <f>'Avg Week Kyebando-Mulago'!I105+'Avg Week Mulago-Kyebando'!I105</f>
        <v>1.5</v>
      </c>
      <c r="J105" s="49">
        <f>'Avg Week Kyebando-Mulago'!J105+'Avg Week Mulago-Kyebando'!J105</f>
        <v>0</v>
      </c>
      <c r="K105" s="49">
        <f>'Avg Week Kyebando-Mulago'!K105+'Avg Week Mulago-Kyebando'!K105</f>
        <v>0</v>
      </c>
      <c r="L105" s="49">
        <f>'Avg Week Kyebando-Mulago'!L105+'Avg Week Mulago-Kyebando'!L105</f>
        <v>0</v>
      </c>
      <c r="M105" s="49">
        <f>'Avg Week Kyebando-Mulago'!M105+'Avg Week Mulago-Kyebando'!M105</f>
        <v>103.5</v>
      </c>
      <c r="N105" s="49">
        <f>'Avg Week Kyebando-Mulago'!N105+'Avg Week Mulago-Kyebando'!N105</f>
        <v>0</v>
      </c>
      <c r="O105" s="15">
        <f t="shared" si="35"/>
        <v>204.5</v>
      </c>
      <c r="P105" s="15">
        <f t="shared" si="36"/>
        <v>308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5826.7142857142853</v>
      </c>
      <c r="D106" s="16">
        <f t="shared" si="37"/>
        <v>958.28571428571422</v>
      </c>
      <c r="E106" s="16">
        <f t="shared" si="37"/>
        <v>720.14285714285711</v>
      </c>
      <c r="F106" s="16">
        <f t="shared" si="37"/>
        <v>1389.5714285714287</v>
      </c>
      <c r="G106" s="16">
        <f t="shared" si="37"/>
        <v>27.571428571428569</v>
      </c>
      <c r="H106" s="16">
        <f t="shared" si="37"/>
        <v>3.8571428571428559</v>
      </c>
      <c r="I106" s="16">
        <f t="shared" si="37"/>
        <v>359.42857142857144</v>
      </c>
      <c r="J106" s="16">
        <f t="shared" si="37"/>
        <v>66.857142857142833</v>
      </c>
      <c r="K106" s="16">
        <f t="shared" si="37"/>
        <v>5.8571428571428568</v>
      </c>
      <c r="L106" s="16">
        <f t="shared" si="37"/>
        <v>0</v>
      </c>
      <c r="M106" s="16">
        <f t="shared" si="37"/>
        <v>10629.261904761908</v>
      </c>
      <c r="N106" s="16">
        <f t="shared" si="37"/>
        <v>0.14285714285714285</v>
      </c>
      <c r="O106" s="16">
        <f t="shared" si="37"/>
        <v>9358.4285714285706</v>
      </c>
      <c r="P106" s="16">
        <f t="shared" si="37"/>
        <v>19987.690476190477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0.29151513491041509</v>
      </c>
      <c r="D107" s="43">
        <f t="shared" si="38"/>
        <v>4.7943793977960239E-2</v>
      </c>
      <c r="E107" s="43">
        <f t="shared" si="38"/>
        <v>3.6029318044558376E-2</v>
      </c>
      <c r="F107" s="43">
        <f t="shared" si="38"/>
        <v>6.952136017048588E-2</v>
      </c>
      <c r="G107" s="43">
        <f t="shared" si="38"/>
        <v>1.3794204290021356E-3</v>
      </c>
      <c r="H107" s="43">
        <f t="shared" si="38"/>
        <v>1.9297591493812257E-4</v>
      </c>
      <c r="I107" s="43">
        <f t="shared" si="38"/>
        <v>1.7982496369789502E-2</v>
      </c>
      <c r="J107" s="43">
        <f t="shared" si="38"/>
        <v>3.3449158589274578E-3</v>
      </c>
      <c r="K107" s="43">
        <f t="shared" si="38"/>
        <v>2.9303750046159361E-4</v>
      </c>
      <c r="L107" s="43">
        <f t="shared" si="38"/>
        <v>0</v>
      </c>
      <c r="M107" s="43">
        <f t="shared" si="38"/>
        <v>0.53179039956735297</v>
      </c>
      <c r="N107" s="43">
        <f t="shared" si="38"/>
        <v>7.1472561088193559E-6</v>
      </c>
      <c r="R107" s="8"/>
      <c r="T107"/>
    </row>
    <row r="108" spans="2:20" ht="23.1" customHeight="1" x14ac:dyDescent="0.25">
      <c r="B108" s="42" t="s">
        <v>94</v>
      </c>
      <c r="C108" s="44">
        <f t="shared" ref="C108:L108" si="39">C106/$O$106</f>
        <v>0.6226167396846235</v>
      </c>
      <c r="D108" s="44">
        <f t="shared" si="39"/>
        <v>0.10239814376650537</v>
      </c>
      <c r="E108" s="44">
        <f t="shared" si="39"/>
        <v>7.6951258605687772E-2</v>
      </c>
      <c r="F108" s="44">
        <f t="shared" si="39"/>
        <v>0.14848341449266514</v>
      </c>
      <c r="G108" s="44">
        <f t="shared" si="39"/>
        <v>2.946160069608756E-3</v>
      </c>
      <c r="H108" s="44">
        <f t="shared" si="39"/>
        <v>4.1215710818360825E-4</v>
      </c>
      <c r="I108" s="44">
        <f t="shared" si="39"/>
        <v>3.8406936451479953E-2</v>
      </c>
      <c r="J108" s="44">
        <f t="shared" si="39"/>
        <v>7.1440565418492098E-3</v>
      </c>
      <c r="K108" s="44">
        <f t="shared" si="39"/>
        <v>6.2586820131584975E-4</v>
      </c>
      <c r="L108" s="44">
        <f t="shared" si="39"/>
        <v>0</v>
      </c>
      <c r="M108" s="44"/>
      <c r="N108" s="44">
        <f>N106/$O$106</f>
        <v>1.5265078080874384E-5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Kyebando-Mulago</vt:lpstr>
      <vt:lpstr>29.07 Mulago-Kyebando</vt:lpstr>
      <vt:lpstr>30.07 -Kyebando-Mulago</vt:lpstr>
      <vt:lpstr>30.07 Mulago-Kyebando</vt:lpstr>
      <vt:lpstr>31.07 Kyebando-Mulago</vt:lpstr>
      <vt:lpstr>31.07 Mulago-Kyebando</vt:lpstr>
      <vt:lpstr>01.08 Kyebando-Mulago-24h</vt:lpstr>
      <vt:lpstr>01.08 Mulago-Kyebando-24h</vt:lpstr>
      <vt:lpstr>02.08 Kyebando-Mulago</vt:lpstr>
      <vt:lpstr>02.08 Mulago-Kyebando</vt:lpstr>
      <vt:lpstr>03.08 Kyebando-Mulago-24h</vt:lpstr>
      <vt:lpstr>03.08 Mulago-Kyebando-24h</vt:lpstr>
      <vt:lpstr>04.08 Kyebando-Mulago</vt:lpstr>
      <vt:lpstr>04.08 Mulago-Kyebando</vt:lpstr>
      <vt:lpstr>Avg Week Kyebando-Mulago</vt:lpstr>
      <vt:lpstr>Avg Week Mulago-Kyebando</vt:lpstr>
      <vt:lpstr>Avg Week Kyebando-Mulago-2Dir</vt:lpstr>
      <vt:lpstr>'01.08 Kyebando-Mulago-24h'!Print_Area</vt:lpstr>
      <vt:lpstr>'01.08 Mulago-Kyebando-24h'!Print_Area</vt:lpstr>
      <vt:lpstr>'02.08 Kyebando-Mulago'!Print_Area</vt:lpstr>
      <vt:lpstr>'02.08 Mulago-Kyebando'!Print_Area</vt:lpstr>
      <vt:lpstr>'03.08 Kyebando-Mulago-24h'!Print_Area</vt:lpstr>
      <vt:lpstr>'03.08 Mulago-Kyebando-24h'!Print_Area</vt:lpstr>
      <vt:lpstr>'04.08 Kyebando-Mulago'!Print_Area</vt:lpstr>
      <vt:lpstr>'04.08 Mulago-Kyebando'!Print_Area</vt:lpstr>
      <vt:lpstr>'29.07 Kyebando-Mulago'!Print_Area</vt:lpstr>
      <vt:lpstr>'29.07 Mulago-Kyebando'!Print_Area</vt:lpstr>
      <vt:lpstr>'30.07 -Kyebando-Mulago'!Print_Area</vt:lpstr>
      <vt:lpstr>'30.07 Mulago-Kyebando'!Print_Area</vt:lpstr>
      <vt:lpstr>'31.07 Kyebando-Mulago'!Print_Area</vt:lpstr>
      <vt:lpstr>'31.07 Mulago-Kyebando'!Print_Area</vt:lpstr>
      <vt:lpstr>'Avg Week Kyebando-Mulago'!Print_Area</vt:lpstr>
      <vt:lpstr>'Avg Week Kyebando-Mulago-2Dir'!Print_Area</vt:lpstr>
      <vt:lpstr>'Avg Week Mulago-Kyebando'!Print_Area</vt:lpstr>
      <vt:lpstr>'01.08 Kyebando-Mulago-24h'!Print_Titles</vt:lpstr>
      <vt:lpstr>'01.08 Mulago-Kyebando-24h'!Print_Titles</vt:lpstr>
      <vt:lpstr>'02.08 Kyebando-Mulago'!Print_Titles</vt:lpstr>
      <vt:lpstr>'02.08 Mulago-Kyebando'!Print_Titles</vt:lpstr>
      <vt:lpstr>'03.08 Kyebando-Mulago-24h'!Print_Titles</vt:lpstr>
      <vt:lpstr>'03.08 Mulago-Kyebando-24h'!Print_Titles</vt:lpstr>
      <vt:lpstr>'04.08 Kyebando-Mulago'!Print_Titles</vt:lpstr>
      <vt:lpstr>'04.08 Mulago-Kyebando'!Print_Titles</vt:lpstr>
      <vt:lpstr>'29.07 Kyebando-Mulago'!Print_Titles</vt:lpstr>
      <vt:lpstr>'29.07 Mulago-Kyebando'!Print_Titles</vt:lpstr>
      <vt:lpstr>'30.07 -Kyebando-Mulago'!Print_Titles</vt:lpstr>
      <vt:lpstr>'30.07 Mulago-Kyebando'!Print_Titles</vt:lpstr>
      <vt:lpstr>'31.07 Kyebando-Mulago'!Print_Titles</vt:lpstr>
      <vt:lpstr>'31.07 Mulago-Kyebando'!Print_Titles</vt:lpstr>
      <vt:lpstr>'Avg Week Kyebando-Mulago'!Print_Titles</vt:lpstr>
      <vt:lpstr>'Avg Week Kyebando-Mulago-2Dir'!Print_Titles</vt:lpstr>
      <vt:lpstr>'Avg Week Mulago-Kyebando'!Print_Titles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2020-01-15T17:41:43Z</dcterms:modified>
</cp:coreProperties>
</file>